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édric" sheetId="1" r:id="rId5"/>
    <sheet state="visible" name="Adrien Voyer" sheetId="2" r:id="rId6"/>
    <sheet state="visible" name="Pierre Berho" sheetId="3" r:id="rId7"/>
    <sheet state="visible" name="Agathe Courret" sheetId="4" r:id="rId8"/>
    <sheet state="visible" name="Noa Roche" sheetId="5" r:id="rId9"/>
    <sheet state="visible" name="Sahra KP" sheetId="6" r:id="rId10"/>
    <sheet state="visible" name="AleZian" sheetId="7" r:id="rId11"/>
    <sheet state="visible" name="Marius J" sheetId="8" r:id="rId12"/>
    <sheet state="visible" name="Feuille 19_conflict1369208936" sheetId="9" r:id="rId13"/>
    <sheet state="visible" name="Manon" sheetId="10" r:id="rId14"/>
    <sheet state="visible" name="Loéva" sheetId="11" r:id="rId15"/>
    <sheet state="visible" name="Damian" sheetId="12" r:id="rId16"/>
    <sheet state="visible" name="Paul" sheetId="13" r:id="rId17"/>
    <sheet state="visible" name="Lisa Défossez" sheetId="14" r:id="rId18"/>
    <sheet state="visible" name="Olivia Frisetti" sheetId="15" r:id="rId19"/>
    <sheet state="visible" name="Pierre BAYET" sheetId="16" r:id="rId20"/>
    <sheet state="visible" name="Jules Joué" sheetId="17" r:id="rId21"/>
    <sheet state="visible" name="Maxime" sheetId="18" r:id="rId22"/>
    <sheet state="visible" name="Athéna" sheetId="19" r:id="rId23"/>
    <sheet state="visible" name="Corentin" sheetId="20" r:id="rId24"/>
    <sheet state="visible" name="Camille" sheetId="21" r:id="rId25"/>
    <sheet state="visible" name="Feuille 28" sheetId="22" r:id="rId26"/>
    <sheet state="visible" name="Patti Delaspre" sheetId="23" r:id="rId27"/>
    <sheet state="visible" name="Feuille 14" sheetId="24" r:id="rId28"/>
    <sheet state="visible" name="Julie" sheetId="25" r:id="rId29"/>
    <sheet state="visible" name="Agathe DL" sheetId="26" r:id="rId30"/>
    <sheet state="visible" name="Marius Caillaud" sheetId="27" r:id="rId31"/>
    <sheet state="visible" name="Lili" sheetId="28" r:id="rId32"/>
    <sheet state="visible" name="Noa.D" sheetId="29" r:id="rId33"/>
    <sheet state="visible" name="Linda Rousso" sheetId="30" r:id="rId34"/>
    <sheet state="visible" name="Lila" sheetId="31" r:id="rId35"/>
    <sheet state="visible" name="Alexandre" sheetId="32" r:id="rId36"/>
    <sheet state="visible" name="Quentin" sheetId="33" r:id="rId37"/>
    <sheet state="visible" name="Margot" sheetId="34" r:id="rId38"/>
    <sheet state="visible" name="Feuille 16" sheetId="35" r:id="rId39"/>
    <sheet state="visible" name="conseil-municipal-bdx" sheetId="36" r:id="rId40"/>
  </sheets>
  <definedNames/>
  <calcPr/>
</workbook>
</file>

<file path=xl/sharedStrings.xml><?xml version="1.0" encoding="utf-8"?>
<sst xmlns="http://schemas.openxmlformats.org/spreadsheetml/2006/main" count="1265" uniqueCount="455">
  <si>
    <t>🚺</t>
  </si>
  <si>
    <t>Groupe d'âges</t>
  </si>
  <si>
    <t>Femmes</t>
  </si>
  <si>
    <t>Hommes</t>
  </si>
  <si>
    <t>Ensemble</t>
  </si>
  <si>
    <t>Moins de 15 ans</t>
  </si>
  <si>
    <t>5 750 207</t>
  </si>
  <si>
    <t>6 025 619</t>
  </si>
  <si>
    <t>11 775 826</t>
  </si>
  <si>
    <t>15-19 ans</t>
  </si>
  <si>
    <t>2 062 755</t>
  </si>
  <si>
    <t>2 181 207</t>
  </si>
  <si>
    <t>4 243 962</t>
  </si>
  <si>
    <t>20-24 ans</t>
  </si>
  <si>
    <t>1 944 044</t>
  </si>
  <si>
    <t>2 030 202</t>
  </si>
  <si>
    <t>3 974 246</t>
  </si>
  <si>
    <t>25-29 ans</t>
  </si>
  <si>
    <t>1 867 343</t>
  </si>
  <si>
    <t>1 851 224</t>
  </si>
  <si>
    <t>3 718 567</t>
  </si>
  <si>
    <t>30-34 ans</t>
  </si>
  <si>
    <t>2 058 778</t>
  </si>
  <si>
    <t>1 982 491</t>
  </si>
  <si>
    <t>4 041 269</t>
  </si>
  <si>
    <t>35-39 ans</t>
  </si>
  <si>
    <t>2 154 822</t>
  </si>
  <si>
    <t>2 025 139</t>
  </si>
  <si>
    <t>4 179 961</t>
  </si>
  <si>
    <t>40-44 ans</t>
  </si>
  <si>
    <t>2 197 666</t>
  </si>
  <si>
    <t>2 097 058</t>
  </si>
  <si>
    <t>4 294 724</t>
  </si>
  <si>
    <t>45-49 ans</t>
  </si>
  <si>
    <t>2 133 300</t>
  </si>
  <si>
    <t>2 077 464</t>
  </si>
  <si>
    <t>4 210 764</t>
  </si>
  <si>
    <t>50-54 ans</t>
  </si>
  <si>
    <t>2 283 986</t>
  </si>
  <si>
    <t>2 216 586</t>
  </si>
  <si>
    <t>4 500 572</t>
  </si>
  <si>
    <t>55-59 ans</t>
  </si>
  <si>
    <t>2 279 154</t>
  </si>
  <si>
    <t>2 161 119</t>
  </si>
  <si>
    <t>4 440 273</t>
  </si>
  <si>
    <t>60-64 ans</t>
  </si>
  <si>
    <t>2 187 449</t>
  </si>
  <si>
    <t>2 011 149</t>
  </si>
  <si>
    <t>4 198 598</t>
  </si>
  <si>
    <t>65-69 ans</t>
  </si>
  <si>
    <t>2 080 110</t>
  </si>
  <si>
    <t>1 828 697</t>
  </si>
  <si>
    <t>3 908 807</t>
  </si>
  <si>
    <t>70-74 ans</t>
  </si>
  <si>
    <t>2 002 141</t>
  </si>
  <si>
    <t>1 703 117</t>
  </si>
  <si>
    <t>3 705 258</t>
  </si>
  <si>
    <t>75 ans ou plus</t>
  </si>
  <si>
    <t>4 120 459</t>
  </si>
  <si>
    <t>2 729 305</t>
  </si>
  <si>
    <t>6 849 764</t>
  </si>
  <si>
    <t>35 122 214</t>
  </si>
  <si>
    <t>32 920 377</t>
  </si>
  <si>
    <t>68 042 59</t>
  </si>
  <si>
    <t>Gros naze</t>
  </si>
  <si>
    <t>Athéna</t>
  </si>
  <si>
    <t>nul</t>
  </si>
  <si>
    <t>Pierre BAYET</t>
  </si>
  <si>
    <t>Type de collectivité</t>
  </si>
  <si>
    <t>Nom</t>
  </si>
  <si>
    <t>Population</t>
  </si>
  <si>
    <t>municipale</t>
  </si>
  <si>
    <t>Recensement</t>
  </si>
  <si>
    <t>de référence</t>
  </si>
  <si>
    <t>Collectivités régies par l’article 74 de la Constitution</t>
  </si>
  <si>
    <t>Polynésie française</t>
  </si>
  <si>
    <t>275 918</t>
  </si>
  <si>
    <t>Saint-Barthélemy</t>
  </si>
  <si>
    <t>9 961</t>
  </si>
  <si>
    <t>Saint-Martin</t>
  </si>
  <si>
    <t>35 334</t>
  </si>
  <si>
    <t>Saint-Pierre-et-Miquelon</t>
  </si>
  <si>
    <t>5 997</t>
  </si>
  <si>
    <t>Wallis-et-Futuna</t>
  </si>
  <si>
    <t>11 558</t>
  </si>
  <si>
    <t>Collectivité d’outre-mer à statut particulier (sui generis)</t>
  </si>
  <si>
    <t>(Titre XIII de la Constitution)</t>
  </si>
  <si>
    <t>Nouvelle-Calédonie</t>
  </si>
  <si>
    <t>271 407</t>
  </si>
  <si>
    <t>Palmarès de la Coupe du monde de football</t>
  </si>
  <si>
    <t>web-scraper-order</t>
  </si>
  <si>
    <t>web-scraper-start-url</t>
  </si>
  <si>
    <t>date</t>
  </si>
  <si>
    <t>cr_lien</t>
  </si>
  <si>
    <t>cr_lien-href</t>
  </si>
  <si>
    <t>liste_presents</t>
  </si>
  <si>
    <t>liste_absents</t>
  </si>
  <si>
    <t>liste_deliberations</t>
  </si>
  <si>
    <t>cr_pdf</t>
  </si>
  <si>
    <t>cr_pdf-href</t>
  </si>
  <si>
    <t>1704693946-1</t>
  </si>
  <si>
    <t>https://www.bordeaux.fr/p494/les-seances-du-conseil-municipal</t>
  </si>
  <si>
    <t>1704693946-2</t>
  </si>
  <si>
    <t>1704693946-3</t>
  </si>
  <si>
    <t>1704693946-4</t>
  </si>
  <si>
    <t>1704693946-5</t>
  </si>
  <si>
    <t>1704693946-6</t>
  </si>
  <si>
    <t>1704693946-7</t>
  </si>
  <si>
    <t>1704693946-8</t>
  </si>
  <si>
    <t>1704693946-9</t>
  </si>
  <si>
    <t>PDF</t>
  </si>
  <si>
    <t>https://www.bordeaux.fr/images/ebx/fr/CM/18842/9/pieceJointeSpec/217096/file/PV_20231107.pdf</t>
  </si>
  <si>
    <t>1704693946-10</t>
  </si>
  <si>
    <t>https://www.bordeaux.fr/images/ebx/fr/CM/18762/6/pieceJointeSpec/216001/file/PV_20231003.pdf</t>
  </si>
  <si>
    <t>1704693946-11</t>
  </si>
  <si>
    <t>https://www.bordeaux.fr/images/ebx/fr/CM/18642/7/pieceJointeSpec/215162/file/PV_20230711.pdf</t>
  </si>
  <si>
    <t>1704693946-12</t>
  </si>
  <si>
    <t>https://www.bordeaux.fr/images/ebx/fr/CM/18562/6/pieceJointeSpec/213973/file/PV_20230606.pdf</t>
  </si>
  <si>
    <t>1704693946-13</t>
  </si>
  <si>
    <t>https://www.bordeaux.fr/images/ebx/fr/CM/18502/8/pieceJointeSpec/217199/file/PV_20230404.pdf</t>
  </si>
  <si>
    <t>1704693946-14</t>
  </si>
  <si>
    <t>https://www.bordeaux.fr/images/ebx/fr/CM/18422/15/pieceJointeSpec/212124/file/PV_20230308.pdf</t>
  </si>
  <si>
    <t>1704693946-15</t>
  </si>
  <si>
    <t>https://www.bordeaux.fr/images/ebx/fr/CM/18322/5/pieceJointeSpec/210557/file/PV_20230131.pdf</t>
  </si>
  <si>
    <t>1704693950-16</t>
  </si>
  <si>
    <t>Compte-rendu et délibérations</t>
  </si>
  <si>
    <t>https://www.bordeaux.fr/ebx/pgCRCM.psml?_nfpb=true&amp;_pageLabel=pgCRCM&amp;classofcontent=CM&amp;id=18322</t>
  </si>
  <si>
    <t>M. Pierre HURMIC, Mme Claudine BICHET, M. Stéphane PFEIFFER, Mme Camille CHOPLIN, M. Didier JEANJEAN, Mme Delphine JAMET, M. Mathieu HAZOUARD, Mme Harmonie LECERF MEUNIER, M. Amine SMIHI, Mme Sylvie SCHMITT, M. Dimitri BOUTLEUX, Mme Nadia SAADI, M. Bernard G BLANC, Mme Céline PAPIN, M. Olivier CAZAUX, Mme Pascale BOUSQUET-PITT, M. Olivier ESCOTS, Mme Fannie LE BOULANGER, M. Vincent MAURIN, Mme Sylvie JUSTOME, M. Dominique BOUISSON, Mme Sandrine JACOTOT, M. Laurent GUILLEMIN, Mme Françoise FREMY, Mme Tiphaine ARDOUIN, Mme Marie-Claude NOEL, M. Didier CUGY, Mme Véronique GARCIA, M. Patrick PAPADATO, Mme Pascale ROUX, Mme Brigitte BLOCH, Mme Isabelle ACCOCEBERRY, Mme Isabelle FAURE, M. Francis FEYTOUT, Mme Eve DEMANGE, M. Maxime GHESQUIERE, M. Matthieu MANGIN, M. Guillaume MARI, Mme Marie-Julie POULAT, M. Jean-Baptiste THONY, M. Stéphane GOMOT, Mme Léa ANDRE, Mme Béatrice SABOURET, M. Pierre De Gaétan NJIKAM MOULIOM, Mme Nathalie DELATTRE, M. Nicolas FLORIAN, Mme Anne FAHMY, Mme Géraldine AMOUROUX, M. Marik FETOUH, M. Aziz SKALLI, M. Thomas CAZENAVE, Mme Catherine FABRE, M. Fabien ROBERT, M. Guillaume CHABAN-DELMAS, M. Nicolas PEREIRA, Mme Myriam ECKERT,
Monsieur Marik FETOUH présent à partir de 16h30, Monsieur Olivier CAZAUX présent jusqu'à 17h00
Les membres du groupe Renouveau Bordeaux (M. Thomas CAZENAVE, M. Aziz SKALLI, Mme Catherine FABRE, Mme Anne FAHMY), quittent la séance à 17h25
Les membres du groupe Bordeaux Ensemble (M. Nicolas FLORIAN, Mme Béatrice SABOURET, M. Pierre De Gaétan NJIKAM MOULIOM, Mme Nathalie DELATTRE, Mme Géraldine AMOUROUX, M. Fabien ROBERT, M. Marik FETOUH M. Guillaume CHABAN-DELMAS, M. Nicolas PEREIRA, Madame Pascale ROUX) quittent la séance à 17h30
Départ de Madame Myriam ECKERT à 17h38</t>
  </si>
  <si>
    <t>M. Baptiste MAURIN, M. Bernard-Louis BLANC, Mme Servane CRUSSIERE, M. Radouane-Cyrille JABER, Mme Charlee DA TOS, M. Marc ETCHEVERRY, Mme Alexandra SIARRI, Mme Evelyne CERVANTES-DESCUBES, M. Philippe POUTOU.</t>
  </si>
  <si>
    <t>Commission de contrôle - Analyse économique et financière de l'exercice 2021 - Casino de Bordeaux Lac - Société d'animation touristique de Bordeaux Lac</t>
  </si>
  <si>
    <t>1704693950-17</t>
  </si>
  <si>
    <t>Commission de contrôle - Analyse financière de la Délégation de service public Base sous-marine "Bassins des Lumières" - Exercice 2021</t>
  </si>
  <si>
    <t>1704693950-18</t>
  </si>
  <si>
    <t>Election des membres de la commission d'appel d'offres et des membres de la commission de concession. Modifications des délibérations 2020/112 et 2020/113 du 23 juillet 2020.</t>
  </si>
  <si>
    <t>1704693950-19</t>
  </si>
  <si>
    <t>Représentation au sein d'organismes divers et écoles. 16ème
partie.</t>
  </si>
  <si>
    <t>1704693950-20</t>
  </si>
  <si>
    <t>Convention de service comptable et financier entre la DGFiP et la Ville de Bordeaux - Avenant N° 1 - Décision - Adoption</t>
  </si>
  <si>
    <t>1704693950-21</t>
  </si>
  <si>
    <t>Fonds d'Aides aux Quartiers</t>
  </si>
  <si>
    <t>1704693950-22</t>
  </si>
  <si>
    <t>Aliénation en Bail Réel Solidaire (BRS) de logements par Clairsienne</t>
  </si>
  <si>
    <t>1704693950-23</t>
  </si>
  <si>
    <t>Expertise structure - Subventions de la Ville et prorogation du dispositif - Autorisation.</t>
  </si>
  <si>
    <t>1704693950-24</t>
  </si>
  <si>
    <t>Coup de Pouce - Aides pour l'amélioration du parc privé. Subventions de la Ville. Autorisation.</t>
  </si>
  <si>
    <t>1704693950-25</t>
  </si>
  <si>
    <t>Bordeaux.OIN Bordeaux Euratlantique.Convention pour la réalisation du projet de renouvellement urbain du secteur Brascassat/Le Treuil. Approbation. Autorisation</t>
  </si>
  <si>
    <t>1704693950-26</t>
  </si>
  <si>
    <t>Bordeaux. Zone d'aménagement concerté Garonne-Eiffel. Cession d'emprises foncières d'environ 8 064m² à l'Etablissement public d'Aménagement Bordeaux Euratlantique - Rive droite pont Saint Jean secteur Sud. Décision. Autorisation</t>
  </si>
  <si>
    <t>1704693950-27</t>
  </si>
  <si>
    <t>BORDEAUX- Zone d'aménagement concerté Garonne Eiffel - Désaffectation déclassement de deux parcelles cadastrées BN 111 et 112 formant partie de l'assiette du centre d'accueil Tregey- Décision - Autorisation</t>
  </si>
  <si>
    <t>1704693950-28</t>
  </si>
  <si>
    <t>BORDEAUX- Zone d'aménagement concerté Garonne Eiffel - Cession à l'Etablissement Public d'Aménagement Bordeaux Euratlantique de deux parcelles cadastrées BN 111 et 112,constituant partie de l'assiette du centre d'accueil d'urgence Tregey- Décisio...</t>
  </si>
  <si>
    <t>1704693950-29</t>
  </si>
  <si>
    <t>Bordeaux. Incorporation d'un bien présumé sans maître situé cité Dasvin de Boismarin cadastré section AM n°49. Décision. Autorisation</t>
  </si>
  <si>
    <t>1704693950-30</t>
  </si>
  <si>
    <t>Bordeaux. Bacalan. Rue Meste Verdié. Cession à Bordeaux Métropole de la parcelle bâtie cadastrée SM 162 supportant un garage. Décision. Autorisation.</t>
  </si>
  <si>
    <t>1704693950-31</t>
  </si>
  <si>
    <t>Bordeaux. Rue Chaigneau. Cession au profit de Bordeaux Métropole d'une parcelle de terrain de 13 m² environ à détacher de la parcelle cadastrée OR 81. Décision. Autorisation.</t>
  </si>
  <si>
    <t>1704693950-32</t>
  </si>
  <si>
    <t>Restauration municipale. Avenant à la convention entre la ville de Bordeaux, la ville de Mérignac et le Syndicat Intercommunal à Vocation Unique (SIVU) Bordeaux Mérignac.Signature. Décision.</t>
  </si>
  <si>
    <t>1704693950-33</t>
  </si>
  <si>
    <t>Modification du tableau des effectifs</t>
  </si>
  <si>
    <t>1704693950-34</t>
  </si>
  <si>
    <t>Délibération faisant état des lieux des postes permanents et des contrats de projet votés à la Ville de Bordeaux et au CCAS au 31 janvier 2023</t>
  </si>
  <si>
    <t>1704693950-35</t>
  </si>
  <si>
    <t>Délibération annuelle autorisant le recrutement de personnel contractuel: 
- pour assurer le remplacement d'agents momentanément absents 
- pour faire face à un accroissement temporaire d'activité
- pour faire face à un besoin lié à un accrois...</t>
  </si>
  <si>
    <t>1704693953-36</t>
  </si>
  <si>
    <t>https://www.bordeaux.fr/ebx/pgCRCM.psml?_nfpb=true&amp;_pageLabel=pgCRCM&amp;classofcontent=CM&amp;id=18422</t>
  </si>
  <si>
    <t>Monsieur Pierre HURMIC, Madame Claudine BICHET, Monsieur Stéphane PFEIFFER, Madame Camille CHOPLIN, Monsieur Didier JEANJEAN, Madame Delphine JAMET, Monsieur Mathieu HAZOUARD, Madame Harmonie LECERF MEUNIER, Monsieur Amine SMIHI, Madame Sylvie SCHMITT, Monsieur Dimitri BOUTLEUX, Madame Nadia SAADI, Monsieur Bernard G BLANC, Madame Céline PAPIN, Monsieur Olivier CAZAUX, Madame Pascale BOUSQUET-PITT, Monsieur Olivier ESCOTS, Madame Fannie LE BOULANGER, Monsieur Vincent MAURIN, Madame Sylvie JUSTOME, Madame Sandrine JACOTOT, Monsieur Laurent GUILLEMIN, Madame Françoise FREMY, Madame Tiphaine ARDOUIN, Monsieur Baptiste MAURIN, Madame Marie-Claude NOEL, Monsieur Didier CUGY, Madame Véronique GARCIA, Monsieur Patrick PAPADATO, Madame Brigitte BLOCH, Madame Isabelle ACCOCEBERRY, Madame Isabelle FAURE, Monsieur Francis FEYTOUT, Madame Eve DEMANGE, Monsieur Maxime GHESQUIERE, Monsieur Matthieu MANGIN, Monsieur Guillaume MARI, Monsieur Jean-Baptiste THONY, Monsieur Stéphane GOMOT, Monsieur Marc ETCHEVERRY, Madame Myriam ECKERT,
Monsieur Didier CUGY présent à partir de 15h32</t>
  </si>
  <si>
    <t>Monsieur Dominique BOUISSON, Monsieur Bernard-Louis BLANC, Madame Servane CRUSSIERE, Madame Marie-Julie POULAT, Monsieur Radouane-Cyrille JABER, Madame Charlee DA TOS, Madame Léa ANDRE, Madame Nathalie DELATTRE, Monsieur Nicolas PEREIRA, Madame Evelyne CERVANTES-DESCUBES, Monsieur Philippe POUTOU,</t>
  </si>
  <si>
    <t>Présentation du rapport 2022 sur la situation en matière d'égalité entre les femmes et les hommes. Information.</t>
  </si>
  <si>
    <t>1704693953-37</t>
  </si>
  <si>
    <t>Rapport sur les orientations budgétaires - Exercice 2023</t>
  </si>
  <si>
    <t>1704693953-38</t>
  </si>
  <si>
    <t>madd-bordeaux. Projet scientifique et culturel (PSC). Autorisation</t>
  </si>
  <si>
    <t>1704693953-39</t>
  </si>
  <si>
    <t>Bibliothèques de Bordeaux. Projet Culturel Scientifique Educatif et Social. Approbation</t>
  </si>
  <si>
    <t>1704693953-40</t>
  </si>
  <si>
    <t>Commissions Municipales- modifications. Adoption</t>
  </si>
  <si>
    <t>1704693953-41</t>
  </si>
  <si>
    <t>Création d'une mission d'information et d'évaluation</t>
  </si>
  <si>
    <t>1704693953-42</t>
  </si>
  <si>
    <t>Attribution de subventions aux associations 2023 - Décision - Autorisation</t>
  </si>
  <si>
    <t>1704693953-43</t>
  </si>
  <si>
    <t>Contrats de co-développement de 5ème génération - 2021-2023 - Avenant 2023</t>
  </si>
  <si>
    <t>1704693953-44</t>
  </si>
  <si>
    <t>1704693953-45</t>
  </si>
  <si>
    <t>Délégation à un conseiller municipal- Autorisation d'occupation des sols</t>
  </si>
  <si>
    <t>1704693953-46</t>
  </si>
  <si>
    <t>Logements locatifs aidés. Opération neuve réalisée par la SA d'HLM VILOGIA. Programme de 30 logements. Opération d'Intérêt National Euratlantique. ZAC Saint Jean Belcier à Bordeaux. Quartier Armagnac - îlot 8.7. Demande de subvention. Autorisation.</t>
  </si>
  <si>
    <t>1704693953-47</t>
  </si>
  <si>
    <t>1704693953-48</t>
  </si>
  <si>
    <t>Opération Carnaval des Deux Rives 2023. Subventions. Adoption. Autorisation.</t>
  </si>
  <si>
    <t>1704693953-49</t>
  </si>
  <si>
    <t>Permis de végétaliser pour les commerçants</t>
  </si>
  <si>
    <t>1704693953-50</t>
  </si>
  <si>
    <t>Condition animale et respect du vivant. Soutien aux initiatives en faveur du bien-être animal.</t>
  </si>
  <si>
    <t>1704693953-51</t>
  </si>
  <si>
    <t>Avenant au groupement de commande pour la surveillance humaine et le gardiennage des sites métropolitains et communaux entre Bordeaux Métropole, la Ville de Bordeaux et le Centre Communal d'Action Sociale de Bordeaux</t>
  </si>
  <si>
    <t>1704693953-52</t>
  </si>
  <si>
    <t>Centre de culture horticole du Haillan. Cession au profit de Bordeaux métropole d'un détachement de 8,4 hectares environ prélevé sur la parcelle située rue du Moulineau cadastrée AR 142. Décision. Autorisation</t>
  </si>
  <si>
    <t>1704693953-53</t>
  </si>
  <si>
    <t>Bordeaux rue Malbec. Déclassement des parcelles CX  199 ,201 et 206. Délibération modificative. Décision</t>
  </si>
  <si>
    <t>1704693953-54</t>
  </si>
  <si>
    <t>Bordeaux 112 rue Malbec. Cession à Vilogia Kaufman  et Broad de l'ensemble immobilier bâti cadastré  CX 199p, 201 et 206  d'une superficie d'environ 1380 m². Délibération modificative . Décision. Autorisation</t>
  </si>
  <si>
    <t>1704693953-55</t>
  </si>
  <si>
    <t>Bordeaux. 10, rue Carpenteyre. Désaffectation, Déclassement de l'immeuble communal. Décision. Autorisation</t>
  </si>
  <si>
    <t>1704693957-56</t>
  </si>
  <si>
    <t>https://www.bordeaux.fr/ebx/pgCRCM.psml?_nfpb=true&amp;_pageLabel=pgCRCM&amp;classofcontent=CM&amp;id=18502</t>
  </si>
  <si>
    <t>Monsieur Pierre HURMIC, Madame Claudine BICHET, Monsieur Stéphane PFEIFFER, Madame Camille CHOPLIN, Monsieur Didier JEANJEAN, Madame Delphine JAMET, Monsieur Mathieu HAZOUARD, Madame Harmonie LECERF MEUNIER, Monsieur Amine SMIHI, Madame Sylvie SCHMITT, Monsieur Dimitri BOUTLEUX, Madame Nadia SAADI, Monsieur Bernard G BLANC, Madame Céline PAPIN, Monsieur Olivier CAZAUX, Madame Pascale BOUSQUET-PITT, Monsieur Olivier ESCOTS, Madame Fannie LE BOULANGER, Monsieur Vincent MAURIN, Monsieur Dominique BOUISSON, Madame Sandrine JACOTOT, Monsieur Laurent GUILLEMIN, Madame Françoise FREMY, Madame Tiphaine ARDOUIN, Monsieur Baptiste MAURIN, Madame Marie-Claude NOEL, Monsieur Didier CUGY, Madame Véronique GARCIA, Monsieur Patrick PAPADATO, Madame Pascale ROUX, Madame Brigitte BLOCH, Madame Isabelle ACCOCEBERRY, Madame Isabelle FAURE, Monsieur Francis FEYTOUT, Madame Eve DEMANGE, Monsieur Maxime GHESQUIERE, Monsieur Matthieu MANGIN, Monsieur Guillaume MARI, Madame Marie-Julie POULAT, Monsieur Jean-Baptiste THONY, Monsieur Radouane-Cyrille JABER, Monsieur Stéphane GOMOT, Madame Charlee DA TOS, Monsieur Marc ETCHEVERRY, Madame Béatrice SABOURET, Monsieur Pierre De Gaétan NJIKAM MOULIOM, Monsieur Nicolas FLORIAN, Madame Alexandra SIARRI, Madame Anne FAHMY, Madame Géraldine AMOUROUX, Monsieur Marik FETOUH, Monsieur Aziz SKALLI, Monsieur Thomas CAZENAVE, Madame Catherine FABRE, Monsieur Fabien ROBERT, Monsieur Guillaume CHABAN-DELMAS, Monsieur Nicolas PEREIRA, Monsieur Philippe POUTOU, Madame Myriam ECKERT,
Monsieur Stéphane PFEIFFER est parti de 16h05 à 17h55, Monsieur Bernard- G BLANC est parti de 16h05 à 17h55, Madame Fannie LE BOULANGER est partie de 16h05 à 17h55, Madame Brigitte BLOCH partie à 17h50, Monsieur Fabien ROBERT parti à 18h09, et Monsieur Radouane-Cyrille JABER parti à 18h15</t>
  </si>
  <si>
    <t>Excusés :
Madame Sylvie JUSTOME, Monsieur Bernard-Louis BLANC, Madame Servane CRUSSIERE, Madame Léa ANDRE, Madame Nathalie DELATTRE, Madame Evelyne CERVANTES-DESCUBES</t>
  </si>
  <si>
    <t>Vote des taux de taxe d'habitation sur les résidences secondaires et autres locaux non affectés à l'habitation principale et des taxes foncières pour 2023</t>
  </si>
  <si>
    <t>1704693957-57</t>
  </si>
  <si>
    <t>Budget Primitif 2023 - Adoption</t>
  </si>
  <si>
    <t>1704693957-58</t>
  </si>
  <si>
    <t>Présentation du rapport sur les relations européennes et internationales 2020 - 2026</t>
  </si>
  <si>
    <t>1704693957-59</t>
  </si>
  <si>
    <t>Mission d'information et d'évaluation de l'ensemble des instances participatives et comités consultatifs de la ville de Bordeaux ainsi que du service public communal chargé de cette mission.</t>
  </si>
  <si>
    <t>1704693957-60</t>
  </si>
  <si>
    <t>Egalité femmes-hommes. Soutien aux initiatives associatives en faveur des droits des femmes.
Adoption. Autorisation.</t>
  </si>
  <si>
    <t>1704693957-61</t>
  </si>
  <si>
    <t>Subventions de fonctionnement Insertion - Programmation 2023. Autorisation - décision</t>
  </si>
  <si>
    <t>1704693957-62</t>
  </si>
  <si>
    <t>Versement des subventions aux associations en charge de structures d'accueil des jeunes enfants ou de l'accompagnement et du soutien aux familles.</t>
  </si>
  <si>
    <t>1704693957-63</t>
  </si>
  <si>
    <t>1704693957-64</t>
  </si>
  <si>
    <t>PIG - Programme d'intérêt général métropolitain ' Le réseau de la réhabilitation ' 2019 - 2024.
Subvention de la Ville aux propriétaires bailleurs et aux propriétaires occupants.
Autorisation.</t>
  </si>
  <si>
    <t>1704693957-65</t>
  </si>
  <si>
    <t>OPAH RU CD - Opération programmée d'amélioration de l'habitat de renouvellement urbain
à volet réhabilitation des copropriétés fragiles ou dégradées du centre historique de Bordeaux -
Subvention de la Ville aux propriétaires bailleurs et aux pr...</t>
  </si>
  <si>
    <t>1704693957-66</t>
  </si>
  <si>
    <t>SEML InCité - Rapport des administrateurs sur les sociétés d'économie mixte au titre des articles L.2313-1, L.2313-1-1, L.1524-5 du Code général des collectivités territoriales - Rapport 2022 - Exercice 2021 - Information</t>
  </si>
  <si>
    <t>1704693957-67</t>
  </si>
  <si>
    <t>SAEML Bordeaux Métropole Aménagement (BMA) - Rapport des administrateurs sur les sociétés d'économie mixte au titre des articles L.2313-1, L.2313-1-1, L.1524-5 du Code général des collectivités territoriales - Rapport 2022 - Exercice 2021 - Infor...</t>
  </si>
  <si>
    <t>1704693957-68</t>
  </si>
  <si>
    <t>SPL La Fabrique de Bordeaux Métropole dite "La Fab" - Rapport des administrateurs sur les sociétés d'économie mixte au titre des articles L.2313-1, L.2313-1-1, L.1524-5 du Code général des collectivités territoriales - Rapport 2022 - Exercice 202...</t>
  </si>
  <si>
    <t>1704693957-69</t>
  </si>
  <si>
    <t>Attribution d'aides en faveur des associations. Délégation vie associative. Subventions 2023. Adoption. Autorisation.</t>
  </si>
  <si>
    <t>1704693957-70</t>
  </si>
  <si>
    <t>Convention annuelle entre la ville de Bordeaux et les associations agissant en faveur de la vie associative et de l'enfance. Adoption. Autorisation</t>
  </si>
  <si>
    <t>1704693957-71</t>
  </si>
  <si>
    <t>Agence d'urbanisme Bordeaux Aquitaine (A'urba) - subvention 2023 - Convention - Décision - Autorisation</t>
  </si>
  <si>
    <t>1704693957-72</t>
  </si>
  <si>
    <t>SAEM Gertrude - Rapport des administrateurs sur les sociétés d'économie mixte au titre des articles L.2313-1, L.2313-1-1, L.1524-5 du Code général des collectivités territoriales - Rapport 2022 - Exercice 2021 - Information</t>
  </si>
  <si>
    <t>1704693957-73</t>
  </si>
  <si>
    <t>Le Haillan. Bus à haut niveau de service. Cession au profit de Bordeaux métropole d'un détachement d'environ 5687 m² environ prélevé sur la parcelle cadastrée AR 142 pour la création d'un parc relais du bus express, situé rue du Moulineau. Décisi...</t>
  </si>
  <si>
    <t>1704693957-74</t>
  </si>
  <si>
    <t>Bordeaux le lac. Projet de renouvellement urbain du quartier des Aubiers. Protocole foncier. Convention. Décision. Approbation</t>
  </si>
  <si>
    <t>1704693957-75</t>
  </si>
  <si>
    <t>Conventions d'occupation temporaire d'un parking en vue d'autoriser la réalisation d'une centrale photovoltaïque - Décision - Autorisation</t>
  </si>
  <si>
    <t>1704693960-76</t>
  </si>
  <si>
    <t>https://www.bordeaux.fr/ebx/pgCRCM.psml?_nfpb=true&amp;_pageLabel=pgCRCM&amp;classofcontent=CM&amp;id=18562</t>
  </si>
  <si>
    <t>M. Pierre HURMIC, Mme Claudine BICHET, M. Stéphane PFEIFFER, Mme Camille CHOPLIN, M. Didier JEANJEAN, Mme Delphine JAMET, M. Mathieu HAZOUARD, Mme Harmonie LECERF MEUNIER, M. Amine SMIHI, Mme Sylvie SCHMITT, M. Dimitri BOUTLEUX, Mme Nadia SAADI, M. Bernard G BLANC, Mme Céline PAPIN, M. Olivier CAZAUX, Mme Pascale BOUSQUET-PITT, M. Olivier ESCOTS, Mme Fannie LE BOULANGER, M. Vincent MAURIN, Mme Sylvie JUSTOME, M. Dominique BOUISSON, Mme Sandrine JACOTOT, M. Laurent GUILLEMIN, Mme Françoise FREMY, Mme Tiphaine ARDOUIN, M. Baptiste MAURIN, Mme Marie-Claude NOEL, M. Didier CUGY, Mme Véronique GARCIA, M. Patrick PAPADATO, Mme Pascale ROUX, Mme Isabelle ACCOCEBERRY, Mme Isabelle FAURE, M. Francis FEYTOUT, Mme Eve DEMANGE, M. Maxime GHESQUIERE, M. Matthieu MANGIN, M. Guillaume MARI, Mme Marie-Julie POULAT, M. Jean-Baptiste THONY, M. Marc ETCHEVERRY, Mme Léa ANDRE, Mme Béatrice SABOURET, M. Pierre De Gaétan NJIKAM MOULIOM, Mme Nathalie DELATTRE, M. Nicolas FLORIAN, Mme Alexandra SIARRI, Mme Anne FAHMY, Mme Géraldine AMOUROUX, M. Marik FETOUH, M. Aziz SKALLI, M. Thomas CAZENAVE, Mme Catherine FABRE, M. Fabien ROBERT, M. Guillaume CHABAN-DELMAS, M. Nicolas PEREIRA, M. Philippe POUTOU, Mme Myriam ECKERT, Monsieur Pierre HURMIC présent sauf de 18h36 à 18h41, Monsieur Baptiste MAURIN présent jusqu'à 16h05 , Madame Nathalie DELATTRE présente jusqu'à 17H20, Monsieur Amine SMIHI présent jusqu'à 17H50, Monsieur Laurent GUILLEMIN présent jusqu'à 18h00, Monsieur Marik FETOUH présent jusqu'à 18H43</t>
  </si>
  <si>
    <t>M. Bernard-Louis BLANC, Mme Brigitte BLOCH, Mme Servane CRUSSIERE, M. Radouane-Cyrille JABER, M. Stéphane GOMOT, Mme Charlee DA TOS, Mme Evelyne CERVANTES-DESCUBES,</t>
  </si>
  <si>
    <t>Rapport de transition écologique et sociale 2023 - Information</t>
  </si>
  <si>
    <t>1704693960-77</t>
  </si>
  <si>
    <t>Compte de Gestion de Madame l'Administratrice des Finances Publiques pour l'exercice 2022
Avis</t>
  </si>
  <si>
    <t>1704693960-78</t>
  </si>
  <si>
    <t>Compte Administratif du Maire pour l'exercice 2022. Approbation</t>
  </si>
  <si>
    <t>1704693960-79</t>
  </si>
  <si>
    <t>Présentation du bilan du schéma de promotion des achats socialement et écologiquement responsables (SPASER) pour les années 2021 et 2022 - Information</t>
  </si>
  <si>
    <t>1704693960-80</t>
  </si>
  <si>
    <t>Egalité entre les femmes et les hommes. Soutien au projet de la ' Nuit des relais ' de la Fondation des Femmes</t>
  </si>
  <si>
    <t>1704693960-81</t>
  </si>
  <si>
    <t>Forage Géothermique de Grand Parc : demandes de recherches d'un gîte géothermique et d'ouverture de travaux de forage présentées par Bordeaux Métropole dans le cadre du projet ' Grand Parc Energies '</t>
  </si>
  <si>
    <t>1704693960-82</t>
  </si>
  <si>
    <t>1704693960-83</t>
  </si>
  <si>
    <t>Economie sociale et Solidaire. Partenariat 2023 avec la Chambre régionale de l'économie sociale et solidaire (CRESS) de Nouvelle Aquitaine. Décision. Autorisation.</t>
  </si>
  <si>
    <t>1704693960-84</t>
  </si>
  <si>
    <t>Dispositif de financement participatif pour les projets ESS de Bordeaux. Partenariat avec l'association ADEFIP. Convention. Décision. Autorisation</t>
  </si>
  <si>
    <t>1704693960-85</t>
  </si>
  <si>
    <t>Aides pour l'aide exceptionnelle à l'expertise structure - Subventions de la Ville.
Autorisation.</t>
  </si>
  <si>
    <t>1704693960-86</t>
  </si>
  <si>
    <t>Coup de pouce- Aides pour l'amélioration du parc privé - Subventions de la Ville. Autorisation.</t>
  </si>
  <si>
    <t>1704693960-87</t>
  </si>
  <si>
    <t>Logements Locatifs Aidés. Opération neuve réalisée par la SA d'HLM CDC HABITAT SOCIAL. Programme de 67 logements rue Lajaunie, îlot C12 à Bordeaux. Demande de subvention. Autorisation.</t>
  </si>
  <si>
    <t>1704693960-88</t>
  </si>
  <si>
    <t>Logements Locatifs Aidés. Opération neuve réalisée la SA d'HLM CLAIRSIENNE. Programme de 52 logements 5 avenue des 40 journaux, îlot 2 à Bordeaux. Demande de subvention. Autorisation.</t>
  </si>
  <si>
    <t>1704693960-89</t>
  </si>
  <si>
    <t>Logements Locatifs Aidés - Opération neuve réalisée par la SA d'HLM IMMOBILIERE ATLANTIC AMENAGEMENT. Programme de 17 logements 85/87 quai de Brazza, îlot D2 à Bordeaux. Demande de subvention. Autorisation.</t>
  </si>
  <si>
    <t>1704693960-90</t>
  </si>
  <si>
    <t>Opération programmée d'amélioration de l'habitat de renouvellement urbain à volet réhabilitation des copropriétés fragiles ou dégradées  du centre historique de Bordeaux.
Subvention de la Ville aux propriétaires bailleurs et aux propriétaires oc...</t>
  </si>
  <si>
    <t>1704693960-91</t>
  </si>
  <si>
    <t>Programme d'intérêt général métropolitain ' Le réseau de la réhabilitation ' 2019 - 2024
Subvention de la Ville aux propriétaires bailleurs et aux propriétaires occupants.
Autorisation.</t>
  </si>
  <si>
    <t>1704693960-92</t>
  </si>
  <si>
    <t>1704693960-93</t>
  </si>
  <si>
    <t>Réserve Ecologique des Barails - Travaux de désimperméabilisation - Subvention d'aide à l'investissement - Décision - Autorisation</t>
  </si>
  <si>
    <t>1704693960-94</t>
  </si>
  <si>
    <t>Programmation appel à projets Résilience Alimentaire "Bordeaux, Recettes d'Avenir" 2023 
Subventions de projets. Autorisation. Décision. Signature.</t>
  </si>
  <si>
    <t>1704693960-95</t>
  </si>
  <si>
    <t>Forfait mobilités durables- Actualisation</t>
  </si>
  <si>
    <t>1704693964-96</t>
  </si>
  <si>
    <t>https://www.bordeaux.fr/ebx/pgCRCM.psml?_nfpb=true&amp;_pageLabel=pgCRCM&amp;classofcontent=CM&amp;id=18642</t>
  </si>
  <si>
    <t>M. Pierre HURMIC, Mme Claudine BICHET, M. Stéphane PFEIFFER, Mme Camille CHOPLIN, M. Didier JEANJEAN, Mme Delphine JAMET, M. Mathieu HAZOUARD, Mme Harmonie LECERF MEUNIER, Mme Sylvie SCHMITT, M. Dimitri BOUTLEUX, Mme Nadia SAADI, M. Bernard G BLANC, Mme Céline PAPIN, M. Olivier CAZAUX, Mme Pascale BOUSQUET-PITT, M. Olivier ESCOTS, Mme Fannie LE BOULANGER, M. Vincent MAURIN, Mme Sylvie JUSTOME, M. Dominique BOUISSON, Mme Sandrine JACOTOT, M. Laurent GUILLEMIN, Mme Françoise FREMY, M. Baptiste MAURIN, Mme Marie-Claude NOEL, M. Didier CUGY, Mme Véronique GARCIA, M. Patrick PAPADATO, Mme Pascale ROUX, Mme Brigitte BLOCH, Mme Isabelle ACCOCEBERRY, Mme Isabelle FAURE, M. Francis FEYTOUT, Mme Eve DEMANGE, M. Maxime GHESQUIERE, M. Matthieu MANGIN, M. Guillaume MARI, Mme Marie-Julie POULAT, M. Jean-Baptiste THONY, M. Radouane-Cyrille JABER, M. Stéphane GOMOT, M. Marc ETCHEVERRY, Mme Léa ANDRE, Mme Béatrice SABOURET, M. Nicolas FLORIAN, Mme Alexandra SIARRI, Mme Anne FAHMY, Mme Géraldine AMOUROUX, M. Marik FETOUH, M. Aziz SKALLI, M. Thomas CAZENAVE, Mme Catherine FABRE, M. Fabien ROBERT, M. Guillaume CHABAN-DELMAS, M. Nicolas PEREIRA, M. Philippe POUTOU, Mme Myriam ECKERT.
Madame Sylvie JUSTOME présente à partir de 14h45, Monsieur Laurent GUILLEMIN présent à partir de 15H45, Monsieur Aziz SKALLI présent à partir de 18H25. Monsieur Dominique BOUISSON présent jusqu'à 17H00, Madame Béatrice SABOURET présente jusqu'à 18H20, Monsieur Thomas CAZENAVE présent jusqu'à 19H50.</t>
  </si>
  <si>
    <t>M. Amine SMIHI, Mme Tiphaine ARDOUIN, M. Bernard-Louis BLANC, Mme Servane CRUSSIERE, Mme Charlee DA TOS, M. Pierre De Gaétan NJIKAM MOULIOM, Mme Nathalie DELATTRE, Mme Evelyne CERVANTES-DESCUBES</t>
  </si>
  <si>
    <t>BORDEAUX - Préemption à des fins communales de l'immeuble bâti situé 9 rue Faidherbe - Acquisition et portage par Bordeaux Métropole - Mise à disposition transitoire à la Commune et acquisition ultérieure - Décision</t>
  </si>
  <si>
    <t>1704693964-97</t>
  </si>
  <si>
    <t>Convention de partenariat entre le Conseil Départemental de la Gironde, la Ville de Bordeaux et son Centre Communal d'Action Sociale (CTEC). Adoption. Autorisation.</t>
  </si>
  <si>
    <t>1704693964-98</t>
  </si>
  <si>
    <t>Renforcement des capacités de coordination et de gestion de la Maison des livreurs à vélo de Bordeaux.</t>
  </si>
  <si>
    <t>1704693964-99</t>
  </si>
  <si>
    <t>Affectation des résultats constatés au compte administratif 2022. Approbation</t>
  </si>
  <si>
    <t>1704693964-100</t>
  </si>
  <si>
    <t>Exercice 2023 - Budget supplémentaire</t>
  </si>
  <si>
    <t>1704693964-101</t>
  </si>
  <si>
    <t>1704693964-102</t>
  </si>
  <si>
    <t>SEM CDC Habitat - Réaménagement d'un emprunt auprès de la Caisse des dépôts et consignations - Réitération de la garantie de la Ville à hauteur de 100%.</t>
  </si>
  <si>
    <t>1704693964-103</t>
  </si>
  <si>
    <t>Soutien 2023 de la Ville de Bordeaux à l'association IKOS, porteuse du futur village du réemploi de l'objet de seconde main à Bordeaux</t>
  </si>
  <si>
    <t>1704693964-104</t>
  </si>
  <si>
    <t>Arc-en-Rêve. Subvention de la ville de Bordeaux 2023. Décision. Autorisation</t>
  </si>
  <si>
    <t>1704693964-105</t>
  </si>
  <si>
    <t>Aides pour l'aide exceptionnelle à l'expertise structure - Subventions de la Ville - Autorisation.</t>
  </si>
  <si>
    <t>1704693964-106</t>
  </si>
  <si>
    <t>Ravalement obligatoire des façades des immeubles de Bordeaux - 5ème campagne 2019-2023 - Prolongation de délai.</t>
  </si>
  <si>
    <t>1704693964-107</t>
  </si>
  <si>
    <t>Aide à la création de structures de logements spécifiques. Résidence sociale de 12 logements réalisée par la Fondation du Protestantisme, située au 7 rue Camille Godard et 6 rue Gouffrand à Bordeaux. Demande de subvention. Autorisation.</t>
  </si>
  <si>
    <t>1704693964-108</t>
  </si>
  <si>
    <t>Aide à la création de structures de logements spécifiques. Requalification de résidences sociales de 38 logements réalisée par ADOMA, situées 13 rue des Fours, 8 rue Clare et 13 rue de la Porte de la Monnaie à Bordeaux. Demande de subvention. Aut...</t>
  </si>
  <si>
    <t>1704693964-109</t>
  </si>
  <si>
    <t>Coup de pouce - Aides pour l'amélioration du parc privé - Subventions de la Ville - Autorisation.</t>
  </si>
  <si>
    <t>1704693964-110</t>
  </si>
  <si>
    <t>Opération programmée d'amélioration de l'habitat de renouvellement urbain
à volet réhabilitation des copropriétés fragiles ou dégradées  du centre historique de Bordeaux.
Subvention de la Ville aux propriétaires bailleurs et aux propriétaires o...</t>
  </si>
  <si>
    <t>1704693964-111</t>
  </si>
  <si>
    <t>Subventions Enfance. Réajustement des budgets d'activités d'accueil éducatifs et de loisirs de l'année 2022. Autorisation. Décision</t>
  </si>
  <si>
    <t>1704693964-112</t>
  </si>
  <si>
    <t>Attribution d'aides en faveur de l'Enfance. Avenant aux conventions 2023. Adoption. Autorisation. Signature. Décision</t>
  </si>
  <si>
    <t>1704693964-113</t>
  </si>
  <si>
    <t>1704693964-114</t>
  </si>
  <si>
    <t>Convention annuelle 2023 avec l'Association La Halle des Douves. Autorisation. Signature</t>
  </si>
  <si>
    <t>1704693964-115</t>
  </si>
  <si>
    <t>Représentations au sein des associations et organismes divers. Adoption</t>
  </si>
  <si>
    <t>1704693968-116</t>
  </si>
  <si>
    <t>https://www.bordeaux.fr/ebx/pgCRCM.psml?_nfpb=true&amp;_pageLabel=pgCRCM&amp;classofcontent=CM&amp;id=18762</t>
  </si>
  <si>
    <t>M. Pierre HURMIC, Mme Claudine BICHET, M. Stéphane PFEIFFER, Mme Camille CHOPLIN, M. Didier JEANJEAN, Mme Delphine JAMET, M. Mathieu HAZOUARD, Mme Harmonie LECERF MEUNIER, Mme Sylvie SCHMITT, M. Dimitri BOUTLEUX, Mme Nadia SAADI, M. Bernard G BLANC, Mme Céline PAPIN, M. Olivier CAZAUX, Mme Pascale BOUSQUET-PITT, M. Olivier ESCOTS, Mme Fannie LE BOULANGER, M. Vincent MAURIN, Mme Sylvie JUSTOME, M. Dominique BOUISSON, Mme Sandrine JACOTOT, M. Laurent GUILLEMIN, Mme Françoise FREMY, Mme Tiphaine ARDOUIN, M. Baptiste MAURIN, Mme Marie-Claude NOEL, M. Didier CUGY, Mme Véronique GARCIA, M. Patrick PAPADATO, Mme Pascale ROUX, Mme Isabelle ACCOCEBERRY, Mme Isabelle FAURE, M. Francis FEYTOUT, M. Maxime GHESQUIERE, M. Matthieu MANGIN, M. Guillaume MARI, Mme Marie-Julie POULAT, M. Jean-Baptiste THONY, M. Radouane-Cyrille JABER, Mme Charlee DA TOS, M. Marc ETCHEVERRY, Mme Léa ANDRE, Mme Béatrice SABOURET, M. Pierre De Gaétan NJIKAM MOULIOM, M. Nicolas FLORIAN, Mme Alexandra SIARRI, Mme Anne FAHMY, Mme Géraldine AMOUROUX, M. Marik FETOUH, M. Aziz SKALLI, M. Thomas CAZENAVE, Mme Catherine FABRE, M. Fabien ROBERT, M. Guillaume CHABAN-DELMAS, M. Nicolas PEREIRA, M. Philippe POUTOU, Mme Myriam ECKERT.
Monsieur Guillaume MARI présent jusqu'à 16h10, Madame Marie-Julie POULAT présente à partir de 17h30, Monsieur Dimitri BOUTLEUX présent jusqu'à 18h30.</t>
  </si>
  <si>
    <t>M. Amine SMIHI, M. Bernard-Louis BLANC, Mme Brigitte BLOCH, Mme Servane CRUSSIERE, Mme Eve DEMANGE, M. Stéphane GOMOT, Mme Nathalie DELATTRE, Mme Evelyne CERVANTES-DESCUBES.</t>
  </si>
  <si>
    <t>Action de Solidarité avec le Maroc et la Libye - Aide exceptionnelle à la Croix-Rouge - Autorisation - Décision</t>
  </si>
  <si>
    <t>1704693968-117</t>
  </si>
  <si>
    <t>Partenariat entre la Ville de Bordeaux et l'Université Michel de Montaigne 2023-2026. Convention-cadre. Autorisation. Signature</t>
  </si>
  <si>
    <t>1704693968-118</t>
  </si>
  <si>
    <t>Bordeaux - Quartier du Stade - Avenue de la Jallère. Protocole partenarial. Approbation - Autorisation</t>
  </si>
  <si>
    <t>1704693968-119</t>
  </si>
  <si>
    <t>Egalité entre les femmes et les hommes. Soutien aux associations. Adoption. Autorisation.</t>
  </si>
  <si>
    <t>1704693968-120</t>
  </si>
  <si>
    <t>Subventions 2022 - Appel à projet actions sensibilisation innovantes - Décalage mise en œuvre projet Zero Waste - Avenant - Décision</t>
  </si>
  <si>
    <t>1704693968-121</t>
  </si>
  <si>
    <t>Fonds d'Aide aux Quartiers</t>
  </si>
  <si>
    <t>1704693968-122</t>
  </si>
  <si>
    <t>Mise en œuvre des objectifs de production de logements sociaux à l'échelle communale au travers du contrat de mixité sociale - approbation</t>
  </si>
  <si>
    <t>1704693968-123</t>
  </si>
  <si>
    <t>1704693968-124</t>
  </si>
  <si>
    <t>Programme d'intérêt général métropolitain ' Le réseau de la réhabilitation ' 2019 - 2024. Subvention de la Ville aux propriétaires bailleurs et aux propriétaires occupants.
Autorisation.</t>
  </si>
  <si>
    <t>1704693968-125</t>
  </si>
  <si>
    <t>Opération programmée d'amélioration de l'habitat de renouvellement urbain à volet réhabilitation des copropriétés fragiles ou dégradées du centre historique de Bordeaux.
Subvention de la Ville aux propriétaires occupants, bailleurs et copropriét...</t>
  </si>
  <si>
    <t>1704693968-126</t>
  </si>
  <si>
    <t>1704693968-127</t>
  </si>
  <si>
    <t>Logements locatifs aidés. Opération en acquisition amélioration réalisée par l'Office Public de l'Habitat GIRONDE HABITAT. Programme de 14 logements 13 rue Thiac à Bordeaux. Demande de subvention. Autorisation.</t>
  </si>
  <si>
    <t>1704693968-128</t>
  </si>
  <si>
    <t>Projet urbain SNC (Société en nom collectif) Bordeaux Lac. Avenant n°1 à la convention financière avec Bordeaux Métropole. Approbation. Autorisation.</t>
  </si>
  <si>
    <t>1704693968-129</t>
  </si>
  <si>
    <t>Demande de subvention de fonctionnement 2023 entre Bordeaux Technowest et la Ville de Bordeaux. Autorisation. Décision</t>
  </si>
  <si>
    <t>1704693968-130</t>
  </si>
  <si>
    <t>Convention triennale avec la Gemme (2023-2025), pour un soutien au déploiement de la monnaie locale girondine.</t>
  </si>
  <si>
    <t>1704693968-131</t>
  </si>
  <si>
    <t>1704693968-132</t>
  </si>
  <si>
    <t>Rapport social unique 2022</t>
  </si>
  <si>
    <t>1704693968-133</t>
  </si>
  <si>
    <t>Protection sociale complémentaire au bénéfice des agents de la Ville de Bordeaux - Complémentaire santé- Contrat collectif à adhésion à caractère facultatif avec convention de participation - Choix du prestataire APICIL/Alternative courtage et mo...</t>
  </si>
  <si>
    <t>1704693968-134</t>
  </si>
  <si>
    <t>Protection sociale complémentaire au bénéfice des agents de la Ville de Bordeaux - Prévoyance- Contrat collectif à adhésion à caractère obligatoire avec convention de participation - Choix du prestataire Collecteam / Allianz Vie et montants de la...</t>
  </si>
  <si>
    <t>1704693968-135</t>
  </si>
  <si>
    <t>Politique sociale de l'employeur Ville de Bordeaux Budget 2023</t>
  </si>
  <si>
    <t>1704693971-136</t>
  </si>
  <si>
    <t>https://www.bordeaux.fr/ebx/pgCRCM.psml?_nfpb=true&amp;_pageLabel=pgCRCM&amp;classofcontent=CM&amp;id=18842</t>
  </si>
  <si>
    <t>Monsieur Pierre HURMIC, Madame Claudine BICHET, Madame Camille CHOPLIN, Monsieur Didier JEANJEAN, Madame Delphine JAMET, Monsieur Mathieu HAZOUARD, Madame Harmonie LECERF MEUNIER, Madame Sylvie SCHMITT, Monsieur Dimitri BOUTLEUX, Madame Nadia SAADI, Monsieur Bernard G BLANC, Madame Céline PAPIN, Monsieur Olivier CAZAUX, Madame Pascale BOUSQUET-PITT, Monsieur Olivier ESCOTS, Madame Fannie LE BOULANGER, Monsieur Vincent MAURIN, Madame Sylvie JUSTOME, Monsieur Dominique BOUISSON, Madame Sandrine JACOTOT, Monsieur Laurent GUILLEMIN, Madame Françoise FREMY, Madame Tiphaine ARDOUIN, Monsieur Baptiste MAURIN, Madame Marie-Claude NOEL, Monsieur Didier CUGY, Madame Véronique GARCIA, Monsieur Patrick PAPADATO, Madame Pascale ROUX, Madame Brigitte BLOCH, Madame Isabelle ACCOCEBERRY, Madame Isabelle FAURE, Monsieur Francis FEYTOUT, Madame Eve DEMANGE, Monsieur Maxime GHESQUIERE, Monsieur Matthieu MANGIN, Monsieur Guillaume MARI, Madame Marie-Julie POULAT, Monsieur Jean-Baptiste THONY, Monsieur Radouane-Cyrille JABER, Madame Charlee DA TOS, Monsieur Marc ETCHEVERRY, Madame Léa ANDRE, Madame Béatrice SABOURET, Monsieur Pierre De Gaétan NJIKAM MOULIOM, Monsieur Nicolas FLORIAN, Madame Alexandra SIARRI, Madame Anne FAHMY, Madame Géraldine AMOUROUX, Monsieur Marik FETOUH, Monsieur Aziz SKALLI, Monsieur Thomas CAZENAVE, Madame Catherine FABRE, Monsieur Guillaume CHABAN-DELMAS, Monsieur Philippe POUTOU, Madame Myriam ECKERT, Monsieur Thomas CAZENAVE présent jusqu'à 17h44, Monsieur Patrick PAPADATO présent jusqu'à 18h58.</t>
  </si>
  <si>
    <t>Monsieur Stéphane PFEIFFER, Monsieur Amine SMIHI, Monsieur Bernard-Louis BLANC, Madame Servane CRUSSIERE, Monsieur Stéphane GOMOT, Madame Nathalie DELATTRE, Monsieur Fabien ROBERT, Monsieur Nicolas PEREIRA, Madame Evelyne CERVANTES-DESCUBES.</t>
  </si>
  <si>
    <t>Expérimentation Territoire Zéro Chômeur de Longue Durée Bordeaux Grand-Parc. Subventions d'associations. Autorisation.Décision.Signature</t>
  </si>
  <si>
    <t>1704693971-137</t>
  </si>
  <si>
    <t>Rapport sur les orientations budgétaires - Exercice 2024</t>
  </si>
  <si>
    <t>1704693971-138</t>
  </si>
  <si>
    <t>Exercice 2023 - décision modificative n°2</t>
  </si>
  <si>
    <t>1704693971-139</t>
  </si>
  <si>
    <t>Créances irrécouvrables. Admission en non valeur année 2023. Décision. Autorisation</t>
  </si>
  <si>
    <t>1704693971-140</t>
  </si>
  <si>
    <t>Modification de la charte éthique de la ville de Bordeaux en matière de mécénat</t>
  </si>
  <si>
    <t>1704693971-141</t>
  </si>
  <si>
    <t>Maison de la Nature et de l'Environnement. Subvention de la ville de Bordeaux 2023. Décision. Autorisation</t>
  </si>
  <si>
    <t>1704693971-142</t>
  </si>
  <si>
    <t>Egalité femmes - hommes. Soutien aux initiatives associatives en faveur des droits des femmes. Adoption. Autorisation.</t>
  </si>
  <si>
    <t>1704693971-143</t>
  </si>
  <si>
    <t>1704693971-144</t>
  </si>
  <si>
    <t>Economie sociale et solidaire (ESS) - dispositif de financement participatif Financez demain - Abondements 2023 de la Ville de Bordeaux en faveur des projets ESS retenus et financés par les citoyens - Décision - Autorisation</t>
  </si>
  <si>
    <t>1704693971-145</t>
  </si>
  <si>
    <t>Bordeaux - Projet de renouvellement urbain du Grand Parc - Convention de partenariat pour le financement des missions d'études et d'ingénierie - Décision - Convention - Autorisation</t>
  </si>
  <si>
    <t>1704693971-146</t>
  </si>
  <si>
    <t>Soliha Terres-Océan - Demande de subvention de fonctionnement 2023 - Autorisation.</t>
  </si>
  <si>
    <t>1704693971-147</t>
  </si>
  <si>
    <t>Opération programmée d'amélioration de l'habitat de renouvellement urbain à volet réhabilitation des copropriétés fragiles ou dégradées du centre historique de Bordeaux.Subvention de la Ville aux propriétaires occupants, bailleurs et copropriétés...</t>
  </si>
  <si>
    <t>1704693971-148</t>
  </si>
  <si>
    <t>Programme d'intérêt général métropolitain ' Le réseau de la réhabilitation ' 2019 - 2024.
Subvention de la Ville aux propriétaires bailleurs et aux propriétaires occupants.
Autorisation.</t>
  </si>
  <si>
    <t>1704693971-149</t>
  </si>
  <si>
    <t>Coup de Pouce - Aides pour l'amélioration du parc privé.Subventions de la Ville.
Autorisation.</t>
  </si>
  <si>
    <t>1704693971-150</t>
  </si>
  <si>
    <t>Subvention exceptionnelle complémentaire à l'Association Local Attitude. Autorisation. Décision. Signature.</t>
  </si>
  <si>
    <t>1704693971-151</t>
  </si>
  <si>
    <t>Condition animale et respect du vivant. Soutien aux initiatives en faveur du bien-être animal Subvention Jane Goodall Institute et Animal Protect</t>
  </si>
  <si>
    <t>1704693971-152</t>
  </si>
  <si>
    <t>Identification et stérilisation de chats errants sur le territoire de la ville de Bordeaux - Convention avec la Fondation d'entreprise Clara du groupe SACPA - Décision - Autorisation</t>
  </si>
  <si>
    <t>1704693971-153</t>
  </si>
  <si>
    <t>Stratégie de la relation usagers à la Ville de Bordeaux</t>
  </si>
  <si>
    <t>1704693971-154</t>
  </si>
  <si>
    <t>Dispositif de marbrerie solidaire</t>
  </si>
  <si>
    <t>1704693971-155</t>
  </si>
  <si>
    <t>Syndicat Intercommunal à Vocation Unique (SIVU) Bordeaux-Mérignac : modification des statuts du syndicat</t>
  </si>
  <si>
    <t>1704693975-156</t>
  </si>
  <si>
    <t>https://www.bordeaux.fr/ebx/pgCRCM.psml?_nfpb=true&amp;_pageLabel=pgCRCM&amp;classofcontent=CM&amp;id=18942</t>
  </si>
  <si>
    <t>Monsieur Pierre HURMIC, Madame Claudine BICHET, Monsieur Stéphane PFEIFFER, Madame Camille CHOPLIN, Monsieur Didier JEANJEAN, Madame Delphine JAMET, Monsieur Mathieu HAZOUARD, Madame Harmonie LECERF MEUNIER, Madame Sylvie SCHMITT, Monsieur Dimitri BOUTLEUX, Madame Nadia SAADI, Monsieur Bernard G BLANC, Madame Céline PAPIN, Monsieur Olivier CAZAUX, Madame Pascale BOUSQUET-PITT, Monsieur Olivier ESCOTS, Madame Fannie LE BOULANGER, Monsieur Vincent MAURIN, Madame Sylvie JUSTOME, Monsieur Dominique BOUISSON, Madame Sandrine JACOTOT, Monsieur Laurent GUILLEMIN, Madame Françoise FREMY, Madame Tiphaine ARDOUIN, Monsieur Baptiste MAURIN, Madame Marie-Claude NOEL, Monsieur Didier CUGY, Madame Véronique GARCIA, Madame Pascale ROUX, Madame Isabelle ACCOCEBERRY, Madame Isabelle FAURE, Monsieur Francis FEYTOUT, Madame Eve DEMANGE, Monsieur Maxime GHESQUIERE, Monsieur Matthieu MANGIN, Monsieur Guillaume MARI, Madame Marie-Julie POULAT, Monsieur Jean-Baptiste THONY, Monsieur Radouane-Cyrille JABER, Monsieur Marc ETCHEVERRY, Madame Léa ANDRE, Madame Béatrice SABOURET, Monsieur Nicolas FLORIAN, Madame Alexandra SIARRI, Madame Anne FAHMY, Madame Géraldine AMOUROUX, Monsieur Marik FETOUH, Monsieur Aziz SKALLI, Madame Catherine FABRE, Monsieur Fabien ROBERT, Monsieur Guillaume CHABAN-DELMAS, Monsieur Nicolas PEREIRA, Monsieur Philippe POUTOU, Madame Myriam ECKERT
Madame Céline PAPIN présente sauf de 14h26 à 15h05
Monsieur Maxime GHESQUIERE présent à partir de 16h00, Madame Léa ANDRE présente jusqu'à18h15, Monsieur Stéphane PFEIFFER présent jusqu'à 18h40.</t>
  </si>
  <si>
    <t>Monsieur Bernard-Louis BLANC, Monsieur Patrick PAPADATO, Madame Brigitte BLOCH, Madame Servane CRUSSIERE, Monsieur Stéphane GOMOT, Madame Charlee DA TOS, Maxime ROSSELIN, Monsieur Pierre De Gaétan NJIKAM MOULIOM, Madame Nathalie DELATTRE, Monsieur Thomas CAZENAVE, Madame Evelyne CERVANTES-DESCUBES</t>
  </si>
  <si>
    <t>Présentation du rapport 2023 sur la situation en matière d'égalité entre les femmes et les hommes. Information.</t>
  </si>
  <si>
    <t>1704693975-157</t>
  </si>
  <si>
    <t>Analyse économique et financière de l'exercice 2022 de la caisse de crédit municipal de la ville de Bordeaux. Information</t>
  </si>
  <si>
    <t>1704693975-158</t>
  </si>
  <si>
    <t>Budget primitif 2024. Adoption.</t>
  </si>
  <si>
    <t>1704693975-159</t>
  </si>
  <si>
    <t>Approbation du rapport de la CLECT du 10 novembre 2023</t>
  </si>
  <si>
    <t>1704693975-160</t>
  </si>
  <si>
    <t>Contrats de co-développement de 5ème génération - 2021-2023 - Avenant n°2</t>
  </si>
  <si>
    <t>1704693975-161</t>
  </si>
  <si>
    <t>Contrat d'engagement. Convention de création de services communs Ville de Bordeaux avec Bordeaux Métropole. Mutualisation. Révisions du niveau de service 2023. Remboursements de frais liés à la mutualisation. Décision. Autorisation</t>
  </si>
  <si>
    <t>1704693975-162</t>
  </si>
  <si>
    <t>1704693975-163</t>
  </si>
  <si>
    <t>ZAC Bastide Niel - Modification du programme des équipements publics. Décision - Autorisation</t>
  </si>
  <si>
    <t>1704693975-164</t>
  </si>
  <si>
    <t>Aides pour l'aide exceptionnelle à l'expertise structure. Subventions de la Ville. Autorisation.</t>
  </si>
  <si>
    <t>1704693975-165</t>
  </si>
  <si>
    <t>1704693975-166</t>
  </si>
  <si>
    <t>1704693975-167</t>
  </si>
  <si>
    <t>SEML Bordeaux Métropole Aménagement (BMA) - Rapport des administrateurs sur
les sociétés d'économie mixte au titre de l'article L.1524-5 du Code général des
collectivités territoriales - Rapport 2023 - Exercice 2022 - Information au Conseil</t>
  </si>
  <si>
    <t>1704693975-168</t>
  </si>
  <si>
    <t>Convention quinquennale de prêt de matériel de sécurité routière par la Préfecture de la Gironde auprès de la Mairie de Bordeaux</t>
  </si>
  <si>
    <t>1704693975-169</t>
  </si>
  <si>
    <t>Signature de la convention 2024-2026 avec l'ANTAI (Agence Nationale de Traitement Automatisé des Infractions)</t>
  </si>
  <si>
    <t>1704693975-170</t>
  </si>
  <si>
    <t>Stationnement Payant - Rapport annuel Recours Administratifs Préalables Obligatoires (RAPO) - 2022. Information.</t>
  </si>
  <si>
    <t>1704693975-171</t>
  </si>
  <si>
    <t>Subventions exceptionnelles épiceries solidaires. Autorisation. Décision. Signature</t>
  </si>
  <si>
    <t>1704693975-172</t>
  </si>
  <si>
    <t>Adhésion de la ville de Bordeaux à l'AFAUP. Autorisation. Décision. Signature</t>
  </si>
  <si>
    <t>1704693975-173</t>
  </si>
  <si>
    <t>Transfert de compétence enseignement supérieure et recherche. Transfert du soutien à l'Ecole supérieure des Beaux-Arts de Bordeaux ainsi que des biens immobiliers et mobiliers mis à disposition de l'Ecole supérieure des Beaux-Arts de Bordeaux au ...</t>
  </si>
  <si>
    <t>1704693975-174</t>
  </si>
  <si>
    <t>Bordeaux. Transfert compétence tourisme. Transfert de propriété à titre gratuit dans le cadre de la loi Maptam de la ville de Bordeaux à Bordeaux Métropole. Equipements relatifs au tourisme d'affaires. Régularisation secteur parc des Expositions....</t>
  </si>
  <si>
    <t>1704693975-175</t>
  </si>
  <si>
    <t>Convention relative à l'organisation d'une agence postale communale. Autorisation. Décision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</si>
</sst>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m yyyy"/>
    <numFmt numFmtId="165" formatCode="m yyyy"/>
    <numFmt numFmtId="166" formatCode="mmmm yyyy"/>
    <numFmt numFmtId="167" formatCode="yyyy-mm-dd"/>
    <numFmt numFmtId="168" formatCode="d/m/yyyy"/>
    <numFmt numFmtId="169" formatCode="dd/mm/yyyy"/>
  </numFmts>
  <fonts count="17">
    <font>
      <sz val="10.0"/>
      <color rgb="FF000000"/>
      <name val="Arial"/>
      <scheme val="minor"/>
    </font>
    <font>
      <color theme="1"/>
      <name val="Arial"/>
      <scheme val="minor"/>
    </font>
    <font>
      <b/>
      <sz val="18.0"/>
      <color theme="1"/>
      <name val="Arial"/>
      <scheme val="minor"/>
    </font>
    <font>
      <color rgb="FFFFFFFF"/>
      <name val="Inherit"/>
    </font>
    <font>
      <color rgb="FF525457"/>
      <name val="Inherit"/>
    </font>
    <font>
      <b/>
      <color rgb="FF525457"/>
      <name val="Inherit"/>
    </font>
    <font>
      <u/>
      <color rgb="FF0000FF"/>
    </font>
    <font>
      <b/>
      <color theme="1"/>
      <name val="Arial"/>
      <scheme val="minor"/>
    </font>
    <font>
      <b/>
      <sz val="11.0"/>
      <color rgb="FF202122"/>
      <name val="Arial"/>
    </font>
    <font>
      <b/>
      <sz val="11.0"/>
      <color rgb="FF202122"/>
      <name val="Sans-serif"/>
    </font>
    <font>
      <sz val="11.0"/>
      <color rgb="FF202122"/>
      <name val="Sans-serif"/>
    </font>
    <font>
      <sz val="11.0"/>
      <color rgb="FF3366CC"/>
      <name val="Sans-serif"/>
    </font>
    <font>
      <b/>
      <color rgb="FF202122"/>
      <name val="Sans-serif"/>
    </font>
    <font>
      <b/>
      <color rgb="FF7F6000"/>
      <name val="Arial"/>
      <scheme val="minor"/>
    </font>
    <font>
      <sz val="9.0"/>
      <color rgb="FF000000"/>
      <name val="&quot;Google Sans Mono&quot;"/>
    </font>
    <font>
      <u/>
      <color rgb="FF0000FF"/>
    </font>
    <font>
      <u/>
      <color rgb="FF0000FF"/>
    </font>
  </fonts>
  <fills count="9">
    <fill>
      <patternFill patternType="none"/>
    </fill>
    <fill>
      <patternFill patternType="lightGray"/>
    </fill>
    <fill>
      <patternFill patternType="solid">
        <fgColor rgb="FF757575"/>
        <bgColor rgb="FF757575"/>
      </patternFill>
    </fill>
    <fill>
      <patternFill patternType="solid">
        <fgColor rgb="FFF1F1F1"/>
        <bgColor rgb="FFF1F1F1"/>
      </patternFill>
    </fill>
    <fill>
      <patternFill patternType="solid">
        <fgColor rgb="FFFFFFFF"/>
        <bgColor rgb="FFFFFFFF"/>
      </patternFill>
    </fill>
    <fill>
      <patternFill patternType="solid">
        <fgColor rgb="FFEFEFEF"/>
        <bgColor rgb="FFEFEFEF"/>
      </patternFill>
    </fill>
    <fill>
      <patternFill patternType="solid">
        <fgColor rgb="FFEAECF0"/>
        <bgColor rgb="FFEAECF0"/>
      </patternFill>
    </fill>
    <fill>
      <patternFill patternType="solid">
        <fgColor rgb="FFF8F9FA"/>
        <bgColor rgb="FFF8F9FA"/>
      </patternFill>
    </fill>
    <fill>
      <patternFill patternType="solid">
        <fgColor rgb="FFFF0000"/>
        <bgColor rgb="FFFF0000"/>
      </patternFill>
    </fill>
  </fills>
  <borders count="6">
    <border/>
    <border>
      <right style="thin">
        <color rgb="FFE0E0E0"/>
      </right>
      <bottom style="thin">
        <color rgb="FFE0E0E0"/>
      </bottom>
    </border>
    <border>
      <bottom style="thin">
        <color rgb="FFE0E0E0"/>
      </bottom>
    </border>
    <border>
      <right style="thin">
        <color rgb="FFE0E0E0"/>
      </right>
    </border>
    <border>
      <left style="thin">
        <color rgb="FF000000"/>
      </left>
      <right style="thin">
        <color rgb="FF000000"/>
      </right>
      <top style="thin">
        <color rgb="FF000000"/>
      </top>
      <bottom style="thin">
        <color rgb="FF000000"/>
      </bottom>
    </border>
    <border>
      <left style="thin">
        <color rgb="FFA2A9B1"/>
      </left>
      <right style="thin">
        <color rgb="FFA2A9B1"/>
      </right>
      <top style="thin">
        <color rgb="FFA2A9B1"/>
      </top>
      <bottom style="thin">
        <color rgb="FFA2A9B1"/>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shrinkToFit="0" wrapText="0"/>
    </xf>
    <xf borderId="0" fillId="0" fontId="1" numFmtId="0" xfId="0" applyFont="1"/>
    <xf borderId="0" fillId="0" fontId="1" numFmtId="0" xfId="0" applyAlignment="1" applyFont="1">
      <alignment shrinkToFit="0" wrapText="1"/>
    </xf>
    <xf borderId="0" fillId="0" fontId="2" numFmtId="0" xfId="0" applyAlignment="1" applyFont="1">
      <alignment horizontal="center" readingOrder="0"/>
    </xf>
    <xf borderId="0" fillId="0" fontId="2" numFmtId="0" xfId="0" applyAlignment="1" applyFont="1">
      <alignment readingOrder="0"/>
    </xf>
    <xf borderId="0" fillId="0" fontId="2" numFmtId="0" xfId="0" applyFont="1"/>
    <xf borderId="0" fillId="0" fontId="1" numFmtId="164" xfId="0" applyFont="1" applyNumberFormat="1"/>
    <xf borderId="0" fillId="0" fontId="2" numFmtId="164" xfId="0" applyAlignment="1" applyFont="1" applyNumberFormat="1">
      <alignment readingOrder="0"/>
    </xf>
    <xf borderId="0" fillId="0" fontId="2" numFmtId="165" xfId="0" applyAlignment="1" applyFont="1" applyNumberFormat="1">
      <alignment readingOrder="0"/>
    </xf>
    <xf borderId="0" fillId="0" fontId="1" numFmtId="0" xfId="0" applyAlignment="1" applyFont="1">
      <alignment readingOrder="0"/>
    </xf>
    <xf borderId="1" fillId="2" fontId="3" numFmtId="0" xfId="0" applyAlignment="1" applyBorder="1" applyFill="1" applyFont="1">
      <alignment horizontal="center" readingOrder="0" shrinkToFit="0" wrapText="0"/>
    </xf>
    <xf borderId="1" fillId="3" fontId="4" numFmtId="0" xfId="0" applyAlignment="1" applyBorder="1" applyFill="1" applyFont="1">
      <alignment horizontal="left" readingOrder="0" shrinkToFit="0" wrapText="0"/>
    </xf>
    <xf borderId="1" fillId="3" fontId="4" numFmtId="0" xfId="0" applyAlignment="1" applyBorder="1" applyFont="1">
      <alignment horizontal="right" readingOrder="0" shrinkToFit="0" wrapText="0"/>
    </xf>
    <xf borderId="2" fillId="3" fontId="4" numFmtId="0" xfId="0" applyAlignment="1" applyBorder="1" applyFont="1">
      <alignment horizontal="right" readingOrder="0" shrinkToFit="0" wrapText="0"/>
    </xf>
    <xf borderId="1" fillId="4" fontId="4" numFmtId="0" xfId="0" applyAlignment="1" applyBorder="1" applyFill="1" applyFont="1">
      <alignment horizontal="left" readingOrder="0" shrinkToFit="0" wrapText="0"/>
    </xf>
    <xf borderId="1" fillId="4" fontId="4" numFmtId="0" xfId="0" applyAlignment="1" applyBorder="1" applyFont="1">
      <alignment horizontal="right" readingOrder="0" shrinkToFit="0" wrapText="0"/>
    </xf>
    <xf borderId="2" fillId="4" fontId="4" numFmtId="0" xfId="0" applyAlignment="1" applyBorder="1" applyFont="1">
      <alignment horizontal="right" readingOrder="0" shrinkToFit="0" wrapText="0"/>
    </xf>
    <xf borderId="3" fillId="3" fontId="5" numFmtId="0" xfId="0" applyAlignment="1" applyBorder="1" applyFont="1">
      <alignment horizontal="left" readingOrder="0" shrinkToFit="0" wrapText="0"/>
    </xf>
    <xf borderId="3" fillId="3" fontId="5" numFmtId="0" xfId="0" applyAlignment="1" applyBorder="1" applyFont="1">
      <alignment horizontal="right" readingOrder="0" shrinkToFit="0" wrapText="0"/>
    </xf>
    <xf borderId="0" fillId="3" fontId="5" numFmtId="0" xfId="0" applyAlignment="1" applyFont="1">
      <alignment horizontal="right" readingOrder="0" shrinkToFit="0" wrapText="0"/>
    </xf>
    <xf borderId="0" fillId="0" fontId="6" numFmtId="0" xfId="0" applyFont="1"/>
    <xf borderId="0" fillId="0" fontId="1" numFmtId="0" xfId="0" applyAlignment="1" applyFont="1">
      <alignment readingOrder="0" shrinkToFit="0" wrapText="1"/>
    </xf>
    <xf borderId="4" fillId="5" fontId="7" numFmtId="0" xfId="0" applyBorder="1" applyFill="1" applyFont="1"/>
    <xf borderId="4" fillId="5" fontId="7" numFmtId="0" xfId="0" applyAlignment="1" applyBorder="1" applyFont="1">
      <alignment horizontal="center"/>
    </xf>
    <xf borderId="4" fillId="0" fontId="1" numFmtId="0" xfId="0" applyBorder="1" applyFont="1"/>
    <xf borderId="5" fillId="6" fontId="8" numFmtId="0" xfId="0" applyAlignment="1" applyBorder="1" applyFill="1" applyFont="1">
      <alignment horizontal="center" readingOrder="0"/>
    </xf>
    <xf borderId="5" fillId="6" fontId="9" numFmtId="0" xfId="0" applyAlignment="1" applyBorder="1" applyFont="1">
      <alignment horizontal="center" readingOrder="0"/>
    </xf>
    <xf borderId="5" fillId="7" fontId="10" numFmtId="0" xfId="0" applyAlignment="1" applyBorder="1" applyFill="1" applyFont="1">
      <alignment readingOrder="0"/>
    </xf>
    <xf borderId="5" fillId="0" fontId="11" numFmtId="0" xfId="0" applyAlignment="1" applyBorder="1" applyFont="1">
      <alignment readingOrder="0" shrinkToFit="0" wrapText="1"/>
    </xf>
    <xf borderId="0" fillId="7" fontId="12" numFmtId="0" xfId="0" applyAlignment="1" applyFont="1">
      <alignment readingOrder="0"/>
    </xf>
    <xf borderId="0" fillId="0" fontId="13" numFmtId="0" xfId="0" applyAlignment="1" applyFont="1">
      <alignment horizontal="center"/>
    </xf>
    <xf borderId="0" fillId="0" fontId="1" numFmtId="166" xfId="0" applyFont="1" applyNumberFormat="1"/>
    <xf borderId="0" fillId="8" fontId="1" numFmtId="0" xfId="0" applyFill="1" applyFont="1"/>
    <xf borderId="0" fillId="0" fontId="14" numFmtId="0" xfId="0" applyFont="1"/>
    <xf borderId="0" fillId="0" fontId="1" numFmtId="167" xfId="0" applyFont="1" applyNumberFormat="1"/>
    <xf borderId="0" fillId="0" fontId="1" numFmtId="10" xfId="0" applyFont="1" applyNumberFormat="1"/>
    <xf borderId="0" fillId="0" fontId="1" numFmtId="0" xfId="0" applyAlignment="1" applyFont="1">
      <alignment readingOrder="0" shrinkToFit="0" wrapText="0"/>
    </xf>
    <xf borderId="0" fillId="0" fontId="15" numFmtId="0" xfId="0" applyAlignment="1" applyFont="1">
      <alignment readingOrder="0" shrinkToFit="0" wrapText="0"/>
    </xf>
    <xf borderId="0" fillId="0" fontId="1" numFmtId="168" xfId="0" applyAlignment="1" applyFont="1" applyNumberFormat="1">
      <alignment readingOrder="0" shrinkToFit="0" wrapText="1"/>
    </xf>
    <xf borderId="0" fillId="0" fontId="1" numFmtId="169" xfId="0" applyAlignment="1" applyFont="1" applyNumberFormat="1">
      <alignment readingOrder="0" shrinkToFit="0" wrapText="1"/>
    </xf>
    <xf borderId="0" fillId="0" fontId="1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dPt>
          <c:dPt>
            <c:idx val="1"/>
          </c:dPt>
          <c:dPt>
            <c:idx val="2"/>
          </c:dPt>
          <c:dPt>
            <c:idx val="3"/>
          </c:dPt>
          <c:dPt>
            <c:idx val="4"/>
          </c:dPt>
          <c:dPt>
            <c:idx val="5"/>
          </c:dPt>
          <c:dPt>
            <c:idx val="6"/>
          </c:dPt>
          <c:dPt>
            <c:idx val="7"/>
          </c:dPt>
          <c:dLbls>
            <c:showLegendKey val="0"/>
            <c:showVal val="0"/>
            <c:showCatName val="0"/>
            <c:showSerName val="0"/>
            <c:showPercent val="0"/>
            <c:showBubbleSize val="0"/>
            <c:showLeaderLines val="1"/>
          </c:dLbls>
          <c:cat>
            <c:strRef>
              <c:f>Alexandre!$A$1:$A$8</c:f>
            </c:strRef>
          </c:cat>
          <c:val>
            <c:numRef>
              <c:f>Alexandre!$C$1:$C$8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drawings/_rels/drawing3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57150</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louvre.fr" TargetMode="External"/><Relationship Id="rId2" Type="http://schemas.openxmlformats.org/officeDocument/2006/relationships/hyperlink" Target="http://madparis.fr/musee-des-arts-decoratifs" TargetMode="External"/><Relationship Id="rId3" Type="http://schemas.openxmlformats.org/officeDocument/2006/relationships/hyperlink" Target="http://musee-en-herbe.com" TargetMode="External"/><Relationship Id="rId4" Type="http://schemas.openxmlformats.org/officeDocument/2006/relationships/hyperlink" Target="http://jeudepaume.org" TargetMode="External"/><Relationship Id="rId5" Type="http://schemas.openxmlformats.org/officeDocument/2006/relationships/hyperlink" Target="http://musee-orangerie.fr" TargetMode="External"/><Relationship Id="rId6" Type="http://schemas.openxmlformats.org/officeDocument/2006/relationships/hyperlink" Target="http://forumdesimages.fr" TargetMode="External"/><Relationship Id="rId7" Type="http://schemas.openxmlformats.org/officeDocument/2006/relationships/hyperlink" Target="https://museedelillusion.fr/" TargetMode="External"/><Relationship Id="rId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log.in"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40" Type="http://schemas.openxmlformats.org/officeDocument/2006/relationships/hyperlink" Target="https://www.bordeaux.fr/ebx/pgCRCM.psml?_nfpb=true&amp;_pageLabel=pgCRCM&amp;classofcontent=CM&amp;id=18322" TargetMode="External"/><Relationship Id="rId190" Type="http://schemas.openxmlformats.org/officeDocument/2006/relationships/hyperlink" Target="https://www.bordeaux.fr/ebx/pgCRCM.psml?_nfpb=true&amp;_pageLabel=pgCRCM&amp;classofcontent=CM&amp;id=18642" TargetMode="External"/><Relationship Id="rId42" Type="http://schemas.openxmlformats.org/officeDocument/2006/relationships/hyperlink" Target="https://www.bordeaux.fr/ebx/pgCRCM.psml?_nfpb=true&amp;_pageLabel=pgCRCM&amp;classofcontent=CM&amp;id=18322" TargetMode="External"/><Relationship Id="rId41" Type="http://schemas.openxmlformats.org/officeDocument/2006/relationships/hyperlink" Target="https://www.bordeaux.fr/p494/les-seances-du-conseil-municipal" TargetMode="External"/><Relationship Id="rId44" Type="http://schemas.openxmlformats.org/officeDocument/2006/relationships/hyperlink" Target="https://www.bordeaux.fr/ebx/pgCRCM.psml?_nfpb=true&amp;_pageLabel=pgCRCM&amp;classofcontent=CM&amp;id=18322" TargetMode="External"/><Relationship Id="rId194" Type="http://schemas.openxmlformats.org/officeDocument/2006/relationships/hyperlink" Target="https://www.bordeaux.fr/ebx/pgCRCM.psml?_nfpb=true&amp;_pageLabel=pgCRCM&amp;classofcontent=CM&amp;id=18642" TargetMode="External"/><Relationship Id="rId43" Type="http://schemas.openxmlformats.org/officeDocument/2006/relationships/hyperlink" Target="https://www.bordeaux.fr/p494/les-seances-du-conseil-municipal" TargetMode="External"/><Relationship Id="rId193" Type="http://schemas.openxmlformats.org/officeDocument/2006/relationships/hyperlink" Target="https://www.bordeaux.fr/p494/les-seances-du-conseil-municipal" TargetMode="External"/><Relationship Id="rId46" Type="http://schemas.openxmlformats.org/officeDocument/2006/relationships/hyperlink" Target="https://www.bordeaux.fr/ebx/pgCRCM.psml?_nfpb=true&amp;_pageLabel=pgCRCM&amp;classofcontent=CM&amp;id=18322" TargetMode="External"/><Relationship Id="rId192" Type="http://schemas.openxmlformats.org/officeDocument/2006/relationships/hyperlink" Target="https://www.bordeaux.fr/ebx/pgCRCM.psml?_nfpb=true&amp;_pageLabel=pgCRCM&amp;classofcontent=CM&amp;id=18642" TargetMode="External"/><Relationship Id="rId45" Type="http://schemas.openxmlformats.org/officeDocument/2006/relationships/hyperlink" Target="https://www.bordeaux.fr/p494/les-seances-du-conseil-municipal" TargetMode="External"/><Relationship Id="rId191" Type="http://schemas.openxmlformats.org/officeDocument/2006/relationships/hyperlink" Target="https://www.bordeaux.fr/p494/les-seances-du-conseil-municipal" TargetMode="External"/><Relationship Id="rId48" Type="http://schemas.openxmlformats.org/officeDocument/2006/relationships/hyperlink" Target="https://www.bordeaux.fr/ebx/pgCRCM.psml?_nfpb=true&amp;_pageLabel=pgCRCM&amp;classofcontent=CM&amp;id=18322" TargetMode="External"/><Relationship Id="rId187" Type="http://schemas.openxmlformats.org/officeDocument/2006/relationships/hyperlink" Target="https://www.bordeaux.fr/p494/les-seances-du-conseil-municipal" TargetMode="External"/><Relationship Id="rId47" Type="http://schemas.openxmlformats.org/officeDocument/2006/relationships/hyperlink" Target="https://www.bordeaux.fr/p494/les-seances-du-conseil-municipal" TargetMode="External"/><Relationship Id="rId186" Type="http://schemas.openxmlformats.org/officeDocument/2006/relationships/hyperlink" Target="https://www.bordeaux.fr/ebx/pgCRCM.psml?_nfpb=true&amp;_pageLabel=pgCRCM&amp;classofcontent=CM&amp;id=18642" TargetMode="External"/><Relationship Id="rId185" Type="http://schemas.openxmlformats.org/officeDocument/2006/relationships/hyperlink" Target="https://www.bordeaux.fr/p494/les-seances-du-conseil-municipal" TargetMode="External"/><Relationship Id="rId49" Type="http://schemas.openxmlformats.org/officeDocument/2006/relationships/hyperlink" Target="https://www.bordeaux.fr/p494/les-seances-du-conseil-municipal" TargetMode="External"/><Relationship Id="rId184" Type="http://schemas.openxmlformats.org/officeDocument/2006/relationships/hyperlink" Target="https://www.bordeaux.fr/ebx/pgCRCM.psml?_nfpb=true&amp;_pageLabel=pgCRCM&amp;classofcontent=CM&amp;id=18642" TargetMode="External"/><Relationship Id="rId189" Type="http://schemas.openxmlformats.org/officeDocument/2006/relationships/hyperlink" Target="https://www.bordeaux.fr/p494/les-seances-du-conseil-municipal" TargetMode="External"/><Relationship Id="rId188" Type="http://schemas.openxmlformats.org/officeDocument/2006/relationships/hyperlink" Target="https://www.bordeaux.fr/ebx/pgCRCM.psml?_nfpb=true&amp;_pageLabel=pgCRCM&amp;classofcontent=CM&amp;id=18642" TargetMode="External"/><Relationship Id="rId31" Type="http://schemas.openxmlformats.org/officeDocument/2006/relationships/hyperlink" Target="https://www.bordeaux.fr/p494/les-seances-du-conseil-municipal" TargetMode="External"/><Relationship Id="rId30" Type="http://schemas.openxmlformats.org/officeDocument/2006/relationships/hyperlink" Target="https://www.bordeaux.fr/ebx/pgCRCM.psml?_nfpb=true&amp;_pageLabel=pgCRCM&amp;classofcontent=CM&amp;id=18322" TargetMode="External"/><Relationship Id="rId33" Type="http://schemas.openxmlformats.org/officeDocument/2006/relationships/hyperlink" Target="https://www.bordeaux.fr/p494/les-seances-du-conseil-municipal" TargetMode="External"/><Relationship Id="rId183" Type="http://schemas.openxmlformats.org/officeDocument/2006/relationships/hyperlink" Target="https://www.bordeaux.fr/p494/les-seances-du-conseil-municipal" TargetMode="External"/><Relationship Id="rId32" Type="http://schemas.openxmlformats.org/officeDocument/2006/relationships/hyperlink" Target="https://www.bordeaux.fr/ebx/pgCRCM.psml?_nfpb=true&amp;_pageLabel=pgCRCM&amp;classofcontent=CM&amp;id=18322" TargetMode="External"/><Relationship Id="rId182" Type="http://schemas.openxmlformats.org/officeDocument/2006/relationships/hyperlink" Target="https://www.bordeaux.fr/ebx/pgCRCM.psml?_nfpb=true&amp;_pageLabel=pgCRCM&amp;classofcontent=CM&amp;id=18562" TargetMode="External"/><Relationship Id="rId35" Type="http://schemas.openxmlformats.org/officeDocument/2006/relationships/hyperlink" Target="https://www.bordeaux.fr/p494/les-seances-du-conseil-municipal" TargetMode="External"/><Relationship Id="rId181" Type="http://schemas.openxmlformats.org/officeDocument/2006/relationships/hyperlink" Target="https://www.bordeaux.fr/p494/les-seances-du-conseil-municipal" TargetMode="External"/><Relationship Id="rId34" Type="http://schemas.openxmlformats.org/officeDocument/2006/relationships/hyperlink" Target="https://www.bordeaux.fr/ebx/pgCRCM.psml?_nfpb=true&amp;_pageLabel=pgCRCM&amp;classofcontent=CM&amp;id=18322" TargetMode="External"/><Relationship Id="rId180" Type="http://schemas.openxmlformats.org/officeDocument/2006/relationships/hyperlink" Target="https://www.bordeaux.fr/ebx/pgCRCM.psml?_nfpb=true&amp;_pageLabel=pgCRCM&amp;classofcontent=CM&amp;id=18562" TargetMode="External"/><Relationship Id="rId37" Type="http://schemas.openxmlformats.org/officeDocument/2006/relationships/hyperlink" Target="https://www.bordeaux.fr/p494/les-seances-du-conseil-municipal" TargetMode="External"/><Relationship Id="rId176" Type="http://schemas.openxmlformats.org/officeDocument/2006/relationships/hyperlink" Target="https://www.bordeaux.fr/ebx/pgCRCM.psml?_nfpb=true&amp;_pageLabel=pgCRCM&amp;classofcontent=CM&amp;id=18562" TargetMode="External"/><Relationship Id="rId297" Type="http://schemas.openxmlformats.org/officeDocument/2006/relationships/hyperlink" Target="https://www.bordeaux.fr/p494/les-seances-du-conseil-municipal" TargetMode="External"/><Relationship Id="rId36" Type="http://schemas.openxmlformats.org/officeDocument/2006/relationships/hyperlink" Target="https://www.bordeaux.fr/ebx/pgCRCM.psml?_nfpb=true&amp;_pageLabel=pgCRCM&amp;classofcontent=CM&amp;id=18322" TargetMode="External"/><Relationship Id="rId175" Type="http://schemas.openxmlformats.org/officeDocument/2006/relationships/hyperlink" Target="https://www.bordeaux.fr/p494/les-seances-du-conseil-municipal" TargetMode="External"/><Relationship Id="rId296" Type="http://schemas.openxmlformats.org/officeDocument/2006/relationships/hyperlink" Target="https://www.bordeaux.fr/ebx/pgCRCM.psml?_nfpb=true&amp;_pageLabel=pgCRCM&amp;classofcontent=CM&amp;id=18842" TargetMode="External"/><Relationship Id="rId39" Type="http://schemas.openxmlformats.org/officeDocument/2006/relationships/hyperlink" Target="https://www.bordeaux.fr/p494/les-seances-du-conseil-municipal" TargetMode="External"/><Relationship Id="rId174" Type="http://schemas.openxmlformats.org/officeDocument/2006/relationships/hyperlink" Target="https://www.bordeaux.fr/ebx/pgCRCM.psml?_nfpb=true&amp;_pageLabel=pgCRCM&amp;classofcontent=CM&amp;id=18562" TargetMode="External"/><Relationship Id="rId295" Type="http://schemas.openxmlformats.org/officeDocument/2006/relationships/hyperlink" Target="https://www.bordeaux.fr/p494/les-seances-du-conseil-municipal" TargetMode="External"/><Relationship Id="rId38" Type="http://schemas.openxmlformats.org/officeDocument/2006/relationships/hyperlink" Target="https://www.bordeaux.fr/ebx/pgCRCM.psml?_nfpb=true&amp;_pageLabel=pgCRCM&amp;classofcontent=CM&amp;id=18322" TargetMode="External"/><Relationship Id="rId173" Type="http://schemas.openxmlformats.org/officeDocument/2006/relationships/hyperlink" Target="https://www.bordeaux.fr/p494/les-seances-du-conseil-municipal" TargetMode="External"/><Relationship Id="rId294" Type="http://schemas.openxmlformats.org/officeDocument/2006/relationships/hyperlink" Target="https://www.bordeaux.fr/ebx/pgCRCM.psml?_nfpb=true&amp;_pageLabel=pgCRCM&amp;classofcontent=CM&amp;id=18842" TargetMode="External"/><Relationship Id="rId179" Type="http://schemas.openxmlformats.org/officeDocument/2006/relationships/hyperlink" Target="https://www.bordeaux.fr/p494/les-seances-du-conseil-municipal" TargetMode="External"/><Relationship Id="rId178" Type="http://schemas.openxmlformats.org/officeDocument/2006/relationships/hyperlink" Target="https://www.bordeaux.fr/ebx/pgCRCM.psml?_nfpb=true&amp;_pageLabel=pgCRCM&amp;classofcontent=CM&amp;id=18562" TargetMode="External"/><Relationship Id="rId299" Type="http://schemas.openxmlformats.org/officeDocument/2006/relationships/hyperlink" Target="https://www.bordeaux.fr/p494/les-seances-du-conseil-municipal" TargetMode="External"/><Relationship Id="rId177" Type="http://schemas.openxmlformats.org/officeDocument/2006/relationships/hyperlink" Target="https://www.bordeaux.fr/p494/les-seances-du-conseil-municipal" TargetMode="External"/><Relationship Id="rId298" Type="http://schemas.openxmlformats.org/officeDocument/2006/relationships/hyperlink" Target="https://www.bordeaux.fr/ebx/pgCRCM.psml?_nfpb=true&amp;_pageLabel=pgCRCM&amp;classofcontent=CM&amp;id=18842" TargetMode="External"/><Relationship Id="rId20" Type="http://schemas.openxmlformats.org/officeDocument/2006/relationships/hyperlink" Target="https://www.bordeaux.fr/images/ebx/fr/CM/18422/15/pieceJointeSpec/212124/file/PV_20230308.pdf" TargetMode="External"/><Relationship Id="rId22" Type="http://schemas.openxmlformats.org/officeDocument/2006/relationships/hyperlink" Target="https://www.bordeaux.fr/images/ebx/fr/CM/18322/5/pieceJointeSpec/210557/file/PV_20230131.pdf" TargetMode="External"/><Relationship Id="rId21" Type="http://schemas.openxmlformats.org/officeDocument/2006/relationships/hyperlink" Target="https://www.bordeaux.fr/p494/les-seances-du-conseil-municipal" TargetMode="External"/><Relationship Id="rId24" Type="http://schemas.openxmlformats.org/officeDocument/2006/relationships/hyperlink" Target="https://www.bordeaux.fr/ebx/pgCRCM.psml?_nfpb=true&amp;_pageLabel=pgCRCM&amp;classofcontent=CM&amp;id=18322" TargetMode="External"/><Relationship Id="rId23" Type="http://schemas.openxmlformats.org/officeDocument/2006/relationships/hyperlink" Target="https://www.bordeaux.fr/p494/les-seances-du-conseil-municipal" TargetMode="External"/><Relationship Id="rId26" Type="http://schemas.openxmlformats.org/officeDocument/2006/relationships/hyperlink" Target="https://www.bordeaux.fr/ebx/pgCRCM.psml?_nfpb=true&amp;_pageLabel=pgCRCM&amp;classofcontent=CM&amp;id=18322" TargetMode="External"/><Relationship Id="rId25" Type="http://schemas.openxmlformats.org/officeDocument/2006/relationships/hyperlink" Target="https://www.bordeaux.fr/p494/les-seances-du-conseil-municipal" TargetMode="External"/><Relationship Id="rId28" Type="http://schemas.openxmlformats.org/officeDocument/2006/relationships/hyperlink" Target="https://www.bordeaux.fr/ebx/pgCRCM.psml?_nfpb=true&amp;_pageLabel=pgCRCM&amp;classofcontent=CM&amp;id=18322" TargetMode="External"/><Relationship Id="rId27" Type="http://schemas.openxmlformats.org/officeDocument/2006/relationships/hyperlink" Target="https://www.bordeaux.fr/p494/les-seances-du-conseil-municipal" TargetMode="External"/><Relationship Id="rId29" Type="http://schemas.openxmlformats.org/officeDocument/2006/relationships/hyperlink" Target="https://www.bordeaux.fr/p494/les-seances-du-conseil-municipal" TargetMode="External"/><Relationship Id="rId11" Type="http://schemas.openxmlformats.org/officeDocument/2006/relationships/hyperlink" Target="https://www.bordeaux.fr/p494/les-seances-du-conseil-municipal" TargetMode="External"/><Relationship Id="rId10" Type="http://schemas.openxmlformats.org/officeDocument/2006/relationships/hyperlink" Target="https://www.bordeaux.fr/images/ebx/fr/CM/18842/9/pieceJointeSpec/217096/file/PV_20231107.pdf" TargetMode="External"/><Relationship Id="rId13" Type="http://schemas.openxmlformats.org/officeDocument/2006/relationships/hyperlink" Target="https://www.bordeaux.fr/p494/les-seances-du-conseil-municipal" TargetMode="External"/><Relationship Id="rId12" Type="http://schemas.openxmlformats.org/officeDocument/2006/relationships/hyperlink" Target="https://www.bordeaux.fr/images/ebx/fr/CM/18762/6/pieceJointeSpec/216001/file/PV_20231003.pdf" TargetMode="External"/><Relationship Id="rId15" Type="http://schemas.openxmlformats.org/officeDocument/2006/relationships/hyperlink" Target="https://www.bordeaux.fr/p494/les-seances-du-conseil-municipal" TargetMode="External"/><Relationship Id="rId198" Type="http://schemas.openxmlformats.org/officeDocument/2006/relationships/hyperlink" Target="https://www.bordeaux.fr/ebx/pgCRCM.psml?_nfpb=true&amp;_pageLabel=pgCRCM&amp;classofcontent=CM&amp;id=18642" TargetMode="External"/><Relationship Id="rId14" Type="http://schemas.openxmlformats.org/officeDocument/2006/relationships/hyperlink" Target="https://www.bordeaux.fr/images/ebx/fr/CM/18642/7/pieceJointeSpec/215162/file/PV_20230711.pdf" TargetMode="External"/><Relationship Id="rId197" Type="http://schemas.openxmlformats.org/officeDocument/2006/relationships/hyperlink" Target="https://www.bordeaux.fr/p494/les-seances-du-conseil-municipal" TargetMode="External"/><Relationship Id="rId17" Type="http://schemas.openxmlformats.org/officeDocument/2006/relationships/hyperlink" Target="https://www.bordeaux.fr/p494/les-seances-du-conseil-municipal" TargetMode="External"/><Relationship Id="rId196" Type="http://schemas.openxmlformats.org/officeDocument/2006/relationships/hyperlink" Target="https://www.bordeaux.fr/ebx/pgCRCM.psml?_nfpb=true&amp;_pageLabel=pgCRCM&amp;classofcontent=CM&amp;id=18642" TargetMode="External"/><Relationship Id="rId16" Type="http://schemas.openxmlformats.org/officeDocument/2006/relationships/hyperlink" Target="https://www.bordeaux.fr/images/ebx/fr/CM/18562/6/pieceJointeSpec/213973/file/PV_20230606.pdf" TargetMode="External"/><Relationship Id="rId195" Type="http://schemas.openxmlformats.org/officeDocument/2006/relationships/hyperlink" Target="https://www.bordeaux.fr/p494/les-seances-du-conseil-municipal" TargetMode="External"/><Relationship Id="rId19" Type="http://schemas.openxmlformats.org/officeDocument/2006/relationships/hyperlink" Target="https://www.bordeaux.fr/p494/les-seances-du-conseil-municipal" TargetMode="External"/><Relationship Id="rId18" Type="http://schemas.openxmlformats.org/officeDocument/2006/relationships/hyperlink" Target="https://www.bordeaux.fr/images/ebx/fr/CM/18502/8/pieceJointeSpec/217199/file/PV_20230404.pdf" TargetMode="External"/><Relationship Id="rId199" Type="http://schemas.openxmlformats.org/officeDocument/2006/relationships/hyperlink" Target="https://www.bordeaux.fr/p494/les-seances-du-conseil-municipal" TargetMode="External"/><Relationship Id="rId84" Type="http://schemas.openxmlformats.org/officeDocument/2006/relationships/hyperlink" Target="https://www.bordeaux.fr/ebx/pgCRCM.psml?_nfpb=true&amp;_pageLabel=pgCRCM&amp;classofcontent=CM&amp;id=18422" TargetMode="External"/><Relationship Id="rId83" Type="http://schemas.openxmlformats.org/officeDocument/2006/relationships/hyperlink" Target="https://www.bordeaux.fr/p494/les-seances-du-conseil-municipal" TargetMode="External"/><Relationship Id="rId86" Type="http://schemas.openxmlformats.org/officeDocument/2006/relationships/hyperlink" Target="https://www.bordeaux.fr/ebx/pgCRCM.psml?_nfpb=true&amp;_pageLabel=pgCRCM&amp;classofcontent=CM&amp;id=18422" TargetMode="External"/><Relationship Id="rId85" Type="http://schemas.openxmlformats.org/officeDocument/2006/relationships/hyperlink" Target="https://www.bordeaux.fr/p494/les-seances-du-conseil-municipal" TargetMode="External"/><Relationship Id="rId88" Type="http://schemas.openxmlformats.org/officeDocument/2006/relationships/hyperlink" Target="https://www.bordeaux.fr/ebx/pgCRCM.psml?_nfpb=true&amp;_pageLabel=pgCRCM&amp;classofcontent=CM&amp;id=18422" TargetMode="External"/><Relationship Id="rId150" Type="http://schemas.openxmlformats.org/officeDocument/2006/relationships/hyperlink" Target="https://www.bordeaux.fr/ebx/pgCRCM.psml?_nfpb=true&amp;_pageLabel=pgCRCM&amp;classofcontent=CM&amp;id=18562" TargetMode="External"/><Relationship Id="rId271" Type="http://schemas.openxmlformats.org/officeDocument/2006/relationships/hyperlink" Target="https://www.bordeaux.fr/p494/les-seances-du-conseil-municipal" TargetMode="External"/><Relationship Id="rId87" Type="http://schemas.openxmlformats.org/officeDocument/2006/relationships/hyperlink" Target="https://www.bordeaux.fr/p494/les-seances-du-conseil-municipal" TargetMode="External"/><Relationship Id="rId270" Type="http://schemas.openxmlformats.org/officeDocument/2006/relationships/hyperlink" Target="https://www.bordeaux.fr/ebx/pgCRCM.psml?_nfpb=true&amp;_pageLabel=pgCRCM&amp;classofcontent=CM&amp;id=18842" TargetMode="External"/><Relationship Id="rId89" Type="http://schemas.openxmlformats.org/officeDocument/2006/relationships/hyperlink" Target="https://www.bordeaux.fr/p494/les-seances-du-conseil-municipal" TargetMode="External"/><Relationship Id="rId80" Type="http://schemas.openxmlformats.org/officeDocument/2006/relationships/hyperlink" Target="https://www.bordeaux.fr/ebx/pgCRCM.psml?_nfpb=true&amp;_pageLabel=pgCRCM&amp;classofcontent=CM&amp;id=18422" TargetMode="External"/><Relationship Id="rId82" Type="http://schemas.openxmlformats.org/officeDocument/2006/relationships/hyperlink" Target="https://www.bordeaux.fr/ebx/pgCRCM.psml?_nfpb=true&amp;_pageLabel=pgCRCM&amp;classofcontent=CM&amp;id=18422" TargetMode="External"/><Relationship Id="rId81" Type="http://schemas.openxmlformats.org/officeDocument/2006/relationships/hyperlink" Target="https://www.bordeaux.fr/p494/les-seances-du-conseil-municipal" TargetMode="External"/><Relationship Id="rId1" Type="http://schemas.openxmlformats.org/officeDocument/2006/relationships/hyperlink" Target="https://www.bordeaux.fr/p494/les-seances-du-conseil-municipal" TargetMode="External"/><Relationship Id="rId2" Type="http://schemas.openxmlformats.org/officeDocument/2006/relationships/hyperlink" Target="https://www.bordeaux.fr/p494/les-seances-du-conseil-municipal" TargetMode="External"/><Relationship Id="rId3" Type="http://schemas.openxmlformats.org/officeDocument/2006/relationships/hyperlink" Target="https://www.bordeaux.fr/p494/les-seances-du-conseil-municipal" TargetMode="External"/><Relationship Id="rId149" Type="http://schemas.openxmlformats.org/officeDocument/2006/relationships/hyperlink" Target="https://www.bordeaux.fr/p494/les-seances-du-conseil-municipal" TargetMode="External"/><Relationship Id="rId4" Type="http://schemas.openxmlformats.org/officeDocument/2006/relationships/hyperlink" Target="https://www.bordeaux.fr/p494/les-seances-du-conseil-municipal" TargetMode="External"/><Relationship Id="rId148" Type="http://schemas.openxmlformats.org/officeDocument/2006/relationships/hyperlink" Target="https://www.bordeaux.fr/ebx/pgCRCM.psml?_nfpb=true&amp;_pageLabel=pgCRCM&amp;classofcontent=CM&amp;id=18562" TargetMode="External"/><Relationship Id="rId269" Type="http://schemas.openxmlformats.org/officeDocument/2006/relationships/hyperlink" Target="https://www.bordeaux.fr/p494/les-seances-du-conseil-municipal" TargetMode="External"/><Relationship Id="rId9" Type="http://schemas.openxmlformats.org/officeDocument/2006/relationships/hyperlink" Target="https://www.bordeaux.fr/p494/les-seances-du-conseil-municipal" TargetMode="External"/><Relationship Id="rId143" Type="http://schemas.openxmlformats.org/officeDocument/2006/relationships/hyperlink" Target="https://www.bordeaux.fr/p494/les-seances-du-conseil-municipal" TargetMode="External"/><Relationship Id="rId264" Type="http://schemas.openxmlformats.org/officeDocument/2006/relationships/hyperlink" Target="https://www.bordeaux.fr/ebx/pgCRCM.psml?_nfpb=true&amp;_pageLabel=pgCRCM&amp;classofcontent=CM&amp;id=18842" TargetMode="External"/><Relationship Id="rId142" Type="http://schemas.openxmlformats.org/officeDocument/2006/relationships/hyperlink" Target="https://www.bordeaux.fr/ebx/pgCRCM.psml?_nfpb=true&amp;_pageLabel=pgCRCM&amp;classofcontent=CM&amp;id=18502" TargetMode="External"/><Relationship Id="rId263" Type="http://schemas.openxmlformats.org/officeDocument/2006/relationships/hyperlink" Target="https://www.bordeaux.fr/p494/les-seances-du-conseil-municipal" TargetMode="External"/><Relationship Id="rId141" Type="http://schemas.openxmlformats.org/officeDocument/2006/relationships/hyperlink" Target="https://www.bordeaux.fr/p494/les-seances-du-conseil-municipal" TargetMode="External"/><Relationship Id="rId262" Type="http://schemas.openxmlformats.org/officeDocument/2006/relationships/hyperlink" Target="https://www.bordeaux.fr/ebx/pgCRCM.psml?_nfpb=true&amp;_pageLabel=pgCRCM&amp;classofcontent=CM&amp;id=18762" TargetMode="External"/><Relationship Id="rId140" Type="http://schemas.openxmlformats.org/officeDocument/2006/relationships/hyperlink" Target="https://www.bordeaux.fr/ebx/pgCRCM.psml?_nfpb=true&amp;_pageLabel=pgCRCM&amp;classofcontent=CM&amp;id=18502" TargetMode="External"/><Relationship Id="rId261" Type="http://schemas.openxmlformats.org/officeDocument/2006/relationships/hyperlink" Target="https://www.bordeaux.fr/p494/les-seances-du-conseil-municipal" TargetMode="External"/><Relationship Id="rId5" Type="http://schemas.openxmlformats.org/officeDocument/2006/relationships/hyperlink" Target="https://www.bordeaux.fr/p494/les-seances-du-conseil-municipal" TargetMode="External"/><Relationship Id="rId147" Type="http://schemas.openxmlformats.org/officeDocument/2006/relationships/hyperlink" Target="https://www.bordeaux.fr/p494/les-seances-du-conseil-municipal" TargetMode="External"/><Relationship Id="rId268" Type="http://schemas.openxmlformats.org/officeDocument/2006/relationships/hyperlink" Target="https://www.bordeaux.fr/ebx/pgCRCM.psml?_nfpb=true&amp;_pageLabel=pgCRCM&amp;classofcontent=CM&amp;id=18842" TargetMode="External"/><Relationship Id="rId6" Type="http://schemas.openxmlformats.org/officeDocument/2006/relationships/hyperlink" Target="https://www.bordeaux.fr/p494/les-seances-du-conseil-municipal" TargetMode="External"/><Relationship Id="rId146" Type="http://schemas.openxmlformats.org/officeDocument/2006/relationships/hyperlink" Target="https://www.bordeaux.fr/ebx/pgCRCM.psml?_nfpb=true&amp;_pageLabel=pgCRCM&amp;classofcontent=CM&amp;id=18562" TargetMode="External"/><Relationship Id="rId267" Type="http://schemas.openxmlformats.org/officeDocument/2006/relationships/hyperlink" Target="https://www.bordeaux.fr/p494/les-seances-du-conseil-municipal" TargetMode="External"/><Relationship Id="rId7" Type="http://schemas.openxmlformats.org/officeDocument/2006/relationships/hyperlink" Target="https://www.bordeaux.fr/p494/les-seances-du-conseil-municipal" TargetMode="External"/><Relationship Id="rId145" Type="http://schemas.openxmlformats.org/officeDocument/2006/relationships/hyperlink" Target="https://www.bordeaux.fr/p494/les-seances-du-conseil-municipal" TargetMode="External"/><Relationship Id="rId266" Type="http://schemas.openxmlformats.org/officeDocument/2006/relationships/hyperlink" Target="https://www.bordeaux.fr/ebx/pgCRCM.psml?_nfpb=true&amp;_pageLabel=pgCRCM&amp;classofcontent=CM&amp;id=18842" TargetMode="External"/><Relationship Id="rId8" Type="http://schemas.openxmlformats.org/officeDocument/2006/relationships/hyperlink" Target="https://www.bordeaux.fr/p494/les-seances-du-conseil-municipal" TargetMode="External"/><Relationship Id="rId144" Type="http://schemas.openxmlformats.org/officeDocument/2006/relationships/hyperlink" Target="https://www.bordeaux.fr/ebx/pgCRCM.psml?_nfpb=true&amp;_pageLabel=pgCRCM&amp;classofcontent=CM&amp;id=18562" TargetMode="External"/><Relationship Id="rId265" Type="http://schemas.openxmlformats.org/officeDocument/2006/relationships/hyperlink" Target="https://www.bordeaux.fr/p494/les-seances-du-conseil-municipal" TargetMode="External"/><Relationship Id="rId73" Type="http://schemas.openxmlformats.org/officeDocument/2006/relationships/hyperlink" Target="https://www.bordeaux.fr/p494/les-seances-du-conseil-municipal" TargetMode="External"/><Relationship Id="rId72" Type="http://schemas.openxmlformats.org/officeDocument/2006/relationships/hyperlink" Target="https://www.bordeaux.fr/ebx/pgCRCM.psml?_nfpb=true&amp;_pageLabel=pgCRCM&amp;classofcontent=CM&amp;id=18422" TargetMode="External"/><Relationship Id="rId75" Type="http://schemas.openxmlformats.org/officeDocument/2006/relationships/hyperlink" Target="https://www.bordeaux.fr/p494/les-seances-du-conseil-municipal" TargetMode="External"/><Relationship Id="rId74" Type="http://schemas.openxmlformats.org/officeDocument/2006/relationships/hyperlink" Target="https://www.bordeaux.fr/ebx/pgCRCM.psml?_nfpb=true&amp;_pageLabel=pgCRCM&amp;classofcontent=CM&amp;id=18422" TargetMode="External"/><Relationship Id="rId77" Type="http://schemas.openxmlformats.org/officeDocument/2006/relationships/hyperlink" Target="https://www.bordeaux.fr/p494/les-seances-du-conseil-municipal" TargetMode="External"/><Relationship Id="rId260" Type="http://schemas.openxmlformats.org/officeDocument/2006/relationships/hyperlink" Target="https://www.bordeaux.fr/ebx/pgCRCM.psml?_nfpb=true&amp;_pageLabel=pgCRCM&amp;classofcontent=CM&amp;id=18762" TargetMode="External"/><Relationship Id="rId76" Type="http://schemas.openxmlformats.org/officeDocument/2006/relationships/hyperlink" Target="https://www.bordeaux.fr/ebx/pgCRCM.psml?_nfpb=true&amp;_pageLabel=pgCRCM&amp;classofcontent=CM&amp;id=18422" TargetMode="External"/><Relationship Id="rId79" Type="http://schemas.openxmlformats.org/officeDocument/2006/relationships/hyperlink" Target="https://www.bordeaux.fr/p494/les-seances-du-conseil-municipal" TargetMode="External"/><Relationship Id="rId78" Type="http://schemas.openxmlformats.org/officeDocument/2006/relationships/hyperlink" Target="https://www.bordeaux.fr/ebx/pgCRCM.psml?_nfpb=true&amp;_pageLabel=pgCRCM&amp;classofcontent=CM&amp;id=18422" TargetMode="External"/><Relationship Id="rId71" Type="http://schemas.openxmlformats.org/officeDocument/2006/relationships/hyperlink" Target="https://www.bordeaux.fr/p494/les-seances-du-conseil-municipal" TargetMode="External"/><Relationship Id="rId70" Type="http://schemas.openxmlformats.org/officeDocument/2006/relationships/hyperlink" Target="https://www.bordeaux.fr/ebx/pgCRCM.psml?_nfpb=true&amp;_pageLabel=pgCRCM&amp;classofcontent=CM&amp;id=18422" TargetMode="External"/><Relationship Id="rId139" Type="http://schemas.openxmlformats.org/officeDocument/2006/relationships/hyperlink" Target="https://www.bordeaux.fr/p494/les-seances-du-conseil-municipal" TargetMode="External"/><Relationship Id="rId138" Type="http://schemas.openxmlformats.org/officeDocument/2006/relationships/hyperlink" Target="https://www.bordeaux.fr/ebx/pgCRCM.psml?_nfpb=true&amp;_pageLabel=pgCRCM&amp;classofcontent=CM&amp;id=18502" TargetMode="External"/><Relationship Id="rId259" Type="http://schemas.openxmlformats.org/officeDocument/2006/relationships/hyperlink" Target="https://www.bordeaux.fr/p494/les-seances-du-conseil-municipal" TargetMode="External"/><Relationship Id="rId137" Type="http://schemas.openxmlformats.org/officeDocument/2006/relationships/hyperlink" Target="https://www.bordeaux.fr/p494/les-seances-du-conseil-municipal" TargetMode="External"/><Relationship Id="rId258" Type="http://schemas.openxmlformats.org/officeDocument/2006/relationships/hyperlink" Target="https://www.bordeaux.fr/ebx/pgCRCM.psml?_nfpb=true&amp;_pageLabel=pgCRCM&amp;classofcontent=CM&amp;id=18762" TargetMode="External"/><Relationship Id="rId132" Type="http://schemas.openxmlformats.org/officeDocument/2006/relationships/hyperlink" Target="https://www.bordeaux.fr/ebx/pgCRCM.psml?_nfpb=true&amp;_pageLabel=pgCRCM&amp;classofcontent=CM&amp;id=18502" TargetMode="External"/><Relationship Id="rId253" Type="http://schemas.openxmlformats.org/officeDocument/2006/relationships/hyperlink" Target="https://www.bordeaux.fr/p494/les-seances-du-conseil-municipal" TargetMode="External"/><Relationship Id="rId131" Type="http://schemas.openxmlformats.org/officeDocument/2006/relationships/hyperlink" Target="https://www.bordeaux.fr/p494/les-seances-du-conseil-municipal" TargetMode="External"/><Relationship Id="rId252" Type="http://schemas.openxmlformats.org/officeDocument/2006/relationships/hyperlink" Target="https://www.bordeaux.fr/ebx/pgCRCM.psml?_nfpb=true&amp;_pageLabel=pgCRCM&amp;classofcontent=CM&amp;id=18762" TargetMode="External"/><Relationship Id="rId130" Type="http://schemas.openxmlformats.org/officeDocument/2006/relationships/hyperlink" Target="https://www.bordeaux.fr/ebx/pgCRCM.psml?_nfpb=true&amp;_pageLabel=pgCRCM&amp;classofcontent=CM&amp;id=18502" TargetMode="External"/><Relationship Id="rId251" Type="http://schemas.openxmlformats.org/officeDocument/2006/relationships/hyperlink" Target="https://www.bordeaux.fr/p494/les-seances-du-conseil-municipal" TargetMode="External"/><Relationship Id="rId250" Type="http://schemas.openxmlformats.org/officeDocument/2006/relationships/hyperlink" Target="https://www.bordeaux.fr/ebx/pgCRCM.psml?_nfpb=true&amp;_pageLabel=pgCRCM&amp;classofcontent=CM&amp;id=18762" TargetMode="External"/><Relationship Id="rId136" Type="http://schemas.openxmlformats.org/officeDocument/2006/relationships/hyperlink" Target="https://www.bordeaux.fr/ebx/pgCRCM.psml?_nfpb=true&amp;_pageLabel=pgCRCM&amp;classofcontent=CM&amp;id=18502" TargetMode="External"/><Relationship Id="rId257" Type="http://schemas.openxmlformats.org/officeDocument/2006/relationships/hyperlink" Target="https://www.bordeaux.fr/p494/les-seances-du-conseil-municipal" TargetMode="External"/><Relationship Id="rId135" Type="http://schemas.openxmlformats.org/officeDocument/2006/relationships/hyperlink" Target="https://www.bordeaux.fr/p494/les-seances-du-conseil-municipal" TargetMode="External"/><Relationship Id="rId256" Type="http://schemas.openxmlformats.org/officeDocument/2006/relationships/hyperlink" Target="https://www.bordeaux.fr/ebx/pgCRCM.psml?_nfpb=true&amp;_pageLabel=pgCRCM&amp;classofcontent=CM&amp;id=18762" TargetMode="External"/><Relationship Id="rId134" Type="http://schemas.openxmlformats.org/officeDocument/2006/relationships/hyperlink" Target="https://www.bordeaux.fr/ebx/pgCRCM.psml?_nfpb=true&amp;_pageLabel=pgCRCM&amp;classofcontent=CM&amp;id=18502" TargetMode="External"/><Relationship Id="rId255" Type="http://schemas.openxmlformats.org/officeDocument/2006/relationships/hyperlink" Target="https://www.bordeaux.fr/p494/les-seances-du-conseil-municipal" TargetMode="External"/><Relationship Id="rId133" Type="http://schemas.openxmlformats.org/officeDocument/2006/relationships/hyperlink" Target="https://www.bordeaux.fr/p494/les-seances-du-conseil-municipal" TargetMode="External"/><Relationship Id="rId254" Type="http://schemas.openxmlformats.org/officeDocument/2006/relationships/hyperlink" Target="https://www.bordeaux.fr/ebx/pgCRCM.psml?_nfpb=true&amp;_pageLabel=pgCRCM&amp;classofcontent=CM&amp;id=18762" TargetMode="External"/><Relationship Id="rId62" Type="http://schemas.openxmlformats.org/officeDocument/2006/relationships/hyperlink" Target="https://www.bordeaux.fr/ebx/pgCRCM.psml?_nfpb=true&amp;_pageLabel=pgCRCM&amp;classofcontent=CM&amp;id=18322" TargetMode="External"/><Relationship Id="rId61" Type="http://schemas.openxmlformats.org/officeDocument/2006/relationships/hyperlink" Target="https://www.bordeaux.fr/p494/les-seances-du-conseil-municipal" TargetMode="External"/><Relationship Id="rId64" Type="http://schemas.openxmlformats.org/officeDocument/2006/relationships/hyperlink" Target="https://www.bordeaux.fr/ebx/pgCRCM.psml?_nfpb=true&amp;_pageLabel=pgCRCM&amp;classofcontent=CM&amp;id=18422" TargetMode="External"/><Relationship Id="rId63" Type="http://schemas.openxmlformats.org/officeDocument/2006/relationships/hyperlink" Target="https://www.bordeaux.fr/p494/les-seances-du-conseil-municipal" TargetMode="External"/><Relationship Id="rId66" Type="http://schemas.openxmlformats.org/officeDocument/2006/relationships/hyperlink" Target="https://www.bordeaux.fr/ebx/pgCRCM.psml?_nfpb=true&amp;_pageLabel=pgCRCM&amp;classofcontent=CM&amp;id=18422" TargetMode="External"/><Relationship Id="rId172" Type="http://schemas.openxmlformats.org/officeDocument/2006/relationships/hyperlink" Target="https://www.bordeaux.fr/ebx/pgCRCM.psml?_nfpb=true&amp;_pageLabel=pgCRCM&amp;classofcontent=CM&amp;id=18562" TargetMode="External"/><Relationship Id="rId293" Type="http://schemas.openxmlformats.org/officeDocument/2006/relationships/hyperlink" Target="https://www.bordeaux.fr/p494/les-seances-du-conseil-municipal" TargetMode="External"/><Relationship Id="rId65" Type="http://schemas.openxmlformats.org/officeDocument/2006/relationships/hyperlink" Target="https://www.bordeaux.fr/p494/les-seances-du-conseil-municipal" TargetMode="External"/><Relationship Id="rId171" Type="http://schemas.openxmlformats.org/officeDocument/2006/relationships/hyperlink" Target="https://www.bordeaux.fr/p494/les-seances-du-conseil-municipal" TargetMode="External"/><Relationship Id="rId292" Type="http://schemas.openxmlformats.org/officeDocument/2006/relationships/hyperlink" Target="https://www.bordeaux.fr/ebx/pgCRCM.psml?_nfpb=true&amp;_pageLabel=pgCRCM&amp;classofcontent=CM&amp;id=18842" TargetMode="External"/><Relationship Id="rId68" Type="http://schemas.openxmlformats.org/officeDocument/2006/relationships/hyperlink" Target="https://www.bordeaux.fr/ebx/pgCRCM.psml?_nfpb=true&amp;_pageLabel=pgCRCM&amp;classofcontent=CM&amp;id=18422" TargetMode="External"/><Relationship Id="rId170" Type="http://schemas.openxmlformats.org/officeDocument/2006/relationships/hyperlink" Target="https://www.bordeaux.fr/ebx/pgCRCM.psml?_nfpb=true&amp;_pageLabel=pgCRCM&amp;classofcontent=CM&amp;id=18562" TargetMode="External"/><Relationship Id="rId291" Type="http://schemas.openxmlformats.org/officeDocument/2006/relationships/hyperlink" Target="https://www.bordeaux.fr/p494/les-seances-du-conseil-municipal" TargetMode="External"/><Relationship Id="rId67" Type="http://schemas.openxmlformats.org/officeDocument/2006/relationships/hyperlink" Target="https://www.bordeaux.fr/p494/les-seances-du-conseil-municipal" TargetMode="External"/><Relationship Id="rId290" Type="http://schemas.openxmlformats.org/officeDocument/2006/relationships/hyperlink" Target="https://www.bordeaux.fr/ebx/pgCRCM.psml?_nfpb=true&amp;_pageLabel=pgCRCM&amp;classofcontent=CM&amp;id=18842" TargetMode="External"/><Relationship Id="rId60" Type="http://schemas.openxmlformats.org/officeDocument/2006/relationships/hyperlink" Target="https://www.bordeaux.fr/ebx/pgCRCM.psml?_nfpb=true&amp;_pageLabel=pgCRCM&amp;classofcontent=CM&amp;id=18322" TargetMode="External"/><Relationship Id="rId165" Type="http://schemas.openxmlformats.org/officeDocument/2006/relationships/hyperlink" Target="https://www.bordeaux.fr/p494/les-seances-du-conseil-municipal" TargetMode="External"/><Relationship Id="rId286" Type="http://schemas.openxmlformats.org/officeDocument/2006/relationships/hyperlink" Target="https://www.bordeaux.fr/ebx/pgCRCM.psml?_nfpb=true&amp;_pageLabel=pgCRCM&amp;classofcontent=CM&amp;id=18842" TargetMode="External"/><Relationship Id="rId69" Type="http://schemas.openxmlformats.org/officeDocument/2006/relationships/hyperlink" Target="https://www.bordeaux.fr/p494/les-seances-du-conseil-municipal" TargetMode="External"/><Relationship Id="rId164" Type="http://schemas.openxmlformats.org/officeDocument/2006/relationships/hyperlink" Target="https://www.bordeaux.fr/ebx/pgCRCM.psml?_nfpb=true&amp;_pageLabel=pgCRCM&amp;classofcontent=CM&amp;id=18562" TargetMode="External"/><Relationship Id="rId285" Type="http://schemas.openxmlformats.org/officeDocument/2006/relationships/hyperlink" Target="https://www.bordeaux.fr/p494/les-seances-du-conseil-municipal" TargetMode="External"/><Relationship Id="rId163" Type="http://schemas.openxmlformats.org/officeDocument/2006/relationships/hyperlink" Target="https://www.bordeaux.fr/p494/les-seances-du-conseil-municipal" TargetMode="External"/><Relationship Id="rId284" Type="http://schemas.openxmlformats.org/officeDocument/2006/relationships/hyperlink" Target="https://www.bordeaux.fr/ebx/pgCRCM.psml?_nfpb=true&amp;_pageLabel=pgCRCM&amp;classofcontent=CM&amp;id=18842" TargetMode="External"/><Relationship Id="rId162" Type="http://schemas.openxmlformats.org/officeDocument/2006/relationships/hyperlink" Target="https://www.bordeaux.fr/ebx/pgCRCM.psml?_nfpb=true&amp;_pageLabel=pgCRCM&amp;classofcontent=CM&amp;id=18562" TargetMode="External"/><Relationship Id="rId283" Type="http://schemas.openxmlformats.org/officeDocument/2006/relationships/hyperlink" Target="https://www.bordeaux.fr/p494/les-seances-du-conseil-municipal" TargetMode="External"/><Relationship Id="rId169" Type="http://schemas.openxmlformats.org/officeDocument/2006/relationships/hyperlink" Target="https://www.bordeaux.fr/p494/les-seances-du-conseil-municipal" TargetMode="External"/><Relationship Id="rId168" Type="http://schemas.openxmlformats.org/officeDocument/2006/relationships/hyperlink" Target="https://www.bordeaux.fr/ebx/pgCRCM.psml?_nfpb=true&amp;_pageLabel=pgCRCM&amp;classofcontent=CM&amp;id=18562" TargetMode="External"/><Relationship Id="rId289" Type="http://schemas.openxmlformats.org/officeDocument/2006/relationships/hyperlink" Target="https://www.bordeaux.fr/p494/les-seances-du-conseil-municipal" TargetMode="External"/><Relationship Id="rId167" Type="http://schemas.openxmlformats.org/officeDocument/2006/relationships/hyperlink" Target="https://www.bordeaux.fr/p494/les-seances-du-conseil-municipal" TargetMode="External"/><Relationship Id="rId288" Type="http://schemas.openxmlformats.org/officeDocument/2006/relationships/hyperlink" Target="https://www.bordeaux.fr/ebx/pgCRCM.psml?_nfpb=true&amp;_pageLabel=pgCRCM&amp;classofcontent=CM&amp;id=18842" TargetMode="External"/><Relationship Id="rId166" Type="http://schemas.openxmlformats.org/officeDocument/2006/relationships/hyperlink" Target="https://www.bordeaux.fr/ebx/pgCRCM.psml?_nfpb=true&amp;_pageLabel=pgCRCM&amp;classofcontent=CM&amp;id=18562" TargetMode="External"/><Relationship Id="rId287" Type="http://schemas.openxmlformats.org/officeDocument/2006/relationships/hyperlink" Target="https://www.bordeaux.fr/p494/les-seances-du-conseil-municipal" TargetMode="External"/><Relationship Id="rId51" Type="http://schemas.openxmlformats.org/officeDocument/2006/relationships/hyperlink" Target="https://www.bordeaux.fr/p494/les-seances-du-conseil-municipal" TargetMode="External"/><Relationship Id="rId50" Type="http://schemas.openxmlformats.org/officeDocument/2006/relationships/hyperlink" Target="https://www.bordeaux.fr/ebx/pgCRCM.psml?_nfpb=true&amp;_pageLabel=pgCRCM&amp;classofcontent=CM&amp;id=18322" TargetMode="External"/><Relationship Id="rId53" Type="http://schemas.openxmlformats.org/officeDocument/2006/relationships/hyperlink" Target="https://www.bordeaux.fr/p494/les-seances-du-conseil-municipal" TargetMode="External"/><Relationship Id="rId52" Type="http://schemas.openxmlformats.org/officeDocument/2006/relationships/hyperlink" Target="https://www.bordeaux.fr/ebx/pgCRCM.psml?_nfpb=true&amp;_pageLabel=pgCRCM&amp;classofcontent=CM&amp;id=18322" TargetMode="External"/><Relationship Id="rId55" Type="http://schemas.openxmlformats.org/officeDocument/2006/relationships/hyperlink" Target="https://www.bordeaux.fr/p494/les-seances-du-conseil-municipal" TargetMode="External"/><Relationship Id="rId161" Type="http://schemas.openxmlformats.org/officeDocument/2006/relationships/hyperlink" Target="https://www.bordeaux.fr/p494/les-seances-du-conseil-municipal" TargetMode="External"/><Relationship Id="rId282" Type="http://schemas.openxmlformats.org/officeDocument/2006/relationships/hyperlink" Target="https://www.bordeaux.fr/ebx/pgCRCM.psml?_nfpb=true&amp;_pageLabel=pgCRCM&amp;classofcontent=CM&amp;id=18842" TargetMode="External"/><Relationship Id="rId54" Type="http://schemas.openxmlformats.org/officeDocument/2006/relationships/hyperlink" Target="https://www.bordeaux.fr/ebx/pgCRCM.psml?_nfpb=true&amp;_pageLabel=pgCRCM&amp;classofcontent=CM&amp;id=18322" TargetMode="External"/><Relationship Id="rId160" Type="http://schemas.openxmlformats.org/officeDocument/2006/relationships/hyperlink" Target="https://www.bordeaux.fr/ebx/pgCRCM.psml?_nfpb=true&amp;_pageLabel=pgCRCM&amp;classofcontent=CM&amp;id=18562" TargetMode="External"/><Relationship Id="rId281" Type="http://schemas.openxmlformats.org/officeDocument/2006/relationships/hyperlink" Target="https://www.bordeaux.fr/p494/les-seances-du-conseil-municipal" TargetMode="External"/><Relationship Id="rId57" Type="http://schemas.openxmlformats.org/officeDocument/2006/relationships/hyperlink" Target="https://www.bordeaux.fr/p494/les-seances-du-conseil-municipal" TargetMode="External"/><Relationship Id="rId280" Type="http://schemas.openxmlformats.org/officeDocument/2006/relationships/hyperlink" Target="https://www.bordeaux.fr/ebx/pgCRCM.psml?_nfpb=true&amp;_pageLabel=pgCRCM&amp;classofcontent=CM&amp;id=18842" TargetMode="External"/><Relationship Id="rId56" Type="http://schemas.openxmlformats.org/officeDocument/2006/relationships/hyperlink" Target="https://www.bordeaux.fr/ebx/pgCRCM.psml?_nfpb=true&amp;_pageLabel=pgCRCM&amp;classofcontent=CM&amp;id=18322" TargetMode="External"/><Relationship Id="rId159" Type="http://schemas.openxmlformats.org/officeDocument/2006/relationships/hyperlink" Target="https://www.bordeaux.fr/p494/les-seances-du-conseil-municipal" TargetMode="External"/><Relationship Id="rId59" Type="http://schemas.openxmlformats.org/officeDocument/2006/relationships/hyperlink" Target="https://www.bordeaux.fr/p494/les-seances-du-conseil-municipal" TargetMode="External"/><Relationship Id="rId154" Type="http://schemas.openxmlformats.org/officeDocument/2006/relationships/hyperlink" Target="https://www.bordeaux.fr/ebx/pgCRCM.psml?_nfpb=true&amp;_pageLabel=pgCRCM&amp;classofcontent=CM&amp;id=18562" TargetMode="External"/><Relationship Id="rId275" Type="http://schemas.openxmlformats.org/officeDocument/2006/relationships/hyperlink" Target="https://www.bordeaux.fr/p494/les-seances-du-conseil-municipal" TargetMode="External"/><Relationship Id="rId58" Type="http://schemas.openxmlformats.org/officeDocument/2006/relationships/hyperlink" Target="https://www.bordeaux.fr/ebx/pgCRCM.psml?_nfpb=true&amp;_pageLabel=pgCRCM&amp;classofcontent=CM&amp;id=18322" TargetMode="External"/><Relationship Id="rId153" Type="http://schemas.openxmlformats.org/officeDocument/2006/relationships/hyperlink" Target="https://www.bordeaux.fr/p494/les-seances-du-conseil-municipal" TargetMode="External"/><Relationship Id="rId274" Type="http://schemas.openxmlformats.org/officeDocument/2006/relationships/hyperlink" Target="https://www.bordeaux.fr/ebx/pgCRCM.psml?_nfpb=true&amp;_pageLabel=pgCRCM&amp;classofcontent=CM&amp;id=18842" TargetMode="External"/><Relationship Id="rId152" Type="http://schemas.openxmlformats.org/officeDocument/2006/relationships/hyperlink" Target="https://www.bordeaux.fr/ebx/pgCRCM.psml?_nfpb=true&amp;_pageLabel=pgCRCM&amp;classofcontent=CM&amp;id=18562" TargetMode="External"/><Relationship Id="rId273" Type="http://schemas.openxmlformats.org/officeDocument/2006/relationships/hyperlink" Target="https://www.bordeaux.fr/p494/les-seances-du-conseil-municipal" TargetMode="External"/><Relationship Id="rId151" Type="http://schemas.openxmlformats.org/officeDocument/2006/relationships/hyperlink" Target="https://www.bordeaux.fr/p494/les-seances-du-conseil-municipal" TargetMode="External"/><Relationship Id="rId272" Type="http://schemas.openxmlformats.org/officeDocument/2006/relationships/hyperlink" Target="https://www.bordeaux.fr/ebx/pgCRCM.psml?_nfpb=true&amp;_pageLabel=pgCRCM&amp;classofcontent=CM&amp;id=18842" TargetMode="External"/><Relationship Id="rId158" Type="http://schemas.openxmlformats.org/officeDocument/2006/relationships/hyperlink" Target="https://www.bordeaux.fr/ebx/pgCRCM.psml?_nfpb=true&amp;_pageLabel=pgCRCM&amp;classofcontent=CM&amp;id=18562" TargetMode="External"/><Relationship Id="rId279" Type="http://schemas.openxmlformats.org/officeDocument/2006/relationships/hyperlink" Target="https://www.bordeaux.fr/p494/les-seances-du-conseil-municipal" TargetMode="External"/><Relationship Id="rId157" Type="http://schemas.openxmlformats.org/officeDocument/2006/relationships/hyperlink" Target="https://www.bordeaux.fr/p494/les-seances-du-conseil-municipal" TargetMode="External"/><Relationship Id="rId278" Type="http://schemas.openxmlformats.org/officeDocument/2006/relationships/hyperlink" Target="https://www.bordeaux.fr/ebx/pgCRCM.psml?_nfpb=true&amp;_pageLabel=pgCRCM&amp;classofcontent=CM&amp;id=18842" TargetMode="External"/><Relationship Id="rId156" Type="http://schemas.openxmlformats.org/officeDocument/2006/relationships/hyperlink" Target="https://www.bordeaux.fr/ebx/pgCRCM.psml?_nfpb=true&amp;_pageLabel=pgCRCM&amp;classofcontent=CM&amp;id=18562" TargetMode="External"/><Relationship Id="rId277" Type="http://schemas.openxmlformats.org/officeDocument/2006/relationships/hyperlink" Target="https://www.bordeaux.fr/p494/les-seances-du-conseil-municipal" TargetMode="External"/><Relationship Id="rId155" Type="http://schemas.openxmlformats.org/officeDocument/2006/relationships/hyperlink" Target="https://www.bordeaux.fr/p494/les-seances-du-conseil-municipal" TargetMode="External"/><Relationship Id="rId276" Type="http://schemas.openxmlformats.org/officeDocument/2006/relationships/hyperlink" Target="https://www.bordeaux.fr/ebx/pgCRCM.psml?_nfpb=true&amp;_pageLabel=pgCRCM&amp;classofcontent=CM&amp;id=18842" TargetMode="External"/><Relationship Id="rId107" Type="http://schemas.openxmlformats.org/officeDocument/2006/relationships/hyperlink" Target="https://www.bordeaux.fr/p494/les-seances-du-conseil-municipal" TargetMode="External"/><Relationship Id="rId228" Type="http://schemas.openxmlformats.org/officeDocument/2006/relationships/hyperlink" Target="https://www.bordeaux.fr/ebx/pgCRCM.psml?_nfpb=true&amp;_pageLabel=pgCRCM&amp;classofcontent=CM&amp;id=18762" TargetMode="External"/><Relationship Id="rId106" Type="http://schemas.openxmlformats.org/officeDocument/2006/relationships/hyperlink" Target="https://www.bordeaux.fr/ebx/pgCRCM.psml?_nfpb=true&amp;_pageLabel=pgCRCM&amp;classofcontent=CM&amp;id=18502" TargetMode="External"/><Relationship Id="rId227" Type="http://schemas.openxmlformats.org/officeDocument/2006/relationships/hyperlink" Target="https://www.bordeaux.fr/p494/les-seances-du-conseil-municipal" TargetMode="External"/><Relationship Id="rId105" Type="http://schemas.openxmlformats.org/officeDocument/2006/relationships/hyperlink" Target="https://www.bordeaux.fr/p494/les-seances-du-conseil-municipal" TargetMode="External"/><Relationship Id="rId226" Type="http://schemas.openxmlformats.org/officeDocument/2006/relationships/hyperlink" Target="https://www.bordeaux.fr/ebx/pgCRCM.psml?_nfpb=true&amp;_pageLabel=pgCRCM&amp;classofcontent=CM&amp;id=18762" TargetMode="External"/><Relationship Id="rId104" Type="http://schemas.openxmlformats.org/officeDocument/2006/relationships/hyperlink" Target="https://www.bordeaux.fr/ebx/pgCRCM.psml?_nfpb=true&amp;_pageLabel=pgCRCM&amp;classofcontent=CM&amp;id=18502" TargetMode="External"/><Relationship Id="rId225" Type="http://schemas.openxmlformats.org/officeDocument/2006/relationships/hyperlink" Target="https://www.bordeaux.fr/p494/les-seances-du-conseil-municipal" TargetMode="External"/><Relationship Id="rId109" Type="http://schemas.openxmlformats.org/officeDocument/2006/relationships/hyperlink" Target="https://www.bordeaux.fr/p494/les-seances-du-conseil-municipal" TargetMode="External"/><Relationship Id="rId108" Type="http://schemas.openxmlformats.org/officeDocument/2006/relationships/hyperlink" Target="https://www.bordeaux.fr/ebx/pgCRCM.psml?_nfpb=true&amp;_pageLabel=pgCRCM&amp;classofcontent=CM&amp;id=18502" TargetMode="External"/><Relationship Id="rId229" Type="http://schemas.openxmlformats.org/officeDocument/2006/relationships/hyperlink" Target="https://www.bordeaux.fr/p494/les-seances-du-conseil-municipal" TargetMode="External"/><Relationship Id="rId220" Type="http://schemas.openxmlformats.org/officeDocument/2006/relationships/hyperlink" Target="https://www.bordeaux.fr/ebx/pgCRCM.psml?_nfpb=true&amp;_pageLabel=pgCRCM&amp;classofcontent=CM&amp;id=18642" TargetMode="External"/><Relationship Id="rId341" Type="http://schemas.openxmlformats.org/officeDocument/2006/relationships/hyperlink" Target="https://www.bordeaux.fr/p494/les-seances-du-conseil-municipal" TargetMode="External"/><Relationship Id="rId340" Type="http://schemas.openxmlformats.org/officeDocument/2006/relationships/hyperlink" Target="https://www.bordeaux.fr/ebx/pgCRCM.psml?_nfpb=true&amp;_pageLabel=pgCRCM&amp;classofcontent=CM&amp;id=18942" TargetMode="External"/><Relationship Id="rId103" Type="http://schemas.openxmlformats.org/officeDocument/2006/relationships/hyperlink" Target="https://www.bordeaux.fr/p494/les-seances-du-conseil-municipal" TargetMode="External"/><Relationship Id="rId224" Type="http://schemas.openxmlformats.org/officeDocument/2006/relationships/hyperlink" Target="https://www.bordeaux.fr/ebx/pgCRCM.psml?_nfpb=true&amp;_pageLabel=pgCRCM&amp;classofcontent=CM&amp;id=18762" TargetMode="External"/><Relationship Id="rId102" Type="http://schemas.openxmlformats.org/officeDocument/2006/relationships/hyperlink" Target="https://www.bordeaux.fr/ebx/pgCRCM.psml?_nfpb=true&amp;_pageLabel=pgCRCM&amp;classofcontent=CM&amp;id=18422" TargetMode="External"/><Relationship Id="rId223" Type="http://schemas.openxmlformats.org/officeDocument/2006/relationships/hyperlink" Target="https://www.bordeaux.fr/p494/les-seances-du-conseil-municipal" TargetMode="External"/><Relationship Id="rId101" Type="http://schemas.openxmlformats.org/officeDocument/2006/relationships/hyperlink" Target="https://www.bordeaux.fr/p494/les-seances-du-conseil-municipal" TargetMode="External"/><Relationship Id="rId222" Type="http://schemas.openxmlformats.org/officeDocument/2006/relationships/hyperlink" Target="https://www.bordeaux.fr/ebx/pgCRCM.psml?_nfpb=true&amp;_pageLabel=pgCRCM&amp;classofcontent=CM&amp;id=18642" TargetMode="External"/><Relationship Id="rId343" Type="http://schemas.openxmlformats.org/officeDocument/2006/relationships/drawing" Target="../drawings/drawing36.xml"/><Relationship Id="rId100" Type="http://schemas.openxmlformats.org/officeDocument/2006/relationships/hyperlink" Target="https://www.bordeaux.fr/ebx/pgCRCM.psml?_nfpb=true&amp;_pageLabel=pgCRCM&amp;classofcontent=CM&amp;id=18422" TargetMode="External"/><Relationship Id="rId221" Type="http://schemas.openxmlformats.org/officeDocument/2006/relationships/hyperlink" Target="https://www.bordeaux.fr/p494/les-seances-du-conseil-municipal" TargetMode="External"/><Relationship Id="rId342" Type="http://schemas.openxmlformats.org/officeDocument/2006/relationships/hyperlink" Target="https://www.bordeaux.fr/ebx/pgCRCM.psml?_nfpb=true&amp;_pageLabel=pgCRCM&amp;classofcontent=CM&amp;id=18942" TargetMode="External"/><Relationship Id="rId217" Type="http://schemas.openxmlformats.org/officeDocument/2006/relationships/hyperlink" Target="https://www.bordeaux.fr/p494/les-seances-du-conseil-municipal" TargetMode="External"/><Relationship Id="rId338" Type="http://schemas.openxmlformats.org/officeDocument/2006/relationships/hyperlink" Target="https://www.bordeaux.fr/ebx/pgCRCM.psml?_nfpb=true&amp;_pageLabel=pgCRCM&amp;classofcontent=CM&amp;id=18942" TargetMode="External"/><Relationship Id="rId216" Type="http://schemas.openxmlformats.org/officeDocument/2006/relationships/hyperlink" Target="https://www.bordeaux.fr/ebx/pgCRCM.psml?_nfpb=true&amp;_pageLabel=pgCRCM&amp;classofcontent=CM&amp;id=18642" TargetMode="External"/><Relationship Id="rId337" Type="http://schemas.openxmlformats.org/officeDocument/2006/relationships/hyperlink" Target="https://www.bordeaux.fr/p494/les-seances-du-conseil-municipal" TargetMode="External"/><Relationship Id="rId215" Type="http://schemas.openxmlformats.org/officeDocument/2006/relationships/hyperlink" Target="https://www.bordeaux.fr/p494/les-seances-du-conseil-municipal" TargetMode="External"/><Relationship Id="rId336" Type="http://schemas.openxmlformats.org/officeDocument/2006/relationships/hyperlink" Target="https://www.bordeaux.fr/ebx/pgCRCM.psml?_nfpb=true&amp;_pageLabel=pgCRCM&amp;classofcontent=CM&amp;id=18942" TargetMode="External"/><Relationship Id="rId214" Type="http://schemas.openxmlformats.org/officeDocument/2006/relationships/hyperlink" Target="https://www.bordeaux.fr/ebx/pgCRCM.psml?_nfpb=true&amp;_pageLabel=pgCRCM&amp;classofcontent=CM&amp;id=18642" TargetMode="External"/><Relationship Id="rId335" Type="http://schemas.openxmlformats.org/officeDocument/2006/relationships/hyperlink" Target="https://www.bordeaux.fr/p494/les-seances-du-conseil-municipal" TargetMode="External"/><Relationship Id="rId219" Type="http://schemas.openxmlformats.org/officeDocument/2006/relationships/hyperlink" Target="https://www.bordeaux.fr/p494/les-seances-du-conseil-municipal" TargetMode="External"/><Relationship Id="rId218" Type="http://schemas.openxmlformats.org/officeDocument/2006/relationships/hyperlink" Target="https://www.bordeaux.fr/ebx/pgCRCM.psml?_nfpb=true&amp;_pageLabel=pgCRCM&amp;classofcontent=CM&amp;id=18642" TargetMode="External"/><Relationship Id="rId339" Type="http://schemas.openxmlformats.org/officeDocument/2006/relationships/hyperlink" Target="https://www.bordeaux.fr/p494/les-seances-du-conseil-municipal" TargetMode="External"/><Relationship Id="rId330" Type="http://schemas.openxmlformats.org/officeDocument/2006/relationships/hyperlink" Target="https://www.bordeaux.fr/ebx/pgCRCM.psml?_nfpb=true&amp;_pageLabel=pgCRCM&amp;classofcontent=CM&amp;id=18942" TargetMode="External"/><Relationship Id="rId213" Type="http://schemas.openxmlformats.org/officeDocument/2006/relationships/hyperlink" Target="https://www.bordeaux.fr/p494/les-seances-du-conseil-municipal" TargetMode="External"/><Relationship Id="rId334" Type="http://schemas.openxmlformats.org/officeDocument/2006/relationships/hyperlink" Target="https://www.bordeaux.fr/ebx/pgCRCM.psml?_nfpb=true&amp;_pageLabel=pgCRCM&amp;classofcontent=CM&amp;id=18942" TargetMode="External"/><Relationship Id="rId212" Type="http://schemas.openxmlformats.org/officeDocument/2006/relationships/hyperlink" Target="https://www.bordeaux.fr/ebx/pgCRCM.psml?_nfpb=true&amp;_pageLabel=pgCRCM&amp;classofcontent=CM&amp;id=18642" TargetMode="External"/><Relationship Id="rId333" Type="http://schemas.openxmlformats.org/officeDocument/2006/relationships/hyperlink" Target="https://www.bordeaux.fr/p494/les-seances-du-conseil-municipal" TargetMode="External"/><Relationship Id="rId211" Type="http://schemas.openxmlformats.org/officeDocument/2006/relationships/hyperlink" Target="https://www.bordeaux.fr/p494/les-seances-du-conseil-municipal" TargetMode="External"/><Relationship Id="rId332" Type="http://schemas.openxmlformats.org/officeDocument/2006/relationships/hyperlink" Target="https://www.bordeaux.fr/ebx/pgCRCM.psml?_nfpb=true&amp;_pageLabel=pgCRCM&amp;classofcontent=CM&amp;id=18942" TargetMode="External"/><Relationship Id="rId210" Type="http://schemas.openxmlformats.org/officeDocument/2006/relationships/hyperlink" Target="https://www.bordeaux.fr/ebx/pgCRCM.psml?_nfpb=true&amp;_pageLabel=pgCRCM&amp;classofcontent=CM&amp;id=18642" TargetMode="External"/><Relationship Id="rId331" Type="http://schemas.openxmlformats.org/officeDocument/2006/relationships/hyperlink" Target="https://www.bordeaux.fr/p494/les-seances-du-conseil-municipal" TargetMode="External"/><Relationship Id="rId129" Type="http://schemas.openxmlformats.org/officeDocument/2006/relationships/hyperlink" Target="https://www.bordeaux.fr/p494/les-seances-du-conseil-municipal" TargetMode="External"/><Relationship Id="rId128" Type="http://schemas.openxmlformats.org/officeDocument/2006/relationships/hyperlink" Target="https://www.bordeaux.fr/ebx/pgCRCM.psml?_nfpb=true&amp;_pageLabel=pgCRCM&amp;classofcontent=CM&amp;id=18502" TargetMode="External"/><Relationship Id="rId249" Type="http://schemas.openxmlformats.org/officeDocument/2006/relationships/hyperlink" Target="https://www.bordeaux.fr/p494/les-seances-du-conseil-municipal" TargetMode="External"/><Relationship Id="rId127" Type="http://schemas.openxmlformats.org/officeDocument/2006/relationships/hyperlink" Target="https://www.bordeaux.fr/p494/les-seances-du-conseil-municipal" TargetMode="External"/><Relationship Id="rId248" Type="http://schemas.openxmlformats.org/officeDocument/2006/relationships/hyperlink" Target="https://www.bordeaux.fr/ebx/pgCRCM.psml?_nfpb=true&amp;_pageLabel=pgCRCM&amp;classofcontent=CM&amp;id=18762" TargetMode="External"/><Relationship Id="rId126" Type="http://schemas.openxmlformats.org/officeDocument/2006/relationships/hyperlink" Target="https://www.bordeaux.fr/ebx/pgCRCM.psml?_nfpb=true&amp;_pageLabel=pgCRCM&amp;classofcontent=CM&amp;id=18502" TargetMode="External"/><Relationship Id="rId247" Type="http://schemas.openxmlformats.org/officeDocument/2006/relationships/hyperlink" Target="https://www.bordeaux.fr/p494/les-seances-du-conseil-municipal" TargetMode="External"/><Relationship Id="rId121" Type="http://schemas.openxmlformats.org/officeDocument/2006/relationships/hyperlink" Target="https://www.bordeaux.fr/p494/les-seances-du-conseil-municipal" TargetMode="External"/><Relationship Id="rId242" Type="http://schemas.openxmlformats.org/officeDocument/2006/relationships/hyperlink" Target="https://www.bordeaux.fr/ebx/pgCRCM.psml?_nfpb=true&amp;_pageLabel=pgCRCM&amp;classofcontent=CM&amp;id=18762" TargetMode="External"/><Relationship Id="rId120" Type="http://schemas.openxmlformats.org/officeDocument/2006/relationships/hyperlink" Target="https://www.bordeaux.fr/ebx/pgCRCM.psml?_nfpb=true&amp;_pageLabel=pgCRCM&amp;classofcontent=CM&amp;id=18502" TargetMode="External"/><Relationship Id="rId241" Type="http://schemas.openxmlformats.org/officeDocument/2006/relationships/hyperlink" Target="https://www.bordeaux.fr/p494/les-seances-du-conseil-municipal" TargetMode="External"/><Relationship Id="rId240" Type="http://schemas.openxmlformats.org/officeDocument/2006/relationships/hyperlink" Target="https://www.bordeaux.fr/ebx/pgCRCM.psml?_nfpb=true&amp;_pageLabel=pgCRCM&amp;classofcontent=CM&amp;id=18762" TargetMode="External"/><Relationship Id="rId125" Type="http://schemas.openxmlformats.org/officeDocument/2006/relationships/hyperlink" Target="https://www.bordeaux.fr/p494/les-seances-du-conseil-municipal" TargetMode="External"/><Relationship Id="rId246" Type="http://schemas.openxmlformats.org/officeDocument/2006/relationships/hyperlink" Target="https://www.bordeaux.fr/ebx/pgCRCM.psml?_nfpb=true&amp;_pageLabel=pgCRCM&amp;classofcontent=CM&amp;id=18762" TargetMode="External"/><Relationship Id="rId124" Type="http://schemas.openxmlformats.org/officeDocument/2006/relationships/hyperlink" Target="https://www.bordeaux.fr/ebx/pgCRCM.psml?_nfpb=true&amp;_pageLabel=pgCRCM&amp;classofcontent=CM&amp;id=18502" TargetMode="External"/><Relationship Id="rId245" Type="http://schemas.openxmlformats.org/officeDocument/2006/relationships/hyperlink" Target="https://www.bordeaux.fr/p494/les-seances-du-conseil-municipal" TargetMode="External"/><Relationship Id="rId123" Type="http://schemas.openxmlformats.org/officeDocument/2006/relationships/hyperlink" Target="https://www.bordeaux.fr/p494/les-seances-du-conseil-municipal" TargetMode="External"/><Relationship Id="rId244" Type="http://schemas.openxmlformats.org/officeDocument/2006/relationships/hyperlink" Target="https://www.bordeaux.fr/ebx/pgCRCM.psml?_nfpb=true&amp;_pageLabel=pgCRCM&amp;classofcontent=CM&amp;id=18762" TargetMode="External"/><Relationship Id="rId122" Type="http://schemas.openxmlformats.org/officeDocument/2006/relationships/hyperlink" Target="https://www.bordeaux.fr/ebx/pgCRCM.psml?_nfpb=true&amp;_pageLabel=pgCRCM&amp;classofcontent=CM&amp;id=18502" TargetMode="External"/><Relationship Id="rId243" Type="http://schemas.openxmlformats.org/officeDocument/2006/relationships/hyperlink" Target="https://www.bordeaux.fr/p494/les-seances-du-conseil-municipal" TargetMode="External"/><Relationship Id="rId95" Type="http://schemas.openxmlformats.org/officeDocument/2006/relationships/hyperlink" Target="https://www.bordeaux.fr/p494/les-seances-du-conseil-municipal" TargetMode="External"/><Relationship Id="rId94" Type="http://schemas.openxmlformats.org/officeDocument/2006/relationships/hyperlink" Target="https://www.bordeaux.fr/ebx/pgCRCM.psml?_nfpb=true&amp;_pageLabel=pgCRCM&amp;classofcontent=CM&amp;id=18422" TargetMode="External"/><Relationship Id="rId97" Type="http://schemas.openxmlformats.org/officeDocument/2006/relationships/hyperlink" Target="https://www.bordeaux.fr/p494/les-seances-du-conseil-municipal" TargetMode="External"/><Relationship Id="rId96" Type="http://schemas.openxmlformats.org/officeDocument/2006/relationships/hyperlink" Target="https://www.bordeaux.fr/ebx/pgCRCM.psml?_nfpb=true&amp;_pageLabel=pgCRCM&amp;classofcontent=CM&amp;id=18422" TargetMode="External"/><Relationship Id="rId99" Type="http://schemas.openxmlformats.org/officeDocument/2006/relationships/hyperlink" Target="https://www.bordeaux.fr/p494/les-seances-du-conseil-municipal" TargetMode="External"/><Relationship Id="rId98" Type="http://schemas.openxmlformats.org/officeDocument/2006/relationships/hyperlink" Target="https://www.bordeaux.fr/ebx/pgCRCM.psml?_nfpb=true&amp;_pageLabel=pgCRCM&amp;classofcontent=CM&amp;id=18422" TargetMode="External"/><Relationship Id="rId91" Type="http://schemas.openxmlformats.org/officeDocument/2006/relationships/hyperlink" Target="https://www.bordeaux.fr/p494/les-seances-du-conseil-municipal" TargetMode="External"/><Relationship Id="rId90" Type="http://schemas.openxmlformats.org/officeDocument/2006/relationships/hyperlink" Target="https://www.bordeaux.fr/ebx/pgCRCM.psml?_nfpb=true&amp;_pageLabel=pgCRCM&amp;classofcontent=CM&amp;id=18422" TargetMode="External"/><Relationship Id="rId93" Type="http://schemas.openxmlformats.org/officeDocument/2006/relationships/hyperlink" Target="https://www.bordeaux.fr/p494/les-seances-du-conseil-municipal" TargetMode="External"/><Relationship Id="rId92" Type="http://schemas.openxmlformats.org/officeDocument/2006/relationships/hyperlink" Target="https://www.bordeaux.fr/ebx/pgCRCM.psml?_nfpb=true&amp;_pageLabel=pgCRCM&amp;classofcontent=CM&amp;id=18422" TargetMode="External"/><Relationship Id="rId118" Type="http://schemas.openxmlformats.org/officeDocument/2006/relationships/hyperlink" Target="https://www.bordeaux.fr/ebx/pgCRCM.psml?_nfpb=true&amp;_pageLabel=pgCRCM&amp;classofcontent=CM&amp;id=18502" TargetMode="External"/><Relationship Id="rId239" Type="http://schemas.openxmlformats.org/officeDocument/2006/relationships/hyperlink" Target="https://www.bordeaux.fr/p494/les-seances-du-conseil-municipal" TargetMode="External"/><Relationship Id="rId117" Type="http://schemas.openxmlformats.org/officeDocument/2006/relationships/hyperlink" Target="https://www.bordeaux.fr/p494/les-seances-du-conseil-municipal" TargetMode="External"/><Relationship Id="rId238" Type="http://schemas.openxmlformats.org/officeDocument/2006/relationships/hyperlink" Target="https://www.bordeaux.fr/ebx/pgCRCM.psml?_nfpb=true&amp;_pageLabel=pgCRCM&amp;classofcontent=CM&amp;id=18762" TargetMode="External"/><Relationship Id="rId116" Type="http://schemas.openxmlformats.org/officeDocument/2006/relationships/hyperlink" Target="https://www.bordeaux.fr/ebx/pgCRCM.psml?_nfpb=true&amp;_pageLabel=pgCRCM&amp;classofcontent=CM&amp;id=18502" TargetMode="External"/><Relationship Id="rId237" Type="http://schemas.openxmlformats.org/officeDocument/2006/relationships/hyperlink" Target="https://www.bordeaux.fr/p494/les-seances-du-conseil-municipal" TargetMode="External"/><Relationship Id="rId115" Type="http://schemas.openxmlformats.org/officeDocument/2006/relationships/hyperlink" Target="https://www.bordeaux.fr/p494/les-seances-du-conseil-municipal" TargetMode="External"/><Relationship Id="rId236" Type="http://schemas.openxmlformats.org/officeDocument/2006/relationships/hyperlink" Target="https://www.bordeaux.fr/ebx/pgCRCM.psml?_nfpb=true&amp;_pageLabel=pgCRCM&amp;classofcontent=CM&amp;id=18762" TargetMode="External"/><Relationship Id="rId119" Type="http://schemas.openxmlformats.org/officeDocument/2006/relationships/hyperlink" Target="https://www.bordeaux.fr/p494/les-seances-du-conseil-municipal" TargetMode="External"/><Relationship Id="rId110" Type="http://schemas.openxmlformats.org/officeDocument/2006/relationships/hyperlink" Target="https://www.bordeaux.fr/ebx/pgCRCM.psml?_nfpb=true&amp;_pageLabel=pgCRCM&amp;classofcontent=CM&amp;id=18502" TargetMode="External"/><Relationship Id="rId231" Type="http://schemas.openxmlformats.org/officeDocument/2006/relationships/hyperlink" Target="https://www.bordeaux.fr/p494/les-seances-du-conseil-municipal" TargetMode="External"/><Relationship Id="rId230" Type="http://schemas.openxmlformats.org/officeDocument/2006/relationships/hyperlink" Target="https://www.bordeaux.fr/ebx/pgCRCM.psml?_nfpb=true&amp;_pageLabel=pgCRCM&amp;classofcontent=CM&amp;id=18762" TargetMode="External"/><Relationship Id="rId114" Type="http://schemas.openxmlformats.org/officeDocument/2006/relationships/hyperlink" Target="https://www.bordeaux.fr/ebx/pgCRCM.psml?_nfpb=true&amp;_pageLabel=pgCRCM&amp;classofcontent=CM&amp;id=18502" TargetMode="External"/><Relationship Id="rId235" Type="http://schemas.openxmlformats.org/officeDocument/2006/relationships/hyperlink" Target="https://www.bordeaux.fr/p494/les-seances-du-conseil-municipal" TargetMode="External"/><Relationship Id="rId113" Type="http://schemas.openxmlformats.org/officeDocument/2006/relationships/hyperlink" Target="https://www.bordeaux.fr/p494/les-seances-du-conseil-municipal" TargetMode="External"/><Relationship Id="rId234" Type="http://schemas.openxmlformats.org/officeDocument/2006/relationships/hyperlink" Target="https://www.bordeaux.fr/ebx/pgCRCM.psml?_nfpb=true&amp;_pageLabel=pgCRCM&amp;classofcontent=CM&amp;id=18762" TargetMode="External"/><Relationship Id="rId112" Type="http://schemas.openxmlformats.org/officeDocument/2006/relationships/hyperlink" Target="https://www.bordeaux.fr/ebx/pgCRCM.psml?_nfpb=true&amp;_pageLabel=pgCRCM&amp;classofcontent=CM&amp;id=18502" TargetMode="External"/><Relationship Id="rId233" Type="http://schemas.openxmlformats.org/officeDocument/2006/relationships/hyperlink" Target="https://www.bordeaux.fr/p494/les-seances-du-conseil-municipal" TargetMode="External"/><Relationship Id="rId111" Type="http://schemas.openxmlformats.org/officeDocument/2006/relationships/hyperlink" Target="https://www.bordeaux.fr/p494/les-seances-du-conseil-municipal" TargetMode="External"/><Relationship Id="rId232" Type="http://schemas.openxmlformats.org/officeDocument/2006/relationships/hyperlink" Target="https://www.bordeaux.fr/ebx/pgCRCM.psml?_nfpb=true&amp;_pageLabel=pgCRCM&amp;classofcontent=CM&amp;id=18762" TargetMode="External"/><Relationship Id="rId305" Type="http://schemas.openxmlformats.org/officeDocument/2006/relationships/hyperlink" Target="https://www.bordeaux.fr/p494/les-seances-du-conseil-municipal" TargetMode="External"/><Relationship Id="rId304" Type="http://schemas.openxmlformats.org/officeDocument/2006/relationships/hyperlink" Target="https://www.bordeaux.fr/ebx/pgCRCM.psml?_nfpb=true&amp;_pageLabel=pgCRCM&amp;classofcontent=CM&amp;id=18942" TargetMode="External"/><Relationship Id="rId303" Type="http://schemas.openxmlformats.org/officeDocument/2006/relationships/hyperlink" Target="https://www.bordeaux.fr/p494/les-seances-du-conseil-municipal" TargetMode="External"/><Relationship Id="rId302" Type="http://schemas.openxmlformats.org/officeDocument/2006/relationships/hyperlink" Target="https://www.bordeaux.fr/ebx/pgCRCM.psml?_nfpb=true&amp;_pageLabel=pgCRCM&amp;classofcontent=CM&amp;id=18842" TargetMode="External"/><Relationship Id="rId309" Type="http://schemas.openxmlformats.org/officeDocument/2006/relationships/hyperlink" Target="https://www.bordeaux.fr/p494/les-seances-du-conseil-municipal" TargetMode="External"/><Relationship Id="rId308" Type="http://schemas.openxmlformats.org/officeDocument/2006/relationships/hyperlink" Target="https://www.bordeaux.fr/ebx/pgCRCM.psml?_nfpb=true&amp;_pageLabel=pgCRCM&amp;classofcontent=CM&amp;id=18942" TargetMode="External"/><Relationship Id="rId307" Type="http://schemas.openxmlformats.org/officeDocument/2006/relationships/hyperlink" Target="https://www.bordeaux.fr/p494/les-seances-du-conseil-municipal" TargetMode="External"/><Relationship Id="rId306" Type="http://schemas.openxmlformats.org/officeDocument/2006/relationships/hyperlink" Target="https://www.bordeaux.fr/ebx/pgCRCM.psml?_nfpb=true&amp;_pageLabel=pgCRCM&amp;classofcontent=CM&amp;id=18942" TargetMode="External"/><Relationship Id="rId301" Type="http://schemas.openxmlformats.org/officeDocument/2006/relationships/hyperlink" Target="https://www.bordeaux.fr/p494/les-seances-du-conseil-municipal" TargetMode="External"/><Relationship Id="rId300" Type="http://schemas.openxmlformats.org/officeDocument/2006/relationships/hyperlink" Target="https://www.bordeaux.fr/ebx/pgCRCM.psml?_nfpb=true&amp;_pageLabel=pgCRCM&amp;classofcontent=CM&amp;id=18842" TargetMode="External"/><Relationship Id="rId206" Type="http://schemas.openxmlformats.org/officeDocument/2006/relationships/hyperlink" Target="https://www.bordeaux.fr/ebx/pgCRCM.psml?_nfpb=true&amp;_pageLabel=pgCRCM&amp;classofcontent=CM&amp;id=18642" TargetMode="External"/><Relationship Id="rId327" Type="http://schemas.openxmlformats.org/officeDocument/2006/relationships/hyperlink" Target="https://www.bordeaux.fr/p494/les-seances-du-conseil-municipal" TargetMode="External"/><Relationship Id="rId205" Type="http://schemas.openxmlformats.org/officeDocument/2006/relationships/hyperlink" Target="https://www.bordeaux.fr/p494/les-seances-du-conseil-municipal" TargetMode="External"/><Relationship Id="rId326" Type="http://schemas.openxmlformats.org/officeDocument/2006/relationships/hyperlink" Target="https://www.bordeaux.fr/ebx/pgCRCM.psml?_nfpb=true&amp;_pageLabel=pgCRCM&amp;classofcontent=CM&amp;id=18942" TargetMode="External"/><Relationship Id="rId204" Type="http://schemas.openxmlformats.org/officeDocument/2006/relationships/hyperlink" Target="https://www.bordeaux.fr/ebx/pgCRCM.psml?_nfpb=true&amp;_pageLabel=pgCRCM&amp;classofcontent=CM&amp;id=18642" TargetMode="External"/><Relationship Id="rId325" Type="http://schemas.openxmlformats.org/officeDocument/2006/relationships/hyperlink" Target="https://www.bordeaux.fr/p494/les-seances-du-conseil-municipal" TargetMode="External"/><Relationship Id="rId203" Type="http://schemas.openxmlformats.org/officeDocument/2006/relationships/hyperlink" Target="https://www.bordeaux.fr/p494/les-seances-du-conseil-municipal" TargetMode="External"/><Relationship Id="rId324" Type="http://schemas.openxmlformats.org/officeDocument/2006/relationships/hyperlink" Target="https://www.bordeaux.fr/ebx/pgCRCM.psml?_nfpb=true&amp;_pageLabel=pgCRCM&amp;classofcontent=CM&amp;id=18942" TargetMode="External"/><Relationship Id="rId209" Type="http://schemas.openxmlformats.org/officeDocument/2006/relationships/hyperlink" Target="https://www.bordeaux.fr/p494/les-seances-du-conseil-municipal" TargetMode="External"/><Relationship Id="rId208" Type="http://schemas.openxmlformats.org/officeDocument/2006/relationships/hyperlink" Target="https://www.bordeaux.fr/ebx/pgCRCM.psml?_nfpb=true&amp;_pageLabel=pgCRCM&amp;classofcontent=CM&amp;id=18642" TargetMode="External"/><Relationship Id="rId329" Type="http://schemas.openxmlformats.org/officeDocument/2006/relationships/hyperlink" Target="https://www.bordeaux.fr/p494/les-seances-du-conseil-municipal" TargetMode="External"/><Relationship Id="rId207" Type="http://schemas.openxmlformats.org/officeDocument/2006/relationships/hyperlink" Target="https://www.bordeaux.fr/p494/les-seances-du-conseil-municipal" TargetMode="External"/><Relationship Id="rId328" Type="http://schemas.openxmlformats.org/officeDocument/2006/relationships/hyperlink" Target="https://www.bordeaux.fr/ebx/pgCRCM.psml?_nfpb=true&amp;_pageLabel=pgCRCM&amp;classofcontent=CM&amp;id=18942" TargetMode="External"/><Relationship Id="rId202" Type="http://schemas.openxmlformats.org/officeDocument/2006/relationships/hyperlink" Target="https://www.bordeaux.fr/ebx/pgCRCM.psml?_nfpb=true&amp;_pageLabel=pgCRCM&amp;classofcontent=CM&amp;id=18642" TargetMode="External"/><Relationship Id="rId323" Type="http://schemas.openxmlformats.org/officeDocument/2006/relationships/hyperlink" Target="https://www.bordeaux.fr/p494/les-seances-du-conseil-municipal" TargetMode="External"/><Relationship Id="rId201" Type="http://schemas.openxmlformats.org/officeDocument/2006/relationships/hyperlink" Target="https://www.bordeaux.fr/p494/les-seances-du-conseil-municipal" TargetMode="External"/><Relationship Id="rId322" Type="http://schemas.openxmlformats.org/officeDocument/2006/relationships/hyperlink" Target="https://www.bordeaux.fr/ebx/pgCRCM.psml?_nfpb=true&amp;_pageLabel=pgCRCM&amp;classofcontent=CM&amp;id=18942" TargetMode="External"/><Relationship Id="rId200" Type="http://schemas.openxmlformats.org/officeDocument/2006/relationships/hyperlink" Target="https://www.bordeaux.fr/ebx/pgCRCM.psml?_nfpb=true&amp;_pageLabel=pgCRCM&amp;classofcontent=CM&amp;id=18642" TargetMode="External"/><Relationship Id="rId321" Type="http://schemas.openxmlformats.org/officeDocument/2006/relationships/hyperlink" Target="https://www.bordeaux.fr/p494/les-seances-du-conseil-municipal" TargetMode="External"/><Relationship Id="rId320" Type="http://schemas.openxmlformats.org/officeDocument/2006/relationships/hyperlink" Target="https://www.bordeaux.fr/ebx/pgCRCM.psml?_nfpb=true&amp;_pageLabel=pgCRCM&amp;classofcontent=CM&amp;id=18942" TargetMode="External"/><Relationship Id="rId316" Type="http://schemas.openxmlformats.org/officeDocument/2006/relationships/hyperlink" Target="https://www.bordeaux.fr/ebx/pgCRCM.psml?_nfpb=true&amp;_pageLabel=pgCRCM&amp;classofcontent=CM&amp;id=18942" TargetMode="External"/><Relationship Id="rId315" Type="http://schemas.openxmlformats.org/officeDocument/2006/relationships/hyperlink" Target="https://www.bordeaux.fr/p494/les-seances-du-conseil-municipal" TargetMode="External"/><Relationship Id="rId314" Type="http://schemas.openxmlformats.org/officeDocument/2006/relationships/hyperlink" Target="https://www.bordeaux.fr/ebx/pgCRCM.psml?_nfpb=true&amp;_pageLabel=pgCRCM&amp;classofcontent=CM&amp;id=18942" TargetMode="External"/><Relationship Id="rId313" Type="http://schemas.openxmlformats.org/officeDocument/2006/relationships/hyperlink" Target="https://www.bordeaux.fr/p494/les-seances-du-conseil-municipal" TargetMode="External"/><Relationship Id="rId319" Type="http://schemas.openxmlformats.org/officeDocument/2006/relationships/hyperlink" Target="https://www.bordeaux.fr/p494/les-seances-du-conseil-municipal" TargetMode="External"/><Relationship Id="rId318" Type="http://schemas.openxmlformats.org/officeDocument/2006/relationships/hyperlink" Target="https://www.bordeaux.fr/ebx/pgCRCM.psml?_nfpb=true&amp;_pageLabel=pgCRCM&amp;classofcontent=CM&amp;id=18942" TargetMode="External"/><Relationship Id="rId317" Type="http://schemas.openxmlformats.org/officeDocument/2006/relationships/hyperlink" Target="https://www.bordeaux.fr/p494/les-seances-du-conseil-municipal" TargetMode="External"/><Relationship Id="rId312" Type="http://schemas.openxmlformats.org/officeDocument/2006/relationships/hyperlink" Target="https://www.bordeaux.fr/ebx/pgCRCM.psml?_nfpb=true&amp;_pageLabel=pgCRCM&amp;classofcontent=CM&amp;id=18942" TargetMode="External"/><Relationship Id="rId311" Type="http://schemas.openxmlformats.org/officeDocument/2006/relationships/hyperlink" Target="https://www.bordeaux.fr/p494/les-seances-du-conseil-municipal" TargetMode="External"/><Relationship Id="rId310" Type="http://schemas.openxmlformats.org/officeDocument/2006/relationships/hyperlink" Target="https://www.bordeaux.fr/ebx/pgCRCM.psml?_nfpb=true&amp;_pageLabel=pgCRCM&amp;classofcontent=CM&amp;id=1894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2.0"/>
  </cols>
  <sheetData>
    <row r="1">
      <c r="A1" s="1" t="str">
        <f>IFERROR(__xludf.DUMMYFUNCTION("IMPORTHTML(""https://fr.wikipedia.org/wiki/Liste_de_tsunamis_notables"",""table"")"),"Date")</f>
        <v>Date</v>
      </c>
      <c r="B1" s="1" t="str">
        <f>IFERROR(__xludf.DUMMYFUNCTION("""COMPUTED_VALUE"""),"Lieu")</f>
        <v>Lieu</v>
      </c>
      <c r="C1" s="1" t="str">
        <f>IFERROR(__xludf.DUMMYFUNCTION("""COMPUTED_VALUE"""),"Victimes")</f>
        <v>Victimes</v>
      </c>
      <c r="D1" s="1" t="str">
        <f>IFERROR(__xludf.DUMMYFUNCTION("""COMPUTED_VALUE"""),"Hauteur")</f>
        <v>Hauteur</v>
      </c>
      <c r="E1" s="1" t="str">
        <f>IFERROR(__xludf.DUMMYFUNCTION("""COMPUTED_VALUE"""),"Origine")</f>
        <v>Origine</v>
      </c>
      <c r="F1" s="2" t="str">
        <f>IFERROR(__xludf.DUMMYFUNCTION("""COMPUTED_VALUE"""),"Description")</f>
        <v>Description</v>
      </c>
      <c r="G1" s="1"/>
      <c r="H1" s="1"/>
      <c r="I1" s="1"/>
      <c r="J1" s="1"/>
      <c r="K1" s="1"/>
      <c r="L1" s="1"/>
      <c r="M1" s="1"/>
      <c r="N1" s="1"/>
      <c r="O1" s="1"/>
      <c r="P1" s="1"/>
      <c r="Q1" s="1"/>
      <c r="R1" s="1"/>
      <c r="S1" s="1"/>
      <c r="T1" s="1"/>
      <c r="U1" s="1"/>
      <c r="V1" s="1"/>
      <c r="W1" s="1"/>
      <c r="X1" s="1"/>
      <c r="Y1" s="1"/>
      <c r="Z1" s="1"/>
    </row>
    <row r="2">
      <c r="A2" s="3">
        <f>IFERROR(__xludf.DUMMYFUNCTION("""COMPUTED_VALUE"""),-6.6038E7)</f>
        <v>-66038000</v>
      </c>
      <c r="B2" s="3" t="str">
        <f>IFERROR(__xludf.DUMMYFUNCTION("""COMPUTED_VALUE"""),"Mexique")</f>
        <v>Mexique</v>
      </c>
      <c r="C2" s="3"/>
      <c r="D2" s="3" t="str">
        <f>IFERROR(__xludf.DUMMYFUNCTION("""COMPUTED_VALUE"""),"1 500 m[1]")</f>
        <v>1 500 m[1]</v>
      </c>
      <c r="E2" s="3" t="str">
        <f>IFERROR(__xludf.DUMMYFUNCTION("""COMPUTED_VALUE"""),"Météorite")</f>
        <v>Météorite</v>
      </c>
      <c r="F2" s="4" t="str">
        <f>IFERROR(__xludf.DUMMYFUNCTION("""COMPUTED_VALUE"""),"Séparation Crétacé-Tertiaire. Une météorite s'écrase au large de la péninsule 
du Yucatán (actuel Mexique) provoquant probablement la fin des dinosaures 
non aviens, mais aussi un tsunami, dont les séquences, de 40 m d'épaisseur, 
sont visibles près de Cu"&amp;"ba. 
Article détaillé : Cratère de Chicxulub.")</f>
        <v>Séparation Crétacé-Tertiaire. Une météorite s'écrase au large de la péninsule 
du Yucatán (actuel Mexique) provoquant probablement la fin des dinosaures 
non aviens, mais aussi un tsunami, dont les séquences, de 40 m d'épaisseur, 
sont visibles près de Cuba. 
Article détaillé : Cratère de Chicxulub.</v>
      </c>
      <c r="M2" s="5"/>
      <c r="N2" s="5"/>
      <c r="O2" s="5"/>
      <c r="P2" s="5"/>
      <c r="Q2" s="5"/>
      <c r="R2" s="5"/>
    </row>
    <row r="3">
      <c r="A3" s="3">
        <f>IFERROR(__xludf.DUMMYFUNCTION("""COMPUTED_VALUE"""),-1400000.0)</f>
        <v>-1400000</v>
      </c>
      <c r="B3" s="3" t="str">
        <f>IFERROR(__xludf.DUMMYFUNCTION("""COMPUTED_VALUE"""),"États-Unis")</f>
        <v>États-Unis</v>
      </c>
      <c r="C3" s="3"/>
      <c r="D3" s="3" t="str">
        <f>IFERROR(__xludf.DUMMYFUNCTION("""COMPUTED_VALUE"""),"610 m")</f>
        <v>610 m</v>
      </c>
      <c r="E3" s="3" t="str">
        <f>IFERROR(__xludf.DUMMYFUNCTION("""COMPUTED_VALUE"""),"Effondrement")</f>
        <v>Effondrement</v>
      </c>
      <c r="F3" s="2" t="str">
        <f>IFERROR(__xludf.DUMMYFUNCTION("""COMPUTED_VALUE"""),"Un tiers du volcan Molokai Est, à Molokai (Hawaii) s'est effondré dans 
l'océan Pacifique, générant un tsunami d'une hauteur locale estimée à 610 
mètres. La vague a atteint la Californie et le Mexique[2],[3],[4].")</f>
        <v>Un tiers du volcan Molokai Est, à Molokai (Hawaii) s'est effondré dans 
l'océan Pacifique, générant un tsunami d'une hauteur locale estimée à 610 
mètres. La vague a atteint la Californie et le Mexique[2],[3],[4].</v>
      </c>
      <c r="M3" s="6"/>
      <c r="N3" s="6"/>
      <c r="O3" s="7"/>
      <c r="P3" s="6"/>
      <c r="Q3" s="6"/>
      <c r="R3" s="6"/>
    </row>
    <row r="4">
      <c r="A4" s="3">
        <f>IFERROR(__xludf.DUMMYFUNCTION("""COMPUTED_VALUE"""),-73000.0)</f>
        <v>-73000</v>
      </c>
      <c r="B4" s="3" t="str">
        <f>IFERROR(__xludf.DUMMYFUNCTION("""COMPUTED_VALUE"""),"Cap-Vert")</f>
        <v>Cap-Vert</v>
      </c>
      <c r="C4" s="3"/>
      <c r="D4" s="3" t="str">
        <f>IFERROR(__xludf.DUMMYFUNCTION("""COMPUTED_VALUE"""),"170 m")</f>
        <v>170 m</v>
      </c>
      <c r="E4" s="3" t="str">
        <f>IFERROR(__xludf.DUMMYFUNCTION("""COMPUTED_VALUE"""),"Effondrement")</f>
        <v>Effondrement</v>
      </c>
      <c r="F4" s="2" t="str">
        <f>IFERROR(__xludf.DUMMYFUNCTION("""COMPUTED_VALUE"""),"Effondrement du flanc est du volcan Pico do Fogo de l'île Fogo au Cap-Vert, 
provoquant un mégatsunami de 170 m de haut sur l'île de Santiago à 50 km de 
là[5].")</f>
        <v>Effondrement du flanc est du volcan Pico do Fogo de l'île Fogo au Cap-Vert, 
provoquant un mégatsunami de 170 m de haut sur l'île de Santiago à 50 km de 
là[5].</v>
      </c>
      <c r="M4" s="6"/>
      <c r="N4" s="6"/>
      <c r="O4" s="7"/>
      <c r="P4" s="6"/>
      <c r="Q4" s="6"/>
      <c r="R4" s="6"/>
    </row>
    <row r="5">
      <c r="A5" s="3" t="str">
        <f>IFERROR(__xludf.DUMMYFUNCTION("""COMPUTED_VALUE"""),"−9 900 (env.)")</f>
        <v>−9 900 (env.)</v>
      </c>
      <c r="B5" s="3" t="str">
        <f>IFERROR(__xludf.DUMMYFUNCTION("""COMPUTED_VALUE"""),"Israël")</f>
        <v>Israël</v>
      </c>
      <c r="C5" s="3"/>
      <c r="D5" s="3" t="str">
        <f>IFERROR(__xludf.DUMMYFUNCTION("""COMPUTED_VALUE"""),"16 m")</f>
        <v>16 m</v>
      </c>
      <c r="E5" s="3"/>
      <c r="F5" s="2" t="str">
        <f>IFERROR(__xludf.DUMMYFUNCTION("""COMPUTED_VALUE"""),"Un méga-tsunami s'écrase sur les côtes de Dor en Israel, avançant jusqu'à 
3,5 km à l'intérieur des terres depuis l'ancienne côte de la Méditerranée 
orientale. Il atteint environ 16 mètres lors de l'impact avec la côte[6].")</f>
        <v>Un méga-tsunami s'écrase sur les côtes de Dor en Israel, avançant jusqu'à 
3,5 km à l'intérieur des terres depuis l'ancienne côte de la Méditerranée 
orientale. Il atteint environ 16 mètres lors de l'impact avec la côte[6].</v>
      </c>
      <c r="M5" s="6"/>
      <c r="N5" s="6"/>
      <c r="O5" s="7"/>
      <c r="P5" s="6"/>
      <c r="Q5" s="6"/>
      <c r="R5" s="6"/>
    </row>
    <row r="6">
      <c r="A6" s="3" t="str">
        <f>IFERROR(__xludf.DUMMYFUNCTION("""COMPUTED_VALUE"""),"-6200 (env.)")</f>
        <v>-6200 (env.)</v>
      </c>
      <c r="B6" s="3" t="str">
        <f>IFERROR(__xludf.DUMMYFUNCTION("""COMPUTED_VALUE"""),"Norvège")</f>
        <v>Norvège</v>
      </c>
      <c r="C6" s="3"/>
      <c r="D6" s="3" t="str">
        <f>IFERROR(__xludf.DUMMYFUNCTION("""COMPUTED_VALUE"""),"20 m")</f>
        <v>20 m</v>
      </c>
      <c r="E6" s="3" t="str">
        <f>IFERROR(__xludf.DUMMYFUNCTION("""COMPUTED_VALUE"""),"Effondrement")</f>
        <v>Effondrement</v>
      </c>
      <c r="F6" s="2" t="str">
        <f>IFERROR(__xludf.DUMMYFUNCTION("""COMPUTED_VALUE"""),"Glissements de terrain sous-marin en mer de Norvège ayant provoqué un 
tsunami jusqu'en Écosse. 
Article détaillé : Glissements de terrain de Storegga.")</f>
        <v>Glissements de terrain sous-marin en mer de Norvège ayant provoqué un 
tsunami jusqu'en Écosse. 
Article détaillé : Glissements de terrain de Storegga.</v>
      </c>
      <c r="M6" s="6"/>
      <c r="N6" s="6"/>
      <c r="O6" s="7"/>
      <c r="P6" s="6"/>
      <c r="Q6" s="7"/>
      <c r="R6" s="6"/>
    </row>
    <row r="7">
      <c r="A7" s="3" t="str">
        <f>IFERROR(__xludf.DUMMYFUNCTION("""COMPUTED_VALUE"""),"-3500 (env.)")</f>
        <v>-3500 (env.)</v>
      </c>
      <c r="B7" s="3" t="str">
        <f>IFERROR(__xludf.DUMMYFUNCTION("""COMPUTED_VALUE"""),"Écosse")</f>
        <v>Écosse</v>
      </c>
      <c r="C7" s="3"/>
      <c r="D7" s="3"/>
      <c r="E7" s="3" t="str">
        <f>IFERROR(__xludf.DUMMYFUNCTION("""COMPUTED_VALUE"""),"Non-déterminé")</f>
        <v>Non-déterminé</v>
      </c>
      <c r="F7" s="2" t="str">
        <f>IFERROR(__xludf.DUMMYFUNCTION("""COMPUTED_VALUE"""),"Le tsunami de Garth est un tsunami préhistorique qui s'est produit au large 
des îles Shetland. Son origine est inconnue ; des événements d'impact, des 
tremblements de terre et des glissements de terrain sous-marins similaires 
au glissement de Storegga "&amp;"en Norvège ont été proposés comme facteurs 
contribuant à cet événement. Très meurtrier, il laisse derrière lui les 
premiers exemples connus de charniers humains.
Article détaillé : Tsunami de Garth.")</f>
        <v>Le tsunami de Garth est un tsunami préhistorique qui s'est produit au large 
des îles Shetland. Son origine est inconnue ; des événements d'impact, des 
tremblements de terre et des glissements de terrain sous-marins similaires 
au glissement de Storegga en Norvège ont été proposés comme facteurs 
contribuant à cet événement. Très meurtrier, il laisse derrière lui les 
premiers exemples connus de charniers humains.
Article détaillé : Tsunami de Garth.</v>
      </c>
      <c r="M7" s="6"/>
      <c r="N7" s="6"/>
      <c r="O7" s="7"/>
      <c r="P7" s="6"/>
      <c r="Q7" s="6"/>
      <c r="R7" s="6"/>
    </row>
    <row r="8">
      <c r="A8" s="3" t="str">
        <f>IFERROR(__xludf.DUMMYFUNCTION("""COMPUTED_VALUE"""),"-2000 (env.)")</f>
        <v>-2000 (env.)</v>
      </c>
      <c r="B8" s="3" t="str">
        <f>IFERROR(__xludf.DUMMYFUNCTION("""COMPUTED_VALUE"""),"Syrie")</f>
        <v>Syrie</v>
      </c>
      <c r="C8" s="3"/>
      <c r="D8" s="3"/>
      <c r="E8" s="3"/>
      <c r="F8" s="2" t="str">
        <f>IFERROR(__xludf.DUMMYFUNCTION("""COMPUTED_VALUE"""),"Tsunami le long des côtes de la Syrie[réf. souhaitée].")</f>
        <v>Tsunami le long des côtes de la Syrie[réf. souhaitée].</v>
      </c>
      <c r="M8" s="6"/>
      <c r="N8" s="6"/>
      <c r="O8" s="7"/>
      <c r="P8" s="7"/>
      <c r="Q8" s="6"/>
      <c r="R8" s="6"/>
    </row>
    <row r="9">
      <c r="A9" s="3" t="str">
        <f>IFERROR(__xludf.DUMMYFUNCTION("""COMPUTED_VALUE"""),"-1600 (env.)")</f>
        <v>-1600 (env.)</v>
      </c>
      <c r="B9" s="3" t="str">
        <f>IFERROR(__xludf.DUMMYFUNCTION("""COMPUTED_VALUE"""),"Grèce")</f>
        <v>Grèce</v>
      </c>
      <c r="C9" s="3"/>
      <c r="D9" s="3" t="str">
        <f>IFERROR(__xludf.DUMMYFUNCTION("""COMPUTED_VALUE"""),"20 m")</f>
        <v>20 m</v>
      </c>
      <c r="E9" s="3" t="str">
        <f>IFERROR(__xludf.DUMMYFUNCTION("""COMPUTED_VALUE"""),"Volcan")</f>
        <v>Volcan</v>
      </c>
      <c r="F9" s="2" t="str">
        <f>IFERROR(__xludf.DUMMYFUNCTION("""COMPUTED_VALUE"""),"L'éruption du volcan de l'île grecque de Santorin provoque un tsunami d'une 
vingtaine de mètres en Crète qui contribue à la disparition de la civilisation 
minoenne. 
Article détaillé : Éruption minoenne.")</f>
        <v>L'éruption du volcan de l'île grecque de Santorin provoque un tsunami d'une 
vingtaine de mètres en Crète qui contribue à la disparition de la civilisation 
minoenne. 
Article détaillé : Éruption minoenne.</v>
      </c>
      <c r="M9" s="6"/>
      <c r="N9" s="6"/>
      <c r="O9" s="7"/>
      <c r="P9" s="7"/>
      <c r="Q9" s="7"/>
      <c r="R9" s="6"/>
    </row>
    <row r="10">
      <c r="A10" s="3">
        <f>IFERROR(__xludf.DUMMYFUNCTION("""COMPUTED_VALUE"""),-479.0)</f>
        <v>-479</v>
      </c>
      <c r="B10" s="3" t="str">
        <f>IFERROR(__xludf.DUMMYFUNCTION("""COMPUTED_VALUE"""),"Grèce")</f>
        <v>Grèce</v>
      </c>
      <c r="C10" s="3"/>
      <c r="D10" s="3" t="str">
        <f>IFERROR(__xludf.DUMMYFUNCTION("""COMPUTED_VALUE"""),"2 m")</f>
        <v>2 m</v>
      </c>
      <c r="E10" s="3" t="str">
        <f>IFERROR(__xludf.DUMMYFUNCTION("""COMPUTED_VALUE"""),"Séisme")</f>
        <v>Séisme</v>
      </c>
      <c r="F10" s="2" t="str">
        <f>IFERROR(__xludf.DUMMYFUNCTION("""COMPUTED_VALUE"""),"Les troupes perses à l'assaut de la ville de Potidée, en Chalcidique, sont 
emportées par un tsunami. L’événement, décrit par Hérodote une trentaine 
d'années plus tard, pourrait être la plus ancienne description connue du 
phénomène[7].
Article détaillé "&amp;": Tsunami de 479 av. J.-C. en mer Égée.")</f>
        <v>Les troupes perses à l'assaut de la ville de Potidée, en Chalcidique, sont 
emportées par un tsunami. L’événement, décrit par Hérodote une trentaine 
d'années plus tard, pourrait être la plus ancienne description connue du 
phénomène[7].
Article détaillé : Tsunami de 479 av. J.-C. en mer Égée.</v>
      </c>
      <c r="M10" s="6"/>
      <c r="N10" s="6"/>
      <c r="O10" s="7"/>
      <c r="P10" s="6"/>
      <c r="Q10" s="6"/>
      <c r="R10" s="6"/>
    </row>
    <row r="11">
      <c r="A11" s="3">
        <f>IFERROR(__xludf.DUMMYFUNCTION("""COMPUTED_VALUE"""),-373.0)</f>
        <v>-373</v>
      </c>
      <c r="B11" s="3" t="str">
        <f>IFERROR(__xludf.DUMMYFUNCTION("""COMPUTED_VALUE"""),"Grèce")</f>
        <v>Grèce</v>
      </c>
      <c r="C11" s="3" t="str">
        <f>IFERROR(__xludf.DUMMYFUNCTION("""COMPUTED_VALUE"""),"inconnue")</f>
        <v>inconnue</v>
      </c>
      <c r="D11" s="3"/>
      <c r="E11" s="3" t="str">
        <f>IFERROR(__xludf.DUMMYFUNCTION("""COMPUTED_VALUE"""),"Séisme")</f>
        <v>Séisme</v>
      </c>
      <c r="F11" s="2" t="str">
        <f>IFERROR(__xludf.DUMMYFUNCTION("""COMPUTED_VALUE"""),"Un séisme suivi d'un tsunami sur la côte nord de l'Achaïe provoque la 
destruction et l'engloutissement de la cité grecque d'Hélikè et de la plus 
grande partie de son territoire[8]. Ses ruines ont été localisées en 2001[9].")</f>
        <v>Un séisme suivi d'un tsunami sur la côte nord de l'Achaïe provoque la 
destruction et l'engloutissement de la cité grecque d'Hélikè et de la plus 
grande partie de son territoire[8]. Ses ruines ont été localisées en 2001[9].</v>
      </c>
      <c r="M11" s="6"/>
      <c r="N11" s="6"/>
      <c r="O11" s="7"/>
      <c r="P11" s="6"/>
      <c r="Q11" s="6"/>
      <c r="R11" s="6"/>
    </row>
    <row r="12">
      <c r="A12" s="8">
        <f>IFERROR(__xludf.DUMMYFUNCTION("""COMPUTED_VALUE"""),-560444.0)</f>
        <v>-560444</v>
      </c>
      <c r="B12" s="3" t="str">
        <f>IFERROR(__xludf.DUMMYFUNCTION("""COMPUTED_VALUE"""),"Grèce
 Égypte
 Libye")</f>
        <v>Grèce
 Égypte
 Libye</v>
      </c>
      <c r="C12" s="3" t="str">
        <f>IFERROR(__xludf.DUMMYFUNCTION("""COMPUTED_VALUE"""),"5 000[10]")</f>
        <v>5 000[10]</v>
      </c>
      <c r="D12" s="3"/>
      <c r="E12" s="3" t="str">
        <f>IFERROR(__xludf.DUMMYFUNCTION("""COMPUTED_VALUE"""),"Séisme")</f>
        <v>Séisme</v>
      </c>
      <c r="F12" s="2" t="str">
        <f>IFERROR(__xludf.DUMMYFUNCTION("""COMPUTED_VALUE"""),"Séisme et tsunami ressentis dans toute la Méditerranée orientale et 
notamment à Alexandrie[11]
Article détaillé : Séisme du 21 juillet 365 en Crète.")</f>
        <v>Séisme et tsunami ressentis dans toute la Méditerranée orientale et 
notamment à Alexandrie[11]
Article détaillé : Séisme du 21 juillet 365 en Crète.</v>
      </c>
      <c r="M12" s="9"/>
      <c r="N12" s="6"/>
      <c r="O12" s="10"/>
      <c r="P12" s="7"/>
      <c r="Q12" s="6"/>
      <c r="R12" s="6"/>
    </row>
    <row r="13">
      <c r="A13" s="3">
        <f>IFERROR(__xludf.DUMMYFUNCTION("""COMPUTED_VALUE"""),563.0)</f>
        <v>563</v>
      </c>
      <c r="B13" s="3" t="str">
        <f>IFERROR(__xludf.DUMMYFUNCTION("""COMPUTED_VALUE"""),"Suisse
 France")</f>
        <v>Suisse
 France</v>
      </c>
      <c r="C13" s="3"/>
      <c r="D13" s="3" t="str">
        <f>IFERROR(__xludf.DUMMYFUNCTION("""COMPUTED_VALUE"""),"13 m")</f>
        <v>13 m</v>
      </c>
      <c r="E13" s="3" t="str">
        <f>IFERROR(__xludf.DUMMYFUNCTION("""COMPUTED_VALUE"""),"Effondrement")</f>
        <v>Effondrement</v>
      </c>
      <c r="F13" s="2" t="str">
        <f>IFERROR(__xludf.DUMMYFUNCTION("""COMPUTED_VALUE"""),"Effondrement du Tauredunum à plusieurs kilomètres du Léman ; l'onde atteint 
le lac, ébranle les sédiments lacustres et provoque un tsunami de 8 m sur 
les villes d'Évian-les-Bains et Genève, et 13 m sur Lausanne[12].")</f>
        <v>Effondrement du Tauredunum à plusieurs kilomètres du Léman ; l'onde atteint 
le lac, ébranle les sédiments lacustres et provoque un tsunami de 8 m sur 
les villes d'Évian-les-Bains et Genève, et 13 m sur Lausanne[12].</v>
      </c>
      <c r="M13" s="6"/>
      <c r="N13" s="6"/>
      <c r="O13" s="7"/>
      <c r="P13" s="6"/>
      <c r="Q13" s="6"/>
      <c r="R13" s="6"/>
    </row>
    <row r="14">
      <c r="A14" s="8">
        <f>IFERROR(__xludf.DUMMYFUNCTION("""COMPUTED_VALUE"""),-120490.0)</f>
        <v>-120490</v>
      </c>
      <c r="B14" s="3" t="str">
        <f>IFERROR(__xludf.DUMMYFUNCTION("""COMPUTED_VALUE"""),"Chili")</f>
        <v>Chili</v>
      </c>
      <c r="C14" s="3">
        <f>IFERROR(__xludf.DUMMYFUNCTION("""COMPUTED_VALUE"""),2000.0)</f>
        <v>2000</v>
      </c>
      <c r="D14" s="3"/>
      <c r="E14" s="3" t="str">
        <f>IFERROR(__xludf.DUMMYFUNCTION("""COMPUTED_VALUE"""),"Séisme")</f>
        <v>Séisme</v>
      </c>
      <c r="F14" s="2" t="str">
        <f>IFERROR(__xludf.DUMMYFUNCTION("""COMPUTED_VALUE"""),"Séisme de magnitude 8,3. La population chilienne a le temps de monter sur 
les hauteurs avant l'arrivée des vagues. 
Article détaillé : Séisme du 8 février 1570 à Concepción.")</f>
        <v>Séisme de magnitude 8,3. La population chilienne a le temps de monter sur 
les hauteurs avant l'arrivée des vagues. 
Article détaillé : Séisme du 8 février 1570 à Concepción.</v>
      </c>
      <c r="M14" s="9"/>
      <c r="N14" s="6"/>
      <c r="O14" s="6"/>
      <c r="P14" s="7"/>
      <c r="Q14" s="6"/>
      <c r="R14" s="6"/>
    </row>
    <row r="15">
      <c r="A15" s="8">
        <f>IFERROR(__xludf.DUMMYFUNCTION("""COMPUTED_VALUE"""),-107711.0)</f>
        <v>-107711</v>
      </c>
      <c r="B15" s="3" t="str">
        <f>IFERROR(__xludf.DUMMYFUNCTION("""COMPUTED_VALUE"""),"Japon")</f>
        <v>Japon</v>
      </c>
      <c r="C15" s="3">
        <f>IFERROR(__xludf.DUMMYFUNCTION("""COMPUTED_VALUE"""),5000.0)</f>
        <v>5000</v>
      </c>
      <c r="D15" s="3"/>
      <c r="E15" s="3" t="str">
        <f>IFERROR(__xludf.DUMMYFUNCTION("""COMPUTED_VALUE"""),"Séisme")</f>
        <v>Séisme</v>
      </c>
      <c r="F15" s="2" t="str">
        <f>IFERROR(__xludf.DUMMYFUNCTION("""COMPUTED_VALUE"""),"Article détaillé : Séisme de 1605 à Nankai (en).")</f>
        <v>Article détaillé : Séisme de 1605 à Nankai (en).</v>
      </c>
      <c r="M15" s="9"/>
      <c r="N15" s="6"/>
      <c r="O15" s="6"/>
      <c r="P15" s="7"/>
      <c r="Q15" s="6"/>
      <c r="R15" s="6"/>
    </row>
    <row r="16">
      <c r="A16" s="8">
        <f>IFERROR(__xludf.DUMMYFUNCTION("""COMPUTED_VALUE"""),-105218.0)</f>
        <v>-105218</v>
      </c>
      <c r="B16" s="3" t="str">
        <f>IFERROR(__xludf.DUMMYFUNCTION("""COMPUTED_VALUE"""),"Japon")</f>
        <v>Japon</v>
      </c>
      <c r="C16" s="3">
        <f>IFERROR(__xludf.DUMMYFUNCTION("""COMPUTED_VALUE"""),5000.0)</f>
        <v>5000</v>
      </c>
      <c r="D16" s="3" t="str">
        <f>IFERROR(__xludf.DUMMYFUNCTION("""COMPUTED_VALUE"""),"20 m")</f>
        <v>20 m</v>
      </c>
      <c r="E16" s="3" t="str">
        <f>IFERROR(__xludf.DUMMYFUNCTION("""COMPUTED_VALUE"""),"Séisme")</f>
        <v>Séisme</v>
      </c>
      <c r="F16" s="2" t="str">
        <f>IFERROR(__xludf.DUMMYFUNCTION("""COMPUTED_VALUE"""),"Article détaillé : Séisme de 1611 à Sanriku (en).")</f>
        <v>Article détaillé : Séisme de 1611 à Sanriku (en).</v>
      </c>
      <c r="M16" s="9"/>
      <c r="N16" s="6"/>
      <c r="O16" s="6"/>
      <c r="P16" s="6"/>
      <c r="Q16" s="6"/>
      <c r="R16" s="6"/>
    </row>
    <row r="17">
      <c r="A17" s="8">
        <f>IFERROR(__xludf.DUMMYFUNCTION("""COMPUTED_VALUE"""),-82495.0)</f>
        <v>-82495</v>
      </c>
      <c r="B17" s="3" t="str">
        <f>IFERROR(__xludf.DUMMYFUNCTION("""COMPUTED_VALUE"""),"Indonésie")</f>
        <v>Indonésie</v>
      </c>
      <c r="C17" s="3">
        <f>IFERROR(__xludf.DUMMYFUNCTION("""COMPUTED_VALUE"""),2500.0)</f>
        <v>2500</v>
      </c>
      <c r="D17" s="3" t="str">
        <f>IFERROR(__xludf.DUMMYFUNCTION("""COMPUTED_VALUE"""),"100 m")</f>
        <v>100 m</v>
      </c>
      <c r="E17" s="3" t="str">
        <f>IFERROR(__xludf.DUMMYFUNCTION("""COMPUTED_VALUE"""),"Séisme")</f>
        <v>Séisme</v>
      </c>
      <c r="F17" s="2" t="str">
        <f>IFERROR(__xludf.DUMMYFUNCTION("""COMPUTED_VALUE"""),"[13]")</f>
        <v>[13]</v>
      </c>
      <c r="M17" s="9"/>
      <c r="N17" s="6"/>
      <c r="O17" s="6"/>
      <c r="P17" s="6"/>
      <c r="Q17" s="6"/>
      <c r="R17" s="6"/>
    </row>
    <row r="18">
      <c r="A18" s="8">
        <f>IFERROR(__xludf.DUMMYFUNCTION("""COMPUTED_VALUE"""),-75810.0)</f>
        <v>-75810</v>
      </c>
      <c r="B18" s="3" t="str">
        <f>IFERROR(__xludf.DUMMYFUNCTION("""COMPUTED_VALUE"""),"Jamaïque")</f>
        <v>Jamaïque</v>
      </c>
      <c r="C18" s="3">
        <f>IFERROR(__xludf.DUMMYFUNCTION("""COMPUTED_VALUE"""),3000.0)</f>
        <v>3000</v>
      </c>
      <c r="D18" s="3" t="str">
        <f>IFERROR(__xludf.DUMMYFUNCTION("""COMPUTED_VALUE"""),"1,8 m")</f>
        <v>1,8 m</v>
      </c>
      <c r="E18" s="3" t="str">
        <f>IFERROR(__xludf.DUMMYFUNCTION("""COMPUTED_VALUE"""),"Séisme")</f>
        <v>Séisme</v>
      </c>
      <c r="F18" s="2" t="str">
        <f>IFERROR(__xludf.DUMMYFUNCTION("""COMPUTED_VALUE"""),"[14]")</f>
        <v>[14]</v>
      </c>
      <c r="M18" s="9"/>
      <c r="N18" s="6"/>
      <c r="O18" s="6"/>
      <c r="P18" s="6"/>
      <c r="Q18" s="6"/>
      <c r="R18" s="6"/>
    </row>
    <row r="19">
      <c r="A19" s="8">
        <f>IFERROR(__xludf.DUMMYFUNCTION("""COMPUTED_VALUE"""),-73021.0)</f>
        <v>-73021</v>
      </c>
      <c r="B19" s="3" t="str">
        <f>IFERROR(__xludf.DUMMYFUNCTION("""COMPUTED_VALUE"""),"côte nord-ouest de l'Amérique du Nord
 Japon")</f>
        <v>côte nord-ouest de l'Amérique du Nord
 Japon</v>
      </c>
      <c r="C19" s="3"/>
      <c r="D19" s="3"/>
      <c r="E19" s="3" t="str">
        <f>IFERROR(__xludf.DUMMYFUNCTION("""COMPUTED_VALUE"""),"Séisme")</f>
        <v>Séisme</v>
      </c>
      <c r="F19" s="2" t="str">
        <f>IFERROR(__xludf.DUMMYFUNCTION("""COMPUTED_VALUE"""),"Séisme de Cascadia du 26 janvier 1700")</f>
        <v>Séisme de Cascadia du 26 janvier 1700</v>
      </c>
      <c r="M19" s="9"/>
      <c r="N19" s="6"/>
      <c r="O19" s="7"/>
      <c r="P19" s="7"/>
      <c r="Q19" s="6"/>
      <c r="R19" s="6"/>
    </row>
    <row r="20">
      <c r="A20" s="8">
        <f>IFERROR(__xludf.DUMMYFUNCTION("""COMPUTED_VALUE"""),-71588.0)</f>
        <v>-71588</v>
      </c>
      <c r="B20" s="3" t="str">
        <f>IFERROR(__xludf.DUMMYFUNCTION("""COMPUTED_VALUE"""),"Japon")</f>
        <v>Japon</v>
      </c>
      <c r="C20" s="3">
        <f>IFERROR(__xludf.DUMMYFUNCTION("""COMPUTED_VALUE"""),5000.0)</f>
        <v>5000</v>
      </c>
      <c r="D20" s="3" t="str">
        <f>IFERROR(__xludf.DUMMYFUNCTION("""COMPUTED_VALUE"""),"10,5 m")</f>
        <v>10,5 m</v>
      </c>
      <c r="E20" s="3" t="str">
        <f>IFERROR(__xludf.DUMMYFUNCTION("""COMPUTED_VALUE"""),"Séisme")</f>
        <v>Séisme</v>
      </c>
      <c r="F20" s="2" t="str">
        <f>IFERROR(__xludf.DUMMYFUNCTION("""COMPUTED_VALUE"""),"Séisme magnitude 8,2. 20 000 maisons détruites[15].")</f>
        <v>Séisme magnitude 8,2. 20 000 maisons détruites[15].</v>
      </c>
      <c r="M20" s="9"/>
      <c r="N20" s="6"/>
      <c r="O20" s="6"/>
      <c r="P20" s="6"/>
      <c r="Q20" s="6"/>
      <c r="R20" s="6"/>
    </row>
    <row r="21">
      <c r="A21" s="8">
        <f>IFERROR(__xludf.DUMMYFUNCTION("""COMPUTED_VALUE"""),-70190.0)</f>
        <v>-70190</v>
      </c>
      <c r="B21" s="3" t="str">
        <f>IFERROR(__xludf.DUMMYFUNCTION("""COMPUTED_VALUE"""),"Japon")</f>
        <v>Japon</v>
      </c>
      <c r="C21" s="3">
        <f>IFERROR(__xludf.DUMMYFUNCTION("""COMPUTED_VALUE"""),9000.0)</f>
        <v>9000</v>
      </c>
      <c r="D21" s="3" t="str">
        <f>IFERROR(__xludf.DUMMYFUNCTION("""COMPUTED_VALUE"""),"25,7 m")</f>
        <v>25,7 m</v>
      </c>
      <c r="E21" s="3" t="str">
        <f>IFERROR(__xludf.DUMMYFUNCTION("""COMPUTED_VALUE"""),"Séisme")</f>
        <v>Séisme</v>
      </c>
      <c r="F21" s="2" t="str">
        <f>IFERROR(__xludf.DUMMYFUNCTION("""COMPUTED_VALUE"""),"Séisme magnitude 8,4, 5 000 morts à Nankaido, 2 000 morts à Enshunada[16].")</f>
        <v>Séisme magnitude 8,4, 5 000 morts à Nankaido, 2 000 morts à Enshunada[16].</v>
      </c>
      <c r="M21" s="9"/>
      <c r="N21" s="6"/>
      <c r="O21" s="6"/>
      <c r="P21" s="6"/>
      <c r="Q21" s="6"/>
      <c r="R21" s="6"/>
    </row>
    <row r="22">
      <c r="A22" s="8">
        <f>IFERROR(__xludf.DUMMYFUNCTION("""COMPUTED_VALUE"""),-59243.0)</f>
        <v>-59243</v>
      </c>
      <c r="B22" s="3" t="str">
        <f>IFERROR(__xludf.DUMMYFUNCTION("""COMPUTED_VALUE"""),"Russie")</f>
        <v>Russie</v>
      </c>
      <c r="C22" s="3" t="str">
        <f>IFERROR(__xludf.DUMMYFUNCTION("""COMPUTED_VALUE"""),"100 à 1 000")</f>
        <v>100 à 1 000</v>
      </c>
      <c r="D22" s="3" t="str">
        <f>IFERROR(__xludf.DUMMYFUNCTION("""COMPUTED_VALUE"""),"60 m")</f>
        <v>60 m</v>
      </c>
      <c r="E22" s="3" t="str">
        <f>IFERROR(__xludf.DUMMYFUNCTION("""COMPUTED_VALUE"""),"Séisme")</f>
        <v>Séisme</v>
      </c>
      <c r="F22" s="2" t="str">
        <f>IFERROR(__xludf.DUMMYFUNCTION("""COMPUTED_VALUE"""),"Un tsunami consécutif au séisme du Kamtchatka atteint 60 m de hauteur au 
nord des îles Kouriles[17].")</f>
        <v>Un tsunami consécutif au séisme du Kamtchatka atteint 60 m de hauteur au 
nord des îles Kouriles[17].</v>
      </c>
      <c r="M22" s="9"/>
      <c r="N22" s="6"/>
      <c r="O22" s="7"/>
      <c r="P22" s="6"/>
      <c r="Q22" s="6"/>
      <c r="R22" s="6"/>
    </row>
    <row r="23">
      <c r="A23" s="8">
        <f>IFERROR(__xludf.DUMMYFUNCTION("""COMPUTED_VALUE"""),-55944.0)</f>
        <v>-55944</v>
      </c>
      <c r="B23" s="3" t="str">
        <f>IFERROR(__xludf.DUMMYFUNCTION("""COMPUTED_VALUE"""),"Pérou")</f>
        <v>Pérou</v>
      </c>
      <c r="C23" s="3">
        <f>IFERROR(__xludf.DUMMYFUNCTION("""COMPUTED_VALUE"""),4800.0)</f>
        <v>4800</v>
      </c>
      <c r="D23" s="3"/>
      <c r="E23" s="3"/>
      <c r="F23" s="2" t="str">
        <f>IFERROR(__xludf.DUMMYFUNCTION("""COMPUTED_VALUE"""),"Touche essentiellement Lima.")</f>
        <v>Touche essentiellement Lima.</v>
      </c>
      <c r="M23" s="9"/>
      <c r="N23" s="6"/>
      <c r="O23" s="6"/>
      <c r="P23" s="7"/>
      <c r="Q23" s="7"/>
      <c r="R23" s="6"/>
    </row>
    <row r="24">
      <c r="A24" s="3" t="str">
        <f>IFERROR(__xludf.DUMMYFUNCTION("""COMPUTED_VALUE"""),"1er novembre 1755")</f>
        <v>1er novembre 1755</v>
      </c>
      <c r="B24" s="3" t="str">
        <f>IFERROR(__xludf.DUMMYFUNCTION("""COMPUTED_VALUE"""),"Portugal
 Maroc
 Espagne
océan Atlantique Nord")</f>
        <v>Portugal
 Maroc
 Espagne
océan Atlantique Nord</v>
      </c>
      <c r="C24" s="3">
        <f>IFERROR(__xludf.DUMMYFUNCTION("""COMPUTED_VALUE"""),90000.0)</f>
        <v>90000</v>
      </c>
      <c r="D24" s="3" t="str">
        <f>IFERROR(__xludf.DUMMYFUNCTION("""COMPUTED_VALUE"""),"18,3 m")</f>
        <v>18,3 m</v>
      </c>
      <c r="E24" s="3" t="str">
        <f>IFERROR(__xludf.DUMMYFUNCTION("""COMPUTED_VALUE"""),"Séisme")</f>
        <v>Séisme</v>
      </c>
      <c r="F24" s="2" t="str">
        <f>IFERROR(__xludf.DUMMYFUNCTION("""COMPUTED_VALUE"""),"Un séisme violent au large de Lisbonne, d'une magnitude estimée à 8,7 
ravage 85 % de la ville et provoque un tsunami qui déferle sur les côtes de 
l'Atlantique Nord, de l'Angleterre au Maroc, jusqu'aux Amériques[18]. 
Article détaillé : Séisme du 1er nov"&amp;"embre 1755 à Lisbonne.")</f>
        <v>Un séisme violent au large de Lisbonne, d'une magnitude estimée à 8,7 
ravage 85 % de la ville et provoque un tsunami qui déferle sur les côtes de 
l'Atlantique Nord, de l'Angleterre au Maroc, jusqu'aux Amériques[18]. 
Article détaillé : Séisme du 1er novembre 1755 à Lisbonne.</v>
      </c>
      <c r="M24" s="6"/>
      <c r="N24" s="6"/>
      <c r="O24" s="6"/>
      <c r="P24" s="6"/>
      <c r="Q24" s="6"/>
      <c r="R24" s="6"/>
    </row>
    <row r="25">
      <c r="A25" s="8">
        <f>IFERROR(__xludf.DUMMYFUNCTION("""COMPUTED_VALUE"""),-48874.0)</f>
        <v>-48874</v>
      </c>
      <c r="B25" s="3" t="str">
        <f>IFERROR(__xludf.DUMMYFUNCTION("""COMPUTED_VALUE"""),"Japon")</f>
        <v>Japon</v>
      </c>
      <c r="C25" s="3">
        <f>IFERROR(__xludf.DUMMYFUNCTION("""COMPUTED_VALUE"""),1500.0)</f>
        <v>1500</v>
      </c>
      <c r="D25" s="3"/>
      <c r="E25" s="3" t="str">
        <f>IFERROR(__xludf.DUMMYFUNCTION("""COMPUTED_VALUE"""),"Séisme")</f>
        <v>Séisme</v>
      </c>
      <c r="F25" s="2" t="str">
        <f>IFERROR(__xludf.DUMMYFUNCTION("""COMPUTED_VALUE"""),"Séisme magnitude 6,9")</f>
        <v>Séisme magnitude 6,9</v>
      </c>
      <c r="M25" s="9"/>
      <c r="N25" s="6"/>
      <c r="O25" s="6"/>
      <c r="P25" s="7"/>
      <c r="Q25" s="6"/>
      <c r="R25" s="6"/>
    </row>
    <row r="26">
      <c r="A26" s="8">
        <f>IFERROR(__xludf.DUMMYFUNCTION("""COMPUTED_VALUE"""),-47001.0)</f>
        <v>-47001</v>
      </c>
      <c r="B26" s="3" t="str">
        <f>IFERROR(__xludf.DUMMYFUNCTION("""COMPUTED_VALUE"""),"Japon")</f>
        <v>Japon</v>
      </c>
      <c r="C26" s="3">
        <f>IFERROR(__xludf.DUMMYFUNCTION("""COMPUTED_VALUE"""),13486.0)</f>
        <v>13486</v>
      </c>
      <c r="D26" s="3" t="str">
        <f>IFERROR(__xludf.DUMMYFUNCTION("""COMPUTED_VALUE"""),"85,40 m")</f>
        <v>85,40 m</v>
      </c>
      <c r="E26" s="3" t="str">
        <f>IFERROR(__xludf.DUMMYFUNCTION("""COMPUTED_VALUE"""),"Séisme")</f>
        <v>Séisme</v>
      </c>
      <c r="F26" s="2" t="str">
        <f>IFERROR(__xludf.DUMMYFUNCTION("""COMPUTED_VALUE"""),"Séisme magnitude 7,4, touche l'archipel Ryūkyū[19].")</f>
        <v>Séisme magnitude 7,4, touche l'archipel Ryūkyū[19].</v>
      </c>
      <c r="M26" s="9"/>
      <c r="N26" s="6"/>
      <c r="O26" s="6"/>
      <c r="P26" s="6"/>
      <c r="Q26" s="6"/>
      <c r="R26" s="6"/>
    </row>
    <row r="27">
      <c r="A27" s="8">
        <f>IFERROR(__xludf.DUMMYFUNCTION("""COMPUTED_VALUE"""),-42955.0)</f>
        <v>-42955</v>
      </c>
      <c r="B27" s="3" t="str">
        <f>IFERROR(__xludf.DUMMYFUNCTION("""COMPUTED_VALUE"""),"Asie du Sud-Est
 Chine")</f>
        <v>Asie du Sud-Est
 Chine</v>
      </c>
      <c r="C27" s="3">
        <f>IFERROR(__xludf.DUMMYFUNCTION("""COMPUTED_VALUE"""),40000.0)</f>
        <v>40000</v>
      </c>
      <c r="D27" s="3" t="str">
        <f>IFERROR(__xludf.DUMMYFUNCTION("""COMPUTED_VALUE"""),"10 m")</f>
        <v>10 m</v>
      </c>
      <c r="E27" s="3" t="str">
        <f>IFERROR(__xludf.DUMMYFUNCTION("""COMPUTED_VALUE"""),"Séisme")</f>
        <v>Séisme</v>
      </c>
      <c r="F27" s="2" t="str">
        <f>IFERROR(__xludf.DUMMYFUNCTION("""COMPUTED_VALUE"""),"Séisme magnitude 7,0 Touche l'Asie du Sud-Est, principalement en Chine.")</f>
        <v>Séisme magnitude 7,0 Touche l'Asie du Sud-Est, principalement en Chine.</v>
      </c>
      <c r="M27" s="9"/>
      <c r="N27" s="6"/>
      <c r="O27" s="6"/>
      <c r="P27" s="6"/>
      <c r="Q27" s="6"/>
      <c r="R27" s="6"/>
    </row>
    <row r="28">
      <c r="A28" s="8">
        <f>IFERROR(__xludf.DUMMYFUNCTION("""COMPUTED_VALUE"""),-42695.0)</f>
        <v>-42695</v>
      </c>
      <c r="B28" s="3" t="str">
        <f>IFERROR(__xludf.DUMMYFUNCTION("""COMPUTED_VALUE"""),"Italie")</f>
        <v>Italie</v>
      </c>
      <c r="C28" s="3">
        <f>IFERROR(__xludf.DUMMYFUNCTION("""COMPUTED_VALUE"""),1500.0)</f>
        <v>1500</v>
      </c>
      <c r="D28" s="3" t="str">
        <f>IFERROR(__xludf.DUMMYFUNCTION("""COMPUTED_VALUE"""),"16 m")</f>
        <v>16 m</v>
      </c>
      <c r="E28" s="3" t="str">
        <f>IFERROR(__xludf.DUMMYFUNCTION("""COMPUTED_VALUE"""),"Séisme")</f>
        <v>Séisme</v>
      </c>
      <c r="F28" s="2" t="str">
        <f>IFERROR(__xludf.DUMMYFUNCTION("""COMPUTED_VALUE"""),"Séisme de magnitude 5,9, dans le détroit de Messine[20].")</f>
        <v>Séisme de magnitude 5,9, dans le détroit de Messine[20].</v>
      </c>
      <c r="M28" s="9"/>
      <c r="N28" s="6"/>
      <c r="O28" s="6"/>
      <c r="P28" s="6"/>
      <c r="Q28" s="6"/>
      <c r="R28" s="6"/>
    </row>
    <row r="29">
      <c r="A29" s="8">
        <f>IFERROR(__xludf.DUMMYFUNCTION("""COMPUTED_VALUE"""),-39303.0)</f>
        <v>-39303</v>
      </c>
      <c r="B29" s="3" t="str">
        <f>IFERROR(__xludf.DUMMYFUNCTION("""COMPUTED_VALUE"""),"Japon")</f>
        <v>Japon</v>
      </c>
      <c r="C29" s="3">
        <f>IFERROR(__xludf.DUMMYFUNCTION("""COMPUTED_VALUE"""),15000.0)</f>
        <v>15000</v>
      </c>
      <c r="D29" s="3" t="str">
        <f>IFERROR(__xludf.DUMMYFUNCTION("""COMPUTED_VALUE"""),"55 m")</f>
        <v>55 m</v>
      </c>
      <c r="E29" s="3" t="str">
        <f>IFERROR(__xludf.DUMMYFUNCTION("""COMPUTED_VALUE"""),"Séisme")</f>
        <v>Séisme</v>
      </c>
      <c r="F29" s="2" t="str">
        <f>IFERROR(__xludf.DUMMYFUNCTION("""COMPUTED_VALUE"""),"Séisme magnitude 6,4")</f>
        <v>Séisme magnitude 6,4</v>
      </c>
      <c r="M29" s="9"/>
      <c r="N29" s="6"/>
      <c r="O29" s="6"/>
      <c r="P29" s="6"/>
      <c r="Q29" s="6"/>
      <c r="R29" s="6"/>
    </row>
    <row r="30">
      <c r="A30" s="8">
        <f>IFERROR(__xludf.DUMMYFUNCTION("""COMPUTED_VALUE"""),-30945.0)</f>
        <v>-30945</v>
      </c>
      <c r="B30" s="3" t="str">
        <f>IFERROR(__xludf.DUMMYFUNCTION("""COMPUTED_VALUE"""),"Indonésie")</f>
        <v>Indonésie</v>
      </c>
      <c r="C30" s="3">
        <f>IFERROR(__xludf.DUMMYFUNCTION("""COMPUTED_VALUE"""),5000.0)</f>
        <v>5000</v>
      </c>
      <c r="D30" s="3" t="str">
        <f>IFERROR(__xludf.DUMMYFUNCTION("""COMPUTED_VALUE"""),"4 m")</f>
        <v>4 m</v>
      </c>
      <c r="E30" s="3" t="str">
        <f>IFERROR(__xludf.DUMMYFUNCTION("""COMPUTED_VALUE"""),"Volcan")</f>
        <v>Volcan</v>
      </c>
      <c r="F30" s="2" t="str">
        <f>IFERROR(__xludf.DUMMYFUNCTION("""COMPUTED_VALUE"""),"Éruption volcanique du Tambora.")</f>
        <v>Éruption volcanique du Tambora.</v>
      </c>
      <c r="M30" s="9"/>
      <c r="N30" s="6"/>
      <c r="O30" s="6"/>
      <c r="P30" s="6"/>
      <c r="Q30" s="6"/>
      <c r="R30" s="7"/>
    </row>
    <row r="31">
      <c r="A31" s="8">
        <f>IFERROR(__xludf.DUMMYFUNCTION("""COMPUTED_VALUE"""),-16442.0)</f>
        <v>-16442</v>
      </c>
      <c r="B31" s="3" t="str">
        <f>IFERROR(__xludf.DUMMYFUNCTION("""COMPUTED_VALUE"""),"Japon")</f>
        <v>Japon</v>
      </c>
      <c r="C31" s="3">
        <f>IFERROR(__xludf.DUMMYFUNCTION("""COMPUTED_VALUE"""),3000.0)</f>
        <v>3000</v>
      </c>
      <c r="D31" s="3" t="str">
        <f>IFERROR(__xludf.DUMMYFUNCTION("""COMPUTED_VALUE"""),"28 m")</f>
        <v>28 m</v>
      </c>
      <c r="E31" s="3" t="str">
        <f>IFERROR(__xludf.DUMMYFUNCTION("""COMPUTED_VALUE"""),"Séisme")</f>
        <v>Séisme</v>
      </c>
      <c r="F31" s="2"/>
      <c r="M31" s="9"/>
      <c r="N31" s="6"/>
      <c r="O31" s="6"/>
      <c r="P31" s="6"/>
      <c r="Q31" s="6"/>
      <c r="R31" s="6"/>
    </row>
    <row r="32">
      <c r="A32" s="8">
        <f>IFERROR(__xludf.DUMMYFUNCTION("""COMPUTED_VALUE"""),-11461.0)</f>
        <v>-11461</v>
      </c>
      <c r="B32" s="3" t="str">
        <f>IFERROR(__xludf.DUMMYFUNCTION("""COMPUTED_VALUE"""),"Chili")</f>
        <v>Chili</v>
      </c>
      <c r="C32" s="3">
        <f>IFERROR(__xludf.DUMMYFUNCTION("""COMPUTED_VALUE"""),25000.0)</f>
        <v>25000</v>
      </c>
      <c r="D32" s="3" t="str">
        <f>IFERROR(__xludf.DUMMYFUNCTION("""COMPUTED_VALUE"""),"18 m")</f>
        <v>18 m</v>
      </c>
      <c r="E32" s="3" t="str">
        <f>IFERROR(__xludf.DUMMYFUNCTION("""COMPUTED_VALUE"""),"Séisme")</f>
        <v>Séisme</v>
      </c>
      <c r="F32" s="2" t="str">
        <f>IFERROR(__xludf.DUMMYFUNCTION("""COMPUTED_VALUE"""),"Observé en Nouvelle-Zélande. Dommages à Hawaii[21],[22],[23]")</f>
        <v>Observé en Nouvelle-Zélande. Dommages à Hawaii[21],[22],[23]</v>
      </c>
      <c r="M32" s="9"/>
      <c r="N32" s="6"/>
      <c r="O32" s="6"/>
      <c r="P32" s="6"/>
      <c r="Q32" s="6"/>
      <c r="R32" s="6"/>
    </row>
    <row r="33">
      <c r="A33" s="8">
        <f>IFERROR(__xludf.DUMMYFUNCTION("""COMPUTED_VALUE"""),-5969.0)</f>
        <v>-5969</v>
      </c>
      <c r="B33" s="3" t="str">
        <f>IFERROR(__xludf.DUMMYFUNCTION("""COMPUTED_VALUE"""),"océan Indien")</f>
        <v>océan Indien</v>
      </c>
      <c r="C33" s="3">
        <f>IFERROR(__xludf.DUMMYFUNCTION("""COMPUTED_VALUE"""),36000.0)</f>
        <v>36000</v>
      </c>
      <c r="D33" s="3" t="str">
        <f>IFERROR(__xludf.DUMMYFUNCTION("""COMPUTED_VALUE"""),"40 m")</f>
        <v>40 m</v>
      </c>
      <c r="E33" s="3" t="str">
        <f>IFERROR(__xludf.DUMMYFUNCTION("""COMPUTED_VALUE"""),"Volcan")</f>
        <v>Volcan</v>
      </c>
      <c r="F33" s="2" t="str">
        <f>IFERROR(__xludf.DUMMYFUNCTION("""COMPUTED_VALUE"""),"Un tsunami provoqué par l'éruption du Krakatoa est détecté sur la plupart 
des côtes du globe, avec une élévation du niveau de la mer de 40 mètres 
près de la zone d'origine[24].
Article détaillé : Éruption du Krakatoa en 1883.")</f>
        <v>Un tsunami provoqué par l'éruption du Krakatoa est détecté sur la plupart 
des côtes du globe, avec une élévation du niveau de la mer de 40 mètres 
près de la zone d'origine[24].
Article détaillé : Éruption du Krakatoa en 1883.</v>
      </c>
      <c r="M33" s="9"/>
      <c r="N33" s="6"/>
      <c r="O33" s="6"/>
      <c r="P33" s="6"/>
      <c r="Q33" s="6"/>
      <c r="R33" s="6"/>
    </row>
    <row r="34">
      <c r="A34" s="8">
        <f>IFERROR(__xludf.DUMMYFUNCTION("""COMPUTED_VALUE"""),-1293.0)</f>
        <v>-1293</v>
      </c>
      <c r="B34" s="3" t="str">
        <f>IFERROR(__xludf.DUMMYFUNCTION("""COMPUTED_VALUE"""),"Japon")</f>
        <v>Japon</v>
      </c>
      <c r="C34" s="3">
        <f>IFERROR(__xludf.DUMMYFUNCTION("""COMPUTED_VALUE"""),27000.0)</f>
        <v>27000</v>
      </c>
      <c r="D34" s="3" t="str">
        <f>IFERROR(__xludf.DUMMYFUNCTION("""COMPUTED_VALUE"""),"38,2 m")</f>
        <v>38,2 m</v>
      </c>
      <c r="E34" s="3" t="str">
        <f>IFERROR(__xludf.DUMMYFUNCTION("""COMPUTED_VALUE"""),"Séisme")</f>
        <v>Séisme</v>
      </c>
      <c r="F34" s="2" t="str">
        <f>IFERROR(__xludf.DUMMYFUNCTION("""COMPUTED_VALUE"""),"Séisme magnitude 7,6. Sanriku - Honshu[25],[26]")</f>
        <v>Séisme magnitude 7,6. Sanriku - Honshu[25],[26]</v>
      </c>
      <c r="M34" s="9"/>
      <c r="N34" s="6"/>
      <c r="O34" s="6"/>
      <c r="P34" s="6"/>
      <c r="Q34" s="6"/>
      <c r="R34" s="6"/>
    </row>
    <row r="35">
      <c r="A35" s="8">
        <f>IFERROR(__xludf.DUMMYFUNCTION("""COMPUTED_VALUE"""),-92.0)</f>
        <v>-92</v>
      </c>
      <c r="B35" s="3" t="str">
        <f>IFERROR(__xludf.DUMMYFUNCTION("""COMPUTED_VALUE"""),"Indonésie")</f>
        <v>Indonésie</v>
      </c>
      <c r="C35" s="3">
        <f>IFERROR(__xludf.DUMMYFUNCTION("""COMPUTED_VALUE"""),3500.0)</f>
        <v>3500</v>
      </c>
      <c r="D35" s="3" t="str">
        <f>IFERROR(__xludf.DUMMYFUNCTION("""COMPUTED_VALUE"""),"12 m")</f>
        <v>12 m</v>
      </c>
      <c r="E35" s="3" t="str">
        <f>IFERROR(__xludf.DUMMYFUNCTION("""COMPUTED_VALUE"""),"Séisme")</f>
        <v>Séisme</v>
      </c>
      <c r="F35" s="2" t="str">
        <f>IFERROR(__xludf.DUMMYFUNCTION("""COMPUTED_VALUE"""),"Séisme magnitude 7,8")</f>
        <v>Séisme magnitude 7,8</v>
      </c>
      <c r="M35" s="9"/>
      <c r="N35" s="6"/>
      <c r="O35" s="6"/>
      <c r="P35" s="6"/>
      <c r="Q35" s="6"/>
      <c r="R35" s="6"/>
    </row>
    <row r="36">
      <c r="A36" s="8">
        <f>IFERROR(__xludf.DUMMYFUNCTION("""COMPUTED_VALUE"""),2223.0)</f>
        <v>2223</v>
      </c>
      <c r="B36" s="3" t="str">
        <f>IFERROR(__xludf.DUMMYFUNCTION("""COMPUTED_VALUE"""),"Colombie
 Équateur")</f>
        <v>Colombie
 Équateur</v>
      </c>
      <c r="C36" s="3" t="str">
        <f>IFERROR(__xludf.DUMMYFUNCTION("""COMPUTED_VALUE"""),"1 000[27]")</f>
        <v>1 000[27]</v>
      </c>
      <c r="D36" s="3" t="str">
        <f>IFERROR(__xludf.DUMMYFUNCTION("""COMPUTED_VALUE"""),"5 m")</f>
        <v>5 m</v>
      </c>
      <c r="E36" s="3" t="str">
        <f>IFERROR(__xludf.DUMMYFUNCTION("""COMPUTED_VALUE"""),"Séisme")</f>
        <v>Séisme</v>
      </c>
      <c r="F36" s="2" t="str">
        <f>IFERROR(__xludf.DUMMYFUNCTION("""COMPUTED_VALUE"""),"Séisme magnitude 8,8")</f>
        <v>Séisme magnitude 8,8</v>
      </c>
      <c r="M36" s="9"/>
      <c r="N36" s="6"/>
      <c r="O36" s="6"/>
      <c r="P36" s="6"/>
      <c r="Q36" s="6"/>
      <c r="R36" s="6"/>
    </row>
    <row r="37">
      <c r="A37" s="8">
        <f>IFERROR(__xludf.DUMMYFUNCTION("""COMPUTED_VALUE"""),3285.0)</f>
        <v>3285</v>
      </c>
      <c r="B37" s="3" t="str">
        <f>IFERROR(__xludf.DUMMYFUNCTION("""COMPUTED_VALUE"""),"Italie")</f>
        <v>Italie</v>
      </c>
      <c r="C37" s="3">
        <f>IFERROR(__xludf.DUMMYFUNCTION("""COMPUTED_VALUE"""),95000.0)</f>
        <v>95000</v>
      </c>
      <c r="D37" s="3" t="str">
        <f>IFERROR(__xludf.DUMMYFUNCTION("""COMPUTED_VALUE"""),"13 m")</f>
        <v>13 m</v>
      </c>
      <c r="E37" s="3" t="str">
        <f>IFERROR(__xludf.DUMMYFUNCTION("""COMPUTED_VALUE"""),"Séisme")</f>
        <v>Séisme</v>
      </c>
      <c r="F37" s="2" t="str">
        <f>IFERROR(__xludf.DUMMYFUNCTION("""COMPUTED_VALUE"""),"80 000 victimes à Messine sur une population de 140 000 habitants. 
Article détaillé : Séisme du 28 décembre 1908 à Messine.")</f>
        <v>80 000 victimes à Messine sur une population de 140 000 habitants. 
Article détaillé : Séisme du 28 décembre 1908 à Messine.</v>
      </c>
      <c r="M37" s="6"/>
      <c r="N37" s="6"/>
      <c r="O37" s="6"/>
      <c r="P37" s="6"/>
      <c r="Q37" s="6"/>
      <c r="R37" s="6"/>
    </row>
    <row r="38">
      <c r="A38" s="3" t="str">
        <f>IFERROR(__xludf.DUMMYFUNCTION("""COMPUTED_VALUE"""),"1er septembre 1923")</f>
        <v>1er septembre 1923</v>
      </c>
      <c r="B38" s="3" t="str">
        <f>IFERROR(__xludf.DUMMYFUNCTION("""COMPUTED_VALUE"""),"Japon")</f>
        <v>Japon</v>
      </c>
      <c r="C38" s="3">
        <f>IFERROR(__xludf.DUMMYFUNCTION("""COMPUTED_VALUE"""),2144.0)</f>
        <v>2144</v>
      </c>
      <c r="D38" s="3" t="str">
        <f>IFERROR(__xludf.DUMMYFUNCTION("""COMPUTED_VALUE"""),"13 m")</f>
        <v>13 m</v>
      </c>
      <c r="E38" s="3" t="str">
        <f>IFERROR(__xludf.DUMMYFUNCTION("""COMPUTED_VALUE"""),"Séisme")</f>
        <v>Séisme</v>
      </c>
      <c r="F38" s="2" t="str">
        <f>IFERROR(__xludf.DUMMYFUNCTION("""COMPUTED_VALUE"""),"Séisme magnitude 7,9 
Séisme de 1923 du Kantō")</f>
        <v>Séisme magnitude 7,9 
Séisme de 1923 du Kantō</v>
      </c>
      <c r="M38" s="9"/>
      <c r="N38" s="6"/>
      <c r="O38" s="6"/>
      <c r="P38" s="6"/>
      <c r="Q38" s="6"/>
      <c r="R38" s="6"/>
    </row>
    <row r="39">
      <c r="A39" s="8">
        <f>IFERROR(__xludf.DUMMYFUNCTION("""COMPUTED_VALUE"""),10915.0)</f>
        <v>10915</v>
      </c>
      <c r="B39" s="3" t="str">
        <f>IFERROR(__xludf.DUMMYFUNCTION("""COMPUTED_VALUE"""),"Terre-Neuve
 Canada")</f>
        <v>Terre-Neuve
 Canada</v>
      </c>
      <c r="C39" s="3">
        <f>IFERROR(__xludf.DUMMYFUNCTION("""COMPUTED_VALUE"""),28.0)</f>
        <v>28</v>
      </c>
      <c r="D39" s="3" t="str">
        <f>IFERROR(__xludf.DUMMYFUNCTION("""COMPUTED_VALUE"""),"15 m")</f>
        <v>15 m</v>
      </c>
      <c r="E39" s="3" t="str">
        <f>IFERROR(__xludf.DUMMYFUNCTION("""COMPUTED_VALUE"""),"Séisme")</f>
        <v>Séisme</v>
      </c>
      <c r="F39" s="2" t="str">
        <f>IFERROR(__xludf.DUMMYFUNCTION("""COMPUTED_VALUE"""),"Un séisme de magnitude 7,2 à 400 km au sud de Terre-Neuve sur le bord des 
Grands Bancs provoque un tsunami qui frappe la côte sud de Terre-Neuve avec 
trois vagues de 15 mètres de haut. 
Article détaillé : Séisme de 1929 aux Grands Bancs.")</f>
        <v>Un séisme de magnitude 7,2 à 400 km au sud de Terre-Neuve sur le bord des 
Grands Bancs provoque un tsunami qui frappe la côte sud de Terre-Neuve avec 
trois vagues de 15 mètres de haut. 
Article détaillé : Séisme de 1929 aux Grands Bancs.</v>
      </c>
      <c r="M39" s="9"/>
      <c r="N39" s="6"/>
      <c r="O39" s="6"/>
      <c r="P39" s="6"/>
      <c r="Q39" s="6"/>
      <c r="R39" s="6"/>
    </row>
    <row r="40">
      <c r="A40" s="8">
        <f>IFERROR(__xludf.DUMMYFUNCTION("""COMPUTED_VALUE"""),12115.0)</f>
        <v>12115</v>
      </c>
      <c r="B40" s="3" t="str">
        <f>IFERROR(__xludf.DUMMYFUNCTION("""COMPUTED_VALUE"""),"Japon")</f>
        <v>Japon</v>
      </c>
      <c r="C40" s="3" t="str">
        <f>IFERROR(__xludf.DUMMYFUNCTION("""COMPUTED_VALUE"""),"3 000[28],[29],[30]")</f>
        <v>3 000[28],[29],[30]</v>
      </c>
      <c r="D40" s="3" t="str">
        <f>IFERROR(__xludf.DUMMYFUNCTION("""COMPUTED_VALUE"""),"29 m")</f>
        <v>29 m</v>
      </c>
      <c r="E40" s="3" t="str">
        <f>IFERROR(__xludf.DUMMYFUNCTION("""COMPUTED_VALUE"""),"Séisme")</f>
        <v>Séisme</v>
      </c>
      <c r="F40" s="2" t="str">
        <f>IFERROR(__xludf.DUMMYFUNCTION("""COMPUTED_VALUE"""),"Séisme magnitude 8,3")</f>
        <v>Séisme magnitude 8,3</v>
      </c>
      <c r="M40" s="6"/>
      <c r="N40" s="6"/>
      <c r="O40" s="6"/>
      <c r="P40" s="6"/>
      <c r="Q40" s="6"/>
      <c r="R40" s="6"/>
    </row>
    <row r="41">
      <c r="A41" s="3" t="str">
        <f>IFERROR(__xludf.DUMMYFUNCTION("""COMPUTED_VALUE"""),"1er avril 1946")</f>
        <v>1er avril 1946</v>
      </c>
      <c r="B41" s="3" t="str">
        <f>IFERROR(__xludf.DUMMYFUNCTION("""COMPUTED_VALUE"""),"océan Pacifique")</f>
        <v>océan Pacifique</v>
      </c>
      <c r="C41" s="3">
        <f>IFERROR(__xludf.DUMMYFUNCTION("""COMPUTED_VALUE"""),2000.0)</f>
        <v>2000</v>
      </c>
      <c r="D41" s="3" t="str">
        <f>IFERROR(__xludf.DUMMYFUNCTION("""COMPUTED_VALUE"""),"30 m")</f>
        <v>30 m</v>
      </c>
      <c r="E41" s="3" t="str">
        <f>IFERROR(__xludf.DUMMYFUNCTION("""COMPUTED_VALUE"""),"Séisme")</f>
        <v>Séisme</v>
      </c>
      <c r="F41" s="2" t="str">
        <f>IFERROR(__xludf.DUMMYFUNCTION("""COMPUTED_VALUE"""),"Un séisme de magnitude 8,6 au large de l'Alaska provoque un tsunami qui 
atteint 30 m en Alaska, 12 m à Hawaï, y causant 150 morts, et touche le 
Japon ainsi que la côte ouest des États-Unis[31].")</f>
        <v>Un séisme de magnitude 8,6 au large de l'Alaska provoque un tsunami qui 
atteint 30 m en Alaska, 12 m à Hawaï, y causant 150 morts, et touche le 
Japon ainsi que la côte ouest des États-Unis[31].</v>
      </c>
      <c r="M41" s="9"/>
      <c r="N41" s="6"/>
      <c r="O41" s="6"/>
      <c r="P41" s="6"/>
      <c r="Q41" s="6"/>
      <c r="R41" s="6"/>
    </row>
    <row r="42">
      <c r="A42" s="8">
        <f>IFERROR(__xludf.DUMMYFUNCTION("""COMPUTED_VALUE"""),19303.0)</f>
        <v>19303</v>
      </c>
      <c r="B42" s="3" t="str">
        <f>IFERROR(__xludf.DUMMYFUNCTION("""COMPUTED_VALUE"""),"Îles Kouriles
 Russie")</f>
        <v>Îles Kouriles
 Russie</v>
      </c>
      <c r="C42" s="3">
        <f>IFERROR(__xludf.DUMMYFUNCTION("""COMPUTED_VALUE"""),10000.0)</f>
        <v>10000</v>
      </c>
      <c r="D42" s="3" t="str">
        <f>IFERROR(__xludf.DUMMYFUNCTION("""COMPUTED_VALUE"""),"18 m")</f>
        <v>18 m</v>
      </c>
      <c r="E42" s="3" t="str">
        <f>IFERROR(__xludf.DUMMYFUNCTION("""COMPUTED_VALUE"""),"Séisme")</f>
        <v>Séisme</v>
      </c>
      <c r="F42" s="2" t="str">
        <f>IFERROR(__xludf.DUMMYFUNCTION("""COMPUTED_VALUE"""),"Un séisme de magnitude 8,8 au large des Kouriles provoque un tsunami de 15 
à 18 m de hauteur[32].")</f>
        <v>Un séisme de magnitude 8,8 au large des Kouriles provoque un tsunami de 15 
à 18 m de hauteur[32].</v>
      </c>
      <c r="M42" s="9"/>
      <c r="N42" s="6"/>
      <c r="O42" s="6"/>
      <c r="P42" s="6"/>
      <c r="Q42" s="6"/>
      <c r="R42" s="6"/>
    </row>
    <row r="43">
      <c r="A43" s="8">
        <f>IFERROR(__xludf.DUMMYFUNCTION("""COMPUTED_VALUE"""),21375.0)</f>
        <v>21375</v>
      </c>
      <c r="B43" s="3" t="str">
        <f>IFERROR(__xludf.DUMMYFUNCTION("""COMPUTED_VALUE"""),"Alaska
 États-Unis")</f>
        <v>Alaska
 États-Unis</v>
      </c>
      <c r="C43" s="3">
        <f>IFERROR(__xludf.DUMMYFUNCTION("""COMPUTED_VALUE"""),2.0)</f>
        <v>2</v>
      </c>
      <c r="D43" s="3" t="str">
        <f>IFERROR(__xludf.DUMMYFUNCTION("""COMPUTED_VALUE"""),"500 m")</f>
        <v>500 m</v>
      </c>
      <c r="E43" s="3" t="str">
        <f>IFERROR(__xludf.DUMMYFUNCTION("""COMPUTED_VALUE"""),"Effondrement")</f>
        <v>Effondrement</v>
      </c>
      <c r="F43" s="2" t="str">
        <f>IFERROR(__xludf.DUMMYFUNCTION("""COMPUTED_VALUE"""),"Un glissement de terrain consécutif à un fort séisme dans la baie Lituya en 
Alaska provoque le plus grand tsunami connu - il dévaste la végétation sur 
l'un des flancs jusqu’à une hauteur de 500 m - mais la géographie de la 
baie l'empêche de se propager"&amp;" dans l'océan Pacifique. 
Article détaillé : Mégatsunami de 1958 de la baie Lituya.")</f>
        <v>Un glissement de terrain consécutif à un fort séisme dans la baie Lituya en 
Alaska provoque le plus grand tsunami connu - il dévaste la végétation sur 
l'un des flancs jusqu’à une hauteur de 500 m - mais la géographie de la 
baie l'empêche de se propager dans l'océan Pacifique. 
Article détaillé : Mégatsunami de 1958 de la baie Lituya.</v>
      </c>
      <c r="M43" s="9"/>
      <c r="N43" s="6"/>
      <c r="O43" s="6"/>
      <c r="P43" s="6"/>
      <c r="Q43" s="6"/>
      <c r="R43" s="6"/>
    </row>
    <row r="44">
      <c r="A44" s="8">
        <f>IFERROR(__xludf.DUMMYFUNCTION("""COMPUTED_VALUE"""),22058.0)</f>
        <v>22058</v>
      </c>
      <c r="B44" s="3" t="str">
        <f>IFERROR(__xludf.DUMMYFUNCTION("""COMPUTED_VALUE"""),"Chili et
océan Pacifique")</f>
        <v>Chili et
océan Pacifique</v>
      </c>
      <c r="C44" s="3">
        <f>IFERROR(__xludf.DUMMYFUNCTION("""COMPUTED_VALUE"""),5700.0)</f>
        <v>5700</v>
      </c>
      <c r="D44" s="3" t="str">
        <f>IFERROR(__xludf.DUMMYFUNCTION("""COMPUTED_VALUE"""),"25 m")</f>
        <v>25 m</v>
      </c>
      <c r="E44" s="3" t="str">
        <f>IFERROR(__xludf.DUMMYFUNCTION("""COMPUTED_VALUE"""),"Séisme")</f>
        <v>Séisme</v>
      </c>
      <c r="F44" s="2" t="str">
        <f>IFERROR(__xludf.DUMMYFUNCTION("""COMPUTED_VALUE"""),"Un séisme de magnitude 9,5 au Chili provoque un tsunami meurtrier d'une 
hauteur allant jusqu’à 25 m au Chili (environ 5 700 personnes ont péri dans 
le pays), 10 m à Hawaï et 3 m au Japon (130 morts)[33]. 
Article détaillé : Séisme de 1960 à Valdivia.")</f>
        <v>Un séisme de magnitude 9,5 au Chili provoque un tsunami meurtrier d'une 
hauteur allant jusqu’à 25 m au Chili (environ 5 700 personnes ont péri dans 
le pays), 10 m à Hawaï et 3 m au Japon (130 morts)[33]. 
Article détaillé : Séisme de 1960 à Valdivia.</v>
      </c>
      <c r="M44" s="9"/>
      <c r="N44" s="6"/>
      <c r="O44" s="6"/>
      <c r="P44" s="6"/>
      <c r="Q44" s="6"/>
      <c r="R44" s="6"/>
    </row>
    <row r="45">
      <c r="A45" s="8">
        <f>IFERROR(__xludf.DUMMYFUNCTION("""COMPUTED_VALUE"""),23463.0)</f>
        <v>23463</v>
      </c>
      <c r="B45" s="3" t="str">
        <f>IFERROR(__xludf.DUMMYFUNCTION("""COMPUTED_VALUE"""),"États-Unis")</f>
        <v>États-Unis</v>
      </c>
      <c r="C45" s="3" t="str">
        <f>IFERROR(__xludf.DUMMYFUNCTION("""COMPUTED_VALUE"""),"131[34]")</f>
        <v>131[34]</v>
      </c>
      <c r="D45" s="3" t="str">
        <f>IFERROR(__xludf.DUMMYFUNCTION("""COMPUTED_VALUE"""),"15 m")</f>
        <v>15 m</v>
      </c>
      <c r="E45" s="3" t="str">
        <f>IFERROR(__xludf.DUMMYFUNCTION("""COMPUTED_VALUE"""),"Séisme")</f>
        <v>Séisme</v>
      </c>
      <c r="F45" s="2" t="str">
        <f>IFERROR(__xludf.DUMMYFUNCTION("""COMPUTED_VALUE"""),"Un séisme de magnitude 9,2 au large de l'Alaska y provoque un tsunami de 15 
m[35].")</f>
        <v>Un séisme de magnitude 9,2 au large de l'Alaska y provoque un tsunami de 15 
m[35].</v>
      </c>
      <c r="M45" s="9"/>
      <c r="N45" s="6"/>
      <c r="O45" s="6"/>
      <c r="P45" s="6"/>
      <c r="Q45" s="6"/>
      <c r="R45" s="6"/>
    </row>
    <row r="46">
      <c r="A46" s="8">
        <f>IFERROR(__xludf.DUMMYFUNCTION("""COMPUTED_VALUE"""),27989.0)</f>
        <v>27989</v>
      </c>
      <c r="B46" s="3" t="str">
        <f>IFERROR(__xludf.DUMMYFUNCTION("""COMPUTED_VALUE"""),"Philippines")</f>
        <v>Philippines</v>
      </c>
      <c r="C46" s="3">
        <f>IFERROR(__xludf.DUMMYFUNCTION("""COMPUTED_VALUE"""),5000.0)</f>
        <v>5000</v>
      </c>
      <c r="D46" s="3" t="str">
        <f>IFERROR(__xludf.DUMMYFUNCTION("""COMPUTED_VALUE"""),"5 m")</f>
        <v>5 m</v>
      </c>
      <c r="E46" s="3" t="str">
        <f>IFERROR(__xludf.DUMMYFUNCTION("""COMPUTED_VALUE"""),"Séisme")</f>
        <v>Séisme</v>
      </c>
      <c r="F46" s="2" t="str">
        <f>IFERROR(__xludf.DUMMYFUNCTION("""COMPUTED_VALUE"""),"Un séisme d’une magnitude de 8,0 frappe les îles philippines[36].")</f>
        <v>Un séisme d’une magnitude de 8,0 frappe les îles philippines[36].</v>
      </c>
      <c r="M46" s="9"/>
      <c r="N46" s="6"/>
      <c r="O46" s="6"/>
      <c r="P46" s="6"/>
      <c r="Q46" s="6"/>
      <c r="R46" s="6"/>
    </row>
    <row r="47">
      <c r="A47" s="8">
        <f>IFERROR(__xludf.DUMMYFUNCTION("""COMPUTED_VALUE"""),29144.0)</f>
        <v>29144</v>
      </c>
      <c r="B47" s="3" t="str">
        <f>IFERROR(__xludf.DUMMYFUNCTION("""COMPUTED_VALUE"""),"France")</f>
        <v>France</v>
      </c>
      <c r="C47" s="3">
        <f>IFERROR(__xludf.DUMMYFUNCTION("""COMPUTED_VALUE"""),11.0)</f>
        <v>11</v>
      </c>
      <c r="D47" s="3" t="str">
        <f>IFERROR(__xludf.DUMMYFUNCTION("""COMPUTED_VALUE"""),"3,5 m")</f>
        <v>3,5 m</v>
      </c>
      <c r="E47" s="3" t="str">
        <f>IFERROR(__xludf.DUMMYFUNCTION("""COMPUTED_VALUE"""),"Éboulement")</f>
        <v>Éboulement</v>
      </c>
      <c r="F47" s="2" t="str">
        <f>IFERROR(__xludf.DUMMYFUNCTION("""COMPUTED_VALUE"""),"Un glissement de terrain sous-marin, consécutif aux travaux d'une digue de 
l'aéroport de Nice, provoque un tsunami d'une hauteur de 3,5 m sur la Côte 
d'Azur (11 personnes ont péri).
Article détaillé : Tsunami de l'aéroport de Nice.")</f>
        <v>Un glissement de terrain sous-marin, consécutif aux travaux d'une digue de 
l'aéroport de Nice, provoque un tsunami d'une hauteur de 3,5 m sur la Côte 
d'Azur (11 personnes ont péri).
Article détaillé : Tsunami de l'aéroport de Nice.</v>
      </c>
      <c r="M47" s="9"/>
      <c r="N47" s="6"/>
      <c r="O47" s="6"/>
      <c r="P47" s="6"/>
      <c r="Q47" s="6"/>
      <c r="R47" s="6"/>
    </row>
    <row r="48">
      <c r="A48" s="8">
        <f>IFERROR(__xludf.DUMMYFUNCTION("""COMPUTED_VALUE"""),31265.0)</f>
        <v>31265</v>
      </c>
      <c r="B48" s="3" t="str">
        <f>IFERROR(__xludf.DUMMYFUNCTION("""COMPUTED_VALUE"""),"France")</f>
        <v>France</v>
      </c>
      <c r="C48" s="3">
        <f>IFERROR(__xludf.DUMMYFUNCTION("""COMPUTED_VALUE"""),1.0)</f>
        <v>1</v>
      </c>
      <c r="D48" s="3" t="str">
        <f>IFERROR(__xludf.DUMMYFUNCTION("""COMPUTED_VALUE"""),"2,5 m")</f>
        <v>2,5 m</v>
      </c>
      <c r="E48" s="3" t="str">
        <f>IFERROR(__xludf.DUMMYFUNCTION("""COMPUTED_VALUE"""),"Séisme")</f>
        <v>Séisme</v>
      </c>
      <c r="F48" s="2" t="str">
        <f>IFERROR(__xludf.DUMMYFUNCTION("""COMPUTED_VALUE"""),"Un glissement de terrain sous-marin, consécutif à un séisme sur les abords 
de la Camargue, provoque un tsunami d'une hauteur de 2,5 m sur l'ensemble 
du littoral du Golfe du Lion, en particulier aux Saintes-Marie-de-la-Mer et 
à Port-Saint-Louis du Rhône"&amp;", causant des dommages à plus de 800 m dans les 
terres, tuant une personne et faisant une dizaine de blessés, tous surpris 
en pleine nuit.
Article détaillé : Raz-de-marée des Saintes-Maries-de-la-Mer.")</f>
        <v>Un glissement de terrain sous-marin, consécutif à un séisme sur les abords 
de la Camargue, provoque un tsunami d'une hauteur de 2,5 m sur l'ensemble 
du littoral du Golfe du Lion, en particulier aux Saintes-Marie-de-la-Mer et 
à Port-Saint-Louis du Rhône, causant des dommages à plus de 800 m dans les 
terres, tuant une personne et faisant une dizaine de blessés, tous surpris 
en pleine nuit.
Article détaillé : Raz-de-marée des Saintes-Maries-de-la-Mer.</v>
      </c>
      <c r="M48" s="9"/>
      <c r="N48" s="6"/>
      <c r="O48" s="6"/>
      <c r="P48" s="6"/>
      <c r="Q48" s="6"/>
      <c r="R48" s="6"/>
    </row>
    <row r="49">
      <c r="A49" s="8">
        <f>IFERROR(__xludf.DUMMYFUNCTION("""COMPUTED_VALUE"""),33849.0)</f>
        <v>33849</v>
      </c>
      <c r="B49" s="3" t="str">
        <f>IFERROR(__xludf.DUMMYFUNCTION("""COMPUTED_VALUE"""),"Nicaragua")</f>
        <v>Nicaragua</v>
      </c>
      <c r="C49" s="3">
        <f>IFERROR(__xludf.DUMMYFUNCTION("""COMPUTED_VALUE"""),170.0)</f>
        <v>170</v>
      </c>
      <c r="D49" s="3" t="str">
        <f>IFERROR(__xludf.DUMMYFUNCTION("""COMPUTED_VALUE"""),"10 m")</f>
        <v>10 m</v>
      </c>
      <c r="E49" s="3" t="str">
        <f>IFERROR(__xludf.DUMMYFUNCTION("""COMPUTED_VALUE"""),"Séisme")</f>
        <v>Séisme</v>
      </c>
      <c r="F49" s="2" t="str">
        <f>IFERROR(__xludf.DUMMYFUNCTION("""COMPUTED_VALUE"""),"Séisme de magnitude 7,7[37]")</f>
        <v>Séisme de magnitude 7,7[37]</v>
      </c>
      <c r="M49" s="9"/>
      <c r="N49" s="6"/>
      <c r="O49" s="6"/>
      <c r="P49" s="6"/>
      <c r="Q49" s="6"/>
      <c r="R49" s="6"/>
    </row>
    <row r="50">
      <c r="A50" s="8">
        <f>IFERROR(__xludf.DUMMYFUNCTION("""COMPUTED_VALUE"""),33950.0)</f>
        <v>33950</v>
      </c>
      <c r="B50" s="3" t="str">
        <f>IFERROR(__xludf.DUMMYFUNCTION("""COMPUTED_VALUE"""),"Indonésie")</f>
        <v>Indonésie</v>
      </c>
      <c r="C50" s="3">
        <f>IFERROR(__xludf.DUMMYFUNCTION("""COMPUTED_VALUE"""),2200.0)</f>
        <v>2200</v>
      </c>
      <c r="D50" s="3" t="str">
        <f>IFERROR(__xludf.DUMMYFUNCTION("""COMPUTED_VALUE"""),"26 m")</f>
        <v>26 m</v>
      </c>
      <c r="E50" s="3" t="str">
        <f>IFERROR(__xludf.DUMMYFUNCTION("""COMPUTED_VALUE"""),"Séisme")</f>
        <v>Séisme</v>
      </c>
      <c r="F50" s="2" t="str">
        <f>IFERROR(__xludf.DUMMYFUNCTION("""COMPUTED_VALUE"""),"Séisme de magnitude 7,8[38].")</f>
        <v>Séisme de magnitude 7,8[38].</v>
      </c>
      <c r="M50" s="9"/>
      <c r="N50" s="6"/>
      <c r="O50" s="6"/>
      <c r="P50" s="6"/>
      <c r="Q50" s="6"/>
      <c r="R50" s="6"/>
    </row>
    <row r="51">
      <c r="A51" s="8">
        <f>IFERROR(__xludf.DUMMYFUNCTION("""COMPUTED_VALUE"""),34162.0)</f>
        <v>34162</v>
      </c>
      <c r="B51" s="3" t="str">
        <f>IFERROR(__xludf.DUMMYFUNCTION("""COMPUTED_VALUE"""),"île Okushiri
 Japon")</f>
        <v>île Okushiri
 Japon</v>
      </c>
      <c r="C51" s="3">
        <f>IFERROR(__xludf.DUMMYFUNCTION("""COMPUTED_VALUE"""),239.0)</f>
        <v>239</v>
      </c>
      <c r="D51" s="3" t="str">
        <f>IFERROR(__xludf.DUMMYFUNCTION("""COMPUTED_VALUE"""),"33 m")</f>
        <v>33 m</v>
      </c>
      <c r="E51" s="3" t="str">
        <f>IFERROR(__xludf.DUMMYFUNCTION("""COMPUTED_VALUE"""),"Séisme")</f>
        <v>Séisme</v>
      </c>
      <c r="F51" s="2" t="str">
        <f>IFERROR(__xludf.DUMMYFUNCTION("""COMPUTED_VALUE"""),"Le nombre de victimes est limité grâce au système d'alerte[39].")</f>
        <v>Le nombre de victimes est limité grâce au système d'alerte[39].</v>
      </c>
      <c r="M51" s="9"/>
      <c r="N51" s="6"/>
      <c r="O51" s="6"/>
      <c r="P51" s="6"/>
      <c r="Q51" s="6"/>
      <c r="R51" s="6"/>
    </row>
    <row r="52">
      <c r="A52" s="8">
        <f>IFERROR(__xludf.DUMMYFUNCTION("""COMPUTED_VALUE"""),35993.0)</f>
        <v>35993</v>
      </c>
      <c r="B52" s="3" t="str">
        <f>IFERROR(__xludf.DUMMYFUNCTION("""COMPUTED_VALUE"""),"Papouasie-Nouvelle-Guinée")</f>
        <v>Papouasie-Nouvelle-Guinée</v>
      </c>
      <c r="C52" s="3">
        <f>IFERROR(__xludf.DUMMYFUNCTION("""COMPUTED_VALUE"""),2000.0)</f>
        <v>2000</v>
      </c>
      <c r="D52" s="3" t="str">
        <f>IFERROR(__xludf.DUMMYFUNCTION("""COMPUTED_VALUE"""),"15 m")</f>
        <v>15 m</v>
      </c>
      <c r="E52" s="3" t="str">
        <f>IFERROR(__xludf.DUMMYFUNCTION("""COMPUTED_VALUE"""),"Séisme")</f>
        <v>Séisme</v>
      </c>
      <c r="F52" s="2" t="str">
        <f>IFERROR(__xludf.DUMMYFUNCTION("""COMPUTED_VALUE"""),"Un glissement de terrain provoqué par un séisme de magnitude 7,0 engendre 
un tsunami local d'une hauteur maximale d'une quinzaine de mètres. 
Article détaillé : Séisme de 1998 en Papouasie-Nouvelle-Guinée.")</f>
        <v>Un glissement de terrain provoqué par un séisme de magnitude 7,0 engendre 
un tsunami local d'une hauteur maximale d'une quinzaine de mètres. 
Article détaillé : Séisme de 1998 en Papouasie-Nouvelle-Guinée.</v>
      </c>
      <c r="M52" s="9"/>
      <c r="N52" s="6"/>
      <c r="O52" s="6"/>
      <c r="P52" s="6"/>
      <c r="Q52" s="6"/>
      <c r="R52" s="6"/>
    </row>
    <row r="53">
      <c r="A53" s="8">
        <f>IFERROR(__xludf.DUMMYFUNCTION("""COMPUTED_VALUE"""),36389.0)</f>
        <v>36389</v>
      </c>
      <c r="B53" s="3" t="str">
        <f>IFERROR(__xludf.DUMMYFUNCTION("""COMPUTED_VALUE"""),"Turquie")</f>
        <v>Turquie</v>
      </c>
      <c r="C53" s="3">
        <f>IFERROR(__xludf.DUMMYFUNCTION("""COMPUTED_VALUE"""),17480.0)</f>
        <v>17480</v>
      </c>
      <c r="D53" s="3" t="str">
        <f>IFERROR(__xludf.DUMMYFUNCTION("""COMPUTED_VALUE"""),"3 m")</f>
        <v>3 m</v>
      </c>
      <c r="E53" s="3" t="str">
        <f>IFERROR(__xludf.DUMMYFUNCTION("""COMPUTED_VALUE"""),"Séisme")</f>
        <v>Séisme</v>
      </c>
      <c r="F53" s="2" t="str">
        <f>IFERROR(__xludf.DUMMYFUNCTION("""COMPUTED_VALUE"""),"Séisme de magnitude 7,2 à 7,6 selon les instituts[40]
Article détaillé : Séisme de 1999 à Izmit.")</f>
        <v>Séisme de magnitude 7,2 à 7,6 selon les instituts[40]
Article détaillé : Séisme de 1999 à Izmit.</v>
      </c>
      <c r="M53" s="9"/>
      <c r="N53" s="6"/>
      <c r="O53" s="6"/>
      <c r="P53" s="6"/>
      <c r="Q53" s="6"/>
      <c r="R53" s="6"/>
    </row>
    <row r="54">
      <c r="A54" s="8">
        <f>IFERROR(__xludf.DUMMYFUNCTION("""COMPUTED_VALUE"""),37762.0)</f>
        <v>37762</v>
      </c>
      <c r="B54" s="3" t="str">
        <f>IFERROR(__xludf.DUMMYFUNCTION("""COMPUTED_VALUE"""),"Algérie
 Espagne
 France")</f>
        <v>Algérie
 Espagne
 France</v>
      </c>
      <c r="C54" s="3">
        <f>IFERROR(__xludf.DUMMYFUNCTION("""COMPUTED_VALUE"""),2266.0)</f>
        <v>2266</v>
      </c>
      <c r="D54" s="3" t="str">
        <f>IFERROR(__xludf.DUMMYFUNCTION("""COMPUTED_VALUE"""),"3 m")</f>
        <v>3 m</v>
      </c>
      <c r="E54" s="3" t="str">
        <f>IFERROR(__xludf.DUMMYFUNCTION("""COMPUTED_VALUE"""),"Séisme")</f>
        <v>Séisme</v>
      </c>
      <c r="F54" s="2" t="str">
        <f>IFERROR(__xludf.DUMMYFUNCTION("""COMPUTED_VALUE"""),"Un séisme de magnitude 6,9 dans le nord de l'Algérie, causant la mort 
d'environ 2 300 personnes, déclenche un tsunami frappant les Baléares, 
l'Espagne et la France. La hauteur maximale de la vague est de 3 m[41]. 
Article détaillé : Séisme de 2003 à Bou"&amp;"merdès.")</f>
        <v>Un séisme de magnitude 6,9 dans le nord de l'Algérie, causant la mort 
d'environ 2 300 personnes, déclenche un tsunami frappant les Baléares, 
l'Espagne et la France. La hauteur maximale de la vague est de 3 m[41]. 
Article détaillé : Séisme de 2003 à Boumerdès.</v>
      </c>
      <c r="M54" s="9"/>
      <c r="N54" s="6"/>
      <c r="O54" s="6"/>
      <c r="P54" s="6"/>
      <c r="Q54" s="6"/>
      <c r="R54" s="6"/>
    </row>
    <row r="55">
      <c r="A55" s="8">
        <f>IFERROR(__xludf.DUMMYFUNCTION("""COMPUTED_VALUE"""),38347.0)</f>
        <v>38347</v>
      </c>
      <c r="B55" s="3" t="str">
        <f>IFERROR(__xludf.DUMMYFUNCTION("""COMPUTED_VALUE"""),"Indonésie
 Thaïlande
 Sri Lanka
 Inde
 Maldives
 Somalie et
océan Indien")</f>
        <v>Indonésie
 Thaïlande
 Sri Lanka
 Inde
 Maldives
 Somalie et
océan Indien</v>
      </c>
      <c r="C55" s="3">
        <f>IFERROR(__xludf.DUMMYFUNCTION("""COMPUTED_VALUE"""),250000.0)</f>
        <v>250000</v>
      </c>
      <c r="D55" s="3" t="str">
        <f>IFERROR(__xludf.DUMMYFUNCTION("""COMPUTED_VALUE"""),"35 m")</f>
        <v>35 m</v>
      </c>
      <c r="E55" s="3" t="str">
        <f>IFERROR(__xludf.DUMMYFUNCTION("""COMPUTED_VALUE"""),"Séisme")</f>
        <v>Séisme</v>
      </c>
      <c r="F55" s="2" t="str">
        <f>IFERROR(__xludf.DUMMYFUNCTION("""COMPUTED_VALUE"""),"Un séisme de magnitude 9,1 à 9,3 au large de l'Indonésie provoque le 
tsunami le plus meurtrier de l'histoire, qui touche les pays d'Asie du Sud 
(Indonésie, Malaisie, Thaïlande, Inde, Sri Lanka) et, dans une moindre 
mesure, les côtes orientales de l'Afr"&amp;"ique. 
Article détaillé : Séisme et tsunami de 2004 dans l'océan Indien.")</f>
        <v>Un séisme de magnitude 9,1 à 9,3 au large de l'Indonésie provoque le 
tsunami le plus meurtrier de l'histoire, qui touche les pays d'Asie du Sud 
(Indonésie, Malaisie, Thaïlande, Inde, Sri Lanka) et, dans une moindre 
mesure, les côtes orientales de l'Afrique. 
Article détaillé : Séisme et tsunami de 2004 dans l'océan Indien.</v>
      </c>
      <c r="M55" s="9"/>
      <c r="N55" s="6"/>
      <c r="O55" s="6"/>
      <c r="P55" s="6"/>
      <c r="Q55" s="6"/>
      <c r="R55" s="6"/>
    </row>
    <row r="56">
      <c r="A56" s="8">
        <f>IFERROR(__xludf.DUMMYFUNCTION("""COMPUTED_VALUE"""),38915.0)</f>
        <v>38915</v>
      </c>
      <c r="B56" s="3" t="str">
        <f>IFERROR(__xludf.DUMMYFUNCTION("""COMPUTED_VALUE"""),"Java
 Indonésie")</f>
        <v>Java
 Indonésie</v>
      </c>
      <c r="C56" s="3">
        <f>IFERROR(__xludf.DUMMYFUNCTION("""COMPUTED_VALUE"""),668.0)</f>
        <v>668</v>
      </c>
      <c r="D56" s="3" t="str">
        <f>IFERROR(__xludf.DUMMYFUNCTION("""COMPUTED_VALUE"""),"20,9 m")</f>
        <v>20,9 m</v>
      </c>
      <c r="E56" s="3" t="str">
        <f>IFERROR(__xludf.DUMMYFUNCTION("""COMPUTED_VALUE"""),"Séisme")</f>
        <v>Séisme</v>
      </c>
      <c r="F56" s="2" t="str">
        <f>IFERROR(__xludf.DUMMYFUNCTION("""COMPUTED_VALUE"""),"Un séisme de magnitude 7,7 au large de la côte sud de Java provoque un 
tsunami faisant 668 morts, 287 disparus, 878 blessés et environ 
100 000 sinistrés (au 22 juillet). Le système d'alerte mis en place après 
le tsunami du 26 décembre 2004 s'est révélé"&amp;" déficient. 
Article détaillé : Séisme de juillet 2006 à Java.")</f>
        <v>Un séisme de magnitude 7,7 au large de la côte sud de Java provoque un 
tsunami faisant 668 morts, 287 disparus, 878 blessés et environ 
100 000 sinistrés (au 22 juillet). Le système d'alerte mis en place après 
le tsunami du 26 décembre 2004 s'est révélé déficient. 
Article détaillé : Séisme de juillet 2006 à Java.</v>
      </c>
      <c r="M56" s="9"/>
      <c r="N56" s="6"/>
      <c r="O56" s="6"/>
      <c r="P56" s="6"/>
      <c r="Q56" s="6"/>
      <c r="R56" s="6"/>
    </row>
    <row r="57">
      <c r="A57" s="8">
        <f>IFERROR(__xludf.DUMMYFUNCTION("""COMPUTED_VALUE"""),40085.0)</f>
        <v>40085</v>
      </c>
      <c r="B57" s="3" t="str">
        <f>IFERROR(__xludf.DUMMYFUNCTION("""COMPUTED_VALUE"""),"Samoa")</f>
        <v>Samoa</v>
      </c>
      <c r="C57" s="3">
        <f>IFERROR(__xludf.DUMMYFUNCTION("""COMPUTED_VALUE"""),178.0)</f>
        <v>178</v>
      </c>
      <c r="D57" s="3" t="str">
        <f>IFERROR(__xludf.DUMMYFUNCTION("""COMPUTED_VALUE"""),"22,35 m")</f>
        <v>22,35 m</v>
      </c>
      <c r="E57" s="3" t="str">
        <f>IFERROR(__xludf.DUMMYFUNCTION("""COMPUTED_VALUE"""),"Séisme")</f>
        <v>Séisme</v>
      </c>
      <c r="F57" s="2" t="str">
        <f>IFERROR(__xludf.DUMMYFUNCTION("""COMPUTED_VALUE"""),"Un séisme de magnitude 8,0 à 190 km au sud des Samoa provoque un tsunami 
faisant 178 morts (149 aux Samoa, 22 aux Samoa américaines, 7 aux Tonga) et 
environ 4 000 sinistrés. Plusieurs dizaines de kilomètres de côtes ont été 
dévastées sur près de 400 m "&amp;"dans les terres, notamment aux îles Samoa. 
Article détaillé : Séisme de 2009 aux Samoa.")</f>
        <v>Un séisme de magnitude 8,0 à 190 km au sud des Samoa provoque un tsunami 
faisant 178 morts (149 aux Samoa, 22 aux Samoa américaines, 7 aux Tonga) et 
environ 4 000 sinistrés. Plusieurs dizaines de kilomètres de côtes ont été 
dévastées sur près de 400 m dans les terres, notamment aux îles Samoa. 
Article détaillé : Séisme de 2009 aux Samoa.</v>
      </c>
      <c r="M57" s="9"/>
      <c r="N57" s="6"/>
      <c r="O57" s="6"/>
      <c r="P57" s="6"/>
      <c r="Q57" s="6"/>
      <c r="R57" s="6"/>
    </row>
    <row r="58">
      <c r="A58" s="8">
        <f>IFERROR(__xludf.DUMMYFUNCTION("""COMPUTED_VALUE"""),40613.0)</f>
        <v>40613</v>
      </c>
      <c r="B58" s="3" t="str">
        <f>IFERROR(__xludf.DUMMYFUNCTION("""COMPUTED_VALUE"""),"Japon")</f>
        <v>Japon</v>
      </c>
      <c r="C58" s="3">
        <f>IFERROR(__xludf.DUMMYFUNCTION("""COMPUTED_VALUE"""),18457.0)</f>
        <v>18457</v>
      </c>
      <c r="D58" s="3" t="str">
        <f>IFERROR(__xludf.DUMMYFUNCTION("""COMPUTED_VALUE"""),"39 m")</f>
        <v>39 m</v>
      </c>
      <c r="E58" s="3" t="str">
        <f>IFERROR(__xludf.DUMMYFUNCTION("""COMPUTED_VALUE"""),"Séisme")</f>
        <v>Séisme</v>
      </c>
      <c r="F58" s="2" t="str">
        <f>IFERROR(__xludf.DUMMYFUNCTION("""COMPUTED_VALUE"""),"Un séisme de magnitude 9,0 déclenche un tsunami d'une hauteur maximale de 
39 m qui ravage des centaines de kilomètres de côtes au nord de Tokyo. Une 
vague de 15 m frappe la centrale nucléaire de Fukushima Daiichi[42]. 
Article détaillé : Séisme de 2011 "&amp;"de la côte Pacifique du Tōhoku.")</f>
        <v>Un séisme de magnitude 9,0 déclenche un tsunami d'une hauteur maximale de 
39 m qui ravage des centaines de kilomètres de côtes au nord de Tokyo. Une 
vague de 15 m frappe la centrale nucléaire de Fukushima Daiichi[42]. 
Article détaillé : Séisme de 2011 de la côte Pacifique du Tōhoku.</v>
      </c>
      <c r="M58" s="9"/>
      <c r="N58" s="6"/>
      <c r="O58" s="6"/>
      <c r="P58" s="6"/>
      <c r="Q58" s="6"/>
      <c r="R58" s="6"/>
    </row>
    <row r="59">
      <c r="A59" s="8">
        <f>IFERROR(__xludf.DUMMYFUNCTION("""COMPUTED_VALUE"""),42294.0)</f>
        <v>42294</v>
      </c>
      <c r="B59" s="3" t="str">
        <f>IFERROR(__xludf.DUMMYFUNCTION("""COMPUTED_VALUE"""),"Alaska
 États-Unis")</f>
        <v>Alaska
 États-Unis</v>
      </c>
      <c r="C59" s="3">
        <f>IFERROR(__xludf.DUMMYFUNCTION("""COMPUTED_VALUE"""),0.0)</f>
        <v>0</v>
      </c>
      <c r="D59" s="3" t="str">
        <f>IFERROR(__xludf.DUMMYFUNCTION("""COMPUTED_VALUE"""),"200 m")</f>
        <v>200 m</v>
      </c>
      <c r="E59" s="3" t="str">
        <f>IFERROR(__xludf.DUMMYFUNCTION("""COMPUTED_VALUE"""),"Éboulement")</f>
        <v>Éboulement</v>
      </c>
      <c r="F59" s="2" t="str">
        <f>IFERROR(__xludf.DUMMYFUNCTION("""COMPUTED_VALUE"""),"Un éboulement de grande ampleur, consécutif au recul du glacier Tyndall, 
engendre un mégatsunami (l'un des plus grands de l'époque moderne) à Icy Bay
 (en), dans le fjord de Taan situé en Alaska[43]. Cependant, ce phénomène, 
pourtant majeur, passe inape"&amp;"rçu lorsqu'il se produit en raison notamment de 
la nature isolée et inoccupée de la zone concernée[44].")</f>
        <v>Un éboulement de grande ampleur, consécutif au recul du glacier Tyndall, 
engendre un mégatsunami (l'un des plus grands de l'époque moderne) à Icy Bay
 (en), dans le fjord de Taan situé en Alaska[43]. Cependant, ce phénomène, 
pourtant majeur, passe inaperçu lorsqu'il se produit en raison notamment de 
la nature isolée et inoccupée de la zone concernée[44].</v>
      </c>
      <c r="M59" s="9"/>
      <c r="N59" s="6"/>
      <c r="O59" s="6"/>
      <c r="P59" s="6"/>
      <c r="Q59" s="6"/>
      <c r="R59" s="6"/>
    </row>
    <row r="60">
      <c r="A60" s="8">
        <f>IFERROR(__xludf.DUMMYFUNCTION("""COMPUTED_VALUE"""),42903.0)</f>
        <v>42903</v>
      </c>
      <c r="B60" s="3" t="str">
        <f>IFERROR(__xludf.DUMMYFUNCTION("""COMPUTED_VALUE"""),"Groenland")</f>
        <v>Groenland</v>
      </c>
      <c r="C60" s="3">
        <f>IFERROR(__xludf.DUMMYFUNCTION("""COMPUTED_VALUE"""),4.0)</f>
        <v>4</v>
      </c>
      <c r="D60" s="3" t="str">
        <f>IFERROR(__xludf.DUMMYFUNCTION("""COMPUTED_VALUE"""),"90 m")</f>
        <v>90 m</v>
      </c>
      <c r="E60" s="3" t="str">
        <f>IFERROR(__xludf.DUMMYFUNCTION("""COMPUTED_VALUE"""),"Éboulement")</f>
        <v>Éboulement</v>
      </c>
      <c r="F60" s="2" t="str">
        <f>IFERROR(__xludf.DUMMYFUNCTION("""COMPUTED_VALUE"""),"Un glissement de terrain majeur provoque un tsunami[45], dont la hauteur 
initiale atteint 90 mètres, engendrant la destruction de plusieurs zones 
d'habitations dans le nord-ouest du Groënland. 
Article détaillé : Tsunami de 2017 au Groenland.")</f>
        <v>Un glissement de terrain majeur provoque un tsunami[45], dont la hauteur 
initiale atteint 90 mètres, engendrant la destruction de plusieurs zones 
d'habitations dans le nord-ouest du Groënland. 
Article détaillé : Tsunami de 2017 au Groenland.</v>
      </c>
      <c r="M60" s="9"/>
      <c r="N60" s="6"/>
      <c r="O60" s="6"/>
      <c r="P60" s="6"/>
      <c r="Q60" s="6"/>
      <c r="R60" s="6"/>
    </row>
    <row r="61">
      <c r="A61" s="8">
        <f>IFERROR(__xludf.DUMMYFUNCTION("""COMPUTED_VALUE"""),43371.0)</f>
        <v>43371</v>
      </c>
      <c r="B61" s="3" t="str">
        <f>IFERROR(__xludf.DUMMYFUNCTION("""COMPUTED_VALUE"""),"Indonésie")</f>
        <v>Indonésie</v>
      </c>
      <c r="C61" s="3">
        <f>IFERROR(__xludf.DUMMYFUNCTION("""COMPUTED_VALUE"""),2256.0)</f>
        <v>2256</v>
      </c>
      <c r="D61" s="3" t="str">
        <f>IFERROR(__xludf.DUMMYFUNCTION("""COMPUTED_VALUE"""),"6 m")</f>
        <v>6 m</v>
      </c>
      <c r="E61" s="3" t="str">
        <f>IFERROR(__xludf.DUMMYFUNCTION("""COMPUTED_VALUE"""),"Séisme")</f>
        <v>Séisme</v>
      </c>
      <c r="F61" s="2" t="str">
        <f>IFERROR(__xludf.DUMMYFUNCTION("""COMPUTED_VALUE"""),"Un séisme de magnitude 7,5 à 70 km au nord de Célèbes entraine 20 minutes 
plus tard un tsunami atteignant 6 m qui détruit en particulier la ville de 
Palu[46]. 
Article détaillé : Séisme de 2018 à Célèbes.")</f>
        <v>Un séisme de magnitude 7,5 à 70 km au nord de Célèbes entraine 20 minutes 
plus tard un tsunami atteignant 6 m qui détruit en particulier la ville de 
Palu[46]. 
Article détaillé : Séisme de 2018 à Célèbes.</v>
      </c>
      <c r="M61" s="9"/>
      <c r="N61" s="6"/>
      <c r="O61" s="6"/>
      <c r="P61" s="6"/>
      <c r="Q61" s="6"/>
      <c r="R61" s="6"/>
    </row>
    <row r="62">
      <c r="A62" s="8">
        <f>IFERROR(__xludf.DUMMYFUNCTION("""COMPUTED_VALUE"""),43456.0)</f>
        <v>43456</v>
      </c>
      <c r="B62" s="3" t="str">
        <f>IFERROR(__xludf.DUMMYFUNCTION("""COMPUTED_VALUE"""),"Indonésie")</f>
        <v>Indonésie</v>
      </c>
      <c r="C62" s="3">
        <f>IFERROR(__xludf.DUMMYFUNCTION("""COMPUTED_VALUE"""),429.0)</f>
        <v>429</v>
      </c>
      <c r="D62" s="3" t="str">
        <f>IFERROR(__xludf.DUMMYFUNCTION("""COMPUTED_VALUE"""),"1,5 m")</f>
        <v>1,5 m</v>
      </c>
      <c r="E62" s="3" t="str">
        <f>IFERROR(__xludf.DUMMYFUNCTION("""COMPUTED_VALUE"""),"Volcan et peut-être marée haute")</f>
        <v>Volcan et peut-être marée haute</v>
      </c>
      <c r="F62" s="2" t="str">
        <f>IFERROR(__xludf.DUMMYFUNCTION("""COMPUTED_VALUE"""),"Une éruption de l'Anak Krakatoa provoque un tsunami qui déferle sur la côte 
vers 21 h 30 sur une longueur de 15 à 20 mètres à l'intérieur des terres. 
Article détaillé : Tsunami de 2018 du détroit de la Sonde.")</f>
        <v>Une éruption de l'Anak Krakatoa provoque un tsunami qui déferle sur la côte 
vers 21 h 30 sur une longueur de 15 à 20 mètres à l'intérieur des terres. 
Article détaillé : Tsunami de 2018 du détroit de la Sonde.</v>
      </c>
      <c r="M62" s="9"/>
      <c r="N62" s="6"/>
      <c r="O62" s="6"/>
      <c r="P62" s="6"/>
      <c r="Q62" s="6"/>
      <c r="R62" s="6"/>
    </row>
    <row r="63">
      <c r="A63" s="8">
        <f>IFERROR(__xludf.DUMMYFUNCTION("""COMPUTED_VALUE"""),44576.0)</f>
        <v>44576</v>
      </c>
      <c r="B63" s="3" t="str">
        <f>IFERROR(__xludf.DUMMYFUNCTION("""COMPUTED_VALUE"""),"Tonga")</f>
        <v>Tonga</v>
      </c>
      <c r="C63" s="3">
        <f>IFERROR(__xludf.DUMMYFUNCTION("""COMPUTED_VALUE"""),5.0)</f>
        <v>5</v>
      </c>
      <c r="D63" s="3" t="str">
        <f>IFERROR(__xludf.DUMMYFUNCTION("""COMPUTED_VALUE"""),"90 m")</f>
        <v>90 m</v>
      </c>
      <c r="E63" s="3" t="str">
        <f>IFERROR(__xludf.DUMMYFUNCTION("""COMPUTED_VALUE"""),"Volcan")</f>
        <v>Volcan</v>
      </c>
      <c r="F63" s="2" t="str">
        <f>IFERROR(__xludf.DUMMYFUNCTION("""COMPUTED_VALUE"""),"Une éruption du Hunga Tonga provoque un tsunami avec une hauteur de 18 m. 
La hauteur de la vague diminue rapidement pour atteindre 1,2 mètres de haut 
sur les rives de l'Pacifique. 
Article détaillé : Éruption du Hunga Tonga en 2022.")</f>
        <v>Une éruption du Hunga Tonga provoque un tsunami avec une hauteur de 18 m. 
La hauteur de la vague diminue rapidement pour atteindre 1,2 mètres de haut 
sur les rives de l'Pacifique. 
Article détaillé : Éruption du Hunga Tonga en 2022.</v>
      </c>
    </row>
    <row r="64">
      <c r="A64" s="8">
        <f>IFERROR(__xludf.DUMMYFUNCTION("""COMPUTED_VALUE"""),45185.0)</f>
        <v>45185</v>
      </c>
      <c r="B64" s="3" t="str">
        <f>IFERROR(__xludf.DUMMYFUNCTION("""COMPUTED_VALUE"""),"Groenland")</f>
        <v>Groenland</v>
      </c>
      <c r="C64" s="3">
        <f>IFERROR(__xludf.DUMMYFUNCTION("""COMPUTED_VALUE"""),0.0)</f>
        <v>0</v>
      </c>
      <c r="D64" s="3" t="str">
        <f>IFERROR(__xludf.DUMMYFUNCTION("""COMPUTED_VALUE"""),"110 m")</f>
        <v>110 m</v>
      </c>
      <c r="E64" s="3" t="str">
        <f>IFERROR(__xludf.DUMMYFUNCTION("""COMPUTED_VALUE"""),"Éboulement")</f>
        <v>Éboulement</v>
      </c>
      <c r="F64" s="2" t="str">
        <f>IFERROR(__xludf.DUMMYFUNCTION("""COMPUTED_VALUE"""),"L'effondrement d'un pic montagneux de 25 Mm3 dans le fjord Dickson soulève 
l'eau à 200 m de haut et provoque un mégatsunami local avec une vague 
initiale de 110 m, qui s'est abaissée à 7 m dans les minutes qui ont suivi. 
Les oscillations de l'eau piégé"&amp;"e dans le fjord ont été enregistrées par les 
sismographes terrestres pendant 9 jours[47],[48].")</f>
        <v>L'effondrement d'un pic montagneux de 25 Mm3 dans le fjord Dickson soulève 
l'eau à 200 m de haut et provoque un mégatsunami local avec une vague 
initiale de 110 m, qui s'est abaissée à 7 m dans les minutes qui ont suivi. 
Les oscillations de l'eau piégée dans le fjord ont été enregistrées par les 
sismographes terrestres pendant 9 jours[47],[48].</v>
      </c>
    </row>
    <row r="65">
      <c r="F65" s="2"/>
    </row>
    <row r="66">
      <c r="F66" s="2"/>
    </row>
    <row r="67">
      <c r="F67" s="2"/>
    </row>
    <row r="68">
      <c r="F68" s="2"/>
    </row>
    <row r="69">
      <c r="F69" s="2"/>
    </row>
    <row r="70">
      <c r="F70" s="2"/>
    </row>
    <row r="71">
      <c r="F71" s="2"/>
    </row>
    <row r="72">
      <c r="F72" s="2"/>
    </row>
    <row r="73">
      <c r="F73" s="2"/>
    </row>
    <row r="74">
      <c r="F74" s="2"/>
    </row>
    <row r="75">
      <c r="F75" s="2"/>
    </row>
    <row r="76">
      <c r="F76" s="2"/>
    </row>
    <row r="77">
      <c r="F77" s="2"/>
    </row>
    <row r="78">
      <c r="F78" s="2"/>
    </row>
    <row r="79">
      <c r="F79" s="2"/>
    </row>
    <row r="80">
      <c r="F80" s="2"/>
    </row>
    <row r="81">
      <c r="F81" s="2"/>
    </row>
    <row r="82">
      <c r="F82" s="2"/>
    </row>
    <row r="83">
      <c r="F83" s="2"/>
    </row>
    <row r="84">
      <c r="F84" s="2"/>
    </row>
    <row r="85">
      <c r="F85" s="2"/>
    </row>
    <row r="86">
      <c r="F86" s="2"/>
    </row>
    <row r="87">
      <c r="F87" s="2"/>
    </row>
    <row r="88">
      <c r="F88" s="2"/>
    </row>
    <row r="89">
      <c r="F89" s="2"/>
    </row>
    <row r="90">
      <c r="F90" s="2"/>
    </row>
    <row r="91">
      <c r="F91" s="2"/>
    </row>
    <row r="92">
      <c r="F92" s="2"/>
    </row>
    <row r="93">
      <c r="F93" s="2"/>
    </row>
    <row r="94">
      <c r="F94" s="2"/>
    </row>
    <row r="95">
      <c r="F95" s="2"/>
    </row>
    <row r="96">
      <c r="F96" s="2"/>
    </row>
    <row r="97">
      <c r="F97" s="2"/>
    </row>
    <row r="98">
      <c r="F98" s="2"/>
    </row>
    <row r="99">
      <c r="F99" s="2"/>
    </row>
    <row r="100">
      <c r="F100" s="2"/>
    </row>
    <row r="101">
      <c r="F101" s="2"/>
    </row>
    <row r="102">
      <c r="F102" s="2"/>
    </row>
    <row r="103">
      <c r="F103" s="2"/>
    </row>
    <row r="104">
      <c r="F104" s="2"/>
    </row>
    <row r="105">
      <c r="F105" s="2"/>
    </row>
    <row r="106">
      <c r="F106" s="2"/>
    </row>
    <row r="107">
      <c r="F107" s="2"/>
    </row>
    <row r="108">
      <c r="F108" s="2"/>
    </row>
    <row r="109">
      <c r="F109" s="2"/>
    </row>
    <row r="110">
      <c r="F110" s="2"/>
    </row>
    <row r="111">
      <c r="F111" s="2"/>
    </row>
    <row r="112">
      <c r="F112" s="2"/>
    </row>
    <row r="113">
      <c r="F113" s="2"/>
    </row>
    <row r="114">
      <c r="F114" s="2"/>
    </row>
    <row r="115">
      <c r="F115" s="2"/>
    </row>
    <row r="116">
      <c r="F116" s="2"/>
    </row>
    <row r="117">
      <c r="F117" s="2"/>
    </row>
    <row r="118">
      <c r="F118" s="2"/>
    </row>
    <row r="119">
      <c r="F119" s="2"/>
    </row>
    <row r="120">
      <c r="F120" s="2"/>
    </row>
    <row r="121">
      <c r="F121" s="2"/>
    </row>
    <row r="122">
      <c r="F122" s="2"/>
    </row>
    <row r="123">
      <c r="F123" s="2"/>
    </row>
    <row r="124">
      <c r="F124" s="2"/>
    </row>
    <row r="125">
      <c r="F125" s="2"/>
    </row>
    <row r="126">
      <c r="F126" s="2"/>
    </row>
    <row r="127">
      <c r="F127" s="2"/>
    </row>
    <row r="128">
      <c r="F128" s="2"/>
    </row>
    <row r="129">
      <c r="F129" s="2"/>
    </row>
    <row r="130">
      <c r="F130" s="2"/>
    </row>
    <row r="131">
      <c r="F131" s="2"/>
    </row>
    <row r="132">
      <c r="F132" s="2"/>
    </row>
    <row r="133">
      <c r="F133" s="2"/>
    </row>
    <row r="134">
      <c r="F134" s="2"/>
    </row>
    <row r="135">
      <c r="F135" s="2"/>
    </row>
    <row r="136">
      <c r="F136" s="2"/>
    </row>
    <row r="137">
      <c r="F137" s="2"/>
    </row>
    <row r="138">
      <c r="F138" s="2"/>
    </row>
    <row r="139">
      <c r="F139" s="2"/>
    </row>
    <row r="140">
      <c r="F140" s="2"/>
    </row>
    <row r="141">
      <c r="F141" s="2"/>
    </row>
    <row r="142">
      <c r="F142" s="2"/>
    </row>
    <row r="143">
      <c r="F143" s="2"/>
    </row>
    <row r="144">
      <c r="F144" s="2"/>
    </row>
    <row r="145">
      <c r="F145" s="2"/>
    </row>
    <row r="146">
      <c r="F146" s="2"/>
    </row>
    <row r="147">
      <c r="F147" s="2"/>
    </row>
    <row r="148">
      <c r="F148" s="2"/>
    </row>
    <row r="149">
      <c r="F149" s="2"/>
    </row>
    <row r="150">
      <c r="F150" s="2"/>
    </row>
    <row r="151">
      <c r="F151" s="2"/>
    </row>
    <row r="152">
      <c r="F152" s="2"/>
    </row>
    <row r="153">
      <c r="F153" s="2"/>
    </row>
    <row r="154">
      <c r="F154" s="2"/>
    </row>
    <row r="155">
      <c r="F155" s="2"/>
    </row>
    <row r="156">
      <c r="F156" s="2"/>
    </row>
    <row r="157">
      <c r="F157" s="2"/>
    </row>
    <row r="158">
      <c r="F158" s="2"/>
    </row>
    <row r="159">
      <c r="F159" s="2"/>
    </row>
    <row r="160">
      <c r="F160" s="2"/>
    </row>
    <row r="161">
      <c r="F161" s="2"/>
    </row>
    <row r="162">
      <c r="F162" s="2"/>
    </row>
    <row r="163">
      <c r="F163" s="2"/>
    </row>
    <row r="164">
      <c r="F164" s="2"/>
    </row>
    <row r="165">
      <c r="F165" s="2"/>
    </row>
    <row r="166">
      <c r="F166" s="2"/>
    </row>
    <row r="167">
      <c r="F167" s="2"/>
    </row>
    <row r="168">
      <c r="F168" s="2"/>
    </row>
    <row r="169">
      <c r="F169" s="2"/>
    </row>
    <row r="170">
      <c r="F170" s="2"/>
    </row>
    <row r="171">
      <c r="F171" s="2"/>
    </row>
    <row r="172">
      <c r="F172" s="2"/>
    </row>
    <row r="173">
      <c r="F173" s="2"/>
    </row>
    <row r="174">
      <c r="F174" s="2"/>
    </row>
    <row r="175">
      <c r="F175" s="2"/>
    </row>
    <row r="176">
      <c r="F176" s="2"/>
    </row>
    <row r="177">
      <c r="F177" s="2"/>
    </row>
    <row r="178">
      <c r="F178" s="2"/>
    </row>
    <row r="179">
      <c r="F179" s="2"/>
    </row>
    <row r="180">
      <c r="F180" s="2"/>
    </row>
    <row r="181">
      <c r="F181" s="2"/>
    </row>
    <row r="182">
      <c r="F182" s="2"/>
    </row>
    <row r="183">
      <c r="F183" s="2"/>
    </row>
    <row r="184">
      <c r="F184" s="2"/>
    </row>
    <row r="185">
      <c r="F185" s="2"/>
    </row>
    <row r="186">
      <c r="F186" s="2"/>
    </row>
    <row r="187">
      <c r="F187" s="2"/>
    </row>
    <row r="188">
      <c r="F188" s="2"/>
    </row>
    <row r="189">
      <c r="F189" s="2"/>
    </row>
    <row r="190">
      <c r="F190" s="2"/>
    </row>
    <row r="191">
      <c r="F191" s="2"/>
    </row>
    <row r="192">
      <c r="F192" s="2"/>
    </row>
    <row r="193">
      <c r="F193" s="2"/>
    </row>
    <row r="194">
      <c r="F194" s="2"/>
    </row>
    <row r="195">
      <c r="F195" s="2"/>
    </row>
    <row r="196">
      <c r="F196" s="2"/>
    </row>
    <row r="197">
      <c r="F197" s="2"/>
    </row>
    <row r="198">
      <c r="F198" s="2"/>
    </row>
    <row r="199">
      <c r="F199" s="2"/>
    </row>
    <row r="200">
      <c r="F200" s="2"/>
    </row>
    <row r="201">
      <c r="F201" s="2"/>
    </row>
    <row r="202">
      <c r="F202" s="2"/>
    </row>
    <row r="203">
      <c r="F203" s="2"/>
    </row>
    <row r="204">
      <c r="F204" s="2"/>
    </row>
    <row r="205">
      <c r="F205" s="2"/>
    </row>
    <row r="206">
      <c r="F206" s="2"/>
    </row>
    <row r="207">
      <c r="F207" s="2"/>
    </row>
    <row r="208">
      <c r="F208" s="2"/>
    </row>
    <row r="209">
      <c r="F209" s="2"/>
    </row>
    <row r="210">
      <c r="F210" s="2"/>
    </row>
    <row r="211">
      <c r="F211" s="2"/>
    </row>
    <row r="212">
      <c r="F212" s="2"/>
    </row>
    <row r="213">
      <c r="F213" s="2"/>
    </row>
    <row r="214">
      <c r="F214" s="2"/>
    </row>
    <row r="215">
      <c r="F215" s="2"/>
    </row>
    <row r="216">
      <c r="F216" s="2"/>
    </row>
    <row r="217">
      <c r="F217" s="2"/>
    </row>
    <row r="218">
      <c r="F218" s="2"/>
    </row>
    <row r="219">
      <c r="F219" s="2"/>
    </row>
    <row r="220">
      <c r="F220" s="2"/>
    </row>
    <row r="221">
      <c r="F221" s="2"/>
    </row>
    <row r="222">
      <c r="F222" s="2"/>
    </row>
    <row r="223">
      <c r="F223" s="2"/>
    </row>
    <row r="224">
      <c r="F224" s="2"/>
    </row>
    <row r="225">
      <c r="F225" s="2"/>
    </row>
    <row r="226">
      <c r="F226" s="2"/>
    </row>
    <row r="227">
      <c r="F227" s="2"/>
    </row>
    <row r="228">
      <c r="F228" s="2"/>
    </row>
    <row r="229">
      <c r="F229" s="2"/>
    </row>
    <row r="230">
      <c r="F230" s="2"/>
    </row>
    <row r="231">
      <c r="F231" s="2"/>
    </row>
    <row r="232">
      <c r="F232" s="2"/>
    </row>
    <row r="233">
      <c r="F233" s="2"/>
    </row>
    <row r="234">
      <c r="F234" s="2"/>
    </row>
    <row r="235">
      <c r="F235" s="2"/>
    </row>
    <row r="236">
      <c r="F236" s="2"/>
    </row>
    <row r="237">
      <c r="F237" s="2"/>
    </row>
    <row r="238">
      <c r="F238" s="2"/>
    </row>
    <row r="239">
      <c r="F239" s="2"/>
    </row>
    <row r="240">
      <c r="F240" s="2"/>
    </row>
    <row r="241">
      <c r="F241" s="2"/>
    </row>
    <row r="242">
      <c r="F242" s="2"/>
    </row>
    <row r="243">
      <c r="F243" s="2"/>
    </row>
    <row r="244">
      <c r="F244" s="2"/>
    </row>
    <row r="245">
      <c r="F245" s="2"/>
    </row>
    <row r="246">
      <c r="F246" s="2"/>
    </row>
    <row r="247">
      <c r="F247" s="2"/>
    </row>
    <row r="248">
      <c r="F248" s="2"/>
    </row>
    <row r="249">
      <c r="F249" s="2"/>
    </row>
    <row r="250">
      <c r="F250" s="2"/>
    </row>
    <row r="251">
      <c r="F251" s="2"/>
    </row>
    <row r="252">
      <c r="F252" s="2"/>
    </row>
    <row r="253">
      <c r="F253" s="2"/>
    </row>
    <row r="254">
      <c r="F254" s="2"/>
    </row>
    <row r="255">
      <c r="F255" s="2"/>
    </row>
    <row r="256">
      <c r="F256" s="2"/>
    </row>
    <row r="257">
      <c r="F257" s="2"/>
    </row>
    <row r="258">
      <c r="F258" s="2"/>
    </row>
    <row r="259">
      <c r="F259" s="2"/>
    </row>
    <row r="260">
      <c r="F260" s="2"/>
    </row>
    <row r="261">
      <c r="F261" s="2"/>
    </row>
    <row r="262">
      <c r="F262" s="2"/>
    </row>
    <row r="263">
      <c r="F263" s="2"/>
    </row>
    <row r="264">
      <c r="F264" s="2"/>
    </row>
    <row r="265">
      <c r="F265" s="2"/>
    </row>
    <row r="266">
      <c r="F266" s="2"/>
    </row>
    <row r="267">
      <c r="F267" s="2"/>
    </row>
    <row r="268">
      <c r="F268" s="2"/>
    </row>
    <row r="269">
      <c r="F269" s="2"/>
    </row>
    <row r="270">
      <c r="F270" s="2"/>
    </row>
    <row r="271">
      <c r="F271" s="2"/>
    </row>
    <row r="272">
      <c r="F272" s="2"/>
    </row>
    <row r="273">
      <c r="F273" s="2"/>
    </row>
    <row r="274">
      <c r="F274" s="2"/>
    </row>
    <row r="275">
      <c r="F275" s="2"/>
    </row>
    <row r="276">
      <c r="F276" s="2"/>
    </row>
    <row r="277">
      <c r="F277" s="2"/>
    </row>
    <row r="278">
      <c r="F278" s="2"/>
    </row>
    <row r="279">
      <c r="F279" s="2"/>
    </row>
    <row r="280">
      <c r="F280" s="2"/>
    </row>
    <row r="281">
      <c r="F281" s="2"/>
    </row>
    <row r="282">
      <c r="F282" s="2"/>
    </row>
    <row r="283">
      <c r="F283" s="2"/>
    </row>
    <row r="284">
      <c r="F284" s="2"/>
    </row>
    <row r="285">
      <c r="F285" s="2"/>
    </row>
    <row r="286">
      <c r="F286" s="2"/>
    </row>
    <row r="287">
      <c r="F287" s="2"/>
    </row>
    <row r="288">
      <c r="F288" s="2"/>
    </row>
    <row r="289">
      <c r="F289" s="2"/>
    </row>
    <row r="290">
      <c r="F290" s="2"/>
    </row>
    <row r="291">
      <c r="F291" s="2"/>
    </row>
    <row r="292">
      <c r="F292" s="2"/>
    </row>
    <row r="293">
      <c r="F293" s="2"/>
    </row>
    <row r="294">
      <c r="F294" s="2"/>
    </row>
    <row r="295">
      <c r="F295" s="2"/>
    </row>
    <row r="296">
      <c r="F296" s="2"/>
    </row>
    <row r="297">
      <c r="F297" s="2"/>
    </row>
    <row r="298">
      <c r="F298" s="2"/>
    </row>
    <row r="299">
      <c r="F299" s="2"/>
    </row>
    <row r="300">
      <c r="F300" s="2"/>
    </row>
    <row r="301">
      <c r="F301" s="2"/>
    </row>
    <row r="302">
      <c r="F302" s="2"/>
    </row>
    <row r="303">
      <c r="F303" s="2"/>
    </row>
    <row r="304">
      <c r="F304" s="2"/>
    </row>
    <row r="305">
      <c r="F305" s="2"/>
    </row>
    <row r="306">
      <c r="F306" s="2"/>
    </row>
    <row r="307">
      <c r="F307" s="2"/>
    </row>
    <row r="308">
      <c r="F308" s="2"/>
    </row>
    <row r="309">
      <c r="F309" s="2"/>
    </row>
    <row r="310">
      <c r="F310" s="2"/>
    </row>
    <row r="311">
      <c r="F311" s="2"/>
    </row>
    <row r="312">
      <c r="F312" s="2"/>
    </row>
    <row r="313">
      <c r="F313" s="2"/>
    </row>
    <row r="314">
      <c r="F314" s="2"/>
    </row>
    <row r="315">
      <c r="F315" s="2"/>
    </row>
    <row r="316">
      <c r="F316" s="2"/>
    </row>
    <row r="317">
      <c r="F317" s="2"/>
    </row>
    <row r="318">
      <c r="F318" s="2"/>
    </row>
    <row r="319">
      <c r="F319" s="2"/>
    </row>
    <row r="320">
      <c r="F320" s="2"/>
    </row>
    <row r="321">
      <c r="F321" s="2"/>
    </row>
    <row r="322">
      <c r="F322" s="2"/>
    </row>
    <row r="323">
      <c r="F323" s="2"/>
    </row>
    <row r="324">
      <c r="F324" s="2"/>
    </row>
    <row r="325">
      <c r="F325" s="2"/>
    </row>
    <row r="326">
      <c r="F326" s="2"/>
    </row>
    <row r="327">
      <c r="F327" s="2"/>
    </row>
    <row r="328">
      <c r="F328" s="2"/>
    </row>
    <row r="329">
      <c r="F329" s="2"/>
    </row>
    <row r="330">
      <c r="F330" s="2"/>
    </row>
    <row r="331">
      <c r="F331" s="2"/>
    </row>
    <row r="332">
      <c r="F332" s="2"/>
    </row>
    <row r="333">
      <c r="F333" s="2"/>
    </row>
    <row r="334">
      <c r="F334" s="2"/>
    </row>
    <row r="335">
      <c r="F335" s="2"/>
    </row>
    <row r="336">
      <c r="F336" s="2"/>
    </row>
    <row r="337">
      <c r="F337" s="2"/>
    </row>
    <row r="338">
      <c r="F338" s="2"/>
    </row>
    <row r="339">
      <c r="F339" s="2"/>
    </row>
    <row r="340">
      <c r="F340" s="2"/>
    </row>
    <row r="341">
      <c r="F341" s="2"/>
    </row>
    <row r="342">
      <c r="F342" s="2"/>
    </row>
    <row r="343">
      <c r="F343" s="2"/>
    </row>
    <row r="344">
      <c r="F344" s="2"/>
    </row>
    <row r="345">
      <c r="F345" s="2"/>
    </row>
    <row r="346">
      <c r="F346" s="2"/>
    </row>
    <row r="347">
      <c r="F347" s="2"/>
    </row>
    <row r="348">
      <c r="F348" s="2"/>
    </row>
    <row r="349">
      <c r="F349" s="2"/>
    </row>
    <row r="350">
      <c r="F350" s="2"/>
    </row>
    <row r="351">
      <c r="F351" s="2"/>
    </row>
    <row r="352">
      <c r="F352" s="2"/>
    </row>
    <row r="353">
      <c r="F353" s="2"/>
    </row>
    <row r="354">
      <c r="F354" s="2"/>
    </row>
    <row r="355">
      <c r="F355" s="2"/>
    </row>
    <row r="356">
      <c r="F356" s="2"/>
    </row>
    <row r="357">
      <c r="F357" s="2"/>
    </row>
    <row r="358">
      <c r="F358" s="2"/>
    </row>
    <row r="359">
      <c r="F359" s="2"/>
    </row>
    <row r="360">
      <c r="F360" s="2"/>
    </row>
    <row r="361">
      <c r="F361" s="2"/>
    </row>
    <row r="362">
      <c r="F362" s="2"/>
    </row>
    <row r="363">
      <c r="F363" s="2"/>
    </row>
    <row r="364">
      <c r="F364" s="2"/>
    </row>
    <row r="365">
      <c r="F365" s="2"/>
    </row>
    <row r="366">
      <c r="F366" s="2"/>
    </row>
    <row r="367">
      <c r="F367" s="2"/>
    </row>
    <row r="368">
      <c r="F368" s="2"/>
    </row>
    <row r="369">
      <c r="F369" s="2"/>
    </row>
    <row r="370">
      <c r="F370" s="2"/>
    </row>
    <row r="371">
      <c r="F371" s="2"/>
    </row>
    <row r="372">
      <c r="F372" s="2"/>
    </row>
    <row r="373">
      <c r="F373" s="2"/>
    </row>
    <row r="374">
      <c r="F374" s="2"/>
    </row>
    <row r="375">
      <c r="F375" s="2"/>
    </row>
    <row r="376">
      <c r="F376" s="2"/>
    </row>
    <row r="377">
      <c r="F377" s="2"/>
    </row>
    <row r="378">
      <c r="F378" s="2"/>
    </row>
    <row r="379">
      <c r="F379" s="2"/>
    </row>
    <row r="380">
      <c r="F380" s="2"/>
    </row>
    <row r="381">
      <c r="F381" s="2"/>
    </row>
    <row r="382">
      <c r="F382" s="2"/>
    </row>
    <row r="383">
      <c r="F383" s="2"/>
    </row>
    <row r="384">
      <c r="F384" s="2"/>
    </row>
    <row r="385">
      <c r="F385" s="2"/>
    </row>
    <row r="386">
      <c r="F386" s="2"/>
    </row>
    <row r="387">
      <c r="F387" s="2"/>
    </row>
    <row r="388">
      <c r="F388" s="2"/>
    </row>
    <row r="389">
      <c r="F389" s="2"/>
    </row>
    <row r="390">
      <c r="F390" s="2"/>
    </row>
    <row r="391">
      <c r="F391" s="2"/>
    </row>
    <row r="392">
      <c r="F392" s="2"/>
    </row>
    <row r="393">
      <c r="F393" s="2"/>
    </row>
    <row r="394">
      <c r="F394" s="2"/>
    </row>
    <row r="395">
      <c r="F395" s="2"/>
    </row>
    <row r="396">
      <c r="F396" s="2"/>
    </row>
    <row r="397">
      <c r="F397" s="2"/>
    </row>
    <row r="398">
      <c r="F398" s="2"/>
    </row>
    <row r="399">
      <c r="F399" s="2"/>
    </row>
    <row r="400">
      <c r="F400" s="2"/>
    </row>
    <row r="401">
      <c r="F401" s="2"/>
    </row>
    <row r="402">
      <c r="F402" s="2"/>
    </row>
    <row r="403">
      <c r="F403" s="2"/>
    </row>
    <row r="404">
      <c r="F404" s="2"/>
    </row>
    <row r="405">
      <c r="F405" s="2"/>
    </row>
    <row r="406">
      <c r="F406" s="2"/>
    </row>
    <row r="407">
      <c r="F407" s="2"/>
    </row>
    <row r="408">
      <c r="F408" s="2"/>
    </row>
    <row r="409">
      <c r="F409" s="2"/>
    </row>
    <row r="410">
      <c r="F410" s="2"/>
    </row>
    <row r="411">
      <c r="F411" s="2"/>
    </row>
    <row r="412">
      <c r="F412" s="2"/>
    </row>
    <row r="413">
      <c r="F413" s="2"/>
    </row>
    <row r="414">
      <c r="F414" s="2"/>
    </row>
    <row r="415">
      <c r="F415" s="2"/>
    </row>
    <row r="416">
      <c r="F416" s="2"/>
    </row>
    <row r="417">
      <c r="F417" s="2"/>
    </row>
    <row r="418">
      <c r="F418" s="2"/>
    </row>
    <row r="419">
      <c r="F419" s="2"/>
    </row>
    <row r="420">
      <c r="F420" s="2"/>
    </row>
    <row r="421">
      <c r="F421" s="2"/>
    </row>
    <row r="422">
      <c r="F422" s="2"/>
    </row>
    <row r="423">
      <c r="F423" s="2"/>
    </row>
    <row r="424">
      <c r="F424" s="2"/>
    </row>
    <row r="425">
      <c r="F425" s="2"/>
    </row>
    <row r="426">
      <c r="F426" s="2"/>
    </row>
    <row r="427">
      <c r="F427" s="2"/>
    </row>
    <row r="428">
      <c r="F428" s="2"/>
    </row>
    <row r="429">
      <c r="F429" s="2"/>
    </row>
    <row r="430">
      <c r="F430" s="2"/>
    </row>
    <row r="431">
      <c r="F431" s="2"/>
    </row>
    <row r="432">
      <c r="F432" s="2"/>
    </row>
    <row r="433">
      <c r="F433" s="2"/>
    </row>
    <row r="434">
      <c r="F434" s="2"/>
    </row>
    <row r="435">
      <c r="F435" s="2"/>
    </row>
    <row r="436">
      <c r="F436" s="2"/>
    </row>
    <row r="437">
      <c r="F437" s="2"/>
    </row>
    <row r="438">
      <c r="F438" s="2"/>
    </row>
    <row r="439">
      <c r="F439" s="2"/>
    </row>
    <row r="440">
      <c r="F440" s="2"/>
    </row>
    <row r="441">
      <c r="F441" s="2"/>
    </row>
    <row r="442">
      <c r="F442" s="2"/>
    </row>
    <row r="443">
      <c r="F443" s="2"/>
    </row>
    <row r="444">
      <c r="F444" s="2"/>
    </row>
    <row r="445">
      <c r="F445" s="2"/>
    </row>
    <row r="446">
      <c r="F446" s="2"/>
    </row>
    <row r="447">
      <c r="F447" s="2"/>
    </row>
    <row r="448">
      <c r="F448" s="2"/>
    </row>
    <row r="449">
      <c r="F449" s="2"/>
    </row>
    <row r="450">
      <c r="F450" s="2"/>
    </row>
    <row r="451">
      <c r="F451" s="2"/>
    </row>
    <row r="452">
      <c r="F452" s="2"/>
    </row>
    <row r="453">
      <c r="F453" s="2"/>
    </row>
    <row r="454">
      <c r="F454" s="2"/>
    </row>
    <row r="455">
      <c r="F455" s="2"/>
    </row>
    <row r="456">
      <c r="F456" s="2"/>
    </row>
    <row r="457">
      <c r="F457" s="2"/>
    </row>
    <row r="458">
      <c r="F458" s="2"/>
    </row>
    <row r="459">
      <c r="F459" s="2"/>
    </row>
    <row r="460">
      <c r="F460" s="2"/>
    </row>
    <row r="461">
      <c r="F461" s="2"/>
    </row>
    <row r="462">
      <c r="F462" s="2"/>
    </row>
    <row r="463">
      <c r="F463" s="2"/>
    </row>
    <row r="464">
      <c r="F464" s="2"/>
    </row>
    <row r="465">
      <c r="F465" s="2"/>
    </row>
    <row r="466">
      <c r="F466" s="2"/>
    </row>
    <row r="467">
      <c r="F467" s="2"/>
    </row>
    <row r="468">
      <c r="F468" s="2"/>
    </row>
    <row r="469">
      <c r="F469" s="2"/>
    </row>
    <row r="470">
      <c r="F470" s="2"/>
    </row>
    <row r="471">
      <c r="F471" s="2"/>
    </row>
    <row r="472">
      <c r="F472" s="2"/>
    </row>
    <row r="473">
      <c r="F473" s="2"/>
    </row>
    <row r="474">
      <c r="F474" s="2"/>
    </row>
    <row r="475">
      <c r="F475" s="2"/>
    </row>
    <row r="476">
      <c r="F476" s="2"/>
    </row>
    <row r="477">
      <c r="F477" s="2"/>
    </row>
    <row r="478">
      <c r="F478" s="2"/>
    </row>
    <row r="479">
      <c r="F479" s="2"/>
    </row>
    <row r="480">
      <c r="F480" s="2"/>
    </row>
    <row r="481">
      <c r="F481" s="2"/>
    </row>
    <row r="482">
      <c r="F482" s="2"/>
    </row>
    <row r="483">
      <c r="F483" s="2"/>
    </row>
    <row r="484">
      <c r="F484" s="2"/>
    </row>
    <row r="485">
      <c r="F485" s="2"/>
    </row>
    <row r="486">
      <c r="F486" s="2"/>
    </row>
    <row r="487">
      <c r="F487" s="2"/>
    </row>
    <row r="488">
      <c r="F488" s="2"/>
    </row>
    <row r="489">
      <c r="F489" s="2"/>
    </row>
    <row r="490">
      <c r="F490" s="2"/>
    </row>
    <row r="491">
      <c r="F491" s="2"/>
    </row>
    <row r="492">
      <c r="F492" s="2"/>
    </row>
    <row r="493">
      <c r="F493" s="2"/>
    </row>
    <row r="494">
      <c r="F494" s="2"/>
    </row>
    <row r="495">
      <c r="F495" s="2"/>
    </row>
    <row r="496">
      <c r="F496" s="2"/>
    </row>
    <row r="497">
      <c r="F497" s="2"/>
    </row>
    <row r="498">
      <c r="F498" s="2"/>
    </row>
    <row r="499">
      <c r="F499" s="2"/>
    </row>
    <row r="500">
      <c r="F500" s="2"/>
    </row>
    <row r="501">
      <c r="F501" s="2"/>
    </row>
    <row r="502">
      <c r="F502" s="2"/>
    </row>
    <row r="503">
      <c r="F503" s="2"/>
    </row>
    <row r="504">
      <c r="F504" s="2"/>
    </row>
    <row r="505">
      <c r="F505" s="2"/>
    </row>
    <row r="506">
      <c r="F506" s="2"/>
    </row>
    <row r="507">
      <c r="F507" s="2"/>
    </row>
    <row r="508">
      <c r="F508" s="2"/>
    </row>
    <row r="509">
      <c r="F509" s="2"/>
    </row>
    <row r="510">
      <c r="F510" s="2"/>
    </row>
    <row r="511">
      <c r="F511" s="2"/>
    </row>
    <row r="512">
      <c r="F512" s="2"/>
    </row>
    <row r="513">
      <c r="F513" s="2"/>
    </row>
    <row r="514">
      <c r="F514" s="2"/>
    </row>
    <row r="515">
      <c r="F515" s="2"/>
    </row>
    <row r="516">
      <c r="F516" s="2"/>
    </row>
    <row r="517">
      <c r="F517" s="2"/>
    </row>
    <row r="518">
      <c r="F518" s="2"/>
    </row>
    <row r="519">
      <c r="F519" s="2"/>
    </row>
    <row r="520">
      <c r="F520" s="2"/>
    </row>
    <row r="521">
      <c r="F521" s="2"/>
    </row>
    <row r="522">
      <c r="F522" s="2"/>
    </row>
    <row r="523">
      <c r="F523" s="2"/>
    </row>
    <row r="524">
      <c r="F524" s="2"/>
    </row>
    <row r="525">
      <c r="F525" s="2"/>
    </row>
    <row r="526">
      <c r="F526" s="2"/>
    </row>
    <row r="527">
      <c r="F527" s="2"/>
    </row>
    <row r="528">
      <c r="F528" s="2"/>
    </row>
    <row r="529">
      <c r="F529" s="2"/>
    </row>
    <row r="530">
      <c r="F530" s="2"/>
    </row>
    <row r="531">
      <c r="F531" s="2"/>
    </row>
    <row r="532">
      <c r="F532" s="2"/>
    </row>
    <row r="533">
      <c r="F533" s="2"/>
    </row>
    <row r="534">
      <c r="F534" s="2"/>
    </row>
    <row r="535">
      <c r="F535" s="2"/>
    </row>
    <row r="536">
      <c r="F536" s="2"/>
    </row>
    <row r="537">
      <c r="F537" s="2"/>
    </row>
    <row r="538">
      <c r="F538" s="2"/>
    </row>
    <row r="539">
      <c r="F539" s="2"/>
    </row>
    <row r="540">
      <c r="F540" s="2"/>
    </row>
    <row r="541">
      <c r="F541" s="2"/>
    </row>
    <row r="542">
      <c r="F542" s="2"/>
    </row>
    <row r="543">
      <c r="F543" s="2"/>
    </row>
    <row r="544">
      <c r="F544" s="2"/>
    </row>
    <row r="545">
      <c r="F545" s="2"/>
    </row>
    <row r="546">
      <c r="F546" s="2"/>
    </row>
    <row r="547">
      <c r="F547" s="2"/>
    </row>
    <row r="548">
      <c r="F548" s="2"/>
    </row>
    <row r="549">
      <c r="F549" s="2"/>
    </row>
    <row r="550">
      <c r="F550" s="2"/>
    </row>
    <row r="551">
      <c r="F551" s="2"/>
    </row>
    <row r="552">
      <c r="F552" s="2"/>
    </row>
    <row r="553">
      <c r="F553" s="2"/>
    </row>
    <row r="554">
      <c r="F554" s="2"/>
    </row>
    <row r="555">
      <c r="F555" s="2"/>
    </row>
    <row r="556">
      <c r="F556" s="2"/>
    </row>
    <row r="557">
      <c r="F557" s="2"/>
    </row>
    <row r="558">
      <c r="F558" s="2"/>
    </row>
    <row r="559">
      <c r="F559" s="2"/>
    </row>
    <row r="560">
      <c r="F560" s="2"/>
    </row>
    <row r="561">
      <c r="F561" s="2"/>
    </row>
    <row r="562">
      <c r="F562" s="2"/>
    </row>
    <row r="563">
      <c r="F563" s="2"/>
    </row>
    <row r="564">
      <c r="F564" s="2"/>
    </row>
    <row r="565">
      <c r="F565" s="2"/>
    </row>
    <row r="566">
      <c r="F566" s="2"/>
    </row>
    <row r="567">
      <c r="F567" s="2"/>
    </row>
    <row r="568">
      <c r="F568" s="2"/>
    </row>
    <row r="569">
      <c r="F569" s="2"/>
    </row>
    <row r="570">
      <c r="F570" s="2"/>
    </row>
    <row r="571">
      <c r="F571" s="2"/>
    </row>
    <row r="572">
      <c r="F572" s="2"/>
    </row>
    <row r="573">
      <c r="F573" s="2"/>
    </row>
    <row r="574">
      <c r="F574" s="2"/>
    </row>
    <row r="575">
      <c r="F575" s="2"/>
    </row>
    <row r="576">
      <c r="F576" s="2"/>
    </row>
    <row r="577">
      <c r="F577" s="2"/>
    </row>
    <row r="578">
      <c r="F578" s="2"/>
    </row>
    <row r="579">
      <c r="F579" s="2"/>
    </row>
    <row r="580">
      <c r="F580" s="2"/>
    </row>
    <row r="581">
      <c r="F581" s="2"/>
    </row>
    <row r="582">
      <c r="F582" s="2"/>
    </row>
    <row r="583">
      <c r="F583" s="2"/>
    </row>
    <row r="584">
      <c r="F584" s="2"/>
    </row>
    <row r="585">
      <c r="F585" s="2"/>
    </row>
    <row r="586">
      <c r="F586" s="2"/>
    </row>
    <row r="587">
      <c r="F587" s="2"/>
    </row>
    <row r="588">
      <c r="F588" s="2"/>
    </row>
    <row r="589">
      <c r="F589" s="2"/>
    </row>
    <row r="590">
      <c r="F590" s="2"/>
    </row>
    <row r="591">
      <c r="F591" s="2"/>
    </row>
    <row r="592">
      <c r="F592" s="2"/>
    </row>
    <row r="593">
      <c r="F593" s="2"/>
    </row>
    <row r="594">
      <c r="F594" s="2"/>
    </row>
    <row r="595">
      <c r="F595" s="2"/>
    </row>
    <row r="596">
      <c r="F596" s="2"/>
    </row>
    <row r="597">
      <c r="F597" s="2"/>
    </row>
    <row r="598">
      <c r="F598" s="2"/>
    </row>
    <row r="599">
      <c r="F599" s="2"/>
    </row>
    <row r="600">
      <c r="F600" s="2"/>
    </row>
    <row r="601">
      <c r="F601" s="2"/>
    </row>
    <row r="602">
      <c r="F602" s="2"/>
    </row>
    <row r="603">
      <c r="F603" s="2"/>
    </row>
    <row r="604">
      <c r="F604" s="2"/>
    </row>
    <row r="605">
      <c r="F605" s="2"/>
    </row>
    <row r="606">
      <c r="F606" s="2"/>
    </row>
    <row r="607">
      <c r="F607" s="2"/>
    </row>
    <row r="608">
      <c r="F608" s="2"/>
    </row>
    <row r="609">
      <c r="F609" s="2"/>
    </row>
    <row r="610">
      <c r="F610" s="2"/>
    </row>
    <row r="611">
      <c r="F611" s="2"/>
    </row>
    <row r="612">
      <c r="F612" s="2"/>
    </row>
    <row r="613">
      <c r="F613" s="2"/>
    </row>
    <row r="614">
      <c r="F614" s="2"/>
    </row>
    <row r="615">
      <c r="F615" s="2"/>
    </row>
    <row r="616">
      <c r="F616" s="2"/>
    </row>
    <row r="617">
      <c r="F617" s="2"/>
    </row>
    <row r="618">
      <c r="F618" s="2"/>
    </row>
    <row r="619">
      <c r="F619" s="2"/>
    </row>
    <row r="620">
      <c r="F620" s="2"/>
    </row>
    <row r="621">
      <c r="F621" s="2"/>
    </row>
    <row r="622">
      <c r="F622" s="2"/>
    </row>
    <row r="623">
      <c r="F623" s="2"/>
    </row>
    <row r="624">
      <c r="F624" s="2"/>
    </row>
    <row r="625">
      <c r="F625" s="2"/>
    </row>
    <row r="626">
      <c r="F626" s="2"/>
    </row>
    <row r="627">
      <c r="F627" s="2"/>
    </row>
    <row r="628">
      <c r="F628" s="2"/>
    </row>
    <row r="629">
      <c r="F629" s="2"/>
    </row>
    <row r="630">
      <c r="F630" s="2"/>
    </row>
    <row r="631">
      <c r="F631" s="2"/>
    </row>
    <row r="632">
      <c r="F632" s="2"/>
    </row>
    <row r="633">
      <c r="F633" s="2"/>
    </row>
    <row r="634">
      <c r="F634" s="2"/>
    </row>
    <row r="635">
      <c r="F635" s="2"/>
    </row>
    <row r="636">
      <c r="F636" s="2"/>
    </row>
    <row r="637">
      <c r="F637" s="2"/>
    </row>
    <row r="638">
      <c r="F638" s="2"/>
    </row>
    <row r="639">
      <c r="F639" s="2"/>
    </row>
    <row r="640">
      <c r="F640" s="2"/>
    </row>
    <row r="641">
      <c r="F641" s="2"/>
    </row>
    <row r="642">
      <c r="F642" s="2"/>
    </row>
    <row r="643">
      <c r="F643" s="2"/>
    </row>
    <row r="644">
      <c r="F644" s="2"/>
    </row>
    <row r="645">
      <c r="F645" s="2"/>
    </row>
    <row r="646">
      <c r="F646" s="2"/>
    </row>
    <row r="647">
      <c r="F647" s="2"/>
    </row>
    <row r="648">
      <c r="F648" s="2"/>
    </row>
    <row r="649">
      <c r="F649" s="2"/>
    </row>
    <row r="650">
      <c r="F650" s="2"/>
    </row>
    <row r="651">
      <c r="F651" s="2"/>
    </row>
    <row r="652">
      <c r="F652" s="2"/>
    </row>
    <row r="653">
      <c r="F653" s="2"/>
    </row>
    <row r="654">
      <c r="F654" s="2"/>
    </row>
    <row r="655">
      <c r="F655" s="2"/>
    </row>
    <row r="656">
      <c r="F656" s="2"/>
    </row>
    <row r="657">
      <c r="F657" s="2"/>
    </row>
    <row r="658">
      <c r="F658" s="2"/>
    </row>
    <row r="659">
      <c r="F659" s="2"/>
    </row>
    <row r="660">
      <c r="F660" s="2"/>
    </row>
    <row r="661">
      <c r="F661" s="2"/>
    </row>
    <row r="662">
      <c r="F662" s="2"/>
    </row>
    <row r="663">
      <c r="F663" s="2"/>
    </row>
    <row r="664">
      <c r="F664" s="2"/>
    </row>
    <row r="665">
      <c r="F665" s="2"/>
    </row>
    <row r="666">
      <c r="F666" s="2"/>
    </row>
    <row r="667">
      <c r="F667" s="2"/>
    </row>
    <row r="668">
      <c r="F668" s="2"/>
    </row>
    <row r="669">
      <c r="F669" s="2"/>
    </row>
    <row r="670">
      <c r="F670" s="2"/>
    </row>
    <row r="671">
      <c r="F671" s="2"/>
    </row>
    <row r="672">
      <c r="F672" s="2"/>
    </row>
    <row r="673">
      <c r="F673" s="2"/>
    </row>
    <row r="674">
      <c r="F674" s="2"/>
    </row>
    <row r="675">
      <c r="F675" s="2"/>
    </row>
    <row r="676">
      <c r="F676" s="2"/>
    </row>
    <row r="677">
      <c r="F677" s="2"/>
    </row>
    <row r="678">
      <c r="F678" s="2"/>
    </row>
    <row r="679">
      <c r="F679" s="2"/>
    </row>
    <row r="680">
      <c r="F680" s="2"/>
    </row>
    <row r="681">
      <c r="F681" s="2"/>
    </row>
    <row r="682">
      <c r="F682" s="2"/>
    </row>
    <row r="683">
      <c r="F683" s="2"/>
    </row>
    <row r="684">
      <c r="F684" s="2"/>
    </row>
    <row r="685">
      <c r="F685" s="2"/>
    </row>
    <row r="686">
      <c r="F686" s="2"/>
    </row>
    <row r="687">
      <c r="F687" s="2"/>
    </row>
    <row r="688">
      <c r="F688" s="2"/>
    </row>
    <row r="689">
      <c r="F689" s="2"/>
    </row>
    <row r="690">
      <c r="F690" s="2"/>
    </row>
    <row r="691">
      <c r="F691" s="2"/>
    </row>
    <row r="692">
      <c r="F692" s="2"/>
    </row>
    <row r="693">
      <c r="F693" s="2"/>
    </row>
    <row r="694">
      <c r="F694" s="2"/>
    </row>
    <row r="695">
      <c r="F695" s="2"/>
    </row>
    <row r="696">
      <c r="F696" s="2"/>
    </row>
    <row r="697">
      <c r="F697" s="2"/>
    </row>
    <row r="698">
      <c r="F698" s="2"/>
    </row>
    <row r="699">
      <c r="F699" s="2"/>
    </row>
    <row r="700">
      <c r="F700" s="2"/>
    </row>
    <row r="701">
      <c r="F701" s="2"/>
    </row>
    <row r="702">
      <c r="F702" s="2"/>
    </row>
    <row r="703">
      <c r="F703" s="2"/>
    </row>
    <row r="704">
      <c r="F704" s="2"/>
    </row>
    <row r="705">
      <c r="F705" s="2"/>
    </row>
    <row r="706">
      <c r="F706" s="2"/>
    </row>
    <row r="707">
      <c r="F707" s="2"/>
    </row>
    <row r="708">
      <c r="F708" s="2"/>
    </row>
    <row r="709">
      <c r="F709" s="2"/>
    </row>
    <row r="710">
      <c r="F710" s="2"/>
    </row>
    <row r="711">
      <c r="F711" s="2"/>
    </row>
    <row r="712">
      <c r="F712" s="2"/>
    </row>
    <row r="713">
      <c r="F713" s="2"/>
    </row>
    <row r="714">
      <c r="F714" s="2"/>
    </row>
    <row r="715">
      <c r="F715" s="2"/>
    </row>
    <row r="716">
      <c r="F716" s="2"/>
    </row>
    <row r="717">
      <c r="F717" s="2"/>
    </row>
    <row r="718">
      <c r="F718" s="2"/>
    </row>
    <row r="719">
      <c r="F719" s="2"/>
    </row>
    <row r="720">
      <c r="F720" s="2"/>
    </row>
    <row r="721">
      <c r="F721" s="2"/>
    </row>
    <row r="722">
      <c r="F722" s="2"/>
    </row>
    <row r="723">
      <c r="F723" s="2"/>
    </row>
    <row r="724">
      <c r="F724" s="2"/>
    </row>
    <row r="725">
      <c r="F725" s="2"/>
    </row>
    <row r="726">
      <c r="F726" s="2"/>
    </row>
    <row r="727">
      <c r="F727" s="2"/>
    </row>
    <row r="728">
      <c r="F728" s="2"/>
    </row>
    <row r="729">
      <c r="F729" s="2"/>
    </row>
    <row r="730">
      <c r="F730" s="2"/>
    </row>
    <row r="731">
      <c r="F731" s="2"/>
    </row>
    <row r="732">
      <c r="F732" s="2"/>
    </row>
    <row r="733">
      <c r="F733" s="2"/>
    </row>
    <row r="734">
      <c r="F734" s="2"/>
    </row>
    <row r="735">
      <c r="F735" s="2"/>
    </row>
    <row r="736">
      <c r="F736" s="2"/>
    </row>
    <row r="737">
      <c r="F737" s="2"/>
    </row>
    <row r="738">
      <c r="F738" s="2"/>
    </row>
    <row r="739">
      <c r="F739" s="2"/>
    </row>
    <row r="740">
      <c r="F740" s="2"/>
    </row>
    <row r="741">
      <c r="F741" s="2"/>
    </row>
    <row r="742">
      <c r="F742" s="2"/>
    </row>
    <row r="743">
      <c r="F743" s="2"/>
    </row>
    <row r="744">
      <c r="F744" s="2"/>
    </row>
    <row r="745">
      <c r="F745" s="2"/>
    </row>
    <row r="746">
      <c r="F746" s="2"/>
    </row>
    <row r="747">
      <c r="F747" s="2"/>
    </row>
    <row r="748">
      <c r="F748" s="2"/>
    </row>
    <row r="749">
      <c r="F749" s="2"/>
    </row>
    <row r="750">
      <c r="F750" s="2"/>
    </row>
    <row r="751">
      <c r="F751" s="2"/>
    </row>
    <row r="752">
      <c r="F752" s="2"/>
    </row>
    <row r="753">
      <c r="F753" s="2"/>
    </row>
    <row r="754">
      <c r="F754" s="2"/>
    </row>
    <row r="755">
      <c r="F755" s="2"/>
    </row>
    <row r="756">
      <c r="F756" s="2"/>
    </row>
    <row r="757">
      <c r="F757" s="2"/>
    </row>
    <row r="758">
      <c r="F758" s="2"/>
    </row>
    <row r="759">
      <c r="F759" s="2"/>
    </row>
    <row r="760">
      <c r="F760" s="2"/>
    </row>
    <row r="761">
      <c r="F761" s="2"/>
    </row>
    <row r="762">
      <c r="F762" s="2"/>
    </row>
    <row r="763">
      <c r="F763" s="2"/>
    </row>
    <row r="764">
      <c r="F764" s="2"/>
    </row>
    <row r="765">
      <c r="F765" s="2"/>
    </row>
    <row r="766">
      <c r="F766" s="2"/>
    </row>
    <row r="767">
      <c r="F767" s="2"/>
    </row>
    <row r="768">
      <c r="F768" s="2"/>
    </row>
    <row r="769">
      <c r="F769" s="2"/>
    </row>
    <row r="770">
      <c r="F770" s="2"/>
    </row>
    <row r="771">
      <c r="F771" s="2"/>
    </row>
    <row r="772">
      <c r="F772" s="2"/>
    </row>
    <row r="773">
      <c r="F773" s="2"/>
    </row>
    <row r="774">
      <c r="F774" s="2"/>
    </row>
    <row r="775">
      <c r="F775" s="2"/>
    </row>
    <row r="776">
      <c r="F776" s="2"/>
    </row>
    <row r="777">
      <c r="F777" s="2"/>
    </row>
    <row r="778">
      <c r="F778" s="2"/>
    </row>
    <row r="779">
      <c r="F779" s="2"/>
    </row>
    <row r="780">
      <c r="F780" s="2"/>
    </row>
    <row r="781">
      <c r="F781" s="2"/>
    </row>
    <row r="782">
      <c r="F782" s="2"/>
    </row>
    <row r="783">
      <c r="F783" s="2"/>
    </row>
    <row r="784">
      <c r="F784" s="2"/>
    </row>
    <row r="785">
      <c r="F785" s="2"/>
    </row>
    <row r="786">
      <c r="F786" s="2"/>
    </row>
    <row r="787">
      <c r="F787" s="2"/>
    </row>
    <row r="788">
      <c r="F788" s="2"/>
    </row>
    <row r="789">
      <c r="F789" s="2"/>
    </row>
    <row r="790">
      <c r="F790" s="2"/>
    </row>
    <row r="791">
      <c r="F791" s="2"/>
    </row>
    <row r="792">
      <c r="F792" s="2"/>
    </row>
    <row r="793">
      <c r="F793" s="2"/>
    </row>
    <row r="794">
      <c r="F794" s="2"/>
    </row>
    <row r="795">
      <c r="F795" s="2"/>
    </row>
    <row r="796">
      <c r="F796" s="2"/>
    </row>
    <row r="797">
      <c r="F797" s="2"/>
    </row>
    <row r="798">
      <c r="F798" s="2"/>
    </row>
    <row r="799">
      <c r="F799" s="2"/>
    </row>
    <row r="800">
      <c r="F800" s="2"/>
    </row>
    <row r="801">
      <c r="F801" s="2"/>
    </row>
    <row r="802">
      <c r="F802" s="2"/>
    </row>
    <row r="803">
      <c r="F803" s="2"/>
    </row>
    <row r="804">
      <c r="F804" s="2"/>
    </row>
    <row r="805">
      <c r="F805" s="2"/>
    </row>
    <row r="806">
      <c r="F806" s="2"/>
    </row>
    <row r="807">
      <c r="F807" s="2"/>
    </row>
    <row r="808">
      <c r="F808" s="2"/>
    </row>
    <row r="809">
      <c r="F809" s="2"/>
    </row>
    <row r="810">
      <c r="F810" s="2"/>
    </row>
    <row r="811">
      <c r="F811" s="2"/>
    </row>
    <row r="812">
      <c r="F812" s="2"/>
    </row>
    <row r="813">
      <c r="F813" s="2"/>
    </row>
    <row r="814">
      <c r="F814" s="2"/>
    </row>
    <row r="815">
      <c r="F815" s="2"/>
    </row>
    <row r="816">
      <c r="F816" s="2"/>
    </row>
    <row r="817">
      <c r="F817" s="2"/>
    </row>
    <row r="818">
      <c r="F818" s="2"/>
    </row>
    <row r="819">
      <c r="F819" s="2"/>
    </row>
    <row r="820">
      <c r="F820" s="2"/>
    </row>
    <row r="821">
      <c r="F821" s="2"/>
    </row>
    <row r="822">
      <c r="F822" s="2"/>
    </row>
    <row r="823">
      <c r="F823" s="2"/>
    </row>
    <row r="824">
      <c r="F824" s="2"/>
    </row>
    <row r="825">
      <c r="F825" s="2"/>
    </row>
    <row r="826">
      <c r="F826" s="2"/>
    </row>
    <row r="827">
      <c r="F827" s="2"/>
    </row>
    <row r="828">
      <c r="F828" s="2"/>
    </row>
    <row r="829">
      <c r="F829" s="2"/>
    </row>
    <row r="830">
      <c r="F830" s="2"/>
    </row>
    <row r="831">
      <c r="F831" s="2"/>
    </row>
    <row r="832">
      <c r="F832" s="2"/>
    </row>
    <row r="833">
      <c r="F833" s="2"/>
    </row>
    <row r="834">
      <c r="F834" s="2"/>
    </row>
    <row r="835">
      <c r="F835" s="2"/>
    </row>
    <row r="836">
      <c r="F836" s="2"/>
    </row>
    <row r="837">
      <c r="F837" s="2"/>
    </row>
    <row r="838">
      <c r="F838" s="2"/>
    </row>
    <row r="839">
      <c r="F839" s="2"/>
    </row>
    <row r="840">
      <c r="F840" s="2"/>
    </row>
    <row r="841">
      <c r="F841" s="2"/>
    </row>
    <row r="842">
      <c r="F842" s="2"/>
    </row>
    <row r="843">
      <c r="F843" s="2"/>
    </row>
    <row r="844">
      <c r="F844" s="2"/>
    </row>
    <row r="845">
      <c r="F845" s="2"/>
    </row>
    <row r="846">
      <c r="F846" s="2"/>
    </row>
    <row r="847">
      <c r="F847" s="2"/>
    </row>
    <row r="848">
      <c r="F848" s="2"/>
    </row>
    <row r="849">
      <c r="F849" s="2"/>
    </row>
    <row r="850">
      <c r="F850" s="2"/>
    </row>
    <row r="851">
      <c r="F851" s="2"/>
    </row>
    <row r="852">
      <c r="F852" s="2"/>
    </row>
    <row r="853">
      <c r="F853" s="2"/>
    </row>
    <row r="854">
      <c r="F854" s="2"/>
    </row>
    <row r="855">
      <c r="F855" s="2"/>
    </row>
    <row r="856">
      <c r="F856" s="2"/>
    </row>
    <row r="857">
      <c r="F857" s="2"/>
    </row>
    <row r="858">
      <c r="F858" s="2"/>
    </row>
    <row r="859">
      <c r="F859" s="2"/>
    </row>
    <row r="860">
      <c r="F860" s="2"/>
    </row>
    <row r="861">
      <c r="F861" s="2"/>
    </row>
    <row r="862">
      <c r="F862" s="2"/>
    </row>
    <row r="863">
      <c r="F863" s="2"/>
    </row>
    <row r="864">
      <c r="F864" s="2"/>
    </row>
    <row r="865">
      <c r="F865" s="2"/>
    </row>
    <row r="866">
      <c r="F866" s="2"/>
    </row>
    <row r="867">
      <c r="F867" s="2"/>
    </row>
    <row r="868">
      <c r="F868" s="2"/>
    </row>
    <row r="869">
      <c r="F869" s="2"/>
    </row>
    <row r="870">
      <c r="F870" s="2"/>
    </row>
    <row r="871">
      <c r="F871" s="2"/>
    </row>
    <row r="872">
      <c r="F872" s="2"/>
    </row>
    <row r="873">
      <c r="F873" s="2"/>
    </row>
    <row r="874">
      <c r="F874" s="2"/>
    </row>
    <row r="875">
      <c r="F875" s="2"/>
    </row>
    <row r="876">
      <c r="F876" s="2"/>
    </row>
    <row r="877">
      <c r="F877" s="2"/>
    </row>
    <row r="878">
      <c r="F878" s="2"/>
    </row>
    <row r="879">
      <c r="F879" s="2"/>
    </row>
    <row r="880">
      <c r="F880" s="2"/>
    </row>
    <row r="881">
      <c r="F881" s="2"/>
    </row>
    <row r="882">
      <c r="F882" s="2"/>
    </row>
    <row r="883">
      <c r="F883" s="2"/>
    </row>
    <row r="884">
      <c r="F884" s="2"/>
    </row>
    <row r="885">
      <c r="F885" s="2"/>
    </row>
    <row r="886">
      <c r="F886" s="2"/>
    </row>
    <row r="887">
      <c r="F887" s="2"/>
    </row>
    <row r="888">
      <c r="F888" s="2"/>
    </row>
    <row r="889">
      <c r="F889" s="2"/>
    </row>
    <row r="890">
      <c r="F890" s="2"/>
    </row>
    <row r="891">
      <c r="F891" s="2"/>
    </row>
    <row r="892">
      <c r="F892" s="2"/>
    </row>
    <row r="893">
      <c r="F893" s="2"/>
    </row>
    <row r="894">
      <c r="F894" s="2"/>
    </row>
    <row r="895">
      <c r="F895" s="2"/>
    </row>
    <row r="896">
      <c r="F896" s="2"/>
    </row>
    <row r="897">
      <c r="F897" s="2"/>
    </row>
    <row r="898">
      <c r="F898" s="2"/>
    </row>
    <row r="899">
      <c r="F899" s="2"/>
    </row>
    <row r="900">
      <c r="F900" s="2"/>
    </row>
    <row r="901">
      <c r="F901" s="2"/>
    </row>
    <row r="902">
      <c r="F902" s="2"/>
    </row>
    <row r="903">
      <c r="F903" s="2"/>
    </row>
    <row r="904">
      <c r="F904" s="2"/>
    </row>
    <row r="905">
      <c r="F905" s="2"/>
    </row>
    <row r="906">
      <c r="F906" s="2"/>
    </row>
    <row r="907">
      <c r="F907" s="2"/>
    </row>
    <row r="908">
      <c r="F908" s="2"/>
    </row>
    <row r="909">
      <c r="F909" s="2"/>
    </row>
    <row r="910">
      <c r="F910" s="2"/>
    </row>
    <row r="911">
      <c r="F911" s="2"/>
    </row>
    <row r="912">
      <c r="F912" s="2"/>
    </row>
    <row r="913">
      <c r="F913" s="2"/>
    </row>
    <row r="914">
      <c r="F914" s="2"/>
    </row>
    <row r="915">
      <c r="F915" s="2"/>
    </row>
    <row r="916">
      <c r="F916" s="2"/>
    </row>
    <row r="917">
      <c r="F917" s="2"/>
    </row>
    <row r="918">
      <c r="F918" s="2"/>
    </row>
    <row r="919">
      <c r="F919" s="2"/>
    </row>
    <row r="920">
      <c r="F920" s="2"/>
    </row>
    <row r="921">
      <c r="F921" s="2"/>
    </row>
    <row r="922">
      <c r="F922" s="2"/>
    </row>
    <row r="923">
      <c r="F923" s="2"/>
    </row>
    <row r="924">
      <c r="F924" s="2"/>
    </row>
    <row r="925">
      <c r="F925" s="2"/>
    </row>
    <row r="926">
      <c r="F926" s="2"/>
    </row>
    <row r="927">
      <c r="F927" s="2"/>
    </row>
    <row r="928">
      <c r="F928" s="2"/>
    </row>
    <row r="929">
      <c r="F929" s="2"/>
    </row>
    <row r="930">
      <c r="F930" s="2"/>
    </row>
    <row r="931">
      <c r="F931" s="2"/>
    </row>
    <row r="932">
      <c r="F932" s="2"/>
    </row>
    <row r="933">
      <c r="F933" s="2"/>
    </row>
    <row r="934">
      <c r="F934" s="2"/>
    </row>
    <row r="935">
      <c r="F935" s="2"/>
    </row>
    <row r="936">
      <c r="F936" s="2"/>
    </row>
    <row r="937">
      <c r="F937" s="2"/>
    </row>
    <row r="938">
      <c r="F938" s="2"/>
    </row>
    <row r="939">
      <c r="F939" s="2"/>
    </row>
    <row r="940">
      <c r="F940" s="2"/>
    </row>
    <row r="941">
      <c r="F941" s="2"/>
    </row>
    <row r="942">
      <c r="F942" s="2"/>
    </row>
    <row r="943">
      <c r="F943" s="2"/>
    </row>
    <row r="944">
      <c r="F944" s="2"/>
    </row>
    <row r="945">
      <c r="F945" s="2"/>
    </row>
    <row r="946">
      <c r="F946" s="2"/>
    </row>
    <row r="947">
      <c r="F947" s="2"/>
    </row>
    <row r="948">
      <c r="F948" s="2"/>
    </row>
    <row r="949">
      <c r="F949" s="2"/>
    </row>
    <row r="950">
      <c r="F950" s="2"/>
    </row>
    <row r="951">
      <c r="F951" s="2"/>
    </row>
    <row r="952">
      <c r="F952" s="2"/>
    </row>
    <row r="953">
      <c r="F953" s="2"/>
    </row>
    <row r="954">
      <c r="F954" s="2"/>
    </row>
    <row r="955">
      <c r="F955" s="2"/>
    </row>
    <row r="956">
      <c r="F956" s="2"/>
    </row>
    <row r="957">
      <c r="F957" s="2"/>
    </row>
    <row r="958">
      <c r="F958" s="2"/>
    </row>
    <row r="959">
      <c r="F959" s="2"/>
    </row>
    <row r="960">
      <c r="F960" s="2"/>
    </row>
    <row r="961">
      <c r="F961" s="2"/>
    </row>
    <row r="962">
      <c r="F962" s="2"/>
    </row>
    <row r="963">
      <c r="F963" s="2"/>
    </row>
    <row r="964">
      <c r="F964" s="2"/>
    </row>
    <row r="965">
      <c r="F965" s="2"/>
    </row>
    <row r="966">
      <c r="F966" s="2"/>
    </row>
    <row r="967">
      <c r="F967" s="2"/>
    </row>
    <row r="968">
      <c r="F968" s="2"/>
    </row>
    <row r="969">
      <c r="F969" s="2"/>
    </row>
    <row r="970">
      <c r="F970" s="2"/>
    </row>
    <row r="971">
      <c r="F971" s="2"/>
    </row>
    <row r="972">
      <c r="F972" s="2"/>
    </row>
    <row r="973">
      <c r="F973" s="2"/>
    </row>
    <row r="974">
      <c r="F974" s="2"/>
    </row>
    <row r="975">
      <c r="F975" s="2"/>
    </row>
    <row r="976">
      <c r="F976" s="2"/>
    </row>
    <row r="977">
      <c r="F977" s="2"/>
    </row>
    <row r="978">
      <c r="F978" s="2"/>
    </row>
    <row r="979">
      <c r="F979" s="2"/>
    </row>
    <row r="980">
      <c r="F980" s="2"/>
    </row>
    <row r="981">
      <c r="F981" s="2"/>
    </row>
    <row r="982">
      <c r="F982" s="2"/>
    </row>
    <row r="983">
      <c r="F983" s="2"/>
    </row>
    <row r="984">
      <c r="F984" s="2"/>
    </row>
    <row r="985">
      <c r="F985" s="2"/>
    </row>
    <row r="986">
      <c r="F986" s="2"/>
    </row>
    <row r="987">
      <c r="F987" s="2"/>
    </row>
    <row r="988">
      <c r="F988" s="2"/>
    </row>
    <row r="989">
      <c r="F989" s="2"/>
    </row>
    <row r="990">
      <c r="F990" s="2"/>
    </row>
    <row r="991">
      <c r="F991" s="2"/>
    </row>
    <row r="992">
      <c r="F992" s="2"/>
    </row>
    <row r="993">
      <c r="F993" s="2"/>
    </row>
    <row r="994">
      <c r="F994" s="2"/>
    </row>
    <row r="995">
      <c r="F995" s="2"/>
    </row>
    <row r="996">
      <c r="F996" s="2"/>
    </row>
    <row r="997">
      <c r="F997" s="2"/>
    </row>
    <row r="998">
      <c r="F998" s="2"/>
    </row>
    <row r="999">
      <c r="F999" s="2"/>
    </row>
    <row r="1000">
      <c r="F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tr">
        <f>IMPORTHTML(https://etudiant.lefigaro.fr/orientation/actus-et-conseils/detail/article/devoile-son-palmares-des-ecoles-de-journalisme-20671/;"table";1;"en_US")</f>
        <v>#ERROR!</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1" t="s">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IFERROR(__xludf.DUMMYFUNCTION("importhtml(""https://fr.m.wikipedia.org/wiki/Tableau_des_m%C3%A9dailles_des_Jeux_olympiques_d%27%C3%A9t%C3%A9_de_2020"",""table"",1)"),"Rang")</f>
        <v>Rang</v>
      </c>
      <c r="B1" s="3" t="str">
        <f>IFERROR(__xludf.DUMMYFUNCTION("""COMPUTED_VALUE"""),"Nation")</f>
        <v>Nation</v>
      </c>
      <c r="C1" s="3" t="str">
        <f>IFERROR(__xludf.DUMMYFUNCTION("""COMPUTED_VALUE"""),"Or")</f>
        <v>Or</v>
      </c>
      <c r="D1" s="3" t="str">
        <f>IFERROR(__xludf.DUMMYFUNCTION("""COMPUTED_VALUE"""),"Argent")</f>
        <v>Argent</v>
      </c>
      <c r="E1" s="3" t="str">
        <f>IFERROR(__xludf.DUMMYFUNCTION("""COMPUTED_VALUE"""),"Bronze")</f>
        <v>Bronze</v>
      </c>
      <c r="F1" s="3" t="str">
        <f>IFERROR(__xludf.DUMMYFUNCTION("""COMPUTED_VALUE"""),"Total")</f>
        <v>Total</v>
      </c>
    </row>
    <row r="2">
      <c r="A2" s="3">
        <f>IFERROR(__xludf.DUMMYFUNCTION("""COMPUTED_VALUE"""),1.0)</f>
        <v>1</v>
      </c>
      <c r="B2" s="3" t="str">
        <f>IFERROR(__xludf.DUMMYFUNCTION("""COMPUTED_VALUE"""),"États-Unis")</f>
        <v>États-Unis</v>
      </c>
      <c r="C2" s="3" t="str">
        <f>IFERROR(__xludf.DUMMYFUNCTION("""COMPUTED_VALUE"""),"*39*")</f>
        <v>*39*</v>
      </c>
      <c r="D2" s="3" t="str">
        <f>IFERROR(__xludf.DUMMYFUNCTION("""COMPUTED_VALUE"""),"*41*")</f>
        <v>*41*</v>
      </c>
      <c r="E2" s="3" t="str">
        <f>IFERROR(__xludf.DUMMYFUNCTION("""COMPUTED_VALUE"""),"*33*")</f>
        <v>*33*</v>
      </c>
      <c r="F2" s="3" t="str">
        <f>IFERROR(__xludf.DUMMYFUNCTION("""COMPUTED_VALUE"""),"*113*")</f>
        <v>*113*</v>
      </c>
    </row>
    <row r="3">
      <c r="A3" s="3">
        <f>IFERROR(__xludf.DUMMYFUNCTION("""COMPUTED_VALUE"""),2.0)</f>
        <v>2</v>
      </c>
      <c r="B3" s="3" t="str">
        <f>IFERROR(__xludf.DUMMYFUNCTION("""COMPUTED_VALUE"""),"Chine")</f>
        <v>Chine</v>
      </c>
      <c r="C3" s="3">
        <f>IFERROR(__xludf.DUMMYFUNCTION("""COMPUTED_VALUE"""),38.0)</f>
        <v>38</v>
      </c>
      <c r="D3" s="3">
        <f>IFERROR(__xludf.DUMMYFUNCTION("""COMPUTED_VALUE"""),32.0)</f>
        <v>32</v>
      </c>
      <c r="E3" s="3">
        <f>IFERROR(__xludf.DUMMYFUNCTION("""COMPUTED_VALUE"""),19.0)</f>
        <v>19</v>
      </c>
      <c r="F3" s="3" t="str">
        <f>IFERROR(__xludf.DUMMYFUNCTION("""COMPUTED_VALUE"""),"*89*")</f>
        <v>*89*</v>
      </c>
    </row>
    <row r="4">
      <c r="A4" s="3">
        <f>IFERROR(__xludf.DUMMYFUNCTION("""COMPUTED_VALUE"""),3.0)</f>
        <v>3</v>
      </c>
      <c r="B4" s="3" t="str">
        <f>IFERROR(__xludf.DUMMYFUNCTION("""COMPUTED_VALUE"""),"Japon")</f>
        <v>Japon</v>
      </c>
      <c r="C4" s="3">
        <f>IFERROR(__xludf.DUMMYFUNCTION("""COMPUTED_VALUE"""),27.0)</f>
        <v>27</v>
      </c>
      <c r="D4" s="3">
        <f>IFERROR(__xludf.DUMMYFUNCTION("""COMPUTED_VALUE"""),14.0)</f>
        <v>14</v>
      </c>
      <c r="E4" s="3">
        <f>IFERROR(__xludf.DUMMYFUNCTION("""COMPUTED_VALUE"""),17.0)</f>
        <v>17</v>
      </c>
      <c r="F4" s="3" t="str">
        <f>IFERROR(__xludf.DUMMYFUNCTION("""COMPUTED_VALUE"""),"*58*")</f>
        <v>*58*</v>
      </c>
    </row>
    <row r="5">
      <c r="A5" s="3">
        <f>IFERROR(__xludf.DUMMYFUNCTION("""COMPUTED_VALUE"""),4.0)</f>
        <v>4</v>
      </c>
      <c r="B5" s="3" t="str">
        <f>IFERROR(__xludf.DUMMYFUNCTION("""COMPUTED_VALUE"""),"Grande-Bretagne")</f>
        <v>Grande-Bretagne</v>
      </c>
      <c r="C5" s="3">
        <f>IFERROR(__xludf.DUMMYFUNCTION("""COMPUTED_VALUE"""),22.0)</f>
        <v>22</v>
      </c>
      <c r="D5" s="3">
        <f>IFERROR(__xludf.DUMMYFUNCTION("""COMPUTED_VALUE"""),20.0)</f>
        <v>20</v>
      </c>
      <c r="E5" s="3">
        <f>IFERROR(__xludf.DUMMYFUNCTION("""COMPUTED_VALUE"""),22.0)</f>
        <v>22</v>
      </c>
      <c r="F5" s="3" t="str">
        <f>IFERROR(__xludf.DUMMYFUNCTION("""COMPUTED_VALUE"""),"*64*")</f>
        <v>*64*</v>
      </c>
    </row>
    <row r="6">
      <c r="A6" s="3">
        <f>IFERROR(__xludf.DUMMYFUNCTION("""COMPUTED_VALUE"""),5.0)</f>
        <v>5</v>
      </c>
      <c r="B6" s="3" t="str">
        <f>IFERROR(__xludf.DUMMYFUNCTION("""COMPUTED_VALUE"""),"Comité olympique de Russie")</f>
        <v>Comité olympique de Russie</v>
      </c>
      <c r="C6" s="3">
        <f>IFERROR(__xludf.DUMMYFUNCTION("""COMPUTED_VALUE"""),20.0)</f>
        <v>20</v>
      </c>
      <c r="D6" s="3">
        <f>IFERROR(__xludf.DUMMYFUNCTION("""COMPUTED_VALUE"""),28.0)</f>
        <v>28</v>
      </c>
      <c r="E6" s="3">
        <f>IFERROR(__xludf.DUMMYFUNCTION("""COMPUTED_VALUE"""),23.0)</f>
        <v>23</v>
      </c>
      <c r="F6" s="3" t="str">
        <f>IFERROR(__xludf.DUMMYFUNCTION("""COMPUTED_VALUE"""),"*71*")</f>
        <v>*71*</v>
      </c>
    </row>
    <row r="7">
      <c r="A7" s="3">
        <f>IFERROR(__xludf.DUMMYFUNCTION("""COMPUTED_VALUE"""),6.0)</f>
        <v>6</v>
      </c>
      <c r="B7" s="3" t="str">
        <f>IFERROR(__xludf.DUMMYFUNCTION("""COMPUTED_VALUE"""),"Australie")</f>
        <v>Australie</v>
      </c>
      <c r="C7" s="3">
        <f>IFERROR(__xludf.DUMMYFUNCTION("""COMPUTED_VALUE"""),17.0)</f>
        <v>17</v>
      </c>
      <c r="D7" s="3">
        <f>IFERROR(__xludf.DUMMYFUNCTION("""COMPUTED_VALUE"""),7.0)</f>
        <v>7</v>
      </c>
      <c r="E7" s="3">
        <f>IFERROR(__xludf.DUMMYFUNCTION("""COMPUTED_VALUE"""),22.0)</f>
        <v>22</v>
      </c>
      <c r="F7" s="3" t="str">
        <f>IFERROR(__xludf.DUMMYFUNCTION("""COMPUTED_VALUE"""),"*46*")</f>
        <v>*46*</v>
      </c>
    </row>
    <row r="8">
      <c r="A8" s="3">
        <f>IFERROR(__xludf.DUMMYFUNCTION("""COMPUTED_VALUE"""),7.0)</f>
        <v>7</v>
      </c>
      <c r="B8" s="3" t="str">
        <f>IFERROR(__xludf.DUMMYFUNCTION("""COMPUTED_VALUE"""),"Pays-Bas")</f>
        <v>Pays-Bas</v>
      </c>
      <c r="C8" s="3">
        <f>IFERROR(__xludf.DUMMYFUNCTION("""COMPUTED_VALUE"""),10.0)</f>
        <v>10</v>
      </c>
      <c r="D8" s="3">
        <f>IFERROR(__xludf.DUMMYFUNCTION("""COMPUTED_VALUE"""),12.0)</f>
        <v>12</v>
      </c>
      <c r="E8" s="3">
        <f>IFERROR(__xludf.DUMMYFUNCTION("""COMPUTED_VALUE"""),14.0)</f>
        <v>14</v>
      </c>
      <c r="F8" s="3" t="str">
        <f>IFERROR(__xludf.DUMMYFUNCTION("""COMPUTED_VALUE"""),"*36*")</f>
        <v>*36*</v>
      </c>
    </row>
    <row r="9">
      <c r="A9" s="3">
        <f>IFERROR(__xludf.DUMMYFUNCTION("""COMPUTED_VALUE"""),8.0)</f>
        <v>8</v>
      </c>
      <c r="B9" s="3" t="str">
        <f>IFERROR(__xludf.DUMMYFUNCTION("""COMPUTED_VALUE"""),"France")</f>
        <v>France</v>
      </c>
      <c r="C9" s="3">
        <f>IFERROR(__xludf.DUMMYFUNCTION("""COMPUTED_VALUE"""),10.0)</f>
        <v>10</v>
      </c>
      <c r="D9" s="3">
        <f>IFERROR(__xludf.DUMMYFUNCTION("""COMPUTED_VALUE"""),12.0)</f>
        <v>12</v>
      </c>
      <c r="E9" s="3">
        <f>IFERROR(__xludf.DUMMYFUNCTION("""COMPUTED_VALUE"""),11.0)</f>
        <v>11</v>
      </c>
      <c r="F9" s="3" t="str">
        <f>IFERROR(__xludf.DUMMYFUNCTION("""COMPUTED_VALUE"""),"*33*")</f>
        <v>*33*</v>
      </c>
    </row>
    <row r="10">
      <c r="A10" s="3">
        <f>IFERROR(__xludf.DUMMYFUNCTION("""COMPUTED_VALUE"""),9.0)</f>
        <v>9</v>
      </c>
      <c r="B10" s="3" t="str">
        <f>IFERROR(__xludf.DUMMYFUNCTION("""COMPUTED_VALUE"""),"Allemagne")</f>
        <v>Allemagne</v>
      </c>
      <c r="C10" s="3">
        <f>IFERROR(__xludf.DUMMYFUNCTION("""COMPUTED_VALUE"""),10.0)</f>
        <v>10</v>
      </c>
      <c r="D10" s="3">
        <f>IFERROR(__xludf.DUMMYFUNCTION("""COMPUTED_VALUE"""),11.0)</f>
        <v>11</v>
      </c>
      <c r="E10" s="3">
        <f>IFERROR(__xludf.DUMMYFUNCTION("""COMPUTED_VALUE"""),16.0)</f>
        <v>16</v>
      </c>
      <c r="F10" s="3" t="str">
        <f>IFERROR(__xludf.DUMMYFUNCTION("""COMPUTED_VALUE"""),"*37*")</f>
        <v>*37*</v>
      </c>
    </row>
    <row r="11">
      <c r="A11" s="3">
        <f>IFERROR(__xludf.DUMMYFUNCTION("""COMPUTED_VALUE"""),10.0)</f>
        <v>10</v>
      </c>
      <c r="B11" s="3" t="str">
        <f>IFERROR(__xludf.DUMMYFUNCTION("""COMPUTED_VALUE"""),"Italie")</f>
        <v>Italie</v>
      </c>
      <c r="C11" s="3">
        <f>IFERROR(__xludf.DUMMYFUNCTION("""COMPUTED_VALUE"""),10.0)</f>
        <v>10</v>
      </c>
      <c r="D11" s="3">
        <f>IFERROR(__xludf.DUMMYFUNCTION("""COMPUTED_VALUE"""),10.0)</f>
        <v>10</v>
      </c>
      <c r="E11" s="3">
        <f>IFERROR(__xludf.DUMMYFUNCTION("""COMPUTED_VALUE"""),20.0)</f>
        <v>20</v>
      </c>
      <c r="F11" s="3" t="str">
        <f>IFERROR(__xludf.DUMMYFUNCTION("""COMPUTED_VALUE"""),"*40*")</f>
        <v>*40*</v>
      </c>
    </row>
    <row r="12">
      <c r="A12" s="3">
        <f>IFERROR(__xludf.DUMMYFUNCTION("""COMPUTED_VALUE"""),11.0)</f>
        <v>11</v>
      </c>
      <c r="B12" s="3" t="str">
        <f>IFERROR(__xludf.DUMMYFUNCTION("""COMPUTED_VALUE"""),"Canada")</f>
        <v>Canada</v>
      </c>
      <c r="C12" s="3">
        <f>IFERROR(__xludf.DUMMYFUNCTION("""COMPUTED_VALUE"""),7.0)</f>
        <v>7</v>
      </c>
      <c r="D12" s="3">
        <f>IFERROR(__xludf.DUMMYFUNCTION("""COMPUTED_VALUE"""),7.0)</f>
        <v>7</v>
      </c>
      <c r="E12" s="3">
        <f>IFERROR(__xludf.DUMMYFUNCTION("""COMPUTED_VALUE"""),10.0)</f>
        <v>10</v>
      </c>
      <c r="F12" s="3" t="str">
        <f>IFERROR(__xludf.DUMMYFUNCTION("""COMPUTED_VALUE"""),"*24*")</f>
        <v>*24*</v>
      </c>
    </row>
    <row r="13">
      <c r="A13" s="3">
        <f>IFERROR(__xludf.DUMMYFUNCTION("""COMPUTED_VALUE"""),12.0)</f>
        <v>12</v>
      </c>
      <c r="B13" s="3" t="str">
        <f>IFERROR(__xludf.DUMMYFUNCTION("""COMPUTED_VALUE"""),"Brésil")</f>
        <v>Brésil</v>
      </c>
      <c r="C13" s="3">
        <f>IFERROR(__xludf.DUMMYFUNCTION("""COMPUTED_VALUE"""),7.0)</f>
        <v>7</v>
      </c>
      <c r="D13" s="3">
        <f>IFERROR(__xludf.DUMMYFUNCTION("""COMPUTED_VALUE"""),6.0)</f>
        <v>6</v>
      </c>
      <c r="E13" s="3">
        <f>IFERROR(__xludf.DUMMYFUNCTION("""COMPUTED_VALUE"""),8.0)</f>
        <v>8</v>
      </c>
      <c r="F13" s="3" t="str">
        <f>IFERROR(__xludf.DUMMYFUNCTION("""COMPUTED_VALUE"""),"*21*")</f>
        <v>*21*</v>
      </c>
    </row>
    <row r="14">
      <c r="A14" s="3">
        <f>IFERROR(__xludf.DUMMYFUNCTION("""COMPUTED_VALUE"""),13.0)</f>
        <v>13</v>
      </c>
      <c r="B14" s="3" t="str">
        <f>IFERROR(__xludf.DUMMYFUNCTION("""COMPUTED_VALUE"""),"Nouvelle-Zélande")</f>
        <v>Nouvelle-Zélande</v>
      </c>
      <c r="C14" s="3">
        <f>IFERROR(__xludf.DUMMYFUNCTION("""COMPUTED_VALUE"""),7.0)</f>
        <v>7</v>
      </c>
      <c r="D14" s="3">
        <f>IFERROR(__xludf.DUMMYFUNCTION("""COMPUTED_VALUE"""),6.0)</f>
        <v>6</v>
      </c>
      <c r="E14" s="3">
        <f>IFERROR(__xludf.DUMMYFUNCTION("""COMPUTED_VALUE"""),7.0)</f>
        <v>7</v>
      </c>
      <c r="F14" s="3" t="str">
        <f>IFERROR(__xludf.DUMMYFUNCTION("""COMPUTED_VALUE"""),"*20*")</f>
        <v>*20*</v>
      </c>
    </row>
    <row r="15">
      <c r="A15" s="3">
        <f>IFERROR(__xludf.DUMMYFUNCTION("""COMPUTED_VALUE"""),14.0)</f>
        <v>14</v>
      </c>
      <c r="B15" s="3" t="str">
        <f>IFERROR(__xludf.DUMMYFUNCTION("""COMPUTED_VALUE"""),"Cuba")</f>
        <v>Cuba</v>
      </c>
      <c r="C15" s="3">
        <f>IFERROR(__xludf.DUMMYFUNCTION("""COMPUTED_VALUE"""),7.0)</f>
        <v>7</v>
      </c>
      <c r="D15" s="3">
        <f>IFERROR(__xludf.DUMMYFUNCTION("""COMPUTED_VALUE"""),3.0)</f>
        <v>3</v>
      </c>
      <c r="E15" s="3">
        <f>IFERROR(__xludf.DUMMYFUNCTION("""COMPUTED_VALUE"""),5.0)</f>
        <v>5</v>
      </c>
      <c r="F15" s="3" t="str">
        <f>IFERROR(__xludf.DUMMYFUNCTION("""COMPUTED_VALUE"""),"*15*")</f>
        <v>*15*</v>
      </c>
    </row>
    <row r="16">
      <c r="A16" s="3">
        <f>IFERROR(__xludf.DUMMYFUNCTION("""COMPUTED_VALUE"""),15.0)</f>
        <v>15</v>
      </c>
      <c r="B16" s="3" t="str">
        <f>IFERROR(__xludf.DUMMYFUNCTION("""COMPUTED_VALUE"""),"Hongrie")</f>
        <v>Hongrie</v>
      </c>
      <c r="C16" s="3">
        <f>IFERROR(__xludf.DUMMYFUNCTION("""COMPUTED_VALUE"""),6.0)</f>
        <v>6</v>
      </c>
      <c r="D16" s="3">
        <f>IFERROR(__xludf.DUMMYFUNCTION("""COMPUTED_VALUE"""),7.0)</f>
        <v>7</v>
      </c>
      <c r="E16" s="3">
        <f>IFERROR(__xludf.DUMMYFUNCTION("""COMPUTED_VALUE"""),7.0)</f>
        <v>7</v>
      </c>
      <c r="F16" s="3" t="str">
        <f>IFERROR(__xludf.DUMMYFUNCTION("""COMPUTED_VALUE"""),"*20*")</f>
        <v>*20*</v>
      </c>
    </row>
    <row r="17">
      <c r="A17" s="3">
        <f>IFERROR(__xludf.DUMMYFUNCTION("""COMPUTED_VALUE"""),16.0)</f>
        <v>16</v>
      </c>
      <c r="B17" s="3" t="str">
        <f>IFERROR(__xludf.DUMMYFUNCTION("""COMPUTED_VALUE"""),"Corée du Sud")</f>
        <v>Corée du Sud</v>
      </c>
      <c r="C17" s="3">
        <f>IFERROR(__xludf.DUMMYFUNCTION("""COMPUTED_VALUE"""),6.0)</f>
        <v>6</v>
      </c>
      <c r="D17" s="3">
        <f>IFERROR(__xludf.DUMMYFUNCTION("""COMPUTED_VALUE"""),4.0)</f>
        <v>4</v>
      </c>
      <c r="E17" s="3">
        <f>IFERROR(__xludf.DUMMYFUNCTION("""COMPUTED_VALUE"""),10.0)</f>
        <v>10</v>
      </c>
      <c r="F17" s="3" t="str">
        <f>IFERROR(__xludf.DUMMYFUNCTION("""COMPUTED_VALUE"""),"*20*")</f>
        <v>*20*</v>
      </c>
    </row>
    <row r="18">
      <c r="A18" s="3">
        <f>IFERROR(__xludf.DUMMYFUNCTION("""COMPUTED_VALUE"""),17.0)</f>
        <v>17</v>
      </c>
      <c r="B18" s="3" t="str">
        <f>IFERROR(__xludf.DUMMYFUNCTION("""COMPUTED_VALUE"""),"Pologne")</f>
        <v>Pologne</v>
      </c>
      <c r="C18" s="3">
        <f>IFERROR(__xludf.DUMMYFUNCTION("""COMPUTED_VALUE"""),4.0)</f>
        <v>4</v>
      </c>
      <c r="D18" s="3">
        <f>IFERROR(__xludf.DUMMYFUNCTION("""COMPUTED_VALUE"""),5.0)</f>
        <v>5</v>
      </c>
      <c r="E18" s="3">
        <f>IFERROR(__xludf.DUMMYFUNCTION("""COMPUTED_VALUE"""),5.0)</f>
        <v>5</v>
      </c>
      <c r="F18" s="3" t="str">
        <f>IFERROR(__xludf.DUMMYFUNCTION("""COMPUTED_VALUE"""),"*14*")</f>
        <v>*14*</v>
      </c>
    </row>
    <row r="19">
      <c r="A19" s="3">
        <f>IFERROR(__xludf.DUMMYFUNCTION("""COMPUTED_VALUE"""),18.0)</f>
        <v>18</v>
      </c>
      <c r="B19" s="3" t="str">
        <f>IFERROR(__xludf.DUMMYFUNCTION("""COMPUTED_VALUE"""),"République tchèque")</f>
        <v>République tchèque</v>
      </c>
      <c r="C19" s="3">
        <f>IFERROR(__xludf.DUMMYFUNCTION("""COMPUTED_VALUE"""),4.0)</f>
        <v>4</v>
      </c>
      <c r="D19" s="3">
        <f>IFERROR(__xludf.DUMMYFUNCTION("""COMPUTED_VALUE"""),4.0)</f>
        <v>4</v>
      </c>
      <c r="E19" s="3">
        <f>IFERROR(__xludf.DUMMYFUNCTION("""COMPUTED_VALUE"""),3.0)</f>
        <v>3</v>
      </c>
      <c r="F19" s="3" t="str">
        <f>IFERROR(__xludf.DUMMYFUNCTION("""COMPUTED_VALUE"""),"*11*")</f>
        <v>*11*</v>
      </c>
    </row>
    <row r="20">
      <c r="A20" s="3">
        <f>IFERROR(__xludf.DUMMYFUNCTION("""COMPUTED_VALUE"""),19.0)</f>
        <v>19</v>
      </c>
      <c r="B20" s="3" t="str">
        <f>IFERROR(__xludf.DUMMYFUNCTION("""COMPUTED_VALUE"""),"Kenya")</f>
        <v>Kenya</v>
      </c>
      <c r="C20" s="3">
        <f>IFERROR(__xludf.DUMMYFUNCTION("""COMPUTED_VALUE"""),4.0)</f>
        <v>4</v>
      </c>
      <c r="D20" s="3">
        <f>IFERROR(__xludf.DUMMYFUNCTION("""COMPUTED_VALUE"""),4.0)</f>
        <v>4</v>
      </c>
      <c r="E20" s="3">
        <f>IFERROR(__xludf.DUMMYFUNCTION("""COMPUTED_VALUE"""),2.0)</f>
        <v>2</v>
      </c>
      <c r="F20" s="3" t="str">
        <f>IFERROR(__xludf.DUMMYFUNCTION("""COMPUTED_VALUE"""),"*10*")</f>
        <v>*10*</v>
      </c>
    </row>
    <row r="21">
      <c r="A21" s="3">
        <f>IFERROR(__xludf.DUMMYFUNCTION("""COMPUTED_VALUE"""),20.0)</f>
        <v>20</v>
      </c>
      <c r="B21" s="3" t="str">
        <f>IFERROR(__xludf.DUMMYFUNCTION("""COMPUTED_VALUE"""),"Norvège")</f>
        <v>Norvège</v>
      </c>
      <c r="C21" s="3">
        <f>IFERROR(__xludf.DUMMYFUNCTION("""COMPUTED_VALUE"""),4.0)</f>
        <v>4</v>
      </c>
      <c r="D21" s="3">
        <f>IFERROR(__xludf.DUMMYFUNCTION("""COMPUTED_VALUE"""),2.0)</f>
        <v>2</v>
      </c>
      <c r="E21" s="3">
        <f>IFERROR(__xludf.DUMMYFUNCTION("""COMPUTED_VALUE"""),2.0)</f>
        <v>2</v>
      </c>
      <c r="F21" s="3" t="str">
        <f>IFERROR(__xludf.DUMMYFUNCTION("""COMPUTED_VALUE"""),"*8*")</f>
        <v>*8*</v>
      </c>
    </row>
    <row r="22">
      <c r="A22" s="3">
        <f>IFERROR(__xludf.DUMMYFUNCTION("""COMPUTED_VALUE"""),21.0)</f>
        <v>21</v>
      </c>
      <c r="B22" s="3" t="str">
        <f>IFERROR(__xludf.DUMMYFUNCTION("""COMPUTED_VALUE"""),"Jamaïque")</f>
        <v>Jamaïque</v>
      </c>
      <c r="C22" s="3">
        <f>IFERROR(__xludf.DUMMYFUNCTION("""COMPUTED_VALUE"""),4.0)</f>
        <v>4</v>
      </c>
      <c r="D22" s="3">
        <f>IFERROR(__xludf.DUMMYFUNCTION("""COMPUTED_VALUE"""),1.0)</f>
        <v>1</v>
      </c>
      <c r="E22" s="3">
        <f>IFERROR(__xludf.DUMMYFUNCTION("""COMPUTED_VALUE"""),4.0)</f>
        <v>4</v>
      </c>
      <c r="F22" s="3" t="str">
        <f>IFERROR(__xludf.DUMMYFUNCTION("""COMPUTED_VALUE"""),"*9*")</f>
        <v>*9*</v>
      </c>
    </row>
    <row r="23">
      <c r="A23" s="3">
        <f>IFERROR(__xludf.DUMMYFUNCTION("""COMPUTED_VALUE"""),22.0)</f>
        <v>22</v>
      </c>
      <c r="B23" s="3" t="str">
        <f>IFERROR(__xludf.DUMMYFUNCTION("""COMPUTED_VALUE"""),"Espagne")</f>
        <v>Espagne</v>
      </c>
      <c r="C23" s="3">
        <f>IFERROR(__xludf.DUMMYFUNCTION("""COMPUTED_VALUE"""),3.0)</f>
        <v>3</v>
      </c>
      <c r="D23" s="3">
        <f>IFERROR(__xludf.DUMMYFUNCTION("""COMPUTED_VALUE"""),8.0)</f>
        <v>8</v>
      </c>
      <c r="E23" s="3">
        <f>IFERROR(__xludf.DUMMYFUNCTION("""COMPUTED_VALUE"""),6.0)</f>
        <v>6</v>
      </c>
      <c r="F23" s="3" t="str">
        <f>IFERROR(__xludf.DUMMYFUNCTION("""COMPUTED_VALUE"""),"*17*")</f>
        <v>*17*</v>
      </c>
    </row>
    <row r="24">
      <c r="A24" s="3">
        <f>IFERROR(__xludf.DUMMYFUNCTION("""COMPUTED_VALUE"""),23.0)</f>
        <v>23</v>
      </c>
      <c r="B24" s="3" t="str">
        <f>IFERROR(__xludf.DUMMYFUNCTION("""COMPUTED_VALUE"""),"Suède")</f>
        <v>Suède</v>
      </c>
      <c r="C24" s="3">
        <f>IFERROR(__xludf.DUMMYFUNCTION("""COMPUTED_VALUE"""),3.0)</f>
        <v>3</v>
      </c>
      <c r="D24" s="3">
        <f>IFERROR(__xludf.DUMMYFUNCTION("""COMPUTED_VALUE"""),6.0)</f>
        <v>6</v>
      </c>
      <c r="E24" s="3">
        <f>IFERROR(__xludf.DUMMYFUNCTION("""COMPUTED_VALUE"""),0.0)</f>
        <v>0</v>
      </c>
      <c r="F24" s="3" t="str">
        <f>IFERROR(__xludf.DUMMYFUNCTION("""COMPUTED_VALUE"""),"*9*")</f>
        <v>*9*</v>
      </c>
    </row>
    <row r="25">
      <c r="A25" s="3">
        <f>IFERROR(__xludf.DUMMYFUNCTION("""COMPUTED_VALUE"""),24.0)</f>
        <v>24</v>
      </c>
      <c r="B25" s="3" t="str">
        <f>IFERROR(__xludf.DUMMYFUNCTION("""COMPUTED_VALUE"""),"Suisse")</f>
        <v>Suisse</v>
      </c>
      <c r="C25" s="3">
        <f>IFERROR(__xludf.DUMMYFUNCTION("""COMPUTED_VALUE"""),3.0)</f>
        <v>3</v>
      </c>
      <c r="D25" s="3">
        <f>IFERROR(__xludf.DUMMYFUNCTION("""COMPUTED_VALUE"""),4.0)</f>
        <v>4</v>
      </c>
      <c r="E25" s="3">
        <f>IFERROR(__xludf.DUMMYFUNCTION("""COMPUTED_VALUE"""),6.0)</f>
        <v>6</v>
      </c>
      <c r="F25" s="3" t="str">
        <f>IFERROR(__xludf.DUMMYFUNCTION("""COMPUTED_VALUE"""),"*13*")</f>
        <v>*13*</v>
      </c>
    </row>
    <row r="26">
      <c r="A26" s="3">
        <f>IFERROR(__xludf.DUMMYFUNCTION("""COMPUTED_VALUE"""),25.0)</f>
        <v>25</v>
      </c>
      <c r="B26" s="3" t="str">
        <f>IFERROR(__xludf.DUMMYFUNCTION("""COMPUTED_VALUE"""),"Danemark")</f>
        <v>Danemark</v>
      </c>
      <c r="C26" s="3">
        <f>IFERROR(__xludf.DUMMYFUNCTION("""COMPUTED_VALUE"""),3.0)</f>
        <v>3</v>
      </c>
      <c r="D26" s="3">
        <f>IFERROR(__xludf.DUMMYFUNCTION("""COMPUTED_VALUE"""),4.0)</f>
        <v>4</v>
      </c>
      <c r="E26" s="3">
        <f>IFERROR(__xludf.DUMMYFUNCTION("""COMPUTED_VALUE"""),4.0)</f>
        <v>4</v>
      </c>
      <c r="F26" s="3" t="str">
        <f>IFERROR(__xludf.DUMMYFUNCTION("""COMPUTED_VALUE"""),"*11*")</f>
        <v>*11*</v>
      </c>
    </row>
    <row r="27">
      <c r="A27" s="3">
        <f>IFERROR(__xludf.DUMMYFUNCTION("""COMPUTED_VALUE"""),26.0)</f>
        <v>26</v>
      </c>
      <c r="B27" s="3" t="str">
        <f>IFERROR(__xludf.DUMMYFUNCTION("""COMPUTED_VALUE"""),"Croatie")</f>
        <v>Croatie</v>
      </c>
      <c r="C27" s="3">
        <f>IFERROR(__xludf.DUMMYFUNCTION("""COMPUTED_VALUE"""),3.0)</f>
        <v>3</v>
      </c>
      <c r="D27" s="3">
        <f>IFERROR(__xludf.DUMMYFUNCTION("""COMPUTED_VALUE"""),3.0)</f>
        <v>3</v>
      </c>
      <c r="E27" s="3">
        <f>IFERROR(__xludf.DUMMYFUNCTION("""COMPUTED_VALUE"""),2.0)</f>
        <v>2</v>
      </c>
      <c r="F27" s="3" t="str">
        <f>IFERROR(__xludf.DUMMYFUNCTION("""COMPUTED_VALUE"""),"*8*")</f>
        <v>*8*</v>
      </c>
    </row>
    <row r="28">
      <c r="A28" s="3">
        <f>IFERROR(__xludf.DUMMYFUNCTION("""COMPUTED_VALUE"""),27.0)</f>
        <v>27</v>
      </c>
      <c r="B28" s="3" t="str">
        <f>IFERROR(__xludf.DUMMYFUNCTION("""COMPUTED_VALUE"""),"Iran")</f>
        <v>Iran</v>
      </c>
      <c r="C28" s="3">
        <f>IFERROR(__xludf.DUMMYFUNCTION("""COMPUTED_VALUE"""),3.0)</f>
        <v>3</v>
      </c>
      <c r="D28" s="3">
        <f>IFERROR(__xludf.DUMMYFUNCTION("""COMPUTED_VALUE"""),2.0)</f>
        <v>2</v>
      </c>
      <c r="E28" s="3">
        <f>IFERROR(__xludf.DUMMYFUNCTION("""COMPUTED_VALUE"""),2.0)</f>
        <v>2</v>
      </c>
      <c r="F28" s="3" t="str">
        <f>IFERROR(__xludf.DUMMYFUNCTION("""COMPUTED_VALUE"""),"*7*")</f>
        <v>*7*</v>
      </c>
    </row>
    <row r="29">
      <c r="A29" s="3">
        <f>IFERROR(__xludf.DUMMYFUNCTION("""COMPUTED_VALUE"""),28.0)</f>
        <v>28</v>
      </c>
      <c r="B29" s="3" t="str">
        <f>IFERROR(__xludf.DUMMYFUNCTION("""COMPUTED_VALUE"""),"Serbie")</f>
        <v>Serbie</v>
      </c>
      <c r="C29" s="3">
        <f>IFERROR(__xludf.DUMMYFUNCTION("""COMPUTED_VALUE"""),3.0)</f>
        <v>3</v>
      </c>
      <c r="D29" s="3">
        <f>IFERROR(__xludf.DUMMYFUNCTION("""COMPUTED_VALUE"""),1.0)</f>
        <v>1</v>
      </c>
      <c r="E29" s="3">
        <f>IFERROR(__xludf.DUMMYFUNCTION("""COMPUTED_VALUE"""),5.0)</f>
        <v>5</v>
      </c>
      <c r="F29" s="3" t="str">
        <f>IFERROR(__xludf.DUMMYFUNCTION("""COMPUTED_VALUE"""),"*9*")</f>
        <v>*9*</v>
      </c>
    </row>
    <row r="30">
      <c r="A30" s="3">
        <f>IFERROR(__xludf.DUMMYFUNCTION("""COMPUTED_VALUE"""),29.0)</f>
        <v>29</v>
      </c>
      <c r="B30" s="3" t="str">
        <f>IFERROR(__xludf.DUMMYFUNCTION("""COMPUTED_VALUE"""),"Belgique")</f>
        <v>Belgique</v>
      </c>
      <c r="C30" s="3">
        <f>IFERROR(__xludf.DUMMYFUNCTION("""COMPUTED_VALUE"""),3.0)</f>
        <v>3</v>
      </c>
      <c r="D30" s="3">
        <f>IFERROR(__xludf.DUMMYFUNCTION("""COMPUTED_VALUE"""),1.0)</f>
        <v>1</v>
      </c>
      <c r="E30" s="3">
        <f>IFERROR(__xludf.DUMMYFUNCTION("""COMPUTED_VALUE"""),3.0)</f>
        <v>3</v>
      </c>
      <c r="F30" s="3" t="str">
        <f>IFERROR(__xludf.DUMMYFUNCTION("""COMPUTED_VALUE"""),"*7*")</f>
        <v>*7*</v>
      </c>
    </row>
    <row r="31">
      <c r="A31" s="3">
        <f>IFERROR(__xludf.DUMMYFUNCTION("""COMPUTED_VALUE"""),30.0)</f>
        <v>30</v>
      </c>
      <c r="B31" s="3" t="str">
        <f>IFERROR(__xludf.DUMMYFUNCTION("""COMPUTED_VALUE"""),"Bulgarie")</f>
        <v>Bulgarie</v>
      </c>
      <c r="C31" s="3">
        <f>IFERROR(__xludf.DUMMYFUNCTION("""COMPUTED_VALUE"""),3.0)</f>
        <v>3</v>
      </c>
      <c r="D31" s="3">
        <f>IFERROR(__xludf.DUMMYFUNCTION("""COMPUTED_VALUE"""),1.0)</f>
        <v>1</v>
      </c>
      <c r="E31" s="3">
        <f>IFERROR(__xludf.DUMMYFUNCTION("""COMPUTED_VALUE"""),2.0)</f>
        <v>2</v>
      </c>
      <c r="F31" s="3" t="str">
        <f>IFERROR(__xludf.DUMMYFUNCTION("""COMPUTED_VALUE"""),"*6*")</f>
        <v>*6*</v>
      </c>
    </row>
    <row r="32">
      <c r="A32" s="3">
        <f>IFERROR(__xludf.DUMMYFUNCTION("""COMPUTED_VALUE"""),31.0)</f>
        <v>31</v>
      </c>
      <c r="B32" s="3" t="str">
        <f>IFERROR(__xludf.DUMMYFUNCTION("""COMPUTED_VALUE"""),"Slovénie")</f>
        <v>Slovénie</v>
      </c>
      <c r="C32" s="3">
        <f>IFERROR(__xludf.DUMMYFUNCTION("""COMPUTED_VALUE"""),3.0)</f>
        <v>3</v>
      </c>
      <c r="D32" s="3">
        <f>IFERROR(__xludf.DUMMYFUNCTION("""COMPUTED_VALUE"""),1.0)</f>
        <v>1</v>
      </c>
      <c r="E32" s="3">
        <f>IFERROR(__xludf.DUMMYFUNCTION("""COMPUTED_VALUE"""),1.0)</f>
        <v>1</v>
      </c>
      <c r="F32" s="3" t="str">
        <f>IFERROR(__xludf.DUMMYFUNCTION("""COMPUTED_VALUE"""),"*5*")</f>
        <v>*5*</v>
      </c>
    </row>
    <row r="33">
      <c r="A33" s="3">
        <f>IFERROR(__xludf.DUMMYFUNCTION("""COMPUTED_VALUE"""),32.0)</f>
        <v>32</v>
      </c>
      <c r="B33" s="3" t="str">
        <f>IFERROR(__xludf.DUMMYFUNCTION("""COMPUTED_VALUE"""),"Ouzbékistan")</f>
        <v>Ouzbékistan</v>
      </c>
      <c r="C33" s="3">
        <f>IFERROR(__xludf.DUMMYFUNCTION("""COMPUTED_VALUE"""),3.0)</f>
        <v>3</v>
      </c>
      <c r="D33" s="3">
        <f>IFERROR(__xludf.DUMMYFUNCTION("""COMPUTED_VALUE"""),0.0)</f>
        <v>0</v>
      </c>
      <c r="E33" s="3">
        <f>IFERROR(__xludf.DUMMYFUNCTION("""COMPUTED_VALUE"""),2.0)</f>
        <v>2</v>
      </c>
      <c r="F33" s="3" t="str">
        <f>IFERROR(__xludf.DUMMYFUNCTION("""COMPUTED_VALUE"""),"*5*")</f>
        <v>*5*</v>
      </c>
    </row>
    <row r="34">
      <c r="A34" s="3">
        <f>IFERROR(__xludf.DUMMYFUNCTION("""COMPUTED_VALUE"""),33.0)</f>
        <v>33</v>
      </c>
      <c r="B34" s="3" t="str">
        <f>IFERROR(__xludf.DUMMYFUNCTION("""COMPUTED_VALUE"""),"Géorgie")</f>
        <v>Géorgie</v>
      </c>
      <c r="C34" s="3">
        <f>IFERROR(__xludf.DUMMYFUNCTION("""COMPUTED_VALUE"""),2.0)</f>
        <v>2</v>
      </c>
      <c r="D34" s="3">
        <f>IFERROR(__xludf.DUMMYFUNCTION("""COMPUTED_VALUE"""),5.0)</f>
        <v>5</v>
      </c>
      <c r="E34" s="3">
        <f>IFERROR(__xludf.DUMMYFUNCTION("""COMPUTED_VALUE"""),1.0)</f>
        <v>1</v>
      </c>
      <c r="F34" s="3" t="str">
        <f>IFERROR(__xludf.DUMMYFUNCTION("""COMPUTED_VALUE"""),"*8*")</f>
        <v>*8*</v>
      </c>
    </row>
    <row r="35">
      <c r="A35" s="3">
        <f>IFERROR(__xludf.DUMMYFUNCTION("""COMPUTED_VALUE"""),34.0)</f>
        <v>34</v>
      </c>
      <c r="B35" s="3" t="str">
        <f>IFERROR(__xludf.DUMMYFUNCTION("""COMPUTED_VALUE"""),"Taipei chinois (Taïwan)")</f>
        <v>Taipei chinois (Taïwan)</v>
      </c>
      <c r="C35" s="3">
        <f>IFERROR(__xludf.DUMMYFUNCTION("""COMPUTED_VALUE"""),2.0)</f>
        <v>2</v>
      </c>
      <c r="D35" s="3">
        <f>IFERROR(__xludf.DUMMYFUNCTION("""COMPUTED_VALUE"""),4.0)</f>
        <v>4</v>
      </c>
      <c r="E35" s="3">
        <f>IFERROR(__xludf.DUMMYFUNCTION("""COMPUTED_VALUE"""),6.0)</f>
        <v>6</v>
      </c>
      <c r="F35" s="3" t="str">
        <f>IFERROR(__xludf.DUMMYFUNCTION("""COMPUTED_VALUE"""),"*12*")</f>
        <v>*12*</v>
      </c>
    </row>
    <row r="36">
      <c r="A36" s="3">
        <f>IFERROR(__xludf.DUMMYFUNCTION("""COMPUTED_VALUE"""),35.0)</f>
        <v>35</v>
      </c>
      <c r="B36" s="3" t="str">
        <f>IFERROR(__xludf.DUMMYFUNCTION("""COMPUTED_VALUE"""),"Turquie")</f>
        <v>Turquie</v>
      </c>
      <c r="C36" s="3">
        <f>IFERROR(__xludf.DUMMYFUNCTION("""COMPUTED_VALUE"""),2.0)</f>
        <v>2</v>
      </c>
      <c r="D36" s="3">
        <f>IFERROR(__xludf.DUMMYFUNCTION("""COMPUTED_VALUE"""),2.0)</f>
        <v>2</v>
      </c>
      <c r="E36" s="3">
        <f>IFERROR(__xludf.DUMMYFUNCTION("""COMPUTED_VALUE"""),9.0)</f>
        <v>9</v>
      </c>
      <c r="F36" s="3" t="str">
        <f>IFERROR(__xludf.DUMMYFUNCTION("""COMPUTED_VALUE"""),"*13*")</f>
        <v>*13*</v>
      </c>
    </row>
    <row r="37">
      <c r="A37" s="3">
        <f>IFERROR(__xludf.DUMMYFUNCTION("""COMPUTED_VALUE"""),36.0)</f>
        <v>36</v>
      </c>
      <c r="B37" s="3" t="str">
        <f>IFERROR(__xludf.DUMMYFUNCTION("""COMPUTED_VALUE"""),"Grèce")</f>
        <v>Grèce</v>
      </c>
      <c r="C37" s="3">
        <f>IFERROR(__xludf.DUMMYFUNCTION("""COMPUTED_VALUE"""),2.0)</f>
        <v>2</v>
      </c>
      <c r="D37" s="3">
        <f>IFERROR(__xludf.DUMMYFUNCTION("""COMPUTED_VALUE"""),1.0)</f>
        <v>1</v>
      </c>
      <c r="E37" s="3">
        <f>IFERROR(__xludf.DUMMYFUNCTION("""COMPUTED_VALUE"""),1.0)</f>
        <v>1</v>
      </c>
      <c r="F37" s="3" t="str">
        <f>IFERROR(__xludf.DUMMYFUNCTION("""COMPUTED_VALUE"""),"*4*")</f>
        <v>*4*</v>
      </c>
    </row>
    <row r="38">
      <c r="A38" s="3"/>
      <c r="B38" s="3" t="str">
        <f>IFERROR(__xludf.DUMMYFUNCTION("""COMPUTED_VALUE"""),"Ouganda")</f>
        <v>Ouganda</v>
      </c>
      <c r="C38" s="3">
        <f>IFERROR(__xludf.DUMMYFUNCTION("""COMPUTED_VALUE"""),2.0)</f>
        <v>2</v>
      </c>
      <c r="D38" s="3">
        <f>IFERROR(__xludf.DUMMYFUNCTION("""COMPUTED_VALUE"""),1.0)</f>
        <v>1</v>
      </c>
      <c r="E38" s="3">
        <f>IFERROR(__xludf.DUMMYFUNCTION("""COMPUTED_VALUE"""),1.0)</f>
        <v>1</v>
      </c>
      <c r="F38" s="3" t="str">
        <f>IFERROR(__xludf.DUMMYFUNCTION("""COMPUTED_VALUE"""),"*4*")</f>
        <v>*4*</v>
      </c>
    </row>
    <row r="39">
      <c r="A39" s="3">
        <f>IFERROR(__xludf.DUMMYFUNCTION("""COMPUTED_VALUE"""),38.0)</f>
        <v>38</v>
      </c>
      <c r="B39" s="3" t="str">
        <f>IFERROR(__xludf.DUMMYFUNCTION("""COMPUTED_VALUE"""),"Équateur")</f>
        <v>Équateur</v>
      </c>
      <c r="C39" s="3">
        <f>IFERROR(__xludf.DUMMYFUNCTION("""COMPUTED_VALUE"""),2.0)</f>
        <v>2</v>
      </c>
      <c r="D39" s="3">
        <f>IFERROR(__xludf.DUMMYFUNCTION("""COMPUTED_VALUE"""),1.0)</f>
        <v>1</v>
      </c>
      <c r="E39" s="3">
        <f>IFERROR(__xludf.DUMMYFUNCTION("""COMPUTED_VALUE"""),0.0)</f>
        <v>0</v>
      </c>
      <c r="F39" s="3" t="str">
        <f>IFERROR(__xludf.DUMMYFUNCTION("""COMPUTED_VALUE"""),"*3*")</f>
        <v>*3*</v>
      </c>
    </row>
    <row r="40">
      <c r="A40" s="3">
        <f>IFERROR(__xludf.DUMMYFUNCTION("""COMPUTED_VALUE"""),39.0)</f>
        <v>39</v>
      </c>
      <c r="B40" s="3" t="str">
        <f>IFERROR(__xludf.DUMMYFUNCTION("""COMPUTED_VALUE"""),"Irlande")</f>
        <v>Irlande</v>
      </c>
      <c r="C40" s="3">
        <f>IFERROR(__xludf.DUMMYFUNCTION("""COMPUTED_VALUE"""),2.0)</f>
        <v>2</v>
      </c>
      <c r="D40" s="3">
        <f>IFERROR(__xludf.DUMMYFUNCTION("""COMPUTED_VALUE"""),0.0)</f>
        <v>0</v>
      </c>
      <c r="E40" s="3">
        <f>IFERROR(__xludf.DUMMYFUNCTION("""COMPUTED_VALUE"""),2.0)</f>
        <v>2</v>
      </c>
      <c r="F40" s="3" t="str">
        <f>IFERROR(__xludf.DUMMYFUNCTION("""COMPUTED_VALUE"""),"*4*")</f>
        <v>*4*</v>
      </c>
    </row>
    <row r="41">
      <c r="A41" s="3"/>
      <c r="B41" s="3" t="str">
        <f>IFERROR(__xludf.DUMMYFUNCTION("""COMPUTED_VALUE"""),"Israël")</f>
        <v>Israël</v>
      </c>
      <c r="C41" s="3">
        <f>IFERROR(__xludf.DUMMYFUNCTION("""COMPUTED_VALUE"""),2.0)</f>
        <v>2</v>
      </c>
      <c r="D41" s="3">
        <f>IFERROR(__xludf.DUMMYFUNCTION("""COMPUTED_VALUE"""),0.0)</f>
        <v>0</v>
      </c>
      <c r="E41" s="3">
        <f>IFERROR(__xludf.DUMMYFUNCTION("""COMPUTED_VALUE"""),2.0)</f>
        <v>2</v>
      </c>
      <c r="F41" s="3" t="str">
        <f>IFERROR(__xludf.DUMMYFUNCTION("""COMPUTED_VALUE"""),"*4*")</f>
        <v>*4*</v>
      </c>
    </row>
    <row r="42">
      <c r="A42" s="3">
        <f>IFERROR(__xludf.DUMMYFUNCTION("""COMPUTED_VALUE"""),41.0)</f>
        <v>41</v>
      </c>
      <c r="B42" s="3" t="str">
        <f>IFERROR(__xludf.DUMMYFUNCTION("""COMPUTED_VALUE"""),"Qatar")</f>
        <v>Qatar</v>
      </c>
      <c r="C42" s="3">
        <f>IFERROR(__xludf.DUMMYFUNCTION("""COMPUTED_VALUE"""),2.0)</f>
        <v>2</v>
      </c>
      <c r="D42" s="3">
        <f>IFERROR(__xludf.DUMMYFUNCTION("""COMPUTED_VALUE"""),0.0)</f>
        <v>0</v>
      </c>
      <c r="E42" s="3">
        <f>IFERROR(__xludf.DUMMYFUNCTION("""COMPUTED_VALUE"""),1.0)</f>
        <v>1</v>
      </c>
      <c r="F42" s="3" t="str">
        <f>IFERROR(__xludf.DUMMYFUNCTION("""COMPUTED_VALUE"""),"*3*")</f>
        <v>*3*</v>
      </c>
    </row>
    <row r="43">
      <c r="A43" s="3">
        <f>IFERROR(__xludf.DUMMYFUNCTION("""COMPUTED_VALUE"""),42.0)</f>
        <v>42</v>
      </c>
      <c r="B43" s="3" t="str">
        <f>IFERROR(__xludf.DUMMYFUNCTION("""COMPUTED_VALUE"""),"Bahamas")</f>
        <v>Bahamas</v>
      </c>
      <c r="C43" s="3">
        <f>IFERROR(__xludf.DUMMYFUNCTION("""COMPUTED_VALUE"""),2.0)</f>
        <v>2</v>
      </c>
      <c r="D43" s="3">
        <f>IFERROR(__xludf.DUMMYFUNCTION("""COMPUTED_VALUE"""),0.0)</f>
        <v>0</v>
      </c>
      <c r="E43" s="3">
        <f>IFERROR(__xludf.DUMMYFUNCTION("""COMPUTED_VALUE"""),0.0)</f>
        <v>0</v>
      </c>
      <c r="F43" s="3" t="str">
        <f>IFERROR(__xludf.DUMMYFUNCTION("""COMPUTED_VALUE"""),"*2*")</f>
        <v>*2*</v>
      </c>
    </row>
    <row r="44">
      <c r="A44" s="3"/>
      <c r="B44" s="3" t="str">
        <f>IFERROR(__xludf.DUMMYFUNCTION("""COMPUTED_VALUE"""),"Kosovo")</f>
        <v>Kosovo</v>
      </c>
      <c r="C44" s="3">
        <f>IFERROR(__xludf.DUMMYFUNCTION("""COMPUTED_VALUE"""),2.0)</f>
        <v>2</v>
      </c>
      <c r="D44" s="3">
        <f>IFERROR(__xludf.DUMMYFUNCTION("""COMPUTED_VALUE"""),0.0)</f>
        <v>0</v>
      </c>
      <c r="E44" s="3">
        <f>IFERROR(__xludf.DUMMYFUNCTION("""COMPUTED_VALUE"""),0.0)</f>
        <v>0</v>
      </c>
      <c r="F44" s="3" t="str">
        <f>IFERROR(__xludf.DUMMYFUNCTION("""COMPUTED_VALUE"""),"*2*")</f>
        <v>*2*</v>
      </c>
    </row>
    <row r="45">
      <c r="A45" s="3">
        <f>IFERROR(__xludf.DUMMYFUNCTION("""COMPUTED_VALUE"""),44.0)</f>
        <v>44</v>
      </c>
      <c r="B45" s="3" t="str">
        <f>IFERROR(__xludf.DUMMYFUNCTION("""COMPUTED_VALUE"""),"Ukraine")</f>
        <v>Ukraine</v>
      </c>
      <c r="C45" s="3">
        <f>IFERROR(__xludf.DUMMYFUNCTION("""COMPUTED_VALUE"""),1.0)</f>
        <v>1</v>
      </c>
      <c r="D45" s="3">
        <f>IFERROR(__xludf.DUMMYFUNCTION("""COMPUTED_VALUE"""),6.0)</f>
        <v>6</v>
      </c>
      <c r="E45" s="3">
        <f>IFERROR(__xludf.DUMMYFUNCTION("""COMPUTED_VALUE"""),12.0)</f>
        <v>12</v>
      </c>
      <c r="F45" s="3" t="str">
        <f>IFERROR(__xludf.DUMMYFUNCTION("""COMPUTED_VALUE"""),"*19*")</f>
        <v>*19*</v>
      </c>
    </row>
    <row r="46">
      <c r="A46" s="3">
        <f>IFERROR(__xludf.DUMMYFUNCTION("""COMPUTED_VALUE"""),45.0)</f>
        <v>45</v>
      </c>
      <c r="B46" s="3" t="str">
        <f>IFERROR(__xludf.DUMMYFUNCTION("""COMPUTED_VALUE"""),"Biélorussie")</f>
        <v>Biélorussie</v>
      </c>
      <c r="C46" s="3">
        <f>IFERROR(__xludf.DUMMYFUNCTION("""COMPUTED_VALUE"""),1.0)</f>
        <v>1</v>
      </c>
      <c r="D46" s="3">
        <f>IFERROR(__xludf.DUMMYFUNCTION("""COMPUTED_VALUE"""),3.0)</f>
        <v>3</v>
      </c>
      <c r="E46" s="3">
        <f>IFERROR(__xludf.DUMMYFUNCTION("""COMPUTED_VALUE"""),3.0)</f>
        <v>3</v>
      </c>
      <c r="F46" s="3" t="str">
        <f>IFERROR(__xludf.DUMMYFUNCTION("""COMPUTED_VALUE"""),"*7*")</f>
        <v>*7*</v>
      </c>
    </row>
    <row r="47">
      <c r="A47" s="3">
        <f>IFERROR(__xludf.DUMMYFUNCTION("""COMPUTED_VALUE"""),46.0)</f>
        <v>46</v>
      </c>
      <c r="B47" s="3" t="str">
        <f>IFERROR(__xludf.DUMMYFUNCTION("""COMPUTED_VALUE"""),"Roumanie")</f>
        <v>Roumanie</v>
      </c>
      <c r="C47" s="3">
        <f>IFERROR(__xludf.DUMMYFUNCTION("""COMPUTED_VALUE"""),1.0)</f>
        <v>1</v>
      </c>
      <c r="D47" s="3">
        <f>IFERROR(__xludf.DUMMYFUNCTION("""COMPUTED_VALUE"""),3.0)</f>
        <v>3</v>
      </c>
      <c r="E47" s="3">
        <f>IFERROR(__xludf.DUMMYFUNCTION("""COMPUTED_VALUE"""),0.0)</f>
        <v>0</v>
      </c>
      <c r="F47" s="3" t="str">
        <f>IFERROR(__xludf.DUMMYFUNCTION("""COMPUTED_VALUE"""),"*4*")</f>
        <v>*4*</v>
      </c>
    </row>
    <row r="48">
      <c r="A48" s="3"/>
      <c r="B48" s="3" t="str">
        <f>IFERROR(__xludf.DUMMYFUNCTION("""COMPUTED_VALUE"""),"Venezuela")</f>
        <v>Venezuela</v>
      </c>
      <c r="C48" s="3">
        <f>IFERROR(__xludf.DUMMYFUNCTION("""COMPUTED_VALUE"""),1.0)</f>
        <v>1</v>
      </c>
      <c r="D48" s="3">
        <f>IFERROR(__xludf.DUMMYFUNCTION("""COMPUTED_VALUE"""),3.0)</f>
        <v>3</v>
      </c>
      <c r="E48" s="3">
        <f>IFERROR(__xludf.DUMMYFUNCTION("""COMPUTED_VALUE"""),0.0)</f>
        <v>0</v>
      </c>
      <c r="F48" s="3" t="str">
        <f>IFERROR(__xludf.DUMMYFUNCTION("""COMPUTED_VALUE"""),"*4*")</f>
        <v>*4*</v>
      </c>
    </row>
    <row r="49">
      <c r="A49" s="3">
        <f>IFERROR(__xludf.DUMMYFUNCTION("""COMPUTED_VALUE"""),48.0)</f>
        <v>48</v>
      </c>
      <c r="B49" s="3" t="str">
        <f>IFERROR(__xludf.DUMMYFUNCTION("""COMPUTED_VALUE"""),"Inde")</f>
        <v>Inde</v>
      </c>
      <c r="C49" s="3">
        <f>IFERROR(__xludf.DUMMYFUNCTION("""COMPUTED_VALUE"""),1.0)</f>
        <v>1</v>
      </c>
      <c r="D49" s="3">
        <f>IFERROR(__xludf.DUMMYFUNCTION("""COMPUTED_VALUE"""),2.0)</f>
        <v>2</v>
      </c>
      <c r="E49" s="3">
        <f>IFERROR(__xludf.DUMMYFUNCTION("""COMPUTED_VALUE"""),4.0)</f>
        <v>4</v>
      </c>
      <c r="F49" s="3" t="str">
        <f>IFERROR(__xludf.DUMMYFUNCTION("""COMPUTED_VALUE"""),"*7*")</f>
        <v>*7*</v>
      </c>
    </row>
    <row r="50">
      <c r="A50" s="3">
        <f>IFERROR(__xludf.DUMMYFUNCTION("""COMPUTED_VALUE"""),49.0)</f>
        <v>49</v>
      </c>
      <c r="B50" s="3" t="str">
        <f>IFERROR(__xludf.DUMMYFUNCTION("""COMPUTED_VALUE"""),"Hong Kong")</f>
        <v>Hong Kong</v>
      </c>
      <c r="C50" s="3">
        <f>IFERROR(__xludf.DUMMYFUNCTION("""COMPUTED_VALUE"""),1.0)</f>
        <v>1</v>
      </c>
      <c r="D50" s="3">
        <f>IFERROR(__xludf.DUMMYFUNCTION("""COMPUTED_VALUE"""),2.0)</f>
        <v>2</v>
      </c>
      <c r="E50" s="3">
        <f>IFERROR(__xludf.DUMMYFUNCTION("""COMPUTED_VALUE"""),3.0)</f>
        <v>3</v>
      </c>
      <c r="F50" s="3" t="str">
        <f>IFERROR(__xludf.DUMMYFUNCTION("""COMPUTED_VALUE"""),"*6*")</f>
        <v>*6*</v>
      </c>
    </row>
    <row r="51">
      <c r="A51" s="3">
        <f>IFERROR(__xludf.DUMMYFUNCTION("""COMPUTED_VALUE"""),50.0)</f>
        <v>50</v>
      </c>
      <c r="B51" s="3" t="str">
        <f>IFERROR(__xludf.DUMMYFUNCTION("""COMPUTED_VALUE"""),"Philippines")</f>
        <v>Philippines</v>
      </c>
      <c r="C51" s="3">
        <f>IFERROR(__xludf.DUMMYFUNCTION("""COMPUTED_VALUE"""),1.0)</f>
        <v>1</v>
      </c>
      <c r="D51" s="3">
        <f>IFERROR(__xludf.DUMMYFUNCTION("""COMPUTED_VALUE"""),2.0)</f>
        <v>2</v>
      </c>
      <c r="E51" s="3">
        <f>IFERROR(__xludf.DUMMYFUNCTION("""COMPUTED_VALUE"""),1.0)</f>
        <v>1</v>
      </c>
      <c r="F51" s="3" t="str">
        <f>IFERROR(__xludf.DUMMYFUNCTION("""COMPUTED_VALUE"""),"*4*")</f>
        <v>*4*</v>
      </c>
    </row>
    <row r="52">
      <c r="A52" s="3"/>
      <c r="B52" s="3" t="str">
        <f>IFERROR(__xludf.DUMMYFUNCTION("""COMPUTED_VALUE"""),"Slovaquie")</f>
        <v>Slovaquie</v>
      </c>
      <c r="C52" s="3">
        <f>IFERROR(__xludf.DUMMYFUNCTION("""COMPUTED_VALUE"""),1.0)</f>
        <v>1</v>
      </c>
      <c r="D52" s="3">
        <f>IFERROR(__xludf.DUMMYFUNCTION("""COMPUTED_VALUE"""),2.0)</f>
        <v>2</v>
      </c>
      <c r="E52" s="3">
        <f>IFERROR(__xludf.DUMMYFUNCTION("""COMPUTED_VALUE"""),1.0)</f>
        <v>1</v>
      </c>
      <c r="F52" s="3" t="str">
        <f>IFERROR(__xludf.DUMMYFUNCTION("""COMPUTED_VALUE"""),"*4*")</f>
        <v>*4*</v>
      </c>
    </row>
    <row r="53">
      <c r="A53" s="3">
        <f>IFERROR(__xludf.DUMMYFUNCTION("""COMPUTED_VALUE"""),52.0)</f>
        <v>52</v>
      </c>
      <c r="B53" s="3" t="str">
        <f>IFERROR(__xludf.DUMMYFUNCTION("""COMPUTED_VALUE"""),"Afrique du Sud")</f>
        <v>Afrique du Sud</v>
      </c>
      <c r="C53" s="3">
        <f>IFERROR(__xludf.DUMMYFUNCTION("""COMPUTED_VALUE"""),1.0)</f>
        <v>1</v>
      </c>
      <c r="D53" s="3">
        <f>IFERROR(__xludf.DUMMYFUNCTION("""COMPUTED_VALUE"""),2.0)</f>
        <v>2</v>
      </c>
      <c r="E53" s="3">
        <f>IFERROR(__xludf.DUMMYFUNCTION("""COMPUTED_VALUE"""),0.0)</f>
        <v>0</v>
      </c>
      <c r="F53" s="3" t="str">
        <f>IFERROR(__xludf.DUMMYFUNCTION("""COMPUTED_VALUE"""),"*3*")</f>
        <v>*3*</v>
      </c>
    </row>
    <row r="54">
      <c r="A54" s="3">
        <f>IFERROR(__xludf.DUMMYFUNCTION("""COMPUTED_VALUE"""),53.0)</f>
        <v>53</v>
      </c>
      <c r="B54" s="3" t="str">
        <f>IFERROR(__xludf.DUMMYFUNCTION("""COMPUTED_VALUE"""),"Autriche")</f>
        <v>Autriche</v>
      </c>
      <c r="C54" s="3">
        <f>IFERROR(__xludf.DUMMYFUNCTION("""COMPUTED_VALUE"""),1.0)</f>
        <v>1</v>
      </c>
      <c r="D54" s="3">
        <f>IFERROR(__xludf.DUMMYFUNCTION("""COMPUTED_VALUE"""),1.0)</f>
        <v>1</v>
      </c>
      <c r="E54" s="3">
        <f>IFERROR(__xludf.DUMMYFUNCTION("""COMPUTED_VALUE"""),5.0)</f>
        <v>5</v>
      </c>
      <c r="F54" s="3" t="str">
        <f>IFERROR(__xludf.DUMMYFUNCTION("""COMPUTED_VALUE"""),"*7*")</f>
        <v>*7*</v>
      </c>
    </row>
    <row r="55">
      <c r="A55" s="3">
        <f>IFERROR(__xludf.DUMMYFUNCTION("""COMPUTED_VALUE"""),54.0)</f>
        <v>54</v>
      </c>
      <c r="B55" s="3" t="str">
        <f>IFERROR(__xludf.DUMMYFUNCTION("""COMPUTED_VALUE"""),"Égypte")</f>
        <v>Égypte</v>
      </c>
      <c r="C55" s="3">
        <f>IFERROR(__xludf.DUMMYFUNCTION("""COMPUTED_VALUE"""),1.0)</f>
        <v>1</v>
      </c>
      <c r="D55" s="3">
        <f>IFERROR(__xludf.DUMMYFUNCTION("""COMPUTED_VALUE"""),1.0)</f>
        <v>1</v>
      </c>
      <c r="E55" s="3">
        <f>IFERROR(__xludf.DUMMYFUNCTION("""COMPUTED_VALUE"""),4.0)</f>
        <v>4</v>
      </c>
      <c r="F55" s="3" t="str">
        <f>IFERROR(__xludf.DUMMYFUNCTION("""COMPUTED_VALUE"""),"*6*")</f>
        <v>*6*</v>
      </c>
    </row>
    <row r="56">
      <c r="A56" s="3">
        <f>IFERROR(__xludf.DUMMYFUNCTION("""COMPUTED_VALUE"""),55.0)</f>
        <v>55</v>
      </c>
      <c r="B56" s="3" t="str">
        <f>IFERROR(__xludf.DUMMYFUNCTION("""COMPUTED_VALUE"""),"Indonésie")</f>
        <v>Indonésie</v>
      </c>
      <c r="C56" s="3">
        <f>IFERROR(__xludf.DUMMYFUNCTION("""COMPUTED_VALUE"""),1.0)</f>
        <v>1</v>
      </c>
      <c r="D56" s="3">
        <f>IFERROR(__xludf.DUMMYFUNCTION("""COMPUTED_VALUE"""),1.0)</f>
        <v>1</v>
      </c>
      <c r="E56" s="3">
        <f>IFERROR(__xludf.DUMMYFUNCTION("""COMPUTED_VALUE"""),3.0)</f>
        <v>3</v>
      </c>
      <c r="F56" s="3" t="str">
        <f>IFERROR(__xludf.DUMMYFUNCTION("""COMPUTED_VALUE"""),"*5*")</f>
        <v>*5*</v>
      </c>
    </row>
    <row r="57">
      <c r="A57" s="3">
        <f>IFERROR(__xludf.DUMMYFUNCTION("""COMPUTED_VALUE"""),56.0)</f>
        <v>56</v>
      </c>
      <c r="B57" s="3" t="str">
        <f>IFERROR(__xludf.DUMMYFUNCTION("""COMPUTED_VALUE"""),"Éthiopie")</f>
        <v>Éthiopie</v>
      </c>
      <c r="C57" s="3">
        <f>IFERROR(__xludf.DUMMYFUNCTION("""COMPUTED_VALUE"""),1.0)</f>
        <v>1</v>
      </c>
      <c r="D57" s="3">
        <f>IFERROR(__xludf.DUMMYFUNCTION("""COMPUTED_VALUE"""),1.0)</f>
        <v>1</v>
      </c>
      <c r="E57" s="3">
        <f>IFERROR(__xludf.DUMMYFUNCTION("""COMPUTED_VALUE"""),2.0)</f>
        <v>2</v>
      </c>
      <c r="F57" s="3" t="str">
        <f>IFERROR(__xludf.DUMMYFUNCTION("""COMPUTED_VALUE"""),"*4*")</f>
        <v>*4*</v>
      </c>
    </row>
    <row r="58">
      <c r="A58" s="3"/>
      <c r="B58" s="3" t="str">
        <f>IFERROR(__xludf.DUMMYFUNCTION("""COMPUTED_VALUE"""),"Portugal")</f>
        <v>Portugal</v>
      </c>
      <c r="C58" s="3">
        <f>IFERROR(__xludf.DUMMYFUNCTION("""COMPUTED_VALUE"""),1.0)</f>
        <v>1</v>
      </c>
      <c r="D58" s="3">
        <f>IFERROR(__xludf.DUMMYFUNCTION("""COMPUTED_VALUE"""),1.0)</f>
        <v>1</v>
      </c>
      <c r="E58" s="3">
        <f>IFERROR(__xludf.DUMMYFUNCTION("""COMPUTED_VALUE"""),2.0)</f>
        <v>2</v>
      </c>
      <c r="F58" s="3" t="str">
        <f>IFERROR(__xludf.DUMMYFUNCTION("""COMPUTED_VALUE"""),"*4*")</f>
        <v>*4*</v>
      </c>
    </row>
    <row r="59">
      <c r="A59" s="3">
        <f>IFERROR(__xludf.DUMMYFUNCTION("""COMPUTED_VALUE"""),58.0)</f>
        <v>58</v>
      </c>
      <c r="B59" s="3" t="str">
        <f>IFERROR(__xludf.DUMMYFUNCTION("""COMPUTED_VALUE"""),"Tunisie")</f>
        <v>Tunisie</v>
      </c>
      <c r="C59" s="3">
        <f>IFERROR(__xludf.DUMMYFUNCTION("""COMPUTED_VALUE"""),1.0)</f>
        <v>1</v>
      </c>
      <c r="D59" s="3">
        <f>IFERROR(__xludf.DUMMYFUNCTION("""COMPUTED_VALUE"""),1.0)</f>
        <v>1</v>
      </c>
      <c r="E59" s="3">
        <f>IFERROR(__xludf.DUMMYFUNCTION("""COMPUTED_VALUE"""),0.0)</f>
        <v>0</v>
      </c>
      <c r="F59" s="3" t="str">
        <f>IFERROR(__xludf.DUMMYFUNCTION("""COMPUTED_VALUE"""),"*2*")</f>
        <v>*2*</v>
      </c>
    </row>
    <row r="60">
      <c r="A60" s="3">
        <f>IFERROR(__xludf.DUMMYFUNCTION("""COMPUTED_VALUE"""),59.0)</f>
        <v>59</v>
      </c>
      <c r="B60" s="3" t="str">
        <f>IFERROR(__xludf.DUMMYFUNCTION("""COMPUTED_VALUE"""),"Estonie")</f>
        <v>Estonie</v>
      </c>
      <c r="C60" s="3">
        <f>IFERROR(__xludf.DUMMYFUNCTION("""COMPUTED_VALUE"""),1.0)</f>
        <v>1</v>
      </c>
      <c r="D60" s="3">
        <f>IFERROR(__xludf.DUMMYFUNCTION("""COMPUTED_VALUE"""),0.0)</f>
        <v>0</v>
      </c>
      <c r="E60" s="3">
        <f>IFERROR(__xludf.DUMMYFUNCTION("""COMPUTED_VALUE"""),1.0)</f>
        <v>1</v>
      </c>
      <c r="F60" s="3" t="str">
        <f>IFERROR(__xludf.DUMMYFUNCTION("""COMPUTED_VALUE"""),"*2*")</f>
        <v>*2*</v>
      </c>
    </row>
    <row r="61">
      <c r="A61" s="3"/>
      <c r="B61" s="3" t="str">
        <f>IFERROR(__xludf.DUMMYFUNCTION("""COMPUTED_VALUE"""),"Fidji")</f>
        <v>Fidji</v>
      </c>
      <c r="C61" s="3">
        <f>IFERROR(__xludf.DUMMYFUNCTION("""COMPUTED_VALUE"""),1.0)</f>
        <v>1</v>
      </c>
      <c r="D61" s="3">
        <f>IFERROR(__xludf.DUMMYFUNCTION("""COMPUTED_VALUE"""),0.0)</f>
        <v>0</v>
      </c>
      <c r="E61" s="3">
        <f>IFERROR(__xludf.DUMMYFUNCTION("""COMPUTED_VALUE"""),1.0)</f>
        <v>1</v>
      </c>
      <c r="F61" s="3" t="str">
        <f>IFERROR(__xludf.DUMMYFUNCTION("""COMPUTED_VALUE"""),"*2*")</f>
        <v>*2*</v>
      </c>
    </row>
    <row r="62">
      <c r="A62" s="3"/>
      <c r="B62" s="3" t="str">
        <f>IFERROR(__xludf.DUMMYFUNCTION("""COMPUTED_VALUE"""),"Lettonie")</f>
        <v>Lettonie</v>
      </c>
      <c r="C62" s="3">
        <f>IFERROR(__xludf.DUMMYFUNCTION("""COMPUTED_VALUE"""),1.0)</f>
        <v>1</v>
      </c>
      <c r="D62" s="3">
        <f>IFERROR(__xludf.DUMMYFUNCTION("""COMPUTED_VALUE"""),0.0)</f>
        <v>0</v>
      </c>
      <c r="E62" s="3">
        <f>IFERROR(__xludf.DUMMYFUNCTION("""COMPUTED_VALUE"""),1.0)</f>
        <v>1</v>
      </c>
      <c r="F62" s="3" t="str">
        <f>IFERROR(__xludf.DUMMYFUNCTION("""COMPUTED_VALUE"""),"*2*")</f>
        <v>*2*</v>
      </c>
    </row>
    <row r="63">
      <c r="A63" s="3"/>
      <c r="B63" s="3" t="str">
        <f>IFERROR(__xludf.DUMMYFUNCTION("""COMPUTED_VALUE"""),"Thaïlande")</f>
        <v>Thaïlande</v>
      </c>
      <c r="C63" s="3">
        <f>IFERROR(__xludf.DUMMYFUNCTION("""COMPUTED_VALUE"""),1.0)</f>
        <v>1</v>
      </c>
      <c r="D63" s="3">
        <f>IFERROR(__xludf.DUMMYFUNCTION("""COMPUTED_VALUE"""),0.0)</f>
        <v>0</v>
      </c>
      <c r="E63" s="3">
        <f>IFERROR(__xludf.DUMMYFUNCTION("""COMPUTED_VALUE"""),1.0)</f>
        <v>1</v>
      </c>
      <c r="F63" s="3" t="str">
        <f>IFERROR(__xludf.DUMMYFUNCTION("""COMPUTED_VALUE"""),"*2*")</f>
        <v>*2*</v>
      </c>
    </row>
    <row r="64">
      <c r="A64" s="3">
        <f>IFERROR(__xludf.DUMMYFUNCTION("""COMPUTED_VALUE"""),63.0)</f>
        <v>63</v>
      </c>
      <c r="B64" s="3" t="str">
        <f>IFERROR(__xludf.DUMMYFUNCTION("""COMPUTED_VALUE"""),"Bermudes")</f>
        <v>Bermudes</v>
      </c>
      <c r="C64" s="3">
        <f>IFERROR(__xludf.DUMMYFUNCTION("""COMPUTED_VALUE"""),1.0)</f>
        <v>1</v>
      </c>
      <c r="D64" s="3">
        <f>IFERROR(__xludf.DUMMYFUNCTION("""COMPUTED_VALUE"""),0.0)</f>
        <v>0</v>
      </c>
      <c r="E64" s="3">
        <f>IFERROR(__xludf.DUMMYFUNCTION("""COMPUTED_VALUE"""),0.0)</f>
        <v>0</v>
      </c>
      <c r="F64" s="3" t="str">
        <f>IFERROR(__xludf.DUMMYFUNCTION("""COMPUTED_VALUE"""),"*1*")</f>
        <v>*1*</v>
      </c>
    </row>
    <row r="65">
      <c r="A65" s="3"/>
      <c r="B65" s="3" t="str">
        <f>IFERROR(__xludf.DUMMYFUNCTION("""COMPUTED_VALUE"""),"Maroc")</f>
        <v>Maroc</v>
      </c>
      <c r="C65" s="3">
        <f>IFERROR(__xludf.DUMMYFUNCTION("""COMPUTED_VALUE"""),1.0)</f>
        <v>1</v>
      </c>
      <c r="D65" s="3">
        <f>IFERROR(__xludf.DUMMYFUNCTION("""COMPUTED_VALUE"""),0.0)</f>
        <v>0</v>
      </c>
      <c r="E65" s="3">
        <f>IFERROR(__xludf.DUMMYFUNCTION("""COMPUTED_VALUE"""),0.0)</f>
        <v>0</v>
      </c>
      <c r="F65" s="3" t="str">
        <f>IFERROR(__xludf.DUMMYFUNCTION("""COMPUTED_VALUE"""),"*1*")</f>
        <v>*1*</v>
      </c>
    </row>
    <row r="66">
      <c r="A66" s="3"/>
      <c r="B66" s="3" t="str">
        <f>IFERROR(__xludf.DUMMYFUNCTION("""COMPUTED_VALUE"""),"Porto Rico")</f>
        <v>Porto Rico</v>
      </c>
      <c r="C66" s="3">
        <f>IFERROR(__xludf.DUMMYFUNCTION("""COMPUTED_VALUE"""),1.0)</f>
        <v>1</v>
      </c>
      <c r="D66" s="3">
        <f>IFERROR(__xludf.DUMMYFUNCTION("""COMPUTED_VALUE"""),0.0)</f>
        <v>0</v>
      </c>
      <c r="E66" s="3">
        <f>IFERROR(__xludf.DUMMYFUNCTION("""COMPUTED_VALUE"""),0.0)</f>
        <v>0</v>
      </c>
      <c r="F66" s="3" t="str">
        <f>IFERROR(__xludf.DUMMYFUNCTION("""COMPUTED_VALUE"""),"*1*")</f>
        <v>*1*</v>
      </c>
    </row>
    <row r="67">
      <c r="A67" s="3">
        <f>IFERROR(__xludf.DUMMYFUNCTION("""COMPUTED_VALUE"""),66.0)</f>
        <v>66</v>
      </c>
      <c r="B67" s="3" t="str">
        <f>IFERROR(__xludf.DUMMYFUNCTION("""COMPUTED_VALUE"""),"Colombie")</f>
        <v>Colombie</v>
      </c>
      <c r="C67" s="3">
        <f>IFERROR(__xludf.DUMMYFUNCTION("""COMPUTED_VALUE"""),0.0)</f>
        <v>0</v>
      </c>
      <c r="D67" s="3">
        <f>IFERROR(__xludf.DUMMYFUNCTION("""COMPUTED_VALUE"""),4.0)</f>
        <v>4</v>
      </c>
      <c r="E67" s="3">
        <f>IFERROR(__xludf.DUMMYFUNCTION("""COMPUTED_VALUE"""),1.0)</f>
        <v>1</v>
      </c>
      <c r="F67" s="3" t="str">
        <f>IFERROR(__xludf.DUMMYFUNCTION("""COMPUTED_VALUE"""),"*5*")</f>
        <v>*5*</v>
      </c>
    </row>
    <row r="68">
      <c r="A68" s="3">
        <f>IFERROR(__xludf.DUMMYFUNCTION("""COMPUTED_VALUE"""),67.0)</f>
        <v>67</v>
      </c>
      <c r="B68" s="3" t="str">
        <f>IFERROR(__xludf.DUMMYFUNCTION("""COMPUTED_VALUE"""),"Azerbaïdjan")</f>
        <v>Azerbaïdjan</v>
      </c>
      <c r="C68" s="3">
        <f>IFERROR(__xludf.DUMMYFUNCTION("""COMPUTED_VALUE"""),0.0)</f>
        <v>0</v>
      </c>
      <c r="D68" s="3">
        <f>IFERROR(__xludf.DUMMYFUNCTION("""COMPUTED_VALUE"""),3.0)</f>
        <v>3</v>
      </c>
      <c r="E68" s="3">
        <f>IFERROR(__xludf.DUMMYFUNCTION("""COMPUTED_VALUE"""),4.0)</f>
        <v>4</v>
      </c>
      <c r="F68" s="3" t="str">
        <f>IFERROR(__xludf.DUMMYFUNCTION("""COMPUTED_VALUE"""),"*7*")</f>
        <v>*7*</v>
      </c>
    </row>
    <row r="69">
      <c r="A69" s="3">
        <f>IFERROR(__xludf.DUMMYFUNCTION("""COMPUTED_VALUE"""),68.0)</f>
        <v>68</v>
      </c>
      <c r="B69" s="3" t="str">
        <f>IFERROR(__xludf.DUMMYFUNCTION("""COMPUTED_VALUE"""),"Rép. dominicaine")</f>
        <v>Rép. dominicaine</v>
      </c>
      <c r="C69" s="3">
        <f>IFERROR(__xludf.DUMMYFUNCTION("""COMPUTED_VALUE"""),0.0)</f>
        <v>0</v>
      </c>
      <c r="D69" s="3">
        <f>IFERROR(__xludf.DUMMYFUNCTION("""COMPUTED_VALUE"""),3.0)</f>
        <v>3</v>
      </c>
      <c r="E69" s="3">
        <f>IFERROR(__xludf.DUMMYFUNCTION("""COMPUTED_VALUE"""),2.0)</f>
        <v>2</v>
      </c>
      <c r="F69" s="3" t="str">
        <f>IFERROR(__xludf.DUMMYFUNCTION("""COMPUTED_VALUE"""),"*5*")</f>
        <v>*5*</v>
      </c>
    </row>
    <row r="70">
      <c r="A70" s="3">
        <f>IFERROR(__xludf.DUMMYFUNCTION("""COMPUTED_VALUE"""),69.0)</f>
        <v>69</v>
      </c>
      <c r="B70" s="3" t="str">
        <f>IFERROR(__xludf.DUMMYFUNCTION("""COMPUTED_VALUE"""),"Arménie")</f>
        <v>Arménie</v>
      </c>
      <c r="C70" s="3">
        <f>IFERROR(__xludf.DUMMYFUNCTION("""COMPUTED_VALUE"""),0.0)</f>
        <v>0</v>
      </c>
      <c r="D70" s="3">
        <f>IFERROR(__xludf.DUMMYFUNCTION("""COMPUTED_VALUE"""),2.0)</f>
        <v>2</v>
      </c>
      <c r="E70" s="3">
        <f>IFERROR(__xludf.DUMMYFUNCTION("""COMPUTED_VALUE"""),2.0)</f>
        <v>2</v>
      </c>
      <c r="F70" s="3" t="str">
        <f>IFERROR(__xludf.DUMMYFUNCTION("""COMPUTED_VALUE"""),"*4*")</f>
        <v>*4*</v>
      </c>
    </row>
    <row r="71">
      <c r="A71" s="3">
        <f>IFERROR(__xludf.DUMMYFUNCTION("""COMPUTED_VALUE"""),70.0)</f>
        <v>70</v>
      </c>
      <c r="B71" s="3" t="str">
        <f>IFERROR(__xludf.DUMMYFUNCTION("""COMPUTED_VALUE"""),"Kirghizistan")</f>
        <v>Kirghizistan</v>
      </c>
      <c r="C71" s="3">
        <f>IFERROR(__xludf.DUMMYFUNCTION("""COMPUTED_VALUE"""),0.0)</f>
        <v>0</v>
      </c>
      <c r="D71" s="3">
        <f>IFERROR(__xludf.DUMMYFUNCTION("""COMPUTED_VALUE"""),2.0)</f>
        <v>2</v>
      </c>
      <c r="E71" s="3">
        <f>IFERROR(__xludf.DUMMYFUNCTION("""COMPUTED_VALUE"""),1.0)</f>
        <v>1</v>
      </c>
      <c r="F71" s="3" t="str">
        <f>IFERROR(__xludf.DUMMYFUNCTION("""COMPUTED_VALUE"""),"*3*")</f>
        <v>*3*</v>
      </c>
    </row>
    <row r="72">
      <c r="A72" s="3">
        <f>IFERROR(__xludf.DUMMYFUNCTION("""COMPUTED_VALUE"""),71.0)</f>
        <v>71</v>
      </c>
      <c r="B72" s="3" t="str">
        <f>IFERROR(__xludf.DUMMYFUNCTION("""COMPUTED_VALUE"""),"Mongolie")</f>
        <v>Mongolie</v>
      </c>
      <c r="C72" s="3">
        <f>IFERROR(__xludf.DUMMYFUNCTION("""COMPUTED_VALUE"""),0.0)</f>
        <v>0</v>
      </c>
      <c r="D72" s="3">
        <f>IFERROR(__xludf.DUMMYFUNCTION("""COMPUTED_VALUE"""),1.0)</f>
        <v>1</v>
      </c>
      <c r="E72" s="3">
        <f>IFERROR(__xludf.DUMMYFUNCTION("""COMPUTED_VALUE"""),3.0)</f>
        <v>3</v>
      </c>
      <c r="F72" s="3" t="str">
        <f>IFERROR(__xludf.DUMMYFUNCTION("""COMPUTED_VALUE"""),"*4*")</f>
        <v>*4*</v>
      </c>
    </row>
    <row r="73">
      <c r="A73" s="3">
        <f>IFERROR(__xludf.DUMMYFUNCTION("""COMPUTED_VALUE"""),72.0)</f>
        <v>72</v>
      </c>
      <c r="B73" s="3" t="str">
        <f>IFERROR(__xludf.DUMMYFUNCTION("""COMPUTED_VALUE"""),"Argentine")</f>
        <v>Argentine</v>
      </c>
      <c r="C73" s="3">
        <f>IFERROR(__xludf.DUMMYFUNCTION("""COMPUTED_VALUE"""),0.0)</f>
        <v>0</v>
      </c>
      <c r="D73" s="3">
        <f>IFERROR(__xludf.DUMMYFUNCTION("""COMPUTED_VALUE"""),1.0)</f>
        <v>1</v>
      </c>
      <c r="E73" s="3">
        <f>IFERROR(__xludf.DUMMYFUNCTION("""COMPUTED_VALUE"""),2.0)</f>
        <v>2</v>
      </c>
      <c r="F73" s="3" t="str">
        <f>IFERROR(__xludf.DUMMYFUNCTION("""COMPUTED_VALUE"""),"*3*")</f>
        <v>*3*</v>
      </c>
    </row>
    <row r="74">
      <c r="A74" s="3"/>
      <c r="B74" s="3" t="str">
        <f>IFERROR(__xludf.DUMMYFUNCTION("""COMPUTED_VALUE"""),"Saint-Marin")</f>
        <v>Saint-Marin</v>
      </c>
      <c r="C74" s="3">
        <f>IFERROR(__xludf.DUMMYFUNCTION("""COMPUTED_VALUE"""),0.0)</f>
        <v>0</v>
      </c>
      <c r="D74" s="3">
        <f>IFERROR(__xludf.DUMMYFUNCTION("""COMPUTED_VALUE"""),1.0)</f>
        <v>1</v>
      </c>
      <c r="E74" s="3">
        <f>IFERROR(__xludf.DUMMYFUNCTION("""COMPUTED_VALUE"""),2.0)</f>
        <v>2</v>
      </c>
      <c r="F74" s="3" t="str">
        <f>IFERROR(__xludf.DUMMYFUNCTION("""COMPUTED_VALUE"""),"*3*")</f>
        <v>*3*</v>
      </c>
    </row>
    <row r="75">
      <c r="A75" s="3">
        <f>IFERROR(__xludf.DUMMYFUNCTION("""COMPUTED_VALUE"""),74.0)</f>
        <v>74</v>
      </c>
      <c r="B75" s="3" t="str">
        <f>IFERROR(__xludf.DUMMYFUNCTION("""COMPUTED_VALUE"""),"Jordanie")</f>
        <v>Jordanie</v>
      </c>
      <c r="C75" s="3">
        <f>IFERROR(__xludf.DUMMYFUNCTION("""COMPUTED_VALUE"""),0.0)</f>
        <v>0</v>
      </c>
      <c r="D75" s="3">
        <f>IFERROR(__xludf.DUMMYFUNCTION("""COMPUTED_VALUE"""),1.0)</f>
        <v>1</v>
      </c>
      <c r="E75" s="3">
        <f>IFERROR(__xludf.DUMMYFUNCTION("""COMPUTED_VALUE"""),1.0)</f>
        <v>1</v>
      </c>
      <c r="F75" s="3" t="str">
        <f>IFERROR(__xludf.DUMMYFUNCTION("""COMPUTED_VALUE"""),"*2*")</f>
        <v>*2*</v>
      </c>
    </row>
    <row r="76">
      <c r="A76" s="3"/>
      <c r="B76" s="3" t="str">
        <f>IFERROR(__xludf.DUMMYFUNCTION("""COMPUTED_VALUE"""),"Malaisie")</f>
        <v>Malaisie</v>
      </c>
      <c r="C76" s="3">
        <f>IFERROR(__xludf.DUMMYFUNCTION("""COMPUTED_VALUE"""),0.0)</f>
        <v>0</v>
      </c>
      <c r="D76" s="3">
        <f>IFERROR(__xludf.DUMMYFUNCTION("""COMPUTED_VALUE"""),1.0)</f>
        <v>1</v>
      </c>
      <c r="E76" s="3">
        <f>IFERROR(__xludf.DUMMYFUNCTION("""COMPUTED_VALUE"""),1.0)</f>
        <v>1</v>
      </c>
      <c r="F76" s="3" t="str">
        <f>IFERROR(__xludf.DUMMYFUNCTION("""COMPUTED_VALUE"""),"*2*")</f>
        <v>*2*</v>
      </c>
    </row>
    <row r="77">
      <c r="A77" s="3"/>
      <c r="B77" s="3" t="str">
        <f>IFERROR(__xludf.DUMMYFUNCTION("""COMPUTED_VALUE"""),"Nigeria")</f>
        <v>Nigeria</v>
      </c>
      <c r="C77" s="3">
        <f>IFERROR(__xludf.DUMMYFUNCTION("""COMPUTED_VALUE"""),0.0)</f>
        <v>0</v>
      </c>
      <c r="D77" s="3">
        <f>IFERROR(__xludf.DUMMYFUNCTION("""COMPUTED_VALUE"""),1.0)</f>
        <v>1</v>
      </c>
      <c r="E77" s="3">
        <f>IFERROR(__xludf.DUMMYFUNCTION("""COMPUTED_VALUE"""),1.0)</f>
        <v>1</v>
      </c>
      <c r="F77" s="3" t="str">
        <f>IFERROR(__xludf.DUMMYFUNCTION("""COMPUTED_VALUE"""),"*2*")</f>
        <v>*2*</v>
      </c>
    </row>
    <row r="78">
      <c r="A78" s="3">
        <f>IFERROR(__xludf.DUMMYFUNCTION("""COMPUTED_VALUE"""),77.0)</f>
        <v>77</v>
      </c>
      <c r="B78" s="3" t="str">
        <f>IFERROR(__xludf.DUMMYFUNCTION("""COMPUTED_VALUE"""),"Arabie saoudite")</f>
        <v>Arabie saoudite</v>
      </c>
      <c r="C78" s="3">
        <f>IFERROR(__xludf.DUMMYFUNCTION("""COMPUTED_VALUE"""),0.0)</f>
        <v>0</v>
      </c>
      <c r="D78" s="3">
        <f>IFERROR(__xludf.DUMMYFUNCTION("""COMPUTED_VALUE"""),1.0)</f>
        <v>1</v>
      </c>
      <c r="E78" s="3">
        <f>IFERROR(__xludf.DUMMYFUNCTION("""COMPUTED_VALUE"""),0.0)</f>
        <v>0</v>
      </c>
      <c r="F78" s="3" t="str">
        <f>IFERROR(__xludf.DUMMYFUNCTION("""COMPUTED_VALUE"""),"*1*")</f>
        <v>*1*</v>
      </c>
    </row>
    <row r="79">
      <c r="A79" s="3"/>
      <c r="B79" s="3" t="str">
        <f>IFERROR(__xludf.DUMMYFUNCTION("""COMPUTED_VALUE"""),"Bahreïn")</f>
        <v>Bahreïn</v>
      </c>
      <c r="C79" s="3">
        <f>IFERROR(__xludf.DUMMYFUNCTION("""COMPUTED_VALUE"""),0.0)</f>
        <v>0</v>
      </c>
      <c r="D79" s="3">
        <f>IFERROR(__xludf.DUMMYFUNCTION("""COMPUTED_VALUE"""),1.0)</f>
        <v>1</v>
      </c>
      <c r="E79" s="3">
        <f>IFERROR(__xludf.DUMMYFUNCTION("""COMPUTED_VALUE"""),0.0)</f>
        <v>0</v>
      </c>
      <c r="F79" s="3" t="str">
        <f>IFERROR(__xludf.DUMMYFUNCTION("""COMPUTED_VALUE"""),"*1*")</f>
        <v>*1*</v>
      </c>
    </row>
    <row r="80">
      <c r="A80" s="3"/>
      <c r="B80" s="3" t="str">
        <f>IFERROR(__xludf.DUMMYFUNCTION("""COMPUTED_VALUE"""),"Lituanie")</f>
        <v>Lituanie</v>
      </c>
      <c r="C80" s="3">
        <f>IFERROR(__xludf.DUMMYFUNCTION("""COMPUTED_VALUE"""),0.0)</f>
        <v>0</v>
      </c>
      <c r="D80" s="3">
        <f>IFERROR(__xludf.DUMMYFUNCTION("""COMPUTED_VALUE"""),1.0)</f>
        <v>1</v>
      </c>
      <c r="E80" s="3">
        <f>IFERROR(__xludf.DUMMYFUNCTION("""COMPUTED_VALUE"""),0.0)</f>
        <v>0</v>
      </c>
      <c r="F80" s="3" t="str">
        <f>IFERROR(__xludf.DUMMYFUNCTION("""COMPUTED_VALUE"""),"*1*")</f>
        <v>*1*</v>
      </c>
    </row>
    <row r="81">
      <c r="A81" s="3"/>
      <c r="B81" s="3" t="str">
        <f>IFERROR(__xludf.DUMMYFUNCTION("""COMPUTED_VALUE"""),"Macédoine du Nord")</f>
        <v>Macédoine du Nord</v>
      </c>
      <c r="C81" s="3">
        <f>IFERROR(__xludf.DUMMYFUNCTION("""COMPUTED_VALUE"""),0.0)</f>
        <v>0</v>
      </c>
      <c r="D81" s="3">
        <f>IFERROR(__xludf.DUMMYFUNCTION("""COMPUTED_VALUE"""),1.0)</f>
        <v>1</v>
      </c>
      <c r="E81" s="3">
        <f>IFERROR(__xludf.DUMMYFUNCTION("""COMPUTED_VALUE"""),0.0)</f>
        <v>0</v>
      </c>
      <c r="F81" s="3" t="str">
        <f>IFERROR(__xludf.DUMMYFUNCTION("""COMPUTED_VALUE"""),"*1*")</f>
        <v>*1*</v>
      </c>
    </row>
    <row r="82">
      <c r="A82" s="3"/>
      <c r="B82" s="3" t="str">
        <f>IFERROR(__xludf.DUMMYFUNCTION("""COMPUTED_VALUE"""),"Namibie")</f>
        <v>Namibie</v>
      </c>
      <c r="C82" s="3">
        <f>IFERROR(__xludf.DUMMYFUNCTION("""COMPUTED_VALUE"""),0.0)</f>
        <v>0</v>
      </c>
      <c r="D82" s="3">
        <f>IFERROR(__xludf.DUMMYFUNCTION("""COMPUTED_VALUE"""),1.0)</f>
        <v>1</v>
      </c>
      <c r="E82" s="3">
        <f>IFERROR(__xludf.DUMMYFUNCTION("""COMPUTED_VALUE"""),0.0)</f>
        <v>0</v>
      </c>
      <c r="F82" s="3" t="str">
        <f>IFERROR(__xludf.DUMMYFUNCTION("""COMPUTED_VALUE"""),"*1*")</f>
        <v>*1*</v>
      </c>
    </row>
    <row r="83">
      <c r="A83" s="3"/>
      <c r="B83" s="3" t="str">
        <f>IFERROR(__xludf.DUMMYFUNCTION("""COMPUTED_VALUE"""),"Turkménistan")</f>
        <v>Turkménistan</v>
      </c>
      <c r="C83" s="3">
        <f>IFERROR(__xludf.DUMMYFUNCTION("""COMPUTED_VALUE"""),0.0)</f>
        <v>0</v>
      </c>
      <c r="D83" s="3">
        <f>IFERROR(__xludf.DUMMYFUNCTION("""COMPUTED_VALUE"""),1.0)</f>
        <v>1</v>
      </c>
      <c r="E83" s="3">
        <f>IFERROR(__xludf.DUMMYFUNCTION("""COMPUTED_VALUE"""),0.0)</f>
        <v>0</v>
      </c>
      <c r="F83" s="3" t="str">
        <f>IFERROR(__xludf.DUMMYFUNCTION("""COMPUTED_VALUE"""),"*1*")</f>
        <v>*1*</v>
      </c>
    </row>
    <row r="84">
      <c r="A84" s="3">
        <f>IFERROR(__xludf.DUMMYFUNCTION("""COMPUTED_VALUE"""),83.0)</f>
        <v>83</v>
      </c>
      <c r="B84" s="3" t="str">
        <f>IFERROR(__xludf.DUMMYFUNCTION("""COMPUTED_VALUE"""),"Kazakhstan")</f>
        <v>Kazakhstan</v>
      </c>
      <c r="C84" s="3">
        <f>IFERROR(__xludf.DUMMYFUNCTION("""COMPUTED_VALUE"""),0.0)</f>
        <v>0</v>
      </c>
      <c r="D84" s="3">
        <f>IFERROR(__xludf.DUMMYFUNCTION("""COMPUTED_VALUE"""),0.0)</f>
        <v>0</v>
      </c>
      <c r="E84" s="3">
        <f>IFERROR(__xludf.DUMMYFUNCTION("""COMPUTED_VALUE"""),8.0)</f>
        <v>8</v>
      </c>
      <c r="F84" s="3" t="str">
        <f>IFERROR(__xludf.DUMMYFUNCTION("""COMPUTED_VALUE"""),"*8*")</f>
        <v>*8*</v>
      </c>
    </row>
    <row r="85">
      <c r="A85" s="3">
        <f>IFERROR(__xludf.DUMMYFUNCTION("""COMPUTED_VALUE"""),84.0)</f>
        <v>84</v>
      </c>
      <c r="B85" s="3" t="str">
        <f>IFERROR(__xludf.DUMMYFUNCTION("""COMPUTED_VALUE"""),"Mexique")</f>
        <v>Mexique</v>
      </c>
      <c r="C85" s="3">
        <f>IFERROR(__xludf.DUMMYFUNCTION("""COMPUTED_VALUE"""),0.0)</f>
        <v>0</v>
      </c>
      <c r="D85" s="3">
        <f>IFERROR(__xludf.DUMMYFUNCTION("""COMPUTED_VALUE"""),0.0)</f>
        <v>0</v>
      </c>
      <c r="E85" s="3">
        <f>IFERROR(__xludf.DUMMYFUNCTION("""COMPUTED_VALUE"""),4.0)</f>
        <v>4</v>
      </c>
      <c r="F85" s="3" t="str">
        <f>IFERROR(__xludf.DUMMYFUNCTION("""COMPUTED_VALUE"""),"*4*")</f>
        <v>*4*</v>
      </c>
    </row>
    <row r="86">
      <c r="A86" s="3">
        <f>IFERROR(__xludf.DUMMYFUNCTION("""COMPUTED_VALUE"""),85.0)</f>
        <v>85</v>
      </c>
      <c r="B86" s="3" t="str">
        <f>IFERROR(__xludf.DUMMYFUNCTION("""COMPUTED_VALUE"""),"Finlande")</f>
        <v>Finlande</v>
      </c>
      <c r="C86" s="3">
        <f>IFERROR(__xludf.DUMMYFUNCTION("""COMPUTED_VALUE"""),0.0)</f>
        <v>0</v>
      </c>
      <c r="D86" s="3">
        <f>IFERROR(__xludf.DUMMYFUNCTION("""COMPUTED_VALUE"""),0.0)</f>
        <v>0</v>
      </c>
      <c r="E86" s="3">
        <f>IFERROR(__xludf.DUMMYFUNCTION("""COMPUTED_VALUE"""),2.0)</f>
        <v>2</v>
      </c>
      <c r="F86" s="3" t="str">
        <f>IFERROR(__xludf.DUMMYFUNCTION("""COMPUTED_VALUE"""),"*2*")</f>
        <v>*2*</v>
      </c>
    </row>
    <row r="87">
      <c r="A87" s="3">
        <f>IFERROR(__xludf.DUMMYFUNCTION("""COMPUTED_VALUE"""),86.0)</f>
        <v>86</v>
      </c>
      <c r="B87" s="3" t="str">
        <f>IFERROR(__xludf.DUMMYFUNCTION("""COMPUTED_VALUE"""),"Botswana")</f>
        <v>Botswana</v>
      </c>
      <c r="C87" s="3">
        <f>IFERROR(__xludf.DUMMYFUNCTION("""COMPUTED_VALUE"""),0.0)</f>
        <v>0</v>
      </c>
      <c r="D87" s="3">
        <f>IFERROR(__xludf.DUMMYFUNCTION("""COMPUTED_VALUE"""),0.0)</f>
        <v>0</v>
      </c>
      <c r="E87" s="3">
        <f>IFERROR(__xludf.DUMMYFUNCTION("""COMPUTED_VALUE"""),1.0)</f>
        <v>1</v>
      </c>
      <c r="F87" s="3" t="str">
        <f>IFERROR(__xludf.DUMMYFUNCTION("""COMPUTED_VALUE"""),"*1*")</f>
        <v>*1*</v>
      </c>
    </row>
    <row r="88">
      <c r="A88" s="3"/>
      <c r="B88" s="3" t="str">
        <f>IFERROR(__xludf.DUMMYFUNCTION("""COMPUTED_VALUE"""),"Burkina Faso")</f>
        <v>Burkina Faso</v>
      </c>
      <c r="C88" s="3">
        <f>IFERROR(__xludf.DUMMYFUNCTION("""COMPUTED_VALUE"""),0.0)</f>
        <v>0</v>
      </c>
      <c r="D88" s="3">
        <f>IFERROR(__xludf.DUMMYFUNCTION("""COMPUTED_VALUE"""),0.0)</f>
        <v>0</v>
      </c>
      <c r="E88" s="3">
        <f>IFERROR(__xludf.DUMMYFUNCTION("""COMPUTED_VALUE"""),1.0)</f>
        <v>1</v>
      </c>
      <c r="F88" s="3" t="str">
        <f>IFERROR(__xludf.DUMMYFUNCTION("""COMPUTED_VALUE"""),"*1*")</f>
        <v>*1*</v>
      </c>
    </row>
    <row r="89">
      <c r="A89" s="3"/>
      <c r="B89" s="3" t="str">
        <f>IFERROR(__xludf.DUMMYFUNCTION("""COMPUTED_VALUE"""),"Côte d'Ivoire")</f>
        <v>Côte d'Ivoire</v>
      </c>
      <c r="C89" s="3">
        <f>IFERROR(__xludf.DUMMYFUNCTION("""COMPUTED_VALUE"""),0.0)</f>
        <v>0</v>
      </c>
      <c r="D89" s="3">
        <f>IFERROR(__xludf.DUMMYFUNCTION("""COMPUTED_VALUE"""),0.0)</f>
        <v>0</v>
      </c>
      <c r="E89" s="3">
        <f>IFERROR(__xludf.DUMMYFUNCTION("""COMPUTED_VALUE"""),1.0)</f>
        <v>1</v>
      </c>
      <c r="F89" s="3" t="str">
        <f>IFERROR(__xludf.DUMMYFUNCTION("""COMPUTED_VALUE"""),"*1*")</f>
        <v>*1*</v>
      </c>
    </row>
    <row r="90">
      <c r="A90" s="3"/>
      <c r="B90" s="3" t="str">
        <f>IFERROR(__xludf.DUMMYFUNCTION("""COMPUTED_VALUE"""),"Ghana")</f>
        <v>Ghana</v>
      </c>
      <c r="C90" s="3">
        <f>IFERROR(__xludf.DUMMYFUNCTION("""COMPUTED_VALUE"""),0.0)</f>
        <v>0</v>
      </c>
      <c r="D90" s="3">
        <f>IFERROR(__xludf.DUMMYFUNCTION("""COMPUTED_VALUE"""),0.0)</f>
        <v>0</v>
      </c>
      <c r="E90" s="3">
        <f>IFERROR(__xludf.DUMMYFUNCTION("""COMPUTED_VALUE"""),1.0)</f>
        <v>1</v>
      </c>
      <c r="F90" s="3" t="str">
        <f>IFERROR(__xludf.DUMMYFUNCTION("""COMPUTED_VALUE"""),"*1*")</f>
        <v>*1*</v>
      </c>
    </row>
    <row r="91">
      <c r="A91" s="3"/>
      <c r="B91" s="3" t="str">
        <f>IFERROR(__xludf.DUMMYFUNCTION("""COMPUTED_VALUE"""),"Grenade")</f>
        <v>Grenade</v>
      </c>
      <c r="C91" s="3">
        <f>IFERROR(__xludf.DUMMYFUNCTION("""COMPUTED_VALUE"""),0.0)</f>
        <v>0</v>
      </c>
      <c r="D91" s="3">
        <f>IFERROR(__xludf.DUMMYFUNCTION("""COMPUTED_VALUE"""),0.0)</f>
        <v>0</v>
      </c>
      <c r="E91" s="3">
        <f>IFERROR(__xludf.DUMMYFUNCTION("""COMPUTED_VALUE"""),1.0)</f>
        <v>1</v>
      </c>
      <c r="F91" s="3" t="str">
        <f>IFERROR(__xludf.DUMMYFUNCTION("""COMPUTED_VALUE"""),"*1*")</f>
        <v>*1*</v>
      </c>
    </row>
    <row r="92">
      <c r="A92" s="3"/>
      <c r="B92" s="3" t="str">
        <f>IFERROR(__xludf.DUMMYFUNCTION("""COMPUTED_VALUE"""),"Koweït")</f>
        <v>Koweït</v>
      </c>
      <c r="C92" s="3">
        <f>IFERROR(__xludf.DUMMYFUNCTION("""COMPUTED_VALUE"""),0.0)</f>
        <v>0</v>
      </c>
      <c r="D92" s="3">
        <f>IFERROR(__xludf.DUMMYFUNCTION("""COMPUTED_VALUE"""),0.0)</f>
        <v>0</v>
      </c>
      <c r="E92" s="3">
        <f>IFERROR(__xludf.DUMMYFUNCTION("""COMPUTED_VALUE"""),1.0)</f>
        <v>1</v>
      </c>
      <c r="F92" s="3" t="str">
        <f>IFERROR(__xludf.DUMMYFUNCTION("""COMPUTED_VALUE"""),"*1*")</f>
        <v>*1*</v>
      </c>
    </row>
    <row r="93">
      <c r="A93" s="3"/>
      <c r="B93" s="3" t="str">
        <f>IFERROR(__xludf.DUMMYFUNCTION("""COMPUTED_VALUE"""),"Moldavie")</f>
        <v>Moldavie</v>
      </c>
      <c r="C93" s="3">
        <f>IFERROR(__xludf.DUMMYFUNCTION("""COMPUTED_VALUE"""),0.0)</f>
        <v>0</v>
      </c>
      <c r="D93" s="3">
        <f>IFERROR(__xludf.DUMMYFUNCTION("""COMPUTED_VALUE"""),0.0)</f>
        <v>0</v>
      </c>
      <c r="E93" s="3">
        <f>IFERROR(__xludf.DUMMYFUNCTION("""COMPUTED_VALUE"""),1.0)</f>
        <v>1</v>
      </c>
      <c r="F93" s="3" t="str">
        <f>IFERROR(__xludf.DUMMYFUNCTION("""COMPUTED_VALUE"""),"*1*")</f>
        <v>*1*</v>
      </c>
    </row>
    <row r="94">
      <c r="A94" s="3"/>
      <c r="B94" s="3" t="str">
        <f>IFERROR(__xludf.DUMMYFUNCTION("""COMPUTED_VALUE"""),"Syrie")</f>
        <v>Syrie</v>
      </c>
      <c r="C94" s="3">
        <f>IFERROR(__xludf.DUMMYFUNCTION("""COMPUTED_VALUE"""),0.0)</f>
        <v>0</v>
      </c>
      <c r="D94" s="3">
        <f>IFERROR(__xludf.DUMMYFUNCTION("""COMPUTED_VALUE"""),0.0)</f>
        <v>0</v>
      </c>
      <c r="E94" s="3">
        <f>IFERROR(__xludf.DUMMYFUNCTION("""COMPUTED_VALUE"""),1.0)</f>
        <v>1</v>
      </c>
      <c r="F94" s="3" t="str">
        <f>IFERROR(__xludf.DUMMYFUNCTION("""COMPUTED_VALUE"""),"*1*")</f>
        <v>*1*</v>
      </c>
    </row>
    <row r="95">
      <c r="A95" s="3"/>
      <c r="B95" s="3" t="str">
        <f>IFERROR(__xludf.DUMMYFUNCTION("""COMPUTED_VALUE"""),"*Total*")</f>
        <v>*Total*</v>
      </c>
      <c r="C95" s="3" t="str">
        <f>IFERROR(__xludf.DUMMYFUNCTION("""COMPUTED_VALUE"""),"*340*")</f>
        <v>*340*</v>
      </c>
      <c r="D95" s="3" t="str">
        <f>IFERROR(__xludf.DUMMYFUNCTION("""COMPUTED_VALUE"""),"*338*")</f>
        <v>*338*</v>
      </c>
      <c r="E95" s="3" t="str">
        <f>IFERROR(__xludf.DUMMYFUNCTION("""COMPUTED_VALUE"""),"*402*")</f>
        <v>*402*</v>
      </c>
      <c r="F95" s="3" t="str">
        <f>IFERROR(__xludf.DUMMYFUNCTION("""COMPUTED_VALUE"""),"*1080*")</f>
        <v>*1080*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63"/>
    <col customWidth="1" min="4" max="4" width="20.63"/>
  </cols>
  <sheetData>
    <row r="1">
      <c r="A1" s="11" t="str">
        <f>IFERROR(__xludf.DUMMYFUNCTION(" IMPORTHTML (""https://fr.wikipedia.org/wiki/Liste_des_plus_gros_succès_du_box-office_mondial"", ""table"")"),"Rang")</f>
        <v>Rang</v>
      </c>
      <c r="B1" s="3" t="str">
        <f>IFERROR(__xludf.DUMMYFUNCTION("""COMPUTED_VALUE"""),"Meilleur
rang")</f>
        <v>Meilleur
rang</v>
      </c>
      <c r="C1" s="3" t="str">
        <f>IFERROR(__xludf.DUMMYFUNCTION("""COMPUTED_VALUE"""),"Titre")</f>
        <v>Titre</v>
      </c>
      <c r="D1" s="3" t="str">
        <f>IFERROR(__xludf.DUMMYFUNCTION("""COMPUTED_VALUE"""),"Réalisateur")</f>
        <v>Réalisateur</v>
      </c>
      <c r="E1" s="3" t="str">
        <f>IFERROR(__xludf.DUMMYFUNCTION("""COMPUTED_VALUE"""),"Année")</f>
        <v>Année</v>
      </c>
      <c r="F1" s="3" t="str">
        <f>IFERROR(__xludf.DUMMYFUNCTION("""COMPUTED_VALUE"""),"Pays de
production")</f>
        <v>Pays de
production</v>
      </c>
      <c r="G1" s="3" t="str">
        <f>IFERROR(__xludf.DUMMYFUNCTION("""COMPUTED_VALUE"""),"Recettes")</f>
        <v>Recettes</v>
      </c>
    </row>
    <row r="2">
      <c r="A2" s="3">
        <f>IFERROR(__xludf.DUMMYFUNCTION("""COMPUTED_VALUE"""),1.0)</f>
        <v>1</v>
      </c>
      <c r="B2" s="3">
        <f>IFERROR(__xludf.DUMMYFUNCTION("""COMPUTED_VALUE"""),1.0)</f>
        <v>1</v>
      </c>
      <c r="C2" s="3" t="str">
        <f>IFERROR(__xludf.DUMMYFUNCTION("""COMPUTED_VALUE"""),"*Avatar*")</f>
        <v>*Avatar*</v>
      </c>
      <c r="D2" s="3" t="str">
        <f>IFERROR(__xludf.DUMMYFUNCTION("""COMPUTED_VALUE"""),"James Cameron")</f>
        <v>James Cameron</v>
      </c>
      <c r="E2" s="3">
        <f>IFERROR(__xludf.DUMMYFUNCTION("""COMPUTED_VALUE"""),2009.0)</f>
        <v>2009</v>
      </c>
      <c r="F2" s="3" t="str">
        <f>IFERROR(__xludf.DUMMYFUNCTION("""COMPUTED_VALUE"""),"États-Unis")</f>
        <v>États-Unis</v>
      </c>
      <c r="G2" s="3" t="str">
        <f>IFERROR(__xludf.DUMMYFUNCTION("""COMPUTED_VALUE"""),"2 923 710 708 $[a 2]")</f>
        <v>2 923 710 708 $[a 2]</v>
      </c>
    </row>
    <row r="3">
      <c r="A3" s="3">
        <f>IFERROR(__xludf.DUMMYFUNCTION("""COMPUTED_VALUE"""),2.0)</f>
        <v>2</v>
      </c>
      <c r="B3" s="3">
        <f>IFERROR(__xludf.DUMMYFUNCTION("""COMPUTED_VALUE"""),1.0)</f>
        <v>1</v>
      </c>
      <c r="C3" s="3" t="str">
        <f>IFERROR(__xludf.DUMMYFUNCTION("""COMPUTED_VALUE"""),"*Avengers: Endgame*")</f>
        <v>*Avengers: Endgame*</v>
      </c>
      <c r="D3" s="3" t="str">
        <f>IFERROR(__xludf.DUMMYFUNCTION("""COMPUTED_VALUE"""),"Anthony et
Joe Russo")</f>
        <v>Anthony et
Joe Russo</v>
      </c>
      <c r="E3" s="3">
        <f>IFERROR(__xludf.DUMMYFUNCTION("""COMPUTED_VALUE"""),2019.0)</f>
        <v>2019</v>
      </c>
      <c r="F3" s="3" t="str">
        <f>IFERROR(__xludf.DUMMYFUNCTION("""COMPUTED_VALUE"""),"États-Unis")</f>
        <v>États-Unis</v>
      </c>
      <c r="G3" s="3" t="str">
        <f>IFERROR(__xludf.DUMMYFUNCTION("""COMPUTED_VALUE"""),"2 799 439 100 $[a 3]")</f>
        <v>2 799 439 100 $[a 3]</v>
      </c>
    </row>
    <row r="4">
      <c r="A4" s="3">
        <f>IFERROR(__xludf.DUMMYFUNCTION("""COMPUTED_VALUE"""),3.0)</f>
        <v>3</v>
      </c>
      <c r="B4" s="3">
        <f>IFERROR(__xludf.DUMMYFUNCTION("""COMPUTED_VALUE"""),3.0)</f>
        <v>3</v>
      </c>
      <c r="C4" s="3" t="str">
        <f>IFERROR(__xludf.DUMMYFUNCTION("""COMPUTED_VALUE"""),"*Avatar : La Voie de l'eau*")</f>
        <v>*Avatar : La Voie de l'eau*</v>
      </c>
      <c r="D4" s="3" t="str">
        <f>IFERROR(__xludf.DUMMYFUNCTION("""COMPUTED_VALUE"""),"James Cameron")</f>
        <v>James Cameron</v>
      </c>
      <c r="E4" s="3">
        <f>IFERROR(__xludf.DUMMYFUNCTION("""COMPUTED_VALUE"""),2022.0)</f>
        <v>2022</v>
      </c>
      <c r="F4" s="3" t="str">
        <f>IFERROR(__xludf.DUMMYFUNCTION("""COMPUTED_VALUE"""),"États-Unis")</f>
        <v>États-Unis</v>
      </c>
      <c r="G4" s="3" t="str">
        <f>IFERROR(__xludf.DUMMYFUNCTION("""COMPUTED_VALUE"""),"2 334 484 620 $[a 4]")</f>
        <v>2 334 484 620 $[a 4]</v>
      </c>
    </row>
    <row r="5">
      <c r="A5" s="3">
        <f>IFERROR(__xludf.DUMMYFUNCTION("""COMPUTED_VALUE"""),4.0)</f>
        <v>4</v>
      </c>
      <c r="B5" s="3">
        <f>IFERROR(__xludf.DUMMYFUNCTION("""COMPUTED_VALUE"""),1.0)</f>
        <v>1</v>
      </c>
      <c r="C5" s="3" t="str">
        <f>IFERROR(__xludf.DUMMYFUNCTION("""COMPUTED_VALUE"""),"*Titanic*")</f>
        <v>*Titanic*</v>
      </c>
      <c r="D5" s="3" t="str">
        <f>IFERROR(__xludf.DUMMYFUNCTION("""COMPUTED_VALUE"""),"James Cameron")</f>
        <v>James Cameron</v>
      </c>
      <c r="E5" s="3">
        <f>IFERROR(__xludf.DUMMYFUNCTION("""COMPUTED_VALUE"""),1997.0)</f>
        <v>1997</v>
      </c>
      <c r="F5" s="3" t="str">
        <f>IFERROR(__xludf.DUMMYFUNCTION("""COMPUTED_VALUE"""),"États-Unis")</f>
        <v>États-Unis</v>
      </c>
      <c r="G5" s="3" t="str">
        <f>IFERROR(__xludf.DUMMYFUNCTION("""COMPUTED_VALUE"""),"2 264 812 968 $[a 5]")</f>
        <v>2 264 812 968 $[a 5]</v>
      </c>
    </row>
    <row r="6">
      <c r="A6" s="3">
        <f>IFERROR(__xludf.DUMMYFUNCTION("""COMPUTED_VALUE"""),5.0)</f>
        <v>5</v>
      </c>
      <c r="B6" s="3">
        <f>IFERROR(__xludf.DUMMYFUNCTION("""COMPUTED_VALUE"""),5.0)</f>
        <v>5</v>
      </c>
      <c r="C6" s="3" t="str">
        <f>IFERROR(__xludf.DUMMYFUNCTION("""COMPUTED_VALUE"""),"*Ne Zha 2*")</f>
        <v>*Ne Zha 2*</v>
      </c>
      <c r="D6" s="3" t="str">
        <f>IFERROR(__xludf.DUMMYFUNCTION("""COMPUTED_VALUE"""),"Jiaozi (en)")</f>
        <v>Jiaozi (en)</v>
      </c>
      <c r="E6" s="3">
        <f>IFERROR(__xludf.DUMMYFUNCTION("""COMPUTED_VALUE"""),2025.0)</f>
        <v>2025</v>
      </c>
      <c r="F6" s="3" t="str">
        <f>IFERROR(__xludf.DUMMYFUNCTION("""COMPUTED_VALUE"""),"Chine")</f>
        <v>Chine</v>
      </c>
      <c r="G6" s="3" t="str">
        <f>IFERROR(__xludf.DUMMYFUNCTION("""COMPUTED_VALUE"""),"2 259 822 417 $[a 6]")</f>
        <v>2 259 822 417 $[a 6]</v>
      </c>
    </row>
    <row r="7">
      <c r="A7" s="3">
        <f>IFERROR(__xludf.DUMMYFUNCTION("""COMPUTED_VALUE"""),6.0)</f>
        <v>6</v>
      </c>
      <c r="B7" s="3">
        <f>IFERROR(__xludf.DUMMYFUNCTION("""COMPUTED_VALUE"""),3.0)</f>
        <v>3</v>
      </c>
      <c r="C7" s="3" t="str">
        <f>IFERROR(__xludf.DUMMYFUNCTION("""COMPUTED_VALUE"""),"*Star Wars, épisode VII : Le Réveil de la Force*")</f>
        <v>*Star Wars, épisode VII : Le Réveil de la Force*</v>
      </c>
      <c r="D7" s="3" t="str">
        <f>IFERROR(__xludf.DUMMYFUNCTION("""COMPUTED_VALUE"""),"J. J. Abrams")</f>
        <v>J. J. Abrams</v>
      </c>
      <c r="E7" s="3">
        <f>IFERROR(__xludf.DUMMYFUNCTION("""COMPUTED_VALUE"""),2015.0)</f>
        <v>2015</v>
      </c>
      <c r="F7" s="3" t="str">
        <f>IFERROR(__xludf.DUMMYFUNCTION("""COMPUTED_VALUE"""),"États-Unis")</f>
        <v>États-Unis</v>
      </c>
      <c r="G7" s="3" t="str">
        <f>IFERROR(__xludf.DUMMYFUNCTION("""COMPUTED_VALUE"""),"2 071 310 218 $[a 7]")</f>
        <v>2 071 310 218 $[a 7]</v>
      </c>
    </row>
    <row r="8">
      <c r="A8" s="3">
        <f>IFERROR(__xludf.DUMMYFUNCTION("""COMPUTED_VALUE"""),7.0)</f>
        <v>7</v>
      </c>
      <c r="B8" s="3">
        <f>IFERROR(__xludf.DUMMYFUNCTION("""COMPUTED_VALUE"""),4.0)</f>
        <v>4</v>
      </c>
      <c r="C8" s="3" t="str">
        <f>IFERROR(__xludf.DUMMYFUNCTION("""COMPUTED_VALUE"""),"*Avengers: Infinity War*")</f>
        <v>*Avengers: Infinity War*</v>
      </c>
      <c r="D8" s="3" t="str">
        <f>IFERROR(__xludf.DUMMYFUNCTION("""COMPUTED_VALUE"""),"Anthony et
Joe Russo")</f>
        <v>Anthony et
Joe Russo</v>
      </c>
      <c r="E8" s="3">
        <f>IFERROR(__xludf.DUMMYFUNCTION("""COMPUTED_VALUE"""),2018.0)</f>
        <v>2018</v>
      </c>
      <c r="F8" s="3" t="str">
        <f>IFERROR(__xludf.DUMMYFUNCTION("""COMPUTED_VALUE"""),"États-Unis")</f>
        <v>États-Unis</v>
      </c>
      <c r="G8" s="3" t="str">
        <f>IFERROR(__xludf.DUMMYFUNCTION("""COMPUTED_VALUE"""),"2 052 415 039 $[a 8]")</f>
        <v>2 052 415 039 $[a 8]</v>
      </c>
    </row>
    <row r="9">
      <c r="A9" s="3">
        <f>IFERROR(__xludf.DUMMYFUNCTION("""COMPUTED_VALUE"""),8.0)</f>
        <v>8</v>
      </c>
      <c r="B9" s="3">
        <f>IFERROR(__xludf.DUMMYFUNCTION("""COMPUTED_VALUE"""),6.0)</f>
        <v>6</v>
      </c>
      <c r="C9" s="3" t="str">
        <f>IFERROR(__xludf.DUMMYFUNCTION("""COMPUTED_VALUE"""),"*Spider-Man: No Way Home*")</f>
        <v>*Spider-Man: No Way Home*</v>
      </c>
      <c r="D9" s="3" t="str">
        <f>IFERROR(__xludf.DUMMYFUNCTION("""COMPUTED_VALUE"""),"Jon Watts")</f>
        <v>Jon Watts</v>
      </c>
      <c r="E9" s="3">
        <f>IFERROR(__xludf.DUMMYFUNCTION("""COMPUTED_VALUE"""),2021.0)</f>
        <v>2021</v>
      </c>
      <c r="F9" s="3" t="str">
        <f>IFERROR(__xludf.DUMMYFUNCTION("""COMPUTED_VALUE"""),"États-Unis")</f>
        <v>États-Unis</v>
      </c>
      <c r="G9" s="3" t="str">
        <f>IFERROR(__xludf.DUMMYFUNCTION("""COMPUTED_VALUE"""),"1 921 426 073 $[a 9]")</f>
        <v>1 921 426 073 $[a 9]</v>
      </c>
    </row>
    <row r="10">
      <c r="A10" s="3">
        <f>IFERROR(__xludf.DUMMYFUNCTION("""COMPUTED_VALUE"""),9.0)</f>
        <v>9</v>
      </c>
      <c r="B10" s="3">
        <f>IFERROR(__xludf.DUMMYFUNCTION("""COMPUTED_VALUE"""),9.0)</f>
        <v>9</v>
      </c>
      <c r="C10" s="3" t="str">
        <f>IFERROR(__xludf.DUMMYFUNCTION("""COMPUTED_VALUE"""),"*Zootopie 2*")</f>
        <v>*Zootopie 2*</v>
      </c>
      <c r="D10" s="3" t="str">
        <f>IFERROR(__xludf.DUMMYFUNCTION("""COMPUTED_VALUE"""),"Jared Bush")</f>
        <v>Jared Bush</v>
      </c>
      <c r="E10" s="3">
        <f>IFERROR(__xludf.DUMMYFUNCTION("""COMPUTED_VALUE"""),2025.0)</f>
        <v>2025</v>
      </c>
      <c r="F10" s="3" t="str">
        <f>IFERROR(__xludf.DUMMYFUNCTION("""COMPUTED_VALUE"""),"États-Unis")</f>
        <v>États-Unis</v>
      </c>
      <c r="G10" s="3" t="str">
        <f>IFERROR(__xludf.DUMMYFUNCTION("""COMPUTED_VALUE"""),"1 778 456 393 $[a 10]")</f>
        <v>1 778 456 393 $[a 10]</v>
      </c>
    </row>
    <row r="11">
      <c r="A11" s="3">
        <f>IFERROR(__xludf.DUMMYFUNCTION("""COMPUTED_VALUE"""),10.0)</f>
        <v>10</v>
      </c>
      <c r="B11" s="3">
        <f>IFERROR(__xludf.DUMMYFUNCTION("""COMPUTED_VALUE"""),8.0)</f>
        <v>8</v>
      </c>
      <c r="C11" s="3" t="str">
        <f>IFERROR(__xludf.DUMMYFUNCTION("""COMPUTED_VALUE"""),"*Vice-versa 2*")</f>
        <v>*Vice-versa 2*</v>
      </c>
      <c r="D11" s="3" t="str">
        <f>IFERROR(__xludf.DUMMYFUNCTION("""COMPUTED_VALUE"""),"Kelsey Mann")</f>
        <v>Kelsey Mann</v>
      </c>
      <c r="E11" s="3">
        <f>IFERROR(__xludf.DUMMYFUNCTION("""COMPUTED_VALUE"""),2024.0)</f>
        <v>2024</v>
      </c>
      <c r="F11" s="3" t="str">
        <f>IFERROR(__xludf.DUMMYFUNCTION("""COMPUTED_VALUE"""),"États-Unis")</f>
        <v>États-Unis</v>
      </c>
      <c r="G11" s="3" t="str">
        <f>IFERROR(__xludf.DUMMYFUNCTION("""COMPUTED_VALUE"""),"1 698 863 816 $[a 11]")</f>
        <v>1 698 863 816 $[a 11]</v>
      </c>
    </row>
    <row r="12">
      <c r="A12" s="3">
        <f>IFERROR(__xludf.DUMMYFUNCTION("""COMPUTED_VALUE"""),11.0)</f>
        <v>11</v>
      </c>
      <c r="B12" s="3">
        <f>IFERROR(__xludf.DUMMYFUNCTION("""COMPUTED_VALUE"""),3.0)</f>
        <v>3</v>
      </c>
      <c r="C12" s="3" t="str">
        <f>IFERROR(__xludf.DUMMYFUNCTION("""COMPUTED_VALUE"""),"*Jurassic World*")</f>
        <v>*Jurassic World*</v>
      </c>
      <c r="D12" s="3" t="str">
        <f>IFERROR(__xludf.DUMMYFUNCTION("""COMPUTED_VALUE"""),"Colin Trevorrow")</f>
        <v>Colin Trevorrow</v>
      </c>
      <c r="E12" s="3">
        <f>IFERROR(__xludf.DUMMYFUNCTION("""COMPUTED_VALUE"""),2015.0)</f>
        <v>2015</v>
      </c>
      <c r="F12" s="3" t="str">
        <f>IFERROR(__xludf.DUMMYFUNCTION("""COMPUTED_VALUE"""),"États-Unis")</f>
        <v>États-Unis</v>
      </c>
      <c r="G12" s="3" t="str">
        <f>IFERROR(__xludf.DUMMYFUNCTION("""COMPUTED_VALUE"""),"1 671 537 444 $[a 12]")</f>
        <v>1 671 537 444 $[a 12]</v>
      </c>
    </row>
    <row r="13">
      <c r="A13" s="3">
        <f>IFERROR(__xludf.DUMMYFUNCTION("""COMPUTED_VALUE"""),12.0)</f>
        <v>12</v>
      </c>
      <c r="B13" s="3">
        <f>IFERROR(__xludf.DUMMYFUNCTION("""COMPUTED_VALUE"""),7.0)</f>
        <v>7</v>
      </c>
      <c r="C13" s="3" t="str">
        <f>IFERROR(__xludf.DUMMYFUNCTION("""COMPUTED_VALUE"""),"*Le Roi lion*")</f>
        <v>*Le Roi lion*</v>
      </c>
      <c r="D13" s="3" t="str">
        <f>IFERROR(__xludf.DUMMYFUNCTION("""COMPUTED_VALUE"""),"Jon Favreau")</f>
        <v>Jon Favreau</v>
      </c>
      <c r="E13" s="3">
        <f>IFERROR(__xludf.DUMMYFUNCTION("""COMPUTED_VALUE"""),2019.0)</f>
        <v>2019</v>
      </c>
      <c r="F13" s="3" t="str">
        <f>IFERROR(__xludf.DUMMYFUNCTION("""COMPUTED_VALUE"""),"États-Unis")</f>
        <v>États-Unis</v>
      </c>
      <c r="G13" s="3" t="str">
        <f>IFERROR(__xludf.DUMMYFUNCTION("""COMPUTED_VALUE"""),"1 662 020 819 $[a 13]")</f>
        <v>1 662 020 819 $[a 13]</v>
      </c>
    </row>
    <row r="14">
      <c r="A14" s="3">
        <f>IFERROR(__xludf.DUMMYFUNCTION("""COMPUTED_VALUE"""),13.0)</f>
        <v>13</v>
      </c>
      <c r="B14" s="3">
        <f>IFERROR(__xludf.DUMMYFUNCTION("""COMPUTED_VALUE"""),3.0)</f>
        <v>3</v>
      </c>
      <c r="C14" s="3" t="str">
        <f>IFERROR(__xludf.DUMMYFUNCTION("""COMPUTED_VALUE"""),"*Avengers*")</f>
        <v>*Avengers*</v>
      </c>
      <c r="D14" s="3" t="str">
        <f>IFERROR(__xludf.DUMMYFUNCTION("""COMPUTED_VALUE"""),"Joss Whedon")</f>
        <v>Joss Whedon</v>
      </c>
      <c r="E14" s="3">
        <f>IFERROR(__xludf.DUMMYFUNCTION("""COMPUTED_VALUE"""),2012.0)</f>
        <v>2012</v>
      </c>
      <c r="F14" s="3" t="str">
        <f>IFERROR(__xludf.DUMMYFUNCTION("""COMPUTED_VALUE"""),"États-Unis")</f>
        <v>États-Unis</v>
      </c>
      <c r="G14" s="3" t="str">
        <f>IFERROR(__xludf.DUMMYFUNCTION("""COMPUTED_VALUE"""),"1 520 538 536 $[a 14]")</f>
        <v>1 520 538 536 $[a 14]</v>
      </c>
    </row>
    <row r="15">
      <c r="A15" s="3">
        <f>IFERROR(__xludf.DUMMYFUNCTION("""COMPUTED_VALUE"""),14.0)</f>
        <v>14</v>
      </c>
      <c r="B15" s="3">
        <f>IFERROR(__xludf.DUMMYFUNCTION("""COMPUTED_VALUE"""),4.0)</f>
        <v>4</v>
      </c>
      <c r="C15" s="3" t="str">
        <f>IFERROR(__xludf.DUMMYFUNCTION("""COMPUTED_VALUE"""),"*Fast and Furious 7*")</f>
        <v>*Fast and Furious 7*</v>
      </c>
      <c r="D15" s="3" t="str">
        <f>IFERROR(__xludf.DUMMYFUNCTION("""COMPUTED_VALUE"""),"James Wan")</f>
        <v>James Wan</v>
      </c>
      <c r="E15" s="3">
        <f>IFERROR(__xludf.DUMMYFUNCTION("""COMPUTED_VALUE"""),2015.0)</f>
        <v>2015</v>
      </c>
      <c r="F15" s="3" t="str">
        <f>IFERROR(__xludf.DUMMYFUNCTION("""COMPUTED_VALUE"""),"États-Unis")</f>
        <v>États-Unis</v>
      </c>
      <c r="G15" s="3" t="str">
        <f>IFERROR(__xludf.DUMMYFUNCTION("""COMPUTED_VALUE"""),"1 515 342 457 $[a 15]")</f>
        <v>1 515 342 457 $[a 15]</v>
      </c>
    </row>
    <row r="16">
      <c r="A16" s="3">
        <f>IFERROR(__xludf.DUMMYFUNCTION("""COMPUTED_VALUE"""),15.0)</f>
        <v>15</v>
      </c>
      <c r="B16" s="3">
        <f>IFERROR(__xludf.DUMMYFUNCTION("""COMPUTED_VALUE"""),11.0)</f>
        <v>11</v>
      </c>
      <c r="C16" s="3" t="str">
        <f>IFERROR(__xludf.DUMMYFUNCTION("""COMPUTED_VALUE"""),"*Top Gun: Maverick*")</f>
        <v>*Top Gun: Maverick*</v>
      </c>
      <c r="D16" s="3" t="str">
        <f>IFERROR(__xludf.DUMMYFUNCTION("""COMPUTED_VALUE"""),"Joseph Kosinski")</f>
        <v>Joseph Kosinski</v>
      </c>
      <c r="E16" s="3">
        <f>IFERROR(__xludf.DUMMYFUNCTION("""COMPUTED_VALUE"""),2022.0)</f>
        <v>2022</v>
      </c>
      <c r="F16" s="3" t="str">
        <f>IFERROR(__xludf.DUMMYFUNCTION("""COMPUTED_VALUE"""),"États-Unis")</f>
        <v>États-Unis</v>
      </c>
      <c r="G16" s="3" t="str">
        <f>IFERROR(__xludf.DUMMYFUNCTION("""COMPUTED_VALUE"""),"1 495 696 292 $[a 16]")</f>
        <v>1 495 696 292 $[a 16]</v>
      </c>
    </row>
    <row r="17">
      <c r="A17" s="3">
        <f>IFERROR(__xludf.DUMMYFUNCTION("""COMPUTED_VALUE"""),16.0)</f>
        <v>16</v>
      </c>
      <c r="B17" s="3">
        <f>IFERROR(__xludf.DUMMYFUNCTION("""COMPUTED_VALUE"""),10.0)</f>
        <v>10</v>
      </c>
      <c r="C17" s="3" t="str">
        <f>IFERROR(__xludf.DUMMYFUNCTION("""COMPUTED_VALUE"""),"*La Reine des neiges 2*")</f>
        <v>*La Reine des neiges 2*</v>
      </c>
      <c r="D17" s="3" t="str">
        <f>IFERROR(__xludf.DUMMYFUNCTION("""COMPUTED_VALUE"""),"Chris Buck
Jennifer Lee")</f>
        <v>Chris Buck
Jennifer Lee</v>
      </c>
      <c r="E17" s="3">
        <f>IFERROR(__xludf.DUMMYFUNCTION("""COMPUTED_VALUE"""),2019.0)</f>
        <v>2019</v>
      </c>
      <c r="F17" s="3" t="str">
        <f>IFERROR(__xludf.DUMMYFUNCTION("""COMPUTED_VALUE"""),"États-Unis")</f>
        <v>États-Unis</v>
      </c>
      <c r="G17" s="3" t="str">
        <f>IFERROR(__xludf.DUMMYFUNCTION("""COMPUTED_VALUE"""),"1 453 683 476 $[a 17]")</f>
        <v>1 453 683 476 $[a 17]</v>
      </c>
    </row>
    <row r="18">
      <c r="A18" s="3">
        <f>IFERROR(__xludf.DUMMYFUNCTION("""COMPUTED_VALUE"""),17.0)</f>
        <v>17</v>
      </c>
      <c r="B18" s="3">
        <f>IFERROR(__xludf.DUMMYFUNCTION("""COMPUTED_VALUE"""),14.0)</f>
        <v>14</v>
      </c>
      <c r="C18" s="3" t="str">
        <f>IFERROR(__xludf.DUMMYFUNCTION("""COMPUTED_VALUE"""),"*Barbie*")</f>
        <v>*Barbie*</v>
      </c>
      <c r="D18" s="3" t="str">
        <f>IFERROR(__xludf.DUMMYFUNCTION("""COMPUTED_VALUE"""),"Greta Gerwig")</f>
        <v>Greta Gerwig</v>
      </c>
      <c r="E18" s="3">
        <f>IFERROR(__xludf.DUMMYFUNCTION("""COMPUTED_VALUE"""),2023.0)</f>
        <v>2023</v>
      </c>
      <c r="F18" s="3" t="str">
        <f>IFERROR(__xludf.DUMMYFUNCTION("""COMPUTED_VALUE"""),"États-Unis
Royaume-Uni")</f>
        <v>États-Unis
Royaume-Uni</v>
      </c>
      <c r="G18" s="3" t="str">
        <f>IFERROR(__xludf.DUMMYFUNCTION("""COMPUTED_VALUE"""),"1 447 038 421 $[a 18]")</f>
        <v>1 447 038 421 $[a 18]</v>
      </c>
    </row>
    <row r="19">
      <c r="A19" s="3">
        <f>IFERROR(__xludf.DUMMYFUNCTION("""COMPUTED_VALUE"""),18.0)</f>
        <v>18</v>
      </c>
      <c r="B19" s="3">
        <f>IFERROR(__xludf.DUMMYFUNCTION("""COMPUTED_VALUE"""),18.0)</f>
        <v>18</v>
      </c>
      <c r="C19" s="3" t="str">
        <f>IFERROR(__xludf.DUMMYFUNCTION("""COMPUTED_VALUE"""),"*Avatar : De feu et de cendres*")</f>
        <v>*Avatar : De feu et de cendres*</v>
      </c>
      <c r="D19" s="3" t="str">
        <f>IFERROR(__xludf.DUMMYFUNCTION("""COMPUTED_VALUE"""),"James Cameron")</f>
        <v>James Cameron</v>
      </c>
      <c r="E19" s="3">
        <f>IFERROR(__xludf.DUMMYFUNCTION("""COMPUTED_VALUE"""),2025.0)</f>
        <v>2025</v>
      </c>
      <c r="F19" s="3" t="str">
        <f>IFERROR(__xludf.DUMMYFUNCTION("""COMPUTED_VALUE"""),"États-Unis")</f>
        <v>États-Unis</v>
      </c>
      <c r="G19" s="3" t="str">
        <f>IFERROR(__xludf.DUMMYFUNCTION("""COMPUTED_VALUE"""),"1 415 774 001 $[a 19]")</f>
        <v>1 415 774 001 $[a 19]</v>
      </c>
    </row>
    <row r="20">
      <c r="A20" s="3">
        <f>IFERROR(__xludf.DUMMYFUNCTION("""COMPUTED_VALUE"""),19.0)</f>
        <v>19</v>
      </c>
      <c r="B20" s="3">
        <f>IFERROR(__xludf.DUMMYFUNCTION("""COMPUTED_VALUE"""),5.0)</f>
        <v>5</v>
      </c>
      <c r="C20" s="3" t="str">
        <f>IFERROR(__xludf.DUMMYFUNCTION("""COMPUTED_VALUE"""),"*Avengers : L'Ère d'Ultron*")</f>
        <v>*Avengers : L'Ère d'Ultron*</v>
      </c>
      <c r="D20" s="3" t="str">
        <f>IFERROR(__xludf.DUMMYFUNCTION("""COMPUTED_VALUE"""),"Joss Whedon")</f>
        <v>Joss Whedon</v>
      </c>
      <c r="E20" s="3">
        <f>IFERROR(__xludf.DUMMYFUNCTION("""COMPUTED_VALUE"""),2015.0)</f>
        <v>2015</v>
      </c>
      <c r="F20" s="3" t="str">
        <f>IFERROR(__xludf.DUMMYFUNCTION("""COMPUTED_VALUE"""),"États-Unis")</f>
        <v>États-Unis</v>
      </c>
      <c r="G20" s="3" t="str">
        <f>IFERROR(__xludf.DUMMYFUNCTION("""COMPUTED_VALUE"""),"1 405 018 048 $[a 20]")</f>
        <v>1 405 018 048 $[a 20]</v>
      </c>
    </row>
    <row r="21">
      <c r="A21" s="3">
        <f>IFERROR(__xludf.DUMMYFUNCTION("""COMPUTED_VALUE"""),20.0)</f>
        <v>20</v>
      </c>
      <c r="B21" s="3">
        <f>IFERROR(__xludf.DUMMYFUNCTION("""COMPUTED_VALUE"""),15.0)</f>
        <v>15</v>
      </c>
      <c r="C21" s="3" t="str">
        <f>IFERROR(__xludf.DUMMYFUNCTION("""COMPUTED_VALUE"""),"*Super Mario Bros. le film*")</f>
        <v>*Super Mario Bros. le film*</v>
      </c>
      <c r="D21" s="3" t="str">
        <f>IFERROR(__xludf.DUMMYFUNCTION("""COMPUTED_VALUE"""),"Aaron Horvath
Michael Jelenic (en)")</f>
        <v>Aaron Horvath
Michael Jelenic (en)</v>
      </c>
      <c r="E21" s="3">
        <f>IFERROR(__xludf.DUMMYFUNCTION("""COMPUTED_VALUE"""),2023.0)</f>
        <v>2023</v>
      </c>
      <c r="F21" s="3" t="str">
        <f>IFERROR(__xludf.DUMMYFUNCTION("""COMPUTED_VALUE"""),"États-Unis
Japon")</f>
        <v>États-Unis
Japon</v>
      </c>
      <c r="G21" s="3" t="str">
        <f>IFERROR(__xludf.DUMMYFUNCTION("""COMPUTED_VALUE"""),"1 360 879 735 $[a 21]")</f>
        <v>1 360 879 735 $[a 21]</v>
      </c>
    </row>
    <row r="22">
      <c r="A22" s="3">
        <f>IFERROR(__xludf.DUMMYFUNCTION("""COMPUTED_VALUE"""),21.0)</f>
        <v>21</v>
      </c>
      <c r="B22" s="3">
        <f>IFERROR(__xludf.DUMMYFUNCTION("""COMPUTED_VALUE"""),9.0)</f>
        <v>9</v>
      </c>
      <c r="C22" s="3" t="str">
        <f>IFERROR(__xludf.DUMMYFUNCTION("""COMPUTED_VALUE"""),"*Black Panther*")</f>
        <v>*Black Panther*</v>
      </c>
      <c r="D22" s="3" t="str">
        <f>IFERROR(__xludf.DUMMYFUNCTION("""COMPUTED_VALUE"""),"Ryan Coogler")</f>
        <v>Ryan Coogler</v>
      </c>
      <c r="E22" s="3">
        <f>IFERROR(__xludf.DUMMYFUNCTION("""COMPUTED_VALUE"""),2018.0)</f>
        <v>2018</v>
      </c>
      <c r="F22" s="3" t="str">
        <f>IFERROR(__xludf.DUMMYFUNCTION("""COMPUTED_VALUE"""),"États-Unis")</f>
        <v>États-Unis</v>
      </c>
      <c r="G22" s="3" t="str">
        <f>IFERROR(__xludf.DUMMYFUNCTION("""COMPUTED_VALUE"""),"1 349 926 083 $[a 22]")</f>
        <v>1 349 926 083 $[a 22]</v>
      </c>
    </row>
    <row r="23">
      <c r="A23" s="3">
        <f>IFERROR(__xludf.DUMMYFUNCTION("""COMPUTED_VALUE"""),22.0)</f>
        <v>22</v>
      </c>
      <c r="B23" s="3">
        <f>IFERROR(__xludf.DUMMYFUNCTION("""COMPUTED_VALUE"""),3.0)</f>
        <v>3</v>
      </c>
      <c r="C23" s="3" t="str">
        <f>IFERROR(__xludf.DUMMYFUNCTION("""COMPUTED_VALUE"""),"*Harry Potter et les Reliques de la Mort : Partie 2*")</f>
        <v>*Harry Potter et les Reliques de la Mort : Partie 2*</v>
      </c>
      <c r="D23" s="3" t="str">
        <f>IFERROR(__xludf.DUMMYFUNCTION("""COMPUTED_VALUE"""),"David Yates")</f>
        <v>David Yates</v>
      </c>
      <c r="E23" s="3">
        <f>IFERROR(__xludf.DUMMYFUNCTION("""COMPUTED_VALUE"""),2011.0)</f>
        <v>2011</v>
      </c>
      <c r="F23" s="3" t="str">
        <f>IFERROR(__xludf.DUMMYFUNCTION("""COMPUTED_VALUE"""),"États-Unis
Royaume-Uni")</f>
        <v>États-Unis
Royaume-Uni</v>
      </c>
      <c r="G23" s="3" t="str">
        <f>IFERROR(__xludf.DUMMYFUNCTION("""COMPUTED_VALUE"""),"1 342 505 340 $[a 23]")</f>
        <v>1 342 505 340 $[a 23]</v>
      </c>
    </row>
    <row r="24">
      <c r="A24" s="3">
        <f>IFERROR(__xludf.DUMMYFUNCTION("""COMPUTED_VALUE"""),23.0)</f>
        <v>23</v>
      </c>
      <c r="B24" s="3">
        <f>IFERROR(__xludf.DUMMYFUNCTION("""COMPUTED_VALUE"""),20.0)</f>
        <v>20</v>
      </c>
      <c r="C24" s="3" t="str">
        <f>IFERROR(__xludf.DUMMYFUNCTION("""COMPUTED_VALUE"""),"*Deadpool et Wolverine*")</f>
        <v>*Deadpool et Wolverine*</v>
      </c>
      <c r="D24" s="3" t="str">
        <f>IFERROR(__xludf.DUMMYFUNCTION("""COMPUTED_VALUE"""),"Shawn Levy")</f>
        <v>Shawn Levy</v>
      </c>
      <c r="E24" s="3">
        <f>IFERROR(__xludf.DUMMYFUNCTION("""COMPUTED_VALUE"""),2024.0)</f>
        <v>2024</v>
      </c>
      <c r="F24" s="3" t="str">
        <f>IFERROR(__xludf.DUMMYFUNCTION("""COMPUTED_VALUE"""),"États-Unis")</f>
        <v>États-Unis</v>
      </c>
      <c r="G24" s="3" t="str">
        <f>IFERROR(__xludf.DUMMYFUNCTION("""COMPUTED_VALUE"""),"1 338 073 645 $[a 24]")</f>
        <v>1 338 073 645 $[a 24]</v>
      </c>
    </row>
    <row r="25">
      <c r="A25" s="3">
        <f>IFERROR(__xludf.DUMMYFUNCTION("""COMPUTED_VALUE"""),24.0)</f>
        <v>24</v>
      </c>
      <c r="B25" s="3">
        <f>IFERROR(__xludf.DUMMYFUNCTION("""COMPUTED_VALUE"""),9.0)</f>
        <v>9</v>
      </c>
      <c r="C25" s="3" t="str">
        <f>IFERROR(__xludf.DUMMYFUNCTION("""COMPUTED_VALUE"""),"*Star Wars, épisode VIII : Les Derniers Jedi*")</f>
        <v>*Star Wars, épisode VIII : Les Derniers Jedi*</v>
      </c>
      <c r="D25" s="3" t="str">
        <f>IFERROR(__xludf.DUMMYFUNCTION("""COMPUTED_VALUE"""),"Rian Johnson")</f>
        <v>Rian Johnson</v>
      </c>
      <c r="E25" s="3">
        <f>IFERROR(__xludf.DUMMYFUNCTION("""COMPUTED_VALUE"""),2017.0)</f>
        <v>2017</v>
      </c>
      <c r="F25" s="3" t="str">
        <f>IFERROR(__xludf.DUMMYFUNCTION("""COMPUTED_VALUE"""),"États-Unis")</f>
        <v>États-Unis</v>
      </c>
      <c r="G25" s="3" t="str">
        <f>IFERROR(__xludf.DUMMYFUNCTION("""COMPUTED_VALUE"""),"1 334 407 706 $[a 25]")</f>
        <v>1 334 407 706 $[a 25]</v>
      </c>
    </row>
    <row r="26">
      <c r="A26" s="3">
        <f>IFERROR(__xludf.DUMMYFUNCTION("""COMPUTED_VALUE"""),25.0)</f>
        <v>25</v>
      </c>
      <c r="B26" s="3">
        <f>IFERROR(__xludf.DUMMYFUNCTION("""COMPUTED_VALUE"""),5.0)</f>
        <v>5</v>
      </c>
      <c r="C26" s="3" t="str">
        <f>IFERROR(__xludf.DUMMYFUNCTION("""COMPUTED_VALUE"""),"*La Reine des neiges*")</f>
        <v>*La Reine des neiges*</v>
      </c>
      <c r="D26" s="3" t="str">
        <f>IFERROR(__xludf.DUMMYFUNCTION("""COMPUTED_VALUE"""),"Chris Buck
Jennifer Lee")</f>
        <v>Chris Buck
Jennifer Lee</v>
      </c>
      <c r="E26" s="3">
        <f>IFERROR(__xludf.DUMMYFUNCTION("""COMPUTED_VALUE"""),2013.0)</f>
        <v>2013</v>
      </c>
      <c r="F26" s="3" t="str">
        <f>IFERROR(__xludf.DUMMYFUNCTION("""COMPUTED_VALUE"""),"États-Unis")</f>
        <v>États-Unis</v>
      </c>
      <c r="G26" s="3" t="str">
        <f>IFERROR(__xludf.DUMMYFUNCTION("""COMPUTED_VALUE"""),"1 310 530 830 $[a 26]")</f>
        <v>1 310 530 830 $[a 26]</v>
      </c>
    </row>
    <row r="27">
      <c r="A27" s="3">
        <f>IFERROR(__xludf.DUMMYFUNCTION("""COMPUTED_VALUE"""),26.0)</f>
        <v>26</v>
      </c>
      <c r="B27" s="3">
        <f>IFERROR(__xludf.DUMMYFUNCTION("""COMPUTED_VALUE"""),12.0)</f>
        <v>12</v>
      </c>
      <c r="C27" s="3" t="str">
        <f>IFERROR(__xludf.DUMMYFUNCTION("""COMPUTED_VALUE"""),"*Jurassic World: Fallen Kingdom*")</f>
        <v>*Jurassic World: Fallen Kingdom*</v>
      </c>
      <c r="D27" s="3" t="str">
        <f>IFERROR(__xludf.DUMMYFUNCTION("""COMPUTED_VALUE"""),"J.A. Bayona")</f>
        <v>J.A. Bayona</v>
      </c>
      <c r="E27" s="3">
        <f>IFERROR(__xludf.DUMMYFUNCTION("""COMPUTED_VALUE"""),2018.0)</f>
        <v>2018</v>
      </c>
      <c r="F27" s="3" t="str">
        <f>IFERROR(__xludf.DUMMYFUNCTION("""COMPUTED_VALUE"""),"États-Unis")</f>
        <v>États-Unis</v>
      </c>
      <c r="G27" s="3" t="str">
        <f>IFERROR(__xludf.DUMMYFUNCTION("""COMPUTED_VALUE"""),"1 308 566 455 $[a 27]")</f>
        <v>1 308 566 455 $[a 27]</v>
      </c>
    </row>
    <row r="28">
      <c r="A28" s="3">
        <f>IFERROR(__xludf.DUMMYFUNCTION("""COMPUTED_VALUE"""),27.0)</f>
        <v>27</v>
      </c>
      <c r="B28" s="3">
        <f>IFERROR(__xludf.DUMMYFUNCTION("""COMPUTED_VALUE"""),10.0)</f>
        <v>10</v>
      </c>
      <c r="C28" s="3" t="str">
        <f>IFERROR(__xludf.DUMMYFUNCTION("""COMPUTED_VALUE"""),"*La Belle et la Bête*")</f>
        <v>*La Belle et la Bête*</v>
      </c>
      <c r="D28" s="3" t="str">
        <f>IFERROR(__xludf.DUMMYFUNCTION("""COMPUTED_VALUE"""),"Bill Condon")</f>
        <v>Bill Condon</v>
      </c>
      <c r="E28" s="3">
        <f>IFERROR(__xludf.DUMMYFUNCTION("""COMPUTED_VALUE"""),2017.0)</f>
        <v>2017</v>
      </c>
      <c r="F28" s="3" t="str">
        <f>IFERROR(__xludf.DUMMYFUNCTION("""COMPUTED_VALUE"""),"États-Unis")</f>
        <v>États-Unis</v>
      </c>
      <c r="G28" s="3" t="str">
        <f>IFERROR(__xludf.DUMMYFUNCTION("""COMPUTED_VALUE"""),"1 266 115 964 $[a 28]")</f>
        <v>1 266 115 964 $[a 28]</v>
      </c>
    </row>
    <row r="29">
      <c r="A29" s="3">
        <f>IFERROR(__xludf.DUMMYFUNCTION("""COMPUTED_VALUE"""),28.0)</f>
        <v>28</v>
      </c>
      <c r="B29" s="3">
        <f>IFERROR(__xludf.DUMMYFUNCTION("""COMPUTED_VALUE"""),15.0)</f>
        <v>15</v>
      </c>
      <c r="C29" s="3" t="str">
        <f>IFERROR(__xludf.DUMMYFUNCTION("""COMPUTED_VALUE"""),"*Les Indestructibles 2*")</f>
        <v>*Les Indestructibles 2*</v>
      </c>
      <c r="D29" s="3" t="str">
        <f>IFERROR(__xludf.DUMMYFUNCTION("""COMPUTED_VALUE"""),"Brad Bird")</f>
        <v>Brad Bird</v>
      </c>
      <c r="E29" s="3">
        <f>IFERROR(__xludf.DUMMYFUNCTION("""COMPUTED_VALUE"""),2018.0)</f>
        <v>2018</v>
      </c>
      <c r="F29" s="3" t="str">
        <f>IFERROR(__xludf.DUMMYFUNCTION("""COMPUTED_VALUE"""),"États-Unis")</f>
        <v>États-Unis</v>
      </c>
      <c r="G29" s="3" t="str">
        <f>IFERROR(__xludf.DUMMYFUNCTION("""COMPUTED_VALUE"""),"1 243 225 667 $[a 29]")</f>
        <v>1 243 225 667 $[a 29]</v>
      </c>
    </row>
    <row r="30">
      <c r="A30" s="3">
        <f>IFERROR(__xludf.DUMMYFUNCTION("""COMPUTED_VALUE"""),29.0)</f>
        <v>29</v>
      </c>
      <c r="B30" s="3">
        <f>IFERROR(__xludf.DUMMYFUNCTION("""COMPUTED_VALUE"""),11.0)</f>
        <v>11</v>
      </c>
      <c r="C30" s="3" t="str">
        <f>IFERROR(__xludf.DUMMYFUNCTION("""COMPUTED_VALUE"""),"*Fast and Furious 8*")</f>
        <v>*Fast and Furious 8*</v>
      </c>
      <c r="D30" s="3" t="str">
        <f>IFERROR(__xludf.DUMMYFUNCTION("""COMPUTED_VALUE"""),"F. Gary Gray")</f>
        <v>F. Gary Gray</v>
      </c>
      <c r="E30" s="3">
        <f>IFERROR(__xludf.DUMMYFUNCTION("""COMPUTED_VALUE"""),2017.0)</f>
        <v>2017</v>
      </c>
      <c r="F30" s="3" t="str">
        <f>IFERROR(__xludf.DUMMYFUNCTION("""COMPUTED_VALUE"""),"États-Unis")</f>
        <v>États-Unis</v>
      </c>
      <c r="G30" s="3" t="str">
        <f>IFERROR(__xludf.DUMMYFUNCTION("""COMPUTED_VALUE"""),"1 236 009 236 $[a 30]")</f>
        <v>1 236 009 236 $[a 30]</v>
      </c>
    </row>
    <row r="31">
      <c r="A31" s="3">
        <f>IFERROR(__xludf.DUMMYFUNCTION("""COMPUTED_VALUE"""),30.0)</f>
        <v>30</v>
      </c>
      <c r="B31" s="3">
        <f>IFERROR(__xludf.DUMMYFUNCTION("""COMPUTED_VALUE"""),5.0)</f>
        <v>5</v>
      </c>
      <c r="C31" s="3" t="str">
        <f>IFERROR(__xludf.DUMMYFUNCTION("""COMPUTED_VALUE"""),"*Iron Man 3*")</f>
        <v>*Iron Man 3*</v>
      </c>
      <c r="D31" s="3" t="str">
        <f>IFERROR(__xludf.DUMMYFUNCTION("""COMPUTED_VALUE"""),"Shane Black")</f>
        <v>Shane Black</v>
      </c>
      <c r="E31" s="3">
        <f>IFERROR(__xludf.DUMMYFUNCTION("""COMPUTED_VALUE"""),2013.0)</f>
        <v>2013</v>
      </c>
      <c r="F31" s="3" t="str">
        <f>IFERROR(__xludf.DUMMYFUNCTION("""COMPUTED_VALUE"""),"États-Unis")</f>
        <v>États-Unis</v>
      </c>
      <c r="G31" s="3" t="str">
        <f>IFERROR(__xludf.DUMMYFUNCTION("""COMPUTED_VALUE"""),"1 215 577 205 $[a 31]")</f>
        <v>1 215 577 205 $[a 31]</v>
      </c>
    </row>
    <row r="32">
      <c r="A32" s="3">
        <f>IFERROR(__xludf.DUMMYFUNCTION("""COMPUTED_VALUE"""),31.0)</f>
        <v>31</v>
      </c>
      <c r="B32" s="3">
        <f>IFERROR(__xludf.DUMMYFUNCTION("""COMPUTED_VALUE"""),10.0)</f>
        <v>10</v>
      </c>
      <c r="C32" s="3" t="str">
        <f>IFERROR(__xludf.DUMMYFUNCTION("""COMPUTED_VALUE"""),"*Les Minions*")</f>
        <v>*Les Minions*</v>
      </c>
      <c r="D32" s="3" t="str">
        <f>IFERROR(__xludf.DUMMYFUNCTION("""COMPUTED_VALUE"""),"Kyle Balda
Pierre Coffin")</f>
        <v>Kyle Balda
Pierre Coffin</v>
      </c>
      <c r="E32" s="3">
        <f>IFERROR(__xludf.DUMMYFUNCTION("""COMPUTED_VALUE"""),2015.0)</f>
        <v>2015</v>
      </c>
      <c r="F32" s="3" t="str">
        <f>IFERROR(__xludf.DUMMYFUNCTION("""COMPUTED_VALUE"""),"États-Unis")</f>
        <v>États-Unis</v>
      </c>
      <c r="G32" s="3" t="str">
        <f>IFERROR(__xludf.DUMMYFUNCTION("""COMPUTED_VALUE"""),"1 159 457 503 $[a 32]")</f>
        <v>1 159 457 503 $[a 32]</v>
      </c>
    </row>
    <row r="33">
      <c r="A33" s="3">
        <f>IFERROR(__xludf.DUMMYFUNCTION("""COMPUTED_VALUE"""),32.0)</f>
        <v>32</v>
      </c>
      <c r="B33" s="3">
        <f>IFERROR(__xludf.DUMMYFUNCTION("""COMPUTED_VALUE"""),12.0)</f>
        <v>12</v>
      </c>
      <c r="C33" s="3" t="str">
        <f>IFERROR(__xludf.DUMMYFUNCTION("""COMPUTED_VALUE"""),"*Captain America: Civil War*")</f>
        <v>*Captain America: Civil War*</v>
      </c>
      <c r="D33" s="3" t="str">
        <f>IFERROR(__xludf.DUMMYFUNCTION("""COMPUTED_VALUE"""),"Anthony et
Joe Russo")</f>
        <v>Anthony et
Joe Russo</v>
      </c>
      <c r="E33" s="3">
        <f>IFERROR(__xludf.DUMMYFUNCTION("""COMPUTED_VALUE"""),2016.0)</f>
        <v>2016</v>
      </c>
      <c r="F33" s="3" t="str">
        <f>IFERROR(__xludf.DUMMYFUNCTION("""COMPUTED_VALUE"""),"États-Unis")</f>
        <v>États-Unis</v>
      </c>
      <c r="G33" s="3" t="str">
        <f>IFERROR(__xludf.DUMMYFUNCTION("""COMPUTED_VALUE"""),"1 155 046 416 $[a 33]")</f>
        <v>1 155 046 416 $[a 33]</v>
      </c>
    </row>
    <row r="34">
      <c r="A34" s="3">
        <f>IFERROR(__xludf.DUMMYFUNCTION("""COMPUTED_VALUE"""),33.0)</f>
        <v>33</v>
      </c>
      <c r="B34" s="3">
        <f>IFERROR(__xludf.DUMMYFUNCTION("""COMPUTED_VALUE"""),20.0)</f>
        <v>20</v>
      </c>
      <c r="C34" s="3" t="str">
        <f>IFERROR(__xludf.DUMMYFUNCTION("""COMPUTED_VALUE"""),"*Aquaman*")</f>
        <v>*Aquaman*</v>
      </c>
      <c r="D34" s="3" t="str">
        <f>IFERROR(__xludf.DUMMYFUNCTION("""COMPUTED_VALUE"""),"James Wan")</f>
        <v>James Wan</v>
      </c>
      <c r="E34" s="3">
        <f>IFERROR(__xludf.DUMMYFUNCTION("""COMPUTED_VALUE"""),2018.0)</f>
        <v>2018</v>
      </c>
      <c r="F34" s="3" t="str">
        <f>IFERROR(__xludf.DUMMYFUNCTION("""COMPUTED_VALUE"""),"États-Unis")</f>
        <v>États-Unis</v>
      </c>
      <c r="G34" s="3" t="str">
        <f>IFERROR(__xludf.DUMMYFUNCTION("""COMPUTED_VALUE"""),"1 152 028 393 $[a 34]")</f>
        <v>1 152 028 393 $[a 34]</v>
      </c>
    </row>
    <row r="35">
      <c r="A35" s="3">
        <f>IFERROR(__xludf.DUMMYFUNCTION("""COMPUTED_VALUE"""),34.0)</f>
        <v>34</v>
      </c>
      <c r="B35" s="3">
        <f>IFERROR(__xludf.DUMMYFUNCTION("""COMPUTED_VALUE"""),2.0)</f>
        <v>2</v>
      </c>
      <c r="C35" s="3" t="str">
        <f>IFERROR(__xludf.DUMMYFUNCTION("""COMPUTED_VALUE"""),"*Le Seigneur des anneaux : Le Retour du roi*")</f>
        <v>*Le Seigneur des anneaux : Le Retour du roi*</v>
      </c>
      <c r="D35" s="3" t="str">
        <f>IFERROR(__xludf.DUMMYFUNCTION("""COMPUTED_VALUE"""),"Peter Jackson")</f>
        <v>Peter Jackson</v>
      </c>
      <c r="E35" s="3">
        <f>IFERROR(__xludf.DUMMYFUNCTION("""COMPUTED_VALUE"""),2003.0)</f>
        <v>2003</v>
      </c>
      <c r="F35" s="3" t="str">
        <f>IFERROR(__xludf.DUMMYFUNCTION("""COMPUTED_VALUE"""),"États-Unis
Nouvelle-Zélande")</f>
        <v>États-Unis
Nouvelle-Zélande</v>
      </c>
      <c r="G35" s="3" t="str">
        <f>IFERROR(__xludf.DUMMYFUNCTION("""COMPUTED_VALUE"""),"1 148 108 624 $[a 35]")</f>
        <v>1 148 108 624 $[a 35]</v>
      </c>
    </row>
    <row r="36">
      <c r="A36" s="3">
        <f>IFERROR(__xludf.DUMMYFUNCTION("""COMPUTED_VALUE"""),35.0)</f>
        <v>35</v>
      </c>
      <c r="B36" s="3">
        <f>IFERROR(__xludf.DUMMYFUNCTION("""COMPUTED_VALUE"""),24.0)</f>
        <v>24</v>
      </c>
      <c r="C36" s="3" t="str">
        <f>IFERROR(__xludf.DUMMYFUNCTION("""COMPUTED_VALUE"""),"*Spider-Man: Far From Home*")</f>
        <v>*Spider-Man: Far From Home*</v>
      </c>
      <c r="D36" s="3" t="str">
        <f>IFERROR(__xludf.DUMMYFUNCTION("""COMPUTED_VALUE"""),"Jon Watts")</f>
        <v>Jon Watts</v>
      </c>
      <c r="E36" s="3">
        <f>IFERROR(__xludf.DUMMYFUNCTION("""COMPUTED_VALUE"""),2019.0)</f>
        <v>2019</v>
      </c>
      <c r="F36" s="3" t="str">
        <f>IFERROR(__xludf.DUMMYFUNCTION("""COMPUTED_VALUE"""),"États-Unis")</f>
        <v>États-Unis</v>
      </c>
      <c r="G36" s="3" t="str">
        <f>IFERROR(__xludf.DUMMYFUNCTION("""COMPUTED_VALUE"""),"1 132 723 226 $[a 36]")</f>
        <v>1 132 723 226 $[a 36]</v>
      </c>
    </row>
    <row r="37">
      <c r="A37" s="3">
        <f>IFERROR(__xludf.DUMMYFUNCTION("""COMPUTED_VALUE"""),36.0)</f>
        <v>36</v>
      </c>
      <c r="B37" s="3">
        <f>IFERROR(__xludf.DUMMYFUNCTION("""COMPUTED_VALUE"""),23.0)</f>
        <v>23</v>
      </c>
      <c r="C37" s="3" t="str">
        <f>IFERROR(__xludf.DUMMYFUNCTION("""COMPUTED_VALUE"""),"*Captain Marvel*")</f>
        <v>*Captain Marvel*</v>
      </c>
      <c r="D37" s="3" t="str">
        <f>IFERROR(__xludf.DUMMYFUNCTION("""COMPUTED_VALUE"""),"Anna Boden
Ryan Fleck")</f>
        <v>Anna Boden
Ryan Fleck</v>
      </c>
      <c r="E37" s="3">
        <f>IFERROR(__xludf.DUMMYFUNCTION("""COMPUTED_VALUE"""),2019.0)</f>
        <v>2019</v>
      </c>
      <c r="F37" s="3" t="str">
        <f>IFERROR(__xludf.DUMMYFUNCTION("""COMPUTED_VALUE"""),"États-Unis")</f>
        <v>États-Unis</v>
      </c>
      <c r="G37" s="3" t="str">
        <f>IFERROR(__xludf.DUMMYFUNCTION("""COMPUTED_VALUE"""),"1 131 416 446 $[a 37]")</f>
        <v>1 131 416 446 $[a 37]</v>
      </c>
    </row>
    <row r="38">
      <c r="A38" s="3">
        <f>IFERROR(__xludf.DUMMYFUNCTION("""COMPUTED_VALUE"""),37.0)</f>
        <v>37</v>
      </c>
      <c r="B38" s="3">
        <f>IFERROR(__xludf.DUMMYFUNCTION("""COMPUTED_VALUE"""),5.0)</f>
        <v>5</v>
      </c>
      <c r="C38" s="3" t="str">
        <f>IFERROR(__xludf.DUMMYFUNCTION("""COMPUTED_VALUE"""),"*Transformers 3 : La Face cachée de la Lune*")</f>
        <v>*Transformers 3 : La Face cachée de la Lune*</v>
      </c>
      <c r="D38" s="3" t="str">
        <f>IFERROR(__xludf.DUMMYFUNCTION("""COMPUTED_VALUE"""),"Michael Bay")</f>
        <v>Michael Bay</v>
      </c>
      <c r="E38" s="3">
        <f>IFERROR(__xludf.DUMMYFUNCTION("""COMPUTED_VALUE"""),2011.0)</f>
        <v>2011</v>
      </c>
      <c r="F38" s="3" t="str">
        <f>IFERROR(__xludf.DUMMYFUNCTION("""COMPUTED_VALUE"""),"États-Unis")</f>
        <v>États-Unis</v>
      </c>
      <c r="G38" s="3" t="str">
        <f>IFERROR(__xludf.DUMMYFUNCTION("""COMPUTED_VALUE"""),"1 123 794 079 $[a 38]")</f>
        <v>1 123 794 079 $[a 38]</v>
      </c>
    </row>
    <row r="39">
      <c r="A39" s="3">
        <f>IFERROR(__xludf.DUMMYFUNCTION("""COMPUTED_VALUE"""),38.0)</f>
        <v>38</v>
      </c>
      <c r="B39" s="3">
        <f>IFERROR(__xludf.DUMMYFUNCTION("""COMPUTED_VALUE"""),7.0)</f>
        <v>7</v>
      </c>
      <c r="C39" s="3" t="str">
        <f>IFERROR(__xludf.DUMMYFUNCTION("""COMPUTED_VALUE"""),"*Skyfall*")</f>
        <v>*Skyfall*</v>
      </c>
      <c r="D39" s="3" t="str">
        <f>IFERROR(__xludf.DUMMYFUNCTION("""COMPUTED_VALUE"""),"Sam Mendes")</f>
        <v>Sam Mendes</v>
      </c>
      <c r="E39" s="3">
        <f>IFERROR(__xludf.DUMMYFUNCTION("""COMPUTED_VALUE"""),2012.0)</f>
        <v>2012</v>
      </c>
      <c r="F39" s="3" t="str">
        <f>IFERROR(__xludf.DUMMYFUNCTION("""COMPUTED_VALUE"""),"États-Unis
Royaume-Uni")</f>
        <v>États-Unis
Royaume-Uni</v>
      </c>
      <c r="G39" s="3" t="str">
        <f>IFERROR(__xludf.DUMMYFUNCTION("""COMPUTED_VALUE"""),"1 108 594 137 $[a 39]")</f>
        <v>1 108 594 137 $[a 39]</v>
      </c>
    </row>
    <row r="40">
      <c r="A40" s="3">
        <f>IFERROR(__xludf.DUMMYFUNCTION("""COMPUTED_VALUE"""),39.0)</f>
        <v>39</v>
      </c>
      <c r="B40" s="3">
        <f>IFERROR(__xludf.DUMMYFUNCTION("""COMPUTED_VALUE"""),10.0)</f>
        <v>10</v>
      </c>
      <c r="C40" s="3" t="str">
        <f>IFERROR(__xludf.DUMMYFUNCTION("""COMPUTED_VALUE"""),"*Transformers : L'Âge de l'extinction*")</f>
        <v>*Transformers : L'Âge de l'extinction*</v>
      </c>
      <c r="D40" s="3" t="str">
        <f>IFERROR(__xludf.DUMMYFUNCTION("""COMPUTED_VALUE"""),"Michael Bay")</f>
        <v>Michael Bay</v>
      </c>
      <c r="E40" s="3">
        <f>IFERROR(__xludf.DUMMYFUNCTION("""COMPUTED_VALUE"""),2014.0)</f>
        <v>2014</v>
      </c>
      <c r="F40" s="3" t="str">
        <f>IFERROR(__xludf.DUMMYFUNCTION("""COMPUTED_VALUE"""),"États-Unis")</f>
        <v>États-Unis</v>
      </c>
      <c r="G40" s="3" t="str">
        <f>IFERROR(__xludf.DUMMYFUNCTION("""COMPUTED_VALUE"""),"1 105 261 713 $[a 40]")</f>
        <v>1 105 261 713 $[a 40]</v>
      </c>
    </row>
    <row r="41">
      <c r="A41" s="3">
        <f>IFERROR(__xludf.DUMMYFUNCTION("""COMPUTED_VALUE"""),40.0)</f>
        <v>40</v>
      </c>
      <c r="B41" s="3">
        <f>IFERROR(__xludf.DUMMYFUNCTION("""COMPUTED_VALUE"""),1.0)</f>
        <v>1</v>
      </c>
      <c r="C41" s="3" t="str">
        <f>IFERROR(__xludf.DUMMYFUNCTION("""COMPUTED_VALUE"""),"*Jurassic Park*")</f>
        <v>*Jurassic Park*</v>
      </c>
      <c r="D41" s="3" t="str">
        <f>IFERROR(__xludf.DUMMYFUNCTION("""COMPUTED_VALUE"""),"Steven Spielberg")</f>
        <v>Steven Spielberg</v>
      </c>
      <c r="E41" s="3">
        <f>IFERROR(__xludf.DUMMYFUNCTION("""COMPUTED_VALUE"""),1993.0)</f>
        <v>1993</v>
      </c>
      <c r="F41" s="3" t="str">
        <f>IFERROR(__xludf.DUMMYFUNCTION("""COMPUTED_VALUE"""),"États-Unis")</f>
        <v>États-Unis</v>
      </c>
      <c r="G41" s="3" t="str">
        <f>IFERROR(__xludf.DUMMYFUNCTION("""COMPUTED_VALUE"""),"1 103 096 466 $[a 41]")</f>
        <v>1 103 096 466 $[a 41]</v>
      </c>
    </row>
    <row r="42">
      <c r="A42" s="3">
        <f>IFERROR(__xludf.DUMMYFUNCTION("""COMPUTED_VALUE"""),41.0)</f>
        <v>41</v>
      </c>
      <c r="B42" s="3">
        <f>IFERROR(__xludf.DUMMYFUNCTION("""COMPUTED_VALUE"""),7.0)</f>
        <v>7</v>
      </c>
      <c r="C42" s="3" t="str">
        <f>IFERROR(__xludf.DUMMYFUNCTION("""COMPUTED_VALUE"""),"*The Dark Knight Rises*")</f>
        <v>*The Dark Knight Rises*</v>
      </c>
      <c r="D42" s="3" t="str">
        <f>IFERROR(__xludf.DUMMYFUNCTION("""COMPUTED_VALUE"""),"Christopher Nolan")</f>
        <v>Christopher Nolan</v>
      </c>
      <c r="E42" s="3">
        <f>IFERROR(__xludf.DUMMYFUNCTION("""COMPUTED_VALUE"""),2012.0)</f>
        <v>2012</v>
      </c>
      <c r="F42" s="3" t="str">
        <f>IFERROR(__xludf.DUMMYFUNCTION("""COMPUTED_VALUE"""),"États-Unis
Royaume-Uni")</f>
        <v>États-Unis
Royaume-Uni</v>
      </c>
      <c r="G42" s="3" t="str">
        <f>IFERROR(__xludf.DUMMYFUNCTION("""COMPUTED_VALUE"""),"1 085 199 115 $[a 42]")</f>
        <v>1 085 199 115 $[a 42]</v>
      </c>
    </row>
    <row r="43">
      <c r="A43" s="3">
        <f>IFERROR(__xludf.DUMMYFUNCTION("""COMPUTED_VALUE"""),42.0)</f>
        <v>42</v>
      </c>
      <c r="B43" s="3">
        <f>IFERROR(__xludf.DUMMYFUNCTION("""COMPUTED_VALUE"""),31.0)</f>
        <v>31</v>
      </c>
      <c r="C43" s="3" t="str">
        <f>IFERROR(__xludf.DUMMYFUNCTION("""COMPUTED_VALUE"""),"*Joker*")</f>
        <v>*Joker*</v>
      </c>
      <c r="D43" s="3" t="str">
        <f>IFERROR(__xludf.DUMMYFUNCTION("""COMPUTED_VALUE"""),"Todd Phillips")</f>
        <v>Todd Phillips</v>
      </c>
      <c r="E43" s="3">
        <f>IFERROR(__xludf.DUMMYFUNCTION("""COMPUTED_VALUE"""),2019.0)</f>
        <v>2019</v>
      </c>
      <c r="F43" s="3" t="str">
        <f>IFERROR(__xludf.DUMMYFUNCTION("""COMPUTED_VALUE"""),"États-Unis")</f>
        <v>États-Unis</v>
      </c>
      <c r="G43" s="3" t="str">
        <f>IFERROR(__xludf.DUMMYFUNCTION("""COMPUTED_VALUE"""),"1 078 958 629 $[a 43]")</f>
        <v>1 078 958 629 $[a 43]</v>
      </c>
    </row>
    <row r="44">
      <c r="A44" s="3">
        <f>IFERROR(__xludf.DUMMYFUNCTION("""COMPUTED_VALUE"""),43.0)</f>
        <v>43</v>
      </c>
      <c r="B44" s="3">
        <f>IFERROR(__xludf.DUMMYFUNCTION("""COMPUTED_VALUE"""),32.0)</f>
        <v>32</v>
      </c>
      <c r="C44" s="3" t="str">
        <f>IFERROR(__xludf.DUMMYFUNCTION("""COMPUTED_VALUE"""),"*Star Wars, épisode IX : L'Ascension de Skywalker*")</f>
        <v>*Star Wars, épisode IX : L'Ascension de Skywalker*</v>
      </c>
      <c r="D44" s="3" t="str">
        <f>IFERROR(__xludf.DUMMYFUNCTION("""COMPUTED_VALUE"""),"J. J. Abrams")</f>
        <v>J. J. Abrams</v>
      </c>
      <c r="E44" s="3">
        <f>IFERROR(__xludf.DUMMYFUNCTION("""COMPUTED_VALUE"""),2019.0)</f>
        <v>2019</v>
      </c>
      <c r="F44" s="3" t="str">
        <f>IFERROR(__xludf.DUMMYFUNCTION("""COMPUTED_VALUE"""),"États-Unis")</f>
        <v>États-Unis</v>
      </c>
      <c r="G44" s="3" t="str">
        <f>IFERROR(__xludf.DUMMYFUNCTION("""COMPUTED_VALUE"""),"1 077 022 372 $[a 44]")</f>
        <v>1 077 022 372 $[a 44]</v>
      </c>
    </row>
    <row r="45">
      <c r="A45" s="3">
        <f>IFERROR(__xludf.DUMMYFUNCTION("""COMPUTED_VALUE"""),44.0)</f>
        <v>44</v>
      </c>
      <c r="B45" s="3">
        <f>IFERROR(__xludf.DUMMYFUNCTION("""COMPUTED_VALUE"""),30.0)</f>
        <v>30</v>
      </c>
      <c r="C45" s="3" t="str">
        <f>IFERROR(__xludf.DUMMYFUNCTION("""COMPUTED_VALUE"""),"*Toy Story 4*")</f>
        <v>*Toy Story 4*</v>
      </c>
      <c r="D45" s="3" t="str">
        <f>IFERROR(__xludf.DUMMYFUNCTION("""COMPUTED_VALUE"""),"Josh Cooley")</f>
        <v>Josh Cooley</v>
      </c>
      <c r="E45" s="3">
        <f>IFERROR(__xludf.DUMMYFUNCTION("""COMPUTED_VALUE"""),2019.0)</f>
        <v>2019</v>
      </c>
      <c r="F45" s="3" t="str">
        <f>IFERROR(__xludf.DUMMYFUNCTION("""COMPUTED_VALUE"""),"États-Unis")</f>
        <v>États-Unis</v>
      </c>
      <c r="G45" s="3" t="str">
        <f>IFERROR(__xludf.DUMMYFUNCTION("""COMPUTED_VALUE"""),"1 073 841 394 $[a 45]")</f>
        <v>1 073 841 394 $[a 45]</v>
      </c>
    </row>
    <row r="46">
      <c r="A46" s="3">
        <f>IFERROR(__xludf.DUMMYFUNCTION("""COMPUTED_VALUE"""),45.0)</f>
        <v>45</v>
      </c>
      <c r="B46" s="3">
        <f>IFERROR(__xludf.DUMMYFUNCTION("""COMPUTED_VALUE"""),4.0)</f>
        <v>4</v>
      </c>
      <c r="C46" s="3" t="str">
        <f>IFERROR(__xludf.DUMMYFUNCTION("""COMPUTED_VALUE"""),"*Toy Story 3*")</f>
        <v>*Toy Story 3*</v>
      </c>
      <c r="D46" s="3" t="str">
        <f>IFERROR(__xludf.DUMMYFUNCTION("""COMPUTED_VALUE"""),"Lee Unkrich")</f>
        <v>Lee Unkrich</v>
      </c>
      <c r="E46" s="3">
        <f>IFERROR(__xludf.DUMMYFUNCTION("""COMPUTED_VALUE"""),2010.0)</f>
        <v>2010</v>
      </c>
      <c r="F46" s="3" t="str">
        <f>IFERROR(__xludf.DUMMYFUNCTION("""COMPUTED_VALUE"""),"États-Unis")</f>
        <v>États-Unis</v>
      </c>
      <c r="G46" s="3" t="str">
        <f>IFERROR(__xludf.DUMMYFUNCTION("""COMPUTED_VALUE"""),"1 067 316 101 $[a 46]")</f>
        <v>1 067 316 101 $[a 46]</v>
      </c>
    </row>
    <row r="47">
      <c r="A47" s="3">
        <f>IFERROR(__xludf.DUMMYFUNCTION("""COMPUTED_VALUE"""),46.0)</f>
        <v>46</v>
      </c>
      <c r="B47" s="3">
        <f>IFERROR(__xludf.DUMMYFUNCTION("""COMPUTED_VALUE"""),3.0)</f>
        <v>3</v>
      </c>
      <c r="C47" s="3" t="str">
        <f>IFERROR(__xludf.DUMMYFUNCTION("""COMPUTED_VALUE"""),"*Pirates des Caraïbes : Le Secret du coffre maudit*")</f>
        <v>*Pirates des Caraïbes : Le Secret du coffre maudit*</v>
      </c>
      <c r="D47" s="3" t="str">
        <f>IFERROR(__xludf.DUMMYFUNCTION("""COMPUTED_VALUE"""),"Gore Verbinski")</f>
        <v>Gore Verbinski</v>
      </c>
      <c r="E47" s="3">
        <f>IFERROR(__xludf.DUMMYFUNCTION("""COMPUTED_VALUE"""),2006.0)</f>
        <v>2006</v>
      </c>
      <c r="F47" s="3" t="str">
        <f>IFERROR(__xludf.DUMMYFUNCTION("""COMPUTED_VALUE"""),"États-Unis")</f>
        <v>États-Unis</v>
      </c>
      <c r="G47" s="3" t="str">
        <f>IFERROR(__xludf.DUMMYFUNCTION("""COMPUTED_VALUE"""),"1 066 179 747 $[a 47]")</f>
        <v>1 066 179 747 $[a 47]</v>
      </c>
    </row>
    <row r="48">
      <c r="A48" s="3">
        <f>IFERROR(__xludf.DUMMYFUNCTION("""COMPUTED_VALUE"""),47.0)</f>
        <v>47</v>
      </c>
      <c r="B48" s="3">
        <f>IFERROR(__xludf.DUMMYFUNCTION("""COMPUTED_VALUE"""),45.0)</f>
        <v>45</v>
      </c>
      <c r="C48" s="3" t="str">
        <f>IFERROR(__xludf.DUMMYFUNCTION("""COMPUTED_VALUE"""),"*Vaiana 2*")</f>
        <v>*Vaiana 2*</v>
      </c>
      <c r="D48" s="3" t="str">
        <f>IFERROR(__xludf.DUMMYFUNCTION("""COMPUTED_VALUE"""),"David Derrick Jr. (en)")</f>
        <v>David Derrick Jr. (en)</v>
      </c>
      <c r="E48" s="3">
        <f>IFERROR(__xludf.DUMMYFUNCTION("""COMPUTED_VALUE"""),2024.0)</f>
        <v>2024</v>
      </c>
      <c r="F48" s="3" t="str">
        <f>IFERROR(__xludf.DUMMYFUNCTION("""COMPUTED_VALUE"""),"États-Unis")</f>
        <v>États-Unis</v>
      </c>
      <c r="G48" s="3" t="str">
        <f>IFERROR(__xludf.DUMMYFUNCTION("""COMPUTED_VALUE"""),"1 059 242 164 $[a 48]")</f>
        <v>1 059 242 164 $[a 48]</v>
      </c>
    </row>
    <row r="49">
      <c r="A49" s="3">
        <f>IFERROR(__xludf.DUMMYFUNCTION("""COMPUTED_VALUE"""),48.0)</f>
        <v>48</v>
      </c>
      <c r="B49" s="3">
        <f>IFERROR(__xludf.DUMMYFUNCTION("""COMPUTED_VALUE"""),20.0)</f>
        <v>20</v>
      </c>
      <c r="C49" s="3" t="str">
        <f>IFERROR(__xludf.DUMMYFUNCTION("""COMPUTED_VALUE"""),"*Rogue One: A Star Wars Story*")</f>
        <v>*Rogue One: A Star Wars Story*</v>
      </c>
      <c r="D49" s="3" t="str">
        <f>IFERROR(__xludf.DUMMYFUNCTION("""COMPUTED_VALUE"""),"Gareth Edwards")</f>
        <v>Gareth Edwards</v>
      </c>
      <c r="E49" s="3">
        <f>IFERROR(__xludf.DUMMYFUNCTION("""COMPUTED_VALUE"""),2016.0)</f>
        <v>2016</v>
      </c>
      <c r="F49" s="3" t="str">
        <f>IFERROR(__xludf.DUMMYFUNCTION("""COMPUTED_VALUE"""),"États-Unis")</f>
        <v>États-Unis</v>
      </c>
      <c r="G49" s="3" t="str">
        <f>IFERROR(__xludf.DUMMYFUNCTION("""COMPUTED_VALUE"""),"1 058 684 742 $[a 49]")</f>
        <v>1 058 684 742 $[a 49]</v>
      </c>
    </row>
    <row r="50">
      <c r="A50" s="3">
        <f>IFERROR(__xludf.DUMMYFUNCTION("""COMPUTED_VALUE"""),49.0)</f>
        <v>49</v>
      </c>
      <c r="B50" s="3">
        <f>IFERROR(__xludf.DUMMYFUNCTION("""COMPUTED_VALUE"""),34.0)</f>
        <v>34</v>
      </c>
      <c r="C50" s="3" t="str">
        <f>IFERROR(__xludf.DUMMYFUNCTION("""COMPUTED_VALUE"""),"*Aladdin*")</f>
        <v>*Aladdin*</v>
      </c>
      <c r="D50" s="3" t="str">
        <f>IFERROR(__xludf.DUMMYFUNCTION("""COMPUTED_VALUE"""),"Guy Ritchie")</f>
        <v>Guy Ritchie</v>
      </c>
      <c r="E50" s="3">
        <f>IFERROR(__xludf.DUMMYFUNCTION("""COMPUTED_VALUE"""),2019.0)</f>
        <v>2019</v>
      </c>
      <c r="F50" s="3" t="str">
        <f>IFERROR(__xludf.DUMMYFUNCTION("""COMPUTED_VALUE"""),"États-Unis")</f>
        <v>États-Unis</v>
      </c>
      <c r="G50" s="3" t="str">
        <f>IFERROR(__xludf.DUMMYFUNCTION("""COMPUTED_VALUE"""),"1 054 304 000 $[a 50]")</f>
        <v>1 054 304 000 $[a 50]</v>
      </c>
    </row>
    <row r="51">
      <c r="A51" s="3">
        <f>IFERROR(__xludf.DUMMYFUNCTION("""COMPUTED_VALUE"""),50.0)</f>
        <v>50</v>
      </c>
      <c r="B51" s="3">
        <f>IFERROR(__xludf.DUMMYFUNCTION("""COMPUTED_VALUE"""),6.0)</f>
        <v>6</v>
      </c>
      <c r="C51" s="3" t="str">
        <f>IFERROR(__xludf.DUMMYFUNCTION("""COMPUTED_VALUE"""),"*Pirates des Caraïbes : La Fontaine de Jouvence*")</f>
        <v>*Pirates des Caraïbes : La Fontaine de Jouvence*</v>
      </c>
      <c r="D51" s="3" t="str">
        <f>IFERROR(__xludf.DUMMYFUNCTION("""COMPUTED_VALUE"""),"Rob Marshall")</f>
        <v>Rob Marshall</v>
      </c>
      <c r="E51" s="3">
        <f>IFERROR(__xludf.DUMMYFUNCTION("""COMPUTED_VALUE"""),2011.0)</f>
        <v>2011</v>
      </c>
      <c r="F51" s="3" t="str">
        <f>IFERROR(__xludf.DUMMYFUNCTION("""COMPUTED_VALUE"""),"États-Unis")</f>
        <v>États-Unis</v>
      </c>
      <c r="G51" s="3" t="str">
        <f>IFERROR(__xludf.DUMMYFUNCTION("""COMPUTED_VALUE"""),"1 046 721 266 $[a 51]")</f>
        <v>1 046 721 266 $[a 51]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4" max="4" width="25.63"/>
    <col customWidth="1" min="5" max="5" width="37.75"/>
  </cols>
  <sheetData>
    <row r="1">
      <c r="A1" s="3" t="str">
        <f>IFERROR(__xludf.DUMMYFUNCTION("IMPORTHTML(""https://fr.wikipedia.org/wiki/Liste_des_plus_hauts_sommets_sur_Terre"",""table"",5)"),"1
1
2
2
3
3
4
4
5
5
6
6
7
7
8
8
9
9
10
10
11
11
12
12
13
13
14
14
15
15
16
16
17
17
18
18
19
19
20
20
21
21
22
22
23
23
24
24
25
25
26
26
27
27
28
28")</f>
        <v>1
1
2
2
3
3
4
4
5
5
6
6
7
7
8
8
9
9
10
10
11
11
12
12
13
13
14
14
15
15
16
16
17
17
18
18
19
19
20
20
21
21
22
22
23
23
24
24
25
25
26
26
27
27
28
28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IFERROR(__xludf.DUMMYFUNCTION("IMPORTHTML(""https://www.insee.fr/fr/statistiques/2381474"",""table"", 2,)"),"Groupe d'âges")</f>
        <v>Groupe d'âges</v>
      </c>
      <c r="B1" s="3" t="str">
        <f>IFERROR(__xludf.DUMMYFUNCTION("""COMPUTED_VALUE"""),"Femmes")</f>
        <v>Femmes</v>
      </c>
      <c r="C1" s="3" t="str">
        <f>IFERROR(__xludf.DUMMYFUNCTION("""COMPUTED_VALUE"""),"Hommes")</f>
        <v>Hommes</v>
      </c>
      <c r="D1" s="3" t="str">
        <f>IFERROR(__xludf.DUMMYFUNCTION("""COMPUTED_VALUE"""),"Ensemble")</f>
        <v>Ensemble</v>
      </c>
      <c r="G1" s="12" t="s">
        <v>1</v>
      </c>
      <c r="H1" s="12" t="s">
        <v>2</v>
      </c>
      <c r="I1" s="12" t="s">
        <v>3</v>
      </c>
      <c r="J1" s="12" t="s">
        <v>4</v>
      </c>
    </row>
    <row r="2">
      <c r="A2" s="3" t="str">
        <f>IFERROR(__xludf.DUMMYFUNCTION("""COMPUTED_VALUE"""),"Moins de 15 ans")</f>
        <v>Moins de 15 ans</v>
      </c>
      <c r="B2" s="3">
        <f>IFERROR(__xludf.DUMMYFUNCTION("""COMPUTED_VALUE"""),15.4)</f>
        <v>15.4</v>
      </c>
      <c r="C2" s="3">
        <f>IFERROR(__xludf.DUMMYFUNCTION("""COMPUTED_VALUE"""),17.1)</f>
        <v>17.1</v>
      </c>
      <c r="D2" s="3">
        <f>IFERROR(__xludf.DUMMYFUNCTION("""COMPUTED_VALUE"""),16.3)</f>
        <v>16.3</v>
      </c>
      <c r="G2" s="13" t="s">
        <v>5</v>
      </c>
      <c r="H2" s="14" t="s">
        <v>6</v>
      </c>
      <c r="I2" s="14" t="s">
        <v>7</v>
      </c>
      <c r="J2" s="15" t="s">
        <v>8</v>
      </c>
    </row>
    <row r="3">
      <c r="A3" s="3" t="str">
        <f>IFERROR(__xludf.DUMMYFUNCTION("""COMPUTED_VALUE"""),"15-19 ans")</f>
        <v>15-19 ans</v>
      </c>
      <c r="B3" s="3">
        <f>IFERROR(__xludf.DUMMYFUNCTION("""COMPUTED_VALUE"""),5.8)</f>
        <v>5.8</v>
      </c>
      <c r="C3" s="3">
        <f>IFERROR(__xludf.DUMMYFUNCTION("""COMPUTED_VALUE"""),6.6)</f>
        <v>6.6</v>
      </c>
      <c r="D3" s="3">
        <f>IFERROR(__xludf.DUMMYFUNCTION("""COMPUTED_VALUE"""),6.2)</f>
        <v>6.2</v>
      </c>
      <c r="G3" s="16" t="s">
        <v>9</v>
      </c>
      <c r="H3" s="17" t="s">
        <v>10</v>
      </c>
      <c r="I3" s="17" t="s">
        <v>11</v>
      </c>
      <c r="J3" s="18" t="s">
        <v>12</v>
      </c>
    </row>
    <row r="4">
      <c r="A4" s="3" t="str">
        <f>IFERROR(__xludf.DUMMYFUNCTION("""COMPUTED_VALUE"""),"20-24 ans")</f>
        <v>20-24 ans</v>
      </c>
      <c r="B4" s="3">
        <f>IFERROR(__xludf.DUMMYFUNCTION("""COMPUTED_VALUE"""),5.4)</f>
        <v>5.4</v>
      </c>
      <c r="C4" s="3">
        <f>IFERROR(__xludf.DUMMYFUNCTION("""COMPUTED_VALUE"""),6.0)</f>
        <v>6</v>
      </c>
      <c r="D4" s="3">
        <f>IFERROR(__xludf.DUMMYFUNCTION("""COMPUTED_VALUE"""),5.7)</f>
        <v>5.7</v>
      </c>
      <c r="G4" s="13" t="s">
        <v>13</v>
      </c>
      <c r="H4" s="14" t="s">
        <v>14</v>
      </c>
      <c r="I4" s="14" t="s">
        <v>15</v>
      </c>
      <c r="J4" s="15" t="s">
        <v>16</v>
      </c>
    </row>
    <row r="5">
      <c r="A5" s="3" t="str">
        <f>IFERROR(__xludf.DUMMYFUNCTION("""COMPUTED_VALUE"""),"25-29 ans")</f>
        <v>25-29 ans</v>
      </c>
      <c r="B5" s="3">
        <f>IFERROR(__xludf.DUMMYFUNCTION("""COMPUTED_VALUE"""),5.6)</f>
        <v>5.6</v>
      </c>
      <c r="C5" s="3">
        <f>IFERROR(__xludf.DUMMYFUNCTION("""COMPUTED_VALUE"""),6.0)</f>
        <v>6</v>
      </c>
      <c r="D5" s="3">
        <f>IFERROR(__xludf.DUMMYFUNCTION("""COMPUTED_VALUE"""),5.8)</f>
        <v>5.8</v>
      </c>
      <c r="G5" s="16" t="s">
        <v>17</v>
      </c>
      <c r="H5" s="17" t="s">
        <v>18</v>
      </c>
      <c r="I5" s="17" t="s">
        <v>19</v>
      </c>
      <c r="J5" s="18" t="s">
        <v>20</v>
      </c>
    </row>
    <row r="6">
      <c r="A6" s="3" t="str">
        <f>IFERROR(__xludf.DUMMYFUNCTION("""COMPUTED_VALUE"""),"30-34 ans")</f>
        <v>30-34 ans</v>
      </c>
      <c r="B6" s="3">
        <f>IFERROR(__xludf.DUMMYFUNCTION("""COMPUTED_VALUE"""),5.8)</f>
        <v>5.8</v>
      </c>
      <c r="C6" s="3">
        <f>IFERROR(__xludf.DUMMYFUNCTION("""COMPUTED_VALUE"""),6.0)</f>
        <v>6</v>
      </c>
      <c r="D6" s="3">
        <f>IFERROR(__xludf.DUMMYFUNCTION("""COMPUTED_VALUE"""),5.9)</f>
        <v>5.9</v>
      </c>
      <c r="G6" s="13" t="s">
        <v>21</v>
      </c>
      <c r="H6" s="14" t="s">
        <v>22</v>
      </c>
      <c r="I6" s="14" t="s">
        <v>23</v>
      </c>
      <c r="J6" s="15" t="s">
        <v>24</v>
      </c>
    </row>
    <row r="7">
      <c r="A7" s="3" t="str">
        <f>IFERROR(__xludf.DUMMYFUNCTION("""COMPUTED_VALUE"""),"35-39 ans")</f>
        <v>35-39 ans</v>
      </c>
      <c r="B7" s="3">
        <f>IFERROR(__xludf.DUMMYFUNCTION("""COMPUTED_VALUE"""),6.3)</f>
        <v>6.3</v>
      </c>
      <c r="C7" s="3">
        <f>IFERROR(__xludf.DUMMYFUNCTION("""COMPUTED_VALUE"""),6.4)</f>
        <v>6.4</v>
      </c>
      <c r="D7" s="3">
        <f>IFERROR(__xludf.DUMMYFUNCTION("""COMPUTED_VALUE"""),6.3)</f>
        <v>6.3</v>
      </c>
      <c r="G7" s="16" t="s">
        <v>25</v>
      </c>
      <c r="H7" s="17" t="s">
        <v>26</v>
      </c>
      <c r="I7" s="17" t="s">
        <v>27</v>
      </c>
      <c r="J7" s="18" t="s">
        <v>28</v>
      </c>
    </row>
    <row r="8">
      <c r="A8" s="3" t="str">
        <f>IFERROR(__xludf.DUMMYFUNCTION("""COMPUTED_VALUE"""),"40-44 ans")</f>
        <v>40-44 ans</v>
      </c>
      <c r="B8" s="3">
        <f>IFERROR(__xludf.DUMMYFUNCTION("""COMPUTED_VALUE"""),6.3)</f>
        <v>6.3</v>
      </c>
      <c r="C8" s="3">
        <f>IFERROR(__xludf.DUMMYFUNCTION("""COMPUTED_VALUE"""),6.4)</f>
        <v>6.4</v>
      </c>
      <c r="D8" s="3">
        <f>IFERROR(__xludf.DUMMYFUNCTION("""COMPUTED_VALUE"""),6.3)</f>
        <v>6.3</v>
      </c>
      <c r="G8" s="13" t="s">
        <v>29</v>
      </c>
      <c r="H8" s="14" t="s">
        <v>30</v>
      </c>
      <c r="I8" s="14" t="s">
        <v>31</v>
      </c>
      <c r="J8" s="15" t="s">
        <v>32</v>
      </c>
    </row>
    <row r="9">
      <c r="A9" s="3" t="str">
        <f>IFERROR(__xludf.DUMMYFUNCTION("""COMPUTED_VALUE"""),"45-49 ans")</f>
        <v>45-49 ans</v>
      </c>
      <c r="B9" s="3">
        <f>IFERROR(__xludf.DUMMYFUNCTION("""COMPUTED_VALUE"""),6.1)</f>
        <v>6.1</v>
      </c>
      <c r="C9" s="3">
        <f>IFERROR(__xludf.DUMMYFUNCTION("""COMPUTED_VALUE"""),6.2)</f>
        <v>6.2</v>
      </c>
      <c r="D9" s="3">
        <f>IFERROR(__xludf.DUMMYFUNCTION("""COMPUTED_VALUE"""),6.1)</f>
        <v>6.1</v>
      </c>
      <c r="G9" s="16" t="s">
        <v>33</v>
      </c>
      <c r="H9" s="17" t="s">
        <v>34</v>
      </c>
      <c r="I9" s="17" t="s">
        <v>35</v>
      </c>
      <c r="J9" s="18" t="s">
        <v>36</v>
      </c>
    </row>
    <row r="10">
      <c r="A10" s="3" t="str">
        <f>IFERROR(__xludf.DUMMYFUNCTION("""COMPUTED_VALUE"""),"50-54 ans")</f>
        <v>50-54 ans</v>
      </c>
      <c r="B10" s="3">
        <f>IFERROR(__xludf.DUMMYFUNCTION("""COMPUTED_VALUE"""),6.3)</f>
        <v>6.3</v>
      </c>
      <c r="C10" s="3">
        <f>IFERROR(__xludf.DUMMYFUNCTION("""COMPUTED_VALUE"""),6.6)</f>
        <v>6.6</v>
      </c>
      <c r="D10" s="3">
        <f>IFERROR(__xludf.DUMMYFUNCTION("""COMPUTED_VALUE"""),6.5)</f>
        <v>6.5</v>
      </c>
      <c r="G10" s="13" t="s">
        <v>37</v>
      </c>
      <c r="H10" s="14" t="s">
        <v>38</v>
      </c>
      <c r="I10" s="14" t="s">
        <v>39</v>
      </c>
      <c r="J10" s="15" t="s">
        <v>40</v>
      </c>
    </row>
    <row r="11">
      <c r="A11" s="3" t="str">
        <f>IFERROR(__xludf.DUMMYFUNCTION("""COMPUTED_VALUE"""),"55-59 ans")</f>
        <v>55-59 ans</v>
      </c>
      <c r="B11" s="3">
        <f>IFERROR(__xludf.DUMMYFUNCTION("""COMPUTED_VALUE"""),6.3)</f>
        <v>6.3</v>
      </c>
      <c r="C11" s="3">
        <f>IFERROR(__xludf.DUMMYFUNCTION("""COMPUTED_VALUE"""),6.5)</f>
        <v>6.5</v>
      </c>
      <c r="D11" s="3">
        <f>IFERROR(__xludf.DUMMYFUNCTION("""COMPUTED_VALUE"""),6.4)</f>
        <v>6.4</v>
      </c>
      <c r="G11" s="16" t="s">
        <v>41</v>
      </c>
      <c r="H11" s="17" t="s">
        <v>42</v>
      </c>
      <c r="I11" s="17" t="s">
        <v>43</v>
      </c>
      <c r="J11" s="18" t="s">
        <v>44</v>
      </c>
    </row>
    <row r="12">
      <c r="A12" s="3" t="str">
        <f>IFERROR(__xludf.DUMMYFUNCTION("""COMPUTED_VALUE"""),"60-64 ans")</f>
        <v>60-64 ans</v>
      </c>
      <c r="B12" s="3">
        <f>IFERROR(__xludf.DUMMYFUNCTION("""COMPUTED_VALUE"""),6.3)</f>
        <v>6.3</v>
      </c>
      <c r="C12" s="3">
        <f>IFERROR(__xludf.DUMMYFUNCTION("""COMPUTED_VALUE"""),6.3)</f>
        <v>6.3</v>
      </c>
      <c r="D12" s="3">
        <f>IFERROR(__xludf.DUMMYFUNCTION("""COMPUTED_VALUE"""),6.3)</f>
        <v>6.3</v>
      </c>
      <c r="G12" s="13" t="s">
        <v>45</v>
      </c>
      <c r="H12" s="14" t="s">
        <v>46</v>
      </c>
      <c r="I12" s="14" t="s">
        <v>47</v>
      </c>
      <c r="J12" s="15" t="s">
        <v>48</v>
      </c>
    </row>
    <row r="13">
      <c r="A13" s="3" t="str">
        <f>IFERROR(__xludf.DUMMYFUNCTION("""COMPUTED_VALUE"""),"65-69 ans")</f>
        <v>65-69 ans</v>
      </c>
      <c r="B13" s="3">
        <f>IFERROR(__xludf.DUMMYFUNCTION("""COMPUTED_VALUE"""),5.9)</f>
        <v>5.9</v>
      </c>
      <c r="C13" s="3">
        <f>IFERROR(__xludf.DUMMYFUNCTION("""COMPUTED_VALUE"""),5.6)</f>
        <v>5.6</v>
      </c>
      <c r="D13" s="3">
        <f>IFERROR(__xludf.DUMMYFUNCTION("""COMPUTED_VALUE"""),5.8)</f>
        <v>5.8</v>
      </c>
      <c r="G13" s="16" t="s">
        <v>49</v>
      </c>
      <c r="H13" s="17" t="s">
        <v>50</v>
      </c>
      <c r="I13" s="17" t="s">
        <v>51</v>
      </c>
      <c r="J13" s="18" t="s">
        <v>52</v>
      </c>
    </row>
    <row r="14">
      <c r="A14" s="3" t="str">
        <f>IFERROR(__xludf.DUMMYFUNCTION("""COMPUTED_VALUE"""),"70-74 ans")</f>
        <v>70-74 ans</v>
      </c>
      <c r="B14" s="3">
        <f>IFERROR(__xludf.DUMMYFUNCTION("""COMPUTED_VALUE"""),5.6)</f>
        <v>5.6</v>
      </c>
      <c r="C14" s="3">
        <f>IFERROR(__xludf.DUMMYFUNCTION("""COMPUTED_VALUE"""),5.0)</f>
        <v>5</v>
      </c>
      <c r="D14" s="3">
        <f>IFERROR(__xludf.DUMMYFUNCTION("""COMPUTED_VALUE"""),5.3)</f>
        <v>5.3</v>
      </c>
      <c r="G14" s="13" t="s">
        <v>53</v>
      </c>
      <c r="H14" s="14" t="s">
        <v>54</v>
      </c>
      <c r="I14" s="14" t="s">
        <v>55</v>
      </c>
      <c r="J14" s="15" t="s">
        <v>56</v>
      </c>
    </row>
    <row r="15">
      <c r="A15" s="3" t="str">
        <f>IFERROR(__xludf.DUMMYFUNCTION("""COMPUTED_VALUE"""),"75 ans ou plus")</f>
        <v>75 ans ou plus</v>
      </c>
      <c r="B15" s="3">
        <f>IFERROR(__xludf.DUMMYFUNCTION("""COMPUTED_VALUE"""),12.8)</f>
        <v>12.8</v>
      </c>
      <c r="C15" s="3">
        <f>IFERROR(__xludf.DUMMYFUNCTION("""COMPUTED_VALUE"""),9.4)</f>
        <v>9.4</v>
      </c>
      <c r="D15" s="3">
        <f>IFERROR(__xludf.DUMMYFUNCTION("""COMPUTED_VALUE"""),11.1)</f>
        <v>11.1</v>
      </c>
      <c r="G15" s="16" t="s">
        <v>57</v>
      </c>
      <c r="H15" s="17" t="s">
        <v>58</v>
      </c>
      <c r="I15" s="17" t="s">
        <v>59</v>
      </c>
      <c r="J15" s="18" t="s">
        <v>60</v>
      </c>
    </row>
    <row r="16">
      <c r="A16" s="3" t="str">
        <f>IFERROR(__xludf.DUMMYFUNCTION("""COMPUTED_VALUE"""),"Ensemble")</f>
        <v>Ensemble</v>
      </c>
      <c r="B16" s="3">
        <f>IFERROR(__xludf.DUMMYFUNCTION("""COMPUTED_VALUE"""),100.0)</f>
        <v>100</v>
      </c>
      <c r="C16" s="3">
        <f>IFERROR(__xludf.DUMMYFUNCTION("""COMPUTED_VALUE"""),100.0)</f>
        <v>100</v>
      </c>
      <c r="D16" s="3">
        <f>IFERROR(__xludf.DUMMYFUNCTION("""COMPUTED_VALUE"""),100.0)</f>
        <v>100</v>
      </c>
      <c r="G16" s="19" t="s">
        <v>4</v>
      </c>
      <c r="H16" s="20" t="s">
        <v>61</v>
      </c>
      <c r="I16" s="20" t="s">
        <v>62</v>
      </c>
      <c r="J16" s="21" t="s">
        <v>63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 IMPORTHTML(""https://fr.wikipedia.org/wiki/Liste_de_tsunamis_notables"",""table"",1,""en_FR"")"),"Date")</f>
        <v>Date</v>
      </c>
      <c r="B1" s="3" t="str">
        <f>IFERROR(__xludf.DUMMYFUNCTION("""COMPUTED_VALUE"""),"Lieu")</f>
        <v>Lieu</v>
      </c>
      <c r="C1" s="3" t="str">
        <f>IFERROR(__xludf.DUMMYFUNCTION("""COMPUTED_VALUE"""),"Victimes")</f>
        <v>Victimes</v>
      </c>
      <c r="D1" s="3" t="str">
        <f>IFERROR(__xludf.DUMMYFUNCTION("""COMPUTED_VALUE"""),"Hauteur")</f>
        <v>Hauteur</v>
      </c>
      <c r="E1" s="3" t="str">
        <f>IFERROR(__xludf.DUMMYFUNCTION("""COMPUTED_VALUE"""),"Origine")</f>
        <v>Origine</v>
      </c>
      <c r="F1" s="3" t="str">
        <f>IFERROR(__xludf.DUMMYFUNCTION("""COMPUTED_VALUE"""),"Description")</f>
        <v>Description</v>
      </c>
    </row>
    <row r="2">
      <c r="A2" s="3">
        <f>IFERROR(__xludf.DUMMYFUNCTION("""COMPUTED_VALUE"""),-6.6038E7)</f>
        <v>-66038000</v>
      </c>
      <c r="B2" s="3" t="str">
        <f>IFERROR(__xludf.DUMMYFUNCTION("""COMPUTED_VALUE"""),"Mexique")</f>
        <v>Mexique</v>
      </c>
      <c r="C2" s="3"/>
      <c r="D2" s="3" t="str">
        <f>IFERROR(__xludf.DUMMYFUNCTION("""COMPUTED_VALUE"""),"1 500 m[1]")</f>
        <v>1 500 m[1]</v>
      </c>
      <c r="E2" s="3" t="str">
        <f>IFERROR(__xludf.DUMMYFUNCTION("""COMPUTED_VALUE"""),"Météorite")</f>
        <v>Météorite</v>
      </c>
      <c r="F2" s="3" t="str">
        <f>IFERROR(__xludf.DUMMYFUNCTION("""COMPUTED_VALUE"""),"Séparation Crétacé-Tertiaire. Une météorite s'écrase au large de la péninsule 
du Yucatán (actuel Mexique) provoquant probablement la fin des dinosaures 
non aviens, mais aussi un tsunami, dont les séquences, de 40 m d'épaisseur, 
sont visibles près de Cu"&amp;"ba. 
Article détaillé : Cratère de Chicxulub.")</f>
        <v>Séparation Crétacé-Tertiaire. Une météorite s'écrase au large de la péninsule 
du Yucatán (actuel Mexique) provoquant probablement la fin des dinosaures 
non aviens, mais aussi un tsunami, dont les séquences, de 40 m d'épaisseur, 
sont visibles près de Cuba. 
Article détaillé : Cratère de Chicxulub.</v>
      </c>
    </row>
    <row r="3">
      <c r="A3" s="3">
        <f>IFERROR(__xludf.DUMMYFUNCTION("""COMPUTED_VALUE"""),-1400000.0)</f>
        <v>-1400000</v>
      </c>
      <c r="B3" s="3" t="str">
        <f>IFERROR(__xludf.DUMMYFUNCTION("""COMPUTED_VALUE"""),"États-Unis")</f>
        <v>États-Unis</v>
      </c>
      <c r="C3" s="3"/>
      <c r="D3" s="3" t="str">
        <f>IFERROR(__xludf.DUMMYFUNCTION("""COMPUTED_VALUE"""),"610 m")</f>
        <v>610 m</v>
      </c>
      <c r="E3" s="3" t="str">
        <f>IFERROR(__xludf.DUMMYFUNCTION("""COMPUTED_VALUE"""),"Effondrement")</f>
        <v>Effondrement</v>
      </c>
      <c r="F3" s="3" t="str">
        <f>IFERROR(__xludf.DUMMYFUNCTION("""COMPUTED_VALUE"""),"Un tiers du volcan Molokai Est, à Molokai (Hawaii) s'est effondré dans 
l'océan Pacifique, générant un tsunami d'une hauteur locale estimée à 610 
mètres. La vague a atteint la Californie et le Mexique[2],[3],[4].")</f>
        <v>Un tiers du volcan Molokai Est, à Molokai (Hawaii) s'est effondré dans 
l'océan Pacifique, générant un tsunami d'une hauteur locale estimée à 610 
mètres. La vague a atteint la Californie et le Mexique[2],[3],[4].</v>
      </c>
    </row>
    <row r="4">
      <c r="A4" s="3">
        <f>IFERROR(__xludf.DUMMYFUNCTION("""COMPUTED_VALUE"""),-73000.0)</f>
        <v>-73000</v>
      </c>
      <c r="B4" s="3" t="str">
        <f>IFERROR(__xludf.DUMMYFUNCTION("""COMPUTED_VALUE"""),"Cap-Vert")</f>
        <v>Cap-Vert</v>
      </c>
      <c r="C4" s="3"/>
      <c r="D4" s="3" t="str">
        <f>IFERROR(__xludf.DUMMYFUNCTION("""COMPUTED_VALUE"""),"170 m")</f>
        <v>170 m</v>
      </c>
      <c r="E4" s="3" t="str">
        <f>IFERROR(__xludf.DUMMYFUNCTION("""COMPUTED_VALUE"""),"Effondrement")</f>
        <v>Effondrement</v>
      </c>
      <c r="F4" s="3" t="str">
        <f>IFERROR(__xludf.DUMMYFUNCTION("""COMPUTED_VALUE"""),"Effondrement du flanc est du volcan Pico do Fogo de l'île Fogo au Cap-Vert, 
provoquant un mégatsunami de 170 m de haut sur l'île de Santiago à 50 km de 
là[5].")</f>
        <v>Effondrement du flanc est du volcan Pico do Fogo de l'île Fogo au Cap-Vert, 
provoquant un mégatsunami de 170 m de haut sur l'île de Santiago à 50 km de 
là[5].</v>
      </c>
    </row>
    <row r="5">
      <c r="A5" s="3" t="str">
        <f>IFERROR(__xludf.DUMMYFUNCTION("""COMPUTED_VALUE"""),"−9 900 (env.)")</f>
        <v>−9 900 (env.)</v>
      </c>
      <c r="B5" s="3" t="str">
        <f>IFERROR(__xludf.DUMMYFUNCTION("""COMPUTED_VALUE"""),"Israël")</f>
        <v>Israël</v>
      </c>
      <c r="C5" s="3"/>
      <c r="D5" s="3" t="str">
        <f>IFERROR(__xludf.DUMMYFUNCTION("""COMPUTED_VALUE"""),"16 m")</f>
        <v>16 m</v>
      </c>
      <c r="E5" s="3"/>
      <c r="F5" s="3" t="str">
        <f>IFERROR(__xludf.DUMMYFUNCTION("""COMPUTED_VALUE"""),"Un méga-tsunami s'écrase sur les côtes de Dor en Israel, avançant jusqu'à 
3,5 km à l'intérieur des terres depuis l'ancienne côte de la Méditerranée 
orientale. Il atteint environ 16 mètres lors de l'impact avec la côte[6].")</f>
        <v>Un méga-tsunami s'écrase sur les côtes de Dor en Israel, avançant jusqu'à 
3,5 km à l'intérieur des terres depuis l'ancienne côte de la Méditerranée 
orientale. Il atteint environ 16 mètres lors de l'impact avec la côte[6].</v>
      </c>
    </row>
    <row r="6">
      <c r="A6" s="3" t="str">
        <f>IFERROR(__xludf.DUMMYFUNCTION("""COMPUTED_VALUE"""),"-6200 (env.)")</f>
        <v>-6200 (env.)</v>
      </c>
      <c r="B6" s="3" t="str">
        <f>IFERROR(__xludf.DUMMYFUNCTION("""COMPUTED_VALUE"""),"Norvège")</f>
        <v>Norvège</v>
      </c>
      <c r="C6" s="3"/>
      <c r="D6" s="3" t="str">
        <f>IFERROR(__xludf.DUMMYFUNCTION("""COMPUTED_VALUE"""),"20 m")</f>
        <v>20 m</v>
      </c>
      <c r="E6" s="3" t="str">
        <f>IFERROR(__xludf.DUMMYFUNCTION("""COMPUTED_VALUE"""),"Effondrement")</f>
        <v>Effondrement</v>
      </c>
      <c r="F6" s="3" t="str">
        <f>IFERROR(__xludf.DUMMYFUNCTION("""COMPUTED_VALUE"""),"Glissements de terrain sous-marin en mer de Norvège ayant provoqué un 
tsunami jusqu'en Écosse. 
Article détaillé : Glissements de terrain de Storegga.")</f>
        <v>Glissements de terrain sous-marin en mer de Norvège ayant provoqué un 
tsunami jusqu'en Écosse. 
Article détaillé : Glissements de terrain de Storegga.</v>
      </c>
    </row>
    <row r="7">
      <c r="A7" s="3" t="str">
        <f>IFERROR(__xludf.DUMMYFUNCTION("""COMPUTED_VALUE"""),"-3500 (env.)")</f>
        <v>-3500 (env.)</v>
      </c>
      <c r="B7" s="3" t="str">
        <f>IFERROR(__xludf.DUMMYFUNCTION("""COMPUTED_VALUE"""),"Écosse")</f>
        <v>Écosse</v>
      </c>
      <c r="C7" s="3"/>
      <c r="D7" s="3"/>
      <c r="E7" s="3" t="str">
        <f>IFERROR(__xludf.DUMMYFUNCTION("""COMPUTED_VALUE"""),"Non-déterminé")</f>
        <v>Non-déterminé</v>
      </c>
      <c r="F7" s="3" t="str">
        <f>IFERROR(__xludf.DUMMYFUNCTION("""COMPUTED_VALUE"""),"Le tsunami de Garth est un tsunami préhistorique qui s'est produit au large 
des îles Shetland. Son origine est inconnue ; des événements d'impact, des 
tremblements de terre et des glissements de terrain sous-marins similaires 
au glissement de Storegga "&amp;"en Norvège ont été proposés comme facteurs 
contribuant à cet événement. Très meurtrier, il laisse derrière lui les 
premiers exemples connus de charniers humains.
Article détaillé : Tsunami de Garth.")</f>
        <v>Le tsunami de Garth est un tsunami préhistorique qui s'est produit au large 
des îles Shetland. Son origine est inconnue ; des événements d'impact, des 
tremblements de terre et des glissements de terrain sous-marins similaires 
au glissement de Storegga en Norvège ont été proposés comme facteurs 
contribuant à cet événement. Très meurtrier, il laisse derrière lui les 
premiers exemples connus de charniers humains.
Article détaillé : Tsunami de Garth.</v>
      </c>
    </row>
    <row r="8">
      <c r="A8" s="3" t="str">
        <f>IFERROR(__xludf.DUMMYFUNCTION("""COMPUTED_VALUE"""),"-2000 (env.)")</f>
        <v>-2000 (env.)</v>
      </c>
      <c r="B8" s="3" t="str">
        <f>IFERROR(__xludf.DUMMYFUNCTION("""COMPUTED_VALUE"""),"Syrie")</f>
        <v>Syrie</v>
      </c>
      <c r="C8" s="3"/>
      <c r="D8" s="3"/>
      <c r="E8" s="3"/>
      <c r="F8" s="3" t="str">
        <f>IFERROR(__xludf.DUMMYFUNCTION("""COMPUTED_VALUE"""),"Tsunami le long des côtes de la Syrie[réf. souhaitée].")</f>
        <v>Tsunami le long des côtes de la Syrie[réf. souhaitée].</v>
      </c>
    </row>
    <row r="9">
      <c r="A9" s="3" t="str">
        <f>IFERROR(__xludf.DUMMYFUNCTION("""COMPUTED_VALUE"""),"-1600 (env.)")</f>
        <v>-1600 (env.)</v>
      </c>
      <c r="B9" s="3" t="str">
        <f>IFERROR(__xludf.DUMMYFUNCTION("""COMPUTED_VALUE"""),"Grèce")</f>
        <v>Grèce</v>
      </c>
      <c r="C9" s="3"/>
      <c r="D9" s="3" t="str">
        <f>IFERROR(__xludf.DUMMYFUNCTION("""COMPUTED_VALUE"""),"20 m")</f>
        <v>20 m</v>
      </c>
      <c r="E9" s="3" t="str">
        <f>IFERROR(__xludf.DUMMYFUNCTION("""COMPUTED_VALUE"""),"Volcan")</f>
        <v>Volcan</v>
      </c>
      <c r="F9" s="3" t="str">
        <f>IFERROR(__xludf.DUMMYFUNCTION("""COMPUTED_VALUE"""),"L'éruption du volcan de l'île grecque de Santorin provoque un tsunami d'une 
vingtaine de mètres en Crète qui contribue à la disparition de la civilisation 
minoenne. 
Article détaillé : Éruption minoenne.")</f>
        <v>L'éruption du volcan de l'île grecque de Santorin provoque un tsunami d'une 
vingtaine de mètres en Crète qui contribue à la disparition de la civilisation 
minoenne. 
Article détaillé : Éruption minoenne.</v>
      </c>
    </row>
    <row r="10">
      <c r="A10" s="3">
        <f>IFERROR(__xludf.DUMMYFUNCTION("""COMPUTED_VALUE"""),-479.0)</f>
        <v>-479</v>
      </c>
      <c r="B10" s="3" t="str">
        <f>IFERROR(__xludf.DUMMYFUNCTION("""COMPUTED_VALUE"""),"Grèce")</f>
        <v>Grèce</v>
      </c>
      <c r="C10" s="3"/>
      <c r="D10" s="3" t="str">
        <f>IFERROR(__xludf.DUMMYFUNCTION("""COMPUTED_VALUE"""),"2 m")</f>
        <v>2 m</v>
      </c>
      <c r="E10" s="3" t="str">
        <f>IFERROR(__xludf.DUMMYFUNCTION("""COMPUTED_VALUE"""),"Séisme")</f>
        <v>Séisme</v>
      </c>
      <c r="F10" s="3" t="str">
        <f>IFERROR(__xludf.DUMMYFUNCTION("""COMPUTED_VALUE"""),"Les troupes perses à l'assaut de la ville de Potidée, en Chalcidique, sont 
emportées par un tsunami. L’événement, décrit par Hérodote une trentaine 
d'années plus tard, pourrait être la plus ancienne description connue du 
phénomène[7].
Article détaillé "&amp;": Tsunami de 479 av. J.-C. en mer Égée.")</f>
        <v>Les troupes perses à l'assaut de la ville de Potidée, en Chalcidique, sont 
emportées par un tsunami. L’événement, décrit par Hérodote une trentaine 
d'années plus tard, pourrait être la plus ancienne description connue du 
phénomène[7].
Article détaillé : Tsunami de 479 av. J.-C. en mer Égée.</v>
      </c>
    </row>
    <row r="11">
      <c r="A11" s="3">
        <f>IFERROR(__xludf.DUMMYFUNCTION("""COMPUTED_VALUE"""),-373.0)</f>
        <v>-373</v>
      </c>
      <c r="B11" s="3" t="str">
        <f>IFERROR(__xludf.DUMMYFUNCTION("""COMPUTED_VALUE"""),"Grèce")</f>
        <v>Grèce</v>
      </c>
      <c r="C11" s="3" t="str">
        <f>IFERROR(__xludf.DUMMYFUNCTION("""COMPUTED_VALUE"""),"inconnue")</f>
        <v>inconnue</v>
      </c>
      <c r="D11" s="3"/>
      <c r="E11" s="3" t="str">
        <f>IFERROR(__xludf.DUMMYFUNCTION("""COMPUTED_VALUE"""),"Séisme")</f>
        <v>Séisme</v>
      </c>
      <c r="F11" s="3" t="str">
        <f>IFERROR(__xludf.DUMMYFUNCTION("""COMPUTED_VALUE"""),"Un séisme suivi d'un tsunami sur la côte nord de l'Achaïe provoque la 
destruction et l'engloutissement de la cité grecque d'Hélikè et de la plus 
grande partie de son territoire[8]. Ses ruines ont été localisées en 2001[9].")</f>
        <v>Un séisme suivi d'un tsunami sur la côte nord de l'Achaïe provoque la 
destruction et l'engloutissement de la cité grecque d'Hélikè et de la plus 
grande partie de son territoire[8]. Ses ruines ont été localisées en 2001[9].</v>
      </c>
    </row>
    <row r="12">
      <c r="A12" s="8">
        <f>IFERROR(__xludf.DUMMYFUNCTION("""COMPUTED_VALUE"""),-560444.0)</f>
        <v>-560444</v>
      </c>
      <c r="B12" s="3" t="str">
        <f>IFERROR(__xludf.DUMMYFUNCTION("""COMPUTED_VALUE"""),"Grèce
 Égypte
 Libye")</f>
        <v>Grèce
 Égypte
 Libye</v>
      </c>
      <c r="C12" s="3" t="str">
        <f>IFERROR(__xludf.DUMMYFUNCTION("""COMPUTED_VALUE"""),"5 000[10]")</f>
        <v>5 000[10]</v>
      </c>
      <c r="D12" s="3"/>
      <c r="E12" s="3" t="str">
        <f>IFERROR(__xludf.DUMMYFUNCTION("""COMPUTED_VALUE"""),"Séisme")</f>
        <v>Séisme</v>
      </c>
      <c r="F12" s="3" t="str">
        <f>IFERROR(__xludf.DUMMYFUNCTION("""COMPUTED_VALUE"""),"Séisme et tsunami ressentis dans toute la Méditerranée orientale et 
notamment à Alexandrie[11]
Article détaillé : Séisme du 21 juillet 365 en Crète.")</f>
        <v>Séisme et tsunami ressentis dans toute la Méditerranée orientale et 
notamment à Alexandrie[11]
Article détaillé : Séisme du 21 juillet 365 en Crète.</v>
      </c>
    </row>
    <row r="13">
      <c r="A13" s="3">
        <f>IFERROR(__xludf.DUMMYFUNCTION("""COMPUTED_VALUE"""),563.0)</f>
        <v>563</v>
      </c>
      <c r="B13" s="3" t="str">
        <f>IFERROR(__xludf.DUMMYFUNCTION("""COMPUTED_VALUE"""),"Suisse
 France")</f>
        <v>Suisse
 France</v>
      </c>
      <c r="C13" s="3"/>
      <c r="D13" s="3" t="str">
        <f>IFERROR(__xludf.DUMMYFUNCTION("""COMPUTED_VALUE"""),"13 m")</f>
        <v>13 m</v>
      </c>
      <c r="E13" s="3" t="str">
        <f>IFERROR(__xludf.DUMMYFUNCTION("""COMPUTED_VALUE"""),"Effondrement")</f>
        <v>Effondrement</v>
      </c>
      <c r="F13" s="3" t="str">
        <f>IFERROR(__xludf.DUMMYFUNCTION("""COMPUTED_VALUE"""),"Effondrement du Tauredunum à plusieurs kilomètres du Léman ; l'onde atteint 
le lac, ébranle les sédiments lacustres et provoque un tsunami de 8 m sur 
les villes d'Évian-les-Bains et Genève, et 13 m sur Lausanne[12].")</f>
        <v>Effondrement du Tauredunum à plusieurs kilomètres du Léman ; l'onde atteint 
le lac, ébranle les sédiments lacustres et provoque un tsunami de 8 m sur 
les villes d'Évian-les-Bains et Genève, et 13 m sur Lausanne[12].</v>
      </c>
    </row>
    <row r="14">
      <c r="A14" s="8">
        <f>IFERROR(__xludf.DUMMYFUNCTION("""COMPUTED_VALUE"""),-120490.0)</f>
        <v>-120490</v>
      </c>
      <c r="B14" s="3" t="str">
        <f>IFERROR(__xludf.DUMMYFUNCTION("""COMPUTED_VALUE"""),"Chili")</f>
        <v>Chili</v>
      </c>
      <c r="C14" s="3">
        <f>IFERROR(__xludf.DUMMYFUNCTION("""COMPUTED_VALUE"""),2000.0)</f>
        <v>2000</v>
      </c>
      <c r="D14" s="3"/>
      <c r="E14" s="3" t="str">
        <f>IFERROR(__xludf.DUMMYFUNCTION("""COMPUTED_VALUE"""),"Séisme")</f>
        <v>Séisme</v>
      </c>
      <c r="F14" s="3" t="str">
        <f>IFERROR(__xludf.DUMMYFUNCTION("""COMPUTED_VALUE"""),"Séisme de magnitude 8,3. La population chilienne a le temps de monter sur 
les hauteurs avant l'arrivée des vagues. 
Article détaillé : Séisme du 8 février 1570 à Concepción.")</f>
        <v>Séisme de magnitude 8,3. La population chilienne a le temps de monter sur 
les hauteurs avant l'arrivée des vagues. 
Article détaillé : Séisme du 8 février 1570 à Concepción.</v>
      </c>
    </row>
    <row r="15">
      <c r="A15" s="8">
        <f>IFERROR(__xludf.DUMMYFUNCTION("""COMPUTED_VALUE"""),-107711.0)</f>
        <v>-107711</v>
      </c>
      <c r="B15" s="3" t="str">
        <f>IFERROR(__xludf.DUMMYFUNCTION("""COMPUTED_VALUE"""),"Japon")</f>
        <v>Japon</v>
      </c>
      <c r="C15" s="3">
        <f>IFERROR(__xludf.DUMMYFUNCTION("""COMPUTED_VALUE"""),5000.0)</f>
        <v>5000</v>
      </c>
      <c r="D15" s="3"/>
      <c r="E15" s="3" t="str">
        <f>IFERROR(__xludf.DUMMYFUNCTION("""COMPUTED_VALUE"""),"Séisme")</f>
        <v>Séisme</v>
      </c>
      <c r="F15" s="3" t="str">
        <f>IFERROR(__xludf.DUMMYFUNCTION("""COMPUTED_VALUE"""),"Article détaillé : Séisme de 1605 à Nankai (en).")</f>
        <v>Article détaillé : Séisme de 1605 à Nankai (en).</v>
      </c>
    </row>
    <row r="16">
      <c r="A16" s="8">
        <f>IFERROR(__xludf.DUMMYFUNCTION("""COMPUTED_VALUE"""),-105218.0)</f>
        <v>-105218</v>
      </c>
      <c r="B16" s="3" t="str">
        <f>IFERROR(__xludf.DUMMYFUNCTION("""COMPUTED_VALUE"""),"Japon")</f>
        <v>Japon</v>
      </c>
      <c r="C16" s="3">
        <f>IFERROR(__xludf.DUMMYFUNCTION("""COMPUTED_VALUE"""),5000.0)</f>
        <v>5000</v>
      </c>
      <c r="D16" s="3" t="str">
        <f>IFERROR(__xludf.DUMMYFUNCTION("""COMPUTED_VALUE"""),"20 m")</f>
        <v>20 m</v>
      </c>
      <c r="E16" s="3" t="str">
        <f>IFERROR(__xludf.DUMMYFUNCTION("""COMPUTED_VALUE"""),"Séisme")</f>
        <v>Séisme</v>
      </c>
      <c r="F16" s="3" t="str">
        <f>IFERROR(__xludf.DUMMYFUNCTION("""COMPUTED_VALUE"""),"Article détaillé : Séisme de 1611 à Sanriku (en).")</f>
        <v>Article détaillé : Séisme de 1611 à Sanriku (en).</v>
      </c>
    </row>
    <row r="17">
      <c r="A17" s="8">
        <f>IFERROR(__xludf.DUMMYFUNCTION("""COMPUTED_VALUE"""),-82495.0)</f>
        <v>-82495</v>
      </c>
      <c r="B17" s="3" t="str">
        <f>IFERROR(__xludf.DUMMYFUNCTION("""COMPUTED_VALUE"""),"Indonésie")</f>
        <v>Indonésie</v>
      </c>
      <c r="C17" s="3">
        <f>IFERROR(__xludf.DUMMYFUNCTION("""COMPUTED_VALUE"""),2500.0)</f>
        <v>2500</v>
      </c>
      <c r="D17" s="3" t="str">
        <f>IFERROR(__xludf.DUMMYFUNCTION("""COMPUTED_VALUE"""),"100 m")</f>
        <v>100 m</v>
      </c>
      <c r="E17" s="3" t="str">
        <f>IFERROR(__xludf.DUMMYFUNCTION("""COMPUTED_VALUE"""),"Séisme")</f>
        <v>Séisme</v>
      </c>
      <c r="F17" s="3" t="str">
        <f>IFERROR(__xludf.DUMMYFUNCTION("""COMPUTED_VALUE"""),"[13]")</f>
        <v>[13]</v>
      </c>
    </row>
    <row r="18">
      <c r="A18" s="8">
        <f>IFERROR(__xludf.DUMMYFUNCTION("""COMPUTED_VALUE"""),-75810.0)</f>
        <v>-75810</v>
      </c>
      <c r="B18" s="3" t="str">
        <f>IFERROR(__xludf.DUMMYFUNCTION("""COMPUTED_VALUE"""),"Jamaïque")</f>
        <v>Jamaïque</v>
      </c>
      <c r="C18" s="3">
        <f>IFERROR(__xludf.DUMMYFUNCTION("""COMPUTED_VALUE"""),3000.0)</f>
        <v>3000</v>
      </c>
      <c r="D18" s="3" t="str">
        <f>IFERROR(__xludf.DUMMYFUNCTION("""COMPUTED_VALUE"""),"1,8 m")</f>
        <v>1,8 m</v>
      </c>
      <c r="E18" s="3" t="str">
        <f>IFERROR(__xludf.DUMMYFUNCTION("""COMPUTED_VALUE"""),"Séisme")</f>
        <v>Séisme</v>
      </c>
      <c r="F18" s="3" t="str">
        <f>IFERROR(__xludf.DUMMYFUNCTION("""COMPUTED_VALUE"""),"[14]")</f>
        <v>[14]</v>
      </c>
    </row>
    <row r="19">
      <c r="A19" s="8">
        <f>IFERROR(__xludf.DUMMYFUNCTION("""COMPUTED_VALUE"""),-73021.0)</f>
        <v>-73021</v>
      </c>
      <c r="B19" s="3" t="str">
        <f>IFERROR(__xludf.DUMMYFUNCTION("""COMPUTED_VALUE"""),"côte nord-ouest de l'Amérique du Nord
 Japon")</f>
        <v>côte nord-ouest de l'Amérique du Nord
 Japon</v>
      </c>
      <c r="C19" s="3"/>
      <c r="D19" s="3"/>
      <c r="E19" s="3" t="str">
        <f>IFERROR(__xludf.DUMMYFUNCTION("""COMPUTED_VALUE"""),"Séisme")</f>
        <v>Séisme</v>
      </c>
      <c r="F19" s="3" t="str">
        <f>IFERROR(__xludf.DUMMYFUNCTION("""COMPUTED_VALUE"""),"Séisme de Cascadia du 26 janvier 1700")</f>
        <v>Séisme de Cascadia du 26 janvier 1700</v>
      </c>
    </row>
    <row r="20">
      <c r="A20" s="8">
        <f>IFERROR(__xludf.DUMMYFUNCTION("""COMPUTED_VALUE"""),-71588.0)</f>
        <v>-71588</v>
      </c>
      <c r="B20" s="3" t="str">
        <f>IFERROR(__xludf.DUMMYFUNCTION("""COMPUTED_VALUE"""),"Japon")</f>
        <v>Japon</v>
      </c>
      <c r="C20" s="3">
        <f>IFERROR(__xludf.DUMMYFUNCTION("""COMPUTED_VALUE"""),5000.0)</f>
        <v>5000</v>
      </c>
      <c r="D20" s="3" t="str">
        <f>IFERROR(__xludf.DUMMYFUNCTION("""COMPUTED_VALUE"""),"10,5 m")</f>
        <v>10,5 m</v>
      </c>
      <c r="E20" s="3" t="str">
        <f>IFERROR(__xludf.DUMMYFUNCTION("""COMPUTED_VALUE"""),"Séisme")</f>
        <v>Séisme</v>
      </c>
      <c r="F20" s="3" t="str">
        <f>IFERROR(__xludf.DUMMYFUNCTION("""COMPUTED_VALUE"""),"Séisme magnitude 8,2. 20 000 maisons détruites[15].")</f>
        <v>Séisme magnitude 8,2. 20 000 maisons détruites[15].</v>
      </c>
    </row>
    <row r="21">
      <c r="A21" s="8">
        <f>IFERROR(__xludf.DUMMYFUNCTION("""COMPUTED_VALUE"""),-70190.0)</f>
        <v>-70190</v>
      </c>
      <c r="B21" s="3" t="str">
        <f>IFERROR(__xludf.DUMMYFUNCTION("""COMPUTED_VALUE"""),"Japon")</f>
        <v>Japon</v>
      </c>
      <c r="C21" s="3">
        <f>IFERROR(__xludf.DUMMYFUNCTION("""COMPUTED_VALUE"""),9000.0)</f>
        <v>9000</v>
      </c>
      <c r="D21" s="3" t="str">
        <f>IFERROR(__xludf.DUMMYFUNCTION("""COMPUTED_VALUE"""),"25,7 m")</f>
        <v>25,7 m</v>
      </c>
      <c r="E21" s="3" t="str">
        <f>IFERROR(__xludf.DUMMYFUNCTION("""COMPUTED_VALUE"""),"Séisme")</f>
        <v>Séisme</v>
      </c>
      <c r="F21" s="3" t="str">
        <f>IFERROR(__xludf.DUMMYFUNCTION("""COMPUTED_VALUE"""),"Séisme magnitude 8,4, 5 000 morts à Nankaido, 2 000 morts à Enshunada[16].")</f>
        <v>Séisme magnitude 8,4, 5 000 morts à Nankaido, 2 000 morts à Enshunada[16].</v>
      </c>
    </row>
    <row r="22">
      <c r="A22" s="8">
        <f>IFERROR(__xludf.DUMMYFUNCTION("""COMPUTED_VALUE"""),-59243.0)</f>
        <v>-59243</v>
      </c>
      <c r="B22" s="3" t="str">
        <f>IFERROR(__xludf.DUMMYFUNCTION("""COMPUTED_VALUE"""),"Russie")</f>
        <v>Russie</v>
      </c>
      <c r="C22" s="3" t="str">
        <f>IFERROR(__xludf.DUMMYFUNCTION("""COMPUTED_VALUE"""),"100 à 1 000")</f>
        <v>100 à 1 000</v>
      </c>
      <c r="D22" s="3" t="str">
        <f>IFERROR(__xludf.DUMMYFUNCTION("""COMPUTED_VALUE"""),"60 m")</f>
        <v>60 m</v>
      </c>
      <c r="E22" s="3" t="str">
        <f>IFERROR(__xludf.DUMMYFUNCTION("""COMPUTED_VALUE"""),"Séisme")</f>
        <v>Séisme</v>
      </c>
      <c r="F22" s="3" t="str">
        <f>IFERROR(__xludf.DUMMYFUNCTION("""COMPUTED_VALUE"""),"Un tsunami consécutif au séisme du Kamtchatka atteint 60 m de hauteur au 
nord des îles Kouriles[17].")</f>
        <v>Un tsunami consécutif au séisme du Kamtchatka atteint 60 m de hauteur au 
nord des îles Kouriles[17].</v>
      </c>
    </row>
    <row r="23">
      <c r="A23" s="8">
        <f>IFERROR(__xludf.DUMMYFUNCTION("""COMPUTED_VALUE"""),-55944.0)</f>
        <v>-55944</v>
      </c>
      <c r="B23" s="3" t="str">
        <f>IFERROR(__xludf.DUMMYFUNCTION("""COMPUTED_VALUE"""),"Pérou")</f>
        <v>Pérou</v>
      </c>
      <c r="C23" s="3">
        <f>IFERROR(__xludf.DUMMYFUNCTION("""COMPUTED_VALUE"""),4800.0)</f>
        <v>4800</v>
      </c>
      <c r="D23" s="3"/>
      <c r="E23" s="3"/>
      <c r="F23" s="3" t="str">
        <f>IFERROR(__xludf.DUMMYFUNCTION("""COMPUTED_VALUE"""),"Touche essentiellement Lima.")</f>
        <v>Touche essentiellement Lima.</v>
      </c>
    </row>
    <row r="24">
      <c r="A24" s="3" t="str">
        <f>IFERROR(__xludf.DUMMYFUNCTION("""COMPUTED_VALUE"""),"1er novembre 1755")</f>
        <v>1er novembre 1755</v>
      </c>
      <c r="B24" s="3" t="str">
        <f>IFERROR(__xludf.DUMMYFUNCTION("""COMPUTED_VALUE"""),"Portugal
 Maroc
 Espagne
océan Atlantique Nord")</f>
        <v>Portugal
 Maroc
 Espagne
océan Atlantique Nord</v>
      </c>
      <c r="C24" s="3">
        <f>IFERROR(__xludf.DUMMYFUNCTION("""COMPUTED_VALUE"""),90000.0)</f>
        <v>90000</v>
      </c>
      <c r="D24" s="3" t="str">
        <f>IFERROR(__xludf.DUMMYFUNCTION("""COMPUTED_VALUE"""),"18,3 m")</f>
        <v>18,3 m</v>
      </c>
      <c r="E24" s="3" t="str">
        <f>IFERROR(__xludf.DUMMYFUNCTION("""COMPUTED_VALUE"""),"Séisme")</f>
        <v>Séisme</v>
      </c>
      <c r="F24" s="3" t="str">
        <f>IFERROR(__xludf.DUMMYFUNCTION("""COMPUTED_VALUE"""),"Un séisme violent au large de Lisbonne, d'une magnitude estimée à 8,7 
ravage 85 % de la ville et provoque un tsunami qui déferle sur les côtes de 
l'Atlantique Nord, de l'Angleterre au Maroc, jusqu'aux Amériques[18]. 
Article détaillé : Séisme du 1er nov"&amp;"embre 1755 à Lisbonne.")</f>
        <v>Un séisme violent au large de Lisbonne, d'une magnitude estimée à 8,7 
ravage 85 % de la ville et provoque un tsunami qui déferle sur les côtes de 
l'Atlantique Nord, de l'Angleterre au Maroc, jusqu'aux Amériques[18]. 
Article détaillé : Séisme du 1er novembre 1755 à Lisbonne.</v>
      </c>
    </row>
    <row r="25">
      <c r="A25" s="8">
        <f>IFERROR(__xludf.DUMMYFUNCTION("""COMPUTED_VALUE"""),-48874.0)</f>
        <v>-48874</v>
      </c>
      <c r="B25" s="3" t="str">
        <f>IFERROR(__xludf.DUMMYFUNCTION("""COMPUTED_VALUE"""),"Japon")</f>
        <v>Japon</v>
      </c>
      <c r="C25" s="3">
        <f>IFERROR(__xludf.DUMMYFUNCTION("""COMPUTED_VALUE"""),1500.0)</f>
        <v>1500</v>
      </c>
      <c r="D25" s="3"/>
      <c r="E25" s="3" t="str">
        <f>IFERROR(__xludf.DUMMYFUNCTION("""COMPUTED_VALUE"""),"Séisme")</f>
        <v>Séisme</v>
      </c>
      <c r="F25" s="3" t="str">
        <f>IFERROR(__xludf.DUMMYFUNCTION("""COMPUTED_VALUE"""),"Séisme magnitude 6,9")</f>
        <v>Séisme magnitude 6,9</v>
      </c>
    </row>
    <row r="26">
      <c r="A26" s="8">
        <f>IFERROR(__xludf.DUMMYFUNCTION("""COMPUTED_VALUE"""),-47001.0)</f>
        <v>-47001</v>
      </c>
      <c r="B26" s="3" t="str">
        <f>IFERROR(__xludf.DUMMYFUNCTION("""COMPUTED_VALUE"""),"Japon")</f>
        <v>Japon</v>
      </c>
      <c r="C26" s="3">
        <f>IFERROR(__xludf.DUMMYFUNCTION("""COMPUTED_VALUE"""),13486.0)</f>
        <v>13486</v>
      </c>
      <c r="D26" s="3" t="str">
        <f>IFERROR(__xludf.DUMMYFUNCTION("""COMPUTED_VALUE"""),"85,40 m")</f>
        <v>85,40 m</v>
      </c>
      <c r="E26" s="3" t="str">
        <f>IFERROR(__xludf.DUMMYFUNCTION("""COMPUTED_VALUE"""),"Séisme")</f>
        <v>Séisme</v>
      </c>
      <c r="F26" s="3" t="str">
        <f>IFERROR(__xludf.DUMMYFUNCTION("""COMPUTED_VALUE"""),"Séisme magnitude 7,4, touche l'archipel Ryūkyū[19].")</f>
        <v>Séisme magnitude 7,4, touche l'archipel Ryūkyū[19].</v>
      </c>
    </row>
    <row r="27">
      <c r="A27" s="8">
        <f>IFERROR(__xludf.DUMMYFUNCTION("""COMPUTED_VALUE"""),-42955.0)</f>
        <v>-42955</v>
      </c>
      <c r="B27" s="3" t="str">
        <f>IFERROR(__xludf.DUMMYFUNCTION("""COMPUTED_VALUE"""),"Asie du Sud-Est
 Chine")</f>
        <v>Asie du Sud-Est
 Chine</v>
      </c>
      <c r="C27" s="3">
        <f>IFERROR(__xludf.DUMMYFUNCTION("""COMPUTED_VALUE"""),40000.0)</f>
        <v>40000</v>
      </c>
      <c r="D27" s="3" t="str">
        <f>IFERROR(__xludf.DUMMYFUNCTION("""COMPUTED_VALUE"""),"10 m")</f>
        <v>10 m</v>
      </c>
      <c r="E27" s="3" t="str">
        <f>IFERROR(__xludf.DUMMYFUNCTION("""COMPUTED_VALUE"""),"Séisme")</f>
        <v>Séisme</v>
      </c>
      <c r="F27" s="3" t="str">
        <f>IFERROR(__xludf.DUMMYFUNCTION("""COMPUTED_VALUE"""),"Séisme magnitude 7,0 Touche l'Asie du Sud-Est, principalement en Chine.")</f>
        <v>Séisme magnitude 7,0 Touche l'Asie du Sud-Est, principalement en Chine.</v>
      </c>
    </row>
    <row r="28">
      <c r="A28" s="8">
        <f>IFERROR(__xludf.DUMMYFUNCTION("""COMPUTED_VALUE"""),-42695.0)</f>
        <v>-42695</v>
      </c>
      <c r="B28" s="3" t="str">
        <f>IFERROR(__xludf.DUMMYFUNCTION("""COMPUTED_VALUE"""),"Italie")</f>
        <v>Italie</v>
      </c>
      <c r="C28" s="3">
        <f>IFERROR(__xludf.DUMMYFUNCTION("""COMPUTED_VALUE"""),1500.0)</f>
        <v>1500</v>
      </c>
      <c r="D28" s="3" t="str">
        <f>IFERROR(__xludf.DUMMYFUNCTION("""COMPUTED_VALUE"""),"16 m")</f>
        <v>16 m</v>
      </c>
      <c r="E28" s="3" t="str">
        <f>IFERROR(__xludf.DUMMYFUNCTION("""COMPUTED_VALUE"""),"Séisme")</f>
        <v>Séisme</v>
      </c>
      <c r="F28" s="3" t="str">
        <f>IFERROR(__xludf.DUMMYFUNCTION("""COMPUTED_VALUE"""),"Séisme de magnitude 5,9, dans le détroit de Messine[20].")</f>
        <v>Séisme de magnitude 5,9, dans le détroit de Messine[20].</v>
      </c>
    </row>
    <row r="29">
      <c r="A29" s="8">
        <f>IFERROR(__xludf.DUMMYFUNCTION("""COMPUTED_VALUE"""),-39303.0)</f>
        <v>-39303</v>
      </c>
      <c r="B29" s="3" t="str">
        <f>IFERROR(__xludf.DUMMYFUNCTION("""COMPUTED_VALUE"""),"Japon")</f>
        <v>Japon</v>
      </c>
      <c r="C29" s="3">
        <f>IFERROR(__xludf.DUMMYFUNCTION("""COMPUTED_VALUE"""),15000.0)</f>
        <v>15000</v>
      </c>
      <c r="D29" s="3" t="str">
        <f>IFERROR(__xludf.DUMMYFUNCTION("""COMPUTED_VALUE"""),"55 m")</f>
        <v>55 m</v>
      </c>
      <c r="E29" s="3" t="str">
        <f>IFERROR(__xludf.DUMMYFUNCTION("""COMPUTED_VALUE"""),"Séisme")</f>
        <v>Séisme</v>
      </c>
      <c r="F29" s="3" t="str">
        <f>IFERROR(__xludf.DUMMYFUNCTION("""COMPUTED_VALUE"""),"Séisme magnitude 6,4")</f>
        <v>Séisme magnitude 6,4</v>
      </c>
    </row>
    <row r="30">
      <c r="A30" s="8">
        <f>IFERROR(__xludf.DUMMYFUNCTION("""COMPUTED_VALUE"""),-30945.0)</f>
        <v>-30945</v>
      </c>
      <c r="B30" s="3" t="str">
        <f>IFERROR(__xludf.DUMMYFUNCTION("""COMPUTED_VALUE"""),"Indonésie")</f>
        <v>Indonésie</v>
      </c>
      <c r="C30" s="3">
        <f>IFERROR(__xludf.DUMMYFUNCTION("""COMPUTED_VALUE"""),5000.0)</f>
        <v>5000</v>
      </c>
      <c r="D30" s="3" t="str">
        <f>IFERROR(__xludf.DUMMYFUNCTION("""COMPUTED_VALUE"""),"4 m")</f>
        <v>4 m</v>
      </c>
      <c r="E30" s="3" t="str">
        <f>IFERROR(__xludf.DUMMYFUNCTION("""COMPUTED_VALUE"""),"Volcan")</f>
        <v>Volcan</v>
      </c>
      <c r="F30" s="3" t="str">
        <f>IFERROR(__xludf.DUMMYFUNCTION("""COMPUTED_VALUE"""),"Éruption volcanique du Tambora.")</f>
        <v>Éruption volcanique du Tambora.</v>
      </c>
    </row>
    <row r="31">
      <c r="A31" s="8">
        <f>IFERROR(__xludf.DUMMYFUNCTION("""COMPUTED_VALUE"""),-16442.0)</f>
        <v>-16442</v>
      </c>
      <c r="B31" s="3" t="str">
        <f>IFERROR(__xludf.DUMMYFUNCTION("""COMPUTED_VALUE"""),"Japon")</f>
        <v>Japon</v>
      </c>
      <c r="C31" s="3">
        <f>IFERROR(__xludf.DUMMYFUNCTION("""COMPUTED_VALUE"""),3000.0)</f>
        <v>3000</v>
      </c>
      <c r="D31" s="3" t="str">
        <f>IFERROR(__xludf.DUMMYFUNCTION("""COMPUTED_VALUE"""),"28 m")</f>
        <v>28 m</v>
      </c>
      <c r="E31" s="3" t="str">
        <f>IFERROR(__xludf.DUMMYFUNCTION("""COMPUTED_VALUE"""),"Séisme")</f>
        <v>Séisme</v>
      </c>
      <c r="F31" s="3"/>
    </row>
    <row r="32">
      <c r="A32" s="8">
        <f>IFERROR(__xludf.DUMMYFUNCTION("""COMPUTED_VALUE"""),-11461.0)</f>
        <v>-11461</v>
      </c>
      <c r="B32" s="3" t="str">
        <f>IFERROR(__xludf.DUMMYFUNCTION("""COMPUTED_VALUE"""),"Chili")</f>
        <v>Chili</v>
      </c>
      <c r="C32" s="3">
        <f>IFERROR(__xludf.DUMMYFUNCTION("""COMPUTED_VALUE"""),25000.0)</f>
        <v>25000</v>
      </c>
      <c r="D32" s="3" t="str">
        <f>IFERROR(__xludf.DUMMYFUNCTION("""COMPUTED_VALUE"""),"18 m")</f>
        <v>18 m</v>
      </c>
      <c r="E32" s="3" t="str">
        <f>IFERROR(__xludf.DUMMYFUNCTION("""COMPUTED_VALUE"""),"Séisme")</f>
        <v>Séisme</v>
      </c>
      <c r="F32" s="3" t="str">
        <f>IFERROR(__xludf.DUMMYFUNCTION("""COMPUTED_VALUE"""),"Observé en Nouvelle-Zélande. Dommages à Hawaii[21],[22],[23]")</f>
        <v>Observé en Nouvelle-Zélande. Dommages à Hawaii[21],[22],[23]</v>
      </c>
    </row>
    <row r="33">
      <c r="A33" s="8">
        <f>IFERROR(__xludf.DUMMYFUNCTION("""COMPUTED_VALUE"""),-5969.0)</f>
        <v>-5969</v>
      </c>
      <c r="B33" s="3" t="str">
        <f>IFERROR(__xludf.DUMMYFUNCTION("""COMPUTED_VALUE"""),"océan Indien")</f>
        <v>océan Indien</v>
      </c>
      <c r="C33" s="3">
        <f>IFERROR(__xludf.DUMMYFUNCTION("""COMPUTED_VALUE"""),36000.0)</f>
        <v>36000</v>
      </c>
      <c r="D33" s="3" t="str">
        <f>IFERROR(__xludf.DUMMYFUNCTION("""COMPUTED_VALUE"""),"40 m")</f>
        <v>40 m</v>
      </c>
      <c r="E33" s="3" t="str">
        <f>IFERROR(__xludf.DUMMYFUNCTION("""COMPUTED_VALUE"""),"Volcan")</f>
        <v>Volcan</v>
      </c>
      <c r="F33" s="3" t="str">
        <f>IFERROR(__xludf.DUMMYFUNCTION("""COMPUTED_VALUE"""),"Un tsunami provoqué par l'éruption du Krakatoa est détecté sur la plupart 
des côtes du globe, avec une élévation du niveau de la mer de 40 mètres 
près de la zone d'origine[24].
Article détaillé : Éruption du Krakatoa en 1883.")</f>
        <v>Un tsunami provoqué par l'éruption du Krakatoa est détecté sur la plupart 
des côtes du globe, avec une élévation du niveau de la mer de 40 mètres 
près de la zone d'origine[24].
Article détaillé : Éruption du Krakatoa en 1883.</v>
      </c>
    </row>
    <row r="34">
      <c r="A34" s="8">
        <f>IFERROR(__xludf.DUMMYFUNCTION("""COMPUTED_VALUE"""),-1293.0)</f>
        <v>-1293</v>
      </c>
      <c r="B34" s="3" t="str">
        <f>IFERROR(__xludf.DUMMYFUNCTION("""COMPUTED_VALUE"""),"Japon")</f>
        <v>Japon</v>
      </c>
      <c r="C34" s="3">
        <f>IFERROR(__xludf.DUMMYFUNCTION("""COMPUTED_VALUE"""),27000.0)</f>
        <v>27000</v>
      </c>
      <c r="D34" s="3" t="str">
        <f>IFERROR(__xludf.DUMMYFUNCTION("""COMPUTED_VALUE"""),"38,2 m")</f>
        <v>38,2 m</v>
      </c>
      <c r="E34" s="3" t="str">
        <f>IFERROR(__xludf.DUMMYFUNCTION("""COMPUTED_VALUE"""),"Séisme")</f>
        <v>Séisme</v>
      </c>
      <c r="F34" s="3" t="str">
        <f>IFERROR(__xludf.DUMMYFUNCTION("""COMPUTED_VALUE"""),"Séisme magnitude 7,6. Sanriku - Honshu[25],[26]")</f>
        <v>Séisme magnitude 7,6. Sanriku - Honshu[25],[26]</v>
      </c>
    </row>
    <row r="35">
      <c r="A35" s="8">
        <f>IFERROR(__xludf.DUMMYFUNCTION("""COMPUTED_VALUE"""),-92.0)</f>
        <v>-92</v>
      </c>
      <c r="B35" s="3" t="str">
        <f>IFERROR(__xludf.DUMMYFUNCTION("""COMPUTED_VALUE"""),"Indonésie")</f>
        <v>Indonésie</v>
      </c>
      <c r="C35" s="3">
        <f>IFERROR(__xludf.DUMMYFUNCTION("""COMPUTED_VALUE"""),3500.0)</f>
        <v>3500</v>
      </c>
      <c r="D35" s="3" t="str">
        <f>IFERROR(__xludf.DUMMYFUNCTION("""COMPUTED_VALUE"""),"12 m")</f>
        <v>12 m</v>
      </c>
      <c r="E35" s="3" t="str">
        <f>IFERROR(__xludf.DUMMYFUNCTION("""COMPUTED_VALUE"""),"Séisme")</f>
        <v>Séisme</v>
      </c>
      <c r="F35" s="3" t="str">
        <f>IFERROR(__xludf.DUMMYFUNCTION("""COMPUTED_VALUE"""),"Séisme magnitude 7,8")</f>
        <v>Séisme magnitude 7,8</v>
      </c>
    </row>
    <row r="36">
      <c r="A36" s="8">
        <f>IFERROR(__xludf.DUMMYFUNCTION("""COMPUTED_VALUE"""),2223.0)</f>
        <v>2223</v>
      </c>
      <c r="B36" s="3" t="str">
        <f>IFERROR(__xludf.DUMMYFUNCTION("""COMPUTED_VALUE"""),"Colombie
 Équateur")</f>
        <v>Colombie
 Équateur</v>
      </c>
      <c r="C36" s="3" t="str">
        <f>IFERROR(__xludf.DUMMYFUNCTION("""COMPUTED_VALUE"""),"1 000[27]")</f>
        <v>1 000[27]</v>
      </c>
      <c r="D36" s="3" t="str">
        <f>IFERROR(__xludf.DUMMYFUNCTION("""COMPUTED_VALUE"""),"5 m")</f>
        <v>5 m</v>
      </c>
      <c r="E36" s="3" t="str">
        <f>IFERROR(__xludf.DUMMYFUNCTION("""COMPUTED_VALUE"""),"Séisme")</f>
        <v>Séisme</v>
      </c>
      <c r="F36" s="3" t="str">
        <f>IFERROR(__xludf.DUMMYFUNCTION("""COMPUTED_VALUE"""),"Séisme magnitude 8,8")</f>
        <v>Séisme magnitude 8,8</v>
      </c>
    </row>
    <row r="37">
      <c r="A37" s="8">
        <f>IFERROR(__xludf.DUMMYFUNCTION("""COMPUTED_VALUE"""),3285.0)</f>
        <v>3285</v>
      </c>
      <c r="B37" s="3" t="str">
        <f>IFERROR(__xludf.DUMMYFUNCTION("""COMPUTED_VALUE"""),"Italie")</f>
        <v>Italie</v>
      </c>
      <c r="C37" s="3">
        <f>IFERROR(__xludf.DUMMYFUNCTION("""COMPUTED_VALUE"""),95000.0)</f>
        <v>95000</v>
      </c>
      <c r="D37" s="3" t="str">
        <f>IFERROR(__xludf.DUMMYFUNCTION("""COMPUTED_VALUE"""),"13 m")</f>
        <v>13 m</v>
      </c>
      <c r="E37" s="3" t="str">
        <f>IFERROR(__xludf.DUMMYFUNCTION("""COMPUTED_VALUE"""),"Séisme")</f>
        <v>Séisme</v>
      </c>
      <c r="F37" s="3" t="str">
        <f>IFERROR(__xludf.DUMMYFUNCTION("""COMPUTED_VALUE"""),"80 000 victimes à Messine sur une population de 140 000 habitants. 
Article détaillé : Séisme du 28 décembre 1908 à Messine.")</f>
        <v>80 000 victimes à Messine sur une population de 140 000 habitants. 
Article détaillé : Séisme du 28 décembre 1908 à Messine.</v>
      </c>
    </row>
    <row r="38">
      <c r="A38" s="3" t="str">
        <f>IFERROR(__xludf.DUMMYFUNCTION("""COMPUTED_VALUE"""),"1er septembre 1923")</f>
        <v>1er septembre 1923</v>
      </c>
      <c r="B38" s="3" t="str">
        <f>IFERROR(__xludf.DUMMYFUNCTION("""COMPUTED_VALUE"""),"Japon")</f>
        <v>Japon</v>
      </c>
      <c r="C38" s="3">
        <f>IFERROR(__xludf.DUMMYFUNCTION("""COMPUTED_VALUE"""),2144.0)</f>
        <v>2144</v>
      </c>
      <c r="D38" s="3" t="str">
        <f>IFERROR(__xludf.DUMMYFUNCTION("""COMPUTED_VALUE"""),"13 m")</f>
        <v>13 m</v>
      </c>
      <c r="E38" s="3" t="str">
        <f>IFERROR(__xludf.DUMMYFUNCTION("""COMPUTED_VALUE"""),"Séisme")</f>
        <v>Séisme</v>
      </c>
      <c r="F38" s="3" t="str">
        <f>IFERROR(__xludf.DUMMYFUNCTION("""COMPUTED_VALUE"""),"Séisme magnitude 7,9 
Séisme de 1923 du Kantō")</f>
        <v>Séisme magnitude 7,9 
Séisme de 1923 du Kantō</v>
      </c>
    </row>
    <row r="39">
      <c r="A39" s="8">
        <f>IFERROR(__xludf.DUMMYFUNCTION("""COMPUTED_VALUE"""),10915.0)</f>
        <v>10915</v>
      </c>
      <c r="B39" s="3" t="str">
        <f>IFERROR(__xludf.DUMMYFUNCTION("""COMPUTED_VALUE"""),"Terre-Neuve
 Canada")</f>
        <v>Terre-Neuve
 Canada</v>
      </c>
      <c r="C39" s="3">
        <f>IFERROR(__xludf.DUMMYFUNCTION("""COMPUTED_VALUE"""),28.0)</f>
        <v>28</v>
      </c>
      <c r="D39" s="3" t="str">
        <f>IFERROR(__xludf.DUMMYFUNCTION("""COMPUTED_VALUE"""),"15 m")</f>
        <v>15 m</v>
      </c>
      <c r="E39" s="3" t="str">
        <f>IFERROR(__xludf.DUMMYFUNCTION("""COMPUTED_VALUE"""),"Séisme")</f>
        <v>Séisme</v>
      </c>
      <c r="F39" s="3" t="str">
        <f>IFERROR(__xludf.DUMMYFUNCTION("""COMPUTED_VALUE"""),"Un séisme de magnitude 7,2 à 400 km au sud de Terre-Neuve sur le bord des 
Grands Bancs provoque un tsunami qui frappe la côte sud de Terre-Neuve avec 
trois vagues de 15 mètres de haut. 
Article détaillé : Séisme de 1929 aux Grands Bancs.")</f>
        <v>Un séisme de magnitude 7,2 à 400 km au sud de Terre-Neuve sur le bord des 
Grands Bancs provoque un tsunami qui frappe la côte sud de Terre-Neuve avec 
trois vagues de 15 mètres de haut. 
Article détaillé : Séisme de 1929 aux Grands Bancs.</v>
      </c>
    </row>
    <row r="40">
      <c r="A40" s="8">
        <f>IFERROR(__xludf.DUMMYFUNCTION("""COMPUTED_VALUE"""),12115.0)</f>
        <v>12115</v>
      </c>
      <c r="B40" s="3" t="str">
        <f>IFERROR(__xludf.DUMMYFUNCTION("""COMPUTED_VALUE"""),"Japon")</f>
        <v>Japon</v>
      </c>
      <c r="C40" s="3" t="str">
        <f>IFERROR(__xludf.DUMMYFUNCTION("""COMPUTED_VALUE"""),"3 000[28],[29],[30]")</f>
        <v>3 000[28],[29],[30]</v>
      </c>
      <c r="D40" s="3" t="str">
        <f>IFERROR(__xludf.DUMMYFUNCTION("""COMPUTED_VALUE"""),"29 m")</f>
        <v>29 m</v>
      </c>
      <c r="E40" s="3" t="str">
        <f>IFERROR(__xludf.DUMMYFUNCTION("""COMPUTED_VALUE"""),"Séisme")</f>
        <v>Séisme</v>
      </c>
      <c r="F40" s="3" t="str">
        <f>IFERROR(__xludf.DUMMYFUNCTION("""COMPUTED_VALUE"""),"Séisme magnitude 8,3")</f>
        <v>Séisme magnitude 8,3</v>
      </c>
    </row>
    <row r="41">
      <c r="A41" s="3" t="str">
        <f>IFERROR(__xludf.DUMMYFUNCTION("""COMPUTED_VALUE"""),"1er avril 1946")</f>
        <v>1er avril 1946</v>
      </c>
      <c r="B41" s="3" t="str">
        <f>IFERROR(__xludf.DUMMYFUNCTION("""COMPUTED_VALUE"""),"océan Pacifique")</f>
        <v>océan Pacifique</v>
      </c>
      <c r="C41" s="3">
        <f>IFERROR(__xludf.DUMMYFUNCTION("""COMPUTED_VALUE"""),2000.0)</f>
        <v>2000</v>
      </c>
      <c r="D41" s="3" t="str">
        <f>IFERROR(__xludf.DUMMYFUNCTION("""COMPUTED_VALUE"""),"30 m")</f>
        <v>30 m</v>
      </c>
      <c r="E41" s="3" t="str">
        <f>IFERROR(__xludf.DUMMYFUNCTION("""COMPUTED_VALUE"""),"Séisme")</f>
        <v>Séisme</v>
      </c>
      <c r="F41" s="3" t="str">
        <f>IFERROR(__xludf.DUMMYFUNCTION("""COMPUTED_VALUE"""),"Un séisme de magnitude 8,6 au large de l'Alaska provoque un tsunami qui 
atteint 30 m en Alaska, 12 m à Hawaï, y causant 150 morts, et touche le 
Japon ainsi que la côte ouest des États-Unis[31].")</f>
        <v>Un séisme de magnitude 8,6 au large de l'Alaska provoque un tsunami qui 
atteint 30 m en Alaska, 12 m à Hawaï, y causant 150 morts, et touche le 
Japon ainsi que la côte ouest des États-Unis[31].</v>
      </c>
    </row>
    <row r="42">
      <c r="A42" s="8">
        <f>IFERROR(__xludf.DUMMYFUNCTION("""COMPUTED_VALUE"""),19303.0)</f>
        <v>19303</v>
      </c>
      <c r="B42" s="3" t="str">
        <f>IFERROR(__xludf.DUMMYFUNCTION("""COMPUTED_VALUE"""),"Îles Kouriles
 Russie")</f>
        <v>Îles Kouriles
 Russie</v>
      </c>
      <c r="C42" s="3">
        <f>IFERROR(__xludf.DUMMYFUNCTION("""COMPUTED_VALUE"""),10000.0)</f>
        <v>10000</v>
      </c>
      <c r="D42" s="3" t="str">
        <f>IFERROR(__xludf.DUMMYFUNCTION("""COMPUTED_VALUE"""),"18 m")</f>
        <v>18 m</v>
      </c>
      <c r="E42" s="3" t="str">
        <f>IFERROR(__xludf.DUMMYFUNCTION("""COMPUTED_VALUE"""),"Séisme")</f>
        <v>Séisme</v>
      </c>
      <c r="F42" s="3" t="str">
        <f>IFERROR(__xludf.DUMMYFUNCTION("""COMPUTED_VALUE"""),"Un séisme de magnitude 8,8 au large des Kouriles provoque un tsunami de 15 
à 18 m de hauteur[32].")</f>
        <v>Un séisme de magnitude 8,8 au large des Kouriles provoque un tsunami de 15 
à 18 m de hauteur[32].</v>
      </c>
    </row>
    <row r="43">
      <c r="A43" s="8">
        <f>IFERROR(__xludf.DUMMYFUNCTION("""COMPUTED_VALUE"""),21375.0)</f>
        <v>21375</v>
      </c>
      <c r="B43" s="3" t="str">
        <f>IFERROR(__xludf.DUMMYFUNCTION("""COMPUTED_VALUE"""),"Alaska
 États-Unis")</f>
        <v>Alaska
 États-Unis</v>
      </c>
      <c r="C43" s="3">
        <f>IFERROR(__xludf.DUMMYFUNCTION("""COMPUTED_VALUE"""),2.0)</f>
        <v>2</v>
      </c>
      <c r="D43" s="3" t="str">
        <f>IFERROR(__xludf.DUMMYFUNCTION("""COMPUTED_VALUE"""),"500 m")</f>
        <v>500 m</v>
      </c>
      <c r="E43" s="3" t="str">
        <f>IFERROR(__xludf.DUMMYFUNCTION("""COMPUTED_VALUE"""),"Effondrement")</f>
        <v>Effondrement</v>
      </c>
      <c r="F43" s="3" t="str">
        <f>IFERROR(__xludf.DUMMYFUNCTION("""COMPUTED_VALUE"""),"Un glissement de terrain consécutif à un fort séisme dans la baie Lituya en 
Alaska provoque le plus grand tsunami connu - il dévaste la végétation sur 
l'un des flancs jusqu’à une hauteur de 500 m - mais la géographie de la 
baie l'empêche de se propager"&amp;" dans l'océan Pacifique. 
Article détaillé : Mégatsunami de 1958 de la baie Lituya.")</f>
        <v>Un glissement de terrain consécutif à un fort séisme dans la baie Lituya en 
Alaska provoque le plus grand tsunami connu - il dévaste la végétation sur 
l'un des flancs jusqu’à une hauteur de 500 m - mais la géographie de la 
baie l'empêche de se propager dans l'océan Pacifique. 
Article détaillé : Mégatsunami de 1958 de la baie Lituya.</v>
      </c>
    </row>
    <row r="44">
      <c r="A44" s="8">
        <f>IFERROR(__xludf.DUMMYFUNCTION("""COMPUTED_VALUE"""),22058.0)</f>
        <v>22058</v>
      </c>
      <c r="B44" s="3" t="str">
        <f>IFERROR(__xludf.DUMMYFUNCTION("""COMPUTED_VALUE"""),"Chili et
océan Pacifique")</f>
        <v>Chili et
océan Pacifique</v>
      </c>
      <c r="C44" s="3">
        <f>IFERROR(__xludf.DUMMYFUNCTION("""COMPUTED_VALUE"""),5700.0)</f>
        <v>5700</v>
      </c>
      <c r="D44" s="3" t="str">
        <f>IFERROR(__xludf.DUMMYFUNCTION("""COMPUTED_VALUE"""),"25 m")</f>
        <v>25 m</v>
      </c>
      <c r="E44" s="3" t="str">
        <f>IFERROR(__xludf.DUMMYFUNCTION("""COMPUTED_VALUE"""),"Séisme")</f>
        <v>Séisme</v>
      </c>
      <c r="F44" s="3" t="str">
        <f>IFERROR(__xludf.DUMMYFUNCTION("""COMPUTED_VALUE"""),"Un séisme de magnitude 9,5 au Chili provoque un tsunami meurtrier d'une 
hauteur allant jusqu’à 25 m au Chili (environ 5 700 personnes ont péri dans 
le pays), 10 m à Hawaï et 3 m au Japon (130 morts)[33]. 
Article détaillé : Séisme de 1960 à Valdivia.")</f>
        <v>Un séisme de magnitude 9,5 au Chili provoque un tsunami meurtrier d'une 
hauteur allant jusqu’à 25 m au Chili (environ 5 700 personnes ont péri dans 
le pays), 10 m à Hawaï et 3 m au Japon (130 morts)[33]. 
Article détaillé : Séisme de 1960 à Valdivia.</v>
      </c>
    </row>
    <row r="45">
      <c r="A45" s="8">
        <f>IFERROR(__xludf.DUMMYFUNCTION("""COMPUTED_VALUE"""),23463.0)</f>
        <v>23463</v>
      </c>
      <c r="B45" s="3" t="str">
        <f>IFERROR(__xludf.DUMMYFUNCTION("""COMPUTED_VALUE"""),"États-Unis")</f>
        <v>États-Unis</v>
      </c>
      <c r="C45" s="3" t="str">
        <f>IFERROR(__xludf.DUMMYFUNCTION("""COMPUTED_VALUE"""),"131[34]")</f>
        <v>131[34]</v>
      </c>
      <c r="D45" s="3" t="str">
        <f>IFERROR(__xludf.DUMMYFUNCTION("""COMPUTED_VALUE"""),"15 m")</f>
        <v>15 m</v>
      </c>
      <c r="E45" s="3" t="str">
        <f>IFERROR(__xludf.DUMMYFUNCTION("""COMPUTED_VALUE"""),"Séisme")</f>
        <v>Séisme</v>
      </c>
      <c r="F45" s="3" t="str">
        <f>IFERROR(__xludf.DUMMYFUNCTION("""COMPUTED_VALUE"""),"Un séisme de magnitude 9,2 au large de l'Alaska y provoque un tsunami de 15 
m[35].")</f>
        <v>Un séisme de magnitude 9,2 au large de l'Alaska y provoque un tsunami de 15 
m[35].</v>
      </c>
    </row>
    <row r="46">
      <c r="A46" s="8">
        <f>IFERROR(__xludf.DUMMYFUNCTION("""COMPUTED_VALUE"""),27989.0)</f>
        <v>27989</v>
      </c>
      <c r="B46" s="3" t="str">
        <f>IFERROR(__xludf.DUMMYFUNCTION("""COMPUTED_VALUE"""),"Philippines")</f>
        <v>Philippines</v>
      </c>
      <c r="C46" s="3">
        <f>IFERROR(__xludf.DUMMYFUNCTION("""COMPUTED_VALUE"""),5000.0)</f>
        <v>5000</v>
      </c>
      <c r="D46" s="3" t="str">
        <f>IFERROR(__xludf.DUMMYFUNCTION("""COMPUTED_VALUE"""),"5 m")</f>
        <v>5 m</v>
      </c>
      <c r="E46" s="3" t="str">
        <f>IFERROR(__xludf.DUMMYFUNCTION("""COMPUTED_VALUE"""),"Séisme")</f>
        <v>Séisme</v>
      </c>
      <c r="F46" s="3" t="str">
        <f>IFERROR(__xludf.DUMMYFUNCTION("""COMPUTED_VALUE"""),"Un séisme d’une magnitude de 8,0 frappe les îles philippines[36].")</f>
        <v>Un séisme d’une magnitude de 8,0 frappe les îles philippines[36].</v>
      </c>
    </row>
    <row r="47">
      <c r="A47" s="8">
        <f>IFERROR(__xludf.DUMMYFUNCTION("""COMPUTED_VALUE"""),29144.0)</f>
        <v>29144</v>
      </c>
      <c r="B47" s="3" t="str">
        <f>IFERROR(__xludf.DUMMYFUNCTION("""COMPUTED_VALUE"""),"France")</f>
        <v>France</v>
      </c>
      <c r="C47" s="3">
        <f>IFERROR(__xludf.DUMMYFUNCTION("""COMPUTED_VALUE"""),11.0)</f>
        <v>11</v>
      </c>
      <c r="D47" s="3" t="str">
        <f>IFERROR(__xludf.DUMMYFUNCTION("""COMPUTED_VALUE"""),"3,5 m")</f>
        <v>3,5 m</v>
      </c>
      <c r="E47" s="3" t="str">
        <f>IFERROR(__xludf.DUMMYFUNCTION("""COMPUTED_VALUE"""),"Éboulement")</f>
        <v>Éboulement</v>
      </c>
      <c r="F47" s="3" t="str">
        <f>IFERROR(__xludf.DUMMYFUNCTION("""COMPUTED_VALUE"""),"Un glissement de terrain sous-marin, consécutif aux travaux d'une digue de 
l'aéroport de Nice, provoque un tsunami d'une hauteur de 3,5 m sur la Côte 
d'Azur (11 personnes ont péri).
Article détaillé : Tsunami de l'aéroport de Nice.")</f>
        <v>Un glissement de terrain sous-marin, consécutif aux travaux d'une digue de 
l'aéroport de Nice, provoque un tsunami d'une hauteur de 3,5 m sur la Côte 
d'Azur (11 personnes ont péri).
Article détaillé : Tsunami de l'aéroport de Nice.</v>
      </c>
    </row>
    <row r="48">
      <c r="A48" s="8">
        <f>IFERROR(__xludf.DUMMYFUNCTION("""COMPUTED_VALUE"""),31265.0)</f>
        <v>31265</v>
      </c>
      <c r="B48" s="3" t="str">
        <f>IFERROR(__xludf.DUMMYFUNCTION("""COMPUTED_VALUE"""),"France")</f>
        <v>France</v>
      </c>
      <c r="C48" s="3">
        <f>IFERROR(__xludf.DUMMYFUNCTION("""COMPUTED_VALUE"""),1.0)</f>
        <v>1</v>
      </c>
      <c r="D48" s="3" t="str">
        <f>IFERROR(__xludf.DUMMYFUNCTION("""COMPUTED_VALUE"""),"2,5 m")</f>
        <v>2,5 m</v>
      </c>
      <c r="E48" s="3" t="str">
        <f>IFERROR(__xludf.DUMMYFUNCTION("""COMPUTED_VALUE"""),"Séisme")</f>
        <v>Séisme</v>
      </c>
      <c r="F48" s="3" t="str">
        <f>IFERROR(__xludf.DUMMYFUNCTION("""COMPUTED_VALUE"""),"Un glissement de terrain sous-marin, consécutif à un séisme sur les abords 
de la Camargue, provoque un tsunami d'une hauteur de 2,5 m sur l'ensemble 
du littoral du Golfe du Lion, en particulier aux Saintes-Marie-de-la-Mer et 
à Port-Saint-Louis du Rhône"&amp;", causant des dommages à plus de 800 m dans les 
terres, tuant une personne et faisant une dizaine de blessés, tous surpris 
en pleine nuit.
Article détaillé : Raz-de-marée des Saintes-Maries-de-la-Mer.")</f>
        <v>Un glissement de terrain sous-marin, consécutif à un séisme sur les abords 
de la Camargue, provoque un tsunami d'une hauteur de 2,5 m sur l'ensemble 
du littoral du Golfe du Lion, en particulier aux Saintes-Marie-de-la-Mer et 
à Port-Saint-Louis du Rhône, causant des dommages à plus de 800 m dans les 
terres, tuant une personne et faisant une dizaine de blessés, tous surpris 
en pleine nuit.
Article détaillé : Raz-de-marée des Saintes-Maries-de-la-Mer.</v>
      </c>
    </row>
    <row r="49">
      <c r="A49" s="8">
        <f>IFERROR(__xludf.DUMMYFUNCTION("""COMPUTED_VALUE"""),33849.0)</f>
        <v>33849</v>
      </c>
      <c r="B49" s="3" t="str">
        <f>IFERROR(__xludf.DUMMYFUNCTION("""COMPUTED_VALUE"""),"Nicaragua")</f>
        <v>Nicaragua</v>
      </c>
      <c r="C49" s="3">
        <f>IFERROR(__xludf.DUMMYFUNCTION("""COMPUTED_VALUE"""),170.0)</f>
        <v>170</v>
      </c>
      <c r="D49" s="3" t="str">
        <f>IFERROR(__xludf.DUMMYFUNCTION("""COMPUTED_VALUE"""),"10 m")</f>
        <v>10 m</v>
      </c>
      <c r="E49" s="3" t="str">
        <f>IFERROR(__xludf.DUMMYFUNCTION("""COMPUTED_VALUE"""),"Séisme")</f>
        <v>Séisme</v>
      </c>
      <c r="F49" s="3" t="str">
        <f>IFERROR(__xludf.DUMMYFUNCTION("""COMPUTED_VALUE"""),"Séisme de magnitude 7,7[37]")</f>
        <v>Séisme de magnitude 7,7[37]</v>
      </c>
    </row>
    <row r="50">
      <c r="A50" s="8">
        <f>IFERROR(__xludf.DUMMYFUNCTION("""COMPUTED_VALUE"""),33950.0)</f>
        <v>33950</v>
      </c>
      <c r="B50" s="3" t="str">
        <f>IFERROR(__xludf.DUMMYFUNCTION("""COMPUTED_VALUE"""),"Indonésie")</f>
        <v>Indonésie</v>
      </c>
      <c r="C50" s="3">
        <f>IFERROR(__xludf.DUMMYFUNCTION("""COMPUTED_VALUE"""),2200.0)</f>
        <v>2200</v>
      </c>
      <c r="D50" s="3" t="str">
        <f>IFERROR(__xludf.DUMMYFUNCTION("""COMPUTED_VALUE"""),"26 m")</f>
        <v>26 m</v>
      </c>
      <c r="E50" s="3" t="str">
        <f>IFERROR(__xludf.DUMMYFUNCTION("""COMPUTED_VALUE"""),"Séisme")</f>
        <v>Séisme</v>
      </c>
      <c r="F50" s="3" t="str">
        <f>IFERROR(__xludf.DUMMYFUNCTION("""COMPUTED_VALUE"""),"Séisme de magnitude 7,8[38].")</f>
        <v>Séisme de magnitude 7,8[38].</v>
      </c>
    </row>
    <row r="51">
      <c r="A51" s="8">
        <f>IFERROR(__xludf.DUMMYFUNCTION("""COMPUTED_VALUE"""),34162.0)</f>
        <v>34162</v>
      </c>
      <c r="B51" s="3" t="str">
        <f>IFERROR(__xludf.DUMMYFUNCTION("""COMPUTED_VALUE"""),"île Okushiri
 Japon")</f>
        <v>île Okushiri
 Japon</v>
      </c>
      <c r="C51" s="3">
        <f>IFERROR(__xludf.DUMMYFUNCTION("""COMPUTED_VALUE"""),239.0)</f>
        <v>239</v>
      </c>
      <c r="D51" s="3" t="str">
        <f>IFERROR(__xludf.DUMMYFUNCTION("""COMPUTED_VALUE"""),"33 m")</f>
        <v>33 m</v>
      </c>
      <c r="E51" s="3" t="str">
        <f>IFERROR(__xludf.DUMMYFUNCTION("""COMPUTED_VALUE"""),"Séisme")</f>
        <v>Séisme</v>
      </c>
      <c r="F51" s="3" t="str">
        <f>IFERROR(__xludf.DUMMYFUNCTION("""COMPUTED_VALUE"""),"Le nombre de victimes est limité grâce au système d'alerte[39].")</f>
        <v>Le nombre de victimes est limité grâce au système d'alerte[39].</v>
      </c>
    </row>
    <row r="52">
      <c r="A52" s="8">
        <f>IFERROR(__xludf.DUMMYFUNCTION("""COMPUTED_VALUE"""),35993.0)</f>
        <v>35993</v>
      </c>
      <c r="B52" s="3" t="str">
        <f>IFERROR(__xludf.DUMMYFUNCTION("""COMPUTED_VALUE"""),"Papouasie-Nouvelle-Guinée")</f>
        <v>Papouasie-Nouvelle-Guinée</v>
      </c>
      <c r="C52" s="3">
        <f>IFERROR(__xludf.DUMMYFUNCTION("""COMPUTED_VALUE"""),2000.0)</f>
        <v>2000</v>
      </c>
      <c r="D52" s="3" t="str">
        <f>IFERROR(__xludf.DUMMYFUNCTION("""COMPUTED_VALUE"""),"15 m")</f>
        <v>15 m</v>
      </c>
      <c r="E52" s="3" t="str">
        <f>IFERROR(__xludf.DUMMYFUNCTION("""COMPUTED_VALUE"""),"Séisme")</f>
        <v>Séisme</v>
      </c>
      <c r="F52" s="3" t="str">
        <f>IFERROR(__xludf.DUMMYFUNCTION("""COMPUTED_VALUE"""),"Un glissement de terrain provoqué par un séisme de magnitude 7,0 engendre 
un tsunami local d'une hauteur maximale d'une quinzaine de mètres. 
Article détaillé : Séisme de 1998 en Papouasie-Nouvelle-Guinée.")</f>
        <v>Un glissement de terrain provoqué par un séisme de magnitude 7,0 engendre 
un tsunami local d'une hauteur maximale d'une quinzaine de mètres. 
Article détaillé : Séisme de 1998 en Papouasie-Nouvelle-Guinée.</v>
      </c>
    </row>
    <row r="53">
      <c r="A53" s="8">
        <f>IFERROR(__xludf.DUMMYFUNCTION("""COMPUTED_VALUE"""),36389.0)</f>
        <v>36389</v>
      </c>
      <c r="B53" s="3" t="str">
        <f>IFERROR(__xludf.DUMMYFUNCTION("""COMPUTED_VALUE"""),"Turquie")</f>
        <v>Turquie</v>
      </c>
      <c r="C53" s="3">
        <f>IFERROR(__xludf.DUMMYFUNCTION("""COMPUTED_VALUE"""),17480.0)</f>
        <v>17480</v>
      </c>
      <c r="D53" s="3" t="str">
        <f>IFERROR(__xludf.DUMMYFUNCTION("""COMPUTED_VALUE"""),"3 m")</f>
        <v>3 m</v>
      </c>
      <c r="E53" s="3" t="str">
        <f>IFERROR(__xludf.DUMMYFUNCTION("""COMPUTED_VALUE"""),"Séisme")</f>
        <v>Séisme</v>
      </c>
      <c r="F53" s="3" t="str">
        <f>IFERROR(__xludf.DUMMYFUNCTION("""COMPUTED_VALUE"""),"Séisme de magnitude 7,2 à 7,6 selon les instituts[40]
Article détaillé : Séisme de 1999 à Izmit.")</f>
        <v>Séisme de magnitude 7,2 à 7,6 selon les instituts[40]
Article détaillé : Séisme de 1999 à Izmit.</v>
      </c>
    </row>
    <row r="54">
      <c r="A54" s="8">
        <f>IFERROR(__xludf.DUMMYFUNCTION("""COMPUTED_VALUE"""),37762.0)</f>
        <v>37762</v>
      </c>
      <c r="B54" s="3" t="str">
        <f>IFERROR(__xludf.DUMMYFUNCTION("""COMPUTED_VALUE"""),"Algérie
 Espagne
 France")</f>
        <v>Algérie
 Espagne
 France</v>
      </c>
      <c r="C54" s="3">
        <f>IFERROR(__xludf.DUMMYFUNCTION("""COMPUTED_VALUE"""),2266.0)</f>
        <v>2266</v>
      </c>
      <c r="D54" s="3" t="str">
        <f>IFERROR(__xludf.DUMMYFUNCTION("""COMPUTED_VALUE"""),"3 m")</f>
        <v>3 m</v>
      </c>
      <c r="E54" s="3" t="str">
        <f>IFERROR(__xludf.DUMMYFUNCTION("""COMPUTED_VALUE"""),"Séisme")</f>
        <v>Séisme</v>
      </c>
      <c r="F54" s="3" t="str">
        <f>IFERROR(__xludf.DUMMYFUNCTION("""COMPUTED_VALUE"""),"Un séisme de magnitude 6,9 dans le nord de l'Algérie, causant la mort 
d'environ 2 300 personnes, déclenche un tsunami frappant les Baléares, 
l'Espagne et la France. La hauteur maximale de la vague est de 3 m[41]. 
Article détaillé : Séisme de 2003 à Bou"&amp;"merdès.")</f>
        <v>Un séisme de magnitude 6,9 dans le nord de l'Algérie, causant la mort 
d'environ 2 300 personnes, déclenche un tsunami frappant les Baléares, 
l'Espagne et la France. La hauteur maximale de la vague est de 3 m[41]. 
Article détaillé : Séisme de 2003 à Boumerdès.</v>
      </c>
    </row>
    <row r="55">
      <c r="A55" s="8">
        <f>IFERROR(__xludf.DUMMYFUNCTION("""COMPUTED_VALUE"""),38347.0)</f>
        <v>38347</v>
      </c>
      <c r="B55" s="3" t="str">
        <f>IFERROR(__xludf.DUMMYFUNCTION("""COMPUTED_VALUE"""),"Indonésie
 Thaïlande
 Sri Lanka
 Inde
 Maldives
 Somalie et
océan Indien")</f>
        <v>Indonésie
 Thaïlande
 Sri Lanka
 Inde
 Maldives
 Somalie et
océan Indien</v>
      </c>
      <c r="C55" s="3">
        <f>IFERROR(__xludf.DUMMYFUNCTION("""COMPUTED_VALUE"""),250000.0)</f>
        <v>250000</v>
      </c>
      <c r="D55" s="3" t="str">
        <f>IFERROR(__xludf.DUMMYFUNCTION("""COMPUTED_VALUE"""),"35 m")</f>
        <v>35 m</v>
      </c>
      <c r="E55" s="3" t="str">
        <f>IFERROR(__xludf.DUMMYFUNCTION("""COMPUTED_VALUE"""),"Séisme")</f>
        <v>Séisme</v>
      </c>
      <c r="F55" s="3" t="str">
        <f>IFERROR(__xludf.DUMMYFUNCTION("""COMPUTED_VALUE"""),"Un séisme de magnitude 9,1 à 9,3 au large de l'Indonésie provoque le 
tsunami le plus meurtrier de l'histoire, qui touche les pays d'Asie du Sud 
(Indonésie, Malaisie, Thaïlande, Inde, Sri Lanka) et, dans une moindre 
mesure, les côtes orientales de l'Afr"&amp;"ique. 
Article détaillé : Séisme et tsunami de 2004 dans l'océan Indien.")</f>
        <v>Un séisme de magnitude 9,1 à 9,3 au large de l'Indonésie provoque le 
tsunami le plus meurtrier de l'histoire, qui touche les pays d'Asie du Sud 
(Indonésie, Malaisie, Thaïlande, Inde, Sri Lanka) et, dans une moindre 
mesure, les côtes orientales de l'Afrique. 
Article détaillé : Séisme et tsunami de 2004 dans l'océan Indien.</v>
      </c>
    </row>
    <row r="56">
      <c r="A56" s="8">
        <f>IFERROR(__xludf.DUMMYFUNCTION("""COMPUTED_VALUE"""),38915.0)</f>
        <v>38915</v>
      </c>
      <c r="B56" s="3" t="str">
        <f>IFERROR(__xludf.DUMMYFUNCTION("""COMPUTED_VALUE"""),"Java
 Indonésie")</f>
        <v>Java
 Indonésie</v>
      </c>
      <c r="C56" s="3">
        <f>IFERROR(__xludf.DUMMYFUNCTION("""COMPUTED_VALUE"""),668.0)</f>
        <v>668</v>
      </c>
      <c r="D56" s="3" t="str">
        <f>IFERROR(__xludf.DUMMYFUNCTION("""COMPUTED_VALUE"""),"20,9 m")</f>
        <v>20,9 m</v>
      </c>
      <c r="E56" s="3" t="str">
        <f>IFERROR(__xludf.DUMMYFUNCTION("""COMPUTED_VALUE"""),"Séisme")</f>
        <v>Séisme</v>
      </c>
      <c r="F56" s="3" t="str">
        <f>IFERROR(__xludf.DUMMYFUNCTION("""COMPUTED_VALUE"""),"Un séisme de magnitude 7,7 au large de la côte sud de Java provoque un 
tsunami faisant 668 morts, 287 disparus, 878 blessés et environ 
100 000 sinistrés (au 22 juillet). Le système d'alerte mis en place après 
le tsunami du 26 décembre 2004 s'est révélé"&amp;" déficient. 
Article détaillé : Séisme de juillet 2006 à Java.")</f>
        <v>Un séisme de magnitude 7,7 au large de la côte sud de Java provoque un 
tsunami faisant 668 morts, 287 disparus, 878 blessés et environ 
100 000 sinistrés (au 22 juillet). Le système d'alerte mis en place après 
le tsunami du 26 décembre 2004 s'est révélé déficient. 
Article détaillé : Séisme de juillet 2006 à Java.</v>
      </c>
    </row>
    <row r="57">
      <c r="A57" s="8">
        <f>IFERROR(__xludf.DUMMYFUNCTION("""COMPUTED_VALUE"""),40085.0)</f>
        <v>40085</v>
      </c>
      <c r="B57" s="3" t="str">
        <f>IFERROR(__xludf.DUMMYFUNCTION("""COMPUTED_VALUE"""),"Samoa")</f>
        <v>Samoa</v>
      </c>
      <c r="C57" s="3">
        <f>IFERROR(__xludf.DUMMYFUNCTION("""COMPUTED_VALUE"""),178.0)</f>
        <v>178</v>
      </c>
      <c r="D57" s="3" t="str">
        <f>IFERROR(__xludf.DUMMYFUNCTION("""COMPUTED_VALUE"""),"22,35 m")</f>
        <v>22,35 m</v>
      </c>
      <c r="E57" s="3" t="str">
        <f>IFERROR(__xludf.DUMMYFUNCTION("""COMPUTED_VALUE"""),"Séisme")</f>
        <v>Séisme</v>
      </c>
      <c r="F57" s="3" t="str">
        <f>IFERROR(__xludf.DUMMYFUNCTION("""COMPUTED_VALUE"""),"Un séisme de magnitude 8,0 à 190 km au sud des Samoa provoque un tsunami 
faisant 178 morts (149 aux Samoa, 22 aux Samoa américaines, 7 aux Tonga) et 
environ 4 000 sinistrés. Plusieurs dizaines de kilomètres de côtes ont été 
dévastées sur près de 400 m "&amp;"dans les terres, notamment aux îles Samoa. 
Article détaillé : Séisme de 2009 aux Samoa.")</f>
        <v>Un séisme de magnitude 8,0 à 190 km au sud des Samoa provoque un tsunami 
faisant 178 morts (149 aux Samoa, 22 aux Samoa américaines, 7 aux Tonga) et 
environ 4 000 sinistrés. Plusieurs dizaines de kilomètres de côtes ont été 
dévastées sur près de 400 m dans les terres, notamment aux îles Samoa. 
Article détaillé : Séisme de 2009 aux Samoa.</v>
      </c>
    </row>
    <row r="58">
      <c r="A58" s="8">
        <f>IFERROR(__xludf.DUMMYFUNCTION("""COMPUTED_VALUE"""),40613.0)</f>
        <v>40613</v>
      </c>
      <c r="B58" s="3" t="str">
        <f>IFERROR(__xludf.DUMMYFUNCTION("""COMPUTED_VALUE"""),"Japon")</f>
        <v>Japon</v>
      </c>
      <c r="C58" s="3">
        <f>IFERROR(__xludf.DUMMYFUNCTION("""COMPUTED_VALUE"""),18457.0)</f>
        <v>18457</v>
      </c>
      <c r="D58" s="3" t="str">
        <f>IFERROR(__xludf.DUMMYFUNCTION("""COMPUTED_VALUE"""),"39 m")</f>
        <v>39 m</v>
      </c>
      <c r="E58" s="3" t="str">
        <f>IFERROR(__xludf.DUMMYFUNCTION("""COMPUTED_VALUE"""),"Séisme")</f>
        <v>Séisme</v>
      </c>
      <c r="F58" s="3" t="str">
        <f>IFERROR(__xludf.DUMMYFUNCTION("""COMPUTED_VALUE"""),"Un séisme de magnitude 9,0 déclenche un tsunami d'une hauteur maximale de 
39 m qui ravage des centaines de kilomètres de côtes au nord de Tokyo. Une 
vague de 15 m frappe la centrale nucléaire de Fukushima Daiichi[42]. 
Article détaillé : Séisme de 2011 "&amp;"de la côte Pacifique du Tōhoku.")</f>
        <v>Un séisme de magnitude 9,0 déclenche un tsunami d'une hauteur maximale de 
39 m qui ravage des centaines de kilomètres de côtes au nord de Tokyo. Une 
vague de 15 m frappe la centrale nucléaire de Fukushima Daiichi[42]. 
Article détaillé : Séisme de 2011 de la côte Pacifique du Tōhoku.</v>
      </c>
    </row>
    <row r="59">
      <c r="A59" s="8">
        <f>IFERROR(__xludf.DUMMYFUNCTION("""COMPUTED_VALUE"""),42294.0)</f>
        <v>42294</v>
      </c>
      <c r="B59" s="3" t="str">
        <f>IFERROR(__xludf.DUMMYFUNCTION("""COMPUTED_VALUE"""),"Alaska
 États-Unis")</f>
        <v>Alaska
 États-Unis</v>
      </c>
      <c r="C59" s="3">
        <f>IFERROR(__xludf.DUMMYFUNCTION("""COMPUTED_VALUE"""),0.0)</f>
        <v>0</v>
      </c>
      <c r="D59" s="3" t="str">
        <f>IFERROR(__xludf.DUMMYFUNCTION("""COMPUTED_VALUE"""),"200 m")</f>
        <v>200 m</v>
      </c>
      <c r="E59" s="3" t="str">
        <f>IFERROR(__xludf.DUMMYFUNCTION("""COMPUTED_VALUE"""),"Éboulement")</f>
        <v>Éboulement</v>
      </c>
      <c r="F59" s="3" t="str">
        <f>IFERROR(__xludf.DUMMYFUNCTION("""COMPUTED_VALUE"""),"Un éboulement de grande ampleur, consécutif au recul du glacier Tyndall, 
engendre un mégatsunami (l'un des plus grands de l'époque moderne) à Icy Bay
 (en), dans le fjord de Taan situé en Alaska[43]. Cependant, ce phénomène, 
pourtant majeur, passe inape"&amp;"rçu lorsqu'il se produit en raison notamment de 
la nature isolée et inoccupée de la zone concernée[44].")</f>
        <v>Un éboulement de grande ampleur, consécutif au recul du glacier Tyndall, 
engendre un mégatsunami (l'un des plus grands de l'époque moderne) à Icy Bay
 (en), dans le fjord de Taan situé en Alaska[43]. Cependant, ce phénomène, 
pourtant majeur, passe inaperçu lorsqu'il se produit en raison notamment de 
la nature isolée et inoccupée de la zone concernée[44].</v>
      </c>
    </row>
    <row r="60">
      <c r="A60" s="8">
        <f>IFERROR(__xludf.DUMMYFUNCTION("""COMPUTED_VALUE"""),42903.0)</f>
        <v>42903</v>
      </c>
      <c r="B60" s="3" t="str">
        <f>IFERROR(__xludf.DUMMYFUNCTION("""COMPUTED_VALUE"""),"Groenland")</f>
        <v>Groenland</v>
      </c>
      <c r="C60" s="3">
        <f>IFERROR(__xludf.DUMMYFUNCTION("""COMPUTED_VALUE"""),4.0)</f>
        <v>4</v>
      </c>
      <c r="D60" s="3" t="str">
        <f>IFERROR(__xludf.DUMMYFUNCTION("""COMPUTED_VALUE"""),"90 m")</f>
        <v>90 m</v>
      </c>
      <c r="E60" s="3" t="str">
        <f>IFERROR(__xludf.DUMMYFUNCTION("""COMPUTED_VALUE"""),"Éboulement")</f>
        <v>Éboulement</v>
      </c>
      <c r="F60" s="3" t="str">
        <f>IFERROR(__xludf.DUMMYFUNCTION("""COMPUTED_VALUE"""),"Un glissement de terrain majeur provoque un tsunami[45], dont la hauteur 
initiale atteint 90 mètres, engendrant la destruction de plusieurs zones 
d'habitations dans le nord-ouest du Groënland. 
Article détaillé : Tsunami de 2017 au Groenland.")</f>
        <v>Un glissement de terrain majeur provoque un tsunami[45], dont la hauteur 
initiale atteint 90 mètres, engendrant la destruction de plusieurs zones 
d'habitations dans le nord-ouest du Groënland. 
Article détaillé : Tsunami de 2017 au Groenland.</v>
      </c>
    </row>
    <row r="61">
      <c r="A61" s="8">
        <f>IFERROR(__xludf.DUMMYFUNCTION("""COMPUTED_VALUE"""),43371.0)</f>
        <v>43371</v>
      </c>
      <c r="B61" s="3" t="str">
        <f>IFERROR(__xludf.DUMMYFUNCTION("""COMPUTED_VALUE"""),"Indonésie")</f>
        <v>Indonésie</v>
      </c>
      <c r="C61" s="3">
        <f>IFERROR(__xludf.DUMMYFUNCTION("""COMPUTED_VALUE"""),2256.0)</f>
        <v>2256</v>
      </c>
      <c r="D61" s="3" t="str">
        <f>IFERROR(__xludf.DUMMYFUNCTION("""COMPUTED_VALUE"""),"6 m")</f>
        <v>6 m</v>
      </c>
      <c r="E61" s="3" t="str">
        <f>IFERROR(__xludf.DUMMYFUNCTION("""COMPUTED_VALUE"""),"Séisme")</f>
        <v>Séisme</v>
      </c>
      <c r="F61" s="3" t="str">
        <f>IFERROR(__xludf.DUMMYFUNCTION("""COMPUTED_VALUE"""),"Un séisme de magnitude 7,5 à 70 km au nord de Célèbes entraine 20 minutes 
plus tard un tsunami atteignant 6 m qui détruit en particulier la ville de 
Palu[46]. 
Article détaillé : Séisme de 2018 à Célèbes.")</f>
        <v>Un séisme de magnitude 7,5 à 70 km au nord de Célèbes entraine 20 minutes 
plus tard un tsunami atteignant 6 m qui détruit en particulier la ville de 
Palu[46]. 
Article détaillé : Séisme de 2018 à Célèbes.</v>
      </c>
    </row>
    <row r="62">
      <c r="A62" s="8">
        <f>IFERROR(__xludf.DUMMYFUNCTION("""COMPUTED_VALUE"""),43456.0)</f>
        <v>43456</v>
      </c>
      <c r="B62" s="3" t="str">
        <f>IFERROR(__xludf.DUMMYFUNCTION("""COMPUTED_VALUE"""),"Indonésie")</f>
        <v>Indonésie</v>
      </c>
      <c r="C62" s="3">
        <f>IFERROR(__xludf.DUMMYFUNCTION("""COMPUTED_VALUE"""),429.0)</f>
        <v>429</v>
      </c>
      <c r="D62" s="3" t="str">
        <f>IFERROR(__xludf.DUMMYFUNCTION("""COMPUTED_VALUE"""),"1,5 m")</f>
        <v>1,5 m</v>
      </c>
      <c r="E62" s="3" t="str">
        <f>IFERROR(__xludf.DUMMYFUNCTION("""COMPUTED_VALUE"""),"Volcan et peut-être marée haute")</f>
        <v>Volcan et peut-être marée haute</v>
      </c>
      <c r="F62" s="3" t="str">
        <f>IFERROR(__xludf.DUMMYFUNCTION("""COMPUTED_VALUE"""),"Une éruption de l'Anak Krakatoa provoque un tsunami qui déferle sur la côte 
vers 21 h 30 sur une longueur de 15 à 20 mètres à l'intérieur des terres. 
Article détaillé : Tsunami de 2018 du détroit de la Sonde.")</f>
        <v>Une éruption de l'Anak Krakatoa provoque un tsunami qui déferle sur la côte 
vers 21 h 30 sur une longueur de 15 à 20 mètres à l'intérieur des terres. 
Article détaillé : Tsunami de 2018 du détroit de la Sonde.</v>
      </c>
    </row>
    <row r="63">
      <c r="A63" s="8">
        <f>IFERROR(__xludf.DUMMYFUNCTION("""COMPUTED_VALUE"""),44576.0)</f>
        <v>44576</v>
      </c>
      <c r="B63" s="3" t="str">
        <f>IFERROR(__xludf.DUMMYFUNCTION("""COMPUTED_VALUE"""),"Tonga")</f>
        <v>Tonga</v>
      </c>
      <c r="C63" s="3">
        <f>IFERROR(__xludf.DUMMYFUNCTION("""COMPUTED_VALUE"""),5.0)</f>
        <v>5</v>
      </c>
      <c r="D63" s="3" t="str">
        <f>IFERROR(__xludf.DUMMYFUNCTION("""COMPUTED_VALUE"""),"90 m")</f>
        <v>90 m</v>
      </c>
      <c r="E63" s="3" t="str">
        <f>IFERROR(__xludf.DUMMYFUNCTION("""COMPUTED_VALUE"""),"Volcan")</f>
        <v>Volcan</v>
      </c>
      <c r="F63" s="3" t="str">
        <f>IFERROR(__xludf.DUMMYFUNCTION("""COMPUTED_VALUE"""),"Une éruption du Hunga Tonga provoque un tsunami avec une hauteur de 18 m. 
La hauteur de la vague diminue rapidement pour atteindre 1,2 mètres de haut 
sur les rives de l'Pacifique. 
Article détaillé : Éruption du Hunga Tonga en 2022.")</f>
        <v>Une éruption du Hunga Tonga provoque un tsunami avec une hauteur de 18 m. 
La hauteur de la vague diminue rapidement pour atteindre 1,2 mètres de haut 
sur les rives de l'Pacifique. 
Article détaillé : Éruption du Hunga Tonga en 2022.</v>
      </c>
    </row>
    <row r="64">
      <c r="A64" s="8">
        <f>IFERROR(__xludf.DUMMYFUNCTION("""COMPUTED_VALUE"""),45185.0)</f>
        <v>45185</v>
      </c>
      <c r="B64" s="3" t="str">
        <f>IFERROR(__xludf.DUMMYFUNCTION("""COMPUTED_VALUE"""),"Groenland")</f>
        <v>Groenland</v>
      </c>
      <c r="C64" s="3">
        <f>IFERROR(__xludf.DUMMYFUNCTION("""COMPUTED_VALUE"""),0.0)</f>
        <v>0</v>
      </c>
      <c r="D64" s="3" t="str">
        <f>IFERROR(__xludf.DUMMYFUNCTION("""COMPUTED_VALUE"""),"110 m")</f>
        <v>110 m</v>
      </c>
      <c r="E64" s="3" t="str">
        <f>IFERROR(__xludf.DUMMYFUNCTION("""COMPUTED_VALUE"""),"Éboulement")</f>
        <v>Éboulement</v>
      </c>
      <c r="F64" s="3" t="str">
        <f>IFERROR(__xludf.DUMMYFUNCTION("""COMPUTED_VALUE"""),"L'effondrement d'un pic montagneux de 25 Mm3 dans le fjord Dickson soulève 
l'eau à 200 m de haut et provoque un mégatsunami local avec une vague 
initiale de 110 m, qui s'est abaissée à 7 m dans les minutes qui ont suivi. 
Les oscillations de l'eau piégé"&amp;"e dans le fjord ont été enregistrées par les 
sismographes terrestres pendant 9 jours[47],[48].")</f>
        <v>L'effondrement d'un pic montagneux de 25 Mm3 dans le fjord Dickson soulève 
l'eau à 200 m de haut et provoque un mégatsunami local avec une vague 
initiale de 110 m, qui s'est abaissée à 7 m dans les minutes qui ont suivi. 
Les oscillations de l'eau piégée dans le fjord ont été enregistrées par les 
sismographes terrestres pendant 9 jours[47],[48].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tr">
        <f>IMPORTHTML("https://fr.wikipedia.org/wiki/Championnats_du_monde_d%27athl%C3%A9tisme_2023";"ta</f>
        <v>#ERROR!</v>
      </c>
    </row>
    <row r="2">
      <c r="A2" s="11"/>
    </row>
    <row r="8">
      <c r="A8" s="11" t="s">
        <v>64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 (""https://fr.wikipedia.org/wiki/Draft_2023_de_la_NBA"" , ""table"" , 7)"),"Choix")</f>
        <v>Choix</v>
      </c>
      <c r="B1" s="3" t="str">
        <f>IFERROR(__xludf.DUMMYFUNCTION("""COMPUTED_VALUE"""),"Nom")</f>
        <v>Nom</v>
      </c>
      <c r="C1" s="3" t="str">
        <f>IFERROR(__xludf.DUMMYFUNCTION("""COMPUTED_VALUE"""),"Position")</f>
        <v>Position</v>
      </c>
      <c r="D1" s="3" t="str">
        <f>IFERROR(__xludf.DUMMYFUNCTION("""COMPUTED_VALUE"""),"Nationalité")</f>
        <v>Nationalité</v>
      </c>
      <c r="E1" s="3" t="str">
        <f>IFERROR(__xludf.DUMMYFUNCTION("""COMPUTED_VALUE"""),"Équipe")</f>
        <v>Équipe</v>
      </c>
      <c r="F1" s="3" t="str">
        <f>IFERROR(__xludf.DUMMYFUNCTION("""COMPUTED_VALUE"""),"Provenance")</f>
        <v>Provenance</v>
      </c>
    </row>
    <row r="2">
      <c r="A2" s="11">
        <f>IFERROR(__xludf.DUMMYFUNCTION("""COMPUTED_VALUE"""),1.0)</f>
        <v>1</v>
      </c>
      <c r="B2" s="3" t="str">
        <f>IFERROR(__xludf.DUMMYFUNCTION("""COMPUTED_VALUE"""),"Victor Wembanyama+*R*")</f>
        <v>Victor Wembanyama+*R*</v>
      </c>
      <c r="C2" s="3" t="str">
        <f>IFERROR(__xludf.DUMMYFUNCTION("""COMPUTED_VALUE"""),"F/C")</f>
        <v>F/C</v>
      </c>
      <c r="D2" s="3" t="str">
        <f>IFERROR(__xludf.DUMMYFUNCTION("""COMPUTED_VALUE"""),"France")</f>
        <v>France</v>
      </c>
      <c r="E2" s="3" t="str">
        <f>IFERROR(__xludf.DUMMYFUNCTION("""COMPUTED_VALUE"""),"Spurs de San Antonio")</f>
        <v>Spurs de San Antonio</v>
      </c>
      <c r="F2" s="3" t="str">
        <f>IFERROR(__xludf.DUMMYFUNCTION("""COMPUTED_VALUE"""),"Metropolitans 92(France)")</f>
        <v>Metropolitans 92(France)</v>
      </c>
    </row>
    <row r="3">
      <c r="A3" s="11">
        <f>IFERROR(__xludf.DUMMYFUNCTION("""COMPUTED_VALUE"""),2.0)</f>
        <v>2</v>
      </c>
      <c r="B3" s="3" t="str">
        <f>IFERROR(__xludf.DUMMYFUNCTION("""COMPUTED_VALUE"""),"Brandon Miller")</f>
        <v>Brandon Miller</v>
      </c>
      <c r="C3" s="3" t="str">
        <f>IFERROR(__xludf.DUMMYFUNCTION("""COMPUTED_VALUE"""),"F")</f>
        <v>F</v>
      </c>
      <c r="D3" s="3" t="str">
        <f>IFERROR(__xludf.DUMMYFUNCTION("""COMPUTED_VALUE"""),"États-Unis")</f>
        <v>États-Unis</v>
      </c>
      <c r="E3" s="3" t="str">
        <f>IFERROR(__xludf.DUMMYFUNCTION("""COMPUTED_VALUE"""),"Hornets de Charlotte")</f>
        <v>Hornets de Charlotte</v>
      </c>
      <c r="F3" s="3" t="str">
        <f>IFERROR(__xludf.DUMMYFUNCTION("""COMPUTED_VALUE"""),"Crimson Tide de l'Alabama")</f>
        <v>Crimson Tide de l'Alabama</v>
      </c>
    </row>
    <row r="4">
      <c r="A4" s="3">
        <f>IFERROR(__xludf.DUMMYFUNCTION("""COMPUTED_VALUE"""),3.0)</f>
        <v>3</v>
      </c>
      <c r="B4" s="3" t="str">
        <f>IFERROR(__xludf.DUMMYFUNCTION("""COMPUTED_VALUE"""),"Scoot Henderson")</f>
        <v>Scoot Henderson</v>
      </c>
      <c r="C4" s="3" t="str">
        <f>IFERROR(__xludf.DUMMYFUNCTION("""COMPUTED_VALUE"""),"G")</f>
        <v>G</v>
      </c>
      <c r="D4" s="3" t="str">
        <f>IFERROR(__xludf.DUMMYFUNCTION("""COMPUTED_VALUE"""),"États-Unis")</f>
        <v>États-Unis</v>
      </c>
      <c r="E4" s="3" t="str">
        <f>IFERROR(__xludf.DUMMYFUNCTION("""COMPUTED_VALUE"""),"Trail Blazers de Portland")</f>
        <v>Trail Blazers de Portland</v>
      </c>
      <c r="F4" s="3" t="str">
        <f>IFERROR(__xludf.DUMMYFUNCTION("""COMPUTED_VALUE"""),"NBA G League Ignite(G League)")</f>
        <v>NBA G League Ignite(G League)</v>
      </c>
    </row>
    <row r="5">
      <c r="A5" s="3">
        <f>IFERROR(__xludf.DUMMYFUNCTION("""COMPUTED_VALUE"""),4.0)</f>
        <v>4</v>
      </c>
      <c r="B5" s="3" t="str">
        <f>IFERROR(__xludf.DUMMYFUNCTION("""COMPUTED_VALUE"""),"Amen Thompson")</f>
        <v>Amen Thompson</v>
      </c>
      <c r="C5" s="3" t="str">
        <f>IFERROR(__xludf.DUMMYFUNCTION("""COMPUTED_VALUE"""),"G")</f>
        <v>G</v>
      </c>
      <c r="D5" s="11" t="str">
        <f>IFERROR(__xludf.DUMMYFUNCTION("""COMPUTED_VALUE"""),"États-Unis")</f>
        <v>États-Unis</v>
      </c>
      <c r="E5" s="3" t="str">
        <f>IFERROR(__xludf.DUMMYFUNCTION("""COMPUTED_VALUE"""),"Rockets de Houston")</f>
        <v>Rockets de Houston</v>
      </c>
      <c r="F5" s="3" t="str">
        <f>IFERROR(__xludf.DUMMYFUNCTION("""COMPUTED_VALUE"""),"City Reapers (Overtime Elite)")</f>
        <v>City Reapers (Overtime Elite)</v>
      </c>
    </row>
    <row r="6">
      <c r="A6" s="3">
        <f>IFERROR(__xludf.DUMMYFUNCTION("""COMPUTED_VALUE"""),5.0)</f>
        <v>5</v>
      </c>
      <c r="B6" s="3" t="str">
        <f>IFERROR(__xludf.DUMMYFUNCTION("""COMPUTED_VALUE"""),"Ausar Thompson")</f>
        <v>Ausar Thompson</v>
      </c>
      <c r="C6" s="3" t="str">
        <f>IFERROR(__xludf.DUMMYFUNCTION("""COMPUTED_VALUE"""),"G/F")</f>
        <v>G/F</v>
      </c>
      <c r="D6" s="3" t="str">
        <f>IFERROR(__xludf.DUMMYFUNCTION("""COMPUTED_VALUE"""),"États-Unis")</f>
        <v>États-Unis</v>
      </c>
      <c r="E6" s="3" t="str">
        <f>IFERROR(__xludf.DUMMYFUNCTION("""COMPUTED_VALUE"""),"Pistons de Détroit")</f>
        <v>Pistons de Détroit</v>
      </c>
      <c r="F6" s="3" t="str">
        <f>IFERROR(__xludf.DUMMYFUNCTION("""COMPUTED_VALUE"""),"City Reapers (Overtime Elite)")</f>
        <v>City Reapers (Overtime Elite)</v>
      </c>
    </row>
    <row r="7">
      <c r="A7" s="3">
        <f>IFERROR(__xludf.DUMMYFUNCTION("""COMPUTED_VALUE"""),6.0)</f>
        <v>6</v>
      </c>
      <c r="B7" s="3" t="str">
        <f>IFERROR(__xludf.DUMMYFUNCTION("""COMPUTED_VALUE"""),"Anthony Black")</f>
        <v>Anthony Black</v>
      </c>
      <c r="C7" s="3" t="str">
        <f>IFERROR(__xludf.DUMMYFUNCTION("""COMPUTED_VALUE"""),"G")</f>
        <v>G</v>
      </c>
      <c r="D7" s="3" t="str">
        <f>IFERROR(__xludf.DUMMYFUNCTION("""COMPUTED_VALUE"""),"États-Unis")</f>
        <v>États-Unis</v>
      </c>
      <c r="E7" s="3" t="str">
        <f>IFERROR(__xludf.DUMMYFUNCTION("""COMPUTED_VALUE"""),"Magic d'Orlando")</f>
        <v>Magic d'Orlando</v>
      </c>
      <c r="F7" s="3" t="str">
        <f>IFERROR(__xludf.DUMMYFUNCTION("""COMPUTED_VALUE"""),"Razorbacks de l'Arkansas")</f>
        <v>Razorbacks de l'Arkansas</v>
      </c>
    </row>
    <row r="8">
      <c r="A8" s="3">
        <f>IFERROR(__xludf.DUMMYFUNCTION("""COMPUTED_VALUE"""),7.0)</f>
        <v>7</v>
      </c>
      <c r="B8" s="3" t="str">
        <f>IFERROR(__xludf.DUMMYFUNCTION("""COMPUTED_VALUE"""),"Bilal Coulibaly")</f>
        <v>Bilal Coulibaly</v>
      </c>
      <c r="C8" s="3" t="str">
        <f>IFERROR(__xludf.DUMMYFUNCTION("""COMPUTED_VALUE"""),"F")</f>
        <v>F</v>
      </c>
      <c r="D8" s="3" t="str">
        <f>IFERROR(__xludf.DUMMYFUNCTION("""COMPUTED_VALUE"""),"France")</f>
        <v>France</v>
      </c>
      <c r="E8" s="3" t="str">
        <f>IFERROR(__xludf.DUMMYFUNCTION("""COMPUTED_VALUE"""),"Pacers de l'Indiana(transféré à Washington)")</f>
        <v>Pacers de l'Indiana(transféré à Washington)</v>
      </c>
      <c r="F8" s="3" t="str">
        <f>IFERROR(__xludf.DUMMYFUNCTION("""COMPUTED_VALUE"""),"Metropolitans 92(France)")</f>
        <v>Metropolitans 92(France)</v>
      </c>
    </row>
    <row r="9">
      <c r="A9" s="3">
        <f>IFERROR(__xludf.DUMMYFUNCTION("""COMPUTED_VALUE"""),8.0)</f>
        <v>8</v>
      </c>
      <c r="B9" s="3" t="str">
        <f>IFERROR(__xludf.DUMMYFUNCTION("""COMPUTED_VALUE"""),"Jarace Walker")</f>
        <v>Jarace Walker</v>
      </c>
      <c r="C9" s="3" t="str">
        <f>IFERROR(__xludf.DUMMYFUNCTION("""COMPUTED_VALUE"""),"F")</f>
        <v>F</v>
      </c>
      <c r="D9" s="3" t="str">
        <f>IFERROR(__xludf.DUMMYFUNCTION("""COMPUTED_VALUE"""),"États-Unis")</f>
        <v>États-Unis</v>
      </c>
      <c r="E9" s="3" t="str">
        <f>IFERROR(__xludf.DUMMYFUNCTION("""COMPUTED_VALUE"""),"Wizards de Washington(transféré à Indiana)")</f>
        <v>Wizards de Washington(transféré à Indiana)</v>
      </c>
      <c r="F9" s="3" t="str">
        <f>IFERROR(__xludf.DUMMYFUNCTION("""COMPUTED_VALUE"""),"Cougars de Houston")</f>
        <v>Cougars de Houston</v>
      </c>
    </row>
    <row r="10">
      <c r="A10" s="3">
        <f>IFERROR(__xludf.DUMMYFUNCTION("""COMPUTED_VALUE"""),9.0)</f>
        <v>9</v>
      </c>
      <c r="B10" s="3" t="str">
        <f>IFERROR(__xludf.DUMMYFUNCTION("""COMPUTED_VALUE"""),"Taylor Hendricks")</f>
        <v>Taylor Hendricks</v>
      </c>
      <c r="C10" s="3" t="str">
        <f>IFERROR(__xludf.DUMMYFUNCTION("""COMPUTED_VALUE"""),"F")</f>
        <v>F</v>
      </c>
      <c r="D10" s="3" t="str">
        <f>IFERROR(__xludf.DUMMYFUNCTION("""COMPUTED_VALUE"""),"États-Unis")</f>
        <v>États-Unis</v>
      </c>
      <c r="E10" s="3" t="str">
        <f>IFERROR(__xludf.DUMMYFUNCTION("""COMPUTED_VALUE"""),"Jazz de l'Utah")</f>
        <v>Jazz de l'Utah</v>
      </c>
      <c r="F10" s="3" t="str">
        <f>IFERROR(__xludf.DUMMYFUNCTION("""COMPUTED_VALUE"""),"Knights de l'UCF")</f>
        <v>Knights de l'UCF</v>
      </c>
    </row>
    <row r="11">
      <c r="A11" s="3">
        <f>IFERROR(__xludf.DUMMYFUNCTION("""COMPUTED_VALUE"""),10.0)</f>
        <v>10</v>
      </c>
      <c r="B11" s="3" t="str">
        <f>IFERROR(__xludf.DUMMYFUNCTION("""COMPUTED_VALUE"""),"Cason Wallace")</f>
        <v>Cason Wallace</v>
      </c>
      <c r="C11" s="3" t="str">
        <f>IFERROR(__xludf.DUMMYFUNCTION("""COMPUTED_VALUE"""),"G")</f>
        <v>G</v>
      </c>
      <c r="D11" s="3" t="str">
        <f>IFERROR(__xludf.DUMMYFUNCTION("""COMPUTED_VALUE"""),"États-Unis")</f>
        <v>États-Unis</v>
      </c>
      <c r="E11" s="3" t="str">
        <f>IFERROR(__xludf.DUMMYFUNCTION("""COMPUTED_VALUE"""),"Mavericks de Dallas(transféré à Oklahoma City)")</f>
        <v>Mavericks de Dallas(transféré à Oklahoma City)</v>
      </c>
      <c r="F11" s="3" t="str">
        <f>IFERROR(__xludf.DUMMYFUNCTION("""COMPUTED_VALUE"""),"Wildcats du Kentucky")</f>
        <v>Wildcats du Kentucky</v>
      </c>
    </row>
    <row r="12">
      <c r="A12" s="3">
        <f>IFERROR(__xludf.DUMMYFUNCTION("""COMPUTED_VALUE"""),11.0)</f>
        <v>11</v>
      </c>
      <c r="B12" s="3" t="str">
        <f>IFERROR(__xludf.DUMMYFUNCTION("""COMPUTED_VALUE"""),"Jett Howard")</f>
        <v>Jett Howard</v>
      </c>
      <c r="C12" s="3" t="str">
        <f>IFERROR(__xludf.DUMMYFUNCTION("""COMPUTED_VALUE"""),"F")</f>
        <v>F</v>
      </c>
      <c r="D12" s="3" t="str">
        <f>IFERROR(__xludf.DUMMYFUNCTION("""COMPUTED_VALUE"""),"États-Unis")</f>
        <v>États-Unis</v>
      </c>
      <c r="E12" s="3" t="str">
        <f>IFERROR(__xludf.DUMMYFUNCTION("""COMPUTED_VALUE"""),"Magic d'Orlando(de Chicago)")</f>
        <v>Magic d'Orlando(de Chicago)</v>
      </c>
      <c r="F12" s="3" t="str">
        <f>IFERROR(__xludf.DUMMYFUNCTION("""COMPUTED_VALUE"""),"Wolverines du Michigan")</f>
        <v>Wolverines du Michigan</v>
      </c>
    </row>
    <row r="13">
      <c r="A13" s="3">
        <f>IFERROR(__xludf.DUMMYFUNCTION("""COMPUTED_VALUE"""),12.0)</f>
        <v>12</v>
      </c>
      <c r="B13" s="3" t="str">
        <f>IFERROR(__xludf.DUMMYFUNCTION("""COMPUTED_VALUE"""),"Dereck Lively II")</f>
        <v>Dereck Lively II</v>
      </c>
      <c r="C13" s="3" t="str">
        <f>IFERROR(__xludf.DUMMYFUNCTION("""COMPUTED_VALUE"""),"C")</f>
        <v>C</v>
      </c>
      <c r="D13" s="3" t="str">
        <f>IFERROR(__xludf.DUMMYFUNCTION("""COMPUTED_VALUE"""),"États-Unis")</f>
        <v>États-Unis</v>
      </c>
      <c r="E13" s="3" t="str">
        <f>IFERROR(__xludf.DUMMYFUNCTION("""COMPUTED_VALUE"""),"Thunder d'Oklahoma City(transféré à Dallas)")</f>
        <v>Thunder d'Oklahoma City(transféré à Dallas)</v>
      </c>
      <c r="F13" s="3" t="str">
        <f>IFERROR(__xludf.DUMMYFUNCTION("""COMPUTED_VALUE"""),"Blue Devils de Duke")</f>
        <v>Blue Devils de Duke</v>
      </c>
    </row>
    <row r="14">
      <c r="A14" s="3">
        <f>IFERROR(__xludf.DUMMYFUNCTION("""COMPUTED_VALUE"""),13.0)</f>
        <v>13</v>
      </c>
      <c r="B14" s="3" t="str">
        <f>IFERROR(__xludf.DUMMYFUNCTION("""COMPUTED_VALUE"""),"Gradey Dick")</f>
        <v>Gradey Dick</v>
      </c>
      <c r="C14" s="3" t="str">
        <f>IFERROR(__xludf.DUMMYFUNCTION("""COMPUTED_VALUE"""),"G")</f>
        <v>G</v>
      </c>
      <c r="D14" s="3" t="str">
        <f>IFERROR(__xludf.DUMMYFUNCTION("""COMPUTED_VALUE"""),"États-Unis")</f>
        <v>États-Unis</v>
      </c>
      <c r="E14" s="3" t="str">
        <f>IFERROR(__xludf.DUMMYFUNCTION("""COMPUTED_VALUE"""),"Raptors de Toronto")</f>
        <v>Raptors de Toronto</v>
      </c>
      <c r="F14" s="3" t="str">
        <f>IFERROR(__xludf.DUMMYFUNCTION("""COMPUTED_VALUE"""),"Jayhawks du Kansas")</f>
        <v>Jayhawks du Kansas</v>
      </c>
    </row>
    <row r="15">
      <c r="A15" s="3">
        <f>IFERROR(__xludf.DUMMYFUNCTION("""COMPUTED_VALUE"""),14.0)</f>
        <v>14</v>
      </c>
      <c r="B15" s="3" t="str">
        <f>IFERROR(__xludf.DUMMYFUNCTION("""COMPUTED_VALUE"""),"Jordan Hawkins")</f>
        <v>Jordan Hawkins</v>
      </c>
      <c r="C15" s="3" t="str">
        <f>IFERROR(__xludf.DUMMYFUNCTION("""COMPUTED_VALUE"""),"G")</f>
        <v>G</v>
      </c>
      <c r="D15" s="3" t="str">
        <f>IFERROR(__xludf.DUMMYFUNCTION("""COMPUTED_VALUE"""),"États-Unis")</f>
        <v>États-Unis</v>
      </c>
      <c r="E15" s="3" t="str">
        <f>IFERROR(__xludf.DUMMYFUNCTION("""COMPUTED_VALUE"""),"Pelicans de La Nouvelle-Orléans")</f>
        <v>Pelicans de La Nouvelle-Orléans</v>
      </c>
      <c r="F15" s="3" t="str">
        <f>IFERROR(__xludf.DUMMYFUNCTION("""COMPUTED_VALUE"""),"Huskies du Connecticut")</f>
        <v>Huskies du Connecticut</v>
      </c>
    </row>
    <row r="16">
      <c r="A16" s="3">
        <f>IFERROR(__xludf.DUMMYFUNCTION("""COMPUTED_VALUE"""),15.0)</f>
        <v>15</v>
      </c>
      <c r="B16" s="3" t="str">
        <f>IFERROR(__xludf.DUMMYFUNCTION("""COMPUTED_VALUE"""),"Kobe Bufkin")</f>
        <v>Kobe Bufkin</v>
      </c>
      <c r="C16" s="3" t="str">
        <f>IFERROR(__xludf.DUMMYFUNCTION("""COMPUTED_VALUE"""),"G")</f>
        <v>G</v>
      </c>
      <c r="D16" s="3" t="str">
        <f>IFERROR(__xludf.DUMMYFUNCTION("""COMPUTED_VALUE"""),"États-Unis")</f>
        <v>États-Unis</v>
      </c>
      <c r="E16" s="3" t="str">
        <f>IFERROR(__xludf.DUMMYFUNCTION("""COMPUTED_VALUE"""),"Hawks d'Atlanta")</f>
        <v>Hawks d'Atlanta</v>
      </c>
      <c r="F16" s="3" t="str">
        <f>IFERROR(__xludf.DUMMYFUNCTION("""COMPUTED_VALUE"""),"Wolverines du Michigan")</f>
        <v>Wolverines du Michigan</v>
      </c>
    </row>
    <row r="17">
      <c r="A17" s="3">
        <f>IFERROR(__xludf.DUMMYFUNCTION("""COMPUTED_VALUE"""),16.0)</f>
        <v>16</v>
      </c>
      <c r="B17" s="3" t="str">
        <f>IFERROR(__xludf.DUMMYFUNCTION("""COMPUTED_VALUE"""),"Keyonte George")</f>
        <v>Keyonte George</v>
      </c>
      <c r="C17" s="3" t="str">
        <f>IFERROR(__xludf.DUMMYFUNCTION("""COMPUTED_VALUE"""),"G")</f>
        <v>G</v>
      </c>
      <c r="D17" s="3" t="str">
        <f>IFERROR(__xludf.DUMMYFUNCTION("""COMPUTED_VALUE"""),"États-Unis")</f>
        <v>États-Unis</v>
      </c>
      <c r="E17" s="3" t="str">
        <f>IFERROR(__xludf.DUMMYFUNCTION("""COMPUTED_VALUE"""),"Jazz de l'Utah(de Minnesota)[A 1]")</f>
        <v>Jazz de l'Utah(de Minnesota)[A 1]</v>
      </c>
      <c r="F17" s="3" t="str">
        <f>IFERROR(__xludf.DUMMYFUNCTION("""COMPUTED_VALUE"""),"Bears de Baylor")</f>
        <v>Bears de Baylor</v>
      </c>
    </row>
    <row r="18">
      <c r="A18" s="3">
        <f>IFERROR(__xludf.DUMMYFUNCTION("""COMPUTED_VALUE"""),17.0)</f>
        <v>17</v>
      </c>
      <c r="B18" s="3" t="str">
        <f>IFERROR(__xludf.DUMMYFUNCTION("""COMPUTED_VALUE"""),"Jalen Hood-Schifino")</f>
        <v>Jalen Hood-Schifino</v>
      </c>
      <c r="C18" s="3" t="str">
        <f>IFERROR(__xludf.DUMMYFUNCTION("""COMPUTED_VALUE"""),"G")</f>
        <v>G</v>
      </c>
      <c r="D18" s="3" t="str">
        <f>IFERROR(__xludf.DUMMYFUNCTION("""COMPUTED_VALUE"""),"États-Unis")</f>
        <v>États-Unis</v>
      </c>
      <c r="E18" s="3" t="str">
        <f>IFERROR(__xludf.DUMMYFUNCTION("""COMPUTED_VALUE"""),"Lakers de Los Angeles")</f>
        <v>Lakers de Los Angeles</v>
      </c>
      <c r="F18" s="3" t="str">
        <f>IFERROR(__xludf.DUMMYFUNCTION("""COMPUTED_VALUE"""),"Hoosiers de l'Indiana")</f>
        <v>Hoosiers de l'Indiana</v>
      </c>
    </row>
    <row r="19">
      <c r="A19" s="3">
        <f>IFERROR(__xludf.DUMMYFUNCTION("""COMPUTED_VALUE"""),18.0)</f>
        <v>18</v>
      </c>
      <c r="B19" s="3" t="str">
        <f>IFERROR(__xludf.DUMMYFUNCTION("""COMPUTED_VALUE"""),"Jaime Jaquez Jr.")</f>
        <v>Jaime Jaquez Jr.</v>
      </c>
      <c r="C19" s="3" t="str">
        <f>IFERROR(__xludf.DUMMYFUNCTION("""COMPUTED_VALUE"""),"F")</f>
        <v>F</v>
      </c>
      <c r="D19" s="3" t="str">
        <f>IFERROR(__xludf.DUMMYFUNCTION("""COMPUTED_VALUE"""),"États-Unis
Mexique")</f>
        <v>États-Unis
Mexique</v>
      </c>
      <c r="E19" s="3" t="str">
        <f>IFERROR(__xludf.DUMMYFUNCTION("""COMPUTED_VALUE"""),"Heat de Miami")</f>
        <v>Heat de Miami</v>
      </c>
      <c r="F19" s="3" t="str">
        <f>IFERROR(__xludf.DUMMYFUNCTION("""COMPUTED_VALUE"""),"Bruins de l'UCLA")</f>
        <v>Bruins de l'UCLA</v>
      </c>
    </row>
    <row r="20">
      <c r="A20" s="3">
        <f>IFERROR(__xludf.DUMMYFUNCTION("""COMPUTED_VALUE"""),19.0)</f>
        <v>19</v>
      </c>
      <c r="B20" s="3" t="str">
        <f>IFERROR(__xludf.DUMMYFUNCTION("""COMPUTED_VALUE"""),"Brandin Podziemski")</f>
        <v>Brandin Podziemski</v>
      </c>
      <c r="C20" s="3" t="str">
        <f>IFERROR(__xludf.DUMMYFUNCTION("""COMPUTED_VALUE"""),"G")</f>
        <v>G</v>
      </c>
      <c r="D20" s="3" t="str">
        <f>IFERROR(__xludf.DUMMYFUNCTION("""COMPUTED_VALUE"""),"États-Unis")</f>
        <v>États-Unis</v>
      </c>
      <c r="E20" s="3" t="str">
        <f>IFERROR(__xludf.DUMMYFUNCTION("""COMPUTED_VALUE"""),"Warriors de Golden State")</f>
        <v>Warriors de Golden State</v>
      </c>
      <c r="F20" s="3" t="str">
        <f>IFERROR(__xludf.DUMMYFUNCTION("""COMPUTED_VALUE"""),"Broncos de Santa Clara")</f>
        <v>Broncos de Santa Clara</v>
      </c>
    </row>
    <row r="21">
      <c r="A21" s="3">
        <f>IFERROR(__xludf.DUMMYFUNCTION("""COMPUTED_VALUE"""),20.0)</f>
        <v>20</v>
      </c>
      <c r="B21" s="3" t="str">
        <f>IFERROR(__xludf.DUMMYFUNCTION("""COMPUTED_VALUE"""),"Cam Whitmore")</f>
        <v>Cam Whitmore</v>
      </c>
      <c r="C21" s="3" t="str">
        <f>IFERROR(__xludf.DUMMYFUNCTION("""COMPUTED_VALUE"""),"F")</f>
        <v>F</v>
      </c>
      <c r="D21" s="3" t="str">
        <f>IFERROR(__xludf.DUMMYFUNCTION("""COMPUTED_VALUE"""),"États-Unis")</f>
        <v>États-Unis</v>
      </c>
      <c r="E21" s="3" t="str">
        <f>IFERROR(__xludf.DUMMYFUNCTION("""COMPUTED_VALUE"""),"Rockets de Houston(de L.A. Clippers)[A 2]")</f>
        <v>Rockets de Houston(de L.A. Clippers)[A 2]</v>
      </c>
      <c r="F21" s="3" t="str">
        <f>IFERROR(__xludf.DUMMYFUNCTION("""COMPUTED_VALUE"""),"Wildcats de Villanova")</f>
        <v>Wildcats de Villanova</v>
      </c>
    </row>
    <row r="22">
      <c r="A22" s="3">
        <f>IFERROR(__xludf.DUMMYFUNCTION("""COMPUTED_VALUE"""),21.0)</f>
        <v>21</v>
      </c>
      <c r="B22" s="3" t="str">
        <f>IFERROR(__xludf.DUMMYFUNCTION("""COMPUTED_VALUE"""),"Noah Clowney")</f>
        <v>Noah Clowney</v>
      </c>
      <c r="C22" s="3" t="str">
        <f>IFERROR(__xludf.DUMMYFUNCTION("""COMPUTED_VALUE"""),"F")</f>
        <v>F</v>
      </c>
      <c r="D22" s="3" t="str">
        <f>IFERROR(__xludf.DUMMYFUNCTION("""COMPUTED_VALUE"""),"États-Unis")</f>
        <v>États-Unis</v>
      </c>
      <c r="E22" s="3" t="str">
        <f>IFERROR(__xludf.DUMMYFUNCTION("""COMPUTED_VALUE"""),"Nets de Brooklyn(de Phoenix)[A 3]")</f>
        <v>Nets de Brooklyn(de Phoenix)[A 3]</v>
      </c>
      <c r="F22" s="3" t="str">
        <f>IFERROR(__xludf.DUMMYFUNCTION("""COMPUTED_VALUE"""),"Crimson Tide de l'Alabama")</f>
        <v>Crimson Tide de l'Alabama</v>
      </c>
    </row>
    <row r="23">
      <c r="A23" s="3">
        <f>IFERROR(__xludf.DUMMYFUNCTION("""COMPUTED_VALUE"""),22.0)</f>
        <v>22</v>
      </c>
      <c r="B23" s="3" t="str">
        <f>IFERROR(__xludf.DUMMYFUNCTION("""COMPUTED_VALUE"""),"Dariq Whitehead")</f>
        <v>Dariq Whitehead</v>
      </c>
      <c r="C23" s="3" t="str">
        <f>IFERROR(__xludf.DUMMYFUNCTION("""COMPUTED_VALUE"""),"F")</f>
        <v>F</v>
      </c>
      <c r="D23" s="3" t="str">
        <f>IFERROR(__xludf.DUMMYFUNCTION("""COMPUTED_VALUE"""),"États-Unis")</f>
        <v>États-Unis</v>
      </c>
      <c r="E23" s="3" t="str">
        <f>IFERROR(__xludf.DUMMYFUNCTION("""COMPUTED_VALUE"""),"Nets de Brooklyn")</f>
        <v>Nets de Brooklyn</v>
      </c>
      <c r="F23" s="3" t="str">
        <f>IFERROR(__xludf.DUMMYFUNCTION("""COMPUTED_VALUE"""),"Blue Devils de Duke")</f>
        <v>Blue Devils de Duke</v>
      </c>
    </row>
    <row r="24">
      <c r="A24" s="3">
        <f>IFERROR(__xludf.DUMMYFUNCTION("""COMPUTED_VALUE"""),23.0)</f>
        <v>23</v>
      </c>
      <c r="B24" s="3" t="str">
        <f>IFERROR(__xludf.DUMMYFUNCTION("""COMPUTED_VALUE"""),"Kris Murray")</f>
        <v>Kris Murray</v>
      </c>
      <c r="C24" s="3" t="str">
        <f>IFERROR(__xludf.DUMMYFUNCTION("""COMPUTED_VALUE"""),"F")</f>
        <v>F</v>
      </c>
      <c r="D24" s="3" t="str">
        <f>IFERROR(__xludf.DUMMYFUNCTION("""COMPUTED_VALUE"""),"États-Unis")</f>
        <v>États-Unis</v>
      </c>
      <c r="E24" s="3" t="str">
        <f>IFERROR(__xludf.DUMMYFUNCTION("""COMPUTED_VALUE"""),"Trail Blazers de Portland(de New York)[A 4]")</f>
        <v>Trail Blazers de Portland(de New York)[A 4]</v>
      </c>
      <c r="F24" s="3" t="str">
        <f>IFERROR(__xludf.DUMMYFUNCTION("""COMPUTED_VALUE"""),"Hawkeyes de l'Iowa")</f>
        <v>Hawkeyes de l'Iowa</v>
      </c>
    </row>
    <row r="25">
      <c r="A25" s="3">
        <f>IFERROR(__xludf.DUMMYFUNCTION("""COMPUTED_VALUE"""),24.0)</f>
        <v>24</v>
      </c>
      <c r="B25" s="3" t="str">
        <f>IFERROR(__xludf.DUMMYFUNCTION("""COMPUTED_VALUE"""),"Olivier-Maxence Prosper")</f>
        <v>Olivier-Maxence Prosper</v>
      </c>
      <c r="C25" s="3" t="str">
        <f>IFERROR(__xludf.DUMMYFUNCTION("""COMPUTED_VALUE"""),"F")</f>
        <v>F</v>
      </c>
      <c r="D25" s="3" t="str">
        <f>IFERROR(__xludf.DUMMYFUNCTION("""COMPUTED_VALUE"""),"Canada")</f>
        <v>Canada</v>
      </c>
      <c r="E25" s="3" t="str">
        <f>IFERROR(__xludf.DUMMYFUNCTION("""COMPUTED_VALUE"""),"Kings de Sacramento(transféré à Dallas)")</f>
        <v>Kings de Sacramento(transféré à Dallas)</v>
      </c>
      <c r="F25" s="3" t="str">
        <f>IFERROR(__xludf.DUMMYFUNCTION("""COMPUTED_VALUE"""),"Golden Eagles de Marquette")</f>
        <v>Golden Eagles de Marquette</v>
      </c>
    </row>
    <row r="26">
      <c r="A26" s="3">
        <f>IFERROR(__xludf.DUMMYFUNCTION("""COMPUTED_VALUE"""),25.0)</f>
        <v>25</v>
      </c>
      <c r="B26" s="3" t="str">
        <f>IFERROR(__xludf.DUMMYFUNCTION("""COMPUTED_VALUE"""),"Marcus Sasser")</f>
        <v>Marcus Sasser</v>
      </c>
      <c r="C26" s="3" t="str">
        <f>IFERROR(__xludf.DUMMYFUNCTION("""COMPUTED_VALUE"""),"G")</f>
        <v>G</v>
      </c>
      <c r="D26" s="3" t="str">
        <f>IFERROR(__xludf.DUMMYFUNCTION("""COMPUTED_VALUE"""),"États-Unis")</f>
        <v>États-Unis</v>
      </c>
      <c r="E26" s="3" t="str">
        <f>IFERROR(__xludf.DUMMYFUNCTION("""COMPUTED_VALUE"""),"Grizzlies de Memphis(transféré à Détroit)")</f>
        <v>Grizzlies de Memphis(transféré à Détroit)</v>
      </c>
      <c r="F26" s="3" t="str">
        <f>IFERROR(__xludf.DUMMYFUNCTION("""COMPUTED_VALUE"""),"Cougars de Houston")</f>
        <v>Cougars de Houston</v>
      </c>
    </row>
    <row r="27">
      <c r="A27" s="3">
        <f>IFERROR(__xludf.DUMMYFUNCTION("""COMPUTED_VALUE"""),26.0)</f>
        <v>26</v>
      </c>
      <c r="B27" s="3" t="str">
        <f>IFERROR(__xludf.DUMMYFUNCTION("""COMPUTED_VALUE"""),"Ben Sheppard")</f>
        <v>Ben Sheppard</v>
      </c>
      <c r="C27" s="3" t="str">
        <f>IFERROR(__xludf.DUMMYFUNCTION("""COMPUTED_VALUE"""),"G")</f>
        <v>G</v>
      </c>
      <c r="D27" s="3" t="str">
        <f>IFERROR(__xludf.DUMMYFUNCTION("""COMPUTED_VALUE"""),"États-Unis")</f>
        <v>États-Unis</v>
      </c>
      <c r="E27" s="3" t="str">
        <f>IFERROR(__xludf.DUMMYFUNCTION("""COMPUTED_VALUE"""),"Pacers de l'Indiana(de Cleveland)[A 5]")</f>
        <v>Pacers de l'Indiana(de Cleveland)[A 5]</v>
      </c>
      <c r="F27" s="3" t="str">
        <f>IFERROR(__xludf.DUMMYFUNCTION("""COMPUTED_VALUE"""),"Bruins de Belmont")</f>
        <v>Bruins de Belmont</v>
      </c>
    </row>
    <row r="28">
      <c r="A28" s="3">
        <f>IFERROR(__xludf.DUMMYFUNCTION("""COMPUTED_VALUE"""),27.0)</f>
        <v>27</v>
      </c>
      <c r="B28" s="3" t="str">
        <f>IFERROR(__xludf.DUMMYFUNCTION("""COMPUTED_VALUE"""),"Nick Smith Jr.")</f>
        <v>Nick Smith Jr.</v>
      </c>
      <c r="C28" s="3" t="str">
        <f>IFERROR(__xludf.DUMMYFUNCTION("""COMPUTED_VALUE"""),"G")</f>
        <v>G</v>
      </c>
      <c r="D28" s="3" t="str">
        <f>IFERROR(__xludf.DUMMYFUNCTION("""COMPUTED_VALUE"""),"États-Unis")</f>
        <v>États-Unis</v>
      </c>
      <c r="E28" s="3" t="str">
        <f>IFERROR(__xludf.DUMMYFUNCTION("""COMPUTED_VALUE"""),"Hornets de Charlotte(de Denver via New York et Oklahoma City)[A 6]")</f>
        <v>Hornets de Charlotte(de Denver via New York et Oklahoma City)[A 6]</v>
      </c>
      <c r="F28" s="3" t="str">
        <f>IFERROR(__xludf.DUMMYFUNCTION("""COMPUTED_VALUE"""),"Razorbacks de l'Arkansas")</f>
        <v>Razorbacks de l'Arkansas</v>
      </c>
    </row>
    <row r="29">
      <c r="A29" s="3">
        <f>IFERROR(__xludf.DUMMYFUNCTION("""COMPUTED_VALUE"""),28.0)</f>
        <v>28</v>
      </c>
      <c r="B29" s="3" t="str">
        <f>IFERROR(__xludf.DUMMYFUNCTION("""COMPUTED_VALUE"""),"Brice Sensabaugh")</f>
        <v>Brice Sensabaugh</v>
      </c>
      <c r="C29" s="3" t="str">
        <f>IFERROR(__xludf.DUMMYFUNCTION("""COMPUTED_VALUE"""),"F")</f>
        <v>F</v>
      </c>
      <c r="D29" s="3" t="str">
        <f>IFERROR(__xludf.DUMMYFUNCTION("""COMPUTED_VALUE"""),"États-Unis")</f>
        <v>États-Unis</v>
      </c>
      <c r="E29" s="3" t="str">
        <f>IFERROR(__xludf.DUMMYFUNCTION("""COMPUTED_VALUE"""),"Jazz de l'Utah(de Philadelphie via Brooklyn)[A 7]")</f>
        <v>Jazz de l'Utah(de Philadelphie via Brooklyn)[A 7]</v>
      </c>
      <c r="F29" s="3" t="str">
        <f>IFERROR(__xludf.DUMMYFUNCTION("""COMPUTED_VALUE"""),"Buckeyes d'Ohio State")</f>
        <v>Buckeyes d'Ohio State</v>
      </c>
    </row>
    <row r="30">
      <c r="A30" s="3">
        <f>IFERROR(__xludf.DUMMYFUNCTION("""COMPUTED_VALUE"""),29.0)</f>
        <v>29</v>
      </c>
      <c r="B30" s="3" t="str">
        <f>IFERROR(__xludf.DUMMYFUNCTION("""COMPUTED_VALUE"""),"Julian Strawther")</f>
        <v>Julian Strawther</v>
      </c>
      <c r="C30" s="3" t="str">
        <f>IFERROR(__xludf.DUMMYFUNCTION("""COMPUTED_VALUE"""),"F")</f>
        <v>F</v>
      </c>
      <c r="D30" s="3" t="str">
        <f>IFERROR(__xludf.DUMMYFUNCTION("""COMPUTED_VALUE"""),"États-Unis
Porto Rico")</f>
        <v>États-Unis
Porto Rico</v>
      </c>
      <c r="E30" s="3" t="str">
        <f>IFERROR(__xludf.DUMMYFUNCTION("""COMPUTED_VALUE"""),"Pacers de l'Indiana(de Boston)[A 8]")</f>
        <v>Pacers de l'Indiana(de Boston)[A 8]</v>
      </c>
      <c r="F30" s="3" t="str">
        <f>IFERROR(__xludf.DUMMYFUNCTION("""COMPUTED_VALUE"""),"Bulldogs de Gonzaga")</f>
        <v>Bulldogs de Gonzaga</v>
      </c>
    </row>
    <row r="31">
      <c r="A31" s="3">
        <f>IFERROR(__xludf.DUMMYFUNCTION("""COMPUTED_VALUE"""),30.0)</f>
        <v>30</v>
      </c>
      <c r="B31" s="3" t="str">
        <f>IFERROR(__xludf.DUMMYFUNCTION("""COMPUTED_VALUE"""),"Kobe Brown")</f>
        <v>Kobe Brown</v>
      </c>
      <c r="C31" s="3" t="str">
        <f>IFERROR(__xludf.DUMMYFUNCTION("""COMPUTED_VALUE"""),"F")</f>
        <v>F</v>
      </c>
      <c r="D31" s="3" t="str">
        <f>IFERROR(__xludf.DUMMYFUNCTION("""COMPUTED_VALUE"""),"États-Unis")</f>
        <v>États-Unis</v>
      </c>
      <c r="E31" s="3" t="str">
        <f>IFERROR(__xludf.DUMMYFUNCTION("""COMPUTED_VALUE"""),"Clippers de Los Angeles(de Milwaukee via Houston)[A 2]")</f>
        <v>Clippers de Los Angeles(de Milwaukee via Houston)[A 2]</v>
      </c>
      <c r="F31" s="3" t="str">
        <f>IFERROR(__xludf.DUMMYFUNCTION("""COMPUTED_VALUE"""),"Tigers du Missouri")</f>
        <v>Tigers du Missouri</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IFERROR(__xludf.DUMMYFUNCTION("IMPORTHTML(""https://fr.wikipedia.org/wiki/Liste_des_pays_par_population"",""table"", 1)"),"Rang 
(2023)")</f>
        <v>Rang 
(2023)</v>
      </c>
      <c r="B1" s="3" t="str">
        <f>IFERROR(__xludf.DUMMYFUNCTION("""COMPUTED_VALUE"""),"Pays ou territoire")</f>
        <v>Pays ou territoire</v>
      </c>
      <c r="C1" s="3" t="str">
        <f>IFERROR(__xludf.DUMMYFUNCTION("""COMPUTED_VALUE"""),"Population 
au 1er juillet 2023")</f>
        <v>Population 
au 1er juillet 2023</v>
      </c>
      <c r="D1" s="3" t="str">
        <f>IFERROR(__xludf.DUMMYFUNCTION("""COMPUTED_VALUE"""),"Population projetée 
au 1er janvier 2026")</f>
        <v>Population projetée 
au 1er janvier 2026</v>
      </c>
    </row>
    <row r="2">
      <c r="A2" s="3" t="str">
        <f>IFERROR(__xludf.DUMMYFUNCTION("""COMPUTED_VALUE"""),"*-*")</f>
        <v>*-*</v>
      </c>
      <c r="B2" s="3" t="str">
        <f>IFERROR(__xludf.DUMMYFUNCTION("""COMPUTED_VALUE"""),"*Monde*")</f>
        <v>*Monde*</v>
      </c>
      <c r="C2" s="3" t="str">
        <f>IFERROR(__xludf.DUMMYFUNCTION("""COMPUTED_VALUE"""),"*8 091 734 930*")</f>
        <v>*8 091 734 930*</v>
      </c>
      <c r="D2" s="3" t="str">
        <f>IFERROR(__xludf.DUMMYFUNCTION("""COMPUTED_VALUE"""),"*8 266 245 291*")</f>
        <v>*8 266 245 291*</v>
      </c>
    </row>
    <row r="3">
      <c r="A3" s="3">
        <f>IFERROR(__xludf.DUMMYFUNCTION("""COMPUTED_VALUE"""),1.0)</f>
        <v>1</v>
      </c>
      <c r="B3" s="3" t="str">
        <f>IFERROR(__xludf.DUMMYFUNCTION("""COMPUTED_VALUE"""),"Inde[a]")</f>
        <v>Inde[a]</v>
      </c>
      <c r="C3" s="3">
        <f>IFERROR(__xludf.DUMMYFUNCTION("""COMPUTED_VALUE"""),1.438069596E9)</f>
        <v>1438069596</v>
      </c>
      <c r="D3" s="3">
        <f>IFERROR(__xludf.DUMMYFUNCTION("""COMPUTED_VALUE"""),1.470295711E9)</f>
        <v>1470295711</v>
      </c>
    </row>
    <row r="4">
      <c r="A4" s="3">
        <f>IFERROR(__xludf.DUMMYFUNCTION("""COMPUTED_VALUE"""),2.0)</f>
        <v>2</v>
      </c>
      <c r="B4" s="3" t="str">
        <f>IFERROR(__xludf.DUMMYFUNCTION("""COMPUTED_VALUE"""),"Chine[b]")</f>
        <v>Chine[b]</v>
      </c>
      <c r="C4" s="3">
        <f>IFERROR(__xludf.DUMMYFUNCTION("""COMPUTED_VALUE"""),1.422584933E9)</f>
        <v>1422584933</v>
      </c>
      <c r="D4" s="3">
        <f>IFERROR(__xludf.DUMMYFUNCTION("""COMPUTED_VALUE"""),1.414458552E9)</f>
        <v>1414458552</v>
      </c>
    </row>
    <row r="5">
      <c r="A5" s="3">
        <f>IFERROR(__xludf.DUMMYFUNCTION("""COMPUTED_VALUE"""),3.0)</f>
        <v>3</v>
      </c>
      <c r="B5" s="3" t="str">
        <f>IFERROR(__xludf.DUMMYFUNCTION("""COMPUTED_VALUE"""),"États-Unis[c]")</f>
        <v>États-Unis[c]</v>
      </c>
      <c r="C5" s="3">
        <f>IFERROR(__xludf.DUMMYFUNCTION("""COMPUTED_VALUE"""),3.43477335E8)</f>
        <v>343477335</v>
      </c>
      <c r="D5" s="3">
        <f>IFERROR(__xludf.DUMMYFUNCTION("""COMPUTED_VALUE"""),3.48178045E8)</f>
        <v>348178045</v>
      </c>
    </row>
    <row r="6">
      <c r="A6" s="3">
        <f>IFERROR(__xludf.DUMMYFUNCTION("""COMPUTED_VALUE"""),4.0)</f>
        <v>4</v>
      </c>
      <c r="B6" s="3" t="str">
        <f>IFERROR(__xludf.DUMMYFUNCTION("""COMPUTED_VALUE"""),"Indonésie")</f>
        <v>Indonésie</v>
      </c>
      <c r="C6" s="3">
        <f>IFERROR(__xludf.DUMMYFUNCTION("""COMPUTED_VALUE"""),2.81190067E8)</f>
        <v>281190067</v>
      </c>
      <c r="D6" s="3">
        <f>IFERROR(__xludf.DUMMYFUNCTION("""COMPUTED_VALUE"""),2.86820254E8)</f>
        <v>286820254</v>
      </c>
    </row>
    <row r="7">
      <c r="A7" s="3">
        <f>IFERROR(__xludf.DUMMYFUNCTION("""COMPUTED_VALUE"""),5.0)</f>
        <v>5</v>
      </c>
      <c r="B7" s="3" t="str">
        <f>IFERROR(__xludf.DUMMYFUNCTION("""COMPUTED_VALUE"""),"Pakistan[d]")</f>
        <v>Pakistan[d]</v>
      </c>
      <c r="C7" s="3">
        <f>IFERROR(__xludf.DUMMYFUNCTION("""COMPUTED_VALUE"""),2.47504495E8)</f>
        <v>247504495</v>
      </c>
      <c r="D7" s="3">
        <f>IFERROR(__xludf.DUMMYFUNCTION("""COMPUTED_VALUE"""),2.57236371E8)</f>
        <v>257236371</v>
      </c>
    </row>
    <row r="8">
      <c r="A8" s="3">
        <f>IFERROR(__xludf.DUMMYFUNCTION("""COMPUTED_VALUE"""),6.0)</f>
        <v>6</v>
      </c>
      <c r="B8" s="3" t="str">
        <f>IFERROR(__xludf.DUMMYFUNCTION("""COMPUTED_VALUE"""),"Nigeria")</f>
        <v>Nigeria</v>
      </c>
      <c r="C8" s="3">
        <f>IFERROR(__xludf.DUMMYFUNCTION("""COMPUTED_VALUE"""),2.27882945E8)</f>
        <v>227882945</v>
      </c>
      <c r="D8" s="3">
        <f>IFERROR(__xludf.DUMMYFUNCTION("""COMPUTED_VALUE"""),2.39967749E8)</f>
        <v>239967749</v>
      </c>
    </row>
    <row r="9">
      <c r="A9" s="3">
        <f>IFERROR(__xludf.DUMMYFUNCTION("""COMPUTED_VALUE"""),7.0)</f>
        <v>7</v>
      </c>
      <c r="B9" s="3" t="str">
        <f>IFERROR(__xludf.DUMMYFUNCTION("""COMPUTED_VALUE"""),"Brésil")</f>
        <v>Brésil</v>
      </c>
      <c r="C9" s="3">
        <f>IFERROR(__xludf.DUMMYFUNCTION("""COMPUTED_VALUE"""),2.11140729E8)</f>
        <v>211140729</v>
      </c>
      <c r="D9" s="3">
        <f>IFERROR(__xludf.DUMMYFUNCTION("""COMPUTED_VALUE"""),2.13202121E8)</f>
        <v>213202121</v>
      </c>
    </row>
    <row r="10">
      <c r="A10" s="3">
        <f>IFERROR(__xludf.DUMMYFUNCTION("""COMPUTED_VALUE"""),8.0)</f>
        <v>8</v>
      </c>
      <c r="B10" s="3" t="str">
        <f>IFERROR(__xludf.DUMMYFUNCTION("""COMPUTED_VALUE"""),"Bangladesh")</f>
        <v>Bangladesh</v>
      </c>
      <c r="C10" s="3">
        <f>IFERROR(__xludf.DUMMYFUNCTION("""COMPUTED_VALUE"""),1.7146699E8)</f>
        <v>171466990</v>
      </c>
      <c r="D10" s="3">
        <f>IFERROR(__xludf.DUMMYFUNCTION("""COMPUTED_VALUE"""),1.76756539E8)</f>
        <v>176756539</v>
      </c>
    </row>
    <row r="11">
      <c r="A11" s="3">
        <f>IFERROR(__xludf.DUMMYFUNCTION("""COMPUTED_VALUE"""),9.0)</f>
        <v>9</v>
      </c>
      <c r="B11" s="3" t="str">
        <f>IFERROR(__xludf.DUMMYFUNCTION("""COMPUTED_VALUE"""),"Russie[e]")</f>
        <v>Russie[e]</v>
      </c>
      <c r="C11" s="3">
        <f>IFERROR(__xludf.DUMMYFUNCTION("""COMPUTED_VALUE"""),1.454405E8)</f>
        <v>145440500</v>
      </c>
      <c r="D11" s="3">
        <f>IFERROR(__xludf.DUMMYFUNCTION("""COMPUTED_VALUE"""),1.43559521E8)</f>
        <v>143559521</v>
      </c>
    </row>
    <row r="12">
      <c r="A12" s="3">
        <f>IFERROR(__xludf.DUMMYFUNCTION("""COMPUTED_VALUE"""),10.0)</f>
        <v>10</v>
      </c>
      <c r="B12" s="3" t="str">
        <f>IFERROR(__xludf.DUMMYFUNCTION("""COMPUTED_VALUE"""),"Mexique")</f>
        <v>Mexique</v>
      </c>
      <c r="C12" s="3">
        <f>IFERROR(__xludf.DUMMYFUNCTION("""COMPUTED_VALUE"""),1.29739759E8)</f>
        <v>129739759</v>
      </c>
      <c r="D12" s="3">
        <f>IFERROR(__xludf.DUMMYFUNCTION("""COMPUTED_VALUE"""),1.32480185E8)</f>
        <v>132480185</v>
      </c>
    </row>
    <row r="13">
      <c r="A13" s="3">
        <f>IFERROR(__xludf.DUMMYFUNCTION("""COMPUTED_VALUE"""),11.0)</f>
        <v>11</v>
      </c>
      <c r="B13" s="3" t="str">
        <f>IFERROR(__xludf.DUMMYFUNCTION("""COMPUTED_VALUE"""),"Éthiopie")</f>
        <v>Éthiopie</v>
      </c>
      <c r="C13" s="3">
        <f>IFERROR(__xludf.DUMMYFUNCTION("""COMPUTED_VALUE"""),1.28691692E8)</f>
        <v>128691692</v>
      </c>
      <c r="D13" s="3">
        <f>IFERROR(__xludf.DUMMYFUNCTION("""COMPUTED_VALUE"""),1.3717959E8)</f>
        <v>137179590</v>
      </c>
    </row>
    <row r="14">
      <c r="A14" s="3">
        <f>IFERROR(__xludf.DUMMYFUNCTION("""COMPUTED_VALUE"""),12.0)</f>
        <v>12</v>
      </c>
      <c r="B14" s="3" t="str">
        <f>IFERROR(__xludf.DUMMYFUNCTION("""COMPUTED_VALUE"""),"Japon")</f>
        <v>Japon</v>
      </c>
      <c r="C14" s="3">
        <f>IFERROR(__xludf.DUMMYFUNCTION("""COMPUTED_VALUE"""),1.24370947E8)</f>
        <v>124370947</v>
      </c>
      <c r="D14" s="3">
        <f>IFERROR(__xludf.DUMMYFUNCTION("""COMPUTED_VALUE"""),1.22772055E8)</f>
        <v>122772055</v>
      </c>
    </row>
    <row r="15">
      <c r="A15" s="3">
        <f>IFERROR(__xludf.DUMMYFUNCTION("""COMPUTED_VALUE"""),13.0)</f>
        <v>13</v>
      </c>
      <c r="B15" s="3" t="str">
        <f>IFERROR(__xludf.DUMMYFUNCTION("""COMPUTED_VALUE"""),"Philippines")</f>
        <v>Philippines</v>
      </c>
      <c r="C15" s="3">
        <f>IFERROR(__xludf.DUMMYFUNCTION("""COMPUTED_VALUE"""),1.14891199E8)</f>
        <v>114891199</v>
      </c>
      <c r="D15" s="3">
        <f>IFERROR(__xludf.DUMMYFUNCTION("""COMPUTED_VALUE"""),1.17257633E8)</f>
        <v>117257633</v>
      </c>
    </row>
    <row r="16">
      <c r="A16" s="3">
        <f>IFERROR(__xludf.DUMMYFUNCTION("""COMPUTED_VALUE"""),14.0)</f>
        <v>14</v>
      </c>
      <c r="B16" s="3" t="str">
        <f>IFERROR(__xludf.DUMMYFUNCTION("""COMPUTED_VALUE"""),"Égypte")</f>
        <v>Égypte</v>
      </c>
      <c r="C16" s="3">
        <f>IFERROR(__xludf.DUMMYFUNCTION("""COMPUTED_VALUE"""),1.14535772E8)</f>
        <v>114535772</v>
      </c>
      <c r="D16" s="3">
        <f>IFERROR(__xludf.DUMMYFUNCTION("""COMPUTED_VALUE"""),1.19233883E8)</f>
        <v>119233883</v>
      </c>
    </row>
    <row r="17">
      <c r="A17" s="3">
        <f>IFERROR(__xludf.DUMMYFUNCTION("""COMPUTED_VALUE"""),15.0)</f>
        <v>15</v>
      </c>
      <c r="B17" s="3" t="str">
        <f>IFERROR(__xludf.DUMMYFUNCTION("""COMPUTED_VALUE"""),"République démocratique du Congo")</f>
        <v>République démocratique du Congo</v>
      </c>
      <c r="C17" s="3">
        <f>IFERROR(__xludf.DUMMYFUNCTION("""COMPUTED_VALUE"""),1.05789731E8)</f>
        <v>105789731</v>
      </c>
      <c r="D17" s="3">
        <f>IFERROR(__xludf.DUMMYFUNCTION("""COMPUTED_VALUE"""),1.14628568E8)</f>
        <v>114628568</v>
      </c>
    </row>
    <row r="18">
      <c r="A18" s="3">
        <f>IFERROR(__xludf.DUMMYFUNCTION("""COMPUTED_VALUE"""),16.0)</f>
        <v>16</v>
      </c>
      <c r="B18" s="3" t="str">
        <f>IFERROR(__xludf.DUMMYFUNCTION("""COMPUTED_VALUE"""),"Vietnam")</f>
        <v>Vietnam</v>
      </c>
      <c r="C18" s="3">
        <f>IFERROR(__xludf.DUMMYFUNCTION("""COMPUTED_VALUE"""),1.00352192E8)</f>
        <v>100352192</v>
      </c>
      <c r="D18" s="3">
        <f>IFERROR(__xludf.DUMMYFUNCTION("""COMPUTED_VALUE"""),1.01896973E8)</f>
        <v>101896973</v>
      </c>
    </row>
    <row r="19">
      <c r="A19" s="3">
        <f>IFERROR(__xludf.DUMMYFUNCTION("""COMPUTED_VALUE"""),17.0)</f>
        <v>17</v>
      </c>
      <c r="B19" s="3" t="str">
        <f>IFERROR(__xludf.DUMMYFUNCTION("""COMPUTED_VALUE"""),"Iran")</f>
        <v>Iran</v>
      </c>
      <c r="C19" s="3">
        <f>IFERROR(__xludf.DUMMYFUNCTION("""COMPUTED_VALUE"""),9.0608707E7)</f>
        <v>90608707</v>
      </c>
      <c r="D19" s="3">
        <f>IFERROR(__xludf.DUMMYFUNCTION("""COMPUTED_VALUE"""),9.2814664E7)</f>
        <v>92814664</v>
      </c>
    </row>
    <row r="20">
      <c r="A20" s="3">
        <f>IFERROR(__xludf.DUMMYFUNCTION("""COMPUTED_VALUE"""),18.0)</f>
        <v>18</v>
      </c>
      <c r="B20" s="3" t="str">
        <f>IFERROR(__xludf.DUMMYFUNCTION("""COMPUTED_VALUE"""),"Turquie")</f>
        <v>Turquie</v>
      </c>
      <c r="C20" s="3">
        <f>IFERROR(__xludf.DUMMYFUNCTION("""COMPUTED_VALUE"""),8.7270501E7)</f>
        <v>87270501</v>
      </c>
      <c r="D20" s="3">
        <f>IFERROR(__xludf.DUMMYFUNCTION("""COMPUTED_VALUE"""),8.7794917E7)</f>
        <v>87794917</v>
      </c>
    </row>
    <row r="21">
      <c r="A21" s="3">
        <f>IFERROR(__xludf.DUMMYFUNCTION("""COMPUTED_VALUE"""),19.0)</f>
        <v>19</v>
      </c>
      <c r="B21" s="3" t="str">
        <f>IFERROR(__xludf.DUMMYFUNCTION("""COMPUTED_VALUE"""),"Allemagne")</f>
        <v>Allemagne</v>
      </c>
      <c r="C21" s="3">
        <f>IFERROR(__xludf.DUMMYFUNCTION("""COMPUTED_VALUE"""),8.4548231E7)</f>
        <v>84548231</v>
      </c>
      <c r="D21" s="3">
        <f>IFERROR(__xludf.DUMMYFUNCTION("""COMPUTED_VALUE"""),8.3741228E7)</f>
        <v>83741228</v>
      </c>
    </row>
    <row r="22">
      <c r="A22" s="3">
        <f>IFERROR(__xludf.DUMMYFUNCTION("""COMPUTED_VALUE"""),20.0)</f>
        <v>20</v>
      </c>
      <c r="B22" s="3" t="str">
        <f>IFERROR(__xludf.DUMMYFUNCTION("""COMPUTED_VALUE"""),"Thaïlande")</f>
        <v>Thaïlande</v>
      </c>
      <c r="C22" s="3">
        <f>IFERROR(__xludf.DUMMYFUNCTION("""COMPUTED_VALUE"""),7.1702435E7)</f>
        <v>71702435</v>
      </c>
      <c r="D22" s="3">
        <f>IFERROR(__xludf.DUMMYFUNCTION("""COMPUTED_VALUE"""),7.1592912E7)</f>
        <v>71592912</v>
      </c>
    </row>
    <row r="23">
      <c r="A23" s="3">
        <f>IFERROR(__xludf.DUMMYFUNCTION("""COMPUTED_VALUE"""),21.0)</f>
        <v>21</v>
      </c>
      <c r="B23" s="3" t="str">
        <f>IFERROR(__xludf.DUMMYFUNCTION("""COMPUTED_VALUE"""),"Royaume-Uni[f]")</f>
        <v>Royaume-Uni[f]</v>
      </c>
      <c r="C23" s="3">
        <f>IFERROR(__xludf.DUMMYFUNCTION("""COMPUTED_VALUE"""),6.8682962E7)</f>
        <v>68682962</v>
      </c>
      <c r="D23" s="3">
        <f>IFERROR(__xludf.DUMMYFUNCTION("""COMPUTED_VALUE"""),6.9749323E7)</f>
        <v>69749323</v>
      </c>
    </row>
    <row r="24">
      <c r="A24" s="3">
        <f>IFERROR(__xludf.DUMMYFUNCTION("""COMPUTED_VALUE"""),22.0)</f>
        <v>22</v>
      </c>
      <c r="B24" s="3" t="str">
        <f>IFERROR(__xludf.DUMMYFUNCTION("""COMPUTED_VALUE"""),"Tanzanie")</f>
        <v>Tanzanie</v>
      </c>
      <c r="C24" s="3">
        <f>IFERROR(__xludf.DUMMYFUNCTION("""COMPUTED_VALUE"""),6.6617606E7)</f>
        <v>66617606</v>
      </c>
      <c r="D24" s="3">
        <f>IFERROR(__xludf.DUMMYFUNCTION("""COMPUTED_VALUE"""),7.1549625E7)</f>
        <v>71549625</v>
      </c>
    </row>
    <row r="25">
      <c r="A25" s="3">
        <f>IFERROR(__xludf.DUMMYFUNCTION("""COMPUTED_VALUE"""),23.0)</f>
        <v>23</v>
      </c>
      <c r="B25" s="3" t="str">
        <f>IFERROR(__xludf.DUMMYFUNCTION("""COMPUTED_VALUE"""),"France[g]")</f>
        <v>France[g]</v>
      </c>
      <c r="C25" s="3">
        <f>IFERROR(__xludf.DUMMYFUNCTION("""COMPUTED_VALUE"""),6.6438822E7)</f>
        <v>66438822</v>
      </c>
      <c r="D25" s="3">
        <f>IFERROR(__xludf.DUMMYFUNCTION("""COMPUTED_VALUE"""),6.6700707E7)</f>
        <v>66700707</v>
      </c>
    </row>
    <row r="26">
      <c r="A26" s="3">
        <f>IFERROR(__xludf.DUMMYFUNCTION("""COMPUTED_VALUE"""),24.0)</f>
        <v>24</v>
      </c>
      <c r="B26" s="3" t="str">
        <f>IFERROR(__xludf.DUMMYFUNCTION("""COMPUTED_VALUE"""),"Afrique du Sud")</f>
        <v>Afrique du Sud</v>
      </c>
      <c r="C26" s="3">
        <f>IFERROR(__xludf.DUMMYFUNCTION("""COMPUTED_VALUE"""),6.3212384E7)</f>
        <v>63212384</v>
      </c>
      <c r="D26" s="3">
        <f>IFERROR(__xludf.DUMMYFUNCTION("""COMPUTED_VALUE"""),6.510815E7)</f>
        <v>65108150</v>
      </c>
    </row>
    <row r="27">
      <c r="A27" s="3">
        <f>IFERROR(__xludf.DUMMYFUNCTION("""COMPUTED_VALUE"""),25.0)</f>
        <v>25</v>
      </c>
      <c r="B27" s="3" t="str">
        <f>IFERROR(__xludf.DUMMYFUNCTION("""COMPUTED_VALUE"""),"Italie")</f>
        <v>Italie</v>
      </c>
      <c r="C27" s="3">
        <f>IFERROR(__xludf.DUMMYFUNCTION("""COMPUTED_VALUE"""),5.9499453E7)</f>
        <v>59499453</v>
      </c>
      <c r="D27" s="3">
        <f>IFERROR(__xludf.DUMMYFUNCTION("""COMPUTED_VALUE"""),5.9041927E7)</f>
        <v>59041927</v>
      </c>
    </row>
    <row r="28">
      <c r="A28" s="3">
        <f>IFERROR(__xludf.DUMMYFUNCTION("""COMPUTED_VALUE"""),26.0)</f>
        <v>26</v>
      </c>
      <c r="B28" s="3" t="str">
        <f>IFERROR(__xludf.DUMMYFUNCTION("""COMPUTED_VALUE"""),"Kenya")</f>
        <v>Kenya</v>
      </c>
      <c r="C28" s="3">
        <f>IFERROR(__xludf.DUMMYFUNCTION("""COMPUTED_VALUE"""),5.5339003E7)</f>
        <v>55339003</v>
      </c>
      <c r="D28" s="3">
        <f>IFERROR(__xludf.DUMMYFUNCTION("""COMPUTED_VALUE"""),5.808359E7)</f>
        <v>58083590</v>
      </c>
    </row>
    <row r="29">
      <c r="A29" s="3">
        <f>IFERROR(__xludf.DUMMYFUNCTION("""COMPUTED_VALUE"""),27.0)</f>
        <v>27</v>
      </c>
      <c r="B29" s="3" t="str">
        <f>IFERROR(__xludf.DUMMYFUNCTION("""COMPUTED_VALUE"""),"Birmanie")</f>
        <v>Birmanie</v>
      </c>
      <c r="C29" s="3">
        <f>IFERROR(__xludf.DUMMYFUNCTION("""COMPUTED_VALUE"""),5.4133798E7)</f>
        <v>54133798</v>
      </c>
      <c r="D29" s="3">
        <f>IFERROR(__xludf.DUMMYFUNCTION("""COMPUTED_VALUE"""),5.5021595E7)</f>
        <v>55021595</v>
      </c>
    </row>
    <row r="30">
      <c r="A30" s="3">
        <f>IFERROR(__xludf.DUMMYFUNCTION("""COMPUTED_VALUE"""),28.0)</f>
        <v>28</v>
      </c>
      <c r="B30" s="3" t="str">
        <f>IFERROR(__xludf.DUMMYFUNCTION("""COMPUTED_VALUE"""),"Colombie")</f>
        <v>Colombie</v>
      </c>
      <c r="C30" s="3">
        <f>IFERROR(__xludf.DUMMYFUNCTION("""COMPUTED_VALUE"""),5.2321152E7)</f>
        <v>52321152</v>
      </c>
      <c r="D30" s="3">
        <f>IFERROR(__xludf.DUMMYFUNCTION("""COMPUTED_VALUE"""),5.3688245E7)</f>
        <v>53688245</v>
      </c>
    </row>
    <row r="31">
      <c r="A31" s="3">
        <f>IFERROR(__xludf.DUMMYFUNCTION("""COMPUTED_VALUE"""),29.0)</f>
        <v>29</v>
      </c>
      <c r="B31" s="3" t="str">
        <f>IFERROR(__xludf.DUMMYFUNCTION("""COMPUTED_VALUE"""),"Corée du Sud")</f>
        <v>Corée du Sud</v>
      </c>
      <c r="C31" s="3">
        <f>IFERROR(__xludf.DUMMYFUNCTION("""COMPUTED_VALUE"""),5.1748739E7)</f>
        <v>51748739</v>
      </c>
      <c r="D31" s="3">
        <f>IFERROR(__xludf.DUMMYFUNCTION("""COMPUTED_VALUE"""),5.1636965E7)</f>
        <v>51636965</v>
      </c>
    </row>
    <row r="32">
      <c r="A32" s="3">
        <f>IFERROR(__xludf.DUMMYFUNCTION("""COMPUTED_VALUE"""),30.0)</f>
        <v>30</v>
      </c>
      <c r="B32" s="3" t="str">
        <f>IFERROR(__xludf.DUMMYFUNCTION("""COMPUTED_VALUE"""),"Soudan")</f>
        <v>Soudan</v>
      </c>
      <c r="C32" s="3">
        <f>IFERROR(__xludf.DUMMYFUNCTION("""COMPUTED_VALUE"""),5.0042791E7)</f>
        <v>50042791</v>
      </c>
      <c r="D32" s="3">
        <f>IFERROR(__xludf.DUMMYFUNCTION("""COMPUTED_VALUE"""),5.2474943E7)</f>
        <v>52474943</v>
      </c>
    </row>
    <row r="33">
      <c r="A33" s="3">
        <f>IFERROR(__xludf.DUMMYFUNCTION("""COMPUTED_VALUE"""),31.0)</f>
        <v>31</v>
      </c>
      <c r="B33" s="3" t="str">
        <f>IFERROR(__xludf.DUMMYFUNCTION("""COMPUTED_VALUE"""),"Ouganda")</f>
        <v>Ouganda</v>
      </c>
      <c r="C33" s="3">
        <f>IFERROR(__xludf.DUMMYFUNCTION("""COMPUTED_VALUE"""),4.8656601E7)</f>
        <v>48656601</v>
      </c>
      <c r="D33" s="3">
        <f>IFERROR(__xludf.DUMMYFUNCTION("""COMPUTED_VALUE"""),5.2071696E7)</f>
        <v>52071696</v>
      </c>
    </row>
    <row r="34">
      <c r="A34" s="3">
        <f>IFERROR(__xludf.DUMMYFUNCTION("""COMPUTED_VALUE"""),32.0)</f>
        <v>32</v>
      </c>
      <c r="B34" s="3" t="str">
        <f>IFERROR(__xludf.DUMMYFUNCTION("""COMPUTED_VALUE"""),"Espagne")</f>
        <v>Espagne</v>
      </c>
      <c r="C34" s="3">
        <f>IFERROR(__xludf.DUMMYFUNCTION("""COMPUTED_VALUE"""),4.7911579E7)</f>
        <v>47911579</v>
      </c>
      <c r="D34" s="3">
        <f>IFERROR(__xludf.DUMMYFUNCTION("""COMPUTED_VALUE"""),4.7874678E7)</f>
        <v>47874678</v>
      </c>
    </row>
    <row r="35">
      <c r="A35" s="3">
        <f>IFERROR(__xludf.DUMMYFUNCTION("""COMPUTED_VALUE"""),33.0)</f>
        <v>33</v>
      </c>
      <c r="B35" s="3" t="str">
        <f>IFERROR(__xludf.DUMMYFUNCTION("""COMPUTED_VALUE"""),"Algérie")</f>
        <v>Algérie</v>
      </c>
      <c r="C35" s="3">
        <f>IFERROR(__xludf.DUMMYFUNCTION("""COMPUTED_VALUE"""),4.6164219E7)</f>
        <v>46164219</v>
      </c>
      <c r="D35" s="3">
        <f>IFERROR(__xludf.DUMMYFUNCTION("""COMPUTED_VALUE"""),4.7739103E7)</f>
        <v>47739103</v>
      </c>
    </row>
    <row r="36">
      <c r="A36" s="3">
        <f>IFERROR(__xludf.DUMMYFUNCTION("""COMPUTED_VALUE"""),34.0)</f>
        <v>34</v>
      </c>
      <c r="B36" s="3" t="str">
        <f>IFERROR(__xludf.DUMMYFUNCTION("""COMPUTED_VALUE"""),"Argentine")</f>
        <v>Argentine</v>
      </c>
      <c r="C36" s="3">
        <f>IFERROR(__xludf.DUMMYFUNCTION("""COMPUTED_VALUE"""),4.5538401E7)</f>
        <v>45538401</v>
      </c>
      <c r="D36" s="3">
        <f>IFERROR(__xludf.DUMMYFUNCTION("""COMPUTED_VALUE"""),4.5928215E7)</f>
        <v>45928215</v>
      </c>
    </row>
    <row r="37">
      <c r="A37" s="3">
        <f>IFERROR(__xludf.DUMMYFUNCTION("""COMPUTED_VALUE"""),35.0)</f>
        <v>35</v>
      </c>
      <c r="B37" s="3" t="str">
        <f>IFERROR(__xludf.DUMMYFUNCTION("""COMPUTED_VALUE"""),"Irak")</f>
        <v>Irak</v>
      </c>
      <c r="C37" s="3">
        <f>IFERROR(__xludf.DUMMYFUNCTION("""COMPUTED_VALUE"""),4.5074049E7)</f>
        <v>45074049</v>
      </c>
      <c r="D37" s="3">
        <f>IFERROR(__xludf.DUMMYFUNCTION("""COMPUTED_VALUE"""),4.7515421E7)</f>
        <v>47515421</v>
      </c>
    </row>
    <row r="38">
      <c r="A38" s="3">
        <f>IFERROR(__xludf.DUMMYFUNCTION("""COMPUTED_VALUE"""),36.0)</f>
        <v>36</v>
      </c>
      <c r="B38" s="3" t="str">
        <f>IFERROR(__xludf.DUMMYFUNCTION("""COMPUTED_VALUE"""),"Afghanistan")</f>
        <v>Afghanistan</v>
      </c>
      <c r="C38" s="3">
        <f>IFERROR(__xludf.DUMMYFUNCTION("""COMPUTED_VALUE"""),4.1454761E7)</f>
        <v>41454761</v>
      </c>
      <c r="D38" s="3">
        <f>IFERROR(__xludf.DUMMYFUNCTION("""COMPUTED_VALUE"""),4.4437893E7)</f>
        <v>44437893</v>
      </c>
    </row>
    <row r="39">
      <c r="A39" s="3">
        <f>IFERROR(__xludf.DUMMYFUNCTION("""COMPUTED_VALUE"""),37.0)</f>
        <v>37</v>
      </c>
      <c r="B39" s="3" t="str">
        <f>IFERROR(__xludf.DUMMYFUNCTION("""COMPUTED_VALUE"""),"Yémen")</f>
        <v>Yémen</v>
      </c>
      <c r="C39" s="3">
        <f>IFERROR(__xludf.DUMMYFUNCTION("""COMPUTED_VALUE"""),3.9390799E7)</f>
        <v>39390799</v>
      </c>
      <c r="D39" s="3">
        <f>IFERROR(__xludf.DUMMYFUNCTION("""COMPUTED_VALUE"""),4.2368687E7)</f>
        <v>42368687</v>
      </c>
    </row>
    <row r="40">
      <c r="A40" s="3">
        <f>IFERROR(__xludf.DUMMYFUNCTION("""COMPUTED_VALUE"""),38.0)</f>
        <v>38</v>
      </c>
      <c r="B40" s="3" t="str">
        <f>IFERROR(__xludf.DUMMYFUNCTION("""COMPUTED_VALUE"""),"Canada")</f>
        <v>Canada</v>
      </c>
      <c r="C40" s="3">
        <f>IFERROR(__xludf.DUMMYFUNCTION("""COMPUTED_VALUE"""),3.9299105E7)</f>
        <v>39299105</v>
      </c>
      <c r="D40" s="3">
        <f>IFERROR(__xludf.DUMMYFUNCTION("""COMPUTED_VALUE"""),4.030707E7)</f>
        <v>40307070</v>
      </c>
    </row>
    <row r="41">
      <c r="A41" s="3">
        <f>IFERROR(__xludf.DUMMYFUNCTION("""COMPUTED_VALUE"""),39.0)</f>
        <v>39</v>
      </c>
      <c r="B41" s="3" t="str">
        <f>IFERROR(__xludf.DUMMYFUNCTION("""COMPUTED_VALUE"""),"Pologne")</f>
        <v>Pologne</v>
      </c>
      <c r="C41" s="3">
        <f>IFERROR(__xludf.DUMMYFUNCTION("""COMPUTED_VALUE"""),3.8762844E7)</f>
        <v>38762844</v>
      </c>
      <c r="D41" s="3">
        <f>IFERROR(__xludf.DUMMYFUNCTION("""COMPUTED_VALUE"""),3.7915155E7)</f>
        <v>37915155</v>
      </c>
    </row>
    <row r="42">
      <c r="A42" s="3">
        <f>IFERROR(__xludf.DUMMYFUNCTION("""COMPUTED_VALUE"""),40.0)</f>
        <v>40</v>
      </c>
      <c r="B42" s="3" t="str">
        <f>IFERROR(__xludf.DUMMYFUNCTION("""COMPUTED_VALUE"""),"Ukraine[h]")</f>
        <v>Ukraine[h]</v>
      </c>
      <c r="C42" s="3">
        <f>IFERROR(__xludf.DUMMYFUNCTION("""COMPUTED_VALUE"""),3.7732836E7)</f>
        <v>37732836</v>
      </c>
      <c r="D42" s="3">
        <f>IFERROR(__xludf.DUMMYFUNCTION("""COMPUTED_VALUE"""),3.968157E7)</f>
        <v>39681570</v>
      </c>
    </row>
    <row r="43">
      <c r="A43" s="3">
        <f>IFERROR(__xludf.DUMMYFUNCTION("""COMPUTED_VALUE"""),41.0)</f>
        <v>41</v>
      </c>
      <c r="B43" s="3" t="str">
        <f>IFERROR(__xludf.DUMMYFUNCTION("""COMPUTED_VALUE"""),"Maroc[i]")</f>
        <v>Maroc[i]</v>
      </c>
      <c r="C43" s="3">
        <f>IFERROR(__xludf.DUMMYFUNCTION("""COMPUTED_VALUE"""),3.7712505E7)</f>
        <v>37712505</v>
      </c>
      <c r="D43" s="3">
        <f>IFERROR(__xludf.DUMMYFUNCTION("""COMPUTED_VALUE"""),3.8600478E7)</f>
        <v>38600478</v>
      </c>
    </row>
    <row r="44">
      <c r="A44" s="3">
        <f>IFERROR(__xludf.DUMMYFUNCTION("""COMPUTED_VALUE"""),42.0)</f>
        <v>42</v>
      </c>
      <c r="B44" s="3" t="str">
        <f>IFERROR(__xludf.DUMMYFUNCTION("""COMPUTED_VALUE"""),"Angola")</f>
        <v>Angola</v>
      </c>
      <c r="C44" s="3">
        <f>IFERROR(__xludf.DUMMYFUNCTION("""COMPUTED_VALUE"""),3.6749906E7)</f>
        <v>36749906</v>
      </c>
      <c r="D44" s="3">
        <f>IFERROR(__xludf.DUMMYFUNCTION("""COMPUTED_VALUE"""),3.9621234E7)</f>
        <v>39621234</v>
      </c>
    </row>
    <row r="45">
      <c r="A45" s="3">
        <f>IFERROR(__xludf.DUMMYFUNCTION("""COMPUTED_VALUE"""),43.0)</f>
        <v>43</v>
      </c>
      <c r="B45" s="3" t="str">
        <f>IFERROR(__xludf.DUMMYFUNCTION("""COMPUTED_VALUE"""),"Ouzbékistan")</f>
        <v>Ouzbékistan</v>
      </c>
      <c r="C45" s="3">
        <f>IFERROR(__xludf.DUMMYFUNCTION("""COMPUTED_VALUE"""),3.5652307E7)</f>
        <v>35652307</v>
      </c>
      <c r="D45" s="3">
        <f>IFERROR(__xludf.DUMMYFUNCTION("""COMPUTED_VALUE"""),3.7393592E7)</f>
        <v>37393592</v>
      </c>
    </row>
    <row r="46">
      <c r="A46" s="3">
        <f>IFERROR(__xludf.DUMMYFUNCTION("""COMPUTED_VALUE"""),44.0)</f>
        <v>44</v>
      </c>
      <c r="B46" s="3" t="str">
        <f>IFERROR(__xludf.DUMMYFUNCTION("""COMPUTED_VALUE"""),"Malaisie")</f>
        <v>Malaisie</v>
      </c>
      <c r="C46" s="3">
        <f>IFERROR(__xludf.DUMMYFUNCTION("""COMPUTED_VALUE"""),3.5126298E7)</f>
        <v>35126298</v>
      </c>
      <c r="D46" s="3">
        <f>IFERROR(__xludf.DUMMYFUNCTION("""COMPUTED_VALUE"""),3.6184571E7)</f>
        <v>36184571</v>
      </c>
    </row>
    <row r="47">
      <c r="A47" s="3">
        <f>IFERROR(__xludf.DUMMYFUNCTION("""COMPUTED_VALUE"""),45.0)</f>
        <v>45</v>
      </c>
      <c r="B47" s="3" t="str">
        <f>IFERROR(__xludf.DUMMYFUNCTION("""COMPUTED_VALUE"""),"Pérou")</f>
        <v>Pérou</v>
      </c>
      <c r="C47" s="3">
        <f>IFERROR(__xludf.DUMMYFUNCTION("""COMPUTED_VALUE"""),3.3845617E7)</f>
        <v>33845617</v>
      </c>
      <c r="D47" s="3">
        <f>IFERROR(__xludf.DUMMYFUNCTION("""COMPUTED_VALUE"""),3.4752525E7)</f>
        <v>34752525</v>
      </c>
    </row>
    <row r="48">
      <c r="A48" s="3">
        <f>IFERROR(__xludf.DUMMYFUNCTION("""COMPUTED_VALUE"""),46.0)</f>
        <v>46</v>
      </c>
      <c r="B48" s="3" t="str">
        <f>IFERROR(__xludf.DUMMYFUNCTION("""COMPUTED_VALUE"""),"Ghana")</f>
        <v>Ghana</v>
      </c>
      <c r="C48" s="3">
        <f>IFERROR(__xludf.DUMMYFUNCTION("""COMPUTED_VALUE"""),3.3787914E7)</f>
        <v>33787914</v>
      </c>
      <c r="D48" s="3">
        <f>IFERROR(__xludf.DUMMYFUNCTION("""COMPUTED_VALUE"""),3.5382175E7)</f>
        <v>35382175</v>
      </c>
    </row>
    <row r="49">
      <c r="A49" s="3">
        <f>IFERROR(__xludf.DUMMYFUNCTION("""COMPUTED_VALUE"""),47.0)</f>
        <v>47</v>
      </c>
      <c r="B49" s="3" t="str">
        <f>IFERROR(__xludf.DUMMYFUNCTION("""COMPUTED_VALUE"""),"Mozambique")</f>
        <v>Mozambique</v>
      </c>
      <c r="C49" s="3">
        <f>IFERROR(__xludf.DUMMYFUNCTION("""COMPUTED_VALUE"""),3.363516E7)</f>
        <v>33635160</v>
      </c>
      <c r="D49" s="3">
        <f>IFERROR(__xludf.DUMMYFUNCTION("""COMPUTED_VALUE"""),3.6129468E7)</f>
        <v>36129468</v>
      </c>
    </row>
    <row r="50">
      <c r="A50" s="3">
        <f>IFERROR(__xludf.DUMMYFUNCTION("""COMPUTED_VALUE"""),48.0)</f>
        <v>48</v>
      </c>
      <c r="B50" s="3" t="str">
        <f>IFERROR(__xludf.DUMMYFUNCTION("""COMPUTED_VALUE"""),"Arabie saoudite")</f>
        <v>Arabie saoudite</v>
      </c>
      <c r="C50" s="3">
        <f>IFERROR(__xludf.DUMMYFUNCTION("""COMPUTED_VALUE"""),3.3264292E7)</f>
        <v>33264292</v>
      </c>
      <c r="D50" s="3">
        <f>IFERROR(__xludf.DUMMYFUNCTION("""COMPUTED_VALUE"""),3.4868384E7)</f>
        <v>34868384</v>
      </c>
    </row>
    <row r="51">
      <c r="A51" s="3">
        <f>IFERROR(__xludf.DUMMYFUNCTION("""COMPUTED_VALUE"""),49.0)</f>
        <v>49</v>
      </c>
      <c r="B51" s="3" t="str">
        <f>IFERROR(__xludf.DUMMYFUNCTION("""COMPUTED_VALUE"""),"Madagascar")</f>
        <v>Madagascar</v>
      </c>
      <c r="C51" s="3">
        <f>IFERROR(__xludf.DUMMYFUNCTION("""COMPUTED_VALUE"""),3.1195932E7)</f>
        <v>31195932</v>
      </c>
      <c r="D51" s="3">
        <f>IFERROR(__xludf.DUMMYFUNCTION("""COMPUTED_VALUE"""),3.3129834E7)</f>
        <v>33129834</v>
      </c>
    </row>
    <row r="52">
      <c r="A52" s="3">
        <f>IFERROR(__xludf.DUMMYFUNCTION("""COMPUTED_VALUE"""),50.0)</f>
        <v>50</v>
      </c>
      <c r="B52" s="3" t="str">
        <f>IFERROR(__xludf.DUMMYFUNCTION("""COMPUTED_VALUE"""),"Côte d'Ivoire")</f>
        <v>Côte d'Ivoire</v>
      </c>
      <c r="C52" s="3">
        <f>IFERROR(__xludf.DUMMYFUNCTION("""COMPUTED_VALUE"""),3.1165654E7)</f>
        <v>31165654</v>
      </c>
      <c r="D52" s="3">
        <f>IFERROR(__xludf.DUMMYFUNCTION("""COMPUTED_VALUE"""),3.3102421E7)</f>
        <v>33102421</v>
      </c>
    </row>
    <row r="53">
      <c r="A53" s="3">
        <f>IFERROR(__xludf.DUMMYFUNCTION("""COMPUTED_VALUE"""),51.0)</f>
        <v>51</v>
      </c>
      <c r="B53" s="3" t="str">
        <f>IFERROR(__xludf.DUMMYFUNCTION("""COMPUTED_VALUE"""),"Népal")</f>
        <v>Népal</v>
      </c>
      <c r="C53" s="3">
        <f>IFERROR(__xludf.DUMMYFUNCTION("""COMPUTED_VALUE"""),2.9694614E7)</f>
        <v>29694614</v>
      </c>
      <c r="D53" s="3">
        <f>IFERROR(__xludf.DUMMYFUNCTION("""COMPUTED_VALUE"""),2.9608076E7)</f>
        <v>29608076</v>
      </c>
    </row>
    <row r="54">
      <c r="A54" s="3">
        <f>IFERROR(__xludf.DUMMYFUNCTION("""COMPUTED_VALUE"""),52.0)</f>
        <v>52</v>
      </c>
      <c r="B54" s="3" t="str">
        <f>IFERROR(__xludf.DUMMYFUNCTION("""COMPUTED_VALUE"""),"Cameroun")</f>
        <v>Cameroun</v>
      </c>
      <c r="C54" s="3">
        <f>IFERROR(__xludf.DUMMYFUNCTION("""COMPUTED_VALUE"""),2.8372687E7)</f>
        <v>28372687</v>
      </c>
      <c r="D54" s="3">
        <f>IFERROR(__xludf.DUMMYFUNCTION("""COMPUTED_VALUE"""),3.0258728E7)</f>
        <v>30258728</v>
      </c>
    </row>
    <row r="55">
      <c r="A55" s="3">
        <f>IFERROR(__xludf.DUMMYFUNCTION("""COMPUTED_VALUE"""),53.0)</f>
        <v>53</v>
      </c>
      <c r="B55" s="3" t="str">
        <f>IFERROR(__xludf.DUMMYFUNCTION("""COMPUTED_VALUE"""),"Venezuela")</f>
        <v>Venezuela</v>
      </c>
      <c r="C55" s="3">
        <f>IFERROR(__xludf.DUMMYFUNCTION("""COMPUTED_VALUE"""),2.8300854E7)</f>
        <v>28300854</v>
      </c>
      <c r="D55" s="3">
        <f>IFERROR(__xludf.DUMMYFUNCTION("""COMPUTED_VALUE"""),2.8573631E7)</f>
        <v>28573631</v>
      </c>
    </row>
    <row r="56">
      <c r="A56" s="3">
        <f>IFERROR(__xludf.DUMMYFUNCTION("""COMPUTED_VALUE"""),54.0)</f>
        <v>54</v>
      </c>
      <c r="B56" s="3" t="str">
        <f>IFERROR(__xludf.DUMMYFUNCTION("""COMPUTED_VALUE"""),"Australie")</f>
        <v>Australie</v>
      </c>
      <c r="C56" s="3">
        <f>IFERROR(__xludf.DUMMYFUNCTION("""COMPUTED_VALUE"""),2.6451124E7)</f>
        <v>26451124</v>
      </c>
      <c r="D56" s="3">
        <f>IFERROR(__xludf.DUMMYFUNCTION("""COMPUTED_VALUE"""),2.7103088E7)</f>
        <v>27103088</v>
      </c>
    </row>
    <row r="57">
      <c r="A57" s="3">
        <f>IFERROR(__xludf.DUMMYFUNCTION("""COMPUTED_VALUE"""),55.0)</f>
        <v>55</v>
      </c>
      <c r="B57" s="3" t="str">
        <f>IFERROR(__xludf.DUMMYFUNCTION("""COMPUTED_VALUE"""),"Corée du Nord")</f>
        <v>Corée du Nord</v>
      </c>
      <c r="C57" s="3">
        <f>IFERROR(__xludf.DUMMYFUNCTION("""COMPUTED_VALUE"""),2.6418204E7)</f>
        <v>26418204</v>
      </c>
      <c r="D57" s="3">
        <f>IFERROR(__xludf.DUMMYFUNCTION("""COMPUTED_VALUE"""),2.6604741E7)</f>
        <v>26604741</v>
      </c>
    </row>
    <row r="58">
      <c r="A58" s="3">
        <f>IFERROR(__xludf.DUMMYFUNCTION("""COMPUTED_VALUE"""),56.0)</f>
        <v>56</v>
      </c>
      <c r="B58" s="3" t="str">
        <f>IFERROR(__xludf.DUMMYFUNCTION("""COMPUTED_VALUE"""),"Niger")</f>
        <v>Niger</v>
      </c>
      <c r="C58" s="3">
        <f>IFERROR(__xludf.DUMMYFUNCTION("""COMPUTED_VALUE"""),2.6159867E7)</f>
        <v>26159867</v>
      </c>
      <c r="D58" s="3">
        <f>IFERROR(__xludf.DUMMYFUNCTION("""COMPUTED_VALUE"""),2.8363276E7)</f>
        <v>28363276</v>
      </c>
    </row>
    <row r="59">
      <c r="A59" s="3">
        <f>IFERROR(__xludf.DUMMYFUNCTION("""COMPUTED_VALUE"""),57.0)</f>
        <v>57</v>
      </c>
      <c r="B59" s="3" t="str">
        <f>IFERROR(__xludf.DUMMYFUNCTION("""COMPUTED_VALUE"""),"Mali")</f>
        <v>Mali</v>
      </c>
      <c r="C59" s="3">
        <f>IFERROR(__xludf.DUMMYFUNCTION("""COMPUTED_VALUE"""),2.3769127E7)</f>
        <v>23769127</v>
      </c>
      <c r="D59" s="3">
        <f>IFERROR(__xludf.DUMMYFUNCTION("""COMPUTED_VALUE"""),2.5562798E7)</f>
        <v>25562798</v>
      </c>
    </row>
    <row r="60">
      <c r="A60" s="3">
        <f>IFERROR(__xludf.DUMMYFUNCTION("""COMPUTED_VALUE"""),58.0)</f>
        <v>58</v>
      </c>
      <c r="B60" s="3" t="str">
        <f>IFERROR(__xludf.DUMMYFUNCTION("""COMPUTED_VALUE"""),"Syrie[j]")</f>
        <v>Syrie[j]</v>
      </c>
      <c r="C60" s="3">
        <f>IFERROR(__xludf.DUMMYFUNCTION("""COMPUTED_VALUE"""),2.3594623E7)</f>
        <v>23594623</v>
      </c>
      <c r="D60" s="3">
        <f>IFERROR(__xludf.DUMMYFUNCTION("""COMPUTED_VALUE"""),2.6069962E7)</f>
        <v>26069962</v>
      </c>
    </row>
    <row r="61">
      <c r="A61" s="3">
        <f>IFERROR(__xludf.DUMMYFUNCTION("""COMPUTED_VALUE"""),59.0)</f>
        <v>59</v>
      </c>
      <c r="B61" s="3" t="str">
        <f>IFERROR(__xludf.DUMMYFUNCTION("""COMPUTED_VALUE"""),"Taïwan")</f>
        <v>Taïwan</v>
      </c>
      <c r="C61" s="3">
        <f>IFERROR(__xludf.DUMMYFUNCTION("""COMPUTED_VALUE"""),2.3317145E7)</f>
        <v>23317145</v>
      </c>
      <c r="D61" s="3">
        <f>IFERROR(__xludf.DUMMYFUNCTION("""COMPUTED_VALUE"""),2.306195E7)</f>
        <v>23061950</v>
      </c>
    </row>
    <row r="62">
      <c r="A62" s="3">
        <f>IFERROR(__xludf.DUMMYFUNCTION("""COMPUTED_VALUE"""),60.0)</f>
        <v>60</v>
      </c>
      <c r="B62" s="3" t="str">
        <f>IFERROR(__xludf.DUMMYFUNCTION("""COMPUTED_VALUE"""),"Burkina Faso")</f>
        <v>Burkina Faso</v>
      </c>
      <c r="C62" s="3">
        <f>IFERROR(__xludf.DUMMYFUNCTION("""COMPUTED_VALUE"""),2.3025776E7)</f>
        <v>23025776</v>
      </c>
      <c r="D62" s="3">
        <f>IFERROR(__xludf.DUMMYFUNCTION("""COMPUTED_VALUE"""),2.4337514E7)</f>
        <v>24337514</v>
      </c>
    </row>
    <row r="63">
      <c r="A63" s="3">
        <f>IFERROR(__xludf.DUMMYFUNCTION("""COMPUTED_VALUE"""),61.0)</f>
        <v>61</v>
      </c>
      <c r="B63" s="3" t="str">
        <f>IFERROR(__xludf.DUMMYFUNCTION("""COMPUTED_VALUE"""),"Sri Lanka")</f>
        <v>Sri Lanka</v>
      </c>
      <c r="C63" s="3">
        <f>IFERROR(__xludf.DUMMYFUNCTION("""COMPUTED_VALUE"""),2.2971617E7)</f>
        <v>22971617</v>
      </c>
      <c r="D63" s="3">
        <f>IFERROR(__xludf.DUMMYFUNCTION("""COMPUTED_VALUE"""),2.3290249E7)</f>
        <v>23290249</v>
      </c>
    </row>
    <row r="64">
      <c r="A64" s="3">
        <f>IFERROR(__xludf.DUMMYFUNCTION("""COMPUTED_VALUE"""),62.0)</f>
        <v>62</v>
      </c>
      <c r="B64" s="3" t="str">
        <f>IFERROR(__xludf.DUMMYFUNCTION("""COMPUTED_VALUE"""),"Malawi")</f>
        <v>Malawi</v>
      </c>
      <c r="C64" s="3">
        <f>IFERROR(__xludf.DUMMYFUNCTION("""COMPUTED_VALUE"""),2.1104482E7)</f>
        <v>21104482</v>
      </c>
      <c r="D64" s="3">
        <f>IFERROR(__xludf.DUMMYFUNCTION("""COMPUTED_VALUE"""),2.2497799E7)</f>
        <v>22497799</v>
      </c>
    </row>
    <row r="65">
      <c r="A65" s="3">
        <f>IFERROR(__xludf.DUMMYFUNCTION("""COMPUTED_VALUE"""),63.0)</f>
        <v>63</v>
      </c>
      <c r="B65" s="3" t="str">
        <f>IFERROR(__xludf.DUMMYFUNCTION("""COMPUTED_VALUE"""),"Zambie")</f>
        <v>Zambie</v>
      </c>
      <c r="C65" s="3">
        <f>IFERROR(__xludf.DUMMYFUNCTION("""COMPUTED_VALUE"""),2.0723965E7)</f>
        <v>20723965</v>
      </c>
      <c r="D65" s="3">
        <f>IFERROR(__xludf.DUMMYFUNCTION("""COMPUTED_VALUE"""),2.2215385E7)</f>
        <v>22215385</v>
      </c>
    </row>
    <row r="66">
      <c r="A66" s="3">
        <f>IFERROR(__xludf.DUMMYFUNCTION("""COMPUTED_VALUE"""),64.0)</f>
        <v>64</v>
      </c>
      <c r="B66" s="3" t="str">
        <f>IFERROR(__xludf.DUMMYFUNCTION("""COMPUTED_VALUE"""),"Kazakhstan")</f>
        <v>Kazakhstan</v>
      </c>
      <c r="C66" s="3">
        <f>IFERROR(__xludf.DUMMYFUNCTION("""COMPUTED_VALUE"""),2.0330104E7)</f>
        <v>20330104</v>
      </c>
      <c r="D66" s="3">
        <f>IFERROR(__xludf.DUMMYFUNCTION("""COMPUTED_VALUE"""),2.0966575E7)</f>
        <v>20966575</v>
      </c>
    </row>
    <row r="67">
      <c r="A67" s="3">
        <f>IFERROR(__xludf.DUMMYFUNCTION("""COMPUTED_VALUE"""),65.0)</f>
        <v>65</v>
      </c>
      <c r="B67" s="3" t="str">
        <f>IFERROR(__xludf.DUMMYFUNCTION("""COMPUTED_VALUE"""),"Chili")</f>
        <v>Chili</v>
      </c>
      <c r="C67" s="3">
        <f>IFERROR(__xludf.DUMMYFUNCTION("""COMPUTED_VALUE"""),1.9658835E7)</f>
        <v>19658835</v>
      </c>
      <c r="D67" s="3">
        <f>IFERROR(__xludf.DUMMYFUNCTION("""COMPUTED_VALUE"""),1.990473E7)</f>
        <v>19904730</v>
      </c>
    </row>
    <row r="68">
      <c r="A68" s="3">
        <f>IFERROR(__xludf.DUMMYFUNCTION("""COMPUTED_VALUE"""),66.0)</f>
        <v>66</v>
      </c>
      <c r="B68" s="3" t="str">
        <f>IFERROR(__xludf.DUMMYFUNCTION("""COMPUTED_VALUE"""),"Tchad")</f>
        <v>Tchad</v>
      </c>
      <c r="C68" s="3">
        <f>IFERROR(__xludf.DUMMYFUNCTION("""COMPUTED_VALUE"""),1.9319064E7)</f>
        <v>19319064</v>
      </c>
      <c r="D68" s="3">
        <f>IFERROR(__xludf.DUMMYFUNCTION("""COMPUTED_VALUE"""),2.1279608E7)</f>
        <v>21279608</v>
      </c>
    </row>
    <row r="69">
      <c r="A69" s="3">
        <f>IFERROR(__xludf.DUMMYFUNCTION("""COMPUTED_VALUE"""),67.0)</f>
        <v>67</v>
      </c>
      <c r="B69" s="3" t="str">
        <f>IFERROR(__xludf.DUMMYFUNCTION("""COMPUTED_VALUE"""),"Roumanie")</f>
        <v>Roumanie</v>
      </c>
      <c r="C69" s="3">
        <f>IFERROR(__xludf.DUMMYFUNCTION("""COMPUTED_VALUE"""),1.9118479E7)</f>
        <v>19118479</v>
      </c>
      <c r="D69" s="3">
        <f>IFERROR(__xludf.DUMMYFUNCTION("""COMPUTED_VALUE"""),1.8854963E7)</f>
        <v>18854963</v>
      </c>
    </row>
    <row r="70">
      <c r="A70" s="3">
        <f>IFERROR(__xludf.DUMMYFUNCTION("""COMPUTED_VALUE"""),68.0)</f>
        <v>68</v>
      </c>
      <c r="B70" s="3" t="str">
        <f>IFERROR(__xludf.DUMMYFUNCTION("""COMPUTED_VALUE"""),"Somalie[k]")</f>
        <v>Somalie[k]</v>
      </c>
      <c r="C70" s="3">
        <f>IFERROR(__xludf.DUMMYFUNCTION("""COMPUTED_VALUE"""),1.8358615E7)</f>
        <v>18358615</v>
      </c>
      <c r="D70" s="3">
        <f>IFERROR(__xludf.DUMMYFUNCTION("""COMPUTED_VALUE"""),1.9977002E7)</f>
        <v>19977002</v>
      </c>
    </row>
    <row r="71">
      <c r="A71" s="3">
        <f>IFERROR(__xludf.DUMMYFUNCTION("""COMPUTED_VALUE"""),69.0)</f>
        <v>69</v>
      </c>
      <c r="B71" s="3" t="str">
        <f>IFERROR(__xludf.DUMMYFUNCTION("""COMPUTED_VALUE"""),"Guatemala")</f>
        <v>Guatemala</v>
      </c>
      <c r="C71" s="3">
        <f>IFERROR(__xludf.DUMMYFUNCTION("""COMPUTED_VALUE"""),1.8124838E7)</f>
        <v>18124838</v>
      </c>
      <c r="D71" s="3">
        <f>IFERROR(__xludf.DUMMYFUNCTION("""COMPUTED_VALUE"""),1.8828237E7)</f>
        <v>18828237</v>
      </c>
    </row>
    <row r="72">
      <c r="A72" s="3">
        <f>IFERROR(__xludf.DUMMYFUNCTION("""COMPUTED_VALUE"""),70.0)</f>
        <v>70</v>
      </c>
      <c r="B72" s="3" t="str">
        <f>IFERROR(__xludf.DUMMYFUNCTION("""COMPUTED_VALUE"""),"Pays-Bas[l]")</f>
        <v>Pays-Bas[l]</v>
      </c>
      <c r="C72" s="3">
        <f>IFERROR(__xludf.DUMMYFUNCTION("""COMPUTED_VALUE"""),1.8092524E7)</f>
        <v>18092524</v>
      </c>
      <c r="D72" s="3">
        <f>IFERROR(__xludf.DUMMYFUNCTION("""COMPUTED_VALUE"""),1.8401709E7)</f>
        <v>18401709</v>
      </c>
    </row>
    <row r="73">
      <c r="A73" s="3">
        <f>IFERROR(__xludf.DUMMYFUNCTION("""COMPUTED_VALUE"""),71.0)</f>
        <v>71</v>
      </c>
      <c r="B73" s="3" t="str">
        <f>IFERROR(__xludf.DUMMYFUNCTION("""COMPUTED_VALUE"""),"Sénégal")</f>
        <v>Sénégal</v>
      </c>
      <c r="C73" s="3">
        <f>IFERROR(__xludf.DUMMYFUNCTION("""COMPUTED_VALUE"""),1.8077573E7)</f>
        <v>18077573</v>
      </c>
      <c r="D73" s="3">
        <f>IFERROR(__xludf.DUMMYFUNCTION("""COMPUTED_VALUE"""),1.9148038E7)</f>
        <v>19148038</v>
      </c>
    </row>
    <row r="74">
      <c r="A74" s="3">
        <f>IFERROR(__xludf.DUMMYFUNCTION("""COMPUTED_VALUE"""),72.0)</f>
        <v>72</v>
      </c>
      <c r="B74" s="3" t="str">
        <f>IFERROR(__xludf.DUMMYFUNCTION("""COMPUTED_VALUE"""),"Équateur")</f>
        <v>Équateur</v>
      </c>
      <c r="C74" s="3">
        <f>IFERROR(__xludf.DUMMYFUNCTION("""COMPUTED_VALUE"""),1.7980083E7)</f>
        <v>17980083</v>
      </c>
      <c r="D74" s="3">
        <f>IFERROR(__xludf.DUMMYFUNCTION("""COMPUTED_VALUE"""),1.8366994E7)</f>
        <v>18366994</v>
      </c>
    </row>
    <row r="75">
      <c r="A75" s="3">
        <f>IFERROR(__xludf.DUMMYFUNCTION("""COMPUTED_VALUE"""),73.0)</f>
        <v>73</v>
      </c>
      <c r="B75" s="3" t="str">
        <f>IFERROR(__xludf.DUMMYFUNCTION("""COMPUTED_VALUE"""),"Cambodge")</f>
        <v>Cambodge</v>
      </c>
      <c r="C75" s="3">
        <f>IFERROR(__xludf.DUMMYFUNCTION("""COMPUTED_VALUE"""),1.742388E7)</f>
        <v>17423880</v>
      </c>
      <c r="D75" s="3">
        <f>IFERROR(__xludf.DUMMYFUNCTION("""COMPUTED_VALUE"""),1.7951445E7)</f>
        <v>17951445</v>
      </c>
    </row>
    <row r="76">
      <c r="A76" s="3">
        <f>IFERROR(__xludf.DUMMYFUNCTION("""COMPUTED_VALUE"""),74.0)</f>
        <v>74</v>
      </c>
      <c r="B76" s="3" t="str">
        <f>IFERROR(__xludf.DUMMYFUNCTION("""COMPUTED_VALUE"""),"Zimbabwe")</f>
        <v>Zimbabwe</v>
      </c>
      <c r="C76" s="3">
        <f>IFERROR(__xludf.DUMMYFUNCTION("""COMPUTED_VALUE"""),1.6340822E7)</f>
        <v>16340822</v>
      </c>
      <c r="D76" s="3">
        <f>IFERROR(__xludf.DUMMYFUNCTION("""COMPUTED_VALUE"""),1.7111229E7)</f>
        <v>17111229</v>
      </c>
    </row>
    <row r="77">
      <c r="A77" s="3">
        <f>IFERROR(__xludf.DUMMYFUNCTION("""COMPUTED_VALUE"""),75.0)</f>
        <v>75</v>
      </c>
      <c r="B77" s="3" t="str">
        <f>IFERROR(__xludf.DUMMYFUNCTION("""COMPUTED_VALUE"""),"Guinée")</f>
        <v>Guinée</v>
      </c>
      <c r="C77" s="3">
        <f>IFERROR(__xludf.DUMMYFUNCTION("""COMPUTED_VALUE"""),1.4405468E7)</f>
        <v>14405468</v>
      </c>
      <c r="D77" s="3">
        <f>IFERROR(__xludf.DUMMYFUNCTION("""COMPUTED_VALUE"""),1.5271424E7)</f>
        <v>15271424</v>
      </c>
    </row>
    <row r="78">
      <c r="A78" s="3">
        <f>IFERROR(__xludf.DUMMYFUNCTION("""COMPUTED_VALUE"""),76.0)</f>
        <v>76</v>
      </c>
      <c r="B78" s="3" t="str">
        <f>IFERROR(__xludf.DUMMYFUNCTION("""COMPUTED_VALUE"""),"Bénin")</f>
        <v>Bénin</v>
      </c>
      <c r="C78" s="3">
        <f>IFERROR(__xludf.DUMMYFUNCTION("""COMPUTED_VALUE"""),1.4111034E7)</f>
        <v>14111034</v>
      </c>
      <c r="D78" s="3">
        <f>IFERROR(__xludf.DUMMYFUNCTION("""COMPUTED_VALUE"""),1.4991374E7)</f>
        <v>14991374</v>
      </c>
    </row>
    <row r="79">
      <c r="A79" s="3">
        <f>IFERROR(__xludf.DUMMYFUNCTION("""COMPUTED_VALUE"""),77.0)</f>
        <v>77</v>
      </c>
      <c r="B79" s="3" t="str">
        <f>IFERROR(__xludf.DUMMYFUNCTION("""COMPUTED_VALUE"""),"Rwanda")</f>
        <v>Rwanda</v>
      </c>
      <c r="C79" s="3">
        <f>IFERROR(__xludf.DUMMYFUNCTION("""COMPUTED_VALUE"""),1.3954471E7)</f>
        <v>13954471</v>
      </c>
      <c r="D79" s="3">
        <f>IFERROR(__xludf.DUMMYFUNCTION("""COMPUTED_VALUE"""),1.4731895E7)</f>
        <v>14731895</v>
      </c>
    </row>
    <row r="80">
      <c r="A80" s="3">
        <f>IFERROR(__xludf.DUMMYFUNCTION("""COMPUTED_VALUE"""),78.0)</f>
        <v>78</v>
      </c>
      <c r="B80" s="3" t="str">
        <f>IFERROR(__xludf.DUMMYFUNCTION("""COMPUTED_VALUE"""),"Burundi")</f>
        <v>Burundi</v>
      </c>
      <c r="C80" s="3">
        <f>IFERROR(__xludf.DUMMYFUNCTION("""COMPUTED_VALUE"""),1.368945E7)</f>
        <v>13689450</v>
      </c>
      <c r="D80" s="3">
        <f>IFERROR(__xludf.DUMMYFUNCTION("""COMPUTED_VALUE"""),1.4559334E7)</f>
        <v>14559334</v>
      </c>
    </row>
    <row r="81">
      <c r="A81" s="3">
        <f>IFERROR(__xludf.DUMMYFUNCTION("""COMPUTED_VALUE"""),79.0)</f>
        <v>79</v>
      </c>
      <c r="B81" s="3" t="str">
        <f>IFERROR(__xludf.DUMMYFUNCTION("""COMPUTED_VALUE"""),"Bolivie")</f>
        <v>Bolivie</v>
      </c>
      <c r="C81" s="3">
        <f>IFERROR(__xludf.DUMMYFUNCTION("""COMPUTED_VALUE"""),1.2244159E7)</f>
        <v>12244159</v>
      </c>
      <c r="D81" s="3">
        <f>IFERROR(__xludf.DUMMYFUNCTION("""COMPUTED_VALUE"""),1.2665879E7)</f>
        <v>12665879</v>
      </c>
    </row>
    <row r="82">
      <c r="A82" s="3">
        <f>IFERROR(__xludf.DUMMYFUNCTION("""COMPUTED_VALUE"""),80.0)</f>
        <v>80</v>
      </c>
      <c r="B82" s="3" t="str">
        <f>IFERROR(__xludf.DUMMYFUNCTION("""COMPUTED_VALUE"""),"Tunisie")</f>
        <v>Tunisie</v>
      </c>
      <c r="C82" s="3">
        <f>IFERROR(__xludf.DUMMYFUNCTION("""COMPUTED_VALUE"""),1.2200431E7)</f>
        <v>12200431</v>
      </c>
      <c r="D82" s="3">
        <f>IFERROR(__xludf.DUMMYFUNCTION("""COMPUTED_VALUE"""),1.2383188E7)</f>
        <v>12383188</v>
      </c>
    </row>
    <row r="83">
      <c r="A83" s="3">
        <f>IFERROR(__xludf.DUMMYFUNCTION("""COMPUTED_VALUE"""),81.0)</f>
        <v>81</v>
      </c>
      <c r="B83" s="3" t="str">
        <f>IFERROR(__xludf.DUMMYFUNCTION("""COMPUTED_VALUE"""),"Belgique")</f>
        <v>Belgique</v>
      </c>
      <c r="C83" s="3">
        <f>IFERROR(__xludf.DUMMYFUNCTION("""COMPUTED_VALUE"""),1.1712893E7)</f>
        <v>11712893</v>
      </c>
      <c r="D83" s="3">
        <f>IFERROR(__xludf.DUMMYFUNCTION("""COMPUTED_VALUE"""),1.1767361E7)</f>
        <v>11767361</v>
      </c>
    </row>
    <row r="84">
      <c r="A84" s="3">
        <f>IFERROR(__xludf.DUMMYFUNCTION("""COMPUTED_VALUE"""),82.0)</f>
        <v>82</v>
      </c>
      <c r="B84" s="3" t="str">
        <f>IFERROR(__xludf.DUMMYFUNCTION("""COMPUTED_VALUE"""),"Haïti")</f>
        <v>Haïti</v>
      </c>
      <c r="C84" s="3">
        <f>IFERROR(__xludf.DUMMYFUNCTION("""COMPUTED_VALUE"""),1.1637398E7)</f>
        <v>11637398</v>
      </c>
      <c r="D84" s="3">
        <f>IFERROR(__xludf.DUMMYFUNCTION("""COMPUTED_VALUE"""),1.1972272E7)</f>
        <v>11972272</v>
      </c>
    </row>
    <row r="85">
      <c r="A85" s="3">
        <f>IFERROR(__xludf.DUMMYFUNCTION("""COMPUTED_VALUE"""),83.0)</f>
        <v>83</v>
      </c>
      <c r="B85" s="3" t="str">
        <f>IFERROR(__xludf.DUMMYFUNCTION("""COMPUTED_VALUE"""),"Soudan du Sud")</f>
        <v>Soudan du Sud</v>
      </c>
      <c r="C85" s="3">
        <f>IFERROR(__xludf.DUMMYFUNCTION("""COMPUTED_VALUE"""),1.1483374E7)</f>
        <v>11483374</v>
      </c>
      <c r="D85" s="3">
        <f>IFERROR(__xludf.DUMMYFUNCTION("""COMPUTED_VALUE"""),1.2310612E7)</f>
        <v>12310612</v>
      </c>
    </row>
    <row r="86">
      <c r="A86" s="3">
        <f>IFERROR(__xludf.DUMMYFUNCTION("""COMPUTED_VALUE"""),84.0)</f>
        <v>84</v>
      </c>
      <c r="B86" s="3" t="str">
        <f>IFERROR(__xludf.DUMMYFUNCTION("""COMPUTED_VALUE"""),"Jordanie")</f>
        <v>Jordanie</v>
      </c>
      <c r="C86" s="3">
        <f>IFERROR(__xludf.DUMMYFUNCTION("""COMPUTED_VALUE"""),1.1439213E7)</f>
        <v>11439213</v>
      </c>
      <c r="D86" s="3">
        <f>IFERROR(__xludf.DUMMYFUNCTION("""COMPUTED_VALUE"""),1.146656E7)</f>
        <v>11466560</v>
      </c>
    </row>
    <row r="87">
      <c r="A87" s="3">
        <f>IFERROR(__xludf.DUMMYFUNCTION("""COMPUTED_VALUE"""),85.0)</f>
        <v>85</v>
      </c>
      <c r="B87" s="3" t="str">
        <f>IFERROR(__xludf.DUMMYFUNCTION("""COMPUTED_VALUE"""),"République dominicaine")</f>
        <v>République dominicaine</v>
      </c>
      <c r="C87" s="3">
        <f>IFERROR(__xludf.DUMMYFUNCTION("""COMPUTED_VALUE"""),1.1331265E7)</f>
        <v>11331265</v>
      </c>
      <c r="D87" s="3">
        <f>IFERROR(__xludf.DUMMYFUNCTION("""COMPUTED_VALUE"""),1.1565848E7)</f>
        <v>11565848</v>
      </c>
    </row>
    <row r="88">
      <c r="A88" s="3">
        <f>IFERROR(__xludf.DUMMYFUNCTION("""COMPUTED_VALUE"""),86.0)</f>
        <v>86</v>
      </c>
      <c r="B88" s="3" t="str">
        <f>IFERROR(__xludf.DUMMYFUNCTION("""COMPUTED_VALUE"""),"Cuba")</f>
        <v>Cuba</v>
      </c>
      <c r="C88" s="3">
        <f>IFERROR(__xludf.DUMMYFUNCTION("""COMPUTED_VALUE"""),1.1019931E7)</f>
        <v>11019931</v>
      </c>
      <c r="D88" s="3">
        <f>IFERROR(__xludf.DUMMYFUNCTION("""COMPUTED_VALUE"""),1.0915434E7)</f>
        <v>10915434</v>
      </c>
    </row>
    <row r="89">
      <c r="A89" s="3">
        <f>IFERROR(__xludf.DUMMYFUNCTION("""COMPUTED_VALUE"""),87.0)</f>
        <v>87</v>
      </c>
      <c r="B89" s="3" t="str">
        <f>IFERROR(__xludf.DUMMYFUNCTION("""COMPUTED_VALUE"""),"Tchéquie")</f>
        <v>Tchéquie</v>
      </c>
      <c r="C89" s="3">
        <f>IFERROR(__xludf.DUMMYFUNCTION("""COMPUTED_VALUE"""),1.0809716E7)</f>
        <v>10809716</v>
      </c>
      <c r="D89" s="3">
        <f>IFERROR(__xludf.DUMMYFUNCTION("""COMPUTED_VALUE"""),1.0538315E7)</f>
        <v>10538315</v>
      </c>
    </row>
    <row r="90">
      <c r="A90" s="3">
        <f>IFERROR(__xludf.DUMMYFUNCTION("""COMPUTED_VALUE"""),88.0)</f>
        <v>88</v>
      </c>
      <c r="B90" s="3" t="str">
        <f>IFERROR(__xludf.DUMMYFUNCTION("""COMPUTED_VALUE"""),"Honduras")</f>
        <v>Honduras</v>
      </c>
      <c r="C90" s="3">
        <f>IFERROR(__xludf.DUMMYFUNCTION("""COMPUTED_VALUE"""),1.0644851E7)</f>
        <v>10644851</v>
      </c>
      <c r="D90" s="3">
        <f>IFERROR(__xludf.DUMMYFUNCTION("""COMPUTED_VALUE"""),1.1095684E7)</f>
        <v>11095684</v>
      </c>
    </row>
    <row r="91">
      <c r="A91" s="3">
        <f>IFERROR(__xludf.DUMMYFUNCTION("""COMPUTED_VALUE"""),89.0)</f>
        <v>89</v>
      </c>
      <c r="B91" s="3" t="str">
        <f>IFERROR(__xludf.DUMMYFUNCTION("""COMPUTED_VALUE"""),"Émirats arabes unis")</f>
        <v>Émirats arabes unis</v>
      </c>
      <c r="C91" s="3">
        <f>IFERROR(__xludf.DUMMYFUNCTION("""COMPUTED_VALUE"""),1.0642081E7)</f>
        <v>10642081</v>
      </c>
      <c r="D91" s="3">
        <f>IFERROR(__xludf.DUMMYFUNCTION("""COMPUTED_VALUE"""),1.1476873E7)</f>
        <v>11476873</v>
      </c>
    </row>
    <row r="92">
      <c r="A92" s="3">
        <f>IFERROR(__xludf.DUMMYFUNCTION("""COMPUTED_VALUE"""),90.0)</f>
        <v>90</v>
      </c>
      <c r="B92" s="3" t="str">
        <f>IFERROR(__xludf.DUMMYFUNCTION("""COMPUTED_VALUE"""),"Suède")</f>
        <v>Suède</v>
      </c>
      <c r="C92" s="3">
        <f>IFERROR(__xludf.DUMMYFUNCTION("""COMPUTED_VALUE"""),1.0551494E7)</f>
        <v>10551494</v>
      </c>
      <c r="D92" s="3">
        <f>IFERROR(__xludf.DUMMYFUNCTION("""COMPUTED_VALUE"""),1.0680346E7)</f>
        <v>10680346</v>
      </c>
    </row>
    <row r="93">
      <c r="A93" s="3">
        <f>IFERROR(__xludf.DUMMYFUNCTION("""COMPUTED_VALUE"""),91.0)</f>
        <v>91</v>
      </c>
      <c r="B93" s="3" t="str">
        <f>IFERROR(__xludf.DUMMYFUNCTION("""COMPUTED_VALUE"""),"Portugal")</f>
        <v>Portugal</v>
      </c>
      <c r="C93" s="3">
        <f>IFERROR(__xludf.DUMMYFUNCTION("""COMPUTED_VALUE"""),1.0430738E7)</f>
        <v>10430738</v>
      </c>
      <c r="D93" s="3">
        <f>IFERROR(__xludf.DUMMYFUNCTION("""COMPUTED_VALUE"""),1.0403733E7)</f>
        <v>10403733</v>
      </c>
    </row>
    <row r="94">
      <c r="A94" s="3">
        <f>IFERROR(__xludf.DUMMYFUNCTION("""COMPUTED_VALUE"""),92.0)</f>
        <v>92</v>
      </c>
      <c r="B94" s="3" t="str">
        <f>IFERROR(__xludf.DUMMYFUNCTION("""COMPUTED_VALUE"""),"Tadjikistan")</f>
        <v>Tadjikistan</v>
      </c>
      <c r="C94" s="3">
        <f>IFERROR(__xludf.DUMMYFUNCTION("""COMPUTED_VALUE"""),1.0389799E7)</f>
        <v>10389799</v>
      </c>
      <c r="D94" s="3">
        <f>IFERROR(__xludf.DUMMYFUNCTION("""COMPUTED_VALUE"""),1.0883318E7)</f>
        <v>10883318</v>
      </c>
    </row>
    <row r="95">
      <c r="A95" s="3">
        <f>IFERROR(__xludf.DUMMYFUNCTION("""COMPUTED_VALUE"""),93.0)</f>
        <v>93</v>
      </c>
      <c r="B95" s="3" t="str">
        <f>IFERROR(__xludf.DUMMYFUNCTION("""COMPUTED_VALUE"""),"Papouasie-Nouvelle-Guinée")</f>
        <v>Papouasie-Nouvelle-Guinée</v>
      </c>
      <c r="C95" s="3">
        <f>IFERROR(__xludf.DUMMYFUNCTION("""COMPUTED_VALUE"""),1.0389635E7)</f>
        <v>10389635</v>
      </c>
      <c r="D95" s="3">
        <f>IFERROR(__xludf.DUMMYFUNCTION("""COMPUTED_VALUE"""),1.0855692E7)</f>
        <v>10855692</v>
      </c>
    </row>
    <row r="96">
      <c r="A96" s="3">
        <f>IFERROR(__xludf.DUMMYFUNCTION("""COMPUTED_VALUE"""),94.0)</f>
        <v>94</v>
      </c>
      <c r="B96" s="3" t="str">
        <f>IFERROR(__xludf.DUMMYFUNCTION("""COMPUTED_VALUE"""),"Azerbaïdjan[m]")</f>
        <v>Azerbaïdjan[m]</v>
      </c>
      <c r="C96" s="3">
        <f>IFERROR(__xludf.DUMMYFUNCTION("""COMPUTED_VALUE"""),1.0318207E7)</f>
        <v>10318207</v>
      </c>
      <c r="D96" s="3">
        <f>IFERROR(__xludf.DUMMYFUNCTION("""COMPUTED_VALUE"""),1.042706E7)</f>
        <v>10427060</v>
      </c>
    </row>
    <row r="97">
      <c r="A97" s="3">
        <f>IFERROR(__xludf.DUMMYFUNCTION("""COMPUTED_VALUE"""),95.0)</f>
        <v>95</v>
      </c>
      <c r="B97" s="3" t="str">
        <f>IFERROR(__xludf.DUMMYFUNCTION("""COMPUTED_VALUE"""),"Grèce")</f>
        <v>Grèce</v>
      </c>
      <c r="C97" s="3">
        <f>IFERROR(__xludf.DUMMYFUNCTION("""COMPUTED_VALUE"""),1.0242908E7)</f>
        <v>10242908</v>
      </c>
      <c r="D97" s="3">
        <f>IFERROR(__xludf.DUMMYFUNCTION("""COMPUTED_VALUE"""),9918577.0)</f>
        <v>9918577</v>
      </c>
    </row>
    <row r="98">
      <c r="A98" s="3">
        <f>IFERROR(__xludf.DUMMYFUNCTION("""COMPUTED_VALUE"""),96.0)</f>
        <v>96</v>
      </c>
      <c r="B98" s="3" t="str">
        <f>IFERROR(__xludf.DUMMYFUNCTION("""COMPUTED_VALUE"""),"Hongrie")</f>
        <v>Hongrie</v>
      </c>
      <c r="C98" s="3">
        <f>IFERROR(__xludf.DUMMYFUNCTION("""COMPUTED_VALUE"""),9686463.0)</f>
        <v>9686463</v>
      </c>
      <c r="D98" s="3">
        <f>IFERROR(__xludf.DUMMYFUNCTION("""COMPUTED_VALUE"""),9602027.0)</f>
        <v>9602027</v>
      </c>
    </row>
    <row r="99">
      <c r="A99" s="3">
        <f>IFERROR(__xludf.DUMMYFUNCTION("""COMPUTED_VALUE"""),97.0)</f>
        <v>97</v>
      </c>
      <c r="B99" s="3" t="str">
        <f>IFERROR(__xludf.DUMMYFUNCTION("""COMPUTED_VALUE"""),"Togo")</f>
        <v>Togo</v>
      </c>
      <c r="C99" s="3">
        <f>IFERROR(__xludf.DUMMYFUNCTION("""COMPUTED_VALUE"""),9304337.0)</f>
        <v>9304337</v>
      </c>
      <c r="D99" s="3">
        <f>IFERROR(__xludf.DUMMYFUNCTION("""COMPUTED_VALUE"""),9825136.0)</f>
        <v>9825136</v>
      </c>
    </row>
    <row r="100">
      <c r="A100" s="3">
        <f>IFERROR(__xludf.DUMMYFUNCTION("""COMPUTED_VALUE"""),98.0)</f>
        <v>98</v>
      </c>
      <c r="B100" s="3" t="str">
        <f>IFERROR(__xludf.DUMMYFUNCTION("""COMPUTED_VALUE"""),"Israël[n]")</f>
        <v>Israël[n]</v>
      </c>
      <c r="C100" s="3">
        <f>IFERROR(__xludf.DUMMYFUNCTION("""COMPUTED_VALUE"""),9256314.0)</f>
        <v>9256314</v>
      </c>
      <c r="D100" s="3">
        <f>IFERROR(__xludf.DUMMYFUNCTION("""COMPUTED_VALUE"""),9582136.0)</f>
        <v>9582136</v>
      </c>
    </row>
    <row r="101">
      <c r="A101" s="3">
        <f>IFERROR(__xludf.DUMMYFUNCTION("""COMPUTED_VALUE"""),99.0)</f>
        <v>99</v>
      </c>
      <c r="B101" s="3" t="str">
        <f>IFERROR(__xludf.DUMMYFUNCTION("""COMPUTED_VALUE"""),"Autriche")</f>
        <v>Autriche</v>
      </c>
      <c r="C101" s="3">
        <f>IFERROR(__xludf.DUMMYFUNCTION("""COMPUTED_VALUE"""),9130429.0)</f>
        <v>9130429</v>
      </c>
      <c r="D101" s="3">
        <f>IFERROR(__xludf.DUMMYFUNCTION("""COMPUTED_VALUE"""),9110277.0)</f>
        <v>9110277</v>
      </c>
    </row>
    <row r="102">
      <c r="A102" s="3">
        <f>IFERROR(__xludf.DUMMYFUNCTION("""COMPUTED_VALUE"""),100.0)</f>
        <v>100</v>
      </c>
      <c r="B102" s="3" t="str">
        <f>IFERROR(__xludf.DUMMYFUNCTION("""COMPUTED_VALUE"""),"Biélorussie")</f>
        <v>Biélorussie</v>
      </c>
      <c r="C102" s="3">
        <f>IFERROR(__xludf.DUMMYFUNCTION("""COMPUTED_VALUE"""),9115680.0)</f>
        <v>9115680</v>
      </c>
      <c r="D102" s="3">
        <f>IFERROR(__xludf.DUMMYFUNCTION("""COMPUTED_VALUE"""),8967712.0)</f>
        <v>8967712</v>
      </c>
    </row>
    <row r="103">
      <c r="A103" s="3">
        <f>IFERROR(__xludf.DUMMYFUNCTION("""COMPUTED_VALUE"""),101.0)</f>
        <v>101</v>
      </c>
      <c r="B103" s="3" t="str">
        <f>IFERROR(__xludf.DUMMYFUNCTION("""COMPUTED_VALUE"""),"Suisse")</f>
        <v>Suisse</v>
      </c>
      <c r="C103" s="3">
        <f>IFERROR(__xludf.DUMMYFUNCTION("""COMPUTED_VALUE"""),8870561.0)</f>
        <v>8870561</v>
      </c>
      <c r="D103" s="3">
        <f>IFERROR(__xludf.DUMMYFUNCTION("""COMPUTED_VALUE"""),8988922.0)</f>
        <v>8988922</v>
      </c>
    </row>
    <row r="104">
      <c r="A104" s="3">
        <f>IFERROR(__xludf.DUMMYFUNCTION("""COMPUTED_VALUE"""),102.0)</f>
        <v>102</v>
      </c>
      <c r="B104" s="3" t="str">
        <f>IFERROR(__xludf.DUMMYFUNCTION("""COMPUTED_VALUE"""),"Sierra Leone")</f>
        <v>Sierra Leone</v>
      </c>
      <c r="C104" s="3">
        <f>IFERROR(__xludf.DUMMYFUNCTION("""COMPUTED_VALUE"""),8460512.0)</f>
        <v>8460512</v>
      </c>
      <c r="D104" s="3">
        <f>IFERROR(__xludf.DUMMYFUNCTION("""COMPUTED_VALUE"""),8908448.0)</f>
        <v>8908448</v>
      </c>
    </row>
    <row r="105">
      <c r="A105" s="3">
        <f>IFERROR(__xludf.DUMMYFUNCTION("""COMPUTED_VALUE"""),103.0)</f>
        <v>103</v>
      </c>
      <c r="B105" s="3" t="str">
        <f>IFERROR(__xludf.DUMMYFUNCTION("""COMPUTED_VALUE"""),"Laos")</f>
        <v>Laos</v>
      </c>
      <c r="C105" s="3">
        <f>IFERROR(__xludf.DUMMYFUNCTION("""COMPUTED_VALUE"""),7664993.0)</f>
        <v>7664993</v>
      </c>
      <c r="D105" s="3">
        <f>IFERROR(__xludf.DUMMYFUNCTION("""COMPUTED_VALUE"""),7924127.0)</f>
        <v>7924127</v>
      </c>
    </row>
    <row r="106">
      <c r="A106" s="3" t="str">
        <f>IFERROR(__xludf.DUMMYFUNCTION("""COMPUTED_VALUE"""),"-")</f>
        <v>-</v>
      </c>
      <c r="B106" s="3" t="str">
        <f>IFERROR(__xludf.DUMMYFUNCTION("""COMPUTED_VALUE"""),"*Hong Kong*")</f>
        <v>*Hong Kong*</v>
      </c>
      <c r="C106" s="3" t="str">
        <f>IFERROR(__xludf.DUMMYFUNCTION("""COMPUTED_VALUE"""),"*7 442 734*")</f>
        <v>*7 442 734*</v>
      </c>
      <c r="D106" s="3" t="str">
        <f>IFERROR(__xludf.DUMMYFUNCTION("""COMPUTED_VALUE"""),"*7 395 411*")</f>
        <v>*7 395 411*</v>
      </c>
    </row>
    <row r="107">
      <c r="A107" s="3">
        <f>IFERROR(__xludf.DUMMYFUNCTION("""COMPUTED_VALUE"""),104.0)</f>
        <v>104</v>
      </c>
      <c r="B107" s="3" t="str">
        <f>IFERROR(__xludf.DUMMYFUNCTION("""COMPUTED_VALUE"""),"Turkménistan")</f>
        <v>Turkménistan</v>
      </c>
      <c r="C107" s="3">
        <f>IFERROR(__xludf.DUMMYFUNCTION("""COMPUTED_VALUE"""),7364438.0)</f>
        <v>7364438</v>
      </c>
      <c r="D107" s="3">
        <f>IFERROR(__xludf.DUMMYFUNCTION("""COMPUTED_VALUE"""),7679401.0)</f>
        <v>7679401</v>
      </c>
    </row>
    <row r="108">
      <c r="A108" s="3">
        <f>IFERROR(__xludf.DUMMYFUNCTION("""COMPUTED_VALUE"""),105.0)</f>
        <v>105</v>
      </c>
      <c r="B108" s="3" t="str">
        <f>IFERROR(__xludf.DUMMYFUNCTION("""COMPUTED_VALUE"""),"Libye")</f>
        <v>Libye</v>
      </c>
      <c r="C108" s="3">
        <f>IFERROR(__xludf.DUMMYFUNCTION("""COMPUTED_VALUE"""),7305659.0)</f>
        <v>7305659</v>
      </c>
      <c r="D108" s="3">
        <f>IFERROR(__xludf.DUMMYFUNCTION("""COMPUTED_VALUE"""),7497603.0)</f>
        <v>7497603</v>
      </c>
    </row>
    <row r="109">
      <c r="A109" s="3">
        <f>IFERROR(__xludf.DUMMYFUNCTION("""COMPUTED_VALUE"""),106.0)</f>
        <v>106</v>
      </c>
      <c r="B109" s="3" t="str">
        <f>IFERROR(__xludf.DUMMYFUNCTION("""COMPUTED_VALUE"""),"Kirghizistan")</f>
        <v>Kirghizistan</v>
      </c>
      <c r="C109" s="3">
        <f>IFERROR(__xludf.DUMMYFUNCTION("""COMPUTED_VALUE"""),7073516.0)</f>
        <v>7073516</v>
      </c>
      <c r="D109" s="3">
        <f>IFERROR(__xludf.DUMMYFUNCTION("""COMPUTED_VALUE"""),7348645.0)</f>
        <v>7348645</v>
      </c>
    </row>
    <row r="110">
      <c r="A110" s="3">
        <f>IFERROR(__xludf.DUMMYFUNCTION("""COMPUTED_VALUE"""),107.0)</f>
        <v>107</v>
      </c>
      <c r="B110" s="3" t="str">
        <f>IFERROR(__xludf.DUMMYFUNCTION("""COMPUTED_VALUE"""),"Paraguay")</f>
        <v>Paraguay</v>
      </c>
      <c r="C110" s="3">
        <f>IFERROR(__xludf.DUMMYFUNCTION("""COMPUTED_VALUE"""),6844146.0)</f>
        <v>6844146</v>
      </c>
      <c r="D110" s="3">
        <f>IFERROR(__xludf.DUMMYFUNCTION("""COMPUTED_VALUE"""),7054615.0)</f>
        <v>7054615</v>
      </c>
    </row>
    <row r="111">
      <c r="A111" s="3">
        <f>IFERROR(__xludf.DUMMYFUNCTION("""COMPUTED_VALUE"""),108.0)</f>
        <v>108</v>
      </c>
      <c r="B111" s="3" t="str">
        <f>IFERROR(__xludf.DUMMYFUNCTION("""COMPUTED_VALUE"""),"Nicaragua")</f>
        <v>Nicaragua</v>
      </c>
      <c r="C111" s="3">
        <f>IFERROR(__xludf.DUMMYFUNCTION("""COMPUTED_VALUE"""),6823613.0)</f>
        <v>6823613</v>
      </c>
      <c r="D111" s="3">
        <f>IFERROR(__xludf.DUMMYFUNCTION("""COMPUTED_VALUE"""),7052795.0)</f>
        <v>7052795</v>
      </c>
    </row>
    <row r="112">
      <c r="A112" s="3">
        <f>IFERROR(__xludf.DUMMYFUNCTION("""COMPUTED_VALUE"""),109.0)</f>
        <v>109</v>
      </c>
      <c r="B112" s="3" t="str">
        <f>IFERROR(__xludf.DUMMYFUNCTION("""COMPUTED_VALUE"""),"Bulgarie")</f>
        <v>Bulgarie</v>
      </c>
      <c r="C112" s="3">
        <f>IFERROR(__xludf.DUMMYFUNCTION("""COMPUTED_VALUE"""),6795803.0)</f>
        <v>6795803</v>
      </c>
      <c r="D112" s="3">
        <f>IFERROR(__xludf.DUMMYFUNCTION("""COMPUTED_VALUE"""),6691964.0)</f>
        <v>6691964</v>
      </c>
    </row>
    <row r="113">
      <c r="A113" s="3">
        <f>IFERROR(__xludf.DUMMYFUNCTION("""COMPUTED_VALUE"""),110.0)</f>
        <v>110</v>
      </c>
      <c r="B113" s="3" t="str">
        <f>IFERROR(__xludf.DUMMYFUNCTION("""COMPUTED_VALUE"""),"Serbie[o]")</f>
        <v>Serbie[o]</v>
      </c>
      <c r="C113" s="3">
        <f>IFERROR(__xludf.DUMMYFUNCTION("""COMPUTED_VALUE"""),6773201.0)</f>
        <v>6773201</v>
      </c>
      <c r="D113" s="3">
        <f>IFERROR(__xludf.DUMMYFUNCTION("""COMPUTED_VALUE"""),6663980.0)</f>
        <v>6663980</v>
      </c>
    </row>
    <row r="114">
      <c r="A114" s="3">
        <f>IFERROR(__xludf.DUMMYFUNCTION("""COMPUTED_VALUE"""),111.0)</f>
        <v>111</v>
      </c>
      <c r="B114" s="3" t="str">
        <f>IFERROR(__xludf.DUMMYFUNCTION("""COMPUTED_VALUE"""),"Salvador")</f>
        <v>Salvador</v>
      </c>
      <c r="C114" s="3">
        <f>IFERROR(__xludf.DUMMYFUNCTION("""COMPUTED_VALUE"""),6309624.0)</f>
        <v>6309624</v>
      </c>
      <c r="D114" s="3">
        <f>IFERROR(__xludf.DUMMYFUNCTION("""COMPUTED_VALUE"""),6378605.0)</f>
        <v>6378605</v>
      </c>
    </row>
    <row r="115">
      <c r="A115" s="3">
        <f>IFERROR(__xludf.DUMMYFUNCTION("""COMPUTED_VALUE"""),112.0)</f>
        <v>112</v>
      </c>
      <c r="B115" s="3" t="str">
        <f>IFERROR(__xludf.DUMMYFUNCTION("""COMPUTED_VALUE"""),"République du Congo")</f>
        <v>République du Congo</v>
      </c>
      <c r="C115" s="3">
        <f>IFERROR(__xludf.DUMMYFUNCTION("""COMPUTED_VALUE"""),6182885.0)</f>
        <v>6182885</v>
      </c>
      <c r="D115" s="3">
        <f>IFERROR(__xludf.DUMMYFUNCTION("""COMPUTED_VALUE"""),6560580.0)</f>
        <v>6560580</v>
      </c>
    </row>
    <row r="116">
      <c r="A116" s="3">
        <f>IFERROR(__xludf.DUMMYFUNCTION("""COMPUTED_VALUE"""),113.0)</f>
        <v>113</v>
      </c>
      <c r="B116" s="3" t="str">
        <f>IFERROR(__xludf.DUMMYFUNCTION("""COMPUTED_VALUE"""),"Danemark[p]")</f>
        <v>Danemark[p]</v>
      </c>
      <c r="C116" s="3">
        <f>IFERROR(__xludf.DUMMYFUNCTION("""COMPUTED_VALUE"""),5948136.0)</f>
        <v>5948136</v>
      </c>
      <c r="D116" s="3">
        <f>IFERROR(__xludf.DUMMYFUNCTION("""COMPUTED_VALUE"""),6014093.0)</f>
        <v>6014093</v>
      </c>
    </row>
    <row r="117">
      <c r="A117" s="3">
        <f>IFERROR(__xludf.DUMMYFUNCTION("""COMPUTED_VALUE"""),114.0)</f>
        <v>114</v>
      </c>
      <c r="B117" s="3" t="str">
        <f>IFERROR(__xludf.DUMMYFUNCTION("""COMPUTED_VALUE"""),"Singapour")</f>
        <v>Singapour</v>
      </c>
      <c r="C117" s="3">
        <f>IFERROR(__xludf.DUMMYFUNCTION("""COMPUTED_VALUE"""),5789090.0)</f>
        <v>5789090</v>
      </c>
      <c r="D117" s="3">
        <f>IFERROR(__xludf.DUMMYFUNCTION("""COMPUTED_VALUE"""),5889187.0)</f>
        <v>5889187</v>
      </c>
    </row>
    <row r="118">
      <c r="A118" s="3">
        <f>IFERROR(__xludf.DUMMYFUNCTION("""COMPUTED_VALUE"""),115.0)</f>
        <v>115</v>
      </c>
      <c r="B118" s="3" t="str">
        <f>IFERROR(__xludf.DUMMYFUNCTION("""COMPUTED_VALUE"""),"Liban")</f>
        <v>Liban</v>
      </c>
      <c r="C118" s="3">
        <f>IFERROR(__xludf.DUMMYFUNCTION("""COMPUTED_VALUE"""),5773493.0)</f>
        <v>5773493</v>
      </c>
      <c r="D118" s="3">
        <f>IFERROR(__xludf.DUMMYFUNCTION("""COMPUTED_VALUE"""),5872709.0)</f>
        <v>5872709</v>
      </c>
    </row>
    <row r="119">
      <c r="A119" s="3">
        <f>IFERROR(__xludf.DUMMYFUNCTION("""COMPUTED_VALUE"""),116.0)</f>
        <v>116</v>
      </c>
      <c r="B119" s="3" t="str">
        <f>IFERROR(__xludf.DUMMYFUNCTION("""COMPUTED_VALUE"""),"Finlande[q]")</f>
        <v>Finlande[q]</v>
      </c>
      <c r="C119" s="3">
        <f>IFERROR(__xludf.DUMMYFUNCTION("""COMPUTED_VALUE"""),5601185.0)</f>
        <v>5601185</v>
      </c>
      <c r="D119" s="3">
        <f>IFERROR(__xludf.DUMMYFUNCTION("""COMPUTED_VALUE"""),5624082.0)</f>
        <v>5624082</v>
      </c>
    </row>
    <row r="120">
      <c r="A120" s="3">
        <f>IFERROR(__xludf.DUMMYFUNCTION("""COMPUTED_VALUE"""),117.0)</f>
        <v>117</v>
      </c>
      <c r="B120" s="3" t="str">
        <f>IFERROR(__xludf.DUMMYFUNCTION("""COMPUTED_VALUE"""),"Norvège")</f>
        <v>Norvège</v>
      </c>
      <c r="C120" s="3">
        <f>IFERROR(__xludf.DUMMYFUNCTION("""COMPUTED_VALUE"""),5519167.0)</f>
        <v>5519167</v>
      </c>
      <c r="D120" s="3">
        <f>IFERROR(__xludf.DUMMYFUNCTION("""COMPUTED_VALUE"""),5642601.0)</f>
        <v>5642601</v>
      </c>
    </row>
    <row r="121">
      <c r="A121" s="3">
        <f>IFERROR(__xludf.DUMMYFUNCTION("""COMPUTED_VALUE"""),118.0)</f>
        <v>118</v>
      </c>
      <c r="B121" s="3" t="str">
        <f>IFERROR(__xludf.DUMMYFUNCTION("""COMPUTED_VALUE"""),"Slovaquie")</f>
        <v>Slovaquie</v>
      </c>
      <c r="C121" s="3">
        <f>IFERROR(__xludf.DUMMYFUNCTION("""COMPUTED_VALUE"""),5518055.0)</f>
        <v>5518055</v>
      </c>
      <c r="D121" s="3">
        <f>IFERROR(__xludf.DUMMYFUNCTION("""COMPUTED_VALUE"""),5455816.0)</f>
        <v>5455816</v>
      </c>
    </row>
    <row r="122">
      <c r="A122" s="3">
        <f>IFERROR(__xludf.DUMMYFUNCTION("""COMPUTED_VALUE"""),119.0)</f>
        <v>119</v>
      </c>
      <c r="B122" s="3" t="str">
        <f>IFERROR(__xludf.DUMMYFUNCTION("""COMPUTED_VALUE"""),"Liberia")</f>
        <v>Liberia</v>
      </c>
      <c r="C122" s="3">
        <f>IFERROR(__xludf.DUMMYFUNCTION("""COMPUTED_VALUE"""),5493031.0)</f>
        <v>5493031</v>
      </c>
      <c r="D122" s="3">
        <f>IFERROR(__xludf.DUMMYFUNCTION("""COMPUTED_VALUE"""),5790170.0)</f>
        <v>5790170</v>
      </c>
    </row>
    <row r="123">
      <c r="A123" s="3">
        <f>IFERROR(__xludf.DUMMYFUNCTION("""COMPUTED_VALUE"""),120.0)</f>
        <v>120</v>
      </c>
      <c r="B123" s="3" t="str">
        <f>IFERROR(__xludf.DUMMYFUNCTION("""COMPUTED_VALUE"""),"Palestine[r]")</f>
        <v>Palestine[r]</v>
      </c>
      <c r="C123" s="3">
        <f>IFERROR(__xludf.DUMMYFUNCTION("""COMPUTED_VALUE"""),5409202.0)</f>
        <v>5409202</v>
      </c>
      <c r="D123" s="3">
        <f>IFERROR(__xludf.DUMMYFUNCTION("""COMPUTED_VALUE"""),5638786.0)</f>
        <v>5638786</v>
      </c>
    </row>
    <row r="124">
      <c r="A124" s="3">
        <f>IFERROR(__xludf.DUMMYFUNCTION("""COMPUTED_VALUE"""),121.0)</f>
        <v>121</v>
      </c>
      <c r="B124" s="3" t="str">
        <f>IFERROR(__xludf.DUMMYFUNCTION("""COMPUTED_VALUE"""),"Irlande")</f>
        <v>Irlande</v>
      </c>
      <c r="C124" s="3">
        <f>IFERROR(__xludf.DUMMYFUNCTION("""COMPUTED_VALUE"""),5196630.0)</f>
        <v>5196630</v>
      </c>
      <c r="D124" s="3">
        <f>IFERROR(__xludf.DUMMYFUNCTION("""COMPUTED_VALUE"""),5333468.0)</f>
        <v>5333468</v>
      </c>
    </row>
    <row r="125">
      <c r="A125" s="3">
        <f>IFERROR(__xludf.DUMMYFUNCTION("""COMPUTED_VALUE"""),122.0)</f>
        <v>122</v>
      </c>
      <c r="B125" s="3" t="str">
        <f>IFERROR(__xludf.DUMMYFUNCTION("""COMPUTED_VALUE"""),"Nouvelle-Zélande[s]")</f>
        <v>Nouvelle-Zélande[s]</v>
      </c>
      <c r="C125" s="3">
        <f>IFERROR(__xludf.DUMMYFUNCTION("""COMPUTED_VALUE"""),5172836.0)</f>
        <v>5172836</v>
      </c>
      <c r="D125" s="3">
        <f>IFERROR(__xludf.DUMMYFUNCTION("""COMPUTED_VALUE"""),5270225.0)</f>
        <v>5270225</v>
      </c>
    </row>
    <row r="126">
      <c r="A126" s="3">
        <f>IFERROR(__xludf.DUMMYFUNCTION("""COMPUTED_VALUE"""),123.0)</f>
        <v>123</v>
      </c>
      <c r="B126" s="3" t="str">
        <f>IFERROR(__xludf.DUMMYFUNCTION("""COMPUTED_VALUE"""),"République centrafricaine")</f>
        <v>République centrafricaine</v>
      </c>
      <c r="C126" s="3">
        <f>IFERROR(__xludf.DUMMYFUNCTION("""COMPUTED_VALUE"""),5152421.0)</f>
        <v>5152421</v>
      </c>
      <c r="D126" s="3">
        <f>IFERROR(__xludf.DUMMYFUNCTION("""COMPUTED_VALUE"""),5605434.0)</f>
        <v>5605434</v>
      </c>
    </row>
    <row r="127">
      <c r="A127" s="3">
        <f>IFERROR(__xludf.DUMMYFUNCTION("""COMPUTED_VALUE"""),124.0)</f>
        <v>124</v>
      </c>
      <c r="B127" s="3" t="str">
        <f>IFERROR(__xludf.DUMMYFUNCTION("""COMPUTED_VALUE"""),"Costa Rica")</f>
        <v>Costa Rica</v>
      </c>
      <c r="C127" s="3">
        <f>IFERROR(__xludf.DUMMYFUNCTION("""COMPUTED_VALUE"""),5105525.0)</f>
        <v>5105525</v>
      </c>
      <c r="D127" s="3">
        <f>IFERROR(__xludf.DUMMYFUNCTION("""COMPUTED_VALUE"""),5164155.0)</f>
        <v>5164155</v>
      </c>
    </row>
    <row r="128">
      <c r="A128" s="3">
        <f>IFERROR(__xludf.DUMMYFUNCTION("""COMPUTED_VALUE"""),125.0)</f>
        <v>125</v>
      </c>
      <c r="B128" s="3" t="str">
        <f>IFERROR(__xludf.DUMMYFUNCTION("""COMPUTED_VALUE"""),"Oman")</f>
        <v>Oman</v>
      </c>
      <c r="C128" s="3">
        <f>IFERROR(__xludf.DUMMYFUNCTION("""COMPUTED_VALUE"""),5049269.0)</f>
        <v>5049269</v>
      </c>
      <c r="D128" s="3">
        <f>IFERROR(__xludf.DUMMYFUNCTION("""COMPUTED_VALUE"""),5591450.0)</f>
        <v>5591450</v>
      </c>
    </row>
    <row r="129">
      <c r="A129" s="3">
        <f>IFERROR(__xludf.DUMMYFUNCTION("""COMPUTED_VALUE"""),126.0)</f>
        <v>126</v>
      </c>
      <c r="B129" s="3" t="str">
        <f>IFERROR(__xludf.DUMMYFUNCTION("""COMPUTED_VALUE"""),"Mauritanie")</f>
        <v>Mauritanie</v>
      </c>
      <c r="C129" s="3">
        <f>IFERROR(__xludf.DUMMYFUNCTION("""COMPUTED_VALUE"""),5022441.0)</f>
        <v>5022441</v>
      </c>
      <c r="D129" s="3">
        <f>IFERROR(__xludf.DUMMYFUNCTION("""COMPUTED_VALUE"""),5387859.0)</f>
        <v>5387859</v>
      </c>
    </row>
    <row r="130">
      <c r="A130" s="3">
        <f>IFERROR(__xludf.DUMMYFUNCTION("""COMPUTED_VALUE"""),127.0)</f>
        <v>127</v>
      </c>
      <c r="B130" s="3" t="str">
        <f>IFERROR(__xludf.DUMMYFUNCTION("""COMPUTED_VALUE"""),"Koweït")</f>
        <v>Koweït</v>
      </c>
      <c r="C130" s="3">
        <f>IFERROR(__xludf.DUMMYFUNCTION("""COMPUTED_VALUE"""),4838782.0)</f>
        <v>4838782</v>
      </c>
      <c r="D130" s="3">
        <f>IFERROR(__xludf.DUMMYFUNCTION("""COMPUTED_VALUE"""),5067283.0)</f>
        <v>5067283</v>
      </c>
    </row>
    <row r="131">
      <c r="A131" s="3">
        <f>IFERROR(__xludf.DUMMYFUNCTION("""COMPUTED_VALUE"""),128.0)</f>
        <v>128</v>
      </c>
      <c r="B131" s="3" t="str">
        <f>IFERROR(__xludf.DUMMYFUNCTION("""COMPUTED_VALUE"""),"Panama")</f>
        <v>Panama</v>
      </c>
      <c r="C131" s="3">
        <f>IFERROR(__xludf.DUMMYFUNCTION("""COMPUTED_VALUE"""),4458759.0)</f>
        <v>4458759</v>
      </c>
      <c r="D131" s="3">
        <f>IFERROR(__xludf.DUMMYFUNCTION("""COMPUTED_VALUE"""),4598712.0)</f>
        <v>4598712</v>
      </c>
    </row>
    <row r="132">
      <c r="A132" s="3">
        <f>IFERROR(__xludf.DUMMYFUNCTION("""COMPUTED_VALUE"""),129.0)</f>
        <v>129</v>
      </c>
      <c r="B132" s="3" t="str">
        <f>IFERROR(__xludf.DUMMYFUNCTION("""COMPUTED_VALUE"""),"Croatie")</f>
        <v>Croatie</v>
      </c>
      <c r="C132" s="3">
        <f>IFERROR(__xludf.DUMMYFUNCTION("""COMPUTED_VALUE"""),3896023.0)</f>
        <v>3896023</v>
      </c>
      <c r="D132" s="3">
        <f>IFERROR(__xludf.DUMMYFUNCTION("""COMPUTED_VALUE"""),3835005.0)</f>
        <v>3835005</v>
      </c>
    </row>
    <row r="133">
      <c r="A133" s="3">
        <f>IFERROR(__xludf.DUMMYFUNCTION("""COMPUTED_VALUE"""),130.0)</f>
        <v>130</v>
      </c>
      <c r="B133" s="3" t="str">
        <f>IFERROR(__xludf.DUMMYFUNCTION("""COMPUTED_VALUE"""),"Géorgie[t]")</f>
        <v>Géorgie[t]</v>
      </c>
      <c r="C133" s="3">
        <f>IFERROR(__xludf.DUMMYFUNCTION("""COMPUTED_VALUE"""),3807492.0)</f>
        <v>3807492</v>
      </c>
      <c r="D133" s="3">
        <f>IFERROR(__xludf.DUMMYFUNCTION("""COMPUTED_VALUE"""),3805841.0)</f>
        <v>3805841</v>
      </c>
    </row>
    <row r="134">
      <c r="A134" s="3">
        <f>IFERROR(__xludf.DUMMYFUNCTION("""COMPUTED_VALUE"""),131.0)</f>
        <v>131</v>
      </c>
      <c r="B134" s="3" t="str">
        <f>IFERROR(__xludf.DUMMYFUNCTION("""COMPUTED_VALUE"""),"Érythrée")</f>
        <v>Érythrée</v>
      </c>
      <c r="C134" s="3">
        <f>IFERROR(__xludf.DUMMYFUNCTION("""COMPUTED_VALUE"""),3470390.0)</f>
        <v>3470390</v>
      </c>
      <c r="D134" s="3">
        <f>IFERROR(__xludf.DUMMYFUNCTION("""COMPUTED_VALUE"""),3644580.0)</f>
        <v>3644580</v>
      </c>
    </row>
    <row r="135">
      <c r="A135" s="3">
        <f>IFERROR(__xludf.DUMMYFUNCTION("""COMPUTED_VALUE"""),132.0)</f>
        <v>132</v>
      </c>
      <c r="B135" s="3" t="str">
        <f>IFERROR(__xludf.DUMMYFUNCTION("""COMPUTED_VALUE"""),"Mongolie")</f>
        <v>Mongolie</v>
      </c>
      <c r="C135" s="3">
        <f>IFERROR(__xludf.DUMMYFUNCTION("""COMPUTED_VALUE"""),3431932.0)</f>
        <v>3431932</v>
      </c>
      <c r="D135" s="3">
        <f>IFERROR(__xludf.DUMMYFUNCTION("""COMPUTED_VALUE"""),3537390.0)</f>
        <v>3537390</v>
      </c>
    </row>
    <row r="136">
      <c r="A136" s="3">
        <f>IFERROR(__xludf.DUMMYFUNCTION("""COMPUTED_VALUE"""),133.0)</f>
        <v>133</v>
      </c>
      <c r="B136" s="3" t="str">
        <f>IFERROR(__xludf.DUMMYFUNCTION("""COMPUTED_VALUE"""),"Uruguay")</f>
        <v>Uruguay</v>
      </c>
      <c r="C136" s="3">
        <f>IFERROR(__xludf.DUMMYFUNCTION("""COMPUTED_VALUE"""),3388081.0)</f>
        <v>3388081</v>
      </c>
      <c r="D136" s="3">
        <f>IFERROR(__xludf.DUMMYFUNCTION("""COMPUTED_VALUE"""),3383680.0)</f>
        <v>3383680</v>
      </c>
    </row>
    <row r="137">
      <c r="A137" s="3" t="str">
        <f>IFERROR(__xludf.DUMMYFUNCTION("""COMPUTED_VALUE"""),"-")</f>
        <v>-</v>
      </c>
      <c r="B137" s="3" t="str">
        <f>IFERROR(__xludf.DUMMYFUNCTION("""COMPUTED_VALUE"""),"*Porto Rico*")</f>
        <v>*Porto Rico*</v>
      </c>
      <c r="C137" s="3" t="str">
        <f>IFERROR(__xludf.DUMMYFUNCTION("""COMPUTED_VALUE"""),"*3 242 023*")</f>
        <v>*3 242 023*</v>
      </c>
      <c r="D137" s="3" t="str">
        <f>IFERROR(__xludf.DUMMYFUNCTION("""COMPUTED_VALUE"""),"*3 230 204*")</f>
        <v>*3 230 204*</v>
      </c>
    </row>
    <row r="138">
      <c r="A138" s="3">
        <f>IFERROR(__xludf.DUMMYFUNCTION("""COMPUTED_VALUE"""),134.0)</f>
        <v>134</v>
      </c>
      <c r="B138" s="3" t="str">
        <f>IFERROR(__xludf.DUMMYFUNCTION("""COMPUTED_VALUE"""),"Bosnie-Herzégovine")</f>
        <v>Bosnie-Herzégovine</v>
      </c>
      <c r="C138" s="3">
        <f>IFERROR(__xludf.DUMMYFUNCTION("""COMPUTED_VALUE"""),3185073.0)</f>
        <v>3185073</v>
      </c>
      <c r="D138" s="3">
        <f>IFERROR(__xludf.DUMMYFUNCTION("""COMPUTED_VALUE"""),3127365.0)</f>
        <v>3127365</v>
      </c>
    </row>
    <row r="139">
      <c r="A139" s="3">
        <f>IFERROR(__xludf.DUMMYFUNCTION("""COMPUTED_VALUE"""),135.0)</f>
        <v>135</v>
      </c>
      <c r="B139" s="3" t="str">
        <f>IFERROR(__xludf.DUMMYFUNCTION("""COMPUTED_VALUE"""),"Moldavie[u]")</f>
        <v>Moldavie[u]</v>
      </c>
      <c r="C139" s="3">
        <f>IFERROR(__xludf.DUMMYFUNCTION("""COMPUTED_VALUE"""),3067070.0)</f>
        <v>3067070</v>
      </c>
      <c r="D139" s="3">
        <f>IFERROR(__xludf.DUMMYFUNCTION("""COMPUTED_VALUE"""),2975706.0)</f>
        <v>2975706</v>
      </c>
    </row>
    <row r="140">
      <c r="A140" s="3">
        <f>IFERROR(__xludf.DUMMYFUNCTION("""COMPUTED_VALUE"""),136.0)</f>
        <v>136</v>
      </c>
      <c r="B140" s="3" t="str">
        <f>IFERROR(__xludf.DUMMYFUNCTION("""COMPUTED_VALUE"""),"Qatar")</f>
        <v>Qatar</v>
      </c>
      <c r="C140" s="3">
        <f>IFERROR(__xludf.DUMMYFUNCTION("""COMPUTED_VALUE"""),2979082.0)</f>
        <v>2979082</v>
      </c>
      <c r="D140" s="3">
        <f>IFERROR(__xludf.DUMMYFUNCTION("""COMPUTED_VALUE"""),3147383.0)</f>
        <v>3147383</v>
      </c>
    </row>
    <row r="141">
      <c r="A141" s="3">
        <f>IFERROR(__xludf.DUMMYFUNCTION("""COMPUTED_VALUE"""),137.0)</f>
        <v>137</v>
      </c>
      <c r="B141" s="3" t="str">
        <f>IFERROR(__xludf.DUMMYFUNCTION("""COMPUTED_VALUE"""),"Namibie")</f>
        <v>Namibie</v>
      </c>
      <c r="C141" s="3">
        <f>IFERROR(__xludf.DUMMYFUNCTION("""COMPUTED_VALUE"""),2963095.0)</f>
        <v>2963095</v>
      </c>
      <c r="D141" s="3">
        <f>IFERROR(__xludf.DUMMYFUNCTION("""COMPUTED_VALUE"""),3123524.0)</f>
        <v>3123524</v>
      </c>
    </row>
    <row r="142">
      <c r="A142" s="3">
        <f>IFERROR(__xludf.DUMMYFUNCTION("""COMPUTED_VALUE"""),138.0)</f>
        <v>138</v>
      </c>
      <c r="B142" s="3" t="str">
        <f>IFERROR(__xludf.DUMMYFUNCTION("""COMPUTED_VALUE"""),"Arménie")</f>
        <v>Arménie</v>
      </c>
      <c r="C142" s="3">
        <f>IFERROR(__xludf.DUMMYFUNCTION("""COMPUTED_VALUE"""),2943393.0)</f>
        <v>2943393</v>
      </c>
      <c r="D142" s="3">
        <f>IFERROR(__xludf.DUMMYFUNCTION("""COMPUTED_VALUE"""),2941486.0)</f>
        <v>2941486</v>
      </c>
    </row>
    <row r="143">
      <c r="A143" s="3">
        <f>IFERROR(__xludf.DUMMYFUNCTION("""COMPUTED_VALUE"""),139.0)</f>
        <v>139</v>
      </c>
      <c r="B143" s="3" t="str">
        <f>IFERROR(__xludf.DUMMYFUNCTION("""COMPUTED_VALUE"""),"Lituanie")</f>
        <v>Lituanie</v>
      </c>
      <c r="C143" s="3">
        <f>IFERROR(__xludf.DUMMYFUNCTION("""COMPUTED_VALUE"""),2854099.0)</f>
        <v>2854099</v>
      </c>
      <c r="D143" s="3">
        <f>IFERROR(__xludf.DUMMYFUNCTION("""COMPUTED_VALUE"""),2808883.0)</f>
        <v>2808883</v>
      </c>
    </row>
    <row r="144">
      <c r="A144" s="3">
        <f>IFERROR(__xludf.DUMMYFUNCTION("""COMPUTED_VALUE"""),140.0)</f>
        <v>140</v>
      </c>
      <c r="B144" s="3" t="str">
        <f>IFERROR(__xludf.DUMMYFUNCTION("""COMPUTED_VALUE"""),"Jamaïque")</f>
        <v>Jamaïque</v>
      </c>
      <c r="C144" s="3">
        <f>IFERROR(__xludf.DUMMYFUNCTION("""COMPUTED_VALUE"""),2839786.0)</f>
        <v>2839786</v>
      </c>
      <c r="D144" s="3">
        <f>IFERROR(__xludf.DUMMYFUNCTION("""COMPUTED_VALUE"""),2835627.0)</f>
        <v>2835627</v>
      </c>
    </row>
    <row r="145">
      <c r="A145" s="3">
        <f>IFERROR(__xludf.DUMMYFUNCTION("""COMPUTED_VALUE"""),141.0)</f>
        <v>141</v>
      </c>
      <c r="B145" s="3" t="str">
        <f>IFERROR(__xludf.DUMMYFUNCTION("""COMPUTED_VALUE"""),"Albanie")</f>
        <v>Albanie</v>
      </c>
      <c r="C145" s="3">
        <f>IFERROR(__xludf.DUMMYFUNCTION("""COMPUTED_VALUE"""),2811655.0)</f>
        <v>2811655</v>
      </c>
      <c r="D145" s="3">
        <f>IFERROR(__xludf.DUMMYFUNCTION("""COMPUTED_VALUE"""),2761147.0)</f>
        <v>2761147</v>
      </c>
    </row>
    <row r="146">
      <c r="A146" s="3">
        <f>IFERROR(__xludf.DUMMYFUNCTION("""COMPUTED_VALUE"""),142.0)</f>
        <v>142</v>
      </c>
      <c r="B146" s="3" t="str">
        <f>IFERROR(__xludf.DUMMYFUNCTION("""COMPUTED_VALUE"""),"Gambie")</f>
        <v>Gambie</v>
      </c>
      <c r="C146" s="3">
        <f>IFERROR(__xludf.DUMMYFUNCTION("""COMPUTED_VALUE"""),2697845.0)</f>
        <v>2697845</v>
      </c>
      <c r="D146" s="3">
        <f>IFERROR(__xludf.DUMMYFUNCTION("""COMPUTED_VALUE"""),2853116.0)</f>
        <v>2853116</v>
      </c>
    </row>
    <row r="147">
      <c r="A147" s="3">
        <f>IFERROR(__xludf.DUMMYFUNCTION("""COMPUTED_VALUE"""),143.0)</f>
        <v>143</v>
      </c>
      <c r="B147" s="3" t="str">
        <f>IFERROR(__xludf.DUMMYFUNCTION("""COMPUTED_VALUE"""),"Gabon")</f>
        <v>Gabon</v>
      </c>
      <c r="C147" s="3">
        <f>IFERROR(__xludf.DUMMYFUNCTION("""COMPUTED_VALUE"""),2484789.0)</f>
        <v>2484789</v>
      </c>
      <c r="D147" s="3">
        <f>IFERROR(__xludf.DUMMYFUNCTION("""COMPUTED_VALUE"""),2620218.0)</f>
        <v>2620218</v>
      </c>
    </row>
    <row r="148">
      <c r="A148" s="3">
        <f>IFERROR(__xludf.DUMMYFUNCTION("""COMPUTED_VALUE"""),144.0)</f>
        <v>144</v>
      </c>
      <c r="B148" s="3" t="str">
        <f>IFERROR(__xludf.DUMMYFUNCTION("""COMPUTED_VALUE"""),"Botswana")</f>
        <v>Botswana</v>
      </c>
      <c r="C148" s="3">
        <f>IFERROR(__xludf.DUMMYFUNCTION("""COMPUTED_VALUE"""),2480244.0)</f>
        <v>2480244</v>
      </c>
      <c r="D148" s="3">
        <f>IFERROR(__xludf.DUMMYFUNCTION("""COMPUTED_VALUE"""),2582518.0)</f>
        <v>2582518</v>
      </c>
    </row>
    <row r="149">
      <c r="A149" s="3">
        <f>IFERROR(__xludf.DUMMYFUNCTION("""COMPUTED_VALUE"""),145.0)</f>
        <v>145</v>
      </c>
      <c r="B149" s="3" t="str">
        <f>IFERROR(__xludf.DUMMYFUNCTION("""COMPUTED_VALUE"""),"Lesotho")</f>
        <v>Lesotho</v>
      </c>
      <c r="C149" s="3">
        <f>IFERROR(__xludf.DUMMYFUNCTION("""COMPUTED_VALUE"""),2311472.0)</f>
        <v>2311472</v>
      </c>
      <c r="D149" s="3">
        <f>IFERROR(__xludf.DUMMYFUNCTION("""COMPUTED_VALUE"""),2376252.0)</f>
        <v>2376252</v>
      </c>
    </row>
    <row r="150">
      <c r="A150" s="3">
        <f>IFERROR(__xludf.DUMMYFUNCTION("""COMPUTED_VALUE"""),146.0)</f>
        <v>146</v>
      </c>
      <c r="B150" s="3" t="str">
        <f>IFERROR(__xludf.DUMMYFUNCTION("""COMPUTED_VALUE"""),"Guinée-Bissau")</f>
        <v>Guinée-Bissau</v>
      </c>
      <c r="C150" s="3">
        <f>IFERROR(__xludf.DUMMYFUNCTION("""COMPUTED_VALUE"""),2153339.0)</f>
        <v>2153339</v>
      </c>
      <c r="D150" s="3">
        <f>IFERROR(__xludf.DUMMYFUNCTION("""COMPUTED_VALUE"""),2273714.0)</f>
        <v>2273714</v>
      </c>
    </row>
    <row r="151">
      <c r="A151" s="3">
        <f>IFERROR(__xludf.DUMMYFUNCTION("""COMPUTED_VALUE"""),147.0)</f>
        <v>147</v>
      </c>
      <c r="B151" s="3" t="str">
        <f>IFERROR(__xludf.DUMMYFUNCTION("""COMPUTED_VALUE"""),"Slovénie")</f>
        <v>Slovénie</v>
      </c>
      <c r="C151" s="3">
        <f>IFERROR(__xludf.DUMMYFUNCTION("""COMPUTED_VALUE"""),2118396.0)</f>
        <v>2118396</v>
      </c>
      <c r="D151" s="3">
        <f>IFERROR(__xludf.DUMMYFUNCTION("""COMPUTED_VALUE"""),2115975.0)</f>
        <v>2115975</v>
      </c>
    </row>
    <row r="152">
      <c r="A152" s="3">
        <f>IFERROR(__xludf.DUMMYFUNCTION("""COMPUTED_VALUE"""),148.0)</f>
        <v>148</v>
      </c>
      <c r="B152" s="3" t="str">
        <f>IFERROR(__xludf.DUMMYFUNCTION("""COMPUTED_VALUE"""),"Lettonie")</f>
        <v>Lettonie</v>
      </c>
      <c r="C152" s="3">
        <f>IFERROR(__xludf.DUMMYFUNCTION("""COMPUTED_VALUE"""),1882396.0)</f>
        <v>1882396</v>
      </c>
      <c r="D152" s="3">
        <f>IFERROR(__xludf.DUMMYFUNCTION("""COMPUTED_VALUE"""),1843068.0)</f>
        <v>1843068</v>
      </c>
    </row>
    <row r="153">
      <c r="A153" s="3">
        <f>IFERROR(__xludf.DUMMYFUNCTION("""COMPUTED_VALUE"""),149.0)</f>
        <v>149</v>
      </c>
      <c r="B153" s="3" t="str">
        <f>IFERROR(__xludf.DUMMYFUNCTION("""COMPUTED_VALUE"""),"Guinée équatoriale")</f>
        <v>Guinée équatoriale</v>
      </c>
      <c r="C153" s="3">
        <f>IFERROR(__xludf.DUMMYFUNCTION("""COMPUTED_VALUE"""),1847549.0)</f>
        <v>1847549</v>
      </c>
      <c r="D153" s="3">
        <f>IFERROR(__xludf.DUMMYFUNCTION("""COMPUTED_VALUE"""),1961447.0)</f>
        <v>1961447</v>
      </c>
    </row>
    <row r="154">
      <c r="A154" s="3">
        <f>IFERROR(__xludf.DUMMYFUNCTION("""COMPUTED_VALUE"""),150.0)</f>
        <v>150</v>
      </c>
      <c r="B154" s="3" t="str">
        <f>IFERROR(__xludf.DUMMYFUNCTION("""COMPUTED_VALUE"""),"Macédoine du Nord")</f>
        <v>Macédoine du Nord</v>
      </c>
      <c r="C154" s="3">
        <f>IFERROR(__xludf.DUMMYFUNCTION("""COMPUTED_VALUE"""),1831802.0)</f>
        <v>1831802</v>
      </c>
      <c r="D154" s="3">
        <f>IFERROR(__xludf.DUMMYFUNCTION("""COMPUTED_VALUE"""),1809076.0)</f>
        <v>1809076</v>
      </c>
    </row>
    <row r="155">
      <c r="A155" s="3">
        <f>IFERROR(__xludf.DUMMYFUNCTION("""COMPUTED_VALUE"""),151.0)</f>
        <v>151</v>
      </c>
      <c r="B155" s="3" t="str">
        <f>IFERROR(__xludf.DUMMYFUNCTION("""COMPUTED_VALUE"""),"Kosovo")</f>
        <v>Kosovo</v>
      </c>
      <c r="C155" s="3">
        <f>IFERROR(__xludf.DUMMYFUNCTION("""COMPUTED_VALUE"""),1700031.0)</f>
        <v>1700031</v>
      </c>
      <c r="D155" s="3">
        <f>IFERROR(__xludf.DUMMYFUNCTION("""COMPUTED_VALUE"""),1669591.0)</f>
        <v>1669591</v>
      </c>
    </row>
    <row r="156">
      <c r="A156" s="3">
        <f>IFERROR(__xludf.DUMMYFUNCTION("""COMPUTED_VALUE"""),152.0)</f>
        <v>152</v>
      </c>
      <c r="B156" s="3" t="str">
        <f>IFERROR(__xludf.DUMMYFUNCTION("""COMPUTED_VALUE"""),"Bahreïn")</f>
        <v>Bahreïn</v>
      </c>
      <c r="C156" s="3">
        <f>IFERROR(__xludf.DUMMYFUNCTION("""COMPUTED_VALUE"""),1569666.0)</f>
        <v>1569666</v>
      </c>
      <c r="D156" s="3">
        <f>IFERROR(__xludf.DUMMYFUNCTION("""COMPUTED_VALUE"""),1660370.0)</f>
        <v>1660370</v>
      </c>
    </row>
    <row r="157">
      <c r="A157" s="3">
        <f>IFERROR(__xludf.DUMMYFUNCTION("""COMPUTED_VALUE"""),153.0)</f>
        <v>153</v>
      </c>
      <c r="B157" s="3" t="str">
        <f>IFERROR(__xludf.DUMMYFUNCTION("""COMPUTED_VALUE"""),"Trinité-et-Tobago")</f>
        <v>Trinité-et-Tobago</v>
      </c>
      <c r="C157" s="3">
        <f>IFERROR(__xludf.DUMMYFUNCTION("""COMPUTED_VALUE"""),1502932.0)</f>
        <v>1502932</v>
      </c>
      <c r="D157" s="3">
        <f>IFERROR(__xludf.DUMMYFUNCTION("""COMPUTED_VALUE"""),1512502.0)</f>
        <v>1512502</v>
      </c>
    </row>
    <row r="158">
      <c r="A158" s="3">
        <f>IFERROR(__xludf.DUMMYFUNCTION("""COMPUTED_VALUE"""),154.0)</f>
        <v>154</v>
      </c>
      <c r="B158" s="3" t="str">
        <f>IFERROR(__xludf.DUMMYFUNCTION("""COMPUTED_VALUE"""),"Timor oriental")</f>
        <v>Timor oriental</v>
      </c>
      <c r="C158" s="3">
        <f>IFERROR(__xludf.DUMMYFUNCTION("""COMPUTED_VALUE"""),1384286.0)</f>
        <v>1384286</v>
      </c>
      <c r="D158" s="3">
        <f>IFERROR(__xludf.DUMMYFUNCTION("""COMPUTED_VALUE"""),1427484.0)</f>
        <v>1427484</v>
      </c>
    </row>
    <row r="159">
      <c r="A159" s="3">
        <f>IFERROR(__xludf.DUMMYFUNCTION("""COMPUTED_VALUE"""),155.0)</f>
        <v>155</v>
      </c>
      <c r="B159" s="3" t="str">
        <f>IFERROR(__xludf.DUMMYFUNCTION("""COMPUTED_VALUE"""),"Estonie")</f>
        <v>Estonie</v>
      </c>
      <c r="C159" s="3">
        <f>IFERROR(__xludf.DUMMYFUNCTION("""COMPUTED_VALUE"""),1367196.0)</f>
        <v>1367196</v>
      </c>
      <c r="D159" s="3">
        <f>IFERROR(__xludf.DUMMYFUNCTION("""COMPUTED_VALUE"""),1334598.0)</f>
        <v>1334598</v>
      </c>
    </row>
    <row r="160">
      <c r="A160" s="3">
        <f>IFERROR(__xludf.DUMMYFUNCTION("""COMPUTED_VALUE"""),156.0)</f>
        <v>156</v>
      </c>
      <c r="B160" s="3" t="str">
        <f>IFERROR(__xludf.DUMMYFUNCTION("""COMPUTED_VALUE"""),"Chypre[v]")</f>
        <v>Chypre[v]</v>
      </c>
      <c r="C160" s="3">
        <f>IFERROR(__xludf.DUMMYFUNCTION("""COMPUTED_VALUE"""),1344976.0)</f>
        <v>1344976</v>
      </c>
      <c r="D160" s="3">
        <f>IFERROR(__xludf.DUMMYFUNCTION("""COMPUTED_VALUE"""),1376781.0)</f>
        <v>1376781</v>
      </c>
    </row>
    <row r="161">
      <c r="A161" s="3">
        <f>IFERROR(__xludf.DUMMYFUNCTION("""COMPUTED_VALUE"""),157.0)</f>
        <v>157</v>
      </c>
      <c r="B161" s="3" t="str">
        <f>IFERROR(__xludf.DUMMYFUNCTION("""COMPUTED_VALUE"""),"Maurice")</f>
        <v>Maurice</v>
      </c>
      <c r="C161" s="3">
        <f>IFERROR(__xludf.DUMMYFUNCTION("""COMPUTED_VALUE"""),1273588.0)</f>
        <v>1273588</v>
      </c>
      <c r="D161" s="3">
        <f>IFERROR(__xludf.DUMMYFUNCTION("""COMPUTED_VALUE"""),1266738.0)</f>
        <v>1266738</v>
      </c>
    </row>
    <row r="162">
      <c r="A162" s="3">
        <f>IFERROR(__xludf.DUMMYFUNCTION("""COMPUTED_VALUE"""),158.0)</f>
        <v>158</v>
      </c>
      <c r="B162" s="3" t="str">
        <f>IFERROR(__xludf.DUMMYFUNCTION("""COMPUTED_VALUE"""),"Eswatini")</f>
        <v>Eswatini</v>
      </c>
      <c r="C162" s="3">
        <f>IFERROR(__xludf.DUMMYFUNCTION("""COMPUTED_VALUE"""),1230506.0)</f>
        <v>1230506</v>
      </c>
      <c r="D162" s="3">
        <f>IFERROR(__xludf.DUMMYFUNCTION("""COMPUTED_VALUE"""),1263011.0)</f>
        <v>1263011</v>
      </c>
    </row>
    <row r="163">
      <c r="A163" s="3">
        <f>IFERROR(__xludf.DUMMYFUNCTION("""COMPUTED_VALUE"""),159.0)</f>
        <v>159</v>
      </c>
      <c r="B163" s="3" t="str">
        <f>IFERROR(__xludf.DUMMYFUNCTION("""COMPUTED_VALUE"""),"Djibouti")</f>
        <v>Djibouti</v>
      </c>
      <c r="C163" s="3">
        <f>IFERROR(__xludf.DUMMYFUNCTION("""COMPUTED_VALUE"""),1152944.0)</f>
        <v>1152944</v>
      </c>
      <c r="D163" s="3">
        <f>IFERROR(__xludf.DUMMYFUNCTION("""COMPUTED_VALUE"""),1191581.0)</f>
        <v>1191581</v>
      </c>
    </row>
    <row r="164">
      <c r="A164" s="3">
        <f>IFERROR(__xludf.DUMMYFUNCTION("""COMPUTED_VALUE"""),160.0)</f>
        <v>160</v>
      </c>
      <c r="B164" s="3" t="str">
        <f>IFERROR(__xludf.DUMMYFUNCTION("""COMPUTED_VALUE"""),"Fidji")</f>
        <v>Fidji</v>
      </c>
      <c r="C164" s="3">
        <f>IFERROR(__xludf.DUMMYFUNCTION("""COMPUTED_VALUE"""),924145.0)</f>
        <v>924145</v>
      </c>
      <c r="D164" s="3">
        <f>IFERROR(__xludf.DUMMYFUNCTION("""COMPUTED_VALUE"""),935285.0)</f>
        <v>935285</v>
      </c>
    </row>
    <row r="165">
      <c r="A165" s="3" t="str">
        <f>IFERROR(__xludf.DUMMYFUNCTION("""COMPUTED_VALUE"""),"-")</f>
        <v>-</v>
      </c>
      <c r="B165" s="3" t="str">
        <f>IFERROR(__xludf.DUMMYFUNCTION("""COMPUTED_VALUE"""),"*La Réunion*")</f>
        <v>*La Réunion*</v>
      </c>
      <c r="C165" s="3" t="str">
        <f>IFERROR(__xludf.DUMMYFUNCTION("""COMPUTED_VALUE"""),"*874 883*")</f>
        <v>*874 883*</v>
      </c>
      <c r="D165" s="3" t="str">
        <f>IFERROR(__xludf.DUMMYFUNCTION("""COMPUTED_VALUE"""),"*884 305*")</f>
        <v>*884 305*</v>
      </c>
    </row>
    <row r="166">
      <c r="A166" s="3">
        <f>IFERROR(__xludf.DUMMYFUNCTION("""COMPUTED_VALUE"""),161.0)</f>
        <v>161</v>
      </c>
      <c r="B166" s="3" t="str">
        <f>IFERROR(__xludf.DUMMYFUNCTION("""COMPUTED_VALUE"""),"Comores")</f>
        <v>Comores</v>
      </c>
      <c r="C166" s="3">
        <f>IFERROR(__xludf.DUMMYFUNCTION("""COMPUTED_VALUE"""),850387.0)</f>
        <v>850387</v>
      </c>
      <c r="D166" s="3">
        <f>IFERROR(__xludf.DUMMYFUNCTION("""COMPUTED_VALUE"""),890946.0)</f>
        <v>890946</v>
      </c>
    </row>
    <row r="167">
      <c r="A167" s="3">
        <f>IFERROR(__xludf.DUMMYFUNCTION("""COMPUTED_VALUE"""),162.0)</f>
        <v>162</v>
      </c>
      <c r="B167" s="3" t="str">
        <f>IFERROR(__xludf.DUMMYFUNCTION("""COMPUTED_VALUE"""),"Guyana")</f>
        <v>Guyana</v>
      </c>
      <c r="C167" s="3">
        <f>IFERROR(__xludf.DUMMYFUNCTION("""COMPUTED_VALUE"""),826353.0)</f>
        <v>826353</v>
      </c>
      <c r="D167" s="3">
        <f>IFERROR(__xludf.DUMMYFUNCTION("""COMPUTED_VALUE"""),838431.0)</f>
        <v>838431</v>
      </c>
    </row>
    <row r="168">
      <c r="A168" s="3">
        <f>IFERROR(__xludf.DUMMYFUNCTION("""COMPUTED_VALUE"""),163.0)</f>
        <v>163</v>
      </c>
      <c r="B168" s="3" t="str">
        <f>IFERROR(__xludf.DUMMYFUNCTION("""COMPUTED_VALUE"""),"Îles Salomon")</f>
        <v>Îles Salomon</v>
      </c>
      <c r="C168" s="3">
        <f>IFERROR(__xludf.DUMMYFUNCTION("""COMPUTED_VALUE"""),800005.0)</f>
        <v>800005</v>
      </c>
      <c r="D168" s="3">
        <f>IFERROR(__xludf.DUMMYFUNCTION("""COMPUTED_VALUE"""),848434.0)</f>
        <v>848434</v>
      </c>
    </row>
    <row r="169">
      <c r="A169" s="3">
        <f>IFERROR(__xludf.DUMMYFUNCTION("""COMPUTED_VALUE"""),164.0)</f>
        <v>164</v>
      </c>
      <c r="B169" s="3" t="str">
        <f>IFERROR(__xludf.DUMMYFUNCTION("""COMPUTED_VALUE"""),"Bhoutan")</f>
        <v>Bhoutan</v>
      </c>
      <c r="C169" s="3">
        <f>IFERROR(__xludf.DUMMYFUNCTION("""COMPUTED_VALUE"""),786385.0)</f>
        <v>786385</v>
      </c>
      <c r="D169" s="3">
        <f>IFERROR(__xludf.DUMMYFUNCTION("""COMPUTED_VALUE"""),799420.0)</f>
        <v>799420</v>
      </c>
    </row>
    <row r="170">
      <c r="A170" s="3" t="str">
        <f>IFERROR(__xludf.DUMMYFUNCTION("""COMPUTED_VALUE"""),"-")</f>
        <v>-</v>
      </c>
      <c r="B170" s="3" t="str">
        <f>IFERROR(__xludf.DUMMYFUNCTION("""COMPUTED_VALUE"""),"*Macao*")</f>
        <v>*Macao*</v>
      </c>
      <c r="C170" s="3" t="str">
        <f>IFERROR(__xludf.DUMMYFUNCTION("""COMPUTED_VALUE"""),"*713 912*")</f>
        <v>*713 912*</v>
      </c>
      <c r="D170" s="3" t="str">
        <f>IFERROR(__xludf.DUMMYFUNCTION("""COMPUTED_VALUE"""),"*722 357*")</f>
        <v>*722 357*</v>
      </c>
    </row>
    <row r="171">
      <c r="A171" s="3">
        <f>IFERROR(__xludf.DUMMYFUNCTION("""COMPUTED_VALUE"""),165.0)</f>
        <v>165</v>
      </c>
      <c r="B171" s="3" t="str">
        <f>IFERROR(__xludf.DUMMYFUNCTION("""COMPUTED_VALUE"""),"Luxembourg")</f>
        <v>Luxembourg</v>
      </c>
      <c r="C171" s="3">
        <f>IFERROR(__xludf.DUMMYFUNCTION("""COMPUTED_VALUE"""),665098.0)</f>
        <v>665098</v>
      </c>
      <c r="D171" s="3">
        <f>IFERROR(__xludf.DUMMYFUNCTION("""COMPUTED_VALUE"""),684039.0)</f>
        <v>684039</v>
      </c>
    </row>
    <row r="172">
      <c r="A172" s="3">
        <f>IFERROR(__xludf.DUMMYFUNCTION("""COMPUTED_VALUE"""),166.0)</f>
        <v>166</v>
      </c>
      <c r="B172" s="3" t="str">
        <f>IFERROR(__xludf.DUMMYFUNCTION("""COMPUTED_VALUE"""),"Monténégro")</f>
        <v>Monténégro</v>
      </c>
      <c r="C172" s="3">
        <f>IFERROR(__xludf.DUMMYFUNCTION("""COMPUTED_VALUE"""),633552.0)</f>
        <v>633552</v>
      </c>
      <c r="D172" s="3">
        <f>IFERROR(__xludf.DUMMYFUNCTION("""COMPUTED_VALUE"""),627936.0)</f>
        <v>627936</v>
      </c>
    </row>
    <row r="173">
      <c r="A173" s="3">
        <f>IFERROR(__xludf.DUMMYFUNCTION("""COMPUTED_VALUE"""),167.0)</f>
        <v>167</v>
      </c>
      <c r="B173" s="3" t="str">
        <f>IFERROR(__xludf.DUMMYFUNCTION("""COMPUTED_VALUE"""),"Suriname")</f>
        <v>Suriname</v>
      </c>
      <c r="C173" s="3">
        <f>IFERROR(__xludf.DUMMYFUNCTION("""COMPUTED_VALUE"""),628886.0)</f>
        <v>628886</v>
      </c>
      <c r="D173" s="3">
        <f>IFERROR(__xludf.DUMMYFUNCTION("""COMPUTED_VALUE"""),642582.0)</f>
        <v>642582</v>
      </c>
    </row>
    <row r="174">
      <c r="A174" s="3">
        <f>IFERROR(__xludf.DUMMYFUNCTION("""COMPUTED_VALUE"""),168.0)</f>
        <v>168</v>
      </c>
      <c r="B174" s="3" t="str">
        <f>IFERROR(__xludf.DUMMYFUNCTION("""COMPUTED_VALUE"""),"Sahara occidental[w]")</f>
        <v>Sahara occidental[w]</v>
      </c>
      <c r="C174" s="3">
        <f>IFERROR(__xludf.DUMMYFUNCTION("""COMPUTED_VALUE"""),579729.0)</f>
        <v>579729</v>
      </c>
      <c r="D174" s="3">
        <f>IFERROR(__xludf.DUMMYFUNCTION("""COMPUTED_VALUE"""),605978.0)</f>
        <v>605978</v>
      </c>
    </row>
    <row r="175">
      <c r="A175" s="3">
        <f>IFERROR(__xludf.DUMMYFUNCTION("""COMPUTED_VALUE"""),169.0)</f>
        <v>169</v>
      </c>
      <c r="B175" s="3" t="str">
        <f>IFERROR(__xludf.DUMMYFUNCTION("""COMPUTED_VALUE"""),"Malte")</f>
        <v>Malte</v>
      </c>
      <c r="C175" s="3">
        <f>IFERROR(__xludf.DUMMYFUNCTION("""COMPUTED_VALUE"""),532956.0)</f>
        <v>532956</v>
      </c>
      <c r="D175" s="3">
        <f>IFERROR(__xludf.DUMMYFUNCTION("""COMPUTED_VALUE"""),547990.0)</f>
        <v>547990</v>
      </c>
    </row>
    <row r="176">
      <c r="A176" s="3">
        <f>IFERROR(__xludf.DUMMYFUNCTION("""COMPUTED_VALUE"""),170.0)</f>
        <v>170</v>
      </c>
      <c r="B176" s="3" t="str">
        <f>IFERROR(__xludf.DUMMYFUNCTION("""COMPUTED_VALUE"""),"Maldives")</f>
        <v>Maldives</v>
      </c>
      <c r="C176" s="3">
        <f>IFERROR(__xludf.DUMMYFUNCTION("""COMPUTED_VALUE"""),525994.0)</f>
        <v>525994</v>
      </c>
      <c r="D176" s="3">
        <f>IFERROR(__xludf.DUMMYFUNCTION("""COMPUTED_VALUE"""),530598.0)</f>
        <v>530598</v>
      </c>
    </row>
    <row r="177">
      <c r="A177" s="3">
        <f>IFERROR(__xludf.DUMMYFUNCTION("""COMPUTED_VALUE"""),171.0)</f>
        <v>171</v>
      </c>
      <c r="B177" s="3" t="str">
        <f>IFERROR(__xludf.DUMMYFUNCTION("""COMPUTED_VALUE"""),"Cap-Vert")</f>
        <v>Cap-Vert</v>
      </c>
      <c r="C177" s="3">
        <f>IFERROR(__xludf.DUMMYFUNCTION("""COMPUTED_VALUE"""),522331.0)</f>
        <v>522331</v>
      </c>
      <c r="D177" s="3">
        <f>IFERROR(__xludf.DUMMYFUNCTION("""COMPUTED_VALUE"""),528511.0)</f>
        <v>528511</v>
      </c>
    </row>
    <row r="178">
      <c r="A178" s="3">
        <f>IFERROR(__xludf.DUMMYFUNCTION("""COMPUTED_VALUE"""),172.0)</f>
        <v>172</v>
      </c>
      <c r="B178" s="3" t="str">
        <f>IFERROR(__xludf.DUMMYFUNCTION("""COMPUTED_VALUE"""),"Brunei")</f>
        <v>Brunei</v>
      </c>
      <c r="C178" s="3">
        <f>IFERROR(__xludf.DUMMYFUNCTION("""COMPUTED_VALUE"""),458949.0)</f>
        <v>458949</v>
      </c>
      <c r="D178" s="3">
        <f>IFERROR(__xludf.DUMMYFUNCTION("""COMPUTED_VALUE"""),468087.0)</f>
        <v>468087</v>
      </c>
    </row>
    <row r="179">
      <c r="A179" s="3">
        <f>IFERROR(__xludf.DUMMYFUNCTION("""COMPUTED_VALUE"""),173.0)</f>
        <v>173</v>
      </c>
      <c r="B179" s="3" t="str">
        <f>IFERROR(__xludf.DUMMYFUNCTION("""COMPUTED_VALUE"""),"Belize")</f>
        <v>Belize</v>
      </c>
      <c r="C179" s="3">
        <f>IFERROR(__xludf.DUMMYFUNCTION("""COMPUTED_VALUE"""),411106.0)</f>
        <v>411106</v>
      </c>
      <c r="D179" s="3">
        <f>IFERROR(__xludf.DUMMYFUNCTION("""COMPUTED_VALUE"""),425802.0)</f>
        <v>425802</v>
      </c>
    </row>
    <row r="180">
      <c r="A180" s="3">
        <f>IFERROR(__xludf.DUMMYFUNCTION("""COMPUTED_VALUE"""),174.0)</f>
        <v>174</v>
      </c>
      <c r="B180" s="3" t="str">
        <f>IFERROR(__xludf.DUMMYFUNCTION("""COMPUTED_VALUE"""),"Bahamas")</f>
        <v>Bahamas</v>
      </c>
      <c r="C180" s="3">
        <f>IFERROR(__xludf.DUMMYFUNCTION("""COMPUTED_VALUE"""),399440.0)</f>
        <v>399440</v>
      </c>
      <c r="D180" s="3">
        <f>IFERROR(__xludf.DUMMYFUNCTION("""COMPUTED_VALUE"""),403865.0)</f>
        <v>403865</v>
      </c>
    </row>
    <row r="181">
      <c r="A181" s="3">
        <f>IFERROR(__xludf.DUMMYFUNCTION("""COMPUTED_VALUE"""),175.0)</f>
        <v>175</v>
      </c>
      <c r="B181" s="3" t="str">
        <f>IFERROR(__xludf.DUMMYFUNCTION("""COMPUTED_VALUE"""),"Islande")</f>
        <v>Islande</v>
      </c>
      <c r="C181" s="3">
        <f>IFERROR(__xludf.DUMMYFUNCTION("""COMPUTED_VALUE"""),387558.0)</f>
        <v>387558</v>
      </c>
      <c r="D181" s="3">
        <f>IFERROR(__xludf.DUMMYFUNCTION("""COMPUTED_VALUE"""),400481.0)</f>
        <v>400481</v>
      </c>
    </row>
    <row r="182">
      <c r="A182" s="3" t="str">
        <f>IFERROR(__xludf.DUMMYFUNCTION("""COMPUTED_VALUE"""),"-")</f>
        <v>-</v>
      </c>
      <c r="B182" s="3" t="str">
        <f>IFERROR(__xludf.DUMMYFUNCTION("""COMPUTED_VALUE"""),"*Guadeloupe*")</f>
        <v>*Guadeloupe*</v>
      </c>
      <c r="C182" s="3" t="str">
        <f>IFERROR(__xludf.DUMMYFUNCTION("""COMPUTED_VALUE"""),"*376 517*")</f>
        <v>*376 517*</v>
      </c>
      <c r="D182" s="3" t="str">
        <f>IFERROR(__xludf.DUMMYFUNCTION("""COMPUTED_VALUE"""),"*373 126*")</f>
        <v>*373 126*</v>
      </c>
    </row>
    <row r="183">
      <c r="A183" s="3" t="str">
        <f>IFERROR(__xludf.DUMMYFUNCTION("""COMPUTED_VALUE"""),"-")</f>
        <v>-</v>
      </c>
      <c r="B183" s="3" t="str">
        <f>IFERROR(__xludf.DUMMYFUNCTION("""COMPUTED_VALUE"""),"*Martinique*")</f>
        <v>*Martinique*</v>
      </c>
      <c r="C183" s="3" t="str">
        <f>IFERROR(__xludf.DUMMYFUNCTION("""COMPUTED_VALUE"""),"*346 002*")</f>
        <v>*346 002*</v>
      </c>
      <c r="D183" s="3" t="str">
        <f>IFERROR(__xludf.DUMMYFUNCTION("""COMPUTED_VALUE"""),"*339 065*")</f>
        <v>*339 065*</v>
      </c>
    </row>
    <row r="184">
      <c r="A184" s="3">
        <f>IFERROR(__xludf.DUMMYFUNCTION("""COMPUTED_VALUE"""),176.0)</f>
        <v>176</v>
      </c>
      <c r="B184" s="3" t="str">
        <f>IFERROR(__xludf.DUMMYFUNCTION("""COMPUTED_VALUE"""),"Vanuatu")</f>
        <v>Vanuatu</v>
      </c>
      <c r="C184" s="3">
        <f>IFERROR(__xludf.DUMMYFUNCTION("""COMPUTED_VALUE"""),320409.0)</f>
        <v>320409</v>
      </c>
      <c r="D184" s="3">
        <f>IFERROR(__xludf.DUMMYFUNCTION("""COMPUTED_VALUE"""),338868.0)</f>
        <v>338868</v>
      </c>
    </row>
    <row r="185">
      <c r="A185" s="3" t="str">
        <f>IFERROR(__xludf.DUMMYFUNCTION("""COMPUTED_VALUE"""),"-")</f>
        <v>-</v>
      </c>
      <c r="B185" s="3" t="str">
        <f>IFERROR(__xludf.DUMMYFUNCTION("""COMPUTED_VALUE"""),"*Mayotte*")</f>
        <v>*Mayotte*</v>
      </c>
      <c r="C185" s="3" t="str">
        <f>IFERROR(__xludf.DUMMYFUNCTION("""COMPUTED_VALUE"""),"*316 015*")</f>
        <v>*316 015*</v>
      </c>
      <c r="D185" s="3" t="str">
        <f>IFERROR(__xludf.DUMMYFUNCTION("""COMPUTED_VALUE"""),"*342 263*")</f>
        <v>*342 263*</v>
      </c>
    </row>
    <row r="186">
      <c r="A186" s="3" t="str">
        <f>IFERROR(__xludf.DUMMYFUNCTION("""COMPUTED_VALUE"""),"-")</f>
        <v>-</v>
      </c>
      <c r="B186" s="3" t="str">
        <f>IFERROR(__xludf.DUMMYFUNCTION("""COMPUTED_VALUE"""),"*Guyane*")</f>
        <v>*Guyane*</v>
      </c>
      <c r="C186" s="3" t="str">
        <f>IFERROR(__xludf.DUMMYFUNCTION("""COMPUTED_VALUE"""),"*303 402*")</f>
        <v>*303 402*</v>
      </c>
      <c r="D186" s="3" t="str">
        <f>IFERROR(__xludf.DUMMYFUNCTION("""COMPUTED_VALUE"""),"*316 247*")</f>
        <v>*316 247*</v>
      </c>
    </row>
    <row r="187">
      <c r="A187" s="3" t="str">
        <f>IFERROR(__xludf.DUMMYFUNCTION("""COMPUTED_VALUE"""),"-")</f>
        <v>-</v>
      </c>
      <c r="B187" s="3" t="str">
        <f>IFERROR(__xludf.DUMMYFUNCTION("""COMPUTED_VALUE"""),"*Nouvelle-Calédonie*")</f>
        <v>*Nouvelle-Calédonie*</v>
      </c>
      <c r="C187" s="3" t="str">
        <f>IFERROR(__xludf.DUMMYFUNCTION("""COMPUTED_VALUE"""),"*289 870*")</f>
        <v>*289 870*</v>
      </c>
      <c r="D187" s="3" t="str">
        <f>IFERROR(__xludf.DUMMYFUNCTION("""COMPUTED_VALUE"""),"*296 656*")</f>
        <v>*296 656*</v>
      </c>
    </row>
    <row r="188">
      <c r="A188" s="3">
        <f>IFERROR(__xludf.DUMMYFUNCTION("""COMPUTED_VALUE"""),177.0)</f>
        <v>177</v>
      </c>
      <c r="B188" s="3" t="str">
        <f>IFERROR(__xludf.DUMMYFUNCTION("""COMPUTED_VALUE"""),"Barbade")</f>
        <v>Barbade</v>
      </c>
      <c r="C188" s="3">
        <f>IFERROR(__xludf.DUMMYFUNCTION("""COMPUTED_VALUE"""),282336.0)</f>
        <v>282336</v>
      </c>
      <c r="D188" s="3">
        <f>IFERROR(__xludf.DUMMYFUNCTION("""COMPUTED_VALUE"""),282688.0)</f>
        <v>282688</v>
      </c>
    </row>
    <row r="189">
      <c r="A189" s="3" t="str">
        <f>IFERROR(__xludf.DUMMYFUNCTION("""COMPUTED_VALUE"""),"-")</f>
        <v>-</v>
      </c>
      <c r="B189" s="3" t="str">
        <f>IFERROR(__xludf.DUMMYFUNCTION("""COMPUTED_VALUE"""),"*Polynésie française*")</f>
        <v>*Polynésie française*</v>
      </c>
      <c r="C189" s="3" t="str">
        <f>IFERROR(__xludf.DUMMYFUNCTION("""COMPUTED_VALUE"""),"*281 118*")</f>
        <v>*281 118*</v>
      </c>
      <c r="D189" s="3" t="str">
        <f>IFERROR(__xludf.DUMMYFUNCTION("""COMPUTED_VALUE"""),"*282 783*")</f>
        <v>*282 783*</v>
      </c>
    </row>
    <row r="190">
      <c r="A190" s="3">
        <f>IFERROR(__xludf.DUMMYFUNCTION("""COMPUTED_VALUE"""),178.0)</f>
        <v>178</v>
      </c>
      <c r="B190" s="3" t="str">
        <f>IFERROR(__xludf.DUMMYFUNCTION("""COMPUTED_VALUE"""),"Sao Tomé-et-Principe")</f>
        <v>Sao Tomé-et-Principe</v>
      </c>
      <c r="C190" s="3">
        <f>IFERROR(__xludf.DUMMYFUNCTION("""COMPUTED_VALUE"""),230871.0)</f>
        <v>230871</v>
      </c>
      <c r="D190" s="3">
        <f>IFERROR(__xludf.DUMMYFUNCTION("""COMPUTED_VALUE"""),242620.0)</f>
        <v>242620</v>
      </c>
    </row>
    <row r="191">
      <c r="A191" s="3">
        <f>IFERROR(__xludf.DUMMYFUNCTION("""COMPUTED_VALUE"""),179.0)</f>
        <v>179</v>
      </c>
      <c r="B191" s="3" t="str">
        <f>IFERROR(__xludf.DUMMYFUNCTION("""COMPUTED_VALUE"""),"Samoa")</f>
        <v>Samoa</v>
      </c>
      <c r="C191" s="3">
        <f>IFERROR(__xludf.DUMMYFUNCTION("""COMPUTED_VALUE"""),216663.0)</f>
        <v>216663</v>
      </c>
      <c r="D191" s="3">
        <f>IFERROR(__xludf.DUMMYFUNCTION("""COMPUTED_VALUE"""),219916.0)</f>
        <v>219916</v>
      </c>
    </row>
    <row r="192">
      <c r="A192" s="3" t="str">
        <f>IFERROR(__xludf.DUMMYFUNCTION("""COMPUTED_VALUE"""),"-")</f>
        <v>-</v>
      </c>
      <c r="B192" s="3" t="str">
        <f>IFERROR(__xludf.DUMMYFUNCTION("""COMPUTED_VALUE"""),"*Curaçao*")</f>
        <v>*Curaçao*</v>
      </c>
      <c r="C192" s="3" t="str">
        <f>IFERROR(__xludf.DUMMYFUNCTION("""COMPUTED_VALUE"""),"*185 427*")</f>
        <v>*185 427*</v>
      </c>
      <c r="D192" s="3" t="str">
        <f>IFERROR(__xludf.DUMMYFUNCTION("""COMPUTED_VALUE"""),"*185 471*")</f>
        <v>*185 471*</v>
      </c>
    </row>
    <row r="193">
      <c r="A193" s="3">
        <f>IFERROR(__xludf.DUMMYFUNCTION("""COMPUTED_VALUE"""),180.0)</f>
        <v>180</v>
      </c>
      <c r="B193" s="3" t="str">
        <f>IFERROR(__xludf.DUMMYFUNCTION("""COMPUTED_VALUE"""),"Sainte-Lucie")</f>
        <v>Sainte-Lucie</v>
      </c>
      <c r="C193" s="3">
        <f>IFERROR(__xludf.DUMMYFUNCTION("""COMPUTED_VALUE"""),179285.0)</f>
        <v>179285</v>
      </c>
      <c r="D193" s="3">
        <f>IFERROR(__xludf.DUMMYFUNCTION("""COMPUTED_VALUE"""),180334.0)</f>
        <v>180334</v>
      </c>
    </row>
    <row r="194">
      <c r="A194" s="3" t="str">
        <f>IFERROR(__xludf.DUMMYFUNCTION("""COMPUTED_VALUE"""),"-")</f>
        <v>-</v>
      </c>
      <c r="B194" s="3" t="str">
        <f>IFERROR(__xludf.DUMMYFUNCTION("""COMPUTED_VALUE"""),"*Guam*")</f>
        <v>*Guam*</v>
      </c>
      <c r="C194" s="3" t="str">
        <f>IFERROR(__xludf.DUMMYFUNCTION("""COMPUTED_VALUE"""),"*166 506*")</f>
        <v>*166 506*</v>
      </c>
      <c r="D194" s="3" t="str">
        <f>IFERROR(__xludf.DUMMYFUNCTION("""COMPUTED_VALUE"""),"*169 598*")</f>
        <v>*169 598*</v>
      </c>
    </row>
    <row r="195">
      <c r="A195" s="3">
        <f>IFERROR(__xludf.DUMMYFUNCTION("""COMPUTED_VALUE"""),181.0)</f>
        <v>181</v>
      </c>
      <c r="B195" s="3" t="str">
        <f>IFERROR(__xludf.DUMMYFUNCTION("""COMPUTED_VALUE"""),"Kiribati")</f>
        <v>Kiribati</v>
      </c>
      <c r="C195" s="3">
        <f>IFERROR(__xludf.DUMMYFUNCTION("""COMPUTED_VALUE"""),132530.0)</f>
        <v>132530</v>
      </c>
      <c r="D195" s="3">
        <f>IFERROR(__xludf.DUMMYFUNCTION("""COMPUTED_VALUE"""),137468.0)</f>
        <v>137468</v>
      </c>
    </row>
    <row r="196">
      <c r="A196" s="3">
        <f>IFERROR(__xludf.DUMMYFUNCTION("""COMPUTED_VALUE"""),182.0)</f>
        <v>182</v>
      </c>
      <c r="B196" s="3" t="str">
        <f>IFERROR(__xludf.DUMMYFUNCTION("""COMPUTED_VALUE"""),"Seychelles")</f>
        <v>Seychelles</v>
      </c>
      <c r="C196" s="3">
        <f>IFERROR(__xludf.DUMMYFUNCTION("""COMPUTED_VALUE"""),127951.0)</f>
        <v>127951</v>
      </c>
      <c r="D196" s="3">
        <f>IFERROR(__xludf.DUMMYFUNCTION("""COMPUTED_VALUE"""),133927.0)</f>
        <v>133927</v>
      </c>
    </row>
    <row r="197">
      <c r="A197" s="3">
        <f>IFERROR(__xludf.DUMMYFUNCTION("""COMPUTED_VALUE"""),183.0)</f>
        <v>183</v>
      </c>
      <c r="B197" s="3" t="str">
        <f>IFERROR(__xludf.DUMMYFUNCTION("""COMPUTED_VALUE"""),"Grenade")</f>
        <v>Grenade</v>
      </c>
      <c r="C197" s="3">
        <f>IFERROR(__xludf.DUMMYFUNCTION("""COMPUTED_VALUE"""),117081.0)</f>
        <v>117081</v>
      </c>
      <c r="D197" s="3">
        <f>IFERROR(__xludf.DUMMYFUNCTION("""COMPUTED_VALUE"""),117347.0)</f>
        <v>117347</v>
      </c>
    </row>
    <row r="198">
      <c r="A198" s="3">
        <f>IFERROR(__xludf.DUMMYFUNCTION("""COMPUTED_VALUE"""),184.0)</f>
        <v>184</v>
      </c>
      <c r="B198" s="3" t="str">
        <f>IFERROR(__xludf.DUMMYFUNCTION("""COMPUTED_VALUE"""),"États fédérés de Micronésie")</f>
        <v>États fédérés de Micronésie</v>
      </c>
      <c r="C198" s="3">
        <f>IFERROR(__xludf.DUMMYFUNCTION("""COMPUTED_VALUE"""),112630.0)</f>
        <v>112630</v>
      </c>
      <c r="D198" s="3">
        <f>IFERROR(__xludf.DUMMYFUNCTION("""COMPUTED_VALUE"""),113938.0)</f>
        <v>113938</v>
      </c>
    </row>
    <row r="199">
      <c r="A199" s="3" t="str">
        <f>IFERROR(__xludf.DUMMYFUNCTION("""COMPUTED_VALUE"""),"-")</f>
        <v>-</v>
      </c>
      <c r="B199" s="3" t="str">
        <f>IFERROR(__xludf.DUMMYFUNCTION("""COMPUTED_VALUE"""),"*Aruba*")</f>
        <v>*Aruba*</v>
      </c>
      <c r="C199" s="3" t="str">
        <f>IFERROR(__xludf.DUMMYFUNCTION("""COMPUTED_VALUE"""),"*107 939*")</f>
        <v>*107 939*</v>
      </c>
      <c r="D199" s="3" t="str">
        <f>IFERROR(__xludf.DUMMYFUNCTION("""COMPUTED_VALUE"""),"*108 173*")</f>
        <v>*108 173*</v>
      </c>
    </row>
    <row r="200">
      <c r="A200" s="3">
        <f>IFERROR(__xludf.DUMMYFUNCTION("""COMPUTED_VALUE"""),185.0)</f>
        <v>185</v>
      </c>
      <c r="B200" s="3" t="str">
        <f>IFERROR(__xludf.DUMMYFUNCTION("""COMPUTED_VALUE"""),"Tonga")</f>
        <v>Tonga</v>
      </c>
      <c r="C200" s="3">
        <f>IFERROR(__xludf.DUMMYFUNCTION("""COMPUTED_VALUE"""),104597.0)</f>
        <v>104597</v>
      </c>
      <c r="D200" s="3">
        <f>IFERROR(__xludf.DUMMYFUNCTION("""COMPUTED_VALUE"""),103512.0)</f>
        <v>103512</v>
      </c>
    </row>
    <row r="201">
      <c r="A201" s="3" t="str">
        <f>IFERROR(__xludf.DUMMYFUNCTION("""COMPUTED_VALUE"""),"-")</f>
        <v>-</v>
      </c>
      <c r="B201" s="3" t="str">
        <f>IFERROR(__xludf.DUMMYFUNCTION("""COMPUTED_VALUE"""),"*Jersey*")</f>
        <v>*Jersey*</v>
      </c>
      <c r="C201" s="3" t="str">
        <f>IFERROR(__xludf.DUMMYFUNCTION("""COMPUTED_VALUE"""),"*103 674*")</f>
        <v>*103 674*</v>
      </c>
      <c r="D201" s="3" t="str">
        <f>IFERROR(__xludf.DUMMYFUNCTION("""COMPUTED_VALUE"""),"*104 052*")</f>
        <v>*104 052*</v>
      </c>
    </row>
    <row r="202">
      <c r="A202" s="3">
        <f>IFERROR(__xludf.DUMMYFUNCTION("""COMPUTED_VALUE"""),186.0)</f>
        <v>186</v>
      </c>
      <c r="B202" s="3" t="str">
        <f>IFERROR(__xludf.DUMMYFUNCTION("""COMPUTED_VALUE"""),"Saint-Vincent-et-les-Grenadines")</f>
        <v>Saint-Vincent-et-les-Grenadines</v>
      </c>
      <c r="C202" s="3">
        <f>IFERROR(__xludf.DUMMYFUNCTION("""COMPUTED_VALUE"""),101323.0)</f>
        <v>101323</v>
      </c>
      <c r="D202" s="3">
        <f>IFERROR(__xludf.DUMMYFUNCTION("""COMPUTED_VALUE"""),99583.0)</f>
        <v>99583</v>
      </c>
    </row>
    <row r="203">
      <c r="A203" s="3">
        <f>IFERROR(__xludf.DUMMYFUNCTION("""COMPUTED_VALUE"""),187.0)</f>
        <v>187</v>
      </c>
      <c r="B203" s="3" t="str">
        <f>IFERROR(__xludf.DUMMYFUNCTION("""COMPUTED_VALUE"""),"Antigua-et-Barbuda")</f>
        <v>Antigua-et-Barbuda</v>
      </c>
      <c r="C203" s="3">
        <f>IFERROR(__xludf.DUMMYFUNCTION("""COMPUTED_VALUE"""),93316.0)</f>
        <v>93316</v>
      </c>
      <c r="D203" s="3">
        <f>IFERROR(__xludf.DUMMYFUNCTION("""COMPUTED_VALUE"""),94423.0)</f>
        <v>94423</v>
      </c>
    </row>
    <row r="204">
      <c r="A204" s="3" t="str">
        <f>IFERROR(__xludf.DUMMYFUNCTION("""COMPUTED_VALUE"""),"-")</f>
        <v>-</v>
      </c>
      <c r="B204" s="3" t="str">
        <f>IFERROR(__xludf.DUMMYFUNCTION("""COMPUTED_VALUE"""),"*Îles Vierges des États-Unis*")</f>
        <v>*Îles Vierges des États-Unis*</v>
      </c>
      <c r="C204" s="3" t="str">
        <f>IFERROR(__xludf.DUMMYFUNCTION("""COMPUTED_VALUE"""),"*85 701*")</f>
        <v>*85 701*</v>
      </c>
      <c r="D204" s="3" t="str">
        <f>IFERROR(__xludf.DUMMYFUNCTION("""COMPUTED_VALUE"""),"*83 770*")</f>
        <v>*83 770*</v>
      </c>
    </row>
    <row r="205">
      <c r="A205" s="3" t="str">
        <f>IFERROR(__xludf.DUMMYFUNCTION("""COMPUTED_VALUE"""),"-")</f>
        <v>-</v>
      </c>
      <c r="B205" s="3" t="str">
        <f>IFERROR(__xludf.DUMMYFUNCTION("""COMPUTED_VALUE"""),"*Île de Man*")</f>
        <v>*Île de Man*</v>
      </c>
      <c r="C205" s="3" t="str">
        <f>IFERROR(__xludf.DUMMYFUNCTION("""COMPUTED_VALUE"""),"*84 165*")</f>
        <v>*84 165*</v>
      </c>
      <c r="D205" s="3" t="str">
        <f>IFERROR(__xludf.DUMMYFUNCTION("""COMPUTED_VALUE"""),"*84 089*")</f>
        <v>*84 089*</v>
      </c>
    </row>
    <row r="206">
      <c r="A206" s="3">
        <f>IFERROR(__xludf.DUMMYFUNCTION("""COMPUTED_VALUE"""),188.0)</f>
        <v>188</v>
      </c>
      <c r="B206" s="3" t="str">
        <f>IFERROR(__xludf.DUMMYFUNCTION("""COMPUTED_VALUE"""),"Andorre")</f>
        <v>Andorre</v>
      </c>
      <c r="C206" s="3">
        <f>IFERROR(__xludf.DUMMYFUNCTION("""COMPUTED_VALUE"""),80856.0)</f>
        <v>80856</v>
      </c>
      <c r="D206" s="3">
        <f>IFERROR(__xludf.DUMMYFUNCTION("""COMPUTED_VALUE"""),83352.0)</f>
        <v>83352</v>
      </c>
    </row>
    <row r="207">
      <c r="A207" s="3" t="str">
        <f>IFERROR(__xludf.DUMMYFUNCTION("""COMPUTED_VALUE"""),"-")</f>
        <v>-</v>
      </c>
      <c r="B207" s="3" t="str">
        <f>IFERROR(__xludf.DUMMYFUNCTION("""COMPUTED_VALUE"""),"*Îles Caïmans*")</f>
        <v>*Îles Caïmans*</v>
      </c>
      <c r="C207" s="3" t="str">
        <f>IFERROR(__xludf.DUMMYFUNCTION("""COMPUTED_VALUE"""),"*73 038*")</f>
        <v>*73 038*</v>
      </c>
      <c r="D207" s="3" t="str">
        <f>IFERROR(__xludf.DUMMYFUNCTION("""COMPUTED_VALUE"""),"*76 528*")</f>
        <v>*76 528*</v>
      </c>
    </row>
    <row r="208">
      <c r="A208" s="3">
        <f>IFERROR(__xludf.DUMMYFUNCTION("""COMPUTED_VALUE"""),189.0)</f>
        <v>189</v>
      </c>
      <c r="B208" s="3" t="str">
        <f>IFERROR(__xludf.DUMMYFUNCTION("""COMPUTED_VALUE"""),"Dominique")</f>
        <v>Dominique</v>
      </c>
      <c r="C208" s="3">
        <f>IFERROR(__xludf.DUMMYFUNCTION("""COMPUTED_VALUE"""),66510.0)</f>
        <v>66510</v>
      </c>
      <c r="D208" s="3">
        <f>IFERROR(__xludf.DUMMYFUNCTION("""COMPUTED_VALUE"""),65686.0)</f>
        <v>65686</v>
      </c>
    </row>
    <row r="209">
      <c r="A209" s="3" t="str">
        <f>IFERROR(__xludf.DUMMYFUNCTION("""COMPUTED_VALUE"""),"-")</f>
        <v>-</v>
      </c>
      <c r="B209" s="3" t="str">
        <f>IFERROR(__xludf.DUMMYFUNCTION("""COMPUTED_VALUE"""),"*Bermudes*")</f>
        <v>*Bermudes*</v>
      </c>
      <c r="C209" s="3" t="str">
        <f>IFERROR(__xludf.DUMMYFUNCTION("""COMPUTED_VALUE"""),"*64 698*")</f>
        <v>*64 698*</v>
      </c>
      <c r="D209" s="3" t="str">
        <f>IFERROR(__xludf.DUMMYFUNCTION("""COMPUTED_VALUE"""),"*64 508*")</f>
        <v>*64 508*</v>
      </c>
    </row>
    <row r="210">
      <c r="A210" s="3" t="str">
        <f>IFERROR(__xludf.DUMMYFUNCTION("""COMPUTED_VALUE"""),"-")</f>
        <v>-</v>
      </c>
      <c r="B210" s="3" t="str">
        <f>IFERROR(__xludf.DUMMYFUNCTION("""COMPUTED_VALUE"""),"*Guernesey*")</f>
        <v>*Guernesey*</v>
      </c>
      <c r="C210" s="3" t="str">
        <f>IFERROR(__xludf.DUMMYFUNCTION("""COMPUTED_VALUE"""),"*64 017*")</f>
        <v>*64 017*</v>
      </c>
      <c r="D210" s="3" t="str">
        <f>IFERROR(__xludf.DUMMYFUNCTION("""COMPUTED_VALUE"""),"*64 562*")</f>
        <v>*64 562*</v>
      </c>
    </row>
    <row r="211">
      <c r="A211" s="3" t="str">
        <f>IFERROR(__xludf.DUMMYFUNCTION("""COMPUTED_VALUE"""),"-")</f>
        <v>-</v>
      </c>
      <c r="B211" s="3" t="str">
        <f>IFERROR(__xludf.DUMMYFUNCTION("""COMPUTED_VALUE"""),"*Groenland*")</f>
        <v>*Groenland*</v>
      </c>
      <c r="C211" s="3" t="str">
        <f>IFERROR(__xludf.DUMMYFUNCTION("""COMPUTED_VALUE"""),"*55 922*")</f>
        <v>*55 922*</v>
      </c>
      <c r="D211" s="3" t="str">
        <f>IFERROR(__xludf.DUMMYFUNCTION("""COMPUTED_VALUE"""),"*55 693*")</f>
        <v>*55 693*</v>
      </c>
    </row>
    <row r="212">
      <c r="A212" s="3" t="str">
        <f>IFERROR(__xludf.DUMMYFUNCTION("""COMPUTED_VALUE"""),"-")</f>
        <v>-</v>
      </c>
      <c r="B212" s="3" t="str">
        <f>IFERROR(__xludf.DUMMYFUNCTION("""COMPUTED_VALUE"""),"*Îles Féroé*")</f>
        <v>*Îles Féroé*</v>
      </c>
      <c r="C212" s="3" t="str">
        <f>IFERROR(__xludf.DUMMYFUNCTION("""COMPUTED_VALUE"""),"*54 714*")</f>
        <v>*54 714*</v>
      </c>
      <c r="D212" s="3" t="str">
        <f>IFERROR(__xludf.DUMMYFUNCTION("""COMPUTED_VALUE"""),"*56 281*")</f>
        <v>*56 281*</v>
      </c>
    </row>
    <row r="213">
      <c r="A213" s="3" t="str">
        <f>IFERROR(__xludf.DUMMYFUNCTION("""COMPUTED_VALUE"""),"-")</f>
        <v>-</v>
      </c>
      <c r="B213" s="3" t="str">
        <f>IFERROR(__xludf.DUMMYFUNCTION("""COMPUTED_VALUE"""),"*Samoa américaines*")</f>
        <v>*Samoa américaines*</v>
      </c>
      <c r="C213" s="3" t="str">
        <f>IFERROR(__xludf.DUMMYFUNCTION("""COMPUTED_VALUE"""),"*47 521*")</f>
        <v>*47 521*</v>
      </c>
      <c r="D213" s="3" t="str">
        <f>IFERROR(__xludf.DUMMYFUNCTION("""COMPUTED_VALUE"""),"*45 668*")</f>
        <v>*45 668*</v>
      </c>
    </row>
    <row r="214">
      <c r="A214" s="3">
        <f>IFERROR(__xludf.DUMMYFUNCTION("""COMPUTED_VALUE"""),190.0)</f>
        <v>190</v>
      </c>
      <c r="B214" s="3" t="str">
        <f>IFERROR(__xludf.DUMMYFUNCTION("""COMPUTED_VALUE"""),"Saint-Christophe-et-Niévès")</f>
        <v>Saint-Christophe-et-Niévès</v>
      </c>
      <c r="C214" s="3">
        <f>IFERROR(__xludf.DUMMYFUNCTION("""COMPUTED_VALUE"""),46758.0)</f>
        <v>46758</v>
      </c>
      <c r="D214" s="3">
        <f>IFERROR(__xludf.DUMMYFUNCTION("""COMPUTED_VALUE"""),46960.0)</f>
        <v>46960</v>
      </c>
    </row>
    <row r="215">
      <c r="A215" s="3" t="str">
        <f>IFERROR(__xludf.DUMMYFUNCTION("""COMPUTED_VALUE"""),"-")</f>
        <v>-</v>
      </c>
      <c r="B215" s="3" t="str">
        <f>IFERROR(__xludf.DUMMYFUNCTION("""COMPUTED_VALUE"""),"*Îles Turques-et-Caïques*")</f>
        <v>*Îles Turques-et-Caïques*</v>
      </c>
      <c r="C215" s="3" t="str">
        <f>IFERROR(__xludf.DUMMYFUNCTION("""COMPUTED_VALUE"""),"*46 198*")</f>
        <v>*46 198*</v>
      </c>
      <c r="D215" s="3" t="str">
        <f>IFERROR(__xludf.DUMMYFUNCTION("""COMPUTED_VALUE"""),"*47 010*")</f>
        <v>*47 010*</v>
      </c>
    </row>
    <row r="216">
      <c r="A216" s="3" t="str">
        <f>IFERROR(__xludf.DUMMYFUNCTION("""COMPUTED_VALUE"""),"-")</f>
        <v>-</v>
      </c>
      <c r="B216" s="3" t="str">
        <f>IFERROR(__xludf.DUMMYFUNCTION("""COMPUTED_VALUE"""),"*Îles Mariannes du Nord*")</f>
        <v>*Îles Mariannes du Nord*</v>
      </c>
      <c r="C216" s="3" t="str">
        <f>IFERROR(__xludf.DUMMYFUNCTION("""COMPUTED_VALUE"""),"*45 143*")</f>
        <v>*45 143*</v>
      </c>
      <c r="D216" s="3" t="str">
        <f>IFERROR(__xludf.DUMMYFUNCTION("""COMPUTED_VALUE"""),"*43 194*")</f>
        <v>*43 194*</v>
      </c>
    </row>
    <row r="217">
      <c r="A217" s="3" t="str">
        <f>IFERROR(__xludf.DUMMYFUNCTION("""COMPUTED_VALUE"""),"-")</f>
        <v>-</v>
      </c>
      <c r="B217" s="3" t="str">
        <f>IFERROR(__xludf.DUMMYFUNCTION("""COMPUTED_VALUE"""),"*Saint-Martin*")</f>
        <v>*Saint-Martin*</v>
      </c>
      <c r="C217" s="3" t="str">
        <f>IFERROR(__xludf.DUMMYFUNCTION("""COMPUTED_VALUE"""),"*42 749*")</f>
        <v>*42 749*</v>
      </c>
      <c r="D217" s="3" t="str">
        <f>IFERROR(__xludf.DUMMYFUNCTION("""COMPUTED_VALUE"""),"*44 201*")</f>
        <v>*44 201*</v>
      </c>
    </row>
    <row r="218">
      <c r="A218" s="3">
        <f>IFERROR(__xludf.DUMMYFUNCTION("""COMPUTED_VALUE"""),191.0)</f>
        <v>191</v>
      </c>
      <c r="B218" s="3" t="str">
        <f>IFERROR(__xludf.DUMMYFUNCTION("""COMPUTED_VALUE"""),"Liechtenstein")</f>
        <v>Liechtenstein</v>
      </c>
      <c r="C218" s="3">
        <f>IFERROR(__xludf.DUMMYFUNCTION("""COMPUTED_VALUE"""),39598.0)</f>
        <v>39598</v>
      </c>
      <c r="D218" s="3">
        <f>IFERROR(__xludf.DUMMYFUNCTION("""COMPUTED_VALUE"""),40252.0)</f>
        <v>40252</v>
      </c>
    </row>
    <row r="219">
      <c r="A219" s="3" t="str">
        <f>IFERROR(__xludf.DUMMYFUNCTION("""COMPUTED_VALUE"""),"-")</f>
        <v>-</v>
      </c>
      <c r="B219" s="3" t="str">
        <f>IFERROR(__xludf.DUMMYFUNCTION("""COMPUTED_VALUE"""),"*Îles Vierges britanniques*")</f>
        <v>*Îles Vierges britanniques*</v>
      </c>
      <c r="C219" s="3" t="str">
        <f>IFERROR(__xludf.DUMMYFUNCTION("""COMPUTED_VALUE"""),"*38 985*")</f>
        <v>*38 985*</v>
      </c>
      <c r="D219" s="3" t="str">
        <f>IFERROR(__xludf.DUMMYFUNCTION("""COMPUTED_VALUE"""),"*39 849*")</f>
        <v>*39 849*</v>
      </c>
    </row>
    <row r="220">
      <c r="A220" s="3">
        <f>IFERROR(__xludf.DUMMYFUNCTION("""COMPUTED_VALUE"""),192.0)</f>
        <v>192</v>
      </c>
      <c r="B220" s="3" t="str">
        <f>IFERROR(__xludf.DUMMYFUNCTION("""COMPUTED_VALUE"""),"Monaco")</f>
        <v>Monaco</v>
      </c>
      <c r="C220" s="3">
        <f>IFERROR(__xludf.DUMMYFUNCTION("""COMPUTED_VALUE"""),38956.0)</f>
        <v>38956</v>
      </c>
      <c r="D220" s="3">
        <f>IFERROR(__xludf.DUMMYFUNCTION("""COMPUTED_VALUE"""),38197.0)</f>
        <v>38197</v>
      </c>
    </row>
    <row r="221">
      <c r="A221" s="3">
        <f>IFERROR(__xludf.DUMMYFUNCTION("""COMPUTED_VALUE"""),193.0)</f>
        <v>193</v>
      </c>
      <c r="B221" s="3" t="str">
        <f>IFERROR(__xludf.DUMMYFUNCTION("""COMPUTED_VALUE"""),"Îles Marshall")</f>
        <v>Îles Marshall</v>
      </c>
      <c r="C221" s="3">
        <f>IFERROR(__xludf.DUMMYFUNCTION("""COMPUTED_VALUE"""),38827.0)</f>
        <v>38827</v>
      </c>
      <c r="D221" s="3">
        <f>IFERROR(__xludf.DUMMYFUNCTION("""COMPUTED_VALUE"""),35650.0)</f>
        <v>35650</v>
      </c>
    </row>
    <row r="222">
      <c r="A222" s="3" t="str">
        <f>IFERROR(__xludf.DUMMYFUNCTION("""COMPUTED_VALUE"""),"-")</f>
        <v>-</v>
      </c>
      <c r="B222" s="3" t="str">
        <f>IFERROR(__xludf.DUMMYFUNCTION("""COMPUTED_VALUE"""),"*Gibraltar*")</f>
        <v>*Gibraltar*</v>
      </c>
      <c r="C222" s="3" t="str">
        <f>IFERROR(__xludf.DUMMYFUNCTION("""COMPUTED_VALUE"""),"*38 471*")</f>
        <v>*38 471*</v>
      </c>
      <c r="D222" s="3" t="str">
        <f>IFERROR(__xludf.DUMMYFUNCTION("""COMPUTED_VALUE"""),"*40 513*")</f>
        <v>*40 513*</v>
      </c>
    </row>
    <row r="223">
      <c r="A223" s="3">
        <f>IFERROR(__xludf.DUMMYFUNCTION("""COMPUTED_VALUE"""),194.0)</f>
        <v>194</v>
      </c>
      <c r="B223" s="3" t="str">
        <f>IFERROR(__xludf.DUMMYFUNCTION("""COMPUTED_VALUE"""),"Saint-Marin")</f>
        <v>Saint-Marin</v>
      </c>
      <c r="C223" s="3">
        <f>IFERROR(__xludf.DUMMYFUNCTION("""COMPUTED_VALUE"""),33733.0)</f>
        <v>33733</v>
      </c>
      <c r="D223" s="3">
        <f>IFERROR(__xludf.DUMMYFUNCTION("""COMPUTED_VALUE"""),33590.0)</f>
        <v>33590</v>
      </c>
    </row>
    <row r="224">
      <c r="A224" s="3" t="str">
        <f>IFERROR(__xludf.DUMMYFUNCTION("""COMPUTED_VALUE"""),"-")</f>
        <v>-</v>
      </c>
      <c r="B224" s="3" t="str">
        <f>IFERROR(__xludf.DUMMYFUNCTION("""COMPUTED_VALUE"""),"*Pays-Bas caribéens*")</f>
        <v>*Pays-Bas caribéens*</v>
      </c>
      <c r="C224" s="3" t="str">
        <f>IFERROR(__xludf.DUMMYFUNCTION("""COMPUTED_VALUE"""),"*29 898*")</f>
        <v>*29 898*</v>
      </c>
      <c r="D224" s="3" t="str">
        <f>IFERROR(__xludf.DUMMYFUNCTION("""COMPUTED_VALUE"""),"*31 650*")</f>
        <v>*31 650*</v>
      </c>
    </row>
    <row r="225">
      <c r="A225" s="3" t="str">
        <f>IFERROR(__xludf.DUMMYFUNCTION("""COMPUTED_VALUE"""),"-")</f>
        <v>-</v>
      </c>
      <c r="B225" s="3" t="str">
        <f>IFERROR(__xludf.DUMMYFUNCTION("""COMPUTED_VALUE"""),"*Saint-Martin*")</f>
        <v>*Saint-Martin*</v>
      </c>
      <c r="C225" s="3" t="str">
        <f>IFERROR(__xludf.DUMMYFUNCTION("""COMPUTED_VALUE"""),"*27 515*")</f>
        <v>*27 515*</v>
      </c>
      <c r="D225" s="3" t="str">
        <f>IFERROR(__xludf.DUMMYFUNCTION("""COMPUTED_VALUE"""),"*24 395*")</f>
        <v>*24 395*</v>
      </c>
    </row>
    <row r="226">
      <c r="A226" s="3">
        <f>IFERROR(__xludf.DUMMYFUNCTION("""COMPUTED_VALUE"""),195.0)</f>
        <v>195</v>
      </c>
      <c r="B226" s="3" t="str">
        <f>IFERROR(__xludf.DUMMYFUNCTION("""COMPUTED_VALUE"""),"Palaos")</f>
        <v>Palaos</v>
      </c>
      <c r="C226" s="3">
        <f>IFERROR(__xludf.DUMMYFUNCTION("""COMPUTED_VALUE"""),17727.0)</f>
        <v>17727</v>
      </c>
      <c r="D226" s="3">
        <f>IFERROR(__xludf.DUMMYFUNCTION("""COMPUTED_VALUE"""),17641.0)</f>
        <v>17641</v>
      </c>
    </row>
    <row r="227">
      <c r="A227" s="3" t="str">
        <f>IFERROR(__xludf.DUMMYFUNCTION("""COMPUTED_VALUE"""),"-")</f>
        <v>-</v>
      </c>
      <c r="B227" s="3" t="str">
        <f>IFERROR(__xludf.DUMMYFUNCTION("""COMPUTED_VALUE"""),"*Anguilla*")</f>
        <v>*Anguilla*</v>
      </c>
      <c r="C227" s="3" t="str">
        <f>IFERROR(__xludf.DUMMYFUNCTION("""COMPUTED_VALUE"""),"*14 410*")</f>
        <v>*14 410*</v>
      </c>
      <c r="D227" s="3" t="str">
        <f>IFERROR(__xludf.DUMMYFUNCTION("""COMPUTED_VALUE"""),"*14 782*")</f>
        <v>*14 782*</v>
      </c>
    </row>
    <row r="228">
      <c r="A228" s="3">
        <f>IFERROR(__xludf.DUMMYFUNCTION("""COMPUTED_VALUE"""),196.0)</f>
        <v>196</v>
      </c>
      <c r="B228" s="3" t="str">
        <f>IFERROR(__xludf.DUMMYFUNCTION("""COMPUTED_VALUE"""),"Îles Cook")</f>
        <v>Îles Cook</v>
      </c>
      <c r="C228" s="3">
        <f>IFERROR(__xludf.DUMMYFUNCTION("""COMPUTED_VALUE"""),14222.0)</f>
        <v>14222</v>
      </c>
      <c r="D228" s="3">
        <f>IFERROR(__xludf.DUMMYFUNCTION("""COMPUTED_VALUE"""),13035.0)</f>
        <v>13035</v>
      </c>
    </row>
    <row r="229">
      <c r="A229" s="3">
        <f>IFERROR(__xludf.DUMMYFUNCTION("""COMPUTED_VALUE"""),197.0)</f>
        <v>197</v>
      </c>
      <c r="B229" s="3" t="str">
        <f>IFERROR(__xludf.DUMMYFUNCTION("""COMPUTED_VALUE"""),"Nauru")</f>
        <v>Nauru</v>
      </c>
      <c r="C229" s="3">
        <f>IFERROR(__xludf.DUMMYFUNCTION("""COMPUTED_VALUE"""),11875.0)</f>
        <v>11875</v>
      </c>
      <c r="D229" s="3">
        <f>IFERROR(__xludf.DUMMYFUNCTION("""COMPUTED_VALUE"""),12063.0)</f>
        <v>12063</v>
      </c>
    </row>
    <row r="230">
      <c r="A230" s="3" t="str">
        <f>IFERROR(__xludf.DUMMYFUNCTION("""COMPUTED_VALUE"""),"-")</f>
        <v>-</v>
      </c>
      <c r="B230" s="3" t="str">
        <f>IFERROR(__xludf.DUMMYFUNCTION("""COMPUTED_VALUE"""),"*Wallis-et-Futuna*")</f>
        <v>*Wallis-et-Futuna*</v>
      </c>
      <c r="C230" s="3" t="str">
        <f>IFERROR(__xludf.DUMMYFUNCTION("""COMPUTED_VALUE"""),"*11 370*")</f>
        <v>*11 370*</v>
      </c>
      <c r="D230" s="3" t="str">
        <f>IFERROR(__xludf.DUMMYFUNCTION("""COMPUTED_VALUE"""),"*11 153*")</f>
        <v>*11 153*</v>
      </c>
    </row>
    <row r="231">
      <c r="A231" s="3" t="str">
        <f>IFERROR(__xludf.DUMMYFUNCTION("""COMPUTED_VALUE"""),"-")</f>
        <v>-</v>
      </c>
      <c r="B231" s="3" t="str">
        <f>IFERROR(__xludf.DUMMYFUNCTION("""COMPUTED_VALUE"""),"*Saint-Barthélemy*")</f>
        <v>*Saint-Barthélemy*</v>
      </c>
      <c r="C231" s="3" t="str">
        <f>IFERROR(__xludf.DUMMYFUNCTION("""COMPUTED_VALUE"""),"*11 085*")</f>
        <v>*11 085*</v>
      </c>
      <c r="D231" s="3" t="str">
        <f>IFERROR(__xludf.DUMMYFUNCTION("""COMPUTED_VALUE"""),"*11 489*")</f>
        <v>*11 489*</v>
      </c>
    </row>
    <row r="232">
      <c r="A232" s="3">
        <f>IFERROR(__xludf.DUMMYFUNCTION("""COMPUTED_VALUE"""),198.0)</f>
        <v>198</v>
      </c>
      <c r="B232" s="3" t="str">
        <f>IFERROR(__xludf.DUMMYFUNCTION("""COMPUTED_VALUE"""),"Tuvalu")</f>
        <v>Tuvalu</v>
      </c>
      <c r="C232" s="3">
        <f>IFERROR(__xludf.DUMMYFUNCTION("""COMPUTED_VALUE"""),9816.0)</f>
        <v>9816</v>
      </c>
      <c r="D232" s="3">
        <f>IFERROR(__xludf.DUMMYFUNCTION("""COMPUTED_VALUE"""),9420.0)</f>
        <v>9420</v>
      </c>
    </row>
    <row r="233">
      <c r="A233" s="3" t="str">
        <f>IFERROR(__xludf.DUMMYFUNCTION("""COMPUTED_VALUE"""),"-")</f>
        <v>-</v>
      </c>
      <c r="B233" s="3" t="str">
        <f>IFERROR(__xludf.DUMMYFUNCTION("""COMPUTED_VALUE"""),"*Saint-Pierre-et-Miquelon*")</f>
        <v>*Saint-Pierre-et-Miquelon*</v>
      </c>
      <c r="C233" s="3" t="str">
        <f>IFERROR(__xludf.DUMMYFUNCTION("""COMPUTED_VALUE"""),"*5 681*")</f>
        <v>*5 681*</v>
      </c>
      <c r="D233" s="3" t="str">
        <f>IFERROR(__xludf.DUMMYFUNCTION("""COMPUTED_VALUE"""),"*5 545*")</f>
        <v>*5 545*</v>
      </c>
    </row>
    <row r="234">
      <c r="A234" s="3" t="str">
        <f>IFERROR(__xludf.DUMMYFUNCTION("""COMPUTED_VALUE"""),"-")</f>
        <v>-</v>
      </c>
      <c r="B234" s="3" t="str">
        <f>IFERROR(__xludf.DUMMYFUNCTION("""COMPUTED_VALUE"""),"*Sainte-Hélène, Ascension et Tristan da Cunha*")</f>
        <v>*Sainte-Hélène, Ascension et Tristan da Cunha*</v>
      </c>
      <c r="C234" s="3" t="str">
        <f>IFERROR(__xludf.DUMMYFUNCTION("""COMPUTED_VALUE"""),"*5 289*")</f>
        <v>*5 289*</v>
      </c>
      <c r="D234" s="3" t="str">
        <f>IFERROR(__xludf.DUMMYFUNCTION("""COMPUTED_VALUE"""),"*5 177*")</f>
        <v>*5 177*</v>
      </c>
    </row>
    <row r="235">
      <c r="A235" s="3" t="str">
        <f>IFERROR(__xludf.DUMMYFUNCTION("""COMPUTED_VALUE"""),"-")</f>
        <v>-</v>
      </c>
      <c r="B235" s="3" t="str">
        <f>IFERROR(__xludf.DUMMYFUNCTION("""COMPUTED_VALUE"""),"*Montserrat*")</f>
        <v>*Montserrat*</v>
      </c>
      <c r="C235" s="3" t="str">
        <f>IFERROR(__xludf.DUMMYFUNCTION("""COMPUTED_VALUE"""),"*4 420*")</f>
        <v>*4 420*</v>
      </c>
      <c r="D235" s="3" t="str">
        <f>IFERROR(__xludf.DUMMYFUNCTION("""COMPUTED_VALUE"""),"*4 346*")</f>
        <v>*4 346*</v>
      </c>
    </row>
    <row r="236">
      <c r="A236" s="3" t="str">
        <f>IFERROR(__xludf.DUMMYFUNCTION("""COMPUTED_VALUE"""),"-")</f>
        <v>-</v>
      </c>
      <c r="B236" s="3" t="str">
        <f>IFERROR(__xludf.DUMMYFUNCTION("""COMPUTED_VALUE"""),"*Îles Malouines*")</f>
        <v>*Îles Malouines*</v>
      </c>
      <c r="C236" s="3" t="str">
        <f>IFERROR(__xludf.DUMMYFUNCTION("""COMPUTED_VALUE"""),"*3 477*")</f>
        <v>*3 477*</v>
      </c>
      <c r="D236" s="3" t="str">
        <f>IFERROR(__xludf.DUMMYFUNCTION("""COMPUTED_VALUE"""),"*3 467*")</f>
        <v>*3 467*</v>
      </c>
    </row>
    <row r="237">
      <c r="A237" s="3" t="str">
        <f>IFERROR(__xludf.DUMMYFUNCTION("""COMPUTED_VALUE"""),"-")</f>
        <v>-</v>
      </c>
      <c r="B237" s="3" t="str">
        <f>IFERROR(__xludf.DUMMYFUNCTION("""COMPUTED_VALUE"""),"*Tokelau*")</f>
        <v>*Tokelau*</v>
      </c>
      <c r="C237" s="3" t="str">
        <f>IFERROR(__xludf.DUMMYFUNCTION("""COMPUTED_VALUE"""),"*2 397*")</f>
        <v>*2 397*</v>
      </c>
      <c r="D237" s="3" t="str">
        <f>IFERROR(__xludf.DUMMYFUNCTION("""COMPUTED_VALUE"""),"*2 656*")</f>
        <v>*2 656*</v>
      </c>
    </row>
    <row r="238">
      <c r="A238" s="3">
        <f>IFERROR(__xludf.DUMMYFUNCTION("""COMPUTED_VALUE"""),199.0)</f>
        <v>199</v>
      </c>
      <c r="B238" s="3" t="str">
        <f>IFERROR(__xludf.DUMMYFUNCTION("""COMPUTED_VALUE"""),"Niue")</f>
        <v>Niue</v>
      </c>
      <c r="C238" s="3">
        <f>IFERROR(__xludf.DUMMYFUNCTION("""COMPUTED_VALUE"""),1817.0)</f>
        <v>1817</v>
      </c>
      <c r="D238" s="3">
        <f>IFERROR(__xludf.DUMMYFUNCTION("""COMPUTED_VALUE"""),1819.0)</f>
        <v>1819</v>
      </c>
    </row>
    <row r="239">
      <c r="A239" s="3">
        <f>IFERROR(__xludf.DUMMYFUNCTION("""COMPUTED_VALUE"""),200.0)</f>
        <v>200</v>
      </c>
      <c r="B239" s="3" t="str">
        <f>IFERROR(__xludf.DUMMYFUNCTION("""COMPUTED_VALUE"""),"Vatican")</f>
        <v>Vatican</v>
      </c>
      <c r="C239" s="3">
        <f>IFERROR(__xludf.DUMMYFUNCTION("""COMPUTED_VALUE"""),496.0)</f>
        <v>496</v>
      </c>
      <c r="D239" s="3">
        <f>IFERROR(__xludf.DUMMYFUNCTION("""COMPUTED_VALUE"""),503.0)</f>
        <v>503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tr">
        <f>IFERROR(__xludf.DUMMYFUNCTION("IMPORTHTML(""https://fr.wikipedia.org/wiki/Liste_de_grimpeurs_et_d%27alpinistes"",""table"")"),"Nom")</f>
        <v>Nom</v>
      </c>
      <c r="B1" s="3" t="str">
        <f>IFERROR(__xludf.DUMMYFUNCTION("""COMPUTED_VALUE"""),"Prénom")</f>
        <v>Prénom</v>
      </c>
      <c r="C1" s="3" t="str">
        <f>IFERROR(__xludf.DUMMYFUNCTION("""COMPUTED_VALUE"""),"Pays")</f>
        <v>Pays</v>
      </c>
      <c r="D1" s="3" t="str">
        <f>IFERROR(__xludf.DUMMYFUNCTION("""COMPUTED_VALUE"""),"Naissance")</f>
        <v>Naissance</v>
      </c>
      <c r="E1" s="3" t="str">
        <f>IFERROR(__xludf.DUMMYFUNCTION("""COMPUTED_VALUE"""),"Décès")</f>
        <v>Décès</v>
      </c>
      <c r="F1" s="3" t="str">
        <f>IFERROR(__xludf.DUMMYFUNCTION("""COMPUTED_VALUE"""),"Description")</f>
        <v>Description</v>
      </c>
      <c r="G1" s="3" t="str">
        <f>IFERROR(__xludf.DUMMYFUNCTION("""COMPUTED_VALUE"""),"Illustration")</f>
        <v>Illustration</v>
      </c>
      <c r="H1" s="3"/>
    </row>
    <row r="2">
      <c r="A2" s="3" t="str">
        <f>IFERROR(__xludf.DUMMYFUNCTION("""COMPUTED_VALUE"""),"Abalakov")</f>
        <v>Abalakov</v>
      </c>
      <c r="B2" s="3" t="str">
        <f>IFERROR(__xludf.DUMMYFUNCTION("""COMPUTED_VALUE"""),"Evgueni")</f>
        <v>Evgueni</v>
      </c>
      <c r="C2" s="3" t="str">
        <f>IFERROR(__xludf.DUMMYFUNCTION("""COMPUTED_VALUE"""),"Russie.")</f>
        <v>Russie.</v>
      </c>
      <c r="D2" s="3">
        <f>IFERROR(__xludf.DUMMYFUNCTION("""COMPUTED_VALUE"""),1907.0)</f>
        <v>1907</v>
      </c>
      <c r="E2" s="3">
        <f>IFERROR(__xludf.DUMMYFUNCTION("""COMPUTED_VALUE"""),1948.0)</f>
        <v>1948</v>
      </c>
      <c r="F2" s="3" t="str">
        <f>IFERROR(__xludf.DUMMYFUNCTION("""COMPUTED_VALUE"""),"Pic Ismail Samani (1933).")</f>
        <v>Pic Ismail Samani (1933).</v>
      </c>
      <c r="G2" s="3"/>
      <c r="H2" s="3"/>
    </row>
    <row r="3">
      <c r="A3" s="3" t="str">
        <f>IFERROR(__xludf.DUMMYFUNCTION("""COMPUTED_VALUE"""),"Abalakov")</f>
        <v>Abalakov</v>
      </c>
      <c r="B3" s="3" t="str">
        <f>IFERROR(__xludf.DUMMYFUNCTION("""COMPUTED_VALUE"""),"Vitali")</f>
        <v>Vitali</v>
      </c>
      <c r="C3" s="3" t="str">
        <f>IFERROR(__xludf.DUMMYFUNCTION("""COMPUTED_VALUE"""),"Russie")</f>
        <v>Russie</v>
      </c>
      <c r="D3" s="3">
        <f>IFERROR(__xludf.DUMMYFUNCTION("""COMPUTED_VALUE"""),1906.0)</f>
        <v>1906</v>
      </c>
      <c r="E3" s="3">
        <f>IFERROR(__xludf.DUMMYFUNCTION("""COMPUTED_VALUE"""),1992.0)</f>
        <v>1992</v>
      </c>
      <c r="F3" s="3" t="str">
        <f>IFERROR(__xludf.DUMMYFUNCTION("""COMPUTED_VALUE"""),"Pic Lénine (1934), Khan Tengri (1936).")</f>
        <v>Pic Lénine (1934), Khan Tengri (1936).</v>
      </c>
      <c r="G3" s="3"/>
      <c r="H3" s="3"/>
    </row>
    <row r="4">
      <c r="A4" s="3" t="str">
        <f>IFERROR(__xludf.DUMMYFUNCTION("""COMPUTED_VALUE"""),"Ahluwalia (en)")</f>
        <v>Ahluwalia (en)</v>
      </c>
      <c r="B4" s="3" t="str">
        <f>IFERROR(__xludf.DUMMYFUNCTION("""COMPUTED_VALUE"""),"Hari Pal Singh")</f>
        <v>Hari Pal Singh</v>
      </c>
      <c r="C4" s="3" t="str">
        <f>IFERROR(__xludf.DUMMYFUNCTION("""COMPUTED_VALUE"""),"Inde")</f>
        <v>Inde</v>
      </c>
      <c r="D4" s="3">
        <f>IFERROR(__xludf.DUMMYFUNCTION("""COMPUTED_VALUE"""),1936.0)</f>
        <v>1936</v>
      </c>
      <c r="E4" s="3"/>
      <c r="F4" s="3" t="str">
        <f>IFERROR(__xludf.DUMMYFUNCTION("""COMPUTED_VALUE"""),"Everest (1965).")</f>
        <v>Everest (1965).</v>
      </c>
      <c r="G4" s="3"/>
      <c r="H4" s="3"/>
    </row>
    <row r="5">
      <c r="A5" s="3" t="str">
        <f>IFERROR(__xludf.DUMMYFUNCTION("""COMPUTED_VALUE"""),"Albert")</f>
        <v>Albert</v>
      </c>
      <c r="B5" s="3" t="str">
        <f>IFERROR(__xludf.DUMMYFUNCTION("""COMPUTED_VALUE"""),"Kurt")</f>
        <v>Kurt</v>
      </c>
      <c r="C5" s="3" t="str">
        <f>IFERROR(__xludf.DUMMYFUNCTION("""COMPUTED_VALUE"""),"Allemagne")</f>
        <v>Allemagne</v>
      </c>
      <c r="D5" s="3">
        <f>IFERROR(__xludf.DUMMYFUNCTION("""COMPUTED_VALUE"""),1954.0)</f>
        <v>1954</v>
      </c>
      <c r="E5" s="3">
        <f>IFERROR(__xludf.DUMMYFUNCTION("""COMPUTED_VALUE"""),2010.0)</f>
        <v>2010</v>
      </c>
      <c r="F5" s="3" t="str">
        <f>IFERROR(__xludf.DUMMYFUNCTION("""COMPUTED_VALUE"""),"Pionnier de l'escalade moderne libre.")</f>
        <v>Pionnier de l'escalade moderne libre.</v>
      </c>
      <c r="G5" s="3"/>
      <c r="H5" s="3"/>
    </row>
    <row r="6">
      <c r="A6" s="3" t="str">
        <f>IFERROR(__xludf.DUMMYFUNCTION("""COMPUTED_VALUE"""),"Allain")</f>
        <v>Allain</v>
      </c>
      <c r="B6" s="3" t="str">
        <f>IFERROR(__xludf.DUMMYFUNCTION("""COMPUTED_VALUE"""),"Pierre")</f>
        <v>Pierre</v>
      </c>
      <c r="C6" s="3" t="str">
        <f>IFERROR(__xludf.DUMMYFUNCTION("""COMPUTED_VALUE"""),"France")</f>
        <v>France</v>
      </c>
      <c r="D6" s="3">
        <f>IFERROR(__xludf.DUMMYFUNCTION("""COMPUTED_VALUE"""),1904.0)</f>
        <v>1904</v>
      </c>
      <c r="E6" s="3">
        <f>IFERROR(__xludf.DUMMYFUNCTION("""COMPUTED_VALUE"""),2000.0)</f>
        <v>2000</v>
      </c>
      <c r="F6" s="3" t="str">
        <f>IFERROR(__xludf.DUMMYFUNCTION("""COMPUTED_VALUE"""),"Pionnier de bloc à Fontainebleau. 
1re ascension de la face N des Drus les 31 juillet et 1er août 1935, avec 
Raymond Leininger 
1935 : 1re ascension directe de la face S de la Meije (Écrins) avec Raymond 
Leininger 
Inventeur, créateur (y compris de s"&amp;"es machines) et fabricant prolifique de 
matériel de montagne : chaussons d'escalade, vestes imperméables, sacs à 
dos, descendeur, 1ers mousquetons en zicral, etc., tous estampillés P.A.")</f>
        <v>Pionnier de bloc à Fontainebleau. 
1re ascension de la face N des Drus les 31 juillet et 1er août 1935, avec 
Raymond Leininger 
1935 : 1re ascension directe de la face S de la Meije (Écrins) avec Raymond 
Leininger 
Inventeur, créateur (y compris de ses machines) et fabricant prolifique de 
matériel de montagne : chaussons d'escalade, vestes imperméables, sacs à 
dos, descendeur, 1ers mousquetons en zicral, etc., tous estampillés P.A.</v>
      </c>
      <c r="G6" s="3"/>
      <c r="H6" s="3"/>
    </row>
    <row r="7">
      <c r="A7" s="3" t="str">
        <f>IFERROR(__xludf.DUMMYFUNCTION("""COMPUTED_VALUE"""),"Almer")</f>
        <v>Almer</v>
      </c>
      <c r="B7" s="3" t="str">
        <f>IFERROR(__xludf.DUMMYFUNCTION("""COMPUTED_VALUE"""),"Christian")</f>
        <v>Christian</v>
      </c>
      <c r="C7" s="3" t="str">
        <f>IFERROR(__xludf.DUMMYFUNCTION("""COMPUTED_VALUE"""),"Suisse")</f>
        <v>Suisse</v>
      </c>
      <c r="D7" s="3">
        <f>IFERROR(__xludf.DUMMYFUNCTION("""COMPUTED_VALUE"""),1826.0)</f>
        <v>1826</v>
      </c>
      <c r="E7" s="3">
        <f>IFERROR(__xludf.DUMMYFUNCTION("""COMPUTED_VALUE"""),1898.0)</f>
        <v>1898</v>
      </c>
      <c r="F7" s="3" t="str">
        <f>IFERROR(__xludf.DUMMYFUNCTION("""COMPUTED_VALUE"""),"Nombreuses premières ascensions notamment l'Eiger.")</f>
        <v>Nombreuses premières ascensions notamment l'Eiger.</v>
      </c>
      <c r="G7" s="3"/>
      <c r="H7" s="3"/>
    </row>
    <row r="8">
      <c r="A8" s="3" t="str">
        <f>IFERROR(__xludf.DUMMYFUNCTION("""COMPUTED_VALUE"""),"Aman (en)")</f>
        <v>Aman (en)</v>
      </c>
      <c r="B8" s="3" t="str">
        <f>IFERROR(__xludf.DUMMYFUNCTION("""COMPUTED_VALUE"""),"Ashraf")</f>
        <v>Ashraf</v>
      </c>
      <c r="C8" s="3" t="str">
        <f>IFERROR(__xludf.DUMMYFUNCTION("""COMPUTED_VALUE"""),"Pakistan")</f>
        <v>Pakistan</v>
      </c>
      <c r="D8" s="3">
        <f>IFERROR(__xludf.DUMMYFUNCTION("""COMPUTED_VALUE"""),1943.0)</f>
        <v>1943</v>
      </c>
      <c r="E8" s="3"/>
      <c r="F8" s="3" t="str">
        <f>IFERROR(__xludf.DUMMYFUNCTION("""COMPUTED_VALUE"""),"Première ascension pakistanaise du K2.")</f>
        <v>Première ascension pakistanaise du K2.</v>
      </c>
      <c r="G8" s="3"/>
      <c r="H8" s="3"/>
    </row>
    <row r="9">
      <c r="A9" s="3" t="str">
        <f>IFERROR(__xludf.DUMMYFUNCTION("""COMPUTED_VALUE"""),"Ament (en)")</f>
        <v>Ament (en)</v>
      </c>
      <c r="B9" s="3" t="str">
        <f>IFERROR(__xludf.DUMMYFUNCTION("""COMPUTED_VALUE"""),"Pat")</f>
        <v>Pat</v>
      </c>
      <c r="C9" s="3" t="str">
        <f>IFERROR(__xludf.DUMMYFUNCTION("""COMPUTED_VALUE"""),"États-Unis")</f>
        <v>États-Unis</v>
      </c>
      <c r="D9" s="3">
        <f>IFERROR(__xludf.DUMMYFUNCTION("""COMPUTED_VALUE"""),1946.0)</f>
        <v>1946</v>
      </c>
      <c r="E9" s="3"/>
      <c r="F9" s="3" t="str">
        <f>IFERROR(__xludf.DUMMYFUNCTION("""COMPUTED_VALUE"""),"Grimpeur et pionnier du bloc.")</f>
        <v>Grimpeur et pionnier du bloc.</v>
      </c>
      <c r="G9" s="3"/>
      <c r="H9" s="3"/>
    </row>
    <row r="10">
      <c r="A10" s="3" t="str">
        <f>IFERROR(__xludf.DUMMYFUNCTION("""COMPUTED_VALUE"""),"d'Angeville")</f>
        <v>d'Angeville</v>
      </c>
      <c r="B10" s="3" t="str">
        <f>IFERROR(__xludf.DUMMYFUNCTION("""COMPUTED_VALUE"""),"Henriette")</f>
        <v>Henriette</v>
      </c>
      <c r="C10" s="3" t="str">
        <f>IFERROR(__xludf.DUMMYFUNCTION("""COMPUTED_VALUE"""),"France/Suisse")</f>
        <v>France/Suisse</v>
      </c>
      <c r="D10" s="3">
        <f>IFERROR(__xludf.DUMMYFUNCTION("""COMPUTED_VALUE"""),1794.0)</f>
        <v>1794</v>
      </c>
      <c r="E10" s="3">
        <f>IFERROR(__xludf.DUMMYFUNCTION("""COMPUTED_VALUE"""),1871.0)</f>
        <v>1871</v>
      </c>
      <c r="F10" s="3" t="str">
        <f>IFERROR(__xludf.DUMMYFUNCTION("""COMPUTED_VALUE"""),"Deuxième femme à gravir le mont Blanc.")</f>
        <v>Deuxième femme à gravir le mont Blanc.</v>
      </c>
      <c r="G10" s="3"/>
      <c r="H10" s="3"/>
    </row>
    <row r="11">
      <c r="A11" s="3" t="str">
        <f>IFERROR(__xludf.DUMMYFUNCTION("""COMPUTED_VALUE"""),"Anker")</f>
        <v>Anker</v>
      </c>
      <c r="B11" s="3" t="str">
        <f>IFERROR(__xludf.DUMMYFUNCTION("""COMPUTED_VALUE"""),"Conrad")</f>
        <v>Conrad</v>
      </c>
      <c r="C11" s="3" t="str">
        <f>IFERROR(__xludf.DUMMYFUNCTION("""COMPUTED_VALUE"""),"États-Unis")</f>
        <v>États-Unis</v>
      </c>
      <c r="D11" s="3">
        <f>IFERROR(__xludf.DUMMYFUNCTION("""COMPUTED_VALUE"""),1963.0)</f>
        <v>1963</v>
      </c>
      <c r="E11" s="3"/>
      <c r="F11" s="3" t="str">
        <f>IFERROR(__xludf.DUMMYFUNCTION("""COMPUTED_VALUE"""),"Découvre le corps de George Mallory sur l'Everest en 1999.")</f>
        <v>Découvre le corps de George Mallory sur l'Everest en 1999.</v>
      </c>
      <c r="G11" s="3"/>
      <c r="H11" s="3"/>
    </row>
    <row r="12">
      <c r="A12" s="3" t="str">
        <f>IFERROR(__xludf.DUMMYFUNCTION("""COMPUTED_VALUE"""),"Anderegg")</f>
        <v>Anderegg</v>
      </c>
      <c r="B12" s="3" t="str">
        <f>IFERROR(__xludf.DUMMYFUNCTION("""COMPUTED_VALUE"""),"Jakob")</f>
        <v>Jakob</v>
      </c>
      <c r="C12" s="3" t="str">
        <f>IFERROR(__xludf.DUMMYFUNCTION("""COMPUTED_VALUE"""),"Suisse")</f>
        <v>Suisse</v>
      </c>
      <c r="D12" s="3">
        <f>IFERROR(__xludf.DUMMYFUNCTION("""COMPUTED_VALUE"""),1829.0)</f>
        <v>1829</v>
      </c>
      <c r="E12" s="3">
        <f>IFERROR(__xludf.DUMMYFUNCTION("""COMPUTED_VALUE"""),1878.0)</f>
        <v>1878</v>
      </c>
      <c r="F12" s="3" t="str">
        <f>IFERROR(__xludf.DUMMYFUNCTION("""COMPUTED_VALUE"""),"Nombreuses premières ascensions dans les Alpes notamment avec son cousin Melchior 
Anderegg.")</f>
        <v>Nombreuses premières ascensions dans les Alpes notamment avec son cousin Melchior 
Anderegg.</v>
      </c>
      <c r="G12" s="3"/>
      <c r="H12" s="3"/>
    </row>
    <row r="13">
      <c r="A13" s="3" t="str">
        <f>IFERROR(__xludf.DUMMYFUNCTION("""COMPUTED_VALUE"""),"Anderegg")</f>
        <v>Anderegg</v>
      </c>
      <c r="B13" s="3" t="str">
        <f>IFERROR(__xludf.DUMMYFUNCTION("""COMPUTED_VALUE"""),"Melchior")</f>
        <v>Melchior</v>
      </c>
      <c r="C13" s="3" t="str">
        <f>IFERROR(__xludf.DUMMYFUNCTION("""COMPUTED_VALUE"""),"Suisse")</f>
        <v>Suisse</v>
      </c>
      <c r="D13" s="3">
        <f>IFERROR(__xludf.DUMMYFUNCTION("""COMPUTED_VALUE"""),1827.0)</f>
        <v>1827</v>
      </c>
      <c r="E13" s="3">
        <f>IFERROR(__xludf.DUMMYFUNCTION("""COMPUTED_VALUE"""),1912.0)</f>
        <v>1912</v>
      </c>
      <c r="F13" s="3" t="str">
        <f>IFERROR(__xludf.DUMMYFUNCTION("""COMPUTED_VALUE"""),"Nombreuses premières ascensions, notamment des nouvelles voies sur le mont 
Blanc.")</f>
        <v>Nombreuses premières ascensions, notamment des nouvelles voies sur le mont 
Blanc.</v>
      </c>
      <c r="G13" s="3"/>
      <c r="H13" s="3"/>
    </row>
    <row r="14">
      <c r="A14" s="3" t="str">
        <f>IFERROR(__xludf.DUMMYFUNCTION("""COMPUTED_VALUE"""),"Arsentiev")</f>
        <v>Arsentiev</v>
      </c>
      <c r="B14" s="3" t="str">
        <f>IFERROR(__xludf.DUMMYFUNCTION("""COMPUTED_VALUE"""),"Francys")</f>
        <v>Francys</v>
      </c>
      <c r="C14" s="3" t="str">
        <f>IFERROR(__xludf.DUMMYFUNCTION("""COMPUTED_VALUE"""),"États-Unis")</f>
        <v>États-Unis</v>
      </c>
      <c r="D14" s="3">
        <f>IFERROR(__xludf.DUMMYFUNCTION("""COMPUTED_VALUE"""),1958.0)</f>
        <v>1958</v>
      </c>
      <c r="E14" s="3">
        <f>IFERROR(__xludf.DUMMYFUNCTION("""COMPUTED_VALUE"""),1998.0)</f>
        <v>1998</v>
      </c>
      <c r="F14" s="3" t="str">
        <f>IFERROR(__xludf.DUMMYFUNCTION("""COMPUTED_VALUE"""),"Première américaine à gravir l'Everest sans oxygène, meurt dans la 
descente.")</f>
        <v>Première américaine à gravir l'Everest sans oxygène, meurt dans la 
descente.</v>
      </c>
      <c r="G14" s="3"/>
      <c r="H14" s="3"/>
    </row>
    <row r="15">
      <c r="A15" s="3" t="str">
        <f>IFERROR(__xludf.DUMMYFUNCTION("""COMPUTED_VALUE"""),"Arsentiev")</f>
        <v>Arsentiev</v>
      </c>
      <c r="B15" s="3" t="str">
        <f>IFERROR(__xludf.DUMMYFUNCTION("""COMPUTED_VALUE"""),"Serguei")</f>
        <v>Serguei</v>
      </c>
      <c r="C15" s="3" t="str">
        <f>IFERROR(__xludf.DUMMYFUNCTION("""COMPUTED_VALUE"""),"Russie")</f>
        <v>Russie</v>
      </c>
      <c r="D15" s="3"/>
      <c r="E15" s="3">
        <f>IFERROR(__xludf.DUMMYFUNCTION("""COMPUTED_VALUE"""),1998.0)</f>
        <v>1998</v>
      </c>
      <c r="F15" s="3" t="str">
        <f>IFERROR(__xludf.DUMMYFUNCTION("""COMPUTED_VALUE"""),"Mari de la précédente, meurt dans la même descente en voulant l'aider.")</f>
        <v>Mari de la précédente, meurt dans la même descente en voulant l'aider.</v>
      </c>
      <c r="G15" s="3"/>
      <c r="H15" s="3"/>
    </row>
    <row r="16">
      <c r="A16" s="3" t="str">
        <f>IFERROR(__xludf.DUMMYFUNCTION("""COMPUTED_VALUE"""),"Aste (en)")</f>
        <v>Aste (en)</v>
      </c>
      <c r="B16" s="3" t="str">
        <f>IFERROR(__xludf.DUMMYFUNCTION("""COMPUTED_VALUE"""),"Armando")</f>
        <v>Armando</v>
      </c>
      <c r="C16" s="3" t="str">
        <f>IFERROR(__xludf.DUMMYFUNCTION("""COMPUTED_VALUE"""),"Italie")</f>
        <v>Italie</v>
      </c>
      <c r="D16" s="3">
        <f>IFERROR(__xludf.DUMMYFUNCTION("""COMPUTED_VALUE"""),1926.0)</f>
        <v>1926</v>
      </c>
      <c r="E16" s="3"/>
      <c r="F16" s="3" t="str">
        <f>IFERROR(__xludf.DUMMYFUNCTION("""COMPUTED_VALUE"""),"Grimpe dans les Dolomites et en Patagonie. Première ascension italienne de 
la face nord de l'Eiger.")</f>
        <v>Grimpe dans les Dolomites et en Patagonie. Première ascension italienne de 
la face nord de l'Eiger.</v>
      </c>
      <c r="G16" s="3"/>
      <c r="H16" s="3"/>
    </row>
    <row r="17">
      <c r="A17" s="3" t="str">
        <f>IFERROR(__xludf.DUMMYFUNCTION("""COMPUTED_VALUE"""),"Athans (en)")</f>
        <v>Athans (en)</v>
      </c>
      <c r="B17" s="3" t="str">
        <f>IFERROR(__xludf.DUMMYFUNCTION("""COMPUTED_VALUE"""),"Peter")</f>
        <v>Peter</v>
      </c>
      <c r="C17" s="3" t="str">
        <f>IFERROR(__xludf.DUMMYFUNCTION("""COMPUTED_VALUE"""),"États-Unis")</f>
        <v>États-Unis</v>
      </c>
      <c r="D17" s="3">
        <f>IFERROR(__xludf.DUMMYFUNCTION("""COMPUTED_VALUE"""),1957.0)</f>
        <v>1957</v>
      </c>
      <c r="E17" s="3"/>
      <c r="F17" s="3" t="str">
        <f>IFERROR(__xludf.DUMMYFUNCTION("""COMPUTED_VALUE"""),"Sept ascensions de l'Everest.")</f>
        <v>Sept ascensions de l'Everest.</v>
      </c>
      <c r="G17" s="3"/>
      <c r="H17" s="3"/>
    </row>
    <row r="18">
      <c r="A18" s="3" t="str">
        <f>IFERROR(__xludf.DUMMYFUNCTION("""COMPUTED_VALUE"""),"Aufschnaiter")</f>
        <v>Aufschnaiter</v>
      </c>
      <c r="B18" s="3" t="str">
        <f>IFERROR(__xludf.DUMMYFUNCTION("""COMPUTED_VALUE"""),"Peter")</f>
        <v>Peter</v>
      </c>
      <c r="C18" s="3" t="str">
        <f>IFERROR(__xludf.DUMMYFUNCTION("""COMPUTED_VALUE"""),"Autriche")</f>
        <v>Autriche</v>
      </c>
      <c r="D18" s="3">
        <f>IFERROR(__xludf.DUMMYFUNCTION("""COMPUTED_VALUE"""),1899.0)</f>
        <v>1899</v>
      </c>
      <c r="E18" s="3">
        <f>IFERROR(__xludf.DUMMYFUNCTION("""COMPUTED_VALUE"""),1973.0)</f>
        <v>1973</v>
      </c>
      <c r="F18" s="3" t="str">
        <f>IFERROR(__xludf.DUMMYFUNCTION("""COMPUTED_VALUE"""),"Alpiniste et compagnon de voyage de Heinrich Harrer (*Sieben Jahre in 
Tibet. Mein Leben am Hofe des Dalai Lama*).")</f>
        <v>Alpiniste et compagnon de voyage de Heinrich Harrer (*Sieben Jahre in 
Tibet. Mein Leben am Hofe des Dalai Lama*).</v>
      </c>
      <c r="G18" s="3"/>
      <c r="H18" s="3"/>
    </row>
    <row r="19">
      <c r="A19" s="3" t="str">
        <f>IFERROR(__xludf.DUMMYFUNCTION("""COMPUTED_VALUE"""),"Bachar")</f>
        <v>Bachar</v>
      </c>
      <c r="B19" s="3" t="str">
        <f>IFERROR(__xludf.DUMMYFUNCTION("""COMPUTED_VALUE"""),"John")</f>
        <v>John</v>
      </c>
      <c r="C19" s="3" t="str">
        <f>IFERROR(__xludf.DUMMYFUNCTION("""COMPUTED_VALUE"""),"États-Unis")</f>
        <v>États-Unis</v>
      </c>
      <c r="D19" s="3">
        <f>IFERROR(__xludf.DUMMYFUNCTION("""COMPUTED_VALUE"""),1957.0)</f>
        <v>1957</v>
      </c>
      <c r="E19" s="3">
        <f>IFERROR(__xludf.DUMMYFUNCTION("""COMPUTED_VALUE"""),2009.0)</f>
        <v>2009</v>
      </c>
      <c r="F19" s="3" t="str">
        <f>IFERROR(__xludf.DUMMYFUNCTION("""COMPUTED_VALUE"""),"Connu pour ses ascensions dans le parc national de Yosemite et ses escalades 
en solo intégral.")</f>
        <v>Connu pour ses ascensions dans le parc national de Yosemite et ses escalades 
en solo intégral.</v>
      </c>
      <c r="G19" s="3"/>
      <c r="H19" s="3"/>
    </row>
    <row r="20">
      <c r="A20" s="3" t="str">
        <f>IFERROR(__xludf.DUMMYFUNCTION("""COMPUTED_VALUE"""),"Baibanou")</f>
        <v>Baibanou</v>
      </c>
      <c r="B20" s="3" t="str">
        <f>IFERROR(__xludf.DUMMYFUNCTION("""COMPUTED_VALUE"""),"Bouchra")</f>
        <v>Bouchra</v>
      </c>
      <c r="C20" s="3" t="str">
        <f>IFERROR(__xludf.DUMMYFUNCTION("""COMPUTED_VALUE"""),"Maroc")</f>
        <v>Maroc</v>
      </c>
      <c r="D20" s="3">
        <f>IFERROR(__xludf.DUMMYFUNCTION("""COMPUTED_VALUE"""),1970.0)</f>
        <v>1970</v>
      </c>
      <c r="E20" s="3"/>
      <c r="F20" s="3" t="str">
        <f>IFERROR(__xludf.DUMMYFUNCTION("""COMPUTED_VALUE"""),"Première femme marocaine et nord-africaine à avoir gravi l'Everest, 
devançant de quelques heures une autre marocaine, Ghizlane Aakar[1]")</f>
        <v>Première femme marocaine et nord-africaine à avoir gravi l'Everest, 
devançant de quelques heures une autre marocaine, Ghizlane Aakar[1]</v>
      </c>
      <c r="G20" s="3"/>
      <c r="H20" s="3"/>
    </row>
    <row r="21">
      <c r="A21" s="3" t="str">
        <f>IFERROR(__xludf.DUMMYFUNCTION("""COMPUTED_VALUE"""),"Baig")</f>
        <v>Baig</v>
      </c>
      <c r="B21" s="3" t="str">
        <f>IFERROR(__xludf.DUMMYFUNCTION("""COMPUTED_VALUE"""),"Samina")</f>
        <v>Samina</v>
      </c>
      <c r="C21" s="3" t="str">
        <f>IFERROR(__xludf.DUMMYFUNCTION("""COMPUTED_VALUE"""),"Pakistan")</f>
        <v>Pakistan</v>
      </c>
      <c r="D21" s="3">
        <f>IFERROR(__xludf.DUMMYFUNCTION("""COMPUTED_VALUE"""),1990.0)</f>
        <v>1990</v>
      </c>
      <c r="E21" s="3"/>
      <c r="F21" s="3" t="str">
        <f>IFERROR(__xludf.DUMMYFUNCTION("""COMPUTED_VALUE"""),"Première pakistanaise à avoir gravi l'Everest[2].")</f>
        <v>Première pakistanaise à avoir gravi l'Everest[2].</v>
      </c>
      <c r="G21" s="3"/>
      <c r="H21" s="3"/>
    </row>
    <row r="22">
      <c r="A22" s="3" t="str">
        <f>IFERROR(__xludf.DUMMYFUNCTION("""COMPUTED_VALUE"""),"Ball")</f>
        <v>Ball</v>
      </c>
      <c r="B22" s="3" t="str">
        <f>IFERROR(__xludf.DUMMYFUNCTION("""COMPUTED_VALUE"""),"John")</f>
        <v>John</v>
      </c>
      <c r="C22" s="3" t="str">
        <f>IFERROR(__xludf.DUMMYFUNCTION("""COMPUTED_VALUE"""),"Irlande")</f>
        <v>Irlande</v>
      </c>
      <c r="D22" s="3">
        <f>IFERROR(__xludf.DUMMYFUNCTION("""COMPUTED_VALUE"""),1818.0)</f>
        <v>1818</v>
      </c>
      <c r="E22" s="3">
        <f>IFERROR(__xludf.DUMMYFUNCTION("""COMPUTED_VALUE"""),1889.0)</f>
        <v>1889</v>
      </c>
      <c r="F22" s="3" t="str">
        <f>IFERROR(__xludf.DUMMYFUNCTION("""COMPUTED_VALUE"""),"Naturaliste et grimpeur, auteur de guides sur les Alpes. Premier président 
de l'Alpine Club en 1857.")</f>
        <v>Naturaliste et grimpeur, auteur de guides sur les Alpes. Premier président 
de l'Alpine Club en 1857.</v>
      </c>
      <c r="G22" s="3"/>
      <c r="H22" s="3"/>
    </row>
    <row r="23">
      <c r="A23" s="3" t="str">
        <f>IFERROR(__xludf.DUMMYFUNCTION("""COMPUTED_VALUE"""),"Balmat")</f>
        <v>Balmat</v>
      </c>
      <c r="B23" s="3" t="str">
        <f>IFERROR(__xludf.DUMMYFUNCTION("""COMPUTED_VALUE"""),"Jacques")</f>
        <v>Jacques</v>
      </c>
      <c r="C23" s="3" t="str">
        <f>IFERROR(__xludf.DUMMYFUNCTION("""COMPUTED_VALUE"""),"Savoie")</f>
        <v>Savoie</v>
      </c>
      <c r="D23" s="3">
        <f>IFERROR(__xludf.DUMMYFUNCTION("""COMPUTED_VALUE"""),1762.0)</f>
        <v>1762</v>
      </c>
      <c r="E23" s="3">
        <f>IFERROR(__xludf.DUMMYFUNCTION("""COMPUTED_VALUE"""),1834.0)</f>
        <v>1834</v>
      </c>
      <c r="F23" s="3" t="str">
        <f>IFERROR(__xludf.DUMMYFUNCTION("""COMPUTED_VALUE"""),"Guide basé à Chamonix. Première ascension du mont Blanc en 1786.")</f>
        <v>Guide basé à Chamonix. Première ascension du mont Blanc en 1786.</v>
      </c>
      <c r="G23" s="3"/>
      <c r="H23" s="3"/>
    </row>
    <row r="24">
      <c r="A24" s="3" t="str">
        <f>IFERROR(__xludf.DUMMYFUNCTION("""COMPUTED_VALUE"""),"Band")</f>
        <v>Band</v>
      </c>
      <c r="B24" s="3" t="str">
        <f>IFERROR(__xludf.DUMMYFUNCTION("""COMPUTED_VALUE"""),"George")</f>
        <v>George</v>
      </c>
      <c r="C24" s="3" t="str">
        <f>IFERROR(__xludf.DUMMYFUNCTION("""COMPUTED_VALUE"""),"Royaume-Uni")</f>
        <v>Royaume-Uni</v>
      </c>
      <c r="D24" s="3">
        <f>IFERROR(__xludf.DUMMYFUNCTION("""COMPUTED_VALUE"""),1929.0)</f>
        <v>1929</v>
      </c>
      <c r="E24" s="3">
        <f>IFERROR(__xludf.DUMMYFUNCTION("""COMPUTED_VALUE"""),2011.0)</f>
        <v>2011</v>
      </c>
      <c r="F24" s="3" t="str">
        <f>IFERROR(__xludf.DUMMYFUNCTION("""COMPUTED_VALUE"""),"Participe à l'expédition de 1953 sur l'Everest, première ascension du 
Kangchenjunga en 1955.")</f>
        <v>Participe à l'expédition de 1953 sur l'Everest, première ascension du 
Kangchenjunga en 1955.</v>
      </c>
      <c r="G24" s="3"/>
      <c r="H24" s="3"/>
    </row>
    <row r="25">
      <c r="A25" s="3" t="str">
        <f>IFERROR(__xludf.DUMMYFUNCTION("""COMPUTED_VALUE"""),"Barber")</f>
        <v>Barber</v>
      </c>
      <c r="B25" s="3" t="str">
        <f>IFERROR(__xludf.DUMMYFUNCTION("""COMPUTED_VALUE"""),"Henry")</f>
        <v>Henry</v>
      </c>
      <c r="C25" s="3" t="str">
        <f>IFERROR(__xludf.DUMMYFUNCTION("""COMPUTED_VALUE"""),"États-Unis")</f>
        <v>États-Unis</v>
      </c>
      <c r="D25" s="3">
        <f>IFERROR(__xludf.DUMMYFUNCTION("""COMPUTED_VALUE"""),1953.0)</f>
        <v>1953</v>
      </c>
      <c r="E25" s="3"/>
      <c r="F25" s="3" t="str">
        <f>IFERROR(__xludf.DUMMYFUNCTION("""COMPUTED_VALUE"""),"Important grimpeur américain dans les années 1970.")</f>
        <v>Important grimpeur américain dans les années 1970.</v>
      </c>
      <c r="G25" s="3"/>
      <c r="H25" s="3"/>
    </row>
    <row r="26">
      <c r="A26" s="3" t="str">
        <f>IFERROR(__xludf.DUMMYFUNCTION("""COMPUTED_VALUE"""),"Barbier")</f>
        <v>Barbier</v>
      </c>
      <c r="B26" s="3" t="str">
        <f>IFERROR(__xludf.DUMMYFUNCTION("""COMPUTED_VALUE"""),"Claudio")</f>
        <v>Claudio</v>
      </c>
      <c r="C26" s="3" t="str">
        <f>IFERROR(__xludf.DUMMYFUNCTION("""COMPUTED_VALUE"""),"Belgique")</f>
        <v>Belgique</v>
      </c>
      <c r="D26" s="3">
        <f>IFERROR(__xludf.DUMMYFUNCTION("""COMPUTED_VALUE"""),1938.0)</f>
        <v>1938</v>
      </c>
      <c r="E26" s="3">
        <f>IFERROR(__xludf.DUMMYFUNCTION("""COMPUTED_VALUE"""),1977.0)</f>
        <v>1977</v>
      </c>
      <c r="F26" s="3" t="str">
        <f>IFERROR(__xludf.DUMMYFUNCTION("""COMPUTED_VALUE"""),"Plusieurs premières ascensions dans les Dolomites")</f>
        <v>Plusieurs premières ascensions dans les Dolomites</v>
      </c>
      <c r="G26" s="3"/>
      <c r="H26" s="3"/>
    </row>
    <row r="27">
      <c r="A27" s="3" t="str">
        <f>IFERROR(__xludf.DUMMYFUNCTION("""COMPUTED_VALUE"""),"Barrard")</f>
        <v>Barrard</v>
      </c>
      <c r="B27" s="3" t="str">
        <f>IFERROR(__xludf.DUMMYFUNCTION("""COMPUTED_VALUE"""),"Lilliane")</f>
        <v>Lilliane</v>
      </c>
      <c r="C27" s="3" t="str">
        <f>IFERROR(__xludf.DUMMYFUNCTION("""COMPUTED_VALUE"""),"France")</f>
        <v>France</v>
      </c>
      <c r="D27" s="3">
        <f>IFERROR(__xludf.DUMMYFUNCTION("""COMPUTED_VALUE"""),1949.0)</f>
        <v>1949</v>
      </c>
      <c r="E27" s="3">
        <f>IFERROR(__xludf.DUMMYFUNCTION("""COMPUTED_VALUE"""),1986.0)</f>
        <v>1986</v>
      </c>
      <c r="F27" s="3" t="str">
        <f>IFERROR(__xludf.DUMMYFUNCTION("""COMPUTED_VALUE"""),"Gasherbrum II en 1982, première ascension féminine du Nanga Parbat en 1984. 
Tuée avec son mari sur le K2 en 1986.")</f>
        <v>Gasherbrum II en 1982, première ascension féminine du Nanga Parbat en 1984. 
Tuée avec son mari sur le K2 en 1986.</v>
      </c>
      <c r="G27" s="3"/>
      <c r="H27" s="3"/>
    </row>
    <row r="28">
      <c r="A28" s="3" t="str">
        <f>IFERROR(__xludf.DUMMYFUNCTION("""COMPUTED_VALUE"""),"Barrard")</f>
        <v>Barrard</v>
      </c>
      <c r="B28" s="3" t="str">
        <f>IFERROR(__xludf.DUMMYFUNCTION("""COMPUTED_VALUE"""),"Maurice")</f>
        <v>Maurice</v>
      </c>
      <c r="C28" s="3" t="str">
        <f>IFERROR(__xludf.DUMMYFUNCTION("""COMPUTED_VALUE"""),"France")</f>
        <v>France</v>
      </c>
      <c r="D28" s="3">
        <f>IFERROR(__xludf.DUMMYFUNCTION("""COMPUTED_VALUE"""),1942.0)</f>
        <v>1942</v>
      </c>
      <c r="E28" s="3">
        <f>IFERROR(__xludf.DUMMYFUNCTION("""COMPUTED_VALUE"""),1986.0)</f>
        <v>1986</v>
      </c>
      <c r="F28" s="3" t="str">
        <f>IFERROR(__xludf.DUMMYFUNCTION("""COMPUTED_VALUE"""),"Gasherbrum II en 1982, Nanga Parbat en 1984. Tué avec sa femme sur le K2 en 
1986.")</f>
        <v>Gasherbrum II en 1982, Nanga Parbat en 1984. Tué avec sa femme sur le K2 en 
1986.</v>
      </c>
      <c r="G28" s="3"/>
      <c r="H28" s="3"/>
    </row>
    <row r="29">
      <c r="A29" s="3" t="str">
        <f>IFERROR(__xludf.DUMMYFUNCTION("""COMPUTED_VALUE"""),"Barrington")</f>
        <v>Barrington</v>
      </c>
      <c r="B29" s="3" t="str">
        <f>IFERROR(__xludf.DUMMYFUNCTION("""COMPUTED_VALUE"""),"Charles")</f>
        <v>Charles</v>
      </c>
      <c r="C29" s="3" t="str">
        <f>IFERROR(__xludf.DUMMYFUNCTION("""COMPUTED_VALUE"""),"Royaume-Uni")</f>
        <v>Royaume-Uni</v>
      </c>
      <c r="D29" s="3">
        <f>IFERROR(__xludf.DUMMYFUNCTION("""COMPUTED_VALUE"""),1834.0)</f>
        <v>1834</v>
      </c>
      <c r="E29" s="3">
        <f>IFERROR(__xludf.DUMMYFUNCTION("""COMPUTED_VALUE"""),1901.0)</f>
        <v>1901</v>
      </c>
      <c r="F29" s="3" t="str">
        <f>IFERROR(__xludf.DUMMYFUNCTION("""COMPUTED_VALUE"""),"Première ascension de l'Eiger en 1858.")</f>
        <v>Première ascension de l'Eiger en 1858.</v>
      </c>
      <c r="G29" s="3"/>
      <c r="H29" s="3"/>
    </row>
    <row r="30">
      <c r="A30" s="3" t="str">
        <f>IFERROR(__xludf.DUMMYFUNCTION("""COMPUTED_VALUE"""),"Bass")</f>
        <v>Bass</v>
      </c>
      <c r="B30" s="3" t="str">
        <f>IFERROR(__xludf.DUMMYFUNCTION("""COMPUTED_VALUE"""),"Richard")</f>
        <v>Richard</v>
      </c>
      <c r="C30" s="3" t="str">
        <f>IFERROR(__xludf.DUMMYFUNCTION("""COMPUTED_VALUE"""),"États-Unis")</f>
        <v>États-Unis</v>
      </c>
      <c r="D30" s="3">
        <f>IFERROR(__xludf.DUMMYFUNCTION("""COMPUTED_VALUE"""),1929.0)</f>
        <v>1929</v>
      </c>
      <c r="E30" s="3">
        <f>IFERROR(__xludf.DUMMYFUNCTION("""COMPUTED_VALUE"""),2015.0)</f>
        <v>2015</v>
      </c>
      <c r="F30" s="3" t="str">
        <f>IFERROR(__xludf.DUMMYFUNCTION("""COMPUTED_VALUE"""),"Homme d'affaires et alpiniste amateur. Premier à avoir réalisé les Sept 
sommets en 1985.")</f>
        <v>Homme d'affaires et alpiniste amateur. Premier à avoir réalisé les Sept 
sommets en 1985.</v>
      </c>
      <c r="G30" s="3"/>
      <c r="H30" s="3"/>
    </row>
    <row r="31">
      <c r="A31" s="3" t="str">
        <f>IFERROR(__xludf.DUMMYFUNCTION("""COMPUTED_VALUE"""),"Batard")</f>
        <v>Batard</v>
      </c>
      <c r="B31" s="3" t="str">
        <f>IFERROR(__xludf.DUMMYFUNCTION("""COMPUTED_VALUE"""),"Marc")</f>
        <v>Marc</v>
      </c>
      <c r="C31" s="3" t="str">
        <f>IFERROR(__xludf.DUMMYFUNCTION("""COMPUTED_VALUE"""),"France")</f>
        <v>France</v>
      </c>
      <c r="D31" s="3">
        <f>IFERROR(__xludf.DUMMYFUNCTION("""COMPUTED_VALUE"""),1951.0)</f>
        <v>1951</v>
      </c>
      <c r="E31" s="3"/>
      <c r="F31" s="3" t="str">
        <f>IFERROR(__xludf.DUMMYFUNCTION("""COMPUTED_VALUE"""),"Première ascension de l'Everest en solitaire et sans oxygène en 22 heures 
et 29 minutes en 1988.")</f>
        <v>Première ascension de l'Everest en solitaire et sans oxygène en 22 heures 
et 29 minutes en 1988.</v>
      </c>
      <c r="G31" s="3"/>
      <c r="H31" s="3"/>
    </row>
    <row r="32">
      <c r="A32" s="3" t="str">
        <f>IFERROR(__xludf.DUMMYFUNCTION("""COMPUTED_VALUE"""),"Bates")</f>
        <v>Bates</v>
      </c>
      <c r="B32" s="3" t="str">
        <f>IFERROR(__xludf.DUMMYFUNCTION("""COMPUTED_VALUE"""),"Robert")</f>
        <v>Robert</v>
      </c>
      <c r="C32" s="3" t="str">
        <f>IFERROR(__xludf.DUMMYFUNCTION("""COMPUTED_VALUE"""),"États-Unis")</f>
        <v>États-Unis</v>
      </c>
      <c r="D32" s="3">
        <f>IFERROR(__xludf.DUMMYFUNCTION("""COMPUTED_VALUE"""),1911.0)</f>
        <v>1911</v>
      </c>
      <c r="E32" s="3">
        <f>IFERROR(__xludf.DUMMYFUNCTION("""COMPUTED_VALUE"""),2007.0)</f>
        <v>2007</v>
      </c>
      <c r="F32" s="3" t="str">
        <f>IFERROR(__xludf.DUMMYFUNCTION("""COMPUTED_VALUE"""),"Première ascension du mont Lucania en 1937. Participe aux tentatives 
américaines sur le K2 de 1938 et de 1953.")</f>
        <v>Première ascension du mont Lucania en 1937. Participe aux tentatives 
américaines sur le K2 de 1938 et de 1953.</v>
      </c>
      <c r="G32" s="3"/>
      <c r="H32" s="3"/>
    </row>
    <row r="33">
      <c r="A33" s="3" t="str">
        <f>IFERROR(__xludf.DUMMYFUNCTION("""COMPUTED_VALUE"""),"Beaufoy")</f>
        <v>Beaufoy</v>
      </c>
      <c r="B33" s="3" t="str">
        <f>IFERROR(__xludf.DUMMYFUNCTION("""COMPUTED_VALUE"""),"Mark")</f>
        <v>Mark</v>
      </c>
      <c r="C33" s="3" t="str">
        <f>IFERROR(__xludf.DUMMYFUNCTION("""COMPUTED_VALUE"""),"Royaume-Uni")</f>
        <v>Royaume-Uni</v>
      </c>
      <c r="D33" s="3">
        <f>IFERROR(__xludf.DUMMYFUNCTION("""COMPUTED_VALUE"""),1764.0)</f>
        <v>1764</v>
      </c>
      <c r="E33" s="3">
        <f>IFERROR(__xludf.DUMMYFUNCTION("""COMPUTED_VALUE"""),1827.0)</f>
        <v>1827</v>
      </c>
      <c r="F33" s="3" t="str">
        <f>IFERROR(__xludf.DUMMYFUNCTION("""COMPUTED_VALUE"""),"Quatrième ascension du mont Blanc en 1787.")</f>
        <v>Quatrième ascension du mont Blanc en 1787.</v>
      </c>
      <c r="G33" s="3"/>
      <c r="H33" s="3"/>
    </row>
    <row r="34">
      <c r="A34" s="3" t="str">
        <f>IFERROR(__xludf.DUMMYFUNCTION("""COMPUTED_VALUE"""),"Beckey")</f>
        <v>Beckey</v>
      </c>
      <c r="B34" s="3" t="str">
        <f>IFERROR(__xludf.DUMMYFUNCTION("""COMPUTED_VALUE"""),"Fred")</f>
        <v>Fred</v>
      </c>
      <c r="C34" s="3" t="str">
        <f>IFERROR(__xludf.DUMMYFUNCTION("""COMPUTED_VALUE"""),"Allemagne/États-Unis")</f>
        <v>Allemagne/États-Unis</v>
      </c>
      <c r="D34" s="3">
        <f>IFERROR(__xludf.DUMMYFUNCTION("""COMPUTED_VALUE"""),1923.0)</f>
        <v>1923</v>
      </c>
      <c r="E34" s="3"/>
      <c r="F34" s="3" t="str">
        <f>IFERROR(__xludf.DUMMYFUNCTION("""COMPUTED_VALUE"""),"Beaucoup de premières ascensions aux États-Unis et au Canada.")</f>
        <v>Beaucoup de premières ascensions aux États-Unis et au Canada.</v>
      </c>
      <c r="G34" s="3"/>
      <c r="H34" s="3"/>
    </row>
    <row r="35">
      <c r="A35" s="3" t="str">
        <f>IFERROR(__xludf.DUMMYFUNCTION("""COMPUTED_VALUE"""),"Beetham")</f>
        <v>Beetham</v>
      </c>
      <c r="B35" s="3" t="str">
        <f>IFERROR(__xludf.DUMMYFUNCTION("""COMPUTED_VALUE"""),"Bentley")</f>
        <v>Bentley</v>
      </c>
      <c r="C35" s="3" t="str">
        <f>IFERROR(__xludf.DUMMYFUNCTION("""COMPUTED_VALUE"""),"Royaume-Uni")</f>
        <v>Royaume-Uni</v>
      </c>
      <c r="D35" s="3">
        <f>IFERROR(__xludf.DUMMYFUNCTION("""COMPUTED_VALUE"""),1886.0)</f>
        <v>1886</v>
      </c>
      <c r="E35" s="3">
        <f>IFERROR(__xludf.DUMMYFUNCTION("""COMPUTED_VALUE"""),1963.0)</f>
        <v>1963</v>
      </c>
      <c r="F35" s="3" t="str">
        <f>IFERROR(__xludf.DUMMYFUNCTION("""COMPUTED_VALUE"""),"Membre de l'expédition britannique à l'Everest de 1924; pionnier de 
l'escalade à Borrowdale.")</f>
        <v>Membre de l'expédition britannique à l'Everest de 1924; pionnier de 
l'escalade à Borrowdale.</v>
      </c>
      <c r="G35" s="3"/>
      <c r="H35" s="3"/>
    </row>
    <row r="36">
      <c r="A36" s="3" t="str">
        <f>IFERROR(__xludf.DUMMYFUNCTION("""COMPUTED_VALUE"""),"Béghin")</f>
        <v>Béghin</v>
      </c>
      <c r="B36" s="3" t="str">
        <f>IFERROR(__xludf.DUMMYFUNCTION("""COMPUTED_VALUE"""),"Pierre")</f>
        <v>Pierre</v>
      </c>
      <c r="C36" s="3" t="str">
        <f>IFERROR(__xludf.DUMMYFUNCTION("""COMPUTED_VALUE"""),"France")</f>
        <v>France</v>
      </c>
      <c r="D36" s="3">
        <f>IFERROR(__xludf.DUMMYFUNCTION("""COMPUTED_VALUE"""),1951.0)</f>
        <v>1951</v>
      </c>
      <c r="E36" s="3">
        <f>IFERROR(__xludf.DUMMYFUNCTION("""COMPUTED_VALUE"""),1992.0)</f>
        <v>1992</v>
      </c>
      <c r="F36" s="3" t="str">
        <f>IFERROR(__xludf.DUMMYFUNCTION("""COMPUTED_VALUE"""),"Cinq *8 000* disparaît dans la descente de la face Sud de l'Annapurna après 
une tentative effectuée avec Jean-Christophe Lafaille. Ce dernier mettra 
cinq jours à redescendre seul avec un bras cassé.")</f>
        <v>Cinq *8 000* disparaît dans la descente de la face Sud de l'Annapurna après 
une tentative effectuée avec Jean-Christophe Lafaille. Ce dernier mettra 
cinq jours à redescendre seul avec un bras cassé.</v>
      </c>
      <c r="G36" s="3"/>
      <c r="H36" s="3"/>
    </row>
    <row r="37">
      <c r="A37" s="3" t="str">
        <f>IFERROR(__xludf.DUMMYFUNCTION("""COMPUTED_VALUE"""),"Bell")</f>
        <v>Bell</v>
      </c>
      <c r="B37" s="3" t="str">
        <f>IFERROR(__xludf.DUMMYFUNCTION("""COMPUTED_VALUE"""),"George Irving")</f>
        <v>George Irving</v>
      </c>
      <c r="C37" s="3" t="str">
        <f>IFERROR(__xludf.DUMMYFUNCTION("""COMPUTED_VALUE"""),"États-Unis")</f>
        <v>États-Unis</v>
      </c>
      <c r="D37" s="3">
        <f>IFERROR(__xludf.DUMMYFUNCTION("""COMPUTED_VALUE"""),1926.0)</f>
        <v>1926</v>
      </c>
      <c r="E37" s="3">
        <f>IFERROR(__xludf.DUMMYFUNCTION("""COMPUTED_VALUE"""),2000.0)</f>
        <v>2000</v>
      </c>
      <c r="F37" s="3" t="str">
        <f>IFERROR(__xludf.DUMMYFUNCTION("""COMPUTED_VALUE"""),"Physicien, biologiste et alpiniste. Première ascension du Masherbrum en 
1960. Sauvé sur le K2 en 1953.")</f>
        <v>Physicien, biologiste et alpiniste. Première ascension du Masherbrum en 
1960. Sauvé sur le K2 en 1953.</v>
      </c>
      <c r="G37" s="3"/>
      <c r="H37" s="3"/>
    </row>
    <row r="38">
      <c r="A38" s="3" t="str">
        <f>IFERROR(__xludf.DUMMYFUNCTION("""COMPUTED_VALUE"""),"Bell")</f>
        <v>Bell</v>
      </c>
      <c r="B38" s="3" t="str">
        <f>IFERROR(__xludf.DUMMYFUNCTION("""COMPUTED_VALUE"""),"Gertrude")</f>
        <v>Gertrude</v>
      </c>
      <c r="C38" s="3" t="str">
        <f>IFERROR(__xludf.DUMMYFUNCTION("""COMPUTED_VALUE"""),"Royaume-Uni")</f>
        <v>Royaume-Uni</v>
      </c>
      <c r="D38" s="3">
        <f>IFERROR(__xludf.DUMMYFUNCTION("""COMPUTED_VALUE"""),1868.0)</f>
        <v>1868</v>
      </c>
      <c r="E38" s="3">
        <f>IFERROR(__xludf.DUMMYFUNCTION("""COMPUTED_VALUE"""),1926.0)</f>
        <v>1926</v>
      </c>
      <c r="F38" s="3" t="str">
        <f>IFERROR(__xludf.DUMMYFUNCTION("""COMPUTED_VALUE"""),"Nombreuses ascensions dans les Alpes notamment.")</f>
        <v>Nombreuses ascensions dans les Alpes notamment.</v>
      </c>
      <c r="G38" s="3"/>
      <c r="H38" s="3"/>
    </row>
    <row r="39">
      <c r="A39" s="3" t="str">
        <f>IFERROR(__xludf.DUMMYFUNCTION("""COMPUTED_VALUE"""),"Bereziartu")</f>
        <v>Bereziartu</v>
      </c>
      <c r="B39" s="3" t="str">
        <f>IFERROR(__xludf.DUMMYFUNCTION("""COMPUTED_VALUE"""),"Josune")</f>
        <v>Josune</v>
      </c>
      <c r="C39" s="3" t="str">
        <f>IFERROR(__xludf.DUMMYFUNCTION("""COMPUTED_VALUE"""),"Espagne")</f>
        <v>Espagne</v>
      </c>
      <c r="D39" s="3">
        <f>IFERROR(__xludf.DUMMYFUNCTION("""COMPUTED_VALUE"""),1972.0)</f>
        <v>1972</v>
      </c>
      <c r="E39" s="3"/>
      <c r="F39" s="3" t="str">
        <f>IFERROR(__xludf.DUMMYFUNCTION("""COMPUTED_VALUE"""),"Grimpeuse. Première femme dans le neuvième degré.")</f>
        <v>Grimpeuse. Première femme dans le neuvième degré.</v>
      </c>
      <c r="G39" s="3"/>
      <c r="H39" s="3"/>
    </row>
    <row r="40">
      <c r="A40" s="3" t="str">
        <f>IFERROR(__xludf.DUMMYFUNCTION("""COMPUTED_VALUE"""),"Berhault")</f>
        <v>Berhault</v>
      </c>
      <c r="B40" s="3" t="str">
        <f>IFERROR(__xludf.DUMMYFUNCTION("""COMPUTED_VALUE"""),"Patrick")</f>
        <v>Patrick</v>
      </c>
      <c r="C40" s="3" t="str">
        <f>IFERROR(__xludf.DUMMYFUNCTION("""COMPUTED_VALUE"""),"France")</f>
        <v>France</v>
      </c>
      <c r="D40" s="3">
        <f>IFERROR(__xludf.DUMMYFUNCTION("""COMPUTED_VALUE"""),1957.0)</f>
        <v>1957</v>
      </c>
      <c r="E40" s="3">
        <f>IFERROR(__xludf.DUMMYFUNCTION("""COMPUTED_VALUE"""),2004.0)</f>
        <v>2004</v>
      </c>
      <c r="F40" s="3" t="str">
        <f>IFERROR(__xludf.DUMMYFUNCTION("""COMPUTED_VALUE"""),"Grimpeur de haut niveau, Alpiniste meurt dans sa tentative d'enchaîner les 82 
sommets des Alpes de plus de 4 000 mètres d'altitude.")</f>
        <v>Grimpeur de haut niveau, Alpiniste meurt dans sa tentative d'enchaîner les 82 
sommets des Alpes de plus de 4 000 mètres d'altitude.</v>
      </c>
      <c r="G40" s="3"/>
      <c r="H40" s="3"/>
    </row>
    <row r="41">
      <c r="A41" s="3" t="str">
        <f>IFERROR(__xludf.DUMMYFUNCTION("""COMPUTED_VALUE"""),"Berthe")</f>
        <v>Berthe</v>
      </c>
      <c r="B41" s="3" t="str">
        <f>IFERROR(__xludf.DUMMYFUNCTION("""COMPUTED_VALUE"""),"Sébastien")</f>
        <v>Sébastien</v>
      </c>
      <c r="C41" s="3" t="str">
        <f>IFERROR(__xludf.DUMMYFUNCTION("""COMPUTED_VALUE"""),"Belgique")</f>
        <v>Belgique</v>
      </c>
      <c r="D41" s="3">
        <f>IFERROR(__xludf.DUMMYFUNCTION("""COMPUTED_VALUE"""),1993.0)</f>
        <v>1993</v>
      </c>
      <c r="E41" s="3"/>
      <c r="F41" s="3" t="str">
        <f>IFERROR(__xludf.DUMMYFUNCTION("""COMPUTED_VALUE"""),"Spécialiste des ascensions de 'big walls' en escalade libre.")</f>
        <v>Spécialiste des ascensions de 'big walls' en escalade libre.</v>
      </c>
      <c r="G41" s="3"/>
      <c r="H41" s="3"/>
    </row>
    <row r="42">
      <c r="A42" s="3" t="str">
        <f>IFERROR(__xludf.DUMMYFUNCTION("""COMPUTED_VALUE"""),"Berthod")</f>
        <v>Berthod</v>
      </c>
      <c r="B42" s="3" t="str">
        <f>IFERROR(__xludf.DUMMYFUNCTION("""COMPUTED_VALUE"""),"Didier")</f>
        <v>Didier</v>
      </c>
      <c r="C42" s="3" t="str">
        <f>IFERROR(__xludf.DUMMYFUNCTION("""COMPUTED_VALUE"""),"Suisse")</f>
        <v>Suisse</v>
      </c>
      <c r="D42" s="3">
        <f>IFERROR(__xludf.DUMMYFUNCTION("""COMPUTED_VALUE"""),1981.0)</f>
        <v>1981</v>
      </c>
      <c r="E42" s="3"/>
      <c r="F42" s="3" t="str">
        <f>IFERROR(__xludf.DUMMYFUNCTION("""COMPUTED_VALUE"""),"Mis en avant dans *First Ascent* et dans *Profession : guide de montagne*.")</f>
        <v>Mis en avant dans *First Ascent* et dans *Profession : guide de montagne*.</v>
      </c>
      <c r="G42" s="3"/>
      <c r="H42" s="3"/>
    </row>
    <row r="43">
      <c r="A43" s="3" t="str">
        <f>IFERROR(__xludf.DUMMYFUNCTION("""COMPUTED_VALUE"""),"Bettembourg")</f>
        <v>Bettembourg</v>
      </c>
      <c r="B43" s="3" t="str">
        <f>IFERROR(__xludf.DUMMYFUNCTION("""COMPUTED_VALUE"""),"Georges")</f>
        <v>Georges</v>
      </c>
      <c r="C43" s="3" t="str">
        <f>IFERROR(__xludf.DUMMYFUNCTION("""COMPUTED_VALUE"""),"France")</f>
        <v>France</v>
      </c>
      <c r="D43" s="3">
        <f>IFERROR(__xludf.DUMMYFUNCTION("""COMPUTED_VALUE"""),1950.0)</f>
        <v>1950</v>
      </c>
      <c r="E43" s="3">
        <f>IFERROR(__xludf.DUMMYFUNCTION("""COMPUTED_VALUE"""),1983.0)</f>
        <v>1983</v>
      </c>
      <c r="F43" s="3" t="str">
        <f>IFERROR(__xludf.DUMMYFUNCTION("""COMPUTED_VALUE"""),"Un des premiers alpinistes français à grimper en style alpin dans les 
expéditions himalayennes")</f>
        <v>Un des premiers alpinistes français à grimper en style alpin dans les 
expéditions himalayennes</v>
      </c>
      <c r="G43" s="3"/>
      <c r="H43" s="3"/>
    </row>
    <row r="44">
      <c r="A44" s="3" t="str">
        <f>IFERROR(__xludf.DUMMYFUNCTION("""COMPUTED_VALUE"""),"Blanchard")</f>
        <v>Blanchard</v>
      </c>
      <c r="B44" s="3" t="str">
        <f>IFERROR(__xludf.DUMMYFUNCTION("""COMPUTED_VALUE"""),"Barry")</f>
        <v>Barry</v>
      </c>
      <c r="C44" s="3" t="str">
        <f>IFERROR(__xludf.DUMMYFUNCTION("""COMPUTED_VALUE"""),"Canada")</f>
        <v>Canada</v>
      </c>
      <c r="D44" s="3">
        <f>IFERROR(__xludf.DUMMYFUNCTION("""COMPUTED_VALUE"""),1959.0)</f>
        <v>1959</v>
      </c>
      <c r="E44" s="3"/>
      <c r="F44" s="3" t="str">
        <f>IFERROR(__xludf.DUMMYFUNCTION("""COMPUTED_VALUE"""),"Guide de montagne. Première ascension dans la chaîne Saint-Élie.")</f>
        <v>Guide de montagne. Première ascension dans la chaîne Saint-Élie.</v>
      </c>
      <c r="G44" s="3"/>
      <c r="H44" s="3"/>
    </row>
    <row r="45">
      <c r="A45" s="3" t="str">
        <f>IFERROR(__xludf.DUMMYFUNCTION("""COMPUTED_VALUE"""),"Blanchard")</f>
        <v>Blanchard</v>
      </c>
      <c r="B45" s="3" t="str">
        <f>IFERROR(__xludf.DUMMYFUNCTION("""COMPUTED_VALUE"""),"Smoke")</f>
        <v>Smoke</v>
      </c>
      <c r="C45" s="3" t="str">
        <f>IFERROR(__xludf.DUMMYFUNCTION("""COMPUTED_VALUE"""),"États-Unis")</f>
        <v>États-Unis</v>
      </c>
      <c r="D45" s="3">
        <f>IFERROR(__xludf.DUMMYFUNCTION("""COMPUTED_VALUE"""),1915.0)</f>
        <v>1915</v>
      </c>
      <c r="E45" s="3">
        <f>IFERROR(__xludf.DUMMYFUNCTION("""COMPUTED_VALUE"""),1989.0)</f>
        <v>1989</v>
      </c>
      <c r="F45" s="3" t="str">
        <f>IFERROR(__xludf.DUMMYFUNCTION("""COMPUTED_VALUE"""),"Développe la zone de bloc de Buttermilk.")</f>
        <v>Développe la zone de bloc de Buttermilk.</v>
      </c>
      <c r="G45" s="3"/>
      <c r="H45" s="3"/>
    </row>
    <row r="46">
      <c r="A46" s="3" t="str">
        <f>IFERROR(__xludf.DUMMYFUNCTION("""COMPUTED_VALUE"""),"Blodig")</f>
        <v>Blodig</v>
      </c>
      <c r="B46" s="3" t="str">
        <f>IFERROR(__xludf.DUMMYFUNCTION("""COMPUTED_VALUE"""),"Karl")</f>
        <v>Karl</v>
      </c>
      <c r="C46" s="3" t="str">
        <f>IFERROR(__xludf.DUMMYFUNCTION("""COMPUTED_VALUE"""),"Autriche")</f>
        <v>Autriche</v>
      </c>
      <c r="D46" s="3">
        <f>IFERROR(__xludf.DUMMYFUNCTION("""COMPUTED_VALUE"""),1859.0)</f>
        <v>1859</v>
      </c>
      <c r="E46" s="3">
        <f>IFERROR(__xludf.DUMMYFUNCTION("""COMPUTED_VALUE"""),1956.0)</f>
        <v>1956</v>
      </c>
      <c r="F46" s="3" t="str">
        <f>IFERROR(__xludf.DUMMYFUNCTION("""COMPUTED_VALUE"""),"Alpiniste, opticien et journaliste. Première ascension de tous les sommets 
des Alpes de plus de 4 000 mètres d'altitude.")</f>
        <v>Alpiniste, opticien et journaliste. Première ascension de tous les sommets 
des Alpes de plus de 4 000 mètres d'altitude.</v>
      </c>
      <c r="G46" s="3"/>
      <c r="H46" s="3"/>
    </row>
    <row r="47">
      <c r="A47" s="3" t="str">
        <f>IFERROR(__xludf.DUMMYFUNCTION("""COMPUTED_VALUE"""),"Blum")</f>
        <v>Blum</v>
      </c>
      <c r="B47" s="3" t="str">
        <f>IFERROR(__xludf.DUMMYFUNCTION("""COMPUTED_VALUE"""),"Arlene")</f>
        <v>Arlene</v>
      </c>
      <c r="C47" s="3" t="str">
        <f>IFERROR(__xludf.DUMMYFUNCTION("""COMPUTED_VALUE"""),"États-Unis")</f>
        <v>États-Unis</v>
      </c>
      <c r="D47" s="3">
        <f>IFERROR(__xludf.DUMMYFUNCTION("""COMPUTED_VALUE"""),1945.0)</f>
        <v>1945</v>
      </c>
      <c r="E47" s="3"/>
      <c r="F47" s="3" t="str">
        <f>IFERROR(__xludf.DUMMYFUNCTION("""COMPUTED_VALUE"""),"Première tentative féminine américaine de l'ascension de l'Everest.")</f>
        <v>Première tentative féminine américaine de l'ascension de l'Everest.</v>
      </c>
      <c r="G47" s="3"/>
      <c r="H47" s="3"/>
    </row>
    <row r="48">
      <c r="A48" s="3" t="str">
        <f>IFERROR(__xludf.DUMMYFUNCTION("""COMPUTED_VALUE"""),"Boardman")</f>
        <v>Boardman</v>
      </c>
      <c r="B48" s="3" t="str">
        <f>IFERROR(__xludf.DUMMYFUNCTION("""COMPUTED_VALUE"""),"Peter")</f>
        <v>Peter</v>
      </c>
      <c r="C48" s="3" t="str">
        <f>IFERROR(__xludf.DUMMYFUNCTION("""COMPUTED_VALUE"""),"Royaume-Uni")</f>
        <v>Royaume-Uni</v>
      </c>
      <c r="D48" s="3">
        <f>IFERROR(__xludf.DUMMYFUNCTION("""COMPUTED_VALUE"""),1950.0)</f>
        <v>1950</v>
      </c>
      <c r="E48" s="3">
        <f>IFERROR(__xludf.DUMMYFUNCTION("""COMPUTED_VALUE"""),1982.0)</f>
        <v>1982</v>
      </c>
      <c r="F48" s="3" t="str">
        <f>IFERROR(__xludf.DUMMYFUNCTION("""COMPUTED_VALUE"""),"Everest 1975, Changabang Mur Ouest 1976, Kangchenjunga 1979. Meurt sur 
l'Everest avec Joe Tasker.")</f>
        <v>Everest 1975, Changabang Mur Ouest 1976, Kangchenjunga 1979. Meurt sur 
l'Everest avec Joe Tasker.</v>
      </c>
      <c r="G48" s="3"/>
      <c r="H48" s="3"/>
    </row>
    <row r="49">
      <c r="A49" s="3" t="str">
        <f>IFERROR(__xludf.DUMMYFUNCTION("""COMPUTED_VALUE"""),"Boell")</f>
        <v>Boell</v>
      </c>
      <c r="B49" s="3" t="str">
        <f>IFERROR(__xludf.DUMMYFUNCTION("""COMPUTED_VALUE"""),"Jacques")</f>
        <v>Jacques</v>
      </c>
      <c r="C49" s="3" t="str">
        <f>IFERROR(__xludf.DUMMYFUNCTION("""COMPUTED_VALUE"""),"France")</f>
        <v>France</v>
      </c>
      <c r="D49" s="3">
        <f>IFERROR(__xludf.DUMMYFUNCTION("""COMPUTED_VALUE"""),1908.0)</f>
        <v>1908</v>
      </c>
      <c r="E49" s="3"/>
      <c r="F49" s="3" t="str">
        <f>IFERROR(__xludf.DUMMYFUNCTION("""COMPUTED_VALUE"""),"Membre du groupe de Bleau. Première de la face sud de l'aiguille Dibona.")</f>
        <v>Membre du groupe de Bleau. Première de la face sud de l'aiguille Dibona.</v>
      </c>
      <c r="G49" s="3"/>
      <c r="H49" s="3"/>
    </row>
    <row r="50">
      <c r="A50" s="3" t="str">
        <f>IFERROR(__xludf.DUMMYFUNCTION("""COMPUTED_VALUE"""),"Boileau de Castelnau")</f>
        <v>Boileau de Castelnau</v>
      </c>
      <c r="B50" s="3" t="str">
        <f>IFERROR(__xludf.DUMMYFUNCTION("""COMPUTED_VALUE"""),"Emmanuel")</f>
        <v>Emmanuel</v>
      </c>
      <c r="C50" s="3" t="str">
        <f>IFERROR(__xludf.DUMMYFUNCTION("""COMPUTED_VALUE"""),"France")</f>
        <v>France</v>
      </c>
      <c r="D50" s="3">
        <f>IFERROR(__xludf.DUMMYFUNCTION("""COMPUTED_VALUE"""),1857.0)</f>
        <v>1857</v>
      </c>
      <c r="E50" s="3">
        <f>IFERROR(__xludf.DUMMYFUNCTION("""COMPUTED_VALUE"""),1923.0)</f>
        <v>1923</v>
      </c>
      <c r="F50" s="3" t="str">
        <f>IFERROR(__xludf.DUMMYFUNCTION("""COMPUTED_VALUE"""),"Première ascension de la Meije.")</f>
        <v>Première ascension de la Meije.</v>
      </c>
      <c r="G50" s="3"/>
      <c r="H50" s="3"/>
    </row>
    <row r="51">
      <c r="A51" s="3" t="str">
        <f>IFERROR(__xludf.DUMMYFUNCTION("""COMPUTED_VALUE"""),"Boivin")</f>
        <v>Boivin</v>
      </c>
      <c r="B51" s="3" t="str">
        <f>IFERROR(__xludf.DUMMYFUNCTION("""COMPUTED_VALUE"""),"Jean-Marc")</f>
        <v>Jean-Marc</v>
      </c>
      <c r="C51" s="3" t="str">
        <f>IFERROR(__xludf.DUMMYFUNCTION("""COMPUTED_VALUE"""),"France")</f>
        <v>France</v>
      </c>
      <c r="D51" s="3">
        <f>IFERROR(__xludf.DUMMYFUNCTION("""COMPUTED_VALUE"""),1951.0)</f>
        <v>1951</v>
      </c>
      <c r="E51" s="3">
        <f>IFERROR(__xludf.DUMMYFUNCTION("""COMPUTED_VALUE"""),1990.0)</f>
        <v>1990</v>
      </c>
      <c r="F51" s="3" t="str">
        <f>IFERROR(__xludf.DUMMYFUNCTION("""COMPUTED_VALUE"""),"Figure des ascensions et des descentes extrêmes.")</f>
        <v>Figure des ascensions et des descentes extrêmes.</v>
      </c>
      <c r="G51" s="3"/>
      <c r="H51" s="3"/>
    </row>
    <row r="52">
      <c r="A52" s="3" t="str">
        <f>IFERROR(__xludf.DUMMYFUNCTION("""COMPUTED_VALUE"""),"Bonatti")</f>
        <v>Bonatti</v>
      </c>
      <c r="B52" s="3" t="str">
        <f>IFERROR(__xludf.DUMMYFUNCTION("""COMPUTED_VALUE"""),"Walter")</f>
        <v>Walter</v>
      </c>
      <c r="C52" s="3" t="str">
        <f>IFERROR(__xludf.DUMMYFUNCTION("""COMPUTED_VALUE"""),"Italie")</f>
        <v>Italie</v>
      </c>
      <c r="D52" s="3">
        <f>IFERROR(__xludf.DUMMYFUNCTION("""COMPUTED_VALUE"""),1930.0)</f>
        <v>1930</v>
      </c>
      <c r="E52" s="3">
        <f>IFERROR(__xludf.DUMMYFUNCTION("""COMPUTED_VALUE"""),2011.0)</f>
        <v>2011</v>
      </c>
      <c r="F52" s="3" t="str">
        <f>IFERROR(__xludf.DUMMYFUNCTION("""COMPUTED_VALUE"""),"Alpiniste et écrivain. Nouvelles voies en solo sur l'Aiguille du Dru et le 
Cervin.")</f>
        <v>Alpiniste et écrivain. Nouvelles voies en solo sur l'Aiguille du Dru et le 
Cervin.</v>
      </c>
      <c r="G52" s="3"/>
      <c r="H52" s="3"/>
    </row>
    <row r="53">
      <c r="A53" s="3" t="str">
        <f>IFERROR(__xludf.DUMMYFUNCTION("""COMPUTED_VALUE"""),"Bonington")</f>
        <v>Bonington</v>
      </c>
      <c r="B53" s="3" t="str">
        <f>IFERROR(__xludf.DUMMYFUNCTION("""COMPUTED_VALUE"""),"Chris")</f>
        <v>Chris</v>
      </c>
      <c r="C53" s="3" t="str">
        <f>IFERROR(__xludf.DUMMYFUNCTION("""COMPUTED_VALUE"""),"Royaume-Uni")</f>
        <v>Royaume-Uni</v>
      </c>
      <c r="D53" s="3">
        <f>IFERROR(__xludf.DUMMYFUNCTION("""COMPUTED_VALUE"""),1934.0)</f>
        <v>1934</v>
      </c>
      <c r="E53" s="3"/>
      <c r="F53" s="3" t="str">
        <f>IFERROR(__xludf.DUMMYFUNCTION("""COMPUTED_VALUE"""),"Première ascension du pilier central Freney en 1961, de l'Annapurna II en 
1960, du Nuptse en 1961, de la Tour central del Paine durant l'été austral 
1962-1963. Ascension de l'Everest en 1985.")</f>
        <v>Première ascension du pilier central Freney en 1961, de l'Annapurna II en 
1960, du Nuptse en 1961, de la Tour central del Paine durant l'été austral 
1962-1963. Ascension de l'Everest en 1985.</v>
      </c>
      <c r="G53" s="3"/>
      <c r="H53" s="3"/>
    </row>
    <row r="54">
      <c r="A54" s="3" t="str">
        <f>IFERROR(__xludf.DUMMYFUNCTION("""COMPUTED_VALUE"""),"Bonney")</f>
        <v>Bonney</v>
      </c>
      <c r="B54" s="3" t="str">
        <f>IFERROR(__xludf.DUMMYFUNCTION("""COMPUTED_VALUE"""),"Thomas George")</f>
        <v>Thomas George</v>
      </c>
      <c r="C54" s="3" t="str">
        <f>IFERROR(__xludf.DUMMYFUNCTION("""COMPUTED_VALUE"""),"Royaume-Uni")</f>
        <v>Royaume-Uni</v>
      </c>
      <c r="D54" s="3">
        <f>IFERROR(__xludf.DUMMYFUNCTION("""COMPUTED_VALUE"""),1833.0)</f>
        <v>1833</v>
      </c>
      <c r="E54" s="3">
        <f>IFERROR(__xludf.DUMMYFUNCTION("""COMPUTED_VALUE"""),1923.0)</f>
        <v>1923</v>
      </c>
      <c r="F54" s="3" t="str">
        <f>IFERROR(__xludf.DUMMYFUNCTION("""COMPUTED_VALUE"""),"Géologue et alpiniste. Président de l'Alpine Club.")</f>
        <v>Géologue et alpiniste. Président de l'Alpine Club.</v>
      </c>
      <c r="G54" s="3"/>
      <c r="H54" s="3"/>
    </row>
    <row r="55">
      <c r="A55" s="3" t="str">
        <f>IFERROR(__xludf.DUMMYFUNCTION("""COMPUTED_VALUE"""),"Borthwick")</f>
        <v>Borthwick</v>
      </c>
      <c r="B55" s="3" t="str">
        <f>IFERROR(__xludf.DUMMYFUNCTION("""COMPUTED_VALUE"""),"Alastair")</f>
        <v>Alastair</v>
      </c>
      <c r="C55" s="3" t="str">
        <f>IFERROR(__xludf.DUMMYFUNCTION("""COMPUTED_VALUE"""),"Royaume-Uni")</f>
        <v>Royaume-Uni</v>
      </c>
      <c r="D55" s="3">
        <f>IFERROR(__xludf.DUMMYFUNCTION("""COMPUTED_VALUE"""),1913.0)</f>
        <v>1913</v>
      </c>
      <c r="E55" s="3">
        <f>IFERROR(__xludf.DUMMYFUNCTION("""COMPUTED_VALUE"""),2003.0)</f>
        <v>2003</v>
      </c>
      <c r="F55" s="3" t="str">
        <f>IFERROR(__xludf.DUMMYFUNCTION("""COMPUTED_VALUE"""),"Grimpeur et auteur de *Always a Little Further*.")</f>
        <v>Grimpeur et auteur de *Always a Little Further*.</v>
      </c>
      <c r="G55" s="3"/>
      <c r="H55" s="3"/>
    </row>
    <row r="56">
      <c r="A56" s="3" t="str">
        <f>IFERROR(__xludf.DUMMYFUNCTION("""COMPUTED_VALUE"""),"Boskoff")</f>
        <v>Boskoff</v>
      </c>
      <c r="B56" s="3" t="str">
        <f>IFERROR(__xludf.DUMMYFUNCTION("""COMPUTED_VALUE"""),"Christine")</f>
        <v>Christine</v>
      </c>
      <c r="C56" s="3" t="str">
        <f>IFERROR(__xludf.DUMMYFUNCTION("""COMPUTED_VALUE"""),"États-Unis")</f>
        <v>États-Unis</v>
      </c>
      <c r="D56" s="3">
        <f>IFERROR(__xludf.DUMMYFUNCTION("""COMPUTED_VALUE"""),1967.0)</f>
        <v>1967</v>
      </c>
      <c r="E56" s="3">
        <f>IFERROR(__xludf.DUMMYFUNCTION("""COMPUTED_VALUE"""),2006.0)</f>
        <v>2006</v>
      </c>
      <c r="F56" s="3" t="str">
        <f>IFERROR(__xludf.DUMMYFUNCTION("""COMPUTED_VALUE"""),"6 sommets de plus de 8 000 mètres d'altitude dont l'Everest deux fois. 
Meurt sur le mont Genyen.")</f>
        <v>6 sommets de plus de 8 000 mètres d'altitude dont l'Everest deux fois. 
Meurt sur le mont Genyen.</v>
      </c>
      <c r="G56" s="3"/>
      <c r="H56" s="3"/>
    </row>
    <row r="57">
      <c r="A57" s="3" t="str">
        <f>IFERROR(__xludf.DUMMYFUNCTION("""COMPUTED_VALUE"""),"Bouchard")</f>
        <v>Bouchard</v>
      </c>
      <c r="B57" s="3" t="str">
        <f>IFERROR(__xludf.DUMMYFUNCTION("""COMPUTED_VALUE"""),"Pierre")</f>
        <v>Pierre</v>
      </c>
      <c r="C57" s="3" t="str">
        <f>IFERROR(__xludf.DUMMYFUNCTION("""COMPUTED_VALUE"""),"France")</f>
        <v>France</v>
      </c>
      <c r="D57" s="3">
        <f>IFERROR(__xludf.DUMMYFUNCTION("""COMPUTED_VALUE"""),1959.0)</f>
        <v>1959</v>
      </c>
      <c r="E57" s="3"/>
      <c r="F57" s="3" t="str">
        <f>IFERROR(__xludf.DUMMYFUNCTION("""COMPUTED_VALUE"""),"Alpiniste reconnu pour ses ascensions rapides notamment celle du Tirich Mir 
en 1996.")</f>
        <v>Alpiniste reconnu pour ses ascensions rapides notamment celle du Tirich Mir 
en 1996.</v>
      </c>
      <c r="G57" s="3"/>
      <c r="H57" s="3"/>
    </row>
    <row r="58">
      <c r="A58" s="3" t="str">
        <f>IFERROR(__xludf.DUMMYFUNCTION("""COMPUTED_VALUE"""),"Boukreev")</f>
        <v>Boukreev</v>
      </c>
      <c r="B58" s="3" t="str">
        <f>IFERROR(__xludf.DUMMYFUNCTION("""COMPUTED_VALUE"""),"Anatoli")</f>
        <v>Anatoli</v>
      </c>
      <c r="C58" s="3" t="str">
        <f>IFERROR(__xludf.DUMMYFUNCTION("""COMPUTED_VALUE"""),"Russie")</f>
        <v>Russie</v>
      </c>
      <c r="D58" s="3">
        <f>IFERROR(__xludf.DUMMYFUNCTION("""COMPUTED_VALUE"""),1958.0)</f>
        <v>1958</v>
      </c>
      <c r="E58" s="3">
        <f>IFERROR(__xludf.DUMMYFUNCTION("""COMPUTED_VALUE"""),1997.0)</f>
        <v>1997</v>
      </c>
      <c r="F58" s="3" t="str">
        <f>IFERROR(__xludf.DUMMYFUNCTION("""COMPUTED_VALUE"""),"Grimpe 7 sommets de plus de 8 000 mètres d'altitude sans bouteille 
d'oxygène. Meurt sur l'Annapurna en 1997.")</f>
        <v>Grimpe 7 sommets de plus de 8 000 mètres d'altitude sans bouteille 
d'oxygène. Meurt sur l'Annapurna en 1997.</v>
      </c>
      <c r="G58" s="3"/>
      <c r="H58" s="3"/>
    </row>
    <row r="59">
      <c r="A59" s="3" t="str">
        <f>IFERROR(__xludf.DUMMYFUNCTION("""COMPUTED_VALUE"""),"Bouquet des Chaux")</f>
        <v>Bouquet des Chaux</v>
      </c>
      <c r="B59" s="3" t="str">
        <f>IFERROR(__xludf.DUMMYFUNCTION("""COMPUTED_VALUE"""),"Gaël")</f>
        <v>Gaël</v>
      </c>
      <c r="C59" s="3" t="str">
        <f>IFERROR(__xludf.DUMMYFUNCTION("""COMPUTED_VALUE"""),"France")</f>
        <v>France</v>
      </c>
      <c r="D59" s="3"/>
      <c r="E59" s="3"/>
      <c r="F59" s="3" t="str">
        <f>IFERROR(__xludf.DUMMYFUNCTION("""COMPUTED_VALUE"""),"Nombreuses premières dans les Alpes et dans les Andes.")</f>
        <v>Nombreuses premières dans les Alpes et dans les Andes.</v>
      </c>
      <c r="G59" s="3"/>
      <c r="H59" s="3"/>
    </row>
    <row r="60">
      <c r="A60" s="3" t="str">
        <f>IFERROR(__xludf.DUMMYFUNCTION("""COMPUTED_VALUE"""),"Bourdillon")</f>
        <v>Bourdillon</v>
      </c>
      <c r="B60" s="3" t="str">
        <f>IFERROR(__xludf.DUMMYFUNCTION("""COMPUTED_VALUE"""),"Tom")</f>
        <v>Tom</v>
      </c>
      <c r="C60" s="3" t="str">
        <f>IFERROR(__xludf.DUMMYFUNCTION("""COMPUTED_VALUE"""),"Royaume-Uni")</f>
        <v>Royaume-Uni</v>
      </c>
      <c r="D60" s="3">
        <f>IFERROR(__xludf.DUMMYFUNCTION("""COMPUTED_VALUE"""),1924.0)</f>
        <v>1924</v>
      </c>
      <c r="E60" s="3">
        <f>IFERROR(__xludf.DUMMYFUNCTION("""COMPUTED_VALUE"""),1956.0)</f>
        <v>1956</v>
      </c>
      <c r="F60" s="3" t="str">
        <f>IFERROR(__xludf.DUMMYFUNCTION("""COMPUTED_VALUE"""),"Reconnaissance de l'Everest en 1951, Cho Oyu en 1952, participe aux 
expéditions britanniques sur l'Everest en 1952 et 1953, sommet sud de 
l'Everest en 1953.")</f>
        <v>Reconnaissance de l'Everest en 1951, Cho Oyu en 1952, participe aux 
expéditions britanniques sur l'Everest en 1952 et 1953, sommet sud de 
l'Everest en 1953.</v>
      </c>
      <c r="G60" s="3"/>
      <c r="H60" s="3"/>
    </row>
    <row r="61">
      <c r="A61" s="3" t="str">
        <f>IFERROR(__xludf.DUMMYFUNCTION("""COMPUTED_VALUE"""),"Bourgeois")</f>
        <v>Bourgeois</v>
      </c>
      <c r="B61" s="3" t="str">
        <f>IFERROR(__xludf.DUMMYFUNCTION("""COMPUTED_VALUE"""),"Jean")</f>
        <v>Jean</v>
      </c>
      <c r="C61" s="3" t="str">
        <f>IFERROR(__xludf.DUMMYFUNCTION("""COMPUTED_VALUE"""),"Belgique")</f>
        <v>Belgique</v>
      </c>
      <c r="D61" s="3">
        <f>IFERROR(__xludf.DUMMYFUNCTION("""COMPUTED_VALUE"""),1938.0)</f>
        <v>1938</v>
      </c>
      <c r="E61" s="3"/>
      <c r="F61" s="3" t="str">
        <f>IFERROR(__xludf.DUMMYFUNCTION("""COMPUTED_VALUE"""),"Premières dans les Dolomites, ascension du Nowshak dans l'Hindou Koush")</f>
        <v>Premières dans les Dolomites, ascension du Nowshak dans l'Hindou Koush</v>
      </c>
      <c r="G61" s="3"/>
      <c r="H61" s="3"/>
    </row>
    <row r="62">
      <c r="A62" s="3" t="str">
        <f>IFERROR(__xludf.DUMMYFUNCTION("""COMPUTED_VALUE"""),"Božić")</f>
        <v>Božić</v>
      </c>
      <c r="B62" s="3" t="str">
        <f>IFERROR(__xludf.DUMMYFUNCTION("""COMPUTED_VALUE"""),"Stipe")</f>
        <v>Stipe</v>
      </c>
      <c r="C62" s="3" t="str">
        <f>IFERROR(__xludf.DUMMYFUNCTION("""COMPUTED_VALUE"""),"Croatie")</f>
        <v>Croatie</v>
      </c>
      <c r="D62" s="3">
        <f>IFERROR(__xludf.DUMMYFUNCTION("""COMPUTED_VALUE"""),1951.0)</f>
        <v>1951</v>
      </c>
      <c r="E62" s="3"/>
      <c r="F62" s="3" t="str">
        <f>IFERROR(__xludf.DUMMYFUNCTION("""COMPUTED_VALUE"""),"A fait les Sept Sommets. Deuxième européen à escalader l'Everest deux fois.")</f>
        <v>A fait les Sept Sommets. Deuxième européen à escalader l'Everest deux fois.</v>
      </c>
      <c r="G62" s="3"/>
      <c r="H62" s="3"/>
    </row>
    <row r="63">
      <c r="A63" s="3" t="str">
        <f>IFERROR(__xludf.DUMMYFUNCTION("""COMPUTED_VALUE"""),"Bradey")</f>
        <v>Bradey</v>
      </c>
      <c r="B63" s="3" t="str">
        <f>IFERROR(__xludf.DUMMYFUNCTION("""COMPUTED_VALUE"""),"Lydia")</f>
        <v>Lydia</v>
      </c>
      <c r="C63" s="3" t="str">
        <f>IFERROR(__xludf.DUMMYFUNCTION("""COMPUTED_VALUE"""),"Nouvelle Zélande")</f>
        <v>Nouvelle Zélande</v>
      </c>
      <c r="D63" s="3">
        <f>IFERROR(__xludf.DUMMYFUNCTION("""COMPUTED_VALUE"""),1961.0)</f>
        <v>1961</v>
      </c>
      <c r="E63" s="3"/>
      <c r="F63" s="3" t="str">
        <f>IFERROR(__xludf.DUMMYFUNCTION("""COMPUTED_VALUE"""),"Première femme à gravir l'Zverest sans oxygène supplémentaire")</f>
        <v>Première femme à gravir l'Zverest sans oxygène supplémentaire</v>
      </c>
      <c r="G63" s="3"/>
      <c r="H63" s="3"/>
    </row>
    <row r="64">
      <c r="A64" s="3" t="str">
        <f>IFERROR(__xludf.DUMMYFUNCTION("""COMPUTED_VALUE"""),"Breashears")</f>
        <v>Breashears</v>
      </c>
      <c r="B64" s="3" t="str">
        <f>IFERROR(__xludf.DUMMYFUNCTION("""COMPUTED_VALUE"""),"David")</f>
        <v>David</v>
      </c>
      <c r="C64" s="3" t="str">
        <f>IFERROR(__xludf.DUMMYFUNCTION("""COMPUTED_VALUE"""),"États-Unis")</f>
        <v>États-Unis</v>
      </c>
      <c r="D64" s="3">
        <f>IFERROR(__xludf.DUMMYFUNCTION("""COMPUTED_VALUE"""),1956.0)</f>
        <v>1956</v>
      </c>
      <c r="E64" s="3"/>
      <c r="F64" s="3" t="str">
        <f>IFERROR(__xludf.DUMMYFUNCTION("""COMPUTED_VALUE"""),"A fait l'Everest deux fois. A réalisé le film IMAX*Everest*.")</f>
        <v>A fait l'Everest deux fois. A réalisé le film IMAX*Everest*.</v>
      </c>
      <c r="G64" s="3"/>
      <c r="H64" s="3"/>
    </row>
    <row r="65">
      <c r="A65" s="3" t="str">
        <f>IFERROR(__xludf.DUMMYFUNCTION("""COMPUTED_VALUE"""),"Brevoort")</f>
        <v>Brevoort</v>
      </c>
      <c r="B65" s="3" t="str">
        <f>IFERROR(__xludf.DUMMYFUNCTION("""COMPUTED_VALUE"""),"Meta")</f>
        <v>Meta</v>
      </c>
      <c r="C65" s="3" t="str">
        <f>IFERROR(__xludf.DUMMYFUNCTION("""COMPUTED_VALUE"""),"États-Unis")</f>
        <v>États-Unis</v>
      </c>
      <c r="D65" s="3">
        <f>IFERROR(__xludf.DUMMYFUNCTION("""COMPUTED_VALUE"""),1825.0)</f>
        <v>1825</v>
      </c>
      <c r="E65" s="3">
        <f>IFERROR(__xludf.DUMMYFUNCTION("""COMPUTED_VALUE"""),1876.0)</f>
        <v>1876</v>
      </c>
      <c r="F65" s="3" t="str">
        <f>IFERROR(__xludf.DUMMYFUNCTION("""COMPUTED_VALUE"""),"Alpiniste de l'époque victorienne. Tante de William Auguste Coolidge.")</f>
        <v>Alpiniste de l'époque victorienne. Tante de William Auguste Coolidge.</v>
      </c>
      <c r="G65" s="3"/>
      <c r="H65" s="3"/>
    </row>
    <row r="66">
      <c r="A66" s="3" t="str">
        <f>IFERROR(__xludf.DUMMYFUNCTION("""COMPUTED_VALUE"""),"Brice")</f>
        <v>Brice</v>
      </c>
      <c r="B66" s="3" t="str">
        <f>IFERROR(__xludf.DUMMYFUNCTION("""COMPUTED_VALUE"""),"Russel")</f>
        <v>Russel</v>
      </c>
      <c r="C66" s="3" t="str">
        <f>IFERROR(__xludf.DUMMYFUNCTION("""COMPUTED_VALUE"""),"Nouvelle-Zélande")</f>
        <v>Nouvelle-Zélande</v>
      </c>
      <c r="D66" s="3">
        <f>IFERROR(__xludf.DUMMYFUNCTION("""COMPUTED_VALUE"""),1952.0)</f>
        <v>1952</v>
      </c>
      <c r="E66" s="3"/>
      <c r="F66" s="3" t="str">
        <f>IFERROR(__xludf.DUMMYFUNCTION("""COMPUTED_VALUE"""),"Record pour l'ascension la plus rapide sans oxygène du Cho Oyu et de l'Ama 
Dablam.")</f>
        <v>Record pour l'ascension la plus rapide sans oxygène du Cho Oyu et de l'Ama 
Dablam.</v>
      </c>
      <c r="G66" s="3"/>
      <c r="H66" s="3"/>
    </row>
    <row r="67">
      <c r="A67" s="3" t="str">
        <f>IFERROR(__xludf.DUMMYFUNCTION("""COMPUTED_VALUE"""),"Bridwell")</f>
        <v>Bridwell</v>
      </c>
      <c r="B67" s="3" t="str">
        <f>IFERROR(__xludf.DUMMYFUNCTION("""COMPUTED_VALUE"""),"Jim")</f>
        <v>Jim</v>
      </c>
      <c r="C67" s="3" t="str">
        <f>IFERROR(__xludf.DUMMYFUNCTION("""COMPUTED_VALUE"""),"États-Unis")</f>
        <v>États-Unis</v>
      </c>
      <c r="D67" s="3">
        <f>IFERROR(__xludf.DUMMYFUNCTION("""COMPUTED_VALUE"""),1944.0)</f>
        <v>1944</v>
      </c>
      <c r="E67" s="3">
        <f>IFERROR(__xludf.DUMMYFUNCTION("""COMPUTED_VALUE"""),2018.0)</f>
        <v>2018</v>
      </c>
      <c r="F67" s="3" t="str">
        <f>IFERROR(__xludf.DUMMYFUNCTION("""COMPUTED_VALUE"""),"Première escalade en une journée du Nose d'El Capitan en 1975.")</f>
        <v>Première escalade en une journée du Nose d'El Capitan en 1975.</v>
      </c>
      <c r="G67" s="3"/>
      <c r="H67" s="3"/>
    </row>
    <row r="68">
      <c r="A68" s="3" t="str">
        <f>IFERROR(__xludf.DUMMYFUNCTION("""COMPUTED_VALUE"""),"Browser")</f>
        <v>Browser</v>
      </c>
      <c r="B68" s="3" t="str">
        <f>IFERROR(__xludf.DUMMYFUNCTION("""COMPUTED_VALUE"""),"David")</f>
        <v>David</v>
      </c>
      <c r="C68" s="3" t="str">
        <f>IFERROR(__xludf.DUMMYFUNCTION("""COMPUTED_VALUE"""),"États-Unis")</f>
        <v>États-Unis</v>
      </c>
      <c r="D68" s="3">
        <f>IFERROR(__xludf.DUMMYFUNCTION("""COMPUTED_VALUE"""),1912.0)</f>
        <v>1912</v>
      </c>
      <c r="E68" s="3">
        <f>IFERROR(__xludf.DUMMYFUNCTION("""COMPUTED_VALUE"""),2000.0)</f>
        <v>2000</v>
      </c>
      <c r="F68" s="3" t="str">
        <f>IFERROR(__xludf.DUMMYFUNCTION("""COMPUTED_VALUE"""),"Directeur exécutif du *Sierra Club* et de *Yosemite climber*.")</f>
        <v>Directeur exécutif du *Sierra Club* et de *Yosemite climber*.</v>
      </c>
      <c r="G68" s="3"/>
      <c r="H68" s="3"/>
    </row>
    <row r="69">
      <c r="A69" s="3" t="str">
        <f>IFERROR(__xludf.DUMMYFUNCTION("""COMPUTED_VALUE"""),"Brown")</f>
        <v>Brown</v>
      </c>
      <c r="B69" s="3" t="str">
        <f>IFERROR(__xludf.DUMMYFUNCTION("""COMPUTED_VALUE"""),"Joe")</f>
        <v>Joe</v>
      </c>
      <c r="C69" s="3" t="str">
        <f>IFERROR(__xludf.DUMMYFUNCTION("""COMPUTED_VALUE"""),"Royaume-Uni")</f>
        <v>Royaume-Uni</v>
      </c>
      <c r="D69" s="3">
        <f>IFERROR(__xludf.DUMMYFUNCTION("""COMPUTED_VALUE"""),1930.0)</f>
        <v>1930</v>
      </c>
      <c r="E69" s="3"/>
      <c r="F69" s="3" t="str">
        <f>IFERROR(__xludf.DUMMYFUNCTION("""COMPUTED_VALUE"""),"Grimpeur. Première ascension de la face ouest de l'Aiguille de Blaitière, 
Kangchenjunga (1955), Tour de Mustagh.")</f>
        <v>Grimpeur. Première ascension de la face ouest de l'Aiguille de Blaitière, 
Kangchenjunga (1955), Tour de Mustagh.</v>
      </c>
      <c r="G69" s="3"/>
      <c r="H69" s="3"/>
    </row>
    <row r="70">
      <c r="A70" s="3" t="str">
        <f>IFERROR(__xludf.DUMMYFUNCTION("""COMPUTED_VALUE"""),"Brown")</f>
        <v>Brown</v>
      </c>
      <c r="B70" s="3" t="str">
        <f>IFERROR(__xludf.DUMMYFUNCTION("""COMPUTED_VALUE"""),"Katie")</f>
        <v>Katie</v>
      </c>
      <c r="C70" s="3" t="str">
        <f>IFERROR(__xludf.DUMMYFUNCTION("""COMPUTED_VALUE"""),"États-Unis")</f>
        <v>États-Unis</v>
      </c>
      <c r="D70" s="3">
        <f>IFERROR(__xludf.DUMMYFUNCTION("""COMPUTED_VALUE"""),1981.0)</f>
        <v>1981</v>
      </c>
      <c r="E70" s="3"/>
      <c r="F70" s="3" t="str">
        <f>IFERROR(__xludf.DUMMYFUNCTION("""COMPUTED_VALUE"""),"À l'âge de 14 ans gagne les X Games de 1995 et la coupe du monde Junior 
d'escalade. A écrit *Girl on the Rocks: A Woman's Guide to Climbing with 
Strength, Grace and Courage*.")</f>
        <v>À l'âge de 14 ans gagne les X Games de 1995 et la coupe du monde Junior 
d'escalade. A écrit *Girl on the Rocks: A Woman's Guide to Climbing with 
Strength, Grace and Courage*.</v>
      </c>
      <c r="G70" s="3"/>
      <c r="H70" s="3"/>
    </row>
    <row r="71">
      <c r="A71" s="3" t="str">
        <f>IFERROR(__xludf.DUMMYFUNCTION("""COMPUTED_VALUE"""),"Buridan")</f>
        <v>Buridan</v>
      </c>
      <c r="B71" s="3" t="str">
        <f>IFERROR(__xludf.DUMMYFUNCTION("""COMPUTED_VALUE"""),"Jean")</f>
        <v>Jean</v>
      </c>
      <c r="C71" s="3" t="str">
        <f>IFERROR(__xludf.DUMMYFUNCTION("""COMPUTED_VALUE"""),"France")</f>
        <v>France</v>
      </c>
      <c r="D71" s="3" t="str">
        <f>IFERROR(__xludf.DUMMYFUNCTION("""COMPUTED_VALUE"""),"v. 1292")</f>
        <v>v. 1292</v>
      </c>
      <c r="E71" s="3">
        <f>IFERROR(__xludf.DUMMYFUNCTION("""COMPUTED_VALUE"""),1358.0)</f>
        <v>1358</v>
      </c>
      <c r="F71" s="3" t="str">
        <f>IFERROR(__xludf.DUMMYFUNCTION("""COMPUTED_VALUE"""),"Grimpe le mont Ventoux pour la vue avant Pétrarque.")</f>
        <v>Grimpe le mont Ventoux pour la vue avant Pétrarque.</v>
      </c>
      <c r="G71" s="3"/>
      <c r="H71" s="3"/>
    </row>
    <row r="72">
      <c r="A72" s="3" t="str">
        <f>IFERROR(__xludf.DUMMYFUNCTION("""COMPUTED_VALUE"""),"Buhl")</f>
        <v>Buhl</v>
      </c>
      <c r="B72" s="3" t="str">
        <f>IFERROR(__xludf.DUMMYFUNCTION("""COMPUTED_VALUE"""),"Herman")</f>
        <v>Herman</v>
      </c>
      <c r="C72" s="3" t="str">
        <f>IFERROR(__xludf.DUMMYFUNCTION("""COMPUTED_VALUE"""),"Autriche")</f>
        <v>Autriche</v>
      </c>
      <c r="D72" s="3">
        <f>IFERROR(__xludf.DUMMYFUNCTION("""COMPUTED_VALUE"""),1924.0)</f>
        <v>1924</v>
      </c>
      <c r="E72" s="3">
        <f>IFERROR(__xludf.DUMMYFUNCTION("""COMPUTED_VALUE"""),1957.0)</f>
        <v>1957</v>
      </c>
      <c r="F72" s="3" t="str">
        <f>IFERROR(__xludf.DUMMYFUNCTION("""COMPUTED_VALUE"""),"Première ascension du Nanga Parbat (1953) et du Broad Peak (1957). Meurt 
sur le Chogolisa.")</f>
        <v>Première ascension du Nanga Parbat (1953) et du Broad Peak (1957). Meurt 
sur le Chogolisa.</v>
      </c>
      <c r="G72" s="3"/>
      <c r="H72" s="3"/>
    </row>
    <row r="73">
      <c r="A73" s="3" t="str">
        <f>IFERROR(__xludf.DUMMYFUNCTION("""COMPUTED_VALUE"""),"Burgener")</f>
        <v>Burgener</v>
      </c>
      <c r="B73" s="3" t="str">
        <f>IFERROR(__xludf.DUMMYFUNCTION("""COMPUTED_VALUE"""),"Alexander")</f>
        <v>Alexander</v>
      </c>
      <c r="C73" s="3" t="str">
        <f>IFERROR(__xludf.DUMMYFUNCTION("""COMPUTED_VALUE"""),"Suisse")</f>
        <v>Suisse</v>
      </c>
      <c r="D73" s="3">
        <f>IFERROR(__xludf.DUMMYFUNCTION("""COMPUTED_VALUE"""),1845.0)</f>
        <v>1845</v>
      </c>
      <c r="E73" s="3">
        <f>IFERROR(__xludf.DUMMYFUNCTION("""COMPUTED_VALUE"""),1910.0)</f>
        <v>1910</v>
      </c>
      <c r="F73" s="3" t="str">
        <f>IFERROR(__xludf.DUMMYFUNCTION("""COMPUTED_VALUE"""),"Première ascension du Cervin, Zmuttgrat, Grands Charmoz, Aiguille du Grépon, 
Lenzspitze, Grand Dru.")</f>
        <v>Première ascension du Cervin, Zmuttgrat, Grands Charmoz, Aiguille du Grépon, 
Lenzspitze, Grand Dru.</v>
      </c>
      <c r="G73" s="3"/>
      <c r="H73" s="3"/>
    </row>
    <row r="74">
      <c r="A74" s="3" t="str">
        <f>IFERROR(__xludf.DUMMYFUNCTION("""COMPUTED_VALUE"""),"Caldwell")</f>
        <v>Caldwell</v>
      </c>
      <c r="B74" s="3" t="str">
        <f>IFERROR(__xludf.DUMMYFUNCTION("""COMPUTED_VALUE"""),"Tommy")</f>
        <v>Tommy</v>
      </c>
      <c r="C74" s="3" t="str">
        <f>IFERROR(__xludf.DUMMYFUNCTION("""COMPUTED_VALUE"""),"États-Unis")</f>
        <v>États-Unis</v>
      </c>
      <c r="D74" s="3">
        <f>IFERROR(__xludf.DUMMYFUNCTION("""COMPUTED_VALUE"""),1978.0)</f>
        <v>1978</v>
      </c>
      <c r="E74" s="3"/>
      <c r="F74" s="3" t="str">
        <f>IFERROR(__xludf.DUMMYFUNCTION("""COMPUTED_VALUE"""),"Escalade en libre le Nose d'El Capitan.")</f>
        <v>Escalade en libre le Nose d'El Capitan.</v>
      </c>
      <c r="G74" s="3"/>
      <c r="H74" s="3"/>
    </row>
    <row r="75">
      <c r="A75" s="3" t="str">
        <f>IFERROR(__xludf.DUMMYFUNCTION("""COMPUTED_VALUE"""),"Cameron")</f>
        <v>Cameron</v>
      </c>
      <c r="B75" s="3" t="str">
        <f>IFERROR(__xludf.DUMMYFUNCTION("""COMPUTED_VALUE"""),"Una")</f>
        <v>Una</v>
      </c>
      <c r="C75" s="3" t="str">
        <f>IFERROR(__xludf.DUMMYFUNCTION("""COMPUTED_VALUE"""),"Royaume-Uni")</f>
        <v>Royaume-Uni</v>
      </c>
      <c r="D75" s="3">
        <f>IFERROR(__xludf.DUMMYFUNCTION("""COMPUTED_VALUE"""),1904.0)</f>
        <v>1904</v>
      </c>
      <c r="E75" s="3">
        <f>IFERROR(__xludf.DUMMYFUNCTION("""COMPUTED_VALUE"""),1987.0)</f>
        <v>1987</v>
      </c>
      <c r="F75" s="3" t="str">
        <f>IFERROR(__xludf.DUMMYFUNCTION("""COMPUTED_VALUE"""),"Ascensions dans les Alpes, le Caucase et en Afrique.")</f>
        <v>Ascensions dans les Alpes, le Caucase et en Afrique.</v>
      </c>
      <c r="G75" s="3"/>
      <c r="H75" s="3"/>
    </row>
    <row r="76">
      <c r="A76" s="3" t="str">
        <f>IFERROR(__xludf.DUMMYFUNCTION("""COMPUTED_VALUE"""),"de Carbonnières")</f>
        <v>de Carbonnières</v>
      </c>
      <c r="B76" s="3" t="str">
        <f>IFERROR(__xludf.DUMMYFUNCTION("""COMPUTED_VALUE"""),"Louis Ramond")</f>
        <v>Louis Ramond</v>
      </c>
      <c r="C76" s="3" t="str">
        <f>IFERROR(__xludf.DUMMYFUNCTION("""COMPUTED_VALUE"""),"France")</f>
        <v>France</v>
      </c>
      <c r="D76" s="3">
        <f>IFERROR(__xludf.DUMMYFUNCTION("""COMPUTED_VALUE"""),1755.0)</f>
        <v>1755</v>
      </c>
      <c r="E76" s="3">
        <f>IFERROR(__xludf.DUMMYFUNCTION("""COMPUTED_VALUE"""),1827.0)</f>
        <v>1827</v>
      </c>
      <c r="F76" s="3" t="str">
        <f>IFERROR(__xludf.DUMMYFUNCTION("""COMPUTED_VALUE"""),"Scientifique et pyrénéiste.")</f>
        <v>Scientifique et pyrénéiste.</v>
      </c>
      <c r="G76" s="3"/>
      <c r="H76" s="3"/>
    </row>
    <row r="77">
      <c r="A77" s="3" t="str">
        <f>IFERROR(__xludf.DUMMYFUNCTION("""COMPUTED_VALUE"""),"Carrigan")</f>
        <v>Carrigan</v>
      </c>
      <c r="B77" s="3" t="str">
        <f>IFERROR(__xludf.DUMMYFUNCTION("""COMPUTED_VALUE"""),"Kim")</f>
        <v>Kim</v>
      </c>
      <c r="C77" s="3" t="str">
        <f>IFERROR(__xludf.DUMMYFUNCTION("""COMPUTED_VALUE"""),"Australie")</f>
        <v>Australie</v>
      </c>
      <c r="D77" s="3">
        <f>IFERROR(__xludf.DUMMYFUNCTION("""COMPUTED_VALUE"""),1958.0)</f>
        <v>1958</v>
      </c>
      <c r="E77" s="3"/>
      <c r="F77" s="3" t="str">
        <f>IFERROR(__xludf.DUMMYFUNCTION("""COMPUTED_VALUE"""),"Figure de l'escalade des années 1980.")</f>
        <v>Figure de l'escalade des années 1980.</v>
      </c>
      <c r="G77" s="3"/>
      <c r="H77" s="3"/>
    </row>
    <row r="78">
      <c r="A78" s="3" t="str">
        <f>IFERROR(__xludf.DUMMYFUNCTION("""COMPUTED_VALUE"""),"Castagna")</f>
        <v>Castagna</v>
      </c>
      <c r="B78" s="3" t="str">
        <f>IFERROR(__xludf.DUMMYFUNCTION("""COMPUTED_VALUE"""),"Cristina")</f>
        <v>Cristina</v>
      </c>
      <c r="C78" s="3" t="str">
        <f>IFERROR(__xludf.DUMMYFUNCTION("""COMPUTED_VALUE"""),"Italie")</f>
        <v>Italie</v>
      </c>
      <c r="D78" s="3">
        <f>IFERROR(__xludf.DUMMYFUNCTION("""COMPUTED_VALUE"""),1977.0)</f>
        <v>1977</v>
      </c>
      <c r="E78" s="3">
        <f>IFERROR(__xludf.DUMMYFUNCTION("""COMPUTED_VALUE"""),2009.0)</f>
        <v>2009</v>
      </c>
      <c r="F78" s="3" t="str">
        <f>IFERROR(__xludf.DUMMYFUNCTION("""COMPUTED_VALUE"""),"Première ascension italienne féminine du Makalu")</f>
        <v>Première ascension italienne féminine du Makalu</v>
      </c>
      <c r="G78" s="3"/>
      <c r="H78" s="3"/>
    </row>
    <row r="79">
      <c r="A79" s="3" t="str">
        <f>IFERROR(__xludf.DUMMYFUNCTION("""COMPUTED_VALUE"""),"Carsolio")</f>
        <v>Carsolio</v>
      </c>
      <c r="B79" s="3" t="str">
        <f>IFERROR(__xludf.DUMMYFUNCTION("""COMPUTED_VALUE"""),"Carlos")</f>
        <v>Carlos</v>
      </c>
      <c r="C79" s="3" t="str">
        <f>IFERROR(__xludf.DUMMYFUNCTION("""COMPUTED_VALUE"""),"Mexique.")</f>
        <v>Mexique.</v>
      </c>
      <c r="D79" s="3">
        <f>IFERROR(__xludf.DUMMYFUNCTION("""COMPUTED_VALUE"""),1962.0)</f>
        <v>1962</v>
      </c>
      <c r="E79" s="3"/>
      <c r="F79" s="3" t="str">
        <f>IFERROR(__xludf.DUMMYFUNCTION("""COMPUTED_VALUE"""),"14 sommets de plus de 8 000 mètres d'altitude entre 1985 et 1996. 3e 
alpiniste à avoir gravi les 14 sommets sans oxygène. A ouvert de nouvelles 
voies d'ascension")</f>
        <v>14 sommets de plus de 8 000 mètres d'altitude entre 1985 et 1996. 3e 
alpiniste à avoir gravi les 14 sommets sans oxygène. A ouvert de nouvelles 
voies d'ascension</v>
      </c>
      <c r="G79" s="3"/>
      <c r="H79" s="3"/>
    </row>
    <row r="80">
      <c r="A80" s="3" t="str">
        <f>IFERROR(__xludf.DUMMYFUNCTION("""COMPUTED_VALUE"""),"Cassin")</f>
        <v>Cassin</v>
      </c>
      <c r="B80" s="3" t="str">
        <f>IFERROR(__xludf.DUMMYFUNCTION("""COMPUTED_VALUE"""),"Riccardo")</f>
        <v>Riccardo</v>
      </c>
      <c r="C80" s="3" t="str">
        <f>IFERROR(__xludf.DUMMYFUNCTION("""COMPUTED_VALUE"""),"Italie")</f>
        <v>Italie</v>
      </c>
      <c r="D80" s="3">
        <f>IFERROR(__xludf.DUMMYFUNCTION("""COMPUTED_VALUE"""),1909.0)</f>
        <v>1909</v>
      </c>
      <c r="E80" s="3">
        <f>IFERROR(__xludf.DUMMYFUNCTION("""COMPUTED_VALUE"""),2009.0)</f>
        <v>2009</v>
      </c>
      <c r="F80" s="3" t="str">
        <f>IFERROR(__xludf.DUMMYFUNCTION("""COMPUTED_VALUE"""),"Premières de la face nord de la Cima Ovest di Lavaredo en 1935, de la face 
nord du piz Badile en 1937, et de l'*éperon Walker* dans la face nord des 
Grandes Jorasses en 1938.")</f>
        <v>Premières de la face nord de la Cima Ovest di Lavaredo en 1935, de la face 
nord du piz Badile en 1937, et de l'*éperon Walker* dans la face nord des 
Grandes Jorasses en 1938.</v>
      </c>
      <c r="G80" s="3"/>
      <c r="H80" s="3"/>
    </row>
    <row r="81">
      <c r="A81" s="3" t="str">
        <f>IFERROR(__xludf.DUMMYFUNCTION("""COMPUTED_VALUE"""),"Cecchinel")</f>
        <v>Cecchinel</v>
      </c>
      <c r="B81" s="3" t="str">
        <f>IFERROR(__xludf.DUMMYFUNCTION("""COMPUTED_VALUE"""),"Walter")</f>
        <v>Walter</v>
      </c>
      <c r="C81" s="3" t="str">
        <f>IFERROR(__xludf.DUMMYFUNCTION("""COMPUTED_VALUE"""),"France")</f>
        <v>France</v>
      </c>
      <c r="D81" s="3">
        <f>IFERROR(__xludf.DUMMYFUNCTION("""COMPUTED_VALUE"""),1946.0)</f>
        <v>1946</v>
      </c>
      <c r="E81" s="3"/>
      <c r="F81" s="3" t="str">
        <f>IFERROR(__xludf.DUMMYFUNCTION("""COMPUTED_VALUE"""),"Guide de haute montagne, d'origine italienne. Auteur de très nombreuses 
premières hivernales dans le massif du Mont-Blanc. Pionnier du 
piolet-traction et a amélioré les crampons à pointes avant. Membre 
d'expéditions françaises dans l'Himalaya.")</f>
        <v>Guide de haute montagne, d'origine italienne. Auteur de très nombreuses 
premières hivernales dans le massif du Mont-Blanc. Pionnier du 
piolet-traction et a amélioré les crampons à pointes avant. Membre 
d'expéditions françaises dans l'Himalaya.</v>
      </c>
      <c r="G81" s="3"/>
      <c r="H81" s="3"/>
    </row>
    <row r="82">
      <c r="A82" s="3" t="str">
        <f>IFERROR(__xludf.DUMMYFUNCTION("""COMPUTED_VALUE"""),"Chamoux")</f>
        <v>Chamoux</v>
      </c>
      <c r="B82" s="3" t="str">
        <f>IFERROR(__xludf.DUMMYFUNCTION("""COMPUTED_VALUE"""),"Benoît")</f>
        <v>Benoît</v>
      </c>
      <c r="C82" s="3" t="str">
        <f>IFERROR(__xludf.DUMMYFUNCTION("""COMPUTED_VALUE"""),"France")</f>
        <v>France</v>
      </c>
      <c r="D82" s="3">
        <f>IFERROR(__xludf.DUMMYFUNCTION("""COMPUTED_VALUE"""),1961.0)</f>
        <v>1961</v>
      </c>
      <c r="E82" s="3">
        <f>IFERROR(__xludf.DUMMYFUNCTION("""COMPUTED_VALUE"""),1995.0)</f>
        <v>1995</v>
      </c>
      <c r="F82" s="3" t="str">
        <f>IFERROR(__xludf.DUMMYFUNCTION("""COMPUTED_VALUE"""),"Dix des quatorze sommets du monde dépassant 8 000 mètres d'altitude. Mort 
pendant l'ascension du Kangchenjunga.")</f>
        <v>Dix des quatorze sommets du monde dépassant 8 000 mètres d'altitude. Mort 
pendant l'ascension du Kangchenjunga.</v>
      </c>
      <c r="G82" s="3"/>
      <c r="H82" s="3"/>
    </row>
    <row r="83">
      <c r="A83" s="3" t="str">
        <f>IFERROR(__xludf.DUMMYFUNCTION("""COMPUTED_VALUE"""),"Chapoutot")</f>
        <v>Chapoutot</v>
      </c>
      <c r="B83" s="3" t="str">
        <f>IFERROR(__xludf.DUMMYFUNCTION("""COMPUTED_VALUE"""),"Pierre")</f>
        <v>Pierre</v>
      </c>
      <c r="C83" s="3" t="str">
        <f>IFERROR(__xludf.DUMMYFUNCTION("""COMPUTED_VALUE"""),"France")</f>
        <v>France</v>
      </c>
      <c r="D83" s="3">
        <f>IFERROR(__xludf.DUMMYFUNCTION("""COMPUTED_VALUE"""),1939.0)</f>
        <v>1939</v>
      </c>
      <c r="E83" s="3">
        <f>IFERROR(__xludf.DUMMYFUNCTION("""COMPUTED_VALUE"""),2006.0)</f>
        <v>2006</v>
      </c>
      <c r="F83" s="3" t="str">
        <f>IFERROR(__xludf.DUMMYFUNCTION("""COMPUTED_VALUE"""),"Nombreuses ouvertures notamment dans les Écrins.")</f>
        <v>Nombreuses ouvertures notamment dans les Écrins.</v>
      </c>
      <c r="G83" s="3"/>
      <c r="H83" s="3"/>
    </row>
    <row r="84">
      <c r="A84" s="3" t="str">
        <f>IFERROR(__xludf.DUMMYFUNCTION("""COMPUTED_VALUE"""),"Charlet")</f>
        <v>Charlet</v>
      </c>
      <c r="B84" s="3" t="str">
        <f>IFERROR(__xludf.DUMMYFUNCTION("""COMPUTED_VALUE"""),"Armand")</f>
        <v>Armand</v>
      </c>
      <c r="C84" s="3" t="str">
        <f>IFERROR(__xludf.DUMMYFUNCTION("""COMPUTED_VALUE"""),"France")</f>
        <v>France</v>
      </c>
      <c r="D84" s="3">
        <f>IFERROR(__xludf.DUMMYFUNCTION("""COMPUTED_VALUE"""),1900.0)</f>
        <v>1900</v>
      </c>
      <c r="E84" s="3">
        <f>IFERROR(__xludf.DUMMYFUNCTION("""COMPUTED_VALUE"""),1975.0)</f>
        <v>1975</v>
      </c>
      <c r="F84" s="3" t="str">
        <f>IFERROR(__xludf.DUMMYFUNCTION("""COMPUTED_VALUE"""),"Beaucoup de premières ascensions dans le massif du Mont-Blanc.")</f>
        <v>Beaucoup de premières ascensions dans le massif du Mont-Blanc.</v>
      </c>
      <c r="G84" s="3"/>
      <c r="H84" s="3"/>
    </row>
    <row r="85">
      <c r="A85" s="3" t="str">
        <f>IFERROR(__xludf.DUMMYFUNCTION("""COMPUTED_VALUE"""),"Charlet-Straton")</f>
        <v>Charlet-Straton</v>
      </c>
      <c r="B85" s="3" t="str">
        <f>IFERROR(__xludf.DUMMYFUNCTION("""COMPUTED_VALUE"""),"Isabella")</f>
        <v>Isabella</v>
      </c>
      <c r="C85" s="3" t="str">
        <f>IFERROR(__xludf.DUMMYFUNCTION("""COMPUTED_VALUE"""),"Royaume-Uni")</f>
        <v>Royaume-Uni</v>
      </c>
      <c r="D85" s="3">
        <f>IFERROR(__xludf.DUMMYFUNCTION("""COMPUTED_VALUE"""),1838.0)</f>
        <v>1838</v>
      </c>
      <c r="E85" s="3">
        <f>IFERROR(__xludf.DUMMYFUNCTION("""COMPUTED_VALUE"""),1918.0)</f>
        <v>1918</v>
      </c>
      <c r="F85" s="3" t="str">
        <f>IFERROR(__xludf.DUMMYFUNCTION("""COMPUTED_VALUE"""),"Premières ascensions dans les Alpes. Première hivernale du mont Blanc en 
1876.")</f>
        <v>Premières ascensions dans les Alpes. Première hivernale du mont Blanc en 
1876.</v>
      </c>
      <c r="G85" s="3"/>
      <c r="H85" s="3"/>
    </row>
    <row r="86">
      <c r="A86" s="3" t="str">
        <f>IFERROR(__xludf.DUMMYFUNCTION("""COMPUTED_VALUE"""),"Chaya")</f>
        <v>Chaya</v>
      </c>
      <c r="B86" s="3" t="str">
        <f>IFERROR(__xludf.DUMMYFUNCTION("""COMPUTED_VALUE"""),"Maxime")</f>
        <v>Maxime</v>
      </c>
      <c r="C86" s="3" t="str">
        <f>IFERROR(__xludf.DUMMYFUNCTION("""COMPUTED_VALUE"""),"Liban")</f>
        <v>Liban</v>
      </c>
      <c r="D86" s="3">
        <f>IFERROR(__xludf.DUMMYFUNCTION("""COMPUTED_VALUE"""),1961.0)</f>
        <v>1961</v>
      </c>
      <c r="E86" s="3"/>
      <c r="F86" s="3" t="str">
        <f>IFERROR(__xludf.DUMMYFUNCTION("""COMPUTED_VALUE"""),"Everest (2006), Sept Sommets and Three Poles Challenge.")</f>
        <v>Everest (2006), Sept Sommets and Three Poles Challenge.</v>
      </c>
      <c r="G86" s="3"/>
      <c r="H86" s="3"/>
    </row>
    <row r="87">
      <c r="A87" s="3" t="str">
        <f>IFERROR(__xludf.DUMMYFUNCTION("""COMPUTED_VALUE"""),"Chlumska")</f>
        <v>Chlumska</v>
      </c>
      <c r="B87" s="3" t="str">
        <f>IFERROR(__xludf.DUMMYFUNCTION("""COMPUTED_VALUE"""),"Renata")</f>
        <v>Renata</v>
      </c>
      <c r="C87" s="3" t="str">
        <f>IFERROR(__xludf.DUMMYFUNCTION("""COMPUTED_VALUE"""),"Suède")</f>
        <v>Suède</v>
      </c>
      <c r="D87" s="3">
        <f>IFERROR(__xludf.DUMMYFUNCTION("""COMPUTED_VALUE"""),1973.0)</f>
        <v>1973</v>
      </c>
      <c r="E87" s="3"/>
      <c r="F87" s="3" t="str">
        <f>IFERROR(__xludf.DUMMYFUNCTION("""COMPUTED_VALUE"""),"Première ascension féminine suédoise de l'Everest en 1999.")</f>
        <v>Première ascension féminine suédoise de l'Everest en 1999.</v>
      </c>
      <c r="G87" s="3"/>
      <c r="H87" s="3"/>
    </row>
    <row r="88">
      <c r="A88" s="3" t="str">
        <f>IFERROR(__xludf.DUMMYFUNCTION("""COMPUTED_VALUE"""),"Chouinard")</f>
        <v>Chouinard</v>
      </c>
      <c r="B88" s="3" t="str">
        <f>IFERROR(__xludf.DUMMYFUNCTION("""COMPUTED_VALUE"""),"Yvon")</f>
        <v>Yvon</v>
      </c>
      <c r="C88" s="3" t="str">
        <f>IFERROR(__xludf.DUMMYFUNCTION("""COMPUTED_VALUE"""),"États-Unis")</f>
        <v>États-Unis</v>
      </c>
      <c r="D88" s="3">
        <f>IFERROR(__xludf.DUMMYFUNCTION("""COMPUTED_VALUE"""),1938.0)</f>
        <v>1938</v>
      </c>
      <c r="E88" s="3"/>
      <c r="F88" s="3" t="str">
        <f>IFERROR(__xludf.DUMMYFUNCTION("""COMPUTED_VALUE"""),"Pionnier dans l'escalade dans le Yosemite. Fondateur de Chouinard Equipment 
et de Patagonia.")</f>
        <v>Pionnier dans l'escalade dans le Yosemite. Fondateur de Chouinard Equipment 
et de Patagonia.</v>
      </c>
      <c r="G88" s="3"/>
      <c r="H88" s="3"/>
    </row>
    <row r="89">
      <c r="A89" s="3" t="str">
        <f>IFERROR(__xludf.DUMMYFUNCTION("""COMPUTED_VALUE"""),"Clarke")</f>
        <v>Clarke</v>
      </c>
      <c r="B89" s="3" t="str">
        <f>IFERROR(__xludf.DUMMYFUNCTION("""COMPUTED_VALUE"""),"John")</f>
        <v>John</v>
      </c>
      <c r="C89" s="3" t="str">
        <f>IFERROR(__xludf.DUMMYFUNCTION("""COMPUTED_VALUE"""),"Canada")</f>
        <v>Canada</v>
      </c>
      <c r="D89" s="3">
        <f>IFERROR(__xludf.DUMMYFUNCTION("""COMPUTED_VALUE"""),1945.0)</f>
        <v>1945</v>
      </c>
      <c r="E89" s="3">
        <f>IFERROR(__xludf.DUMMYFUNCTION("""COMPUTED_VALUE"""),2003.0)</f>
        <v>2003</v>
      </c>
      <c r="F89" s="3" t="str">
        <f>IFERROR(__xludf.DUMMYFUNCTION("""COMPUTED_VALUE"""),"Explorateur et éducateur sur la vie sauvage. Plus de 600 premières 
ascensions dans la chaîne Côtière en Colombie-Britannique.")</f>
        <v>Explorateur et éducateur sur la vie sauvage. Plus de 600 premières 
ascensions dans la chaîne Côtière en Colombie-Britannique.</v>
      </c>
      <c r="G89" s="3"/>
      <c r="H89" s="3"/>
    </row>
    <row r="90">
      <c r="A90" s="3" t="str">
        <f>IFERROR(__xludf.DUMMYFUNCTION("""COMPUTED_VALUE"""),"Clevenger")</f>
        <v>Clevenger</v>
      </c>
      <c r="B90" s="3" t="str">
        <f>IFERROR(__xludf.DUMMYFUNCTION("""COMPUTED_VALUE"""),"Vern")</f>
        <v>Vern</v>
      </c>
      <c r="C90" s="3" t="str">
        <f>IFERROR(__xludf.DUMMYFUNCTION("""COMPUTED_VALUE"""),"États-Unis")</f>
        <v>États-Unis</v>
      </c>
      <c r="D90" s="3">
        <f>IFERROR(__xludf.DUMMYFUNCTION("""COMPUTED_VALUE"""),1955.0)</f>
        <v>1955</v>
      </c>
      <c r="E90" s="3"/>
      <c r="F90" s="3" t="str">
        <f>IFERROR(__xludf.DUMMYFUNCTION("""COMPUTED_VALUE"""),"Première ascension du Cholatse en 1982. Nombreuses premières ascensions 
dans la Sierra Nevada.")</f>
        <v>Première ascension du Cholatse en 1982. Nombreuses premières ascensions 
dans la Sierra Nevada.</v>
      </c>
      <c r="G90" s="3"/>
      <c r="H90" s="3"/>
    </row>
    <row r="91">
      <c r="A91" s="3" t="str">
        <f>IFERROR(__xludf.DUMMYFUNCTION("""COMPUTED_VALUE"""),"Clough")</f>
        <v>Clough</v>
      </c>
      <c r="B91" s="3" t="str">
        <f>IFERROR(__xludf.DUMMYFUNCTION("""COMPUTED_VALUE"""),"Ian")</f>
        <v>Ian</v>
      </c>
      <c r="C91" s="3" t="str">
        <f>IFERROR(__xludf.DUMMYFUNCTION("""COMPUTED_VALUE"""),"Royaume-Uni")</f>
        <v>Royaume-Uni</v>
      </c>
      <c r="D91" s="3">
        <f>IFERROR(__xludf.DUMMYFUNCTION("""COMPUTED_VALUE"""),1939.0)</f>
        <v>1939</v>
      </c>
      <c r="E91" s="3">
        <f>IFERROR(__xludf.DUMMYFUNCTION("""COMPUTED_VALUE"""),1970.0)</f>
        <v>1970</v>
      </c>
      <c r="F91" s="3" t="str">
        <f>IFERROR(__xludf.DUMMYFUNCTION("""COMPUTED_VALUE"""),"Première ascension de l'Am Buachaille en 1968. Première ascension 
britannique de la face nord de l'Eiger en 1962. Meurt dans l'Annapurna.")</f>
        <v>Première ascension de l'Am Buachaille en 1968. Première ascension 
britannique de la face nord de l'Eiger en 1962. Meurt dans l'Annapurna.</v>
      </c>
      <c r="G91" s="3"/>
      <c r="H91" s="3"/>
    </row>
    <row r="92">
      <c r="A92" s="3" t="str">
        <f>IFERROR(__xludf.DUMMYFUNCTION("""COMPUTED_VALUE"""),"Clyde")</f>
        <v>Clyde</v>
      </c>
      <c r="B92" s="3" t="str">
        <f>IFERROR(__xludf.DUMMYFUNCTION("""COMPUTED_VALUE"""),"Norman")</f>
        <v>Norman</v>
      </c>
      <c r="C92" s="3" t="str">
        <f>IFERROR(__xludf.DUMMYFUNCTION("""COMPUTED_VALUE"""),"États-Unis")</f>
        <v>États-Unis</v>
      </c>
      <c r="D92" s="3">
        <f>IFERROR(__xludf.DUMMYFUNCTION("""COMPUTED_VALUE"""),1886.0)</f>
        <v>1886</v>
      </c>
      <c r="E92" s="3">
        <f>IFERROR(__xludf.DUMMYFUNCTION("""COMPUTED_VALUE"""),1972.0)</f>
        <v>1972</v>
      </c>
      <c r="F92" s="3" t="str">
        <f>IFERROR(__xludf.DUMMYFUNCTION("""COMPUTED_VALUE"""),"Pionnier de la Sierra Nevada[3].")</f>
        <v>Pionnier de la Sierra Nevada[3].</v>
      </c>
      <c r="G92" s="3"/>
      <c r="H92" s="3"/>
    </row>
    <row r="93">
      <c r="A93" s="3" t="str">
        <f>IFERROR(__xludf.DUMMYFUNCTION("""COMPUTED_VALUE"""),"Coaz")</f>
        <v>Coaz</v>
      </c>
      <c r="B93" s="3" t="str">
        <f>IFERROR(__xludf.DUMMYFUNCTION("""COMPUTED_VALUE"""),"Johann")</f>
        <v>Johann</v>
      </c>
      <c r="C93" s="3" t="str">
        <f>IFERROR(__xludf.DUMMYFUNCTION("""COMPUTED_VALUE"""),"Suisse")</f>
        <v>Suisse</v>
      </c>
      <c r="D93" s="3">
        <f>IFERROR(__xludf.DUMMYFUNCTION("""COMPUTED_VALUE"""),1822.0)</f>
        <v>1822</v>
      </c>
      <c r="E93" s="3">
        <f>IFERROR(__xludf.DUMMYFUNCTION("""COMPUTED_VALUE"""),1918.0)</f>
        <v>1918</v>
      </c>
      <c r="F93" s="3" t="str">
        <f>IFERROR(__xludf.DUMMYFUNCTION("""COMPUTED_VALUE"""),"Première ascension du Piz Bernina.")</f>
        <v>Première ascension du Piz Bernina.</v>
      </c>
      <c r="G93" s="3"/>
      <c r="H93" s="3"/>
    </row>
    <row r="94">
      <c r="A94" s="3" t="str">
        <f>IFERROR(__xludf.DUMMYFUNCTION("""COMPUTED_VALUE"""),"Collie")</f>
        <v>Collie</v>
      </c>
      <c r="B94" s="3" t="str">
        <f>IFERROR(__xludf.DUMMYFUNCTION("""COMPUTED_VALUE"""),"John Norman")</f>
        <v>John Norman</v>
      </c>
      <c r="C94" s="3" t="str">
        <f>IFERROR(__xludf.DUMMYFUNCTION("""COMPUTED_VALUE"""),"Royaume-Uni")</f>
        <v>Royaume-Uni</v>
      </c>
      <c r="D94" s="3">
        <f>IFERROR(__xludf.DUMMYFUNCTION("""COMPUTED_VALUE"""),1859.0)</f>
        <v>1859</v>
      </c>
      <c r="E94" s="3">
        <f>IFERROR(__xludf.DUMMYFUNCTION("""COMPUTED_VALUE"""),1942.0)</f>
        <v>1942</v>
      </c>
      <c r="F94" s="3" t="str">
        <f>IFERROR(__xludf.DUMMYFUNCTION("""COMPUTED_VALUE"""),"Première ascension du Tower Ridge au Ben Nevis. Expédition au Nanga Parbat 
en 1895.")</f>
        <v>Première ascension du Tower Ridge au Ben Nevis. Expédition au Nanga Parbat 
en 1895.</v>
      </c>
      <c r="G94" s="3"/>
      <c r="H94" s="3"/>
    </row>
    <row r="95">
      <c r="A95" s="3" t="str">
        <f>IFERROR(__xludf.DUMMYFUNCTION("""COMPUTED_VALUE"""),"Comici")</f>
        <v>Comici</v>
      </c>
      <c r="B95" s="3" t="str">
        <f>IFERROR(__xludf.DUMMYFUNCTION("""COMPUTED_VALUE"""),"Emilio")</f>
        <v>Emilio</v>
      </c>
      <c r="C95" s="3" t="str">
        <f>IFERROR(__xludf.DUMMYFUNCTION("""COMPUTED_VALUE"""),"Italie")</f>
        <v>Italie</v>
      </c>
      <c r="D95" s="3">
        <f>IFERROR(__xludf.DUMMYFUNCTION("""COMPUTED_VALUE"""),1901.0)</f>
        <v>1901</v>
      </c>
      <c r="E95" s="3">
        <f>IFERROR(__xludf.DUMMYFUNCTION("""COMPUTED_VALUE"""),1940.0)</f>
        <v>1940</v>
      </c>
      <c r="F95" s="3" t="str">
        <f>IFERROR(__xludf.DUMMYFUNCTION("""COMPUTED_VALUE"""),"D'abord spéléologue de haut niveau, devient à partir de 1929 un grimpeur 
exceptionnel dans les Dolomites, adepte des ""directissimes"" très souvent 
des premières. A créé la première école d'alpinisme des Dolomites. Se tue 
lors d'un rappel")</f>
        <v>D'abord spéléologue de haut niveau, devient à partir de 1929 un grimpeur 
exceptionnel dans les Dolomites, adepte des "directissimes" très souvent 
des premières. A créé la première école d'alpinisme des Dolomites. Se tue 
lors d'un rappel</v>
      </c>
      <c r="G95" s="3"/>
      <c r="H95" s="3"/>
    </row>
    <row r="96">
      <c r="A96" s="3" t="str">
        <f>IFERROR(__xludf.DUMMYFUNCTION("""COMPUTED_VALUE"""),"Compagnoni")</f>
        <v>Compagnoni</v>
      </c>
      <c r="B96" s="3" t="str">
        <f>IFERROR(__xludf.DUMMYFUNCTION("""COMPUTED_VALUE"""),"Achille")</f>
        <v>Achille</v>
      </c>
      <c r="C96" s="3" t="str">
        <f>IFERROR(__xludf.DUMMYFUNCTION("""COMPUTED_VALUE"""),"Italie")</f>
        <v>Italie</v>
      </c>
      <c r="D96" s="3">
        <f>IFERROR(__xludf.DUMMYFUNCTION("""COMPUTED_VALUE"""),1914.0)</f>
        <v>1914</v>
      </c>
      <c r="E96" s="3">
        <f>IFERROR(__xludf.DUMMYFUNCTION("""COMPUTED_VALUE"""),2009.0)</f>
        <v>2009</v>
      </c>
      <c r="F96" s="3" t="str">
        <f>IFERROR(__xludf.DUMMYFUNCTION("""COMPUTED_VALUE"""),"Première ascension du K2 en 1954 avec Lino Lacedelli.")</f>
        <v>Première ascension du K2 en 1954 avec Lino Lacedelli.</v>
      </c>
      <c r="G96" s="3"/>
      <c r="H96" s="3"/>
    </row>
    <row r="97">
      <c r="A97" s="3" t="str">
        <f>IFERROR(__xludf.DUMMYFUNCTION("""COMPUTED_VALUE"""),"Contamine")</f>
        <v>Contamine</v>
      </c>
      <c r="B97" s="3" t="str">
        <f>IFERROR(__xludf.DUMMYFUNCTION("""COMPUTED_VALUE"""),"André")</f>
        <v>André</v>
      </c>
      <c r="C97" s="3" t="str">
        <f>IFERROR(__xludf.DUMMYFUNCTION("""COMPUTED_VALUE"""),"France")</f>
        <v>France</v>
      </c>
      <c r="D97" s="3">
        <f>IFERROR(__xludf.DUMMYFUNCTION("""COMPUTED_VALUE"""),1919.0)</f>
        <v>1919</v>
      </c>
      <c r="E97" s="3">
        <f>IFERROR(__xludf.DUMMYFUNCTION("""COMPUTED_VALUE"""),1985.0)</f>
        <v>1985</v>
      </c>
      <c r="F97" s="3" t="str">
        <f>IFERROR(__xludf.DUMMYFUNCTION("""COMPUTED_VALUE"""),"Nombreuses premières dans les Alpes")</f>
        <v>Nombreuses premières dans les Alpes</v>
      </c>
      <c r="G97" s="3"/>
      <c r="H97" s="3"/>
    </row>
    <row r="98">
      <c r="A98" s="3" t="str">
        <f>IFERROR(__xludf.DUMMYFUNCTION("""COMPUTED_VALUE"""),"Conway")</f>
        <v>Conway</v>
      </c>
      <c r="B98" s="3" t="str">
        <f>IFERROR(__xludf.DUMMYFUNCTION("""COMPUTED_VALUE"""),"William Martin")</f>
        <v>William Martin</v>
      </c>
      <c r="C98" s="3" t="str">
        <f>IFERROR(__xludf.DUMMYFUNCTION("""COMPUTED_VALUE"""),"Royaume-Uni")</f>
        <v>Royaume-Uni</v>
      </c>
      <c r="D98" s="3">
        <f>IFERROR(__xludf.DUMMYFUNCTION("""COMPUTED_VALUE"""),1856.0)</f>
        <v>1856</v>
      </c>
      <c r="E98" s="3">
        <f>IFERROR(__xludf.DUMMYFUNCTION("""COMPUTED_VALUE"""),1937.0)</f>
        <v>1937</v>
      </c>
      <c r="F98" s="3" t="str">
        <f>IFERROR(__xludf.DUMMYFUNCTION("""COMPUTED_VALUE"""),"Explorateur (Karakoram, Spitzberg, Andes &amp; Alpes).")</f>
        <v>Explorateur (Karakoram, Spitzberg, Andes &amp; Alpes).</v>
      </c>
      <c r="G98" s="3"/>
      <c r="H98" s="3"/>
    </row>
    <row r="99">
      <c r="A99" s="3" t="str">
        <f>IFERROR(__xludf.DUMMYFUNCTION("""COMPUTED_VALUE"""),"Cordier")</f>
        <v>Cordier</v>
      </c>
      <c r="B99" s="3" t="str">
        <f>IFERROR(__xludf.DUMMYFUNCTION("""COMPUTED_VALUE"""),"Henri")</f>
        <v>Henri</v>
      </c>
      <c r="C99" s="3" t="str">
        <f>IFERROR(__xludf.DUMMYFUNCTION("""COMPUTED_VALUE"""),"France")</f>
        <v>France</v>
      </c>
      <c r="D99" s="3">
        <f>IFERROR(__xludf.DUMMYFUNCTION("""COMPUTED_VALUE"""),1856.0)</f>
        <v>1856</v>
      </c>
      <c r="E99" s="3">
        <f>IFERROR(__xludf.DUMMYFUNCTION("""COMPUTED_VALUE"""),1877.0)</f>
        <v>1877</v>
      </c>
      <c r="F99" s="3" t="str">
        <f>IFERROR(__xludf.DUMMYFUNCTION("""COMPUTED_VALUE"""),"Réalisation avec ses guides de premières importantes dans le massif du 
Mont-Blanc et dans les Alpes du Dauphiné, a donné son nom au couloir 
Cordier à l'aiguille Verte et au Pic de Neige Cordier.")</f>
        <v>Réalisation avec ses guides de premières importantes dans le massif du 
Mont-Blanc et dans les Alpes du Dauphiné, a donné son nom au couloir 
Cordier à l'aiguille Verte et au Pic de Neige Cordier.</v>
      </c>
      <c r="G99" s="3"/>
      <c r="H99" s="3"/>
    </row>
    <row r="100">
      <c r="A100" s="3" t="str">
        <f>IFERROR(__xludf.DUMMYFUNCTION("""COMPUTED_VALUE"""),"Cordier")</f>
        <v>Cordier</v>
      </c>
      <c r="B100" s="3" t="str">
        <f>IFERROR(__xludf.DUMMYFUNCTION("""COMPUTED_VALUE"""),"Patrick")</f>
        <v>Patrick</v>
      </c>
      <c r="C100" s="3" t="str">
        <f>IFERROR(__xludf.DUMMYFUNCTION("""COMPUTED_VALUE"""),"France")</f>
        <v>France</v>
      </c>
      <c r="D100" s="3">
        <f>IFERROR(__xludf.DUMMYFUNCTION("""COMPUTED_VALUE"""),1946.0)</f>
        <v>1946</v>
      </c>
      <c r="E100" s="3">
        <f>IFERROR(__xludf.DUMMYFUNCTION("""COMPUTED_VALUE"""),1996.0)</f>
        <v>1996</v>
      </c>
      <c r="F100" s="3" t="str">
        <f>IFERROR(__xludf.DUMMYFUNCTION("""COMPUTED_VALUE"""),"Première ascension de la directe française sur le Troll Wall en Norvège en 
1967. Ascension en solo du Nose sur El Capitan en 1973. Premières 
ascensions dans le massif du Mont-Blanc.")</f>
        <v>Première ascension de la directe française sur le Troll Wall en Norvège en 
1967. Ascension en solo du Nose sur El Capitan en 1973. Premières 
ascensions dans le massif du Mont-Blanc.</v>
      </c>
      <c r="G100" s="3"/>
      <c r="H100" s="3"/>
    </row>
    <row r="101">
      <c r="A101" s="3" t="str">
        <f>IFERROR(__xludf.DUMMYFUNCTION("""COMPUTED_VALUE"""),"Cool")</f>
        <v>Cool</v>
      </c>
      <c r="B101" s="3" t="str">
        <f>IFERROR(__xludf.DUMMYFUNCTION("""COMPUTED_VALUE"""),"Kenton")</f>
        <v>Kenton</v>
      </c>
      <c r="C101" s="3" t="str">
        <f>IFERROR(__xludf.DUMMYFUNCTION("""COMPUTED_VALUE"""),"Royaume-Uni")</f>
        <v>Royaume-Uni</v>
      </c>
      <c r="D101" s="3">
        <f>IFERROR(__xludf.DUMMYFUNCTION("""COMPUTED_VALUE"""),1973.0)</f>
        <v>1973</v>
      </c>
      <c r="E101" s="3"/>
      <c r="F101" s="3" t="str">
        <f>IFERROR(__xludf.DUMMYFUNCTION("""COMPUTED_VALUE"""),"Dix fois le sommet de l'Everest.")</f>
        <v>Dix fois le sommet de l'Everest.</v>
      </c>
      <c r="G101" s="3"/>
      <c r="H101" s="3"/>
    </row>
    <row r="102">
      <c r="A102" s="3" t="str">
        <f>IFERROR(__xludf.DUMMYFUNCTION("""COMPUTED_VALUE"""),"Coolidge")</f>
        <v>Coolidge</v>
      </c>
      <c r="B102" s="3" t="str">
        <f>IFERROR(__xludf.DUMMYFUNCTION("""COMPUTED_VALUE"""),"William August")</f>
        <v>William August</v>
      </c>
      <c r="C102" s="3" t="str">
        <f>IFERROR(__xludf.DUMMYFUNCTION("""COMPUTED_VALUE"""),"États-Unis")</f>
        <v>États-Unis</v>
      </c>
      <c r="D102" s="3">
        <f>IFERROR(__xludf.DUMMYFUNCTION("""COMPUTED_VALUE"""),1850.0)</f>
        <v>1850</v>
      </c>
      <c r="E102" s="3">
        <f>IFERROR(__xludf.DUMMYFUNCTION("""COMPUTED_VALUE"""),1926.0)</f>
        <v>1926</v>
      </c>
      <c r="F102" s="3" t="str">
        <f>IFERROR(__xludf.DUMMYFUNCTION("""COMPUTED_VALUE"""),"1700 expéditions dans les Alpes.")</f>
        <v>1700 expéditions dans les Alpes.</v>
      </c>
      <c r="G102" s="3"/>
      <c r="H102" s="3"/>
    </row>
    <row r="103">
      <c r="A103" s="3" t="str">
        <f>IFERROR(__xludf.DUMMYFUNCTION("""COMPUTED_VALUE"""),"Corax")</f>
        <v>Corax</v>
      </c>
      <c r="B103" s="3" t="str">
        <f>IFERROR(__xludf.DUMMYFUNCTION("""COMPUTED_VALUE"""),"Janne")</f>
        <v>Janne</v>
      </c>
      <c r="C103" s="3" t="str">
        <f>IFERROR(__xludf.DUMMYFUNCTION("""COMPUTED_VALUE"""),"Suède")</f>
        <v>Suède</v>
      </c>
      <c r="D103" s="3">
        <f>IFERROR(__xludf.DUMMYFUNCTION("""COMPUTED_VALUE"""),1967.0)</f>
        <v>1967</v>
      </c>
      <c r="E103" s="3"/>
      <c r="F103" s="3" t="str">
        <f>IFERROR(__xludf.DUMMYFUNCTION("""COMPUTED_VALUE"""),"Aventurier et grimpeur.")</f>
        <v>Aventurier et grimpeur.</v>
      </c>
      <c r="G103" s="3"/>
      <c r="H103" s="3"/>
    </row>
    <row r="104">
      <c r="A104" s="3" t="str">
        <f>IFERROR(__xludf.DUMMYFUNCTION("""COMPUTED_VALUE"""),"Cousin")</f>
        <v>Cousin</v>
      </c>
      <c r="B104" s="3" t="str">
        <f>IFERROR(__xludf.DUMMYFUNCTION("""COMPUTED_VALUE"""),"Christian")</f>
        <v>Christian</v>
      </c>
      <c r="C104" s="3" t="str">
        <f>IFERROR(__xludf.DUMMYFUNCTION("""COMPUTED_VALUE"""),"France")</f>
        <v>France</v>
      </c>
      <c r="D104" s="3">
        <f>IFERROR(__xludf.DUMMYFUNCTION("""COMPUTED_VALUE"""),1957.0)</f>
        <v>1957</v>
      </c>
      <c r="E104" s="3"/>
      <c r="F104" s="3" t="str">
        <f>IFERROR(__xludf.DUMMYFUNCTION("""COMPUTED_VALUE"""),"Hivernale Cima Presanella (Dolomites)")</f>
        <v>Hivernale Cima Presanella (Dolomites)</v>
      </c>
      <c r="G104" s="3"/>
      <c r="H104" s="3"/>
    </row>
    <row r="105">
      <c r="A105" s="3" t="str">
        <f>IFERROR(__xludf.DUMMYFUNCTION("""COMPUTED_VALUE"""),"Couzy")</f>
        <v>Couzy</v>
      </c>
      <c r="B105" s="3" t="str">
        <f>IFERROR(__xludf.DUMMYFUNCTION("""COMPUTED_VALUE"""),"Jean")</f>
        <v>Jean</v>
      </c>
      <c r="C105" s="3" t="str">
        <f>IFERROR(__xludf.DUMMYFUNCTION("""COMPUTED_VALUE"""),"France")</f>
        <v>France</v>
      </c>
      <c r="D105" s="3">
        <f>IFERROR(__xludf.DUMMYFUNCTION("""COMPUTED_VALUE"""),1955.0)</f>
        <v>1955</v>
      </c>
      <c r="E105" s="3"/>
      <c r="F105" s="3" t="str">
        <f>IFERROR(__xludf.DUMMYFUNCTION("""COMPUTED_VALUE"""),"Première ascension du Makalu avec Lionel Terray.")</f>
        <v>Première ascension du Makalu avec Lionel Terray.</v>
      </c>
      <c r="G105" s="3"/>
      <c r="H105" s="3"/>
    </row>
    <row r="106">
      <c r="A106" s="3" t="str">
        <f>IFERROR(__xludf.DUMMYFUNCTION("""COMPUTED_VALUE"""),"Creamer")</f>
        <v>Creamer</v>
      </c>
      <c r="B106" s="3" t="str">
        <f>IFERROR(__xludf.DUMMYFUNCTION("""COMPUTED_VALUE"""),"Lucy")</f>
        <v>Lucy</v>
      </c>
      <c r="C106" s="3" t="str">
        <f>IFERROR(__xludf.DUMMYFUNCTION("""COMPUTED_VALUE"""),"Royaume-Uni")</f>
        <v>Royaume-Uni</v>
      </c>
      <c r="D106" s="3">
        <f>IFERROR(__xludf.DUMMYFUNCTION("""COMPUTED_VALUE"""),1971.0)</f>
        <v>1971</v>
      </c>
      <c r="E106" s="3"/>
      <c r="F106" s="3" t="str">
        <f>IFERROR(__xludf.DUMMYFUNCTION("""COMPUTED_VALUE"""),"Championne d'escalade britannique.")</f>
        <v>Championne d'escalade britannique.</v>
      </c>
      <c r="G106" s="3"/>
      <c r="H106" s="3"/>
    </row>
    <row r="107">
      <c r="A107" s="3" t="str">
        <f>IFERROR(__xludf.DUMMYFUNCTION("""COMPUTED_VALUE"""),"Crowley")</f>
        <v>Crowley</v>
      </c>
      <c r="B107" s="3" t="str">
        <f>IFERROR(__xludf.DUMMYFUNCTION("""COMPUTED_VALUE"""),"Aleister")</f>
        <v>Aleister</v>
      </c>
      <c r="C107" s="3" t="str">
        <f>IFERROR(__xludf.DUMMYFUNCTION("""COMPUTED_VALUE"""),"Royaume-Uni")</f>
        <v>Royaume-Uni</v>
      </c>
      <c r="D107" s="3">
        <f>IFERROR(__xludf.DUMMYFUNCTION("""COMPUTED_VALUE"""),1875.0)</f>
        <v>1875</v>
      </c>
      <c r="E107" s="3">
        <f>IFERROR(__xludf.DUMMYFUNCTION("""COMPUTED_VALUE"""),1947.0)</f>
        <v>1947</v>
      </c>
      <c r="F107" s="3" t="str">
        <f>IFERROR(__xludf.DUMMYFUNCTION("""COMPUTED_VALUE"""),"Occultiste, écrivain et grimpeur. Dirige des expéditions au K2 et au 
Kangchenjunga.")</f>
        <v>Occultiste, écrivain et grimpeur. Dirige des expéditions au K2 et au 
Kangchenjunga.</v>
      </c>
      <c r="G107" s="3"/>
      <c r="H107" s="3"/>
    </row>
    <row r="108">
      <c r="A108" s="3" t="str">
        <f>IFERROR(__xludf.DUMMYFUNCTION("""COMPUTED_VALUE"""),"Croz")</f>
        <v>Croz</v>
      </c>
      <c r="B108" s="3" t="str">
        <f>IFERROR(__xludf.DUMMYFUNCTION("""COMPUTED_VALUE"""),"Michel")</f>
        <v>Michel</v>
      </c>
      <c r="C108" s="3" t="str">
        <f>IFERROR(__xludf.DUMMYFUNCTION("""COMPUTED_VALUE"""),"France")</f>
        <v>France</v>
      </c>
      <c r="D108" s="3">
        <f>IFERROR(__xludf.DUMMYFUNCTION("""COMPUTED_VALUE"""),1830.0)</f>
        <v>1830</v>
      </c>
      <c r="E108" s="3">
        <f>IFERROR(__xludf.DUMMYFUNCTION("""COMPUTED_VALUE"""),1865.0)</f>
        <v>1865</v>
      </c>
      <c r="F108" s="3" t="str">
        <f>IFERROR(__xludf.DUMMYFUNCTION("""COMPUTED_VALUE"""),"Nombreuses premières ascensions. Meurt dans la descente de la première 
ascension du Cervin.")</f>
        <v>Nombreuses premières ascensions. Meurt dans la descente de la première 
ascension du Cervin.</v>
      </c>
      <c r="G108" s="3"/>
      <c r="H108" s="3"/>
    </row>
    <row r="109">
      <c r="A109" s="3" t="str">
        <f>IFERROR(__xludf.DUMMYFUNCTION("""COMPUTED_VALUE"""),"Cunningham")</f>
        <v>Cunningham</v>
      </c>
      <c r="B109" s="3" t="str">
        <f>IFERROR(__xludf.DUMMYFUNCTION("""COMPUTED_VALUE"""),"John")</f>
        <v>John</v>
      </c>
      <c r="C109" s="3" t="str">
        <f>IFERROR(__xludf.DUMMYFUNCTION("""COMPUTED_VALUE"""),"Royaume-Uni")</f>
        <v>Royaume-Uni</v>
      </c>
      <c r="D109" s="3">
        <f>IFERROR(__xludf.DUMMYFUNCTION("""COMPUTED_VALUE"""),1927.0)</f>
        <v>1927</v>
      </c>
      <c r="E109" s="3">
        <f>IFERROR(__xludf.DUMMYFUNCTION("""COMPUTED_VALUE"""),1980.0)</f>
        <v>1980</v>
      </c>
      <c r="F109" s="3" t="str">
        <f>IFERROR(__xludf.DUMMYFUNCTION("""COMPUTED_VALUE"""),"Pionnier de nouvelles techniques d'escalade glaciaire.")</f>
        <v>Pionnier de nouvelles techniques d'escalade glaciaire.</v>
      </c>
      <c r="G109" s="3"/>
      <c r="H109" s="3"/>
    </row>
    <row r="110">
      <c r="A110" s="3" t="str">
        <f>IFERROR(__xludf.DUMMYFUNCTION("""COMPUTED_VALUE"""),"Czerwińska")</f>
        <v>Czerwińska</v>
      </c>
      <c r="B110" s="3" t="str">
        <f>IFERROR(__xludf.DUMMYFUNCTION("""COMPUTED_VALUE"""),"Anna")</f>
        <v>Anna</v>
      </c>
      <c r="C110" s="3" t="str">
        <f>IFERROR(__xludf.DUMMYFUNCTION("""COMPUTED_VALUE"""),"Pologne")</f>
        <v>Pologne</v>
      </c>
      <c r="D110" s="3">
        <f>IFERROR(__xludf.DUMMYFUNCTION("""COMPUTED_VALUE"""),1949.0)</f>
        <v>1949</v>
      </c>
      <c r="E110" s="3"/>
      <c r="F110" s="3" t="str">
        <f>IFERROR(__xludf.DUMMYFUNCTION("""COMPUTED_VALUE"""),"Ascension de l'Everest par la femme la plus âgée (50 ans à ce moment), 
première polonaise à réaliser les Sept Sommets.")</f>
        <v>Ascension de l'Everest par la femme la plus âgée (50 ans à ce moment), 
première polonaise à réaliser les Sept Sommets.</v>
      </c>
      <c r="G110" s="3"/>
      <c r="H110" s="3"/>
    </row>
    <row r="111">
      <c r="A111" s="3" t="str">
        <f>IFERROR(__xludf.DUMMYFUNCTION("""COMPUTED_VALUE"""),"Darbellay")</f>
        <v>Darbellay</v>
      </c>
      <c r="B111" s="3" t="str">
        <f>IFERROR(__xludf.DUMMYFUNCTION("""COMPUTED_VALUE"""),"Michel")</f>
        <v>Michel</v>
      </c>
      <c r="C111" s="3" t="str">
        <f>IFERROR(__xludf.DUMMYFUNCTION("""COMPUTED_VALUE"""),"Suisse")</f>
        <v>Suisse</v>
      </c>
      <c r="D111" s="3">
        <f>IFERROR(__xludf.DUMMYFUNCTION("""COMPUTED_VALUE"""),1934.0)</f>
        <v>1934</v>
      </c>
      <c r="E111" s="3"/>
      <c r="F111" s="3" t="str">
        <f>IFERROR(__xludf.DUMMYFUNCTION("""COMPUTED_VALUE"""),"Première ascension en solitaire de la face nord de l'Eiger.")</f>
        <v>Première ascension en solitaire de la face nord de l'Eiger.</v>
      </c>
      <c r="G111" s="3"/>
      <c r="H111" s="3"/>
    </row>
    <row r="112">
      <c r="A112" s="3" t="str">
        <f>IFERROR(__xludf.DUMMYFUNCTION("""COMPUTED_VALUE"""),"Daudet")</f>
        <v>Daudet</v>
      </c>
      <c r="B112" s="3" t="str">
        <f>IFERROR(__xludf.DUMMYFUNCTION("""COMPUTED_VALUE"""),"Lionel")</f>
        <v>Lionel</v>
      </c>
      <c r="C112" s="3" t="str">
        <f>IFERROR(__xludf.DUMMYFUNCTION("""COMPUTED_VALUE"""),"France")</f>
        <v>France</v>
      </c>
      <c r="D112" s="3">
        <f>IFERROR(__xludf.DUMMYFUNCTION("""COMPUTED_VALUE"""),1968.0)</f>
        <v>1968</v>
      </c>
      <c r="E112" s="3"/>
      <c r="F112" s="3" t="str">
        <f>IFERROR(__xludf.DUMMYFUNCTION("""COMPUTED_VALUE"""),"Première traversée du mont Ross en 2006.")</f>
        <v>Première traversée du mont Ross en 2006.</v>
      </c>
      <c r="G112" s="3"/>
      <c r="H112" s="3"/>
    </row>
    <row r="113">
      <c r="A113" s="3" t="str">
        <f>IFERROR(__xludf.DUMMYFUNCTION("""COMPUTED_VALUE"""),"Davis")</f>
        <v>Davis</v>
      </c>
      <c r="B113" s="3" t="str">
        <f>IFERROR(__xludf.DUMMYFUNCTION("""COMPUTED_VALUE"""),"Steph")</f>
        <v>Steph</v>
      </c>
      <c r="C113" s="3" t="str">
        <f>IFERROR(__xludf.DUMMYFUNCTION("""COMPUTED_VALUE"""),"États-Unis")</f>
        <v>États-Unis</v>
      </c>
      <c r="D113" s="3">
        <f>IFERROR(__xludf.DUMMYFUNCTION("""COMPUTED_VALUE"""),1973.0)</f>
        <v>1973</v>
      </c>
      <c r="E113" s="3"/>
      <c r="F113" s="3" t="str">
        <f>IFERROR(__xludf.DUMMYFUNCTION("""COMPUTED_VALUE"""),"Deuxième femme à escalader El Capitan en une journée.")</f>
        <v>Deuxième femme à escalader El Capitan en une journée.</v>
      </c>
      <c r="G113" s="3"/>
      <c r="H113" s="3"/>
    </row>
    <row r="114">
      <c r="A114" s="3" t="str">
        <f>IFERROR(__xludf.DUMMYFUNCTION("""COMPUTED_VALUE"""),"Dawes")</f>
        <v>Dawes</v>
      </c>
      <c r="B114" s="3" t="str">
        <f>IFERROR(__xludf.DUMMYFUNCTION("""COMPUTED_VALUE"""),"Johnny")</f>
        <v>Johnny</v>
      </c>
      <c r="C114" s="3" t="str">
        <f>IFERROR(__xludf.DUMMYFUNCTION("""COMPUTED_VALUE"""),"Royaume-Uni")</f>
        <v>Royaume-Uni</v>
      </c>
      <c r="D114" s="3">
        <f>IFERROR(__xludf.DUMMYFUNCTION("""COMPUTED_VALUE"""),1964.0)</f>
        <v>1964</v>
      </c>
      <c r="E114" s="3"/>
      <c r="F114" s="3" t="str">
        <f>IFERROR(__xludf.DUMMYFUNCTION("""COMPUTED_VALUE"""),"Escalade. Introduit deux niveaux supplémentaires dans le système 
britannique de cotation")</f>
        <v>Escalade. Introduit deux niveaux supplémentaires dans le système 
britannique de cotation</v>
      </c>
      <c r="G114" s="3"/>
      <c r="H114" s="3"/>
    </row>
    <row r="115">
      <c r="A115" s="3" t="str">
        <f>IFERROR(__xludf.DUMMYFUNCTION("""COMPUTED_VALUE"""),"Delgado")</f>
        <v>Delgado</v>
      </c>
      <c r="B115" s="3" t="str">
        <f>IFERROR(__xludf.DUMMYFUNCTION("""COMPUTED_VALUE"""),"José Antonio")</f>
        <v>José Antonio</v>
      </c>
      <c r="C115" s="3" t="str">
        <f>IFERROR(__xludf.DUMMYFUNCTION("""COMPUTED_VALUE"""),"Venezuela")</f>
        <v>Venezuela</v>
      </c>
      <c r="D115" s="3">
        <f>IFERROR(__xludf.DUMMYFUNCTION("""COMPUTED_VALUE"""),1965.0)</f>
        <v>1965</v>
      </c>
      <c r="E115" s="3">
        <f>IFERROR(__xludf.DUMMYFUNCTION("""COMPUTED_VALUE"""),2006.0)</f>
        <v>2006</v>
      </c>
      <c r="F115" s="3" t="str">
        <f>IFERROR(__xludf.DUMMYFUNCTION("""COMPUTED_VALUE"""),"Cinq sommets de plus de 8 000 mètres d'altitude entre 1994 et 2006. Meurt 
sur le Nanga Parbat.")</f>
        <v>Cinq sommets de plus de 8 000 mètres d'altitude entre 1994 et 2006. Meurt 
sur le Nanga Parbat.</v>
      </c>
      <c r="G115" s="3"/>
      <c r="H115" s="3"/>
    </row>
    <row r="116">
      <c r="A116" s="3" t="str">
        <f>IFERROR(__xludf.DUMMYFUNCTION("""COMPUTED_VALUE"""),"de Grunne")</f>
        <v>de Grunne</v>
      </c>
      <c r="B116" s="3" t="str">
        <f>IFERROR(__xludf.DUMMYFUNCTION("""COMPUTED_VALUE"""),"Xavier")</f>
        <v>Xavier</v>
      </c>
      <c r="C116" s="3" t="str">
        <f>IFERROR(__xludf.DUMMYFUNCTION("""COMPUTED_VALUE"""),"Belgique")</f>
        <v>Belgique</v>
      </c>
      <c r="D116" s="3">
        <f>IFERROR(__xludf.DUMMYFUNCTION("""COMPUTED_VALUE"""),1894.0)</f>
        <v>1894</v>
      </c>
      <c r="E116" s="3">
        <f>IFERROR(__xludf.DUMMYFUNCTION("""COMPUTED_VALUE"""),1944.0)</f>
        <v>1944</v>
      </c>
      <c r="F116" s="3" t="str">
        <f>IFERROR(__xludf.DUMMYFUNCTION("""COMPUTED_VALUE"""),"Pionnier de l'escalade en Belgique. Ascension du Pic Marguerite (mont 
Stanley) et du Kraepelin au Ruwenzori")</f>
        <v>Pionnier de l'escalade en Belgique. Ascension du Pic Marguerite (mont 
Stanley) et du Kraepelin au Ruwenzori</v>
      </c>
      <c r="G116" s="3"/>
      <c r="H116" s="3"/>
    </row>
    <row r="117">
      <c r="A117" s="3" t="str">
        <f>IFERROR(__xludf.DUMMYFUNCTION("""COMPUTED_VALUE"""),"de Saxe- Cobourg et Gotha")</f>
        <v>de Saxe- Cobourg et Gotha</v>
      </c>
      <c r="B117" s="3" t="str">
        <f>IFERROR(__xludf.DUMMYFUNCTION("""COMPUTED_VALUE"""),"Albert Ier")</f>
        <v>Albert Ier</v>
      </c>
      <c r="C117" s="3" t="str">
        <f>IFERROR(__xludf.DUMMYFUNCTION("""COMPUTED_VALUE"""),"Belgique")</f>
        <v>Belgique</v>
      </c>
      <c r="D117" s="3">
        <f>IFERROR(__xludf.DUMMYFUNCTION("""COMPUTED_VALUE"""),1875.0)</f>
        <v>1875</v>
      </c>
      <c r="E117" s="3">
        <f>IFERROR(__xludf.DUMMYFUNCTION("""COMPUTED_VALUE"""),1934.0)</f>
        <v>1934</v>
      </c>
      <c r="F117" s="3" t="str">
        <f>IFERROR(__xludf.DUMMYFUNCTION("""COMPUTED_VALUE"""),"Pionnier de l'escalade en Belgique. Ascensions dans les Dolomites et dans 
le massif du Mont-Blanc. Décédé en faisant de l'escalade")</f>
        <v>Pionnier de l'escalade en Belgique. Ascensions dans les Dolomites et dans 
le massif du Mont-Blanc. Décédé en faisant de l'escalade</v>
      </c>
      <c r="G117" s="3"/>
      <c r="H117" s="3"/>
    </row>
    <row r="118">
      <c r="A118" s="3" t="str">
        <f>IFERROR(__xludf.DUMMYFUNCTION("""COMPUTED_VALUE"""),"de Saxe- Cobourg et Gotha")</f>
        <v>de Saxe- Cobourg et Gotha</v>
      </c>
      <c r="B118" s="3" t="str">
        <f>IFERROR(__xludf.DUMMYFUNCTION("""COMPUTED_VALUE"""),"Léopold III")</f>
        <v>Léopold III</v>
      </c>
      <c r="C118" s="3" t="str">
        <f>IFERROR(__xludf.DUMMYFUNCTION("""COMPUTED_VALUE"""),"Belgique")</f>
        <v>Belgique</v>
      </c>
      <c r="D118" s="3">
        <f>IFERROR(__xludf.DUMMYFUNCTION("""COMPUTED_VALUE"""),1901.0)</f>
        <v>1901</v>
      </c>
      <c r="E118" s="3">
        <f>IFERROR(__xludf.DUMMYFUNCTION("""COMPUTED_VALUE"""),1983.0)</f>
        <v>1983</v>
      </c>
      <c r="F118" s="3" t="str">
        <f>IFERROR(__xludf.DUMMYFUNCTION("""COMPUTED_VALUE"""),"Pionnier de l'escalade en Belgique. Ascensions dans les Dolomites et dans 
le massif du Mont-Blanc")</f>
        <v>Pionnier de l'escalade en Belgique. Ascensions dans les Dolomites et dans 
le massif du Mont-Blanc</v>
      </c>
      <c r="G118" s="3"/>
      <c r="H118" s="3"/>
    </row>
    <row r="119">
      <c r="A119" s="3" t="str">
        <f>IFERROR(__xludf.DUMMYFUNCTION("""COMPUTED_VALUE"""),"Dent")</f>
        <v>Dent</v>
      </c>
      <c r="B119" s="3" t="str">
        <f>IFERROR(__xludf.DUMMYFUNCTION("""COMPUTED_VALUE"""),"Clinton Thomas")</f>
        <v>Clinton Thomas</v>
      </c>
      <c r="C119" s="3" t="str">
        <f>IFERROR(__xludf.DUMMYFUNCTION("""COMPUTED_VALUE"""),"Royaume-Uni")</f>
        <v>Royaume-Uni</v>
      </c>
      <c r="D119" s="3">
        <f>IFERROR(__xludf.DUMMYFUNCTION("""COMPUTED_VALUE"""),1850.0)</f>
        <v>1850</v>
      </c>
      <c r="E119" s="3">
        <f>IFERROR(__xludf.DUMMYFUNCTION("""COMPUTED_VALUE"""),1912.0)</f>
        <v>1912</v>
      </c>
      <c r="F119" s="3" t="str">
        <f>IFERROR(__xludf.DUMMYFUNCTION("""COMPUTED_VALUE"""),"Caucase, Alpes, première ascension du Lenzspitze en 1870, Aiguille du Dru 
en 1878.")</f>
        <v>Caucase, Alpes, première ascension du Lenzspitze en 1870, Aiguille du Dru 
en 1878.</v>
      </c>
      <c r="G119" s="3"/>
      <c r="H119" s="3"/>
    </row>
    <row r="120">
      <c r="A120" s="3" t="str">
        <f>IFERROR(__xludf.DUMMYFUNCTION("""COMPUTED_VALUE"""),"Destivelle")</f>
        <v>Destivelle</v>
      </c>
      <c r="B120" s="3" t="str">
        <f>IFERROR(__xludf.DUMMYFUNCTION("""COMPUTED_VALUE"""),"Catherine")</f>
        <v>Catherine</v>
      </c>
      <c r="C120" s="3" t="str">
        <f>IFERROR(__xludf.DUMMYFUNCTION("""COMPUTED_VALUE"""),"France")</f>
        <v>France</v>
      </c>
      <c r="D120" s="3">
        <f>IFERROR(__xludf.DUMMYFUNCTION("""COMPUTED_VALUE"""),1960.0)</f>
        <v>1960</v>
      </c>
      <c r="E120" s="3"/>
      <c r="F120" s="3" t="str">
        <f>IFERROR(__xludf.DUMMYFUNCTION("""COMPUTED_VALUE"""),"Première femme réalisant en solo la face nord de l'Eiger en hivernal.")</f>
        <v>Première femme réalisant en solo la face nord de l'Eiger en hivernal.</v>
      </c>
      <c r="G120" s="3"/>
      <c r="H120" s="3"/>
    </row>
    <row r="121">
      <c r="A121" s="3" t="str">
        <f>IFERROR(__xludf.DUMMYFUNCTION("""COMPUTED_VALUE"""),"Desio")</f>
        <v>Desio</v>
      </c>
      <c r="B121" s="3" t="str">
        <f>IFERROR(__xludf.DUMMYFUNCTION("""COMPUTED_VALUE"""),"Ardito")</f>
        <v>Ardito</v>
      </c>
      <c r="C121" s="3" t="str">
        <f>IFERROR(__xludf.DUMMYFUNCTION("""COMPUTED_VALUE"""),"Italie")</f>
        <v>Italie</v>
      </c>
      <c r="D121" s="3">
        <f>IFERROR(__xludf.DUMMYFUNCTION("""COMPUTED_VALUE"""),1897.0)</f>
        <v>1897</v>
      </c>
      <c r="E121" s="3">
        <f>IFERROR(__xludf.DUMMYFUNCTION("""COMPUTED_VALUE"""),2001.0)</f>
        <v>2001</v>
      </c>
      <c r="F121" s="3" t="str">
        <f>IFERROR(__xludf.DUMMYFUNCTION("""COMPUTED_VALUE"""),"Géologue et alpiniste. Dirige la première expédition pour l'ascension du K2 
en 1954.")</f>
        <v>Géologue et alpiniste. Dirige la première expédition pour l'ascension du K2 
en 1954.</v>
      </c>
      <c r="G121" s="3"/>
      <c r="H121" s="3"/>
    </row>
    <row r="122">
      <c r="A122" s="3" t="str">
        <f>IFERROR(__xludf.DUMMYFUNCTION("""COMPUTED_VALUE"""),"Desmaison")</f>
        <v>Desmaison</v>
      </c>
      <c r="B122" s="3" t="str">
        <f>IFERROR(__xludf.DUMMYFUNCTION("""COMPUTED_VALUE"""),"René")</f>
        <v>René</v>
      </c>
      <c r="C122" s="3" t="str">
        <f>IFERROR(__xludf.DUMMYFUNCTION("""COMPUTED_VALUE"""),"France")</f>
        <v>France</v>
      </c>
      <c r="D122" s="3">
        <f>IFERROR(__xludf.DUMMYFUNCTION("""COMPUTED_VALUE"""),1930.0)</f>
        <v>1930</v>
      </c>
      <c r="E122" s="3">
        <f>IFERROR(__xludf.DUMMYFUNCTION("""COMPUTED_VALUE"""),2007.0)</f>
        <v>2007</v>
      </c>
      <c r="F122" s="3" t="str">
        <f>IFERROR(__xludf.DUMMYFUNCTION("""COMPUTED_VALUE"""),"Nombreuses premières ascensions de grande difficulté dans les Alpes, l'
Himalaya et les Andes. Alpiniste très médiatisé, il est impliqué dans 
plusieurs polémiques.")</f>
        <v>Nombreuses premières ascensions de grande difficulté dans les Alpes, l'
Himalaya et les Andes. Alpiniste très médiatisé, il est impliqué dans 
plusieurs polémiques.</v>
      </c>
      <c r="G122" s="3"/>
      <c r="H122" s="3"/>
    </row>
    <row r="123">
      <c r="A123" s="3" t="str">
        <f>IFERROR(__xludf.DUMMYFUNCTION("""COMPUTED_VALUE"""),"Devies")</f>
        <v>Devies</v>
      </c>
      <c r="B123" s="3" t="str">
        <f>IFERROR(__xludf.DUMMYFUNCTION("""COMPUTED_VALUE"""),"Lucien")</f>
        <v>Lucien</v>
      </c>
      <c r="C123" s="3" t="str">
        <f>IFERROR(__xludf.DUMMYFUNCTION("""COMPUTED_VALUE"""),"France")</f>
        <v>France</v>
      </c>
      <c r="D123" s="3">
        <f>IFERROR(__xludf.DUMMYFUNCTION("""COMPUTED_VALUE"""),1910.0)</f>
        <v>1910</v>
      </c>
      <c r="E123" s="3">
        <f>IFERROR(__xludf.DUMMYFUNCTION("""COMPUTED_VALUE"""),1980.0)</f>
        <v>1980</v>
      </c>
      <c r="F123" s="3" t="str">
        <f>IFERROR(__xludf.DUMMYFUNCTION("""COMPUTED_VALUE"""),"Président du Groupe de haute montagne, président Fédération française de la 
montagne, organisateur de l'expédition française à l'Annapurna de 1950. 
Compagnon de cordée de Giusto Gervasutti lors de leurs premières dans le 
massif des Écrins.|")</f>
        <v>Président du Groupe de haute montagne, président Fédération française de la 
montagne, organisateur de l'expédition française à l'Annapurna de 1950. 
Compagnon de cordée de Giusto Gervasutti lors de leurs premières dans le 
massif des Écrins.|</v>
      </c>
      <c r="G123" s="3"/>
      <c r="H123" s="3"/>
    </row>
    <row r="124">
      <c r="A124" s="3" t="str">
        <f>IFERROR(__xludf.DUMMYFUNCTION("""COMPUTED_VALUE"""),"Devouassoud")</f>
        <v>Devouassoud</v>
      </c>
      <c r="B124" s="3" t="str">
        <f>IFERROR(__xludf.DUMMYFUNCTION("""COMPUTED_VALUE"""),"François")</f>
        <v>François</v>
      </c>
      <c r="C124" s="3" t="str">
        <f>IFERROR(__xludf.DUMMYFUNCTION("""COMPUTED_VALUE"""),"France")</f>
        <v>France</v>
      </c>
      <c r="D124" s="3">
        <f>IFERROR(__xludf.DUMMYFUNCTION("""COMPUTED_VALUE"""),1831.0)</f>
        <v>1831</v>
      </c>
      <c r="E124" s="3">
        <f>IFERROR(__xludf.DUMMYFUNCTION("""COMPUTED_VALUE"""),1905.0)</f>
        <v>1905</v>
      </c>
      <c r="F124" s="3" t="str">
        <f>IFERROR(__xludf.DUMMYFUNCTION("""COMPUTED_VALUE"""),"Alpiniste et guide de haute montagne qui a réalisé de nombreuses premières 
en compagnie de Douglas William Freshfield.")</f>
        <v>Alpiniste et guide de haute montagne qui a réalisé de nombreuses premières 
en compagnie de Douglas William Freshfield.</v>
      </c>
      <c r="G124" s="3"/>
      <c r="H124" s="3"/>
    </row>
    <row r="125">
      <c r="A125" s="3" t="str">
        <f>IFERROR(__xludf.DUMMYFUNCTION("""COMPUTED_VALUE"""),"Diemberger")</f>
        <v>Diemberger</v>
      </c>
      <c r="B125" s="3" t="str">
        <f>IFERROR(__xludf.DUMMYFUNCTION("""COMPUTED_VALUE"""),"Kurt")</f>
        <v>Kurt</v>
      </c>
      <c r="C125" s="3" t="str">
        <f>IFERROR(__xludf.DUMMYFUNCTION("""COMPUTED_VALUE"""),"Autriche")</f>
        <v>Autriche</v>
      </c>
      <c r="D125" s="3">
        <f>IFERROR(__xludf.DUMMYFUNCTION("""COMPUTED_VALUE"""),1932.0)</f>
        <v>1932</v>
      </c>
      <c r="E125" s="3"/>
      <c r="F125" s="3" t="str">
        <f>IFERROR(__xludf.DUMMYFUNCTION("""COMPUTED_VALUE"""),"Guide de haute montagne. Un des deux seuls alpinistes à avoir réalisé 2 
premières ascensions de 8 000 m : le Broad Peak en 1957 et le Dhaulagiri en 
1960. Compagnon de Hermann Buhl au Chogolisa en 1957. Grimpe le K2 durant 
le désastre sur le K2 de 1986."&amp;" Cinéaste de la 1re ascension française de 
l'Everest en 1978.")</f>
        <v>Guide de haute montagne. Un des deux seuls alpinistes à avoir réalisé 2 
premières ascensions de 8 000 m : le Broad Peak en 1957 et le Dhaulagiri en 
1960. Compagnon de Hermann Buhl au Chogolisa en 1957. Grimpe le K2 durant 
le désastre sur le K2 de 1986. Cinéaste de la 1re ascension française de 
l'Everest en 1978.</v>
      </c>
      <c r="G125" s="3"/>
      <c r="H125" s="3"/>
    </row>
    <row r="126">
      <c r="A126" s="3" t="str">
        <f>IFERROR(__xludf.DUMMYFUNCTION("""COMPUTED_VALUE"""),"Doseth")</f>
        <v>Doseth</v>
      </c>
      <c r="B126" s="3" t="str">
        <f>IFERROR(__xludf.DUMMYFUNCTION("""COMPUTED_VALUE"""),"Hans Christian")</f>
        <v>Hans Christian</v>
      </c>
      <c r="C126" s="3" t="str">
        <f>IFERROR(__xludf.DUMMYFUNCTION("""COMPUTED_VALUE"""),"Norvège")</f>
        <v>Norvège</v>
      </c>
      <c r="D126" s="3">
        <f>IFERROR(__xludf.DUMMYFUNCTION("""COMPUTED_VALUE"""),1958.0)</f>
        <v>1958</v>
      </c>
      <c r="E126" s="3">
        <f>IFERROR(__xludf.DUMMYFUNCTION("""COMPUTED_VALUE"""),1984.0)</f>
        <v>1984</v>
      </c>
      <c r="F126" s="3" t="str">
        <f>IFERROR(__xludf.DUMMYFUNCTION("""COMPUTED_VALUE"""),"Escalade la face est de la grande tour de Trango en 1984. Meurt durant la 
descente.")</f>
        <v>Escalade la face est de la grande tour de Trango en 1984. Meurt durant la 
descente.</v>
      </c>
      <c r="G126" s="3"/>
      <c r="H126" s="3"/>
    </row>
    <row r="127">
      <c r="A127" s="3" t="str">
        <f>IFERROR(__xludf.DUMMYFUNCTION("""COMPUTED_VALUE"""),"Douglas")</f>
        <v>Douglas</v>
      </c>
      <c r="B127" s="3" t="str">
        <f>IFERROR(__xludf.DUMMYFUNCTION("""COMPUTED_VALUE"""),"Francis")</f>
        <v>Francis</v>
      </c>
      <c r="C127" s="3" t="str">
        <f>IFERROR(__xludf.DUMMYFUNCTION("""COMPUTED_VALUE"""),"Écosse")</f>
        <v>Écosse</v>
      </c>
      <c r="D127" s="3">
        <f>IFERROR(__xludf.DUMMYFUNCTION("""COMPUTED_VALUE"""),1847.0)</f>
        <v>1847</v>
      </c>
      <c r="E127" s="3">
        <f>IFERROR(__xludf.DUMMYFUNCTION("""COMPUTED_VALUE"""),1865.0)</f>
        <v>1865</v>
      </c>
      <c r="F127" s="3" t="str">
        <f>IFERROR(__xludf.DUMMYFUNCTION("""COMPUTED_VALUE"""),"Meurt dans la descente de la première ascension du Cervin.")</f>
        <v>Meurt dans la descente de la première ascension du Cervin.</v>
      </c>
      <c r="G127" s="3"/>
      <c r="H127" s="3"/>
    </row>
    <row r="128">
      <c r="A128" s="3" t="str">
        <f>IFERROR(__xludf.DUMMYFUNCTION("""COMPUTED_VALUE"""),"Dülfer")</f>
        <v>Dülfer</v>
      </c>
      <c r="B128" s="3" t="str">
        <f>IFERROR(__xludf.DUMMYFUNCTION("""COMPUTED_VALUE"""),"Hans")</f>
        <v>Hans</v>
      </c>
      <c r="C128" s="3" t="str">
        <f>IFERROR(__xludf.DUMMYFUNCTION("""COMPUTED_VALUE"""),"Allemagne")</f>
        <v>Allemagne</v>
      </c>
      <c r="D128" s="3">
        <f>IFERROR(__xludf.DUMMYFUNCTION("""COMPUTED_VALUE"""),1892.0)</f>
        <v>1892</v>
      </c>
      <c r="E128" s="3">
        <f>IFERROR(__xludf.DUMMYFUNCTION("""COMPUTED_VALUE"""),1915.0)</f>
        <v>1915</v>
      </c>
      <c r="F128" s="3" t="str">
        <f>IFERROR(__xludf.DUMMYFUNCTION("""COMPUTED_VALUE"""),"Grimpeur mort durant la Première Guerre mondiale.")</f>
        <v>Grimpeur mort durant la Première Guerre mondiale.</v>
      </c>
      <c r="G128" s="3"/>
      <c r="H128" s="3"/>
    </row>
    <row r="129">
      <c r="A129" s="3" t="str">
        <f>IFERROR(__xludf.DUMMYFUNCTION("""COMPUTED_VALUE"""),"Durrani")</f>
        <v>Durrani</v>
      </c>
      <c r="B129" s="3" t="str">
        <f>IFERROR(__xludf.DUMMYFUNCTION("""COMPUTED_VALUE"""),"Hayatullah Khan")</f>
        <v>Hayatullah Khan</v>
      </c>
      <c r="C129" s="3" t="str">
        <f>IFERROR(__xludf.DUMMYFUNCTION("""COMPUTED_VALUE"""),"Pakistan")</f>
        <v>Pakistan</v>
      </c>
      <c r="D129" s="3">
        <f>IFERROR(__xludf.DUMMYFUNCTION("""COMPUTED_VALUE"""),1962.0)</f>
        <v>1962</v>
      </c>
      <c r="E129" s="3"/>
      <c r="F129" s="3" t="str">
        <f>IFERROR(__xludf.DUMMYFUNCTION("""COMPUTED_VALUE"""),"Alpiniste et grimpeur.")</f>
        <v>Alpiniste et grimpeur.</v>
      </c>
      <c r="G129" s="3"/>
      <c r="H129" s="3"/>
    </row>
    <row r="130">
      <c r="A130" s="3" t="str">
        <f>IFERROR(__xludf.DUMMYFUNCTION("""COMPUTED_VALUE"""),"Dyhrenfurth")</f>
        <v>Dyhrenfurth</v>
      </c>
      <c r="B130" s="3" t="str">
        <f>IFERROR(__xludf.DUMMYFUNCTION("""COMPUTED_VALUE"""),"Günter")</f>
        <v>Günter</v>
      </c>
      <c r="C130" s="3" t="str">
        <f>IFERROR(__xludf.DUMMYFUNCTION("""COMPUTED_VALUE"""),"Allemagne/Suisse")</f>
        <v>Allemagne/Suisse</v>
      </c>
      <c r="D130" s="3">
        <f>IFERROR(__xludf.DUMMYFUNCTION("""COMPUTED_VALUE"""),1886.0)</f>
        <v>1886</v>
      </c>
      <c r="E130" s="3">
        <f>IFERROR(__xludf.DUMMYFUNCTION("""COMPUTED_VALUE"""),1975.0)</f>
        <v>1975</v>
      </c>
      <c r="F130" s="3" t="str">
        <f>IFERROR(__xludf.DUMMYFUNCTION("""COMPUTED_VALUE"""),"Explorateur dans l'Himalaya. Dirige des expéditions allemandes sur le 
Kangchenjunga en 1930 et 1931[4].")</f>
        <v>Explorateur dans l'Himalaya. Dirige des expéditions allemandes sur le 
Kangchenjunga en 1930 et 1931[4].</v>
      </c>
      <c r="G130" s="3"/>
      <c r="H130" s="3"/>
    </row>
    <row r="131">
      <c r="A131" s="3" t="str">
        <f>IFERROR(__xludf.DUMMYFUNCTION("""COMPUTED_VALUE"""),"Eccles")</f>
        <v>Eccles</v>
      </c>
      <c r="B131" s="3" t="str">
        <f>IFERROR(__xludf.DUMMYFUNCTION("""COMPUTED_VALUE"""),"James")</f>
        <v>James</v>
      </c>
      <c r="C131" s="3" t="str">
        <f>IFERROR(__xludf.DUMMYFUNCTION("""COMPUTED_VALUE"""),"Royaume-Uni")</f>
        <v>Royaume-Uni</v>
      </c>
      <c r="D131" s="3">
        <f>IFERROR(__xludf.DUMMYFUNCTION("""COMPUTED_VALUE"""),1838.0)</f>
        <v>1838</v>
      </c>
      <c r="E131" s="3">
        <f>IFERROR(__xludf.DUMMYFUNCTION("""COMPUTED_VALUE"""),1915.0)</f>
        <v>1915</v>
      </c>
      <c r="F131" s="3" t="str">
        <f>IFERROR(__xludf.DUMMYFUNCTION("""COMPUTED_VALUE"""),"Premières ascensions dans le massif du Mont-Blanc.")</f>
        <v>Premières ascensions dans le massif du Mont-Blanc.</v>
      </c>
      <c r="G131" s="3"/>
      <c r="H131" s="3"/>
    </row>
    <row r="132">
      <c r="A132" s="3" t="str">
        <f>IFERROR(__xludf.DUMMYFUNCTION("""COMPUTED_VALUE"""),"Eckenstein")</f>
        <v>Eckenstein</v>
      </c>
      <c r="B132" s="3" t="str">
        <f>IFERROR(__xludf.DUMMYFUNCTION("""COMPUTED_VALUE"""),"Oscar")</f>
        <v>Oscar</v>
      </c>
      <c r="C132" s="3" t="str">
        <f>IFERROR(__xludf.DUMMYFUNCTION("""COMPUTED_VALUE"""),"Royaume-Uni")</f>
        <v>Royaume-Uni</v>
      </c>
      <c r="D132" s="3">
        <f>IFERROR(__xludf.DUMMYFUNCTION("""COMPUTED_VALUE"""),1859.0)</f>
        <v>1859</v>
      </c>
      <c r="E132" s="3">
        <f>IFERROR(__xludf.DUMMYFUNCTION("""COMPUTED_VALUE"""),1921.0)</f>
        <v>1921</v>
      </c>
      <c r="F132" s="3" t="str">
        <f>IFERROR(__xludf.DUMMYFUNCTION("""COMPUTED_VALUE"""),"Alpiniste, grimpeur et pratiquant de bloc.")</f>
        <v>Alpiniste, grimpeur et pratiquant de bloc.</v>
      </c>
      <c r="G132" s="3"/>
      <c r="H132" s="3"/>
    </row>
    <row r="133">
      <c r="A133" s="3" t="str">
        <f>IFERROR(__xludf.DUMMYFUNCTION("""COMPUTED_VALUE"""),"Erbesfield-Raboutou")</f>
        <v>Erbesfield-Raboutou</v>
      </c>
      <c r="B133" s="3" t="str">
        <f>IFERROR(__xludf.DUMMYFUNCTION("""COMPUTED_VALUE"""),"Robyn")</f>
        <v>Robyn</v>
      </c>
      <c r="C133" s="3" t="str">
        <f>IFERROR(__xludf.DUMMYFUNCTION("""COMPUTED_VALUE"""),"États-Unis")</f>
        <v>États-Unis</v>
      </c>
      <c r="D133" s="3">
        <f>IFERROR(__xludf.DUMMYFUNCTION("""COMPUTED_VALUE"""),1967.0)</f>
        <v>1967</v>
      </c>
      <c r="E133" s="3"/>
      <c r="F133" s="3" t="str">
        <f>IFERROR(__xludf.DUMMYFUNCTION("""COMPUTED_VALUE"""),"4 fois championne du monde d'escalade[5].")</f>
        <v>4 fois championne du monde d'escalade[5].</v>
      </c>
      <c r="G133" s="3"/>
      <c r="H133" s="3"/>
    </row>
    <row r="134">
      <c r="A134" s="3" t="str">
        <f>IFERROR(__xludf.DUMMYFUNCTION("""COMPUTED_VALUE"""),"Erőss")</f>
        <v>Erőss</v>
      </c>
      <c r="B134" s="3" t="str">
        <f>IFERROR(__xludf.DUMMYFUNCTION("""COMPUTED_VALUE"""),"Zsolt")</f>
        <v>Zsolt</v>
      </c>
      <c r="C134" s="3" t="str">
        <f>IFERROR(__xludf.DUMMYFUNCTION("""COMPUTED_VALUE"""),"Hongrie")</f>
        <v>Hongrie</v>
      </c>
      <c r="D134" s="3">
        <f>IFERROR(__xludf.DUMMYFUNCTION("""COMPUTED_VALUE"""),1968.0)</f>
        <v>1968</v>
      </c>
      <c r="E134" s="3"/>
      <c r="F134" s="3" t="str">
        <f>IFERROR(__xludf.DUMMYFUNCTION("""COMPUTED_VALUE"""),"Neuf sommets de plus de 8 000 mètres d'altitude, une, le Lhotse, avec une 
prothèse de jambe en 2011.")</f>
        <v>Neuf sommets de plus de 8 000 mètres d'altitude, une, le Lhotse, avec une 
prothèse de jambe en 2011.</v>
      </c>
      <c r="G134" s="3"/>
      <c r="H134" s="3"/>
    </row>
    <row r="135">
      <c r="A135" s="3" t="str">
        <f>IFERROR(__xludf.DUMMYFUNCTION("""COMPUTED_VALUE"""),"Ershler")</f>
        <v>Ershler</v>
      </c>
      <c r="B135" s="3" t="str">
        <f>IFERROR(__xludf.DUMMYFUNCTION("""COMPUTED_VALUE"""),"Susan")</f>
        <v>Susan</v>
      </c>
      <c r="C135" s="3" t="str">
        <f>IFERROR(__xludf.DUMMYFUNCTION("""COMPUTED_VALUE"""),"États-Unis")</f>
        <v>États-Unis</v>
      </c>
      <c r="D135" s="3">
        <f>IFERROR(__xludf.DUMMYFUNCTION("""COMPUTED_VALUE"""),1956.0)</f>
        <v>1956</v>
      </c>
      <c r="E135" s="3"/>
      <c r="F135" s="3" t="str">
        <f>IFERROR(__xludf.DUMMYFUNCTION("""COMPUTED_VALUE"""),"Avec Phil Ershler, premier couple marié à réussir les Sept Sommets ensemble[
6].")</f>
        <v>Avec Phil Ershler, premier couple marié à réussir les Sept Sommets ensemble[
6].</v>
      </c>
      <c r="G135" s="3"/>
      <c r="H135" s="3"/>
    </row>
    <row r="136">
      <c r="A136" s="3" t="str">
        <f>IFERROR(__xludf.DUMMYFUNCTION("""COMPUTED_VALUE"""),"Esfandyari")</f>
        <v>Esfandyari</v>
      </c>
      <c r="B136" s="3" t="str">
        <f>IFERROR(__xludf.DUMMYFUNCTION("""COMPUTED_VALUE"""),"Leila")</f>
        <v>Leila</v>
      </c>
      <c r="C136" s="3" t="str">
        <f>IFERROR(__xludf.DUMMYFUNCTION("""COMPUTED_VALUE"""),"Iran")</f>
        <v>Iran</v>
      </c>
      <c r="D136" s="3">
        <f>IFERROR(__xludf.DUMMYFUNCTION("""COMPUTED_VALUE"""),1970.0)</f>
        <v>1970</v>
      </c>
      <c r="E136" s="3">
        <f>IFERROR(__xludf.DUMMYFUNCTION("""COMPUTED_VALUE"""),2011.0)</f>
        <v>2011</v>
      </c>
      <c r="F136" s="3" t="str">
        <f>IFERROR(__xludf.DUMMYFUNCTION("""COMPUTED_VALUE"""),"Première femme iranienne à escalader le Nanga Parbat et le K2 ; meurt sur 
le Gasherbrum II.")</f>
        <v>Première femme iranienne à escalader le Nanga Parbat et le K2 ; meurt sur 
le Gasherbrum II.</v>
      </c>
      <c r="G136" s="3"/>
      <c r="H136" s="3"/>
    </row>
    <row r="137">
      <c r="A137" s="3" t="str">
        <f>IFERROR(__xludf.DUMMYFUNCTION("""COMPUTED_VALUE"""),"Esmark")</f>
        <v>Esmark</v>
      </c>
      <c r="B137" s="3" t="str">
        <f>IFERROR(__xludf.DUMMYFUNCTION("""COMPUTED_VALUE"""),"Jens")</f>
        <v>Jens</v>
      </c>
      <c r="C137" s="3" t="str">
        <f>IFERROR(__xludf.DUMMYFUNCTION("""COMPUTED_VALUE"""),"Norvège")</f>
        <v>Norvège</v>
      </c>
      <c r="D137" s="3">
        <f>IFERROR(__xludf.DUMMYFUNCTION("""COMPUTED_VALUE"""),1763.0)</f>
        <v>1763</v>
      </c>
      <c r="E137" s="3">
        <f>IFERROR(__xludf.DUMMYFUNCTION("""COMPUTED_VALUE"""),1839.0)</f>
        <v>1839</v>
      </c>
      <c r="F137" s="3" t="str">
        <f>IFERROR(__xludf.DUMMYFUNCTION("""COMPUTED_VALUE"""),"Première ascension du Snøhetta en 1798 et du Gaustatoppen. Dirige la 
première expédition vers le Bitihorn.")</f>
        <v>Première ascension du Snøhetta en 1798 et du Gaustatoppen. Dirige la 
première expédition vers le Bitihorn.</v>
      </c>
      <c r="G137" s="3"/>
      <c r="H137" s="3"/>
    </row>
    <row r="138">
      <c r="A138" s="3" t="str">
        <f>IFERROR(__xludf.DUMMYFUNCTION("""COMPUTED_VALUE"""),"Estcourt")</f>
        <v>Estcourt</v>
      </c>
      <c r="B138" s="3" t="str">
        <f>IFERROR(__xludf.DUMMYFUNCTION("""COMPUTED_VALUE"""),"Nick")</f>
        <v>Nick</v>
      </c>
      <c r="C138" s="3" t="str">
        <f>IFERROR(__xludf.DUMMYFUNCTION("""COMPUTED_VALUE"""),"Royaume-Uni")</f>
        <v>Royaume-Uni</v>
      </c>
      <c r="D138" s="3">
        <f>IFERROR(__xludf.DUMMYFUNCTION("""COMPUTED_VALUE"""),1942.0)</f>
        <v>1942</v>
      </c>
      <c r="E138" s="3">
        <f>IFERROR(__xludf.DUMMYFUNCTION("""COMPUTED_VALUE"""),1978.0)</f>
        <v>1978</v>
      </c>
      <c r="F138" s="3" t="str">
        <f>IFERROR(__xludf.DUMMYFUNCTION("""COMPUTED_VALUE"""),"Meurt sur le K2 tué par une avalanche.")</f>
        <v>Meurt sur le K2 tué par une avalanche.</v>
      </c>
      <c r="G138" s="3"/>
      <c r="H138" s="3"/>
    </row>
    <row r="139">
      <c r="A139" s="3" t="str">
        <f>IFERROR(__xludf.DUMMYFUNCTION("""COMPUTED_VALUE"""),"Evans")</f>
        <v>Evans</v>
      </c>
      <c r="B139" s="3" t="str">
        <f>IFERROR(__xludf.DUMMYFUNCTION("""COMPUTED_VALUE"""),"Charles")</f>
        <v>Charles</v>
      </c>
      <c r="C139" s="3" t="str">
        <f>IFERROR(__xludf.DUMMYFUNCTION("""COMPUTED_VALUE"""),"Royaume-Uni")</f>
        <v>Royaume-Uni</v>
      </c>
      <c r="D139" s="3">
        <f>IFERROR(__xludf.DUMMYFUNCTION("""COMPUTED_VALUE"""),1918.0)</f>
        <v>1918</v>
      </c>
      <c r="E139" s="3">
        <f>IFERROR(__xludf.DUMMYFUNCTION("""COMPUTED_VALUE"""),1995.0)</f>
        <v>1995</v>
      </c>
      <c r="F139" s="3" t="str">
        <f>IFERROR(__xludf.DUMMYFUNCTION("""COMPUTED_VALUE"""),"Alpes, Pays de Galles, dirige la première expédition sur Kangchenjunga.")</f>
        <v>Alpes, Pays de Galles, dirige la première expédition sur Kangchenjunga.</v>
      </c>
      <c r="G139" s="3"/>
      <c r="H139" s="3"/>
    </row>
    <row r="140">
      <c r="A140" s="3" t="str">
        <f>IFERROR(__xludf.DUMMYFUNCTION("""COMPUTED_VALUE"""),"Ewbank")</f>
        <v>Ewbank</v>
      </c>
      <c r="B140" s="3" t="str">
        <f>IFERROR(__xludf.DUMMYFUNCTION("""COMPUTED_VALUE"""),"John")</f>
        <v>John</v>
      </c>
      <c r="C140" s="3" t="str">
        <f>IFERROR(__xludf.DUMMYFUNCTION("""COMPUTED_VALUE"""),"Australie")</f>
        <v>Australie</v>
      </c>
      <c r="D140" s="3">
        <f>IFERROR(__xludf.DUMMYFUNCTION("""COMPUTED_VALUE"""),1948.0)</f>
        <v>1948</v>
      </c>
      <c r="E140" s="3"/>
      <c r="F140" s="3" t="str">
        <f>IFERROR(__xludf.DUMMYFUNCTION("""COMPUTED_VALUE"""),"Pionnier de l'escalade en Australie. Invente Le système de cotation 
australien.")</f>
        <v>Pionnier de l'escalade en Australie. Invente Le système de cotation 
australien.</v>
      </c>
      <c r="G140" s="3"/>
      <c r="H140" s="3"/>
    </row>
    <row r="141">
      <c r="A141" s="3" t="str">
        <f>IFERROR(__xludf.DUMMYFUNCTION("""COMPUTED_VALUE"""),"du Faur")</f>
        <v>du Faur</v>
      </c>
      <c r="B141" s="3" t="str">
        <f>IFERROR(__xludf.DUMMYFUNCTION("""COMPUTED_VALUE"""),"Freda")</f>
        <v>Freda</v>
      </c>
      <c r="C141" s="3" t="str">
        <f>IFERROR(__xludf.DUMMYFUNCTION("""COMPUTED_VALUE"""),"Australie")</f>
        <v>Australie</v>
      </c>
      <c r="D141" s="3">
        <f>IFERROR(__xludf.DUMMYFUNCTION("""COMPUTED_VALUE"""),1882.0)</f>
        <v>1882</v>
      </c>
      <c r="E141" s="3">
        <f>IFERROR(__xludf.DUMMYFUNCTION("""COMPUTED_VALUE"""),1935.0)</f>
        <v>1935</v>
      </c>
      <c r="F141" s="3" t="str">
        <f>IFERROR(__xludf.DUMMYFUNCTION("""COMPUTED_VALUE"""),"Première ascension féminine du mont Cook.")</f>
        <v>Première ascension féminine du mont Cook.</v>
      </c>
      <c r="G141" s="3"/>
      <c r="H141" s="3"/>
    </row>
    <row r="142">
      <c r="A142" s="3" t="str">
        <f>IFERROR(__xludf.DUMMYFUNCTION("""COMPUTED_VALUE"""),"Fawcett")</f>
        <v>Fawcett</v>
      </c>
      <c r="B142" s="3" t="str">
        <f>IFERROR(__xludf.DUMMYFUNCTION("""COMPUTED_VALUE"""),"Ron")</f>
        <v>Ron</v>
      </c>
      <c r="C142" s="3" t="str">
        <f>IFERROR(__xludf.DUMMYFUNCTION("""COMPUTED_VALUE"""),"Royaume-Uni")</f>
        <v>Royaume-Uni</v>
      </c>
      <c r="D142" s="3">
        <f>IFERROR(__xludf.DUMMYFUNCTION("""COMPUTED_VALUE"""),1955.0)</f>
        <v>1955</v>
      </c>
      <c r="E142" s="3"/>
      <c r="F142" s="3" t="str">
        <f>IFERROR(__xludf.DUMMYFUNCTION("""COMPUTED_VALUE"""),"Un des premiers grimpeurs professionnels.")</f>
        <v>Un des premiers grimpeurs professionnels.</v>
      </c>
      <c r="G142" s="3"/>
      <c r="H142" s="3"/>
    </row>
    <row r="143">
      <c r="A143" s="3" t="str">
        <f>IFERROR(__xludf.DUMMYFUNCTION("""COMPUTED_VALUE"""),"Fear")</f>
        <v>Fear</v>
      </c>
      <c r="B143" s="3" t="str">
        <f>IFERROR(__xludf.DUMMYFUNCTION("""COMPUTED_VALUE"""),"Sue")</f>
        <v>Sue</v>
      </c>
      <c r="C143" s="3" t="str">
        <f>IFERROR(__xludf.DUMMYFUNCTION("""COMPUTED_VALUE"""),"Australie")</f>
        <v>Australie</v>
      </c>
      <c r="D143" s="3">
        <f>IFERROR(__xludf.DUMMYFUNCTION("""COMPUTED_VALUE"""),1963.0)</f>
        <v>1963</v>
      </c>
      <c r="E143" s="3">
        <f>IFERROR(__xludf.DUMMYFUNCTION("""COMPUTED_VALUE"""),2006.0)</f>
        <v>2006</v>
      </c>
      <c r="F143" s="3" t="str">
        <f>IFERROR(__xludf.DUMMYFUNCTION("""COMPUTED_VALUE"""),"Cinq sommets de plus de 8 000 mètres d'altitude ; meurt dans une chute de 
crevasse sur le Manaslu.")</f>
        <v>Cinq sommets de plus de 8 000 mètres d'altitude ; meurt dans une chute de 
crevasse sur le Manaslu.</v>
      </c>
      <c r="G143" s="3"/>
      <c r="H143" s="3"/>
    </row>
    <row r="144">
      <c r="A144" s="3" t="str">
        <f>IFERROR(__xludf.DUMMYFUNCTION("""COMPUTED_VALUE"""),"February")</f>
        <v>February</v>
      </c>
      <c r="B144" s="3" t="str">
        <f>IFERROR(__xludf.DUMMYFUNCTION("""COMPUTED_VALUE"""),"Edmund")</f>
        <v>Edmund</v>
      </c>
      <c r="C144" s="3" t="str">
        <f>IFERROR(__xludf.DUMMYFUNCTION("""COMPUTED_VALUE"""),"Afrique du Sud.")</f>
        <v>Afrique du Sud.</v>
      </c>
      <c r="D144" s="3"/>
      <c r="E144" s="3"/>
      <c r="F144" s="3" t="str">
        <f>IFERROR(__xludf.DUMMYFUNCTION("""COMPUTED_VALUE"""),"Ouvre plus de 500 voies en Afrique.")</f>
        <v>Ouvre plus de 500 voies en Afrique.</v>
      </c>
      <c r="G144" s="3"/>
      <c r="H144" s="3"/>
    </row>
    <row r="145">
      <c r="A145" s="3" t="str">
        <f>IFERROR(__xludf.DUMMYFUNCTION("""COMPUTED_VALUE"""),"Fehrmann")</f>
        <v>Fehrmann</v>
      </c>
      <c r="B145" s="3" t="str">
        <f>IFERROR(__xludf.DUMMYFUNCTION("""COMPUTED_VALUE"""),"Rudolf")</f>
        <v>Rudolf</v>
      </c>
      <c r="C145" s="3" t="str">
        <f>IFERROR(__xludf.DUMMYFUNCTION("""COMPUTED_VALUE"""),"Allemagne")</f>
        <v>Allemagne</v>
      </c>
      <c r="D145" s="3">
        <f>IFERROR(__xludf.DUMMYFUNCTION("""COMPUTED_VALUE"""),1886.0)</f>
        <v>1886</v>
      </c>
      <c r="E145" s="3">
        <f>IFERROR(__xludf.DUMMYFUNCTION("""COMPUTED_VALUE"""),1947.0)</f>
        <v>1947</v>
      </c>
      <c r="F145" s="3" t="str">
        <f>IFERROR(__xludf.DUMMYFUNCTION("""COMPUTED_VALUE"""),"Pionnier de l'escalade dans le Elbsandsteingebirge.")</f>
        <v>Pionnier de l'escalade dans le Elbsandsteingebirge.</v>
      </c>
      <c r="G145" s="3"/>
      <c r="H145" s="3"/>
    </row>
    <row r="146">
      <c r="A146" s="3" t="str">
        <f>IFERROR(__xludf.DUMMYFUNCTION("""COMPUTED_VALUE"""),"Field")</f>
        <v>Field</v>
      </c>
      <c r="B146" s="3" t="str">
        <f>IFERROR(__xludf.DUMMYFUNCTION("""COMPUTED_VALUE"""),"Darby")</f>
        <v>Darby</v>
      </c>
      <c r="C146" s="3" t="str">
        <f>IFERROR(__xludf.DUMMYFUNCTION("""COMPUTED_VALUE"""),"Irlande")</f>
        <v>Irlande</v>
      </c>
      <c r="D146" s="3">
        <f>IFERROR(__xludf.DUMMYFUNCTION("""COMPUTED_VALUE"""),1610.0)</f>
        <v>1610</v>
      </c>
      <c r="E146" s="3">
        <f>IFERROR(__xludf.DUMMYFUNCTION("""COMPUTED_VALUE"""),1649.0)</f>
        <v>1649</v>
      </c>
      <c r="F146" s="3" t="str">
        <f>IFERROR(__xludf.DUMMYFUNCTION("""COMPUTED_VALUE"""),"Premier européen à gravir le mont Washington en 1642.")</f>
        <v>Premier européen à gravir le mont Washington en 1642.</v>
      </c>
      <c r="G146" s="3"/>
      <c r="H146" s="3"/>
    </row>
    <row r="147">
      <c r="A147" s="3" t="str">
        <f>IFERROR(__xludf.DUMMYFUNCTION("""COMPUTED_VALUE"""),"Finch")</f>
        <v>Finch</v>
      </c>
      <c r="B147" s="3" t="str">
        <f>IFERROR(__xludf.DUMMYFUNCTION("""COMPUTED_VALUE"""),"George Ingle")</f>
        <v>George Ingle</v>
      </c>
      <c r="C147" s="3" t="str">
        <f>IFERROR(__xludf.DUMMYFUNCTION("""COMPUTED_VALUE"""),"Australie")</f>
        <v>Australie</v>
      </c>
      <c r="D147" s="3">
        <f>IFERROR(__xludf.DUMMYFUNCTION("""COMPUTED_VALUE"""),1888.0)</f>
        <v>1888</v>
      </c>
      <c r="E147" s="3">
        <f>IFERROR(__xludf.DUMMYFUNCTION("""COMPUTED_VALUE"""),1970.0)</f>
        <v>1970</v>
      </c>
      <c r="F147" s="3" t="str">
        <f>IFERROR(__xludf.DUMMYFUNCTION("""COMPUTED_VALUE"""),"Atteint 8 300 m en 1922 sur l'Everest ; Face nord de la Dent d'Hérens.")</f>
        <v>Atteint 8 300 m en 1922 sur l'Everest ; Face nord de la Dent d'Hérens.</v>
      </c>
      <c r="G147" s="3"/>
      <c r="H147" s="3"/>
    </row>
    <row r="148">
      <c r="A148" s="3" t="str">
        <f>IFERROR(__xludf.DUMMYFUNCTION("""COMPUTED_VALUE"""),"Fischer")</f>
        <v>Fischer</v>
      </c>
      <c r="B148" s="3" t="str">
        <f>IFERROR(__xludf.DUMMYFUNCTION("""COMPUTED_VALUE"""),"Scott")</f>
        <v>Scott</v>
      </c>
      <c r="C148" s="3" t="str">
        <f>IFERROR(__xludf.DUMMYFUNCTION("""COMPUTED_VALUE"""),"États-Unis")</f>
        <v>États-Unis</v>
      </c>
      <c r="D148" s="3">
        <f>IFERROR(__xludf.DUMMYFUNCTION("""COMPUTED_VALUE"""),1955.0)</f>
        <v>1955</v>
      </c>
      <c r="E148" s="3">
        <f>IFERROR(__xludf.DUMMYFUNCTION("""COMPUTED_VALUE"""),1996.0)</f>
        <v>1996</v>
      </c>
      <c r="F148" s="3" t="str">
        <f>IFERROR(__xludf.DUMMYFUNCTION("""COMPUTED_VALUE"""),"Lhotse en 1990, K2 en 1992, Everest en 1994 ; Meurt dans le désastre sur 
l'Everest en 1996.")</f>
        <v>Lhotse en 1990, K2 en 1992, Everest en 1994 ; Meurt dans le désastre sur 
l'Everest en 1996.</v>
      </c>
      <c r="G148" s="3"/>
      <c r="H148" s="3"/>
    </row>
    <row r="149">
      <c r="A149" s="3" t="str">
        <f>IFERROR(__xludf.DUMMYFUNCTION("""COMPUTED_VALUE"""),"Florine")</f>
        <v>Florine</v>
      </c>
      <c r="B149" s="3" t="str">
        <f>IFERROR(__xludf.DUMMYFUNCTION("""COMPUTED_VALUE"""),"Hans")</f>
        <v>Hans</v>
      </c>
      <c r="C149" s="3" t="str">
        <f>IFERROR(__xludf.DUMMYFUNCTION("""COMPUTED_VALUE"""),"États-Unis")</f>
        <v>États-Unis</v>
      </c>
      <c r="D149" s="3">
        <f>IFERROR(__xludf.DUMMYFUNCTION("""COMPUTED_VALUE"""),1964.0)</f>
        <v>1964</v>
      </c>
      <c r="E149" s="3"/>
      <c r="F149" s="3" t="str">
        <f>IFERROR(__xludf.DUMMYFUNCTION("""COMPUTED_VALUE"""),"Escalade de vitesse. Grimpe le Nose sur El Capitan en 2012 en 2 h 36 min 45 
s.")</f>
        <v>Escalade de vitesse. Grimpe le Nose sur El Capitan en 2012 en 2 h 36 min 45 
s.</v>
      </c>
      <c r="G149" s="3"/>
      <c r="H149" s="3"/>
    </row>
    <row r="150">
      <c r="A150" s="3" t="str">
        <f>IFERROR(__xludf.DUMMYFUNCTION("""COMPUTED_VALUE"""),"Forbes")</f>
        <v>Forbes</v>
      </c>
      <c r="B150" s="3" t="str">
        <f>IFERROR(__xludf.DUMMYFUNCTION("""COMPUTED_VALUE"""),"James David")</f>
        <v>James David</v>
      </c>
      <c r="C150" s="3" t="str">
        <f>IFERROR(__xludf.DUMMYFUNCTION("""COMPUTED_VALUE"""),"Royaume-Uni")</f>
        <v>Royaume-Uni</v>
      </c>
      <c r="D150" s="3">
        <f>IFERROR(__xludf.DUMMYFUNCTION("""COMPUTED_VALUE"""),1809.0)</f>
        <v>1809</v>
      </c>
      <c r="E150" s="3">
        <f>IFERROR(__xludf.DUMMYFUNCTION("""COMPUTED_VALUE"""),1868.0)</f>
        <v>1868</v>
      </c>
      <c r="F150" s="3" t="str">
        <f>IFERROR(__xludf.DUMMYFUNCTION("""COMPUTED_VALUE"""),"Première ascension britannique du Jungfrau.")</f>
        <v>Première ascension britannique du Jungfrau.</v>
      </c>
      <c r="G150" s="3"/>
      <c r="H150" s="3"/>
    </row>
    <row r="151">
      <c r="A151" s="3" t="str">
        <f>IFERROR(__xludf.DUMMYFUNCTION("""COMPUTED_VALUE"""),"Fourastier")</f>
        <v>Fourastier</v>
      </c>
      <c r="B151" s="3" t="str">
        <f>IFERROR(__xludf.DUMMYFUNCTION("""COMPUTED_VALUE"""),"Maurice")</f>
        <v>Maurice</v>
      </c>
      <c r="C151" s="3" t="str">
        <f>IFERROR(__xludf.DUMMYFUNCTION("""COMPUTED_VALUE"""),"France")</f>
        <v>France</v>
      </c>
      <c r="D151" s="3">
        <f>IFERROR(__xludf.DUMMYFUNCTION("""COMPUTED_VALUE"""),1901.0)</f>
        <v>1901</v>
      </c>
      <c r="E151" s="3">
        <f>IFERROR(__xludf.DUMMYFUNCTION("""COMPUTED_VALUE"""),1961.0)</f>
        <v>1961</v>
      </c>
      <c r="F151" s="3" t="str">
        <f>IFERROR(__xludf.DUMMYFUNCTION("""COMPUTED_VALUE"""),"Instituteur, auteur de nombreuses premières dans le massif des Écrins. 
Grandes courses très difficiles aussi bien glaciaires que de rocher, 
surtout en faces N. Durant l'entre-deux guerres formera des cordées 
célèbres de l'alpinisme français : avec le g"&amp;"uide Casimir Rodier, puis Henry 
Le Breton et Alexandre Manhès, et aussi Andéol Madier de Champvermeil.")</f>
        <v>Instituteur, auteur de nombreuses premières dans le massif des Écrins. 
Grandes courses très difficiles aussi bien glaciaires que de rocher, 
surtout en faces N. Durant l'entre-deux guerres formera des cordées 
célèbres de l'alpinisme français : avec le guide Casimir Rodier, puis Henry 
Le Breton et Alexandre Manhès, et aussi Andéol Madier de Champvermeil.</v>
      </c>
      <c r="G151" s="3"/>
      <c r="H151" s="3"/>
    </row>
    <row r="152">
      <c r="A152" s="3" t="str">
        <f>IFERROR(__xludf.DUMMYFUNCTION("""COMPUTED_VALUE"""),"Fowler")</f>
        <v>Fowler</v>
      </c>
      <c r="B152" s="3" t="str">
        <f>IFERROR(__xludf.DUMMYFUNCTION("""COMPUTED_VALUE"""),"Charlie")</f>
        <v>Charlie</v>
      </c>
      <c r="C152" s="3" t="str">
        <f>IFERROR(__xludf.DUMMYFUNCTION("""COMPUTED_VALUE"""),"Royaume-Uni")</f>
        <v>Royaume-Uni</v>
      </c>
      <c r="D152" s="3">
        <f>IFERROR(__xludf.DUMMYFUNCTION("""COMPUTED_VALUE"""),1954.0)</f>
        <v>1954</v>
      </c>
      <c r="E152" s="3">
        <f>IFERROR(__xludf.DUMMYFUNCTION("""COMPUTED_VALUE"""),2006.0)</f>
        <v>2006</v>
      </c>
      <c r="F152" s="3" t="str">
        <f>IFERROR(__xludf.DUMMYFUNCTION("""COMPUTED_VALUE"""),"escalade en solo intégral, escalade et alpinisme de haute-altitude.")</f>
        <v>escalade en solo intégral, escalade et alpinisme de haute-altitude.</v>
      </c>
      <c r="G152" s="3"/>
      <c r="H152" s="3"/>
    </row>
    <row r="153">
      <c r="A153" s="3" t="str">
        <f>IFERROR(__xludf.DUMMYFUNCTION("""COMPUTED_VALUE"""),"Fowler")</f>
        <v>Fowler</v>
      </c>
      <c r="B153" s="3" t="str">
        <f>IFERROR(__xludf.DUMMYFUNCTION("""COMPUTED_VALUE"""),"Mick")</f>
        <v>Mick</v>
      </c>
      <c r="C153" s="3" t="str">
        <f>IFERROR(__xludf.DUMMYFUNCTION("""COMPUTED_VALUE"""),"Royaume-Uni")</f>
        <v>Royaume-Uni</v>
      </c>
      <c r="D153" s="3">
        <f>IFERROR(__xludf.DUMMYFUNCTION("""COMPUTED_VALUE"""),1956.0)</f>
        <v>1956</v>
      </c>
      <c r="E153" s="3"/>
      <c r="F153" s="3" t="str">
        <f>IFERROR(__xludf.DUMMYFUNCTION("""COMPUTED_VALUE"""),"Explorateur et alpiniste, il a reçu le Piolet d'Or en 2003[7].")</f>
        <v>Explorateur et alpiniste, il a reçu le Piolet d'Or en 2003[7].</v>
      </c>
      <c r="G153" s="3"/>
      <c r="H153" s="3"/>
    </row>
    <row r="154">
      <c r="A154" s="3" t="str">
        <f>IFERROR(__xludf.DUMMYFUNCTION("""COMPUTED_VALUE"""),"Freshfield")</f>
        <v>Freshfield</v>
      </c>
      <c r="B154" s="3" t="str">
        <f>IFERROR(__xludf.DUMMYFUNCTION("""COMPUTED_VALUE"""),"Douglas")</f>
        <v>Douglas</v>
      </c>
      <c r="C154" s="3" t="str">
        <f>IFERROR(__xludf.DUMMYFUNCTION("""COMPUTED_VALUE"""),"Royaume-Uni")</f>
        <v>Royaume-Uni</v>
      </c>
      <c r="D154" s="3">
        <f>IFERROR(__xludf.DUMMYFUNCTION("""COMPUTED_VALUE"""),1845.0)</f>
        <v>1845</v>
      </c>
      <c r="E154" s="3">
        <f>IFERROR(__xludf.DUMMYFUNCTION("""COMPUTED_VALUE"""),1934.0)</f>
        <v>1934</v>
      </c>
      <c r="F154" s="3" t="str">
        <f>IFERROR(__xludf.DUMMYFUNCTION("""COMPUTED_VALUE"""),"Alpes, Écosse, Himalaya, Pyrénées.")</f>
        <v>Alpes, Écosse, Himalaya, Pyrénées.</v>
      </c>
      <c r="G154" s="3"/>
      <c r="H154" s="3"/>
    </row>
    <row r="155">
      <c r="A155" s="3" t="str">
        <f>IFERROR(__xludf.DUMMYFUNCTION("""COMPUTED_VALUE"""),"Frost")</f>
        <v>Frost</v>
      </c>
      <c r="B155" s="3" t="str">
        <f>IFERROR(__xludf.DUMMYFUNCTION("""COMPUTED_VALUE"""),"Tom")</f>
        <v>Tom</v>
      </c>
      <c r="C155" s="3" t="str">
        <f>IFERROR(__xludf.DUMMYFUNCTION("""COMPUTED_VALUE"""),"États-Unis")</f>
        <v>États-Unis</v>
      </c>
      <c r="D155" s="3">
        <f>IFERROR(__xludf.DUMMYFUNCTION("""COMPUTED_VALUE"""),1936.0)</f>
        <v>1936</v>
      </c>
      <c r="E155" s="3"/>
      <c r="F155" s="3" t="str">
        <f>IFERROR(__xludf.DUMMYFUNCTION("""COMPUTED_VALUE"""),"Escalade, première ascension de big walls dans le Yosemite.")</f>
        <v>Escalade, première ascension de big walls dans le Yosemite.</v>
      </c>
      <c r="G155" s="3"/>
      <c r="H155" s="3"/>
    </row>
    <row r="156">
      <c r="A156" s="3" t="str">
        <f>IFERROR(__xludf.DUMMYFUNCTION("""COMPUTED_VALUE"""),"Fuzhou")</f>
        <v>Fuzhou</v>
      </c>
      <c r="B156" s="3" t="str">
        <f>IFERROR(__xludf.DUMMYFUNCTION("""COMPUTED_VALUE"""),"Wang")</f>
        <v>Wang</v>
      </c>
      <c r="C156" s="3" t="str">
        <f>IFERROR(__xludf.DUMMYFUNCTION("""COMPUTED_VALUE"""),"Chine")</f>
        <v>Chine</v>
      </c>
      <c r="D156" s="3">
        <f>IFERROR(__xludf.DUMMYFUNCTION("""COMPUTED_VALUE"""),1935.0)</f>
        <v>1935</v>
      </c>
      <c r="E156" s="3"/>
      <c r="F156" s="3" t="str">
        <f>IFERROR(__xludf.DUMMYFUNCTION("""COMPUTED_VALUE"""),"Première ascension de l'Everest par la face nord, première ascension du 
Shishapangma.")</f>
        <v>Première ascension de l'Everest par la face nord, première ascension du 
Shishapangma.</v>
      </c>
      <c r="G156" s="3"/>
      <c r="H156" s="3"/>
    </row>
    <row r="157">
      <c r="A157" s="3" t="str">
        <f>IFERROR(__xludf.DUMMYFUNCTION("""COMPUTED_VALUE"""),"Gabarrou")</f>
        <v>Gabarrou</v>
      </c>
      <c r="B157" s="3" t="str">
        <f>IFERROR(__xludf.DUMMYFUNCTION("""COMPUTED_VALUE"""),"Patrick")</f>
        <v>Patrick</v>
      </c>
      <c r="C157" s="3" t="str">
        <f>IFERROR(__xludf.DUMMYFUNCTION("""COMPUTED_VALUE"""),"France")</f>
        <v>France</v>
      </c>
      <c r="D157" s="3">
        <f>IFERROR(__xludf.DUMMYFUNCTION("""COMPUTED_VALUE"""),1951.0)</f>
        <v>1951</v>
      </c>
      <c r="E157" s="3"/>
      <c r="F157" s="3" t="str">
        <f>IFERROR(__xludf.DUMMYFUNCTION("""COMPUTED_VALUE"""),"Premières ascensions dans le massif du Mont-Blanc.")</f>
        <v>Premières ascensions dans le massif du Mont-Blanc.</v>
      </c>
      <c r="G157" s="3"/>
      <c r="H157" s="3"/>
    </row>
    <row r="158">
      <c r="A158" s="3" t="str">
        <f>IFERROR(__xludf.DUMMYFUNCTION("""COMPUTED_VALUE"""),"Gadd")</f>
        <v>Gadd</v>
      </c>
      <c r="B158" s="3" t="str">
        <f>IFERROR(__xludf.DUMMYFUNCTION("""COMPUTED_VALUE"""),"Will")</f>
        <v>Will</v>
      </c>
      <c r="C158" s="3" t="str">
        <f>IFERROR(__xludf.DUMMYFUNCTION("""COMPUTED_VALUE"""),"Canada")</f>
        <v>Canada</v>
      </c>
      <c r="D158" s="3">
        <f>IFERROR(__xludf.DUMMYFUNCTION("""COMPUTED_VALUE"""),1967.0)</f>
        <v>1967</v>
      </c>
      <c r="E158" s="3"/>
      <c r="F158" s="3" t="str">
        <f>IFERROR(__xludf.DUMMYFUNCTION("""COMPUTED_VALUE"""),"Voies difficile en mixte dont le premier M12.")</f>
        <v>Voies difficile en mixte dont le premier M12.</v>
      </c>
      <c r="G158" s="3"/>
      <c r="H158" s="3"/>
    </row>
    <row r="159">
      <c r="A159" s="3" t="str">
        <f>IFERROR(__xludf.DUMMYFUNCTION("""COMPUTED_VALUE"""),"Gammelgaard")</f>
        <v>Gammelgaard</v>
      </c>
      <c r="B159" s="3" t="str">
        <f>IFERROR(__xludf.DUMMYFUNCTION("""COMPUTED_VALUE"""),"Lene")</f>
        <v>Lene</v>
      </c>
      <c r="C159" s="3" t="str">
        <f>IFERROR(__xludf.DUMMYFUNCTION("""COMPUTED_VALUE"""),"Danemark")</f>
        <v>Danemark</v>
      </c>
      <c r="D159" s="3">
        <f>IFERROR(__xludf.DUMMYFUNCTION("""COMPUTED_VALUE"""),1961.0)</f>
        <v>1961</v>
      </c>
      <c r="E159" s="3"/>
      <c r="F159" s="3" t="str">
        <f>IFERROR(__xludf.DUMMYFUNCTION("""COMPUTED_VALUE"""),"Auteur de *Climbing High*. Première ascension féminine scandinave de l'
Everest.")</f>
        <v>Auteur de *Climbing High*. Première ascension féminine scandinave de l'
Everest.</v>
      </c>
      <c r="G159" s="3"/>
      <c r="H159" s="3"/>
    </row>
    <row r="160">
      <c r="A160" s="3" t="str">
        <f>IFERROR(__xludf.DUMMYFUNCTION("""COMPUTED_VALUE"""),"Garcia")</f>
        <v>Garcia</v>
      </c>
      <c r="B160" s="3" t="str">
        <f>IFERROR(__xludf.DUMMYFUNCTION("""COMPUTED_VALUE"""),"João")</f>
        <v>João</v>
      </c>
      <c r="C160" s="3" t="str">
        <f>IFERROR(__xludf.DUMMYFUNCTION("""COMPUTED_VALUE"""),"Portugal")</f>
        <v>Portugal</v>
      </c>
      <c r="D160" s="3">
        <f>IFERROR(__xludf.DUMMYFUNCTION("""COMPUTED_VALUE"""),1967.0)</f>
        <v>1967</v>
      </c>
      <c r="E160" s="3"/>
      <c r="F160" s="3" t="str">
        <f>IFERROR(__xludf.DUMMYFUNCTION("""COMPUTED_VALUE"""),"Premier portugais à escalader l'Everest et dixième alpiniste à grimper tous 
les sommets de plus de 8 000 mètres d'altitude (1993–2010).")</f>
        <v>Premier portugais à escalader l'Everest et dixième alpiniste à grimper tous 
les sommets de plus de 8 000 mètres d'altitude (1993–2010).</v>
      </c>
      <c r="G160" s="3"/>
      <c r="H160" s="3"/>
    </row>
    <row r="161">
      <c r="A161" s="3" t="str">
        <f>IFERROR(__xludf.DUMMYFUNCTION("""COMPUTED_VALUE"""),"Gaspard")</f>
        <v>Gaspard</v>
      </c>
      <c r="B161" s="3" t="str">
        <f>IFERROR(__xludf.DUMMYFUNCTION("""COMPUTED_VALUE"""),"Pierre")</f>
        <v>Pierre</v>
      </c>
      <c r="C161" s="3" t="str">
        <f>IFERROR(__xludf.DUMMYFUNCTION("""COMPUTED_VALUE"""),"France")</f>
        <v>France</v>
      </c>
      <c r="D161" s="3">
        <f>IFERROR(__xludf.DUMMYFUNCTION("""COMPUTED_VALUE"""),1834.0)</f>
        <v>1834</v>
      </c>
      <c r="E161" s="3">
        <f>IFERROR(__xludf.DUMMYFUNCTION("""COMPUTED_VALUE"""),1915.0)</f>
        <v>1915</v>
      </c>
      <c r="F161" s="3" t="str">
        <f>IFERROR(__xludf.DUMMYFUNCTION("""COMPUTED_VALUE"""),"Première ascension de La Meije avec son fils et Emmanuel Boileau de 
Castelnau.")</f>
        <v>Première ascension de La Meije avec son fils et Emmanuel Boileau de 
Castelnau.</v>
      </c>
      <c r="G161" s="3"/>
      <c r="H161" s="3"/>
    </row>
    <row r="162">
      <c r="A162" s="3" t="str">
        <f>IFERROR(__xludf.DUMMYFUNCTION("""COMPUTED_VALUE"""),"Garibotti")</f>
        <v>Garibotti</v>
      </c>
      <c r="B162" s="3" t="str">
        <f>IFERROR(__xludf.DUMMYFUNCTION("""COMPUTED_VALUE"""),"Rolando")</f>
        <v>Rolando</v>
      </c>
      <c r="C162" s="3" t="str">
        <f>IFERROR(__xludf.DUMMYFUNCTION("""COMPUTED_VALUE"""),"Argentine/États-Unis")</f>
        <v>Argentine/États-Unis</v>
      </c>
      <c r="D162" s="3">
        <f>IFERROR(__xludf.DUMMYFUNCTION("""COMPUTED_VALUE"""),1971.0)</f>
        <v>1971</v>
      </c>
      <c r="E162" s="3"/>
      <c r="F162" s="3" t="str">
        <f>IFERROR(__xludf.DUMMYFUNCTION("""COMPUTED_VALUE"""),"Fitz Roy, traversée du Cerro Torre.")</f>
        <v>Fitz Roy, traversée du Cerro Torre.</v>
      </c>
      <c r="G162" s="3"/>
      <c r="H162" s="3"/>
    </row>
    <row r="163">
      <c r="A163" s="3" t="str">
        <f>IFERROR(__xludf.DUMMYFUNCTION("""COMPUTED_VALUE"""),"Gelu")</f>
        <v>Gelu</v>
      </c>
      <c r="B163" s="3" t="str">
        <f>IFERROR(__xludf.DUMMYFUNCTION("""COMPUTED_VALUE"""),"Lakpa")</f>
        <v>Lakpa</v>
      </c>
      <c r="C163" s="3" t="str">
        <f>IFERROR(__xludf.DUMMYFUNCTION("""COMPUTED_VALUE"""),"Nepal")</f>
        <v>Nepal</v>
      </c>
      <c r="D163" s="3">
        <f>IFERROR(__xludf.DUMMYFUNCTION("""COMPUTED_VALUE"""),1967.0)</f>
        <v>1967</v>
      </c>
      <c r="E163" s="3"/>
      <c r="F163" s="3" t="str">
        <f>IFERROR(__xludf.DUMMYFUNCTION("""COMPUTED_VALUE"""),"12 ascensions de l'Everest.")</f>
        <v>12 ascensions de l'Everest.</v>
      </c>
      <c r="G163" s="3"/>
      <c r="H163" s="3"/>
    </row>
    <row r="164">
      <c r="A164" s="3" t="str">
        <f>IFERROR(__xludf.DUMMYFUNCTION("""COMPUTED_VALUE"""),"Germer")</f>
        <v>Germer</v>
      </c>
      <c r="B164" s="3" t="str">
        <f>IFERROR(__xludf.DUMMYFUNCTION("""COMPUTED_VALUE"""),"Lester")</f>
        <v>Lester</v>
      </c>
      <c r="C164" s="3" t="str">
        <f>IFERROR(__xludf.DUMMYFUNCTION("""COMPUTED_VALUE"""),"États-Unis")</f>
        <v>États-Unis</v>
      </c>
      <c r="D164" s="3">
        <f>IFERROR(__xludf.DUMMYFUNCTION("""COMPUTED_VALUE"""),1896.0)</f>
        <v>1896</v>
      </c>
      <c r="E164" s="3">
        <f>IFERROR(__xludf.DUMMYFUNCTION("""COMPUTED_VALUE"""),1971.0)</f>
        <v>1971</v>
      </c>
      <c r="F164" s="3" t="str">
        <f>IFERROR(__xludf.DUMMYFUNCTION("""COMPUTED_VALUE"""),"Physicien, pilote de combat durant la deuxième guerre mondiale et grimpeur.")</f>
        <v>Physicien, pilote de combat durant la deuxième guerre mondiale et grimpeur.</v>
      </c>
      <c r="G164" s="3"/>
      <c r="H164" s="3"/>
    </row>
    <row r="165">
      <c r="A165" s="3" t="str">
        <f>IFERROR(__xludf.DUMMYFUNCTION("""COMPUTED_VALUE"""),"Gervasutti")</f>
        <v>Gervasutti</v>
      </c>
      <c r="B165" s="3" t="str">
        <f>IFERROR(__xludf.DUMMYFUNCTION("""COMPUTED_VALUE"""),"Giusto")</f>
        <v>Giusto</v>
      </c>
      <c r="C165" s="3" t="str">
        <f>IFERROR(__xludf.DUMMYFUNCTION("""COMPUTED_VALUE"""),"Italie")</f>
        <v>Italie</v>
      </c>
      <c r="D165" s="3">
        <f>IFERROR(__xludf.DUMMYFUNCTION("""COMPUTED_VALUE"""),1909.0)</f>
        <v>1909</v>
      </c>
      <c r="E165" s="3">
        <f>IFERROR(__xludf.DUMMYFUNCTION("""COMPUTED_VALUE"""),1946.0)</f>
        <v>1946</v>
      </c>
      <c r="F165" s="3" t="str">
        <f>IFERROR(__xludf.DUMMYFUNCTION("""COMPUTED_VALUE"""),"Guide italien historique, auteur de nombreuses premières dans le massif du 
Mont-Blanc, des Écrins (avec Lucien Devies). Se tue au mont Blanc du Tacul.")</f>
        <v>Guide italien historique, auteur de nombreuses premières dans le massif du 
Mont-Blanc, des Écrins (avec Lucien Devies). Se tue au mont Blanc du Tacul.</v>
      </c>
      <c r="G165" s="3"/>
      <c r="H165" s="3"/>
    </row>
    <row r="166">
      <c r="A166" s="3" t="str">
        <f>IFERROR(__xludf.DUMMYFUNCTION("""COMPUTED_VALUE"""),"Gessner")</f>
        <v>Gessner</v>
      </c>
      <c r="B166" s="3" t="str">
        <f>IFERROR(__xludf.DUMMYFUNCTION("""COMPUTED_VALUE"""),"Conrad")</f>
        <v>Conrad</v>
      </c>
      <c r="C166" s="3" t="str">
        <f>IFERROR(__xludf.DUMMYFUNCTION("""COMPUTED_VALUE"""),"Suisse")</f>
        <v>Suisse</v>
      </c>
      <c r="D166" s="3">
        <f>IFERROR(__xludf.DUMMYFUNCTION("""COMPUTED_VALUE"""),1516.0)</f>
        <v>1516</v>
      </c>
      <c r="E166" s="3">
        <f>IFERROR(__xludf.DUMMYFUNCTION("""COMPUTED_VALUE"""),1565.0)</f>
        <v>1565</v>
      </c>
      <c r="F166" s="3" t="str">
        <f>IFERROR(__xludf.DUMMYFUNCTION("""COMPUTED_VALUE"""),"Naturaliste et alpiniste.")</f>
        <v>Naturaliste et alpiniste.</v>
      </c>
      <c r="G166" s="3"/>
      <c r="H166" s="3"/>
    </row>
    <row r="167">
      <c r="A167" s="3" t="str">
        <f>IFERROR(__xludf.DUMMYFUNCTION("""COMPUTED_VALUE"""),"Ghirardini")</f>
        <v>Ghirardini</v>
      </c>
      <c r="B167" s="3" t="str">
        <f>IFERROR(__xludf.DUMMYFUNCTION("""COMPUTED_VALUE"""),"Ivano")</f>
        <v>Ivano</v>
      </c>
      <c r="C167" s="3" t="str">
        <f>IFERROR(__xludf.DUMMYFUNCTION("""COMPUTED_VALUE"""),"France")</f>
        <v>France</v>
      </c>
      <c r="D167" s="3">
        <f>IFERROR(__xludf.DUMMYFUNCTION("""COMPUTED_VALUE"""),1953.0)</f>
        <v>1953</v>
      </c>
      <c r="E167" s="3"/>
      <c r="F167" s="3" t="str">
        <f>IFERROR(__xludf.DUMMYFUNCTION("""COMPUTED_VALUE"""),"Première trilogie hivernale solitaire Jorasses/Cervin/Eiger sans 
assistance.")</f>
        <v>Première trilogie hivernale solitaire Jorasses/Cervin/Eiger sans 
assistance.</v>
      </c>
      <c r="G167" s="3"/>
      <c r="H167" s="3"/>
    </row>
    <row r="168">
      <c r="A168" s="3" t="str">
        <f>IFERROR(__xludf.DUMMYFUNCTION("""COMPUTED_VALUE"""),"Gill")</f>
        <v>Gill</v>
      </c>
      <c r="B168" s="3" t="str">
        <f>IFERROR(__xludf.DUMMYFUNCTION("""COMPUTED_VALUE"""),"John")</f>
        <v>John</v>
      </c>
      <c r="C168" s="3" t="str">
        <f>IFERROR(__xludf.DUMMYFUNCTION("""COMPUTED_VALUE"""),"États-Unis")</f>
        <v>États-Unis</v>
      </c>
      <c r="D168" s="3">
        <f>IFERROR(__xludf.DUMMYFUNCTION("""COMPUTED_VALUE"""),1937.0)</f>
        <v>1937</v>
      </c>
      <c r="E168" s="3"/>
      <c r="F168" s="3" t="str">
        <f>IFERROR(__xludf.DUMMYFUNCTION("""COMPUTED_VALUE"""),"Père du bloc moderne. Introduit la magnésie et les mouvements modernes dans 
les années 1950.")</f>
        <v>Père du bloc moderne. Introduit la magnésie et les mouvements modernes dans 
les années 1950.</v>
      </c>
      <c r="G168" s="3"/>
      <c r="H168" s="3"/>
    </row>
    <row r="169">
      <c r="A169" s="3" t="str">
        <f>IFERROR(__xludf.DUMMYFUNCTION("""COMPUTED_VALUE"""),"Glowacz")</f>
        <v>Glowacz</v>
      </c>
      <c r="B169" s="3" t="str">
        <f>IFERROR(__xludf.DUMMYFUNCTION("""COMPUTED_VALUE"""),"Stefan")</f>
        <v>Stefan</v>
      </c>
      <c r="C169" s="3" t="str">
        <f>IFERROR(__xludf.DUMMYFUNCTION("""COMPUTED_VALUE"""),"Allemagne")</f>
        <v>Allemagne</v>
      </c>
      <c r="D169" s="3">
        <f>IFERROR(__xludf.DUMMYFUNCTION("""COMPUTED_VALUE"""),1965.0)</f>
        <v>1965</v>
      </c>
      <c r="E169" s="3"/>
      <c r="F169" s="3" t="str">
        <f>IFERROR(__xludf.DUMMYFUNCTION("""COMPUTED_VALUE"""),"Grimpeur professionnel.")</f>
        <v>Grimpeur professionnel.</v>
      </c>
      <c r="G169" s="3"/>
      <c r="H169" s="3"/>
    </row>
    <row r="170">
      <c r="A170" s="3" t="str">
        <f>IFERROR(__xludf.DUMMYFUNCTION("""COMPUTED_VALUE"""),"Goodwin")</f>
        <v>Goodwin</v>
      </c>
      <c r="B170" s="3" t="str">
        <f>IFERROR(__xludf.DUMMYFUNCTION("""COMPUTED_VALUE"""),"Dan")</f>
        <v>Dan</v>
      </c>
      <c r="C170" s="3" t="str">
        <f>IFERROR(__xludf.DUMMYFUNCTION("""COMPUTED_VALUE"""),"États-Unis")</f>
        <v>États-Unis</v>
      </c>
      <c r="D170" s="3">
        <f>IFERROR(__xludf.DUMMYFUNCTION("""COMPUTED_VALUE"""),1955.0)</f>
        <v>1955</v>
      </c>
      <c r="E170" s="3"/>
      <c r="F170" s="3" t="str">
        <f>IFERROR(__xludf.DUMMYFUNCTION("""COMPUTED_VALUE"""),"Escalade le World Trade Center, la Willis Tower, le 875 North Michigan 
Avenue et la tour CN.")</f>
        <v>Escalade le World Trade Center, la Willis Tower, le 875 North Michigan 
Avenue et la tour CN.</v>
      </c>
      <c r="G170" s="3"/>
      <c r="H170" s="3"/>
    </row>
    <row r="171">
      <c r="A171" s="3" t="str">
        <f>IFERROR(__xludf.DUMMYFUNCTION("""COMPUTED_VALUE"""),"Graham")</f>
        <v>Graham</v>
      </c>
      <c r="B171" s="3" t="str">
        <f>IFERROR(__xludf.DUMMYFUNCTION("""COMPUTED_VALUE"""),"Dave")</f>
        <v>Dave</v>
      </c>
      <c r="C171" s="3" t="str">
        <f>IFERROR(__xludf.DUMMYFUNCTION("""COMPUTED_VALUE"""),"États-Unis")</f>
        <v>États-Unis</v>
      </c>
      <c r="D171" s="3">
        <f>IFERROR(__xludf.DUMMYFUNCTION("""COMPUTED_VALUE"""),1981.0)</f>
        <v>1981</v>
      </c>
      <c r="E171" s="3"/>
      <c r="F171" s="3" t="str">
        <f>IFERROR(__xludf.DUMMYFUNCTION("""COMPUTED_VALUE"""),"Grimpeur et pratiquant de bloc.")</f>
        <v>Grimpeur et pratiquant de bloc.</v>
      </c>
      <c r="G171" s="3"/>
      <c r="H171" s="3"/>
    </row>
    <row r="172">
      <c r="A172" s="3" t="str">
        <f>IFERROR(__xludf.DUMMYFUNCTION("""COMPUTED_VALUE"""),"Granheim")</f>
        <v>Granheim</v>
      </c>
      <c r="B172" s="3" t="str">
        <f>IFERROR(__xludf.DUMMYFUNCTION("""COMPUTED_VALUE"""),"Tormod")</f>
        <v>Tormod</v>
      </c>
      <c r="C172" s="3" t="str">
        <f>IFERROR(__xludf.DUMMYFUNCTION("""COMPUTED_VALUE"""),"Norvège")</f>
        <v>Norvège</v>
      </c>
      <c r="D172" s="3">
        <f>IFERROR(__xludf.DUMMYFUNCTION("""COMPUTED_VALUE"""),1974.0)</f>
        <v>1974</v>
      </c>
      <c r="E172" s="3"/>
      <c r="F172" s="3" t="str">
        <f>IFERROR(__xludf.DUMMYFUNCTION("""COMPUTED_VALUE"""),"Grimpeur et skieur extrême. Première descente à ski de la face nord de l'
Everest en 2006.")</f>
        <v>Grimpeur et skieur extrême. Première descente à ski de la face nord de l'
Everest en 2006.</v>
      </c>
      <c r="G172" s="3"/>
      <c r="H172" s="3"/>
    </row>
    <row r="173">
      <c r="A173" s="3" t="str">
        <f>IFERROR(__xludf.DUMMYFUNCTION("""COMPUTED_VALUE"""),"Graftiaux")</f>
        <v>Graftiaux</v>
      </c>
      <c r="B173" s="3" t="str">
        <f>IFERROR(__xludf.DUMMYFUNCTION("""COMPUTED_VALUE"""),"Chloé")</f>
        <v>Chloé</v>
      </c>
      <c r="C173" s="3" t="str">
        <f>IFERROR(__xludf.DUMMYFUNCTION("""COMPUTED_VALUE"""),"Belgique")</f>
        <v>Belgique</v>
      </c>
      <c r="D173" s="3">
        <f>IFERROR(__xludf.DUMMYFUNCTION("""COMPUTED_VALUE"""),1987.0)</f>
        <v>1987</v>
      </c>
      <c r="E173" s="3">
        <f>IFERROR(__xludf.DUMMYFUNCTION("""COMPUTED_VALUE"""),2010.0)</f>
        <v>2010</v>
      </c>
      <c r="F173" s="3" t="str">
        <f>IFERROR(__xludf.DUMMYFUNCTION("""COMPUTED_VALUE"""),"Escalade sportive et alpinisme.")</f>
        <v>Escalade sportive et alpinisme.</v>
      </c>
      <c r="G173" s="3"/>
      <c r="H173" s="3"/>
    </row>
    <row r="174">
      <c r="A174" s="3" t="str">
        <f>IFERROR(__xludf.DUMMYFUNCTION("""COMPUTED_VALUE"""),"Green")</f>
        <v>Green</v>
      </c>
      <c r="B174" s="3" t="str">
        <f>IFERROR(__xludf.DUMMYFUNCTION("""COMPUTED_VALUE"""),"William Spotswood")</f>
        <v>William Spotswood</v>
      </c>
      <c r="C174" s="3" t="str">
        <f>IFERROR(__xludf.DUMMYFUNCTION("""COMPUTED_VALUE"""),"Royaume-Uni")</f>
        <v>Royaume-Uni</v>
      </c>
      <c r="D174" s="3">
        <f>IFERROR(__xludf.DUMMYFUNCTION("""COMPUTED_VALUE"""),1847.0)</f>
        <v>1847</v>
      </c>
      <c r="E174" s="3">
        <f>IFERROR(__xludf.DUMMYFUNCTION("""COMPUTED_VALUE"""),1919.0)</f>
        <v>1919</v>
      </c>
      <c r="F174" s="3" t="str">
        <f>IFERROR(__xludf.DUMMYFUNCTION("""COMPUTED_VALUE"""),"Tentative sur le mont Cook en Nouvelle-Zélande.")</f>
        <v>Tentative sur le mont Cook en Nouvelle-Zélande.</v>
      </c>
      <c r="G174" s="3"/>
      <c r="H174" s="3"/>
    </row>
    <row r="175">
      <c r="A175" s="3" t="str">
        <f>IFERROR(__xludf.DUMMYFUNCTION("""COMPUTED_VALUE"""),"Grohmann")</f>
        <v>Grohmann</v>
      </c>
      <c r="B175" s="3" t="str">
        <f>IFERROR(__xludf.DUMMYFUNCTION("""COMPUTED_VALUE"""),"Paul")</f>
        <v>Paul</v>
      </c>
      <c r="C175" s="3" t="str">
        <f>IFERROR(__xludf.DUMMYFUNCTION("""COMPUTED_VALUE"""),"Autriche")</f>
        <v>Autriche</v>
      </c>
      <c r="D175" s="3">
        <f>IFERROR(__xludf.DUMMYFUNCTION("""COMPUTED_VALUE"""),1838.0)</f>
        <v>1838</v>
      </c>
      <c r="E175" s="3">
        <f>IFERROR(__xludf.DUMMYFUNCTION("""COMPUTED_VALUE"""),1908.0)</f>
        <v>1908</v>
      </c>
      <c r="F175" s="3" t="str">
        <f>IFERROR(__xludf.DUMMYFUNCTION("""COMPUTED_VALUE"""),"De nombreuses premières ascensions au dix-neuvième siècle.")</f>
        <v>De nombreuses premières ascensions au dix-neuvième siècle.</v>
      </c>
      <c r="G175" s="3"/>
      <c r="H175" s="3"/>
    </row>
    <row r="176">
      <c r="A176" s="3" t="str">
        <f>IFERROR(__xludf.DUMMYFUNCTION("""COMPUTED_VALUE"""),"Groom")</f>
        <v>Groom</v>
      </c>
      <c r="B176" s="3" t="str">
        <f>IFERROR(__xludf.DUMMYFUNCTION("""COMPUTED_VALUE"""),"Michael")</f>
        <v>Michael</v>
      </c>
      <c r="C176" s="3" t="str">
        <f>IFERROR(__xludf.DUMMYFUNCTION("""COMPUTED_VALUE"""),"Australie")</f>
        <v>Australie</v>
      </c>
      <c r="D176" s="3">
        <f>IFERROR(__xludf.DUMMYFUNCTION("""COMPUTED_VALUE"""),1959.0)</f>
        <v>1959</v>
      </c>
      <c r="E176" s="3"/>
      <c r="F176" s="3" t="str">
        <f>IFERROR(__xludf.DUMMYFUNCTION("""COMPUTED_VALUE"""),"Ascensions du Lhotse, du Kangchenjunga, du K2 et de l'Everest sans 
bouteille d'oxygène.")</f>
        <v>Ascensions du Lhotse, du Kangchenjunga, du K2 et de l'Everest sans 
bouteille d'oxygène.</v>
      </c>
      <c r="G176" s="3"/>
      <c r="H176" s="3"/>
    </row>
    <row r="177">
      <c r="A177" s="3" t="str">
        <f>IFERROR(__xludf.DUMMYFUNCTION("""COMPUTED_VALUE"""),"Grylls")</f>
        <v>Grylls</v>
      </c>
      <c r="B177" s="3" t="str">
        <f>IFERROR(__xludf.DUMMYFUNCTION("""COMPUTED_VALUE"""),"Edward Michael")</f>
        <v>Edward Michael</v>
      </c>
      <c r="C177" s="3" t="str">
        <f>IFERROR(__xludf.DUMMYFUNCTION("""COMPUTED_VALUE"""),"Royaume-Uni")</f>
        <v>Royaume-Uni</v>
      </c>
      <c r="D177" s="3">
        <f>IFERROR(__xludf.DUMMYFUNCTION("""COMPUTED_VALUE"""),1974.0)</f>
        <v>1974</v>
      </c>
      <c r="E177" s="3"/>
      <c r="F177" s="3" t="str">
        <f>IFERROR(__xludf.DUMMYFUNCTION("""COMPUTED_VALUE"""),"En 1998, à l'âge de 23 ans, il est le plus jeune britannique à atteindre le 
sommet de l'Everest.")</f>
        <v>En 1998, à l'âge de 23 ans, il est le plus jeune britannique à atteindre le 
sommet de l'Everest.</v>
      </c>
      <c r="G177" s="3"/>
      <c r="H177" s="3"/>
    </row>
    <row r="178">
      <c r="A178" s="3" t="str">
        <f>IFERROR(__xludf.DUMMYFUNCTION("""COMPUTED_VALUE"""),"Güllich")</f>
        <v>Güllich</v>
      </c>
      <c r="B178" s="3" t="str">
        <f>IFERROR(__xludf.DUMMYFUNCTION("""COMPUTED_VALUE"""),"Wolfgang")</f>
        <v>Wolfgang</v>
      </c>
      <c r="C178" s="3" t="str">
        <f>IFERROR(__xludf.DUMMYFUNCTION("""COMPUTED_VALUE"""),"Allemagne")</f>
        <v>Allemagne</v>
      </c>
      <c r="D178" s="3">
        <f>IFERROR(__xludf.DUMMYFUNCTION("""COMPUTED_VALUE"""),1960.0)</f>
        <v>1960</v>
      </c>
      <c r="E178" s="3">
        <f>IFERROR(__xludf.DUMMYFUNCTION("""COMPUTED_VALUE"""),1992.0)</f>
        <v>1992</v>
      </c>
      <c r="F178" s="3" t="str">
        <f>IFERROR(__xludf.DUMMYFUNCTION("""COMPUTED_VALUE"""),"Pratiquant de bloc et d'escalade. Premier 9a - Action directe (1991).")</f>
        <v>Pratiquant de bloc et d'escalade. Premier 9a - Action directe (1991).</v>
      </c>
      <c r="G178" s="3"/>
      <c r="H178" s="3"/>
    </row>
    <row r="179">
      <c r="A179" s="3" t="str">
        <f>IFERROR(__xludf.DUMMYFUNCTION("""COMPUTED_VALUE"""),"Guthrie")</f>
        <v>Guthrie</v>
      </c>
      <c r="B179" s="3" t="str">
        <f>IFERROR(__xludf.DUMMYFUNCTION("""COMPUTED_VALUE"""),"Jesse")</f>
        <v>Jesse</v>
      </c>
      <c r="C179" s="3" t="str">
        <f>IFERROR(__xludf.DUMMYFUNCTION("""COMPUTED_VALUE"""),"États-Unis")</f>
        <v>États-Unis</v>
      </c>
      <c r="D179" s="3">
        <f>IFERROR(__xludf.DUMMYFUNCTION("""COMPUTED_VALUE"""),1958.0)</f>
        <v>1958</v>
      </c>
      <c r="E179" s="3"/>
      <c r="F179" s="3" t="str">
        <f>IFERROR(__xludf.DUMMYFUNCTION("""COMPUTED_VALUE"""),"Un des pionniers de l'escalade sportive aux États-Unis.")</f>
        <v>Un des pionniers de l'escalade sportive aux États-Unis.</v>
      </c>
      <c r="G179" s="3"/>
      <c r="H179" s="3"/>
    </row>
    <row r="180">
      <c r="A180" s="3" t="str">
        <f>IFERROR(__xludf.DUMMYFUNCTION("""COMPUTED_VALUE"""),"Güssfeldt")</f>
        <v>Güssfeldt</v>
      </c>
      <c r="B180" s="3" t="str">
        <f>IFERROR(__xludf.DUMMYFUNCTION("""COMPUTED_VALUE"""),"Paul")</f>
        <v>Paul</v>
      </c>
      <c r="C180" s="3" t="str">
        <f>IFERROR(__xludf.DUMMYFUNCTION("""COMPUTED_VALUE"""),"Allemagne")</f>
        <v>Allemagne</v>
      </c>
      <c r="D180" s="3">
        <f>IFERROR(__xludf.DUMMYFUNCTION("""COMPUTED_VALUE"""),1840.0)</f>
        <v>1840</v>
      </c>
      <c r="E180" s="3">
        <f>IFERROR(__xludf.DUMMYFUNCTION("""COMPUTED_VALUE"""),1920.0)</f>
        <v>1920</v>
      </c>
      <c r="F180" s="3" t="str">
        <f>IFERROR(__xludf.DUMMYFUNCTION("""COMPUTED_VALUE"""),"Première ascension de l'arête principale de l'aiguille Blanche de Peuterey 
et Piz Scerscen. Première tentative européenne sur l'Aconcagua en 1883.")</f>
        <v>Première ascension de l'arête principale de l'aiguille Blanche de Peuterey 
et Piz Scerscen. Première tentative européenne sur l'Aconcagua en 1883.</v>
      </c>
      <c r="G180" s="3"/>
      <c r="H180" s="3"/>
    </row>
    <row r="181">
      <c r="A181" s="3" t="str">
        <f>IFERROR(__xludf.DUMMYFUNCTION("""COMPUTED_VALUE"""),"Gustafsson")</f>
        <v>Gustafsson</v>
      </c>
      <c r="B181" s="3" t="str">
        <f>IFERROR(__xludf.DUMMYFUNCTION("""COMPUTED_VALUE"""),"Veikka")</f>
        <v>Veikka</v>
      </c>
      <c r="C181" s="3" t="str">
        <f>IFERROR(__xludf.DUMMYFUNCTION("""COMPUTED_VALUE"""),"Finlande")</f>
        <v>Finlande</v>
      </c>
      <c r="D181" s="3">
        <f>IFERROR(__xludf.DUMMYFUNCTION("""COMPUTED_VALUE"""),1968.0)</f>
        <v>1968</v>
      </c>
      <c r="E181" s="3"/>
      <c r="F181" s="3" t="str">
        <f>IFERROR(__xludf.DUMMYFUNCTION("""COMPUTED_VALUE"""),"Tous sommets de plus de 8 000 mètres d'altitude entre 1993 et 2009.")</f>
        <v>Tous sommets de plus de 8 000 mètres d'altitude entre 1993 et 2009.</v>
      </c>
      <c r="G181" s="3"/>
      <c r="H181" s="3"/>
    </row>
    <row r="182">
      <c r="A182" s="3" t="str">
        <f>IFERROR(__xludf.DUMMYFUNCTION("""COMPUTED_VALUE"""),"Habeler")</f>
        <v>Habeler</v>
      </c>
      <c r="B182" s="3" t="str">
        <f>IFERROR(__xludf.DUMMYFUNCTION("""COMPUTED_VALUE"""),"Peter")</f>
        <v>Peter</v>
      </c>
      <c r="C182" s="3" t="str">
        <f>IFERROR(__xludf.DUMMYFUNCTION("""COMPUTED_VALUE"""),"Autriche")</f>
        <v>Autriche</v>
      </c>
      <c r="D182" s="3">
        <f>IFERROR(__xludf.DUMMYFUNCTION("""COMPUTED_VALUE"""),1942.0)</f>
        <v>1942</v>
      </c>
      <c r="E182" s="3"/>
      <c r="F182" s="3" t="str">
        <f>IFERROR(__xludf.DUMMYFUNCTION("""COMPUTED_VALUE"""),"Première ascension de l'Everest sans bouteille d'oxygène en 1978 avec Reinhold 
Messner.")</f>
        <v>Première ascension de l'Everest sans bouteille d'oxygène en 1978 avec Reinhold 
Messner.</v>
      </c>
      <c r="G182" s="3"/>
      <c r="H182" s="3"/>
    </row>
    <row r="183">
      <c r="A183" s="3" t="str">
        <f>IFERROR(__xludf.DUMMYFUNCTION("""COMPUTED_VALUE"""),"Hadow")</f>
        <v>Hadow</v>
      </c>
      <c r="B183" s="3" t="str">
        <f>IFERROR(__xludf.DUMMYFUNCTION("""COMPUTED_VALUE"""),"Douglas Robert")</f>
        <v>Douglas Robert</v>
      </c>
      <c r="C183" s="3" t="str">
        <f>IFERROR(__xludf.DUMMYFUNCTION("""COMPUTED_VALUE"""),"Royaume-Uni")</f>
        <v>Royaume-Uni</v>
      </c>
      <c r="D183" s="3">
        <f>IFERROR(__xludf.DUMMYFUNCTION("""COMPUTED_VALUE"""),1846.0)</f>
        <v>1846</v>
      </c>
      <c r="E183" s="3">
        <f>IFERROR(__xludf.DUMMYFUNCTION("""COMPUTED_VALUE"""),1865.0)</f>
        <v>1865</v>
      </c>
      <c r="F183" s="3" t="str">
        <f>IFERROR(__xludf.DUMMYFUNCTION("""COMPUTED_VALUE"""),"Meurt durant la première ascension du Cervin (1865).")</f>
        <v>Meurt durant la première ascension du Cervin (1865).</v>
      </c>
      <c r="G183" s="3"/>
      <c r="H183" s="3"/>
    </row>
    <row r="184">
      <c r="A184" s="3" t="str">
        <f>IFERROR(__xludf.DUMMYFUNCTION("""COMPUTED_VALUE"""),"Hahn")</f>
        <v>Hahn</v>
      </c>
      <c r="B184" s="3" t="str">
        <f>IFERROR(__xludf.DUMMYFUNCTION("""COMPUTED_VALUE"""),"Dave")</f>
        <v>Dave</v>
      </c>
      <c r="C184" s="3" t="str">
        <f>IFERROR(__xludf.DUMMYFUNCTION("""COMPUTED_VALUE"""),"États-Unis")</f>
        <v>États-Unis</v>
      </c>
      <c r="D184" s="3">
        <f>IFERROR(__xludf.DUMMYFUNCTION("""COMPUTED_VALUE"""),1961.0)</f>
        <v>1961</v>
      </c>
      <c r="E184" s="3"/>
      <c r="F184" s="3" t="str">
        <f>IFERROR(__xludf.DUMMYFUNCTION("""COMPUTED_VALUE"""),"11 ascensions de l'Everest, 26 dans le massif Vinson, 19 du mont McKinley.")</f>
        <v>11 ascensions de l'Everest, 26 dans le massif Vinson, 19 du mont McKinley.</v>
      </c>
      <c r="G184" s="3"/>
      <c r="H184" s="3"/>
    </row>
    <row r="185">
      <c r="A185" s="3" t="str">
        <f>IFERROR(__xludf.DUMMYFUNCTION("""COMPUTED_VALUE"""),"Hall")</f>
        <v>Hall</v>
      </c>
      <c r="B185" s="3" t="str">
        <f>IFERROR(__xludf.DUMMYFUNCTION("""COMPUTED_VALUE"""),"Lincoln")</f>
        <v>Lincoln</v>
      </c>
      <c r="C185" s="3" t="str">
        <f>IFERROR(__xludf.DUMMYFUNCTION("""COMPUTED_VALUE"""),"Australie")</f>
        <v>Australie</v>
      </c>
      <c r="D185" s="3">
        <f>IFERROR(__xludf.DUMMYFUNCTION("""COMPUTED_VALUE"""),1956.0)</f>
        <v>1956</v>
      </c>
      <c r="E185" s="3"/>
      <c r="F185" s="3" t="str">
        <f>IFERROR(__xludf.DUMMYFUNCTION("""COMPUTED_VALUE"""),"Sauvé à 8 700 m durant sa descente de l'Everest en 2006.")</f>
        <v>Sauvé à 8 700 m durant sa descente de l'Everest en 2006.</v>
      </c>
      <c r="G185" s="3"/>
      <c r="H185" s="3"/>
    </row>
    <row r="186">
      <c r="A186" s="3" t="str">
        <f>IFERROR(__xludf.DUMMYFUNCTION("""COMPUTED_VALUE"""),"Hall")</f>
        <v>Hall</v>
      </c>
      <c r="B186" s="3" t="str">
        <f>IFERROR(__xludf.DUMMYFUNCTION("""COMPUTED_VALUE"""),"Rob")</f>
        <v>Rob</v>
      </c>
      <c r="C186" s="3" t="str">
        <f>IFERROR(__xludf.DUMMYFUNCTION("""COMPUTED_VALUE"""),"Nouvelle-Zélande")</f>
        <v>Nouvelle-Zélande</v>
      </c>
      <c r="D186" s="3">
        <f>IFERROR(__xludf.DUMMYFUNCTION("""COMPUTED_VALUE"""),1960.0)</f>
        <v>1960</v>
      </c>
      <c r="E186" s="3">
        <f>IFERROR(__xludf.DUMMYFUNCTION("""COMPUTED_VALUE"""),1996.0)</f>
        <v>1996</v>
      </c>
      <c r="F186" s="3" t="str">
        <f>IFERROR(__xludf.DUMMYFUNCTION("""COMPUTED_VALUE"""),"Sept Sommets en sept mois. Meurt durant le désastre sur l'Everest de 1996.")</f>
        <v>Sept Sommets en sept mois. Meurt durant le désastre sur l'Everest de 1996.</v>
      </c>
      <c r="G186" s="3"/>
      <c r="H186" s="3"/>
    </row>
    <row r="187">
      <c r="A187" s="3" t="str">
        <f>IFERROR(__xludf.DUMMYFUNCTION("""COMPUTED_VALUE"""),"Harding")</f>
        <v>Harding</v>
      </c>
      <c r="B187" s="3" t="str">
        <f>IFERROR(__xludf.DUMMYFUNCTION("""COMPUTED_VALUE"""),"Peter")</f>
        <v>Peter</v>
      </c>
      <c r="C187" s="3" t="str">
        <f>IFERROR(__xludf.DUMMYFUNCTION("""COMPUTED_VALUE"""),"Royaume-Uni")</f>
        <v>Royaume-Uni</v>
      </c>
      <c r="D187" s="3">
        <f>IFERROR(__xludf.DUMMYFUNCTION("""COMPUTED_VALUE"""),1924.0)</f>
        <v>1924</v>
      </c>
      <c r="E187" s="3">
        <f>IFERROR(__xludf.DUMMYFUNCTION("""COMPUTED_VALUE"""),2007.0)</f>
        <v>2007</v>
      </c>
      <c r="F187" s="3" t="str">
        <f>IFERROR(__xludf.DUMMYFUNCTION("""COMPUTED_VALUE"""),"Grimpeur des années 1940.")</f>
        <v>Grimpeur des années 1940.</v>
      </c>
      <c r="G187" s="3"/>
      <c r="H187" s="3"/>
    </row>
    <row r="188">
      <c r="A188" s="3" t="str">
        <f>IFERROR(__xludf.DUMMYFUNCTION("""COMPUTED_VALUE"""),"Harding")</f>
        <v>Harding</v>
      </c>
      <c r="B188" s="3" t="str">
        <f>IFERROR(__xludf.DUMMYFUNCTION("""COMPUTED_VALUE"""),"Warren")</f>
        <v>Warren</v>
      </c>
      <c r="C188" s="3" t="str">
        <f>IFERROR(__xludf.DUMMYFUNCTION("""COMPUTED_VALUE"""),"États-Unis")</f>
        <v>États-Unis</v>
      </c>
      <c r="D188" s="3">
        <f>IFERROR(__xludf.DUMMYFUNCTION("""COMPUTED_VALUE"""),1924.0)</f>
        <v>1924</v>
      </c>
      <c r="E188" s="3">
        <f>IFERROR(__xludf.DUMMYFUNCTION("""COMPUTED_VALUE"""),2002.0)</f>
        <v>2002</v>
      </c>
      <c r="F188" s="3" t="str">
        <f>IFERROR(__xludf.DUMMYFUNCTION("""COMPUTED_VALUE"""),"Première ascension de El Capitan.")</f>
        <v>Première ascension de El Capitan.</v>
      </c>
      <c r="G188" s="3"/>
      <c r="H188" s="3"/>
    </row>
    <row r="189">
      <c r="A189" s="3" t="str">
        <f>IFERROR(__xludf.DUMMYFUNCTION("""COMPUTED_VALUE"""),"Hargreaves")</f>
        <v>Hargreaves</v>
      </c>
      <c r="B189" s="3" t="str">
        <f>IFERROR(__xludf.DUMMYFUNCTION("""COMPUTED_VALUE"""),"Alison")</f>
        <v>Alison</v>
      </c>
      <c r="C189" s="3" t="str">
        <f>IFERROR(__xludf.DUMMYFUNCTION("""COMPUTED_VALUE"""),"Royaume-Uni")</f>
        <v>Royaume-Uni</v>
      </c>
      <c r="D189" s="3">
        <f>IFERROR(__xludf.DUMMYFUNCTION("""COMPUTED_VALUE"""),1963.0)</f>
        <v>1963</v>
      </c>
      <c r="E189" s="3">
        <f>IFERROR(__xludf.DUMMYFUNCTION("""COMPUTED_VALUE"""),1995.0)</f>
        <v>1995</v>
      </c>
      <c r="F189" s="3" t="str">
        <f>IFERROR(__xludf.DUMMYFUNCTION("""COMPUTED_VALUE"""),"Première ascension féminine sans assistance de l'Everest en 1995, meurt 
dans la descente du K2.")</f>
        <v>Première ascension féminine sans assistance de l'Everest en 1995, meurt 
dans la descente du K2.</v>
      </c>
      <c r="G189" s="3"/>
      <c r="H189" s="3"/>
    </row>
    <row r="190">
      <c r="A190" s="3" t="str">
        <f>IFERROR(__xludf.DUMMYFUNCTION("""COMPUTED_VALUE"""),"Harlin")</f>
        <v>Harlin</v>
      </c>
      <c r="B190" s="3" t="str">
        <f>IFERROR(__xludf.DUMMYFUNCTION("""COMPUTED_VALUE"""),"John")</f>
        <v>John</v>
      </c>
      <c r="C190" s="3" t="str">
        <f>IFERROR(__xludf.DUMMYFUNCTION("""COMPUTED_VALUE"""),"États-Unis")</f>
        <v>États-Unis</v>
      </c>
      <c r="D190" s="3">
        <f>IFERROR(__xludf.DUMMYFUNCTION("""COMPUTED_VALUE"""),1934.0)</f>
        <v>1934</v>
      </c>
      <c r="E190" s="3">
        <f>IFERROR(__xludf.DUMMYFUNCTION("""COMPUTED_VALUE"""),1966.0)</f>
        <v>1966</v>
      </c>
      <c r="F190" s="3" t="str">
        <f>IFERROR(__xludf.DUMMYFUNCTION("""COMPUTED_VALUE"""),"Pionnier de la voie directe. Meurt dans la face nord de l'Eiger.")</f>
        <v>Pionnier de la voie directe. Meurt dans la face nord de l'Eiger.</v>
      </c>
      <c r="G190" s="3"/>
      <c r="H190" s="3"/>
    </row>
    <row r="191">
      <c r="A191" s="3" t="str">
        <f>IFERROR(__xludf.DUMMYFUNCTION("""COMPUTED_VALUE"""),"Harrer")</f>
        <v>Harrer</v>
      </c>
      <c r="B191" s="3" t="str">
        <f>IFERROR(__xludf.DUMMYFUNCTION("""COMPUTED_VALUE"""),"Heinrich")</f>
        <v>Heinrich</v>
      </c>
      <c r="C191" s="3" t="str">
        <f>IFERROR(__xludf.DUMMYFUNCTION("""COMPUTED_VALUE"""),"Autriche")</f>
        <v>Autriche</v>
      </c>
      <c r="D191" s="3">
        <f>IFERROR(__xludf.DUMMYFUNCTION("""COMPUTED_VALUE"""),1912.0)</f>
        <v>1912</v>
      </c>
      <c r="E191" s="3">
        <f>IFERROR(__xludf.DUMMYFUNCTION("""COMPUTED_VALUE"""),2006.0)</f>
        <v>2006</v>
      </c>
      <c r="F191" s="3" t="str">
        <f>IFERROR(__xludf.DUMMYFUNCTION("""COMPUTED_VALUE"""),"Première ascension de la face nord de l'Eiger en 1938 et du Puncak Jaya en 
1962. Auteur de *Sieben Jahre in Tibet. Mein Leben am Hofe des Dalai Lama*.")</f>
        <v>Première ascension de la face nord de l'Eiger en 1938 et du Puncak Jaya en 
1962. Auteur de *Sieben Jahre in Tibet. Mein Leben am Hofe des Dalai Lama*.</v>
      </c>
      <c r="G191" s="3"/>
      <c r="H191" s="3"/>
    </row>
    <row r="192">
      <c r="A192" s="3" t="str">
        <f>IFERROR(__xludf.DUMMYFUNCTION("""COMPUTED_VALUE"""),"Harrison")</f>
        <v>Harrison</v>
      </c>
      <c r="B192" s="3" t="str">
        <f>IFERROR(__xludf.DUMMYFUNCTION("""COMPUTED_VALUE"""),"Ginette")</f>
        <v>Ginette</v>
      </c>
      <c r="C192" s="3" t="str">
        <f>IFERROR(__xludf.DUMMYFUNCTION("""COMPUTED_VALUE"""),"Royaume-Uni")</f>
        <v>Royaume-Uni</v>
      </c>
      <c r="D192" s="3">
        <f>IFERROR(__xludf.DUMMYFUNCTION("""COMPUTED_VALUE"""),1958.0)</f>
        <v>1958</v>
      </c>
      <c r="E192" s="3">
        <f>IFERROR(__xludf.DUMMYFUNCTION("""COMPUTED_VALUE"""),1999.0)</f>
        <v>1999</v>
      </c>
      <c r="F192" s="3" t="str">
        <f>IFERROR(__xludf.DUMMYFUNCTION("""COMPUTED_VALUE"""),"Sept Sommets. Première ascension féminine au Kangchenjunga en 1998. Morte 
sur le Dhaulagiri.")</f>
        <v>Sept Sommets. Première ascension féminine au Kangchenjunga en 1998. Morte 
sur le Dhaulagiri.</v>
      </c>
      <c r="G192" s="3"/>
      <c r="H192" s="3"/>
    </row>
    <row r="193">
      <c r="A193" s="3" t="str">
        <f>IFERROR(__xludf.DUMMYFUNCTION("""COMPUTED_VALUE"""),"Haston")</f>
        <v>Haston</v>
      </c>
      <c r="B193" s="3" t="str">
        <f>IFERROR(__xludf.DUMMYFUNCTION("""COMPUTED_VALUE"""),"Douglas")</f>
        <v>Douglas</v>
      </c>
      <c r="C193" s="3" t="str">
        <f>IFERROR(__xludf.DUMMYFUNCTION("""COMPUTED_VALUE"""),"Royaume-Uni")</f>
        <v>Royaume-Uni</v>
      </c>
      <c r="D193" s="3">
        <f>IFERROR(__xludf.DUMMYFUNCTION("""COMPUTED_VALUE"""),1940.0)</f>
        <v>1940</v>
      </c>
      <c r="E193" s="3">
        <f>IFERROR(__xludf.DUMMYFUNCTION("""COMPUTED_VALUE"""),1977.0)</f>
        <v>1977</v>
      </c>
      <c r="F193" s="3" t="str">
        <f>IFERROR(__xludf.DUMMYFUNCTION("""COMPUTED_VALUE"""),"Première ascension de la face sud de l'Annapurna en 1970. Mort dans une 
avalanche près de Leysin.")</f>
        <v>Première ascension de la face sud de l'Annapurna en 1970. Mort dans une 
avalanche près de Leysin.</v>
      </c>
      <c r="G193" s="3"/>
      <c r="H193" s="3"/>
    </row>
    <row r="194">
      <c r="A194" s="3" t="str">
        <f>IFERROR(__xludf.DUMMYFUNCTION("""COMPUTED_VALUE"""),"Hawkins-Whitshed")</f>
        <v>Hawkins-Whitshed</v>
      </c>
      <c r="B194" s="3" t="str">
        <f>IFERROR(__xludf.DUMMYFUNCTION("""COMPUTED_VALUE"""),"Elizabeth")</f>
        <v>Elizabeth</v>
      </c>
      <c r="C194" s="3" t="str">
        <f>IFERROR(__xludf.DUMMYFUNCTION("""COMPUTED_VALUE"""),"Royaume-Uni")</f>
        <v>Royaume-Uni</v>
      </c>
      <c r="D194" s="3">
        <f>IFERROR(__xludf.DUMMYFUNCTION("""COMPUTED_VALUE"""),1860.0)</f>
        <v>1860</v>
      </c>
      <c r="E194" s="3">
        <f>IFERROR(__xludf.DUMMYFUNCTION("""COMPUTED_VALUE"""),1934.0)</f>
        <v>1934</v>
      </c>
      <c r="F194" s="3" t="str">
        <f>IFERROR(__xludf.DUMMYFUNCTION("""COMPUTED_VALUE"""),"Pionnière de l'alpinisme. Photographe de montagne et Auteur.")</f>
        <v>Pionnière de l'alpinisme. Photographe de montagne et Auteur.</v>
      </c>
      <c r="G194" s="3"/>
      <c r="H194" s="3"/>
    </row>
    <row r="195">
      <c r="A195" s="3" t="str">
        <f>IFERROR(__xludf.DUMMYFUNCTION("""COMPUTED_VALUE"""),"Heckmair")</f>
        <v>Heckmair</v>
      </c>
      <c r="B195" s="3" t="str">
        <f>IFERROR(__xludf.DUMMYFUNCTION("""COMPUTED_VALUE"""),"Anderl")</f>
        <v>Anderl</v>
      </c>
      <c r="C195" s="3" t="str">
        <f>IFERROR(__xludf.DUMMYFUNCTION("""COMPUTED_VALUE"""),"Allemagne")</f>
        <v>Allemagne</v>
      </c>
      <c r="D195" s="3">
        <f>IFERROR(__xludf.DUMMYFUNCTION("""COMPUTED_VALUE"""),1906.0)</f>
        <v>1906</v>
      </c>
      <c r="E195" s="3">
        <f>IFERROR(__xludf.DUMMYFUNCTION("""COMPUTED_VALUE"""),2005.0)</f>
        <v>2005</v>
      </c>
      <c r="F195" s="3" t="str">
        <f>IFERROR(__xludf.DUMMYFUNCTION("""COMPUTED_VALUE"""),"Première ascension avec Ludwig Vörg, Heinrich Harrer et Fritz Kasparek de 
la face nord de l'Eiger en 1938")</f>
        <v>Première ascension avec Ludwig Vörg, Heinrich Harrer et Fritz Kasparek de 
la face nord de l'Eiger en 1938</v>
      </c>
      <c r="G195" s="3"/>
      <c r="H195" s="3"/>
    </row>
    <row r="196">
      <c r="A196" s="3" t="str">
        <f>IFERROR(__xludf.DUMMYFUNCTION("""COMPUTED_VALUE"""),"Hemming")</f>
        <v>Hemming</v>
      </c>
      <c r="B196" s="3" t="str">
        <f>IFERROR(__xludf.DUMMYFUNCTION("""COMPUTED_VALUE"""),"Gary")</f>
        <v>Gary</v>
      </c>
      <c r="C196" s="3" t="str">
        <f>IFERROR(__xludf.DUMMYFUNCTION("""COMPUTED_VALUE"""),"États-Unis")</f>
        <v>États-Unis</v>
      </c>
      <c r="D196" s="3">
        <f>IFERROR(__xludf.DUMMYFUNCTION("""COMPUTED_VALUE"""),1934.0)</f>
        <v>1934</v>
      </c>
      <c r="E196" s="3">
        <f>IFERROR(__xludf.DUMMYFUNCTION("""COMPUTED_VALUE"""),1969.0)</f>
        <v>1969</v>
      </c>
      <c r="F196" s="3" t="str">
        <f>IFERROR(__xludf.DUMMYFUNCTION("""COMPUTED_VALUE"""),"Première ascension de la face sud de l'Aiguille du Fou.")</f>
        <v>Première ascension de la face sud de l'Aiguille du Fou.</v>
      </c>
      <c r="G196" s="3"/>
      <c r="H196" s="3"/>
    </row>
    <row r="197">
      <c r="A197" s="3" t="str">
        <f>IFERROR(__xludf.DUMMYFUNCTION("""COMPUTED_VALUE"""),"Herford")</f>
        <v>Herford</v>
      </c>
      <c r="B197" s="3" t="str">
        <f>IFERROR(__xludf.DUMMYFUNCTION("""COMPUTED_VALUE"""),"Siegfried")</f>
        <v>Siegfried</v>
      </c>
      <c r="C197" s="3" t="str">
        <f>IFERROR(__xludf.DUMMYFUNCTION("""COMPUTED_VALUE"""),"Royaume-Uni")</f>
        <v>Royaume-Uni</v>
      </c>
      <c r="D197" s="3">
        <f>IFERROR(__xludf.DUMMYFUNCTION("""COMPUTED_VALUE"""),1891.0)</f>
        <v>1891</v>
      </c>
      <c r="E197" s="3">
        <f>IFERROR(__xludf.DUMMYFUNCTION("""COMPUTED_VALUE"""),1914.0)</f>
        <v>1914</v>
      </c>
      <c r="F197" s="3" t="str">
        <f>IFERROR(__xludf.DUMMYFUNCTION("""COMPUTED_VALUE"""),"Première ascension du Scafell en 1914.")</f>
        <v>Première ascension du Scafell en 1914.</v>
      </c>
      <c r="G197" s="3"/>
      <c r="H197" s="3"/>
    </row>
    <row r="198">
      <c r="A198" s="3" t="str">
        <f>IFERROR(__xludf.DUMMYFUNCTION("""COMPUTED_VALUE"""),"Herzog")</f>
        <v>Herzog</v>
      </c>
      <c r="B198" s="3" t="str">
        <f>IFERROR(__xludf.DUMMYFUNCTION("""COMPUTED_VALUE"""),"Maurice")</f>
        <v>Maurice</v>
      </c>
      <c r="C198" s="3" t="str">
        <f>IFERROR(__xludf.DUMMYFUNCTION("""COMPUTED_VALUE"""),"France")</f>
        <v>France</v>
      </c>
      <c r="D198" s="3">
        <f>IFERROR(__xludf.DUMMYFUNCTION("""COMPUTED_VALUE"""),1919.0)</f>
        <v>1919</v>
      </c>
      <c r="E198" s="3">
        <f>IFERROR(__xludf.DUMMYFUNCTION("""COMPUTED_VALUE"""),2012.0)</f>
        <v>2012</v>
      </c>
      <c r="F198" s="3" t="str">
        <f>IFERROR(__xludf.DUMMYFUNCTION("""COMPUTED_VALUE"""),"Dirigea l'expédition de 1950 sur l'Annapurna. Première ascension d'un des sommets 
de plus de 8 000 mètres d'altitude.")</f>
        <v>Dirigea l'expédition de 1950 sur l'Annapurna. Première ascension d'un des sommets 
de plus de 8 000 mètres d'altitude.</v>
      </c>
      <c r="G198" s="3"/>
      <c r="H198" s="3"/>
    </row>
    <row r="199">
      <c r="A199" s="3" t="str">
        <f>IFERROR(__xludf.DUMMYFUNCTION("""COMPUTED_VALUE"""),"Higgins")</f>
        <v>Higgins</v>
      </c>
      <c r="B199" s="3" t="str">
        <f>IFERROR(__xludf.DUMMYFUNCTION("""COMPUTED_VALUE"""),"Tom")</f>
        <v>Tom</v>
      </c>
      <c r="C199" s="3" t="str">
        <f>IFERROR(__xludf.DUMMYFUNCTION("""COMPUTED_VALUE"""),"États-Unis")</f>
        <v>États-Unis</v>
      </c>
      <c r="D199" s="3">
        <f>IFERROR(__xludf.DUMMYFUNCTION("""COMPUTED_VALUE"""),1944.0)</f>
        <v>1944</v>
      </c>
      <c r="E199" s="3"/>
      <c r="F199" s="3" t="str">
        <f>IFERROR(__xludf.DUMMYFUNCTION("""COMPUTED_VALUE"""),"Beaucoup de premières ascensions, principalement dans l'ouest américain[8].")</f>
        <v>Beaucoup de premières ascensions, principalement dans l'ouest américain[8].</v>
      </c>
      <c r="G199" s="3"/>
      <c r="H199" s="3"/>
    </row>
    <row r="200">
      <c r="A200" s="3" t="str">
        <f>IFERROR(__xludf.DUMMYFUNCTION("""COMPUTED_VALUE"""),"Hill")</f>
        <v>Hill</v>
      </c>
      <c r="B200" s="3" t="str">
        <f>IFERROR(__xludf.DUMMYFUNCTION("""COMPUTED_VALUE"""),"Lynn")</f>
        <v>Lynn</v>
      </c>
      <c r="C200" s="3" t="str">
        <f>IFERROR(__xludf.DUMMYFUNCTION("""COMPUTED_VALUE"""),"États-Unis")</f>
        <v>États-Unis</v>
      </c>
      <c r="D200" s="3">
        <f>IFERROR(__xludf.DUMMYFUNCTION("""COMPUTED_VALUE"""),1961.0)</f>
        <v>1961</v>
      </c>
      <c r="E200" s="3"/>
      <c r="F200" s="3" t="str">
        <f>IFERROR(__xludf.DUMMYFUNCTION("""COMPUTED_VALUE"""),"Première ascension en libre de The Nose sur El Capitan en 1993.")</f>
        <v>Première ascension en libre de The Nose sur El Capitan en 1993.</v>
      </c>
      <c r="G200" s="3"/>
      <c r="H200" s="3"/>
    </row>
    <row r="201">
      <c r="A201" s="3" t="str">
        <f>IFERROR(__xludf.DUMMYFUNCTION("""COMPUTED_VALUE"""),"Hillary")</f>
        <v>Hillary</v>
      </c>
      <c r="B201" s="3" t="str">
        <f>IFERROR(__xludf.DUMMYFUNCTION("""COMPUTED_VALUE"""),"Edmund")</f>
        <v>Edmund</v>
      </c>
      <c r="C201" s="3" t="str">
        <f>IFERROR(__xludf.DUMMYFUNCTION("""COMPUTED_VALUE"""),"Nouvelle-Zélande")</f>
        <v>Nouvelle-Zélande</v>
      </c>
      <c r="D201" s="3">
        <f>IFERROR(__xludf.DUMMYFUNCTION("""COMPUTED_VALUE"""),1919.0)</f>
        <v>1919</v>
      </c>
      <c r="E201" s="3">
        <f>IFERROR(__xludf.DUMMYFUNCTION("""COMPUTED_VALUE"""),2008.0)</f>
        <v>2008</v>
      </c>
      <c r="F201" s="3" t="str">
        <f>IFERROR(__xludf.DUMMYFUNCTION("""COMPUTED_VALUE"""),"Première ascension de l'Everest (1953) avec Tensing Norgay.")</f>
        <v>Première ascension de l'Everest (1953) avec Tensing Norgay.</v>
      </c>
      <c r="G201" s="3"/>
      <c r="H201" s="3"/>
    </row>
    <row r="202">
      <c r="A202" s="3" t="str">
        <f>IFERROR(__xludf.DUMMYFUNCTION("""COMPUTED_VALUE"""),"Hinkes")</f>
        <v>Hinkes</v>
      </c>
      <c r="B202" s="3" t="str">
        <f>IFERROR(__xludf.DUMMYFUNCTION("""COMPUTED_VALUE"""),"Alan")</f>
        <v>Alan</v>
      </c>
      <c r="C202" s="3" t="str">
        <f>IFERROR(__xludf.DUMMYFUNCTION("""COMPUTED_VALUE"""),"Royaume-Uni")</f>
        <v>Royaume-Uni</v>
      </c>
      <c r="D202" s="3">
        <f>IFERROR(__xludf.DUMMYFUNCTION("""COMPUTED_VALUE"""),1954.0)</f>
        <v>1954</v>
      </c>
      <c r="E202" s="3"/>
      <c r="F202" s="3" t="str">
        <f>IFERROR(__xludf.DUMMYFUNCTION("""COMPUTED_VALUE"""),"Premier Britannique à réaliser l'ascension de tous les sommets de plus de 
8 000 mètres d'altitude (affirmation controversée)[9].")</f>
        <v>Premier Britannique à réaliser l'ascension de tous les sommets de plus de 
8 000 mètres d'altitude (affirmation controversée)[9].</v>
      </c>
      <c r="G202" s="3"/>
      <c r="H202" s="3"/>
    </row>
    <row r="203">
      <c r="A203" s="3" t="str">
        <f>IFERROR(__xludf.DUMMYFUNCTION("""COMPUTED_VALUE"""),"Hinterstoisser")</f>
        <v>Hinterstoisser</v>
      </c>
      <c r="B203" s="3" t="str">
        <f>IFERROR(__xludf.DUMMYFUNCTION("""COMPUTED_VALUE"""),"Andreas")</f>
        <v>Andreas</v>
      </c>
      <c r="C203" s="3" t="str">
        <f>IFERROR(__xludf.DUMMYFUNCTION("""COMPUTED_VALUE"""),"Allemagne")</f>
        <v>Allemagne</v>
      </c>
      <c r="D203" s="3">
        <f>IFERROR(__xludf.DUMMYFUNCTION("""COMPUTED_VALUE"""),1914.0)</f>
        <v>1914</v>
      </c>
      <c r="E203" s="3">
        <f>IFERROR(__xludf.DUMMYFUNCTION("""COMPUTED_VALUE"""),1936.0)</f>
        <v>1936</v>
      </c>
      <c r="F203" s="3" t="str">
        <f>IFERROR(__xludf.DUMMYFUNCTION("""COMPUTED_VALUE"""),"Tente l'ascension de la face nord de l'Eiger en 1936 avec Toni Kurz. Ils 
meurent durant leur retraite.")</f>
        <v>Tente l'ascension de la face nord de l'Eiger en 1936 avec Toni Kurz. Ils 
meurent durant leur retraite.</v>
      </c>
      <c r="G203" s="3"/>
      <c r="H203" s="3"/>
    </row>
    <row r="204">
      <c r="A204" s="3" t="str">
        <f>IFERROR(__xludf.DUMMYFUNCTION("""COMPUTED_VALUE"""),"Hirayama")</f>
        <v>Hirayama</v>
      </c>
      <c r="B204" s="3" t="str">
        <f>IFERROR(__xludf.DUMMYFUNCTION("""COMPUTED_VALUE"""),"Yuji")</f>
        <v>Yuji</v>
      </c>
      <c r="C204" s="3" t="str">
        <f>IFERROR(__xludf.DUMMYFUNCTION("""COMPUTED_VALUE"""),"Japon")</f>
        <v>Japon</v>
      </c>
      <c r="D204" s="3">
        <f>IFERROR(__xludf.DUMMYFUNCTION("""COMPUTED_VALUE"""),1969.0)</f>
        <v>1969</v>
      </c>
      <c r="E204" s="3"/>
      <c r="F204" s="3" t="str">
        <f>IFERROR(__xludf.DUMMYFUNCTION("""COMPUTED_VALUE"""),"Champion du monde d'escalade en 1998, 2000.")</f>
        <v>Champion du monde d'escalade en 1998, 2000.</v>
      </c>
      <c r="G204" s="3"/>
      <c r="H204" s="3"/>
    </row>
    <row r="205">
      <c r="A205" s="3" t="str">
        <f>IFERROR(__xludf.DUMMYFUNCTION("""COMPUTED_VALUE"""),"Hoey")</f>
        <v>Hoey</v>
      </c>
      <c r="B205" s="3" t="str">
        <f>IFERROR(__xludf.DUMMYFUNCTION("""COMPUTED_VALUE"""),"Marty")</f>
        <v>Marty</v>
      </c>
      <c r="C205" s="3" t="str">
        <f>IFERROR(__xludf.DUMMYFUNCTION("""COMPUTED_VALUE"""),"États-Unis")</f>
        <v>États-Unis</v>
      </c>
      <c r="D205" s="3">
        <f>IFERROR(__xludf.DUMMYFUNCTION("""COMPUTED_VALUE"""),1951.0)</f>
        <v>1951</v>
      </c>
      <c r="E205" s="3">
        <f>IFERROR(__xludf.DUMMYFUNCTION("""COMPUTED_VALUE"""),1982.0)</f>
        <v>1982</v>
      </c>
      <c r="F205" s="3" t="str">
        <f>IFERROR(__xludf.DUMMYFUNCTION("""COMPUTED_VALUE"""),"Meurt sur l'Everest.")</f>
        <v>Meurt sur l'Everest.</v>
      </c>
      <c r="G205" s="3"/>
      <c r="H205" s="3"/>
    </row>
    <row r="206">
      <c r="A206" s="3" t="str">
        <f>IFERROR(__xludf.DUMMYFUNCTION("""COMPUTED_VALUE"""),"Hoffmann")</f>
        <v>Hoffmann</v>
      </c>
      <c r="B206" s="3" t="str">
        <f>IFERROR(__xludf.DUMMYFUNCTION("""COMPUTED_VALUE"""),"Charles F.")</f>
        <v>Charles F.</v>
      </c>
      <c r="C206" s="3" t="str">
        <f>IFERROR(__xludf.DUMMYFUNCTION("""COMPUTED_VALUE"""),"États-Unis")</f>
        <v>États-Unis</v>
      </c>
      <c r="D206" s="3">
        <f>IFERROR(__xludf.DUMMYFUNCTION("""COMPUTED_VALUE"""),1838.0)</f>
        <v>1838</v>
      </c>
      <c r="E206" s="3">
        <f>IFERROR(__xludf.DUMMYFUNCTION("""COMPUTED_VALUE"""),1913.0)</f>
        <v>1913</v>
      </c>
      <c r="F206" s="3" t="str">
        <f>IFERROR(__xludf.DUMMYFUNCTION("""COMPUTED_VALUE"""),"Alpiniste. Plusieurs premières ascensions dans la Sierra Nevada.")</f>
        <v>Alpiniste. Plusieurs premières ascensions dans la Sierra Nevada.</v>
      </c>
      <c r="G206" s="3"/>
      <c r="H206" s="3"/>
    </row>
    <row r="207">
      <c r="A207" s="3" t="str">
        <f>IFERROR(__xludf.DUMMYFUNCTION("""COMPUTED_VALUE"""),"Holloway")</f>
        <v>Holloway</v>
      </c>
      <c r="B207" s="3" t="str">
        <f>IFERROR(__xludf.DUMMYFUNCTION("""COMPUTED_VALUE"""),"Jim")</f>
        <v>Jim</v>
      </c>
      <c r="C207" s="3" t="str">
        <f>IFERROR(__xludf.DUMMYFUNCTION("""COMPUTED_VALUE"""),"États-Unis")</f>
        <v>États-Unis</v>
      </c>
      <c r="D207" s="3">
        <f>IFERROR(__xludf.DUMMYFUNCTION("""COMPUTED_VALUE"""),1954.0)</f>
        <v>1954</v>
      </c>
      <c r="E207" s="3"/>
      <c r="F207" s="3" t="str">
        <f>IFERROR(__xludf.DUMMYFUNCTION("""COMPUTED_VALUE"""),"Probablement le premier à avoir atteint V11+ en bloc.")</f>
        <v>Probablement le premier à avoir atteint V11+ en bloc.</v>
      </c>
      <c r="G207" s="3"/>
      <c r="H207" s="3"/>
    </row>
    <row r="208">
      <c r="A208" s="3" t="str">
        <f>IFERROR(__xludf.DUMMYFUNCTION("""COMPUTED_VALUE"""),"Honnold")</f>
        <v>Honnold</v>
      </c>
      <c r="B208" s="3" t="str">
        <f>IFERROR(__xludf.DUMMYFUNCTION("""COMPUTED_VALUE"""),"Alex")</f>
        <v>Alex</v>
      </c>
      <c r="C208" s="3" t="str">
        <f>IFERROR(__xludf.DUMMYFUNCTION("""COMPUTED_VALUE"""),"États-Unis")</f>
        <v>États-Unis</v>
      </c>
      <c r="D208" s="3">
        <f>IFERROR(__xludf.DUMMYFUNCTION("""COMPUTED_VALUE"""),1985.0)</f>
        <v>1985</v>
      </c>
      <c r="E208" s="3"/>
      <c r="F208" s="3" t="str">
        <f>IFERROR(__xludf.DUMMYFUNCTION("""COMPUTED_VALUE"""),"Solo de la face nord-ouest du Half Dome en 2008 et de Moonlight Buttress in Parc 
national de Zion en 2008.")</f>
        <v>Solo de la face nord-ouest du Half Dome en 2008 et de Moonlight Buttress in Parc 
national de Zion en 2008.</v>
      </c>
      <c r="G208" s="3"/>
      <c r="H208" s="3"/>
    </row>
    <row r="209">
      <c r="A209" s="3" t="str">
        <f>IFERROR(__xludf.DUMMYFUNCTION("""COMPUTED_VALUE"""),"Hornbein")</f>
        <v>Hornbein</v>
      </c>
      <c r="B209" s="3" t="str">
        <f>IFERROR(__xludf.DUMMYFUNCTION("""COMPUTED_VALUE"""),"Tom")</f>
        <v>Tom</v>
      </c>
      <c r="C209" s="3" t="str">
        <f>IFERROR(__xludf.DUMMYFUNCTION("""COMPUTED_VALUE"""),"États-Unis")</f>
        <v>États-Unis</v>
      </c>
      <c r="D209" s="3">
        <f>IFERROR(__xludf.DUMMYFUNCTION("""COMPUTED_VALUE"""),1930.0)</f>
        <v>1930</v>
      </c>
      <c r="E209" s="3"/>
      <c r="F209" s="3" t="str">
        <f>IFERROR(__xludf.DUMMYFUNCTION("""COMPUTED_VALUE"""),"Première ascension de l'arête ouest de l'Everest en 1963.")</f>
        <v>Première ascension de l'arête ouest de l'Everest en 1963.</v>
      </c>
      <c r="G209" s="3"/>
      <c r="H209" s="3"/>
    </row>
    <row r="210">
      <c r="A210" s="3" t="str">
        <f>IFERROR(__xludf.DUMMYFUNCTION("""COMPUTED_VALUE"""),"House")</f>
        <v>House</v>
      </c>
      <c r="B210" s="3" t="str">
        <f>IFERROR(__xludf.DUMMYFUNCTION("""COMPUTED_VALUE"""),"Steve")</f>
        <v>Steve</v>
      </c>
      <c r="C210" s="3" t="str">
        <f>IFERROR(__xludf.DUMMYFUNCTION("""COMPUTED_VALUE"""),"États-Unis")</f>
        <v>États-Unis</v>
      </c>
      <c r="D210" s="3">
        <f>IFERROR(__xludf.DUMMYFUNCTION("""COMPUTED_VALUE"""),1970.0)</f>
        <v>1970</v>
      </c>
      <c r="E210" s="3"/>
      <c r="F210" s="3" t="str">
        <f>IFERROR(__xludf.DUMMYFUNCTION("""COMPUTED_VALUE"""),"Ascension en solo du K7 en 2004. Première ascension de la face Rupal sur le 
Nanga Parbat en 2005.")</f>
        <v>Ascension en solo du K7 en 2004. Première ascension de la face Rupal sur le 
Nanga Parbat en 2005.</v>
      </c>
      <c r="G210" s="3"/>
      <c r="H210" s="3"/>
    </row>
    <row r="211">
      <c r="A211" s="3" t="str">
        <f>IFERROR(__xludf.DUMMYFUNCTION("""COMPUTED_VALUE"""),"Houston")</f>
        <v>Houston</v>
      </c>
      <c r="B211" s="3" t="str">
        <f>IFERROR(__xludf.DUMMYFUNCTION("""COMPUTED_VALUE"""),"Charles")</f>
        <v>Charles</v>
      </c>
      <c r="C211" s="3" t="str">
        <f>IFERROR(__xludf.DUMMYFUNCTION("""COMPUTED_VALUE"""),"États-Unis")</f>
        <v>États-Unis</v>
      </c>
      <c r="D211" s="3">
        <f>IFERROR(__xludf.DUMMYFUNCTION("""COMPUTED_VALUE"""),1913.0)</f>
        <v>1913</v>
      </c>
      <c r="E211" s="3"/>
      <c r="F211" s="3" t="str">
        <f>IFERROR(__xludf.DUMMYFUNCTION("""COMPUTED_VALUE"""),"Première ascension de Mount Foraker (1934), attempts on K2 in (1938), 
(1953).")</f>
        <v>Première ascension de Mount Foraker (1934), attempts on K2 in (1938), 
(1953).</v>
      </c>
      <c r="G211" s="3"/>
      <c r="H211" s="3"/>
    </row>
    <row r="212">
      <c r="A212" s="3" t="str">
        <f>IFERROR(__xludf.DUMMYFUNCTION("""COMPUTED_VALUE"""),"Huber")</f>
        <v>Huber</v>
      </c>
      <c r="B212" s="3" t="str">
        <f>IFERROR(__xludf.DUMMYFUNCTION("""COMPUTED_VALUE"""),"Alexander")</f>
        <v>Alexander</v>
      </c>
      <c r="C212" s="3" t="str">
        <f>IFERROR(__xludf.DUMMYFUNCTION("""COMPUTED_VALUE"""),"Allemagne")</f>
        <v>Allemagne</v>
      </c>
      <c r="D212" s="3">
        <f>IFERROR(__xludf.DUMMYFUNCTION("""COMPUTED_VALUE"""),1968.0)</f>
        <v>1968</v>
      </c>
      <c r="E212" s="3"/>
      <c r="F212" s="3" t="str">
        <f>IFERROR(__xludf.DUMMYFUNCTION("""COMPUTED_VALUE"""),"Ascension en libre dans le Yosemite, record de vitesse pour El Capitan.")</f>
        <v>Ascension en libre dans le Yosemite, record de vitesse pour El Capitan.</v>
      </c>
      <c r="G212" s="3"/>
      <c r="H212" s="3"/>
    </row>
    <row r="213">
      <c r="A213" s="3" t="str">
        <f>IFERROR(__xludf.DUMMYFUNCTION("""COMPUTED_VALUE"""),"Huber")</f>
        <v>Huber</v>
      </c>
      <c r="B213" s="3" t="str">
        <f>IFERROR(__xludf.DUMMYFUNCTION("""COMPUTED_VALUE"""),"Thomas")</f>
        <v>Thomas</v>
      </c>
      <c r="C213" s="3" t="str">
        <f>IFERROR(__xludf.DUMMYFUNCTION("""COMPUTED_VALUE"""),"Allemagne")</f>
        <v>Allemagne</v>
      </c>
      <c r="D213" s="3">
        <f>IFERROR(__xludf.DUMMYFUNCTION("""COMPUTED_VALUE"""),1966.0)</f>
        <v>1966</v>
      </c>
      <c r="E213" s="3"/>
      <c r="F213" s="3" t="str">
        <f>IFERROR(__xludf.DUMMYFUNCTION("""COMPUTED_VALUE"""),"Ascension en libre dans le Yosemite, record de vitesse pour El Capitan.")</f>
        <v>Ascension en libre dans le Yosemite, record de vitesse pour El Capitan.</v>
      </c>
      <c r="G213" s="3"/>
      <c r="H213" s="3"/>
    </row>
    <row r="214">
      <c r="A214" s="3" t="str">
        <f>IFERROR(__xludf.DUMMYFUNCTION("""COMPUTED_VALUE"""),"Hudson")</f>
        <v>Hudson</v>
      </c>
      <c r="B214" s="3" t="str">
        <f>IFERROR(__xludf.DUMMYFUNCTION("""COMPUTED_VALUE"""),"Charles")</f>
        <v>Charles</v>
      </c>
      <c r="C214" s="3" t="str">
        <f>IFERROR(__xludf.DUMMYFUNCTION("""COMPUTED_VALUE"""),"Royaume-Uni")</f>
        <v>Royaume-Uni</v>
      </c>
      <c r="D214" s="3">
        <f>IFERROR(__xludf.DUMMYFUNCTION("""COMPUTED_VALUE"""),1828.0)</f>
        <v>1828</v>
      </c>
      <c r="E214" s="3">
        <f>IFERROR(__xludf.DUMMYFUNCTION("""COMPUTED_VALUE"""),1865.0)</f>
        <v>1865</v>
      </c>
      <c r="F214" s="3" t="str">
        <f>IFERROR(__xludf.DUMMYFUNCTION("""COMPUTED_VALUE"""),"Première ascension du mont Rose en 1855, et du Cervin en 1865. Meurt dans 
la descente du Cervin.")</f>
        <v>Première ascension du mont Rose en 1855, et du Cervin en 1865. Meurt dans 
la descente du Cervin.</v>
      </c>
      <c r="G214" s="3"/>
      <c r="H214" s="3"/>
    </row>
    <row r="215">
      <c r="A215" s="3" t="str">
        <f>IFERROR(__xludf.DUMMYFUNCTION("""COMPUTED_VALUE"""),"Humar")</f>
        <v>Humar</v>
      </c>
      <c r="B215" s="3" t="str">
        <f>IFERROR(__xludf.DUMMYFUNCTION("""COMPUTED_VALUE"""),"Tomaž")</f>
        <v>Tomaž</v>
      </c>
      <c r="C215" s="3" t="str">
        <f>IFERROR(__xludf.DUMMYFUNCTION("""COMPUTED_VALUE"""),"Slovénie")</f>
        <v>Slovénie</v>
      </c>
      <c r="D215" s="3">
        <f>IFERROR(__xludf.DUMMYFUNCTION("""COMPUTED_VALUE"""),1969.0)</f>
        <v>1969</v>
      </c>
      <c r="E215" s="3">
        <f>IFERROR(__xludf.DUMMYFUNCTION("""COMPUTED_VALUE"""),2009.0)</f>
        <v>2009</v>
      </c>
      <c r="F215" s="3" t="str">
        <f>IFERROR(__xludf.DUMMYFUNCTION("""COMPUTED_VALUE"""),"Piolet d'Or en 1996 pour une nouvelle route sur Ama Dablam. Mur sud du 
Dhaulagiri en solo.")</f>
        <v>Piolet d'Or en 1996 pour une nouvelle route sur Ama Dablam. Mur sud du 
Dhaulagiri en solo.</v>
      </c>
      <c r="G215" s="3"/>
      <c r="H215" s="3"/>
    </row>
    <row r="216">
      <c r="A216" s="3" t="str">
        <f>IFERROR(__xludf.DUMMYFUNCTION("""COMPUTED_VALUE"""),"von Humboldt")</f>
        <v>von Humboldt</v>
      </c>
      <c r="B216" s="3" t="str">
        <f>IFERROR(__xludf.DUMMYFUNCTION("""COMPUTED_VALUE"""),"Alexander")</f>
        <v>Alexander</v>
      </c>
      <c r="C216" s="3" t="str">
        <f>IFERROR(__xludf.DUMMYFUNCTION("""COMPUTED_VALUE"""),"Allemagne")</f>
        <v>Allemagne</v>
      </c>
      <c r="D216" s="3">
        <f>IFERROR(__xludf.DUMMYFUNCTION("""COMPUTED_VALUE"""),1769.0)</f>
        <v>1769</v>
      </c>
      <c r="E216" s="3">
        <f>IFERROR(__xludf.DUMMYFUNCTION("""COMPUTED_VALUE"""),1859.0)</f>
        <v>1859</v>
      </c>
      <c r="F216" s="3" t="str">
        <f>IFERROR(__xludf.DUMMYFUNCTION("""COMPUTED_VALUE"""),"Chimborazo.")</f>
        <v>Chimborazo.</v>
      </c>
      <c r="G216" s="3"/>
      <c r="H216" s="3"/>
    </row>
    <row r="217">
      <c r="A217" s="3" t="str">
        <f>IFERROR(__xludf.DUMMYFUNCTION("""COMPUTED_VALUE"""),"John Hunt")</f>
        <v>John Hunt</v>
      </c>
      <c r="B217" s="3" t="str">
        <f>IFERROR(__xludf.DUMMYFUNCTION("""COMPUTED_VALUE"""),"John")</f>
        <v>John</v>
      </c>
      <c r="C217" s="3" t="str">
        <f>IFERROR(__xludf.DUMMYFUNCTION("""COMPUTED_VALUE"""),"Royaume-Uni")</f>
        <v>Royaume-Uni</v>
      </c>
      <c r="D217" s="3">
        <f>IFERROR(__xludf.DUMMYFUNCTION("""COMPUTED_VALUE"""),1910.0)</f>
        <v>1910</v>
      </c>
      <c r="E217" s="3">
        <f>IFERROR(__xludf.DUMMYFUNCTION("""COMPUTED_VALUE"""),1998.0)</f>
        <v>1998</v>
      </c>
      <c r="F217" s="3" t="str">
        <f>IFERROR(__xludf.DUMMYFUNCTION("""COMPUTED_VALUE"""),"Leader de l'expédition de 1953 sur l'Everest.")</f>
        <v>Leader de l'expédition de 1953 sur l'Everest.</v>
      </c>
      <c r="G217" s="3"/>
      <c r="H217" s="3"/>
    </row>
    <row r="218">
      <c r="A218" s="3" t="str">
        <f>IFERROR(__xludf.DUMMYFUNCTION("""COMPUTED_VALUE"""),"Ichac")</f>
        <v>Ichac</v>
      </c>
      <c r="B218" s="3" t="str">
        <f>IFERROR(__xludf.DUMMYFUNCTION("""COMPUTED_VALUE"""),"Marcel")</f>
        <v>Marcel</v>
      </c>
      <c r="C218" s="3" t="str">
        <f>IFERROR(__xludf.DUMMYFUNCTION("""COMPUTED_VALUE"""),"France")</f>
        <v>France</v>
      </c>
      <c r="D218" s="3">
        <f>IFERROR(__xludf.DUMMYFUNCTION("""COMPUTED_VALUE"""),1906.0)</f>
        <v>1906</v>
      </c>
      <c r="E218" s="3">
        <f>IFERROR(__xludf.DUMMYFUNCTION("""COMPUTED_VALUE"""),1994.0)</f>
        <v>1994</v>
      </c>
      <c r="F218" s="3" t="str">
        <f>IFERROR(__xludf.DUMMYFUNCTION("""COMPUTED_VALUE"""),"Filme la première expédition dans l'Himalaya en 1936 sur le Karakoram et la 
seconde sur l'Annapurna en 1950.")</f>
        <v>Filme la première expédition dans l'Himalaya en 1936 sur le Karakoram et la 
seconde sur l'Annapurna en 1950.</v>
      </c>
      <c r="G218" s="3"/>
      <c r="H218" s="3"/>
    </row>
    <row r="219">
      <c r="A219" s="3" t="str">
        <f>IFERROR(__xludf.DUMMYFUNCTION("""COMPUTED_VALUE"""),"Inderbinen")</f>
        <v>Inderbinen</v>
      </c>
      <c r="B219" s="3" t="str">
        <f>IFERROR(__xludf.DUMMYFUNCTION("""COMPUTED_VALUE"""),"Ulrich")</f>
        <v>Ulrich</v>
      </c>
      <c r="C219" s="3" t="str">
        <f>IFERROR(__xludf.DUMMYFUNCTION("""COMPUTED_VALUE"""),"Suisse")</f>
        <v>Suisse</v>
      </c>
      <c r="D219" s="3">
        <f>IFERROR(__xludf.DUMMYFUNCTION("""COMPUTED_VALUE"""),1900.0)</f>
        <v>1900</v>
      </c>
      <c r="E219" s="3">
        <f>IFERROR(__xludf.DUMMYFUNCTION("""COMPUTED_VALUE"""),2004.0)</f>
        <v>2004</v>
      </c>
      <c r="F219" s="3" t="str">
        <f>IFERROR(__xludf.DUMMYFUNCTION("""COMPUTED_VALUE"""),"371 ascensions du Cervin, la dernière à 90 ans.")</f>
        <v>371 ascensions du Cervin, la dernière à 90 ans.</v>
      </c>
      <c r="G219" s="3"/>
      <c r="H219" s="3"/>
    </row>
    <row r="220">
      <c r="A220" s="3" t="str">
        <f>IFERROR(__xludf.DUMMYFUNCTION("""COMPUTED_VALUE"""),"Inoxtag")</f>
        <v>Inoxtag</v>
      </c>
      <c r="B220" s="3"/>
      <c r="C220" s="3" t="str">
        <f>IFERROR(__xludf.DUMMYFUNCTION("""COMPUTED_VALUE"""),"France")</f>
        <v>France</v>
      </c>
      <c r="D220" s="3">
        <f>IFERROR(__xludf.DUMMYFUNCTION("""COMPUTED_VALUE"""),2002.0)</f>
        <v>2002</v>
      </c>
      <c r="E220" s="3"/>
      <c r="F220" s="3" t="str">
        <f>IFERROR(__xludf.DUMMYFUNCTION("""COMPUTED_VALUE"""),"Vidéaste ayant gravi l’Everest sans avoir pratiqué l'apinisme jusqu'à un an 
avant son ascension.")</f>
        <v>Vidéaste ayant gravi l’Everest sans avoir pratiqué l'apinisme jusqu'à un an 
avant son ascension.</v>
      </c>
      <c r="G220" s="3"/>
      <c r="H220" s="3"/>
    </row>
    <row r="221">
      <c r="A221" s="3" t="str">
        <f>IFERROR(__xludf.DUMMYFUNCTION("""COMPUTED_VALUE"""),"Iñurrategi")</f>
        <v>Iñurrategi</v>
      </c>
      <c r="B221" s="3" t="str">
        <f>IFERROR(__xludf.DUMMYFUNCTION("""COMPUTED_VALUE"""),"Alberto")</f>
        <v>Alberto</v>
      </c>
      <c r="C221" s="3" t="str">
        <f>IFERROR(__xludf.DUMMYFUNCTION("""COMPUTED_VALUE"""),"Espagne")</f>
        <v>Espagne</v>
      </c>
      <c r="D221" s="3">
        <f>IFERROR(__xludf.DUMMYFUNCTION("""COMPUTED_VALUE"""),1968.0)</f>
        <v>1968</v>
      </c>
      <c r="E221" s="3"/>
      <c r="F221" s="3" t="str">
        <f>IFERROR(__xludf.DUMMYFUNCTION("""COMPUTED_VALUE"""),"Plus jeune à réaliser les sommets de plus de 8 000 mètres d'altitude 
(33 ans) et quatrième à le réaliser sans bouteille d'oxygène.")</f>
        <v>Plus jeune à réaliser les sommets de plus de 8 000 mètres d'altitude 
(33 ans) et quatrième à le réaliser sans bouteille d'oxygène.</v>
      </c>
      <c r="G221" s="3"/>
      <c r="H221" s="3"/>
    </row>
    <row r="222">
      <c r="A222" s="3" t="str">
        <f>IFERROR(__xludf.DUMMYFUNCTION("""COMPUTED_VALUE"""),"Irvine")</f>
        <v>Irvine</v>
      </c>
      <c r="B222" s="3" t="str">
        <f>IFERROR(__xludf.DUMMYFUNCTION("""COMPUTED_VALUE"""),"Andrew")</f>
        <v>Andrew</v>
      </c>
      <c r="C222" s="3" t="str">
        <f>IFERROR(__xludf.DUMMYFUNCTION("""COMPUTED_VALUE"""),"Royaume-Uni")</f>
        <v>Royaume-Uni</v>
      </c>
      <c r="D222" s="3">
        <f>IFERROR(__xludf.DUMMYFUNCTION("""COMPUTED_VALUE"""),1902.0)</f>
        <v>1902</v>
      </c>
      <c r="E222" s="3">
        <f>IFERROR(__xludf.DUMMYFUNCTION("""COMPUTED_VALUE"""),1924.0)</f>
        <v>1924</v>
      </c>
      <c r="F222" s="3" t="str">
        <f>IFERROR(__xludf.DUMMYFUNCTION("""COMPUTED_VALUE"""),"Meurt sur l'Everest avec George Mallory en 1924.")</f>
        <v>Meurt sur l'Everest avec George Mallory en 1924.</v>
      </c>
      <c r="G222" s="3"/>
      <c r="H222" s="3"/>
    </row>
    <row r="223">
      <c r="A223" s="3" t="str">
        <f>IFERROR(__xludf.DUMMYFUNCTION("""COMPUTED_VALUE"""),"Irving")</f>
        <v>Irving</v>
      </c>
      <c r="B223" s="3" t="str">
        <f>IFERROR(__xludf.DUMMYFUNCTION("""COMPUTED_VALUE"""),"Robert Lock Graham")</f>
        <v>Robert Lock Graham</v>
      </c>
      <c r="C223" s="3" t="str">
        <f>IFERROR(__xludf.DUMMYFUNCTION("""COMPUTED_VALUE"""),"Royaume-Uni")</f>
        <v>Royaume-Uni</v>
      </c>
      <c r="D223" s="3">
        <f>IFERROR(__xludf.DUMMYFUNCTION("""COMPUTED_VALUE"""),1877.0)</f>
        <v>1877</v>
      </c>
      <c r="E223" s="3">
        <f>IFERROR(__xludf.DUMMYFUNCTION("""COMPUTED_VALUE"""),1969.0)</f>
        <v>1969</v>
      </c>
      <c r="F223" s="3" t="str">
        <f>IFERROR(__xludf.DUMMYFUNCTION("""COMPUTED_VALUE"""),"Alpiniste et Auteur.")</f>
        <v>Alpiniste et Auteur.</v>
      </c>
      <c r="G223" s="3"/>
      <c r="H223" s="3"/>
    </row>
    <row r="224">
      <c r="A224" s="3" t="str">
        <f>IFERROR(__xludf.DUMMYFUNCTION("""COMPUTED_VALUE"""),"Jackson")</f>
        <v>Jackson</v>
      </c>
      <c r="B224" s="3" t="str">
        <f>IFERROR(__xludf.DUMMYFUNCTION("""COMPUTED_VALUE"""),"John")</f>
        <v>John</v>
      </c>
      <c r="C224" s="3" t="str">
        <f>IFERROR(__xludf.DUMMYFUNCTION("""COMPUTED_VALUE"""),"Royaume-Uni")</f>
        <v>Royaume-Uni</v>
      </c>
      <c r="D224" s="3">
        <f>IFERROR(__xludf.DUMMYFUNCTION("""COMPUTED_VALUE"""),1921.0)</f>
        <v>1921</v>
      </c>
      <c r="E224" s="3">
        <f>IFERROR(__xludf.DUMMYFUNCTION("""COMPUTED_VALUE"""),2005.0)</f>
        <v>2005</v>
      </c>
      <c r="F224" s="3" t="str">
        <f>IFERROR(__xludf.DUMMYFUNCTION("""COMPUTED_VALUE"""),"Première ascension de la route de Jackson.")</f>
        <v>Première ascension de la route de Jackson.</v>
      </c>
      <c r="G224" s="3"/>
      <c r="H224" s="3"/>
    </row>
    <row r="225">
      <c r="A225" s="3" t="str">
        <f>IFERROR(__xludf.DUMMYFUNCTION("""COMPUTED_VALUE"""),"Jaeger")</f>
        <v>Jaeger</v>
      </c>
      <c r="B225" s="3" t="str">
        <f>IFERROR(__xludf.DUMMYFUNCTION("""COMPUTED_VALUE"""),"Nicolas")</f>
        <v>Nicolas</v>
      </c>
      <c r="C225" s="3" t="str">
        <f>IFERROR(__xludf.DUMMYFUNCTION("""COMPUTED_VALUE"""),"France")</f>
        <v>France</v>
      </c>
      <c r="D225" s="3">
        <f>IFERROR(__xludf.DUMMYFUNCTION("""COMPUTED_VALUE"""),1946.0)</f>
        <v>1946</v>
      </c>
      <c r="E225" s="3">
        <f>IFERROR(__xludf.DUMMYFUNCTION("""COMPUTED_VALUE"""),1980.0)</f>
        <v>1980</v>
      </c>
      <c r="F225" s="3" t="str">
        <f>IFERROR(__xludf.DUMMYFUNCTION("""COMPUTED_VALUE"""),"Guide et spécialiste en médecine sportive. Un des premiers français au 
sommet de l'Everest en 1978. Une centaine d'ascensions en solitaire dans le massif 
du Mont-Blanc dont une quinzaine de « premières solitaires ». Disparaît 
dans la face S du Lhotsé e"&amp;"n avril 1980.")</f>
        <v>Guide et spécialiste en médecine sportive. Un des premiers français au 
sommet de l'Everest en 1978. Une centaine d'ascensions en solitaire dans le massif 
du Mont-Blanc dont une quinzaine de « premières solitaires ». Disparaît 
dans la face S du Lhotsé en avril 1980.</v>
      </c>
      <c r="G225" s="3"/>
      <c r="H225" s="3"/>
    </row>
    <row r="226">
      <c r="A226" s="3" t="str">
        <f>IFERROR(__xludf.DUMMYFUNCTION("""COMPUTED_VALUE"""),"Janin")</f>
        <v>Janin</v>
      </c>
      <c r="B226" s="3" t="str">
        <f>IFERROR(__xludf.DUMMYFUNCTION("""COMPUTED_VALUE"""),"Christine")</f>
        <v>Christine</v>
      </c>
      <c r="C226" s="3" t="str">
        <f>IFERROR(__xludf.DUMMYFUNCTION("""COMPUTED_VALUE"""),"France")</f>
        <v>France</v>
      </c>
      <c r="D226" s="3">
        <f>IFERROR(__xludf.DUMMYFUNCTION("""COMPUTED_VALUE"""),1957.0)</f>
        <v>1957</v>
      </c>
      <c r="E226" s="3"/>
      <c r="F226" s="3" t="str">
        <f>IFERROR(__xludf.DUMMYFUNCTION("""COMPUTED_VALUE"""),"Première française à plus de 8 000 m sans oxygène")</f>
        <v>Première française à plus de 8 000 m sans oxygène</v>
      </c>
      <c r="G226" s="3"/>
      <c r="H226" s="3"/>
    </row>
    <row r="227">
      <c r="A227" s="3" t="str">
        <f>IFERROR(__xludf.DUMMYFUNCTION("""COMPUTED_VALUE"""),"Jayal")</f>
        <v>Jayal</v>
      </c>
      <c r="B227" s="3" t="str">
        <f>IFERROR(__xludf.DUMMYFUNCTION("""COMPUTED_VALUE"""),"Narendra Dhar a.k.a. 'Nandu' Jayal")</f>
        <v>Narendra Dhar a.k.a. 'Nandu' Jayal</v>
      </c>
      <c r="C227" s="3" t="str">
        <f>IFERROR(__xludf.DUMMYFUNCTION("""COMPUTED_VALUE"""),"Inde")</f>
        <v>Inde</v>
      </c>
      <c r="D227" s="3"/>
      <c r="E227" s="3">
        <f>IFERROR(__xludf.DUMMYFUNCTION("""COMPUTED_VALUE"""),1958.0)</f>
        <v>1958</v>
      </c>
      <c r="F227" s="3" t="str">
        <f>IFERROR(__xludf.DUMMYFUNCTION("""COMPUTED_VALUE"""),"Premier directeur de l'Institut d'alpinisme de l'Himalaya.")</f>
        <v>Premier directeur de l'Institut d'alpinisme de l'Himalaya.</v>
      </c>
      <c r="G227" s="3"/>
      <c r="H227" s="3"/>
    </row>
    <row r="228">
      <c r="A228" s="3" t="str">
        <f>IFERROR(__xludf.DUMMYFUNCTION("""COMPUTED_VALUE"""),"Joos")</f>
        <v>Joos</v>
      </c>
      <c r="B228" s="3" t="str">
        <f>IFERROR(__xludf.DUMMYFUNCTION("""COMPUTED_VALUE"""),"Norbert")</f>
        <v>Norbert</v>
      </c>
      <c r="C228" s="3" t="str">
        <f>IFERROR(__xludf.DUMMYFUNCTION("""COMPUTED_VALUE"""),"Suisse")</f>
        <v>Suisse</v>
      </c>
      <c r="D228" s="3">
        <f>IFERROR(__xludf.DUMMYFUNCTION("""COMPUTED_VALUE"""),1960.0)</f>
        <v>1960</v>
      </c>
      <c r="E228" s="3"/>
      <c r="F228" s="3" t="str">
        <f>IFERROR(__xludf.DUMMYFUNCTION("""COMPUTED_VALUE"""),"13 des 14 sommets de plus de 8 000 mètres d'altitude.")</f>
        <v>13 des 14 sommets de plus de 8 000 mètres d'altitude.</v>
      </c>
      <c r="G228" s="3"/>
      <c r="H228" s="3"/>
    </row>
    <row r="229">
      <c r="A229" s="3" t="str">
        <f>IFERROR(__xludf.DUMMYFUNCTION("""COMPUTED_VALUE"""),"Kain")</f>
        <v>Kain</v>
      </c>
      <c r="B229" s="3" t="str">
        <f>IFERROR(__xludf.DUMMYFUNCTION("""COMPUTED_VALUE"""),"Conrad")</f>
        <v>Conrad</v>
      </c>
      <c r="C229" s="3" t="str">
        <f>IFERROR(__xludf.DUMMYFUNCTION("""COMPUTED_VALUE"""),"Autriche/Canada.")</f>
        <v>Autriche/Canada.</v>
      </c>
      <c r="D229" s="3">
        <f>IFERROR(__xludf.DUMMYFUNCTION("""COMPUTED_VALUE"""),1883.0)</f>
        <v>1883</v>
      </c>
      <c r="E229" s="3">
        <f>IFERROR(__xludf.DUMMYFUNCTION("""COMPUTED_VALUE"""),1934.0)</f>
        <v>1934</v>
      </c>
      <c r="F229" s="3" t="str">
        <f>IFERROR(__xludf.DUMMYFUNCTION("""COMPUTED_VALUE"""),"Plus de 50 premières ascensions dans les rocheuses canadiennes notamment le mont 
Robson.")</f>
        <v>Plus de 50 premières ascensions dans les rocheuses canadiennes notamment le mont 
Robson.</v>
      </c>
      <c r="G229" s="3"/>
      <c r="H229" s="3"/>
    </row>
    <row r="230">
      <c r="A230" s="3" t="str">
        <f>IFERROR(__xludf.DUMMYFUNCTION("""COMPUTED_VALUE"""),"Kaltenbrunner")</f>
        <v>Kaltenbrunner</v>
      </c>
      <c r="B230" s="3" t="str">
        <f>IFERROR(__xludf.DUMMYFUNCTION("""COMPUTED_VALUE"""),"Gerlinde")</f>
        <v>Gerlinde</v>
      </c>
      <c r="C230" s="3" t="str">
        <f>IFERROR(__xludf.DUMMYFUNCTION("""COMPUTED_VALUE"""),"Autriche")</f>
        <v>Autriche</v>
      </c>
      <c r="D230" s="3">
        <f>IFERROR(__xludf.DUMMYFUNCTION("""COMPUTED_VALUE"""),1970.0)</f>
        <v>1970</v>
      </c>
      <c r="E230" s="3"/>
      <c r="F230" s="3" t="str">
        <f>IFERROR(__xludf.DUMMYFUNCTION("""COMPUTED_VALUE"""),"Première femme à gravir les 14 sommets de plus de 8 000 mètres d'altitude 
sans bouteille d'oxygène.")</f>
        <v>Première femme à gravir les 14 sommets de plus de 8 000 mètres d'altitude 
sans bouteille d'oxygène.</v>
      </c>
      <c r="G230" s="3"/>
      <c r="H230" s="3"/>
    </row>
    <row r="231">
      <c r="A231" s="3" t="str">
        <f>IFERROR(__xludf.DUMMYFUNCTION("""COMPUTED_VALUE"""),"Kammerlander")</f>
        <v>Kammerlander</v>
      </c>
      <c r="B231" s="3" t="str">
        <f>IFERROR(__xludf.DUMMYFUNCTION("""COMPUTED_VALUE"""),"Hans")</f>
        <v>Hans</v>
      </c>
      <c r="C231" s="3" t="str">
        <f>IFERROR(__xludf.DUMMYFUNCTION("""COMPUTED_VALUE"""),"Italie")</f>
        <v>Italie</v>
      </c>
      <c r="D231" s="3">
        <f>IFERROR(__xludf.DUMMYFUNCTION("""COMPUTED_VALUE"""),1956.0)</f>
        <v>1956</v>
      </c>
      <c r="E231" s="3"/>
      <c r="F231" s="3" t="str">
        <f>IFERROR(__xludf.DUMMYFUNCTION("""COMPUTED_VALUE"""),"Partenaire de Reinhold Messner. Avec lui, il enchaîne la traversée des 2 
Gasherbrum en 1984, l'Annapurna et le Dhaulagiri en 1985 et le Lhotse et le 
Makalu en 1986.")</f>
        <v>Partenaire de Reinhold Messner. Avec lui, il enchaîne la traversée des 2 
Gasherbrum en 1984, l'Annapurna et le Dhaulagiri en 1985 et le Lhotse et le 
Makalu en 1986.</v>
      </c>
      <c r="G231" s="3"/>
      <c r="H231" s="3"/>
    </row>
    <row r="232">
      <c r="A232" s="3" t="str">
        <f>IFERROR(__xludf.DUMMYFUNCTION("""COMPUTED_VALUE"""),"Kapadia")</f>
        <v>Kapadia</v>
      </c>
      <c r="B232" s="3" t="str">
        <f>IFERROR(__xludf.DUMMYFUNCTION("""COMPUTED_VALUE"""),"Harish")</f>
        <v>Harish</v>
      </c>
      <c r="C232" s="3" t="str">
        <f>IFERROR(__xludf.DUMMYFUNCTION("""COMPUTED_VALUE"""),"Inde")</f>
        <v>Inde</v>
      </c>
      <c r="D232" s="3">
        <f>IFERROR(__xludf.DUMMYFUNCTION("""COMPUTED_VALUE"""),1945.0)</f>
        <v>1945</v>
      </c>
      <c r="E232" s="3"/>
      <c r="F232" s="3" t="str">
        <f>IFERROR(__xludf.DUMMYFUNCTION("""COMPUTED_VALUE"""),"Un des himalayistes les plus distingués.")</f>
        <v>Un des himalayistes les plus distingués.</v>
      </c>
      <c r="G232" s="3"/>
      <c r="H232" s="3"/>
    </row>
    <row r="233">
      <c r="A233" s="3" t="str">
        <f>IFERROR(__xludf.DUMMYFUNCTION("""COMPUTED_VALUE"""),"Kamps")</f>
        <v>Kamps</v>
      </c>
      <c r="B233" s="3" t="str">
        <f>IFERROR(__xludf.DUMMYFUNCTION("""COMPUTED_VALUE"""),"Bob")</f>
        <v>Bob</v>
      </c>
      <c r="C233" s="3" t="str">
        <f>IFERROR(__xludf.DUMMYFUNCTION("""COMPUTED_VALUE"""),"États-Unis")</f>
        <v>États-Unis</v>
      </c>
      <c r="D233" s="3">
        <f>IFERROR(__xludf.DUMMYFUNCTION("""COMPUTED_VALUE"""),1931.0)</f>
        <v>1931</v>
      </c>
      <c r="E233" s="3">
        <f>IFERROR(__xludf.DUMMYFUNCTION("""COMPUTED_VALUE"""),2005.0)</f>
        <v>2005</v>
      </c>
      <c r="F233" s="3" t="str">
        <f>IFERROR(__xludf.DUMMYFUNCTION("""COMPUTED_VALUE"""),"Pionnier de l'âge d'or de l'escalade dans le Yosemite. Voies en 5.10 et 5.11 
en Amérique.")</f>
        <v>Pionnier de l'âge d'or de l'escalade dans le Yosemite. Voies en 5.10 et 5.11 
en Amérique.</v>
      </c>
      <c r="G233" s="3"/>
      <c r="H233" s="3"/>
    </row>
    <row r="234">
      <c r="A234" s="3" t="str">
        <f>IFERROR(__xludf.DUMMYFUNCTION("""COMPUTED_VALUE"""),"Kasparek")</f>
        <v>Kasparek</v>
      </c>
      <c r="B234" s="3" t="str">
        <f>IFERROR(__xludf.DUMMYFUNCTION("""COMPUTED_VALUE"""),"Fritz")</f>
        <v>Fritz</v>
      </c>
      <c r="C234" s="3" t="str">
        <f>IFERROR(__xludf.DUMMYFUNCTION("""COMPUTED_VALUE"""),"Autriche")</f>
        <v>Autriche</v>
      </c>
      <c r="D234" s="3">
        <f>IFERROR(__xludf.DUMMYFUNCTION("""COMPUTED_VALUE"""),1910.0)</f>
        <v>1910</v>
      </c>
      <c r="E234" s="3">
        <f>IFERROR(__xludf.DUMMYFUNCTION("""COMPUTED_VALUE"""),1954.0)</f>
        <v>1954</v>
      </c>
      <c r="F234" s="3" t="str">
        <f>IFERROR(__xludf.DUMMYFUNCTION("""COMPUTED_VALUE"""),"Première ascension de la face nord de l'Eiger.")</f>
        <v>Première ascension de la face nord de l'Eiger.</v>
      </c>
      <c r="G234" s="3"/>
      <c r="H234" s="3"/>
    </row>
    <row r="235">
      <c r="A235" s="3" t="str">
        <f>IFERROR(__xludf.DUMMYFUNCTION("""COMPUTED_VALUE"""),"Kauk")</f>
        <v>Kauk</v>
      </c>
      <c r="B235" s="3" t="str">
        <f>IFERROR(__xludf.DUMMYFUNCTION("""COMPUTED_VALUE"""),"Ron")</f>
        <v>Ron</v>
      </c>
      <c r="C235" s="3" t="str">
        <f>IFERROR(__xludf.DUMMYFUNCTION("""COMPUTED_VALUE"""),"États-Unis")</f>
        <v>États-Unis</v>
      </c>
      <c r="D235" s="3">
        <f>IFERROR(__xludf.DUMMYFUNCTION("""COMPUTED_VALUE"""),1957.0)</f>
        <v>1957</v>
      </c>
      <c r="E235" s="3"/>
      <c r="F235" s="3" t="str">
        <f>IFERROR(__xludf.DUMMYFUNCTION("""COMPUTED_VALUE"""),"Grimpeur. Beaucoup de premières ascensions dans le Yosemite. Cascade pour 
des films d'escalade à Hollywood.")</f>
        <v>Grimpeur. Beaucoup de premières ascensions dans le Yosemite. Cascade pour 
des films d'escalade à Hollywood.</v>
      </c>
      <c r="G235" s="3"/>
      <c r="H235" s="3"/>
    </row>
    <row r="236">
      <c r="A236" s="3" t="str">
        <f>IFERROR(__xludf.DUMMYFUNCTION("""COMPUTED_VALUE"""),"Kedrowski")</f>
        <v>Kedrowski</v>
      </c>
      <c r="B236" s="3" t="str">
        <f>IFERROR(__xludf.DUMMYFUNCTION("""COMPUTED_VALUE"""),"Jon")</f>
        <v>Jon</v>
      </c>
      <c r="C236" s="3" t="str">
        <f>IFERROR(__xludf.DUMMYFUNCTION("""COMPUTED_VALUE"""),"États-Unis")</f>
        <v>États-Unis</v>
      </c>
      <c r="D236" s="3">
        <f>IFERROR(__xludf.DUMMYFUNCTION("""COMPUTED_VALUE"""),1979.0)</f>
        <v>1979</v>
      </c>
      <c r="E236" s="3"/>
      <c r="F236" s="3" t="str">
        <f>IFERROR(__xludf.DUMMYFUNCTION("""COMPUTED_VALUE"""),"Premier homme à camper sur tous les sommets de plus de 14 000 pieds soit 
4 267 m du Colorado. L'Everest en 2012.")</f>
        <v>Premier homme à camper sur tous les sommets de plus de 14 000 pieds soit 
4 267 m du Colorado. L'Everest en 2012.</v>
      </c>
      <c r="G236" s="3"/>
      <c r="H236" s="3"/>
    </row>
    <row r="237">
      <c r="A237" s="3" t="str">
        <f>IFERROR(__xludf.DUMMYFUNCTION("""COMPUTED_VALUE"""),"Keen")</f>
        <v>Keen</v>
      </c>
      <c r="B237" s="3" t="str">
        <f>IFERROR(__xludf.DUMMYFUNCTION("""COMPUTED_VALUE"""),"Dora")</f>
        <v>Dora</v>
      </c>
      <c r="C237" s="3" t="str">
        <f>IFERROR(__xludf.DUMMYFUNCTION("""COMPUTED_VALUE"""),"États-Unis")</f>
        <v>États-Unis</v>
      </c>
      <c r="D237" s="3">
        <f>IFERROR(__xludf.DUMMYFUNCTION("""COMPUTED_VALUE"""),1871.0)</f>
        <v>1871</v>
      </c>
      <c r="E237" s="3">
        <f>IFERROR(__xludf.DUMMYFUNCTION("""COMPUTED_VALUE"""),1963.0)</f>
        <v>1963</v>
      </c>
      <c r="F237" s="3" t="str">
        <f>IFERROR(__xludf.DUMMYFUNCTION("""COMPUTED_VALUE"""),"8 ascension de sommets importants dans les Alpes. Membre de la Royal 
Geographical Society en 1914.")</f>
        <v>8 ascension de sommets importants dans les Alpes. Membre de la Royal 
Geographical Society en 1914.</v>
      </c>
      <c r="G237" s="3"/>
      <c r="H237" s="3"/>
    </row>
    <row r="238">
      <c r="A238" s="3" t="str">
        <f>IFERROR(__xludf.DUMMYFUNCTION("""COMPUTED_VALUE"""),"Kelly")</f>
        <v>Kelly</v>
      </c>
      <c r="B238" s="3" t="str">
        <f>IFERROR(__xludf.DUMMYFUNCTION("""COMPUTED_VALUE"""),"Pat")</f>
        <v>Pat</v>
      </c>
      <c r="C238" s="3" t="str">
        <f>IFERROR(__xludf.DUMMYFUNCTION("""COMPUTED_VALUE"""),"Royaume-Uni")</f>
        <v>Royaume-Uni</v>
      </c>
      <c r="D238" s="3">
        <f>IFERROR(__xludf.DUMMYFUNCTION("""COMPUTED_VALUE"""),1873.0)</f>
        <v>1873</v>
      </c>
      <c r="E238" s="3">
        <f>IFERROR(__xludf.DUMMYFUNCTION("""COMPUTED_VALUE"""),1922.0)</f>
        <v>1922</v>
      </c>
      <c r="F238" s="3" t="str">
        <f>IFERROR(__xludf.DUMMYFUNCTION("""COMPUTED_VALUE"""),"Grimpeuse et fondatrice du *Pinnacle Club*.")</f>
        <v>Grimpeuse et fondatrice du *Pinnacle Club*.</v>
      </c>
      <c r="G238" s="3"/>
      <c r="H238" s="3"/>
    </row>
    <row r="239">
      <c r="A239" s="3" t="str">
        <f>IFERROR(__xludf.DUMMYFUNCTION("""COMPUTED_VALUE"""),"Kennedy")</f>
        <v>Kennedy</v>
      </c>
      <c r="B239" s="3" t="str">
        <f>IFERROR(__xludf.DUMMYFUNCTION("""COMPUTED_VALUE"""),"Edward Shirley")</f>
        <v>Edward Shirley</v>
      </c>
      <c r="C239" s="3" t="str">
        <f>IFERROR(__xludf.DUMMYFUNCTION("""COMPUTED_VALUE"""),"Royaume-Uni")</f>
        <v>Royaume-Uni</v>
      </c>
      <c r="D239" s="3">
        <f>IFERROR(__xludf.DUMMYFUNCTION("""COMPUTED_VALUE"""),1817.0)</f>
        <v>1817</v>
      </c>
      <c r="E239" s="3">
        <f>IFERROR(__xludf.DUMMYFUNCTION("""COMPUTED_VALUE"""),1898.0)</f>
        <v>1898</v>
      </c>
      <c r="F239" s="3" t="str">
        <f>IFERROR(__xludf.DUMMYFUNCTION("""COMPUTED_VALUE"""),"Première ascension du monte Disgrazia et du mont Blanc du Tacul.")</f>
        <v>Première ascension du monte Disgrazia et du mont Blanc du Tacul.</v>
      </c>
      <c r="G239" s="3"/>
      <c r="H239" s="3"/>
    </row>
    <row r="240">
      <c r="A240" s="3" t="str">
        <f>IFERROR(__xludf.DUMMYFUNCTION("""COMPUTED_VALUE"""),"Khumalo")</f>
        <v>Khumalo</v>
      </c>
      <c r="B240" s="3" t="str">
        <f>IFERROR(__xludf.DUMMYFUNCTION("""COMPUTED_VALUE"""),"Saray Khumalo")</f>
        <v>Saray Khumalo</v>
      </c>
      <c r="C240" s="3" t="str">
        <f>IFERROR(__xludf.DUMMYFUNCTION("""COMPUTED_VALUE"""),"Afrique du Sud")</f>
        <v>Afrique du Sud</v>
      </c>
      <c r="D240" s="3"/>
      <c r="E240" s="3"/>
      <c r="F240" s="3" t="str">
        <f>IFERROR(__xludf.DUMMYFUNCTION("""COMPUTED_VALUE"""),"Première femme noire à avoir conquis l'Everest.")</f>
        <v>Première femme noire à avoir conquis l'Everest.</v>
      </c>
      <c r="G240" s="3"/>
      <c r="H240" s="3"/>
    </row>
    <row r="241">
      <c r="A241" s="3" t="str">
        <f>IFERROR(__xludf.DUMMYFUNCTION("""COMPUTED_VALUE"""),"King")</f>
        <v>King</v>
      </c>
      <c r="B241" s="3" t="str">
        <f>IFERROR(__xludf.DUMMYFUNCTION("""COMPUTED_VALUE"""),"Clarence")</f>
        <v>Clarence</v>
      </c>
      <c r="C241" s="3" t="str">
        <f>IFERROR(__xludf.DUMMYFUNCTION("""COMPUTED_VALUE"""),"États-Unis")</f>
        <v>États-Unis</v>
      </c>
      <c r="D241" s="3">
        <f>IFERROR(__xludf.DUMMYFUNCTION("""COMPUTED_VALUE"""),1842.0)</f>
        <v>1842</v>
      </c>
      <c r="E241" s="3">
        <f>IFERROR(__xludf.DUMMYFUNCTION("""COMPUTED_VALUE"""),1901.0)</f>
        <v>1901</v>
      </c>
      <c r="F241" s="3" t="str">
        <f>IFERROR(__xludf.DUMMYFUNCTION("""COMPUTED_VALUE"""),"Géologiste et alpiniste, premier directeur de l'USGS, première ascension du mont 
Tyndall.")</f>
        <v>Géologiste et alpiniste, premier directeur de l'USGS, première ascension du mont 
Tyndall.</v>
      </c>
      <c r="G241" s="3"/>
      <c r="H241" s="3"/>
    </row>
    <row r="242">
      <c r="A242" s="3" t="str">
        <f>IFERROR(__xludf.DUMMYFUNCTION("""COMPUTED_VALUE"""),"Kirkpatrick")</f>
        <v>Kirkpatrick</v>
      </c>
      <c r="B242" s="3" t="str">
        <f>IFERROR(__xludf.DUMMYFUNCTION("""COMPUTED_VALUE"""),"Andrew")</f>
        <v>Andrew</v>
      </c>
      <c r="C242" s="3" t="str">
        <f>IFERROR(__xludf.DUMMYFUNCTION("""COMPUTED_VALUE"""),"Royaume-Uni")</f>
        <v>Royaume-Uni</v>
      </c>
      <c r="D242" s="3">
        <f>IFERROR(__xludf.DUMMYFUNCTION("""COMPUTED_VALUE"""),1971.0)</f>
        <v>1971</v>
      </c>
      <c r="E242" s="3"/>
      <c r="F242" s="3" t="str">
        <f>IFERROR(__xludf.DUMMYFUNCTION("""COMPUTED_VALUE"""),"Escalade sur rocher et sur glace.")</f>
        <v>Escalade sur rocher et sur glace.</v>
      </c>
      <c r="G242" s="3"/>
      <c r="H242" s="3"/>
    </row>
    <row r="243">
      <c r="A243" s="3" t="str">
        <f>IFERROR(__xludf.DUMMYFUNCTION("""COMPUTED_VALUE"""),"Kirkus")</f>
        <v>Kirkus</v>
      </c>
      <c r="B243" s="3" t="str">
        <f>IFERROR(__xludf.DUMMYFUNCTION("""COMPUTED_VALUE"""),"Colin")</f>
        <v>Colin</v>
      </c>
      <c r="C243" s="3" t="str">
        <f>IFERROR(__xludf.DUMMYFUNCTION("""COMPUTED_VALUE"""),"Royaume-Uni")</f>
        <v>Royaume-Uni</v>
      </c>
      <c r="D243" s="3">
        <f>IFERROR(__xludf.DUMMYFUNCTION("""COMPUTED_VALUE"""),1910.0)</f>
        <v>1910</v>
      </c>
      <c r="E243" s="3">
        <f>IFERROR(__xludf.DUMMYFUNCTION("""COMPUTED_VALUE"""),1942.0)</f>
        <v>1942</v>
      </c>
      <c r="F243" s="3" t="str">
        <f>IFERROR(__xludf.DUMMYFUNCTION("""COMPUTED_VALUE"""),"Grimpeur et alpiniste.")</f>
        <v>Grimpeur et alpiniste.</v>
      </c>
      <c r="G243" s="3"/>
      <c r="H243" s="3"/>
    </row>
    <row r="244">
      <c r="A244" s="3" t="str">
        <f>IFERROR(__xludf.DUMMYFUNCTION("""COMPUTED_VALUE"""),"Klucker")</f>
        <v>Klucker</v>
      </c>
      <c r="B244" s="3" t="str">
        <f>IFERROR(__xludf.DUMMYFUNCTION("""COMPUTED_VALUE"""),"Christian")</f>
        <v>Christian</v>
      </c>
      <c r="C244" s="3" t="str">
        <f>IFERROR(__xludf.DUMMYFUNCTION("""COMPUTED_VALUE"""),"Suisse")</f>
        <v>Suisse</v>
      </c>
      <c r="D244" s="3">
        <f>IFERROR(__xludf.DUMMYFUNCTION("""COMPUTED_VALUE"""),1853.0)</f>
        <v>1853</v>
      </c>
      <c r="E244" s="3">
        <f>IFERROR(__xludf.DUMMYFUNCTION("""COMPUTED_VALUE"""),1928.0)</f>
        <v>1928</v>
      </c>
      <c r="F244" s="3" t="str">
        <f>IFERROR(__xludf.DUMMYFUNCTION("""COMPUTED_VALUE"""),"Guide, nombreuses premières ascensions dans la chaîne de la Bernina.")</f>
        <v>Guide, nombreuses premières ascensions dans la chaîne de la Bernina.</v>
      </c>
      <c r="G244" s="3"/>
      <c r="H244" s="3"/>
    </row>
    <row r="245">
      <c r="A245" s="3" t="str">
        <f>IFERROR(__xludf.DUMMYFUNCTION("""COMPUTED_VALUE"""),"Knubel")</f>
        <v>Knubel</v>
      </c>
      <c r="B245" s="3" t="str">
        <f>IFERROR(__xludf.DUMMYFUNCTION("""COMPUTED_VALUE"""),"Joseph")</f>
        <v>Joseph</v>
      </c>
      <c r="C245" s="3" t="str">
        <f>IFERROR(__xludf.DUMMYFUNCTION("""COMPUTED_VALUE"""),"Suisse")</f>
        <v>Suisse</v>
      </c>
      <c r="D245" s="3">
        <f>IFERROR(__xludf.DUMMYFUNCTION("""COMPUTED_VALUE"""),1881.0)</f>
        <v>1881</v>
      </c>
      <c r="E245" s="3">
        <f>IFERROR(__xludf.DUMMYFUNCTION("""COMPUTED_VALUE"""),1961.0)</f>
        <v>1961</v>
      </c>
      <c r="F245" s="3" t="str">
        <f>IFERROR(__xludf.DUMMYFUNCTION("""COMPUTED_VALUE"""),"Guide de haute montagne. Nombreuses premières avec Geoffrey Winthrop Young.")</f>
        <v>Guide de haute montagne. Nombreuses premières avec Geoffrey Winthrop Young.</v>
      </c>
      <c r="G245" s="3"/>
      <c r="H245" s="3"/>
    </row>
    <row r="246">
      <c r="A246" s="3" t="str">
        <f>IFERROR(__xludf.DUMMYFUNCTION("""COMPUTED_VALUE"""),"Kohli")</f>
        <v>Kohli</v>
      </c>
      <c r="B246" s="3" t="str">
        <f>IFERROR(__xludf.DUMMYFUNCTION("""COMPUTED_VALUE"""),"Mohan Singh")</f>
        <v>Mohan Singh</v>
      </c>
      <c r="C246" s="3" t="str">
        <f>IFERROR(__xludf.DUMMYFUNCTION("""COMPUTED_VALUE"""),"Inde")</f>
        <v>Inde</v>
      </c>
      <c r="D246" s="3">
        <f>IFERROR(__xludf.DUMMYFUNCTION("""COMPUTED_VALUE"""),1931.0)</f>
        <v>1931</v>
      </c>
      <c r="E246" s="3"/>
      <c r="F246" s="3" t="str">
        <f>IFERROR(__xludf.DUMMYFUNCTION("""COMPUTED_VALUE"""),"Leader de l'expédition indienne sur l'Everest en 1965.")</f>
        <v>Leader de l'expédition indienne sur l'Everest en 1965.</v>
      </c>
      <c r="G246" s="3"/>
      <c r="H246" s="3"/>
    </row>
    <row r="247">
      <c r="A247" s="3" t="str">
        <f>IFERROR(__xludf.DUMMYFUNCTION("""COMPUTED_VALUE"""),"Kor")</f>
        <v>Kor</v>
      </c>
      <c r="B247" s="3" t="str">
        <f>IFERROR(__xludf.DUMMYFUNCTION("""COMPUTED_VALUE"""),"Layton")</f>
        <v>Layton</v>
      </c>
      <c r="C247" s="3" t="str">
        <f>IFERROR(__xludf.DUMMYFUNCTION("""COMPUTED_VALUE"""),"États-Unis")</f>
        <v>États-Unis</v>
      </c>
      <c r="D247" s="3">
        <f>IFERROR(__xludf.DUMMYFUNCTION("""COMPUTED_VALUE"""),1938.0)</f>
        <v>1938</v>
      </c>
      <c r="E247" s="3"/>
      <c r="F247" s="3" t="str">
        <f>IFERROR(__xludf.DUMMYFUNCTION("""COMPUTED_VALUE"""),"Grimpeur et alpiniste. Auteur de *Beyond the Vertical*.")</f>
        <v>Grimpeur et alpiniste. Auteur de *Beyond the Vertical*.</v>
      </c>
      <c r="G247" s="3"/>
      <c r="H247" s="3"/>
    </row>
    <row r="248">
      <c r="A248" s="3" t="str">
        <f>IFERROR(__xludf.DUMMYFUNCTION("""COMPUTED_VALUE"""),"Koyamada")</f>
        <v>Koyamada</v>
      </c>
      <c r="B248" s="3" t="str">
        <f>IFERROR(__xludf.DUMMYFUNCTION("""COMPUTED_VALUE"""),"Dai")</f>
        <v>Dai</v>
      </c>
      <c r="C248" s="3" t="str">
        <f>IFERROR(__xludf.DUMMYFUNCTION("""COMPUTED_VALUE"""),"Japon")</f>
        <v>Japon</v>
      </c>
      <c r="D248" s="3">
        <f>IFERROR(__xludf.DUMMYFUNCTION("""COMPUTED_VALUE"""),1976.0)</f>
        <v>1976</v>
      </c>
      <c r="E248" s="3"/>
      <c r="F248" s="3" t="str">
        <f>IFERROR(__xludf.DUMMYFUNCTION("""COMPUTED_VALUE"""),"Pratiquant d'escalade et de bloc.")</f>
        <v>Pratiquant d'escalade et de bloc.</v>
      </c>
      <c r="G248" s="3"/>
      <c r="H248" s="3"/>
    </row>
    <row r="249">
      <c r="A249" s="3" t="str">
        <f>IFERROR(__xludf.DUMMYFUNCTION("""COMPUTED_VALUE"""),"Krakauer")</f>
        <v>Krakauer</v>
      </c>
      <c r="B249" s="3" t="str">
        <f>IFERROR(__xludf.DUMMYFUNCTION("""COMPUTED_VALUE"""),"Jon")</f>
        <v>Jon</v>
      </c>
      <c r="C249" s="3" t="str">
        <f>IFERROR(__xludf.DUMMYFUNCTION("""COMPUTED_VALUE"""),"États-Unis")</f>
        <v>États-Unis</v>
      </c>
      <c r="D249" s="3">
        <f>IFERROR(__xludf.DUMMYFUNCTION("""COMPUTED_VALUE"""),1954.0)</f>
        <v>1954</v>
      </c>
      <c r="E249" s="3"/>
      <c r="F249" s="3" t="str">
        <f>IFERROR(__xludf.DUMMYFUNCTION("""COMPUTED_VALUE"""),"Auteur et alpiniste. L'Everest en 1996. Il a écrit : *Eiger Dreams*, *Into 
The Wild* et *Into Thin Air*.")</f>
        <v>Auteur et alpiniste. L'Everest en 1996. Il a écrit : *Eiger Dreams*, *Into 
The Wild* et *Into Thin Air*.</v>
      </c>
      <c r="G249" s="3"/>
      <c r="H249" s="3"/>
    </row>
    <row r="250">
      <c r="A250" s="3" t="str">
        <f>IFERROR(__xludf.DUMMYFUNCTION("""COMPUTED_VALUE"""),"Kraus")</f>
        <v>Kraus</v>
      </c>
      <c r="B250" s="3" t="str">
        <f>IFERROR(__xludf.DUMMYFUNCTION("""COMPUTED_VALUE"""),"Hans")</f>
        <v>Hans</v>
      </c>
      <c r="C250" s="3" t="str">
        <f>IFERROR(__xludf.DUMMYFUNCTION("""COMPUTED_VALUE"""),"Autriche")</f>
        <v>Autriche</v>
      </c>
      <c r="D250" s="3">
        <f>IFERROR(__xludf.DUMMYFUNCTION("""COMPUTED_VALUE"""),1905.0)</f>
        <v>1905</v>
      </c>
      <c r="E250" s="3">
        <f>IFERROR(__xludf.DUMMYFUNCTION("""COMPUTED_VALUE"""),1995.0)</f>
        <v>1995</v>
      </c>
      <c r="F250" s="3" t="str">
        <f>IFERROR(__xludf.DUMMYFUNCTION("""COMPUTED_VALUE"""),"Pionnier de l'escalade et un des pères de la médecine sportive.")</f>
        <v>Pionnier de l'escalade et un des pères de la médecine sportive.</v>
      </c>
      <c r="G250" s="3"/>
      <c r="H250" s="3"/>
    </row>
    <row r="251">
      <c r="A251" s="3" t="str">
        <f>IFERROR(__xludf.DUMMYFUNCTION("""COMPUTED_VALUE"""),"Kropp")</f>
        <v>Kropp</v>
      </c>
      <c r="B251" s="3" t="str">
        <f>IFERROR(__xludf.DUMMYFUNCTION("""COMPUTED_VALUE"""),"Göran")</f>
        <v>Göran</v>
      </c>
      <c r="C251" s="3" t="str">
        <f>IFERROR(__xludf.DUMMYFUNCTION("""COMPUTED_VALUE"""),"Suède")</f>
        <v>Suède</v>
      </c>
      <c r="D251" s="3">
        <f>IFERROR(__xludf.DUMMYFUNCTION("""COMPUTED_VALUE"""),1966.0)</f>
        <v>1966</v>
      </c>
      <c r="E251" s="3">
        <f>IFERROR(__xludf.DUMMYFUNCTION("""COMPUTED_VALUE"""),2002.0)</f>
        <v>2002</v>
      </c>
      <c r="F251" s="3" t="str">
        <f>IFERROR(__xludf.DUMMYFUNCTION("""COMPUTED_VALUE"""),"Il a fait l'aller-retour à vélo depuis la Suède pour faire une ascension en 
solo de l'Everest sans bouteille d'oxygène en 1996.")</f>
        <v>Il a fait l'aller-retour à vélo depuis la Suède pour faire une ascension en 
solo de l'Everest sans bouteille d'oxygène en 1996.</v>
      </c>
      <c r="G251" s="3"/>
      <c r="H251" s="3"/>
    </row>
    <row r="252">
      <c r="A252" s="3" t="str">
        <f>IFERROR(__xludf.DUMMYFUNCTION("""COMPUTED_VALUE"""),"Kugy")</f>
        <v>Kugy</v>
      </c>
      <c r="B252" s="3" t="str">
        <f>IFERROR(__xludf.DUMMYFUNCTION("""COMPUTED_VALUE"""),"Julius")</f>
        <v>Julius</v>
      </c>
      <c r="C252" s="3" t="str">
        <f>IFERROR(__xludf.DUMMYFUNCTION("""COMPUTED_VALUE"""),"Autriche-Slovénie.")</f>
        <v>Autriche-Slovénie.</v>
      </c>
      <c r="D252" s="3">
        <f>IFERROR(__xludf.DUMMYFUNCTION("""COMPUTED_VALUE"""),1854.0)</f>
        <v>1854</v>
      </c>
      <c r="E252" s="3">
        <f>IFERROR(__xludf.DUMMYFUNCTION("""COMPUTED_VALUE"""),1944.0)</f>
        <v>1944</v>
      </c>
      <c r="F252" s="3" t="str">
        <f>IFERROR(__xludf.DUMMYFUNCTION("""COMPUTED_VALUE"""),"Considéré comme le père de l'alpinisme moderne dans les Alpes juliennes.")</f>
        <v>Considéré comme le père de l'alpinisme moderne dans les Alpes juliennes.</v>
      </c>
      <c r="G252" s="3"/>
      <c r="H252" s="3"/>
    </row>
    <row r="253">
      <c r="A253" s="3" t="str">
        <f>IFERROR(__xludf.DUMMYFUNCTION("""COMPUTED_VALUE"""),"Kukuczka")</f>
        <v>Kukuczka</v>
      </c>
      <c r="B253" s="3" t="str">
        <f>IFERROR(__xludf.DUMMYFUNCTION("""COMPUTED_VALUE"""),"Jerzy")</f>
        <v>Jerzy</v>
      </c>
      <c r="C253" s="3" t="str">
        <f>IFERROR(__xludf.DUMMYFUNCTION("""COMPUTED_VALUE"""),"Pologne")</f>
        <v>Pologne</v>
      </c>
      <c r="D253" s="3">
        <f>IFERROR(__xludf.DUMMYFUNCTION("""COMPUTED_VALUE"""),1948.0)</f>
        <v>1948</v>
      </c>
      <c r="E253" s="3">
        <f>IFERROR(__xludf.DUMMYFUNCTION("""COMPUTED_VALUE"""),1989.0)</f>
        <v>1989</v>
      </c>
      <c r="F253" s="3" t="str">
        <f>IFERROR(__xludf.DUMMYFUNCTION("""COMPUTED_VALUE"""),"Deuxième personne à escalader tous les sommets de plus de 8 000 mètres 
d'altitude de 1979 à 1987, dont 4 sommets en période hivernale.")</f>
        <v>Deuxième personne à escalader tous les sommets de plus de 8 000 mètres 
d'altitude de 1979 à 1987, dont 4 sommets en période hivernale.</v>
      </c>
      <c r="G253" s="3"/>
      <c r="H253" s="3"/>
    </row>
    <row r="254">
      <c r="A254" s="3" t="str">
        <f>IFERROR(__xludf.DUMMYFUNCTION("""COMPUTED_VALUE"""),"Kurtyka")</f>
        <v>Kurtyka</v>
      </c>
      <c r="B254" s="3" t="str">
        <f>IFERROR(__xludf.DUMMYFUNCTION("""COMPUTED_VALUE"""),"Wojciech")</f>
        <v>Wojciech</v>
      </c>
      <c r="C254" s="3" t="str">
        <f>IFERROR(__xludf.DUMMYFUNCTION("""COMPUTED_VALUE"""),"Pologne")</f>
        <v>Pologne</v>
      </c>
      <c r="D254" s="3">
        <f>IFERROR(__xludf.DUMMYFUNCTION("""COMPUTED_VALUE"""),1947.0)</f>
        <v>1947</v>
      </c>
      <c r="E254" s="3"/>
      <c r="F254" s="3" t="str">
        <f>IFERROR(__xludf.DUMMYFUNCTION("""COMPUTED_VALUE"""),"Pionnier du style alpin en haute montagne.")</f>
        <v>Pionnier du style alpin en haute montagne.</v>
      </c>
      <c r="G254" s="3"/>
      <c r="H254" s="3"/>
    </row>
    <row r="255">
      <c r="A255" s="3" t="str">
        <f>IFERROR(__xludf.DUMMYFUNCTION("""COMPUTED_VALUE"""),"Kurz")</f>
        <v>Kurz</v>
      </c>
      <c r="B255" s="3" t="str">
        <f>IFERROR(__xludf.DUMMYFUNCTION("""COMPUTED_VALUE"""),"Toni")</f>
        <v>Toni</v>
      </c>
      <c r="C255" s="3" t="str">
        <f>IFERROR(__xludf.DUMMYFUNCTION("""COMPUTED_VALUE"""),"Allemagne")</f>
        <v>Allemagne</v>
      </c>
      <c r="D255" s="3">
        <f>IFERROR(__xludf.DUMMYFUNCTION("""COMPUTED_VALUE"""),1913.0)</f>
        <v>1913</v>
      </c>
      <c r="E255" s="3">
        <f>IFERROR(__xludf.DUMMYFUNCTION("""COMPUTED_VALUE"""),1936.0)</f>
        <v>1936</v>
      </c>
      <c r="F255" s="3" t="str">
        <f>IFERROR(__xludf.DUMMYFUNCTION("""COMPUTED_VALUE"""),"Tentative dans la face nord de l'Eiger en 1936. Meurt durant la retraite.")</f>
        <v>Tentative dans la face nord de l'Eiger en 1936. Meurt durant la retraite.</v>
      </c>
      <c r="G255" s="3"/>
      <c r="H255" s="3"/>
    </row>
    <row r="256">
      <c r="A256" s="3" t="str">
        <f>IFERROR(__xludf.DUMMYFUNCTION("""COMPUTED_VALUE"""),"Lăcătușu")</f>
        <v>Lăcătușu</v>
      </c>
      <c r="B256" s="3" t="str">
        <f>IFERROR(__xludf.DUMMYFUNCTION("""COMPUTED_VALUE"""),"Constantin")</f>
        <v>Constantin</v>
      </c>
      <c r="C256" s="3" t="str">
        <f>IFERROR(__xludf.DUMMYFUNCTION("""COMPUTED_VALUE"""),"Roumanie")</f>
        <v>Roumanie</v>
      </c>
      <c r="D256" s="3">
        <f>IFERROR(__xludf.DUMMYFUNCTION("""COMPUTED_VALUE"""),1961.0)</f>
        <v>1961</v>
      </c>
      <c r="E256" s="3"/>
      <c r="F256" s="3" t="str">
        <f>IFERROR(__xludf.DUMMYFUNCTION("""COMPUTED_VALUE"""),"Constantin Lăcătușu (ro)")</f>
        <v>Constantin Lăcătușu (ro)</v>
      </c>
      <c r="G256" s="3"/>
      <c r="H256" s="3"/>
    </row>
    <row r="257">
      <c r="A257" s="3" t="str">
        <f>IFERROR(__xludf.DUMMYFUNCTION("""COMPUTED_VALUE"""),"Lachenal")</f>
        <v>Lachenal</v>
      </c>
      <c r="B257" s="3" t="str">
        <f>IFERROR(__xludf.DUMMYFUNCTION("""COMPUTED_VALUE"""),"Louis")</f>
        <v>Louis</v>
      </c>
      <c r="C257" s="3" t="str">
        <f>IFERROR(__xludf.DUMMYFUNCTION("""COMPUTED_VALUE"""),"France")</f>
        <v>France</v>
      </c>
      <c r="D257" s="3">
        <f>IFERROR(__xludf.DUMMYFUNCTION("""COMPUTED_VALUE"""),1921.0)</f>
        <v>1921</v>
      </c>
      <c r="E257" s="3">
        <f>IFERROR(__xludf.DUMMYFUNCTION("""COMPUTED_VALUE"""),1955.0)</f>
        <v>1955</v>
      </c>
      <c r="F257" s="3" t="str">
        <f>IFERROR(__xludf.DUMMYFUNCTION("""COMPUTED_VALUE"""),"Première ascension de l'Annapurna en 1950 avec Maurice Herzog. Meurt à ski 
à Chamonix.")</f>
        <v>Première ascension de l'Annapurna en 1950 avec Maurice Herzog. Meurt à ski 
à Chamonix.</v>
      </c>
      <c r="G257" s="3"/>
      <c r="H257" s="3"/>
    </row>
    <row r="258">
      <c r="A258" s="3" t="str">
        <f>IFERROR(__xludf.DUMMYFUNCTION("""COMPUTED_VALUE"""),"Lafaille")</f>
        <v>Lafaille</v>
      </c>
      <c r="B258" s="3" t="str">
        <f>IFERROR(__xludf.DUMMYFUNCTION("""COMPUTED_VALUE"""),"Jean-Christophe")</f>
        <v>Jean-Christophe</v>
      </c>
      <c r="C258" s="3" t="str">
        <f>IFERROR(__xludf.DUMMYFUNCTION("""COMPUTED_VALUE"""),"France")</f>
        <v>France</v>
      </c>
      <c r="D258" s="3">
        <f>IFERROR(__xludf.DUMMYFUNCTION("""COMPUTED_VALUE"""),1965.0)</f>
        <v>1965</v>
      </c>
      <c r="E258" s="3">
        <f>IFERROR(__xludf.DUMMYFUNCTION("""COMPUTED_VALUE"""),2006.0)</f>
        <v>2006</v>
      </c>
      <c r="F258" s="3" t="str">
        <f>IFERROR(__xludf.DUMMYFUNCTION("""COMPUTED_VALUE"""),"11 sommets de plus de 8 000 mètres d'altitude sans bouteille d'oxygène. 
Meurt sur le Makalu.")</f>
        <v>11 sommets de plus de 8 000 mètres d'altitude sans bouteille d'oxygène. 
Meurt sur le Makalu.</v>
      </c>
      <c r="G258" s="3"/>
      <c r="H258" s="3"/>
    </row>
    <row r="259">
      <c r="A259" s="3" t="str">
        <f>IFERROR(__xludf.DUMMYFUNCTION("""COMPUTED_VALUE"""),"Lambert")</f>
        <v>Lambert</v>
      </c>
      <c r="B259" s="3" t="str">
        <f>IFERROR(__xludf.DUMMYFUNCTION("""COMPUTED_VALUE"""),"Raymond")</f>
        <v>Raymond</v>
      </c>
      <c r="C259" s="3" t="str">
        <f>IFERROR(__xludf.DUMMYFUNCTION("""COMPUTED_VALUE"""),"Suisse")</f>
        <v>Suisse</v>
      </c>
      <c r="D259" s="3">
        <f>IFERROR(__xludf.DUMMYFUNCTION("""COMPUTED_VALUE"""),1914.0)</f>
        <v>1914</v>
      </c>
      <c r="E259" s="3">
        <f>IFERROR(__xludf.DUMMYFUNCTION("""COMPUTED_VALUE"""),1997.0)</f>
        <v>1997</v>
      </c>
      <c r="F259" s="3" t="str">
        <f>IFERROR(__xludf.DUMMYFUNCTION("""COMPUTED_VALUE"""),"Atteint 8 611 m, plus haute altitude à cette époque avec l'expédition 
suisse de 1952 sur l'Everest.")</f>
        <v>Atteint 8 611 m, plus haute altitude à cette époque avec l'expédition 
suisse de 1952 sur l'Everest.</v>
      </c>
      <c r="G259" s="3"/>
      <c r="H259" s="3"/>
    </row>
    <row r="260">
      <c r="A260" s="3" t="str">
        <f>IFERROR(__xludf.DUMMYFUNCTION("""COMPUTED_VALUE"""),"Lammer")</f>
        <v>Lammer</v>
      </c>
      <c r="B260" s="3" t="str">
        <f>IFERROR(__xludf.DUMMYFUNCTION("""COMPUTED_VALUE"""),"Eugen Guido")</f>
        <v>Eugen Guido</v>
      </c>
      <c r="C260" s="3" t="str">
        <f>IFERROR(__xludf.DUMMYFUNCTION("""COMPUTED_VALUE"""),"Autriche")</f>
        <v>Autriche</v>
      </c>
      <c r="D260" s="3">
        <f>IFERROR(__xludf.DUMMYFUNCTION("""COMPUTED_VALUE"""),1863.0)</f>
        <v>1863</v>
      </c>
      <c r="E260" s="3">
        <f>IFERROR(__xludf.DUMMYFUNCTION("""COMPUTED_VALUE"""),1945.0)</f>
        <v>1945</v>
      </c>
      <c r="F260" s="3" t="str">
        <f>IFERROR(__xludf.DUMMYFUNCTION("""COMPUTED_VALUE"""),"Pionnier de l'alpinisme sans guide et en solo.")</f>
        <v>Pionnier de l'alpinisme sans guide et en solo.</v>
      </c>
      <c r="G260" s="3"/>
      <c r="H260" s="3"/>
    </row>
    <row r="261">
      <c r="A261" s="3" t="str">
        <f>IFERROR(__xludf.DUMMYFUNCTION("""COMPUTED_VALUE"""),"Larson")</f>
        <v>Larson</v>
      </c>
      <c r="B261" s="3" t="str">
        <f>IFERROR(__xludf.DUMMYFUNCTION("""COMPUTED_VALUE"""),"Samantha")</f>
        <v>Samantha</v>
      </c>
      <c r="C261" s="3" t="str">
        <f>IFERROR(__xludf.DUMMYFUNCTION("""COMPUTED_VALUE"""),"États-Unis")</f>
        <v>États-Unis</v>
      </c>
      <c r="D261" s="3">
        <f>IFERROR(__xludf.DUMMYFUNCTION("""COMPUTED_VALUE"""),1988.0)</f>
        <v>1988</v>
      </c>
      <c r="E261" s="3"/>
      <c r="F261" s="3" t="str">
        <f>IFERROR(__xludf.DUMMYFUNCTION("""COMPUTED_VALUE"""),"Plus jeune personne à faire les Sept Sommets à l'âge de 18 ans, en 2007.")</f>
        <v>Plus jeune personne à faire les Sept Sommets à l'âge de 18 ans, en 2007.</v>
      </c>
      <c r="G261" s="3"/>
      <c r="H261" s="3"/>
    </row>
    <row r="262">
      <c r="A262" s="3" t="str">
        <f>IFERROR(__xludf.DUMMYFUNCTION("""COMPUTED_VALUE"""),"Lavaud")</f>
        <v>Lavaud</v>
      </c>
      <c r="B262" s="3" t="str">
        <f>IFERROR(__xludf.DUMMYFUNCTION("""COMPUTED_VALUE"""),"Sophie")</f>
        <v>Sophie</v>
      </c>
      <c r="C262" s="3" t="str">
        <f>IFERROR(__xludf.DUMMYFUNCTION("""COMPUTED_VALUE"""),"Suisse, France, Canada")</f>
        <v>Suisse, France, Canada</v>
      </c>
      <c r="D262" s="3">
        <f>IFERROR(__xludf.DUMMYFUNCTION("""COMPUTED_VALUE"""),1968.0)</f>
        <v>1968</v>
      </c>
      <c r="E262" s="3"/>
      <c r="F262" s="3" t="str">
        <f>IFERROR(__xludf.DUMMYFUNCTION("""COMPUTED_VALUE"""),"Première suisse à faire huit sommets de 8 000 m en 2018 Himalayiste.")</f>
        <v>Première suisse à faire huit sommets de 8 000 m en 2018 Himalayiste.</v>
      </c>
      <c r="G262" s="3"/>
      <c r="H262" s="3"/>
    </row>
    <row r="263">
      <c r="A263" s="3" t="str">
        <f>IFERROR(__xludf.DUMMYFUNCTION("""COMPUTED_VALUE"""),"Lhakpa Sherpa")</f>
        <v>Lhakpa Sherpa</v>
      </c>
      <c r="B263" s="3"/>
      <c r="C263" s="3" t="str">
        <f>IFERROR(__xludf.DUMMYFUNCTION("""COMPUTED_VALUE"""),"Népal")</f>
        <v>Népal</v>
      </c>
      <c r="D263" s="3">
        <f>IFERROR(__xludf.DUMMYFUNCTION("""COMPUTED_VALUE"""),1973.0)</f>
        <v>1973</v>
      </c>
      <c r="E263" s="3"/>
      <c r="F263" s="3" t="str">
        <f>IFERROR(__xludf.DUMMYFUNCTION("""COMPUTED_VALUE"""),"A escaladé 10 fois l'Everest[10]")</f>
        <v>A escaladé 10 fois l'Everest[10]</v>
      </c>
      <c r="G263" s="3"/>
      <c r="H263" s="3"/>
    </row>
    <row r="264">
      <c r="A264" s="3" t="str">
        <f>IFERROR(__xludf.DUMMYFUNCTION("""COMPUTED_VALUE"""),"Ling")</f>
        <v>Ling</v>
      </c>
      <c r="B264" s="3" t="str">
        <f>IFERROR(__xludf.DUMMYFUNCTION("""COMPUTED_VALUE"""),"Philip")</f>
        <v>Philip</v>
      </c>
      <c r="C264" s="3" t="str">
        <f>IFERROR(__xludf.DUMMYFUNCTION("""COMPUTED_VALUE"""),"Australie")</f>
        <v>Australie</v>
      </c>
      <c r="D264" s="3"/>
      <c r="E264" s="3"/>
      <c r="F264" s="3" t="str">
        <f>IFERROR(__xludf.DUMMYFUNCTION("""COMPUTED_VALUE"""),"Connu pour avoir réalisé un sauvetage de deux sherpas blessés sur le mont 
Pumori à 7 167 m au Népal.")</f>
        <v>Connu pour avoir réalisé un sauvetage de deux sherpas blessés sur le mont 
Pumori à 7 167 m au Népal.</v>
      </c>
      <c r="G264" s="3"/>
      <c r="H264" s="3"/>
    </row>
    <row r="265">
      <c r="A265" s="3" t="str">
        <f>IFERROR(__xludf.DUMMYFUNCTION("""COMPUTED_VALUE"""),"Livanos")</f>
        <v>Livanos</v>
      </c>
      <c r="B265" s="3" t="str">
        <f>IFERROR(__xludf.DUMMYFUNCTION("""COMPUTED_VALUE"""),"Georges")</f>
        <v>Georges</v>
      </c>
      <c r="C265" s="3" t="str">
        <f>IFERROR(__xludf.DUMMYFUNCTION("""COMPUTED_VALUE"""),"France")</f>
        <v>France</v>
      </c>
      <c r="D265" s="3">
        <f>IFERROR(__xludf.DUMMYFUNCTION("""COMPUTED_VALUE"""),1923.0)</f>
        <v>1923</v>
      </c>
      <c r="E265" s="3">
        <f>IFERROR(__xludf.DUMMYFUNCTION("""COMPUTED_VALUE"""),2004.0)</f>
        <v>2004</v>
      </c>
      <c r="F265" s="3" t="str">
        <f>IFERROR(__xludf.DUMMYFUNCTION("""COMPUTED_VALUE"""),"500 premières ascensions dans les Calanques de Marseille, 40 sur les 
Dolomites, 20 dans les Alpes occidentales")</f>
        <v>500 premières ascensions dans les Calanques de Marseille, 40 sur les 
Dolomites, 20 dans les Alpes occidentales</v>
      </c>
      <c r="G265" s="3"/>
      <c r="H265" s="3"/>
    </row>
    <row r="266">
      <c r="A266" s="3" t="str">
        <f>IFERROR(__xludf.DUMMYFUNCTION("""COMPUTED_VALUE"""),"Livesey")</f>
        <v>Livesey</v>
      </c>
      <c r="B266" s="3" t="str">
        <f>IFERROR(__xludf.DUMMYFUNCTION("""COMPUTED_VALUE"""),"Pete")</f>
        <v>Pete</v>
      </c>
      <c r="C266" s="3" t="str">
        <f>IFERROR(__xludf.DUMMYFUNCTION("""COMPUTED_VALUE"""),"Royaume-Uni")</f>
        <v>Royaume-Uni</v>
      </c>
      <c r="D266" s="3">
        <f>IFERROR(__xludf.DUMMYFUNCTION("""COMPUTED_VALUE"""),1943.0)</f>
        <v>1943</v>
      </c>
      <c r="E266" s="3">
        <f>IFERROR(__xludf.DUMMYFUNCTION("""COMPUTED_VALUE"""),1998.0)</f>
        <v>1998</v>
      </c>
      <c r="F266" s="3" t="str">
        <f>IFERROR(__xludf.DUMMYFUNCTION("""COMPUTED_VALUE"""),"Grimpeur célèbre des années 1970.")</f>
        <v>Grimpeur célèbre des années 1970.</v>
      </c>
      <c r="G266" s="3"/>
      <c r="H266" s="3"/>
    </row>
    <row r="267">
      <c r="A267" s="3" t="str">
        <f>IFERROR(__xludf.DUMMYFUNCTION("""COMPUTED_VALUE"""),"Lochmatter")</f>
        <v>Lochmatter</v>
      </c>
      <c r="B267" s="3" t="str">
        <f>IFERROR(__xludf.DUMMYFUNCTION("""COMPUTED_VALUE"""),"Franz")</f>
        <v>Franz</v>
      </c>
      <c r="C267" s="3" t="str">
        <f>IFERROR(__xludf.DUMMYFUNCTION("""COMPUTED_VALUE"""),"Suisse")</f>
        <v>Suisse</v>
      </c>
      <c r="D267" s="3">
        <f>IFERROR(__xludf.DUMMYFUNCTION("""COMPUTED_VALUE"""),1878.0)</f>
        <v>1878</v>
      </c>
      <c r="E267" s="3">
        <f>IFERROR(__xludf.DUMMYFUNCTION("""COMPUTED_VALUE"""),1933.0)</f>
        <v>1933</v>
      </c>
      <c r="F267" s="3" t="str">
        <f>IFERROR(__xludf.DUMMYFUNCTION("""COMPUTED_VALUE"""),"Premières dans les Alpes avec Valentine J.E. Ryan.")</f>
        <v>Premières dans les Alpes avec Valentine J.E. Ryan.</v>
      </c>
      <c r="G267" s="3"/>
      <c r="H267" s="3"/>
    </row>
    <row r="268">
      <c r="A268" s="3" t="str">
        <f>IFERROR(__xludf.DUMMYFUNCTION("""COMPUTED_VALUE"""),"Long")</f>
        <v>Long</v>
      </c>
      <c r="B268" s="3" t="str">
        <f>IFERROR(__xludf.DUMMYFUNCTION("""COMPUTED_VALUE"""),"John")</f>
        <v>John</v>
      </c>
      <c r="C268" s="3" t="str">
        <f>IFERROR(__xludf.DUMMYFUNCTION("""COMPUTED_VALUE"""),"États-Unis")</f>
        <v>États-Unis</v>
      </c>
      <c r="D268" s="3">
        <f>IFERROR(__xludf.DUMMYFUNCTION("""COMPUTED_VALUE"""),1953.0)</f>
        <v>1953</v>
      </c>
      <c r="E268" s="3"/>
      <c r="F268" s="3" t="str">
        <f>IFERROR(__xludf.DUMMYFUNCTION("""COMPUTED_VALUE"""),"Grimpeur et écrivain. Auteur de la série des *How to Rock Climb*.")</f>
        <v>Grimpeur et écrivain. Auteur de la série des *How to Rock Climb*.</v>
      </c>
      <c r="G268" s="3"/>
      <c r="H268" s="3"/>
    </row>
    <row r="269">
      <c r="A269" s="3" t="str">
        <f>IFERROR(__xludf.DUMMYFUNCTION("""COMPUTED_VALUE"""),"Loretan")</f>
        <v>Loretan</v>
      </c>
      <c r="B269" s="3" t="str">
        <f>IFERROR(__xludf.DUMMYFUNCTION("""COMPUTED_VALUE"""),"Erhard")</f>
        <v>Erhard</v>
      </c>
      <c r="C269" s="3" t="str">
        <f>IFERROR(__xludf.DUMMYFUNCTION("""COMPUTED_VALUE"""),"Suisse")</f>
        <v>Suisse</v>
      </c>
      <c r="D269" s="3">
        <f>IFERROR(__xludf.DUMMYFUNCTION("""COMPUTED_VALUE"""),1959.0)</f>
        <v>1959</v>
      </c>
      <c r="E269" s="3">
        <f>IFERROR(__xludf.DUMMYFUNCTION("""COMPUTED_VALUE"""),2011.0)</f>
        <v>2011</v>
      </c>
      <c r="F269" s="3" t="str">
        <f>IFERROR(__xludf.DUMMYFUNCTION("""COMPUTED_VALUE"""),"3e homme à gravir 14 sommets de plus de 8 000 mètres d'altitude (1982–1995) 
en style alpin et sans oxygène.")</f>
        <v>3e homme à gravir 14 sommets de plus de 8 000 mètres d'altitude (1982–1995) 
en style alpin et sans oxygène.</v>
      </c>
      <c r="G269" s="3"/>
      <c r="H269" s="3"/>
    </row>
    <row r="270">
      <c r="A270" s="3" t="str">
        <f>IFERROR(__xludf.DUMMYFUNCTION("""COMPUTED_VALUE"""),"Lowe")</f>
        <v>Lowe</v>
      </c>
      <c r="B270" s="3" t="str">
        <f>IFERROR(__xludf.DUMMYFUNCTION("""COMPUTED_VALUE"""),"Alex")</f>
        <v>Alex</v>
      </c>
      <c r="C270" s="3" t="str">
        <f>IFERROR(__xludf.DUMMYFUNCTION("""COMPUTED_VALUE"""),"États-Unis")</f>
        <v>États-Unis</v>
      </c>
      <c r="D270" s="3">
        <f>IFERROR(__xludf.DUMMYFUNCTION("""COMPUTED_VALUE"""),1958.0)</f>
        <v>1958</v>
      </c>
      <c r="E270" s="3">
        <f>IFERROR(__xludf.DUMMYFUNCTION("""COMPUTED_VALUE"""),1999.0)</f>
        <v>1999</v>
      </c>
      <c r="F270" s="3" t="str">
        <f>IFERROR(__xludf.DUMMYFUNCTION("""COMPUTED_VALUE"""),"Great Trango Tower, Rakekniven en Antarctique et Sail Peak sur la terre de 
Baffin. Meurt sur le Shishapangma.")</f>
        <v>Great Trango Tower, Rakekniven en Antarctique et Sail Peak sur la terre de 
Baffin. Meurt sur le Shishapangma.</v>
      </c>
      <c r="G270" s="3"/>
      <c r="H270" s="3"/>
    </row>
    <row r="271">
      <c r="A271" s="3" t="str">
        <f>IFERROR(__xludf.DUMMYFUNCTION("""COMPUTED_VALUE"""),"Luchsinger")</f>
        <v>Luchsinger</v>
      </c>
      <c r="B271" s="3" t="str">
        <f>IFERROR(__xludf.DUMMYFUNCTION("""COMPUTED_VALUE"""),"Fritz")</f>
        <v>Fritz</v>
      </c>
      <c r="C271" s="3" t="str">
        <f>IFERROR(__xludf.DUMMYFUNCTION("""COMPUTED_VALUE"""),"Suisse")</f>
        <v>Suisse</v>
      </c>
      <c r="D271" s="3">
        <f>IFERROR(__xludf.DUMMYFUNCTION("""COMPUTED_VALUE"""),1921.0)</f>
        <v>1921</v>
      </c>
      <c r="E271" s="3">
        <f>IFERROR(__xludf.DUMMYFUNCTION("""COMPUTED_VALUE"""),1983.0)</f>
        <v>1983</v>
      </c>
      <c r="F271" s="3" t="str">
        <f>IFERROR(__xludf.DUMMYFUNCTION("""COMPUTED_VALUE"""),"Première ascension de Lhotse en 1956.")</f>
        <v>Première ascension de Lhotse en 1956.</v>
      </c>
      <c r="G271" s="3"/>
      <c r="H271" s="3"/>
    </row>
    <row r="272">
      <c r="A272" s="3" t="str">
        <f>IFERROR(__xludf.DUMMYFUNCTION("""COMPUTED_VALUE"""),"Macartney-Snape")</f>
        <v>Macartney-Snape</v>
      </c>
      <c r="B272" s="3" t="str">
        <f>IFERROR(__xludf.DUMMYFUNCTION("""COMPUTED_VALUE"""),"Tim")</f>
        <v>Tim</v>
      </c>
      <c r="C272" s="3" t="str">
        <f>IFERROR(__xludf.DUMMYFUNCTION("""COMPUTED_VALUE"""),"Australie")</f>
        <v>Australie</v>
      </c>
      <c r="D272" s="3">
        <f>IFERROR(__xludf.DUMMYFUNCTION("""COMPUTED_VALUE"""),1956.0)</f>
        <v>1956</v>
      </c>
      <c r="E272" s="3"/>
      <c r="F272" s="3" t="str">
        <f>IFERROR(__xludf.DUMMYFUNCTION("""COMPUTED_VALUE"""),"Everest en 1984. Premier à gravir l'Everest depuis le niveau de la mer en 
1990.")</f>
        <v>Everest en 1984. Premier à gravir l'Everest depuis le niveau de la mer en 
1990.</v>
      </c>
      <c r="G272" s="3"/>
      <c r="H272" s="3"/>
    </row>
    <row r="273">
      <c r="A273" s="3" t="str">
        <f>IFERROR(__xludf.DUMMYFUNCTION("""COMPUTED_VALUE"""),"MacLeod")</f>
        <v>MacLeod</v>
      </c>
      <c r="B273" s="3" t="str">
        <f>IFERROR(__xludf.DUMMYFUNCTION("""COMPUTED_VALUE"""),"Dave")</f>
        <v>Dave</v>
      </c>
      <c r="C273" s="3" t="str">
        <f>IFERROR(__xludf.DUMMYFUNCTION("""COMPUTED_VALUE"""),"Écosse")</f>
        <v>Écosse</v>
      </c>
      <c r="D273" s="3">
        <f>IFERROR(__xludf.DUMMYFUNCTION("""COMPUTED_VALUE"""),1978.0)</f>
        <v>1978</v>
      </c>
      <c r="E273" s="3"/>
      <c r="F273" s="3" t="str">
        <f>IFERROR(__xludf.DUMMYFUNCTION("""COMPUTED_VALUE"""),"Grimpe le premier E11.")</f>
        <v>Grimpe le premier E11.</v>
      </c>
      <c r="G273" s="3"/>
      <c r="H273" s="3"/>
    </row>
    <row r="274">
      <c r="A274" s="3" t="str">
        <f>IFERROR(__xludf.DUMMYFUNCTION("""COMPUTED_VALUE"""),"Mallory")</f>
        <v>Mallory</v>
      </c>
      <c r="B274" s="3" t="str">
        <f>IFERROR(__xludf.DUMMYFUNCTION("""COMPUTED_VALUE"""),"George")</f>
        <v>George</v>
      </c>
      <c r="C274" s="3" t="str">
        <f>IFERROR(__xludf.DUMMYFUNCTION("""COMPUTED_VALUE"""),"Royaume-Uni")</f>
        <v>Royaume-Uni</v>
      </c>
      <c r="D274" s="3">
        <f>IFERROR(__xludf.DUMMYFUNCTION("""COMPUTED_VALUE"""),1886.0)</f>
        <v>1886</v>
      </c>
      <c r="E274" s="3">
        <f>IFERROR(__xludf.DUMMYFUNCTION("""COMPUTED_VALUE"""),1924.0)</f>
        <v>1924</v>
      </c>
      <c r="F274" s="3" t="str">
        <f>IFERROR(__xludf.DUMMYFUNCTION("""COMPUTED_VALUE"""),"Participe à 3 expéditions britanniques autour de l'Everest en 1921, 1922 et 
1924. Meurt en 1924 à plus de 8 150 m.")</f>
        <v>Participe à 3 expéditions britanniques autour de l'Everest en 1921, 1922 et 
1924. Meurt en 1924 à plus de 8 150 m.</v>
      </c>
      <c r="G274" s="3"/>
      <c r="H274" s="3"/>
    </row>
    <row r="275">
      <c r="A275" s="3" t="str">
        <f>IFERROR(__xludf.DUMMYFUNCTION("""COMPUTED_VALUE"""),"Marvingt")</f>
        <v>Marvingt</v>
      </c>
      <c r="B275" s="3" t="str">
        <f>IFERROR(__xludf.DUMMYFUNCTION("""COMPUTED_VALUE"""),"Marie")</f>
        <v>Marie</v>
      </c>
      <c r="C275" s="3" t="str">
        <f>IFERROR(__xludf.DUMMYFUNCTION("""COMPUTED_VALUE"""),"France")</f>
        <v>France</v>
      </c>
      <c r="D275" s="3">
        <f>IFERROR(__xludf.DUMMYFUNCTION("""COMPUTED_VALUE"""),1875.0)</f>
        <v>1875</v>
      </c>
      <c r="E275" s="3">
        <f>IFERROR(__xludf.DUMMYFUNCTION("""COMPUTED_VALUE"""),1963.0)</f>
        <v>1963</v>
      </c>
      <c r="F275" s="3" t="str">
        <f>IFERROR(__xludf.DUMMYFUNCTION("""COMPUTED_VALUE"""),"Première femme à gravir les principaux sommets français et suisses des Alpes 
de 1903 à 1907.")</f>
        <v>Première femme à gravir les principaux sommets français et suisses des Alpes 
de 1903 à 1907.</v>
      </c>
      <c r="G275" s="3"/>
      <c r="H275" s="3"/>
    </row>
    <row r="276">
      <c r="A276" s="3" t="str">
        <f>IFERROR(__xludf.DUMMYFUNCTION("""COMPUTED_VALUE"""),"Martini")</f>
        <v>Martini</v>
      </c>
      <c r="B276" s="3" t="str">
        <f>IFERROR(__xludf.DUMMYFUNCTION("""COMPUTED_VALUE"""),"Sergio")</f>
        <v>Sergio</v>
      </c>
      <c r="C276" s="3" t="str">
        <f>IFERROR(__xludf.DUMMYFUNCTION("""COMPUTED_VALUE"""),"Italie")</f>
        <v>Italie</v>
      </c>
      <c r="D276" s="3">
        <f>IFERROR(__xludf.DUMMYFUNCTION("""COMPUTED_VALUE"""),1949.0)</f>
        <v>1949</v>
      </c>
      <c r="E276" s="3"/>
      <c r="F276" s="3" t="str">
        <f>IFERROR(__xludf.DUMMYFUNCTION("""COMPUTED_VALUE"""),"Septième ascension de tous les sommets de plus de 8 000 mètres d'altitude 
entre 1983 et 2000.")</f>
        <v>Septième ascension de tous les sommets de plus de 8 000 mètres d'altitude 
entre 1983 et 2000.</v>
      </c>
      <c r="G276" s="3"/>
      <c r="H276" s="3"/>
    </row>
    <row r="277">
      <c r="A277" s="3" t="str">
        <f>IFERROR(__xludf.DUMMYFUNCTION("""COMPUTED_VALUE"""),"Mathews")</f>
        <v>Mathews</v>
      </c>
      <c r="B277" s="3" t="str">
        <f>IFERROR(__xludf.DUMMYFUNCTION("""COMPUTED_VALUE"""),"Williams")</f>
        <v>Williams</v>
      </c>
      <c r="C277" s="3" t="str">
        <f>IFERROR(__xludf.DUMMYFUNCTION("""COMPUTED_VALUE"""),"Royaume-Uni")</f>
        <v>Royaume-Uni</v>
      </c>
      <c r="D277" s="3">
        <f>IFERROR(__xludf.DUMMYFUNCTION("""COMPUTED_VALUE"""),1828.0)</f>
        <v>1828</v>
      </c>
      <c r="E277" s="3">
        <f>IFERROR(__xludf.DUMMYFUNCTION("""COMPUTED_VALUE"""),1901.0)</f>
        <v>1901</v>
      </c>
      <c r="F277" s="3" t="str">
        <f>IFERROR(__xludf.DUMMYFUNCTION("""COMPUTED_VALUE"""),"Fondateur de l'Alpine Club. Première ascension du mont Viso et de la Grande 
Casse.")</f>
        <v>Fondateur de l'Alpine Club. Première ascension du mont Viso et de la Grande 
Casse.</v>
      </c>
      <c r="G277" s="3"/>
      <c r="H277" s="3"/>
    </row>
    <row r="278">
      <c r="A278" s="3" t="str">
        <f>IFERROR(__xludf.DUMMYFUNCTION("""COMPUTED_VALUE"""),"Mauduit")</f>
        <v>Mauduit</v>
      </c>
      <c r="B278" s="3" t="str">
        <f>IFERROR(__xludf.DUMMYFUNCTION("""COMPUTED_VALUE"""),"Chantal")</f>
        <v>Chantal</v>
      </c>
      <c r="C278" s="3" t="str">
        <f>IFERROR(__xludf.DUMMYFUNCTION("""COMPUTED_VALUE"""),"France")</f>
        <v>France</v>
      </c>
      <c r="D278" s="3">
        <f>IFERROR(__xludf.DUMMYFUNCTION("""COMPUTED_VALUE"""),1964.0)</f>
        <v>1964</v>
      </c>
      <c r="E278" s="3">
        <f>IFERROR(__xludf.DUMMYFUNCTION("""COMPUTED_VALUE"""),1998.0)</f>
        <v>1998</v>
      </c>
      <c r="F278" s="3" t="str">
        <f>IFERROR(__xludf.DUMMYFUNCTION("""COMPUTED_VALUE"""),"Six sommets de plus de 8 000 mètres d'altitude sans bouteille d'oxygène. 
Meurt sur le Dhaulagiri.")</f>
        <v>Six sommets de plus de 8 000 mètres d'altitude sans bouteille d'oxygène. 
Meurt sur le Dhaulagiri.</v>
      </c>
      <c r="G278" s="3"/>
      <c r="H278" s="3"/>
    </row>
    <row r="279">
      <c r="A279" s="3" t="str">
        <f>IFERROR(__xludf.DUMMYFUNCTION("""COMPUTED_VALUE"""),"Maviş")</f>
        <v>Maviş</v>
      </c>
      <c r="B279" s="3" t="str">
        <f>IFERROR(__xludf.DUMMYFUNCTION("""COMPUTED_VALUE"""),"Eylem Elif")</f>
        <v>Eylem Elif</v>
      </c>
      <c r="C279" s="3" t="str">
        <f>IFERROR(__xludf.DUMMYFUNCTION("""COMPUTED_VALUE"""),"Turquie")</f>
        <v>Turquie</v>
      </c>
      <c r="D279" s="3">
        <f>IFERROR(__xludf.DUMMYFUNCTION("""COMPUTED_VALUE"""),1973.0)</f>
        <v>1973</v>
      </c>
      <c r="E279" s="3"/>
      <c r="F279" s="3" t="str">
        <f>IFERROR(__xludf.DUMMYFUNCTION("""COMPUTED_VALUE"""),"Première turque au sommet de l'Everest en 2006.")</f>
        <v>Première turque au sommet de l'Everest en 2006.</v>
      </c>
      <c r="G279" s="3"/>
      <c r="H279" s="3"/>
    </row>
    <row r="280">
      <c r="A280" s="3" t="str">
        <f>IFERROR(__xludf.DUMMYFUNCTION("""COMPUTED_VALUE"""),"Mazeaud")</f>
        <v>Mazeaud</v>
      </c>
      <c r="B280" s="3" t="str">
        <f>IFERROR(__xludf.DUMMYFUNCTION("""COMPUTED_VALUE"""),"Pierre")</f>
        <v>Pierre</v>
      </c>
      <c r="C280" s="3" t="str">
        <f>IFERROR(__xludf.DUMMYFUNCTION("""COMPUTED_VALUE"""),"France")</f>
        <v>France</v>
      </c>
      <c r="D280" s="3">
        <f>IFERROR(__xludf.DUMMYFUNCTION("""COMPUTED_VALUE"""),1929.0)</f>
        <v>1929</v>
      </c>
      <c r="E280" s="3"/>
      <c r="F280" s="3" t="str">
        <f>IFERROR(__xludf.DUMMYFUNCTION("""COMPUTED_VALUE"""),"Juriste et homme politique. Partenaire de Walter Bonatti et René Desmaison. 
Première ascension française de l'Everest en 1978. Drame du Pilier Central 
du Frêney en juillet 1961.")</f>
        <v>Juriste et homme politique. Partenaire de Walter Bonatti et René Desmaison. 
Première ascension française de l'Everest en 1978. Drame du Pilier Central 
du Frêney en juillet 1961.</v>
      </c>
      <c r="G280" s="3"/>
      <c r="H280" s="3"/>
    </row>
    <row r="281">
      <c r="A281" s="3" t="str">
        <f>IFERROR(__xludf.DUMMYFUNCTION("""COMPUTED_VALUE"""),"Mazur")</f>
        <v>Mazur</v>
      </c>
      <c r="B281" s="3" t="str">
        <f>IFERROR(__xludf.DUMMYFUNCTION("""COMPUTED_VALUE"""),"Daniel")</f>
        <v>Daniel</v>
      </c>
      <c r="C281" s="3" t="str">
        <f>IFERROR(__xludf.DUMMYFUNCTION("""COMPUTED_VALUE"""),"États-Unis")</f>
        <v>États-Unis</v>
      </c>
      <c r="D281" s="3">
        <f>IFERROR(__xludf.DUMMYFUNCTION("""COMPUTED_VALUE"""),1960.0)</f>
        <v>1960</v>
      </c>
      <c r="E281" s="3"/>
      <c r="F281" s="3" t="str">
        <f>IFERROR(__xludf.DUMMYFUNCTION("""COMPUTED_VALUE"""),"Nombreuses ascensions en Himalaya et en Amérique.")</f>
        <v>Nombreuses ascensions en Himalaya et en Amérique.</v>
      </c>
      <c r="G281" s="3"/>
      <c r="H281" s="3"/>
    </row>
    <row r="282">
      <c r="A282" s="3" t="str">
        <f>IFERROR(__xludf.DUMMYFUNCTION("""COMPUTED_VALUE"""),"McClure")</f>
        <v>McClure</v>
      </c>
      <c r="B282" s="3" t="str">
        <f>IFERROR(__xludf.DUMMYFUNCTION("""COMPUTED_VALUE"""),"Steve")</f>
        <v>Steve</v>
      </c>
      <c r="C282" s="3" t="str">
        <f>IFERROR(__xludf.DUMMYFUNCTION("""COMPUTED_VALUE"""),"Royaume-Uni")</f>
        <v>Royaume-Uni</v>
      </c>
      <c r="D282" s="3">
        <f>IFERROR(__xludf.DUMMYFUNCTION("""COMPUTED_VALUE"""),1970.0)</f>
        <v>1970</v>
      </c>
      <c r="E282" s="3"/>
      <c r="F282" s="3" t="str">
        <f>IFERROR(__xludf.DUMMYFUNCTION("""COMPUTED_VALUE"""),"Grimpeur.")</f>
        <v>Grimpeur.</v>
      </c>
      <c r="G282" s="3"/>
      <c r="H282" s="3"/>
    </row>
    <row r="283">
      <c r="A283" s="3" t="str">
        <f>IFERROR(__xludf.DUMMYFUNCTION("""COMPUTED_VALUE"""),"McDuffie")</f>
        <v>McDuffie</v>
      </c>
      <c r="B283" s="3" t="str">
        <f>IFERROR(__xludf.DUMMYFUNCTION("""COMPUTED_VALUE"""),"Duncan")</f>
        <v>Duncan</v>
      </c>
      <c r="C283" s="3" t="str">
        <f>IFERROR(__xludf.DUMMYFUNCTION("""COMPUTED_VALUE"""),"États-Unis")</f>
        <v>États-Unis</v>
      </c>
      <c r="D283" s="3">
        <f>IFERROR(__xludf.DUMMYFUNCTION("""COMPUTED_VALUE"""),1877.0)</f>
        <v>1877</v>
      </c>
      <c r="E283" s="3">
        <f>IFERROR(__xludf.DUMMYFUNCTION("""COMPUTED_VALUE"""),1951.0)</f>
        <v>1951</v>
      </c>
      <c r="F283" s="3" t="str">
        <f>IFERROR(__xludf.DUMMYFUNCTION("""COMPUTED_VALUE"""),"Des sommets dans la Sierra Nevada.")</f>
        <v>Des sommets dans la Sierra Nevada.</v>
      </c>
      <c r="G283" s="3"/>
      <c r="H283" s="3"/>
    </row>
    <row r="284">
      <c r="A284" s="3" t="str">
        <f>IFERROR(__xludf.DUMMYFUNCTION("""COMPUTED_VALUE"""),"McGowan")</f>
        <v>McGowan</v>
      </c>
      <c r="B284" s="3" t="str">
        <f>IFERROR(__xludf.DUMMYFUNCTION("""COMPUTED_VALUE"""),"Richard ""Dick""")</f>
        <v>Richard "Dick"</v>
      </c>
      <c r="C284" s="3" t="str">
        <f>IFERROR(__xludf.DUMMYFUNCTION("""COMPUTED_VALUE"""),"États-Unis")</f>
        <v>États-Unis</v>
      </c>
      <c r="D284" s="3">
        <f>IFERROR(__xludf.DUMMYFUNCTION("""COMPUTED_VALUE"""),1933.0)</f>
        <v>1933</v>
      </c>
      <c r="E284" s="3">
        <f>IFERROR(__xludf.DUMMYFUNCTION("""COMPUTED_VALUE"""),2007.0)</f>
        <v>2007</v>
      </c>
      <c r="F284" s="3" t="str">
        <f>IFERROR(__xludf.DUMMYFUNCTION("""COMPUTED_VALUE"""),"Première ascension américaine avec succès de l'Everest en 1955.")</f>
        <v>Première ascension américaine avec succès de l'Everest en 1955.</v>
      </c>
      <c r="G284" s="3"/>
      <c r="H284" s="3"/>
    </row>
    <row r="285">
      <c r="A285" s="3" t="str">
        <f>IFERROR(__xludf.DUMMYFUNCTION("""COMPUTED_VALUE"""),"McNeely")</f>
        <v>McNeely</v>
      </c>
      <c r="B285" s="3" t="str">
        <f>IFERROR(__xludf.DUMMYFUNCTION("""COMPUTED_VALUE"""),"Ammon")</f>
        <v>Ammon</v>
      </c>
      <c r="C285" s="3" t="str">
        <f>IFERROR(__xludf.DUMMYFUNCTION("""COMPUTED_VALUE"""),"États-Unis")</f>
        <v>États-Unis</v>
      </c>
      <c r="D285" s="3">
        <f>IFERROR(__xludf.DUMMYFUNCTION("""COMPUTED_VALUE"""),1970.0)</f>
        <v>1970</v>
      </c>
      <c r="E285" s="3"/>
      <c r="F285" s="3" t="str">
        <f>IFERROR(__xludf.DUMMYFUNCTION("""COMPUTED_VALUE"""),"Records de vitesse dans El Capitan au Yosemite et dans les big walls dans 
le parc national de Zion.")</f>
        <v>Records de vitesse dans El Capitan au Yosemite et dans les big walls dans 
le parc national de Zion.</v>
      </c>
      <c r="G285" s="3"/>
      <c r="H285" s="3"/>
    </row>
    <row r="286">
      <c r="A286" s="3" t="str">
        <f>IFERROR(__xludf.DUMMYFUNCTION("""COMPUTED_VALUE"""),"Negrete")</f>
        <v>Negrete</v>
      </c>
      <c r="B286" s="3" t="str">
        <f>IFERROR(__xludf.DUMMYFUNCTION("""COMPUTED_VALUE"""),"Vitor")</f>
        <v>Vitor</v>
      </c>
      <c r="C286" s="3" t="str">
        <f>IFERROR(__xludf.DUMMYFUNCTION("""COMPUTED_VALUE"""),"Brésil")</f>
        <v>Brésil</v>
      </c>
      <c r="D286" s="3">
        <f>IFERROR(__xludf.DUMMYFUNCTION("""COMPUTED_VALUE"""),1967.0)</f>
        <v>1967</v>
      </c>
      <c r="E286" s="3">
        <f>IFERROR(__xludf.DUMMYFUNCTION("""COMPUTED_VALUE"""),2006.0)</f>
        <v>2006</v>
      </c>
      <c r="F286" s="3" t="str">
        <f>IFERROR(__xludf.DUMMYFUNCTION("""COMPUTED_VALUE"""),"Premier Brésilien mort à l'Everest")</f>
        <v>Premier Brésilien mort à l'Everest</v>
      </c>
      <c r="G286" s="3"/>
      <c r="H286" s="3"/>
    </row>
    <row r="287">
      <c r="A287" s="3" t="str">
        <f>IFERROR(__xludf.DUMMYFUNCTION("""COMPUTED_VALUE"""),"Meroi")</f>
        <v>Meroi</v>
      </c>
      <c r="B287" s="3" t="str">
        <f>IFERROR(__xludf.DUMMYFUNCTION("""COMPUTED_VALUE"""),"Nives")</f>
        <v>Nives</v>
      </c>
      <c r="C287" s="3" t="str">
        <f>IFERROR(__xludf.DUMMYFUNCTION("""COMPUTED_VALUE"""),"Italie")</f>
        <v>Italie</v>
      </c>
      <c r="D287" s="3">
        <f>IFERROR(__xludf.DUMMYFUNCTION("""COMPUTED_VALUE"""),1961.0)</f>
        <v>1961</v>
      </c>
      <c r="E287" s="3"/>
      <c r="F287" s="3" t="str">
        <f>IFERROR(__xludf.DUMMYFUNCTION("""COMPUTED_VALUE"""),"Première femme à réaliser 10 des 14 sommets de plus de 8 000 mètres 
d'altitude.")</f>
        <v>Première femme à réaliser 10 des 14 sommets de plus de 8 000 mètres 
d'altitude.</v>
      </c>
      <c r="G287" s="3"/>
      <c r="H287" s="3"/>
    </row>
    <row r="288">
      <c r="A288" s="3" t="str">
        <f>IFERROR(__xludf.DUMMYFUNCTION("""COMPUTED_VALUE"""),"Mesili")</f>
        <v>Mesili</v>
      </c>
      <c r="B288" s="3" t="str">
        <f>IFERROR(__xludf.DUMMYFUNCTION("""COMPUTED_VALUE"""),"Alain")</f>
        <v>Alain</v>
      </c>
      <c r="C288" s="3" t="str">
        <f>IFERROR(__xludf.DUMMYFUNCTION("""COMPUTED_VALUE"""),"France")</f>
        <v>France</v>
      </c>
      <c r="D288" s="3">
        <f>IFERROR(__xludf.DUMMYFUNCTION("""COMPUTED_VALUE"""),1949.0)</f>
        <v>1949</v>
      </c>
      <c r="E288" s="3"/>
      <c r="F288" s="3" t="str">
        <f>IFERROR(__xludf.DUMMYFUNCTION("""COMPUTED_VALUE"""),"Ascension contestée du Fitz Roy en 1970 avec Ricardo Arzela[11]. Beaucoup 
de premières en Bolivie.")</f>
        <v>Ascension contestée du Fitz Roy en 1970 avec Ricardo Arzela[11]. Beaucoup 
de premières en Bolivie.</v>
      </c>
      <c r="G288" s="3"/>
      <c r="H288" s="3"/>
    </row>
    <row r="289">
      <c r="A289" s="3" t="str">
        <f>IFERROR(__xludf.DUMMYFUNCTION("""COMPUTED_VALUE"""),"Messner")</f>
        <v>Messner</v>
      </c>
      <c r="B289" s="3" t="str">
        <f>IFERROR(__xludf.DUMMYFUNCTION("""COMPUTED_VALUE"""),"Reinhold")</f>
        <v>Reinhold</v>
      </c>
      <c r="C289" s="3" t="str">
        <f>IFERROR(__xludf.DUMMYFUNCTION("""COMPUTED_VALUE"""),"Italie")</f>
        <v>Italie</v>
      </c>
      <c r="D289" s="3">
        <f>IFERROR(__xludf.DUMMYFUNCTION("""COMPUTED_VALUE"""),1944.0)</f>
        <v>1944</v>
      </c>
      <c r="E289" s="3"/>
      <c r="F289" s="3" t="str">
        <f>IFERROR(__xludf.DUMMYFUNCTION("""COMPUTED_VALUE"""),"Premier à gravir tous les sommets de plus de 8 000 mètres d'altitude 
(1970–1986) sans bouteille d'oxygène. Première ascension de l'Everest sans 
bouteille d'oxygène avec Peter Habeler en 1978. Première ascension en solo 
de l'Everest en 1980.")</f>
        <v>Premier à gravir tous les sommets de plus de 8 000 mètres d'altitude 
(1970–1986) sans bouteille d'oxygène. Première ascension de l'Everest sans 
bouteille d'oxygène avec Peter Habeler en 1978. Première ascension en solo 
de l'Everest en 1980.</v>
      </c>
      <c r="G289" s="3"/>
      <c r="H289" s="3"/>
    </row>
    <row r="290">
      <c r="A290" s="3" t="str">
        <f>IFERROR(__xludf.DUMMYFUNCTION("""COMPUTED_VALUE"""),"Metzger")</f>
        <v>Metzger</v>
      </c>
      <c r="B290" s="3" t="str">
        <f>IFERROR(__xludf.DUMMYFUNCTION("""COMPUTED_VALUE"""),"Michel")</f>
        <v>Michel</v>
      </c>
      <c r="C290" s="3" t="str">
        <f>IFERROR(__xludf.DUMMYFUNCTION("""COMPUTED_VALUE"""),"France")</f>
        <v>France</v>
      </c>
      <c r="D290" s="3"/>
      <c r="E290" s="3"/>
      <c r="F290" s="3" t="str">
        <f>IFERROR(__xludf.DUMMYFUNCTION("""COMPUTED_VALUE"""),"Premier français à atteindre le sommet de l'Everest sans oxygène, le 26 
septembre 1988.")</f>
        <v>Premier français à atteindre le sommet de l'Everest sans oxygène, le 26 
septembre 1988.</v>
      </c>
      <c r="G290" s="3"/>
      <c r="H290" s="3"/>
    </row>
    <row r="291">
      <c r="A291" s="3" t="str">
        <f>IFERROR(__xludf.DUMMYFUNCTION("""COMPUTED_VALUE"""),"Middendorf")</f>
        <v>Middendorf</v>
      </c>
      <c r="B291" s="3" t="str">
        <f>IFERROR(__xludf.DUMMYFUNCTION("""COMPUTED_VALUE"""),"John")</f>
        <v>John</v>
      </c>
      <c r="C291" s="3" t="str">
        <f>IFERROR(__xludf.DUMMYFUNCTION("""COMPUTED_VALUE"""),"États-Unis")</f>
        <v>États-Unis</v>
      </c>
      <c r="D291" s="3">
        <f>IFERROR(__xludf.DUMMYFUNCTION("""COMPUTED_VALUE"""),1959.0)</f>
        <v>1959</v>
      </c>
      <c r="E291" s="3"/>
      <c r="F291" s="3" t="str">
        <f>IFERROR(__xludf.DUMMYFUNCTION("""COMPUTED_VALUE"""),"Escalade de big wall. Première ascension du mur est des tours de Trango en 
1992.")</f>
        <v>Escalade de big wall. Première ascension du mur est des tours de Trango en 
1992.</v>
      </c>
      <c r="G291" s="3"/>
      <c r="H291" s="3"/>
    </row>
    <row r="292">
      <c r="A292" s="3" t="str">
        <f>IFERROR(__xludf.DUMMYFUNCTION("""COMPUTED_VALUE"""),"Næss")</f>
        <v>Næss</v>
      </c>
      <c r="B292" s="3" t="str">
        <f>IFERROR(__xludf.DUMMYFUNCTION("""COMPUTED_VALUE"""),"Arne")</f>
        <v>Arne</v>
      </c>
      <c r="C292" s="3" t="str">
        <f>IFERROR(__xludf.DUMMYFUNCTION("""COMPUTED_VALUE"""),"Norvège")</f>
        <v>Norvège</v>
      </c>
      <c r="D292" s="3">
        <f>IFERROR(__xludf.DUMMYFUNCTION("""COMPUTED_VALUE"""),1912.0)</f>
        <v>1912</v>
      </c>
      <c r="E292" s="3">
        <f>IFERROR(__xludf.DUMMYFUNCTION("""COMPUTED_VALUE"""),2009.0)</f>
        <v>2009</v>
      </c>
      <c r="F292" s="3" t="str">
        <f>IFERROR(__xludf.DUMMYFUNCTION("""COMPUTED_VALUE"""),"Philosophe et alpiniste. Dirige l'expédition de la première ascension du Tirich 
Mir en 1950.")</f>
        <v>Philosophe et alpiniste. Dirige l'expédition de la première ascension du Tirich 
Mir en 1950.</v>
      </c>
      <c r="G292" s="3"/>
      <c r="H292" s="3"/>
    </row>
    <row r="293">
      <c r="A293" s="3" t="str">
        <f>IFERROR(__xludf.DUMMYFUNCTION("""COMPUTED_VALUE"""),"Næss")</f>
        <v>Næss</v>
      </c>
      <c r="B293" s="3" t="str">
        <f>IFERROR(__xludf.DUMMYFUNCTION("""COMPUTED_VALUE"""),"Arne jr.")</f>
        <v>Arne jr.</v>
      </c>
      <c r="C293" s="3" t="str">
        <f>IFERROR(__xludf.DUMMYFUNCTION("""COMPUTED_VALUE"""),"Norvège")</f>
        <v>Norvège</v>
      </c>
      <c r="D293" s="3">
        <f>IFERROR(__xludf.DUMMYFUNCTION("""COMPUTED_VALUE"""),1937.0)</f>
        <v>1937</v>
      </c>
      <c r="E293" s="3">
        <f>IFERROR(__xludf.DUMMYFUNCTION("""COMPUTED_VALUE"""),2004.0)</f>
        <v>2004</v>
      </c>
      <c r="F293" s="3" t="str">
        <f>IFERROR(__xludf.DUMMYFUNCTION("""COMPUTED_VALUE"""),"Neveu de Arne Næss. Dirige l'expédition norvégienne sur l'Everest en 1985.")</f>
        <v>Neveu de Arne Næss. Dirige l'expédition norvégienne sur l'Everest en 1985.</v>
      </c>
      <c r="G293" s="3"/>
      <c r="H293" s="3"/>
    </row>
    <row r="294">
      <c r="A294" s="3" t="str">
        <f>IFERROR(__xludf.DUMMYFUNCTION("""COMPUTED_VALUE"""),"Namba")</f>
        <v>Namba</v>
      </c>
      <c r="B294" s="3" t="str">
        <f>IFERROR(__xludf.DUMMYFUNCTION("""COMPUTED_VALUE"""),"Yasuko")</f>
        <v>Yasuko</v>
      </c>
      <c r="C294" s="3" t="str">
        <f>IFERROR(__xludf.DUMMYFUNCTION("""COMPUTED_VALUE"""),"Japon")</f>
        <v>Japon</v>
      </c>
      <c r="D294" s="3">
        <f>IFERROR(__xludf.DUMMYFUNCTION("""COMPUTED_VALUE"""),1949.0)</f>
        <v>1949</v>
      </c>
      <c r="E294" s="3">
        <f>IFERROR(__xludf.DUMMYFUNCTION("""COMPUTED_VALUE"""),1996.0)</f>
        <v>1996</v>
      </c>
      <c r="F294" s="3" t="str">
        <f>IFERROR(__xludf.DUMMYFUNCTION("""COMPUTED_VALUE"""),"Seconde femme japonaise à réussir les Sept Sommets. Au moment de 
l'ascension, femme la plus âgée ayant réalisé l'ascension de l'Everest à 
47 ans en 1996. Meurt dans la descente.")</f>
        <v>Seconde femme japonaise à réussir les Sept Sommets. Au moment de 
l'ascension, femme la plus âgée ayant réalisé l'ascension de l'Everest à 
47 ans en 1996. Meurt dans la descente.</v>
      </c>
      <c r="G294" s="3"/>
      <c r="H294" s="3"/>
    </row>
    <row r="295">
      <c r="A295" s="3" t="str">
        <f>IFERROR(__xludf.DUMMYFUNCTION("""COMPUTED_VALUE"""),"Nicole")</f>
        <v>Nicole</v>
      </c>
      <c r="B295" s="3" t="str">
        <f>IFERROR(__xludf.DUMMYFUNCTION("""COMPUTED_VALUE"""),"Fred")</f>
        <v>Fred</v>
      </c>
      <c r="C295" s="3" t="str">
        <f>IFERROR(__xludf.DUMMYFUNCTION("""COMPUTED_VALUE"""),"Suisse")</f>
        <v>Suisse</v>
      </c>
      <c r="D295" s="3">
        <f>IFERROR(__xludf.DUMMYFUNCTION("""COMPUTED_VALUE"""),1970.0)</f>
        <v>1970</v>
      </c>
      <c r="E295" s="3"/>
      <c r="F295" s="3" t="str">
        <f>IFERROR(__xludf.DUMMYFUNCTION("""COMPUTED_VALUE"""),"Nombreuses premières ascensions en bloc et en escalade sportive.")</f>
        <v>Nombreuses premières ascensions en bloc et en escalade sportive.</v>
      </c>
      <c r="G295" s="3"/>
      <c r="H295" s="3"/>
    </row>
    <row r="296">
      <c r="A296" s="3" t="str">
        <f>IFERROR(__xludf.DUMMYFUNCTION("""COMPUTED_VALUE"""),"Tensing")</f>
        <v>Tensing</v>
      </c>
      <c r="B296" s="3" t="str">
        <f>IFERROR(__xludf.DUMMYFUNCTION("""COMPUTED_VALUE"""),"Norgay")</f>
        <v>Norgay</v>
      </c>
      <c r="C296" s="3" t="str">
        <f>IFERROR(__xludf.DUMMYFUNCTION("""COMPUTED_VALUE"""),"Népal")</f>
        <v>Népal</v>
      </c>
      <c r="D296" s="3">
        <f>IFERROR(__xludf.DUMMYFUNCTION("""COMPUTED_VALUE"""),1914.0)</f>
        <v>1914</v>
      </c>
      <c r="E296" s="3">
        <f>IFERROR(__xludf.DUMMYFUNCTION("""COMPUTED_VALUE"""),1986.0)</f>
        <v>1986</v>
      </c>
      <c r="F296" s="3" t="str">
        <f>IFERROR(__xludf.DUMMYFUNCTION("""COMPUTED_VALUE"""),"Sherpa. Première ascension de l'Everest en 1953 avec Edmund Hillary.")</f>
        <v>Sherpa. Première ascension de l'Everest en 1953 avec Edmund Hillary.</v>
      </c>
      <c r="G296" s="3"/>
      <c r="H296" s="3"/>
    </row>
    <row r="297">
      <c r="A297" s="3" t="str">
        <f>IFERROR(__xludf.DUMMYFUNCTION("""COMPUTED_VALUE"""),"Norgay")</f>
        <v>Norgay</v>
      </c>
      <c r="B297" s="3" t="str">
        <f>IFERROR(__xludf.DUMMYFUNCTION("""COMPUTED_VALUE"""),"Jamling Tensing")</f>
        <v>Jamling Tensing</v>
      </c>
      <c r="C297" s="3" t="str">
        <f>IFERROR(__xludf.DUMMYFUNCTION("""COMPUTED_VALUE"""),"Népal")</f>
        <v>Népal</v>
      </c>
      <c r="D297" s="3">
        <f>IFERROR(__xludf.DUMMYFUNCTION("""COMPUTED_VALUE"""),1965.0)</f>
        <v>1965</v>
      </c>
      <c r="E297" s="3"/>
      <c r="F297" s="3" t="str">
        <f>IFERROR(__xludf.DUMMYFUNCTION("""COMPUTED_VALUE"""),"Fils de Tensing Norgay. Escalade l'Everest avec le fils d'Edmund Hillary, Peter 
Hillary en 2003.")</f>
        <v>Fils de Tensing Norgay. Escalade l'Everest avec le fils d'Edmund Hillary, Peter 
Hillary en 2003.</v>
      </c>
      <c r="G297" s="3"/>
      <c r="H297" s="3"/>
    </row>
    <row r="298">
      <c r="A298" s="3" t="str">
        <f>IFERROR(__xludf.DUMMYFUNCTION("""COMPUTED_VALUE"""),"Norton")</f>
        <v>Norton</v>
      </c>
      <c r="B298" s="3" t="str">
        <f>IFERROR(__xludf.DUMMYFUNCTION("""COMPUTED_VALUE"""),"Edward Felix")</f>
        <v>Edward Felix</v>
      </c>
      <c r="C298" s="3" t="str">
        <f>IFERROR(__xludf.DUMMYFUNCTION("""COMPUTED_VALUE"""),"Royaume-Uni")</f>
        <v>Royaume-Uni</v>
      </c>
      <c r="D298" s="3">
        <f>IFERROR(__xludf.DUMMYFUNCTION("""COMPUTED_VALUE"""),1884.0)</f>
        <v>1884</v>
      </c>
      <c r="E298" s="3">
        <f>IFERROR(__xludf.DUMMYFUNCTION("""COMPUTED_VALUE"""),1954.0)</f>
        <v>1954</v>
      </c>
      <c r="F298" s="3" t="str">
        <f>IFERROR(__xludf.DUMMYFUNCTION("""COMPUTED_VALUE"""),"Dirige l'expédition britannique à l'Everest de 1924 avec Mallory et Irvine.")</f>
        <v>Dirige l'expédition britannique à l'Everest de 1924 avec Mallory et Irvine.</v>
      </c>
      <c r="G298" s="3"/>
      <c r="H298" s="3"/>
    </row>
    <row r="299">
      <c r="A299" s="3" t="str">
        <f>IFERROR(__xludf.DUMMYFUNCTION("""COMPUTED_VALUE"""),"Noyce")</f>
        <v>Noyce</v>
      </c>
      <c r="B299" s="3" t="str">
        <f>IFERROR(__xludf.DUMMYFUNCTION("""COMPUTED_VALUE"""),"Wilfrid")</f>
        <v>Wilfrid</v>
      </c>
      <c r="C299" s="3" t="str">
        <f>IFERROR(__xludf.DUMMYFUNCTION("""COMPUTED_VALUE"""),"Royaume-Uni")</f>
        <v>Royaume-Uni</v>
      </c>
      <c r="D299" s="3">
        <f>IFERROR(__xludf.DUMMYFUNCTION("""COMPUTED_VALUE"""),1917.0)</f>
        <v>1917</v>
      </c>
      <c r="E299" s="3">
        <f>IFERROR(__xludf.DUMMYFUNCTION("""COMPUTED_VALUE"""),1962.0)</f>
        <v>1962</v>
      </c>
      <c r="F299" s="3" t="str">
        <f>IFERROR(__xludf.DUMMYFUNCTION("""COMPUTED_VALUE"""),"Dans l'expédition de 1953 sur l'Everest atteint le col Sud. Mort dans le 
Pamir en 1962.")</f>
        <v>Dans l'expédition de 1953 sur l'Everest atteint le col Sud. Mort dans le 
Pamir en 1962.</v>
      </c>
      <c r="G299" s="3"/>
      <c r="H299" s="3"/>
    </row>
    <row r="300">
      <c r="A300" s="3" t="str">
        <f>IFERROR(__xludf.DUMMYFUNCTION("""COMPUTED_VALUE"""),"Oddo")</f>
        <v>Oddo</v>
      </c>
      <c r="B300" s="3" t="str">
        <f>IFERROR(__xludf.DUMMYFUNCTION("""COMPUTED_VALUE"""),"Enzo")</f>
        <v>Enzo</v>
      </c>
      <c r="C300" s="3" t="str">
        <f>IFERROR(__xludf.DUMMYFUNCTION("""COMPUTED_VALUE"""),"France")</f>
        <v>France</v>
      </c>
      <c r="D300" s="3">
        <f>IFERROR(__xludf.DUMMYFUNCTION("""COMPUTED_VALUE"""),1995.0)</f>
        <v>1995</v>
      </c>
      <c r="E300" s="3"/>
      <c r="F300" s="3" t="str">
        <f>IFERROR(__xludf.DUMMYFUNCTION("""COMPUTED_VALUE"""),"Escalade dans le neuvième degré depuis l'âge de 14 ans.")</f>
        <v>Escalade dans le neuvième degré depuis l'âge de 14 ans.</v>
      </c>
      <c r="G300" s="3"/>
      <c r="H300" s="3"/>
    </row>
    <row r="301">
      <c r="A301" s="3" t="str">
        <f>IFERROR(__xludf.DUMMYFUNCTION("""COMPUTED_VALUE"""),"O'Dowd")</f>
        <v>O'Dowd</v>
      </c>
      <c r="B301" s="3" t="str">
        <f>IFERROR(__xludf.DUMMYFUNCTION("""COMPUTED_VALUE"""),"Cathy")</f>
        <v>Cathy</v>
      </c>
      <c r="C301" s="3" t="str">
        <f>IFERROR(__xludf.DUMMYFUNCTION("""COMPUTED_VALUE"""),"Afrique du Sud")</f>
        <v>Afrique du Sud</v>
      </c>
      <c r="D301" s="3">
        <f>IFERROR(__xludf.DUMMYFUNCTION("""COMPUTED_VALUE"""),1968.0)</f>
        <v>1968</v>
      </c>
      <c r="E301" s="3"/>
      <c r="F301" s="3" t="str">
        <f>IFERROR(__xludf.DUMMYFUNCTION("""COMPUTED_VALUE"""),"Première femme à avoir fait l'ascension de l'Everest par le nord et le sud 
en 1999. Quatrième ascension féminine du Lhotse en 2000.")</f>
        <v>Première femme à avoir fait l'ascension de l'Everest par le nord et le sud 
en 1999. Quatrième ascension féminine du Lhotse en 2000.</v>
      </c>
      <c r="G301" s="3"/>
      <c r="H301" s="3"/>
    </row>
    <row r="302">
      <c r="A302" s="3" t="str">
        <f>IFERROR(__xludf.DUMMYFUNCTION("""COMPUTED_VALUE"""),"Oh")</f>
        <v>Oh</v>
      </c>
      <c r="B302" s="3" t="str">
        <f>IFERROR(__xludf.DUMMYFUNCTION("""COMPUTED_VALUE"""),"Eun-Sun")</f>
        <v>Eun-Sun</v>
      </c>
      <c r="C302" s="3" t="str">
        <f>IFERROR(__xludf.DUMMYFUNCTION("""COMPUTED_VALUE"""),"Corée du Sud")</f>
        <v>Corée du Sud</v>
      </c>
      <c r="D302" s="3">
        <f>IFERROR(__xludf.DUMMYFUNCTION("""COMPUTED_VALUE"""),1966.0)</f>
        <v>1966</v>
      </c>
      <c r="E302" s="3"/>
      <c r="F302" s="3" t="str">
        <f>IFERROR(__xludf.DUMMYFUNCTION("""COMPUTED_VALUE"""),"Première femme à avoir gravi les Sept Sommets. Controverse sur les sommets 
de plus de 8 000 mètres d'altitude[12].")</f>
        <v>Première femme à avoir gravi les Sept Sommets. Controverse sur les sommets 
de plus de 8 000 mètres d'altitude[12].</v>
      </c>
      <c r="G302" s="3"/>
      <c r="H302" s="3"/>
    </row>
    <row r="303">
      <c r="A303" s="3" t="str">
        <f>IFERROR(__xludf.DUMMYFUNCTION("""COMPUTED_VALUE"""),"Oiarzabal")</f>
        <v>Oiarzabal</v>
      </c>
      <c r="B303" s="3" t="str">
        <f>IFERROR(__xludf.DUMMYFUNCTION("""COMPUTED_VALUE"""),"Juanito")</f>
        <v>Juanito</v>
      </c>
      <c r="C303" s="3" t="str">
        <f>IFERROR(__xludf.DUMMYFUNCTION("""COMPUTED_VALUE"""),"Espagne")</f>
        <v>Espagne</v>
      </c>
      <c r="D303" s="3">
        <f>IFERROR(__xludf.DUMMYFUNCTION("""COMPUTED_VALUE"""),1956.0)</f>
        <v>1956</v>
      </c>
      <c r="E303" s="3"/>
      <c r="F303" s="3" t="str">
        <f>IFERROR(__xludf.DUMMYFUNCTION("""COMPUTED_VALUE"""),"Tous les sommets de plus de 8 000 mètres d'altitude sans bouteille 
d'oxygène. Recordman sur 24 ascensions de sommets de plus de 8 000 mètres 
d'altitude.")</f>
        <v>Tous les sommets de plus de 8 000 mètres d'altitude sans bouteille 
d'oxygène. Recordman sur 24 ascensions de sommets de plus de 8 000 mètres 
d'altitude.</v>
      </c>
      <c r="G303" s="3"/>
      <c r="H303" s="3"/>
    </row>
    <row r="304">
      <c r="A304" s="3" t="str">
        <f>IFERROR(__xludf.DUMMYFUNCTION("""COMPUTED_VALUE"""),"Ondra")</f>
        <v>Ondra</v>
      </c>
      <c r="B304" s="3" t="str">
        <f>IFERROR(__xludf.DUMMYFUNCTION("""COMPUTED_VALUE"""),"Adam")</f>
        <v>Adam</v>
      </c>
      <c r="C304" s="3" t="str">
        <f>IFERROR(__xludf.DUMMYFUNCTION("""COMPUTED_VALUE"""),"République tchèque")</f>
        <v>République tchèque</v>
      </c>
      <c r="D304" s="3">
        <f>IFERROR(__xludf.DUMMYFUNCTION("""COMPUTED_VALUE"""),1993.0)</f>
        <v>1993</v>
      </c>
      <c r="E304" s="3"/>
      <c r="F304" s="3" t="str">
        <f>IFERROR(__xludf.DUMMYFUNCTION("""COMPUTED_VALUE"""),"Plus jeune grimpeur sur un 9a.")</f>
        <v>Plus jeune grimpeur sur un 9a.</v>
      </c>
      <c r="G304" s="3"/>
      <c r="H304" s="3"/>
    </row>
    <row r="305">
      <c r="A305" s="3" t="str">
        <f>IFERROR(__xludf.DUMMYFUNCTION("""COMPUTED_VALUE"""),"Osman")</f>
        <v>Osman</v>
      </c>
      <c r="B305" s="3" t="str">
        <f>IFERROR(__xludf.DUMMYFUNCTION("""COMPUTED_VALUE"""),"Dan")</f>
        <v>Dan</v>
      </c>
      <c r="C305" s="3" t="str">
        <f>IFERROR(__xludf.DUMMYFUNCTION("""COMPUTED_VALUE"""),"États-Unis")</f>
        <v>États-Unis</v>
      </c>
      <c r="D305" s="3">
        <f>IFERROR(__xludf.DUMMYFUNCTION("""COMPUTED_VALUE"""),1963.0)</f>
        <v>1963</v>
      </c>
      <c r="E305" s="3">
        <f>IFERROR(__xludf.DUMMYFUNCTION("""COMPUTED_VALUE"""),1998.0)</f>
        <v>1998</v>
      </c>
      <c r="F305" s="3" t="str">
        <f>IFERROR(__xludf.DUMMYFUNCTION("""COMPUTED_VALUE"""),"Spécialiste de l'escalade en solo intégral. Tué alors qu'il faisait du saut 
dans le vide avec une corde dynamique.")</f>
        <v>Spécialiste de l'escalade en solo intégral. Tué alors qu'il faisait du saut 
dans le vide avec une corde dynamique.</v>
      </c>
      <c r="G305" s="3"/>
      <c r="H305" s="3"/>
    </row>
    <row r="306">
      <c r="A306" s="3" t="str">
        <f>IFERROR(__xludf.DUMMYFUNCTION("""COMPUTED_VALUE"""),"Oudot")</f>
        <v>Oudot</v>
      </c>
      <c r="B306" s="3" t="str">
        <f>IFERROR(__xludf.DUMMYFUNCTION("""COMPUTED_VALUE"""),"Jacques")</f>
        <v>Jacques</v>
      </c>
      <c r="C306" s="3" t="str">
        <f>IFERROR(__xludf.DUMMYFUNCTION("""COMPUTED_VALUE"""),"France")</f>
        <v>France</v>
      </c>
      <c r="D306" s="3">
        <f>IFERROR(__xludf.DUMMYFUNCTION("""COMPUTED_VALUE"""),1913.0)</f>
        <v>1913</v>
      </c>
      <c r="E306" s="3">
        <f>IFERROR(__xludf.DUMMYFUNCTION("""COMPUTED_VALUE"""),1953.0)</f>
        <v>1953</v>
      </c>
      <c r="F306" s="3" t="str">
        <f>IFERROR(__xludf.DUMMYFUNCTION("""COMPUTED_VALUE"""),"Participe à l'expédition française à l'Annapurna de 1950.")</f>
        <v>Participe à l'expédition française à l'Annapurna de 1950.</v>
      </c>
      <c r="G306" s="3"/>
      <c r="H306" s="3"/>
    </row>
    <row r="307">
      <c r="A307" s="3" t="str">
        <f>IFERROR(__xludf.DUMMYFUNCTION("""COMPUTED_VALUE"""),"Outram")</f>
        <v>Outram</v>
      </c>
      <c r="B307" s="3" t="str">
        <f>IFERROR(__xludf.DUMMYFUNCTION("""COMPUTED_VALUE"""),"James")</f>
        <v>James</v>
      </c>
      <c r="C307" s="3" t="str">
        <f>IFERROR(__xludf.DUMMYFUNCTION("""COMPUTED_VALUE"""),"Canada")</f>
        <v>Canada</v>
      </c>
      <c r="D307" s="3">
        <f>IFERROR(__xludf.DUMMYFUNCTION("""COMPUTED_VALUE"""),1864.0)</f>
        <v>1864</v>
      </c>
      <c r="E307" s="3">
        <f>IFERROR(__xludf.DUMMYFUNCTION("""COMPUTED_VALUE"""),1925.0)</f>
        <v>1925</v>
      </c>
      <c r="F307" s="3" t="str">
        <f>IFERROR(__xludf.DUMMYFUNCTION("""COMPUTED_VALUE"""),"Première ascension du mont Assiniboine.")</f>
        <v>Première ascension du mont Assiniboine.</v>
      </c>
      <c r="G307" s="3"/>
      <c r="H307" s="3"/>
    </row>
    <row r="308">
      <c r="A308" s="3" t="str">
        <f>IFERROR(__xludf.DUMMYFUNCTION("""COMPUTED_VALUE"""),"Paragot")</f>
        <v>Paragot</v>
      </c>
      <c r="B308" s="3" t="str">
        <f>IFERROR(__xludf.DUMMYFUNCTION("""COMPUTED_VALUE"""),"Robert")</f>
        <v>Robert</v>
      </c>
      <c r="C308" s="3" t="str">
        <f>IFERROR(__xludf.DUMMYFUNCTION("""COMPUTED_VALUE"""),"France")</f>
        <v>France</v>
      </c>
      <c r="D308" s="3">
        <f>IFERROR(__xludf.DUMMYFUNCTION("""COMPUTED_VALUE"""),1927.0)</f>
        <v>1927</v>
      </c>
      <c r="E308" s="3">
        <f>IFERROR(__xludf.DUMMYFUNCTION("""COMPUTED_VALUE"""),2019.0)</f>
        <v>2019</v>
      </c>
      <c r="F308" s="3" t="str">
        <f>IFERROR(__xludf.DUMMYFUNCTION("""COMPUTED_VALUE"""),"Piolet d'Or carrière. Nombreuses ouvertures à Fontainebleau. Première 
ascension de la face Sud de l'Aconcagua, de la face Nord du Grand Capucin")</f>
        <v>Piolet d'Or carrière. Nombreuses ouvertures à Fontainebleau. Première 
ascension de la face Sud de l'Aconcagua, de la face Nord du Grand Capucin</v>
      </c>
      <c r="G308" s="3"/>
      <c r="H308" s="3"/>
    </row>
    <row r="309">
      <c r="A309" s="3" t="str">
        <f>IFERROR(__xludf.DUMMYFUNCTION("""COMPUTED_VALUE"""),"Pérez (es)")</f>
        <v>Pérez (es)</v>
      </c>
      <c r="B309" s="3" t="str">
        <f>IFERROR(__xludf.DUMMYFUNCTION("""COMPUTED_VALUE"""),"Carla")</f>
        <v>Carla</v>
      </c>
      <c r="C309" s="3" t="str">
        <f>IFERROR(__xludf.DUMMYFUNCTION("""COMPUTED_VALUE"""),"Équateur")</f>
        <v>Équateur</v>
      </c>
      <c r="D309" s="3">
        <f>IFERROR(__xludf.DUMMYFUNCTION("""COMPUTED_VALUE"""),1982.0)</f>
        <v>1982</v>
      </c>
      <c r="E309" s="3"/>
      <c r="F309" s="3" t="str">
        <f>IFERROR(__xludf.DUMMYFUNCTION("""COMPUTED_VALUE"""),"Gravit la même année l'Everest et le K2, en 2019[13].")</f>
        <v>Gravit la même année l'Everest et le K2, en 2019[13].</v>
      </c>
      <c r="G309" s="3"/>
      <c r="H309" s="3"/>
    </row>
    <row r="310">
      <c r="A310" s="3" t="str">
        <f>IFERROR(__xludf.DUMMYFUNCTION("""COMPUTED_VALUE"""),"Piaz")</f>
        <v>Piaz</v>
      </c>
      <c r="B310" s="3" t="str">
        <f>IFERROR(__xludf.DUMMYFUNCTION("""COMPUTED_VALUE"""),"Giovanni Battista dit Tita")</f>
        <v>Giovanni Battista dit Tita</v>
      </c>
      <c r="C310" s="3" t="str">
        <f>IFERROR(__xludf.DUMMYFUNCTION("""COMPUTED_VALUE"""),"Italie")</f>
        <v>Italie</v>
      </c>
      <c r="D310" s="3">
        <f>IFERROR(__xludf.DUMMYFUNCTION("""COMPUTED_VALUE"""),1879.0)</f>
        <v>1879</v>
      </c>
      <c r="E310" s="3">
        <f>IFERROR(__xludf.DUMMYFUNCTION("""COMPUTED_VALUE"""),1948.0)</f>
        <v>1948</v>
      </c>
      <c r="F310" s="3" t="str">
        <f>IFERROR(__xludf.DUMMYFUNCTION("""COMPUTED_VALUE"""),"Plusieurs premières dans les Alpes.")</f>
        <v>Plusieurs premières dans les Alpes.</v>
      </c>
      <c r="G310" s="3"/>
      <c r="H310" s="3"/>
    </row>
    <row r="311">
      <c r="A311" s="3" t="str">
        <f>IFERROR(__xludf.DUMMYFUNCTION("""COMPUTED_VALUE"""),"Pierre")</f>
        <v>Pierre</v>
      </c>
      <c r="B311" s="3" t="str">
        <f>IFERROR(__xludf.DUMMYFUNCTION("""COMPUTED_VALUE"""),"Bernard Pierre")</f>
        <v>Bernard Pierre</v>
      </c>
      <c r="C311" s="3" t="str">
        <f>IFERROR(__xludf.DUMMYFUNCTION("""COMPUTED_VALUE"""),"France")</f>
        <v>France</v>
      </c>
      <c r="D311" s="3">
        <f>IFERROR(__xludf.DUMMYFUNCTION("""COMPUTED_VALUE"""),1920.0)</f>
        <v>1920</v>
      </c>
      <c r="E311" s="3">
        <f>IFERROR(__xludf.DUMMYFUNCTION("""COMPUTED_VALUE"""),1997.0)</f>
        <v>1997</v>
      </c>
      <c r="F311" s="3" t="str">
        <f>IFERROR(__xludf.DUMMYFUNCTION("""COMPUTED_VALUE"""),"Premières dans les Alpes et première du Salcantay.")</f>
        <v>Premières dans les Alpes et première du Salcantay.</v>
      </c>
      <c r="G311" s="3"/>
      <c r="H311" s="3"/>
    </row>
    <row r="312">
      <c r="A312" s="3" t="str">
        <f>IFERROR(__xludf.DUMMYFUNCTION("""COMPUTED_VALUE"""),"Poincenot")</f>
        <v>Poincenot</v>
      </c>
      <c r="B312" s="3" t="str">
        <f>IFERROR(__xludf.DUMMYFUNCTION("""COMPUTED_VALUE"""),"Jacques")</f>
        <v>Jacques</v>
      </c>
      <c r="C312" s="3" t="str">
        <f>IFERROR(__xludf.DUMMYFUNCTION("""COMPUTED_VALUE"""),"France")</f>
        <v>France</v>
      </c>
      <c r="D312" s="3">
        <f>IFERROR(__xludf.DUMMYFUNCTION("""COMPUTED_VALUE"""),1923.0)</f>
        <v>1923</v>
      </c>
      <c r="E312" s="3">
        <f>IFERROR(__xludf.DUMMYFUNCTION("""COMPUTED_VALUE"""),1952.0)</f>
        <v>1952</v>
      </c>
      <c r="F312" s="3" t="str">
        <f>IFERROR(__xludf.DUMMYFUNCTION("""COMPUTED_VALUE"""),"Grimpeur de bloc à Fontainebleau. 3e ascension de la voie Walker aux Grandes 
Jorasses. Meurt dans l'expédition française au Fitz Roy.")</f>
        <v>Grimpeur de bloc à Fontainebleau. 3e ascension de la voie Walker aux Grandes 
Jorasses. Meurt dans l'expédition française au Fitz Roy.</v>
      </c>
      <c r="G312" s="3"/>
      <c r="H312" s="3"/>
    </row>
    <row r="313">
      <c r="A313" s="3" t="str">
        <f>IFERROR(__xludf.DUMMYFUNCTION("""COMPUTED_VALUE"""),"Ratti")</f>
        <v>Ratti</v>
      </c>
      <c r="B313" s="3" t="str">
        <f>IFERROR(__xludf.DUMMYFUNCTION("""COMPUTED_VALUE"""),"Achille")</f>
        <v>Achille</v>
      </c>
      <c r="C313" s="3" t="str">
        <f>IFERROR(__xludf.DUMMYFUNCTION("""COMPUTED_VALUE"""),"Italie")</f>
        <v>Italie</v>
      </c>
      <c r="D313" s="3">
        <f>IFERROR(__xludf.DUMMYFUNCTION("""COMPUTED_VALUE"""),1857.0)</f>
        <v>1857</v>
      </c>
      <c r="E313" s="3">
        <f>IFERROR(__xludf.DUMMYFUNCTION("""COMPUTED_VALUE"""),1922.0)</f>
        <v>1922</v>
      </c>
      <c r="F313" s="3" t="str">
        <f>IFERROR(__xludf.DUMMYFUNCTION("""COMPUTED_VALUE"""),"Élu pape sous le nom de Pie XI. Nombreuses voies ouvertes dans les Alpes.")</f>
        <v>Élu pape sous le nom de Pie XI. Nombreuses voies ouvertes dans les Alpes.</v>
      </c>
      <c r="G313" s="3"/>
      <c r="H313" s="3"/>
    </row>
    <row r="314">
      <c r="A314" s="3" t="str">
        <f>IFERROR(__xludf.DUMMYFUNCTION("""COMPUTED_VALUE"""),"Revol")</f>
        <v>Revol</v>
      </c>
      <c r="B314" s="3" t="str">
        <f>IFERROR(__xludf.DUMMYFUNCTION("""COMPUTED_VALUE"""),"Elisabeth")</f>
        <v>Elisabeth</v>
      </c>
      <c r="C314" s="3" t="str">
        <f>IFERROR(__xludf.DUMMYFUNCTION("""COMPUTED_VALUE"""),"France")</f>
        <v>France</v>
      </c>
      <c r="D314" s="3">
        <f>IFERROR(__xludf.DUMMYFUNCTION("""COMPUTED_VALUE"""),1979.0)</f>
        <v>1979</v>
      </c>
      <c r="E314" s="3"/>
      <c r="F314" s="3" t="str">
        <f>IFERROR(__xludf.DUMMYFUNCTION("""COMPUTED_VALUE"""),"A atteint le sommet du Nanga Parbat en hiver en style alpin en 2018, et a 
perdu son compagnon de cordée Tomek (Tomasz Mackiewicz) à la suite d'un 
œdème pulmonaire à son arrivée au sommet. Elle est la première femme à 
avoir réalisé le triplé Broad Peak "&amp;"- Gasherbrum I - Gasherbrum II en 
solitaire et sans oxygène en 2008.")</f>
        <v>A atteint le sommet du Nanga Parbat en hiver en style alpin en 2018, et a 
perdu son compagnon de cordée Tomek (Tomasz Mackiewicz) à la suite d'un 
œdème pulmonaire à son arrivée au sommet. Elle est la première femme à 
avoir réalisé le triplé Broad Peak - Gasherbrum I - Gasherbrum II en 
solitaire et sans oxygène en 2008.</v>
      </c>
      <c r="G314" s="3"/>
      <c r="H314" s="3"/>
    </row>
    <row r="315">
      <c r="A315" s="3" t="str">
        <f>IFERROR(__xludf.DUMMYFUNCTION("""COMPUTED_VALUE"""),"Richard")</f>
        <v>Richard</v>
      </c>
      <c r="B315" s="3" t="str">
        <f>IFERROR(__xludf.DUMMYFUNCTION("""COMPUTED_VALUE"""),"Monique")</f>
        <v>Monique</v>
      </c>
      <c r="C315" s="3" t="str">
        <f>IFERROR(__xludf.DUMMYFUNCTION("""COMPUTED_VALUE"""),"Canada")</f>
        <v>Canada</v>
      </c>
      <c r="D315" s="3">
        <f>IFERROR(__xludf.DUMMYFUNCTION("""COMPUTED_VALUE"""),1975.0)</f>
        <v>1975</v>
      </c>
      <c r="E315" s="3"/>
      <c r="F315" s="3" t="str">
        <f>IFERROR(__xludf.DUMMYFUNCTION("""COMPUTED_VALUE"""),"Première femme à atteindre en solo le sommet du mont Logan, première 
Canadienne à atteindre le sommet du Makalu.")</f>
        <v>Première femme à atteindre en solo le sommet du mont Logan, première 
Canadienne à atteindre le sommet du Makalu.</v>
      </c>
      <c r="G315" s="3"/>
      <c r="H315" s="3"/>
    </row>
    <row r="316">
      <c r="A316" s="3" t="str">
        <f>IFERROR(__xludf.DUMMYFUNCTION("""COMPUTED_VALUE"""),"de Savoie")</f>
        <v>de Savoie</v>
      </c>
      <c r="B316" s="3" t="str">
        <f>IFERROR(__xludf.DUMMYFUNCTION("""COMPUTED_VALUE"""),"Louis-Amédée")</f>
        <v>Louis-Amédée</v>
      </c>
      <c r="C316" s="3" t="str">
        <f>IFERROR(__xludf.DUMMYFUNCTION("""COMPUTED_VALUE"""),"Italie")</f>
        <v>Italie</v>
      </c>
      <c r="D316" s="3">
        <f>IFERROR(__xludf.DUMMYFUNCTION("""COMPUTED_VALUE"""),1873.0)</f>
        <v>1873</v>
      </c>
      <c r="E316" s="3">
        <f>IFERROR(__xludf.DUMMYFUNCTION("""COMPUTED_VALUE"""),1933.0)</f>
        <v>1933</v>
      </c>
      <c r="F316" s="3" t="str">
        <f>IFERROR(__xludf.DUMMYFUNCTION("""COMPUTED_VALUE"""),"Première ascension du mont Saint Elias.")</f>
        <v>Première ascension du mont Saint Elias.</v>
      </c>
      <c r="G316" s="3"/>
      <c r="H316" s="3"/>
    </row>
    <row r="317">
      <c r="A317" s="3" t="str">
        <f>IFERROR(__xludf.DUMMYFUNCTION("""COMPUTED_VALUE"""),"Schatz")</f>
        <v>Schatz</v>
      </c>
      <c r="B317" s="3" t="str">
        <f>IFERROR(__xludf.DUMMYFUNCTION("""COMPUTED_VALUE"""),"Marcel")</f>
        <v>Marcel</v>
      </c>
      <c r="C317" s="3" t="str">
        <f>IFERROR(__xludf.DUMMYFUNCTION("""COMPUTED_VALUE"""),"France")</f>
        <v>France</v>
      </c>
      <c r="D317" s="3" t="str">
        <f>IFERROR(__xludf.DUMMYFUNCTION("""COMPUTED_VALUE"""),"1920 ou 1921")</f>
        <v>1920 ou 1921</v>
      </c>
      <c r="E317" s="3"/>
      <c r="F317" s="3" t="str">
        <f>IFERROR(__xludf.DUMMYFUNCTION("""COMPUTED_VALUE"""),"Participe à l'expédition française à l'Annapurna de 1950.")</f>
        <v>Participe à l'expédition française à l'Annapurna de 1950.</v>
      </c>
      <c r="G317" s="3"/>
      <c r="H317" s="3"/>
    </row>
    <row r="318">
      <c r="A318" s="3" t="str">
        <f>IFERROR(__xludf.DUMMYFUNCTION("""COMPUTED_VALUE"""),"de Ségogne")</f>
        <v>de Ségogne</v>
      </c>
      <c r="B318" s="3" t="str">
        <f>IFERROR(__xludf.DUMMYFUNCTION("""COMPUTED_VALUE"""),"Henry")</f>
        <v>Henry</v>
      </c>
      <c r="C318" s="3" t="str">
        <f>IFERROR(__xludf.DUMMYFUNCTION("""COMPUTED_VALUE"""),"France")</f>
        <v>France</v>
      </c>
      <c r="D318" s="3">
        <f>IFERROR(__xludf.DUMMYFUNCTION("""COMPUTED_VALUE"""),1901.0)</f>
        <v>1901</v>
      </c>
      <c r="E318" s="3">
        <f>IFERROR(__xludf.DUMMYFUNCTION("""COMPUTED_VALUE"""),1979.0)</f>
        <v>1979</v>
      </c>
      <c r="F318" s="3" t="str">
        <f>IFERROR(__xludf.DUMMYFUNCTION("""COMPUTED_VALUE"""),"Dirige la première expédition française en Himalaya en 1936.")</f>
        <v>Dirige la première expédition française en Himalaya en 1936.</v>
      </c>
      <c r="G318" s="3"/>
      <c r="H318" s="3"/>
    </row>
    <row r="319">
      <c r="A319" s="3" t="str">
        <f>IFERROR(__xludf.DUMMYFUNCTION("""COMPUTED_VALUE"""),"Seigneur")</f>
        <v>Seigneur</v>
      </c>
      <c r="B319" s="3" t="str">
        <f>IFERROR(__xludf.DUMMYFUNCTION("""COMPUTED_VALUE"""),"Yannick")</f>
        <v>Yannick</v>
      </c>
      <c r="C319" s="3" t="str">
        <f>IFERROR(__xludf.DUMMYFUNCTION("""COMPUTED_VALUE"""),"France")</f>
        <v>France</v>
      </c>
      <c r="D319" s="3">
        <f>IFERROR(__xludf.DUMMYFUNCTION("""COMPUTED_VALUE"""),1941.0)</f>
        <v>1941</v>
      </c>
      <c r="E319" s="3">
        <f>IFERROR(__xludf.DUMMYFUNCTION("""COMPUTED_VALUE"""),2001.0)</f>
        <v>2001</v>
      </c>
      <c r="F319" s="3" t="str">
        <f>IFERROR(__xludf.DUMMYFUNCTION("""COMPUTED_VALUE"""),"premier Français à avoir gravi trois sommets de plus de 8 000 mètres 
d'altitude.")</f>
        <v>premier Français à avoir gravi trois sommets de plus de 8 000 mètres 
d'altitude.</v>
      </c>
      <c r="G319" s="3"/>
      <c r="H319" s="3"/>
    </row>
    <row r="320">
      <c r="A320" s="3" t="str">
        <f>IFERROR(__xludf.DUMMYFUNCTION("""COMPUTED_VALUE"""),"Solleder")</f>
        <v>Solleder</v>
      </c>
      <c r="B320" s="3" t="str">
        <f>IFERROR(__xludf.DUMMYFUNCTION("""COMPUTED_VALUE"""),"Emil")</f>
        <v>Emil</v>
      </c>
      <c r="C320" s="3" t="str">
        <f>IFERROR(__xludf.DUMMYFUNCTION("""COMPUTED_VALUE"""),"Allemagne")</f>
        <v>Allemagne</v>
      </c>
      <c r="D320" s="3">
        <f>IFERROR(__xludf.DUMMYFUNCTION("""COMPUTED_VALUE"""),1899.0)</f>
        <v>1899</v>
      </c>
      <c r="E320" s="3">
        <f>IFERROR(__xludf.DUMMYFUNCTION("""COMPUTED_VALUE"""),1931.0)</f>
        <v>1931</v>
      </c>
      <c r="F320" s="3" t="str">
        <f>IFERROR(__xludf.DUMMYFUNCTION("""COMPUTED_VALUE"""),"Premier grimpeur à atteindre le 6e degré de difficulté dans les Dolomites")</f>
        <v>Premier grimpeur à atteindre le 6e degré de difficulté dans les Dolomites</v>
      </c>
      <c r="G320" s="3"/>
      <c r="H320" s="3"/>
    </row>
    <row r="321">
      <c r="A321" s="3" t="str">
        <f>IFERROR(__xludf.DUMMYFUNCTION("""COMPUTED_VALUE"""),"Steger")</f>
        <v>Steger</v>
      </c>
      <c r="B321" s="3" t="str">
        <f>IFERROR(__xludf.DUMMYFUNCTION("""COMPUTED_VALUE"""),"Hans")</f>
        <v>Hans</v>
      </c>
      <c r="C321" s="3" t="str">
        <f>IFERROR(__xludf.DUMMYFUNCTION("""COMPUTED_VALUE"""),"Allemagne")</f>
        <v>Allemagne</v>
      </c>
      <c r="D321" s="3">
        <f>IFERROR(__xludf.DUMMYFUNCTION("""COMPUTED_VALUE"""),1907.0)</f>
        <v>1907</v>
      </c>
      <c r="E321" s="3">
        <f>IFERROR(__xludf.DUMMYFUNCTION("""COMPUTED_VALUE"""),1989.0)</f>
        <v>1989</v>
      </c>
      <c r="F321" s="3" t="str">
        <f>IFERROR(__xludf.DUMMYFUNCTION("""COMPUTED_VALUE"""),"Premières dans les Dolomites")</f>
        <v>Premières dans les Dolomites</v>
      </c>
      <c r="G321" s="3"/>
      <c r="H321" s="3"/>
    </row>
    <row r="322">
      <c r="A322" s="3" t="str">
        <f>IFERROR(__xludf.DUMMYFUNCTION("""COMPUTED_VALUE"""),"Tabei")</f>
        <v>Tabei</v>
      </c>
      <c r="B322" s="3" t="str">
        <f>IFERROR(__xludf.DUMMYFUNCTION("""COMPUTED_VALUE"""),"Junko")</f>
        <v>Junko</v>
      </c>
      <c r="C322" s="3" t="str">
        <f>IFERROR(__xludf.DUMMYFUNCTION("""COMPUTED_VALUE"""),"Japon")</f>
        <v>Japon</v>
      </c>
      <c r="D322" s="3">
        <f>IFERROR(__xludf.DUMMYFUNCTION("""COMPUTED_VALUE"""),1939.0)</f>
        <v>1939</v>
      </c>
      <c r="E322" s="3"/>
      <c r="F322" s="3" t="str">
        <f>IFERROR(__xludf.DUMMYFUNCTION("""COMPUTED_VALUE"""),"Première ascension féminine de l'Everest; Première à terminer les listes de Sept 
Sommets de Bass et de Messmer.")</f>
        <v>Première ascension féminine de l'Everest; Première à terminer les listes de Sept 
Sommets de Bass et de Messmer.</v>
      </c>
      <c r="G322" s="3"/>
      <c r="H322" s="3"/>
    </row>
    <row r="323">
      <c r="A323" s="3" t="str">
        <f>IFERROR(__xludf.DUMMYFUNCTION("""COMPUTED_VALUE"""),"Taistra")</f>
        <v>Taistra</v>
      </c>
      <c r="B323" s="3" t="str">
        <f>IFERROR(__xludf.DUMMYFUNCTION("""COMPUTED_VALUE"""),"Aleksandra")</f>
        <v>Aleksandra</v>
      </c>
      <c r="C323" s="3" t="str">
        <f>IFERROR(__xludf.DUMMYFUNCTION("""COMPUTED_VALUE"""),"Pologne")</f>
        <v>Pologne</v>
      </c>
      <c r="D323" s="3">
        <f>IFERROR(__xludf.DUMMYFUNCTION("""COMPUTED_VALUE"""),1982.0)</f>
        <v>1982</v>
      </c>
      <c r="E323" s="3"/>
      <c r="F323" s="3" t="str">
        <f>IFERROR(__xludf.DUMMYFUNCTION("""COMPUTED_VALUE"""),"Quatrième femme à grimper un 8c.")</f>
        <v>Quatrième femme à grimper un 8c.</v>
      </c>
      <c r="G323" s="3"/>
      <c r="H323" s="3"/>
    </row>
    <row r="324">
      <c r="A324" s="3" t="str">
        <f>IFERROR(__xludf.DUMMYFUNCTION("""COMPUTED_VALUE"""),"Tasker")</f>
        <v>Tasker</v>
      </c>
      <c r="B324" s="3" t="str">
        <f>IFERROR(__xludf.DUMMYFUNCTION("""COMPUTED_VALUE"""),"Joe")</f>
        <v>Joe</v>
      </c>
      <c r="C324" s="3" t="str">
        <f>IFERROR(__xludf.DUMMYFUNCTION("""COMPUTED_VALUE"""),"Royaume-Uni")</f>
        <v>Royaume-Uni</v>
      </c>
      <c r="D324" s="3">
        <f>IFERROR(__xludf.DUMMYFUNCTION("""COMPUTED_VALUE"""),1948.0)</f>
        <v>1948</v>
      </c>
      <c r="E324" s="3">
        <f>IFERROR(__xludf.DUMMYFUNCTION("""COMPUTED_VALUE"""),1982.0)</f>
        <v>1982</v>
      </c>
      <c r="F324" s="3" t="str">
        <f>IFERROR(__xludf.DUMMYFUNCTION("""COMPUTED_VALUE"""),"Dunagiri, Kanchenjunga, mur ouest du Changabang ; meurt sur l'Everest (mai 
1982).")</f>
        <v>Dunagiri, Kanchenjunga, mur ouest du Changabang ; meurt sur l'Everest (mai 
1982).</v>
      </c>
      <c r="G324" s="3"/>
      <c r="H324" s="3"/>
    </row>
    <row r="325">
      <c r="A325" s="3" t="str">
        <f>IFERROR(__xludf.DUMMYFUNCTION("""COMPUTED_VALUE"""),"Terray")</f>
        <v>Terray</v>
      </c>
      <c r="B325" s="3" t="str">
        <f>IFERROR(__xludf.DUMMYFUNCTION("""COMPUTED_VALUE"""),"Lionel")</f>
        <v>Lionel</v>
      </c>
      <c r="C325" s="3" t="str">
        <f>IFERROR(__xludf.DUMMYFUNCTION("""COMPUTED_VALUE"""),"France")</f>
        <v>France</v>
      </c>
      <c r="D325" s="3">
        <f>IFERROR(__xludf.DUMMYFUNCTION("""COMPUTED_VALUE"""),1921.0)</f>
        <v>1921</v>
      </c>
      <c r="E325" s="3">
        <f>IFERROR(__xludf.DUMMYFUNCTION("""COMPUTED_VALUE"""),1965.0)</f>
        <v>1965</v>
      </c>
      <c r="F325" s="3" t="str">
        <f>IFERROR(__xludf.DUMMYFUNCTION("""COMPUTED_VALUE"""),"Première ascension du Makalu et du Fitz Roy. Deuxième ascension de la face 
nord de l'Eiger.")</f>
        <v>Première ascension du Makalu et du Fitz Roy. Deuxième ascension de la face 
nord de l'Eiger.</v>
      </c>
      <c r="G325" s="3"/>
      <c r="H325" s="3"/>
    </row>
    <row r="326">
      <c r="A326" s="3" t="str">
        <f>IFERROR(__xludf.DUMMYFUNCTION("""COMPUTED_VALUE"""),"Terzyul")</f>
        <v>Terzyul</v>
      </c>
      <c r="B326" s="3" t="str">
        <f>IFERROR(__xludf.DUMMYFUNCTION("""COMPUTED_VALUE"""),"Vladislav")</f>
        <v>Vladislav</v>
      </c>
      <c r="C326" s="3" t="str">
        <f>IFERROR(__xludf.DUMMYFUNCTION("""COMPUTED_VALUE"""),"Ukraine")</f>
        <v>Ukraine</v>
      </c>
      <c r="D326" s="3">
        <f>IFERROR(__xludf.DUMMYFUNCTION("""COMPUTED_VALUE"""),1953.0)</f>
        <v>1953</v>
      </c>
      <c r="E326" s="3">
        <f>IFERROR(__xludf.DUMMYFUNCTION("""COMPUTED_VALUE"""),2004.0)</f>
        <v>2004</v>
      </c>
      <c r="F326" s="3" t="str">
        <f>IFERROR(__xludf.DUMMYFUNCTION("""COMPUTED_VALUE"""),"Controverse sur sa réalisation des sommets de plus de 8 000 mètres 
d'altitude.")</f>
        <v>Controverse sur sa réalisation des sommets de plus de 8 000 mètres 
d'altitude.</v>
      </c>
      <c r="G326" s="3"/>
      <c r="H326" s="3"/>
    </row>
    <row r="327">
      <c r="A327" s="3" t="str">
        <f>IFERROR(__xludf.DUMMYFUNCTION("""COMPUTED_VALUE"""),"Thaw")</f>
        <v>Thaw</v>
      </c>
      <c r="B327" s="3" t="str">
        <f>IFERROR(__xludf.DUMMYFUNCTION("""COMPUTED_VALUE"""),"Kevin")</f>
        <v>Kevin</v>
      </c>
      <c r="C327" s="3" t="str">
        <f>IFERROR(__xludf.DUMMYFUNCTION("""COMPUTED_VALUE"""),"Royaume-Uni")</f>
        <v>Royaume-Uni</v>
      </c>
      <c r="D327" s="3">
        <f>IFERROR(__xludf.DUMMYFUNCTION("""COMPUTED_VALUE"""),1967.0)</f>
        <v>1967</v>
      </c>
      <c r="E327" s="3"/>
      <c r="F327" s="3" t="str">
        <f>IFERROR(__xludf.DUMMYFUNCTION("""COMPUTED_VALUE"""),"Ascensions dans l'Himalaya et le Yosemite.")</f>
        <v>Ascensions dans l'Himalaya et le Yosemite.</v>
      </c>
      <c r="G327" s="3"/>
      <c r="H327" s="3"/>
    </row>
    <row r="328">
      <c r="A328" s="3" t="str">
        <f>IFERROR(__xludf.DUMMYFUNCTION("""COMPUTED_VALUE"""),"Thivierge")</f>
        <v>Thivierge</v>
      </c>
      <c r="B328" s="3" t="str">
        <f>IFERROR(__xludf.DUMMYFUNCTION("""COMPUTED_VALUE"""),"Francois-Guy")</f>
        <v>Francois-Guy</v>
      </c>
      <c r="C328" s="3" t="str">
        <f>IFERROR(__xludf.DUMMYFUNCTION("""COMPUTED_VALUE"""),"Canada")</f>
        <v>Canada</v>
      </c>
      <c r="D328" s="3">
        <f>IFERROR(__xludf.DUMMYFUNCTION("""COMPUTED_VALUE"""),1964.0)</f>
        <v>1964</v>
      </c>
      <c r="E328" s="3"/>
      <c r="F328" s="3" t="str">
        <f>IFERROR(__xludf.DUMMYFUNCTION("""COMPUTED_VALUE"""),"Alpiniste canadien, 7 sommets en 2 ans en 10 mois, ski les 2 pôles, guide 
de montagne, fondateur du premier centre d'escalade au Québec Canada 1993. 
Plus de 150 premières. Auteur du livre Aux Sommets, conférencier et 
aventurier professionnel")</f>
        <v>Alpiniste canadien, 7 sommets en 2 ans en 10 mois, ski les 2 pôles, guide 
de montagne, fondateur du premier centre d'escalade au Québec Canada 1993. 
Plus de 150 premières. Auteur du livre Aux Sommets, conférencier et 
aventurier professionnel</v>
      </c>
      <c r="G328" s="3"/>
      <c r="H328" s="3"/>
    </row>
    <row r="329">
      <c r="A329" s="3" t="str">
        <f>IFERROR(__xludf.DUMMYFUNCTION("""COMPUTED_VALUE"""),"Tichy")</f>
        <v>Tichy</v>
      </c>
      <c r="B329" s="3" t="str">
        <f>IFERROR(__xludf.DUMMYFUNCTION("""COMPUTED_VALUE"""),"Herbert")</f>
        <v>Herbert</v>
      </c>
      <c r="C329" s="3" t="str">
        <f>IFERROR(__xludf.DUMMYFUNCTION("""COMPUTED_VALUE"""),"Autriche")</f>
        <v>Autriche</v>
      </c>
      <c r="D329" s="3">
        <f>IFERROR(__xludf.DUMMYFUNCTION("""COMPUTED_VALUE"""),1912.0)</f>
        <v>1912</v>
      </c>
      <c r="E329" s="3">
        <f>IFERROR(__xludf.DUMMYFUNCTION("""COMPUTED_VALUE"""),1987.0)</f>
        <v>1987</v>
      </c>
      <c r="F329" s="3" t="str">
        <f>IFERROR(__xludf.DUMMYFUNCTION("""COMPUTED_VALUE"""),"Première ascension du Cho Oyu en 1954.")</f>
        <v>Première ascension du Cho Oyu en 1954.</v>
      </c>
      <c r="G329" s="3"/>
      <c r="H329" s="3"/>
    </row>
    <row r="330">
      <c r="A330" s="3" t="str">
        <f>IFERROR(__xludf.DUMMYFUNCTION("""COMPUTED_VALUE"""),"Tilman")</f>
        <v>Tilman</v>
      </c>
      <c r="B330" s="3" t="str">
        <f>IFERROR(__xludf.DUMMYFUNCTION("""COMPUTED_VALUE"""),"Bill")</f>
        <v>Bill</v>
      </c>
      <c r="C330" s="3" t="str">
        <f>IFERROR(__xludf.DUMMYFUNCTION("""COMPUTED_VALUE"""),"Royaume-Uni")</f>
        <v>Royaume-Uni</v>
      </c>
      <c r="D330" s="3">
        <f>IFERROR(__xludf.DUMMYFUNCTION("""COMPUTED_VALUE"""),1898.0)</f>
        <v>1898</v>
      </c>
      <c r="E330" s="3">
        <f>IFERROR(__xludf.DUMMYFUNCTION("""COMPUTED_VALUE"""),1977.0)</f>
        <v>1977</v>
      </c>
      <c r="F330" s="3" t="str">
        <f>IFERROR(__xludf.DUMMYFUNCTION("""COMPUTED_VALUE"""),"Explore, grimpe en Afrique et dans l'Himalaya. Première ascension du Nanda 
Devi.")</f>
        <v>Explore, grimpe en Afrique et dans l'Himalaya. Première ascension du Nanda 
Devi.</v>
      </c>
      <c r="G330" s="3"/>
      <c r="H330" s="3"/>
    </row>
    <row r="331">
      <c r="A331" s="3" t="str">
        <f>IFERROR(__xludf.DUMMYFUNCTION("""COMPUTED_VALUE"""),"Trenker")</f>
        <v>Trenker</v>
      </c>
      <c r="B331" s="3" t="str">
        <f>IFERROR(__xludf.DUMMYFUNCTION("""COMPUTED_VALUE"""),"Luis")</f>
        <v>Luis</v>
      </c>
      <c r="C331" s="3" t="str">
        <f>IFERROR(__xludf.DUMMYFUNCTION("""COMPUTED_VALUE"""),"Italie")</f>
        <v>Italie</v>
      </c>
      <c r="D331" s="3">
        <f>IFERROR(__xludf.DUMMYFUNCTION("""COMPUTED_VALUE"""),1892.0)</f>
        <v>1892</v>
      </c>
      <c r="E331" s="3">
        <f>IFERROR(__xludf.DUMMYFUNCTION("""COMPUTED_VALUE"""),1990.0)</f>
        <v>1990</v>
      </c>
      <c r="F331" s="3" t="str">
        <f>IFERROR(__xludf.DUMMYFUNCTION("""COMPUTED_VALUE"""),"Alpiniste, réalisateur et écrivain.")</f>
        <v>Alpiniste, réalisateur et écrivain.</v>
      </c>
      <c r="G331" s="3"/>
      <c r="H331" s="3"/>
    </row>
    <row r="332">
      <c r="A332" s="3" t="str">
        <f>IFERROR(__xludf.DUMMYFUNCTION("""COMPUTED_VALUE"""),"Troillet")</f>
        <v>Troillet</v>
      </c>
      <c r="B332" s="3" t="str">
        <f>IFERROR(__xludf.DUMMYFUNCTION("""COMPUTED_VALUE"""),"Jean")</f>
        <v>Jean</v>
      </c>
      <c r="C332" s="3" t="str">
        <f>IFERROR(__xludf.DUMMYFUNCTION("""COMPUTED_VALUE"""),"Canada/Suisse")</f>
        <v>Canada/Suisse</v>
      </c>
      <c r="D332" s="3">
        <f>IFERROR(__xludf.DUMMYFUNCTION("""COMPUTED_VALUE"""),1948.0)</f>
        <v>1948</v>
      </c>
      <c r="E332" s="3"/>
      <c r="F332" s="3" t="str">
        <f>IFERROR(__xludf.DUMMYFUNCTION("""COMPUTED_VALUE"""),"10 sommets de plus de 8 000 m en style alpin et sans apport d'oxygène.")</f>
        <v>10 sommets de plus de 8 000 m en style alpin et sans apport d'oxygène.</v>
      </c>
      <c r="G332" s="3"/>
      <c r="H332" s="3"/>
    </row>
    <row r="333">
      <c r="A333" s="3" t="str">
        <f>IFERROR(__xludf.DUMMYFUNCTION("""COMPUTED_VALUE"""),"Trotter")</f>
        <v>Trotter</v>
      </c>
      <c r="B333" s="3" t="str">
        <f>IFERROR(__xludf.DUMMYFUNCTION("""COMPUTED_VALUE"""),"Sonnie")</f>
        <v>Sonnie</v>
      </c>
      <c r="C333" s="3" t="str">
        <f>IFERROR(__xludf.DUMMYFUNCTION("""COMPUTED_VALUE"""),"Canada")</f>
        <v>Canada</v>
      </c>
      <c r="D333" s="3">
        <f>IFERROR(__xludf.DUMMYFUNCTION("""COMPUTED_VALUE"""),1979.0)</f>
        <v>1979</v>
      </c>
      <c r="E333" s="3"/>
      <c r="F333" s="3" t="str">
        <f>IFERROR(__xludf.DUMMYFUNCTION("""COMPUTED_VALUE"""),"Grimpeuse connue pour le trad climbing.")</f>
        <v>Grimpeuse connue pour le trad climbing.</v>
      </c>
      <c r="G333" s="3"/>
      <c r="H333" s="3"/>
    </row>
    <row r="334">
      <c r="A334" s="3" t="str">
        <f>IFERROR(__xludf.DUMMYFUNCTION("""COMPUTED_VALUE"""),"Tuckett")</f>
        <v>Tuckett</v>
      </c>
      <c r="B334" s="3" t="str">
        <f>IFERROR(__xludf.DUMMYFUNCTION("""COMPUTED_VALUE"""),"Francis Ford")</f>
        <v>Francis Ford</v>
      </c>
      <c r="C334" s="3" t="str">
        <f>IFERROR(__xludf.DUMMYFUNCTION("""COMPUTED_VALUE"""),"Royaume-Uni")</f>
        <v>Royaume-Uni</v>
      </c>
      <c r="D334" s="3">
        <f>IFERROR(__xludf.DUMMYFUNCTION("""COMPUTED_VALUE"""),1834.0)</f>
        <v>1834</v>
      </c>
      <c r="E334" s="3">
        <f>IFERROR(__xludf.DUMMYFUNCTION("""COMPUTED_VALUE"""),1913.0)</f>
        <v>1913</v>
      </c>
      <c r="F334" s="3" t="str">
        <f>IFERROR(__xludf.DUMMYFUNCTION("""COMPUTED_VALUE"""),"Première ascension de Aletschhorn (1859).")</f>
        <v>Première ascension de Aletschhorn (1859).</v>
      </c>
      <c r="G334" s="3"/>
      <c r="H334" s="3"/>
    </row>
    <row r="335">
      <c r="A335" s="3" t="str">
        <f>IFERROR(__xludf.DUMMYFUNCTION("""COMPUTED_VALUE"""),"Tullis")</f>
        <v>Tullis</v>
      </c>
      <c r="B335" s="3" t="str">
        <f>IFERROR(__xludf.DUMMYFUNCTION("""COMPUTED_VALUE"""),"Julie")</f>
        <v>Julie</v>
      </c>
      <c r="C335" s="3" t="str">
        <f>IFERROR(__xludf.DUMMYFUNCTION("""COMPUTED_VALUE"""),"Royaume-Uni")</f>
        <v>Royaume-Uni</v>
      </c>
      <c r="D335" s="3">
        <f>IFERROR(__xludf.DUMMYFUNCTION("""COMPUTED_VALUE"""),1939.0)</f>
        <v>1939</v>
      </c>
      <c r="E335" s="3">
        <f>IFERROR(__xludf.DUMMYFUNCTION("""COMPUTED_VALUE"""),1986.0)</f>
        <v>1986</v>
      </c>
      <c r="F335" s="3" t="str">
        <f>IFERROR(__xludf.DUMMYFUNCTION("""COMPUTED_VALUE"""),"Broad Peak en 1984 et K2 en 1986; meurt dans la descente du K2.")</f>
        <v>Broad Peak en 1984 et K2 en 1986; meurt dans la descente du K2.</v>
      </c>
      <c r="G335" s="3"/>
      <c r="H335" s="3"/>
    </row>
    <row r="336">
      <c r="A336" s="3" t="str">
        <f>IFERROR(__xludf.DUMMYFUNCTION("""COMPUTED_VALUE"""),"Twight")</f>
        <v>Twight</v>
      </c>
      <c r="B336" s="3" t="str">
        <f>IFERROR(__xludf.DUMMYFUNCTION("""COMPUTED_VALUE"""),"Mark")</f>
        <v>Mark</v>
      </c>
      <c r="C336" s="3" t="str">
        <f>IFERROR(__xludf.DUMMYFUNCTION("""COMPUTED_VALUE"""),"États-Unis")</f>
        <v>États-Unis</v>
      </c>
      <c r="D336" s="3">
        <f>IFERROR(__xludf.DUMMYFUNCTION("""COMPUTED_VALUE"""),1962.0)</f>
        <v>1962</v>
      </c>
      <c r="E336" s="3"/>
      <c r="F336" s="3" t="str">
        <f>IFERROR(__xludf.DUMMYFUNCTION("""COMPUTED_VALUE"""),"Partisan d'un style léger et rapide.")</f>
        <v>Partisan d'un style léger et rapide.</v>
      </c>
      <c r="G336" s="3"/>
      <c r="H336" s="3"/>
    </row>
    <row r="337">
      <c r="A337" s="3" t="str">
        <f>IFERROR(__xludf.DUMMYFUNCTION("""COMPUTED_VALUE"""),"Tyndall")</f>
        <v>Tyndall</v>
      </c>
      <c r="B337" s="3" t="str">
        <f>IFERROR(__xludf.DUMMYFUNCTION("""COMPUTED_VALUE"""),"John")</f>
        <v>John</v>
      </c>
      <c r="C337" s="3" t="str">
        <f>IFERROR(__xludf.DUMMYFUNCTION("""COMPUTED_VALUE"""),"Royaume-Uni")</f>
        <v>Royaume-Uni</v>
      </c>
      <c r="D337" s="3">
        <f>IFERROR(__xludf.DUMMYFUNCTION("""COMPUTED_VALUE"""),1820.0)</f>
        <v>1820</v>
      </c>
      <c r="E337" s="3">
        <f>IFERROR(__xludf.DUMMYFUNCTION("""COMPUTED_VALUE"""),1893.0)</f>
        <v>1893</v>
      </c>
      <c r="F337" s="3" t="str">
        <f>IFERROR(__xludf.DUMMYFUNCTION("""COMPUTED_VALUE"""),"Tentative sur le Cervin, première ascension du Weisshorn (1861).")</f>
        <v>Tentative sur le Cervin, première ascension du Weisshorn (1861).</v>
      </c>
      <c r="G337" s="3"/>
      <c r="H337" s="3"/>
    </row>
    <row r="338">
      <c r="A338" s="3" t="str">
        <f>IFERROR(__xludf.DUMMYFUNCTION("""COMPUTED_VALUE"""),"Ullman")</f>
        <v>Ullman</v>
      </c>
      <c r="B338" s="3" t="str">
        <f>IFERROR(__xludf.DUMMYFUNCTION("""COMPUTED_VALUE"""),"James Ramsey")</f>
        <v>James Ramsey</v>
      </c>
      <c r="C338" s="3" t="str">
        <f>IFERROR(__xludf.DUMMYFUNCTION("""COMPUTED_VALUE"""),"États-Unis")</f>
        <v>États-Unis</v>
      </c>
      <c r="D338" s="3">
        <f>IFERROR(__xludf.DUMMYFUNCTION("""COMPUTED_VALUE"""),1908.0)</f>
        <v>1908</v>
      </c>
      <c r="E338" s="3">
        <f>IFERROR(__xludf.DUMMYFUNCTION("""COMPUTED_VALUE"""),1971.0)</f>
        <v>1971</v>
      </c>
      <c r="F338" s="3" t="str">
        <f>IFERROR(__xludf.DUMMYFUNCTION("""COMPUTED_VALUE"""),"Auteur et alpiniste.")</f>
        <v>Auteur et alpiniste.</v>
      </c>
      <c r="G338" s="3"/>
      <c r="H338" s="3"/>
    </row>
    <row r="339">
      <c r="A339" s="3" t="str">
        <f>IFERROR(__xludf.DUMMYFUNCTION("""COMPUTED_VALUE"""),"Uluocak")</f>
        <v>Uluocak</v>
      </c>
      <c r="B339" s="3" t="str">
        <f>IFERROR(__xludf.DUMMYFUNCTION("""COMPUTED_VALUE"""),"Ugur")</f>
        <v>Ugur</v>
      </c>
      <c r="C339" s="3" t="str">
        <f>IFERROR(__xludf.DUMMYFUNCTION("""COMPUTED_VALUE"""),"Turquie")</f>
        <v>Turquie</v>
      </c>
      <c r="D339" s="3">
        <f>IFERROR(__xludf.DUMMYFUNCTION("""COMPUTED_VALUE"""),1962.0)</f>
        <v>1962</v>
      </c>
      <c r="E339" s="3">
        <f>IFERROR(__xludf.DUMMYFUNCTION("""COMPUTED_VALUE"""),2003.0)</f>
        <v>2003</v>
      </c>
      <c r="F339" s="3" t="str">
        <f>IFERROR(__xludf.DUMMYFUNCTION("""COMPUTED_VALUE"""),"Alpiniste, photographe et éditeur. Meurt sur le mont Alarcha au Kyrgyzstan.")</f>
        <v>Alpiniste, photographe et éditeur. Meurt sur le mont Alarcha au Kyrgyzstan.</v>
      </c>
      <c r="G339" s="3"/>
      <c r="H339" s="3"/>
    </row>
    <row r="340">
      <c r="A340" s="3" t="str">
        <f>IFERROR(__xludf.DUMMYFUNCTION("""COMPUTED_VALUE"""),"Um")</f>
        <v>Um</v>
      </c>
      <c r="B340" s="3" t="str">
        <f>IFERROR(__xludf.DUMMYFUNCTION("""COMPUTED_VALUE"""),"Hong-gil")</f>
        <v>Hong-gil</v>
      </c>
      <c r="C340" s="3" t="str">
        <f>IFERROR(__xludf.DUMMYFUNCTION("""COMPUTED_VALUE"""),"Corée du Sud")</f>
        <v>Corée du Sud</v>
      </c>
      <c r="D340" s="3">
        <f>IFERROR(__xludf.DUMMYFUNCTION("""COMPUTED_VALUE"""),1960.0)</f>
        <v>1960</v>
      </c>
      <c r="E340" s="3"/>
      <c r="F340" s="3" t="str">
        <f>IFERROR(__xludf.DUMMYFUNCTION("""COMPUTED_VALUE"""),"Onzième personne à grimper tous les sommets de plus de 8 000 mètres 
d'altitude. Première à grimper les 16 plus haut sommets.")</f>
        <v>Onzième personne à grimper tous les sommets de plus de 8 000 mètres 
d'altitude. Première à grimper les 16 plus haut sommets.</v>
      </c>
      <c r="G340" s="3"/>
      <c r="H340" s="3"/>
    </row>
    <row r="341">
      <c r="A341" s="3" t="str">
        <f>IFERROR(__xludf.DUMMYFUNCTION("""COMPUTED_VALUE"""),"Unsoeld")</f>
        <v>Unsoeld</v>
      </c>
      <c r="B341" s="3" t="str">
        <f>IFERROR(__xludf.DUMMYFUNCTION("""COMPUTED_VALUE"""),"Willi")</f>
        <v>Willi</v>
      </c>
      <c r="C341" s="3" t="str">
        <f>IFERROR(__xludf.DUMMYFUNCTION("""COMPUTED_VALUE"""),"États-Unis")</f>
        <v>États-Unis</v>
      </c>
      <c r="D341" s="3">
        <f>IFERROR(__xludf.DUMMYFUNCTION("""COMPUTED_VALUE"""),1926.0)</f>
        <v>1926</v>
      </c>
      <c r="E341" s="3">
        <f>IFERROR(__xludf.DUMMYFUNCTION("""COMPUTED_VALUE"""),1979.0)</f>
        <v>1979</v>
      </c>
      <c r="F341" s="3" t="str">
        <f>IFERROR(__xludf.DUMMYFUNCTION("""COMPUTED_VALUE"""),"Première ascension de l'Everest par l'arête ouest en 1963. Meurt sur le mont 
Rainier en 1979.")</f>
        <v>Première ascension de l'Everest par l'arête ouest en 1963. Meurt sur le mont 
Rainier en 1979.</v>
      </c>
      <c r="G341" s="3"/>
      <c r="H341" s="3"/>
    </row>
    <row r="342">
      <c r="A342" s="3" t="str">
        <f>IFERROR(__xludf.DUMMYFUNCTION("""COMPUTED_VALUE"""),"Unterkircher")</f>
        <v>Unterkircher</v>
      </c>
      <c r="B342" s="3" t="str">
        <f>IFERROR(__xludf.DUMMYFUNCTION("""COMPUTED_VALUE"""),"Karl")</f>
        <v>Karl</v>
      </c>
      <c r="C342" s="3" t="str">
        <f>IFERROR(__xludf.DUMMYFUNCTION("""COMPUTED_VALUE"""),"Italie")</f>
        <v>Italie</v>
      </c>
      <c r="D342" s="3">
        <f>IFERROR(__xludf.DUMMYFUNCTION("""COMPUTED_VALUE"""),1970.0)</f>
        <v>1970</v>
      </c>
      <c r="E342" s="3">
        <f>IFERROR(__xludf.DUMMYFUNCTION("""COMPUTED_VALUE"""),2008.0)</f>
        <v>2008</v>
      </c>
      <c r="F342" s="3" t="str">
        <f>IFERROR(__xludf.DUMMYFUNCTION("""COMPUTED_VALUE"""),"L'Everest et le K2 la même année sans oxygène. Meurt sur le Nanga Parbat.")</f>
        <v>L'Everest et le K2 la même année sans oxygène. Meurt sur le Nanga Parbat.</v>
      </c>
      <c r="G342" s="3"/>
      <c r="H342" s="3"/>
    </row>
    <row r="343">
      <c r="A343" s="3" t="str">
        <f>IFERROR(__xludf.DUMMYFUNCTION("""COMPUTED_VALUE"""),"Uemura")</f>
        <v>Uemura</v>
      </c>
      <c r="B343" s="3" t="str">
        <f>IFERROR(__xludf.DUMMYFUNCTION("""COMPUTED_VALUE"""),"Naomi")</f>
        <v>Naomi</v>
      </c>
      <c r="C343" s="3" t="str">
        <f>IFERROR(__xludf.DUMMYFUNCTION("""COMPUTED_VALUE"""),"Japon")</f>
        <v>Japon</v>
      </c>
      <c r="D343" s="3">
        <f>IFERROR(__xludf.DUMMYFUNCTION("""COMPUTED_VALUE"""),1941.0)</f>
        <v>1941</v>
      </c>
      <c r="E343" s="3">
        <f>IFERROR(__xludf.DUMMYFUNCTION("""COMPUTED_VALUE"""),1984.0)</f>
        <v>1984</v>
      </c>
      <c r="F343" s="3" t="str">
        <f>IFERROR(__xludf.DUMMYFUNCTION("""COMPUTED_VALUE"""),"Première ascension hivernale du mont McKinley durant laquelle il meurt.")</f>
        <v>Première ascension hivernale du mont McKinley durant laquelle il meurt.</v>
      </c>
      <c r="G343" s="3"/>
      <c r="H343" s="3"/>
    </row>
    <row r="344">
      <c r="A344" s="3" t="str">
        <f>IFERROR(__xludf.DUMMYFUNCTION("""COMPUTED_VALUE"""),"Vajpai")</f>
        <v>Vajpai</v>
      </c>
      <c r="B344" s="3" t="str">
        <f>IFERROR(__xludf.DUMMYFUNCTION("""COMPUTED_VALUE"""),"Arjpan")</f>
        <v>Arjpan</v>
      </c>
      <c r="C344" s="3" t="str">
        <f>IFERROR(__xludf.DUMMYFUNCTION("""COMPUTED_VALUE"""),"Inde")</f>
        <v>Inde</v>
      </c>
      <c r="D344" s="3">
        <f>IFERROR(__xludf.DUMMYFUNCTION("""COMPUTED_VALUE"""),1993.0)</f>
        <v>1993</v>
      </c>
      <c r="E344" s="3"/>
      <c r="F344" s="3" t="str">
        <f>IFERROR(__xludf.DUMMYFUNCTION("""COMPUTED_VALUE"""),"Grimpe l'Everest le 22 mai 2010, le Lhotse le 20 mai 2011 et le Manaslu le 
4 octobre 2011.")</f>
        <v>Grimpe l'Everest le 22 mai 2010, le Lhotse le 20 mai 2011 et le Manaslu le 
4 octobre 2011.</v>
      </c>
      <c r="G344" s="3"/>
      <c r="H344" s="3"/>
    </row>
    <row r="345">
      <c r="A345" s="3" t="str">
        <f>IFERROR(__xludf.DUMMYFUNCTION("""COMPUTED_VALUE"""),"Vallejo")</f>
        <v>Vallejo</v>
      </c>
      <c r="B345" s="3" t="str">
        <f>IFERROR(__xludf.DUMMYFUNCTION("""COMPUTED_VALUE"""),"Ivan")</f>
        <v>Ivan</v>
      </c>
      <c r="C345" s="3" t="str">
        <f>IFERROR(__xludf.DUMMYFUNCTION("""COMPUTED_VALUE"""),"Équateur")</f>
        <v>Équateur</v>
      </c>
      <c r="D345" s="3">
        <f>IFERROR(__xludf.DUMMYFUNCTION("""COMPUTED_VALUE"""),1959.0)</f>
        <v>1959</v>
      </c>
      <c r="E345" s="3"/>
      <c r="F345" s="3" t="str">
        <f>IFERROR(__xludf.DUMMYFUNCTION("""COMPUTED_VALUE"""),"quatorzième personne à escalader tous les sommets de plus de 8 000 mètres 
d'altitude (7 sans bouteille d'oxygène).")</f>
        <v>quatorzième personne à escalader tous les sommets de plus de 8 000 mètres 
d'altitude (7 sans bouteille d'oxygène).</v>
      </c>
      <c r="G345" s="3"/>
      <c r="H345" s="3"/>
    </row>
    <row r="346">
      <c r="A346" s="3" t="str">
        <f>IFERROR(__xludf.DUMMYFUNCTION("""COMPUTED_VALUE"""),"Vallençant")</f>
        <v>Vallençant</v>
      </c>
      <c r="B346" s="3" t="str">
        <f>IFERROR(__xludf.DUMMYFUNCTION("""COMPUTED_VALUE"""),"Patrick")</f>
        <v>Patrick</v>
      </c>
      <c r="C346" s="3" t="str">
        <f>IFERROR(__xludf.DUMMYFUNCTION("""COMPUTED_VALUE"""),"France")</f>
        <v>France</v>
      </c>
      <c r="D346" s="3">
        <f>IFERROR(__xludf.DUMMYFUNCTION("""COMPUTED_VALUE"""),1946.0)</f>
        <v>1946</v>
      </c>
      <c r="E346" s="3">
        <f>IFERROR(__xludf.DUMMYFUNCTION("""COMPUTED_VALUE"""),1989.0)</f>
        <v>1989</v>
      </c>
      <c r="F346" s="3" t="str">
        <f>IFERROR(__xludf.DUMMYFUNCTION("""COMPUTED_VALUE"""),"Alpiniste, skieur et pionnier du ski-alpinisme.")</f>
        <v>Alpiniste, skieur et pionnier du ski-alpinisme.</v>
      </c>
      <c r="G346" s="3"/>
      <c r="H346" s="3"/>
    </row>
    <row r="347">
      <c r="A347" s="3" t="str">
        <f>IFERROR(__xludf.DUMMYFUNCTION("""COMPUTED_VALUE"""),"Vaucher")</f>
        <v>Vaucher</v>
      </c>
      <c r="B347" s="3" t="str">
        <f>IFERROR(__xludf.DUMMYFUNCTION("""COMPUTED_VALUE"""),"Michel")</f>
        <v>Michel</v>
      </c>
      <c r="C347" s="3" t="str">
        <f>IFERROR(__xludf.DUMMYFUNCTION("""COMPUTED_VALUE"""),"Suisse")</f>
        <v>Suisse</v>
      </c>
      <c r="D347" s="3">
        <f>IFERROR(__xludf.DUMMYFUNCTION("""COMPUTED_VALUE"""),1936.0)</f>
        <v>1936</v>
      </c>
      <c r="E347" s="3">
        <f>IFERROR(__xludf.DUMMYFUNCTION("""COMPUTED_VALUE"""),2008.0)</f>
        <v>2008</v>
      </c>
      <c r="F347" s="3" t="str">
        <f>IFERROR(__xludf.DUMMYFUNCTION("""COMPUTED_VALUE"""),"Première du Dhaulagiri.")</f>
        <v>Première du Dhaulagiri.</v>
      </c>
      <c r="G347" s="3"/>
      <c r="H347" s="3"/>
    </row>
    <row r="348">
      <c r="A348" s="3" t="str">
        <f>IFERROR(__xludf.DUMMYFUNCTION("""COMPUTED_VALUE"""),"Vaucher")</f>
        <v>Vaucher</v>
      </c>
      <c r="B348" s="3" t="str">
        <f>IFERROR(__xludf.DUMMYFUNCTION("""COMPUTED_VALUE"""),"Yvette")</f>
        <v>Yvette</v>
      </c>
      <c r="C348" s="3" t="str">
        <f>IFERROR(__xludf.DUMMYFUNCTION("""COMPUTED_VALUE"""),"Suisse")</f>
        <v>Suisse</v>
      </c>
      <c r="D348" s="3">
        <f>IFERROR(__xludf.DUMMYFUNCTION("""COMPUTED_VALUE"""),1929.0)</f>
        <v>1929</v>
      </c>
      <c r="E348" s="3"/>
      <c r="F348" s="3" t="str">
        <f>IFERROR(__xludf.DUMMYFUNCTION("""COMPUTED_VALUE"""),"Première de la voie Nord du Cervin.")</f>
        <v>Première de la voie Nord du Cervin.</v>
      </c>
      <c r="G348" s="3"/>
      <c r="H348" s="3"/>
    </row>
    <row r="349">
      <c r="A349" s="3" t="str">
        <f>IFERROR(__xludf.DUMMYFUNCTION("""COMPUTED_VALUE"""),"Viesturs")</f>
        <v>Viesturs</v>
      </c>
      <c r="B349" s="3" t="str">
        <f>IFERROR(__xludf.DUMMYFUNCTION("""COMPUTED_VALUE"""),"Ed")</f>
        <v>Ed</v>
      </c>
      <c r="C349" s="3" t="str">
        <f>IFERROR(__xludf.DUMMYFUNCTION("""COMPUTED_VALUE"""),"États-Unis")</f>
        <v>États-Unis</v>
      </c>
      <c r="D349" s="3">
        <f>IFERROR(__xludf.DUMMYFUNCTION("""COMPUTED_VALUE"""),1959.0)</f>
        <v>1959</v>
      </c>
      <c r="E349" s="3"/>
      <c r="F349" s="3" t="str">
        <f>IFERROR(__xludf.DUMMYFUNCTION("""COMPUTED_VALUE"""),"Premier américain à escalader tous les sommets de plus de 8 000 mètres 
d'altitude (6 sans bouteille d'oxygène).")</f>
        <v>Premier américain à escalader tous les sommets de plus de 8 000 mètres 
d'altitude (6 sans bouteille d'oxygène).</v>
      </c>
      <c r="G349" s="3"/>
      <c r="H349" s="3"/>
    </row>
    <row r="350">
      <c r="A350" s="3" t="str">
        <f>IFERROR(__xludf.DUMMYFUNCTION("""COMPUTED_VALUE"""),"Vörg")</f>
        <v>Vörg</v>
      </c>
      <c r="B350" s="3" t="str">
        <f>IFERROR(__xludf.DUMMYFUNCTION("""COMPUTED_VALUE"""),"Ludwig")</f>
        <v>Ludwig</v>
      </c>
      <c r="C350" s="3" t="str">
        <f>IFERROR(__xludf.DUMMYFUNCTION("""COMPUTED_VALUE"""),"Allemagne")</f>
        <v>Allemagne</v>
      </c>
      <c r="D350" s="3">
        <f>IFERROR(__xludf.DUMMYFUNCTION("""COMPUTED_VALUE"""),1911.0)</f>
        <v>1911</v>
      </c>
      <c r="E350" s="3">
        <f>IFERROR(__xludf.DUMMYFUNCTION("""COMPUTED_VALUE"""),1941.0)</f>
        <v>1941</v>
      </c>
      <c r="F350" s="3" t="str">
        <f>IFERROR(__xludf.DUMMYFUNCTION("""COMPUTED_VALUE"""),"Première ascension de la face nord de l'Eiger en 1938.")</f>
        <v>Première ascension de la face nord de l'Eiger en 1938.</v>
      </c>
      <c r="G350" s="3"/>
      <c r="H350" s="3"/>
    </row>
    <row r="351">
      <c r="A351" s="3" t="str">
        <f>IFERROR(__xludf.DUMMYFUNCTION("""COMPUTED_VALUE"""),"Wiesinger")</f>
        <v>Wiesinger</v>
      </c>
      <c r="B351" s="3" t="str">
        <f>IFERROR(__xludf.DUMMYFUNCTION("""COMPUTED_VALUE"""),"Paula")</f>
        <v>Paula</v>
      </c>
      <c r="C351" s="3" t="str">
        <f>IFERROR(__xludf.DUMMYFUNCTION("""COMPUTED_VALUE"""),"Italie")</f>
        <v>Italie</v>
      </c>
      <c r="D351" s="3">
        <f>IFERROR(__xludf.DUMMYFUNCTION("""COMPUTED_VALUE"""),1907.0)</f>
        <v>1907</v>
      </c>
      <c r="E351" s="3">
        <f>IFERROR(__xludf.DUMMYFUNCTION("""COMPUTED_VALUE"""),2001.0)</f>
        <v>2001</v>
      </c>
      <c r="F351" s="3" t="str">
        <f>IFERROR(__xludf.DUMMYFUNCTION("""COMPUTED_VALUE"""),"Premières dans les Dolomites. Championne de ski alpin")</f>
        <v>Premières dans les Dolomites. Championne de ski alpin</v>
      </c>
      <c r="G351" s="3"/>
      <c r="H351" s="3"/>
    </row>
    <row r="352">
      <c r="A352" s="3" t="str">
        <f>IFERROR(__xludf.DUMMYFUNCTION("""COMPUTED_VALUE"""),"Winkler")</f>
        <v>Winkler</v>
      </c>
      <c r="B352" s="3" t="str">
        <f>IFERROR(__xludf.DUMMYFUNCTION("""COMPUTED_VALUE"""),"Georg Winkler")</f>
        <v>Georg Winkler</v>
      </c>
      <c r="C352" s="3" t="str">
        <f>IFERROR(__xludf.DUMMYFUNCTION("""COMPUTED_VALUE"""),"Allemagne")</f>
        <v>Allemagne</v>
      </c>
      <c r="D352" s="3">
        <f>IFERROR(__xludf.DUMMYFUNCTION("""COMPUTED_VALUE"""),1869.0)</f>
        <v>1869</v>
      </c>
      <c r="E352" s="3">
        <f>IFERROR(__xludf.DUMMYFUNCTION("""COMPUTED_VALUE"""),1888.0)</f>
        <v>1888</v>
      </c>
      <c r="F352" s="3" t="str">
        <f>IFERROR(__xludf.DUMMYFUNCTION("""COMPUTED_VALUE"""),"Spécialiste de l'escalade sans guide en solitaire")</f>
        <v>Spécialiste de l'escalade sans guide en solitaire</v>
      </c>
      <c r="G352" s="3"/>
      <c r="H352" s="3"/>
    </row>
    <row r="353">
      <c r="A353" s="3" t="str">
        <f>IFERROR(__xludf.DUMMYFUNCTION("""COMPUTED_VALUE"""),"Yadav")</f>
        <v>Yadav</v>
      </c>
      <c r="B353" s="3" t="str">
        <f>IFERROR(__xludf.DUMMYFUNCTION("""COMPUTED_VALUE"""),"Santosh")</f>
        <v>Santosh</v>
      </c>
      <c r="C353" s="3" t="str">
        <f>IFERROR(__xludf.DUMMYFUNCTION("""COMPUTED_VALUE"""),"Inde")</f>
        <v>Inde</v>
      </c>
      <c r="D353" s="3">
        <f>IFERROR(__xludf.DUMMYFUNCTION("""COMPUTED_VALUE"""),1969.0)</f>
        <v>1969</v>
      </c>
      <c r="E353" s="3"/>
      <c r="F353" s="3" t="str">
        <f>IFERROR(__xludf.DUMMYFUNCTION("""COMPUTED_VALUE"""),"Agent à la police de frontière indo-tibétaine. Première femme à avoir 
escaladé l'Everest deux fois en moins d'une année (1992 et 1993).")</f>
        <v>Agent à la police de frontière indo-tibétaine. Première femme à avoir 
escaladé l'Everest deux fois en moins d'une année (1992 et 1993).</v>
      </c>
      <c r="G353" s="3"/>
      <c r="H353" s="3"/>
    </row>
    <row r="354">
      <c r="A354" s="3" t="str">
        <f>IFERROR(__xludf.DUMMYFUNCTION("""COMPUTED_VALUE"""),"Yates")</f>
        <v>Yates</v>
      </c>
      <c r="B354" s="3" t="str">
        <f>IFERROR(__xludf.DUMMYFUNCTION("""COMPUTED_VALUE"""),"Simon")</f>
        <v>Simon</v>
      </c>
      <c r="C354" s="3" t="str">
        <f>IFERROR(__xludf.DUMMYFUNCTION("""COMPUTED_VALUE"""),"Royaume-Uni")</f>
        <v>Royaume-Uni</v>
      </c>
      <c r="D354" s="3">
        <f>IFERROR(__xludf.DUMMYFUNCTION("""COMPUTED_VALUE"""),1963.0)</f>
        <v>1963</v>
      </c>
      <c r="E354" s="3"/>
      <c r="F354" s="3" t="str">
        <f>IFERROR(__xludf.DUMMYFUNCTION("""COMPUTED_VALUE"""),"Partenaire de Joe Simpson dans la face ouest de la Siula Grande en 1985, 
sujet de *La Mort suspendue*.")</f>
        <v>Partenaire de Joe Simpson dans la face ouest de la Siula Grande en 1985, 
sujet de *La Mort suspendue*.</v>
      </c>
      <c r="G354" s="3"/>
      <c r="H354" s="3"/>
    </row>
    <row r="355">
      <c r="A355" s="3" t="str">
        <f>IFERROR(__xludf.DUMMYFUNCTION("""COMPUTED_VALUE"""),"Yongfeng")</f>
        <v>Yongfeng</v>
      </c>
      <c r="B355" s="3" t="str">
        <f>IFERROR(__xludf.DUMMYFUNCTION("""COMPUTED_VALUE"""),"Wang")</f>
        <v>Wang</v>
      </c>
      <c r="C355" s="3" t="str">
        <f>IFERROR(__xludf.DUMMYFUNCTION("""COMPUTED_VALUE"""),"Chine")</f>
        <v>Chine</v>
      </c>
      <c r="D355" s="3">
        <f>IFERROR(__xludf.DUMMYFUNCTION("""COMPUTED_VALUE"""),1963.0)</f>
        <v>1963</v>
      </c>
      <c r="E355" s="3"/>
      <c r="F355" s="3" t="str">
        <f>IFERROR(__xludf.DUMMYFUNCTION("""COMPUTED_VALUE"""),"Moitié du premier couple chinois ayant réalisé les *Sept Sommets* avec Li 
Zhixin.")</f>
        <v>Moitié du premier couple chinois ayant réalisé les *Sept Sommets* avec Li 
Zhixin.</v>
      </c>
      <c r="G355" s="3"/>
      <c r="H355" s="3"/>
    </row>
    <row r="356">
      <c r="A356" s="3" t="str">
        <f>IFERROR(__xludf.DUMMYFUNCTION("""COMPUTED_VALUE"""),"Yoshizawa")</f>
        <v>Yoshizawa</v>
      </c>
      <c r="B356" s="3" t="str">
        <f>IFERROR(__xludf.DUMMYFUNCTION("""COMPUTED_VALUE"""),"Ichiro")</f>
        <v>Ichiro</v>
      </c>
      <c r="C356" s="3" t="str">
        <f>IFERROR(__xludf.DUMMYFUNCTION("""COMPUTED_VALUE"""),"Japon")</f>
        <v>Japon</v>
      </c>
      <c r="D356" s="3">
        <f>IFERROR(__xludf.DUMMYFUNCTION("""COMPUTED_VALUE"""),1903.0)</f>
        <v>1903</v>
      </c>
      <c r="E356" s="3">
        <f>IFERROR(__xludf.DUMMYFUNCTION("""COMPUTED_VALUE"""),1998.0)</f>
        <v>1998</v>
      </c>
      <c r="F356" s="3" t="str">
        <f>IFERROR(__xludf.DUMMYFUNCTION("""COMPUTED_VALUE"""),"grimpeur et écrivain ; K2 en 1977[14].")</f>
        <v>grimpeur et écrivain ; K2 en 1977[14].</v>
      </c>
      <c r="G356" s="3"/>
      <c r="H356" s="3"/>
    </row>
    <row r="357">
      <c r="A357" s="3" t="str">
        <f>IFERROR(__xludf.DUMMYFUNCTION("""COMPUTED_VALUE"""),"Young")</f>
        <v>Young</v>
      </c>
      <c r="B357" s="3" t="str">
        <f>IFERROR(__xludf.DUMMYFUNCTION("""COMPUTED_VALUE"""),"Geoffrey Winthrop")</f>
        <v>Geoffrey Winthrop</v>
      </c>
      <c r="C357" s="3" t="str">
        <f>IFERROR(__xludf.DUMMYFUNCTION("""COMPUTED_VALUE"""),"Royaume-Uni")</f>
        <v>Royaume-Uni</v>
      </c>
      <c r="D357" s="3">
        <f>IFERROR(__xludf.DUMMYFUNCTION("""COMPUTED_VALUE"""),1876.0)</f>
        <v>1876</v>
      </c>
      <c r="E357" s="3">
        <f>IFERROR(__xludf.DUMMYFUNCTION("""COMPUTED_VALUE"""),1958.0)</f>
        <v>1958</v>
      </c>
      <c r="F357" s="3" t="str">
        <f>IFERROR(__xludf.DUMMYFUNCTION("""COMPUTED_VALUE"""),"Première ascension de la face sud du Täschhorn, nouvel itinéraire sur le 
versant nord-ouest du Weisshorn, traversée des Grandes Jorasses.")</f>
        <v>Première ascension de la face sud du Täschhorn, nouvel itinéraire sur le 
versant nord-ouest du Weisshorn, traversée des Grandes Jorasses.</v>
      </c>
      <c r="G357" s="3"/>
      <c r="H357" s="3"/>
    </row>
    <row r="358">
      <c r="A358" s="3" t="str">
        <f>IFERROR(__xludf.DUMMYFUNCTION("""COMPUTED_VALUE"""),"Zangerl (en)")</f>
        <v>Zangerl (en)</v>
      </c>
      <c r="B358" s="3" t="str">
        <f>IFERROR(__xludf.DUMMYFUNCTION("""COMPUTED_VALUE"""),"Barbara")</f>
        <v>Barbara</v>
      </c>
      <c r="C358" s="3" t="str">
        <f>IFERROR(__xludf.DUMMYFUNCTION("""COMPUTED_VALUE"""),"Autriche")</f>
        <v>Autriche</v>
      </c>
      <c r="D358" s="3">
        <f>IFERROR(__xludf.DUMMYFUNCTION("""COMPUTED_VALUE"""),1988.0)</f>
        <v>1988</v>
      </c>
      <c r="E358" s="3"/>
      <c r="F358" s="3" t="str">
        <f>IFERROR(__xludf.DUMMYFUNCTION("""COMPUTED_VALUE"""),"Considérée comme l'une des meilleures grimpeuses mondiales. A aussi gravi 
les Tours de Trango.")</f>
        <v>Considérée comme l'une des meilleures grimpeuses mondiales. A aussi gravi 
les Tours de Trango.</v>
      </c>
      <c r="G358" s="3"/>
      <c r="H358" s="3"/>
    </row>
    <row r="359">
      <c r="A359" s="3" t="str">
        <f>IFERROR(__xludf.DUMMYFUNCTION("""COMPUTED_VALUE"""),"Zhixin")</f>
        <v>Zhixin</v>
      </c>
      <c r="B359" s="3" t="str">
        <f>IFERROR(__xludf.DUMMYFUNCTION("""COMPUTED_VALUE"""),"Li")</f>
        <v>Li</v>
      </c>
      <c r="C359" s="3" t="str">
        <f>IFERROR(__xludf.DUMMYFUNCTION("""COMPUTED_VALUE"""),"Chine")</f>
        <v>Chine</v>
      </c>
      <c r="D359" s="3">
        <f>IFERROR(__xludf.DUMMYFUNCTION("""COMPUTED_VALUE"""),1962.0)</f>
        <v>1962</v>
      </c>
      <c r="E359" s="3"/>
      <c r="F359" s="3" t="str">
        <f>IFERROR(__xludf.DUMMYFUNCTION("""COMPUTED_VALUE"""),"Moitié du premier couple chinois ayant réalisé les *Sept Sommets* avec Wang 
Yongfeng.")</f>
        <v>Moitié du premier couple chinois ayant réalisé les *Sept Sommets* avec Wang 
Yongfeng.</v>
      </c>
      <c r="G359" s="3"/>
      <c r="H359" s="3"/>
    </row>
    <row r="360">
      <c r="A360" s="3" t="str">
        <f>IFERROR(__xludf.DUMMYFUNCTION("""COMPUTED_VALUE"""),"Żuławski")</f>
        <v>Żuławski</v>
      </c>
      <c r="B360" s="3" t="str">
        <f>IFERROR(__xludf.DUMMYFUNCTION("""COMPUTED_VALUE"""),"Jerzy")</f>
        <v>Jerzy</v>
      </c>
      <c r="C360" s="3" t="str">
        <f>IFERROR(__xludf.DUMMYFUNCTION("""COMPUTED_VALUE"""),"Pologne")</f>
        <v>Pologne</v>
      </c>
      <c r="D360" s="3">
        <f>IFERROR(__xludf.DUMMYFUNCTION("""COMPUTED_VALUE"""),1874.0)</f>
        <v>1874</v>
      </c>
      <c r="E360" s="3">
        <f>IFERROR(__xludf.DUMMYFUNCTION("""COMPUTED_VALUE"""),1915.0)</f>
        <v>1915</v>
      </c>
      <c r="F360" s="3" t="str">
        <f>IFERROR(__xludf.DUMMYFUNCTION("""COMPUTED_VALUE"""),"Philosophe, écrivain de sciences-fictions et alpiniste polonais vivant à 
Zakopane dont les trois fils ont hérité de sa passion pour l'alpinisme.")</f>
        <v>Philosophe, écrivain de sciences-fictions et alpiniste polonais vivant à 
Zakopane dont les trois fils ont hérité de sa passion pour l'alpinisme.</v>
      </c>
      <c r="G360" s="3"/>
      <c r="H360" s="3"/>
    </row>
    <row r="361">
      <c r="A361" s="3" t="str">
        <f>IFERROR(__xludf.DUMMYFUNCTION("""COMPUTED_VALUE"""),"Żuławski")</f>
        <v>Żuławski</v>
      </c>
      <c r="B361" s="3" t="str">
        <f>IFERROR(__xludf.DUMMYFUNCTION("""COMPUTED_VALUE"""),"Marek")</f>
        <v>Marek</v>
      </c>
      <c r="C361" s="3" t="str">
        <f>IFERROR(__xludf.DUMMYFUNCTION("""COMPUTED_VALUE"""),"Pologne")</f>
        <v>Pologne</v>
      </c>
      <c r="D361" s="3">
        <f>IFERROR(__xludf.DUMMYFUNCTION("""COMPUTED_VALUE"""),1908.0)</f>
        <v>1908</v>
      </c>
      <c r="E361" s="3">
        <f>IFERROR(__xludf.DUMMYFUNCTION("""COMPUTED_VALUE"""),1985.0)</f>
        <v>1985</v>
      </c>
      <c r="F361" s="3" t="str">
        <f>IFERROR(__xludf.DUMMYFUNCTION("""COMPUTED_VALUE"""),"Peintre, artiste graphique et écrivain polonais, fils aîné de Jerzy Żuławski 
et passionné d'alpinisme.")</f>
        <v>Peintre, artiste graphique et écrivain polonais, fils aîné de Jerzy Żuławski 
et passionné d'alpinisme.</v>
      </c>
      <c r="G361" s="3"/>
      <c r="H361" s="3"/>
    </row>
    <row r="362">
      <c r="A362" s="3" t="str">
        <f>IFERROR(__xludf.DUMMYFUNCTION("""COMPUTED_VALUE"""),"Żuławski")</f>
        <v>Żuławski</v>
      </c>
      <c r="B362" s="3" t="str">
        <f>IFERROR(__xludf.DUMMYFUNCTION("""COMPUTED_VALUE"""),"Juliusz")</f>
        <v>Juliusz</v>
      </c>
      <c r="C362" s="3" t="str">
        <f>IFERROR(__xludf.DUMMYFUNCTION("""COMPUTED_VALUE"""),"Pologne")</f>
        <v>Pologne</v>
      </c>
      <c r="D362" s="3">
        <f>IFERROR(__xludf.DUMMYFUNCTION("""COMPUTED_VALUE"""),1910.0)</f>
        <v>1910</v>
      </c>
      <c r="E362" s="3">
        <f>IFERROR(__xludf.DUMMYFUNCTION("""COMPUTED_VALUE"""),1989.0)</f>
        <v>1989</v>
      </c>
      <c r="F362" s="3" t="str">
        <f>IFERROR(__xludf.DUMMYFUNCTION("""COMPUTED_VALUE"""),"Poète et essayiste polonais, né à Zakopane, fils de Jerzy Zulawski; 
Alpiniste ayant écrit à propos du Tatras.")</f>
        <v>Poète et essayiste polonais, né à Zakopane, fils de Jerzy Zulawski; 
Alpiniste ayant écrit à propos du Tatras.</v>
      </c>
      <c r="G362" s="3"/>
      <c r="H362" s="3"/>
    </row>
    <row r="363">
      <c r="A363" s="3" t="str">
        <f>IFERROR(__xludf.DUMMYFUNCTION("""COMPUTED_VALUE"""),"Żuławski")</f>
        <v>Żuławski</v>
      </c>
      <c r="B363" s="3" t="str">
        <f>IFERROR(__xludf.DUMMYFUNCTION("""COMPUTED_VALUE"""),"Wawrzyniec Jerzy")</f>
        <v>Wawrzyniec Jerzy</v>
      </c>
      <c r="C363" s="3" t="str">
        <f>IFERROR(__xludf.DUMMYFUNCTION("""COMPUTED_VALUE"""),"Pologne")</f>
        <v>Pologne</v>
      </c>
      <c r="D363" s="3">
        <f>IFERROR(__xludf.DUMMYFUNCTION("""COMPUTED_VALUE"""),1916.0)</f>
        <v>1916</v>
      </c>
      <c r="E363" s="3">
        <f>IFERROR(__xludf.DUMMYFUNCTION("""COMPUTED_VALUE"""),1957.0)</f>
        <v>1957</v>
      </c>
      <c r="F363" s="3" t="str">
        <f>IFERROR(__xludf.DUMMYFUNCTION("""COMPUTED_VALUE"""),"Compositeur, critique et professeur de musique polonais. Dernier fils de Jerzy 
Żuławski. Né à Zakopane. Il meurt sur le mont Blanc durant une mission de 
secours.")</f>
        <v>Compositeur, critique et professeur de musique polonais. Dernier fils de Jerzy 
Żuławski. Né à Zakopane. Il meurt sur le mont Blanc durant une mission de 
secours.</v>
      </c>
      <c r="G363" s="3"/>
      <c r="H363" s="3"/>
    </row>
    <row r="364">
      <c r="A364" s="3" t="str">
        <f>IFERROR(__xludf.DUMMYFUNCTION("""COMPUTED_VALUE"""),"Zurbriggen")</f>
        <v>Zurbriggen</v>
      </c>
      <c r="B364" s="3" t="str">
        <f>IFERROR(__xludf.DUMMYFUNCTION("""COMPUTED_VALUE"""),"Matthias")</f>
        <v>Matthias</v>
      </c>
      <c r="C364" s="3" t="str">
        <f>IFERROR(__xludf.DUMMYFUNCTION("""COMPUTED_VALUE"""),"Suisse")</f>
        <v>Suisse</v>
      </c>
      <c r="D364" s="3">
        <f>IFERROR(__xludf.DUMMYFUNCTION("""COMPUTED_VALUE"""),1856.0)</f>
        <v>1856</v>
      </c>
      <c r="E364" s="3">
        <f>IFERROR(__xludf.DUMMYFUNCTION("""COMPUTED_VALUE"""),1917.0)</f>
        <v>1917</v>
      </c>
      <c r="F364" s="3" t="str">
        <f>IFERROR(__xludf.DUMMYFUNCTION("""COMPUTED_VALUE"""),"Première ascension de l'Aconcagua (1897).")</f>
        <v>Première ascension de l'Aconcagua (1897).</v>
      </c>
      <c r="G364" s="3"/>
      <c r="H364" s="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3" t="str">
        <f>IFERROR(__xludf.DUMMYFUNCTION("IMPORTHTML(""https://fr.wikipedia.org/wiki/Liste_des_plus_grandes_villes_de_Pologne"" , ""table"")"),"Place en 2023")</f>
        <v>Place en 2023</v>
      </c>
      <c r="F1" s="3" t="str">
        <f>IFERROR(__xludf.DUMMYFUNCTION("""COMPUTED_VALUE"""),"Ville")</f>
        <v>Ville</v>
      </c>
      <c r="G1" s="3" t="str">
        <f>IFERROR(__xludf.DUMMYFUNCTION("""COMPUTED_VALUE"""),"Voïvodie")</f>
        <v>Voïvodie</v>
      </c>
      <c r="H1" s="3">
        <f>IFERROR(__xludf.DUMMYFUNCTION("""COMPUTED_VALUE"""),1900.0)</f>
        <v>1900</v>
      </c>
      <c r="I1" s="3">
        <f>IFERROR(__xludf.DUMMYFUNCTION("""COMPUTED_VALUE"""),1946.0)</f>
        <v>1946</v>
      </c>
      <c r="J1" s="3">
        <f>IFERROR(__xludf.DUMMYFUNCTION("""COMPUTED_VALUE"""),2000.0)</f>
        <v>2000</v>
      </c>
      <c r="K1" s="3">
        <f>IFERROR(__xludf.DUMMYFUNCTION("""COMPUTED_VALUE"""),2012.0)</f>
        <v>2012</v>
      </c>
      <c r="L1" s="3" t="str">
        <f>IFERROR(__xludf.DUMMYFUNCTION("""COMPUTED_VALUE"""),"2023[1]")</f>
        <v>2023[1]</v>
      </c>
    </row>
    <row r="2">
      <c r="E2" s="3" t="str">
        <f>IFERROR(__xludf.DUMMYFUNCTION("""COMPUTED_VALUE"""),"*1*")</f>
        <v>*1*</v>
      </c>
      <c r="F2" s="3" t="str">
        <f>IFERROR(__xludf.DUMMYFUNCTION("""COMPUTED_VALUE"""),"Varsovie")</f>
        <v>Varsovie</v>
      </c>
      <c r="G2" s="3" t="str">
        <f>IFERROR(__xludf.DUMMYFUNCTION("""COMPUTED_VALUE"""),"Mazovie")</f>
        <v>Mazovie</v>
      </c>
      <c r="H2" s="3">
        <f>IFERROR(__xludf.DUMMYFUNCTION("""COMPUTED_VALUE"""),686000.0)</f>
        <v>686000</v>
      </c>
      <c r="I2" s="3">
        <f>IFERROR(__xludf.DUMMYFUNCTION("""COMPUTED_VALUE"""),478755.0)</f>
        <v>478755</v>
      </c>
      <c r="J2" s="3">
        <f>IFERROR(__xludf.DUMMYFUNCTION("""COMPUTED_VALUE"""),1610471.0)</f>
        <v>1610471</v>
      </c>
      <c r="K2" s="3">
        <f>IFERROR(__xludf.DUMMYFUNCTION("""COMPUTED_VALUE"""),1715517.0)</f>
        <v>1715517</v>
      </c>
      <c r="L2" s="3">
        <f>IFERROR(__xludf.DUMMYFUNCTION("""COMPUTED_VALUE"""),1861644.0)</f>
        <v>1861644</v>
      </c>
    </row>
    <row r="3">
      <c r="E3" s="3" t="str">
        <f>IFERROR(__xludf.DUMMYFUNCTION("""COMPUTED_VALUE"""),"*2*")</f>
        <v>*2*</v>
      </c>
      <c r="F3" s="3" t="str">
        <f>IFERROR(__xludf.DUMMYFUNCTION("""COMPUTED_VALUE"""),"Cracovie")</f>
        <v>Cracovie</v>
      </c>
      <c r="G3" s="3" t="str">
        <f>IFERROR(__xludf.DUMMYFUNCTION("""COMPUTED_VALUE"""),"Petite-Pologne")</f>
        <v>Petite-Pologne</v>
      </c>
      <c r="H3" s="3">
        <f>IFERROR(__xludf.DUMMYFUNCTION("""COMPUTED_VALUE"""),85300.0)</f>
        <v>85300</v>
      </c>
      <c r="I3" s="3">
        <f>IFERROR(__xludf.DUMMYFUNCTION("""COMPUTED_VALUE"""),298500.0)</f>
        <v>298500</v>
      </c>
      <c r="J3" s="3">
        <f>IFERROR(__xludf.DUMMYFUNCTION("""COMPUTED_VALUE"""),744987.0)</f>
        <v>744987</v>
      </c>
      <c r="K3" s="3">
        <f>IFERROR(__xludf.DUMMYFUNCTION("""COMPUTED_VALUE"""),758992.0)</f>
        <v>758992</v>
      </c>
      <c r="L3" s="3">
        <f>IFERROR(__xludf.DUMMYFUNCTION("""COMPUTED_VALUE"""),804237.0)</f>
        <v>804237</v>
      </c>
    </row>
    <row r="4">
      <c r="E4" s="3" t="str">
        <f>IFERROR(__xludf.DUMMYFUNCTION("""COMPUTED_VALUE"""),"*3*")</f>
        <v>*3*</v>
      </c>
      <c r="F4" s="3" t="str">
        <f>IFERROR(__xludf.DUMMYFUNCTION("""COMPUTED_VALUE"""),"Wrocław")</f>
        <v>Wrocław</v>
      </c>
      <c r="G4" s="3" t="str">
        <f>IFERROR(__xludf.DUMMYFUNCTION("""COMPUTED_VALUE"""),"Basse-Silésie")</f>
        <v>Basse-Silésie</v>
      </c>
      <c r="H4" s="3">
        <f>IFERROR(__xludf.DUMMYFUNCTION("""COMPUTED_VALUE"""),422709.0)</f>
        <v>422709</v>
      </c>
      <c r="I4" s="3">
        <f>IFERROR(__xludf.DUMMYFUNCTION("""COMPUTED_VALUE"""),170656.0)</f>
        <v>170656</v>
      </c>
      <c r="J4" s="3">
        <f>IFERROR(__xludf.DUMMYFUNCTION("""COMPUTED_VALUE"""),633857.0)</f>
        <v>633857</v>
      </c>
      <c r="K4" s="3">
        <f>IFERROR(__xludf.DUMMYFUNCTION("""COMPUTED_VALUE"""),631188.0)</f>
        <v>631188</v>
      </c>
      <c r="L4" s="3">
        <f>IFERROR(__xludf.DUMMYFUNCTION("""COMPUTED_VALUE"""),674132.0)</f>
        <v>674132</v>
      </c>
    </row>
    <row r="5">
      <c r="E5" s="3" t="str">
        <f>IFERROR(__xludf.DUMMYFUNCTION("""COMPUTED_VALUE"""),"*4*")</f>
        <v>*4*</v>
      </c>
      <c r="F5" s="3" t="str">
        <f>IFERROR(__xludf.DUMMYFUNCTION("""COMPUTED_VALUE"""),"Łódź")</f>
        <v>Łódź</v>
      </c>
      <c r="G5" s="3" t="str">
        <f>IFERROR(__xludf.DUMMYFUNCTION("""COMPUTED_VALUE"""),"Łódź")</f>
        <v>Łódź</v>
      </c>
      <c r="H5" s="3">
        <f>IFERROR(__xludf.DUMMYFUNCTION("""COMPUTED_VALUE"""),314020.0)</f>
        <v>314020</v>
      </c>
      <c r="I5" s="3">
        <f>IFERROR(__xludf.DUMMYFUNCTION("""COMPUTED_VALUE"""),496929.0)</f>
        <v>496929</v>
      </c>
      <c r="J5" s="3">
        <f>IFERROR(__xludf.DUMMYFUNCTION("""COMPUTED_VALUE"""),793217.0)</f>
        <v>793217</v>
      </c>
      <c r="K5" s="3">
        <f>IFERROR(__xludf.DUMMYFUNCTION("""COMPUTED_VALUE"""),708554.0)</f>
        <v>708554</v>
      </c>
      <c r="L5" s="3">
        <f>IFERROR(__xludf.DUMMYFUNCTION("""COMPUTED_VALUE"""),655279.0)</f>
        <v>655279</v>
      </c>
    </row>
    <row r="6">
      <c r="E6" s="3" t="str">
        <f>IFERROR(__xludf.DUMMYFUNCTION("""COMPUTED_VALUE"""),"*5*")</f>
        <v>*5*</v>
      </c>
      <c r="F6" s="3" t="str">
        <f>IFERROR(__xludf.DUMMYFUNCTION("""COMPUTED_VALUE"""),"Poznań")</f>
        <v>Poznań</v>
      </c>
      <c r="G6" s="3" t="str">
        <f>IFERROR(__xludf.DUMMYFUNCTION("""COMPUTED_VALUE"""),"Grande-Pologne")</f>
        <v>Grande-Pologne</v>
      </c>
      <c r="H6" s="3">
        <f>IFERROR(__xludf.DUMMYFUNCTION("""COMPUTED_VALUE"""),110000.0)</f>
        <v>110000</v>
      </c>
      <c r="I6" s="3">
        <f>IFERROR(__xludf.DUMMYFUNCTION("""COMPUTED_VALUE"""),267978.0)</f>
        <v>267978</v>
      </c>
      <c r="J6" s="3">
        <f>IFERROR(__xludf.DUMMYFUNCTION("""COMPUTED_VALUE"""),574896.0)</f>
        <v>574896</v>
      </c>
      <c r="K6" s="3">
        <f>IFERROR(__xludf.DUMMYFUNCTION("""COMPUTED_VALUE"""),551627.0)</f>
        <v>551627</v>
      </c>
      <c r="L6" s="3">
        <f>IFERROR(__xludf.DUMMYFUNCTION("""COMPUTED_VALUE"""),540146.0)</f>
        <v>540146</v>
      </c>
    </row>
    <row r="7">
      <c r="E7" s="3" t="str">
        <f>IFERROR(__xludf.DUMMYFUNCTION("""COMPUTED_VALUE"""),"*6*")</f>
        <v>*6*</v>
      </c>
      <c r="F7" s="3" t="str">
        <f>IFERROR(__xludf.DUMMYFUNCTION("""COMPUTED_VALUE"""),"Gdańsk")</f>
        <v>Gdańsk</v>
      </c>
      <c r="G7" s="3" t="str">
        <f>IFERROR(__xludf.DUMMYFUNCTION("""COMPUTED_VALUE"""),"Poméranie")</f>
        <v>Poméranie</v>
      </c>
      <c r="H7" s="3">
        <f>IFERROR(__xludf.DUMMYFUNCTION("""COMPUTED_VALUE"""),170337.0)</f>
        <v>170337</v>
      </c>
      <c r="I7" s="3">
        <f>IFERROR(__xludf.DUMMYFUNCTION("""COMPUTED_VALUE"""),117894.0)</f>
        <v>117894</v>
      </c>
      <c r="J7" s="3">
        <f>IFERROR(__xludf.DUMMYFUNCTION("""COMPUTED_VALUE"""),462995.0)</f>
        <v>462995</v>
      </c>
      <c r="K7" s="3">
        <f>IFERROR(__xludf.DUMMYFUNCTION("""COMPUTED_VALUE"""),460427.0)</f>
        <v>460427</v>
      </c>
      <c r="L7" s="3">
        <f>IFERROR(__xludf.DUMMYFUNCTION("""COMPUTED_VALUE"""),486492.0)</f>
        <v>486492</v>
      </c>
    </row>
    <row r="8">
      <c r="E8" s="3" t="str">
        <f>IFERROR(__xludf.DUMMYFUNCTION("""COMPUTED_VALUE"""),"*7*")</f>
        <v>*7*</v>
      </c>
      <c r="F8" s="3" t="str">
        <f>IFERROR(__xludf.DUMMYFUNCTION("""COMPUTED_VALUE"""),"Szczecin")</f>
        <v>Szczecin</v>
      </c>
      <c r="G8" s="3" t="str">
        <f>IFERROR(__xludf.DUMMYFUNCTION("""COMPUTED_VALUE"""),"Poméranie-Occidentale")</f>
        <v>Poméranie-Occidentale</v>
      </c>
      <c r="H8" s="3">
        <f>IFERROR(__xludf.DUMMYFUNCTION("""COMPUTED_VALUE"""),210702.0)</f>
        <v>210702</v>
      </c>
      <c r="I8" s="3">
        <f>IFERROR(__xludf.DUMMYFUNCTION("""COMPUTED_VALUE"""),72948.0)</f>
        <v>72948</v>
      </c>
      <c r="J8" s="3">
        <f>IFERROR(__xludf.DUMMYFUNCTION("""COMPUTED_VALUE"""),416485.0)</f>
        <v>416485</v>
      </c>
      <c r="K8" s="3">
        <f>IFERROR(__xludf.DUMMYFUNCTION("""COMPUTED_VALUE"""),409211.0)</f>
        <v>409211</v>
      </c>
      <c r="L8" s="3">
        <f>IFERROR(__xludf.DUMMYFUNCTION("""COMPUTED_VALUE"""),390278.0)</f>
        <v>390278</v>
      </c>
    </row>
    <row r="9">
      <c r="E9" s="3" t="str">
        <f>IFERROR(__xludf.DUMMYFUNCTION("""COMPUTED_VALUE"""),"*8*")</f>
        <v>*8*</v>
      </c>
      <c r="F9" s="3" t="str">
        <f>IFERROR(__xludf.DUMMYFUNCTION("""COMPUTED_VALUE"""),"Lublin")</f>
        <v>Lublin</v>
      </c>
      <c r="G9" s="3" t="str">
        <f>IFERROR(__xludf.DUMMYFUNCTION("""COMPUTED_VALUE"""),"Lublin")</f>
        <v>Lublin</v>
      </c>
      <c r="H9" s="3">
        <f>IFERROR(__xludf.DUMMYFUNCTION("""COMPUTED_VALUE"""),46301.0)</f>
        <v>46301</v>
      </c>
      <c r="I9" s="3">
        <f>IFERROR(__xludf.DUMMYFUNCTION("""COMPUTED_VALUE"""),99400.0)</f>
        <v>99400</v>
      </c>
      <c r="J9" s="3">
        <f>IFERROR(__xludf.DUMMYFUNCTION("""COMPUTED_VALUE"""),358933.0)</f>
        <v>358933</v>
      </c>
      <c r="K9" s="3">
        <f>IFERROR(__xludf.DUMMYFUNCTION("""COMPUTED_VALUE"""),347678.0)</f>
        <v>347678</v>
      </c>
      <c r="L9" s="3">
        <f>IFERROR(__xludf.DUMMYFUNCTION("""COMPUTED_VALUE"""),330447.0)</f>
        <v>330447</v>
      </c>
    </row>
    <row r="10">
      <c r="E10" s="3" t="str">
        <f>IFERROR(__xludf.DUMMYFUNCTION("""COMPUTED_VALUE"""),"*9*")</f>
        <v>*9*</v>
      </c>
      <c r="F10" s="3" t="str">
        <f>IFERROR(__xludf.DUMMYFUNCTION("""COMPUTED_VALUE"""),"Bydgoszcz")</f>
        <v>Bydgoszcz</v>
      </c>
      <c r="G10" s="3" t="str">
        <f>IFERROR(__xludf.DUMMYFUNCTION("""COMPUTED_VALUE"""),"Couïavie-Poméranie")</f>
        <v>Couïavie-Poméranie</v>
      </c>
      <c r="H10" s="3">
        <f>IFERROR(__xludf.DUMMYFUNCTION("""COMPUTED_VALUE"""),50053.0)</f>
        <v>50053</v>
      </c>
      <c r="I10" s="3">
        <f>IFERROR(__xludf.DUMMYFUNCTION("""COMPUTED_VALUE"""),134614.0)</f>
        <v>134614</v>
      </c>
      <c r="J10" s="3">
        <f>IFERROR(__xludf.DUMMYFUNCTION("""COMPUTED_VALUE"""),375676.0)</f>
        <v>375676</v>
      </c>
      <c r="K10" s="3">
        <f>IFERROR(__xludf.DUMMYFUNCTION("""COMPUTED_VALUE"""),362286.0)</f>
        <v>362286</v>
      </c>
      <c r="L10" s="3">
        <f>IFERROR(__xludf.DUMMYFUNCTION("""COMPUTED_VALUE"""),328370.0)</f>
        <v>328370</v>
      </c>
    </row>
    <row r="11">
      <c r="E11" s="3" t="str">
        <f>IFERROR(__xludf.DUMMYFUNCTION("""COMPUTED_VALUE"""),"*10*")</f>
        <v>*10*</v>
      </c>
      <c r="F11" s="3" t="str">
        <f>IFERROR(__xludf.DUMMYFUNCTION("""COMPUTED_VALUE"""),"Białystok")</f>
        <v>Białystok</v>
      </c>
      <c r="G11" s="3" t="str">
        <f>IFERROR(__xludf.DUMMYFUNCTION("""COMPUTED_VALUE"""),"Podlachie")</f>
        <v>Podlachie</v>
      </c>
      <c r="H11" s="3">
        <f>IFERROR(__xludf.DUMMYFUNCTION("""COMPUTED_VALUE"""),66654.0)</f>
        <v>66654</v>
      </c>
      <c r="I11" s="3">
        <f>IFERROR(__xludf.DUMMYFUNCTION("""COMPUTED_VALUE"""),56759.0)</f>
        <v>56759</v>
      </c>
      <c r="J11" s="3">
        <f>IFERROR(__xludf.DUMMYFUNCTION("""COMPUTED_VALUE"""),285507.0)</f>
        <v>285507</v>
      </c>
      <c r="K11" s="3">
        <f>IFERROR(__xludf.DUMMYFUNCTION("""COMPUTED_VALUE"""),294921.0)</f>
        <v>294921</v>
      </c>
      <c r="L11" s="3">
        <f>IFERROR(__xludf.DUMMYFUNCTION("""COMPUTED_VALUE"""),292058.0)</f>
        <v>292058</v>
      </c>
    </row>
    <row r="12">
      <c r="E12" s="3" t="str">
        <f>IFERROR(__xludf.DUMMYFUNCTION("""COMPUTED_VALUE"""),"*11*")</f>
        <v>*11*</v>
      </c>
      <c r="F12" s="3" t="str">
        <f>IFERROR(__xludf.DUMMYFUNCTION("""COMPUTED_VALUE"""),"Katowice")</f>
        <v>Katowice</v>
      </c>
      <c r="G12" s="3" t="str">
        <f>IFERROR(__xludf.DUMMYFUNCTION("""COMPUTED_VALUE"""),"Silésie")</f>
        <v>Silésie</v>
      </c>
      <c r="H12" s="3">
        <f>IFERROR(__xludf.DUMMYFUNCTION("""COMPUTED_VALUE"""),31738.0)</f>
        <v>31738</v>
      </c>
      <c r="I12" s="3">
        <f>IFERROR(__xludf.DUMMYFUNCTION("""COMPUTED_VALUE"""),128290.0)</f>
        <v>128290</v>
      </c>
      <c r="J12" s="3">
        <f>IFERROR(__xludf.DUMMYFUNCTION("""COMPUTED_VALUE"""),330625.0)</f>
        <v>330625</v>
      </c>
      <c r="K12" s="3">
        <f>IFERROR(__xludf.DUMMYFUNCTION("""COMPUTED_VALUE"""),307233.0)</f>
        <v>307233</v>
      </c>
      <c r="L12" s="3">
        <f>IFERROR(__xludf.DUMMYFUNCTION("""COMPUTED_VALUE"""),279119.0)</f>
        <v>279119</v>
      </c>
    </row>
    <row r="13">
      <c r="E13" s="3" t="str">
        <f>IFERROR(__xludf.DUMMYFUNCTION("""COMPUTED_VALUE"""),"*12*")</f>
        <v>*12*</v>
      </c>
      <c r="F13" s="3" t="str">
        <f>IFERROR(__xludf.DUMMYFUNCTION("""COMPUTED_VALUE"""),"Gdynia")</f>
        <v>Gdynia</v>
      </c>
      <c r="G13" s="3" t="str">
        <f>IFERROR(__xludf.DUMMYFUNCTION("""COMPUTED_VALUE"""),"Poméranie")</f>
        <v>Poméranie</v>
      </c>
      <c r="H13" s="3">
        <f>IFERROR(__xludf.DUMMYFUNCTION("""COMPUTED_VALUE"""),1000.0)</f>
        <v>1000</v>
      </c>
      <c r="I13" s="3">
        <f>IFERROR(__xludf.DUMMYFUNCTION("""COMPUTED_VALUE"""),77829.0)</f>
        <v>77829</v>
      </c>
      <c r="J13" s="3">
        <f>IFERROR(__xludf.DUMMYFUNCTION("""COMPUTED_VALUE"""),253387.0)</f>
        <v>253387</v>
      </c>
      <c r="K13" s="3">
        <f>IFERROR(__xludf.DUMMYFUNCTION("""COMPUTED_VALUE"""),248726.0)</f>
        <v>248726</v>
      </c>
      <c r="L13" s="3">
        <f>IFERROR(__xludf.DUMMYFUNCTION("""COMPUTED_VALUE"""),242141.0)</f>
        <v>242141</v>
      </c>
    </row>
    <row r="14">
      <c r="E14" s="3" t="str">
        <f>IFERROR(__xludf.DUMMYFUNCTION("""COMPUTED_VALUE"""),"*13*")</f>
        <v>*13*</v>
      </c>
      <c r="F14" s="3" t="str">
        <f>IFERROR(__xludf.DUMMYFUNCTION("""COMPUTED_VALUE"""),"Częstochowa")</f>
        <v>Częstochowa</v>
      </c>
      <c r="G14" s="3" t="str">
        <f>IFERROR(__xludf.DUMMYFUNCTION("""COMPUTED_VALUE"""),"Silésie")</f>
        <v>Silésie</v>
      </c>
      <c r="H14" s="3">
        <f>IFERROR(__xludf.DUMMYFUNCTION("""COMPUTED_VALUE"""),41379.0)</f>
        <v>41379</v>
      </c>
      <c r="I14" s="3">
        <f>IFERROR(__xludf.DUMMYFUNCTION("""COMPUTED_VALUE"""),101255.0)</f>
        <v>101255</v>
      </c>
      <c r="J14" s="3">
        <f>IFERROR(__xludf.DUMMYFUNCTION("""COMPUTED_VALUE"""),253133.0)</f>
        <v>253133</v>
      </c>
      <c r="K14" s="3">
        <f>IFERROR(__xludf.DUMMYFUNCTION("""COMPUTED_VALUE"""),234472.0)</f>
        <v>234472</v>
      </c>
      <c r="L14" s="3">
        <f>IFERROR(__xludf.DUMMYFUNCTION("""COMPUTED_VALUE"""),207117.0)</f>
        <v>207117</v>
      </c>
    </row>
    <row r="15">
      <c r="E15" s="3" t="str">
        <f>IFERROR(__xludf.DUMMYFUNCTION("""COMPUTED_VALUE"""),"*14*")</f>
        <v>*14*</v>
      </c>
      <c r="F15" s="3" t="str">
        <f>IFERROR(__xludf.DUMMYFUNCTION("""COMPUTED_VALUE"""),"Rzeszów")</f>
        <v>Rzeszów</v>
      </c>
      <c r="G15" s="3" t="str">
        <f>IFERROR(__xludf.DUMMYFUNCTION("""COMPUTED_VALUE"""),"Basses-Carpates")</f>
        <v>Basses-Carpates</v>
      </c>
      <c r="H15" s="3">
        <f>IFERROR(__xludf.DUMMYFUNCTION("""COMPUTED_VALUE"""),15010.0)</f>
        <v>15010</v>
      </c>
      <c r="I15" s="3">
        <f>IFERROR(__xludf.DUMMYFUNCTION("""COMPUTED_VALUE"""),29407.0)</f>
        <v>29407</v>
      </c>
      <c r="J15" s="3">
        <f>IFERROR(__xludf.DUMMYFUNCTION("""COMPUTED_VALUE"""),162501.0)</f>
        <v>162501</v>
      </c>
      <c r="K15" s="3">
        <f>IFERROR(__xludf.DUMMYFUNCTION("""COMPUTED_VALUE"""),182028.0)</f>
        <v>182028</v>
      </c>
      <c r="L15" s="3">
        <f>IFERROR(__xludf.DUMMYFUNCTION("""COMPUTED_VALUE"""),197536.0)</f>
        <v>197536</v>
      </c>
    </row>
    <row r="16">
      <c r="E16" s="3" t="str">
        <f>IFERROR(__xludf.DUMMYFUNCTION("""COMPUTED_VALUE"""),"*15*")</f>
        <v>*15*</v>
      </c>
      <c r="F16" s="3" t="str">
        <f>IFERROR(__xludf.DUMMYFUNCTION("""COMPUTED_VALUE"""),"Radom")</f>
        <v>Radom</v>
      </c>
      <c r="G16" s="3" t="str">
        <f>IFERROR(__xludf.DUMMYFUNCTION("""COMPUTED_VALUE"""),"Mazovie")</f>
        <v>Mazovie</v>
      </c>
      <c r="H16" s="3">
        <f>IFERROR(__xludf.DUMMYFUNCTION("""COMPUTED_VALUE"""),26906.0)</f>
        <v>26906</v>
      </c>
      <c r="I16" s="3">
        <f>IFERROR(__xludf.DUMMYFUNCTION("""COMPUTED_VALUE"""),69455.0)</f>
        <v>69455</v>
      </c>
      <c r="J16" s="3">
        <f>IFERROR(__xludf.DUMMYFUNCTION("""COMPUTED_VALUE"""),230492.0)</f>
        <v>230492</v>
      </c>
      <c r="K16" s="3">
        <f>IFERROR(__xludf.DUMMYFUNCTION("""COMPUTED_VALUE"""),219703.0)</f>
        <v>219703</v>
      </c>
      <c r="L16" s="3">
        <f>IFERROR(__xludf.DUMMYFUNCTION("""COMPUTED_VALUE"""),196918.0)</f>
        <v>196918</v>
      </c>
    </row>
    <row r="17">
      <c r="E17" s="3" t="str">
        <f>IFERROR(__xludf.DUMMYFUNCTION("""COMPUTED_VALUE"""),"*16*")</f>
        <v>*16*</v>
      </c>
      <c r="F17" s="3" t="str">
        <f>IFERROR(__xludf.DUMMYFUNCTION("""COMPUTED_VALUE"""),"Toruń")</f>
        <v>Toruń</v>
      </c>
      <c r="G17" s="3" t="str">
        <f>IFERROR(__xludf.DUMMYFUNCTION("""COMPUTED_VALUE"""),"Couïavie-Poméranie")</f>
        <v>Couïavie-Poméranie</v>
      </c>
      <c r="H17" s="3">
        <f>IFERROR(__xludf.DUMMYFUNCTION("""COMPUTED_VALUE"""),13447.0)</f>
        <v>13447</v>
      </c>
      <c r="I17" s="3">
        <f>IFERROR(__xludf.DUMMYFUNCTION("""COMPUTED_VALUE"""),68085.0)</f>
        <v>68085</v>
      </c>
      <c r="J17" s="3">
        <f>IFERROR(__xludf.DUMMYFUNCTION("""COMPUTED_VALUE"""),204322.0)</f>
        <v>204322</v>
      </c>
      <c r="K17" s="3">
        <f>IFERROR(__xludf.DUMMYFUNCTION("""COMPUTED_VALUE"""),204847.0)</f>
        <v>204847</v>
      </c>
      <c r="L17" s="3">
        <f>IFERROR(__xludf.DUMMYFUNCTION("""COMPUTED_VALUE"""),195263.0)</f>
        <v>195263</v>
      </c>
    </row>
    <row r="18">
      <c r="E18" s="3">
        <f>IFERROR(__xludf.DUMMYFUNCTION("""COMPUTED_VALUE"""),17.0)</f>
        <v>17</v>
      </c>
      <c r="F18" s="3" t="str">
        <f>IFERROR(__xludf.DUMMYFUNCTION("""COMPUTED_VALUE"""),"Sosnowiec")</f>
        <v>Sosnowiec</v>
      </c>
      <c r="G18" s="3" t="str">
        <f>IFERROR(__xludf.DUMMYFUNCTION("""COMPUTED_VALUE"""),"Silésie")</f>
        <v>Silésie</v>
      </c>
      <c r="H18" s="3">
        <f>IFERROR(__xludf.DUMMYFUNCTION("""COMPUTED_VALUE"""),61000.0)</f>
        <v>61000</v>
      </c>
      <c r="I18" s="3">
        <f>IFERROR(__xludf.DUMMYFUNCTION("""COMPUTED_VALUE"""),77853.0)</f>
        <v>77853</v>
      </c>
      <c r="J18" s="3">
        <f>IFERROR(__xludf.DUMMYFUNCTION("""COMPUTED_VALUE"""),234486.0)</f>
        <v>234486</v>
      </c>
      <c r="K18" s="3">
        <f>IFERROR(__xludf.DUMMYFUNCTION("""COMPUTED_VALUE"""),213513.0)</f>
        <v>213513</v>
      </c>
      <c r="L18" s="3">
        <f>IFERROR(__xludf.DUMMYFUNCTION("""COMPUTED_VALUE"""),188151.0)</f>
        <v>188151</v>
      </c>
    </row>
    <row r="19">
      <c r="E19" s="3" t="str">
        <f>IFERROR(__xludf.DUMMYFUNCTION("""COMPUTED_VALUE"""),"*18*")</f>
        <v>*18*</v>
      </c>
      <c r="F19" s="3" t="str">
        <f>IFERROR(__xludf.DUMMYFUNCTION("""COMPUTED_VALUE"""),"Kielce")</f>
        <v>Kielce</v>
      </c>
      <c r="G19" s="3" t="str">
        <f>IFERROR(__xludf.DUMMYFUNCTION("""COMPUTED_VALUE"""),"Sainte-Croix")</f>
        <v>Sainte-Croix</v>
      </c>
      <c r="H19" s="3">
        <f>IFERROR(__xludf.DUMMYFUNCTION("""COMPUTED_VALUE"""),14270.0)</f>
        <v>14270</v>
      </c>
      <c r="I19" s="3">
        <f>IFERROR(__xludf.DUMMYFUNCTION("""COMPUTED_VALUE"""),49960.0)</f>
        <v>49960</v>
      </c>
      <c r="J19" s="3">
        <f>IFERROR(__xludf.DUMMYFUNCTION("""COMPUTED_VALUE"""),210956.0)</f>
        <v>210956</v>
      </c>
      <c r="K19" s="3">
        <f>IFERROR(__xludf.DUMMYFUNCTION("""COMPUTED_VALUE"""),201815.0)</f>
        <v>201815</v>
      </c>
      <c r="L19" s="3">
        <f>IFERROR(__xludf.DUMMYFUNCTION("""COMPUTED_VALUE"""),183147.0)</f>
        <v>183147</v>
      </c>
    </row>
    <row r="20">
      <c r="E20" s="3" t="str">
        <f>IFERROR(__xludf.DUMMYFUNCTION("""COMPUTED_VALUE"""),"*19*")</f>
        <v>*19*</v>
      </c>
      <c r="F20" s="3" t="str">
        <f>IFERROR(__xludf.DUMMYFUNCTION("""COMPUTED_VALUE"""),"Gliwice")</f>
        <v>Gliwice</v>
      </c>
      <c r="G20" s="3" t="str">
        <f>IFERROR(__xludf.DUMMYFUNCTION("""COMPUTED_VALUE"""),"Silésie")</f>
        <v>Silésie</v>
      </c>
      <c r="H20" s="3">
        <f>IFERROR(__xludf.DUMMYFUNCTION("""COMPUTED_VALUE"""),52362.0)</f>
        <v>52362</v>
      </c>
      <c r="I20" s="3">
        <f>IFERROR(__xludf.DUMMYFUNCTION("""COMPUTED_VALUE"""),95980.0)</f>
        <v>95980</v>
      </c>
      <c r="J20" s="3">
        <f>IFERROR(__xludf.DUMMYFUNCTION("""COMPUTED_VALUE"""),205092.0)</f>
        <v>205092</v>
      </c>
      <c r="K20" s="3">
        <f>IFERROR(__xludf.DUMMYFUNCTION("""COMPUTED_VALUE"""),186210.0)</f>
        <v>186210</v>
      </c>
      <c r="L20" s="3">
        <f>IFERROR(__xludf.DUMMYFUNCTION("""COMPUTED_VALUE"""),170457.0)</f>
        <v>170457</v>
      </c>
    </row>
    <row r="21">
      <c r="E21" s="3">
        <f>IFERROR(__xludf.DUMMYFUNCTION("""COMPUTED_VALUE"""),20.0)</f>
        <v>20</v>
      </c>
      <c r="F21" s="3" t="str">
        <f>IFERROR(__xludf.DUMMYFUNCTION("""COMPUTED_VALUE"""),"Olsztyn")</f>
        <v>Olsztyn</v>
      </c>
      <c r="G21" s="3" t="str">
        <f>IFERROR(__xludf.DUMMYFUNCTION("""COMPUTED_VALUE"""),"Varmie-Mazurie")</f>
        <v>Varmie-Mazurie</v>
      </c>
      <c r="H21" s="3">
        <f>IFERROR(__xludf.DUMMYFUNCTION("""COMPUTED_VALUE"""),50396.0)</f>
        <v>50396</v>
      </c>
      <c r="I21" s="3">
        <f>IFERROR(__xludf.DUMMYFUNCTION("""COMPUTED_VALUE"""),29053.0)</f>
        <v>29053</v>
      </c>
      <c r="J21" s="3">
        <f>IFERROR(__xludf.DUMMYFUNCTION("""COMPUTED_VALUE"""),174271.0)</f>
        <v>174271</v>
      </c>
      <c r="K21" s="3">
        <f>IFERROR(__xludf.DUMMYFUNCTION("""COMPUTED_VALUE"""),174675.0)</f>
        <v>174675</v>
      </c>
      <c r="L21" s="3">
        <f>IFERROR(__xludf.DUMMYFUNCTION("""COMPUTED_VALUE"""),167844.0)</f>
        <v>167844</v>
      </c>
    </row>
    <row r="22">
      <c r="E22" s="3" t="str">
        <f>IFERROR(__xludf.DUMMYFUNCTION("""COMPUTED_VALUE"""),"*21*")</f>
        <v>*21*</v>
      </c>
      <c r="F22" s="3" t="str">
        <f>IFERROR(__xludf.DUMMYFUNCTION("""COMPUTED_VALUE"""),"Bielsko-Biała")</f>
        <v>Bielsko-Biała</v>
      </c>
      <c r="G22" s="3" t="str">
        <f>IFERROR(__xludf.DUMMYFUNCTION("""COMPUTED_VALUE"""),"Silésie")</f>
        <v>Silésie</v>
      </c>
      <c r="H22" s="3" t="str">
        <f>IFERROR(__xludf.DUMMYFUNCTION("""COMPUTED_VALUE"""),"/")</f>
        <v>/</v>
      </c>
      <c r="I22" s="3" t="str">
        <f>IFERROR(__xludf.DUMMYFUNCTION("""COMPUTED_VALUE"""),"/")</f>
        <v>/</v>
      </c>
      <c r="J22" s="3">
        <f>IFERROR(__xludf.DUMMYFUNCTION("""COMPUTED_VALUE"""),178611.0)</f>
        <v>178611</v>
      </c>
      <c r="K22" s="3">
        <f>IFERROR(__xludf.DUMMYFUNCTION("""COMPUTED_VALUE"""),174370.0)</f>
        <v>174370</v>
      </c>
      <c r="L22" s="3">
        <f>IFERROR(__xludf.DUMMYFUNCTION("""COMPUTED_VALUE"""),166189.0)</f>
        <v>166189</v>
      </c>
    </row>
    <row r="23">
      <c r="E23" s="3" t="str">
        <f>IFERROR(__xludf.DUMMYFUNCTION("""COMPUTED_VALUE"""),"*22*")</f>
        <v>*22*</v>
      </c>
      <c r="F23" s="3" t="str">
        <f>IFERROR(__xludf.DUMMYFUNCTION("""COMPUTED_VALUE"""),"Zabrze")</f>
        <v>Zabrze</v>
      </c>
      <c r="G23" s="3" t="str">
        <f>IFERROR(__xludf.DUMMYFUNCTION("""COMPUTED_VALUE"""),"Silésie")</f>
        <v>Silésie</v>
      </c>
      <c r="H23" s="3">
        <f>IFERROR(__xludf.DUMMYFUNCTION("""COMPUTED_VALUE"""),126200.0)</f>
        <v>126200</v>
      </c>
      <c r="I23" s="3">
        <f>IFERROR(__xludf.DUMMYFUNCTION("""COMPUTED_VALUE"""),104200.0)</f>
        <v>104200</v>
      </c>
      <c r="J23" s="3">
        <f>IFERROR(__xludf.DUMMYFUNCTION("""COMPUTED_VALUE"""),197100.0)</f>
        <v>197100</v>
      </c>
      <c r="K23" s="3">
        <f>IFERROR(__xludf.DUMMYFUNCTION("""COMPUTED_VALUE"""),179500.0)</f>
        <v>179500</v>
      </c>
      <c r="L23" s="3">
        <f>IFERROR(__xludf.DUMMYFUNCTION("""COMPUTED_VALUE"""),154642.0)</f>
        <v>154642</v>
      </c>
    </row>
    <row r="24">
      <c r="E24" s="3" t="str">
        <f>IFERROR(__xludf.DUMMYFUNCTION("""COMPUTED_VALUE"""),"*23*")</f>
        <v>*23*</v>
      </c>
      <c r="F24" s="3" t="str">
        <f>IFERROR(__xludf.DUMMYFUNCTION("""COMPUTED_VALUE"""),"Bytom")</f>
        <v>Bytom</v>
      </c>
      <c r="G24" s="3" t="str">
        <f>IFERROR(__xludf.DUMMYFUNCTION("""COMPUTED_VALUE"""),"Silésie")</f>
        <v>Silésie</v>
      </c>
      <c r="H24" s="3">
        <f>IFERROR(__xludf.DUMMYFUNCTION("""COMPUTED_VALUE"""),51404.0)</f>
        <v>51404</v>
      </c>
      <c r="I24" s="3">
        <f>IFERROR(__xludf.DUMMYFUNCTION("""COMPUTED_VALUE"""),93179.0)</f>
        <v>93179</v>
      </c>
      <c r="J24" s="3">
        <f>IFERROR(__xludf.DUMMYFUNCTION("""COMPUTED_VALUE"""),195807.0)</f>
        <v>195807</v>
      </c>
      <c r="K24" s="3">
        <f>IFERROR(__xludf.DUMMYFUNCTION("""COMPUTED_VALUE"""),174724.0)</f>
        <v>174724</v>
      </c>
      <c r="L24" s="3">
        <f>IFERROR(__xludf.DUMMYFUNCTION("""COMPUTED_VALUE"""),148687.0)</f>
        <v>148687</v>
      </c>
    </row>
    <row r="25">
      <c r="E25" s="3" t="str">
        <f>IFERROR(__xludf.DUMMYFUNCTION("""COMPUTED_VALUE"""),"*24*")</f>
        <v>*24*</v>
      </c>
      <c r="F25" s="3" t="str">
        <f>IFERROR(__xludf.DUMMYFUNCTION("""COMPUTED_VALUE"""),"Zielona Góra")</f>
        <v>Zielona Góra</v>
      </c>
      <c r="G25" s="3" t="str">
        <f>IFERROR(__xludf.DUMMYFUNCTION("""COMPUTED_VALUE"""),"Lubusz")</f>
        <v>Lubusz</v>
      </c>
      <c r="H25" s="3">
        <f>IFERROR(__xludf.DUMMYFUNCTION("""COMPUTED_VALUE"""),20983.0)</f>
        <v>20983</v>
      </c>
      <c r="I25" s="3">
        <f>IFERROR(__xludf.DUMMYFUNCTION("""COMPUTED_VALUE"""),15738.0)</f>
        <v>15738</v>
      </c>
      <c r="J25" s="3">
        <f>IFERROR(__xludf.DUMMYFUNCTION("""COMPUTED_VALUE"""),118987.0)</f>
        <v>118987</v>
      </c>
      <c r="K25" s="3">
        <f>IFERROR(__xludf.DUMMYFUNCTION("""COMPUTED_VALUE"""),119182.0)</f>
        <v>119182</v>
      </c>
      <c r="L25" s="3">
        <f>IFERROR(__xludf.DUMMYFUNCTION("""COMPUTED_VALUE"""),139132.0)</f>
        <v>139132</v>
      </c>
    </row>
    <row r="26">
      <c r="E26" s="3" t="str">
        <f>IFERROR(__xludf.DUMMYFUNCTION("""COMPUTED_VALUE"""),"*25*")</f>
        <v>*25*</v>
      </c>
      <c r="F26" s="3" t="str">
        <f>IFERROR(__xludf.DUMMYFUNCTION("""COMPUTED_VALUE"""),"Rybnik")</f>
        <v>Rybnik</v>
      </c>
      <c r="G26" s="3" t="str">
        <f>IFERROR(__xludf.DUMMYFUNCTION("""COMPUTED_VALUE"""),"Silésie")</f>
        <v>Silésie</v>
      </c>
      <c r="H26" s="3">
        <f>IFERROR(__xludf.DUMMYFUNCTION("""COMPUTED_VALUE"""),10445.0)</f>
        <v>10445</v>
      </c>
      <c r="I26" s="3">
        <f>IFERROR(__xludf.DUMMYFUNCTION("""COMPUTED_VALUE"""),23052.0)</f>
        <v>23052</v>
      </c>
      <c r="J26" s="3">
        <f>IFERROR(__xludf.DUMMYFUNCTION("""COMPUTED_VALUE"""),143218.0)</f>
        <v>143218</v>
      </c>
      <c r="K26" s="3">
        <f>IFERROR(__xludf.DUMMYFUNCTION("""COMPUTED_VALUE"""),140789.0)</f>
        <v>140789</v>
      </c>
      <c r="L26" s="3">
        <f>IFERROR(__xludf.DUMMYFUNCTION("""COMPUTED_VALUE"""),131323.0)</f>
        <v>131323</v>
      </c>
    </row>
    <row r="27">
      <c r="E27" s="3" t="str">
        <f>IFERROR(__xludf.DUMMYFUNCTION("""COMPUTED_VALUE"""),"*26*")</f>
        <v>*26*</v>
      </c>
      <c r="F27" s="3" t="str">
        <f>IFERROR(__xludf.DUMMYFUNCTION("""COMPUTED_VALUE"""),"Ruda Śląska")</f>
        <v>Ruda Śląska</v>
      </c>
      <c r="G27" s="3" t="str">
        <f>IFERROR(__xludf.DUMMYFUNCTION("""COMPUTED_VALUE"""),"Silésie")</f>
        <v>Silésie</v>
      </c>
      <c r="H27" s="3" t="str">
        <f>IFERROR(__xludf.DUMMYFUNCTION("""COMPUTED_VALUE"""),"/")</f>
        <v>/</v>
      </c>
      <c r="I27" s="3">
        <f>IFERROR(__xludf.DUMMYFUNCTION("""COMPUTED_VALUE"""),33962.0)</f>
        <v>33962</v>
      </c>
      <c r="J27" s="3">
        <f>IFERROR(__xludf.DUMMYFUNCTION("""COMPUTED_VALUE"""),152280.0)</f>
        <v>152280</v>
      </c>
      <c r="K27" s="3">
        <f>IFERROR(__xludf.DUMMYFUNCTION("""COMPUTED_VALUE"""),142346.0)</f>
        <v>142346</v>
      </c>
      <c r="L27" s="3">
        <f>IFERROR(__xludf.DUMMYFUNCTION("""COMPUTED_VALUE"""),131062.0)</f>
        <v>131062</v>
      </c>
    </row>
    <row r="28">
      <c r="E28" s="3" t="str">
        <f>IFERROR(__xludf.DUMMYFUNCTION("""COMPUTED_VALUE"""),"*27*")</f>
        <v>*27*</v>
      </c>
      <c r="F28" s="3" t="str">
        <f>IFERROR(__xludf.DUMMYFUNCTION("""COMPUTED_VALUE"""),"Opole")</f>
        <v>Opole</v>
      </c>
      <c r="G28" s="3" t="str">
        <f>IFERROR(__xludf.DUMMYFUNCTION("""COMPUTED_VALUE"""),"Opole")</f>
        <v>Opole</v>
      </c>
      <c r="H28" s="3" t="str">
        <f>IFERROR(__xludf.DUMMYFUNCTION("""COMPUTED_VALUE"""),"/")</f>
        <v>/</v>
      </c>
      <c r="I28" s="3">
        <f>IFERROR(__xludf.DUMMYFUNCTION("""COMPUTED_VALUE"""),27666.0)</f>
        <v>27666</v>
      </c>
      <c r="J28" s="3">
        <f>IFERROR(__xludf.DUMMYFUNCTION("""COMPUTED_VALUE"""),130427.0)</f>
        <v>130427</v>
      </c>
      <c r="K28" s="3">
        <f>IFERROR(__xludf.DUMMYFUNCTION("""COMPUTED_VALUE"""),121576.0)</f>
        <v>121576</v>
      </c>
      <c r="L28" s="3">
        <f>IFERROR(__xludf.DUMMYFUNCTION("""COMPUTED_VALUE"""),126300.0)</f>
        <v>126300</v>
      </c>
    </row>
    <row r="29">
      <c r="E29" s="3" t="str">
        <f>IFERROR(__xludf.DUMMYFUNCTION("""COMPUTED_VALUE"""),"*28*")</f>
        <v>*28*</v>
      </c>
      <c r="F29" s="3" t="str">
        <f>IFERROR(__xludf.DUMMYFUNCTION("""COMPUTED_VALUE"""),"Tychy")</f>
        <v>Tychy</v>
      </c>
      <c r="G29" s="3" t="str">
        <f>IFERROR(__xludf.DUMMYFUNCTION("""COMPUTED_VALUE"""),"Silésie")</f>
        <v>Silésie</v>
      </c>
      <c r="H29" s="3" t="str">
        <f>IFERROR(__xludf.DUMMYFUNCTION("""COMPUTED_VALUE"""),"/")</f>
        <v>/</v>
      </c>
      <c r="I29" s="3">
        <f>IFERROR(__xludf.DUMMYFUNCTION("""COMPUTED_VALUE"""),26585.0)</f>
        <v>26585</v>
      </c>
      <c r="J29" s="3">
        <f>IFERROR(__xludf.DUMMYFUNCTION("""COMPUTED_VALUE"""),133463.0)</f>
        <v>133463</v>
      </c>
      <c r="K29" s="3">
        <f>IFERROR(__xludf.DUMMYFUNCTION("""COMPUTED_VALUE"""),129112.0)</f>
        <v>129112</v>
      </c>
      <c r="L29" s="3">
        <f>IFERROR(__xludf.DUMMYFUNCTION("""COMPUTED_VALUE"""),122605.0)</f>
        <v>122605</v>
      </c>
    </row>
    <row r="30">
      <c r="E30" s="3" t="str">
        <f>IFERROR(__xludf.DUMMYFUNCTION("""COMPUTED_VALUE"""),"*29*")</f>
        <v>*29*</v>
      </c>
      <c r="F30" s="3" t="str">
        <f>IFERROR(__xludf.DUMMYFUNCTION("""COMPUTED_VALUE"""),"Gorzów Wielkopolski")</f>
        <v>Gorzów Wielkopolski</v>
      </c>
      <c r="G30" s="3" t="str">
        <f>IFERROR(__xludf.DUMMYFUNCTION("""COMPUTED_VALUE"""),"Lubusz")</f>
        <v>Lubusz</v>
      </c>
      <c r="H30" s="3">
        <f>IFERROR(__xludf.DUMMYFUNCTION("""COMPUTED_VALUE"""),33598.0)</f>
        <v>33598</v>
      </c>
      <c r="I30" s="3">
        <f>IFERROR(__xludf.DUMMYFUNCTION("""COMPUTED_VALUE"""),19796.0)</f>
        <v>19796</v>
      </c>
      <c r="J30" s="3">
        <f>IFERROR(__xludf.DUMMYFUNCTION("""COMPUTED_VALUE"""),126285.0)</f>
        <v>126285</v>
      </c>
      <c r="K30" s="3">
        <f>IFERROR(__xludf.DUMMYFUNCTION("""COMPUTED_VALUE"""),124470.0)</f>
        <v>124470</v>
      </c>
      <c r="L30" s="3">
        <f>IFERROR(__xludf.DUMMYFUNCTION("""COMPUTED_VALUE"""),115847.0)</f>
        <v>115847</v>
      </c>
    </row>
    <row r="31">
      <c r="E31" s="3" t="str">
        <f>IFERROR(__xludf.DUMMYFUNCTION("""COMPUTED_VALUE"""),"*30*")</f>
        <v>*30*</v>
      </c>
      <c r="F31" s="3" t="str">
        <f>IFERROR(__xludf.DUMMYFUNCTION("""COMPUTED_VALUE"""),"Dąbrowa Górnicza")</f>
        <v>Dąbrowa Górnicza</v>
      </c>
      <c r="G31" s="3" t="str">
        <f>IFERROR(__xludf.DUMMYFUNCTION("""COMPUTED_VALUE"""),"Silésie")</f>
        <v>Silésie</v>
      </c>
      <c r="H31" s="3">
        <f>IFERROR(__xludf.DUMMYFUNCTION("""COMPUTED_VALUE"""),12500.0)</f>
        <v>12500</v>
      </c>
      <c r="I31" s="3">
        <f>IFERROR(__xludf.DUMMYFUNCTION("""COMPUTED_VALUE"""),28070.0)</f>
        <v>28070</v>
      </c>
      <c r="J31" s="3">
        <f>IFERROR(__xludf.DUMMYFUNCTION("""COMPUTED_VALUE"""),132858.0)</f>
        <v>132858</v>
      </c>
      <c r="K31" s="3">
        <f>IFERROR(__xludf.DUMMYFUNCTION("""COMPUTED_VALUE"""),124701.0)</f>
        <v>124701</v>
      </c>
      <c r="L31" s="3">
        <f>IFERROR(__xludf.DUMMYFUNCTION("""COMPUTED_VALUE"""),114148.0)</f>
        <v>114148</v>
      </c>
    </row>
    <row r="32">
      <c r="E32" s="3" t="str">
        <f>IFERROR(__xludf.DUMMYFUNCTION("""COMPUTED_VALUE"""),"*31*")</f>
        <v>*31*</v>
      </c>
      <c r="F32" s="3" t="str">
        <f>IFERROR(__xludf.DUMMYFUNCTION("""COMPUTED_VALUE"""),"Elbląg")</f>
        <v>Elbląg</v>
      </c>
      <c r="G32" s="3" t="str">
        <f>IFERROR(__xludf.DUMMYFUNCTION("""COMPUTED_VALUE"""),"Varmie-Mazurie")</f>
        <v>Varmie-Mazurie</v>
      </c>
      <c r="H32" s="3">
        <f>IFERROR(__xludf.DUMMYFUNCTION("""COMPUTED_VALUE"""),52518.0)</f>
        <v>52518</v>
      </c>
      <c r="I32" s="3">
        <f>IFERROR(__xludf.DUMMYFUNCTION("""COMPUTED_VALUE"""),20924.0)</f>
        <v>20924</v>
      </c>
      <c r="J32" s="3">
        <f>IFERROR(__xludf.DUMMYFUNCTION("""COMPUTED_VALUE"""),130160.0)</f>
        <v>130160</v>
      </c>
      <c r="K32" s="3">
        <f>IFERROR(__xludf.DUMMYFUNCTION("""COMPUTED_VALUE"""),123659.0)</f>
        <v>123659</v>
      </c>
      <c r="L32" s="3">
        <f>IFERROR(__xludf.DUMMYFUNCTION("""COMPUTED_VALUE"""),113195.0)</f>
        <v>113195</v>
      </c>
    </row>
    <row r="33">
      <c r="E33" s="3" t="str">
        <f>IFERROR(__xludf.DUMMYFUNCTION("""COMPUTED_VALUE"""),"*32*")</f>
        <v>*32*</v>
      </c>
      <c r="F33" s="3" t="str">
        <f>IFERROR(__xludf.DUMMYFUNCTION("""COMPUTED_VALUE"""),"Płock")</f>
        <v>Płock</v>
      </c>
      <c r="G33" s="3" t="str">
        <f>IFERROR(__xludf.DUMMYFUNCTION("""COMPUTED_VALUE"""),"Mazovie")</f>
        <v>Mazovie</v>
      </c>
      <c r="H33" s="3">
        <f>IFERROR(__xludf.DUMMYFUNCTION("""COMPUTED_VALUE"""),27000.0)</f>
        <v>27000</v>
      </c>
      <c r="I33" s="3">
        <f>IFERROR(__xludf.DUMMYFUNCTION("""COMPUTED_VALUE"""),28508.0)</f>
        <v>28508</v>
      </c>
      <c r="J33" s="3">
        <f>IFERROR(__xludf.DUMMYFUNCTION("""COMPUTED_VALUE"""),128580.0)</f>
        <v>128580</v>
      </c>
      <c r="K33" s="3">
        <f>IFERROR(__xludf.DUMMYFUNCTION("""COMPUTED_VALUE"""),123627.0)</f>
        <v>123627</v>
      </c>
      <c r="L33" s="3">
        <f>IFERROR(__xludf.DUMMYFUNCTION("""COMPUTED_VALUE"""),111927.0)</f>
        <v>111927</v>
      </c>
    </row>
    <row r="34">
      <c r="E34" s="3" t="str">
        <f>IFERROR(__xludf.DUMMYFUNCTION("""COMPUTED_VALUE"""),"*33*")</f>
        <v>*33*</v>
      </c>
      <c r="F34" s="3" t="str">
        <f>IFERROR(__xludf.DUMMYFUNCTION("""COMPUTED_VALUE"""),"Koszalin")</f>
        <v>Koszalin</v>
      </c>
      <c r="G34" s="3" t="str">
        <f>IFERROR(__xludf.DUMMYFUNCTION("""COMPUTED_VALUE"""),"Poméranie-Occidentale")</f>
        <v>Poméranie-Occidentale</v>
      </c>
      <c r="H34" s="3">
        <f>IFERROR(__xludf.DUMMYFUNCTION("""COMPUTED_VALUE"""),18935.0)</f>
        <v>18935</v>
      </c>
      <c r="I34" s="3">
        <f>IFERROR(__xludf.DUMMYFUNCTION("""COMPUTED_VALUE"""),17115.0)</f>
        <v>17115</v>
      </c>
      <c r="J34" s="3">
        <f>IFERROR(__xludf.DUMMYFUNCTION("""COMPUTED_VALUE"""),111618.0)</f>
        <v>111618</v>
      </c>
      <c r="K34" s="3">
        <f>IFERROR(__xludf.DUMMYFUNCTION("""COMPUTED_VALUE"""),109343.0)</f>
        <v>109343</v>
      </c>
      <c r="L34" s="3">
        <f>IFERROR(__xludf.DUMMYFUNCTION("""COMPUTED_VALUE"""),105905.0)</f>
        <v>105905</v>
      </c>
    </row>
    <row r="35">
      <c r="E35" s="3" t="str">
        <f>IFERROR(__xludf.DUMMYFUNCTION("""COMPUTED_VALUE"""),"*34*")</f>
        <v>*34*</v>
      </c>
      <c r="F35" s="3" t="str">
        <f>IFERROR(__xludf.DUMMYFUNCTION("""COMPUTED_VALUE"""),"Tarnów")</f>
        <v>Tarnów</v>
      </c>
      <c r="G35" s="3" t="str">
        <f>IFERROR(__xludf.DUMMYFUNCTION("""COMPUTED_VALUE"""),"Petite-Pologne")</f>
        <v>Petite-Pologne</v>
      </c>
      <c r="H35" s="3">
        <f>IFERROR(__xludf.DUMMYFUNCTION("""COMPUTED_VALUE"""),55000.0)</f>
        <v>55000</v>
      </c>
      <c r="I35" s="3">
        <f>IFERROR(__xludf.DUMMYFUNCTION("""COMPUTED_VALUE"""),33108.0)</f>
        <v>33108</v>
      </c>
      <c r="J35" s="3">
        <f>IFERROR(__xludf.DUMMYFUNCTION("""COMPUTED_VALUE"""),122359.0)</f>
        <v>122359</v>
      </c>
      <c r="K35" s="3">
        <f>IFERROR(__xludf.DUMMYFUNCTION("""COMPUTED_VALUE"""),114635.0)</f>
        <v>114635</v>
      </c>
      <c r="L35" s="3">
        <f>IFERROR(__xludf.DUMMYFUNCTION("""COMPUTED_VALUE"""),103515.0)</f>
        <v>103515</v>
      </c>
    </row>
    <row r="36">
      <c r="E36" s="3" t="str">
        <f>IFERROR(__xludf.DUMMYFUNCTION("""COMPUTED_VALUE"""),"*35*")</f>
        <v>*35*</v>
      </c>
      <c r="F36" s="3" t="str">
        <f>IFERROR(__xludf.DUMMYFUNCTION("""COMPUTED_VALUE"""),"Włocławek")</f>
        <v>Włocławek</v>
      </c>
      <c r="G36" s="3" t="str">
        <f>IFERROR(__xludf.DUMMYFUNCTION("""COMPUTED_VALUE"""),"Couïavie-Poméranie")</f>
        <v>Couïavie-Poméranie</v>
      </c>
      <c r="H36" s="3">
        <f>IFERROR(__xludf.DUMMYFUNCTION("""COMPUTED_VALUE"""),22971.0)</f>
        <v>22971</v>
      </c>
      <c r="I36" s="3">
        <f>IFERROR(__xludf.DUMMYFUNCTION("""COMPUTED_VALUE"""),48126.0)</f>
        <v>48126</v>
      </c>
      <c r="J36" s="3">
        <f>IFERROR(__xludf.DUMMYFUNCTION("""COMPUTED_VALUE"""),121767.0)</f>
        <v>121767</v>
      </c>
      <c r="K36" s="3">
        <f>IFERROR(__xludf.DUMMYFUNCTION("""COMPUTED_VALUE"""),115982.0)</f>
        <v>115982</v>
      </c>
      <c r="L36" s="3">
        <f>IFERROR(__xludf.DUMMYFUNCTION("""COMPUTED_VALUE"""),101450.0)</f>
        <v>101450</v>
      </c>
    </row>
    <row r="37">
      <c r="E37" s="3" t="str">
        <f>IFERROR(__xludf.DUMMYFUNCTION("""COMPUTED_VALUE"""),"*36*")</f>
        <v>*36*</v>
      </c>
      <c r="F37" s="3" t="str">
        <f>IFERROR(__xludf.DUMMYFUNCTION("""COMPUTED_VALUE"""),"Chorzów")</f>
        <v>Chorzów</v>
      </c>
      <c r="G37" s="3" t="str">
        <f>IFERROR(__xludf.DUMMYFUNCTION("""COMPUTED_VALUE"""),"Silésie")</f>
        <v>Silésie</v>
      </c>
      <c r="H37" s="3">
        <f>IFERROR(__xludf.DUMMYFUNCTION("""COMPUTED_VALUE"""),57919.0)</f>
        <v>57919</v>
      </c>
      <c r="I37" s="3">
        <f>IFERROR(__xludf.DUMMYFUNCTION("""COMPUTED_VALUE"""),110675.0)</f>
        <v>110675</v>
      </c>
      <c r="J37" s="3">
        <f>IFERROR(__xludf.DUMMYFUNCTION("""COMPUTED_VALUE"""),118708.0)</f>
        <v>118708</v>
      </c>
      <c r="K37" s="3">
        <f>IFERROR(__xludf.DUMMYFUNCTION("""COMPUTED_VALUE"""),111168.0)</f>
        <v>111168</v>
      </c>
      <c r="L37" s="3">
        <f>IFERROR(__xludf.DUMMYFUNCTION("""COMPUTED_VALUE"""),101184.0)</f>
        <v>101184</v>
      </c>
    </row>
    <row r="38">
      <c r="E38" s="3">
        <f>IFERROR(__xludf.DUMMYFUNCTION("""COMPUTED_VALUE"""),37.0)</f>
        <v>37</v>
      </c>
      <c r="F38" s="3" t="str">
        <f>IFERROR(__xludf.DUMMYFUNCTION("""COMPUTED_VALUE"""),"Wałbrzych")</f>
        <v>Wałbrzych</v>
      </c>
      <c r="G38" s="3" t="str">
        <f>IFERROR(__xludf.DUMMYFUNCTION("""COMPUTED_VALUE"""),"Basse-Silésie")</f>
        <v>Basse-Silésie</v>
      </c>
      <c r="H38" s="3">
        <f>IFERROR(__xludf.DUMMYFUNCTION("""COMPUTED_VALUE"""),13000.0)</f>
        <v>13000</v>
      </c>
      <c r="I38" s="3">
        <f>IFERROR(__xludf.DUMMYFUNCTION("""COMPUTED_VALUE"""),72976.0)</f>
        <v>72976</v>
      </c>
      <c r="J38" s="3">
        <f>IFERROR(__xludf.DUMMYFUNCTION("""COMPUTED_VALUE"""),136923.0)</f>
        <v>136923</v>
      </c>
      <c r="K38" s="3">
        <f>IFERROR(__xludf.DUMMYFUNCTION("""COMPUTED_VALUE"""),119955.0)</f>
        <v>119955</v>
      </c>
      <c r="L38" s="3">
        <f>IFERROR(__xludf.DUMMYFUNCTION("""COMPUTED_VALUE"""),101082.0)</f>
        <v>101082</v>
      </c>
    </row>
    <row r="39">
      <c r="E39" s="3" t="str">
        <f>IFERROR(__xludf.DUMMYFUNCTION("""COMPUTED_VALUE"""),"*38*")</f>
        <v>*38*</v>
      </c>
      <c r="F39" s="3" t="str">
        <f>IFERROR(__xludf.DUMMYFUNCTION("""COMPUTED_VALUE"""),"Kalisz")</f>
        <v>Kalisz</v>
      </c>
      <c r="G39" s="3" t="str">
        <f>IFERROR(__xludf.DUMMYFUNCTION("""COMPUTED_VALUE"""),"Grande-Pologne")</f>
        <v>Grande-Pologne</v>
      </c>
      <c r="H39" s="3">
        <f>IFERROR(__xludf.DUMMYFUNCTION("""COMPUTED_VALUE"""),68000.0)</f>
        <v>68000</v>
      </c>
      <c r="I39" s="3">
        <f>IFERROR(__xludf.DUMMYFUNCTION("""COMPUTED_VALUE"""),48029.0)</f>
        <v>48029</v>
      </c>
      <c r="J39" s="3">
        <f>IFERROR(__xludf.DUMMYFUNCTION("""COMPUTED_VALUE"""),110104.0)</f>
        <v>110104</v>
      </c>
      <c r="K39" s="3">
        <f>IFERROR(__xludf.DUMMYFUNCTION("""COMPUTED_VALUE"""),106664.0)</f>
        <v>106664</v>
      </c>
      <c r="L39" s="3">
        <f>IFERROR(__xludf.DUMMYFUNCTION("""COMPUTED_VALUE"""),93681.0)</f>
        <v>93681</v>
      </c>
    </row>
    <row r="40">
      <c r="E40" s="3" t="str">
        <f>IFERROR(__xludf.DUMMYFUNCTION("""COMPUTED_VALUE"""),"*39*")</f>
        <v>*39*</v>
      </c>
      <c r="F40" s="3" t="str">
        <f>IFERROR(__xludf.DUMMYFUNCTION("""COMPUTED_VALUE"""),"Legnica")</f>
        <v>Legnica</v>
      </c>
      <c r="G40" s="3" t="str">
        <f>IFERROR(__xludf.DUMMYFUNCTION("""COMPUTED_VALUE"""),"Basse-Silésie")</f>
        <v>Basse-Silésie</v>
      </c>
      <c r="H40" s="3">
        <f>IFERROR(__xludf.DUMMYFUNCTION("""COMPUTED_VALUE"""),54882.0)</f>
        <v>54882</v>
      </c>
      <c r="I40" s="3">
        <f>IFERROR(__xludf.DUMMYFUNCTION("""COMPUTED_VALUE"""),24357.0)</f>
        <v>24357</v>
      </c>
      <c r="J40" s="3">
        <f>IFERROR(__xludf.DUMMYFUNCTION("""COMPUTED_VALUE"""),107507.0)</f>
        <v>107507</v>
      </c>
      <c r="K40" s="3">
        <f>IFERROR(__xludf.DUMMYFUNCTION("""COMPUTED_VALUE"""),102422.0)</f>
        <v>102422</v>
      </c>
      <c r="L40" s="3">
        <f>IFERROR(__xludf.DUMMYFUNCTION("""COMPUTED_VALUE"""),92568.0)</f>
        <v>92568</v>
      </c>
    </row>
    <row r="41">
      <c r="E41" s="3" t="str">
        <f>IFERROR(__xludf.DUMMYFUNCTION("""COMPUTED_VALUE"""),"*40*")</f>
        <v>*40*</v>
      </c>
      <c r="F41" s="3" t="str">
        <f>IFERROR(__xludf.DUMMYFUNCTION("""COMPUTED_VALUE"""),"Grudziądz")</f>
        <v>Grudziądz</v>
      </c>
      <c r="G41" s="3" t="str">
        <f>IFERROR(__xludf.DUMMYFUNCTION("""COMPUTED_VALUE"""),"Couïavie-Poméranie")</f>
        <v>Couïavie-Poméranie</v>
      </c>
      <c r="H41" s="3">
        <f>IFERROR(__xludf.DUMMYFUNCTION("""COMPUTED_VALUE"""),32727.0)</f>
        <v>32727</v>
      </c>
      <c r="I41" s="3">
        <f>IFERROR(__xludf.DUMMYFUNCTION("""COMPUTED_VALUE"""),36805.0)</f>
        <v>36805</v>
      </c>
      <c r="J41" s="3">
        <f>IFERROR(__xludf.DUMMYFUNCTION("""COMPUTED_VALUE"""),102344.0)</f>
        <v>102344</v>
      </c>
      <c r="K41" s="3">
        <f>IFERROR(__xludf.DUMMYFUNCTION("""COMPUTED_VALUE"""),97971.0)</f>
        <v>97971</v>
      </c>
      <c r="L41" s="3">
        <f>IFERROR(__xludf.DUMMYFUNCTION("""COMPUTED_VALUE"""),89081.0)</f>
        <v>89081</v>
      </c>
    </row>
    <row r="42">
      <c r="E42" s="3" t="str">
        <f>IFERROR(__xludf.DUMMYFUNCTION("""COMPUTED_VALUE"""),"*41*")</f>
        <v>*41*</v>
      </c>
      <c r="F42" s="3" t="str">
        <f>IFERROR(__xludf.DUMMYFUNCTION("""COMPUTED_VALUE"""),"Jaworzno")</f>
        <v>Jaworzno</v>
      </c>
      <c r="G42" s="3" t="str">
        <f>IFERROR(__xludf.DUMMYFUNCTION("""COMPUTED_VALUE"""),"Silésie")</f>
        <v>Silésie</v>
      </c>
      <c r="H42" s="3">
        <f>IFERROR(__xludf.DUMMYFUNCTION("""COMPUTED_VALUE"""),13115.0)</f>
        <v>13115</v>
      </c>
      <c r="I42" s="3">
        <f>IFERROR(__xludf.DUMMYFUNCTION("""COMPUTED_VALUE"""),17506.0)</f>
        <v>17506</v>
      </c>
      <c r="J42" s="3">
        <f>IFERROR(__xludf.DUMMYFUNCTION("""COMPUTED_VALUE"""),97119.0)</f>
        <v>97119</v>
      </c>
      <c r="K42" s="3">
        <f>IFERROR(__xludf.DUMMYFUNCTION("""COMPUTED_VALUE"""),94305.0)</f>
        <v>94305</v>
      </c>
      <c r="L42" s="3">
        <f>IFERROR(__xludf.DUMMYFUNCTION("""COMPUTED_VALUE"""),87166.0)</f>
        <v>87166</v>
      </c>
    </row>
    <row r="43">
      <c r="E43" s="3" t="str">
        <f>IFERROR(__xludf.DUMMYFUNCTION("""COMPUTED_VALUE"""),"*42*")</f>
        <v>*42*</v>
      </c>
      <c r="F43" s="3" t="str">
        <f>IFERROR(__xludf.DUMMYFUNCTION("""COMPUTED_VALUE"""),"Słupsk")</f>
        <v>Słupsk</v>
      </c>
      <c r="G43" s="3" t="str">
        <f>IFERROR(__xludf.DUMMYFUNCTION("""COMPUTED_VALUE"""),"Poméranie")</f>
        <v>Poméranie</v>
      </c>
      <c r="H43" s="3">
        <f>IFERROR(__xludf.DUMMYFUNCTION("""COMPUTED_VALUE"""),26000.0)</f>
        <v>26000</v>
      </c>
      <c r="I43" s="3">
        <f>IFERROR(__xludf.DUMMYFUNCTION("""COMPUTED_VALUE"""),33948.0)</f>
        <v>33948</v>
      </c>
      <c r="J43" s="3">
        <f>IFERROR(__xludf.DUMMYFUNCTION("""COMPUTED_VALUE"""),102244.0)</f>
        <v>102244</v>
      </c>
      <c r="K43" s="3">
        <f>IFERROR(__xludf.DUMMYFUNCTION("""COMPUTED_VALUE"""),95882.0)</f>
        <v>95882</v>
      </c>
      <c r="L43" s="3">
        <f>IFERROR(__xludf.DUMMYFUNCTION("""COMPUTED_VALUE"""),86027.0)</f>
        <v>86027</v>
      </c>
    </row>
    <row r="44">
      <c r="E44" s="3" t="str">
        <f>IFERROR(__xludf.DUMMYFUNCTION("""COMPUTED_VALUE"""),"*43*")</f>
        <v>*43*</v>
      </c>
      <c r="F44" s="3" t="str">
        <f>IFERROR(__xludf.DUMMYFUNCTION("""COMPUTED_VALUE"""),"Jastrzębie Zdrój")</f>
        <v>Jastrzębie Zdrój</v>
      </c>
      <c r="G44" s="3" t="str">
        <f>IFERROR(__xludf.DUMMYFUNCTION("""COMPUTED_VALUE"""),"Silésie")</f>
        <v>Silésie</v>
      </c>
      <c r="H44" s="3" t="str">
        <f>IFERROR(__xludf.DUMMYFUNCTION("""COMPUTED_VALUE"""),"/")</f>
        <v>/</v>
      </c>
      <c r="I44" s="3">
        <f>IFERROR(__xludf.DUMMYFUNCTION("""COMPUTED_VALUE"""),8888.0)</f>
        <v>8888</v>
      </c>
      <c r="J44" s="3">
        <f>IFERROR(__xludf.DUMMYFUNCTION("""COMPUTED_VALUE"""),97537.0)</f>
        <v>97537</v>
      </c>
      <c r="K44" s="3">
        <f>IFERROR(__xludf.DUMMYFUNCTION("""COMPUTED_VALUE"""),91723.0)</f>
        <v>91723</v>
      </c>
      <c r="L44" s="3">
        <f>IFERROR(__xludf.DUMMYFUNCTION("""COMPUTED_VALUE"""),82788.0)</f>
        <v>82788</v>
      </c>
    </row>
    <row r="45">
      <c r="E45" s="3" t="str">
        <f>IFERROR(__xludf.DUMMYFUNCTION("""COMPUTED_VALUE"""),"*44*")</f>
        <v>*44*</v>
      </c>
      <c r="F45" s="3" t="str">
        <f>IFERROR(__xludf.DUMMYFUNCTION("""COMPUTED_VALUE"""),"Nowy Sącz")</f>
        <v>Nowy Sącz</v>
      </c>
      <c r="G45" s="3" t="str">
        <f>IFERROR(__xludf.DUMMYFUNCTION("""COMPUTED_VALUE"""),"Petite-Pologne")</f>
        <v>Petite-Pologne</v>
      </c>
      <c r="H45" s="3" t="str">
        <f>IFERROR(__xludf.DUMMYFUNCTION("""COMPUTED_VALUE"""),"/")</f>
        <v>/</v>
      </c>
      <c r="I45" s="3" t="str">
        <f>IFERROR(__xludf.DUMMYFUNCTION("""COMPUTED_VALUE"""),"/")</f>
        <v>/</v>
      </c>
      <c r="J45" s="3">
        <f>IFERROR(__xludf.DUMMYFUNCTION("""COMPUTED_VALUE"""),84370.0)</f>
        <v>84370</v>
      </c>
      <c r="K45" s="3">
        <f>IFERROR(__xludf.DUMMYFUNCTION("""COMPUTED_VALUE"""),84129.0)</f>
        <v>84129</v>
      </c>
      <c r="L45" s="3">
        <f>IFERROR(__xludf.DUMMYFUNCTION("""COMPUTED_VALUE"""),80446.0)</f>
        <v>80446</v>
      </c>
    </row>
    <row r="46">
      <c r="E46" s="3" t="str">
        <f>IFERROR(__xludf.DUMMYFUNCTION("""COMPUTED_VALUE"""),"*45*")</f>
        <v>*45*</v>
      </c>
      <c r="F46" s="3" t="str">
        <f>IFERROR(__xludf.DUMMYFUNCTION("""COMPUTED_VALUE"""),"Jelenia Góra")</f>
        <v>Jelenia Góra</v>
      </c>
      <c r="G46" s="3" t="str">
        <f>IFERROR(__xludf.DUMMYFUNCTION("""COMPUTED_VALUE"""),"Basse-Silésie")</f>
        <v>Basse-Silésie</v>
      </c>
      <c r="H46" s="3" t="str">
        <f>IFERROR(__xludf.DUMMYFUNCTION("""COMPUTED_VALUE"""),"/")</f>
        <v>/</v>
      </c>
      <c r="I46" s="3" t="str">
        <f>IFERROR(__xludf.DUMMYFUNCTION("""COMPUTED_VALUE"""),"/")</f>
        <v>/</v>
      </c>
      <c r="J46" s="3">
        <f>IFERROR(__xludf.DUMMYFUNCTION("""COMPUTED_VALUE"""),90130.0)</f>
        <v>90130</v>
      </c>
      <c r="K46" s="3">
        <f>IFERROR(__xludf.DUMMYFUNCTION("""COMPUTED_VALUE"""),82846.0)</f>
        <v>82846</v>
      </c>
      <c r="L46" s="3">
        <f>IFERROR(__xludf.DUMMYFUNCTION("""COMPUTED_VALUE"""),75429.0)</f>
        <v>75429</v>
      </c>
    </row>
    <row r="47">
      <c r="E47" s="3" t="str">
        <f>IFERROR(__xludf.DUMMYFUNCTION("""COMPUTED_VALUE"""),"*46*")</f>
        <v>*46*</v>
      </c>
      <c r="F47" s="3" t="str">
        <f>IFERROR(__xludf.DUMMYFUNCTION("""COMPUTED_VALUE"""),"Konin")</f>
        <v>Konin</v>
      </c>
      <c r="G47" s="3" t="str">
        <f>IFERROR(__xludf.DUMMYFUNCTION("""COMPUTED_VALUE"""),"Grande-Pologne")</f>
        <v>Grande-Pologne</v>
      </c>
      <c r="H47" s="3" t="str">
        <f>IFERROR(__xludf.DUMMYFUNCTION("""COMPUTED_VALUE"""),"/")</f>
        <v>/</v>
      </c>
      <c r="I47" s="3" t="str">
        <f>IFERROR(__xludf.DUMMYFUNCTION("""COMPUTED_VALUE"""),"/")</f>
        <v>/</v>
      </c>
      <c r="J47" s="3">
        <f>IFERROR(__xludf.DUMMYFUNCTION("""COMPUTED_VALUE"""),82640.0)</f>
        <v>82640</v>
      </c>
      <c r="K47" s="3">
        <f>IFERROR(__xludf.DUMMYFUNCTION("""COMPUTED_VALUE"""),77847.0)</f>
        <v>77847</v>
      </c>
      <c r="L47" s="3">
        <f>IFERROR(__xludf.DUMMYFUNCTION("""COMPUTED_VALUE"""),67596.0)</f>
        <v>67596</v>
      </c>
    </row>
    <row r="48">
      <c r="E48" s="3" t="str">
        <f>IFERROR(__xludf.DUMMYFUNCTION("""COMPUTED_VALUE"""),"*47*")</f>
        <v>*47*</v>
      </c>
      <c r="F48" s="3" t="str">
        <f>IFERROR(__xludf.DUMMYFUNCTION("""COMPUTED_VALUE"""),"Piotrków Trybunalski")</f>
        <v>Piotrków Trybunalski</v>
      </c>
      <c r="G48" s="3" t="str">
        <f>IFERROR(__xludf.DUMMYFUNCTION("""COMPUTED_VALUE"""),"Łódź")</f>
        <v>Łódź</v>
      </c>
      <c r="H48" s="3" t="str">
        <f>IFERROR(__xludf.DUMMYFUNCTION("""COMPUTED_VALUE"""),"/")</f>
        <v>/</v>
      </c>
      <c r="I48" s="3" t="str">
        <f>IFERROR(__xludf.DUMMYFUNCTION("""COMPUTED_VALUE"""),"/")</f>
        <v>/</v>
      </c>
      <c r="J48" s="3">
        <f>IFERROR(__xludf.DUMMYFUNCTION("""COMPUTED_VALUE"""),81238.0)</f>
        <v>81238</v>
      </c>
      <c r="K48" s="3">
        <f>IFERROR(__xludf.DUMMYFUNCTION("""COMPUTED_VALUE"""),76404.0)</f>
        <v>76404</v>
      </c>
      <c r="L48" s="3">
        <f>IFERROR(__xludf.DUMMYFUNCTION("""COMPUTED_VALUE"""),66901.0)</f>
        <v>66901</v>
      </c>
    </row>
    <row r="51">
      <c r="A51" s="3" t="str">
        <f>IFERROR(__xludf.DUMMYFUNCTION("IMPORTHTML(""https://fr.wikipedia.org/wiki/Palmar%C3%A8s_du_Tour_de_France"" , ""table"")"),"Année 
Édition")</f>
        <v>Année 
Édition</v>
      </c>
      <c r="B51" s="3" t="str">
        <f>IFERROR(__xludf.DUMMYFUNCTION("""COMPUTED_VALUE"""),"Vainqueur")</f>
        <v>Vainqueur</v>
      </c>
      <c r="C51" s="3" t="str">
        <f>IFERROR(__xludf.DUMMYFUNCTION("""COMPUTED_VALUE"""),"Deuxième")</f>
        <v>Deuxième</v>
      </c>
      <c r="D51" s="3" t="str">
        <f>IFERROR(__xludf.DUMMYFUNCTION("""COMPUTED_VALUE"""),"Troisième")</f>
        <v>Troisième</v>
      </c>
      <c r="E51" s="3" t="str">
        <f>IFERROR(__xludf.DUMMYFUNCTION("""COMPUTED_VALUE"""),"Équipe[1] du vainqueur")</f>
        <v>Équipe[1] du vainqueur</v>
      </c>
      <c r="F51" s="3" t="str">
        <f>IFERROR(__xludf.DUMMYFUNCTION("""COMPUTED_VALUE"""),"Vélo")</f>
        <v>Vélo</v>
      </c>
      <c r="G51" s="3" t="str">
        <f>IFERROR(__xludf.DUMMYFUNCTION("""COMPUTED_VALUE"""),"Dérailleur[2]")</f>
        <v>Dérailleur[2]</v>
      </c>
      <c r="H51" s="3" t="str">
        <f>IFERROR(__xludf.DUMMYFUNCTION("""COMPUTED_VALUE"""),"Nombre
d'étapes")</f>
        <v>Nombre
d'étapes</v>
      </c>
      <c r="I51" s="3" t="str">
        <f>IFERROR(__xludf.DUMMYFUNCTION("""COMPUTED_VALUE"""),"Distance
(en km)")</f>
        <v>Distance
(en km)</v>
      </c>
      <c r="J51" s="3" t="str">
        <f>IFERROR(__xludf.DUMMYFUNCTION("""COMPUTED_VALUE"""),"Vitesse moyenne
du vainqueur[3]")</f>
        <v>Vitesse moyenne
du vainqueur[3]</v>
      </c>
      <c r="K51" s="3" t="str">
        <f>IFERROR(__xludf.DUMMYFUNCTION("""COMPUTED_VALUE"""),"Grand Prix de la montagne")</f>
        <v>Grand Prix de la montagne</v>
      </c>
      <c r="L51" s="3" t="str">
        <f>IFERROR(__xludf.DUMMYFUNCTION("""COMPUTED_VALUE"""),"Par points")</f>
        <v>Par points</v>
      </c>
      <c r="M51" s="3" t="str">
        <f>IFERROR(__xludf.DUMMYFUNCTION("""COMPUTED_VALUE"""),"Meilleur jeune")</f>
        <v>Meilleur jeune</v>
      </c>
      <c r="N51" s="3" t="str">
        <f>IFERROR(__xludf.DUMMYFUNCTION("""COMPUTED_VALUE"""),"Prix de la combativité")</f>
        <v>Prix de la combativité</v>
      </c>
    </row>
    <row r="52">
      <c r="A52" s="3" t="str">
        <f>IFERROR(__xludf.DUMMYFUNCTION("""COMPUTED_VALUE"""),"1903 (1re)")</f>
        <v>1903 (1re)</v>
      </c>
      <c r="B52" s="3" t="str">
        <f>IFERROR(__xludf.DUMMYFUNCTION("""COMPUTED_VALUE"""),"Maurice Garin")</f>
        <v>Maurice Garin</v>
      </c>
      <c r="C52" s="3" t="str">
        <f>IFERROR(__xludf.DUMMYFUNCTION("""COMPUTED_VALUE"""),"Lucien Pothier")</f>
        <v>Lucien Pothier</v>
      </c>
      <c r="D52" s="3" t="str">
        <f>IFERROR(__xludf.DUMMYFUNCTION("""COMPUTED_VALUE"""),"Fernand Augereau")</f>
        <v>Fernand Augereau</v>
      </c>
      <c r="E52" s="3" t="str">
        <f>IFERROR(__xludf.DUMMYFUNCTION("""COMPUTED_VALUE"""),"La Française")</f>
        <v>La Française</v>
      </c>
      <c r="F52" s="3" t="str">
        <f>IFERROR(__xludf.DUMMYFUNCTION("""COMPUTED_VALUE"""),"La Française")</f>
        <v>La Française</v>
      </c>
      <c r="G52" s="3" t="str">
        <f>IFERROR(__xludf.DUMMYFUNCTION("""COMPUTED_VALUE"""),"dérailleur interdit")</f>
        <v>dérailleur interdit</v>
      </c>
      <c r="H52" s="3">
        <f>IFERROR(__xludf.DUMMYFUNCTION("""COMPUTED_VALUE"""),6.0)</f>
        <v>6</v>
      </c>
      <c r="I52" s="3">
        <f>IFERROR(__xludf.DUMMYFUNCTION("""COMPUTED_VALUE"""),2428.0)</f>
        <v>2428</v>
      </c>
      <c r="J52" s="3" t="str">
        <f>IFERROR(__xludf.DUMMYFUNCTION("""COMPUTED_VALUE"""),"25,679 km/h")</f>
        <v>25,679 km/h</v>
      </c>
      <c r="K52" s="3"/>
      <c r="L52" s="3"/>
      <c r="M52" s="3"/>
      <c r="N52" s="3"/>
    </row>
    <row r="53">
      <c r="A53" s="3" t="str">
        <f>IFERROR(__xludf.DUMMYFUNCTION("""COMPUTED_VALUE"""),"1904 (2e)")</f>
        <v>1904 (2e)</v>
      </c>
      <c r="B53" s="3" t="str">
        <f>IFERROR(__xludf.DUMMYFUNCTION("""COMPUTED_VALUE"""),"Henri Cornet[4]")</f>
        <v>Henri Cornet[4]</v>
      </c>
      <c r="C53" s="3" t="str">
        <f>IFERROR(__xludf.DUMMYFUNCTION("""COMPUTED_VALUE"""),"Jean-Baptiste Dortignacq[4]")</f>
        <v>Jean-Baptiste Dortignacq[4]</v>
      </c>
      <c r="D53" s="3" t="str">
        <f>IFERROR(__xludf.DUMMYFUNCTION("""COMPUTED_VALUE"""),"Aloïs Catteau[4]")</f>
        <v>Aloïs Catteau[4]</v>
      </c>
      <c r="E53" s="3" t="str">
        <f>IFERROR(__xludf.DUMMYFUNCTION("""COMPUTED_VALUE"""),"Cycles J.C.-Michelin")</f>
        <v>Cycles J.C.-Michelin</v>
      </c>
      <c r="F53" s="3"/>
      <c r="G53" s="3" t="str">
        <f>IFERROR(__xludf.DUMMYFUNCTION("""COMPUTED_VALUE"""),"dérailleur interdit")</f>
        <v>dérailleur interdit</v>
      </c>
      <c r="H53" s="3">
        <f>IFERROR(__xludf.DUMMYFUNCTION("""COMPUTED_VALUE"""),6.0)</f>
        <v>6</v>
      </c>
      <c r="I53" s="3">
        <f>IFERROR(__xludf.DUMMYFUNCTION("""COMPUTED_VALUE"""),2428.0)</f>
        <v>2428</v>
      </c>
      <c r="J53" s="3" t="str">
        <f>IFERROR(__xludf.DUMMYFUNCTION("""COMPUTED_VALUE"""),"25,265 km/h")</f>
        <v>25,265 km/h</v>
      </c>
      <c r="K53" s="3"/>
      <c r="L53" s="3"/>
      <c r="M53" s="3"/>
      <c r="N53" s="3"/>
    </row>
    <row r="54">
      <c r="A54" s="3" t="str">
        <f>IFERROR(__xludf.DUMMYFUNCTION("""COMPUTED_VALUE"""),"1905 (3e)")</f>
        <v>1905 (3e)</v>
      </c>
      <c r="B54" s="3" t="str">
        <f>IFERROR(__xludf.DUMMYFUNCTION("""COMPUTED_VALUE"""),"Louis Trousselier")</f>
        <v>Louis Trousselier</v>
      </c>
      <c r="C54" s="3" t="str">
        <f>IFERROR(__xludf.DUMMYFUNCTION("""COMPUTED_VALUE"""),"Hippolyte Aucouturier")</f>
        <v>Hippolyte Aucouturier</v>
      </c>
      <c r="D54" s="3" t="str">
        <f>IFERROR(__xludf.DUMMYFUNCTION("""COMPUTED_VALUE"""),"Jean-Baptiste Dortignacq")</f>
        <v>Jean-Baptiste Dortignacq</v>
      </c>
      <c r="E54" s="3" t="str">
        <f>IFERROR(__xludf.DUMMYFUNCTION("""COMPUTED_VALUE"""),"Peugeot-Wolber")</f>
        <v>Peugeot-Wolber</v>
      </c>
      <c r="F54" s="3" t="str">
        <f>IFERROR(__xludf.DUMMYFUNCTION("""COMPUTED_VALUE"""),"Peugeot")</f>
        <v>Peugeot</v>
      </c>
      <c r="G54" s="3" t="str">
        <f>IFERROR(__xludf.DUMMYFUNCTION("""COMPUTED_VALUE"""),"dérailleur interdit")</f>
        <v>dérailleur interdit</v>
      </c>
      <c r="H54" s="3">
        <f>IFERROR(__xludf.DUMMYFUNCTION("""COMPUTED_VALUE"""),11.0)</f>
        <v>11</v>
      </c>
      <c r="I54" s="3">
        <f>IFERROR(__xludf.DUMMYFUNCTION("""COMPUTED_VALUE"""),2994.0)</f>
        <v>2994</v>
      </c>
      <c r="J54" s="3" t="str">
        <f>IFERROR(__xludf.DUMMYFUNCTION("""COMPUTED_VALUE"""),"27,107 km/h")</f>
        <v>27,107 km/h</v>
      </c>
      <c r="K54" s="3"/>
      <c r="L54" s="3"/>
      <c r="M54" s="3"/>
      <c r="N54" s="3"/>
    </row>
    <row r="55">
      <c r="A55" s="3" t="str">
        <f>IFERROR(__xludf.DUMMYFUNCTION("""COMPUTED_VALUE"""),"1906 (4e)")</f>
        <v>1906 (4e)</v>
      </c>
      <c r="B55" s="3" t="str">
        <f>IFERROR(__xludf.DUMMYFUNCTION("""COMPUTED_VALUE"""),"René Pottier")</f>
        <v>René Pottier</v>
      </c>
      <c r="C55" s="3" t="str">
        <f>IFERROR(__xludf.DUMMYFUNCTION("""COMPUTED_VALUE"""),"Georges Passerieu")</f>
        <v>Georges Passerieu</v>
      </c>
      <c r="D55" s="3" t="str">
        <f>IFERROR(__xludf.DUMMYFUNCTION("""COMPUTED_VALUE"""),"Louis Trousselier")</f>
        <v>Louis Trousselier</v>
      </c>
      <c r="E55" s="3" t="str">
        <f>IFERROR(__xludf.DUMMYFUNCTION("""COMPUTED_VALUE"""),"Peugeot")</f>
        <v>Peugeot</v>
      </c>
      <c r="F55" s="3" t="str">
        <f>IFERROR(__xludf.DUMMYFUNCTION("""COMPUTED_VALUE"""),"Peugeot")</f>
        <v>Peugeot</v>
      </c>
      <c r="G55" s="3" t="str">
        <f>IFERROR(__xludf.DUMMYFUNCTION("""COMPUTED_VALUE"""),"dérailleur interdit")</f>
        <v>dérailleur interdit</v>
      </c>
      <c r="H55" s="3">
        <f>IFERROR(__xludf.DUMMYFUNCTION("""COMPUTED_VALUE"""),13.0)</f>
        <v>13</v>
      </c>
      <c r="I55" s="3">
        <f>IFERROR(__xludf.DUMMYFUNCTION("""COMPUTED_VALUE"""),4637.0)</f>
        <v>4637</v>
      </c>
      <c r="J55" s="3" t="str">
        <f>IFERROR(__xludf.DUMMYFUNCTION("""COMPUTED_VALUE"""),"24,463 km/h")</f>
        <v>24,463 km/h</v>
      </c>
      <c r="K55" s="3"/>
      <c r="L55" s="3"/>
      <c r="M55" s="3"/>
      <c r="N55" s="3"/>
    </row>
    <row r="56">
      <c r="A56" s="3" t="str">
        <f>IFERROR(__xludf.DUMMYFUNCTION("""COMPUTED_VALUE"""),"1907 (5e)")</f>
        <v>1907 (5e)</v>
      </c>
      <c r="B56" s="3" t="str">
        <f>IFERROR(__xludf.DUMMYFUNCTION("""COMPUTED_VALUE"""),"Lucien Petit-Breton")</f>
        <v>Lucien Petit-Breton</v>
      </c>
      <c r="C56" s="3" t="str">
        <f>IFERROR(__xludf.DUMMYFUNCTION("""COMPUTED_VALUE"""),"Gustave Garrigou")</f>
        <v>Gustave Garrigou</v>
      </c>
      <c r="D56" s="3" t="str">
        <f>IFERROR(__xludf.DUMMYFUNCTION("""COMPUTED_VALUE"""),"Émile Georget")</f>
        <v>Émile Georget</v>
      </c>
      <c r="E56" s="3" t="str">
        <f>IFERROR(__xludf.DUMMYFUNCTION("""COMPUTED_VALUE"""),"Peugeot-Wolber")</f>
        <v>Peugeot-Wolber</v>
      </c>
      <c r="F56" s="3" t="str">
        <f>IFERROR(__xludf.DUMMYFUNCTION("""COMPUTED_VALUE"""),"Peugeot")</f>
        <v>Peugeot</v>
      </c>
      <c r="G56" s="3" t="str">
        <f>IFERROR(__xludf.DUMMYFUNCTION("""COMPUTED_VALUE"""),"dérailleur interdit")</f>
        <v>dérailleur interdit</v>
      </c>
      <c r="H56" s="3">
        <f>IFERROR(__xludf.DUMMYFUNCTION("""COMPUTED_VALUE"""),14.0)</f>
        <v>14</v>
      </c>
      <c r="I56" s="3">
        <f>IFERROR(__xludf.DUMMYFUNCTION("""COMPUTED_VALUE"""),4488.0)</f>
        <v>4488</v>
      </c>
      <c r="J56" s="3" t="str">
        <f>IFERROR(__xludf.DUMMYFUNCTION("""COMPUTED_VALUE"""),"28,470 km/h")</f>
        <v>28,470 km/h</v>
      </c>
      <c r="K56" s="3"/>
      <c r="L56" s="3"/>
      <c r="M56" s="3"/>
      <c r="N56" s="3"/>
    </row>
    <row r="57">
      <c r="A57" s="3" t="str">
        <f>IFERROR(__xludf.DUMMYFUNCTION("""COMPUTED_VALUE"""),"1908 (6e)")</f>
        <v>1908 (6e)</v>
      </c>
      <c r="B57" s="3" t="str">
        <f>IFERROR(__xludf.DUMMYFUNCTION("""COMPUTED_VALUE"""),"Lucien Petit-Breton")</f>
        <v>Lucien Petit-Breton</v>
      </c>
      <c r="C57" s="3" t="str">
        <f>IFERROR(__xludf.DUMMYFUNCTION("""COMPUTED_VALUE"""),"François Faber")</f>
        <v>François Faber</v>
      </c>
      <c r="D57" s="3" t="str">
        <f>IFERROR(__xludf.DUMMYFUNCTION("""COMPUTED_VALUE"""),"Georges Passerieu")</f>
        <v>Georges Passerieu</v>
      </c>
      <c r="E57" s="3" t="str">
        <f>IFERROR(__xludf.DUMMYFUNCTION("""COMPUTED_VALUE"""),"Peugeot-Wolber")</f>
        <v>Peugeot-Wolber</v>
      </c>
      <c r="F57" s="3" t="str">
        <f>IFERROR(__xludf.DUMMYFUNCTION("""COMPUTED_VALUE"""),"Peugeot")</f>
        <v>Peugeot</v>
      </c>
      <c r="G57" s="3" t="str">
        <f>IFERROR(__xludf.DUMMYFUNCTION("""COMPUTED_VALUE"""),"dérailleur interdit")</f>
        <v>dérailleur interdit</v>
      </c>
      <c r="H57" s="3">
        <f>IFERROR(__xludf.DUMMYFUNCTION("""COMPUTED_VALUE"""),14.0)</f>
        <v>14</v>
      </c>
      <c r="I57" s="3">
        <f>IFERROR(__xludf.DUMMYFUNCTION("""COMPUTED_VALUE"""),4488.0)</f>
        <v>4488</v>
      </c>
      <c r="J57" s="3" t="str">
        <f>IFERROR(__xludf.DUMMYFUNCTION("""COMPUTED_VALUE"""),"28,740 km/h")</f>
        <v>28,740 km/h</v>
      </c>
      <c r="K57" s="3"/>
      <c r="L57" s="3"/>
      <c r="M57" s="3"/>
      <c r="N57" s="3"/>
    </row>
    <row r="58">
      <c r="A58" s="3" t="str">
        <f>IFERROR(__xludf.DUMMYFUNCTION("""COMPUTED_VALUE"""),"1909 (7e)")</f>
        <v>1909 (7e)</v>
      </c>
      <c r="B58" s="3" t="str">
        <f>IFERROR(__xludf.DUMMYFUNCTION("""COMPUTED_VALUE"""),"François Faber")</f>
        <v>François Faber</v>
      </c>
      <c r="C58" s="3" t="str">
        <f>IFERROR(__xludf.DUMMYFUNCTION("""COMPUTED_VALUE"""),"Gustave Garrigou")</f>
        <v>Gustave Garrigou</v>
      </c>
      <c r="D58" s="3" t="str">
        <f>IFERROR(__xludf.DUMMYFUNCTION("""COMPUTED_VALUE"""),"Jean Alavoine")</f>
        <v>Jean Alavoine</v>
      </c>
      <c r="E58" s="3" t="str">
        <f>IFERROR(__xludf.DUMMYFUNCTION("""COMPUTED_VALUE"""),"Alcyon-Dunlop")</f>
        <v>Alcyon-Dunlop</v>
      </c>
      <c r="F58" s="3" t="str">
        <f>IFERROR(__xludf.DUMMYFUNCTION("""COMPUTED_VALUE"""),"Alcyon")</f>
        <v>Alcyon</v>
      </c>
      <c r="G58" s="3" t="str">
        <f>IFERROR(__xludf.DUMMYFUNCTION("""COMPUTED_VALUE"""),"dérailleur interdit")</f>
        <v>dérailleur interdit</v>
      </c>
      <c r="H58" s="3">
        <f>IFERROR(__xludf.DUMMYFUNCTION("""COMPUTED_VALUE"""),14.0)</f>
        <v>14</v>
      </c>
      <c r="I58" s="3">
        <f>IFERROR(__xludf.DUMMYFUNCTION("""COMPUTED_VALUE"""),4497.0)</f>
        <v>4497</v>
      </c>
      <c r="J58" s="3" t="str">
        <f>IFERROR(__xludf.DUMMYFUNCTION("""COMPUTED_VALUE"""),"28,658 km/h")</f>
        <v>28,658 km/h</v>
      </c>
      <c r="K58" s="3"/>
      <c r="L58" s="3"/>
      <c r="M58" s="3"/>
      <c r="N58" s="3"/>
    </row>
    <row r="59">
      <c r="A59" s="3" t="str">
        <f>IFERROR(__xludf.DUMMYFUNCTION("""COMPUTED_VALUE"""),"1910 (8e)")</f>
        <v>1910 (8e)</v>
      </c>
      <c r="B59" s="3" t="str">
        <f>IFERROR(__xludf.DUMMYFUNCTION("""COMPUTED_VALUE"""),"Octave Lapize")</f>
        <v>Octave Lapize</v>
      </c>
      <c r="C59" s="3" t="str">
        <f>IFERROR(__xludf.DUMMYFUNCTION("""COMPUTED_VALUE"""),"François Faber")</f>
        <v>François Faber</v>
      </c>
      <c r="D59" s="3" t="str">
        <f>IFERROR(__xludf.DUMMYFUNCTION("""COMPUTED_VALUE"""),"Gustave Garrigou")</f>
        <v>Gustave Garrigou</v>
      </c>
      <c r="E59" s="3" t="str">
        <f>IFERROR(__xludf.DUMMYFUNCTION("""COMPUTED_VALUE"""),"Alcyon-Dunlop")</f>
        <v>Alcyon-Dunlop</v>
      </c>
      <c r="F59" s="3" t="str">
        <f>IFERROR(__xludf.DUMMYFUNCTION("""COMPUTED_VALUE"""),"Alcyon")</f>
        <v>Alcyon</v>
      </c>
      <c r="G59" s="3" t="str">
        <f>IFERROR(__xludf.DUMMYFUNCTION("""COMPUTED_VALUE"""),"dérailleur interdit")</f>
        <v>dérailleur interdit</v>
      </c>
      <c r="H59" s="3">
        <f>IFERROR(__xludf.DUMMYFUNCTION("""COMPUTED_VALUE"""),15.0)</f>
        <v>15</v>
      </c>
      <c r="I59" s="3">
        <f>IFERROR(__xludf.DUMMYFUNCTION("""COMPUTED_VALUE"""),4734.0)</f>
        <v>4734</v>
      </c>
      <c r="J59" s="3" t="str">
        <f>IFERROR(__xludf.DUMMYFUNCTION("""COMPUTED_VALUE"""),"29,099 km/h")</f>
        <v>29,099 km/h</v>
      </c>
      <c r="K59" s="3"/>
      <c r="L59" s="3"/>
      <c r="M59" s="3"/>
      <c r="N59" s="3"/>
    </row>
    <row r="60">
      <c r="A60" s="3" t="str">
        <f>IFERROR(__xludf.DUMMYFUNCTION("""COMPUTED_VALUE"""),"1911 (9e)")</f>
        <v>1911 (9e)</v>
      </c>
      <c r="B60" s="3" t="str">
        <f>IFERROR(__xludf.DUMMYFUNCTION("""COMPUTED_VALUE"""),"Gustave Garrigou")</f>
        <v>Gustave Garrigou</v>
      </c>
      <c r="C60" s="3" t="str">
        <f>IFERROR(__xludf.DUMMYFUNCTION("""COMPUTED_VALUE"""),"Paul Duboc")</f>
        <v>Paul Duboc</v>
      </c>
      <c r="D60" s="3" t="str">
        <f>IFERROR(__xludf.DUMMYFUNCTION("""COMPUTED_VALUE"""),"Émile Georget")</f>
        <v>Émile Georget</v>
      </c>
      <c r="E60" s="3" t="str">
        <f>IFERROR(__xludf.DUMMYFUNCTION("""COMPUTED_VALUE"""),"Alcyon-Dunlop")</f>
        <v>Alcyon-Dunlop</v>
      </c>
      <c r="F60" s="3" t="str">
        <f>IFERROR(__xludf.DUMMYFUNCTION("""COMPUTED_VALUE"""),"Alcyon")</f>
        <v>Alcyon</v>
      </c>
      <c r="G60" s="3" t="str">
        <f>IFERROR(__xludf.DUMMYFUNCTION("""COMPUTED_VALUE"""),"dérailleur interdit")</f>
        <v>dérailleur interdit</v>
      </c>
      <c r="H60" s="3">
        <f>IFERROR(__xludf.DUMMYFUNCTION("""COMPUTED_VALUE"""),15.0)</f>
        <v>15</v>
      </c>
      <c r="I60" s="3">
        <f>IFERROR(__xludf.DUMMYFUNCTION("""COMPUTED_VALUE"""),5343.0)</f>
        <v>5343</v>
      </c>
      <c r="J60" s="3" t="str">
        <f>IFERROR(__xludf.DUMMYFUNCTION("""COMPUTED_VALUE"""),"27,322 km/h")</f>
        <v>27,322 km/h</v>
      </c>
      <c r="K60" s="3"/>
      <c r="L60" s="3"/>
      <c r="M60" s="3"/>
      <c r="N60" s="3"/>
    </row>
    <row r="61">
      <c r="A61" s="3" t="str">
        <f>IFERROR(__xludf.DUMMYFUNCTION("""COMPUTED_VALUE"""),"1912 (10e)")</f>
        <v>1912 (10e)</v>
      </c>
      <c r="B61" s="3" t="str">
        <f>IFERROR(__xludf.DUMMYFUNCTION("""COMPUTED_VALUE"""),"Odile Defraye")</f>
        <v>Odile Defraye</v>
      </c>
      <c r="C61" s="3" t="str">
        <f>IFERROR(__xludf.DUMMYFUNCTION("""COMPUTED_VALUE"""),"Eugène Christophe")</f>
        <v>Eugène Christophe</v>
      </c>
      <c r="D61" s="3" t="str">
        <f>IFERROR(__xludf.DUMMYFUNCTION("""COMPUTED_VALUE"""),"Gustave Garrigou")</f>
        <v>Gustave Garrigou</v>
      </c>
      <c r="E61" s="3" t="str">
        <f>IFERROR(__xludf.DUMMYFUNCTION("""COMPUTED_VALUE"""),"Alcyon-Dunlop")</f>
        <v>Alcyon-Dunlop</v>
      </c>
      <c r="F61" s="3" t="str">
        <f>IFERROR(__xludf.DUMMYFUNCTION("""COMPUTED_VALUE"""),"Alcyon")</f>
        <v>Alcyon</v>
      </c>
      <c r="G61" s="3" t="str">
        <f>IFERROR(__xludf.DUMMYFUNCTION("""COMPUTED_VALUE"""),"dérailleur interdit")</f>
        <v>dérailleur interdit</v>
      </c>
      <c r="H61" s="3">
        <f>IFERROR(__xludf.DUMMYFUNCTION("""COMPUTED_VALUE"""),15.0)</f>
        <v>15</v>
      </c>
      <c r="I61" s="3">
        <f>IFERROR(__xludf.DUMMYFUNCTION("""COMPUTED_VALUE"""),5289.0)</f>
        <v>5289</v>
      </c>
      <c r="J61" s="3" t="str">
        <f>IFERROR(__xludf.DUMMYFUNCTION("""COMPUTED_VALUE"""),"27,763 km/h")</f>
        <v>27,763 km/h</v>
      </c>
      <c r="K61" s="3"/>
      <c r="L61" s="3"/>
      <c r="M61" s="3"/>
      <c r="N61" s="3"/>
    </row>
    <row r="62">
      <c r="A62" s="3" t="str">
        <f>IFERROR(__xludf.DUMMYFUNCTION("""COMPUTED_VALUE"""),"1913 (11e)")</f>
        <v>1913 (11e)</v>
      </c>
      <c r="B62" s="3" t="str">
        <f>IFERROR(__xludf.DUMMYFUNCTION("""COMPUTED_VALUE"""),"Philippe Thys")</f>
        <v>Philippe Thys</v>
      </c>
      <c r="C62" s="3" t="str">
        <f>IFERROR(__xludf.DUMMYFUNCTION("""COMPUTED_VALUE"""),"Gustave Garrigou")</f>
        <v>Gustave Garrigou</v>
      </c>
      <c r="D62" s="3" t="str">
        <f>IFERROR(__xludf.DUMMYFUNCTION("""COMPUTED_VALUE"""),"Marcel Buysse")</f>
        <v>Marcel Buysse</v>
      </c>
      <c r="E62" s="3" t="str">
        <f>IFERROR(__xludf.DUMMYFUNCTION("""COMPUTED_VALUE"""),"Peugeot-Wolber")</f>
        <v>Peugeot-Wolber</v>
      </c>
      <c r="F62" s="3" t="str">
        <f>IFERROR(__xludf.DUMMYFUNCTION("""COMPUTED_VALUE"""),"Peugeot")</f>
        <v>Peugeot</v>
      </c>
      <c r="G62" s="3" t="str">
        <f>IFERROR(__xludf.DUMMYFUNCTION("""COMPUTED_VALUE"""),"dérailleur interdit")</f>
        <v>dérailleur interdit</v>
      </c>
      <c r="H62" s="3">
        <f>IFERROR(__xludf.DUMMYFUNCTION("""COMPUTED_VALUE"""),15.0)</f>
        <v>15</v>
      </c>
      <c r="I62" s="3">
        <f>IFERROR(__xludf.DUMMYFUNCTION("""COMPUTED_VALUE"""),5287.0)</f>
        <v>5287</v>
      </c>
      <c r="J62" s="3" t="str">
        <f>IFERROR(__xludf.DUMMYFUNCTION("""COMPUTED_VALUE"""),"26,715 km/h")</f>
        <v>26,715 km/h</v>
      </c>
      <c r="K62" s="3"/>
      <c r="L62" s="3"/>
      <c r="M62" s="3"/>
      <c r="N62" s="3"/>
    </row>
    <row r="63">
      <c r="A63" s="3" t="str">
        <f>IFERROR(__xludf.DUMMYFUNCTION("""COMPUTED_VALUE"""),"1914 (12e)")</f>
        <v>1914 (12e)</v>
      </c>
      <c r="B63" s="3" t="str">
        <f>IFERROR(__xludf.DUMMYFUNCTION("""COMPUTED_VALUE"""),"Philippe Thys")</f>
        <v>Philippe Thys</v>
      </c>
      <c r="C63" s="3" t="str">
        <f>IFERROR(__xludf.DUMMYFUNCTION("""COMPUTED_VALUE"""),"Henri Pélissier")</f>
        <v>Henri Pélissier</v>
      </c>
      <c r="D63" s="3" t="str">
        <f>IFERROR(__xludf.DUMMYFUNCTION("""COMPUTED_VALUE"""),"Jean Alavoine")</f>
        <v>Jean Alavoine</v>
      </c>
      <c r="E63" s="3" t="str">
        <f>IFERROR(__xludf.DUMMYFUNCTION("""COMPUTED_VALUE"""),"Peugeot-Wolber")</f>
        <v>Peugeot-Wolber</v>
      </c>
      <c r="F63" s="3" t="str">
        <f>IFERROR(__xludf.DUMMYFUNCTION("""COMPUTED_VALUE"""),"Peugeot")</f>
        <v>Peugeot</v>
      </c>
      <c r="G63" s="3" t="str">
        <f>IFERROR(__xludf.DUMMYFUNCTION("""COMPUTED_VALUE"""),"dérailleur interdit")</f>
        <v>dérailleur interdit</v>
      </c>
      <c r="H63" s="3">
        <f>IFERROR(__xludf.DUMMYFUNCTION("""COMPUTED_VALUE"""),15.0)</f>
        <v>15</v>
      </c>
      <c r="I63" s="3">
        <f>IFERROR(__xludf.DUMMYFUNCTION("""COMPUTED_VALUE"""),5380.0)</f>
        <v>5380</v>
      </c>
      <c r="J63" s="3" t="str">
        <f>IFERROR(__xludf.DUMMYFUNCTION("""COMPUTED_VALUE"""),"26,835 km/h")</f>
        <v>26,835 km/h</v>
      </c>
      <c r="K63" s="3"/>
      <c r="L63" s="3"/>
      <c r="M63" s="3"/>
      <c r="N63" s="3"/>
    </row>
    <row r="64">
      <c r="A64" s="3" t="str">
        <f>IFERROR(__xludf.DUMMYFUNCTION("""COMPUTED_VALUE"""),"1919 (13e)")</f>
        <v>1919 (13e)</v>
      </c>
      <c r="B64" s="3" t="str">
        <f>IFERROR(__xludf.DUMMYFUNCTION("""COMPUTED_VALUE"""),"Firmin Lambot")</f>
        <v>Firmin Lambot</v>
      </c>
      <c r="C64" s="3" t="str">
        <f>IFERROR(__xludf.DUMMYFUNCTION("""COMPUTED_VALUE"""),"Jean Alavoine")</f>
        <v>Jean Alavoine</v>
      </c>
      <c r="D64" s="3" t="str">
        <f>IFERROR(__xludf.DUMMYFUNCTION("""COMPUTED_VALUE"""),"Eugène Christophe")</f>
        <v>Eugène Christophe</v>
      </c>
      <c r="E64" s="3" t="str">
        <f>IFERROR(__xludf.DUMMYFUNCTION("""COMPUTED_VALUE"""),"La Sportive")</f>
        <v>La Sportive</v>
      </c>
      <c r="F64" s="3"/>
      <c r="G64" s="3" t="str">
        <f>IFERROR(__xludf.DUMMYFUNCTION("""COMPUTED_VALUE"""),"dérailleur interdit")</f>
        <v>dérailleur interdit</v>
      </c>
      <c r="H64" s="3">
        <f>IFERROR(__xludf.DUMMYFUNCTION("""COMPUTED_VALUE"""),15.0)</f>
        <v>15</v>
      </c>
      <c r="I64" s="3">
        <f>IFERROR(__xludf.DUMMYFUNCTION("""COMPUTED_VALUE"""),5560.0)</f>
        <v>5560</v>
      </c>
      <c r="J64" s="3" t="str">
        <f>IFERROR(__xludf.DUMMYFUNCTION("""COMPUTED_VALUE"""),"24,056 km/h")</f>
        <v>24,056 km/h</v>
      </c>
      <c r="K64" s="3"/>
      <c r="L64" s="3"/>
      <c r="M64" s="3"/>
      <c r="N64" s="3"/>
    </row>
    <row r="65">
      <c r="A65" s="3" t="str">
        <f>IFERROR(__xludf.DUMMYFUNCTION("""COMPUTED_VALUE"""),"1920 (14e)")</f>
        <v>1920 (14e)</v>
      </c>
      <c r="B65" s="3" t="str">
        <f>IFERROR(__xludf.DUMMYFUNCTION("""COMPUTED_VALUE"""),"Philippe Thys")</f>
        <v>Philippe Thys</v>
      </c>
      <c r="C65" s="3" t="str">
        <f>IFERROR(__xludf.DUMMYFUNCTION("""COMPUTED_VALUE"""),"Hector Heusghem")</f>
        <v>Hector Heusghem</v>
      </c>
      <c r="D65" s="3" t="str">
        <f>IFERROR(__xludf.DUMMYFUNCTION("""COMPUTED_VALUE"""),"Firmin Lambot")</f>
        <v>Firmin Lambot</v>
      </c>
      <c r="E65" s="3" t="str">
        <f>IFERROR(__xludf.DUMMYFUNCTION("""COMPUTED_VALUE"""),"La Sportive")</f>
        <v>La Sportive</v>
      </c>
      <c r="F65" s="3"/>
      <c r="G65" s="3" t="str">
        <f>IFERROR(__xludf.DUMMYFUNCTION("""COMPUTED_VALUE"""),"dérailleur interdit")</f>
        <v>dérailleur interdit</v>
      </c>
      <c r="H65" s="3">
        <f>IFERROR(__xludf.DUMMYFUNCTION("""COMPUTED_VALUE"""),15.0)</f>
        <v>15</v>
      </c>
      <c r="I65" s="3">
        <f>IFERROR(__xludf.DUMMYFUNCTION("""COMPUTED_VALUE"""),5503.0)</f>
        <v>5503</v>
      </c>
      <c r="J65" s="3" t="str">
        <f>IFERROR(__xludf.DUMMYFUNCTION("""COMPUTED_VALUE"""),"24,072 km/h")</f>
        <v>24,072 km/h</v>
      </c>
      <c r="K65" s="3"/>
      <c r="L65" s="3"/>
      <c r="M65" s="3"/>
      <c r="N65" s="3"/>
    </row>
    <row r="66">
      <c r="A66" s="3" t="str">
        <f>IFERROR(__xludf.DUMMYFUNCTION("""COMPUTED_VALUE"""),"1921 (15e)")</f>
        <v>1921 (15e)</v>
      </c>
      <c r="B66" s="3" t="str">
        <f>IFERROR(__xludf.DUMMYFUNCTION("""COMPUTED_VALUE"""),"Léon Scieur")</f>
        <v>Léon Scieur</v>
      </c>
      <c r="C66" s="3" t="str">
        <f>IFERROR(__xludf.DUMMYFUNCTION("""COMPUTED_VALUE"""),"Hector Heusghem")</f>
        <v>Hector Heusghem</v>
      </c>
      <c r="D66" s="3" t="str">
        <f>IFERROR(__xludf.DUMMYFUNCTION("""COMPUTED_VALUE"""),"Honoré Barthélémy")</f>
        <v>Honoré Barthélémy</v>
      </c>
      <c r="E66" s="3" t="str">
        <f>IFERROR(__xludf.DUMMYFUNCTION("""COMPUTED_VALUE"""),"La Sportive")</f>
        <v>La Sportive</v>
      </c>
      <c r="F66" s="3"/>
      <c r="G66" s="3" t="str">
        <f>IFERROR(__xludf.DUMMYFUNCTION("""COMPUTED_VALUE"""),"dérailleur interdit")</f>
        <v>dérailleur interdit</v>
      </c>
      <c r="H66" s="3">
        <f>IFERROR(__xludf.DUMMYFUNCTION("""COMPUTED_VALUE"""),15.0)</f>
        <v>15</v>
      </c>
      <c r="I66" s="3">
        <f>IFERROR(__xludf.DUMMYFUNCTION("""COMPUTED_VALUE"""),5485.0)</f>
        <v>5485</v>
      </c>
      <c r="J66" s="3" t="str">
        <f>IFERROR(__xludf.DUMMYFUNCTION("""COMPUTED_VALUE"""),"24,724 km/h")</f>
        <v>24,724 km/h</v>
      </c>
      <c r="K66" s="3"/>
      <c r="L66" s="3"/>
      <c r="M66" s="3"/>
      <c r="N66" s="3"/>
    </row>
    <row r="67">
      <c r="A67" s="3" t="str">
        <f>IFERROR(__xludf.DUMMYFUNCTION("""COMPUTED_VALUE"""),"1922 (16e)")</f>
        <v>1922 (16e)</v>
      </c>
      <c r="B67" s="3" t="str">
        <f>IFERROR(__xludf.DUMMYFUNCTION("""COMPUTED_VALUE"""),"Firmin Lambot")</f>
        <v>Firmin Lambot</v>
      </c>
      <c r="C67" s="3" t="str">
        <f>IFERROR(__xludf.DUMMYFUNCTION("""COMPUTED_VALUE"""),"Jean Alavoine")</f>
        <v>Jean Alavoine</v>
      </c>
      <c r="D67" s="3" t="str">
        <f>IFERROR(__xludf.DUMMYFUNCTION("""COMPUTED_VALUE"""),"Félix Sellier")</f>
        <v>Félix Sellier</v>
      </c>
      <c r="E67" s="3" t="str">
        <f>IFERROR(__xludf.DUMMYFUNCTION("""COMPUTED_VALUE"""),"Peugeot-Wolber")</f>
        <v>Peugeot-Wolber</v>
      </c>
      <c r="F67" s="3" t="str">
        <f>IFERROR(__xludf.DUMMYFUNCTION("""COMPUTED_VALUE"""),"Peugeot")</f>
        <v>Peugeot</v>
      </c>
      <c r="G67" s="3" t="str">
        <f>IFERROR(__xludf.DUMMYFUNCTION("""COMPUTED_VALUE"""),"dérailleur interdit")</f>
        <v>dérailleur interdit</v>
      </c>
      <c r="H67" s="3">
        <f>IFERROR(__xludf.DUMMYFUNCTION("""COMPUTED_VALUE"""),15.0)</f>
        <v>15</v>
      </c>
      <c r="I67" s="3">
        <f>IFERROR(__xludf.DUMMYFUNCTION("""COMPUTED_VALUE"""),5375.0)</f>
        <v>5375</v>
      </c>
      <c r="J67" s="3" t="str">
        <f>IFERROR(__xludf.DUMMYFUNCTION("""COMPUTED_VALUE"""),"24,196 km/h")</f>
        <v>24,196 km/h</v>
      </c>
      <c r="K67" s="3"/>
      <c r="L67" s="3"/>
      <c r="M67" s="3"/>
      <c r="N67" s="3"/>
    </row>
    <row r="68">
      <c r="A68" s="3" t="str">
        <f>IFERROR(__xludf.DUMMYFUNCTION("""COMPUTED_VALUE"""),"1923 (17e)")</f>
        <v>1923 (17e)</v>
      </c>
      <c r="B68" s="3" t="str">
        <f>IFERROR(__xludf.DUMMYFUNCTION("""COMPUTED_VALUE"""),"Henri Pélissier")</f>
        <v>Henri Pélissier</v>
      </c>
      <c r="C68" s="3" t="str">
        <f>IFERROR(__xludf.DUMMYFUNCTION("""COMPUTED_VALUE"""),"Ottavio Bottecchia")</f>
        <v>Ottavio Bottecchia</v>
      </c>
      <c r="D68" s="3" t="str">
        <f>IFERROR(__xludf.DUMMYFUNCTION("""COMPUTED_VALUE"""),"Romain Bellenger")</f>
        <v>Romain Bellenger</v>
      </c>
      <c r="E68" s="3" t="str">
        <f>IFERROR(__xludf.DUMMYFUNCTION("""COMPUTED_VALUE"""),"Automoto-Hutchinson")</f>
        <v>Automoto-Hutchinson</v>
      </c>
      <c r="F68" s="3" t="str">
        <f>IFERROR(__xludf.DUMMYFUNCTION("""COMPUTED_VALUE"""),"Automoto")</f>
        <v>Automoto</v>
      </c>
      <c r="G68" s="3" t="str">
        <f>IFERROR(__xludf.DUMMYFUNCTION("""COMPUTED_VALUE"""),"dérailleur interdit")</f>
        <v>dérailleur interdit</v>
      </c>
      <c r="H68" s="3">
        <f>IFERROR(__xludf.DUMMYFUNCTION("""COMPUTED_VALUE"""),15.0)</f>
        <v>15</v>
      </c>
      <c r="I68" s="3">
        <f>IFERROR(__xludf.DUMMYFUNCTION("""COMPUTED_VALUE"""),5386.0)</f>
        <v>5386</v>
      </c>
      <c r="J68" s="3" t="str">
        <f>IFERROR(__xludf.DUMMYFUNCTION("""COMPUTED_VALUE"""),"24,233 km/h")</f>
        <v>24,233 km/h</v>
      </c>
      <c r="K68" s="3"/>
      <c r="L68" s="3"/>
      <c r="M68" s="3"/>
      <c r="N68" s="3"/>
    </row>
    <row r="69">
      <c r="A69" s="3" t="str">
        <f>IFERROR(__xludf.DUMMYFUNCTION("""COMPUTED_VALUE"""),"1924 (18e)")</f>
        <v>1924 (18e)</v>
      </c>
      <c r="B69" s="3" t="str">
        <f>IFERROR(__xludf.DUMMYFUNCTION("""COMPUTED_VALUE"""),"Ottavio Bottecchia")</f>
        <v>Ottavio Bottecchia</v>
      </c>
      <c r="C69" s="3" t="str">
        <f>IFERROR(__xludf.DUMMYFUNCTION("""COMPUTED_VALUE"""),"Nicolas Frantz")</f>
        <v>Nicolas Frantz</v>
      </c>
      <c r="D69" s="3" t="str">
        <f>IFERROR(__xludf.DUMMYFUNCTION("""COMPUTED_VALUE"""),"Lucien Buysse")</f>
        <v>Lucien Buysse</v>
      </c>
      <c r="E69" s="3" t="str">
        <f>IFERROR(__xludf.DUMMYFUNCTION("""COMPUTED_VALUE"""),"Automoto-Hutchinson")</f>
        <v>Automoto-Hutchinson</v>
      </c>
      <c r="F69" s="3" t="str">
        <f>IFERROR(__xludf.DUMMYFUNCTION("""COMPUTED_VALUE"""),"Automoto")</f>
        <v>Automoto</v>
      </c>
      <c r="G69" s="3" t="str">
        <f>IFERROR(__xludf.DUMMYFUNCTION("""COMPUTED_VALUE"""),"dérailleur interdit")</f>
        <v>dérailleur interdit</v>
      </c>
      <c r="H69" s="3">
        <f>IFERROR(__xludf.DUMMYFUNCTION("""COMPUTED_VALUE"""),15.0)</f>
        <v>15</v>
      </c>
      <c r="I69" s="3">
        <f>IFERROR(__xludf.DUMMYFUNCTION("""COMPUTED_VALUE"""),5425.0)</f>
        <v>5425</v>
      </c>
      <c r="J69" s="3" t="str">
        <f>IFERROR(__xludf.DUMMYFUNCTION("""COMPUTED_VALUE"""),"24,250 km/h")</f>
        <v>24,250 km/h</v>
      </c>
      <c r="K69" s="3"/>
      <c r="L69" s="3"/>
      <c r="M69" s="3"/>
      <c r="N69" s="3"/>
    </row>
    <row r="70">
      <c r="A70" s="3" t="str">
        <f>IFERROR(__xludf.DUMMYFUNCTION("""COMPUTED_VALUE"""),"1925 (19e)")</f>
        <v>1925 (19e)</v>
      </c>
      <c r="B70" s="3" t="str">
        <f>IFERROR(__xludf.DUMMYFUNCTION("""COMPUTED_VALUE"""),"Ottavio Bottecchia")</f>
        <v>Ottavio Bottecchia</v>
      </c>
      <c r="C70" s="3" t="str">
        <f>IFERROR(__xludf.DUMMYFUNCTION("""COMPUTED_VALUE"""),"Lucien Buysse")</f>
        <v>Lucien Buysse</v>
      </c>
      <c r="D70" s="3" t="str">
        <f>IFERROR(__xludf.DUMMYFUNCTION("""COMPUTED_VALUE"""),"Bartolomeo Aimo")</f>
        <v>Bartolomeo Aimo</v>
      </c>
      <c r="E70" s="3" t="str">
        <f>IFERROR(__xludf.DUMMYFUNCTION("""COMPUTED_VALUE"""),"Automoto-Hutchinson")</f>
        <v>Automoto-Hutchinson</v>
      </c>
      <c r="F70" s="3" t="str">
        <f>IFERROR(__xludf.DUMMYFUNCTION("""COMPUTED_VALUE"""),"Automoto")</f>
        <v>Automoto</v>
      </c>
      <c r="G70" s="3" t="str">
        <f>IFERROR(__xludf.DUMMYFUNCTION("""COMPUTED_VALUE"""),"dérailleur interdit")</f>
        <v>dérailleur interdit</v>
      </c>
      <c r="H70" s="3">
        <f>IFERROR(__xludf.DUMMYFUNCTION("""COMPUTED_VALUE"""),15.0)</f>
        <v>15</v>
      </c>
      <c r="I70" s="3">
        <f>IFERROR(__xludf.DUMMYFUNCTION("""COMPUTED_VALUE"""),5440.0)</f>
        <v>5440</v>
      </c>
      <c r="J70" s="3" t="str">
        <f>IFERROR(__xludf.DUMMYFUNCTION("""COMPUTED_VALUE"""),"24,820 km/h")</f>
        <v>24,820 km/h</v>
      </c>
      <c r="K70" s="3"/>
      <c r="L70" s="3"/>
      <c r="M70" s="3"/>
      <c r="N70" s="3"/>
    </row>
    <row r="71">
      <c r="A71" s="3" t="str">
        <f>IFERROR(__xludf.DUMMYFUNCTION("""COMPUTED_VALUE"""),"1926 (20e)")</f>
        <v>1926 (20e)</v>
      </c>
      <c r="B71" s="3" t="str">
        <f>IFERROR(__xludf.DUMMYFUNCTION("""COMPUTED_VALUE"""),"Lucien Buysse")</f>
        <v>Lucien Buysse</v>
      </c>
      <c r="C71" s="3" t="str">
        <f>IFERROR(__xludf.DUMMYFUNCTION("""COMPUTED_VALUE"""),"Nicolas Frantz")</f>
        <v>Nicolas Frantz</v>
      </c>
      <c r="D71" s="3" t="str">
        <f>IFERROR(__xludf.DUMMYFUNCTION("""COMPUTED_VALUE"""),"Bartolomeo Aimo")</f>
        <v>Bartolomeo Aimo</v>
      </c>
      <c r="E71" s="3" t="str">
        <f>IFERROR(__xludf.DUMMYFUNCTION("""COMPUTED_VALUE"""),"Automoto-Hutchinson")</f>
        <v>Automoto-Hutchinson</v>
      </c>
      <c r="F71" s="3" t="str">
        <f>IFERROR(__xludf.DUMMYFUNCTION("""COMPUTED_VALUE"""),"Automoto")</f>
        <v>Automoto</v>
      </c>
      <c r="G71" s="3" t="str">
        <f>IFERROR(__xludf.DUMMYFUNCTION("""COMPUTED_VALUE"""),"dérailleur interdit")</f>
        <v>dérailleur interdit</v>
      </c>
      <c r="H71" s="3">
        <f>IFERROR(__xludf.DUMMYFUNCTION("""COMPUTED_VALUE"""),17.0)</f>
        <v>17</v>
      </c>
      <c r="I71" s="3">
        <f>IFERROR(__xludf.DUMMYFUNCTION("""COMPUTED_VALUE"""),5745.0)</f>
        <v>5745</v>
      </c>
      <c r="J71" s="3" t="str">
        <f>IFERROR(__xludf.DUMMYFUNCTION("""COMPUTED_VALUE"""),"24,273 km/h")</f>
        <v>24,273 km/h</v>
      </c>
      <c r="K71" s="3"/>
      <c r="L71" s="3"/>
      <c r="M71" s="3"/>
      <c r="N71" s="3"/>
    </row>
    <row r="72">
      <c r="A72" s="3" t="str">
        <f>IFERROR(__xludf.DUMMYFUNCTION("""COMPUTED_VALUE"""),"1927 (21e)")</f>
        <v>1927 (21e)</v>
      </c>
      <c r="B72" s="3" t="str">
        <f>IFERROR(__xludf.DUMMYFUNCTION("""COMPUTED_VALUE"""),"Nicolas Frantz")</f>
        <v>Nicolas Frantz</v>
      </c>
      <c r="C72" s="3" t="str">
        <f>IFERROR(__xludf.DUMMYFUNCTION("""COMPUTED_VALUE"""),"Maurice De Waele")</f>
        <v>Maurice De Waele</v>
      </c>
      <c r="D72" s="3" t="str">
        <f>IFERROR(__xludf.DUMMYFUNCTION("""COMPUTED_VALUE"""),"Julien Vervaecke")</f>
        <v>Julien Vervaecke</v>
      </c>
      <c r="E72" s="3" t="str">
        <f>IFERROR(__xludf.DUMMYFUNCTION("""COMPUTED_VALUE"""),"Alcyon-Dunlop")</f>
        <v>Alcyon-Dunlop</v>
      </c>
      <c r="F72" s="3" t="str">
        <f>IFERROR(__xludf.DUMMYFUNCTION("""COMPUTED_VALUE"""),"Alcyon")</f>
        <v>Alcyon</v>
      </c>
      <c r="G72" s="3" t="str">
        <f>IFERROR(__xludf.DUMMYFUNCTION("""COMPUTED_VALUE"""),"dérailleur interdit")</f>
        <v>dérailleur interdit</v>
      </c>
      <c r="H72" s="3">
        <f>IFERROR(__xludf.DUMMYFUNCTION("""COMPUTED_VALUE"""),24.0)</f>
        <v>24</v>
      </c>
      <c r="I72" s="3">
        <f>IFERROR(__xludf.DUMMYFUNCTION("""COMPUTED_VALUE"""),5398.0)</f>
        <v>5398</v>
      </c>
      <c r="J72" s="3" t="str">
        <f>IFERROR(__xludf.DUMMYFUNCTION("""COMPUTED_VALUE"""),"27,224 km/h")</f>
        <v>27,224 km/h</v>
      </c>
      <c r="K72" s="3"/>
      <c r="L72" s="3"/>
      <c r="M72" s="3"/>
      <c r="N72" s="3"/>
    </row>
    <row r="73">
      <c r="A73" s="3" t="str">
        <f>IFERROR(__xludf.DUMMYFUNCTION("""COMPUTED_VALUE"""),"1928 (22e)")</f>
        <v>1928 (22e)</v>
      </c>
      <c r="B73" s="3" t="str">
        <f>IFERROR(__xludf.DUMMYFUNCTION("""COMPUTED_VALUE"""),"Nicolas Frantz")</f>
        <v>Nicolas Frantz</v>
      </c>
      <c r="C73" s="3" t="str">
        <f>IFERROR(__xludf.DUMMYFUNCTION("""COMPUTED_VALUE"""),"André Leducq")</f>
        <v>André Leducq</v>
      </c>
      <c r="D73" s="3" t="str">
        <f>IFERROR(__xludf.DUMMYFUNCTION("""COMPUTED_VALUE"""),"Maurice De Waele")</f>
        <v>Maurice De Waele</v>
      </c>
      <c r="E73" s="3" t="str">
        <f>IFERROR(__xludf.DUMMYFUNCTION("""COMPUTED_VALUE"""),"Alcyon-Dunlop")</f>
        <v>Alcyon-Dunlop</v>
      </c>
      <c r="F73" s="3" t="str">
        <f>IFERROR(__xludf.DUMMYFUNCTION("""COMPUTED_VALUE"""),"Alcyon")</f>
        <v>Alcyon</v>
      </c>
      <c r="G73" s="3" t="str">
        <f>IFERROR(__xludf.DUMMYFUNCTION("""COMPUTED_VALUE"""),"dérailleur interdit")</f>
        <v>dérailleur interdit</v>
      </c>
      <c r="H73" s="3">
        <f>IFERROR(__xludf.DUMMYFUNCTION("""COMPUTED_VALUE"""),22.0)</f>
        <v>22</v>
      </c>
      <c r="I73" s="3">
        <f>IFERROR(__xludf.DUMMYFUNCTION("""COMPUTED_VALUE"""),5376.0)</f>
        <v>5376</v>
      </c>
      <c r="J73" s="3" t="str">
        <f>IFERROR(__xludf.DUMMYFUNCTION("""COMPUTED_VALUE"""),"28,400 km/h")</f>
        <v>28,400 km/h</v>
      </c>
      <c r="K73" s="3"/>
      <c r="L73" s="3"/>
      <c r="M73" s="3"/>
      <c r="N73" s="3"/>
    </row>
    <row r="74">
      <c r="A74" s="3" t="str">
        <f>IFERROR(__xludf.DUMMYFUNCTION("""COMPUTED_VALUE"""),"1929 (23e)")</f>
        <v>1929 (23e)</v>
      </c>
      <c r="B74" s="3" t="str">
        <f>IFERROR(__xludf.DUMMYFUNCTION("""COMPUTED_VALUE"""),"Maurice De Waele")</f>
        <v>Maurice De Waele</v>
      </c>
      <c r="C74" s="3" t="str">
        <f>IFERROR(__xludf.DUMMYFUNCTION("""COMPUTED_VALUE"""),"Giuseppe Pancera")</f>
        <v>Giuseppe Pancera</v>
      </c>
      <c r="D74" s="3" t="str">
        <f>IFERROR(__xludf.DUMMYFUNCTION("""COMPUTED_VALUE"""),"Jef Demuysere")</f>
        <v>Jef Demuysere</v>
      </c>
      <c r="E74" s="3" t="str">
        <f>IFERROR(__xludf.DUMMYFUNCTION("""COMPUTED_VALUE"""),"Alcyon-Dunlop")</f>
        <v>Alcyon-Dunlop</v>
      </c>
      <c r="F74" s="3" t="str">
        <f>IFERROR(__xludf.DUMMYFUNCTION("""COMPUTED_VALUE"""),"Alcyon")</f>
        <v>Alcyon</v>
      </c>
      <c r="G74" s="3" t="str">
        <f>IFERROR(__xludf.DUMMYFUNCTION("""COMPUTED_VALUE"""),"dérailleur interdit")</f>
        <v>dérailleur interdit</v>
      </c>
      <c r="H74" s="3">
        <f>IFERROR(__xludf.DUMMYFUNCTION("""COMPUTED_VALUE"""),22.0)</f>
        <v>22</v>
      </c>
      <c r="I74" s="3">
        <f>IFERROR(__xludf.DUMMYFUNCTION("""COMPUTED_VALUE"""),5286.0)</f>
        <v>5286</v>
      </c>
      <c r="J74" s="3" t="str">
        <f>IFERROR(__xludf.DUMMYFUNCTION("""COMPUTED_VALUE"""),"28,319 km/h")</f>
        <v>28,319 km/h</v>
      </c>
      <c r="K74" s="3"/>
      <c r="L74" s="3"/>
      <c r="M74" s="3"/>
      <c r="N74" s="3"/>
    </row>
    <row r="75">
      <c r="A75" s="3" t="str">
        <f>IFERROR(__xludf.DUMMYFUNCTION("""COMPUTED_VALUE"""),"1930 (24e)")</f>
        <v>1930 (24e)</v>
      </c>
      <c r="B75" s="3" t="str">
        <f>IFERROR(__xludf.DUMMYFUNCTION("""COMPUTED_VALUE"""),"André Leducq")</f>
        <v>André Leducq</v>
      </c>
      <c r="C75" s="3" t="str">
        <f>IFERROR(__xludf.DUMMYFUNCTION("""COMPUTED_VALUE"""),"Learco Guerra")</f>
        <v>Learco Guerra</v>
      </c>
      <c r="D75" s="3" t="str">
        <f>IFERROR(__xludf.DUMMYFUNCTION("""COMPUTED_VALUE"""),"Antonin Magne")</f>
        <v>Antonin Magne</v>
      </c>
      <c r="E75" s="3" t="str">
        <f>IFERROR(__xludf.DUMMYFUNCTION("""COMPUTED_VALUE"""),"France")</f>
        <v>France</v>
      </c>
      <c r="F75" s="3"/>
      <c r="G75" s="3" t="str">
        <f>IFERROR(__xludf.DUMMYFUNCTION("""COMPUTED_VALUE"""),"dérailleur interdit")</f>
        <v>dérailleur interdit</v>
      </c>
      <c r="H75" s="3">
        <f>IFERROR(__xludf.DUMMYFUNCTION("""COMPUTED_VALUE"""),21.0)</f>
        <v>21</v>
      </c>
      <c r="I75" s="3">
        <f>IFERROR(__xludf.DUMMYFUNCTION("""COMPUTED_VALUE"""),4822.0)</f>
        <v>4822</v>
      </c>
      <c r="J75" s="3" t="str">
        <f>IFERROR(__xludf.DUMMYFUNCTION("""COMPUTED_VALUE"""),"28,000 km/h")</f>
        <v>28,000 km/h</v>
      </c>
      <c r="K75" s="3"/>
      <c r="L75" s="3"/>
      <c r="M75" s="3"/>
      <c r="N75" s="3"/>
    </row>
    <row r="76">
      <c r="A76" s="3" t="str">
        <f>IFERROR(__xludf.DUMMYFUNCTION("""COMPUTED_VALUE"""),"1931 (25e)")</f>
        <v>1931 (25e)</v>
      </c>
      <c r="B76" s="3" t="str">
        <f>IFERROR(__xludf.DUMMYFUNCTION("""COMPUTED_VALUE"""),"Antonin Magne")</f>
        <v>Antonin Magne</v>
      </c>
      <c r="C76" s="3" t="str">
        <f>IFERROR(__xludf.DUMMYFUNCTION("""COMPUTED_VALUE"""),"Jef Demuysere")</f>
        <v>Jef Demuysere</v>
      </c>
      <c r="D76" s="3" t="str">
        <f>IFERROR(__xludf.DUMMYFUNCTION("""COMPUTED_VALUE"""),"Antonio Pesenti")</f>
        <v>Antonio Pesenti</v>
      </c>
      <c r="E76" s="3" t="str">
        <f>IFERROR(__xludf.DUMMYFUNCTION("""COMPUTED_VALUE"""),"France")</f>
        <v>France</v>
      </c>
      <c r="F76" s="3"/>
      <c r="G76" s="3" t="str">
        <f>IFERROR(__xludf.DUMMYFUNCTION("""COMPUTED_VALUE"""),"dérailleur interdit")</f>
        <v>dérailleur interdit</v>
      </c>
      <c r="H76" s="3">
        <f>IFERROR(__xludf.DUMMYFUNCTION("""COMPUTED_VALUE"""),24.0)</f>
        <v>24</v>
      </c>
      <c r="I76" s="3">
        <f>IFERROR(__xludf.DUMMYFUNCTION("""COMPUTED_VALUE"""),5091.0)</f>
        <v>5091</v>
      </c>
      <c r="J76" s="3" t="str">
        <f>IFERROR(__xludf.DUMMYFUNCTION("""COMPUTED_VALUE"""),"28,735 km/h")</f>
        <v>28,735 km/h</v>
      </c>
      <c r="K76" s="3"/>
      <c r="L76" s="3"/>
      <c r="M76" s="3"/>
      <c r="N76" s="3"/>
    </row>
    <row r="77">
      <c r="A77" s="3" t="str">
        <f>IFERROR(__xludf.DUMMYFUNCTION("""COMPUTED_VALUE"""),"1932 (26e)")</f>
        <v>1932 (26e)</v>
      </c>
      <c r="B77" s="3" t="str">
        <f>IFERROR(__xludf.DUMMYFUNCTION("""COMPUTED_VALUE"""),"André Leducq")</f>
        <v>André Leducq</v>
      </c>
      <c r="C77" s="3" t="str">
        <f>IFERROR(__xludf.DUMMYFUNCTION("""COMPUTED_VALUE"""),"Kurt Stöpel")</f>
        <v>Kurt Stöpel</v>
      </c>
      <c r="D77" s="3" t="str">
        <f>IFERROR(__xludf.DUMMYFUNCTION("""COMPUTED_VALUE"""),"Francesco Camusso")</f>
        <v>Francesco Camusso</v>
      </c>
      <c r="E77" s="3" t="str">
        <f>IFERROR(__xludf.DUMMYFUNCTION("""COMPUTED_VALUE"""),"France")</f>
        <v>France</v>
      </c>
      <c r="F77" s="3"/>
      <c r="G77" s="3" t="str">
        <f>IFERROR(__xludf.DUMMYFUNCTION("""COMPUTED_VALUE"""),"dérailleur interdit")</f>
        <v>dérailleur interdit</v>
      </c>
      <c r="H77" s="3">
        <f>IFERROR(__xludf.DUMMYFUNCTION("""COMPUTED_VALUE"""),21.0)</f>
        <v>21</v>
      </c>
      <c r="I77" s="3">
        <f>IFERROR(__xludf.DUMMYFUNCTION("""COMPUTED_VALUE"""),4479.0)</f>
        <v>4479</v>
      </c>
      <c r="J77" s="3" t="str">
        <f>IFERROR(__xludf.DUMMYFUNCTION("""COMPUTED_VALUE"""),"29,047 km/h")</f>
        <v>29,047 km/h</v>
      </c>
      <c r="K77" s="3"/>
      <c r="L77" s="3"/>
      <c r="M77" s="3"/>
      <c r="N77" s="3"/>
    </row>
    <row r="78">
      <c r="A78" s="3" t="str">
        <f>IFERROR(__xludf.DUMMYFUNCTION("""COMPUTED_VALUE"""),"1933 (27e)")</f>
        <v>1933 (27e)</v>
      </c>
      <c r="B78" s="3" t="str">
        <f>IFERROR(__xludf.DUMMYFUNCTION("""COMPUTED_VALUE"""),"Georges Speicher")</f>
        <v>Georges Speicher</v>
      </c>
      <c r="C78" s="3" t="str">
        <f>IFERROR(__xludf.DUMMYFUNCTION("""COMPUTED_VALUE"""),"Learco Guerra")</f>
        <v>Learco Guerra</v>
      </c>
      <c r="D78" s="3" t="str">
        <f>IFERROR(__xludf.DUMMYFUNCTION("""COMPUTED_VALUE"""),"Giuseppe Martano")</f>
        <v>Giuseppe Martano</v>
      </c>
      <c r="E78" s="3" t="str">
        <f>IFERROR(__xludf.DUMMYFUNCTION("""COMPUTED_VALUE"""),"France")</f>
        <v>France</v>
      </c>
      <c r="F78" s="3"/>
      <c r="G78" s="3" t="str">
        <f>IFERROR(__xludf.DUMMYFUNCTION("""COMPUTED_VALUE"""),"dérailleur interdit")</f>
        <v>dérailleur interdit</v>
      </c>
      <c r="H78" s="3">
        <f>IFERROR(__xludf.DUMMYFUNCTION("""COMPUTED_VALUE"""),23.0)</f>
        <v>23</v>
      </c>
      <c r="I78" s="3">
        <f>IFERROR(__xludf.DUMMYFUNCTION("""COMPUTED_VALUE"""),4395.0)</f>
        <v>4395</v>
      </c>
      <c r="J78" s="3" t="str">
        <f>IFERROR(__xludf.DUMMYFUNCTION("""COMPUTED_VALUE"""),"29,818 km/h")</f>
        <v>29,818 km/h</v>
      </c>
      <c r="K78" s="3" t="str">
        <f>IFERROR(__xludf.DUMMYFUNCTION("""COMPUTED_VALUE"""),"Vicente Trueba")</f>
        <v>Vicente Trueba</v>
      </c>
      <c r="L78" s="3"/>
      <c r="M78" s="3"/>
      <c r="N78" s="3"/>
    </row>
    <row r="79">
      <c r="A79" s="3" t="str">
        <f>IFERROR(__xludf.DUMMYFUNCTION("""COMPUTED_VALUE"""),"1934 (28e)")</f>
        <v>1934 (28e)</v>
      </c>
      <c r="B79" s="3" t="str">
        <f>IFERROR(__xludf.DUMMYFUNCTION("""COMPUTED_VALUE"""),"Antonin Magne")</f>
        <v>Antonin Magne</v>
      </c>
      <c r="C79" s="3" t="str">
        <f>IFERROR(__xludf.DUMMYFUNCTION("""COMPUTED_VALUE"""),"Giuseppe Martano")</f>
        <v>Giuseppe Martano</v>
      </c>
      <c r="D79" s="3" t="str">
        <f>IFERROR(__xludf.DUMMYFUNCTION("""COMPUTED_VALUE"""),"Roger Lapébie")</f>
        <v>Roger Lapébie</v>
      </c>
      <c r="E79" s="3" t="str">
        <f>IFERROR(__xludf.DUMMYFUNCTION("""COMPUTED_VALUE"""),"France")</f>
        <v>France</v>
      </c>
      <c r="F79" s="3"/>
      <c r="G79" s="3" t="str">
        <f>IFERROR(__xludf.DUMMYFUNCTION("""COMPUTED_VALUE"""),"dérailleur interdit")</f>
        <v>dérailleur interdit</v>
      </c>
      <c r="H79" s="3">
        <f>IFERROR(__xludf.DUMMYFUNCTION("""COMPUTED_VALUE"""),23.0)</f>
        <v>23</v>
      </c>
      <c r="I79" s="3">
        <f>IFERROR(__xludf.DUMMYFUNCTION("""COMPUTED_VALUE"""),4470.0)</f>
        <v>4470</v>
      </c>
      <c r="J79" s="3" t="str">
        <f>IFERROR(__xludf.DUMMYFUNCTION("""COMPUTED_VALUE"""),"30,360 km/h")</f>
        <v>30,360 km/h</v>
      </c>
      <c r="K79" s="3" t="str">
        <f>IFERROR(__xludf.DUMMYFUNCTION("""COMPUTED_VALUE"""),"René Vietto")</f>
        <v>René Vietto</v>
      </c>
      <c r="L79" s="3"/>
      <c r="M79" s="3"/>
      <c r="N79" s="3"/>
    </row>
    <row r="80">
      <c r="A80" s="3" t="str">
        <f>IFERROR(__xludf.DUMMYFUNCTION("""COMPUTED_VALUE"""),"1935 (29e)")</f>
        <v>1935 (29e)</v>
      </c>
      <c r="B80" s="3" t="str">
        <f>IFERROR(__xludf.DUMMYFUNCTION("""COMPUTED_VALUE"""),"Romain Maes")</f>
        <v>Romain Maes</v>
      </c>
      <c r="C80" s="3" t="str">
        <f>IFERROR(__xludf.DUMMYFUNCTION("""COMPUTED_VALUE"""),"Ambrogio Morelli")</f>
        <v>Ambrogio Morelli</v>
      </c>
      <c r="D80" s="3" t="str">
        <f>IFERROR(__xludf.DUMMYFUNCTION("""COMPUTED_VALUE"""),"Félicien Vervaecke")</f>
        <v>Félicien Vervaecke</v>
      </c>
      <c r="E80" s="3" t="str">
        <f>IFERROR(__xludf.DUMMYFUNCTION("""COMPUTED_VALUE"""),"Belgique")</f>
        <v>Belgique</v>
      </c>
      <c r="F80" s="3" t="str">
        <f>IFERROR(__xludf.DUMMYFUNCTION("""COMPUTED_VALUE"""),"Alcyon")</f>
        <v>Alcyon</v>
      </c>
      <c r="G80" s="3" t="str">
        <f>IFERROR(__xludf.DUMMYFUNCTION("""COMPUTED_VALUE"""),"dérailleur interdit")</f>
        <v>dérailleur interdit</v>
      </c>
      <c r="H80" s="3">
        <f>IFERROR(__xludf.DUMMYFUNCTION("""COMPUTED_VALUE"""),21.0)</f>
        <v>21</v>
      </c>
      <c r="I80" s="3">
        <f>IFERROR(__xludf.DUMMYFUNCTION("""COMPUTED_VALUE"""),4338.0)</f>
        <v>4338</v>
      </c>
      <c r="J80" s="3" t="str">
        <f>IFERROR(__xludf.DUMMYFUNCTION("""COMPUTED_VALUE"""),"30,650 km/h")</f>
        <v>30,650 km/h</v>
      </c>
      <c r="K80" s="3" t="str">
        <f>IFERROR(__xludf.DUMMYFUNCTION("""COMPUTED_VALUE"""),"Félicien Vervaecke")</f>
        <v>Félicien Vervaecke</v>
      </c>
      <c r="L80" s="3"/>
      <c r="M80" s="3"/>
      <c r="N80" s="3"/>
    </row>
    <row r="81">
      <c r="A81" s="3" t="str">
        <f>IFERROR(__xludf.DUMMYFUNCTION("""COMPUTED_VALUE"""),"1936 (30e)")</f>
        <v>1936 (30e)</v>
      </c>
      <c r="B81" s="3" t="str">
        <f>IFERROR(__xludf.DUMMYFUNCTION("""COMPUTED_VALUE"""),"Sylvère Maes")</f>
        <v>Sylvère Maes</v>
      </c>
      <c r="C81" s="3" t="str">
        <f>IFERROR(__xludf.DUMMYFUNCTION("""COMPUTED_VALUE"""),"Antonin Magne")</f>
        <v>Antonin Magne</v>
      </c>
      <c r="D81" s="3" t="str">
        <f>IFERROR(__xludf.DUMMYFUNCTION("""COMPUTED_VALUE"""),"Félicien Vervaecke")</f>
        <v>Félicien Vervaecke</v>
      </c>
      <c r="E81" s="3" t="str">
        <f>IFERROR(__xludf.DUMMYFUNCTION("""COMPUTED_VALUE"""),"Belgique")</f>
        <v>Belgique</v>
      </c>
      <c r="F81" s="3" t="str">
        <f>IFERROR(__xludf.DUMMYFUNCTION("""COMPUTED_VALUE"""),"Alcyon")</f>
        <v>Alcyon</v>
      </c>
      <c r="G81" s="3" t="str">
        <f>IFERROR(__xludf.DUMMYFUNCTION("""COMPUTED_VALUE"""),"dérailleur interdit")</f>
        <v>dérailleur interdit</v>
      </c>
      <c r="H81" s="3">
        <f>IFERROR(__xludf.DUMMYFUNCTION("""COMPUTED_VALUE"""),21.0)</f>
        <v>21</v>
      </c>
      <c r="I81" s="3">
        <f>IFERROR(__xludf.DUMMYFUNCTION("""COMPUTED_VALUE"""),4442.0)</f>
        <v>4442</v>
      </c>
      <c r="J81" s="3" t="str">
        <f>IFERROR(__xludf.DUMMYFUNCTION("""COMPUTED_VALUE"""),"31,108 km/h")</f>
        <v>31,108 km/h</v>
      </c>
      <c r="K81" s="3" t="str">
        <f>IFERROR(__xludf.DUMMYFUNCTION("""COMPUTED_VALUE"""),"Julián Berrendero")</f>
        <v>Julián Berrendero</v>
      </c>
      <c r="L81" s="3"/>
      <c r="M81" s="3"/>
      <c r="N81" s="3"/>
    </row>
    <row r="82">
      <c r="A82" s="3" t="str">
        <f>IFERROR(__xludf.DUMMYFUNCTION("""COMPUTED_VALUE"""),"1937 (31e)")</f>
        <v>1937 (31e)</v>
      </c>
      <c r="B82" s="3" t="str">
        <f>IFERROR(__xludf.DUMMYFUNCTION("""COMPUTED_VALUE"""),"Roger Lapébie")</f>
        <v>Roger Lapébie</v>
      </c>
      <c r="C82" s="3" t="str">
        <f>IFERROR(__xludf.DUMMYFUNCTION("""COMPUTED_VALUE"""),"Mario Vicini")</f>
        <v>Mario Vicini</v>
      </c>
      <c r="D82" s="3" t="str">
        <f>IFERROR(__xludf.DUMMYFUNCTION("""COMPUTED_VALUE"""),"Léo Amberg")</f>
        <v>Léo Amberg</v>
      </c>
      <c r="E82" s="3" t="str">
        <f>IFERROR(__xludf.DUMMYFUNCTION("""COMPUTED_VALUE"""),"France")</f>
        <v>France</v>
      </c>
      <c r="F82" s="3"/>
      <c r="G82" s="3" t="str">
        <f>IFERROR(__xludf.DUMMYFUNCTION("""COMPUTED_VALUE"""),"Super Champion")</f>
        <v>Super Champion</v>
      </c>
      <c r="H82" s="3">
        <f>IFERROR(__xludf.DUMMYFUNCTION("""COMPUTED_VALUE"""),20.0)</f>
        <v>20</v>
      </c>
      <c r="I82" s="3">
        <f>IFERROR(__xludf.DUMMYFUNCTION("""COMPUTED_VALUE"""),4415.0)</f>
        <v>4415</v>
      </c>
      <c r="J82" s="3" t="str">
        <f>IFERROR(__xludf.DUMMYFUNCTION("""COMPUTED_VALUE"""),"31,768 km/h")</f>
        <v>31,768 km/h</v>
      </c>
      <c r="K82" s="3" t="str">
        <f>IFERROR(__xludf.DUMMYFUNCTION("""COMPUTED_VALUE"""),"Félicien Vervaecke")</f>
        <v>Félicien Vervaecke</v>
      </c>
      <c r="L82" s="3"/>
      <c r="M82" s="3"/>
      <c r="N82" s="3"/>
    </row>
    <row r="83">
      <c r="A83" s="3" t="str">
        <f>IFERROR(__xludf.DUMMYFUNCTION("""COMPUTED_VALUE"""),"1938 (32e)")</f>
        <v>1938 (32e)</v>
      </c>
      <c r="B83" s="3" t="str">
        <f>IFERROR(__xludf.DUMMYFUNCTION("""COMPUTED_VALUE"""),"Gino Bartali")</f>
        <v>Gino Bartali</v>
      </c>
      <c r="C83" s="3" t="str">
        <f>IFERROR(__xludf.DUMMYFUNCTION("""COMPUTED_VALUE"""),"Félicien Vervaecke")</f>
        <v>Félicien Vervaecke</v>
      </c>
      <c r="D83" s="3" t="str">
        <f>IFERROR(__xludf.DUMMYFUNCTION("""COMPUTED_VALUE"""),"Victor Cosson")</f>
        <v>Victor Cosson</v>
      </c>
      <c r="E83" s="3" t="str">
        <f>IFERROR(__xludf.DUMMYFUNCTION("""COMPUTED_VALUE"""),"Italie")</f>
        <v>Italie</v>
      </c>
      <c r="F83" s="3" t="str">
        <f>IFERROR(__xludf.DUMMYFUNCTION("""COMPUTED_VALUE"""),"Legnano")</f>
        <v>Legnano</v>
      </c>
      <c r="G83" s="3" t="str">
        <f>IFERROR(__xludf.DUMMYFUNCTION("""COMPUTED_VALUE"""),"Vittoria Margherita")</f>
        <v>Vittoria Margherita</v>
      </c>
      <c r="H83" s="3">
        <f>IFERROR(__xludf.DUMMYFUNCTION("""COMPUTED_VALUE"""),21.0)</f>
        <v>21</v>
      </c>
      <c r="I83" s="3">
        <f>IFERROR(__xludf.DUMMYFUNCTION("""COMPUTED_VALUE"""),4694.0)</f>
        <v>4694</v>
      </c>
      <c r="J83" s="3" t="str">
        <f>IFERROR(__xludf.DUMMYFUNCTION("""COMPUTED_VALUE"""),"31,565 km/h")</f>
        <v>31,565 km/h</v>
      </c>
      <c r="K83" s="3" t="str">
        <f>IFERROR(__xludf.DUMMYFUNCTION("""COMPUTED_VALUE"""),"Gino Bartali")</f>
        <v>Gino Bartali</v>
      </c>
      <c r="L83" s="3"/>
      <c r="M83" s="3"/>
      <c r="N83" s="3"/>
    </row>
    <row r="84">
      <c r="A84" s="3" t="str">
        <f>IFERROR(__xludf.DUMMYFUNCTION("""COMPUTED_VALUE"""),"1939 (33e)")</f>
        <v>1939 (33e)</v>
      </c>
      <c r="B84" s="3" t="str">
        <f>IFERROR(__xludf.DUMMYFUNCTION("""COMPUTED_VALUE"""),"Sylvère Maes")</f>
        <v>Sylvère Maes</v>
      </c>
      <c r="C84" s="3" t="str">
        <f>IFERROR(__xludf.DUMMYFUNCTION("""COMPUTED_VALUE"""),"René Vietto")</f>
        <v>René Vietto</v>
      </c>
      <c r="D84" s="3" t="str">
        <f>IFERROR(__xludf.DUMMYFUNCTION("""COMPUTED_VALUE"""),"Lucien Vlaemynck")</f>
        <v>Lucien Vlaemynck</v>
      </c>
      <c r="E84" s="3" t="str">
        <f>IFERROR(__xludf.DUMMYFUNCTION("""COMPUTED_VALUE"""),"Belgique")</f>
        <v>Belgique</v>
      </c>
      <c r="F84" s="3" t="str">
        <f>IFERROR(__xludf.DUMMYFUNCTION("""COMPUTED_VALUE"""),"Alcyon")</f>
        <v>Alcyon</v>
      </c>
      <c r="G84" s="3" t="str">
        <f>IFERROR(__xludf.DUMMYFUNCTION("""COMPUTED_VALUE"""),"Super Champion")</f>
        <v>Super Champion</v>
      </c>
      <c r="H84" s="3">
        <f>IFERROR(__xludf.DUMMYFUNCTION("""COMPUTED_VALUE"""),18.0)</f>
        <v>18</v>
      </c>
      <c r="I84" s="3">
        <f>IFERROR(__xludf.DUMMYFUNCTION("""COMPUTED_VALUE"""),4224.0)</f>
        <v>4224</v>
      </c>
      <c r="J84" s="3" t="str">
        <f>IFERROR(__xludf.DUMMYFUNCTION("""COMPUTED_VALUE"""),"31,986 km/h")</f>
        <v>31,986 km/h</v>
      </c>
      <c r="K84" s="3" t="str">
        <f>IFERROR(__xludf.DUMMYFUNCTION("""COMPUTED_VALUE"""),"Sylvère Maes")</f>
        <v>Sylvère Maes</v>
      </c>
      <c r="L84" s="3"/>
      <c r="M84" s="3"/>
      <c r="N84" s="3"/>
    </row>
    <row r="85">
      <c r="A85" s="3" t="str">
        <f>IFERROR(__xludf.DUMMYFUNCTION("""COMPUTED_VALUE"""),"1947 (34e)")</f>
        <v>1947 (34e)</v>
      </c>
      <c r="B85" s="3" t="str">
        <f>IFERROR(__xludf.DUMMYFUNCTION("""COMPUTED_VALUE"""),"Jean Robic")</f>
        <v>Jean Robic</v>
      </c>
      <c r="C85" s="3" t="str">
        <f>IFERROR(__xludf.DUMMYFUNCTION("""COMPUTED_VALUE"""),"Édouard Fachleitner")</f>
        <v>Édouard Fachleitner</v>
      </c>
      <c r="D85" s="3" t="str">
        <f>IFERROR(__xludf.DUMMYFUNCTION("""COMPUTED_VALUE"""),"Pierre Brambilla")</f>
        <v>Pierre Brambilla</v>
      </c>
      <c r="E85" s="3" t="str">
        <f>IFERROR(__xludf.DUMMYFUNCTION("""COMPUTED_VALUE"""),"Ouest")</f>
        <v>Ouest</v>
      </c>
      <c r="F85" s="3"/>
      <c r="G85" s="3" t="str">
        <f>IFERROR(__xludf.DUMMYFUNCTION("""COMPUTED_VALUE"""),"Simplex (en)")</f>
        <v>Simplex (en)</v>
      </c>
      <c r="H85" s="3">
        <f>IFERROR(__xludf.DUMMYFUNCTION("""COMPUTED_VALUE"""),21.0)</f>
        <v>21</v>
      </c>
      <c r="I85" s="3">
        <f>IFERROR(__xludf.DUMMYFUNCTION("""COMPUTED_VALUE"""),4642.0)</f>
        <v>4642</v>
      </c>
      <c r="J85" s="3" t="str">
        <f>IFERROR(__xludf.DUMMYFUNCTION("""COMPUTED_VALUE"""),"31,412 km/h")</f>
        <v>31,412 km/h</v>
      </c>
      <c r="K85" s="3" t="str">
        <f>IFERROR(__xludf.DUMMYFUNCTION("""COMPUTED_VALUE"""),"Pierre Brambilla")</f>
        <v>Pierre Brambilla</v>
      </c>
      <c r="L85" s="3"/>
      <c r="M85" s="3"/>
      <c r="N85" s="3"/>
    </row>
    <row r="86">
      <c r="A86" s="3" t="str">
        <f>IFERROR(__xludf.DUMMYFUNCTION("""COMPUTED_VALUE"""),"1948 (35e)")</f>
        <v>1948 (35e)</v>
      </c>
      <c r="B86" s="3" t="str">
        <f>IFERROR(__xludf.DUMMYFUNCTION("""COMPUTED_VALUE"""),"Gino Bartali")</f>
        <v>Gino Bartali</v>
      </c>
      <c r="C86" s="3" t="str">
        <f>IFERROR(__xludf.DUMMYFUNCTION("""COMPUTED_VALUE"""),"Albéric Schotte")</f>
        <v>Albéric Schotte</v>
      </c>
      <c r="D86" s="3" t="str">
        <f>IFERROR(__xludf.DUMMYFUNCTION("""COMPUTED_VALUE"""),"Guy Lapébie")</f>
        <v>Guy Lapébie</v>
      </c>
      <c r="E86" s="3" t="str">
        <f>IFERROR(__xludf.DUMMYFUNCTION("""COMPUTED_VALUE"""),"Italie")</f>
        <v>Italie</v>
      </c>
      <c r="F86" s="3" t="str">
        <f>IFERROR(__xludf.DUMMYFUNCTION("""COMPUTED_VALUE"""),"Legnano")</f>
        <v>Legnano</v>
      </c>
      <c r="G86" s="3" t="str">
        <f>IFERROR(__xludf.DUMMYFUNCTION("""COMPUTED_VALUE"""),"Campagnolo")</f>
        <v>Campagnolo</v>
      </c>
      <c r="H86" s="3">
        <f>IFERROR(__xludf.DUMMYFUNCTION("""COMPUTED_VALUE"""),21.0)</f>
        <v>21</v>
      </c>
      <c r="I86" s="3">
        <f>IFERROR(__xludf.DUMMYFUNCTION("""COMPUTED_VALUE"""),4922.0)</f>
        <v>4922</v>
      </c>
      <c r="J86" s="3" t="str">
        <f>IFERROR(__xludf.DUMMYFUNCTION("""COMPUTED_VALUE"""),"33,442 km/h")</f>
        <v>33,442 km/h</v>
      </c>
      <c r="K86" s="3" t="str">
        <f>IFERROR(__xludf.DUMMYFUNCTION("""COMPUTED_VALUE"""),"Gino Bartali")</f>
        <v>Gino Bartali</v>
      </c>
      <c r="L86" s="3"/>
      <c r="M86" s="3"/>
      <c r="N86" s="3"/>
    </row>
    <row r="87">
      <c r="A87" s="3" t="str">
        <f>IFERROR(__xludf.DUMMYFUNCTION("""COMPUTED_VALUE"""),"1949 (36e)")</f>
        <v>1949 (36e)</v>
      </c>
      <c r="B87" s="3" t="str">
        <f>IFERROR(__xludf.DUMMYFUNCTION("""COMPUTED_VALUE"""),"Fausto Coppi")</f>
        <v>Fausto Coppi</v>
      </c>
      <c r="C87" s="3" t="str">
        <f>IFERROR(__xludf.DUMMYFUNCTION("""COMPUTED_VALUE"""),"Gino Bartali")</f>
        <v>Gino Bartali</v>
      </c>
      <c r="D87" s="3" t="str">
        <f>IFERROR(__xludf.DUMMYFUNCTION("""COMPUTED_VALUE"""),"Jacques Marinelli")</f>
        <v>Jacques Marinelli</v>
      </c>
      <c r="E87" s="3" t="str">
        <f>IFERROR(__xludf.DUMMYFUNCTION("""COMPUTED_VALUE"""),"Italie")</f>
        <v>Italie</v>
      </c>
      <c r="F87" s="3" t="str">
        <f>IFERROR(__xludf.DUMMYFUNCTION("""COMPUTED_VALUE"""),"Bianchi")</f>
        <v>Bianchi</v>
      </c>
      <c r="G87" s="3" t="str">
        <f>IFERROR(__xludf.DUMMYFUNCTION("""COMPUTED_VALUE"""),"Simplex (en)")</f>
        <v>Simplex (en)</v>
      </c>
      <c r="H87" s="3">
        <f>IFERROR(__xludf.DUMMYFUNCTION("""COMPUTED_VALUE"""),21.0)</f>
        <v>21</v>
      </c>
      <c r="I87" s="3">
        <f>IFERROR(__xludf.DUMMYFUNCTION("""COMPUTED_VALUE"""),4808.0)</f>
        <v>4808</v>
      </c>
      <c r="J87" s="3" t="str">
        <f>IFERROR(__xludf.DUMMYFUNCTION("""COMPUTED_VALUE"""),"32,121 km/h")</f>
        <v>32,121 km/h</v>
      </c>
      <c r="K87" s="3" t="str">
        <f>IFERROR(__xludf.DUMMYFUNCTION("""COMPUTED_VALUE"""),"Fausto Coppi")</f>
        <v>Fausto Coppi</v>
      </c>
      <c r="L87" s="3"/>
      <c r="M87" s="3"/>
      <c r="N87" s="3"/>
    </row>
    <row r="88">
      <c r="A88" s="3" t="str">
        <f>IFERROR(__xludf.DUMMYFUNCTION("""COMPUTED_VALUE"""),"1950 (37e)")</f>
        <v>1950 (37e)</v>
      </c>
      <c r="B88" s="3" t="str">
        <f>IFERROR(__xludf.DUMMYFUNCTION("""COMPUTED_VALUE"""),"Ferdi Kübler")</f>
        <v>Ferdi Kübler</v>
      </c>
      <c r="C88" s="3" t="str">
        <f>IFERROR(__xludf.DUMMYFUNCTION("""COMPUTED_VALUE"""),"Stan Ockers")</f>
        <v>Stan Ockers</v>
      </c>
      <c r="D88" s="3" t="str">
        <f>IFERROR(__xludf.DUMMYFUNCTION("""COMPUTED_VALUE"""),"Louison Bobet")</f>
        <v>Louison Bobet</v>
      </c>
      <c r="E88" s="3" t="str">
        <f>IFERROR(__xludf.DUMMYFUNCTION("""COMPUTED_VALUE"""),"Suisse")</f>
        <v>Suisse</v>
      </c>
      <c r="F88" s="3"/>
      <c r="G88" s="3" t="str">
        <f>IFERROR(__xludf.DUMMYFUNCTION("""COMPUTED_VALUE"""),"Simplex (en)")</f>
        <v>Simplex (en)</v>
      </c>
      <c r="H88" s="3">
        <f>IFERROR(__xludf.DUMMYFUNCTION("""COMPUTED_VALUE"""),22.0)</f>
        <v>22</v>
      </c>
      <c r="I88" s="3">
        <f>IFERROR(__xludf.DUMMYFUNCTION("""COMPUTED_VALUE"""),4773.0)</f>
        <v>4773</v>
      </c>
      <c r="J88" s="3" t="str">
        <f>IFERROR(__xludf.DUMMYFUNCTION("""COMPUTED_VALUE"""),"32,778 km/h")</f>
        <v>32,778 km/h</v>
      </c>
      <c r="K88" s="3" t="str">
        <f>IFERROR(__xludf.DUMMYFUNCTION("""COMPUTED_VALUE"""),"Louison Bobet")</f>
        <v>Louison Bobet</v>
      </c>
      <c r="L88" s="3"/>
      <c r="M88" s="3"/>
      <c r="N88" s="3"/>
    </row>
    <row r="89">
      <c r="A89" s="3" t="str">
        <f>IFERROR(__xludf.DUMMYFUNCTION("""COMPUTED_VALUE"""),"1951 (38e)")</f>
        <v>1951 (38e)</v>
      </c>
      <c r="B89" s="3" t="str">
        <f>IFERROR(__xludf.DUMMYFUNCTION("""COMPUTED_VALUE"""),"Hugo Koblet")</f>
        <v>Hugo Koblet</v>
      </c>
      <c r="C89" s="3" t="str">
        <f>IFERROR(__xludf.DUMMYFUNCTION("""COMPUTED_VALUE"""),"Raphaël Géminiani")</f>
        <v>Raphaël Géminiani</v>
      </c>
      <c r="D89" s="3" t="str">
        <f>IFERROR(__xludf.DUMMYFUNCTION("""COMPUTED_VALUE"""),"Lucien Lazaridès")</f>
        <v>Lucien Lazaridès</v>
      </c>
      <c r="E89" s="3" t="str">
        <f>IFERROR(__xludf.DUMMYFUNCTION("""COMPUTED_VALUE"""),"Suisse")</f>
        <v>Suisse</v>
      </c>
      <c r="F89" s="3" t="str">
        <f>IFERROR(__xludf.DUMMYFUNCTION("""COMPUTED_VALUE"""),"Cycles La Perle")</f>
        <v>Cycles La Perle</v>
      </c>
      <c r="G89" s="3" t="str">
        <f>IFERROR(__xludf.DUMMYFUNCTION("""COMPUTED_VALUE"""),"Campagnolo")</f>
        <v>Campagnolo</v>
      </c>
      <c r="H89" s="3">
        <f>IFERROR(__xludf.DUMMYFUNCTION("""COMPUTED_VALUE"""),24.0)</f>
        <v>24</v>
      </c>
      <c r="I89" s="3">
        <f>IFERROR(__xludf.DUMMYFUNCTION("""COMPUTED_VALUE"""),4690.0)</f>
        <v>4690</v>
      </c>
      <c r="J89" s="3" t="str">
        <f>IFERROR(__xludf.DUMMYFUNCTION("""COMPUTED_VALUE"""),"32,949 km/h")</f>
        <v>32,949 km/h</v>
      </c>
      <c r="K89" s="3" t="str">
        <f>IFERROR(__xludf.DUMMYFUNCTION("""COMPUTED_VALUE"""),"Raphaël Géminiani")</f>
        <v>Raphaël Géminiani</v>
      </c>
      <c r="L89" s="3"/>
      <c r="M89" s="3"/>
      <c r="N89" s="3"/>
    </row>
    <row r="90">
      <c r="A90" s="3" t="str">
        <f>IFERROR(__xludf.DUMMYFUNCTION("""COMPUTED_VALUE"""),"1952 (39e)")</f>
        <v>1952 (39e)</v>
      </c>
      <c r="B90" s="3" t="str">
        <f>IFERROR(__xludf.DUMMYFUNCTION("""COMPUTED_VALUE"""),"Fausto Coppi")</f>
        <v>Fausto Coppi</v>
      </c>
      <c r="C90" s="3" t="str">
        <f>IFERROR(__xludf.DUMMYFUNCTION("""COMPUTED_VALUE"""),"Stan Ockers")</f>
        <v>Stan Ockers</v>
      </c>
      <c r="D90" s="3" t="str">
        <f>IFERROR(__xludf.DUMMYFUNCTION("""COMPUTED_VALUE"""),"Bernardo Ruiz")</f>
        <v>Bernardo Ruiz</v>
      </c>
      <c r="E90" s="3" t="str">
        <f>IFERROR(__xludf.DUMMYFUNCTION("""COMPUTED_VALUE"""),"Italie")</f>
        <v>Italie</v>
      </c>
      <c r="F90" s="3" t="str">
        <f>IFERROR(__xludf.DUMMYFUNCTION("""COMPUTED_VALUE"""),"Bianchi")</f>
        <v>Bianchi</v>
      </c>
      <c r="G90" s="3" t="str">
        <f>IFERROR(__xludf.DUMMYFUNCTION("""COMPUTED_VALUE"""),"Campagnolo")</f>
        <v>Campagnolo</v>
      </c>
      <c r="H90" s="3">
        <f>IFERROR(__xludf.DUMMYFUNCTION("""COMPUTED_VALUE"""),23.0)</f>
        <v>23</v>
      </c>
      <c r="I90" s="3">
        <f>IFERROR(__xludf.DUMMYFUNCTION("""COMPUTED_VALUE"""),4898.0)</f>
        <v>4898</v>
      </c>
      <c r="J90" s="3" t="str">
        <f>IFERROR(__xludf.DUMMYFUNCTION("""COMPUTED_VALUE"""),"32,233 km/h")</f>
        <v>32,233 km/h</v>
      </c>
      <c r="K90" s="3" t="str">
        <f>IFERROR(__xludf.DUMMYFUNCTION("""COMPUTED_VALUE"""),"Fausto Coppi")</f>
        <v>Fausto Coppi</v>
      </c>
      <c r="L90" s="3"/>
      <c r="M90" s="3"/>
      <c r="N90" s="3"/>
    </row>
    <row r="91">
      <c r="A91" s="3" t="str">
        <f>IFERROR(__xludf.DUMMYFUNCTION("""COMPUTED_VALUE"""),"1953 (40e)")</f>
        <v>1953 (40e)</v>
      </c>
      <c r="B91" s="3" t="str">
        <f>IFERROR(__xludf.DUMMYFUNCTION("""COMPUTED_VALUE"""),"Louison Bobet")</f>
        <v>Louison Bobet</v>
      </c>
      <c r="C91" s="3" t="str">
        <f>IFERROR(__xludf.DUMMYFUNCTION("""COMPUTED_VALUE"""),"Jean Malléjac")</f>
        <v>Jean Malléjac</v>
      </c>
      <c r="D91" s="3" t="str">
        <f>IFERROR(__xludf.DUMMYFUNCTION("""COMPUTED_VALUE"""),"Giancarlo Astrua")</f>
        <v>Giancarlo Astrua</v>
      </c>
      <c r="E91" s="3" t="str">
        <f>IFERROR(__xludf.DUMMYFUNCTION("""COMPUTED_VALUE"""),"France")</f>
        <v>France</v>
      </c>
      <c r="F91" s="3"/>
      <c r="G91" s="3" t="str">
        <f>IFERROR(__xludf.DUMMYFUNCTION("""COMPUTED_VALUE"""),"Huret")</f>
        <v>Huret</v>
      </c>
      <c r="H91" s="3">
        <f>IFERROR(__xludf.DUMMYFUNCTION("""COMPUTED_VALUE"""),22.0)</f>
        <v>22</v>
      </c>
      <c r="I91" s="3">
        <f>IFERROR(__xludf.DUMMYFUNCTION("""COMPUTED_VALUE"""),4476.0)</f>
        <v>4476</v>
      </c>
      <c r="J91" s="3" t="str">
        <f>IFERROR(__xludf.DUMMYFUNCTION("""COMPUTED_VALUE"""),"34,593 km/h")</f>
        <v>34,593 km/h</v>
      </c>
      <c r="K91" s="3" t="str">
        <f>IFERROR(__xludf.DUMMYFUNCTION("""COMPUTED_VALUE"""),"Jesús Loroño")</f>
        <v>Jesús Loroño</v>
      </c>
      <c r="L91" s="3" t="str">
        <f>IFERROR(__xludf.DUMMYFUNCTION("""COMPUTED_VALUE"""),"Fritz Schaer")</f>
        <v>Fritz Schaer</v>
      </c>
      <c r="M91" s="3"/>
      <c r="N91" s="3"/>
    </row>
    <row r="92">
      <c r="A92" s="3" t="str">
        <f>IFERROR(__xludf.DUMMYFUNCTION("""COMPUTED_VALUE"""),"1954 (41e)")</f>
        <v>1954 (41e)</v>
      </c>
      <c r="B92" s="3" t="str">
        <f>IFERROR(__xludf.DUMMYFUNCTION("""COMPUTED_VALUE"""),"Louison Bobet")</f>
        <v>Louison Bobet</v>
      </c>
      <c r="C92" s="3" t="str">
        <f>IFERROR(__xludf.DUMMYFUNCTION("""COMPUTED_VALUE"""),"Ferdi Kübler")</f>
        <v>Ferdi Kübler</v>
      </c>
      <c r="D92" s="3" t="str">
        <f>IFERROR(__xludf.DUMMYFUNCTION("""COMPUTED_VALUE"""),"Fritz Schaer")</f>
        <v>Fritz Schaer</v>
      </c>
      <c r="E92" s="3" t="str">
        <f>IFERROR(__xludf.DUMMYFUNCTION("""COMPUTED_VALUE"""),"France")</f>
        <v>France</v>
      </c>
      <c r="F92" s="3"/>
      <c r="G92" s="3" t="str">
        <f>IFERROR(__xludf.DUMMYFUNCTION("""COMPUTED_VALUE"""),"Huret")</f>
        <v>Huret</v>
      </c>
      <c r="H92" s="3">
        <f>IFERROR(__xludf.DUMMYFUNCTION("""COMPUTED_VALUE"""),23.0)</f>
        <v>23</v>
      </c>
      <c r="I92" s="3">
        <f>IFERROR(__xludf.DUMMYFUNCTION("""COMPUTED_VALUE"""),4656.0)</f>
        <v>4656</v>
      </c>
      <c r="J92" s="3" t="str">
        <f>IFERROR(__xludf.DUMMYFUNCTION("""COMPUTED_VALUE"""),"33,229 km/h")</f>
        <v>33,229 km/h</v>
      </c>
      <c r="K92" s="3" t="str">
        <f>IFERROR(__xludf.DUMMYFUNCTION("""COMPUTED_VALUE"""),"Federico Bahamontes")</f>
        <v>Federico Bahamontes</v>
      </c>
      <c r="L92" s="3" t="str">
        <f>IFERROR(__xludf.DUMMYFUNCTION("""COMPUTED_VALUE"""),"Ferdi Kübler")</f>
        <v>Ferdi Kübler</v>
      </c>
      <c r="M92" s="3"/>
      <c r="N92" s="3"/>
    </row>
    <row r="93">
      <c r="A93" s="3" t="str">
        <f>IFERROR(__xludf.DUMMYFUNCTION("""COMPUTED_VALUE"""),"1955 (42e)")</f>
        <v>1955 (42e)</v>
      </c>
      <c r="B93" s="3" t="str">
        <f>IFERROR(__xludf.DUMMYFUNCTION("""COMPUTED_VALUE"""),"Louison Bobet")</f>
        <v>Louison Bobet</v>
      </c>
      <c r="C93" s="3" t="str">
        <f>IFERROR(__xludf.DUMMYFUNCTION("""COMPUTED_VALUE"""),"Jean Brankart")</f>
        <v>Jean Brankart</v>
      </c>
      <c r="D93" s="3" t="str">
        <f>IFERROR(__xludf.DUMMYFUNCTION("""COMPUTED_VALUE"""),"Charly Gaul")</f>
        <v>Charly Gaul</v>
      </c>
      <c r="E93" s="3" t="str">
        <f>IFERROR(__xludf.DUMMYFUNCTION("""COMPUTED_VALUE"""),"France")</f>
        <v>France</v>
      </c>
      <c r="F93" s="3"/>
      <c r="G93" s="3" t="str">
        <f>IFERROR(__xludf.DUMMYFUNCTION("""COMPUTED_VALUE"""),"Huret")</f>
        <v>Huret</v>
      </c>
      <c r="H93" s="3">
        <f>IFERROR(__xludf.DUMMYFUNCTION("""COMPUTED_VALUE"""),22.0)</f>
        <v>22</v>
      </c>
      <c r="I93" s="3">
        <f>IFERROR(__xludf.DUMMYFUNCTION("""COMPUTED_VALUE"""),4495.0)</f>
        <v>4495</v>
      </c>
      <c r="J93" s="3" t="str">
        <f>IFERROR(__xludf.DUMMYFUNCTION("""COMPUTED_VALUE"""),"34,446 km/h")</f>
        <v>34,446 km/h</v>
      </c>
      <c r="K93" s="3" t="str">
        <f>IFERROR(__xludf.DUMMYFUNCTION("""COMPUTED_VALUE"""),"Charly Gaul")</f>
        <v>Charly Gaul</v>
      </c>
      <c r="L93" s="3" t="str">
        <f>IFERROR(__xludf.DUMMYFUNCTION("""COMPUTED_VALUE"""),"Stan Ockers")</f>
        <v>Stan Ockers</v>
      </c>
      <c r="M93" s="3"/>
      <c r="N93" s="3"/>
    </row>
    <row r="94">
      <c r="A94" s="3" t="str">
        <f>IFERROR(__xludf.DUMMYFUNCTION("""COMPUTED_VALUE"""),"1956 (43e)")</f>
        <v>1956 (43e)</v>
      </c>
      <c r="B94" s="3" t="str">
        <f>IFERROR(__xludf.DUMMYFUNCTION("""COMPUTED_VALUE"""),"Roger Walkowiak")</f>
        <v>Roger Walkowiak</v>
      </c>
      <c r="C94" s="3" t="str">
        <f>IFERROR(__xludf.DUMMYFUNCTION("""COMPUTED_VALUE"""),"Gilbert Bauvin")</f>
        <v>Gilbert Bauvin</v>
      </c>
      <c r="D94" s="3" t="str">
        <f>IFERROR(__xludf.DUMMYFUNCTION("""COMPUTED_VALUE"""),"Jan Adriaensens")</f>
        <v>Jan Adriaensens</v>
      </c>
      <c r="E94" s="3" t="str">
        <f>IFERROR(__xludf.DUMMYFUNCTION("""COMPUTED_VALUE"""),"Nord-Est")</f>
        <v>Nord-Est</v>
      </c>
      <c r="F94" s="3"/>
      <c r="G94" s="3" t="str">
        <f>IFERROR(__xludf.DUMMYFUNCTION("""COMPUTED_VALUE"""),"Campagnolo")</f>
        <v>Campagnolo</v>
      </c>
      <c r="H94" s="3">
        <f>IFERROR(__xludf.DUMMYFUNCTION("""COMPUTED_VALUE"""),22.0)</f>
        <v>22</v>
      </c>
      <c r="I94" s="3">
        <f>IFERROR(__xludf.DUMMYFUNCTION("""COMPUTED_VALUE"""),4498.0)</f>
        <v>4498</v>
      </c>
      <c r="J94" s="3" t="str">
        <f>IFERROR(__xludf.DUMMYFUNCTION("""COMPUTED_VALUE"""),"36,268 km/h")</f>
        <v>36,268 km/h</v>
      </c>
      <c r="K94" s="3" t="str">
        <f>IFERROR(__xludf.DUMMYFUNCTION("""COMPUTED_VALUE"""),"Charly Gaul")</f>
        <v>Charly Gaul</v>
      </c>
      <c r="L94" s="3" t="str">
        <f>IFERROR(__xludf.DUMMYFUNCTION("""COMPUTED_VALUE"""),"Stan Ockers")</f>
        <v>Stan Ockers</v>
      </c>
      <c r="M94" s="3"/>
      <c r="N94" s="3" t="str">
        <f>IFERROR(__xludf.DUMMYFUNCTION("""COMPUTED_VALUE"""),"André Darrigade")</f>
        <v>André Darrigade</v>
      </c>
    </row>
    <row r="95">
      <c r="A95" s="3" t="str">
        <f>IFERROR(__xludf.DUMMYFUNCTION("""COMPUTED_VALUE"""),"1957 (44e)")</f>
        <v>1957 (44e)</v>
      </c>
      <c r="B95" s="3" t="str">
        <f>IFERROR(__xludf.DUMMYFUNCTION("""COMPUTED_VALUE"""),"Jacques Anquetil")</f>
        <v>Jacques Anquetil</v>
      </c>
      <c r="C95" s="3" t="str">
        <f>IFERROR(__xludf.DUMMYFUNCTION("""COMPUTED_VALUE"""),"Marcel Janssens")</f>
        <v>Marcel Janssens</v>
      </c>
      <c r="D95" s="3" t="str">
        <f>IFERROR(__xludf.DUMMYFUNCTION("""COMPUTED_VALUE"""),"Adolf Christian")</f>
        <v>Adolf Christian</v>
      </c>
      <c r="E95" s="3" t="str">
        <f>IFERROR(__xludf.DUMMYFUNCTION("""COMPUTED_VALUE"""),"France")</f>
        <v>France</v>
      </c>
      <c r="F95" s="3"/>
      <c r="G95" s="3" t="str">
        <f>IFERROR(__xludf.DUMMYFUNCTION("""COMPUTED_VALUE"""),"Simplex (en)")</f>
        <v>Simplex (en)</v>
      </c>
      <c r="H95" s="3">
        <f>IFERROR(__xludf.DUMMYFUNCTION("""COMPUTED_VALUE"""),23.0)</f>
        <v>23</v>
      </c>
      <c r="I95" s="3">
        <f>IFERROR(__xludf.DUMMYFUNCTION("""COMPUTED_VALUE"""),4669.0)</f>
        <v>4669</v>
      </c>
      <c r="J95" s="3" t="str">
        <f>IFERROR(__xludf.DUMMYFUNCTION("""COMPUTED_VALUE"""),"34,520 km/h")</f>
        <v>34,520 km/h</v>
      </c>
      <c r="K95" s="3" t="str">
        <f>IFERROR(__xludf.DUMMYFUNCTION("""COMPUTED_VALUE"""),"Gastone Nencini")</f>
        <v>Gastone Nencini</v>
      </c>
      <c r="L95" s="3" t="str">
        <f>IFERROR(__xludf.DUMMYFUNCTION("""COMPUTED_VALUE"""),"Jean Forestier")</f>
        <v>Jean Forestier</v>
      </c>
      <c r="M95" s="3"/>
      <c r="N95" s="3" t="str">
        <f>IFERROR(__xludf.DUMMYFUNCTION("""COMPUTED_VALUE"""),"Nicolas Barone")</f>
        <v>Nicolas Barone</v>
      </c>
    </row>
    <row r="96">
      <c r="A96" s="3" t="str">
        <f>IFERROR(__xludf.DUMMYFUNCTION("""COMPUTED_VALUE"""),"1958 (45e)")</f>
        <v>1958 (45e)</v>
      </c>
      <c r="B96" s="3" t="str">
        <f>IFERROR(__xludf.DUMMYFUNCTION("""COMPUTED_VALUE"""),"Charly Gaul")</f>
        <v>Charly Gaul</v>
      </c>
      <c r="C96" s="3" t="str">
        <f>IFERROR(__xludf.DUMMYFUNCTION("""COMPUTED_VALUE"""),"Vito Favero")</f>
        <v>Vito Favero</v>
      </c>
      <c r="D96" s="3" t="str">
        <f>IFERROR(__xludf.DUMMYFUNCTION("""COMPUTED_VALUE"""),"Raphaël Géminiani")</f>
        <v>Raphaël Géminiani</v>
      </c>
      <c r="E96" s="3" t="str">
        <f>IFERROR(__xludf.DUMMYFUNCTION("""COMPUTED_VALUE"""),"Pays-Bas-Luxembourg")</f>
        <v>Pays-Bas-Luxembourg</v>
      </c>
      <c r="F96" s="3" t="str">
        <f>IFERROR(__xludf.DUMMYFUNCTION("""COMPUTED_VALUE"""),"Learco Guerra")</f>
        <v>Learco Guerra</v>
      </c>
      <c r="G96" s="3" t="str">
        <f>IFERROR(__xludf.DUMMYFUNCTION("""COMPUTED_VALUE"""),"Campagnolo")</f>
        <v>Campagnolo</v>
      </c>
      <c r="H96" s="3">
        <f>IFERROR(__xludf.DUMMYFUNCTION("""COMPUTED_VALUE"""),24.0)</f>
        <v>24</v>
      </c>
      <c r="I96" s="3">
        <f>IFERROR(__xludf.DUMMYFUNCTION("""COMPUTED_VALUE"""),4319.0)</f>
        <v>4319</v>
      </c>
      <c r="J96" s="3" t="str">
        <f>IFERROR(__xludf.DUMMYFUNCTION("""COMPUTED_VALUE"""),"36,919 km/h")</f>
        <v>36,919 km/h</v>
      </c>
      <c r="K96" s="3" t="str">
        <f>IFERROR(__xludf.DUMMYFUNCTION("""COMPUTED_VALUE"""),"Federico Bahamontes")</f>
        <v>Federico Bahamontes</v>
      </c>
      <c r="L96" s="3" t="str">
        <f>IFERROR(__xludf.DUMMYFUNCTION("""COMPUTED_VALUE"""),"Jean Graczyk")</f>
        <v>Jean Graczyk</v>
      </c>
      <c r="M96" s="3"/>
      <c r="N96" s="3" t="str">
        <f>IFERROR(__xludf.DUMMYFUNCTION("""COMPUTED_VALUE"""),"Federico Bahamontes")</f>
        <v>Federico Bahamontes</v>
      </c>
    </row>
    <row r="97">
      <c r="A97" s="3" t="str">
        <f>IFERROR(__xludf.DUMMYFUNCTION("""COMPUTED_VALUE"""),"1959 (46e)")</f>
        <v>1959 (46e)</v>
      </c>
      <c r="B97" s="3" t="str">
        <f>IFERROR(__xludf.DUMMYFUNCTION("""COMPUTED_VALUE"""),"Federico Bahamontes")</f>
        <v>Federico Bahamontes</v>
      </c>
      <c r="C97" s="3" t="str">
        <f>IFERROR(__xludf.DUMMYFUNCTION("""COMPUTED_VALUE"""),"Henry Anglade")</f>
        <v>Henry Anglade</v>
      </c>
      <c r="D97" s="3" t="str">
        <f>IFERROR(__xludf.DUMMYFUNCTION("""COMPUTED_VALUE"""),"Jacques Anquetil")</f>
        <v>Jacques Anquetil</v>
      </c>
      <c r="E97" s="3" t="str">
        <f>IFERROR(__xludf.DUMMYFUNCTION("""COMPUTED_VALUE"""),"Espagne")</f>
        <v>Espagne</v>
      </c>
      <c r="F97" s="3"/>
      <c r="G97" s="3" t="str">
        <f>IFERROR(__xludf.DUMMYFUNCTION("""COMPUTED_VALUE"""),"Campagnolo")</f>
        <v>Campagnolo</v>
      </c>
      <c r="H97" s="3">
        <f>IFERROR(__xludf.DUMMYFUNCTION("""COMPUTED_VALUE"""),22.0)</f>
        <v>22</v>
      </c>
      <c r="I97" s="3">
        <f>IFERROR(__xludf.DUMMYFUNCTION("""COMPUTED_VALUE"""),4358.0)</f>
        <v>4358</v>
      </c>
      <c r="J97" s="3" t="str">
        <f>IFERROR(__xludf.DUMMYFUNCTION("""COMPUTED_VALUE"""),"35,474 km/h")</f>
        <v>35,474 km/h</v>
      </c>
      <c r="K97" s="3" t="str">
        <f>IFERROR(__xludf.DUMMYFUNCTION("""COMPUTED_VALUE"""),"Federico Bahamontes")</f>
        <v>Federico Bahamontes</v>
      </c>
      <c r="L97" s="3" t="str">
        <f>IFERROR(__xludf.DUMMYFUNCTION("""COMPUTED_VALUE"""),"André Darrigade")</f>
        <v>André Darrigade</v>
      </c>
      <c r="M97" s="3"/>
      <c r="N97" s="3" t="str">
        <f>IFERROR(__xludf.DUMMYFUNCTION("""COMPUTED_VALUE"""),"Gérard Saint")</f>
        <v>Gérard Saint</v>
      </c>
    </row>
    <row r="98">
      <c r="A98" s="3" t="str">
        <f>IFERROR(__xludf.DUMMYFUNCTION("""COMPUTED_VALUE"""),"1960 (47e)")</f>
        <v>1960 (47e)</v>
      </c>
      <c r="B98" s="3" t="str">
        <f>IFERROR(__xludf.DUMMYFUNCTION("""COMPUTED_VALUE"""),"Gastone Nencini")</f>
        <v>Gastone Nencini</v>
      </c>
      <c r="C98" s="3" t="str">
        <f>IFERROR(__xludf.DUMMYFUNCTION("""COMPUTED_VALUE"""),"Graziano Battistini")</f>
        <v>Graziano Battistini</v>
      </c>
      <c r="D98" s="3" t="str">
        <f>IFERROR(__xludf.DUMMYFUNCTION("""COMPUTED_VALUE"""),"Jan Adriaensens")</f>
        <v>Jan Adriaensens</v>
      </c>
      <c r="E98" s="3" t="str">
        <f>IFERROR(__xludf.DUMMYFUNCTION("""COMPUTED_VALUE"""),"Italie")</f>
        <v>Italie</v>
      </c>
      <c r="F98" s="3"/>
      <c r="G98" s="3" t="str">
        <f>IFERROR(__xludf.DUMMYFUNCTION("""COMPUTED_VALUE"""),"Campagnolo")</f>
        <v>Campagnolo</v>
      </c>
      <c r="H98" s="3">
        <f>IFERROR(__xludf.DUMMYFUNCTION("""COMPUTED_VALUE"""),21.0)</f>
        <v>21</v>
      </c>
      <c r="I98" s="3">
        <f>IFERROR(__xludf.DUMMYFUNCTION("""COMPUTED_VALUE"""),4173.0)</f>
        <v>4173</v>
      </c>
      <c r="J98" s="3" t="str">
        <f>IFERROR(__xludf.DUMMYFUNCTION("""COMPUTED_VALUE"""),"37,210 km/h")</f>
        <v>37,210 km/h</v>
      </c>
      <c r="K98" s="3" t="str">
        <f>IFERROR(__xludf.DUMMYFUNCTION("""COMPUTED_VALUE"""),"Imerio Massignan")</f>
        <v>Imerio Massignan</v>
      </c>
      <c r="L98" s="3" t="str">
        <f>IFERROR(__xludf.DUMMYFUNCTION("""COMPUTED_VALUE"""),"Jean Graczyk")</f>
        <v>Jean Graczyk</v>
      </c>
      <c r="M98" s="3"/>
      <c r="N98" s="3" t="str">
        <f>IFERROR(__xludf.DUMMYFUNCTION("""COMPUTED_VALUE"""),"Jean Graczyk")</f>
        <v>Jean Graczyk</v>
      </c>
    </row>
    <row r="99">
      <c r="A99" s="3" t="str">
        <f>IFERROR(__xludf.DUMMYFUNCTION("""COMPUTED_VALUE"""),"1961 (48e)")</f>
        <v>1961 (48e)</v>
      </c>
      <c r="B99" s="3" t="str">
        <f>IFERROR(__xludf.DUMMYFUNCTION("""COMPUTED_VALUE"""),"Jacques Anquetil")</f>
        <v>Jacques Anquetil</v>
      </c>
      <c r="C99" s="3" t="str">
        <f>IFERROR(__xludf.DUMMYFUNCTION("""COMPUTED_VALUE"""),"Guido Carlesi")</f>
        <v>Guido Carlesi</v>
      </c>
      <c r="D99" s="3" t="str">
        <f>IFERROR(__xludf.DUMMYFUNCTION("""COMPUTED_VALUE"""),"Charly Gaul")</f>
        <v>Charly Gaul</v>
      </c>
      <c r="E99" s="3" t="str">
        <f>IFERROR(__xludf.DUMMYFUNCTION("""COMPUTED_VALUE"""),"France")</f>
        <v>France</v>
      </c>
      <c r="F99" s="3"/>
      <c r="G99" s="3" t="str">
        <f>IFERROR(__xludf.DUMMYFUNCTION("""COMPUTED_VALUE"""),"Simplex (en)")</f>
        <v>Simplex (en)</v>
      </c>
      <c r="H99" s="3">
        <f>IFERROR(__xludf.DUMMYFUNCTION("""COMPUTED_VALUE"""),21.0)</f>
        <v>21</v>
      </c>
      <c r="I99" s="3">
        <f>IFERROR(__xludf.DUMMYFUNCTION("""COMPUTED_VALUE"""),4397.0)</f>
        <v>4397</v>
      </c>
      <c r="J99" s="3" t="str">
        <f>IFERROR(__xludf.DUMMYFUNCTION("""COMPUTED_VALUE"""),"36,033 km/h")</f>
        <v>36,033 km/h</v>
      </c>
      <c r="K99" s="3" t="str">
        <f>IFERROR(__xludf.DUMMYFUNCTION("""COMPUTED_VALUE"""),"Imerio Massignan")</f>
        <v>Imerio Massignan</v>
      </c>
      <c r="L99" s="3" t="str">
        <f>IFERROR(__xludf.DUMMYFUNCTION("""COMPUTED_VALUE"""),"André Darrigade")</f>
        <v>André Darrigade</v>
      </c>
      <c r="M99" s="3"/>
      <c r="N99" s="3" t="str">
        <f>IFERROR(__xludf.DUMMYFUNCTION("""COMPUTED_VALUE"""),"Équipe Ouest-Sud-Ouest")</f>
        <v>Équipe Ouest-Sud-Ouest</v>
      </c>
    </row>
    <row r="100">
      <c r="A100" s="3" t="str">
        <f>IFERROR(__xludf.DUMMYFUNCTION("""COMPUTED_VALUE"""),"1962 (49e)")</f>
        <v>1962 (49e)</v>
      </c>
      <c r="B100" s="3" t="str">
        <f>IFERROR(__xludf.DUMMYFUNCTION("""COMPUTED_VALUE"""),"Jacques Anquetil")</f>
        <v>Jacques Anquetil</v>
      </c>
      <c r="C100" s="3" t="str">
        <f>IFERROR(__xludf.DUMMYFUNCTION("""COMPUTED_VALUE"""),"Joseph Planckaert")</f>
        <v>Joseph Planckaert</v>
      </c>
      <c r="D100" s="3" t="str">
        <f>IFERROR(__xludf.DUMMYFUNCTION("""COMPUTED_VALUE"""),"Raymond Poulidor")</f>
        <v>Raymond Poulidor</v>
      </c>
      <c r="E100" s="3" t="str">
        <f>IFERROR(__xludf.DUMMYFUNCTION("""COMPUTED_VALUE"""),"Saint-Raphaël-Helyett-Hutchinson")</f>
        <v>Saint-Raphaël-Helyett-Hutchinson</v>
      </c>
      <c r="F100" s="3" t="str">
        <f>IFERROR(__xludf.DUMMYFUNCTION("""COMPUTED_VALUE"""),"Helyett")</f>
        <v>Helyett</v>
      </c>
      <c r="G100" s="3" t="str">
        <f>IFERROR(__xludf.DUMMYFUNCTION("""COMPUTED_VALUE"""),"Simplex (en)")</f>
        <v>Simplex (en)</v>
      </c>
      <c r="H100" s="3">
        <f>IFERROR(__xludf.DUMMYFUNCTION("""COMPUTED_VALUE"""),22.0)</f>
        <v>22</v>
      </c>
      <c r="I100" s="3">
        <f>IFERROR(__xludf.DUMMYFUNCTION("""COMPUTED_VALUE"""),4274.0)</f>
        <v>4274</v>
      </c>
      <c r="J100" s="3" t="str">
        <f>IFERROR(__xludf.DUMMYFUNCTION("""COMPUTED_VALUE"""),"37,317 km/h")</f>
        <v>37,317 km/h</v>
      </c>
      <c r="K100" s="3" t="str">
        <f>IFERROR(__xludf.DUMMYFUNCTION("""COMPUTED_VALUE"""),"Federico Bahamontes")</f>
        <v>Federico Bahamontes</v>
      </c>
      <c r="L100" s="3" t="str">
        <f>IFERROR(__xludf.DUMMYFUNCTION("""COMPUTED_VALUE"""),"Rudi Altig")</f>
        <v>Rudi Altig</v>
      </c>
      <c r="M100" s="3"/>
      <c r="N100" s="3" t="str">
        <f>IFERROR(__xludf.DUMMYFUNCTION("""COMPUTED_VALUE"""),"Eddy Pauwels")</f>
        <v>Eddy Pauwels</v>
      </c>
    </row>
    <row r="101">
      <c r="A101" s="3" t="str">
        <f>IFERROR(__xludf.DUMMYFUNCTION("""COMPUTED_VALUE"""),"1963 (50e)")</f>
        <v>1963 (50e)</v>
      </c>
      <c r="B101" s="3" t="str">
        <f>IFERROR(__xludf.DUMMYFUNCTION("""COMPUTED_VALUE"""),"Jacques Anquetil")</f>
        <v>Jacques Anquetil</v>
      </c>
      <c r="C101" s="3" t="str">
        <f>IFERROR(__xludf.DUMMYFUNCTION("""COMPUTED_VALUE"""),"Federico Bahamontes")</f>
        <v>Federico Bahamontes</v>
      </c>
      <c r="D101" s="3" t="str">
        <f>IFERROR(__xludf.DUMMYFUNCTION("""COMPUTED_VALUE"""),"José Pérez Francés")</f>
        <v>José Pérez Francés</v>
      </c>
      <c r="E101" s="3" t="str">
        <f>IFERROR(__xludf.DUMMYFUNCTION("""COMPUTED_VALUE"""),"Saint-Raphaël-Gitane-R. Geminiani")</f>
        <v>Saint-Raphaël-Gitane-R. Geminiani</v>
      </c>
      <c r="F101" s="3" t="str">
        <f>IFERROR(__xludf.DUMMYFUNCTION("""COMPUTED_VALUE"""),"Cycles Gitane")</f>
        <v>Cycles Gitane</v>
      </c>
      <c r="G101" s="3" t="str">
        <f>IFERROR(__xludf.DUMMYFUNCTION("""COMPUTED_VALUE"""),"Campagnolo")</f>
        <v>Campagnolo</v>
      </c>
      <c r="H101" s="3">
        <f>IFERROR(__xludf.DUMMYFUNCTION("""COMPUTED_VALUE"""),21.0)</f>
        <v>21</v>
      </c>
      <c r="I101" s="3">
        <f>IFERROR(__xludf.DUMMYFUNCTION("""COMPUTED_VALUE"""),4138.0)</f>
        <v>4138</v>
      </c>
      <c r="J101" s="3" t="str">
        <f>IFERROR(__xludf.DUMMYFUNCTION("""COMPUTED_VALUE"""),"37,092 km/h")</f>
        <v>37,092 km/h</v>
      </c>
      <c r="K101" s="3" t="str">
        <f>IFERROR(__xludf.DUMMYFUNCTION("""COMPUTED_VALUE"""),"Federico Bahamontes")</f>
        <v>Federico Bahamontes</v>
      </c>
      <c r="L101" s="3" t="str">
        <f>IFERROR(__xludf.DUMMYFUNCTION("""COMPUTED_VALUE"""),"Rik Van Looy")</f>
        <v>Rik Van Looy</v>
      </c>
      <c r="M101" s="3"/>
      <c r="N101" s="3" t="str">
        <f>IFERROR(__xludf.DUMMYFUNCTION("""COMPUTED_VALUE"""),"Rik Van Looy")</f>
        <v>Rik Van Looy</v>
      </c>
    </row>
    <row r="102">
      <c r="A102" s="3" t="str">
        <f>IFERROR(__xludf.DUMMYFUNCTION("""COMPUTED_VALUE"""),"1964 (51e)")</f>
        <v>1964 (51e)</v>
      </c>
      <c r="B102" s="3" t="str">
        <f>IFERROR(__xludf.DUMMYFUNCTION("""COMPUTED_VALUE"""),"Jacques Anquetil")</f>
        <v>Jacques Anquetil</v>
      </c>
      <c r="C102" s="3" t="str">
        <f>IFERROR(__xludf.DUMMYFUNCTION("""COMPUTED_VALUE"""),"Raymond Poulidor")</f>
        <v>Raymond Poulidor</v>
      </c>
      <c r="D102" s="3" t="str">
        <f>IFERROR(__xludf.DUMMYFUNCTION("""COMPUTED_VALUE"""),"Federico Bahamontes")</f>
        <v>Federico Bahamontes</v>
      </c>
      <c r="E102" s="3" t="str">
        <f>IFERROR(__xludf.DUMMYFUNCTION("""COMPUTED_VALUE"""),"Saint-Raphaël-Gitane-Dunlop")</f>
        <v>Saint-Raphaël-Gitane-Dunlop</v>
      </c>
      <c r="F102" s="3" t="str">
        <f>IFERROR(__xludf.DUMMYFUNCTION("""COMPUTED_VALUE"""),"Cycles Gitane")</f>
        <v>Cycles Gitane</v>
      </c>
      <c r="G102" s="3" t="str">
        <f>IFERROR(__xludf.DUMMYFUNCTION("""COMPUTED_VALUE"""),"Campagnolo")</f>
        <v>Campagnolo</v>
      </c>
      <c r="H102" s="3">
        <f>IFERROR(__xludf.DUMMYFUNCTION("""COMPUTED_VALUE"""),22.0)</f>
        <v>22</v>
      </c>
      <c r="I102" s="3">
        <f>IFERROR(__xludf.DUMMYFUNCTION("""COMPUTED_VALUE"""),4504.0)</f>
        <v>4504</v>
      </c>
      <c r="J102" s="3" t="str">
        <f>IFERROR(__xludf.DUMMYFUNCTION("""COMPUTED_VALUE"""),"35,419 km/h")</f>
        <v>35,419 km/h</v>
      </c>
      <c r="K102" s="3" t="str">
        <f>IFERROR(__xludf.DUMMYFUNCTION("""COMPUTED_VALUE"""),"Federico Bahamontes")</f>
        <v>Federico Bahamontes</v>
      </c>
      <c r="L102" s="3" t="str">
        <f>IFERROR(__xludf.DUMMYFUNCTION("""COMPUTED_VALUE"""),"Jan Janssen")</f>
        <v>Jan Janssen</v>
      </c>
      <c r="M102" s="3"/>
      <c r="N102" s="3" t="str">
        <f>IFERROR(__xludf.DUMMYFUNCTION("""COMPUTED_VALUE"""),"Henri Anglade")</f>
        <v>Henri Anglade</v>
      </c>
    </row>
    <row r="103">
      <c r="A103" s="3" t="str">
        <f>IFERROR(__xludf.DUMMYFUNCTION("""COMPUTED_VALUE"""),"1965 (52e)")</f>
        <v>1965 (52e)</v>
      </c>
      <c r="B103" s="3" t="str">
        <f>IFERROR(__xludf.DUMMYFUNCTION("""COMPUTED_VALUE"""),"Felice Gimondi")</f>
        <v>Felice Gimondi</v>
      </c>
      <c r="C103" s="3" t="str">
        <f>IFERROR(__xludf.DUMMYFUNCTION("""COMPUTED_VALUE"""),"Raymond Poulidor")</f>
        <v>Raymond Poulidor</v>
      </c>
      <c r="D103" s="3" t="str">
        <f>IFERROR(__xludf.DUMMYFUNCTION("""COMPUTED_VALUE"""),"Gianni Motta")</f>
        <v>Gianni Motta</v>
      </c>
      <c r="E103" s="3" t="str">
        <f>IFERROR(__xludf.DUMMYFUNCTION("""COMPUTED_VALUE"""),"Salvarani")</f>
        <v>Salvarani</v>
      </c>
      <c r="F103" s="3" t="str">
        <f>IFERROR(__xludf.DUMMYFUNCTION("""COMPUTED_VALUE"""),"Magni")</f>
        <v>Magni</v>
      </c>
      <c r="G103" s="3" t="str">
        <f>IFERROR(__xludf.DUMMYFUNCTION("""COMPUTED_VALUE"""),"Campagnolo")</f>
        <v>Campagnolo</v>
      </c>
      <c r="H103" s="3">
        <f>IFERROR(__xludf.DUMMYFUNCTION("""COMPUTED_VALUE"""),22.0)</f>
        <v>22</v>
      </c>
      <c r="I103" s="3">
        <f>IFERROR(__xludf.DUMMYFUNCTION("""COMPUTED_VALUE"""),4188.0)</f>
        <v>4188</v>
      </c>
      <c r="J103" s="3" t="str">
        <f>IFERROR(__xludf.DUMMYFUNCTION("""COMPUTED_VALUE"""),"35,886 km/h")</f>
        <v>35,886 km/h</v>
      </c>
      <c r="K103" s="3" t="str">
        <f>IFERROR(__xludf.DUMMYFUNCTION("""COMPUTED_VALUE"""),"Julio Jiménez")</f>
        <v>Julio Jiménez</v>
      </c>
      <c r="L103" s="3" t="str">
        <f>IFERROR(__xludf.DUMMYFUNCTION("""COMPUTED_VALUE"""),"Jan Janssen")</f>
        <v>Jan Janssen</v>
      </c>
      <c r="M103" s="3"/>
      <c r="N103" s="3" t="str">
        <f>IFERROR(__xludf.DUMMYFUNCTION("""COMPUTED_VALUE"""),"Felice Gimondi")</f>
        <v>Felice Gimondi</v>
      </c>
    </row>
    <row r="104">
      <c r="A104" s="3" t="str">
        <f>IFERROR(__xludf.DUMMYFUNCTION("""COMPUTED_VALUE"""),"1966 (53e)")</f>
        <v>1966 (53e)</v>
      </c>
      <c r="B104" s="3" t="str">
        <f>IFERROR(__xludf.DUMMYFUNCTION("""COMPUTED_VALUE"""),"Lucien Aimar")</f>
        <v>Lucien Aimar</v>
      </c>
      <c r="C104" s="3" t="str">
        <f>IFERROR(__xludf.DUMMYFUNCTION("""COMPUTED_VALUE"""),"Jan Janssen")</f>
        <v>Jan Janssen</v>
      </c>
      <c r="D104" s="3" t="str">
        <f>IFERROR(__xludf.DUMMYFUNCTION("""COMPUTED_VALUE"""),"Raymond Poulidor")</f>
        <v>Raymond Poulidor</v>
      </c>
      <c r="E104" s="3" t="str">
        <f>IFERROR(__xludf.DUMMYFUNCTION("""COMPUTED_VALUE"""),"Ford France-Hutchinson")</f>
        <v>Ford France-Hutchinson</v>
      </c>
      <c r="F104" s="3" t="str">
        <f>IFERROR(__xludf.DUMMYFUNCTION("""COMPUTED_VALUE"""),"Cycles Gitane")</f>
        <v>Cycles Gitane</v>
      </c>
      <c r="G104" s="3" t="str">
        <f>IFERROR(__xludf.DUMMYFUNCTION("""COMPUTED_VALUE"""),"Campagnolo")</f>
        <v>Campagnolo</v>
      </c>
      <c r="H104" s="3">
        <f>IFERROR(__xludf.DUMMYFUNCTION("""COMPUTED_VALUE"""),22.0)</f>
        <v>22</v>
      </c>
      <c r="I104" s="3">
        <f>IFERROR(__xludf.DUMMYFUNCTION("""COMPUTED_VALUE"""),4329.0)</f>
        <v>4329</v>
      </c>
      <c r="J104" s="3" t="str">
        <f>IFERROR(__xludf.DUMMYFUNCTION("""COMPUTED_VALUE"""),"36,760 km/h")</f>
        <v>36,760 km/h</v>
      </c>
      <c r="K104" s="3" t="str">
        <f>IFERROR(__xludf.DUMMYFUNCTION("""COMPUTED_VALUE"""),"Julio Jiménez")</f>
        <v>Julio Jiménez</v>
      </c>
      <c r="L104" s="3" t="str">
        <f>IFERROR(__xludf.DUMMYFUNCTION("""COMPUTED_VALUE"""),"Willy Planckaert")</f>
        <v>Willy Planckaert</v>
      </c>
      <c r="M104" s="3"/>
      <c r="N104" s="3" t="str">
        <f>IFERROR(__xludf.DUMMYFUNCTION("""COMPUTED_VALUE"""),"Rudi Altig")</f>
        <v>Rudi Altig</v>
      </c>
    </row>
    <row r="105">
      <c r="A105" s="3" t="str">
        <f>IFERROR(__xludf.DUMMYFUNCTION("""COMPUTED_VALUE"""),"1967 (54e)")</f>
        <v>1967 (54e)</v>
      </c>
      <c r="B105" s="3" t="str">
        <f>IFERROR(__xludf.DUMMYFUNCTION("""COMPUTED_VALUE"""),"Roger Pingeon")</f>
        <v>Roger Pingeon</v>
      </c>
      <c r="C105" s="3" t="str">
        <f>IFERROR(__xludf.DUMMYFUNCTION("""COMPUTED_VALUE"""),"Julio Jiménez")</f>
        <v>Julio Jiménez</v>
      </c>
      <c r="D105" s="3" t="str">
        <f>IFERROR(__xludf.DUMMYFUNCTION("""COMPUTED_VALUE"""),"Franco Balmamion")</f>
        <v>Franco Balmamion</v>
      </c>
      <c r="E105" s="3" t="str">
        <f>IFERROR(__xludf.DUMMYFUNCTION("""COMPUTED_VALUE"""),"France")</f>
        <v>France</v>
      </c>
      <c r="F105" s="3" t="str">
        <f>IFERROR(__xludf.DUMMYFUNCTION("""COMPUTED_VALUE"""),"Peugeot")</f>
        <v>Peugeot</v>
      </c>
      <c r="G105" s="3" t="str">
        <f>IFERROR(__xludf.DUMMYFUNCTION("""COMPUTED_VALUE"""),"Simplex (en)")</f>
        <v>Simplex (en)</v>
      </c>
      <c r="H105" s="3">
        <f>IFERROR(__xludf.DUMMYFUNCTION("""COMPUTED_VALUE"""),22.0)</f>
        <v>22</v>
      </c>
      <c r="I105" s="3">
        <f>IFERROR(__xludf.DUMMYFUNCTION("""COMPUTED_VALUE"""),4779.0)</f>
        <v>4779</v>
      </c>
      <c r="J105" s="3" t="str">
        <f>IFERROR(__xludf.DUMMYFUNCTION("""COMPUTED_VALUE"""),"34,756 km/h")</f>
        <v>34,756 km/h</v>
      </c>
      <c r="K105" s="3" t="str">
        <f>IFERROR(__xludf.DUMMYFUNCTION("""COMPUTED_VALUE"""),"Julio Jiménez")</f>
        <v>Julio Jiménez</v>
      </c>
      <c r="L105" s="3" t="str">
        <f>IFERROR(__xludf.DUMMYFUNCTION("""COMPUTED_VALUE"""),"Jan Janssen")</f>
        <v>Jan Janssen</v>
      </c>
      <c r="M105" s="3"/>
      <c r="N105" s="3" t="str">
        <f>IFERROR(__xludf.DUMMYFUNCTION("""COMPUTED_VALUE"""),"Désiré Letort")</f>
        <v>Désiré Letort</v>
      </c>
    </row>
    <row r="106">
      <c r="A106" s="3" t="str">
        <f>IFERROR(__xludf.DUMMYFUNCTION("""COMPUTED_VALUE"""),"1968 (55e)")</f>
        <v>1968 (55e)</v>
      </c>
      <c r="B106" s="3" t="str">
        <f>IFERROR(__xludf.DUMMYFUNCTION("""COMPUTED_VALUE"""),"Jan Janssen")</f>
        <v>Jan Janssen</v>
      </c>
      <c r="C106" s="3" t="str">
        <f>IFERROR(__xludf.DUMMYFUNCTION("""COMPUTED_VALUE"""),"Herman Van Springel")</f>
        <v>Herman Van Springel</v>
      </c>
      <c r="D106" s="3" t="str">
        <f>IFERROR(__xludf.DUMMYFUNCTION("""COMPUTED_VALUE"""),"Ferdinand Bracke")</f>
        <v>Ferdinand Bracke</v>
      </c>
      <c r="E106" s="3" t="str">
        <f>IFERROR(__xludf.DUMMYFUNCTION("""COMPUTED_VALUE"""),"Pays-Bas")</f>
        <v>Pays-Bas</v>
      </c>
      <c r="F106" s="3" t="str">
        <f>IFERROR(__xludf.DUMMYFUNCTION("""COMPUTED_VALUE"""),"Lejeune")</f>
        <v>Lejeune</v>
      </c>
      <c r="G106" s="3" t="str">
        <f>IFERROR(__xludf.DUMMYFUNCTION("""COMPUTED_VALUE"""),"Campagnolo")</f>
        <v>Campagnolo</v>
      </c>
      <c r="H106" s="3">
        <f>IFERROR(__xludf.DUMMYFUNCTION("""COMPUTED_VALUE"""),22.0)</f>
        <v>22</v>
      </c>
      <c r="I106" s="3">
        <f>IFERROR(__xludf.DUMMYFUNCTION("""COMPUTED_VALUE"""),4492.0)</f>
        <v>4492</v>
      </c>
      <c r="J106" s="3" t="str">
        <f>IFERROR(__xludf.DUMMYFUNCTION("""COMPUTED_VALUE"""),"33,556 km/h")</f>
        <v>33,556 km/h</v>
      </c>
      <c r="K106" s="3" t="str">
        <f>IFERROR(__xludf.DUMMYFUNCTION("""COMPUTED_VALUE"""),"Aurelio González")</f>
        <v>Aurelio González</v>
      </c>
      <c r="L106" s="3" t="str">
        <f>IFERROR(__xludf.DUMMYFUNCTION("""COMPUTED_VALUE"""),"Franco Bitossi")</f>
        <v>Franco Bitossi</v>
      </c>
      <c r="M106" s="3"/>
      <c r="N106" s="3" t="str">
        <f>IFERROR(__xludf.DUMMYFUNCTION("""COMPUTED_VALUE"""),"Roger Pingeon")</f>
        <v>Roger Pingeon</v>
      </c>
    </row>
    <row r="107">
      <c r="A107" s="3" t="str">
        <f>IFERROR(__xludf.DUMMYFUNCTION("""COMPUTED_VALUE"""),"1969 (56e)")</f>
        <v>1969 (56e)</v>
      </c>
      <c r="B107" s="3" t="str">
        <f>IFERROR(__xludf.DUMMYFUNCTION("""COMPUTED_VALUE"""),"Eddy Merckx")</f>
        <v>Eddy Merckx</v>
      </c>
      <c r="C107" s="3" t="str">
        <f>IFERROR(__xludf.DUMMYFUNCTION("""COMPUTED_VALUE"""),"Roger Pingeon")</f>
        <v>Roger Pingeon</v>
      </c>
      <c r="D107" s="3" t="str">
        <f>IFERROR(__xludf.DUMMYFUNCTION("""COMPUTED_VALUE"""),"Raymond Poulidor")</f>
        <v>Raymond Poulidor</v>
      </c>
      <c r="E107" s="3" t="str">
        <f>IFERROR(__xludf.DUMMYFUNCTION("""COMPUTED_VALUE"""),"Faema")</f>
        <v>Faema</v>
      </c>
      <c r="F107" s="3" t="str">
        <f>IFERROR(__xludf.DUMMYFUNCTION("""COMPUTED_VALUE"""),"Colnago")</f>
        <v>Colnago</v>
      </c>
      <c r="G107" s="3" t="str">
        <f>IFERROR(__xludf.DUMMYFUNCTION("""COMPUTED_VALUE"""),"Campagnolo")</f>
        <v>Campagnolo</v>
      </c>
      <c r="H107" s="3">
        <f>IFERROR(__xludf.DUMMYFUNCTION("""COMPUTED_VALUE"""),22.0)</f>
        <v>22</v>
      </c>
      <c r="I107" s="3">
        <f>IFERROR(__xludf.DUMMYFUNCTION("""COMPUTED_VALUE"""),4117.0)</f>
        <v>4117</v>
      </c>
      <c r="J107" s="3" t="str">
        <f>IFERROR(__xludf.DUMMYFUNCTION("""COMPUTED_VALUE"""),"35,409 km/h")</f>
        <v>35,409 km/h</v>
      </c>
      <c r="K107" s="3" t="str">
        <f>IFERROR(__xludf.DUMMYFUNCTION("""COMPUTED_VALUE"""),"Eddy Merckx")</f>
        <v>Eddy Merckx</v>
      </c>
      <c r="L107" s="3" t="str">
        <f>IFERROR(__xludf.DUMMYFUNCTION("""COMPUTED_VALUE"""),"Eddy Merckx")</f>
        <v>Eddy Merckx</v>
      </c>
      <c r="M107" s="3"/>
      <c r="N107" s="3" t="str">
        <f>IFERROR(__xludf.DUMMYFUNCTION("""COMPUTED_VALUE"""),"Eddy Merckx")</f>
        <v>Eddy Merckx</v>
      </c>
    </row>
    <row r="108">
      <c r="A108" s="3" t="str">
        <f>IFERROR(__xludf.DUMMYFUNCTION("""COMPUTED_VALUE"""),"1970 (57e)")</f>
        <v>1970 (57e)</v>
      </c>
      <c r="B108" s="3" t="str">
        <f>IFERROR(__xludf.DUMMYFUNCTION("""COMPUTED_VALUE"""),"Eddy Merckx")</f>
        <v>Eddy Merckx</v>
      </c>
      <c r="C108" s="3" t="str">
        <f>IFERROR(__xludf.DUMMYFUNCTION("""COMPUTED_VALUE"""),"Joop Zoetemelk")</f>
        <v>Joop Zoetemelk</v>
      </c>
      <c r="D108" s="3" t="str">
        <f>IFERROR(__xludf.DUMMYFUNCTION("""COMPUTED_VALUE"""),"Gösta Pettersson")</f>
        <v>Gösta Pettersson</v>
      </c>
      <c r="E108" s="3" t="str">
        <f>IFERROR(__xludf.DUMMYFUNCTION("""COMPUTED_VALUE"""),"Faemino-Faema")</f>
        <v>Faemino-Faema</v>
      </c>
      <c r="F108" s="3" t="str">
        <f>IFERROR(__xludf.DUMMYFUNCTION("""COMPUTED_VALUE"""),"Colnago")</f>
        <v>Colnago</v>
      </c>
      <c r="G108" s="3" t="str">
        <f>IFERROR(__xludf.DUMMYFUNCTION("""COMPUTED_VALUE"""),"Campagnolo")</f>
        <v>Campagnolo</v>
      </c>
      <c r="H108" s="3">
        <f>IFERROR(__xludf.DUMMYFUNCTION("""COMPUTED_VALUE"""),22.0)</f>
        <v>22</v>
      </c>
      <c r="I108" s="3">
        <f>IFERROR(__xludf.DUMMYFUNCTION("""COMPUTED_VALUE"""),4254.0)</f>
        <v>4254</v>
      </c>
      <c r="J108" s="3" t="str">
        <f>IFERROR(__xludf.DUMMYFUNCTION("""COMPUTED_VALUE"""),"35,589 km/h")</f>
        <v>35,589 km/h</v>
      </c>
      <c r="K108" s="3" t="str">
        <f>IFERROR(__xludf.DUMMYFUNCTION("""COMPUTED_VALUE"""),"Eddy Merckx")</f>
        <v>Eddy Merckx</v>
      </c>
      <c r="L108" s="3" t="str">
        <f>IFERROR(__xludf.DUMMYFUNCTION("""COMPUTED_VALUE"""),"Walter Godefroot")</f>
        <v>Walter Godefroot</v>
      </c>
      <c r="M108" s="3"/>
      <c r="N108" s="3" t="str">
        <f>IFERROR(__xludf.DUMMYFUNCTION("""COMPUTED_VALUE"""),"Eddy Merckx")</f>
        <v>Eddy Merckx</v>
      </c>
    </row>
    <row r="109">
      <c r="A109" s="3" t="str">
        <f>IFERROR(__xludf.DUMMYFUNCTION("""COMPUTED_VALUE"""),"1971 (58e)")</f>
        <v>1971 (58e)</v>
      </c>
      <c r="B109" s="3" t="str">
        <f>IFERROR(__xludf.DUMMYFUNCTION("""COMPUTED_VALUE"""),"Eddy Merckx")</f>
        <v>Eddy Merckx</v>
      </c>
      <c r="C109" s="3" t="str">
        <f>IFERROR(__xludf.DUMMYFUNCTION("""COMPUTED_VALUE"""),"Joop Zoetemelk")</f>
        <v>Joop Zoetemelk</v>
      </c>
      <c r="D109" s="3" t="str">
        <f>IFERROR(__xludf.DUMMYFUNCTION("""COMPUTED_VALUE"""),"Lucien Van Impe")</f>
        <v>Lucien Van Impe</v>
      </c>
      <c r="E109" s="3" t="str">
        <f>IFERROR(__xludf.DUMMYFUNCTION("""COMPUTED_VALUE"""),"Molteni")</f>
        <v>Molteni</v>
      </c>
      <c r="F109" s="3" t="str">
        <f>IFERROR(__xludf.DUMMYFUNCTION("""COMPUTED_VALUE"""),"De Rosa")</f>
        <v>De Rosa</v>
      </c>
      <c r="G109" s="3" t="str">
        <f>IFERROR(__xludf.DUMMYFUNCTION("""COMPUTED_VALUE"""),"Campagnolo")</f>
        <v>Campagnolo</v>
      </c>
      <c r="H109" s="3">
        <f>IFERROR(__xludf.DUMMYFUNCTION("""COMPUTED_VALUE"""),20.0)</f>
        <v>20</v>
      </c>
      <c r="I109" s="3">
        <f>IFERROR(__xludf.DUMMYFUNCTION("""COMPUTED_VALUE"""),3608.0)</f>
        <v>3608</v>
      </c>
      <c r="J109" s="3" t="str">
        <f>IFERROR(__xludf.DUMMYFUNCTION("""COMPUTED_VALUE"""),"38,084 km/h")</f>
        <v>38,084 km/h</v>
      </c>
      <c r="K109" s="3" t="str">
        <f>IFERROR(__xludf.DUMMYFUNCTION("""COMPUTED_VALUE"""),"Lucien Van Impe")</f>
        <v>Lucien Van Impe</v>
      </c>
      <c r="L109" s="3" t="str">
        <f>IFERROR(__xludf.DUMMYFUNCTION("""COMPUTED_VALUE"""),"Eddy Merckx")</f>
        <v>Eddy Merckx</v>
      </c>
      <c r="M109" s="3"/>
      <c r="N109" s="3" t="str">
        <f>IFERROR(__xludf.DUMMYFUNCTION("""COMPUTED_VALUE"""),"Luis Ocaña")</f>
        <v>Luis Ocaña</v>
      </c>
    </row>
    <row r="110">
      <c r="A110" s="3" t="str">
        <f>IFERROR(__xludf.DUMMYFUNCTION("""COMPUTED_VALUE"""),"1972 (59e)")</f>
        <v>1972 (59e)</v>
      </c>
      <c r="B110" s="3" t="str">
        <f>IFERROR(__xludf.DUMMYFUNCTION("""COMPUTED_VALUE"""),"Eddy Merckx")</f>
        <v>Eddy Merckx</v>
      </c>
      <c r="C110" s="3" t="str">
        <f>IFERROR(__xludf.DUMMYFUNCTION("""COMPUTED_VALUE"""),"Felice Gimondi")</f>
        <v>Felice Gimondi</v>
      </c>
      <c r="D110" s="3" t="str">
        <f>IFERROR(__xludf.DUMMYFUNCTION("""COMPUTED_VALUE"""),"Raymond Poulidor")</f>
        <v>Raymond Poulidor</v>
      </c>
      <c r="E110" s="3" t="str">
        <f>IFERROR(__xludf.DUMMYFUNCTION("""COMPUTED_VALUE"""),"Molteni")</f>
        <v>Molteni</v>
      </c>
      <c r="F110" s="3" t="str">
        <f>IFERROR(__xludf.DUMMYFUNCTION("""COMPUTED_VALUE"""),"Colnago")</f>
        <v>Colnago</v>
      </c>
      <c r="G110" s="3" t="str">
        <f>IFERROR(__xludf.DUMMYFUNCTION("""COMPUTED_VALUE"""),"Campagnolo")</f>
        <v>Campagnolo</v>
      </c>
      <c r="H110" s="3">
        <f>IFERROR(__xludf.DUMMYFUNCTION("""COMPUTED_VALUE"""),20.0)</f>
        <v>20</v>
      </c>
      <c r="I110" s="3">
        <f>IFERROR(__xludf.DUMMYFUNCTION("""COMPUTED_VALUE"""),3846.0)</f>
        <v>3846</v>
      </c>
      <c r="J110" s="3" t="str">
        <f>IFERROR(__xludf.DUMMYFUNCTION("""COMPUTED_VALUE"""),"35,514 km/h")</f>
        <v>35,514 km/h</v>
      </c>
      <c r="K110" s="3" t="str">
        <f>IFERROR(__xludf.DUMMYFUNCTION("""COMPUTED_VALUE"""),"Lucien Van Impe")</f>
        <v>Lucien Van Impe</v>
      </c>
      <c r="L110" s="3" t="str">
        <f>IFERROR(__xludf.DUMMYFUNCTION("""COMPUTED_VALUE"""),"Eddy Merckx")</f>
        <v>Eddy Merckx</v>
      </c>
      <c r="M110" s="3"/>
      <c r="N110" s="3" t="str">
        <f>IFERROR(__xludf.DUMMYFUNCTION("""COMPUTED_VALUE"""),"Cyrille Guimard")</f>
        <v>Cyrille Guimard</v>
      </c>
    </row>
    <row r="111">
      <c r="A111" s="3" t="str">
        <f>IFERROR(__xludf.DUMMYFUNCTION("""COMPUTED_VALUE"""),"1973 (60e)")</f>
        <v>1973 (60e)</v>
      </c>
      <c r="B111" s="3" t="str">
        <f>IFERROR(__xludf.DUMMYFUNCTION("""COMPUTED_VALUE"""),"Luis Ocaña")</f>
        <v>Luis Ocaña</v>
      </c>
      <c r="C111" s="3" t="str">
        <f>IFERROR(__xludf.DUMMYFUNCTION("""COMPUTED_VALUE"""),"Bernard Thévenet")</f>
        <v>Bernard Thévenet</v>
      </c>
      <c r="D111" s="3" t="str">
        <f>IFERROR(__xludf.DUMMYFUNCTION("""COMPUTED_VALUE"""),"José Manuel Fuente")</f>
        <v>José Manuel Fuente</v>
      </c>
      <c r="E111" s="3" t="str">
        <f>IFERROR(__xludf.DUMMYFUNCTION("""COMPUTED_VALUE"""),"Bic")</f>
        <v>Bic</v>
      </c>
      <c r="F111" s="3" t="str">
        <f>IFERROR(__xludf.DUMMYFUNCTION("""COMPUTED_VALUE"""),"Motobecane")</f>
        <v>Motobecane</v>
      </c>
      <c r="G111" s="3" t="str">
        <f>IFERROR(__xludf.DUMMYFUNCTION("""COMPUTED_VALUE"""),"Campagnolo")</f>
        <v>Campagnolo</v>
      </c>
      <c r="H111" s="3">
        <f>IFERROR(__xludf.DUMMYFUNCTION("""COMPUTED_VALUE"""),20.0)</f>
        <v>20</v>
      </c>
      <c r="I111" s="3">
        <f>IFERROR(__xludf.DUMMYFUNCTION("""COMPUTED_VALUE"""),4090.0)</f>
        <v>4090</v>
      </c>
      <c r="J111" s="3" t="str">
        <f>IFERROR(__xludf.DUMMYFUNCTION("""COMPUTED_VALUE"""),"33,407 km/h")</f>
        <v>33,407 km/h</v>
      </c>
      <c r="K111" s="3" t="str">
        <f>IFERROR(__xludf.DUMMYFUNCTION("""COMPUTED_VALUE"""),"Pedro Torres")</f>
        <v>Pedro Torres</v>
      </c>
      <c r="L111" s="3" t="str">
        <f>IFERROR(__xludf.DUMMYFUNCTION("""COMPUTED_VALUE"""),"Herman Van Springel")</f>
        <v>Herman Van Springel</v>
      </c>
      <c r="M111" s="3"/>
      <c r="N111" s="3" t="str">
        <f>IFERROR(__xludf.DUMMYFUNCTION("""COMPUTED_VALUE"""),"Luis Ocaña")</f>
        <v>Luis Ocaña</v>
      </c>
    </row>
    <row r="112">
      <c r="A112" s="3" t="str">
        <f>IFERROR(__xludf.DUMMYFUNCTION("""COMPUTED_VALUE"""),"1974 (61e)")</f>
        <v>1974 (61e)</v>
      </c>
      <c r="B112" s="3" t="str">
        <f>IFERROR(__xludf.DUMMYFUNCTION("""COMPUTED_VALUE"""),"Eddy Merckx")</f>
        <v>Eddy Merckx</v>
      </c>
      <c r="C112" s="3" t="str">
        <f>IFERROR(__xludf.DUMMYFUNCTION("""COMPUTED_VALUE"""),"Raymond Poulidor")</f>
        <v>Raymond Poulidor</v>
      </c>
      <c r="D112" s="3" t="str">
        <f>IFERROR(__xludf.DUMMYFUNCTION("""COMPUTED_VALUE"""),"Vicente López Carril")</f>
        <v>Vicente López Carril</v>
      </c>
      <c r="E112" s="3" t="str">
        <f>IFERROR(__xludf.DUMMYFUNCTION("""COMPUTED_VALUE"""),"Molteni")</f>
        <v>Molteni</v>
      </c>
      <c r="F112" s="3" t="str">
        <f>IFERROR(__xludf.DUMMYFUNCTION("""COMPUTED_VALUE"""),"Kessels")</f>
        <v>Kessels</v>
      </c>
      <c r="G112" s="3" t="str">
        <f>IFERROR(__xludf.DUMMYFUNCTION("""COMPUTED_VALUE"""),"Campagnolo")</f>
        <v>Campagnolo</v>
      </c>
      <c r="H112" s="3">
        <f>IFERROR(__xludf.DUMMYFUNCTION("""COMPUTED_VALUE"""),22.0)</f>
        <v>22</v>
      </c>
      <c r="I112" s="3">
        <f>IFERROR(__xludf.DUMMYFUNCTION("""COMPUTED_VALUE"""),4098.0)</f>
        <v>4098</v>
      </c>
      <c r="J112" s="3" t="str">
        <f>IFERROR(__xludf.DUMMYFUNCTION("""COMPUTED_VALUE"""),"35,241 km/h")</f>
        <v>35,241 km/h</v>
      </c>
      <c r="K112" s="3" t="str">
        <f>IFERROR(__xludf.DUMMYFUNCTION("""COMPUTED_VALUE"""),"Domingo Perurena")</f>
        <v>Domingo Perurena</v>
      </c>
      <c r="L112" s="3" t="str">
        <f>IFERROR(__xludf.DUMMYFUNCTION("""COMPUTED_VALUE"""),"Patrick Sercu")</f>
        <v>Patrick Sercu</v>
      </c>
      <c r="M112" s="3"/>
      <c r="N112" s="3" t="str">
        <f>IFERROR(__xludf.DUMMYFUNCTION("""COMPUTED_VALUE"""),"Eddy Merckx")</f>
        <v>Eddy Merckx</v>
      </c>
    </row>
    <row r="113">
      <c r="A113" s="3" t="str">
        <f>IFERROR(__xludf.DUMMYFUNCTION("""COMPUTED_VALUE"""),"1975 (62e)")</f>
        <v>1975 (62e)</v>
      </c>
      <c r="B113" s="3" t="str">
        <f>IFERROR(__xludf.DUMMYFUNCTION("""COMPUTED_VALUE"""),"Bernard Thévenet")</f>
        <v>Bernard Thévenet</v>
      </c>
      <c r="C113" s="3" t="str">
        <f>IFERROR(__xludf.DUMMYFUNCTION("""COMPUTED_VALUE"""),"Eddy Merckx")</f>
        <v>Eddy Merckx</v>
      </c>
      <c r="D113" s="3" t="str">
        <f>IFERROR(__xludf.DUMMYFUNCTION("""COMPUTED_VALUE"""),"Lucien Van Impe")</f>
        <v>Lucien Van Impe</v>
      </c>
      <c r="E113" s="3" t="str">
        <f>IFERROR(__xludf.DUMMYFUNCTION("""COMPUTED_VALUE"""),"Peugeot-BP-Michelin")</f>
        <v>Peugeot-BP-Michelin</v>
      </c>
      <c r="F113" s="3" t="str">
        <f>IFERROR(__xludf.DUMMYFUNCTION("""COMPUTED_VALUE"""),"Peugeot")</f>
        <v>Peugeot</v>
      </c>
      <c r="G113" s="3" t="str">
        <f>IFERROR(__xludf.DUMMYFUNCTION("""COMPUTED_VALUE"""),"Simplex (en)")</f>
        <v>Simplex (en)</v>
      </c>
      <c r="H113" s="3">
        <f>IFERROR(__xludf.DUMMYFUNCTION("""COMPUTED_VALUE"""),22.0)</f>
        <v>22</v>
      </c>
      <c r="I113" s="3">
        <f>IFERROR(__xludf.DUMMYFUNCTION("""COMPUTED_VALUE"""),4000.0)</f>
        <v>4000</v>
      </c>
      <c r="J113" s="3" t="str">
        <f>IFERROR(__xludf.DUMMYFUNCTION("""COMPUTED_VALUE"""),"34,906 km/h")</f>
        <v>34,906 km/h</v>
      </c>
      <c r="K113" s="3" t="str">
        <f>IFERROR(__xludf.DUMMYFUNCTION("""COMPUTED_VALUE"""),"Lucien Van Impe")</f>
        <v>Lucien Van Impe</v>
      </c>
      <c r="L113" s="3" t="str">
        <f>IFERROR(__xludf.DUMMYFUNCTION("""COMPUTED_VALUE"""),"Rik Van Linden")</f>
        <v>Rik Van Linden</v>
      </c>
      <c r="M113" s="3" t="str">
        <f>IFERROR(__xludf.DUMMYFUNCTION("""COMPUTED_VALUE"""),"Francesco Moser")</f>
        <v>Francesco Moser</v>
      </c>
      <c r="N113" s="3" t="str">
        <f>IFERROR(__xludf.DUMMYFUNCTION("""COMPUTED_VALUE"""),"Eddy Merckx")</f>
        <v>Eddy Merckx</v>
      </c>
    </row>
    <row r="114">
      <c r="A114" s="3" t="str">
        <f>IFERROR(__xludf.DUMMYFUNCTION("""COMPUTED_VALUE"""),"1976 (63e)")</f>
        <v>1976 (63e)</v>
      </c>
      <c r="B114" s="3" t="str">
        <f>IFERROR(__xludf.DUMMYFUNCTION("""COMPUTED_VALUE"""),"Lucien Van Impe")</f>
        <v>Lucien Van Impe</v>
      </c>
      <c r="C114" s="3" t="str">
        <f>IFERROR(__xludf.DUMMYFUNCTION("""COMPUTED_VALUE"""),"Joop Zoetemelk")</f>
        <v>Joop Zoetemelk</v>
      </c>
      <c r="D114" s="3" t="str">
        <f>IFERROR(__xludf.DUMMYFUNCTION("""COMPUTED_VALUE"""),"Raymond Poulidor")</f>
        <v>Raymond Poulidor</v>
      </c>
      <c r="E114" s="3" t="str">
        <f>IFERROR(__xludf.DUMMYFUNCTION("""COMPUTED_VALUE"""),"Gitane-Campagnolo")</f>
        <v>Gitane-Campagnolo</v>
      </c>
      <c r="F114" s="3" t="str">
        <f>IFERROR(__xludf.DUMMYFUNCTION("""COMPUTED_VALUE"""),"Cycles Gitane")</f>
        <v>Cycles Gitane</v>
      </c>
      <c r="G114" s="3" t="str">
        <f>IFERROR(__xludf.DUMMYFUNCTION("""COMPUTED_VALUE"""),"Campagnolo")</f>
        <v>Campagnolo</v>
      </c>
      <c r="H114" s="3">
        <f>IFERROR(__xludf.DUMMYFUNCTION("""COMPUTED_VALUE"""),22.0)</f>
        <v>22</v>
      </c>
      <c r="I114" s="3">
        <f>IFERROR(__xludf.DUMMYFUNCTION("""COMPUTED_VALUE"""),4017.0)</f>
        <v>4017</v>
      </c>
      <c r="J114" s="3" t="str">
        <f>IFERROR(__xludf.DUMMYFUNCTION("""COMPUTED_VALUE"""),"34,518 km/h")</f>
        <v>34,518 km/h</v>
      </c>
      <c r="K114" s="3" t="str">
        <f>IFERROR(__xludf.DUMMYFUNCTION("""COMPUTED_VALUE"""),"Giancarlo Bellini")</f>
        <v>Giancarlo Bellini</v>
      </c>
      <c r="L114" s="3" t="str">
        <f>IFERROR(__xludf.DUMMYFUNCTION("""COMPUTED_VALUE"""),"Freddy Maertens")</f>
        <v>Freddy Maertens</v>
      </c>
      <c r="M114" s="3" t="str">
        <f>IFERROR(__xludf.DUMMYFUNCTION("""COMPUTED_VALUE"""),"Enrique Martínez Heredia")</f>
        <v>Enrique Martínez Heredia</v>
      </c>
      <c r="N114" s="3" t="str">
        <f>IFERROR(__xludf.DUMMYFUNCTION("""COMPUTED_VALUE"""),"Raymond Delisle")</f>
        <v>Raymond Delisle</v>
      </c>
    </row>
    <row r="115">
      <c r="A115" s="3" t="str">
        <f>IFERROR(__xludf.DUMMYFUNCTION("""COMPUTED_VALUE"""),"1977 (64e)")</f>
        <v>1977 (64e)</v>
      </c>
      <c r="B115" s="3" t="str">
        <f>IFERROR(__xludf.DUMMYFUNCTION("""COMPUTED_VALUE"""),"Bernard Thévenet")</f>
        <v>Bernard Thévenet</v>
      </c>
      <c r="C115" s="3" t="str">
        <f>IFERROR(__xludf.DUMMYFUNCTION("""COMPUTED_VALUE"""),"Hennie Kuiper")</f>
        <v>Hennie Kuiper</v>
      </c>
      <c r="D115" s="3" t="str">
        <f>IFERROR(__xludf.DUMMYFUNCTION("""COMPUTED_VALUE"""),"Lucien Van Impe")</f>
        <v>Lucien Van Impe</v>
      </c>
      <c r="E115" s="3" t="str">
        <f>IFERROR(__xludf.DUMMYFUNCTION("""COMPUTED_VALUE"""),"Peugeot-Esso-Michelin")</f>
        <v>Peugeot-Esso-Michelin</v>
      </c>
      <c r="F115" s="3" t="str">
        <f>IFERROR(__xludf.DUMMYFUNCTION("""COMPUTED_VALUE"""),"Peugeot")</f>
        <v>Peugeot</v>
      </c>
      <c r="G115" s="3" t="str">
        <f>IFERROR(__xludf.DUMMYFUNCTION("""COMPUTED_VALUE"""),"Simplex (en)")</f>
        <v>Simplex (en)</v>
      </c>
      <c r="H115" s="3">
        <f>IFERROR(__xludf.DUMMYFUNCTION("""COMPUTED_VALUE"""),22.0)</f>
        <v>22</v>
      </c>
      <c r="I115" s="3">
        <f>IFERROR(__xludf.DUMMYFUNCTION("""COMPUTED_VALUE"""),4096.0)</f>
        <v>4096</v>
      </c>
      <c r="J115" s="3" t="str">
        <f>IFERROR(__xludf.DUMMYFUNCTION("""COMPUTED_VALUE"""),"35,419 km/h")</f>
        <v>35,419 km/h</v>
      </c>
      <c r="K115" s="3" t="str">
        <f>IFERROR(__xludf.DUMMYFUNCTION("""COMPUTED_VALUE"""),"Lucien Van Impe")</f>
        <v>Lucien Van Impe</v>
      </c>
      <c r="L115" s="3" t="str">
        <f>IFERROR(__xludf.DUMMYFUNCTION("""COMPUTED_VALUE"""),"Jacques Esclassan")</f>
        <v>Jacques Esclassan</v>
      </c>
      <c r="M115" s="3" t="str">
        <f>IFERROR(__xludf.DUMMYFUNCTION("""COMPUTED_VALUE"""),"Dietrich Thurau")</f>
        <v>Dietrich Thurau</v>
      </c>
      <c r="N115" s="3" t="str">
        <f>IFERROR(__xludf.DUMMYFUNCTION("""COMPUTED_VALUE"""),"Gerrie Knetemann")</f>
        <v>Gerrie Knetemann</v>
      </c>
    </row>
    <row r="116">
      <c r="A116" s="3" t="str">
        <f>IFERROR(__xludf.DUMMYFUNCTION("""COMPUTED_VALUE"""),"1978 (65e)")</f>
        <v>1978 (65e)</v>
      </c>
      <c r="B116" s="3" t="str">
        <f>IFERROR(__xludf.DUMMYFUNCTION("""COMPUTED_VALUE"""),"Bernard Hinault")</f>
        <v>Bernard Hinault</v>
      </c>
      <c r="C116" s="3" t="str">
        <f>IFERROR(__xludf.DUMMYFUNCTION("""COMPUTED_VALUE"""),"Joop Zoetemelk")</f>
        <v>Joop Zoetemelk</v>
      </c>
      <c r="D116" s="3" t="str">
        <f>IFERROR(__xludf.DUMMYFUNCTION("""COMPUTED_VALUE"""),"Joaquim Agostinho")</f>
        <v>Joaquim Agostinho</v>
      </c>
      <c r="E116" s="3" t="str">
        <f>IFERROR(__xludf.DUMMYFUNCTION("""COMPUTED_VALUE"""),"Renault-Gitane-Campagnolo")</f>
        <v>Renault-Gitane-Campagnolo</v>
      </c>
      <c r="F116" s="3" t="str">
        <f>IFERROR(__xludf.DUMMYFUNCTION("""COMPUTED_VALUE"""),"Cycles Gitane")</f>
        <v>Cycles Gitane</v>
      </c>
      <c r="G116" s="3" t="str">
        <f>IFERROR(__xludf.DUMMYFUNCTION("""COMPUTED_VALUE"""),"Campagnolo")</f>
        <v>Campagnolo</v>
      </c>
      <c r="H116" s="3">
        <f>IFERROR(__xludf.DUMMYFUNCTION("""COMPUTED_VALUE"""),22.0)</f>
        <v>22</v>
      </c>
      <c r="I116" s="3">
        <f>IFERROR(__xludf.DUMMYFUNCTION("""COMPUTED_VALUE"""),3908.0)</f>
        <v>3908</v>
      </c>
      <c r="J116" s="3" t="str">
        <f>IFERROR(__xludf.DUMMYFUNCTION("""COMPUTED_VALUE"""),"36,084 km/h")</f>
        <v>36,084 km/h</v>
      </c>
      <c r="K116" s="3" t="str">
        <f>IFERROR(__xludf.DUMMYFUNCTION("""COMPUTED_VALUE"""),"Mariano Martinez")</f>
        <v>Mariano Martinez</v>
      </c>
      <c r="L116" s="3" t="str">
        <f>IFERROR(__xludf.DUMMYFUNCTION("""COMPUTED_VALUE"""),"Freddy Maertens")</f>
        <v>Freddy Maertens</v>
      </c>
      <c r="M116" s="3" t="str">
        <f>IFERROR(__xludf.DUMMYFUNCTION("""COMPUTED_VALUE"""),"Henk Lubberding")</f>
        <v>Henk Lubberding</v>
      </c>
      <c r="N116" s="3" t="str">
        <f>IFERROR(__xludf.DUMMYFUNCTION("""COMPUTED_VALUE"""),"Paul Wellens")</f>
        <v>Paul Wellens</v>
      </c>
    </row>
    <row r="117">
      <c r="A117" s="3" t="str">
        <f>IFERROR(__xludf.DUMMYFUNCTION("""COMPUTED_VALUE"""),"1979 (66e)")</f>
        <v>1979 (66e)</v>
      </c>
      <c r="B117" s="3" t="str">
        <f>IFERROR(__xludf.DUMMYFUNCTION("""COMPUTED_VALUE"""),"Bernard Hinault")</f>
        <v>Bernard Hinault</v>
      </c>
      <c r="C117" s="3" t="str">
        <f>IFERROR(__xludf.DUMMYFUNCTION("""COMPUTED_VALUE"""),"Joop Zoetemelk")</f>
        <v>Joop Zoetemelk</v>
      </c>
      <c r="D117" s="3" t="str">
        <f>IFERROR(__xludf.DUMMYFUNCTION("""COMPUTED_VALUE"""),"Joaquim Agostinho")</f>
        <v>Joaquim Agostinho</v>
      </c>
      <c r="E117" s="3" t="str">
        <f>IFERROR(__xludf.DUMMYFUNCTION("""COMPUTED_VALUE"""),"Renault-Gitane")</f>
        <v>Renault-Gitane</v>
      </c>
      <c r="F117" s="3" t="str">
        <f>IFERROR(__xludf.DUMMYFUNCTION("""COMPUTED_VALUE"""),"Cycles Gitane")</f>
        <v>Cycles Gitane</v>
      </c>
      <c r="G117" s="3" t="str">
        <f>IFERROR(__xludf.DUMMYFUNCTION("""COMPUTED_VALUE"""),"Campagnolo")</f>
        <v>Campagnolo</v>
      </c>
      <c r="H117" s="3">
        <f>IFERROR(__xludf.DUMMYFUNCTION("""COMPUTED_VALUE"""),24.0)</f>
        <v>24</v>
      </c>
      <c r="I117" s="3">
        <f>IFERROR(__xludf.DUMMYFUNCTION("""COMPUTED_VALUE"""),3765.0)</f>
        <v>3765</v>
      </c>
      <c r="J117" s="3" t="str">
        <f>IFERROR(__xludf.DUMMYFUNCTION("""COMPUTED_VALUE"""),"36,513 km/h")</f>
        <v>36,513 km/h</v>
      </c>
      <c r="K117" s="3" t="str">
        <f>IFERROR(__xludf.DUMMYFUNCTION("""COMPUTED_VALUE"""),"Giovanni Battaglin")</f>
        <v>Giovanni Battaglin</v>
      </c>
      <c r="L117" s="3" t="str">
        <f>IFERROR(__xludf.DUMMYFUNCTION("""COMPUTED_VALUE"""),"Bernard Hinault")</f>
        <v>Bernard Hinault</v>
      </c>
      <c r="M117" s="3" t="str">
        <f>IFERROR(__xludf.DUMMYFUNCTION("""COMPUTED_VALUE"""),"Jean-René Bernaudeau")</f>
        <v>Jean-René Bernaudeau</v>
      </c>
      <c r="N117" s="3" t="str">
        <f>IFERROR(__xludf.DUMMYFUNCTION("""COMPUTED_VALUE"""),"Hennie Kuiper")</f>
        <v>Hennie Kuiper</v>
      </c>
    </row>
    <row r="118">
      <c r="A118" s="3" t="str">
        <f>IFERROR(__xludf.DUMMYFUNCTION("""COMPUTED_VALUE"""),"1980 (67e)")</f>
        <v>1980 (67e)</v>
      </c>
      <c r="B118" s="3" t="str">
        <f>IFERROR(__xludf.DUMMYFUNCTION("""COMPUTED_VALUE"""),"Joop Zoetemelk")</f>
        <v>Joop Zoetemelk</v>
      </c>
      <c r="C118" s="3" t="str">
        <f>IFERROR(__xludf.DUMMYFUNCTION("""COMPUTED_VALUE"""),"Hennie Kuiper")</f>
        <v>Hennie Kuiper</v>
      </c>
      <c r="D118" s="3" t="str">
        <f>IFERROR(__xludf.DUMMYFUNCTION("""COMPUTED_VALUE"""),"Raymond Martin")</f>
        <v>Raymond Martin</v>
      </c>
      <c r="E118" s="3" t="str">
        <f>IFERROR(__xludf.DUMMYFUNCTION("""COMPUTED_VALUE"""),"TI-Raleigh-Creda")</f>
        <v>TI-Raleigh-Creda</v>
      </c>
      <c r="F118" s="3" t="str">
        <f>IFERROR(__xludf.DUMMYFUNCTION("""COMPUTED_VALUE"""),"Raleigh")</f>
        <v>Raleigh</v>
      </c>
      <c r="G118" s="3" t="str">
        <f>IFERROR(__xludf.DUMMYFUNCTION("""COMPUTED_VALUE"""),"Campagnolo")</f>
        <v>Campagnolo</v>
      </c>
      <c r="H118" s="3">
        <f>IFERROR(__xludf.DUMMYFUNCTION("""COMPUTED_VALUE"""),22.0)</f>
        <v>22</v>
      </c>
      <c r="I118" s="3">
        <f>IFERROR(__xludf.DUMMYFUNCTION("""COMPUTED_VALUE"""),3842.0)</f>
        <v>3842</v>
      </c>
      <c r="J118" s="3" t="str">
        <f>IFERROR(__xludf.DUMMYFUNCTION("""COMPUTED_VALUE"""),"35,144 km/h")</f>
        <v>35,144 km/h</v>
      </c>
      <c r="K118" s="3" t="str">
        <f>IFERROR(__xludf.DUMMYFUNCTION("""COMPUTED_VALUE"""),"Raymond Martin")</f>
        <v>Raymond Martin</v>
      </c>
      <c r="L118" s="3" t="str">
        <f>IFERROR(__xludf.DUMMYFUNCTION("""COMPUTED_VALUE"""),"Rudy Pevenage")</f>
        <v>Rudy Pevenage</v>
      </c>
      <c r="M118" s="3" t="str">
        <f>IFERROR(__xludf.DUMMYFUNCTION("""COMPUTED_VALUE"""),"Johan van der Velde")</f>
        <v>Johan van der Velde</v>
      </c>
      <c r="N118" s="3" t="str">
        <f>IFERROR(__xludf.DUMMYFUNCTION("""COMPUTED_VALUE"""),"Christian Levavasseur")</f>
        <v>Christian Levavasseur</v>
      </c>
    </row>
    <row r="119">
      <c r="A119" s="3" t="str">
        <f>IFERROR(__xludf.DUMMYFUNCTION("""COMPUTED_VALUE"""),"1981 (68e)")</f>
        <v>1981 (68e)</v>
      </c>
      <c r="B119" s="3" t="str">
        <f>IFERROR(__xludf.DUMMYFUNCTION("""COMPUTED_VALUE"""),"Bernard Hinault")</f>
        <v>Bernard Hinault</v>
      </c>
      <c r="C119" s="3" t="str">
        <f>IFERROR(__xludf.DUMMYFUNCTION("""COMPUTED_VALUE"""),"Lucien Van Impe")</f>
        <v>Lucien Van Impe</v>
      </c>
      <c r="D119" s="3" t="str">
        <f>IFERROR(__xludf.DUMMYFUNCTION("""COMPUTED_VALUE"""),"Robert Alban")</f>
        <v>Robert Alban</v>
      </c>
      <c r="E119" s="3" t="str">
        <f>IFERROR(__xludf.DUMMYFUNCTION("""COMPUTED_VALUE"""),"Renault-Elf-Gitane")</f>
        <v>Renault-Elf-Gitane</v>
      </c>
      <c r="F119" s="3" t="str">
        <f>IFERROR(__xludf.DUMMYFUNCTION("""COMPUTED_VALUE"""),"Cycles Gitane")</f>
        <v>Cycles Gitane</v>
      </c>
      <c r="G119" s="3" t="str">
        <f>IFERROR(__xludf.DUMMYFUNCTION("""COMPUTED_VALUE"""),"Campagnolo")</f>
        <v>Campagnolo</v>
      </c>
      <c r="H119" s="3">
        <f>IFERROR(__xludf.DUMMYFUNCTION("""COMPUTED_VALUE"""),24.0)</f>
        <v>24</v>
      </c>
      <c r="I119" s="3">
        <f>IFERROR(__xludf.DUMMYFUNCTION("""COMPUTED_VALUE"""),3753.0)</f>
        <v>3753</v>
      </c>
      <c r="J119" s="3" t="str">
        <f>IFERROR(__xludf.DUMMYFUNCTION("""COMPUTED_VALUE"""),"38,960 km/h")</f>
        <v>38,960 km/h</v>
      </c>
      <c r="K119" s="3" t="str">
        <f>IFERROR(__xludf.DUMMYFUNCTION("""COMPUTED_VALUE"""),"Lucien Van Impe")</f>
        <v>Lucien Van Impe</v>
      </c>
      <c r="L119" s="3" t="str">
        <f>IFERROR(__xludf.DUMMYFUNCTION("""COMPUTED_VALUE"""),"Freddy Maertens")</f>
        <v>Freddy Maertens</v>
      </c>
      <c r="M119" s="3" t="str">
        <f>IFERROR(__xludf.DUMMYFUNCTION("""COMPUTED_VALUE"""),"Peter Winnen")</f>
        <v>Peter Winnen</v>
      </c>
      <c r="N119" s="3" t="str">
        <f>IFERROR(__xludf.DUMMYFUNCTION("""COMPUTED_VALUE"""),"Bernard Hinault")</f>
        <v>Bernard Hinault</v>
      </c>
    </row>
    <row r="120">
      <c r="A120" s="3" t="str">
        <f>IFERROR(__xludf.DUMMYFUNCTION("""COMPUTED_VALUE"""),"1982 (69e)")</f>
        <v>1982 (69e)</v>
      </c>
      <c r="B120" s="3" t="str">
        <f>IFERROR(__xludf.DUMMYFUNCTION("""COMPUTED_VALUE"""),"Bernard Hinault")</f>
        <v>Bernard Hinault</v>
      </c>
      <c r="C120" s="3" t="str">
        <f>IFERROR(__xludf.DUMMYFUNCTION("""COMPUTED_VALUE"""),"Joop Zoetemelk")</f>
        <v>Joop Zoetemelk</v>
      </c>
      <c r="D120" s="3" t="str">
        <f>IFERROR(__xludf.DUMMYFUNCTION("""COMPUTED_VALUE"""),"Johan van der Velde")</f>
        <v>Johan van der Velde</v>
      </c>
      <c r="E120" s="3" t="str">
        <f>IFERROR(__xludf.DUMMYFUNCTION("""COMPUTED_VALUE"""),"Renault-Elf-Gitane")</f>
        <v>Renault-Elf-Gitane</v>
      </c>
      <c r="F120" s="3" t="str">
        <f>IFERROR(__xludf.DUMMYFUNCTION("""COMPUTED_VALUE"""),"Cycles Gitane")</f>
        <v>Cycles Gitane</v>
      </c>
      <c r="G120" s="3" t="str">
        <f>IFERROR(__xludf.DUMMYFUNCTION("""COMPUTED_VALUE"""),"Campagnolo")</f>
        <v>Campagnolo</v>
      </c>
      <c r="H120" s="3">
        <f>IFERROR(__xludf.DUMMYFUNCTION("""COMPUTED_VALUE"""),21.0)</f>
        <v>21</v>
      </c>
      <c r="I120" s="3">
        <f>IFERROR(__xludf.DUMMYFUNCTION("""COMPUTED_VALUE"""),3507.0)</f>
        <v>3507</v>
      </c>
      <c r="J120" s="3" t="str">
        <f>IFERROR(__xludf.DUMMYFUNCTION("""COMPUTED_VALUE"""),"38,059 km/h")</f>
        <v>38,059 km/h</v>
      </c>
      <c r="K120" s="3" t="str">
        <f>IFERROR(__xludf.DUMMYFUNCTION("""COMPUTED_VALUE"""),"Bernard Vallet")</f>
        <v>Bernard Vallet</v>
      </c>
      <c r="L120" s="3" t="str">
        <f>IFERROR(__xludf.DUMMYFUNCTION("""COMPUTED_VALUE"""),"Sean Kelly")</f>
        <v>Sean Kelly</v>
      </c>
      <c r="M120" s="3" t="str">
        <f>IFERROR(__xludf.DUMMYFUNCTION("""COMPUTED_VALUE"""),"Phil Anderson")</f>
        <v>Phil Anderson</v>
      </c>
      <c r="N120" s="3" t="str">
        <f>IFERROR(__xludf.DUMMYFUNCTION("""COMPUTED_VALUE"""),"Régis Clère")</f>
        <v>Régis Clère</v>
      </c>
    </row>
    <row r="121">
      <c r="A121" s="3" t="str">
        <f>IFERROR(__xludf.DUMMYFUNCTION("""COMPUTED_VALUE"""),"1983 (70e)")</f>
        <v>1983 (70e)</v>
      </c>
      <c r="B121" s="3" t="str">
        <f>IFERROR(__xludf.DUMMYFUNCTION("""COMPUTED_VALUE"""),"Laurent Fignon")</f>
        <v>Laurent Fignon</v>
      </c>
      <c r="C121" s="3" t="str">
        <f>IFERROR(__xludf.DUMMYFUNCTION("""COMPUTED_VALUE"""),"Ángel Arroyo")</f>
        <v>Ángel Arroyo</v>
      </c>
      <c r="D121" s="3" t="str">
        <f>IFERROR(__xludf.DUMMYFUNCTION("""COMPUTED_VALUE"""),"Peter Winnen")</f>
        <v>Peter Winnen</v>
      </c>
      <c r="E121" s="3" t="str">
        <f>IFERROR(__xludf.DUMMYFUNCTION("""COMPUTED_VALUE"""),"Renault-Elf")</f>
        <v>Renault-Elf</v>
      </c>
      <c r="F121" s="3" t="str">
        <f>IFERROR(__xludf.DUMMYFUNCTION("""COMPUTED_VALUE"""),"Cycles Gitane")</f>
        <v>Cycles Gitane</v>
      </c>
      <c r="G121" s="3" t="str">
        <f>IFERROR(__xludf.DUMMYFUNCTION("""COMPUTED_VALUE"""),"Simplex (en)")</f>
        <v>Simplex (en)</v>
      </c>
      <c r="H121" s="3">
        <f>IFERROR(__xludf.DUMMYFUNCTION("""COMPUTED_VALUE"""),22.0)</f>
        <v>22</v>
      </c>
      <c r="I121" s="3">
        <f>IFERROR(__xludf.DUMMYFUNCTION("""COMPUTED_VALUE"""),3809.0)</f>
        <v>3809</v>
      </c>
      <c r="J121" s="3" t="str">
        <f>IFERROR(__xludf.DUMMYFUNCTION("""COMPUTED_VALUE"""),"36,230 km/h")</f>
        <v>36,230 km/h</v>
      </c>
      <c r="K121" s="3" t="str">
        <f>IFERROR(__xludf.DUMMYFUNCTION("""COMPUTED_VALUE"""),"Lucien Van Impe")</f>
        <v>Lucien Van Impe</v>
      </c>
      <c r="L121" s="3" t="str">
        <f>IFERROR(__xludf.DUMMYFUNCTION("""COMPUTED_VALUE"""),"Sean Kelly")</f>
        <v>Sean Kelly</v>
      </c>
      <c r="M121" s="3" t="str">
        <f>IFERROR(__xludf.DUMMYFUNCTION("""COMPUTED_VALUE"""),"Laurent Fignon")</f>
        <v>Laurent Fignon</v>
      </c>
      <c r="N121" s="3" t="str">
        <f>IFERROR(__xludf.DUMMYFUNCTION("""COMPUTED_VALUE"""),"Serge Demierre")</f>
        <v>Serge Demierre</v>
      </c>
    </row>
    <row r="122">
      <c r="A122" s="3" t="str">
        <f>IFERROR(__xludf.DUMMYFUNCTION("""COMPUTED_VALUE"""),"1984 (71e)")</f>
        <v>1984 (71e)</v>
      </c>
      <c r="B122" s="3" t="str">
        <f>IFERROR(__xludf.DUMMYFUNCTION("""COMPUTED_VALUE"""),"Laurent Fignon")</f>
        <v>Laurent Fignon</v>
      </c>
      <c r="C122" s="3" t="str">
        <f>IFERROR(__xludf.DUMMYFUNCTION("""COMPUTED_VALUE"""),"Bernard Hinault")</f>
        <v>Bernard Hinault</v>
      </c>
      <c r="D122" s="3" t="str">
        <f>IFERROR(__xludf.DUMMYFUNCTION("""COMPUTED_VALUE"""),"Greg LeMond")</f>
        <v>Greg LeMond</v>
      </c>
      <c r="E122" s="3" t="str">
        <f>IFERROR(__xludf.DUMMYFUNCTION("""COMPUTED_VALUE"""),"Renault-Elf")</f>
        <v>Renault-Elf</v>
      </c>
      <c r="F122" s="3" t="str">
        <f>IFERROR(__xludf.DUMMYFUNCTION("""COMPUTED_VALUE"""),"Cycles Gitane")</f>
        <v>Cycles Gitane</v>
      </c>
      <c r="G122" s="3" t="str">
        <f>IFERROR(__xludf.DUMMYFUNCTION("""COMPUTED_VALUE"""),"Campagnolo")</f>
        <v>Campagnolo</v>
      </c>
      <c r="H122" s="3">
        <f>IFERROR(__xludf.DUMMYFUNCTION("""COMPUTED_VALUE"""),23.0)</f>
        <v>23</v>
      </c>
      <c r="I122" s="3">
        <f>IFERROR(__xludf.DUMMYFUNCTION("""COMPUTED_VALUE"""),4021.0)</f>
        <v>4021</v>
      </c>
      <c r="J122" s="3" t="str">
        <f>IFERROR(__xludf.DUMMYFUNCTION("""COMPUTED_VALUE"""),"35,882 km/h")</f>
        <v>35,882 km/h</v>
      </c>
      <c r="K122" s="3" t="str">
        <f>IFERROR(__xludf.DUMMYFUNCTION("""COMPUTED_VALUE"""),"Robert Millar")</f>
        <v>Robert Millar</v>
      </c>
      <c r="L122" s="3" t="str">
        <f>IFERROR(__xludf.DUMMYFUNCTION("""COMPUTED_VALUE"""),"Frank Hoste")</f>
        <v>Frank Hoste</v>
      </c>
      <c r="M122" s="3" t="str">
        <f>IFERROR(__xludf.DUMMYFUNCTION("""COMPUTED_VALUE"""),"Greg LeMond")</f>
        <v>Greg LeMond</v>
      </c>
      <c r="N122" s="3" t="str">
        <f>IFERROR(__xludf.DUMMYFUNCTION("""COMPUTED_VALUE"""),"Bernard Hinault")</f>
        <v>Bernard Hinault</v>
      </c>
    </row>
    <row r="123">
      <c r="A123" s="3" t="str">
        <f>IFERROR(__xludf.DUMMYFUNCTION("""COMPUTED_VALUE"""),"1985 (72e)")</f>
        <v>1985 (72e)</v>
      </c>
      <c r="B123" s="3" t="str">
        <f>IFERROR(__xludf.DUMMYFUNCTION("""COMPUTED_VALUE"""),"Bernard Hinault")</f>
        <v>Bernard Hinault</v>
      </c>
      <c r="C123" s="3" t="str">
        <f>IFERROR(__xludf.DUMMYFUNCTION("""COMPUTED_VALUE"""),"Greg LeMond")</f>
        <v>Greg LeMond</v>
      </c>
      <c r="D123" s="3" t="str">
        <f>IFERROR(__xludf.DUMMYFUNCTION("""COMPUTED_VALUE"""),"Stephen Roche")</f>
        <v>Stephen Roche</v>
      </c>
      <c r="E123" s="3" t="str">
        <f>IFERROR(__xludf.DUMMYFUNCTION("""COMPUTED_VALUE"""),"La Vie claire-Radar")</f>
        <v>La Vie claire-Radar</v>
      </c>
      <c r="F123" s="3" t="str">
        <f>IFERROR(__xludf.DUMMYFUNCTION("""COMPUTED_VALUE"""),"Look")</f>
        <v>Look</v>
      </c>
      <c r="G123" s="3" t="str">
        <f>IFERROR(__xludf.DUMMYFUNCTION("""COMPUTED_VALUE"""),"Campagnolo")</f>
        <v>Campagnolo</v>
      </c>
      <c r="H123" s="3">
        <f>IFERROR(__xludf.DUMMYFUNCTION("""COMPUTED_VALUE"""),22.0)</f>
        <v>22</v>
      </c>
      <c r="I123" s="3">
        <f>IFERROR(__xludf.DUMMYFUNCTION("""COMPUTED_VALUE"""),4109.0)</f>
        <v>4109</v>
      </c>
      <c r="J123" s="3" t="str">
        <f>IFERROR(__xludf.DUMMYFUNCTION("""COMPUTED_VALUE"""),"36,232 km/h")</f>
        <v>36,232 km/h</v>
      </c>
      <c r="K123" s="3" t="str">
        <f>IFERROR(__xludf.DUMMYFUNCTION("""COMPUTED_VALUE"""),"Luis Herrera")</f>
        <v>Luis Herrera</v>
      </c>
      <c r="L123" s="3" t="str">
        <f>IFERROR(__xludf.DUMMYFUNCTION("""COMPUTED_VALUE"""),"Sean Kelly")</f>
        <v>Sean Kelly</v>
      </c>
      <c r="M123" s="3" t="str">
        <f>IFERROR(__xludf.DUMMYFUNCTION("""COMPUTED_VALUE"""),"Fabio Parra")</f>
        <v>Fabio Parra</v>
      </c>
      <c r="N123" s="3" t="str">
        <f>IFERROR(__xludf.DUMMYFUNCTION("""COMPUTED_VALUE"""),"Maarten Ducrot")</f>
        <v>Maarten Ducrot</v>
      </c>
    </row>
    <row r="124">
      <c r="A124" s="3" t="str">
        <f>IFERROR(__xludf.DUMMYFUNCTION("""COMPUTED_VALUE"""),"1986 (73e)")</f>
        <v>1986 (73e)</v>
      </c>
      <c r="B124" s="3" t="str">
        <f>IFERROR(__xludf.DUMMYFUNCTION("""COMPUTED_VALUE"""),"Greg LeMond")</f>
        <v>Greg LeMond</v>
      </c>
      <c r="C124" s="3" t="str">
        <f>IFERROR(__xludf.DUMMYFUNCTION("""COMPUTED_VALUE"""),"Bernard Hinault")</f>
        <v>Bernard Hinault</v>
      </c>
      <c r="D124" s="3" t="str">
        <f>IFERROR(__xludf.DUMMYFUNCTION("""COMPUTED_VALUE"""),"Urs Zimmermann")</f>
        <v>Urs Zimmermann</v>
      </c>
      <c r="E124" s="3" t="str">
        <f>IFERROR(__xludf.DUMMYFUNCTION("""COMPUTED_VALUE"""),"La Vie claire-Radar")</f>
        <v>La Vie claire-Radar</v>
      </c>
      <c r="F124" s="3" t="str">
        <f>IFERROR(__xludf.DUMMYFUNCTION("""COMPUTED_VALUE"""),"Look")</f>
        <v>Look</v>
      </c>
      <c r="G124" s="3" t="str">
        <f>IFERROR(__xludf.DUMMYFUNCTION("""COMPUTED_VALUE"""),"Campagnolo")</f>
        <v>Campagnolo</v>
      </c>
      <c r="H124" s="3">
        <f>IFERROR(__xludf.DUMMYFUNCTION("""COMPUTED_VALUE"""),23.0)</f>
        <v>23</v>
      </c>
      <c r="I124" s="3">
        <f>IFERROR(__xludf.DUMMYFUNCTION("""COMPUTED_VALUE"""),4094.0)</f>
        <v>4094</v>
      </c>
      <c r="J124" s="3" t="str">
        <f>IFERROR(__xludf.DUMMYFUNCTION("""COMPUTED_VALUE"""),"37,020 km/h")</f>
        <v>37,020 km/h</v>
      </c>
      <c r="K124" s="3" t="str">
        <f>IFERROR(__xludf.DUMMYFUNCTION("""COMPUTED_VALUE"""),"Bernard Hinault")</f>
        <v>Bernard Hinault</v>
      </c>
      <c r="L124" s="3" t="str">
        <f>IFERROR(__xludf.DUMMYFUNCTION("""COMPUTED_VALUE"""),"Eric Vanderaerden")</f>
        <v>Eric Vanderaerden</v>
      </c>
      <c r="M124" s="3" t="str">
        <f>IFERROR(__xludf.DUMMYFUNCTION("""COMPUTED_VALUE"""),"Andrew Hampsten")</f>
        <v>Andrew Hampsten</v>
      </c>
      <c r="N124" s="3" t="str">
        <f>IFERROR(__xludf.DUMMYFUNCTION("""COMPUTED_VALUE"""),"Bernard Hinault")</f>
        <v>Bernard Hinault</v>
      </c>
    </row>
    <row r="125">
      <c r="A125" s="3" t="str">
        <f>IFERROR(__xludf.DUMMYFUNCTION("""COMPUTED_VALUE"""),"1987 (74e)")</f>
        <v>1987 (74e)</v>
      </c>
      <c r="B125" s="3" t="str">
        <f>IFERROR(__xludf.DUMMYFUNCTION("""COMPUTED_VALUE"""),"Stephen Roche")</f>
        <v>Stephen Roche</v>
      </c>
      <c r="C125" s="3" t="str">
        <f>IFERROR(__xludf.DUMMYFUNCTION("""COMPUTED_VALUE"""),"Pedro Delgado")</f>
        <v>Pedro Delgado</v>
      </c>
      <c r="D125" s="3" t="str">
        <f>IFERROR(__xludf.DUMMYFUNCTION("""COMPUTED_VALUE"""),"Jean-François Bernard")</f>
        <v>Jean-François Bernard</v>
      </c>
      <c r="E125" s="3" t="str">
        <f>IFERROR(__xludf.DUMMYFUNCTION("""COMPUTED_VALUE"""),"Carrera Jeans-Vagabond")</f>
        <v>Carrera Jeans-Vagabond</v>
      </c>
      <c r="F125" s="3" t="str">
        <f>IFERROR(__xludf.DUMMYFUNCTION("""COMPUTED_VALUE"""),"Battaglin")</f>
        <v>Battaglin</v>
      </c>
      <c r="G125" s="3" t="str">
        <f>IFERROR(__xludf.DUMMYFUNCTION("""COMPUTED_VALUE"""),"Campagnolo")</f>
        <v>Campagnolo</v>
      </c>
      <c r="H125" s="3">
        <f>IFERROR(__xludf.DUMMYFUNCTION("""COMPUTED_VALUE"""),25.0)</f>
        <v>25</v>
      </c>
      <c r="I125" s="3">
        <f>IFERROR(__xludf.DUMMYFUNCTION("""COMPUTED_VALUE"""),4231.0)</f>
        <v>4231</v>
      </c>
      <c r="J125" s="3" t="str">
        <f>IFERROR(__xludf.DUMMYFUNCTION("""COMPUTED_VALUE"""),"36,645 km/h")</f>
        <v>36,645 km/h</v>
      </c>
      <c r="K125" s="3" t="str">
        <f>IFERROR(__xludf.DUMMYFUNCTION("""COMPUTED_VALUE"""),"Luis Herrera")</f>
        <v>Luis Herrera</v>
      </c>
      <c r="L125" s="3" t="str">
        <f>IFERROR(__xludf.DUMMYFUNCTION("""COMPUTED_VALUE"""),"Jean-Paul van Poppel")</f>
        <v>Jean-Paul van Poppel</v>
      </c>
      <c r="M125" s="3" t="str">
        <f>IFERROR(__xludf.DUMMYFUNCTION("""COMPUTED_VALUE"""),"Raúl Alcalá")</f>
        <v>Raúl Alcalá</v>
      </c>
      <c r="N125" s="3" t="str">
        <f>IFERROR(__xludf.DUMMYFUNCTION("""COMPUTED_VALUE"""),"Régis Clère")</f>
        <v>Régis Clère</v>
      </c>
    </row>
    <row r="126">
      <c r="A126" s="3" t="str">
        <f>IFERROR(__xludf.DUMMYFUNCTION("""COMPUTED_VALUE"""),"1988 (75e)")</f>
        <v>1988 (75e)</v>
      </c>
      <c r="B126" s="3" t="str">
        <f>IFERROR(__xludf.DUMMYFUNCTION("""COMPUTED_VALUE"""),"Pedro Delgado")</f>
        <v>Pedro Delgado</v>
      </c>
      <c r="C126" s="3" t="str">
        <f>IFERROR(__xludf.DUMMYFUNCTION("""COMPUTED_VALUE"""),"Steven Rooks")</f>
        <v>Steven Rooks</v>
      </c>
      <c r="D126" s="3" t="str">
        <f>IFERROR(__xludf.DUMMYFUNCTION("""COMPUTED_VALUE"""),"Fabio Parra")</f>
        <v>Fabio Parra</v>
      </c>
      <c r="E126" s="3" t="str">
        <f>IFERROR(__xludf.DUMMYFUNCTION("""COMPUTED_VALUE"""),"Reynolds")</f>
        <v>Reynolds</v>
      </c>
      <c r="F126" s="3" t="str">
        <f>IFERROR(__xludf.DUMMYFUNCTION("""COMPUTED_VALUE"""),"Pinarello")</f>
        <v>Pinarello</v>
      </c>
      <c r="G126" s="3" t="str">
        <f>IFERROR(__xludf.DUMMYFUNCTION("""COMPUTED_VALUE"""),"Campagnolo")</f>
        <v>Campagnolo</v>
      </c>
      <c r="H126" s="3">
        <f>IFERROR(__xludf.DUMMYFUNCTION("""COMPUTED_VALUE"""),22.0)</f>
        <v>22</v>
      </c>
      <c r="I126" s="3">
        <f>IFERROR(__xludf.DUMMYFUNCTION("""COMPUTED_VALUE"""),3286.0)</f>
        <v>3286</v>
      </c>
      <c r="J126" s="3" t="str">
        <f>IFERROR(__xludf.DUMMYFUNCTION("""COMPUTED_VALUE"""),"38,909 km/h")</f>
        <v>38,909 km/h</v>
      </c>
      <c r="K126" s="3" t="str">
        <f>IFERROR(__xludf.DUMMYFUNCTION("""COMPUTED_VALUE"""),"Steven Rooks")</f>
        <v>Steven Rooks</v>
      </c>
      <c r="L126" s="3" t="str">
        <f>IFERROR(__xludf.DUMMYFUNCTION("""COMPUTED_VALUE"""),"Eddy Planckaert")</f>
        <v>Eddy Planckaert</v>
      </c>
      <c r="M126" s="3" t="str">
        <f>IFERROR(__xludf.DUMMYFUNCTION("""COMPUTED_VALUE"""),"Erik Breukink")</f>
        <v>Erik Breukink</v>
      </c>
      <c r="N126" s="3" t="str">
        <f>IFERROR(__xludf.DUMMYFUNCTION("""COMPUTED_VALUE"""),"Jérôme Simon")</f>
        <v>Jérôme Simon</v>
      </c>
    </row>
    <row r="127">
      <c r="A127" s="3" t="str">
        <f>IFERROR(__xludf.DUMMYFUNCTION("""COMPUTED_VALUE"""),"1989 (76e)")</f>
        <v>1989 (76e)</v>
      </c>
      <c r="B127" s="3" t="str">
        <f>IFERROR(__xludf.DUMMYFUNCTION("""COMPUTED_VALUE"""),"Greg LeMond")</f>
        <v>Greg LeMond</v>
      </c>
      <c r="C127" s="3" t="str">
        <f>IFERROR(__xludf.DUMMYFUNCTION("""COMPUTED_VALUE"""),"Laurent Fignon")</f>
        <v>Laurent Fignon</v>
      </c>
      <c r="D127" s="3" t="str">
        <f>IFERROR(__xludf.DUMMYFUNCTION("""COMPUTED_VALUE"""),"Pedro Delgado")</f>
        <v>Pedro Delgado</v>
      </c>
      <c r="E127" s="3" t="str">
        <f>IFERROR(__xludf.DUMMYFUNCTION("""COMPUTED_VALUE"""),"ADR-Agrigel-Bottecchia")</f>
        <v>ADR-Agrigel-Bottecchia</v>
      </c>
      <c r="F127" s="3" t="str">
        <f>IFERROR(__xludf.DUMMYFUNCTION("""COMPUTED_VALUE"""),"Bottecchia")</f>
        <v>Bottecchia</v>
      </c>
      <c r="G127" s="3" t="str">
        <f>IFERROR(__xludf.DUMMYFUNCTION("""COMPUTED_VALUE"""),"Mavic")</f>
        <v>Mavic</v>
      </c>
      <c r="H127" s="3">
        <f>IFERROR(__xludf.DUMMYFUNCTION("""COMPUTED_VALUE"""),21.0)</f>
        <v>21</v>
      </c>
      <c r="I127" s="3">
        <f>IFERROR(__xludf.DUMMYFUNCTION("""COMPUTED_VALUE"""),3285.0)</f>
        <v>3285</v>
      </c>
      <c r="J127" s="3" t="str">
        <f>IFERROR(__xludf.DUMMYFUNCTION("""COMPUTED_VALUE"""),"37,487 km/h")</f>
        <v>37,487 km/h</v>
      </c>
      <c r="K127" s="3" t="str">
        <f>IFERROR(__xludf.DUMMYFUNCTION("""COMPUTED_VALUE"""),"Gert-Jan Theunisse")</f>
        <v>Gert-Jan Theunisse</v>
      </c>
      <c r="L127" s="3" t="str">
        <f>IFERROR(__xludf.DUMMYFUNCTION("""COMPUTED_VALUE"""),"Sean Kelly")</f>
        <v>Sean Kelly</v>
      </c>
      <c r="M127" s="3" t="str">
        <f>IFERROR(__xludf.DUMMYFUNCTION("""COMPUTED_VALUE"""),"Fabrice Philipot")</f>
        <v>Fabrice Philipot</v>
      </c>
      <c r="N127" s="3" t="str">
        <f>IFERROR(__xludf.DUMMYFUNCTION("""COMPUTED_VALUE"""),"Laurent Fignon")</f>
        <v>Laurent Fignon</v>
      </c>
    </row>
    <row r="128">
      <c r="A128" s="3" t="str">
        <f>IFERROR(__xludf.DUMMYFUNCTION("""COMPUTED_VALUE"""),"1990 (77e)")</f>
        <v>1990 (77e)</v>
      </c>
      <c r="B128" s="3" t="str">
        <f>IFERROR(__xludf.DUMMYFUNCTION("""COMPUTED_VALUE"""),"Greg LeMond")</f>
        <v>Greg LeMond</v>
      </c>
      <c r="C128" s="3" t="str">
        <f>IFERROR(__xludf.DUMMYFUNCTION("""COMPUTED_VALUE"""),"Claudio Chiappucci")</f>
        <v>Claudio Chiappucci</v>
      </c>
      <c r="D128" s="3" t="str">
        <f>IFERROR(__xludf.DUMMYFUNCTION("""COMPUTED_VALUE"""),"Erik Breukink")</f>
        <v>Erik Breukink</v>
      </c>
      <c r="E128" s="3" t="str">
        <f>IFERROR(__xludf.DUMMYFUNCTION("""COMPUTED_VALUE"""),"Z-Tommaso")</f>
        <v>Z-Tommaso</v>
      </c>
      <c r="F128" s="3" t="str">
        <f>IFERROR(__xludf.DUMMYFUNCTION("""COMPUTED_VALUE"""),"LeMond")</f>
        <v>LeMond</v>
      </c>
      <c r="G128" s="3" t="str">
        <f>IFERROR(__xludf.DUMMYFUNCTION("""COMPUTED_VALUE"""),"Campagnolo")</f>
        <v>Campagnolo</v>
      </c>
      <c r="H128" s="3">
        <f>IFERROR(__xludf.DUMMYFUNCTION("""COMPUTED_VALUE"""),21.0)</f>
        <v>21</v>
      </c>
      <c r="I128" s="3">
        <f>IFERROR(__xludf.DUMMYFUNCTION("""COMPUTED_VALUE"""),3504.0)</f>
        <v>3504</v>
      </c>
      <c r="J128" s="3" t="str">
        <f>IFERROR(__xludf.DUMMYFUNCTION("""COMPUTED_VALUE"""),"38,621 km/h")</f>
        <v>38,621 km/h</v>
      </c>
      <c r="K128" s="3" t="str">
        <f>IFERROR(__xludf.DUMMYFUNCTION("""COMPUTED_VALUE"""),"Thierry Claveyrolat")</f>
        <v>Thierry Claveyrolat</v>
      </c>
      <c r="L128" s="3" t="str">
        <f>IFERROR(__xludf.DUMMYFUNCTION("""COMPUTED_VALUE"""),"Olaf Ludwig")</f>
        <v>Olaf Ludwig</v>
      </c>
      <c r="M128" s="3" t="str">
        <f>IFERROR(__xludf.DUMMYFUNCTION("""COMPUTED_VALUE"""),"Gilles Delion")</f>
        <v>Gilles Delion</v>
      </c>
      <c r="N128" s="3" t="str">
        <f>IFERROR(__xludf.DUMMYFUNCTION("""COMPUTED_VALUE"""),"Eduardo Chozas")</f>
        <v>Eduardo Chozas</v>
      </c>
    </row>
    <row r="129">
      <c r="A129" s="3" t="str">
        <f>IFERROR(__xludf.DUMMYFUNCTION("""COMPUTED_VALUE"""),"1991 (78e)")</f>
        <v>1991 (78e)</v>
      </c>
      <c r="B129" s="3" t="str">
        <f>IFERROR(__xludf.DUMMYFUNCTION("""COMPUTED_VALUE"""),"Miguel Indurain")</f>
        <v>Miguel Indurain</v>
      </c>
      <c r="C129" s="3" t="str">
        <f>IFERROR(__xludf.DUMMYFUNCTION("""COMPUTED_VALUE"""),"Gianni Bugno")</f>
        <v>Gianni Bugno</v>
      </c>
      <c r="D129" s="3" t="str">
        <f>IFERROR(__xludf.DUMMYFUNCTION("""COMPUTED_VALUE"""),"Claudio Chiappucci")</f>
        <v>Claudio Chiappucci</v>
      </c>
      <c r="E129" s="3" t="str">
        <f>IFERROR(__xludf.DUMMYFUNCTION("""COMPUTED_VALUE"""),"Banesto")</f>
        <v>Banesto</v>
      </c>
      <c r="F129" s="3" t="str">
        <f>IFERROR(__xludf.DUMMYFUNCTION("""COMPUTED_VALUE"""),"Razesa/T.V.T.")</f>
        <v>Razesa/T.V.T.</v>
      </c>
      <c r="G129" s="3" t="str">
        <f>IFERROR(__xludf.DUMMYFUNCTION("""COMPUTED_VALUE"""),"Campagnolo")</f>
        <v>Campagnolo</v>
      </c>
      <c r="H129" s="3">
        <f>IFERROR(__xludf.DUMMYFUNCTION("""COMPUTED_VALUE"""),22.0)</f>
        <v>22</v>
      </c>
      <c r="I129" s="3">
        <f>IFERROR(__xludf.DUMMYFUNCTION("""COMPUTED_VALUE"""),3914.0)</f>
        <v>3914</v>
      </c>
      <c r="J129" s="3" t="str">
        <f>IFERROR(__xludf.DUMMYFUNCTION("""COMPUTED_VALUE"""),"38,747 km/h")</f>
        <v>38,747 km/h</v>
      </c>
      <c r="K129" s="3" t="str">
        <f>IFERROR(__xludf.DUMMYFUNCTION("""COMPUTED_VALUE"""),"Claudio Chiappucci")</f>
        <v>Claudio Chiappucci</v>
      </c>
      <c r="L129" s="3" t="str">
        <f>IFERROR(__xludf.DUMMYFUNCTION("""COMPUTED_VALUE"""),"Djamolidine Abdoujaparov")</f>
        <v>Djamolidine Abdoujaparov</v>
      </c>
      <c r="M129" s="3" t="str">
        <f>IFERROR(__xludf.DUMMYFUNCTION("""COMPUTED_VALUE"""),"Álvaro Mejía")</f>
        <v>Álvaro Mejía</v>
      </c>
      <c r="N129" s="3" t="str">
        <f>IFERROR(__xludf.DUMMYFUNCTION("""COMPUTED_VALUE"""),"Claudio Chiappucci")</f>
        <v>Claudio Chiappucci</v>
      </c>
    </row>
    <row r="130">
      <c r="A130" s="3" t="str">
        <f>IFERROR(__xludf.DUMMYFUNCTION("""COMPUTED_VALUE"""),"1992 (79e)")</f>
        <v>1992 (79e)</v>
      </c>
      <c r="B130" s="3" t="str">
        <f>IFERROR(__xludf.DUMMYFUNCTION("""COMPUTED_VALUE"""),"Miguel Indurain")</f>
        <v>Miguel Indurain</v>
      </c>
      <c r="C130" s="3" t="str">
        <f>IFERROR(__xludf.DUMMYFUNCTION("""COMPUTED_VALUE"""),"Claudio Chiappucci")</f>
        <v>Claudio Chiappucci</v>
      </c>
      <c r="D130" s="3" t="str">
        <f>IFERROR(__xludf.DUMMYFUNCTION("""COMPUTED_VALUE"""),"Gianni Bugno")</f>
        <v>Gianni Bugno</v>
      </c>
      <c r="E130" s="3" t="str">
        <f>IFERROR(__xludf.DUMMYFUNCTION("""COMPUTED_VALUE"""),"Banesto")</f>
        <v>Banesto</v>
      </c>
      <c r="F130" s="3" t="str">
        <f>IFERROR(__xludf.DUMMYFUNCTION("""COMPUTED_VALUE"""),"Pinarello")</f>
        <v>Pinarello</v>
      </c>
      <c r="G130" s="3" t="str">
        <f>IFERROR(__xludf.DUMMYFUNCTION("""COMPUTED_VALUE"""),"Campagnolo")</f>
        <v>Campagnolo</v>
      </c>
      <c r="H130" s="3">
        <f>IFERROR(__xludf.DUMMYFUNCTION("""COMPUTED_VALUE"""),21.0)</f>
        <v>21</v>
      </c>
      <c r="I130" s="3">
        <f>IFERROR(__xludf.DUMMYFUNCTION("""COMPUTED_VALUE"""),3983.0)</f>
        <v>3983</v>
      </c>
      <c r="J130" s="3" t="str">
        <f>IFERROR(__xludf.DUMMYFUNCTION("""COMPUTED_VALUE"""),"39,504 km/h")</f>
        <v>39,504 km/h</v>
      </c>
      <c r="K130" s="3" t="str">
        <f>IFERROR(__xludf.DUMMYFUNCTION("""COMPUTED_VALUE"""),"Claudio Chiappucci")</f>
        <v>Claudio Chiappucci</v>
      </c>
      <c r="L130" s="3" t="str">
        <f>IFERROR(__xludf.DUMMYFUNCTION("""COMPUTED_VALUE"""),"Laurent Jalabert")</f>
        <v>Laurent Jalabert</v>
      </c>
      <c r="M130" s="3" t="str">
        <f>IFERROR(__xludf.DUMMYFUNCTION("""COMPUTED_VALUE"""),"Eddy Bouwmans")</f>
        <v>Eddy Bouwmans</v>
      </c>
      <c r="N130" s="3" t="str">
        <f>IFERROR(__xludf.DUMMYFUNCTION("""COMPUTED_VALUE"""),"Claudio Chiappucci")</f>
        <v>Claudio Chiappucci</v>
      </c>
    </row>
    <row r="131">
      <c r="A131" s="3" t="str">
        <f>IFERROR(__xludf.DUMMYFUNCTION("""COMPUTED_VALUE"""),"1993 (80e)")</f>
        <v>1993 (80e)</v>
      </c>
      <c r="B131" s="3" t="str">
        <f>IFERROR(__xludf.DUMMYFUNCTION("""COMPUTED_VALUE"""),"Miguel Indurain")</f>
        <v>Miguel Indurain</v>
      </c>
      <c r="C131" s="3" t="str">
        <f>IFERROR(__xludf.DUMMYFUNCTION("""COMPUTED_VALUE"""),"Tony Rominger")</f>
        <v>Tony Rominger</v>
      </c>
      <c r="D131" s="3" t="str">
        <f>IFERROR(__xludf.DUMMYFUNCTION("""COMPUTED_VALUE"""),"Zenon Jaskuła")</f>
        <v>Zenon Jaskuła</v>
      </c>
      <c r="E131" s="3" t="str">
        <f>IFERROR(__xludf.DUMMYFUNCTION("""COMPUTED_VALUE"""),"Banesto")</f>
        <v>Banesto</v>
      </c>
      <c r="F131" s="3" t="str">
        <f>IFERROR(__xludf.DUMMYFUNCTION("""COMPUTED_VALUE"""),"Pinarello")</f>
        <v>Pinarello</v>
      </c>
      <c r="G131" s="3" t="str">
        <f>IFERROR(__xludf.DUMMYFUNCTION("""COMPUTED_VALUE"""),"Campagnolo")</f>
        <v>Campagnolo</v>
      </c>
      <c r="H131" s="3">
        <f>IFERROR(__xludf.DUMMYFUNCTION("""COMPUTED_VALUE"""),20.0)</f>
        <v>20</v>
      </c>
      <c r="I131" s="3">
        <f>IFERROR(__xludf.DUMMYFUNCTION("""COMPUTED_VALUE"""),3714.0)</f>
        <v>3714</v>
      </c>
      <c r="J131" s="3" t="str">
        <f>IFERROR(__xludf.DUMMYFUNCTION("""COMPUTED_VALUE"""),"38,709 km/h")</f>
        <v>38,709 km/h</v>
      </c>
      <c r="K131" s="3" t="str">
        <f>IFERROR(__xludf.DUMMYFUNCTION("""COMPUTED_VALUE"""),"Tony Rominger")</f>
        <v>Tony Rominger</v>
      </c>
      <c r="L131" s="3" t="str">
        <f>IFERROR(__xludf.DUMMYFUNCTION("""COMPUTED_VALUE"""),"Djamolidine Abdoujaparov")</f>
        <v>Djamolidine Abdoujaparov</v>
      </c>
      <c r="M131" s="3" t="str">
        <f>IFERROR(__xludf.DUMMYFUNCTION("""COMPUTED_VALUE"""),"Antonio Martín Velasco")</f>
        <v>Antonio Martín Velasco</v>
      </c>
      <c r="N131" s="3" t="str">
        <f>IFERROR(__xludf.DUMMYFUNCTION("""COMPUTED_VALUE"""),"Massimo Ghirotto")</f>
        <v>Massimo Ghirotto</v>
      </c>
    </row>
    <row r="132">
      <c r="A132" s="3" t="str">
        <f>IFERROR(__xludf.DUMMYFUNCTION("""COMPUTED_VALUE"""),"1994 (81e)")</f>
        <v>1994 (81e)</v>
      </c>
      <c r="B132" s="3" t="str">
        <f>IFERROR(__xludf.DUMMYFUNCTION("""COMPUTED_VALUE"""),"Miguel Indurain")</f>
        <v>Miguel Indurain</v>
      </c>
      <c r="C132" s="3" t="str">
        <f>IFERROR(__xludf.DUMMYFUNCTION("""COMPUTED_VALUE"""),"Piotr Ugrumov")</f>
        <v>Piotr Ugrumov</v>
      </c>
      <c r="D132" s="3" t="str">
        <f>IFERROR(__xludf.DUMMYFUNCTION("""COMPUTED_VALUE"""),"Marco Pantani")</f>
        <v>Marco Pantani</v>
      </c>
      <c r="E132" s="3" t="str">
        <f>IFERROR(__xludf.DUMMYFUNCTION("""COMPUTED_VALUE"""),"Banesto")</f>
        <v>Banesto</v>
      </c>
      <c r="F132" s="3" t="str">
        <f>IFERROR(__xludf.DUMMYFUNCTION("""COMPUTED_VALUE"""),"Pinarello")</f>
        <v>Pinarello</v>
      </c>
      <c r="G132" s="3" t="str">
        <f>IFERROR(__xludf.DUMMYFUNCTION("""COMPUTED_VALUE"""),"Campagnolo")</f>
        <v>Campagnolo</v>
      </c>
      <c r="H132" s="3">
        <f>IFERROR(__xludf.DUMMYFUNCTION("""COMPUTED_VALUE"""),21.0)</f>
        <v>21</v>
      </c>
      <c r="I132" s="3">
        <f>IFERROR(__xludf.DUMMYFUNCTION("""COMPUTED_VALUE"""),3978.0)</f>
        <v>3978</v>
      </c>
      <c r="J132" s="3" t="str">
        <f>IFERROR(__xludf.DUMMYFUNCTION("""COMPUTED_VALUE"""),"38,383 km/h")</f>
        <v>38,383 km/h</v>
      </c>
      <c r="K132" s="3" t="str">
        <f>IFERROR(__xludf.DUMMYFUNCTION("""COMPUTED_VALUE"""),"Richard Virenque")</f>
        <v>Richard Virenque</v>
      </c>
      <c r="L132" s="3" t="str">
        <f>IFERROR(__xludf.DUMMYFUNCTION("""COMPUTED_VALUE"""),"Djamolidine Abdoujaparov")</f>
        <v>Djamolidine Abdoujaparov</v>
      </c>
      <c r="M132" s="3" t="str">
        <f>IFERROR(__xludf.DUMMYFUNCTION("""COMPUTED_VALUE"""),"Marco Pantani")</f>
        <v>Marco Pantani</v>
      </c>
      <c r="N132" s="3" t="str">
        <f>IFERROR(__xludf.DUMMYFUNCTION("""COMPUTED_VALUE"""),"Eros Poli")</f>
        <v>Eros Poli</v>
      </c>
    </row>
    <row r="133">
      <c r="A133" s="3" t="str">
        <f>IFERROR(__xludf.DUMMYFUNCTION("""COMPUTED_VALUE"""),"1995 (82e)")</f>
        <v>1995 (82e)</v>
      </c>
      <c r="B133" s="3" t="str">
        <f>IFERROR(__xludf.DUMMYFUNCTION("""COMPUTED_VALUE"""),"Miguel Indurain")</f>
        <v>Miguel Indurain</v>
      </c>
      <c r="C133" s="3" t="str">
        <f>IFERROR(__xludf.DUMMYFUNCTION("""COMPUTED_VALUE"""),"Alex Zülle")</f>
        <v>Alex Zülle</v>
      </c>
      <c r="D133" s="3" t="str">
        <f>IFERROR(__xludf.DUMMYFUNCTION("""COMPUTED_VALUE"""),"Bjarne Riis")</f>
        <v>Bjarne Riis</v>
      </c>
      <c r="E133" s="3" t="str">
        <f>IFERROR(__xludf.DUMMYFUNCTION("""COMPUTED_VALUE"""),"Banesto")</f>
        <v>Banesto</v>
      </c>
      <c r="F133" s="3" t="str">
        <f>IFERROR(__xludf.DUMMYFUNCTION("""COMPUTED_VALUE"""),"Pinarello")</f>
        <v>Pinarello</v>
      </c>
      <c r="G133" s="3" t="str">
        <f>IFERROR(__xludf.DUMMYFUNCTION("""COMPUTED_VALUE"""),"Campagnolo")</f>
        <v>Campagnolo</v>
      </c>
      <c r="H133" s="3">
        <f>IFERROR(__xludf.DUMMYFUNCTION("""COMPUTED_VALUE"""),20.0)</f>
        <v>20</v>
      </c>
      <c r="I133" s="3">
        <f>IFERROR(__xludf.DUMMYFUNCTION("""COMPUTED_VALUE"""),3635.0)</f>
        <v>3635</v>
      </c>
      <c r="J133" s="3" t="str">
        <f>IFERROR(__xludf.DUMMYFUNCTION("""COMPUTED_VALUE"""),"39,193 km/h")</f>
        <v>39,193 km/h</v>
      </c>
      <c r="K133" s="3" t="str">
        <f>IFERROR(__xludf.DUMMYFUNCTION("""COMPUTED_VALUE"""),"Richard Virenque")</f>
        <v>Richard Virenque</v>
      </c>
      <c r="L133" s="3" t="str">
        <f>IFERROR(__xludf.DUMMYFUNCTION("""COMPUTED_VALUE"""),"Laurent Jalabert")</f>
        <v>Laurent Jalabert</v>
      </c>
      <c r="M133" s="3" t="str">
        <f>IFERROR(__xludf.DUMMYFUNCTION("""COMPUTED_VALUE"""),"Marco Pantani")</f>
        <v>Marco Pantani</v>
      </c>
      <c r="N133" s="3" t="str">
        <f>IFERROR(__xludf.DUMMYFUNCTION("""COMPUTED_VALUE"""),"Hernán Buenahora")</f>
        <v>Hernán Buenahora</v>
      </c>
    </row>
    <row r="134">
      <c r="A134" s="3" t="str">
        <f>IFERROR(__xludf.DUMMYFUNCTION("""COMPUTED_VALUE"""),"1996 (83e)")</f>
        <v>1996 (83e)</v>
      </c>
      <c r="B134" s="3" t="str">
        <f>IFERROR(__xludf.DUMMYFUNCTION("""COMPUTED_VALUE"""),"Bjarne Riis[5]")</f>
        <v>Bjarne Riis[5]</v>
      </c>
      <c r="C134" s="3" t="str">
        <f>IFERROR(__xludf.DUMMYFUNCTION("""COMPUTED_VALUE"""),"Jan Ullrich")</f>
        <v>Jan Ullrich</v>
      </c>
      <c r="D134" s="3" t="str">
        <f>IFERROR(__xludf.DUMMYFUNCTION("""COMPUTED_VALUE"""),"Richard Virenque")</f>
        <v>Richard Virenque</v>
      </c>
      <c r="E134" s="3" t="str">
        <f>IFERROR(__xludf.DUMMYFUNCTION("""COMPUTED_VALUE"""),"Deutsche Telekom")</f>
        <v>Deutsche Telekom</v>
      </c>
      <c r="F134" s="3" t="str">
        <f>IFERROR(__xludf.DUMMYFUNCTION("""COMPUTED_VALUE"""),"Pinarello")</f>
        <v>Pinarello</v>
      </c>
      <c r="G134" s="3" t="str">
        <f>IFERROR(__xludf.DUMMYFUNCTION("""COMPUTED_VALUE"""),"Campagnolo")</f>
        <v>Campagnolo</v>
      </c>
      <c r="H134" s="3">
        <f>IFERROR(__xludf.DUMMYFUNCTION("""COMPUTED_VALUE"""),21.0)</f>
        <v>21</v>
      </c>
      <c r="I134" s="3">
        <f>IFERROR(__xludf.DUMMYFUNCTION("""COMPUTED_VALUE"""),3765.0)</f>
        <v>3765</v>
      </c>
      <c r="J134" s="3" t="str">
        <f>IFERROR(__xludf.DUMMYFUNCTION("""COMPUTED_VALUE"""),"39,227 km/h")</f>
        <v>39,227 km/h</v>
      </c>
      <c r="K134" s="3" t="str">
        <f>IFERROR(__xludf.DUMMYFUNCTION("""COMPUTED_VALUE"""),"Richard Virenque")</f>
        <v>Richard Virenque</v>
      </c>
      <c r="L134" s="3" t="str">
        <f>IFERROR(__xludf.DUMMYFUNCTION("""COMPUTED_VALUE"""),"Erik Zabel")</f>
        <v>Erik Zabel</v>
      </c>
      <c r="M134" s="3" t="str">
        <f>IFERROR(__xludf.DUMMYFUNCTION("""COMPUTED_VALUE"""),"Jan Ullrich")</f>
        <v>Jan Ullrich</v>
      </c>
      <c r="N134" s="3" t="str">
        <f>IFERROR(__xludf.DUMMYFUNCTION("""COMPUTED_VALUE"""),"Richard Virenque")</f>
        <v>Richard Virenque</v>
      </c>
    </row>
    <row r="135">
      <c r="A135" s="3" t="str">
        <f>IFERROR(__xludf.DUMMYFUNCTION("""COMPUTED_VALUE"""),"1997 (84e)")</f>
        <v>1997 (84e)</v>
      </c>
      <c r="B135" s="3" t="str">
        <f>IFERROR(__xludf.DUMMYFUNCTION("""COMPUTED_VALUE"""),"Jan Ullrich")</f>
        <v>Jan Ullrich</v>
      </c>
      <c r="C135" s="3" t="str">
        <f>IFERROR(__xludf.DUMMYFUNCTION("""COMPUTED_VALUE"""),"Richard Virenque")</f>
        <v>Richard Virenque</v>
      </c>
      <c r="D135" s="3" t="str">
        <f>IFERROR(__xludf.DUMMYFUNCTION("""COMPUTED_VALUE"""),"Marco Pantani")</f>
        <v>Marco Pantani</v>
      </c>
      <c r="E135" s="3" t="str">
        <f>IFERROR(__xludf.DUMMYFUNCTION("""COMPUTED_VALUE"""),"Deutsche Telekom")</f>
        <v>Deutsche Telekom</v>
      </c>
      <c r="F135" s="3" t="str">
        <f>IFERROR(__xludf.DUMMYFUNCTION("""COMPUTED_VALUE"""),"Pinarello")</f>
        <v>Pinarello</v>
      </c>
      <c r="G135" s="3" t="str">
        <f>IFERROR(__xludf.DUMMYFUNCTION("""COMPUTED_VALUE"""),"Campagnolo")</f>
        <v>Campagnolo</v>
      </c>
      <c r="H135" s="3">
        <f>IFERROR(__xludf.DUMMYFUNCTION("""COMPUTED_VALUE"""),21.0)</f>
        <v>21</v>
      </c>
      <c r="I135" s="3">
        <f>IFERROR(__xludf.DUMMYFUNCTION("""COMPUTED_VALUE"""),3950.0)</f>
        <v>3950</v>
      </c>
      <c r="J135" s="3" t="str">
        <f>IFERROR(__xludf.DUMMYFUNCTION("""COMPUTED_VALUE"""),"39,237 km/h")</f>
        <v>39,237 km/h</v>
      </c>
      <c r="K135" s="3" t="str">
        <f>IFERROR(__xludf.DUMMYFUNCTION("""COMPUTED_VALUE"""),"Richard Virenque")</f>
        <v>Richard Virenque</v>
      </c>
      <c r="L135" s="3" t="str">
        <f>IFERROR(__xludf.DUMMYFUNCTION("""COMPUTED_VALUE"""),"Erik Zabel")</f>
        <v>Erik Zabel</v>
      </c>
      <c r="M135" s="3" t="str">
        <f>IFERROR(__xludf.DUMMYFUNCTION("""COMPUTED_VALUE"""),"Jan Ullrich")</f>
        <v>Jan Ullrich</v>
      </c>
      <c r="N135" s="3" t="str">
        <f>IFERROR(__xludf.DUMMYFUNCTION("""COMPUTED_VALUE"""),"Richard Virenque")</f>
        <v>Richard Virenque</v>
      </c>
    </row>
    <row r="136">
      <c r="A136" s="3" t="str">
        <f>IFERROR(__xludf.DUMMYFUNCTION("""COMPUTED_VALUE"""),"1998 (85e)")</f>
        <v>1998 (85e)</v>
      </c>
      <c r="B136" s="3" t="str">
        <f>IFERROR(__xludf.DUMMYFUNCTION("""COMPUTED_VALUE"""),"Marco Pantani")</f>
        <v>Marco Pantani</v>
      </c>
      <c r="C136" s="3" t="str">
        <f>IFERROR(__xludf.DUMMYFUNCTION("""COMPUTED_VALUE"""),"Jan Ullrich")</f>
        <v>Jan Ullrich</v>
      </c>
      <c r="D136" s="3" t="str">
        <f>IFERROR(__xludf.DUMMYFUNCTION("""COMPUTED_VALUE"""),"Bobby Julich")</f>
        <v>Bobby Julich</v>
      </c>
      <c r="E136" s="3" t="str">
        <f>IFERROR(__xludf.DUMMYFUNCTION("""COMPUTED_VALUE"""),"Mercatone Uno-Bianchi")</f>
        <v>Mercatone Uno-Bianchi</v>
      </c>
      <c r="F136" s="3" t="str">
        <f>IFERROR(__xludf.DUMMYFUNCTION("""COMPUTED_VALUE"""),"Bianchi")</f>
        <v>Bianchi</v>
      </c>
      <c r="G136" s="3" t="str">
        <f>IFERROR(__xludf.DUMMYFUNCTION("""COMPUTED_VALUE"""),"Campagnolo")</f>
        <v>Campagnolo</v>
      </c>
      <c r="H136" s="3">
        <f>IFERROR(__xludf.DUMMYFUNCTION("""COMPUTED_VALUE"""),21.0)</f>
        <v>21</v>
      </c>
      <c r="I136" s="3">
        <f>IFERROR(__xludf.DUMMYFUNCTION("""COMPUTED_VALUE"""),3875.0)</f>
        <v>3875</v>
      </c>
      <c r="J136" s="3" t="str">
        <f>IFERROR(__xludf.DUMMYFUNCTION("""COMPUTED_VALUE"""),"39,983 km/h")</f>
        <v>39,983 km/h</v>
      </c>
      <c r="K136" s="3" t="str">
        <f>IFERROR(__xludf.DUMMYFUNCTION("""COMPUTED_VALUE"""),"Christophe Rinero")</f>
        <v>Christophe Rinero</v>
      </c>
      <c r="L136" s="3" t="str">
        <f>IFERROR(__xludf.DUMMYFUNCTION("""COMPUTED_VALUE"""),"Erik Zabel")</f>
        <v>Erik Zabel</v>
      </c>
      <c r="M136" s="3" t="str">
        <f>IFERROR(__xludf.DUMMYFUNCTION("""COMPUTED_VALUE"""),"Jan Ullrich")</f>
        <v>Jan Ullrich</v>
      </c>
      <c r="N136" s="3" t="str">
        <f>IFERROR(__xludf.DUMMYFUNCTION("""COMPUTED_VALUE"""),"Jacky Durand")</f>
        <v>Jacky Durand</v>
      </c>
    </row>
    <row r="137">
      <c r="A137" s="3" t="str">
        <f>IFERROR(__xludf.DUMMYFUNCTION("""COMPUTED_VALUE"""),"1999 (86e)")</f>
        <v>1999 (86e)</v>
      </c>
      <c r="B137" s="3" t="str">
        <f>IFERROR(__xludf.DUMMYFUNCTION("""COMPUTED_VALUE"""),"*non attribué*[6],[7]")</f>
        <v>*non attribué*[6],[7]</v>
      </c>
      <c r="C137" s="3" t="str">
        <f>IFERROR(__xludf.DUMMYFUNCTION("""COMPUTED_VALUE"""),"Alex Zülle")</f>
        <v>Alex Zülle</v>
      </c>
      <c r="D137" s="3" t="str">
        <f>IFERROR(__xludf.DUMMYFUNCTION("""COMPUTED_VALUE"""),"Fernando Escartín")</f>
        <v>Fernando Escartín</v>
      </c>
      <c r="E137" s="3" t="str">
        <f>IFERROR(__xludf.DUMMYFUNCTION("""COMPUTED_VALUE"""),"*non attribué*[6],[7].")</f>
        <v>*non attribué*[6],[7].</v>
      </c>
      <c r="F137" s="3" t="str">
        <f>IFERROR(__xludf.DUMMYFUNCTION("""COMPUTED_VALUE"""),"*non attribué*[6],[7].")</f>
        <v>*non attribué*[6],[7].</v>
      </c>
      <c r="G137" s="3"/>
      <c r="H137" s="3">
        <f>IFERROR(__xludf.DUMMYFUNCTION("""COMPUTED_VALUE"""),20.0)</f>
        <v>20</v>
      </c>
      <c r="I137" s="3">
        <f>IFERROR(__xludf.DUMMYFUNCTION("""COMPUTED_VALUE"""),3870.0)</f>
        <v>3870</v>
      </c>
      <c r="J137" s="3"/>
      <c r="K137" s="3" t="str">
        <f>IFERROR(__xludf.DUMMYFUNCTION("""COMPUTED_VALUE"""),"Richard Virenque")</f>
        <v>Richard Virenque</v>
      </c>
      <c r="L137" s="3" t="str">
        <f>IFERROR(__xludf.DUMMYFUNCTION("""COMPUTED_VALUE"""),"Erik Zabel")</f>
        <v>Erik Zabel</v>
      </c>
      <c r="M137" s="3" t="str">
        <f>IFERROR(__xludf.DUMMYFUNCTION("""COMPUTED_VALUE"""),"Benoît Salmon")</f>
        <v>Benoît Salmon</v>
      </c>
      <c r="N137" s="3" t="str">
        <f>IFERROR(__xludf.DUMMYFUNCTION("""COMPUTED_VALUE"""),"Jacky Durand")</f>
        <v>Jacky Durand</v>
      </c>
    </row>
    <row r="138">
      <c r="A138" s="3" t="str">
        <f>IFERROR(__xludf.DUMMYFUNCTION("""COMPUTED_VALUE"""),"2000 (87e)")</f>
        <v>2000 (87e)</v>
      </c>
      <c r="B138" s="3" t="str">
        <f>IFERROR(__xludf.DUMMYFUNCTION("""COMPUTED_VALUE"""),"*non attribué*[6],[7]")</f>
        <v>*non attribué*[6],[7]</v>
      </c>
      <c r="C138" s="3" t="str">
        <f>IFERROR(__xludf.DUMMYFUNCTION("""COMPUTED_VALUE"""),"Jan Ullrich")</f>
        <v>Jan Ullrich</v>
      </c>
      <c r="D138" s="3" t="str">
        <f>IFERROR(__xludf.DUMMYFUNCTION("""COMPUTED_VALUE"""),"Joseba Beloki")</f>
        <v>Joseba Beloki</v>
      </c>
      <c r="E138" s="3" t="str">
        <f>IFERROR(__xludf.DUMMYFUNCTION("""COMPUTED_VALUE"""),"*non attribué*[6],[7].")</f>
        <v>*non attribué*[6],[7].</v>
      </c>
      <c r="F138" s="3" t="str">
        <f>IFERROR(__xludf.DUMMYFUNCTION("""COMPUTED_VALUE"""),"*non attribué*[6],[7].")</f>
        <v>*non attribué*[6],[7].</v>
      </c>
      <c r="G138" s="3"/>
      <c r="H138" s="3">
        <f>IFERROR(__xludf.DUMMYFUNCTION("""COMPUTED_VALUE"""),21.0)</f>
        <v>21</v>
      </c>
      <c r="I138" s="3">
        <f>IFERROR(__xludf.DUMMYFUNCTION("""COMPUTED_VALUE"""),3662.0)</f>
        <v>3662</v>
      </c>
      <c r="J138" s="3"/>
      <c r="K138" s="3" t="str">
        <f>IFERROR(__xludf.DUMMYFUNCTION("""COMPUTED_VALUE"""),"Santiago Botero")</f>
        <v>Santiago Botero</v>
      </c>
      <c r="L138" s="3" t="str">
        <f>IFERROR(__xludf.DUMMYFUNCTION("""COMPUTED_VALUE"""),"Erik Zabel")</f>
        <v>Erik Zabel</v>
      </c>
      <c r="M138" s="3" t="str">
        <f>IFERROR(__xludf.DUMMYFUNCTION("""COMPUTED_VALUE"""),"Francisco Mancebo")</f>
        <v>Francisco Mancebo</v>
      </c>
      <c r="N138" s="3" t="str">
        <f>IFERROR(__xludf.DUMMYFUNCTION("""COMPUTED_VALUE"""),"Erik Dekker")</f>
        <v>Erik Dekker</v>
      </c>
    </row>
    <row r="139">
      <c r="A139" s="3" t="str">
        <f>IFERROR(__xludf.DUMMYFUNCTION("""COMPUTED_VALUE"""),"2001 (88e)")</f>
        <v>2001 (88e)</v>
      </c>
      <c r="B139" s="3" t="str">
        <f>IFERROR(__xludf.DUMMYFUNCTION("""COMPUTED_VALUE"""),"*non attribué*[6],[7]")</f>
        <v>*non attribué*[6],[7]</v>
      </c>
      <c r="C139" s="3" t="str">
        <f>IFERROR(__xludf.DUMMYFUNCTION("""COMPUTED_VALUE"""),"Jan Ullrich")</f>
        <v>Jan Ullrich</v>
      </c>
      <c r="D139" s="3" t="str">
        <f>IFERROR(__xludf.DUMMYFUNCTION("""COMPUTED_VALUE"""),"Joseba Beloki")</f>
        <v>Joseba Beloki</v>
      </c>
      <c r="E139" s="3" t="str">
        <f>IFERROR(__xludf.DUMMYFUNCTION("""COMPUTED_VALUE"""),"*non attribué*[6],[7].")</f>
        <v>*non attribué*[6],[7].</v>
      </c>
      <c r="F139" s="3" t="str">
        <f>IFERROR(__xludf.DUMMYFUNCTION("""COMPUTED_VALUE"""),"*non attribué*[6],[7].")</f>
        <v>*non attribué*[6],[7].</v>
      </c>
      <c r="G139" s="3"/>
      <c r="H139" s="3">
        <f>IFERROR(__xludf.DUMMYFUNCTION("""COMPUTED_VALUE"""),20.0)</f>
        <v>20</v>
      </c>
      <c r="I139" s="3">
        <f>IFERROR(__xludf.DUMMYFUNCTION("""COMPUTED_VALUE"""),3458.0)</f>
        <v>3458</v>
      </c>
      <c r="J139" s="3"/>
      <c r="K139" s="3" t="str">
        <f>IFERROR(__xludf.DUMMYFUNCTION("""COMPUTED_VALUE"""),"Laurent Jalabert")</f>
        <v>Laurent Jalabert</v>
      </c>
      <c r="L139" s="3" t="str">
        <f>IFERROR(__xludf.DUMMYFUNCTION("""COMPUTED_VALUE"""),"Erik Zabel")</f>
        <v>Erik Zabel</v>
      </c>
      <c r="M139" s="3" t="str">
        <f>IFERROR(__xludf.DUMMYFUNCTION("""COMPUTED_VALUE"""),"Óscar Sevilla")</f>
        <v>Óscar Sevilla</v>
      </c>
      <c r="N139" s="3" t="str">
        <f>IFERROR(__xludf.DUMMYFUNCTION("""COMPUTED_VALUE"""),"Laurent Jalabert")</f>
        <v>Laurent Jalabert</v>
      </c>
    </row>
    <row r="140">
      <c r="A140" s="3" t="str">
        <f>IFERROR(__xludf.DUMMYFUNCTION("""COMPUTED_VALUE"""),"2002 (89e)")</f>
        <v>2002 (89e)</v>
      </c>
      <c r="B140" s="3" t="str">
        <f>IFERROR(__xludf.DUMMYFUNCTION("""COMPUTED_VALUE"""),"*non attribué*[6],[7]")</f>
        <v>*non attribué*[6],[7]</v>
      </c>
      <c r="C140" s="3" t="str">
        <f>IFERROR(__xludf.DUMMYFUNCTION("""COMPUTED_VALUE"""),"Joseba Beloki")</f>
        <v>Joseba Beloki</v>
      </c>
      <c r="D140" s="3" t="str">
        <f>IFERROR(__xludf.DUMMYFUNCTION("""COMPUTED_VALUE"""),"Raimondas Rumšas")</f>
        <v>Raimondas Rumšas</v>
      </c>
      <c r="E140" s="3" t="str">
        <f>IFERROR(__xludf.DUMMYFUNCTION("""COMPUTED_VALUE"""),"*non attribué*[6],[7].")</f>
        <v>*non attribué*[6],[7].</v>
      </c>
      <c r="F140" s="3" t="str">
        <f>IFERROR(__xludf.DUMMYFUNCTION("""COMPUTED_VALUE"""),"*non attribué*[6],[7].")</f>
        <v>*non attribué*[6],[7].</v>
      </c>
      <c r="G140" s="3"/>
      <c r="H140" s="3">
        <f>IFERROR(__xludf.DUMMYFUNCTION("""COMPUTED_VALUE"""),20.0)</f>
        <v>20</v>
      </c>
      <c r="I140" s="3">
        <f>IFERROR(__xludf.DUMMYFUNCTION("""COMPUTED_VALUE"""),3278.0)</f>
        <v>3278</v>
      </c>
      <c r="J140" s="3"/>
      <c r="K140" s="3" t="str">
        <f>IFERROR(__xludf.DUMMYFUNCTION("""COMPUTED_VALUE"""),"Laurent Jalabert")</f>
        <v>Laurent Jalabert</v>
      </c>
      <c r="L140" s="3" t="str">
        <f>IFERROR(__xludf.DUMMYFUNCTION("""COMPUTED_VALUE"""),"Robbie McEwen")</f>
        <v>Robbie McEwen</v>
      </c>
      <c r="M140" s="3" t="str">
        <f>IFERROR(__xludf.DUMMYFUNCTION("""COMPUTED_VALUE"""),"Ivan Basso")</f>
        <v>Ivan Basso</v>
      </c>
      <c r="N140" s="3" t="str">
        <f>IFERROR(__xludf.DUMMYFUNCTION("""COMPUTED_VALUE"""),"Laurent Jalabert")</f>
        <v>Laurent Jalabert</v>
      </c>
    </row>
    <row r="141">
      <c r="A141" s="3" t="str">
        <f>IFERROR(__xludf.DUMMYFUNCTION("""COMPUTED_VALUE"""),"2003 (90e)")</f>
        <v>2003 (90e)</v>
      </c>
      <c r="B141" s="3" t="str">
        <f>IFERROR(__xludf.DUMMYFUNCTION("""COMPUTED_VALUE"""),"*non attribué*[6],[7]")</f>
        <v>*non attribué*[6],[7]</v>
      </c>
      <c r="C141" s="3" t="str">
        <f>IFERROR(__xludf.DUMMYFUNCTION("""COMPUTED_VALUE"""),"Jan Ullrich")</f>
        <v>Jan Ullrich</v>
      </c>
      <c r="D141" s="3" t="str">
        <f>IFERROR(__xludf.DUMMYFUNCTION("""COMPUTED_VALUE"""),"Alexandre Vinokourov")</f>
        <v>Alexandre Vinokourov</v>
      </c>
      <c r="E141" s="3" t="str">
        <f>IFERROR(__xludf.DUMMYFUNCTION("""COMPUTED_VALUE"""),"*non attribué*[6],[7].")</f>
        <v>*non attribué*[6],[7].</v>
      </c>
      <c r="F141" s="3" t="str">
        <f>IFERROR(__xludf.DUMMYFUNCTION("""COMPUTED_VALUE"""),"*non attribué*[6],[7].")</f>
        <v>*non attribué*[6],[7].</v>
      </c>
      <c r="G141" s="3"/>
      <c r="H141" s="3">
        <f>IFERROR(__xludf.DUMMYFUNCTION("""COMPUTED_VALUE"""),20.0)</f>
        <v>20</v>
      </c>
      <c r="I141" s="3">
        <f>IFERROR(__xludf.DUMMYFUNCTION("""COMPUTED_VALUE"""),3427.0)</f>
        <v>3427</v>
      </c>
      <c r="J141" s="3"/>
      <c r="K141" s="3" t="str">
        <f>IFERROR(__xludf.DUMMYFUNCTION("""COMPUTED_VALUE"""),"Richard Virenque")</f>
        <v>Richard Virenque</v>
      </c>
      <c r="L141" s="3" t="str">
        <f>IFERROR(__xludf.DUMMYFUNCTION("""COMPUTED_VALUE"""),"Baden Cooke")</f>
        <v>Baden Cooke</v>
      </c>
      <c r="M141" s="3" t="str">
        <f>IFERROR(__xludf.DUMMYFUNCTION("""COMPUTED_VALUE"""),"Denis Menchov")</f>
        <v>Denis Menchov</v>
      </c>
      <c r="N141" s="3" t="str">
        <f>IFERROR(__xludf.DUMMYFUNCTION("""COMPUTED_VALUE"""),"Alexandre Vinokourov")</f>
        <v>Alexandre Vinokourov</v>
      </c>
    </row>
    <row r="142">
      <c r="A142" s="3" t="str">
        <f>IFERROR(__xludf.DUMMYFUNCTION("""COMPUTED_VALUE"""),"2004 (91e)")</f>
        <v>2004 (91e)</v>
      </c>
      <c r="B142" s="3" t="str">
        <f>IFERROR(__xludf.DUMMYFUNCTION("""COMPUTED_VALUE"""),"*non attribué*[6],[7]")</f>
        <v>*non attribué*[6],[7]</v>
      </c>
      <c r="C142" s="3" t="str">
        <f>IFERROR(__xludf.DUMMYFUNCTION("""COMPUTED_VALUE"""),"Andreas Klöden")</f>
        <v>Andreas Klöden</v>
      </c>
      <c r="D142" s="3" t="str">
        <f>IFERROR(__xludf.DUMMYFUNCTION("""COMPUTED_VALUE"""),"Ivan Basso")</f>
        <v>Ivan Basso</v>
      </c>
      <c r="E142" s="3" t="str">
        <f>IFERROR(__xludf.DUMMYFUNCTION("""COMPUTED_VALUE"""),"*non attribué*[6],[7].")</f>
        <v>*non attribué*[6],[7].</v>
      </c>
      <c r="F142" s="3" t="str">
        <f>IFERROR(__xludf.DUMMYFUNCTION("""COMPUTED_VALUE"""),"*non attribué*[6],[7].")</f>
        <v>*non attribué*[6],[7].</v>
      </c>
      <c r="G142" s="3"/>
      <c r="H142" s="3">
        <f>IFERROR(__xludf.DUMMYFUNCTION("""COMPUTED_VALUE"""),20.0)</f>
        <v>20</v>
      </c>
      <c r="I142" s="3">
        <f>IFERROR(__xludf.DUMMYFUNCTION("""COMPUTED_VALUE"""),3391.0)</f>
        <v>3391</v>
      </c>
      <c r="J142" s="3"/>
      <c r="K142" s="3" t="str">
        <f>IFERROR(__xludf.DUMMYFUNCTION("""COMPUTED_VALUE"""),"Richard Virenque")</f>
        <v>Richard Virenque</v>
      </c>
      <c r="L142" s="3" t="str">
        <f>IFERROR(__xludf.DUMMYFUNCTION("""COMPUTED_VALUE"""),"Robbie McEwen")</f>
        <v>Robbie McEwen</v>
      </c>
      <c r="M142" s="3" t="str">
        <f>IFERROR(__xludf.DUMMYFUNCTION("""COMPUTED_VALUE"""),"Vladimir Karpets")</f>
        <v>Vladimir Karpets</v>
      </c>
      <c r="N142" s="3" t="str">
        <f>IFERROR(__xludf.DUMMYFUNCTION("""COMPUTED_VALUE"""),"Richard Virenque")</f>
        <v>Richard Virenque</v>
      </c>
    </row>
    <row r="143">
      <c r="A143" s="3" t="str">
        <f>IFERROR(__xludf.DUMMYFUNCTION("""COMPUTED_VALUE"""),"2005 (92e)")</f>
        <v>2005 (92e)</v>
      </c>
      <c r="B143" s="3" t="str">
        <f>IFERROR(__xludf.DUMMYFUNCTION("""COMPUTED_VALUE"""),"*non attribué*[6],[7]")</f>
        <v>*non attribué*[6],[7]</v>
      </c>
      <c r="C143" s="3" t="str">
        <f>IFERROR(__xludf.DUMMYFUNCTION("""COMPUTED_VALUE"""),"Ivan Basso")</f>
        <v>Ivan Basso</v>
      </c>
      <c r="D143" s="3" t="str">
        <f>IFERROR(__xludf.DUMMYFUNCTION("""COMPUTED_VALUE"""),"*non attribué*[8]")</f>
        <v>*non attribué*[8]</v>
      </c>
      <c r="E143" s="3" t="str">
        <f>IFERROR(__xludf.DUMMYFUNCTION("""COMPUTED_VALUE"""),"*non attribué*[6],[7].")</f>
        <v>*non attribué*[6],[7].</v>
      </c>
      <c r="F143" s="3" t="str">
        <f>IFERROR(__xludf.DUMMYFUNCTION("""COMPUTED_VALUE"""),"*non attribué*[6],[7]")</f>
        <v>*non attribué*[6],[7]</v>
      </c>
      <c r="G143" s="3"/>
      <c r="H143" s="3">
        <f>IFERROR(__xludf.DUMMYFUNCTION("""COMPUTED_VALUE"""),21.0)</f>
        <v>21</v>
      </c>
      <c r="I143" s="3">
        <f>IFERROR(__xludf.DUMMYFUNCTION("""COMPUTED_VALUE"""),3593.0)</f>
        <v>3593</v>
      </c>
      <c r="J143" s="3"/>
      <c r="K143" s="3" t="str">
        <f>IFERROR(__xludf.DUMMYFUNCTION("""COMPUTED_VALUE"""),"Michael Rasmussen")</f>
        <v>Michael Rasmussen</v>
      </c>
      <c r="L143" s="3" t="str">
        <f>IFERROR(__xludf.DUMMYFUNCTION("""COMPUTED_VALUE"""),"Thor Hushovd")</f>
        <v>Thor Hushovd</v>
      </c>
      <c r="M143" s="3" t="str">
        <f>IFERROR(__xludf.DUMMYFUNCTION("""COMPUTED_VALUE"""),"Yaroslav Popovych")</f>
        <v>Yaroslav Popovych</v>
      </c>
      <c r="N143" s="3" t="str">
        <f>IFERROR(__xludf.DUMMYFUNCTION("""COMPUTED_VALUE"""),"Óscar Pereiro")</f>
        <v>Óscar Pereiro</v>
      </c>
    </row>
    <row r="144">
      <c r="A144" s="3" t="str">
        <f>IFERROR(__xludf.DUMMYFUNCTION("""COMPUTED_VALUE"""),"2006 (93e)")</f>
        <v>2006 (93e)</v>
      </c>
      <c r="B144" s="3" t="str">
        <f>IFERROR(__xludf.DUMMYFUNCTION("""COMPUTED_VALUE"""),"Óscar Pereiro[9]")</f>
        <v>Óscar Pereiro[9]</v>
      </c>
      <c r="C144" s="3" t="str">
        <f>IFERROR(__xludf.DUMMYFUNCTION("""COMPUTED_VALUE"""),"Andreas Klöden")</f>
        <v>Andreas Klöden</v>
      </c>
      <c r="D144" s="3" t="str">
        <f>IFERROR(__xludf.DUMMYFUNCTION("""COMPUTED_VALUE"""),"Carlos Sastre")</f>
        <v>Carlos Sastre</v>
      </c>
      <c r="E144" s="3" t="str">
        <f>IFERROR(__xludf.DUMMYFUNCTION("""COMPUTED_VALUE"""),"Caisse d'Épargne-Illes Balears")</f>
        <v>Caisse d'Épargne-Illes Balears</v>
      </c>
      <c r="F144" s="3" t="str">
        <f>IFERROR(__xludf.DUMMYFUNCTION("""COMPUTED_VALUE"""),"Pinarello")</f>
        <v>Pinarello</v>
      </c>
      <c r="G144" s="3" t="str">
        <f>IFERROR(__xludf.DUMMYFUNCTION("""COMPUTED_VALUE"""),"Campagnolo")</f>
        <v>Campagnolo</v>
      </c>
      <c r="H144" s="3">
        <f>IFERROR(__xludf.DUMMYFUNCTION("""COMPUTED_VALUE"""),21.0)</f>
        <v>21</v>
      </c>
      <c r="I144" s="3">
        <f>IFERROR(__xludf.DUMMYFUNCTION("""COMPUTED_VALUE"""),3657.1)</f>
        <v>3657.1</v>
      </c>
      <c r="J144" s="3" t="str">
        <f>IFERROR(__xludf.DUMMYFUNCTION("""COMPUTED_VALUE"""),"40,784 km/h")</f>
        <v>40,784 km/h</v>
      </c>
      <c r="K144" s="3" t="str">
        <f>IFERROR(__xludf.DUMMYFUNCTION("""COMPUTED_VALUE"""),"Michael Rasmussen")</f>
        <v>Michael Rasmussen</v>
      </c>
      <c r="L144" s="3" t="str">
        <f>IFERROR(__xludf.DUMMYFUNCTION("""COMPUTED_VALUE"""),"Robbie McEwen")</f>
        <v>Robbie McEwen</v>
      </c>
      <c r="M144" s="3" t="str">
        <f>IFERROR(__xludf.DUMMYFUNCTION("""COMPUTED_VALUE"""),"Damiano Cunego")</f>
        <v>Damiano Cunego</v>
      </c>
      <c r="N144" s="3" t="str">
        <f>IFERROR(__xludf.DUMMYFUNCTION("""COMPUTED_VALUE"""),"David de la Fuente")</f>
        <v>David de la Fuente</v>
      </c>
    </row>
    <row r="145">
      <c r="A145" s="3" t="str">
        <f>IFERROR(__xludf.DUMMYFUNCTION("""COMPUTED_VALUE"""),"2007 (94e)")</f>
        <v>2007 (94e)</v>
      </c>
      <c r="B145" s="3" t="str">
        <f>IFERROR(__xludf.DUMMYFUNCTION("""COMPUTED_VALUE"""),"Alberto Contador")</f>
        <v>Alberto Contador</v>
      </c>
      <c r="C145" s="3" t="str">
        <f>IFERROR(__xludf.DUMMYFUNCTION("""COMPUTED_VALUE"""),"Cadel Evans")</f>
        <v>Cadel Evans</v>
      </c>
      <c r="D145" s="3" t="str">
        <f>IFERROR(__xludf.DUMMYFUNCTION("""COMPUTED_VALUE"""),"*non attribué*[10]")</f>
        <v>*non attribué*[10]</v>
      </c>
      <c r="E145" s="3" t="str">
        <f>IFERROR(__xludf.DUMMYFUNCTION("""COMPUTED_VALUE"""),"Discovery Channel")</f>
        <v>Discovery Channel</v>
      </c>
      <c r="F145" s="3" t="str">
        <f>IFERROR(__xludf.DUMMYFUNCTION("""COMPUTED_VALUE"""),"Trek")</f>
        <v>Trek</v>
      </c>
      <c r="G145" s="3" t="str">
        <f>IFERROR(__xludf.DUMMYFUNCTION("""COMPUTED_VALUE"""),"Shimano")</f>
        <v>Shimano</v>
      </c>
      <c r="H145" s="3">
        <f>IFERROR(__xludf.DUMMYFUNCTION("""COMPUTED_VALUE"""),21.0)</f>
        <v>21</v>
      </c>
      <c r="I145" s="3">
        <f>IFERROR(__xludf.DUMMYFUNCTION("""COMPUTED_VALUE"""),3569.5)</f>
        <v>3569.5</v>
      </c>
      <c r="J145" s="3" t="str">
        <f>IFERROR(__xludf.DUMMYFUNCTION("""COMPUTED_VALUE"""),"39,228 km/h")</f>
        <v>39,228 km/h</v>
      </c>
      <c r="K145" s="3" t="str">
        <f>IFERROR(__xludf.DUMMYFUNCTION("""COMPUTED_VALUE"""),"Mauricio Soler")</f>
        <v>Mauricio Soler</v>
      </c>
      <c r="L145" s="3" t="str">
        <f>IFERROR(__xludf.DUMMYFUNCTION("""COMPUTED_VALUE"""),"Tom Boonen")</f>
        <v>Tom Boonen</v>
      </c>
      <c r="M145" s="3" t="str">
        <f>IFERROR(__xludf.DUMMYFUNCTION("""COMPUTED_VALUE"""),"Alberto Contador")</f>
        <v>Alberto Contador</v>
      </c>
      <c r="N145" s="3" t="str">
        <f>IFERROR(__xludf.DUMMYFUNCTION("""COMPUTED_VALUE"""),"Amets Txurruka")</f>
        <v>Amets Txurruka</v>
      </c>
    </row>
    <row r="146">
      <c r="A146" s="3" t="str">
        <f>IFERROR(__xludf.DUMMYFUNCTION("""COMPUTED_VALUE"""),"2008 (95e)")</f>
        <v>2008 (95e)</v>
      </c>
      <c r="B146" s="3" t="str">
        <f>IFERROR(__xludf.DUMMYFUNCTION("""COMPUTED_VALUE"""),"Carlos Sastre")</f>
        <v>Carlos Sastre</v>
      </c>
      <c r="C146" s="3" t="str">
        <f>IFERROR(__xludf.DUMMYFUNCTION("""COMPUTED_VALUE"""),"Cadel Evans")</f>
        <v>Cadel Evans</v>
      </c>
      <c r="D146" s="3" t="str">
        <f>IFERROR(__xludf.DUMMYFUNCTION("""COMPUTED_VALUE"""),"Denis Menchov[11],[12]")</f>
        <v>Denis Menchov[11],[12]</v>
      </c>
      <c r="E146" s="3" t="str">
        <f>IFERROR(__xludf.DUMMYFUNCTION("""COMPUTED_VALUE"""),"CSC Saxo Bank")</f>
        <v>CSC Saxo Bank</v>
      </c>
      <c r="F146" s="3" t="str">
        <f>IFERROR(__xludf.DUMMYFUNCTION("""COMPUTED_VALUE"""),"Cervélo")</f>
        <v>Cervélo</v>
      </c>
      <c r="G146" s="3" t="str">
        <f>IFERROR(__xludf.DUMMYFUNCTION("""COMPUTED_VALUE"""),"Shimano")</f>
        <v>Shimano</v>
      </c>
      <c r="H146" s="3">
        <f>IFERROR(__xludf.DUMMYFUNCTION("""COMPUTED_VALUE"""),21.0)</f>
        <v>21</v>
      </c>
      <c r="I146" s="3">
        <f>IFERROR(__xludf.DUMMYFUNCTION("""COMPUTED_VALUE"""),3558.5)</f>
        <v>3558.5</v>
      </c>
      <c r="J146" s="3" t="str">
        <f>IFERROR(__xludf.DUMMYFUNCTION("""COMPUTED_VALUE"""),"40,492 km/h")</f>
        <v>40,492 km/h</v>
      </c>
      <c r="K146" s="3" t="str">
        <f>IFERROR(__xludf.DUMMYFUNCTION("""COMPUTED_VALUE"""),"Carlos Sastre[13]")</f>
        <v>Carlos Sastre[13]</v>
      </c>
      <c r="L146" s="3" t="str">
        <f>IFERROR(__xludf.DUMMYFUNCTION("""COMPUTED_VALUE"""),"Óscar Freire")</f>
        <v>Óscar Freire</v>
      </c>
      <c r="M146" s="3" t="str">
        <f>IFERROR(__xludf.DUMMYFUNCTION("""COMPUTED_VALUE"""),"Andy Schleck")</f>
        <v>Andy Schleck</v>
      </c>
      <c r="N146" s="3" t="str">
        <f>IFERROR(__xludf.DUMMYFUNCTION("""COMPUTED_VALUE"""),"Sylvain Chavanel")</f>
        <v>Sylvain Chavanel</v>
      </c>
    </row>
    <row r="147">
      <c r="A147" s="3" t="str">
        <f>IFERROR(__xludf.DUMMYFUNCTION("""COMPUTED_VALUE"""),"2009 (96e)")</f>
        <v>2009 (96e)</v>
      </c>
      <c r="B147" s="3" t="str">
        <f>IFERROR(__xludf.DUMMYFUNCTION("""COMPUTED_VALUE"""),"Alberto Contador")</f>
        <v>Alberto Contador</v>
      </c>
      <c r="C147" s="3" t="str">
        <f>IFERROR(__xludf.DUMMYFUNCTION("""COMPUTED_VALUE"""),"Andy Schleck")</f>
        <v>Andy Schleck</v>
      </c>
      <c r="D147" s="3" t="str">
        <f>IFERROR(__xludf.DUMMYFUNCTION("""COMPUTED_VALUE"""),"Bradley Wiggins[14]")</f>
        <v>Bradley Wiggins[14]</v>
      </c>
      <c r="E147" s="3" t="str">
        <f>IFERROR(__xludf.DUMMYFUNCTION("""COMPUTED_VALUE"""),"Astana")</f>
        <v>Astana</v>
      </c>
      <c r="F147" s="3" t="str">
        <f>IFERROR(__xludf.DUMMYFUNCTION("""COMPUTED_VALUE"""),"Trek")</f>
        <v>Trek</v>
      </c>
      <c r="G147" s="3" t="str">
        <f>IFERROR(__xludf.DUMMYFUNCTION("""COMPUTED_VALUE"""),"SRAM")</f>
        <v>SRAM</v>
      </c>
      <c r="H147" s="3">
        <f>IFERROR(__xludf.DUMMYFUNCTION("""COMPUTED_VALUE"""),21.0)</f>
        <v>21</v>
      </c>
      <c r="I147" s="3">
        <f>IFERROR(__xludf.DUMMYFUNCTION("""COMPUTED_VALUE"""),3459.5)</f>
        <v>3459.5</v>
      </c>
      <c r="J147" s="3" t="str">
        <f>IFERROR(__xludf.DUMMYFUNCTION("""COMPUTED_VALUE"""),"40,315 km/h")</f>
        <v>40,315 km/h</v>
      </c>
      <c r="K147" s="3" t="str">
        <f>IFERROR(__xludf.DUMMYFUNCTION("""COMPUTED_VALUE"""),"Egoi Martínez[15]")</f>
        <v>Egoi Martínez[15]</v>
      </c>
      <c r="L147" s="3" t="str">
        <f>IFERROR(__xludf.DUMMYFUNCTION("""COMPUTED_VALUE"""),"Thor Hushovd")</f>
        <v>Thor Hushovd</v>
      </c>
      <c r="M147" s="3" t="str">
        <f>IFERROR(__xludf.DUMMYFUNCTION("""COMPUTED_VALUE"""),"Andy Schleck")</f>
        <v>Andy Schleck</v>
      </c>
      <c r="N147" s="3" t="str">
        <f>IFERROR(__xludf.DUMMYFUNCTION("""COMPUTED_VALUE"""),"*non attribué*[16]")</f>
        <v>*non attribué*[16]</v>
      </c>
    </row>
    <row r="148">
      <c r="A148" s="3" t="str">
        <f>IFERROR(__xludf.DUMMYFUNCTION("""COMPUTED_VALUE"""),"2010 (97e)")</f>
        <v>2010 (97e)</v>
      </c>
      <c r="B148" s="3" t="str">
        <f>IFERROR(__xludf.DUMMYFUNCTION("""COMPUTED_VALUE"""),"Andy Schleck[17]")</f>
        <v>Andy Schleck[17]</v>
      </c>
      <c r="C148" s="3" t="str">
        <f>IFERROR(__xludf.DUMMYFUNCTION("""COMPUTED_VALUE"""),"Samuel Sánchez[18]")</f>
        <v>Samuel Sánchez[18]</v>
      </c>
      <c r="D148" s="3" t="str">
        <f>IFERROR(__xludf.DUMMYFUNCTION("""COMPUTED_VALUE"""),"Jurgen Van den Broeck[18]")</f>
        <v>Jurgen Van den Broeck[18]</v>
      </c>
      <c r="E148" s="3" t="str">
        <f>IFERROR(__xludf.DUMMYFUNCTION("""COMPUTED_VALUE"""),"Saxo Bank")</f>
        <v>Saxo Bank</v>
      </c>
      <c r="F148" s="3" t="str">
        <f>IFERROR(__xludf.DUMMYFUNCTION("""COMPUTED_VALUE"""),"Specialized")</f>
        <v>Specialized</v>
      </c>
      <c r="G148" s="3" t="str">
        <f>IFERROR(__xludf.DUMMYFUNCTION("""COMPUTED_VALUE"""),"SRAM")</f>
        <v>SRAM</v>
      </c>
      <c r="H148" s="3">
        <f>IFERROR(__xludf.DUMMYFUNCTION("""COMPUTED_VALUE"""),21.0)</f>
        <v>21</v>
      </c>
      <c r="I148" s="3">
        <f>IFERROR(__xludf.DUMMYFUNCTION("""COMPUTED_VALUE"""),3642.0)</f>
        <v>3642</v>
      </c>
      <c r="J148" s="3" t="str">
        <f>IFERROR(__xludf.DUMMYFUNCTION("""COMPUTED_VALUE"""),"39,594 km/h")</f>
        <v>39,594 km/h</v>
      </c>
      <c r="K148" s="3" t="str">
        <f>IFERROR(__xludf.DUMMYFUNCTION("""COMPUTED_VALUE"""),"Anthony Charteau")</f>
        <v>Anthony Charteau</v>
      </c>
      <c r="L148" s="3" t="str">
        <f>IFERROR(__xludf.DUMMYFUNCTION("""COMPUTED_VALUE"""),"Alessandro Petacchi")</f>
        <v>Alessandro Petacchi</v>
      </c>
      <c r="M148" s="3" t="str">
        <f>IFERROR(__xludf.DUMMYFUNCTION("""COMPUTED_VALUE"""),"Andy Schleck")</f>
        <v>Andy Schleck</v>
      </c>
      <c r="N148" s="3" t="str">
        <f>IFERROR(__xludf.DUMMYFUNCTION("""COMPUTED_VALUE"""),"Sylvain Chavanel")</f>
        <v>Sylvain Chavanel</v>
      </c>
    </row>
    <row r="149">
      <c r="A149" s="3" t="str">
        <f>IFERROR(__xludf.DUMMYFUNCTION("""COMPUTED_VALUE"""),"2011 (98e)")</f>
        <v>2011 (98e)</v>
      </c>
      <c r="B149" s="3" t="str">
        <f>IFERROR(__xludf.DUMMYFUNCTION("""COMPUTED_VALUE"""),"Cadel Evans")</f>
        <v>Cadel Evans</v>
      </c>
      <c r="C149" s="3" t="str">
        <f>IFERROR(__xludf.DUMMYFUNCTION("""COMPUTED_VALUE"""),"Andy Schleck")</f>
        <v>Andy Schleck</v>
      </c>
      <c r="D149" s="3" t="str">
        <f>IFERROR(__xludf.DUMMYFUNCTION("""COMPUTED_VALUE"""),"Fränk Schleck")</f>
        <v>Fränk Schleck</v>
      </c>
      <c r="E149" s="3" t="str">
        <f>IFERROR(__xludf.DUMMYFUNCTION("""COMPUTED_VALUE"""),"BMC Racing")</f>
        <v>BMC Racing</v>
      </c>
      <c r="F149" s="3" t="str">
        <f>IFERROR(__xludf.DUMMYFUNCTION("""COMPUTED_VALUE"""),"BMC")</f>
        <v>BMC</v>
      </c>
      <c r="G149" s="3" t="str">
        <f>IFERROR(__xludf.DUMMYFUNCTION("""COMPUTED_VALUE"""),"Shimano")</f>
        <v>Shimano</v>
      </c>
      <c r="H149" s="3">
        <f>IFERROR(__xludf.DUMMYFUNCTION("""COMPUTED_VALUE"""),21.0)</f>
        <v>21</v>
      </c>
      <c r="I149" s="3">
        <f>IFERROR(__xludf.DUMMYFUNCTION("""COMPUTED_VALUE"""),3430.0)</f>
        <v>3430</v>
      </c>
      <c r="J149" s="3" t="str">
        <f>IFERROR(__xludf.DUMMYFUNCTION("""COMPUTED_VALUE"""),"39,788 km/h")</f>
        <v>39,788 km/h</v>
      </c>
      <c r="K149" s="3" t="str">
        <f>IFERROR(__xludf.DUMMYFUNCTION("""COMPUTED_VALUE"""),"Samuel Sánchez")</f>
        <v>Samuel Sánchez</v>
      </c>
      <c r="L149" s="3" t="str">
        <f>IFERROR(__xludf.DUMMYFUNCTION("""COMPUTED_VALUE"""),"Mark Cavendish")</f>
        <v>Mark Cavendish</v>
      </c>
      <c r="M149" s="3" t="str">
        <f>IFERROR(__xludf.DUMMYFUNCTION("""COMPUTED_VALUE"""),"Pierre Rolland")</f>
        <v>Pierre Rolland</v>
      </c>
      <c r="N149" s="3" t="str">
        <f>IFERROR(__xludf.DUMMYFUNCTION("""COMPUTED_VALUE"""),"Jérémy Roy")</f>
        <v>Jérémy Roy</v>
      </c>
    </row>
    <row r="150">
      <c r="A150" s="3" t="str">
        <f>IFERROR(__xludf.DUMMYFUNCTION("""COMPUTED_VALUE"""),"2012 (99e)")</f>
        <v>2012 (99e)</v>
      </c>
      <c r="B150" s="3" t="str">
        <f>IFERROR(__xludf.DUMMYFUNCTION("""COMPUTED_VALUE"""),"Bradley Wiggins")</f>
        <v>Bradley Wiggins</v>
      </c>
      <c r="C150" s="3" t="str">
        <f>IFERROR(__xludf.DUMMYFUNCTION("""COMPUTED_VALUE"""),"Christopher Froome")</f>
        <v>Christopher Froome</v>
      </c>
      <c r="D150" s="3" t="str">
        <f>IFERROR(__xludf.DUMMYFUNCTION("""COMPUTED_VALUE"""),"Vincenzo Nibali")</f>
        <v>Vincenzo Nibali</v>
      </c>
      <c r="E150" s="3" t="str">
        <f>IFERROR(__xludf.DUMMYFUNCTION("""COMPUTED_VALUE"""),"Team Sky")</f>
        <v>Team Sky</v>
      </c>
      <c r="F150" s="3" t="str">
        <f>IFERROR(__xludf.DUMMYFUNCTION("""COMPUTED_VALUE"""),"Pinarello")</f>
        <v>Pinarello</v>
      </c>
      <c r="G150" s="3" t="str">
        <f>IFERROR(__xludf.DUMMYFUNCTION("""COMPUTED_VALUE"""),"Shimano")</f>
        <v>Shimano</v>
      </c>
      <c r="H150" s="3">
        <f>IFERROR(__xludf.DUMMYFUNCTION("""COMPUTED_VALUE"""),21.0)</f>
        <v>21</v>
      </c>
      <c r="I150" s="3">
        <f>IFERROR(__xludf.DUMMYFUNCTION("""COMPUTED_VALUE"""),3497.0)</f>
        <v>3497</v>
      </c>
      <c r="J150" s="3" t="str">
        <f>IFERROR(__xludf.DUMMYFUNCTION("""COMPUTED_VALUE"""),"39,724 km/h")</f>
        <v>39,724 km/h</v>
      </c>
      <c r="K150" s="3" t="str">
        <f>IFERROR(__xludf.DUMMYFUNCTION("""COMPUTED_VALUE"""),"Thomas Voeckler")</f>
        <v>Thomas Voeckler</v>
      </c>
      <c r="L150" s="3" t="str">
        <f>IFERROR(__xludf.DUMMYFUNCTION("""COMPUTED_VALUE"""),"Peter Sagan")</f>
        <v>Peter Sagan</v>
      </c>
      <c r="M150" s="3" t="str">
        <f>IFERROR(__xludf.DUMMYFUNCTION("""COMPUTED_VALUE"""),"Tejay van Garderen")</f>
        <v>Tejay van Garderen</v>
      </c>
      <c r="N150" s="3" t="str">
        <f>IFERROR(__xludf.DUMMYFUNCTION("""COMPUTED_VALUE"""),"Chris Anker Sørensen")</f>
        <v>Chris Anker Sørensen</v>
      </c>
    </row>
    <row r="151">
      <c r="A151" s="3" t="str">
        <f>IFERROR(__xludf.DUMMYFUNCTION("""COMPUTED_VALUE"""),"2013 (100e)")</f>
        <v>2013 (100e)</v>
      </c>
      <c r="B151" s="3" t="str">
        <f>IFERROR(__xludf.DUMMYFUNCTION("""COMPUTED_VALUE"""),"Christopher Froome")</f>
        <v>Christopher Froome</v>
      </c>
      <c r="C151" s="3" t="str">
        <f>IFERROR(__xludf.DUMMYFUNCTION("""COMPUTED_VALUE"""),"Nairo Quintana")</f>
        <v>Nairo Quintana</v>
      </c>
      <c r="D151" s="3" t="str">
        <f>IFERROR(__xludf.DUMMYFUNCTION("""COMPUTED_VALUE"""),"Joaquim Rodríguez")</f>
        <v>Joaquim Rodríguez</v>
      </c>
      <c r="E151" s="3" t="str">
        <f>IFERROR(__xludf.DUMMYFUNCTION("""COMPUTED_VALUE"""),"Team Sky")</f>
        <v>Team Sky</v>
      </c>
      <c r="F151" s="3" t="str">
        <f>IFERROR(__xludf.DUMMYFUNCTION("""COMPUTED_VALUE"""),"Pinarello")</f>
        <v>Pinarello</v>
      </c>
      <c r="G151" s="3" t="str">
        <f>IFERROR(__xludf.DUMMYFUNCTION("""COMPUTED_VALUE"""),"Shimano")</f>
        <v>Shimano</v>
      </c>
      <c r="H151" s="3">
        <f>IFERROR(__xludf.DUMMYFUNCTION("""COMPUTED_VALUE"""),21.0)</f>
        <v>21</v>
      </c>
      <c r="I151" s="3">
        <f>IFERROR(__xludf.DUMMYFUNCTION("""COMPUTED_VALUE"""),3404.0)</f>
        <v>3404</v>
      </c>
      <c r="J151" s="3" t="str">
        <f>IFERROR(__xludf.DUMMYFUNCTION("""COMPUTED_VALUE"""),"40,542 km/h")</f>
        <v>40,542 km/h</v>
      </c>
      <c r="K151" s="3" t="str">
        <f>IFERROR(__xludf.DUMMYFUNCTION("""COMPUTED_VALUE"""),"Nairo Quintana")</f>
        <v>Nairo Quintana</v>
      </c>
      <c r="L151" s="3" t="str">
        <f>IFERROR(__xludf.DUMMYFUNCTION("""COMPUTED_VALUE"""),"Peter Sagan")</f>
        <v>Peter Sagan</v>
      </c>
      <c r="M151" s="3" t="str">
        <f>IFERROR(__xludf.DUMMYFUNCTION("""COMPUTED_VALUE"""),"Nairo Quintana")</f>
        <v>Nairo Quintana</v>
      </c>
      <c r="N151" s="3" t="str">
        <f>IFERROR(__xludf.DUMMYFUNCTION("""COMPUTED_VALUE"""),"Christophe Riblon")</f>
        <v>Christophe Riblon</v>
      </c>
    </row>
    <row r="152">
      <c r="A152" s="3" t="str">
        <f>IFERROR(__xludf.DUMMYFUNCTION("""COMPUTED_VALUE"""),"2014 (101e)")</f>
        <v>2014 (101e)</v>
      </c>
      <c r="B152" s="3" t="str">
        <f>IFERROR(__xludf.DUMMYFUNCTION("""COMPUTED_VALUE"""),"Vincenzo Nibali")</f>
        <v>Vincenzo Nibali</v>
      </c>
      <c r="C152" s="3" t="str">
        <f>IFERROR(__xludf.DUMMYFUNCTION("""COMPUTED_VALUE"""),"Jean-Christophe Péraud")</f>
        <v>Jean-Christophe Péraud</v>
      </c>
      <c r="D152" s="3" t="str">
        <f>IFERROR(__xludf.DUMMYFUNCTION("""COMPUTED_VALUE"""),"Thibaut Pinot")</f>
        <v>Thibaut Pinot</v>
      </c>
      <c r="E152" s="3" t="str">
        <f>IFERROR(__xludf.DUMMYFUNCTION("""COMPUTED_VALUE"""),"Astana")</f>
        <v>Astana</v>
      </c>
      <c r="F152" s="3" t="str">
        <f>IFERROR(__xludf.DUMMYFUNCTION("""COMPUTED_VALUE"""),"Specialized")</f>
        <v>Specialized</v>
      </c>
      <c r="G152" s="3" t="str">
        <f>IFERROR(__xludf.DUMMYFUNCTION("""COMPUTED_VALUE"""),"Campagnolo")</f>
        <v>Campagnolo</v>
      </c>
      <c r="H152" s="3">
        <f>IFERROR(__xludf.DUMMYFUNCTION("""COMPUTED_VALUE"""),21.0)</f>
        <v>21</v>
      </c>
      <c r="I152" s="3">
        <f>IFERROR(__xludf.DUMMYFUNCTION("""COMPUTED_VALUE"""),3660.5)</f>
        <v>3660.5</v>
      </c>
      <c r="J152" s="3" t="str">
        <f>IFERROR(__xludf.DUMMYFUNCTION("""COMPUTED_VALUE"""),"40,452 km/h")</f>
        <v>40,452 km/h</v>
      </c>
      <c r="K152" s="3" t="str">
        <f>IFERROR(__xludf.DUMMYFUNCTION("""COMPUTED_VALUE"""),"Rafał Majka")</f>
        <v>Rafał Majka</v>
      </c>
      <c r="L152" s="3" t="str">
        <f>IFERROR(__xludf.DUMMYFUNCTION("""COMPUTED_VALUE"""),"Peter Sagan")</f>
        <v>Peter Sagan</v>
      </c>
      <c r="M152" s="3" t="str">
        <f>IFERROR(__xludf.DUMMYFUNCTION("""COMPUTED_VALUE"""),"Thibaut Pinot")</f>
        <v>Thibaut Pinot</v>
      </c>
      <c r="N152" s="3" t="str">
        <f>IFERROR(__xludf.DUMMYFUNCTION("""COMPUTED_VALUE"""),"Alessandro De Marchi")</f>
        <v>Alessandro De Marchi</v>
      </c>
    </row>
    <row r="153">
      <c r="A153" s="3" t="str">
        <f>IFERROR(__xludf.DUMMYFUNCTION("""COMPUTED_VALUE"""),"2015 (102e)")</f>
        <v>2015 (102e)</v>
      </c>
      <c r="B153" s="3" t="str">
        <f>IFERROR(__xludf.DUMMYFUNCTION("""COMPUTED_VALUE"""),"Christopher Froome")</f>
        <v>Christopher Froome</v>
      </c>
      <c r="C153" s="3" t="str">
        <f>IFERROR(__xludf.DUMMYFUNCTION("""COMPUTED_VALUE"""),"Nairo Quintana")</f>
        <v>Nairo Quintana</v>
      </c>
      <c r="D153" s="3" t="str">
        <f>IFERROR(__xludf.DUMMYFUNCTION("""COMPUTED_VALUE"""),"Alejandro Valverde")</f>
        <v>Alejandro Valverde</v>
      </c>
      <c r="E153" s="3" t="str">
        <f>IFERROR(__xludf.DUMMYFUNCTION("""COMPUTED_VALUE"""),"Team Sky")</f>
        <v>Team Sky</v>
      </c>
      <c r="F153" s="3" t="str">
        <f>IFERROR(__xludf.DUMMYFUNCTION("""COMPUTED_VALUE"""),"Pinarello")</f>
        <v>Pinarello</v>
      </c>
      <c r="G153" s="3" t="str">
        <f>IFERROR(__xludf.DUMMYFUNCTION("""COMPUTED_VALUE"""),"Shimano")</f>
        <v>Shimano</v>
      </c>
      <c r="H153" s="3">
        <f>IFERROR(__xludf.DUMMYFUNCTION("""COMPUTED_VALUE"""),21.0)</f>
        <v>21</v>
      </c>
      <c r="I153" s="3">
        <f>IFERROR(__xludf.DUMMYFUNCTION("""COMPUTED_VALUE"""),3360.0)</f>
        <v>3360</v>
      </c>
      <c r="J153" s="3" t="str">
        <f>IFERROR(__xludf.DUMMYFUNCTION("""COMPUTED_VALUE"""),"39,567 km/h")</f>
        <v>39,567 km/h</v>
      </c>
      <c r="K153" s="3" t="str">
        <f>IFERROR(__xludf.DUMMYFUNCTION("""COMPUTED_VALUE"""),"Christopher Froome")</f>
        <v>Christopher Froome</v>
      </c>
      <c r="L153" s="3" t="str">
        <f>IFERROR(__xludf.DUMMYFUNCTION("""COMPUTED_VALUE"""),"Peter Sagan")</f>
        <v>Peter Sagan</v>
      </c>
      <c r="M153" s="3" t="str">
        <f>IFERROR(__xludf.DUMMYFUNCTION("""COMPUTED_VALUE"""),"Nairo Quintana")</f>
        <v>Nairo Quintana</v>
      </c>
      <c r="N153" s="3" t="str">
        <f>IFERROR(__xludf.DUMMYFUNCTION("""COMPUTED_VALUE"""),"Romain Bardet")</f>
        <v>Romain Bardet</v>
      </c>
    </row>
    <row r="154">
      <c r="A154" s="3" t="str">
        <f>IFERROR(__xludf.DUMMYFUNCTION("""COMPUTED_VALUE"""),"2016 (103e)")</f>
        <v>2016 (103e)</v>
      </c>
      <c r="B154" s="3" t="str">
        <f>IFERROR(__xludf.DUMMYFUNCTION("""COMPUTED_VALUE"""),"Christopher Froome")</f>
        <v>Christopher Froome</v>
      </c>
      <c r="C154" s="3" t="str">
        <f>IFERROR(__xludf.DUMMYFUNCTION("""COMPUTED_VALUE"""),"Romain Bardet")</f>
        <v>Romain Bardet</v>
      </c>
      <c r="D154" s="3" t="str">
        <f>IFERROR(__xludf.DUMMYFUNCTION("""COMPUTED_VALUE"""),"Nairo Quintana")</f>
        <v>Nairo Quintana</v>
      </c>
      <c r="E154" s="3" t="str">
        <f>IFERROR(__xludf.DUMMYFUNCTION("""COMPUTED_VALUE"""),"Team Sky")</f>
        <v>Team Sky</v>
      </c>
      <c r="F154" s="3" t="str">
        <f>IFERROR(__xludf.DUMMYFUNCTION("""COMPUTED_VALUE"""),"Pinarello")</f>
        <v>Pinarello</v>
      </c>
      <c r="G154" s="3" t="str">
        <f>IFERROR(__xludf.DUMMYFUNCTION("""COMPUTED_VALUE"""),"Shimano")</f>
        <v>Shimano</v>
      </c>
      <c r="H154" s="3">
        <f>IFERROR(__xludf.DUMMYFUNCTION("""COMPUTED_VALUE"""),21.0)</f>
        <v>21</v>
      </c>
      <c r="I154" s="3">
        <f>IFERROR(__xludf.DUMMYFUNCTION("""COMPUTED_VALUE"""),3529.0)</f>
        <v>3529</v>
      </c>
      <c r="J154" s="3" t="str">
        <f>IFERROR(__xludf.DUMMYFUNCTION("""COMPUTED_VALUE"""),"39,616 km/h")</f>
        <v>39,616 km/h</v>
      </c>
      <c r="K154" s="3" t="str">
        <f>IFERROR(__xludf.DUMMYFUNCTION("""COMPUTED_VALUE"""),"Rafał Majka")</f>
        <v>Rafał Majka</v>
      </c>
      <c r="L154" s="3" t="str">
        <f>IFERROR(__xludf.DUMMYFUNCTION("""COMPUTED_VALUE"""),"Peter Sagan")</f>
        <v>Peter Sagan</v>
      </c>
      <c r="M154" s="3" t="str">
        <f>IFERROR(__xludf.DUMMYFUNCTION("""COMPUTED_VALUE"""),"Adam Yates")</f>
        <v>Adam Yates</v>
      </c>
      <c r="N154" s="3" t="str">
        <f>IFERROR(__xludf.DUMMYFUNCTION("""COMPUTED_VALUE"""),"Peter Sagan")</f>
        <v>Peter Sagan</v>
      </c>
    </row>
    <row r="155">
      <c r="A155" s="3" t="str">
        <f>IFERROR(__xludf.DUMMYFUNCTION("""COMPUTED_VALUE"""),"2017 (104e)")</f>
        <v>2017 (104e)</v>
      </c>
      <c r="B155" s="3" t="str">
        <f>IFERROR(__xludf.DUMMYFUNCTION("""COMPUTED_VALUE"""),"Christopher Froome")</f>
        <v>Christopher Froome</v>
      </c>
      <c r="C155" s="3" t="str">
        <f>IFERROR(__xludf.DUMMYFUNCTION("""COMPUTED_VALUE"""),"Rigoberto Urán")</f>
        <v>Rigoberto Urán</v>
      </c>
      <c r="D155" s="3" t="str">
        <f>IFERROR(__xludf.DUMMYFUNCTION("""COMPUTED_VALUE"""),"Romain Bardet")</f>
        <v>Romain Bardet</v>
      </c>
      <c r="E155" s="3" t="str">
        <f>IFERROR(__xludf.DUMMYFUNCTION("""COMPUTED_VALUE"""),"Team Sky")</f>
        <v>Team Sky</v>
      </c>
      <c r="F155" s="3" t="str">
        <f>IFERROR(__xludf.DUMMYFUNCTION("""COMPUTED_VALUE"""),"Pinarello")</f>
        <v>Pinarello</v>
      </c>
      <c r="G155" s="3" t="str">
        <f>IFERROR(__xludf.DUMMYFUNCTION("""COMPUTED_VALUE"""),"Shimano")</f>
        <v>Shimano</v>
      </c>
      <c r="H155" s="3">
        <f>IFERROR(__xludf.DUMMYFUNCTION("""COMPUTED_VALUE"""),21.0)</f>
        <v>21</v>
      </c>
      <c r="I155" s="3">
        <f>IFERROR(__xludf.DUMMYFUNCTION("""COMPUTED_VALUE"""),3540.0)</f>
        <v>3540</v>
      </c>
      <c r="J155" s="3" t="str">
        <f>IFERROR(__xludf.DUMMYFUNCTION("""COMPUTED_VALUE"""),"40,996 km/h")</f>
        <v>40,996 km/h</v>
      </c>
      <c r="K155" s="3" t="str">
        <f>IFERROR(__xludf.DUMMYFUNCTION("""COMPUTED_VALUE"""),"Warren Barguil")</f>
        <v>Warren Barguil</v>
      </c>
      <c r="L155" s="3" t="str">
        <f>IFERROR(__xludf.DUMMYFUNCTION("""COMPUTED_VALUE"""),"Michael Matthews")</f>
        <v>Michael Matthews</v>
      </c>
      <c r="M155" s="3" t="str">
        <f>IFERROR(__xludf.DUMMYFUNCTION("""COMPUTED_VALUE"""),"Simon Yates")</f>
        <v>Simon Yates</v>
      </c>
      <c r="N155" s="3" t="str">
        <f>IFERROR(__xludf.DUMMYFUNCTION("""COMPUTED_VALUE"""),"Warren Barguil")</f>
        <v>Warren Barguil</v>
      </c>
    </row>
    <row r="156">
      <c r="A156" s="3" t="str">
        <f>IFERROR(__xludf.DUMMYFUNCTION("""COMPUTED_VALUE"""),"2018 (105e)")</f>
        <v>2018 (105e)</v>
      </c>
      <c r="B156" s="3" t="str">
        <f>IFERROR(__xludf.DUMMYFUNCTION("""COMPUTED_VALUE"""),"Geraint Thomas")</f>
        <v>Geraint Thomas</v>
      </c>
      <c r="C156" s="3" t="str">
        <f>IFERROR(__xludf.DUMMYFUNCTION("""COMPUTED_VALUE"""),"Tom Dumoulin")</f>
        <v>Tom Dumoulin</v>
      </c>
      <c r="D156" s="3" t="str">
        <f>IFERROR(__xludf.DUMMYFUNCTION("""COMPUTED_VALUE"""),"Christopher Froome")</f>
        <v>Christopher Froome</v>
      </c>
      <c r="E156" s="3" t="str">
        <f>IFERROR(__xludf.DUMMYFUNCTION("""COMPUTED_VALUE"""),"Team Sky")</f>
        <v>Team Sky</v>
      </c>
      <c r="F156" s="3" t="str">
        <f>IFERROR(__xludf.DUMMYFUNCTION("""COMPUTED_VALUE"""),"Pinarello")</f>
        <v>Pinarello</v>
      </c>
      <c r="G156" s="3" t="str">
        <f>IFERROR(__xludf.DUMMYFUNCTION("""COMPUTED_VALUE"""),"Shimano")</f>
        <v>Shimano</v>
      </c>
      <c r="H156" s="3">
        <f>IFERROR(__xludf.DUMMYFUNCTION("""COMPUTED_VALUE"""),21.0)</f>
        <v>21</v>
      </c>
      <c r="I156" s="3">
        <f>IFERROR(__xludf.DUMMYFUNCTION("""COMPUTED_VALUE"""),3351.0)</f>
        <v>3351</v>
      </c>
      <c r="J156" s="3" t="str">
        <f>IFERROR(__xludf.DUMMYFUNCTION("""COMPUTED_VALUE"""),"40,234 km/h")</f>
        <v>40,234 km/h</v>
      </c>
      <c r="K156" s="3" t="str">
        <f>IFERROR(__xludf.DUMMYFUNCTION("""COMPUTED_VALUE"""),"Julian Alaphilippe")</f>
        <v>Julian Alaphilippe</v>
      </c>
      <c r="L156" s="3" t="str">
        <f>IFERROR(__xludf.DUMMYFUNCTION("""COMPUTED_VALUE"""),"Peter Sagan")</f>
        <v>Peter Sagan</v>
      </c>
      <c r="M156" s="3" t="str">
        <f>IFERROR(__xludf.DUMMYFUNCTION("""COMPUTED_VALUE"""),"Pierre Latour")</f>
        <v>Pierre Latour</v>
      </c>
      <c r="N156" s="3" t="str">
        <f>IFERROR(__xludf.DUMMYFUNCTION("""COMPUTED_VALUE"""),"Daniel Martin")</f>
        <v>Daniel Martin</v>
      </c>
    </row>
    <row r="157">
      <c r="A157" s="3" t="str">
        <f>IFERROR(__xludf.DUMMYFUNCTION("""COMPUTED_VALUE"""),"2019 (106e)")</f>
        <v>2019 (106e)</v>
      </c>
      <c r="B157" s="3" t="str">
        <f>IFERROR(__xludf.DUMMYFUNCTION("""COMPUTED_VALUE"""),"Egan Bernal")</f>
        <v>Egan Bernal</v>
      </c>
      <c r="C157" s="3" t="str">
        <f>IFERROR(__xludf.DUMMYFUNCTION("""COMPUTED_VALUE"""),"Geraint Thomas")</f>
        <v>Geraint Thomas</v>
      </c>
      <c r="D157" s="3" t="str">
        <f>IFERROR(__xludf.DUMMYFUNCTION("""COMPUTED_VALUE"""),"Steven Kruijswijk")</f>
        <v>Steven Kruijswijk</v>
      </c>
      <c r="E157" s="3" t="str">
        <f>IFERROR(__xludf.DUMMYFUNCTION("""COMPUTED_VALUE"""),"Team Ineos")</f>
        <v>Team Ineos</v>
      </c>
      <c r="F157" s="3" t="str">
        <f>IFERROR(__xludf.DUMMYFUNCTION("""COMPUTED_VALUE"""),"Pinarello")</f>
        <v>Pinarello</v>
      </c>
      <c r="G157" s="3" t="str">
        <f>IFERROR(__xludf.DUMMYFUNCTION("""COMPUTED_VALUE"""),"Shimano")</f>
        <v>Shimano</v>
      </c>
      <c r="H157" s="3">
        <f>IFERROR(__xludf.DUMMYFUNCTION("""COMPUTED_VALUE"""),21.0)</f>
        <v>21</v>
      </c>
      <c r="I157" s="3">
        <f>IFERROR(__xludf.DUMMYFUNCTION("""COMPUTED_VALUE"""),3365.8)</f>
        <v>3365.8</v>
      </c>
      <c r="J157" s="3" t="str">
        <f>IFERROR(__xludf.DUMMYFUNCTION("""COMPUTED_VALUE"""),"40,576 km/h")</f>
        <v>40,576 km/h</v>
      </c>
      <c r="K157" s="3" t="str">
        <f>IFERROR(__xludf.DUMMYFUNCTION("""COMPUTED_VALUE"""),"Romain Bardet")</f>
        <v>Romain Bardet</v>
      </c>
      <c r="L157" s="3" t="str">
        <f>IFERROR(__xludf.DUMMYFUNCTION("""COMPUTED_VALUE"""),"Peter Sagan")</f>
        <v>Peter Sagan</v>
      </c>
      <c r="M157" s="3" t="str">
        <f>IFERROR(__xludf.DUMMYFUNCTION("""COMPUTED_VALUE"""),"Egan Bernal")</f>
        <v>Egan Bernal</v>
      </c>
      <c r="N157" s="3" t="str">
        <f>IFERROR(__xludf.DUMMYFUNCTION("""COMPUTED_VALUE"""),"Julian Alaphilippe")</f>
        <v>Julian Alaphilippe</v>
      </c>
    </row>
    <row r="158">
      <c r="A158" s="3" t="str">
        <f>IFERROR(__xludf.DUMMYFUNCTION("""COMPUTED_VALUE"""),"2020 (107e)")</f>
        <v>2020 (107e)</v>
      </c>
      <c r="B158" s="3" t="str">
        <f>IFERROR(__xludf.DUMMYFUNCTION("""COMPUTED_VALUE"""),"Tadej Pogačar")</f>
        <v>Tadej Pogačar</v>
      </c>
      <c r="C158" s="3" t="str">
        <f>IFERROR(__xludf.DUMMYFUNCTION("""COMPUTED_VALUE"""),"Primož Roglič")</f>
        <v>Primož Roglič</v>
      </c>
      <c r="D158" s="3" t="str">
        <f>IFERROR(__xludf.DUMMYFUNCTION("""COMPUTED_VALUE"""),"Richie Porte")</f>
        <v>Richie Porte</v>
      </c>
      <c r="E158" s="3" t="str">
        <f>IFERROR(__xludf.DUMMYFUNCTION("""COMPUTED_VALUE"""),"UAE Team Emirates")</f>
        <v>UAE Team Emirates</v>
      </c>
      <c r="F158" s="3" t="str">
        <f>IFERROR(__xludf.DUMMYFUNCTION("""COMPUTED_VALUE"""),"Colnago")</f>
        <v>Colnago</v>
      </c>
      <c r="G158" s="3" t="str">
        <f>IFERROR(__xludf.DUMMYFUNCTION("""COMPUTED_VALUE"""),"Campagnolo")</f>
        <v>Campagnolo</v>
      </c>
      <c r="H158" s="3">
        <f>IFERROR(__xludf.DUMMYFUNCTION("""COMPUTED_VALUE"""),21.0)</f>
        <v>21</v>
      </c>
      <c r="I158" s="3">
        <f>IFERROR(__xludf.DUMMYFUNCTION("""COMPUTED_VALUE"""),3484.2)</f>
        <v>3484.2</v>
      </c>
      <c r="J158" s="3" t="str">
        <f>IFERROR(__xludf.DUMMYFUNCTION("""COMPUTED_VALUE"""),"39,894 km/h")</f>
        <v>39,894 km/h</v>
      </c>
      <c r="K158" s="3" t="str">
        <f>IFERROR(__xludf.DUMMYFUNCTION("""COMPUTED_VALUE"""),"Tadej Pogačar")</f>
        <v>Tadej Pogačar</v>
      </c>
      <c r="L158" s="3" t="str">
        <f>IFERROR(__xludf.DUMMYFUNCTION("""COMPUTED_VALUE"""),"Sam Bennett")</f>
        <v>Sam Bennett</v>
      </c>
      <c r="M158" s="3" t="str">
        <f>IFERROR(__xludf.DUMMYFUNCTION("""COMPUTED_VALUE"""),"Tadej Pogačar")</f>
        <v>Tadej Pogačar</v>
      </c>
      <c r="N158" s="3" t="str">
        <f>IFERROR(__xludf.DUMMYFUNCTION("""COMPUTED_VALUE"""),"Marc Hirschi")</f>
        <v>Marc Hirschi</v>
      </c>
    </row>
    <row r="159">
      <c r="A159" s="3" t="str">
        <f>IFERROR(__xludf.DUMMYFUNCTION("""COMPUTED_VALUE"""),"2021 (108e)")</f>
        <v>2021 (108e)</v>
      </c>
      <c r="B159" s="3" t="str">
        <f>IFERROR(__xludf.DUMMYFUNCTION("""COMPUTED_VALUE"""),"Tadej Pogačar")</f>
        <v>Tadej Pogačar</v>
      </c>
      <c r="C159" s="3" t="str">
        <f>IFERROR(__xludf.DUMMYFUNCTION("""COMPUTED_VALUE"""),"Jonas Vingegaard")</f>
        <v>Jonas Vingegaard</v>
      </c>
      <c r="D159" s="3" t="str">
        <f>IFERROR(__xludf.DUMMYFUNCTION("""COMPUTED_VALUE"""),"Richard Carapaz")</f>
        <v>Richard Carapaz</v>
      </c>
      <c r="E159" s="3" t="str">
        <f>IFERROR(__xludf.DUMMYFUNCTION("""COMPUTED_VALUE"""),"UAE Team Emirates")</f>
        <v>UAE Team Emirates</v>
      </c>
      <c r="F159" s="3" t="str">
        <f>IFERROR(__xludf.DUMMYFUNCTION("""COMPUTED_VALUE"""),"Colnago")</f>
        <v>Colnago</v>
      </c>
      <c r="G159" s="3" t="str">
        <f>IFERROR(__xludf.DUMMYFUNCTION("""COMPUTED_VALUE"""),"Campagnolo")</f>
        <v>Campagnolo</v>
      </c>
      <c r="H159" s="3">
        <f>IFERROR(__xludf.DUMMYFUNCTION("""COMPUTED_VALUE"""),21.0)</f>
        <v>21</v>
      </c>
      <c r="I159" s="3">
        <f>IFERROR(__xludf.DUMMYFUNCTION("""COMPUTED_VALUE"""),3414.4)</f>
        <v>3414.4</v>
      </c>
      <c r="J159" s="3" t="str">
        <f>IFERROR(__xludf.DUMMYFUNCTION("""COMPUTED_VALUE"""),"41,165 km/h")</f>
        <v>41,165 km/h</v>
      </c>
      <c r="K159" s="3" t="str">
        <f>IFERROR(__xludf.DUMMYFUNCTION("""COMPUTED_VALUE"""),"Tadej Pogačar")</f>
        <v>Tadej Pogačar</v>
      </c>
      <c r="L159" s="3" t="str">
        <f>IFERROR(__xludf.DUMMYFUNCTION("""COMPUTED_VALUE"""),"Mark Cavendish")</f>
        <v>Mark Cavendish</v>
      </c>
      <c r="M159" s="3" t="str">
        <f>IFERROR(__xludf.DUMMYFUNCTION("""COMPUTED_VALUE"""),"Tadej Pogačar")</f>
        <v>Tadej Pogačar</v>
      </c>
      <c r="N159" s="3" t="str">
        <f>IFERROR(__xludf.DUMMYFUNCTION("""COMPUTED_VALUE"""),"Franck Bonnamour")</f>
        <v>Franck Bonnamour</v>
      </c>
    </row>
    <row r="160">
      <c r="A160" s="3" t="str">
        <f>IFERROR(__xludf.DUMMYFUNCTION("""COMPUTED_VALUE"""),"2022 (109e)")</f>
        <v>2022 (109e)</v>
      </c>
      <c r="B160" s="3" t="str">
        <f>IFERROR(__xludf.DUMMYFUNCTION("""COMPUTED_VALUE"""),"Jonas Vingegaard")</f>
        <v>Jonas Vingegaard</v>
      </c>
      <c r="C160" s="3" t="str">
        <f>IFERROR(__xludf.DUMMYFUNCTION("""COMPUTED_VALUE"""),"Tadej Pogačar")</f>
        <v>Tadej Pogačar</v>
      </c>
      <c r="D160" s="3" t="str">
        <f>IFERROR(__xludf.DUMMYFUNCTION("""COMPUTED_VALUE"""),"Geraint Thomas")</f>
        <v>Geraint Thomas</v>
      </c>
      <c r="E160" s="3" t="str">
        <f>IFERROR(__xludf.DUMMYFUNCTION("""COMPUTED_VALUE"""),"Jumbo-Visma")</f>
        <v>Jumbo-Visma</v>
      </c>
      <c r="F160" s="3" t="str">
        <f>IFERROR(__xludf.DUMMYFUNCTION("""COMPUTED_VALUE"""),"Cervélo")</f>
        <v>Cervélo</v>
      </c>
      <c r="G160" s="3" t="str">
        <f>IFERROR(__xludf.DUMMYFUNCTION("""COMPUTED_VALUE"""),"SRAM")</f>
        <v>SRAM</v>
      </c>
      <c r="H160" s="3">
        <f>IFERROR(__xludf.DUMMYFUNCTION("""COMPUTED_VALUE"""),21.0)</f>
        <v>21</v>
      </c>
      <c r="I160" s="3">
        <f>IFERROR(__xludf.DUMMYFUNCTION("""COMPUTED_VALUE"""),3349.8)</f>
        <v>3349.8</v>
      </c>
      <c r="J160" s="3" t="str">
        <f>IFERROR(__xludf.DUMMYFUNCTION("""COMPUTED_VALUE"""),"42,068 km/h")</f>
        <v>42,068 km/h</v>
      </c>
      <c r="K160" s="3" t="str">
        <f>IFERROR(__xludf.DUMMYFUNCTION("""COMPUTED_VALUE"""),"Jonas Vingegaard")</f>
        <v>Jonas Vingegaard</v>
      </c>
      <c r="L160" s="3" t="str">
        <f>IFERROR(__xludf.DUMMYFUNCTION("""COMPUTED_VALUE"""),"Wout van Aert")</f>
        <v>Wout van Aert</v>
      </c>
      <c r="M160" s="3" t="str">
        <f>IFERROR(__xludf.DUMMYFUNCTION("""COMPUTED_VALUE"""),"Tadej Pogačar")</f>
        <v>Tadej Pogačar</v>
      </c>
      <c r="N160" s="3" t="str">
        <f>IFERROR(__xludf.DUMMYFUNCTION("""COMPUTED_VALUE"""),"Wout van Aert")</f>
        <v>Wout van Aert</v>
      </c>
    </row>
    <row r="161">
      <c r="A161" s="3" t="str">
        <f>IFERROR(__xludf.DUMMYFUNCTION("""COMPUTED_VALUE"""),"2023 (110e)")</f>
        <v>2023 (110e)</v>
      </c>
      <c r="B161" s="3" t="str">
        <f>IFERROR(__xludf.DUMMYFUNCTION("""COMPUTED_VALUE"""),"Jonas Vingegaard")</f>
        <v>Jonas Vingegaard</v>
      </c>
      <c r="C161" s="3" t="str">
        <f>IFERROR(__xludf.DUMMYFUNCTION("""COMPUTED_VALUE"""),"Tadej Pogačar")</f>
        <v>Tadej Pogačar</v>
      </c>
      <c r="D161" s="3" t="str">
        <f>IFERROR(__xludf.DUMMYFUNCTION("""COMPUTED_VALUE"""),"Adam Yates")</f>
        <v>Adam Yates</v>
      </c>
      <c r="E161" s="3" t="str">
        <f>IFERROR(__xludf.DUMMYFUNCTION("""COMPUTED_VALUE"""),"Jumbo-Visma")</f>
        <v>Jumbo-Visma</v>
      </c>
      <c r="F161" s="3" t="str">
        <f>IFERROR(__xludf.DUMMYFUNCTION("""COMPUTED_VALUE"""),"Cervélo")</f>
        <v>Cervélo</v>
      </c>
      <c r="G161" s="3" t="str">
        <f>IFERROR(__xludf.DUMMYFUNCTION("""COMPUTED_VALUE"""),"SRAM")</f>
        <v>SRAM</v>
      </c>
      <c r="H161" s="3">
        <f>IFERROR(__xludf.DUMMYFUNCTION("""COMPUTED_VALUE"""),21.0)</f>
        <v>21</v>
      </c>
      <c r="I161" s="3">
        <f>IFERROR(__xludf.DUMMYFUNCTION("""COMPUTED_VALUE"""),3405.6)</f>
        <v>3405.6</v>
      </c>
      <c r="J161" s="3" t="str">
        <f>IFERROR(__xludf.DUMMYFUNCTION("""COMPUTED_VALUE"""),"41,483 km/h")</f>
        <v>41,483 km/h</v>
      </c>
      <c r="K161" s="3" t="str">
        <f>IFERROR(__xludf.DUMMYFUNCTION("""COMPUTED_VALUE"""),"Giulio Ciccone")</f>
        <v>Giulio Ciccone</v>
      </c>
      <c r="L161" s="3" t="str">
        <f>IFERROR(__xludf.DUMMYFUNCTION("""COMPUTED_VALUE"""),"Jasper Philipsen")</f>
        <v>Jasper Philipsen</v>
      </c>
      <c r="M161" s="3" t="str">
        <f>IFERROR(__xludf.DUMMYFUNCTION("""COMPUTED_VALUE"""),"Tadej Pogačar")</f>
        <v>Tadej Pogačar</v>
      </c>
      <c r="N161" s="3" t="str">
        <f>IFERROR(__xludf.DUMMYFUNCTION("""COMPUTED_VALUE"""),"Victor Campenaerts")</f>
        <v>Victor Campenaerts</v>
      </c>
    </row>
    <row r="162">
      <c r="A162" s="3" t="str">
        <f>IFERROR(__xludf.DUMMYFUNCTION("""COMPUTED_VALUE"""),"2024 (111e)")</f>
        <v>2024 (111e)</v>
      </c>
      <c r="B162" s="3" t="str">
        <f>IFERROR(__xludf.DUMMYFUNCTION("""COMPUTED_VALUE"""),"Tadej Pogačar")</f>
        <v>Tadej Pogačar</v>
      </c>
      <c r="C162" s="3" t="str">
        <f>IFERROR(__xludf.DUMMYFUNCTION("""COMPUTED_VALUE"""),"Jonas Vingegaard")</f>
        <v>Jonas Vingegaard</v>
      </c>
      <c r="D162" s="3" t="str">
        <f>IFERROR(__xludf.DUMMYFUNCTION("""COMPUTED_VALUE"""),"Remco Evenepoel")</f>
        <v>Remco Evenepoel</v>
      </c>
      <c r="E162" s="3" t="str">
        <f>IFERROR(__xludf.DUMMYFUNCTION("""COMPUTED_VALUE"""),"UAE Team Emirates")</f>
        <v>UAE Team Emirates</v>
      </c>
      <c r="F162" s="3" t="str">
        <f>IFERROR(__xludf.DUMMYFUNCTION("""COMPUTED_VALUE"""),"Colnago")</f>
        <v>Colnago</v>
      </c>
      <c r="G162" s="3" t="str">
        <f>IFERROR(__xludf.DUMMYFUNCTION("""COMPUTED_VALUE"""),"Shimano")</f>
        <v>Shimano</v>
      </c>
      <c r="H162" s="3">
        <f>IFERROR(__xludf.DUMMYFUNCTION("""COMPUTED_VALUE"""),21.0)</f>
        <v>21</v>
      </c>
      <c r="I162" s="3">
        <f>IFERROR(__xludf.DUMMYFUNCTION("""COMPUTED_VALUE"""),3498.0)</f>
        <v>3498</v>
      </c>
      <c r="J162" s="3" t="str">
        <f>IFERROR(__xludf.DUMMYFUNCTION("""COMPUTED_VALUE"""),"41,765 km/h")</f>
        <v>41,765 km/h</v>
      </c>
      <c r="K162" s="3" t="str">
        <f>IFERROR(__xludf.DUMMYFUNCTION("""COMPUTED_VALUE"""),"Richard Carapaz")</f>
        <v>Richard Carapaz</v>
      </c>
      <c r="L162" s="3" t="str">
        <f>IFERROR(__xludf.DUMMYFUNCTION("""COMPUTED_VALUE"""),"Biniam Girmay")</f>
        <v>Biniam Girmay</v>
      </c>
      <c r="M162" s="3" t="str">
        <f>IFERROR(__xludf.DUMMYFUNCTION("""COMPUTED_VALUE"""),"Remco Evenepoel")</f>
        <v>Remco Evenepoel</v>
      </c>
      <c r="N162" s="3" t="str">
        <f>IFERROR(__xludf.DUMMYFUNCTION("""COMPUTED_VALUE"""),"Richard Carapaz")</f>
        <v>Richard Carapaz</v>
      </c>
    </row>
    <row r="163">
      <c r="A163" s="3" t="str">
        <f>IFERROR(__xludf.DUMMYFUNCTION("""COMPUTED_VALUE"""),"2025 (112e)")</f>
        <v>2025 (112e)</v>
      </c>
      <c r="B163" s="3" t="str">
        <f>IFERROR(__xludf.DUMMYFUNCTION("""COMPUTED_VALUE"""),"Tadej Pogačar")</f>
        <v>Tadej Pogačar</v>
      </c>
      <c r="C163" s="3" t="str">
        <f>IFERROR(__xludf.DUMMYFUNCTION("""COMPUTED_VALUE"""),"Jonas Vingegaard")</f>
        <v>Jonas Vingegaard</v>
      </c>
      <c r="D163" s="3" t="str">
        <f>IFERROR(__xludf.DUMMYFUNCTION("""COMPUTED_VALUE"""),"Florian Lipowitz")</f>
        <v>Florian Lipowitz</v>
      </c>
      <c r="E163" s="3" t="str">
        <f>IFERROR(__xludf.DUMMYFUNCTION("""COMPUTED_VALUE"""),"UAE Team Emirates")</f>
        <v>UAE Team Emirates</v>
      </c>
      <c r="F163" s="3" t="str">
        <f>IFERROR(__xludf.DUMMYFUNCTION("""COMPUTED_VALUE"""),"Colnago")</f>
        <v>Colnago</v>
      </c>
      <c r="G163" s="3" t="str">
        <f>IFERROR(__xludf.DUMMYFUNCTION("""COMPUTED_VALUE"""),"Shimano")</f>
        <v>Shimano</v>
      </c>
      <c r="H163" s="3">
        <f>IFERROR(__xludf.DUMMYFUNCTION("""COMPUTED_VALUE"""),21.0)</f>
        <v>21</v>
      </c>
      <c r="I163" s="3">
        <f>IFERROR(__xludf.DUMMYFUNCTION("""COMPUTED_VALUE"""),3298.6)</f>
        <v>3298.6</v>
      </c>
      <c r="J163" s="3" t="str">
        <f>IFERROR(__xludf.DUMMYFUNCTION("""COMPUTED_VALUE"""),"42,445 km/h[19]")</f>
        <v>42,445 km/h[19]</v>
      </c>
      <c r="K163" s="3" t="str">
        <f>IFERROR(__xludf.DUMMYFUNCTION("""COMPUTED_VALUE"""),"Tadej Pogačar")</f>
        <v>Tadej Pogačar</v>
      </c>
      <c r="L163" s="3" t="str">
        <f>IFERROR(__xludf.DUMMYFUNCTION("""COMPUTED_VALUE"""),"Jonathan Milan")</f>
        <v>Jonathan Milan</v>
      </c>
      <c r="M163" s="3" t="str">
        <f>IFERROR(__xludf.DUMMYFUNCTION("""COMPUTED_VALUE"""),"Florian Lipowitz")</f>
        <v>Florian Lipowitz</v>
      </c>
      <c r="N163" s="3" t="str">
        <f>IFERROR(__xludf.DUMMYFUNCTION("""COMPUTED_VALUE"""),"Ben Healy")</f>
        <v>Ben Healy</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IFERROR(__xludf.DUMMYFUNCTION("importhtml(""https://fr.wikipedia.org/wiki/Liste_des_capitales_du_monde"",""table"",""1"")"),"État")</f>
        <v>État</v>
      </c>
      <c r="B1" s="3" t="str">
        <f>IFERROR(__xludf.DUMMYFUNCTION("""COMPUTED_VALUE"""),"Capitale")</f>
        <v>Capitale</v>
      </c>
      <c r="C1" s="3" t="str">
        <f>IFERROR(__xludf.DUMMYFUNCTION("""COMPUTED_VALUE"""),"Notes")</f>
        <v>Notes</v>
      </c>
    </row>
    <row r="2">
      <c r="A2" s="3" t="str">
        <f>IFERROR(__xludf.DUMMYFUNCTION("""COMPUTED_VALUE"""),"Émirats arabes unis")</f>
        <v>Émirats arabes unis</v>
      </c>
      <c r="B2" s="3" t="str">
        <f>IFERROR(__xludf.DUMMYFUNCTION("""COMPUTED_VALUE"""),"Abou Dabi")</f>
        <v>Abou Dabi</v>
      </c>
      <c r="C2" s="3"/>
    </row>
    <row r="3">
      <c r="A3" s="3" t="str">
        <f>IFERROR(__xludf.DUMMYFUNCTION("""COMPUTED_VALUE"""),"Nigeria")</f>
        <v>Nigeria</v>
      </c>
      <c r="B3" s="3" t="str">
        <f>IFERROR(__xludf.DUMMYFUNCTION("""COMPUTED_VALUE"""),"Abuja")</f>
        <v>Abuja</v>
      </c>
      <c r="C3" s="3" t="str">
        <f>IFERROR(__xludf.DUMMYFUNCTION("""COMPUTED_VALUE"""),"Abuja est la capitale depuis 1991, en remplacement de Lagos.")</f>
        <v>Abuja est la capitale depuis 1991, en remplacement de Lagos.</v>
      </c>
    </row>
    <row r="4">
      <c r="A4" s="3" t="str">
        <f>IFERROR(__xludf.DUMMYFUNCTION("""COMPUTED_VALUE"""),"Ghana")</f>
        <v>Ghana</v>
      </c>
      <c r="B4" s="3" t="str">
        <f>IFERROR(__xludf.DUMMYFUNCTION("""COMPUTED_VALUE"""),"Accra")</f>
        <v>Accra</v>
      </c>
      <c r="C4" s="3"/>
    </row>
    <row r="5">
      <c r="A5" s="3" t="str">
        <f>IFERROR(__xludf.DUMMYFUNCTION("""COMPUTED_VALUE"""),"Turkménistan")</f>
        <v>Turkménistan</v>
      </c>
      <c r="B5" s="3" t="str">
        <f>IFERROR(__xludf.DUMMYFUNCTION("""COMPUTED_VALUE"""),"Achgabat")</f>
        <v>Achgabat</v>
      </c>
      <c r="C5" s="3"/>
    </row>
    <row r="6">
      <c r="A6" s="3" t="str">
        <f>IFERROR(__xludf.DUMMYFUNCTION("""COMPUTED_VALUE"""),"Éthiopie")</f>
        <v>Éthiopie</v>
      </c>
      <c r="B6" s="3" t="str">
        <f>IFERROR(__xludf.DUMMYFUNCTION("""COMPUTED_VALUE"""),"Addis-Abeba")</f>
        <v>Addis-Abeba</v>
      </c>
      <c r="C6" s="3"/>
    </row>
    <row r="7">
      <c r="A7" s="3" t="str">
        <f>IFERROR(__xludf.DUMMYFUNCTION("""COMPUTED_VALUE"""),"Yémen")</f>
        <v>Yémen</v>
      </c>
      <c r="B7" s="3" t="str">
        <f>IFERROR(__xludf.DUMMYFUNCTION("""COMPUTED_VALUE"""),"Sanaa(contesté)")</f>
        <v>Sanaa(contesté)</v>
      </c>
      <c r="C7" s="3" t="str">
        <f>IFERROR(__xludf.DUMMYFUNCTION("""COMPUTED_VALUE"""),"Sanaa sert de capitale au Conseil politique suprême. Aden sert de capitale 
au Conseil de transition du Sud. Les deux factions ont participé à la guerre 
civile.")</f>
        <v>Sanaa sert de capitale au Conseil politique suprême. Aden sert de capitale 
au Conseil de transition du Sud. Les deux factions ont participé à la guerre 
civile.</v>
      </c>
    </row>
    <row r="8">
      <c r="A8" s="3"/>
      <c r="B8" s="3" t="str">
        <f>IFERROR(__xludf.DUMMYFUNCTION("""COMPUTED_VALUE"""),"Aden(contesté)")</f>
        <v>Aden(contesté)</v>
      </c>
      <c r="C8" s="3"/>
    </row>
    <row r="9">
      <c r="A9" s="3" t="str">
        <f>IFERROR(__xludf.DUMMYFUNCTION("""COMPUTED_VALUE"""),"Algérie")</f>
        <v>Algérie</v>
      </c>
      <c r="B9" s="3" t="str">
        <f>IFERROR(__xludf.DUMMYFUNCTION("""COMPUTED_VALUE"""),"Alger")</f>
        <v>Alger</v>
      </c>
      <c r="C9" s="3"/>
    </row>
    <row r="10">
      <c r="A10" s="3" t="str">
        <f>IFERROR(__xludf.DUMMYFUNCTION("""COMPUTED_VALUE"""),"Niue")</f>
        <v>Niue</v>
      </c>
      <c r="B10" s="3" t="str">
        <f>IFERROR(__xludf.DUMMYFUNCTION("""COMPUTED_VALUE"""),"Alofi")</f>
        <v>Alofi</v>
      </c>
      <c r="C10" s="3"/>
    </row>
    <row r="11">
      <c r="A11" s="3" t="str">
        <f>IFERROR(__xludf.DUMMYFUNCTION("""COMPUTED_VALUE"""),"Jordanie")</f>
        <v>Jordanie</v>
      </c>
      <c r="B11" s="3" t="str">
        <f>IFERROR(__xludf.DUMMYFUNCTION("""COMPUTED_VALUE"""),"Amman")</f>
        <v>Amman</v>
      </c>
      <c r="C11" s="3"/>
    </row>
    <row r="12">
      <c r="A12" s="3" t="str">
        <f>IFERROR(__xludf.DUMMYFUNCTION("""COMPUTED_VALUE"""),"Pays-Bas")</f>
        <v>Pays-Bas</v>
      </c>
      <c r="B12" s="3" t="str">
        <f>IFERROR(__xludf.DUMMYFUNCTION("""COMPUTED_VALUE"""),"Amsterdam(officielle)")</f>
        <v>Amsterdam(officielle)</v>
      </c>
      <c r="C12" s="3" t="str">
        <f>IFERROR(__xludf.DUMMYFUNCTION("""COMPUTED_VALUE"""),"La constitution du royaume des Pays-Bas désigne Amsterdam comme 
« capitale ». Le gouvernement néerlandais, le roi, les ministères, la 
magistrature et les missions diplomatiques sont néanmoins situées à La Haye.")</f>
        <v>La constitution du royaume des Pays-Bas désigne Amsterdam comme 
« capitale ». Le gouvernement néerlandais, le roi, les ministères, la 
magistrature et les missions diplomatiques sont néanmoins situées à La Haye.</v>
      </c>
    </row>
    <row r="13">
      <c r="A13" s="3"/>
      <c r="B13" s="3" t="str">
        <f>IFERROR(__xludf.DUMMYFUNCTION("""COMPUTED_VALUE"""),"La Haye(*de facto*)")</f>
        <v>La Haye(*de facto*)</v>
      </c>
      <c r="C13" s="3"/>
    </row>
    <row r="14">
      <c r="A14" s="3" t="str">
        <f>IFERROR(__xludf.DUMMYFUNCTION("""COMPUTED_VALUE"""),"Andorre")</f>
        <v>Andorre</v>
      </c>
      <c r="B14" s="3" t="str">
        <f>IFERROR(__xludf.DUMMYFUNCTION("""COMPUTED_VALUE"""),"Andorre-la-Vieille")</f>
        <v>Andorre-la-Vieille</v>
      </c>
      <c r="C14" s="3"/>
    </row>
    <row r="15">
      <c r="A15" s="3" t="str">
        <f>IFERROR(__xludf.DUMMYFUNCTION("""COMPUTED_VALUE"""),"Turquie")</f>
        <v>Turquie</v>
      </c>
      <c r="B15" s="3" t="str">
        <f>IFERROR(__xludf.DUMMYFUNCTION("""COMPUTED_VALUE"""),"Ankara")</f>
        <v>Ankara</v>
      </c>
      <c r="C15" s="3"/>
    </row>
    <row r="16">
      <c r="A16" s="3" t="str">
        <f>IFERROR(__xludf.DUMMYFUNCTION("""COMPUTED_VALUE"""),"Madagascar")</f>
        <v>Madagascar</v>
      </c>
      <c r="B16" s="3" t="str">
        <f>IFERROR(__xludf.DUMMYFUNCTION("""COMPUTED_VALUE"""),"Antananarivo ou Tananarive")</f>
        <v>Antananarivo ou Tananarive</v>
      </c>
      <c r="C16" s="3"/>
    </row>
    <row r="17">
      <c r="A17" s="3" t="str">
        <f>IFERROR(__xludf.DUMMYFUNCTION("""COMPUTED_VALUE"""),"Samoa")</f>
        <v>Samoa</v>
      </c>
      <c r="B17" s="3" t="str">
        <f>IFERROR(__xludf.DUMMYFUNCTION("""COMPUTED_VALUE"""),"Apia")</f>
        <v>Apia</v>
      </c>
      <c r="C17" s="3"/>
    </row>
    <row r="18">
      <c r="A18" s="3" t="str">
        <f>IFERROR(__xludf.DUMMYFUNCTION("""COMPUTED_VALUE"""),"Érythrée")</f>
        <v>Érythrée</v>
      </c>
      <c r="B18" s="3" t="str">
        <f>IFERROR(__xludf.DUMMYFUNCTION("""COMPUTED_VALUE"""),"Asmara")</f>
        <v>Asmara</v>
      </c>
      <c r="C18" s="3"/>
    </row>
    <row r="19">
      <c r="A19" s="3" t="str">
        <f>IFERROR(__xludf.DUMMYFUNCTION("""COMPUTED_VALUE"""),"Kazakhstan")</f>
        <v>Kazakhstan</v>
      </c>
      <c r="B19" s="3" t="str">
        <f>IFERROR(__xludf.DUMMYFUNCTION("""COMPUTED_VALUE"""),"Astana")</f>
        <v>Astana</v>
      </c>
      <c r="C19" s="3" t="str">
        <f>IFERROR(__xludf.DUMMYFUNCTION("""COMPUTED_VALUE"""),"Précédemment nommée « Akmola » jusqu'en 1998, puis « Nour-Soultan » de 2019 
à 2022. Almaty était la capitale de 1991 à 1997.")</f>
        <v>Précédemment nommée « Akmola » jusqu'en 1998, puis « Nour-Soultan » de 2019 
à 2022. Almaty était la capitale de 1991 à 1997.</v>
      </c>
    </row>
    <row r="20">
      <c r="A20" s="3" t="str">
        <f>IFERROR(__xludf.DUMMYFUNCTION("""COMPUTED_VALUE"""),"Paraguay")</f>
        <v>Paraguay</v>
      </c>
      <c r="B20" s="3" t="str">
        <f>IFERROR(__xludf.DUMMYFUNCTION("""COMPUTED_VALUE"""),"Asuncion")</f>
        <v>Asuncion</v>
      </c>
      <c r="C20" s="3"/>
    </row>
    <row r="21">
      <c r="A21" s="3" t="str">
        <f>IFERROR(__xludf.DUMMYFUNCTION("""COMPUTED_VALUE"""),"Grèce")</f>
        <v>Grèce</v>
      </c>
      <c r="B21" s="3" t="str">
        <f>IFERROR(__xludf.DUMMYFUNCTION("""COMPUTED_VALUE"""),"Athènes")</f>
        <v>Athènes</v>
      </c>
      <c r="C21" s="3"/>
    </row>
    <row r="22">
      <c r="A22" s="3" t="str">
        <f>IFERROR(__xludf.DUMMYFUNCTION("""COMPUTED_VALUE"""),"Îles Cook")</f>
        <v>Îles Cook</v>
      </c>
      <c r="B22" s="3" t="str">
        <f>IFERROR(__xludf.DUMMYFUNCTION("""COMPUTED_VALUE"""),"Avarua")</f>
        <v>Avarua</v>
      </c>
      <c r="C22" s="3"/>
    </row>
    <row r="23">
      <c r="A23" s="3" t="str">
        <f>IFERROR(__xludf.DUMMYFUNCTION("""COMPUTED_VALUE"""),"Irak")</f>
        <v>Irak</v>
      </c>
      <c r="B23" s="3" t="str">
        <f>IFERROR(__xludf.DUMMYFUNCTION("""COMPUTED_VALUE"""),"Bagdad")</f>
        <v>Bagdad</v>
      </c>
      <c r="C23" s="3"/>
    </row>
    <row r="24">
      <c r="A24" s="3" t="str">
        <f>IFERROR(__xludf.DUMMYFUNCTION("""COMPUTED_VALUE"""),"Azerbaïdjan")</f>
        <v>Azerbaïdjan</v>
      </c>
      <c r="B24" s="3" t="str">
        <f>IFERROR(__xludf.DUMMYFUNCTION("""COMPUTED_VALUE"""),"Bakou")</f>
        <v>Bakou</v>
      </c>
      <c r="C24" s="3"/>
    </row>
    <row r="25">
      <c r="A25" s="3" t="str">
        <f>IFERROR(__xludf.DUMMYFUNCTION("""COMPUTED_VALUE"""),"Mali")</f>
        <v>Mali</v>
      </c>
      <c r="B25" s="3" t="str">
        <f>IFERROR(__xludf.DUMMYFUNCTION("""COMPUTED_VALUE"""),"Bamako")</f>
        <v>Bamako</v>
      </c>
      <c r="C25" s="3"/>
    </row>
    <row r="26">
      <c r="A26" s="3" t="str">
        <f>IFERROR(__xludf.DUMMYFUNCTION("""COMPUTED_VALUE"""),"Brunei")</f>
        <v>Brunei</v>
      </c>
      <c r="B26" s="3" t="str">
        <f>IFERROR(__xludf.DUMMYFUNCTION("""COMPUTED_VALUE"""),"Bandar Seri Begawan")</f>
        <v>Bandar Seri Begawan</v>
      </c>
      <c r="C26" s="3"/>
    </row>
    <row r="27">
      <c r="A27" s="3" t="str">
        <f>IFERROR(__xludf.DUMMYFUNCTION("""COMPUTED_VALUE"""),"Thaïlande")</f>
        <v>Thaïlande</v>
      </c>
      <c r="B27" s="3" t="str">
        <f>IFERROR(__xludf.DUMMYFUNCTION("""COMPUTED_VALUE"""),"Bangkok")</f>
        <v>Bangkok</v>
      </c>
      <c r="C27" s="3"/>
    </row>
    <row r="28">
      <c r="A28" s="3" t="str">
        <f>IFERROR(__xludf.DUMMYFUNCTION("""COMPUTED_VALUE"""),"République centrafricaine")</f>
        <v>République centrafricaine</v>
      </c>
      <c r="B28" s="3" t="str">
        <f>IFERROR(__xludf.DUMMYFUNCTION("""COMPUTED_VALUE"""),"Bangui")</f>
        <v>Bangui</v>
      </c>
      <c r="C28" s="3"/>
    </row>
    <row r="29">
      <c r="A29" s="3" t="str">
        <f>IFERROR(__xludf.DUMMYFUNCTION("""COMPUTED_VALUE"""),"Gambie")</f>
        <v>Gambie</v>
      </c>
      <c r="B29" s="3" t="str">
        <f>IFERROR(__xludf.DUMMYFUNCTION("""COMPUTED_VALUE"""),"Banjul")</f>
        <v>Banjul</v>
      </c>
      <c r="C29" s="3"/>
    </row>
    <row r="30">
      <c r="A30" s="3" t="str">
        <f>IFERROR(__xludf.DUMMYFUNCTION("""COMPUTED_VALUE"""),"Saint-Christophe-et-Niévès")</f>
        <v>Saint-Christophe-et-Niévès</v>
      </c>
      <c r="B30" s="3" t="str">
        <f>IFERROR(__xludf.DUMMYFUNCTION("""COMPUTED_VALUE"""),"Basseterre")</f>
        <v>Basseterre</v>
      </c>
      <c r="C30" s="3"/>
    </row>
    <row r="31">
      <c r="A31" s="3" t="str">
        <f>IFERROR(__xludf.DUMMYFUNCTION("""COMPUTED_VALUE"""),"Serbie")</f>
        <v>Serbie</v>
      </c>
      <c r="B31" s="3" t="str">
        <f>IFERROR(__xludf.DUMMYFUNCTION("""COMPUTED_VALUE"""),"Belgrade")</f>
        <v>Belgrade</v>
      </c>
      <c r="C31" s="3"/>
    </row>
    <row r="32">
      <c r="A32" s="3" t="str">
        <f>IFERROR(__xludf.DUMMYFUNCTION("""COMPUTED_VALUE"""),"Belize")</f>
        <v>Belize</v>
      </c>
      <c r="B32" s="3" t="str">
        <f>IFERROR(__xludf.DUMMYFUNCTION("""COMPUTED_VALUE"""),"Belmopan")</f>
        <v>Belmopan</v>
      </c>
      <c r="C32" s="3"/>
    </row>
    <row r="33">
      <c r="A33" s="3" t="str">
        <f>IFERROR(__xludf.DUMMYFUNCTION("""COMPUTED_VALUE"""),"Allemagne")</f>
        <v>Allemagne</v>
      </c>
      <c r="B33" s="3" t="str">
        <f>IFERROR(__xludf.DUMMYFUNCTION("""COMPUTED_VALUE"""),"Berlin")</f>
        <v>Berlin</v>
      </c>
      <c r="C33" s="3" t="str">
        <f>IFERROR(__xludf.DUMMYFUNCTION("""COMPUTED_VALUE"""),"Bonn était la capitale d'Allemagne de l'Ouest et est demeurée le siège du 
gouvernement de l'Allemagne réunifiée jusqu'en 1999.")</f>
        <v>Bonn était la capitale d'Allemagne de l'Ouest et est demeurée le siège du 
gouvernement de l'Allemagne réunifiée jusqu'en 1999.</v>
      </c>
    </row>
    <row r="34">
      <c r="A34" s="3" t="str">
        <f>IFERROR(__xludf.DUMMYFUNCTION("""COMPUTED_VALUE"""),"Suisse")</f>
        <v>Suisse</v>
      </c>
      <c r="B34" s="3" t="str">
        <f>IFERROR(__xludf.DUMMYFUNCTION("""COMPUTED_VALUE"""),"Berne(*de facto*)")</f>
        <v>Berne(*de facto*)</v>
      </c>
      <c r="C34" s="3" t="str">
        <f>IFERROR(__xludf.DUMMYFUNCTION("""COMPUTED_VALUE"""),"La Suisse n'a aucune capitale officielle ; Berne est la ville fédérale, 
c'est-à-dire le siège du gouvernement fédéral.")</f>
        <v>La Suisse n'a aucune capitale officielle ; Berne est la ville fédérale, 
c'est-à-dire le siège du gouvernement fédéral.</v>
      </c>
    </row>
    <row r="35">
      <c r="A35" s="3" t="str">
        <f>IFERROR(__xludf.DUMMYFUNCTION("""COMPUTED_VALUE"""),"Liban")</f>
        <v>Liban</v>
      </c>
      <c r="B35" s="3" t="str">
        <f>IFERROR(__xludf.DUMMYFUNCTION("""COMPUTED_VALUE"""),"Beyrouth")</f>
        <v>Beyrouth</v>
      </c>
      <c r="C35" s="3"/>
    </row>
    <row r="36">
      <c r="A36" s="3" t="str">
        <f>IFERROR(__xludf.DUMMYFUNCTION("""COMPUTED_VALUE"""),"Kirghizistan")</f>
        <v>Kirghizistan</v>
      </c>
      <c r="B36" s="3" t="str">
        <f>IFERROR(__xludf.DUMMYFUNCTION("""COMPUTED_VALUE"""),"Bichkek")</f>
        <v>Bichkek</v>
      </c>
      <c r="C36" s="3"/>
    </row>
    <row r="37">
      <c r="A37" s="3" t="str">
        <f>IFERROR(__xludf.DUMMYFUNCTION("""COMPUTED_VALUE"""),"Guinée-Bissau")</f>
        <v>Guinée-Bissau</v>
      </c>
      <c r="B37" s="3" t="str">
        <f>IFERROR(__xludf.DUMMYFUNCTION("""COMPUTED_VALUE"""),"Bissau")</f>
        <v>Bissau</v>
      </c>
      <c r="C37" s="3"/>
    </row>
    <row r="38">
      <c r="A38" s="3" t="str">
        <f>IFERROR(__xludf.DUMMYFUNCTION("""COMPUTED_VALUE"""),"Afrique du Sud")</f>
        <v>Afrique du Sud</v>
      </c>
      <c r="B38" s="3" t="str">
        <f>IFERROR(__xludf.DUMMYFUNCTION("""COMPUTED_VALUE"""),"Bloemfontein(judiciaire)")</f>
        <v>Bloemfontein(judiciaire)</v>
      </c>
      <c r="C38" s="3" t="str">
        <f>IFERROR(__xludf.DUMMYFUNCTION("""COMPUTED_VALUE"""),"L'Afrique du Sud compte trois capitales : Pretoria est la capitale 
administrative et le siège du gouvernement, Le Cap est le siège du 
Parlement et Bloemfontein la capitale judiciaire.")</f>
        <v>L'Afrique du Sud compte trois capitales : Pretoria est la capitale 
administrative et le siège du gouvernement, Le Cap est le siège du 
Parlement et Bloemfontein la capitale judiciaire.</v>
      </c>
    </row>
    <row r="39">
      <c r="A39" s="3"/>
      <c r="B39" s="3" t="str">
        <f>IFERROR(__xludf.DUMMYFUNCTION("""COMPUTED_VALUE"""),"Le Cap(législative)")</f>
        <v>Le Cap(législative)</v>
      </c>
      <c r="C39" s="3"/>
    </row>
    <row r="40">
      <c r="A40" s="3"/>
      <c r="B40" s="3" t="str">
        <f>IFERROR(__xludf.DUMMYFUNCTION("""COMPUTED_VALUE"""),"Pretoria(administrative)")</f>
        <v>Pretoria(administrative)</v>
      </c>
      <c r="C40" s="3"/>
    </row>
    <row r="41">
      <c r="A41" s="3" t="str">
        <f>IFERROR(__xludf.DUMMYFUNCTION("""COMPUTED_VALUE"""),"Colombie")</f>
        <v>Colombie</v>
      </c>
      <c r="B41" s="3" t="str">
        <f>IFERROR(__xludf.DUMMYFUNCTION("""COMPUTED_VALUE"""),"Bogota")</f>
        <v>Bogota</v>
      </c>
      <c r="C41" s="3"/>
    </row>
    <row r="42">
      <c r="A42" s="3" t="str">
        <f>IFERROR(__xludf.DUMMYFUNCTION("""COMPUTED_VALUE"""),"Brésil")</f>
        <v>Brésil</v>
      </c>
      <c r="B42" s="3" t="str">
        <f>IFERROR(__xludf.DUMMYFUNCTION("""COMPUTED_VALUE"""),"Brasilia")</f>
        <v>Brasilia</v>
      </c>
      <c r="C42" s="3" t="str">
        <f>IFERROR(__xludf.DUMMYFUNCTION("""COMPUTED_VALUE"""),"Rio de Janeiro était la capitale jusqu’en 1960. Belém a été temporairement 
capitale en novembre 2025 à l’occasion de la COP 30[3],[4].")</f>
        <v>Rio de Janeiro était la capitale jusqu’en 1960. Belém a été temporairement 
capitale en novembre 2025 à l’occasion de la COP 30[3],[4].</v>
      </c>
    </row>
    <row r="43">
      <c r="A43" s="3" t="str">
        <f>IFERROR(__xludf.DUMMYFUNCTION("""COMPUTED_VALUE"""),"Slovaquie")</f>
        <v>Slovaquie</v>
      </c>
      <c r="B43" s="3" t="str">
        <f>IFERROR(__xludf.DUMMYFUNCTION("""COMPUTED_VALUE"""),"Bratislava")</f>
        <v>Bratislava</v>
      </c>
      <c r="C43" s="3"/>
    </row>
    <row r="44">
      <c r="A44" s="3" t="str">
        <f>IFERROR(__xludf.DUMMYFUNCTION("""COMPUTED_VALUE"""),"République du Congo")</f>
        <v>République du Congo</v>
      </c>
      <c r="B44" s="3" t="str">
        <f>IFERROR(__xludf.DUMMYFUNCTION("""COMPUTED_VALUE"""),"Brazzaville")</f>
        <v>Brazzaville</v>
      </c>
      <c r="C44" s="3"/>
    </row>
    <row r="45">
      <c r="A45" s="3" t="str">
        <f>IFERROR(__xludf.DUMMYFUNCTION("""COMPUTED_VALUE"""),"Barbade")</f>
        <v>Barbade</v>
      </c>
      <c r="B45" s="3" t="str">
        <f>IFERROR(__xludf.DUMMYFUNCTION("""COMPUTED_VALUE"""),"Bridgetown")</f>
        <v>Bridgetown</v>
      </c>
      <c r="C45" s="3"/>
    </row>
    <row r="46">
      <c r="A46" s="3" t="str">
        <f>IFERROR(__xludf.DUMMYFUNCTION("""COMPUTED_VALUE"""),"Belgique")</f>
        <v>Belgique</v>
      </c>
      <c r="B46" s="3" t="str">
        <f>IFERROR(__xludf.DUMMYFUNCTION("""COMPUTED_VALUE"""),"Bruxelles")</f>
        <v>Bruxelles</v>
      </c>
      <c r="C46" s="3"/>
    </row>
    <row r="47">
      <c r="A47" s="3" t="str">
        <f>IFERROR(__xludf.DUMMYFUNCTION("""COMPUTED_VALUE"""),"Roumanie")</f>
        <v>Roumanie</v>
      </c>
      <c r="B47" s="3" t="str">
        <f>IFERROR(__xludf.DUMMYFUNCTION("""COMPUTED_VALUE"""),"Bucarest")</f>
        <v>Bucarest</v>
      </c>
      <c r="C47" s="3"/>
    </row>
    <row r="48">
      <c r="A48" s="3" t="str">
        <f>IFERROR(__xludf.DUMMYFUNCTION("""COMPUTED_VALUE"""),"Hongrie")</f>
        <v>Hongrie</v>
      </c>
      <c r="B48" s="3" t="str">
        <f>IFERROR(__xludf.DUMMYFUNCTION("""COMPUTED_VALUE"""),"Budapest")</f>
        <v>Budapest</v>
      </c>
      <c r="C48" s="3"/>
    </row>
    <row r="49">
      <c r="A49" s="3" t="str">
        <f>IFERROR(__xludf.DUMMYFUNCTION("""COMPUTED_VALUE"""),"Argentine")</f>
        <v>Argentine</v>
      </c>
      <c r="B49" s="3" t="str">
        <f>IFERROR(__xludf.DUMMYFUNCTION("""COMPUTED_VALUE"""),"Buenos Aires")</f>
        <v>Buenos Aires</v>
      </c>
      <c r="C49" s="3"/>
    </row>
    <row r="50">
      <c r="A50" s="3" t="str">
        <f>IFERROR(__xludf.DUMMYFUNCTION("""COMPUTED_VALUE"""),"Burundi")</f>
        <v>Burundi</v>
      </c>
      <c r="B50" s="3" t="str">
        <f>IFERROR(__xludf.DUMMYFUNCTION("""COMPUTED_VALUE"""),"Bujumbura(*de facto*)")</f>
        <v>Bujumbura(*de facto*)</v>
      </c>
      <c r="C50" s="3" t="str">
        <f>IFERROR(__xludf.DUMMYFUNCTION("""COMPUTED_VALUE"""),"Gitega est la capitale officielle depuis 2018. Bujumbura conserve néanmoins 
certaines institutions et missions diplomatiques.")</f>
        <v>Gitega est la capitale officielle depuis 2018. Bujumbura conserve néanmoins 
certaines institutions et missions diplomatiques.</v>
      </c>
    </row>
    <row r="51">
      <c r="A51" s="3"/>
      <c r="B51" s="3" t="str">
        <f>IFERROR(__xludf.DUMMYFUNCTION("""COMPUTED_VALUE"""),"Gitega(officielle)")</f>
        <v>Gitega(officielle)</v>
      </c>
      <c r="C51" s="3"/>
    </row>
    <row r="52">
      <c r="A52" s="3" t="str">
        <f>IFERROR(__xludf.DUMMYFUNCTION("""COMPUTED_VALUE"""),"Égypte")</f>
        <v>Égypte</v>
      </c>
      <c r="B52" s="3" t="str">
        <f>IFERROR(__xludf.DUMMYFUNCTION("""COMPUTED_VALUE"""),"Le Caire")</f>
        <v>Le Caire</v>
      </c>
      <c r="C52" s="3" t="str">
        <f>IFERROR(__xludf.DUMMYFUNCTION("""COMPUTED_VALUE"""),"En 2023, une nouvelle capitale est en construction.")</f>
        <v>En 2023, une nouvelle capitale est en construction.</v>
      </c>
    </row>
    <row r="53">
      <c r="A53" s="3" t="str">
        <f>IFERROR(__xludf.DUMMYFUNCTION("""COMPUTED_VALUE"""),"Australie")</f>
        <v>Australie</v>
      </c>
      <c r="B53" s="3" t="str">
        <f>IFERROR(__xludf.DUMMYFUNCTION("""COMPUTED_VALUE"""),"Canberra")</f>
        <v>Canberra</v>
      </c>
      <c r="C53" s="3"/>
    </row>
    <row r="54">
      <c r="A54" s="3" t="str">
        <f>IFERROR(__xludf.DUMMYFUNCTION("""COMPUTED_VALUE"""),"Venezuela")</f>
        <v>Venezuela</v>
      </c>
      <c r="B54" s="3" t="str">
        <f>IFERROR(__xludf.DUMMYFUNCTION("""COMPUTED_VALUE"""),"Caracas")</f>
        <v>Caracas</v>
      </c>
      <c r="C54" s="3"/>
    </row>
    <row r="55">
      <c r="A55" s="3" t="str">
        <f>IFERROR(__xludf.DUMMYFUNCTION("""COMPUTED_VALUE"""),"Sainte-Lucie")</f>
        <v>Sainte-Lucie</v>
      </c>
      <c r="B55" s="3" t="str">
        <f>IFERROR(__xludf.DUMMYFUNCTION("""COMPUTED_VALUE"""),"Castries")</f>
        <v>Castries</v>
      </c>
      <c r="C55" s="3"/>
    </row>
    <row r="56">
      <c r="A56" s="3" t="str">
        <f>IFERROR(__xludf.DUMMYFUNCTION("""COMPUTED_VALUE"""),"Monténégro")</f>
        <v>Monténégro</v>
      </c>
      <c r="B56" s="3" t="str">
        <f>IFERROR(__xludf.DUMMYFUNCTION("""COMPUTED_VALUE"""),"Cetinje(présidentielle)")</f>
        <v>Cetinje(présidentielle)</v>
      </c>
      <c r="C56" s="3" t="str">
        <f>IFERROR(__xludf.DUMMYFUNCTION("""COMPUTED_VALUE"""),"Podgorica est la capitale administrative, Cetinje est le siège du 
président.")</f>
        <v>Podgorica est la capitale administrative, Cetinje est le siège du 
président.</v>
      </c>
    </row>
    <row r="57">
      <c r="A57" s="3"/>
      <c r="B57" s="3" t="str">
        <f>IFERROR(__xludf.DUMMYFUNCTION("""COMPUTED_VALUE"""),"Podgorica(administrative)")</f>
        <v>Podgorica(administrative)</v>
      </c>
      <c r="C57" s="3"/>
    </row>
    <row r="58">
      <c r="A58" s="3" t="str">
        <f>IFERROR(__xludf.DUMMYFUNCTION("""COMPUTED_VALUE"""),"Moldavie")</f>
        <v>Moldavie</v>
      </c>
      <c r="B58" s="3" t="str">
        <f>IFERROR(__xludf.DUMMYFUNCTION("""COMPUTED_VALUE"""),"Chisinau")</f>
        <v>Chisinau</v>
      </c>
      <c r="C58" s="3"/>
    </row>
    <row r="59">
      <c r="A59" s="3" t="str">
        <f>IFERROR(__xludf.DUMMYFUNCTION("""COMPUTED_VALUE"""),"Guinée équatoriale")</f>
        <v>Guinée équatoriale</v>
      </c>
      <c r="B59" s="3" t="str">
        <f>IFERROR(__xludf.DUMMYFUNCTION("""COMPUTED_VALUE"""),"Ciudad de la Paz")</f>
        <v>Ciudad de la Paz</v>
      </c>
      <c r="C59" s="3" t="str">
        <f>IFERROR(__xludf.DUMMYFUNCTION("""COMPUTED_VALUE"""),"Malabo a été capitale jusqu’en janvier 2026[5].")</f>
        <v>Malabo a été capitale jusqu’en janvier 2026[5].</v>
      </c>
    </row>
    <row r="60">
      <c r="A60" s="3" t="str">
        <f>IFERROR(__xludf.DUMMYFUNCTION("""COMPUTED_VALUE"""),"Sri Lanka")</f>
        <v>Sri Lanka</v>
      </c>
      <c r="B60" s="3" t="str">
        <f>IFERROR(__xludf.DUMMYFUNCTION("""COMPUTED_VALUE"""),"Colombo(exécutive et judiciaire)")</f>
        <v>Colombo(exécutive et judiciaire)</v>
      </c>
      <c r="C60" s="3" t="str">
        <f>IFERROR(__xludf.DUMMYFUNCTION("""COMPUTED_VALUE"""),"Sri Jayawardenapura Kotte est la capitale officielle depuis les années 
1980, en remplacement de Colombo. Cette dernière conserve toujours 
plusieurs institutions gouvernementales importantes. L'Union européenne ne 
donne que Colombo comme capitale[réf. n"&amp;"écessaire]. L'IGN donne Sri 
Jayawardenapura Kotte comme capitale administrative et législative et 
Colombo comme capitale commerciale[réf. nécessaire].")</f>
        <v>Sri Jayawardenapura Kotte est la capitale officielle depuis les années 
1980, en remplacement de Colombo. Cette dernière conserve toujours 
plusieurs institutions gouvernementales importantes. L'Union européenne ne 
donne que Colombo comme capitale[réf. nécessaire]. L'IGN donne Sri 
Jayawardenapura Kotte comme capitale administrative et législative et 
Colombo comme capitale commerciale[réf. nécessaire].</v>
      </c>
    </row>
    <row r="61">
      <c r="A61" s="3"/>
      <c r="B61" s="3" t="str">
        <f>IFERROR(__xludf.DUMMYFUNCTION("""COMPUTED_VALUE"""),"Sri Jayawardenapura Kotte(officielle et législative)")</f>
        <v>Sri Jayawardenapura Kotte(officielle et législative)</v>
      </c>
      <c r="C61" s="3"/>
    </row>
    <row r="62">
      <c r="A62" s="3" t="str">
        <f>IFERROR(__xludf.DUMMYFUNCTION("""COMPUTED_VALUE"""),"Honduras")</f>
        <v>Honduras</v>
      </c>
      <c r="B62" s="3" t="str">
        <f>IFERROR(__xludf.DUMMYFUNCTION("""COMPUTED_VALUE"""),"Comayagüela")</f>
        <v>Comayagüela</v>
      </c>
      <c r="C62" s="3" t="str">
        <f>IFERROR(__xludf.DUMMYFUNCTION("""COMPUTED_VALUE"""),"La constitution du Honduras (es) désigne Comayagüela comme co-capitale avec 
Tegucigalpa. En 2023, les deux villes ne sont plus que deux localités de la 
municipalité du *Distrito Central* depuis 1937.")</f>
        <v>La constitution du Honduras (es) désigne Comayagüela comme co-capitale avec 
Tegucigalpa. En 2023, les deux villes ne sont plus que deux localités de la 
municipalité du *Distrito Central* depuis 1937.</v>
      </c>
    </row>
    <row r="63">
      <c r="A63" s="3"/>
      <c r="B63" s="3" t="str">
        <f>IFERROR(__xludf.DUMMYFUNCTION("""COMPUTED_VALUE"""),"Tegucigalpa")</f>
        <v>Tegucigalpa</v>
      </c>
      <c r="C63" s="3"/>
    </row>
    <row r="64">
      <c r="A64" s="3" t="str">
        <f>IFERROR(__xludf.DUMMYFUNCTION("""COMPUTED_VALUE"""),"Guinée")</f>
        <v>Guinée</v>
      </c>
      <c r="B64" s="3" t="str">
        <f>IFERROR(__xludf.DUMMYFUNCTION("""COMPUTED_VALUE"""),"Conakry")</f>
        <v>Conakry</v>
      </c>
      <c r="C64" s="3"/>
    </row>
    <row r="65">
      <c r="A65" s="3" t="str">
        <f>IFERROR(__xludf.DUMMYFUNCTION("""COMPUTED_VALUE"""),"Danemark")</f>
        <v>Danemark</v>
      </c>
      <c r="B65" s="3" t="str">
        <f>IFERROR(__xludf.DUMMYFUNCTION("""COMPUTED_VALUE"""),"Copenhague")</f>
        <v>Copenhague</v>
      </c>
      <c r="C65" s="3"/>
    </row>
    <row r="66">
      <c r="A66" s="3" t="str">
        <f>IFERROR(__xludf.DUMMYFUNCTION("""COMPUTED_VALUE"""),"Bénin")</f>
        <v>Bénin</v>
      </c>
      <c r="B66" s="3" t="str">
        <f>IFERROR(__xludf.DUMMYFUNCTION("""COMPUTED_VALUE"""),"Cotonou(*de facto*)")</f>
        <v>Cotonou(*de facto*)</v>
      </c>
      <c r="C66" s="3" t="str">
        <f>IFERROR(__xludf.DUMMYFUNCTION("""COMPUTED_VALUE"""),"Porto-Novo est la capitale constitutionnelle, Cotonou est le siège du 
gouvernement et des ambassades.")</f>
        <v>Porto-Novo est la capitale constitutionnelle, Cotonou est le siège du 
gouvernement et des ambassades.</v>
      </c>
    </row>
    <row r="67">
      <c r="A67" s="3"/>
      <c r="B67" s="3" t="str">
        <f>IFERROR(__xludf.DUMMYFUNCTION("""COMPUTED_VALUE"""),"Porto-Novo(officielle)")</f>
        <v>Porto-Novo(officielle)</v>
      </c>
      <c r="C67" s="3"/>
    </row>
    <row r="68">
      <c r="A68" s="3" t="str">
        <f>IFERROR(__xludf.DUMMYFUNCTION("""COMPUTED_VALUE"""),"Sénégal")</f>
        <v>Sénégal</v>
      </c>
      <c r="B68" s="3" t="str">
        <f>IFERROR(__xludf.DUMMYFUNCTION("""COMPUTED_VALUE"""),"Dakar")</f>
        <v>Dakar</v>
      </c>
      <c r="C68" s="3"/>
    </row>
    <row r="69">
      <c r="A69" s="3" t="str">
        <f>IFERROR(__xludf.DUMMYFUNCTION("""COMPUTED_VALUE"""),"Syrie")</f>
        <v>Syrie</v>
      </c>
      <c r="B69" s="3" t="str">
        <f>IFERROR(__xludf.DUMMYFUNCTION("""COMPUTED_VALUE"""),"Damas")</f>
        <v>Damas</v>
      </c>
      <c r="C69" s="3"/>
    </row>
    <row r="70">
      <c r="A70" s="3" t="str">
        <f>IFERROR(__xludf.DUMMYFUNCTION("""COMPUTED_VALUE"""),"Bangladesh")</f>
        <v>Bangladesh</v>
      </c>
      <c r="B70" s="3" t="str">
        <f>IFERROR(__xludf.DUMMYFUNCTION("""COMPUTED_VALUE"""),"Dacca")</f>
        <v>Dacca</v>
      </c>
      <c r="C70" s="3"/>
    </row>
    <row r="71">
      <c r="A71" s="3" t="str">
        <f>IFERROR(__xludf.DUMMYFUNCTION("""COMPUTED_VALUE"""),"Tanzanie")</f>
        <v>Tanzanie</v>
      </c>
      <c r="B71" s="3" t="str">
        <f>IFERROR(__xludf.DUMMYFUNCTION("""COMPUTED_VALUE"""),"Dar es Salam(*de facto*, judiciaire)")</f>
        <v>Dar es Salam(*de facto*, judiciaire)</v>
      </c>
      <c r="C71" s="3" t="str">
        <f>IFERROR(__xludf.DUMMYFUNCTION("""COMPUTED_VALUE"""),"Dodoma est la capitale officielle depuis 1996. Dar es Salaam, l'ancienne 
capitale et la plus grande ville du pays, continue toutefois à héberger *de 
facto* le gouvernement, la présidence, les ministères, la magistrature et 
les missions diplomatiques.")</f>
        <v>Dodoma est la capitale officielle depuis 1996. Dar es Salaam, l'ancienne 
capitale et la plus grande ville du pays, continue toutefois à héberger *de 
facto* le gouvernement, la présidence, les ministères, la magistrature et 
les missions diplomatiques.</v>
      </c>
    </row>
    <row r="72">
      <c r="A72" s="3"/>
      <c r="B72" s="3" t="str">
        <f>IFERROR(__xludf.DUMMYFUNCTION("""COMPUTED_VALUE"""),"Dodoma(officielle, législative)")</f>
        <v>Dodoma(officielle, législative)</v>
      </c>
      <c r="C72" s="3"/>
    </row>
    <row r="73">
      <c r="A73" s="3" t="str">
        <f>IFERROR(__xludf.DUMMYFUNCTION("""COMPUTED_VALUE"""),"Timor oriental")</f>
        <v>Timor oriental</v>
      </c>
      <c r="B73" s="3" t="str">
        <f>IFERROR(__xludf.DUMMYFUNCTION("""COMPUTED_VALUE"""),"Dili")</f>
        <v>Dili</v>
      </c>
      <c r="C73" s="3"/>
    </row>
    <row r="74">
      <c r="A74" s="3" t="str">
        <f>IFERROR(__xludf.DUMMYFUNCTION("""COMPUTED_VALUE"""),"Djibouti")</f>
        <v>Djibouti</v>
      </c>
      <c r="B74" s="3" t="str">
        <f>IFERROR(__xludf.DUMMYFUNCTION("""COMPUTED_VALUE"""),"Djibouti")</f>
        <v>Djibouti</v>
      </c>
      <c r="C74" s="3"/>
    </row>
    <row r="75">
      <c r="A75" s="3" t="str">
        <f>IFERROR(__xludf.DUMMYFUNCTION("""COMPUTED_VALUE"""),"Soudan du Sud")</f>
        <v>Soudan du Sud</v>
      </c>
      <c r="B75" s="3" t="str">
        <f>IFERROR(__xludf.DUMMYFUNCTION("""COMPUTED_VALUE"""),"Djouba")</f>
        <v>Djouba</v>
      </c>
      <c r="C75" s="3"/>
    </row>
    <row r="76">
      <c r="A76" s="3" t="str">
        <f>IFERROR(__xludf.DUMMYFUNCTION("""COMPUTED_VALUE"""),"Qatar")</f>
        <v>Qatar</v>
      </c>
      <c r="B76" s="3" t="str">
        <f>IFERROR(__xludf.DUMMYFUNCTION("""COMPUTED_VALUE"""),"Doha")</f>
        <v>Doha</v>
      </c>
      <c r="C76" s="3"/>
    </row>
    <row r="77">
      <c r="A77" s="3" t="str">
        <f>IFERROR(__xludf.DUMMYFUNCTION("""COMPUTED_VALUE"""),"Tadjikistan")</f>
        <v>Tadjikistan</v>
      </c>
      <c r="B77" s="3" t="str">
        <f>IFERROR(__xludf.DUMMYFUNCTION("""COMPUTED_VALUE"""),"Douchanbé")</f>
        <v>Douchanbé</v>
      </c>
      <c r="C77" s="3"/>
    </row>
    <row r="78">
      <c r="A78" s="3" t="str">
        <f>IFERROR(__xludf.DUMMYFUNCTION("""COMPUTED_VALUE"""),"Irlande")</f>
        <v>Irlande</v>
      </c>
      <c r="B78" s="3" t="str">
        <f>IFERROR(__xludf.DUMMYFUNCTION("""COMPUTED_VALUE"""),"Dublin")</f>
        <v>Dublin</v>
      </c>
      <c r="C78" s="3"/>
    </row>
    <row r="79">
      <c r="A79" s="3" t="str">
        <f>IFERROR(__xludf.DUMMYFUNCTION("""COMPUTED_VALUE"""),"Arménie")</f>
        <v>Arménie</v>
      </c>
      <c r="B79" s="3" t="str">
        <f>IFERROR(__xludf.DUMMYFUNCTION("""COMPUTED_VALUE"""),"Erevan")</f>
        <v>Erevan</v>
      </c>
      <c r="C79" s="3"/>
    </row>
    <row r="80">
      <c r="A80" s="3" t="str">
        <f>IFERROR(__xludf.DUMMYFUNCTION("""COMPUTED_VALUE"""),"Sierra Leone")</f>
        <v>Sierra Leone</v>
      </c>
      <c r="B80" s="3" t="str">
        <f>IFERROR(__xludf.DUMMYFUNCTION("""COMPUTED_VALUE"""),"Freetown")</f>
        <v>Freetown</v>
      </c>
      <c r="C80" s="3"/>
    </row>
    <row r="81">
      <c r="A81" s="3" t="str">
        <f>IFERROR(__xludf.DUMMYFUNCTION("""COMPUTED_VALUE"""),"Tuvalu")</f>
        <v>Tuvalu</v>
      </c>
      <c r="B81" s="3" t="str">
        <f>IFERROR(__xludf.DUMMYFUNCTION("""COMPUTED_VALUE"""),"Funafuti (Vaiaku)")</f>
        <v>Funafuti (Vaiaku)</v>
      </c>
      <c r="C81" s="3" t="str">
        <f>IFERROR(__xludf.DUMMYFUNCTION("""COMPUTED_VALUE"""),"Vaiaku est le centre administratif de l'atoll de Funafuti.")</f>
        <v>Vaiaku est le centre administratif de l'atoll de Funafuti.</v>
      </c>
    </row>
    <row r="82">
      <c r="A82" s="3" t="str">
        <f>IFERROR(__xludf.DUMMYFUNCTION("""COMPUTED_VALUE"""),"Botswana")</f>
        <v>Botswana</v>
      </c>
      <c r="B82" s="3" t="str">
        <f>IFERROR(__xludf.DUMMYFUNCTION("""COMPUTED_VALUE"""),"Gaborone")</f>
        <v>Gaborone</v>
      </c>
      <c r="C82" s="3"/>
    </row>
    <row r="83">
      <c r="A83" s="3" t="str">
        <f>IFERROR(__xludf.DUMMYFUNCTION("""COMPUTED_VALUE"""),"Guyana")</f>
        <v>Guyana</v>
      </c>
      <c r="B83" s="3" t="str">
        <f>IFERROR(__xludf.DUMMYFUNCTION("""COMPUTED_VALUE"""),"Georgetown")</f>
        <v>Georgetown</v>
      </c>
      <c r="C83" s="3"/>
    </row>
    <row r="84">
      <c r="A84" s="3" t="str">
        <f>IFERROR(__xludf.DUMMYFUNCTION("""COMPUTED_VALUE"""),"Guatemala")</f>
        <v>Guatemala</v>
      </c>
      <c r="B84" s="3" t="str">
        <f>IFERROR(__xludf.DUMMYFUNCTION("""COMPUTED_VALUE"""),"Guatemala")</f>
        <v>Guatemala</v>
      </c>
      <c r="C84" s="3"/>
    </row>
    <row r="85">
      <c r="A85" s="3" t="str">
        <f>IFERROR(__xludf.DUMMYFUNCTION("""COMPUTED_VALUE"""),"Vietnam")</f>
        <v>Vietnam</v>
      </c>
      <c r="B85" s="3" t="str">
        <f>IFERROR(__xludf.DUMMYFUNCTION("""COMPUTED_VALUE"""),"Hanoï")</f>
        <v>Hanoï</v>
      </c>
      <c r="C85" s="3"/>
    </row>
    <row r="86">
      <c r="A86" s="3" t="str">
        <f>IFERROR(__xludf.DUMMYFUNCTION("""COMPUTED_VALUE"""),"Zimbabwe")</f>
        <v>Zimbabwe</v>
      </c>
      <c r="B86" s="3" t="str">
        <f>IFERROR(__xludf.DUMMYFUNCTION("""COMPUTED_VALUE"""),"Harare")</f>
        <v>Harare</v>
      </c>
      <c r="C86" s="3"/>
    </row>
    <row r="87">
      <c r="A87" s="3" t="str">
        <f>IFERROR(__xludf.DUMMYFUNCTION("""COMPUTED_VALUE"""),"Cuba")</f>
        <v>Cuba</v>
      </c>
      <c r="B87" s="3" t="str">
        <f>IFERROR(__xludf.DUMMYFUNCTION("""COMPUTED_VALUE"""),"La Havane")</f>
        <v>La Havane</v>
      </c>
      <c r="C87" s="3"/>
    </row>
    <row r="88">
      <c r="A88" s="3" t="str">
        <f>IFERROR(__xludf.DUMMYFUNCTION("""COMPUTED_VALUE"""),"Finlande")</f>
        <v>Finlande</v>
      </c>
      <c r="B88" s="3" t="str">
        <f>IFERROR(__xludf.DUMMYFUNCTION("""COMPUTED_VALUE"""),"Helsinki")</f>
        <v>Helsinki</v>
      </c>
      <c r="C88" s="3"/>
    </row>
    <row r="89">
      <c r="A89" s="3" t="str">
        <f>IFERROR(__xludf.DUMMYFUNCTION("""COMPUTED_VALUE"""),"Îles Salomon")</f>
        <v>Îles Salomon</v>
      </c>
      <c r="B89" s="3" t="str">
        <f>IFERROR(__xludf.DUMMYFUNCTION("""COMPUTED_VALUE"""),"Honiara")</f>
        <v>Honiara</v>
      </c>
      <c r="C89" s="3"/>
    </row>
    <row r="90">
      <c r="A90" s="3" t="str">
        <f>IFERROR(__xludf.DUMMYFUNCTION("""COMPUTED_VALUE"""),"Pakistan")</f>
        <v>Pakistan</v>
      </c>
      <c r="B90" s="3" t="str">
        <f>IFERROR(__xludf.DUMMYFUNCTION("""COMPUTED_VALUE"""),"Islamabad")</f>
        <v>Islamabad</v>
      </c>
      <c r="C90" s="3" t="str">
        <f>IFERROR(__xludf.DUMMYFUNCTION("""COMPUTED_VALUE"""),"Islamabad est la capitale depuis les années 1960, en remplacement de 
Rawalpindi, laquelle avait déjà remplacé Karachi en 1958.")</f>
        <v>Islamabad est la capitale depuis les années 1960, en remplacement de 
Rawalpindi, laquelle avait déjà remplacé Karachi en 1958.</v>
      </c>
    </row>
    <row r="91">
      <c r="A91" s="3" t="str">
        <f>IFERROR(__xludf.DUMMYFUNCTION("""COMPUTED_VALUE"""),"Indonésie")</f>
        <v>Indonésie</v>
      </c>
      <c r="B91" s="3" t="str">
        <f>IFERROR(__xludf.DUMMYFUNCTION("""COMPUTED_VALUE"""),"Jakarta (*de facto*)")</f>
        <v>Jakarta (*de facto*)</v>
      </c>
      <c r="C91" s="3" t="str">
        <f>IFERROR(__xludf.DUMMYFUNCTION("""COMPUTED_VALUE"""),"Nusantara est la capitale officielle de l'Indonésie depuis le 17 août 2024, 
en remplacement de Jakarta, à la suite de l'entrée en vigueur de la loi sur 
la région spéciale de Jakarta (en)[6],[7]. Jakarta était la capitale du 
pays en remplacement de Yogy"&amp;"akarta, *de facto* depuis le 17 août 1950 et *de 
jure* depuis le 28 août 1961. Malgré le transfert de la capitale, Jakarta 
continue d'héberger de nombreuses administrations pendant une phase de 
transition.")</f>
        <v>Nusantara est la capitale officielle de l'Indonésie depuis le 17 août 2024, 
en remplacement de Jakarta, à la suite de l'entrée en vigueur de la loi sur 
la région spéciale de Jakarta (en)[6],[7]. Jakarta était la capitale du 
pays en remplacement de Yogyakarta, *de facto* depuis le 17 août 1950 et *de 
jure* depuis le 28 août 1961. Malgré le transfert de la capitale, Jakarta 
continue d'héberger de nombreuses administrations pendant une phase de 
transition.</v>
      </c>
    </row>
    <row r="92">
      <c r="A92" s="3"/>
      <c r="B92" s="3" t="str">
        <f>IFERROR(__xludf.DUMMYFUNCTION("""COMPUTED_VALUE"""),"Nusantara (*de jure*)")</f>
        <v>Nusantara (*de jure*)</v>
      </c>
      <c r="C92" s="3"/>
    </row>
    <row r="93">
      <c r="A93" s="3" t="str">
        <f>IFERROR(__xludf.DUMMYFUNCTION("""COMPUTED_VALUE"""),"Israël")</f>
        <v>Israël</v>
      </c>
      <c r="B93" s="3" t="str">
        <f>IFERROR(__xludf.DUMMYFUNCTION("""COMPUTED_VALUE"""),"Jérusalem(non reconnue internationalement)")</f>
        <v>Jérusalem(non reconnue internationalement)</v>
      </c>
      <c r="C93" s="3" t="str">
        <f>IFERROR(__xludf.DUMMYFUNCTION("""COMPUTED_VALUE"""),"Israël considère Jérusalem comme sa capitale depuis 1949 [8] fait reaffirmé 
pour la ville entière par la Loi de Jérusalem en 1980, une position 
fortement contestée internationalement, notamment par la résolution 478 du 
Conseil de sécurité des Nations u"&amp;"nies qui considère cette dernière loi 
israélienne « nulle et non avenue » et demande aux Etats membres de l'ONU 
de retirer leurs ambassades de la ville ; la plupart des ambassades sont 
situées à Tel Aviv-Jaffa[note 1], à l'exception notable de celle de"&amp;"s 
États-Unis[13].")</f>
        <v>Israël considère Jérusalem comme sa capitale depuis 1949 [8] fait reaffirmé 
pour la ville entière par la Loi de Jérusalem en 1980, une position 
fortement contestée internationalement, notamment par la résolution 478 du 
Conseil de sécurité des Nations unies qui considère cette dernière loi 
israélienne « nulle et non avenue » et demande aux Etats membres de l'ONU 
de retirer leurs ambassades de la ville ; la plupart des ambassades sont 
situées à Tel Aviv-Jaffa[note 1], à l'exception notable de celle des 
États-Unis[13].</v>
      </c>
    </row>
    <row r="94">
      <c r="A94" s="3"/>
      <c r="B94" s="3" t="str">
        <f>IFERROR(__xludf.DUMMYFUNCTION("""COMPUTED_VALUE"""),"Tel Aviv(siège des ambassades)")</f>
        <v>Tel Aviv(siège des ambassades)</v>
      </c>
      <c r="C94" s="3"/>
    </row>
    <row r="95">
      <c r="A95" s="3" t="str">
        <f>IFERROR(__xludf.DUMMYFUNCTION("""COMPUTED_VALUE"""),"Palestine[2]")</f>
        <v>Palestine[2]</v>
      </c>
      <c r="B95" s="3" t="str">
        <f>IFERROR(__xludf.DUMMYFUNCTION("""COMPUTED_VALUE"""),"Jérusalem(proclamée)")</f>
        <v>Jérusalem(proclamée)</v>
      </c>
      <c r="C95" s="3" t="str">
        <f>IFERROR(__xludf.DUMMYFUNCTION("""COMPUTED_VALUE"""),"Jérusalem est la capitale proclamée de l'État de Palestine (article 3 de la 
loi fondamentale palestinienne, votée en 1997[14],[15],[16]). L'entité 
gouvernementale palestinienne administre une grande partie de la Cisjordanie 
et la bande de Gaza[17] à la"&amp;" suite des accords d'Oslo[18],[19], mais non 
Jérusalem-Est, annexée par Israël[20]. Le siège administratif *de facto*[21]
,[22] du pouvoir palestinien est provisoirement situé à Ramallah[23].")</f>
        <v>Jérusalem est la capitale proclamée de l'État de Palestine (article 3 de la 
loi fondamentale palestinienne, votée en 1997[14],[15],[16]). L'entité 
gouvernementale palestinienne administre une grande partie de la Cisjordanie 
et la bande de Gaza[17] à la suite des accords d'Oslo[18],[19], mais non 
Jérusalem-Est, annexée par Israël[20]. Le siège administratif *de facto*[21]
,[22] du pouvoir palestinien est provisoirement situé à Ramallah[23].</v>
      </c>
    </row>
    <row r="96">
      <c r="A96" s="3"/>
      <c r="B96" s="3" t="str">
        <f>IFERROR(__xludf.DUMMYFUNCTION("""COMPUTED_VALUE"""),"Ramallah(*de facto*)")</f>
        <v>Ramallah(*de facto*)</v>
      </c>
      <c r="C96" s="3"/>
    </row>
    <row r="97">
      <c r="A97" s="3" t="str">
        <f>IFERROR(__xludf.DUMMYFUNCTION("""COMPUTED_VALUE"""),"Afghanistan")</f>
        <v>Afghanistan</v>
      </c>
      <c r="B97" s="3" t="str">
        <f>IFERROR(__xludf.DUMMYFUNCTION("""COMPUTED_VALUE"""),"Kaboul")</f>
        <v>Kaboul</v>
      </c>
      <c r="C97" s="3"/>
    </row>
    <row r="98">
      <c r="A98" s="3" t="str">
        <f>IFERROR(__xludf.DUMMYFUNCTION("""COMPUTED_VALUE"""),"Ouganda")</f>
        <v>Ouganda</v>
      </c>
      <c r="B98" s="3" t="str">
        <f>IFERROR(__xludf.DUMMYFUNCTION("""COMPUTED_VALUE"""),"Kampala")</f>
        <v>Kampala</v>
      </c>
      <c r="C98" s="3"/>
    </row>
    <row r="99">
      <c r="A99" s="3" t="str">
        <f>IFERROR(__xludf.DUMMYFUNCTION("""COMPUTED_VALUE"""),"Népal")</f>
        <v>Népal</v>
      </c>
      <c r="B99" s="3" t="str">
        <f>IFERROR(__xludf.DUMMYFUNCTION("""COMPUTED_VALUE"""),"Katmandou")</f>
        <v>Katmandou</v>
      </c>
      <c r="C99" s="3"/>
    </row>
    <row r="100">
      <c r="A100" s="3" t="str">
        <f>IFERROR(__xludf.DUMMYFUNCTION("""COMPUTED_VALUE"""),"Soudan")</f>
        <v>Soudan</v>
      </c>
      <c r="B100" s="3" t="str">
        <f>IFERROR(__xludf.DUMMYFUNCTION("""COMPUTED_VALUE"""),"Khartoum")</f>
        <v>Khartoum</v>
      </c>
      <c r="C100" s="3"/>
    </row>
    <row r="101">
      <c r="A101" s="3" t="str">
        <f>IFERROR(__xludf.DUMMYFUNCTION("""COMPUTED_VALUE"""),"Ukraine")</f>
        <v>Ukraine</v>
      </c>
      <c r="B101" s="3" t="str">
        <f>IFERROR(__xludf.DUMMYFUNCTION("""COMPUTED_VALUE"""),"Kiev")</f>
        <v>Kiev</v>
      </c>
      <c r="C101" s="3"/>
    </row>
    <row r="102">
      <c r="A102" s="3" t="str">
        <f>IFERROR(__xludf.DUMMYFUNCTION("""COMPUTED_VALUE"""),"Rwanda")</f>
        <v>Rwanda</v>
      </c>
      <c r="B102" s="3" t="str">
        <f>IFERROR(__xludf.DUMMYFUNCTION("""COMPUTED_VALUE"""),"Kigali")</f>
        <v>Kigali</v>
      </c>
      <c r="C102" s="3"/>
    </row>
    <row r="103">
      <c r="A103" s="3" t="str">
        <f>IFERROR(__xludf.DUMMYFUNCTION("""COMPUTED_VALUE"""),"Jamaïque")</f>
        <v>Jamaïque</v>
      </c>
      <c r="B103" s="3" t="str">
        <f>IFERROR(__xludf.DUMMYFUNCTION("""COMPUTED_VALUE"""),"Kingston")</f>
        <v>Kingston</v>
      </c>
      <c r="C103" s="3"/>
    </row>
    <row r="104">
      <c r="A104" s="3" t="str">
        <f>IFERROR(__xludf.DUMMYFUNCTION("""COMPUTED_VALUE"""),"Saint-Vincent-et-les-Grenadines")</f>
        <v>Saint-Vincent-et-les-Grenadines</v>
      </c>
      <c r="B104" s="3" t="str">
        <f>IFERROR(__xludf.DUMMYFUNCTION("""COMPUTED_VALUE"""),"Kingstown")</f>
        <v>Kingstown</v>
      </c>
      <c r="C104" s="3"/>
    </row>
    <row r="105">
      <c r="A105" s="3" t="str">
        <f>IFERROR(__xludf.DUMMYFUNCTION("""COMPUTED_VALUE"""),"République démocratique du Congo")</f>
        <v>République démocratique du Congo</v>
      </c>
      <c r="B105" s="3" t="str">
        <f>IFERROR(__xludf.DUMMYFUNCTION("""COMPUTED_VALUE"""),"Kinshasa")</f>
        <v>Kinshasa</v>
      </c>
      <c r="C105" s="3"/>
    </row>
    <row r="106">
      <c r="A106" s="3" t="str">
        <f>IFERROR(__xludf.DUMMYFUNCTION("""COMPUTED_VALUE"""),"Palaos")</f>
        <v>Palaos</v>
      </c>
      <c r="B106" s="3" t="str">
        <f>IFERROR(__xludf.DUMMYFUNCTION("""COMPUTED_VALUE"""),"Melekeok (Ngerulmud)")</f>
        <v>Melekeok (Ngerulmud)</v>
      </c>
      <c r="C106" s="3" t="str">
        <f>IFERROR(__xludf.DUMMYFUNCTION("""COMPUTED_VALUE"""),"Melekeok, dont le lieu-dit Ngerulmud accueille le Capitole, est la capitale 
depuis le 7 octobre 2006, en remplacement de Koror.")</f>
        <v>Melekeok, dont le lieu-dit Ngerulmud accueille le Capitole, est la capitale 
depuis le 7 octobre 2006, en remplacement de Koror.</v>
      </c>
    </row>
    <row r="107">
      <c r="A107" s="3" t="str">
        <f>IFERROR(__xludf.DUMMYFUNCTION("""COMPUTED_VALUE"""),"Koweït")</f>
        <v>Koweït</v>
      </c>
      <c r="B107" s="3" t="str">
        <f>IFERROR(__xludf.DUMMYFUNCTION("""COMPUTED_VALUE"""),"Koweït")</f>
        <v>Koweït</v>
      </c>
      <c r="C107" s="3"/>
    </row>
    <row r="108">
      <c r="A108" s="3" t="str">
        <f>IFERROR(__xludf.DUMMYFUNCTION("""COMPUTED_VALUE"""),"Malaisie")</f>
        <v>Malaisie</v>
      </c>
      <c r="B108" s="3" t="str">
        <f>IFERROR(__xludf.DUMMYFUNCTION("""COMPUTED_VALUE"""),"Kuala Lumpur(officielle)")</f>
        <v>Kuala Lumpur(officielle)</v>
      </c>
      <c r="C108" s="3" t="str">
        <f>IFERROR(__xludf.DUMMYFUNCTION("""COMPUTED_VALUE"""),"Kuala Lumpur est la capitale de la Malaisie et accueille le parlement et la résidence 
royale (en). Putrajaya, située à 20 km, est la nouvelle capitale 
administrative.")</f>
        <v>Kuala Lumpur est la capitale de la Malaisie et accueille le parlement et la résidence 
royale (en). Putrajaya, située à 20 km, est la nouvelle capitale 
administrative.</v>
      </c>
    </row>
    <row r="109">
      <c r="A109" s="3"/>
      <c r="B109" s="3" t="str">
        <f>IFERROR(__xludf.DUMMYFUNCTION("""COMPUTED_VALUE"""),"Putrajaya(administrative)")</f>
        <v>Putrajaya(administrative)</v>
      </c>
      <c r="C109" s="3"/>
    </row>
    <row r="110">
      <c r="A110" s="3" t="str">
        <f>IFERROR(__xludf.DUMMYFUNCTION("""COMPUTED_VALUE"""),"Gabon")</f>
        <v>Gabon</v>
      </c>
      <c r="B110" s="3" t="str">
        <f>IFERROR(__xludf.DUMMYFUNCTION("""COMPUTED_VALUE"""),"Libreville")</f>
        <v>Libreville</v>
      </c>
      <c r="C110" s="3"/>
    </row>
    <row r="111">
      <c r="A111" s="3" t="str">
        <f>IFERROR(__xludf.DUMMYFUNCTION("""COMPUTED_VALUE"""),"Malawi")</f>
        <v>Malawi</v>
      </c>
      <c r="B111" s="3" t="str">
        <f>IFERROR(__xludf.DUMMYFUNCTION("""COMPUTED_VALUE"""),"Lilongwe")</f>
        <v>Lilongwe</v>
      </c>
      <c r="C111" s="3"/>
    </row>
    <row r="112">
      <c r="A112" s="3" t="str">
        <f>IFERROR(__xludf.DUMMYFUNCTION("""COMPUTED_VALUE"""),"Pérou")</f>
        <v>Pérou</v>
      </c>
      <c r="B112" s="3" t="str">
        <f>IFERROR(__xludf.DUMMYFUNCTION("""COMPUTED_VALUE"""),"Lima")</f>
        <v>Lima</v>
      </c>
      <c r="C112" s="3" t="str">
        <f>IFERROR(__xludf.DUMMYFUNCTION("""COMPUTED_VALUE"""),"Cuzco est désignée « capitale historique » (*espagnol : Capital Historica*), 
une déclaration symbolique, dans l'article 49 de la constitution (es). 
Arequipa est surnommée « capitale judiciaire » car elle abrite le siège du tribunal 
constitutionnel (es)"&amp;".")</f>
        <v>Cuzco est désignée « capitale historique » (*espagnol : Capital Historica*), 
une déclaration symbolique, dans l'article 49 de la constitution (es). 
Arequipa est surnommée « capitale judiciaire » car elle abrite le siège du tribunal 
constitutionnel (es).</v>
      </c>
    </row>
    <row r="113">
      <c r="A113" s="3" t="str">
        <f>IFERROR(__xludf.DUMMYFUNCTION("""COMPUTED_VALUE"""),"Portugal")</f>
        <v>Portugal</v>
      </c>
      <c r="B113" s="3" t="str">
        <f>IFERROR(__xludf.DUMMYFUNCTION("""COMPUTED_VALUE"""),"Lisbonne")</f>
        <v>Lisbonne</v>
      </c>
      <c r="C113" s="3"/>
    </row>
    <row r="114">
      <c r="A114" s="3" t="str">
        <f>IFERROR(__xludf.DUMMYFUNCTION("""COMPUTED_VALUE"""),"Slovénie")</f>
        <v>Slovénie</v>
      </c>
      <c r="B114" s="3" t="str">
        <f>IFERROR(__xludf.DUMMYFUNCTION("""COMPUTED_VALUE"""),"Ljubljana")</f>
        <v>Ljubljana</v>
      </c>
      <c r="C114" s="3"/>
    </row>
    <row r="115">
      <c r="A115" s="3" t="str">
        <f>IFERROR(__xludf.DUMMYFUNCTION("""COMPUTED_VALUE"""),"Togo")</f>
        <v>Togo</v>
      </c>
      <c r="B115" s="3" t="str">
        <f>IFERROR(__xludf.DUMMYFUNCTION("""COMPUTED_VALUE"""),"Lomé")</f>
        <v>Lomé</v>
      </c>
      <c r="C115" s="3"/>
    </row>
    <row r="116">
      <c r="A116" s="3" t="str">
        <f>IFERROR(__xludf.DUMMYFUNCTION("""COMPUTED_VALUE"""),"Royaume-Uni")</f>
        <v>Royaume-Uni</v>
      </c>
      <c r="B116" s="3" t="str">
        <f>IFERROR(__xludf.DUMMYFUNCTION("""COMPUTED_VALUE"""),"Londres")</f>
        <v>Londres</v>
      </c>
      <c r="C116" s="3" t="str">
        <f>IFERROR(__xludf.DUMMYFUNCTION("""COMPUTED_VALUE"""),"Avant les Actes d'Union de 1707, Londres était la capitale de l'Angleterre 
seulement et Édimbourg la capitale du royaume d'Écosse. 
Le Royaume-Uni comprend l'Angleterre (capitale : Londres), l'Écosse 
(capitale : Édimbourg), le Pays de Galles (capitale "&amp;": Cardiff) et l'Irlande 
du Nord (capitale : Belfast).")</f>
        <v>Avant les Actes d'Union de 1707, Londres était la capitale de l'Angleterre 
seulement et Édimbourg la capitale du royaume d'Écosse. 
Le Royaume-Uni comprend l'Angleterre (capitale : Londres), l'Écosse 
(capitale : Édimbourg), le Pays de Galles (capitale : Cardiff) et l'Irlande 
du Nord (capitale : Belfast).</v>
      </c>
    </row>
    <row r="117">
      <c r="A117" s="3" t="str">
        <f>IFERROR(__xludf.DUMMYFUNCTION("""COMPUTED_VALUE"""),"Angola")</f>
        <v>Angola</v>
      </c>
      <c r="B117" s="3" t="str">
        <f>IFERROR(__xludf.DUMMYFUNCTION("""COMPUTED_VALUE"""),"Luanda")</f>
        <v>Luanda</v>
      </c>
      <c r="C117" s="3"/>
    </row>
    <row r="118">
      <c r="A118" s="3" t="str">
        <f>IFERROR(__xludf.DUMMYFUNCTION("""COMPUTED_VALUE"""),"Zambie")</f>
        <v>Zambie</v>
      </c>
      <c r="B118" s="3" t="str">
        <f>IFERROR(__xludf.DUMMYFUNCTION("""COMPUTED_VALUE"""),"Lusaka")</f>
        <v>Lusaka</v>
      </c>
      <c r="C118" s="3"/>
    </row>
    <row r="119">
      <c r="A119" s="3" t="str">
        <f>IFERROR(__xludf.DUMMYFUNCTION("""COMPUTED_VALUE"""),"Luxembourg")</f>
        <v>Luxembourg</v>
      </c>
      <c r="B119" s="3" t="str">
        <f>IFERROR(__xludf.DUMMYFUNCTION("""COMPUTED_VALUE"""),"Luxembourg")</f>
        <v>Luxembourg</v>
      </c>
      <c r="C119" s="3"/>
    </row>
    <row r="120">
      <c r="A120" s="3" t="str">
        <f>IFERROR(__xludf.DUMMYFUNCTION("""COMPUTED_VALUE"""),"Espagne")</f>
        <v>Espagne</v>
      </c>
      <c r="B120" s="3" t="str">
        <f>IFERROR(__xludf.DUMMYFUNCTION("""COMPUTED_VALUE"""),"Madrid")</f>
        <v>Madrid</v>
      </c>
      <c r="C120" s="3"/>
    </row>
    <row r="121">
      <c r="A121" s="3" t="str">
        <f>IFERROR(__xludf.DUMMYFUNCTION("""COMPUTED_VALUE"""),"Îles Marshall")</f>
        <v>Îles Marshall</v>
      </c>
      <c r="B121" s="3" t="str">
        <f>IFERROR(__xludf.DUMMYFUNCTION("""COMPUTED_VALUE"""),"Majuro (Delap-Uliga-Darrit)")</f>
        <v>Majuro (Delap-Uliga-Darrit)</v>
      </c>
      <c r="C121" s="3" t="str">
        <f>IFERROR(__xludf.DUMMYFUNCTION("""COMPUTED_VALUE"""),"Delap-Uliga-Darrit est la principale localité de l'atoll de Majuro. Majuro 
est une municipalité.")</f>
        <v>Delap-Uliga-Darrit est la principale localité de l'atoll de Majuro. Majuro 
est une municipalité.</v>
      </c>
    </row>
    <row r="122">
      <c r="A122" s="3" t="str">
        <f>IFERROR(__xludf.DUMMYFUNCTION("""COMPUTED_VALUE"""),"Maldives")</f>
        <v>Maldives</v>
      </c>
      <c r="B122" s="3" t="str">
        <f>IFERROR(__xludf.DUMMYFUNCTION("""COMPUTED_VALUE"""),"Malé")</f>
        <v>Malé</v>
      </c>
      <c r="C122" s="3"/>
    </row>
    <row r="123">
      <c r="A123" s="3" t="str">
        <f>IFERROR(__xludf.DUMMYFUNCTION("""COMPUTED_VALUE"""),"Nicaragua")</f>
        <v>Nicaragua</v>
      </c>
      <c r="B123" s="3" t="str">
        <f>IFERROR(__xludf.DUMMYFUNCTION("""COMPUTED_VALUE"""),"Managua")</f>
        <v>Managua</v>
      </c>
      <c r="C123" s="3"/>
    </row>
    <row r="124">
      <c r="A124" s="3" t="str">
        <f>IFERROR(__xludf.DUMMYFUNCTION("""COMPUTED_VALUE"""),"Bahreïn")</f>
        <v>Bahreïn</v>
      </c>
      <c r="B124" s="3" t="str">
        <f>IFERROR(__xludf.DUMMYFUNCTION("""COMPUTED_VALUE"""),"Manama")</f>
        <v>Manama</v>
      </c>
      <c r="C124" s="3"/>
    </row>
    <row r="125">
      <c r="A125" s="3" t="str">
        <f>IFERROR(__xludf.DUMMYFUNCTION("""COMPUTED_VALUE"""),"Philippines")</f>
        <v>Philippines</v>
      </c>
      <c r="B125" s="3" t="str">
        <f>IFERROR(__xludf.DUMMYFUNCTION("""COMPUTED_VALUE"""),"Manille")</f>
        <v>Manille</v>
      </c>
      <c r="C125" s="3"/>
    </row>
    <row r="126">
      <c r="A126" s="3" t="str">
        <f>IFERROR(__xludf.DUMMYFUNCTION("""COMPUTED_VALUE"""),"Mozambique")</f>
        <v>Mozambique</v>
      </c>
      <c r="B126" s="3" t="str">
        <f>IFERROR(__xludf.DUMMYFUNCTION("""COMPUTED_VALUE"""),"Maputo")</f>
        <v>Maputo</v>
      </c>
      <c r="C126" s="3"/>
    </row>
    <row r="127">
      <c r="A127" s="3" t="str">
        <f>IFERROR(__xludf.DUMMYFUNCTION("""COMPUTED_VALUE"""),"Oman")</f>
        <v>Oman</v>
      </c>
      <c r="B127" s="3" t="str">
        <f>IFERROR(__xludf.DUMMYFUNCTION("""COMPUTED_VALUE"""),"Mascate")</f>
        <v>Mascate</v>
      </c>
      <c r="C127" s="3"/>
    </row>
    <row r="128">
      <c r="A128" s="3" t="str">
        <f>IFERROR(__xludf.DUMMYFUNCTION("""COMPUTED_VALUE"""),"Lesotho")</f>
        <v>Lesotho</v>
      </c>
      <c r="B128" s="3" t="str">
        <f>IFERROR(__xludf.DUMMYFUNCTION("""COMPUTED_VALUE"""),"Maseru")</f>
        <v>Maseru</v>
      </c>
      <c r="C128" s="3"/>
    </row>
    <row r="129">
      <c r="A129" s="3" t="str">
        <f>IFERROR(__xludf.DUMMYFUNCTION("""COMPUTED_VALUE"""),"Eswatini")</f>
        <v>Eswatini</v>
      </c>
      <c r="B129" s="3" t="str">
        <f>IFERROR(__xludf.DUMMYFUNCTION("""COMPUTED_VALUE"""),"Mbabane")</f>
        <v>Mbabane</v>
      </c>
      <c r="C129" s="3"/>
    </row>
    <row r="130">
      <c r="A130" s="3" t="str">
        <f>IFERROR(__xludf.DUMMYFUNCTION("""COMPUTED_VALUE"""),"Mexique")</f>
        <v>Mexique</v>
      </c>
      <c r="B130" s="3" t="str">
        <f>IFERROR(__xludf.DUMMYFUNCTION("""COMPUTED_VALUE"""),"Mexico")</f>
        <v>Mexico</v>
      </c>
      <c r="C130" s="3"/>
    </row>
    <row r="131">
      <c r="A131" s="3" t="str">
        <f>IFERROR(__xludf.DUMMYFUNCTION("""COMPUTED_VALUE"""),"Biélorussie")</f>
        <v>Biélorussie</v>
      </c>
      <c r="B131" s="3" t="str">
        <f>IFERROR(__xludf.DUMMYFUNCTION("""COMPUTED_VALUE"""),"Minsk")</f>
        <v>Minsk</v>
      </c>
      <c r="C131" s="3"/>
    </row>
    <row r="132">
      <c r="A132" s="3" t="str">
        <f>IFERROR(__xludf.DUMMYFUNCTION("""COMPUTED_VALUE"""),"Somalie")</f>
        <v>Somalie</v>
      </c>
      <c r="B132" s="3" t="str">
        <f>IFERROR(__xludf.DUMMYFUNCTION("""COMPUTED_VALUE"""),"Mogadiscio")</f>
        <v>Mogadiscio</v>
      </c>
      <c r="C132" s="3"/>
    </row>
    <row r="133">
      <c r="A133" s="3" t="str">
        <f>IFERROR(__xludf.DUMMYFUNCTION("""COMPUTED_VALUE"""),"Monaco")</f>
        <v>Monaco</v>
      </c>
      <c r="B133" s="3" t="str">
        <f>IFERROR(__xludf.DUMMYFUNCTION("""COMPUTED_VALUE"""),"Monaco")</f>
        <v>Monaco</v>
      </c>
      <c r="C133" s="3" t="str">
        <f>IFERROR(__xludf.DUMMYFUNCTION("""COMPUTED_VALUE"""),"Cité-État : le pays est sa propre capitale.")</f>
        <v>Cité-État : le pays est sa propre capitale.</v>
      </c>
    </row>
    <row r="134">
      <c r="A134" s="3" t="str">
        <f>IFERROR(__xludf.DUMMYFUNCTION("""COMPUTED_VALUE"""),"Liberia")</f>
        <v>Liberia</v>
      </c>
      <c r="B134" s="3" t="str">
        <f>IFERROR(__xludf.DUMMYFUNCTION("""COMPUTED_VALUE"""),"Monrovia")</f>
        <v>Monrovia</v>
      </c>
      <c r="C134" s="3"/>
    </row>
    <row r="135">
      <c r="A135" s="3" t="str">
        <f>IFERROR(__xludf.DUMMYFUNCTION("""COMPUTED_VALUE"""),"Uruguay")</f>
        <v>Uruguay</v>
      </c>
      <c r="B135" s="3" t="str">
        <f>IFERROR(__xludf.DUMMYFUNCTION("""COMPUTED_VALUE"""),"Montevideo")</f>
        <v>Montevideo</v>
      </c>
      <c r="C135" s="3"/>
    </row>
    <row r="136">
      <c r="A136" s="3" t="str">
        <f>IFERROR(__xludf.DUMMYFUNCTION("""COMPUTED_VALUE"""),"Comores")</f>
        <v>Comores</v>
      </c>
      <c r="B136" s="3" t="str">
        <f>IFERROR(__xludf.DUMMYFUNCTION("""COMPUTED_VALUE"""),"Moroni")</f>
        <v>Moroni</v>
      </c>
      <c r="C136" s="3"/>
    </row>
    <row r="137">
      <c r="A137" s="3" t="str">
        <f>IFERROR(__xludf.DUMMYFUNCTION("""COMPUTED_VALUE"""),"Russie")</f>
        <v>Russie</v>
      </c>
      <c r="B137" s="3" t="str">
        <f>IFERROR(__xludf.DUMMYFUNCTION("""COMPUTED_VALUE"""),"Moscou")</f>
        <v>Moscou</v>
      </c>
      <c r="C137" s="3"/>
    </row>
    <row r="138">
      <c r="A138" s="3" t="str">
        <f>IFERROR(__xludf.DUMMYFUNCTION("""COMPUTED_VALUE"""),"Kenya")</f>
        <v>Kenya</v>
      </c>
      <c r="B138" s="3" t="str">
        <f>IFERROR(__xludf.DUMMYFUNCTION("""COMPUTED_VALUE"""),"Nairobi")</f>
        <v>Nairobi</v>
      </c>
      <c r="C138" s="3"/>
    </row>
    <row r="139">
      <c r="A139" s="3" t="str">
        <f>IFERROR(__xludf.DUMMYFUNCTION("""COMPUTED_VALUE"""),"Bahamas")</f>
        <v>Bahamas</v>
      </c>
      <c r="B139" s="3" t="str">
        <f>IFERROR(__xludf.DUMMYFUNCTION("""COMPUTED_VALUE"""),"Nassau")</f>
        <v>Nassau</v>
      </c>
      <c r="C139" s="3"/>
    </row>
    <row r="140">
      <c r="A140" s="3" t="str">
        <f>IFERROR(__xludf.DUMMYFUNCTION("""COMPUTED_VALUE"""),"Birmanie")</f>
        <v>Birmanie</v>
      </c>
      <c r="B140" s="3" t="str">
        <f>IFERROR(__xludf.DUMMYFUNCTION("""COMPUTED_VALUE"""),"Naypyidaw")</f>
        <v>Naypyidaw</v>
      </c>
      <c r="C140" s="3" t="str">
        <f>IFERROR(__xludf.DUMMYFUNCTION("""COMPUTED_VALUE"""),"Naypyidaw est la capitale officielle en replacement de Rangoun depuis le 7 
novembre 2005[note 2]")</f>
        <v>Naypyidaw est la capitale officielle en replacement de Rangoun depuis le 7 
novembre 2005[note 2]</v>
      </c>
    </row>
    <row r="141">
      <c r="A141" s="3" t="str">
        <f>IFERROR(__xludf.DUMMYFUNCTION("""COMPUTED_VALUE"""),"Tchad")</f>
        <v>Tchad</v>
      </c>
      <c r="B141" s="3" t="str">
        <f>IFERROR(__xludf.DUMMYFUNCTION("""COMPUTED_VALUE"""),"N'Djaména")</f>
        <v>N'Djaména</v>
      </c>
      <c r="C141" s="3"/>
    </row>
    <row r="142">
      <c r="A142" s="3" t="str">
        <f>IFERROR(__xludf.DUMMYFUNCTION("""COMPUTED_VALUE"""),"Inde")</f>
        <v>Inde</v>
      </c>
      <c r="B142" s="3" t="str">
        <f>IFERROR(__xludf.DUMMYFUNCTION("""COMPUTED_VALUE"""),"New Delhi")</f>
        <v>New Delhi</v>
      </c>
      <c r="C142" s="3"/>
    </row>
    <row r="143">
      <c r="A143" s="3" t="str">
        <f>IFERROR(__xludf.DUMMYFUNCTION("""COMPUTED_VALUE"""),"Niger")</f>
        <v>Niger</v>
      </c>
      <c r="B143" s="3" t="str">
        <f>IFERROR(__xludf.DUMMYFUNCTION("""COMPUTED_VALUE"""),"Niamey")</f>
        <v>Niamey</v>
      </c>
      <c r="C143" s="3"/>
    </row>
    <row r="144">
      <c r="A144" s="3" t="str">
        <f>IFERROR(__xludf.DUMMYFUNCTION("""COMPUTED_VALUE"""),"Chypre")</f>
        <v>Chypre</v>
      </c>
      <c r="B144" s="3" t="str">
        <f>IFERROR(__xludf.DUMMYFUNCTION("""COMPUTED_VALUE"""),"Nicosie")</f>
        <v>Nicosie</v>
      </c>
      <c r="C144" s="3"/>
    </row>
    <row r="145">
      <c r="A145" s="3" t="str">
        <f>IFERROR(__xludf.DUMMYFUNCTION("""COMPUTED_VALUE"""),"Mauritanie")</f>
        <v>Mauritanie</v>
      </c>
      <c r="B145" s="3" t="str">
        <f>IFERROR(__xludf.DUMMYFUNCTION("""COMPUTED_VALUE"""),"Nouakchott")</f>
        <v>Nouakchott</v>
      </c>
      <c r="C145" s="3"/>
    </row>
    <row r="146">
      <c r="A146" s="3" t="str">
        <f>IFERROR(__xludf.DUMMYFUNCTION("""COMPUTED_VALUE"""),"Tonga")</f>
        <v>Tonga</v>
      </c>
      <c r="B146" s="3" t="str">
        <f>IFERROR(__xludf.DUMMYFUNCTION("""COMPUTED_VALUE"""),"Nukuʻalofa")</f>
        <v>Nukuʻalofa</v>
      </c>
      <c r="C146" s="3"/>
    </row>
    <row r="147">
      <c r="A147" s="3" t="str">
        <f>IFERROR(__xludf.DUMMYFUNCTION("""COMPUTED_VALUE"""),"Norvège")</f>
        <v>Norvège</v>
      </c>
      <c r="B147" s="3" t="str">
        <f>IFERROR(__xludf.DUMMYFUNCTION("""COMPUTED_VALUE"""),"Oslo")</f>
        <v>Oslo</v>
      </c>
      <c r="C147" s="3"/>
    </row>
    <row r="148">
      <c r="A148" s="3" t="str">
        <f>IFERROR(__xludf.DUMMYFUNCTION("""COMPUTED_VALUE"""),"Canada")</f>
        <v>Canada</v>
      </c>
      <c r="B148" s="3" t="str">
        <f>IFERROR(__xludf.DUMMYFUNCTION("""COMPUTED_VALUE"""),"Ottawa")</f>
        <v>Ottawa</v>
      </c>
      <c r="C148" s="3"/>
    </row>
    <row r="149">
      <c r="A149" s="3" t="str">
        <f>IFERROR(__xludf.DUMMYFUNCTION("""COMPUTED_VALUE"""),"Burkina Faso")</f>
        <v>Burkina Faso</v>
      </c>
      <c r="B149" s="3" t="str">
        <f>IFERROR(__xludf.DUMMYFUNCTION("""COMPUTED_VALUE"""),"Ouagadougou")</f>
        <v>Ouagadougou</v>
      </c>
      <c r="C149" s="3"/>
    </row>
    <row r="150">
      <c r="A150" s="3" t="str">
        <f>IFERROR(__xludf.DUMMYFUNCTION("""COMPUTED_VALUE"""),"Mongolie")</f>
        <v>Mongolie</v>
      </c>
      <c r="B150" s="3" t="str">
        <f>IFERROR(__xludf.DUMMYFUNCTION("""COMPUTED_VALUE"""),"Oulan-Bator")</f>
        <v>Oulan-Bator</v>
      </c>
      <c r="C150" s="3"/>
    </row>
    <row r="151">
      <c r="A151" s="3" t="str">
        <f>IFERROR(__xludf.DUMMYFUNCTION("""COMPUTED_VALUE"""),"États fédérés de Micronésie")</f>
        <v>États fédérés de Micronésie</v>
      </c>
      <c r="B151" s="3" t="str">
        <f>IFERROR(__xludf.DUMMYFUNCTION("""COMPUTED_VALUE"""),"Palikir")</f>
        <v>Palikir</v>
      </c>
      <c r="C151" s="3" t="str">
        <f>IFERROR(__xludf.DUMMYFUNCTION("""COMPUTED_VALUE"""),"Kolonia était la capitale jusqu'en 1989 ; les ambassades d'Australie, Chine, 
États-Unis et Japon y sont toujours situées.")</f>
        <v>Kolonia était la capitale jusqu'en 1989 ; les ambassades d'Australie, Chine, 
États-Unis et Japon y sont toujours situées.</v>
      </c>
    </row>
    <row r="152">
      <c r="A152" s="3" t="str">
        <f>IFERROR(__xludf.DUMMYFUNCTION("""COMPUTED_VALUE"""),"Panama")</f>
        <v>Panama</v>
      </c>
      <c r="B152" s="3" t="str">
        <f>IFERROR(__xludf.DUMMYFUNCTION("""COMPUTED_VALUE"""),"Panama")</f>
        <v>Panama</v>
      </c>
      <c r="C152" s="3"/>
    </row>
    <row r="153">
      <c r="A153" s="3" t="str">
        <f>IFERROR(__xludf.DUMMYFUNCTION("""COMPUTED_VALUE"""),"Suriname")</f>
        <v>Suriname</v>
      </c>
      <c r="B153" s="3" t="str">
        <f>IFERROR(__xludf.DUMMYFUNCTION("""COMPUTED_VALUE"""),"Paramaribo")</f>
        <v>Paramaribo</v>
      </c>
      <c r="C153" s="3"/>
    </row>
    <row r="154">
      <c r="A154" s="3" t="str">
        <f>IFERROR(__xludf.DUMMYFUNCTION("""COMPUTED_VALUE"""),"France")</f>
        <v>France</v>
      </c>
      <c r="B154" s="3" t="str">
        <f>IFERROR(__xludf.DUMMYFUNCTION("""COMPUTED_VALUE"""),"Paris")</f>
        <v>Paris</v>
      </c>
      <c r="C154" s="3"/>
    </row>
    <row r="155">
      <c r="A155" s="3" t="str">
        <f>IFERROR(__xludf.DUMMYFUNCTION("""COMPUTED_VALUE"""),"Bolivie")</f>
        <v>Bolivie</v>
      </c>
      <c r="B155" s="3" t="str">
        <f>IFERROR(__xludf.DUMMYFUNCTION("""COMPUTED_VALUE"""),"La Paz(gouvernement et ambassades)")</f>
        <v>La Paz(gouvernement et ambassades)</v>
      </c>
      <c r="C155" s="3" t="str">
        <f>IFERROR(__xludf.DUMMYFUNCTION("""COMPUTED_VALUE"""),"Sucre est la capitale constitutionnelle, La Paz est le siège du 
gouvernement et des ambassades.")</f>
        <v>Sucre est la capitale constitutionnelle, La Paz est le siège du 
gouvernement et des ambassades.</v>
      </c>
    </row>
    <row r="156">
      <c r="A156" s="3"/>
      <c r="B156" s="3" t="str">
        <f>IFERROR(__xludf.DUMMYFUNCTION("""COMPUTED_VALUE"""),"Sucre(constitutionnelle)")</f>
        <v>Sucre(constitutionnelle)</v>
      </c>
      <c r="C156" s="3"/>
    </row>
    <row r="157">
      <c r="A157" s="3" t="str">
        <f>IFERROR(__xludf.DUMMYFUNCTION("""COMPUTED_VALUE"""),"Chine")</f>
        <v>Chine</v>
      </c>
      <c r="B157" s="3" t="str">
        <f>IFERROR(__xludf.DUMMYFUNCTION("""COMPUTED_VALUE"""),"Pékin")</f>
        <v>Pékin</v>
      </c>
      <c r="C157" s="3"/>
    </row>
    <row r="158">
      <c r="A158" s="3" t="str">
        <f>IFERROR(__xludf.DUMMYFUNCTION("""COMPUTED_VALUE"""),"Cambodge")</f>
        <v>Cambodge</v>
      </c>
      <c r="B158" s="3" t="str">
        <f>IFERROR(__xludf.DUMMYFUNCTION("""COMPUTED_VALUE"""),"Phnom Penh")</f>
        <v>Phnom Penh</v>
      </c>
      <c r="C158" s="3"/>
    </row>
    <row r="159">
      <c r="A159" s="3" t="str">
        <f>IFERROR(__xludf.DUMMYFUNCTION("""COMPUTED_VALUE"""),"Papouasie-Nouvelle-Guinée")</f>
        <v>Papouasie-Nouvelle-Guinée</v>
      </c>
      <c r="B159" s="3" t="str">
        <f>IFERROR(__xludf.DUMMYFUNCTION("""COMPUTED_VALUE"""),"Port Moresby")</f>
        <v>Port Moresby</v>
      </c>
      <c r="C159" s="3"/>
    </row>
    <row r="160">
      <c r="A160" s="3" t="str">
        <f>IFERROR(__xludf.DUMMYFUNCTION("""COMPUTED_VALUE"""),"Haïti")</f>
        <v>Haïti</v>
      </c>
      <c r="B160" s="3" t="str">
        <f>IFERROR(__xludf.DUMMYFUNCTION("""COMPUTED_VALUE"""),"Port-au-Prince")</f>
        <v>Port-au-Prince</v>
      </c>
      <c r="C160" s="3"/>
    </row>
    <row r="161">
      <c r="A161" s="3" t="str">
        <f>IFERROR(__xludf.DUMMYFUNCTION("""COMPUTED_VALUE"""),"Trinité-et-Tobago")</f>
        <v>Trinité-et-Tobago</v>
      </c>
      <c r="B161" s="3" t="str">
        <f>IFERROR(__xludf.DUMMYFUNCTION("""COMPUTED_VALUE"""),"Port-d'Espagne")</f>
        <v>Port-d'Espagne</v>
      </c>
      <c r="C161" s="3"/>
    </row>
    <row r="162">
      <c r="A162" s="3" t="str">
        <f>IFERROR(__xludf.DUMMYFUNCTION("""COMPUTED_VALUE"""),"Maurice")</f>
        <v>Maurice</v>
      </c>
      <c r="B162" s="3" t="str">
        <f>IFERROR(__xludf.DUMMYFUNCTION("""COMPUTED_VALUE"""),"Port-Louis")</f>
        <v>Port-Louis</v>
      </c>
      <c r="C162" s="3"/>
    </row>
    <row r="163">
      <c r="A163" s="3" t="str">
        <f>IFERROR(__xludf.DUMMYFUNCTION("""COMPUTED_VALUE"""),"Vanuatu")</f>
        <v>Vanuatu</v>
      </c>
      <c r="B163" s="3" t="str">
        <f>IFERROR(__xludf.DUMMYFUNCTION("""COMPUTED_VALUE"""),"Port-Vila")</f>
        <v>Port-Vila</v>
      </c>
      <c r="C163" s="3"/>
    </row>
    <row r="164">
      <c r="A164" s="3" t="str">
        <f>IFERROR(__xludf.DUMMYFUNCTION("""COMPUTED_VALUE"""),"République tchèque")</f>
        <v>République tchèque</v>
      </c>
      <c r="B164" s="3" t="str">
        <f>IFERROR(__xludf.DUMMYFUNCTION("""COMPUTED_VALUE"""),"Prague")</f>
        <v>Prague</v>
      </c>
      <c r="C164" s="3"/>
    </row>
    <row r="165">
      <c r="A165" s="3" t="str">
        <f>IFERROR(__xludf.DUMMYFUNCTION("""COMPUTED_VALUE"""),"Cap-Vert")</f>
        <v>Cap-Vert</v>
      </c>
      <c r="B165" s="3" t="str">
        <f>IFERROR(__xludf.DUMMYFUNCTION("""COMPUTED_VALUE"""),"Praia")</f>
        <v>Praia</v>
      </c>
      <c r="C165" s="3"/>
    </row>
    <row r="166">
      <c r="A166" s="3" t="str">
        <f>IFERROR(__xludf.DUMMYFUNCTION("""COMPUTED_VALUE"""),"Corée du Nord")</f>
        <v>Corée du Nord</v>
      </c>
      <c r="B166" s="3" t="str">
        <f>IFERROR(__xludf.DUMMYFUNCTION("""COMPUTED_VALUE"""),"Pyongyang")</f>
        <v>Pyongyang</v>
      </c>
      <c r="C166" s="3"/>
    </row>
    <row r="167">
      <c r="A167" s="3" t="str">
        <f>IFERROR(__xludf.DUMMYFUNCTION("""COMPUTED_VALUE"""),"Équateur")</f>
        <v>Équateur</v>
      </c>
      <c r="B167" s="3" t="str">
        <f>IFERROR(__xludf.DUMMYFUNCTION("""COMPUTED_VALUE"""),"Quito")</f>
        <v>Quito</v>
      </c>
      <c r="C167" s="3"/>
    </row>
    <row r="168">
      <c r="A168" s="3" t="str">
        <f>IFERROR(__xludf.DUMMYFUNCTION("""COMPUTED_VALUE"""),"Maroc")</f>
        <v>Maroc</v>
      </c>
      <c r="B168" s="3" t="str">
        <f>IFERROR(__xludf.DUMMYFUNCTION("""COMPUTED_VALUE"""),"Rabat")</f>
        <v>Rabat</v>
      </c>
      <c r="C168" s="3"/>
    </row>
    <row r="169">
      <c r="A169" s="3" t="str">
        <f>IFERROR(__xludf.DUMMYFUNCTION("""COMPUTED_VALUE"""),"Islande")</f>
        <v>Islande</v>
      </c>
      <c r="B169" s="3" t="str">
        <f>IFERROR(__xludf.DUMMYFUNCTION("""COMPUTED_VALUE"""),"Reykjavik")</f>
        <v>Reykjavik</v>
      </c>
      <c r="C169" s="3"/>
    </row>
    <row r="170">
      <c r="A170" s="3" t="str">
        <f>IFERROR(__xludf.DUMMYFUNCTION("""COMPUTED_VALUE"""),"Lettonie")</f>
        <v>Lettonie</v>
      </c>
      <c r="B170" s="3" t="str">
        <f>IFERROR(__xludf.DUMMYFUNCTION("""COMPUTED_VALUE"""),"Riga")</f>
        <v>Riga</v>
      </c>
      <c r="C170" s="3"/>
    </row>
    <row r="171">
      <c r="A171" s="3" t="str">
        <f>IFERROR(__xludf.DUMMYFUNCTION("""COMPUTED_VALUE"""),"Arabie saoudite")</f>
        <v>Arabie saoudite</v>
      </c>
      <c r="B171" s="3" t="str">
        <f>IFERROR(__xludf.DUMMYFUNCTION("""COMPUTED_VALUE"""),"Riyad")</f>
        <v>Riyad</v>
      </c>
      <c r="C171" s="3"/>
    </row>
    <row r="172">
      <c r="A172" s="3" t="str">
        <f>IFERROR(__xludf.DUMMYFUNCTION("""COMPUTED_VALUE"""),"Italie")</f>
        <v>Italie</v>
      </c>
      <c r="B172" s="3" t="str">
        <f>IFERROR(__xludf.DUMMYFUNCTION("""COMPUTED_VALUE"""),"Rome")</f>
        <v>Rome</v>
      </c>
      <c r="C172" s="3"/>
    </row>
    <row r="173">
      <c r="A173" s="3" t="str">
        <f>IFERROR(__xludf.DUMMYFUNCTION("""COMPUTED_VALUE"""),"Dominique")</f>
        <v>Dominique</v>
      </c>
      <c r="B173" s="3" t="str">
        <f>IFERROR(__xludf.DUMMYFUNCTION("""COMPUTED_VALUE"""),"Roseau")</f>
        <v>Roseau</v>
      </c>
      <c r="C173" s="3"/>
    </row>
    <row r="174">
      <c r="A174" s="3" t="str">
        <f>IFERROR(__xludf.DUMMYFUNCTION("""COMPUTED_VALUE"""),"Antigua-et-Barbuda")</f>
        <v>Antigua-et-Barbuda</v>
      </c>
      <c r="B174" s="3" t="str">
        <f>IFERROR(__xludf.DUMMYFUNCTION("""COMPUTED_VALUE"""),"Saint John's")</f>
        <v>Saint John's</v>
      </c>
      <c r="C174" s="3"/>
    </row>
    <row r="175">
      <c r="A175" s="3" t="str">
        <f>IFERROR(__xludf.DUMMYFUNCTION("""COMPUTED_VALUE"""),"République dominicaine")</f>
        <v>République dominicaine</v>
      </c>
      <c r="B175" s="3" t="str">
        <f>IFERROR(__xludf.DUMMYFUNCTION("""COMPUTED_VALUE"""),"Saint-Domingue")</f>
        <v>Saint-Domingue</v>
      </c>
      <c r="C175" s="3"/>
    </row>
    <row r="176">
      <c r="A176" s="3" t="str">
        <f>IFERROR(__xludf.DUMMYFUNCTION("""COMPUTED_VALUE"""),"Grenade")</f>
        <v>Grenade</v>
      </c>
      <c r="B176" s="3" t="str">
        <f>IFERROR(__xludf.DUMMYFUNCTION("""COMPUTED_VALUE"""),"Saint-Georges")</f>
        <v>Saint-Georges</v>
      </c>
      <c r="C176" s="3"/>
    </row>
    <row r="177">
      <c r="A177" s="3" t="str">
        <f>IFERROR(__xludf.DUMMYFUNCTION("""COMPUTED_VALUE"""),"Saint-Marin")</f>
        <v>Saint-Marin</v>
      </c>
      <c r="B177" s="3" t="str">
        <f>IFERROR(__xludf.DUMMYFUNCTION("""COMPUTED_VALUE"""),"Saint-Marin")</f>
        <v>Saint-Marin</v>
      </c>
      <c r="C177" s="3"/>
    </row>
    <row r="178">
      <c r="A178" s="3" t="str">
        <f>IFERROR(__xludf.DUMMYFUNCTION("""COMPUTED_VALUE"""),"Costa Rica")</f>
        <v>Costa Rica</v>
      </c>
      <c r="B178" s="3" t="str">
        <f>IFERROR(__xludf.DUMMYFUNCTION("""COMPUTED_VALUE"""),"San José")</f>
        <v>San José</v>
      </c>
      <c r="C178" s="3"/>
    </row>
    <row r="179">
      <c r="A179" s="3" t="str">
        <f>IFERROR(__xludf.DUMMYFUNCTION("""COMPUTED_VALUE"""),"Salvador")</f>
        <v>Salvador</v>
      </c>
      <c r="B179" s="3" t="str">
        <f>IFERROR(__xludf.DUMMYFUNCTION("""COMPUTED_VALUE"""),"San Salvador")</f>
        <v>San Salvador</v>
      </c>
      <c r="C179" s="3"/>
    </row>
    <row r="180">
      <c r="A180" s="3" t="str">
        <f>IFERROR(__xludf.DUMMYFUNCTION("""COMPUTED_VALUE"""),"Chili")</f>
        <v>Chili</v>
      </c>
      <c r="B180" s="3" t="str">
        <f>IFERROR(__xludf.DUMMYFUNCTION("""COMPUTED_VALUE"""),"Santiago(officielle)")</f>
        <v>Santiago(officielle)</v>
      </c>
      <c r="C180" s="3" t="str">
        <f>IFERROR(__xludf.DUMMYFUNCTION("""COMPUTED_VALUE"""),"Le Congrès national est situé à Valparaíso, le reste des institutions à 
Santiago.")</f>
        <v>Le Congrès national est situé à Valparaíso, le reste des institutions à 
Santiago.</v>
      </c>
    </row>
    <row r="181">
      <c r="A181" s="3"/>
      <c r="B181" s="3" t="str">
        <f>IFERROR(__xludf.DUMMYFUNCTION("""COMPUTED_VALUE"""),"Valparaíso(législative)")</f>
        <v>Valparaíso(législative)</v>
      </c>
      <c r="C181" s="3"/>
    </row>
    <row r="182">
      <c r="A182" s="3" t="str">
        <f>IFERROR(__xludf.DUMMYFUNCTION("""COMPUTED_VALUE"""),"Sao Tomé-et-Principe")</f>
        <v>Sao Tomé-et-Principe</v>
      </c>
      <c r="B182" s="3" t="str">
        <f>IFERROR(__xludf.DUMMYFUNCTION("""COMPUTED_VALUE"""),"São Tomé")</f>
        <v>São Tomé</v>
      </c>
      <c r="C182" s="3"/>
    </row>
    <row r="183">
      <c r="A183" s="3" t="str">
        <f>IFERROR(__xludf.DUMMYFUNCTION("""COMPUTED_VALUE"""),"Bosnie-Herzégovine")</f>
        <v>Bosnie-Herzégovine</v>
      </c>
      <c r="B183" s="3" t="str">
        <f>IFERROR(__xludf.DUMMYFUNCTION("""COMPUTED_VALUE"""),"Sarajevo")</f>
        <v>Sarajevo</v>
      </c>
      <c r="C183" s="3"/>
    </row>
    <row r="184">
      <c r="A184" s="3" t="str">
        <f>IFERROR(__xludf.DUMMYFUNCTION("""COMPUTED_VALUE"""),"Corée du Sud")</f>
        <v>Corée du Sud</v>
      </c>
      <c r="B184" s="3" t="str">
        <f>IFERROR(__xludf.DUMMYFUNCTION("""COMPUTED_VALUE"""),"Sejong(*de facto*)")</f>
        <v>Sejong(*de facto*)</v>
      </c>
      <c r="C184" s="3" t="str">
        <f>IFERROR(__xludf.DUMMYFUNCTION("""COMPUTED_VALUE"""),"Certaines fonctions gouvernementales ont été transférées à Sejong en 2012 ; 
Séoul héberge néanmoins la quasi-totalité des institutions.")</f>
        <v>Certaines fonctions gouvernementales ont été transférées à Sejong en 2012 ; 
Séoul héberge néanmoins la quasi-totalité des institutions.</v>
      </c>
    </row>
    <row r="185">
      <c r="A185" s="3"/>
      <c r="B185" s="3" t="str">
        <f>IFERROR(__xludf.DUMMYFUNCTION("""COMPUTED_VALUE"""),"Séoul")</f>
        <v>Séoul</v>
      </c>
      <c r="C185" s="3"/>
    </row>
    <row r="186">
      <c r="A186" s="3" t="str">
        <f>IFERROR(__xludf.DUMMYFUNCTION("""COMPUTED_VALUE"""),"Singapour")</f>
        <v>Singapour</v>
      </c>
      <c r="B186" s="3" t="str">
        <f>IFERROR(__xludf.DUMMYFUNCTION("""COMPUTED_VALUE"""),"Singapour")</f>
        <v>Singapour</v>
      </c>
      <c r="C186" s="3" t="str">
        <f>IFERROR(__xludf.DUMMYFUNCTION("""COMPUTED_VALUE"""),"Cité-État : le pays est sa propre capitale.")</f>
        <v>Cité-État : le pays est sa propre capitale.</v>
      </c>
    </row>
    <row r="187">
      <c r="A187" s="3" t="str">
        <f>IFERROR(__xludf.DUMMYFUNCTION("""COMPUTED_VALUE"""),"Macédoine du Nord")</f>
        <v>Macédoine du Nord</v>
      </c>
      <c r="B187" s="3" t="str">
        <f>IFERROR(__xludf.DUMMYFUNCTION("""COMPUTED_VALUE"""),"Skopje")</f>
        <v>Skopje</v>
      </c>
      <c r="C187" s="3"/>
    </row>
    <row r="188">
      <c r="A188" s="3" t="str">
        <f>IFERROR(__xludf.DUMMYFUNCTION("""COMPUTED_VALUE"""),"Bulgarie")</f>
        <v>Bulgarie</v>
      </c>
      <c r="B188" s="3" t="str">
        <f>IFERROR(__xludf.DUMMYFUNCTION("""COMPUTED_VALUE"""),"Sofia")</f>
        <v>Sofia</v>
      </c>
      <c r="C188" s="3"/>
    </row>
    <row r="189">
      <c r="A189" s="3" t="str">
        <f>IFERROR(__xludf.DUMMYFUNCTION("""COMPUTED_VALUE"""),"Suède")</f>
        <v>Suède</v>
      </c>
      <c r="B189" s="3" t="str">
        <f>IFERROR(__xludf.DUMMYFUNCTION("""COMPUTED_VALUE"""),"Stockholm")</f>
        <v>Stockholm</v>
      </c>
      <c r="C189" s="3"/>
    </row>
    <row r="190">
      <c r="A190" s="3" t="str">
        <f>IFERROR(__xludf.DUMMYFUNCTION("""COMPUTED_VALUE"""),"Fidji")</f>
        <v>Fidji</v>
      </c>
      <c r="B190" s="3" t="str">
        <f>IFERROR(__xludf.DUMMYFUNCTION("""COMPUTED_VALUE"""),"Suva")</f>
        <v>Suva</v>
      </c>
      <c r="C190" s="3"/>
    </row>
    <row r="191">
      <c r="A191" s="3" t="str">
        <f>IFERROR(__xludf.DUMMYFUNCTION("""COMPUTED_VALUE"""),"Ouzbékistan")</f>
        <v>Ouzbékistan</v>
      </c>
      <c r="B191" s="3" t="str">
        <f>IFERROR(__xludf.DUMMYFUNCTION("""COMPUTED_VALUE"""),"Tachkent")</f>
        <v>Tachkent</v>
      </c>
      <c r="C191" s="3"/>
    </row>
    <row r="192">
      <c r="A192" s="3" t="str">
        <f>IFERROR(__xludf.DUMMYFUNCTION("""COMPUTED_VALUE"""),"Estonie")</f>
        <v>Estonie</v>
      </c>
      <c r="B192" s="3" t="str">
        <f>IFERROR(__xludf.DUMMYFUNCTION("""COMPUTED_VALUE"""),"Tallinn")</f>
        <v>Tallinn</v>
      </c>
      <c r="C192" s="3"/>
    </row>
    <row r="193">
      <c r="A193" s="3" t="str">
        <f>IFERROR(__xludf.DUMMYFUNCTION("""COMPUTED_VALUE"""),"Kiribati")</f>
        <v>Kiribati</v>
      </c>
      <c r="B193" s="3" t="str">
        <f>IFERROR(__xludf.DUMMYFUNCTION("""COMPUTED_VALUE"""),"Tarawa-Sud")</f>
        <v>Tarawa-Sud</v>
      </c>
      <c r="C193" s="3" t="str">
        <f>IFERROR(__xludf.DUMMYFUNCTION("""COMPUTED_VALUE"""),"Tarawa-Sud est une communauté urbaine de l'atoll de Tarawa. Bairiki, un 
lieu-dit de Tarawa-Sud, accueille de nombreuses institutions et ambassades.")</f>
        <v>Tarawa-Sud est une communauté urbaine de l'atoll de Tarawa. Bairiki, un 
lieu-dit de Tarawa-Sud, accueille de nombreuses institutions et ambassades.</v>
      </c>
    </row>
    <row r="194">
      <c r="A194" s="3" t="str">
        <f>IFERROR(__xludf.DUMMYFUNCTION("""COMPUTED_VALUE"""),"Géorgie")</f>
        <v>Géorgie</v>
      </c>
      <c r="B194" s="3" t="str">
        <f>IFERROR(__xludf.DUMMYFUNCTION("""COMPUTED_VALUE"""),"Tbilissi")</f>
        <v>Tbilissi</v>
      </c>
      <c r="C194" s="3"/>
    </row>
    <row r="195">
      <c r="A195" s="3" t="str">
        <f>IFERROR(__xludf.DUMMYFUNCTION("""COMPUTED_VALUE"""),"Iran")</f>
        <v>Iran</v>
      </c>
      <c r="B195" s="3" t="str">
        <f>IFERROR(__xludf.DUMMYFUNCTION("""COMPUTED_VALUE"""),"Téhéran")</f>
        <v>Téhéran</v>
      </c>
      <c r="C195" s="3"/>
    </row>
    <row r="196">
      <c r="A196" s="3" t="str">
        <f>IFERROR(__xludf.DUMMYFUNCTION("""COMPUTED_VALUE"""),"Bhoutan")</f>
        <v>Bhoutan</v>
      </c>
      <c r="B196" s="3" t="str">
        <f>IFERROR(__xludf.DUMMYFUNCTION("""COMPUTED_VALUE"""),"Thimphou")</f>
        <v>Thimphou</v>
      </c>
      <c r="C196" s="3"/>
    </row>
    <row r="197">
      <c r="A197" s="3" t="str">
        <f>IFERROR(__xludf.DUMMYFUNCTION("""COMPUTED_VALUE"""),"Albanie")</f>
        <v>Albanie</v>
      </c>
      <c r="B197" s="3" t="str">
        <f>IFERROR(__xludf.DUMMYFUNCTION("""COMPUTED_VALUE"""),"Tirana")</f>
        <v>Tirana</v>
      </c>
      <c r="C197" s="3"/>
    </row>
    <row r="198">
      <c r="A198" s="3" t="str">
        <f>IFERROR(__xludf.DUMMYFUNCTION("""COMPUTED_VALUE"""),"Japon")</f>
        <v>Japon</v>
      </c>
      <c r="B198" s="3" t="str">
        <f>IFERROR(__xludf.DUMMYFUNCTION("""COMPUTED_VALUE"""),"Tokyo")</f>
        <v>Tokyo</v>
      </c>
      <c r="C198" s="3"/>
    </row>
    <row r="199">
      <c r="A199" s="3" t="str">
        <f>IFERROR(__xludf.DUMMYFUNCTION("""COMPUTED_VALUE"""),"Libye")</f>
        <v>Libye</v>
      </c>
      <c r="B199" s="3" t="str">
        <f>IFERROR(__xludf.DUMMYFUNCTION("""COMPUTED_VALUE"""),"Tripoli")</f>
        <v>Tripoli</v>
      </c>
      <c r="C199" s="3"/>
    </row>
    <row r="200">
      <c r="A200" s="3" t="str">
        <f>IFERROR(__xludf.DUMMYFUNCTION("""COMPUTED_VALUE"""),"Tunisie")</f>
        <v>Tunisie</v>
      </c>
      <c r="B200" s="3" t="str">
        <f>IFERROR(__xludf.DUMMYFUNCTION("""COMPUTED_VALUE"""),"Tunis")</f>
        <v>Tunis</v>
      </c>
      <c r="C200" s="3"/>
    </row>
    <row r="201">
      <c r="A201" s="3" t="str">
        <f>IFERROR(__xludf.DUMMYFUNCTION("""COMPUTED_VALUE"""),"Liechtenstein")</f>
        <v>Liechtenstein</v>
      </c>
      <c r="B201" s="3" t="str">
        <f>IFERROR(__xludf.DUMMYFUNCTION("""COMPUTED_VALUE"""),"Vaduz")</f>
        <v>Vaduz</v>
      </c>
      <c r="C201" s="3"/>
    </row>
    <row r="202">
      <c r="A202" s="3" t="str">
        <f>IFERROR(__xludf.DUMMYFUNCTION("""COMPUTED_VALUE"""),"Malte")</f>
        <v>Malte</v>
      </c>
      <c r="B202" s="3" t="str">
        <f>IFERROR(__xludf.DUMMYFUNCTION("""COMPUTED_VALUE"""),"La Valette")</f>
        <v>La Valette</v>
      </c>
      <c r="C202" s="3"/>
    </row>
    <row r="203">
      <c r="A203" s="3" t="str">
        <f>IFERROR(__xludf.DUMMYFUNCTION("""COMPUTED_VALUE"""),"Pologne")</f>
        <v>Pologne</v>
      </c>
      <c r="B203" s="3" t="str">
        <f>IFERROR(__xludf.DUMMYFUNCTION("""COMPUTED_VALUE"""),"Varsovie")</f>
        <v>Varsovie</v>
      </c>
      <c r="C203" s="3"/>
    </row>
    <row r="204">
      <c r="A204" s="3" t="str">
        <f>IFERROR(__xludf.DUMMYFUNCTION("""COMPUTED_VALUE"""),"Vatican[2]")</f>
        <v>Vatican[2]</v>
      </c>
      <c r="B204" s="3" t="str">
        <f>IFERROR(__xludf.DUMMYFUNCTION("""COMPUTED_VALUE"""),"Vatican")</f>
        <v>Vatican</v>
      </c>
      <c r="C204" s="3" t="str">
        <f>IFERROR(__xludf.DUMMYFUNCTION("""COMPUTED_VALUE"""),"Cité-État : le pays est sa propre capitale.")</f>
        <v>Cité-État : le pays est sa propre capitale.</v>
      </c>
    </row>
    <row r="205">
      <c r="A205" s="3" t="str">
        <f>IFERROR(__xludf.DUMMYFUNCTION("""COMPUTED_VALUE"""),"Seychelles")</f>
        <v>Seychelles</v>
      </c>
      <c r="B205" s="3" t="str">
        <f>IFERROR(__xludf.DUMMYFUNCTION("""COMPUTED_VALUE"""),"Victoria")</f>
        <v>Victoria</v>
      </c>
      <c r="C205" s="3"/>
    </row>
    <row r="206">
      <c r="A206" s="3" t="str">
        <f>IFERROR(__xludf.DUMMYFUNCTION("""COMPUTED_VALUE"""),"Autriche")</f>
        <v>Autriche</v>
      </c>
      <c r="B206" s="3" t="str">
        <f>IFERROR(__xludf.DUMMYFUNCTION("""COMPUTED_VALUE"""),"Vienne")</f>
        <v>Vienne</v>
      </c>
      <c r="C206" s="3"/>
    </row>
    <row r="207">
      <c r="A207" s="3" t="str">
        <f>IFERROR(__xludf.DUMMYFUNCTION("""COMPUTED_VALUE"""),"Laos")</f>
        <v>Laos</v>
      </c>
      <c r="B207" s="3" t="str">
        <f>IFERROR(__xludf.DUMMYFUNCTION("""COMPUTED_VALUE"""),"Vientiane")</f>
        <v>Vientiane</v>
      </c>
      <c r="C207" s="3"/>
    </row>
    <row r="208">
      <c r="A208" s="3" t="str">
        <f>IFERROR(__xludf.DUMMYFUNCTION("""COMPUTED_VALUE"""),"Lituanie")</f>
        <v>Lituanie</v>
      </c>
      <c r="B208" s="3" t="str">
        <f>IFERROR(__xludf.DUMMYFUNCTION("""COMPUTED_VALUE"""),"Vilnius")</f>
        <v>Vilnius</v>
      </c>
      <c r="C208" s="3"/>
    </row>
    <row r="209">
      <c r="A209" s="3" t="str">
        <f>IFERROR(__xludf.DUMMYFUNCTION("""COMPUTED_VALUE"""),"États-Unis")</f>
        <v>États-Unis</v>
      </c>
      <c r="B209" s="3" t="str">
        <f>IFERROR(__xludf.DUMMYFUNCTION("""COMPUTED_VALUE"""),"Washington")</f>
        <v>Washington</v>
      </c>
      <c r="C209" s="3"/>
    </row>
    <row r="210">
      <c r="A210" s="3" t="str">
        <f>IFERROR(__xludf.DUMMYFUNCTION("""COMPUTED_VALUE"""),"Nouvelle-Zélande")</f>
        <v>Nouvelle-Zélande</v>
      </c>
      <c r="B210" s="3" t="str">
        <f>IFERROR(__xludf.DUMMYFUNCTION("""COMPUTED_VALUE"""),"Wellington")</f>
        <v>Wellington</v>
      </c>
      <c r="C210" s="3"/>
    </row>
    <row r="211">
      <c r="A211" s="3" t="str">
        <f>IFERROR(__xludf.DUMMYFUNCTION("""COMPUTED_VALUE"""),"Namibie")</f>
        <v>Namibie</v>
      </c>
      <c r="B211" s="3" t="str">
        <f>IFERROR(__xludf.DUMMYFUNCTION("""COMPUTED_VALUE"""),"Windhoek")</f>
        <v>Windhoek</v>
      </c>
      <c r="C211" s="3"/>
    </row>
    <row r="212">
      <c r="A212" s="3" t="str">
        <f>IFERROR(__xludf.DUMMYFUNCTION("""COMPUTED_VALUE"""),"Côte d'Ivoire")</f>
        <v>Côte d'Ivoire</v>
      </c>
      <c r="B212" s="3" t="str">
        <f>IFERROR(__xludf.DUMMYFUNCTION("""COMPUTED_VALUE"""),"Yamoussoukro")</f>
        <v>Yamoussoukro</v>
      </c>
      <c r="C212" s="3" t="str">
        <f>IFERROR(__xludf.DUMMYFUNCTION("""COMPUTED_VALUE"""),"Selon l'IGN, Yamoussoukro est la capitale politique depuis 1983 ; 
l'ancienne capitale Abidjan demeure le siège des ambassades et compte 
toujours de nombreux bâtiments officiels.")</f>
        <v>Selon l'IGN, Yamoussoukro est la capitale politique depuis 1983 ; 
l'ancienne capitale Abidjan demeure le siège des ambassades et compte 
toujours de nombreux bâtiments officiels.</v>
      </c>
    </row>
    <row r="213">
      <c r="A213" s="3" t="str">
        <f>IFERROR(__xludf.DUMMYFUNCTION("""COMPUTED_VALUE"""),"Cameroun")</f>
        <v>Cameroun</v>
      </c>
      <c r="B213" s="3" t="str">
        <f>IFERROR(__xludf.DUMMYFUNCTION("""COMPUTED_VALUE"""),"Yaoundé")</f>
        <v>Yaoundé</v>
      </c>
      <c r="C213" s="3"/>
    </row>
    <row r="214">
      <c r="A214" s="3" t="str">
        <f>IFERROR(__xludf.DUMMYFUNCTION("""COMPUTED_VALUE"""),"Nauru")</f>
        <v>Nauru</v>
      </c>
      <c r="B214" s="3" t="str">
        <f>IFERROR(__xludf.DUMMYFUNCTION("""COMPUTED_VALUE"""),"Yaren(*de facto*)")</f>
        <v>Yaren(*de facto*)</v>
      </c>
      <c r="C214" s="3" t="str">
        <f>IFERROR(__xludf.DUMMYFUNCTION("""COMPUTED_VALUE"""),"Nauru ne compte aucune capitale officielle ; les institutions sont 
néanmoins situées à Yaren.")</f>
        <v>Nauru ne compte aucune capitale officielle ; les institutions sont 
néanmoins situées à Yaren.</v>
      </c>
    </row>
    <row r="215">
      <c r="A215" s="3" t="str">
        <f>IFERROR(__xludf.DUMMYFUNCTION("""COMPUTED_VALUE"""),"Croatie")</f>
        <v>Croatie</v>
      </c>
      <c r="B215" s="3" t="str">
        <f>IFERROR(__xludf.DUMMYFUNCTION("""COMPUTED_VALUE"""),"Zagreb")</f>
        <v>Zagreb</v>
      </c>
      <c r="C215" s="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7.0"/>
    <col customWidth="1" min="3" max="3" width="38.13"/>
    <col customWidth="1" min="4" max="4" width="26.25"/>
    <col customWidth="1" min="5" max="5" width="18.88"/>
    <col customWidth="1" min="6" max="6" width="18.38"/>
  </cols>
  <sheetData>
    <row r="1">
      <c r="A1" s="11" t="str">
        <f>IFERROR(__xludf.DUMMYFUNCTION("IMPORTHTML(""https://fr.wikipedia.org/wiki/Liste_des_mus%C3%A9es_de_Paris"" , ""table"" , ""1"" )"),"Nom du musée")</f>
        <v>Nom du musée</v>
      </c>
      <c r="B1" s="3" t="str">
        <f>IFERROR(__xludf.DUMMYFUNCTION("""COMPUTED_VALUE"""),"Localisation")</f>
        <v>Localisation</v>
      </c>
      <c r="C1" s="3" t="str">
        <f>IFERROR(__xludf.DUMMYFUNCTION("""COMPUTED_VALUE"""),"Thématique")</f>
        <v>Thématique</v>
      </c>
      <c r="D1" s="3" t="str">
        <f>IFERROR(__xludf.DUMMYFUNCTION("""COMPUTED_VALUE"""),"Ouverture")</f>
        <v>Ouverture</v>
      </c>
      <c r="E1" s="3" t="str">
        <f>IFERROR(__xludf.DUMMYFUNCTION("""COMPUTED_VALUE"""),"Tutelle")</f>
        <v>Tutelle</v>
      </c>
      <c r="F1" s="3" t="str">
        <f>IFERROR(__xludf.DUMMYFUNCTION("""COMPUTED_VALUE"""),"Musée de France")</f>
        <v>Musée de France</v>
      </c>
      <c r="G1" s="3" t="str">
        <f>IFERROR(__xludf.DUMMYFUNCTION("""COMPUTED_VALUE"""),"Site")</f>
        <v>Site</v>
      </c>
    </row>
    <row r="2">
      <c r="A2" s="11" t="str">
        <f>IFERROR(__xludf.DUMMYFUNCTION("""COMPUTED_VALUE"""),"Musée du Louvre")</f>
        <v>Musée du Louvre</v>
      </c>
      <c r="B2" s="3" t="str">
        <f>IFERROR(__xludf.DUMMYFUNCTION("""COMPUTED_VALUE"""),"Palais du Louvre")</f>
        <v>Palais du Louvre</v>
      </c>
      <c r="C2" s="3" t="str">
        <f>IFERROR(__xludf.DUMMYFUNCTION("""COMPUTED_VALUE"""),"Beaux-arts, Archéologie")</f>
        <v>Beaux-arts, Archéologie</v>
      </c>
      <c r="D2" s="3">
        <f>IFERROR(__xludf.DUMMYFUNCTION("""COMPUTED_VALUE"""),1793.0)</f>
        <v>1793</v>
      </c>
      <c r="E2" s="3" t="str">
        <f>IFERROR(__xludf.DUMMYFUNCTION("""COMPUTED_VALUE"""),"Établissement public à caractère administratif (EPA) du SMF")</f>
        <v>Établissement public à caractère administratif (EPA) du SMF</v>
      </c>
      <c r="F2" s="3" t="str">
        <f>IFERROR(__xludf.DUMMYFUNCTION("""COMPUTED_VALUE"""),"Oui")</f>
        <v>Oui</v>
      </c>
      <c r="G2" s="22" t="str">
        <f>IFERROR(__xludf.DUMMYFUNCTION("""COMPUTED_VALUE"""),"Louvre.fr")</f>
        <v>Louvre.fr</v>
      </c>
    </row>
    <row r="3">
      <c r="A3" s="3" t="str">
        <f>IFERROR(__xludf.DUMMYFUNCTION("""COMPUTED_VALUE"""),"Musée des Arts décoratifs")</f>
        <v>Musée des Arts décoratifs</v>
      </c>
      <c r="B3" s="3" t="str">
        <f>IFERROR(__xludf.DUMMYFUNCTION("""COMPUTED_VALUE"""),"Palais du Louvre")</f>
        <v>Palais du Louvre</v>
      </c>
      <c r="C3" s="3" t="str">
        <f>IFERROR(__xludf.DUMMYFUNCTION("""COMPUTED_VALUE"""),"Arts décoratifs")</f>
        <v>Arts décoratifs</v>
      </c>
      <c r="D3" s="3">
        <f>IFERROR(__xludf.DUMMYFUNCTION("""COMPUTED_VALUE"""),1905.0)</f>
        <v>1905</v>
      </c>
      <c r="E3" s="3" t="str">
        <f>IFERROR(__xludf.DUMMYFUNCTION("""COMPUTED_VALUE"""),"Les Arts décoratifs (Assoc. convention avec l'État)")</f>
        <v>Les Arts décoratifs (Assoc. convention avec l'État)</v>
      </c>
      <c r="F3" s="3" t="str">
        <f>IFERROR(__xludf.DUMMYFUNCTION("""COMPUTED_VALUE"""),"Oui")</f>
        <v>Oui</v>
      </c>
      <c r="G3" s="22" t="str">
        <f>IFERROR(__xludf.DUMMYFUNCTION("""COMPUTED_VALUE"""),"madparis.fr/musee-des-arts-decoratifs")</f>
        <v>madparis.fr/musee-des-arts-decoratifs</v>
      </c>
    </row>
    <row r="4">
      <c r="A4" s="3" t="str">
        <f>IFERROR(__xludf.DUMMYFUNCTION("""COMPUTED_VALUE"""),"Musée de la Mode et du Textile")</f>
        <v>Musée de la Mode et du Textile</v>
      </c>
      <c r="B4" s="3" t="str">
        <f>IFERROR(__xludf.DUMMYFUNCTION("""COMPUTED_VALUE"""),"Palais du Louvre")</f>
        <v>Palais du Louvre</v>
      </c>
      <c r="C4" s="3" t="str">
        <f>IFERROR(__xludf.DUMMYFUNCTION("""COMPUTED_VALUE"""),"Mode")</f>
        <v>Mode</v>
      </c>
      <c r="D4" s="3">
        <f>IFERROR(__xludf.DUMMYFUNCTION("""COMPUTED_VALUE"""),1986.0)</f>
        <v>1986</v>
      </c>
      <c r="E4" s="3" t="str">
        <f>IFERROR(__xludf.DUMMYFUNCTION("""COMPUTED_VALUE"""),"Les Arts décoratifs")</f>
        <v>Les Arts décoratifs</v>
      </c>
      <c r="F4" s="3" t="str">
        <f>IFERROR(__xludf.DUMMYFUNCTION("""COMPUTED_VALUE"""),"Oui")</f>
        <v>Oui</v>
      </c>
      <c r="G4" s="3" t="str">
        <f>IFERROR(__xludf.DUMMYFUNCTION("""COMPUTED_VALUE"""),"Lesartsdecoratifs.fr, page du musée")</f>
        <v>Lesartsdecoratifs.fr, page du musée</v>
      </c>
    </row>
    <row r="5">
      <c r="A5" s="3" t="str">
        <f>IFERROR(__xludf.DUMMYFUNCTION("""COMPUTED_VALUE"""),"Musée en Herbe")</f>
        <v>Musée en Herbe</v>
      </c>
      <c r="B5" s="3"/>
      <c r="C5" s="3" t="str">
        <f>IFERROR(__xludf.DUMMYFUNCTION("""COMPUTED_VALUE"""),"Art conçu pour les enfants")</f>
        <v>Art conçu pour les enfants</v>
      </c>
      <c r="D5" s="3">
        <f>IFERROR(__xludf.DUMMYFUNCTION("""COMPUTED_VALUE"""),1975.0)</f>
        <v>1975</v>
      </c>
      <c r="E5" s="3" t="str">
        <f>IFERROR(__xludf.DUMMYFUNCTION("""COMPUTED_VALUE"""),"Assoc. (subventions publiques et privées)")</f>
        <v>Assoc. (subventions publiques et privées)</v>
      </c>
      <c r="F5" s="3" t="str">
        <f>IFERROR(__xludf.DUMMYFUNCTION("""COMPUTED_VALUE"""),"Non")</f>
        <v>Non</v>
      </c>
      <c r="G5" s="22" t="str">
        <f>IFERROR(__xludf.DUMMYFUNCTION("""COMPUTED_VALUE"""),"Musee-en-herbe.com")</f>
        <v>Musee-en-herbe.com</v>
      </c>
    </row>
    <row r="6">
      <c r="A6" s="3" t="str">
        <f>IFERROR(__xludf.DUMMYFUNCTION("""COMPUTED_VALUE"""),"Jeu de paume")</f>
        <v>Jeu de paume</v>
      </c>
      <c r="B6" s="3" t="str">
        <f>IFERROR(__xludf.DUMMYFUNCTION("""COMPUTED_VALUE"""),"Jardin des Tuileries")</f>
        <v>Jardin des Tuileries</v>
      </c>
      <c r="C6" s="3" t="str">
        <f>IFERROR(__xludf.DUMMYFUNCTION("""COMPUTED_VALUE"""),"Photographie, Vidéo")</f>
        <v>Photographie, Vidéo</v>
      </c>
      <c r="D6" s="3" t="str">
        <f>IFERROR(__xludf.DUMMYFUNCTION("""COMPUTED_VALUE"""),"2004 (forme actuelle)
1909 (musée dans le bâtiment)")</f>
        <v>2004 (forme actuelle)
1909 (musée dans le bâtiment)</v>
      </c>
      <c r="E6" s="3" t="str">
        <f>IFERROR(__xludf.DUMMYFUNCTION("""COMPUTED_VALUE"""),"Bâtiment de l'État concédé à une association subventionnée")</f>
        <v>Bâtiment de l'État concédé à une association subventionnée</v>
      </c>
      <c r="F6" s="3" t="str">
        <f>IFERROR(__xludf.DUMMYFUNCTION("""COMPUTED_VALUE"""),"Non")</f>
        <v>Non</v>
      </c>
      <c r="G6" s="22" t="str">
        <f>IFERROR(__xludf.DUMMYFUNCTION("""COMPUTED_VALUE"""),"Jeudepaume.org")</f>
        <v>Jeudepaume.org</v>
      </c>
    </row>
    <row r="7">
      <c r="A7" s="3" t="str">
        <f>IFERROR(__xludf.DUMMYFUNCTION("""COMPUTED_VALUE"""),"Musée de l'Orangerie")</f>
        <v>Musée de l'Orangerie</v>
      </c>
      <c r="B7" s="3" t="str">
        <f>IFERROR(__xludf.DUMMYFUNCTION("""COMPUTED_VALUE"""),"Jardin des Tuileries")</f>
        <v>Jardin des Tuileries</v>
      </c>
      <c r="C7" s="3" t="str">
        <f>IFERROR(__xludf.DUMMYFUNCTION("""COMPUTED_VALUE"""),"Impressionnisme, Postimpressionnisme")</f>
        <v>Impressionnisme, Postimpressionnisme</v>
      </c>
      <c r="D7" s="3">
        <f>IFERROR(__xludf.DUMMYFUNCTION("""COMPUTED_VALUE"""),1927.0)</f>
        <v>1927</v>
      </c>
      <c r="E7" s="3" t="str">
        <f>IFERROR(__xludf.DUMMYFUNCTION("""COMPUTED_VALUE"""),"Rattaché à l'EPA du Musée d'Orsay")</f>
        <v>Rattaché à l'EPA du Musée d'Orsay</v>
      </c>
      <c r="F7" s="3" t="str">
        <f>IFERROR(__xludf.DUMMYFUNCTION("""COMPUTED_VALUE"""),"Oui")</f>
        <v>Oui</v>
      </c>
      <c r="G7" s="22" t="str">
        <f>IFERROR(__xludf.DUMMYFUNCTION("""COMPUTED_VALUE"""),"Musee-orangerie.fr")</f>
        <v>Musee-orangerie.fr</v>
      </c>
    </row>
    <row r="8">
      <c r="A8" s="3" t="str">
        <f>IFERROR(__xludf.DUMMYFUNCTION("""COMPUTED_VALUE"""),"Forum des images")</f>
        <v>Forum des images</v>
      </c>
      <c r="B8" s="3" t="str">
        <f>IFERROR(__xludf.DUMMYFUNCTION("""COMPUTED_VALUE"""),"Forum des Halles")</f>
        <v>Forum des Halles</v>
      </c>
      <c r="C8" s="3" t="str">
        <f>IFERROR(__xludf.DUMMYFUNCTION("""COMPUTED_VALUE"""),"Cinéma, Vidéo")</f>
        <v>Cinéma, Vidéo</v>
      </c>
      <c r="D8" s="3">
        <f>IFERROR(__xludf.DUMMYFUNCTION("""COMPUTED_VALUE"""),1988.0)</f>
        <v>1988</v>
      </c>
      <c r="E8" s="3" t="str">
        <f>IFERROR(__xludf.DUMMYFUNCTION("""COMPUTED_VALUE"""),"Ville de Paris")</f>
        <v>Ville de Paris</v>
      </c>
      <c r="F8" s="3" t="str">
        <f>IFERROR(__xludf.DUMMYFUNCTION("""COMPUTED_VALUE"""),"Non")</f>
        <v>Non</v>
      </c>
      <c r="G8" s="22" t="str">
        <f>IFERROR(__xludf.DUMMYFUNCTION("""COMPUTED_VALUE"""),"Forumdesimages.fr")</f>
        <v>Forumdesimages.fr</v>
      </c>
    </row>
    <row r="9">
      <c r="A9" s="3" t="str">
        <f>IFERROR(__xludf.DUMMYFUNCTION("""COMPUTED_VALUE"""),"Musée du Barreau de Paris")</f>
        <v>Musée du Barreau de Paris</v>
      </c>
      <c r="B9" s="3" t="str">
        <f>IFERROR(__xludf.DUMMYFUNCTION("""COMPUTED_VALUE"""),"25 rue du Jour 75001 PARIS")</f>
        <v>25 rue du Jour 75001 PARIS</v>
      </c>
      <c r="C9" s="3" t="str">
        <f>IFERROR(__xludf.DUMMYFUNCTION("""COMPUTED_VALUE"""),"Histoire des avocats du Barreau de Paris")</f>
        <v>Histoire des avocats du Barreau de Paris</v>
      </c>
      <c r="D9" s="3">
        <f>IFERROR(__xludf.DUMMYFUNCTION("""COMPUTED_VALUE"""),1983.0)</f>
        <v>1983</v>
      </c>
      <c r="E9" s="3" t="str">
        <f>IFERROR(__xludf.DUMMYFUNCTION("""COMPUTED_VALUE"""),"Barreau de Paris")</f>
        <v>Barreau de Paris</v>
      </c>
      <c r="F9" s="3" t="str">
        <f>IFERROR(__xludf.DUMMYFUNCTION("""COMPUTED_VALUE"""),"Non")</f>
        <v>Non</v>
      </c>
      <c r="G9" s="3"/>
    </row>
    <row r="10">
      <c r="A10" s="3" t="str">
        <f>IFERROR(__xludf.DUMMYFUNCTION("""COMPUTED_VALUE"""),"Collection Pinault")</f>
        <v>Collection Pinault</v>
      </c>
      <c r="B10" s="3" t="str">
        <f>IFERROR(__xludf.DUMMYFUNCTION("""COMPUTED_VALUE"""),"Bourse de commerce de Paris")</f>
        <v>Bourse de commerce de Paris</v>
      </c>
      <c r="C10" s="3" t="str">
        <f>IFERROR(__xludf.DUMMYFUNCTION("""COMPUTED_VALUE"""),"art moderne et de art contemporain")</f>
        <v>art moderne et de art contemporain</v>
      </c>
      <c r="D10" s="3">
        <f>IFERROR(__xludf.DUMMYFUNCTION("""COMPUTED_VALUE"""),2021.0)</f>
        <v>2021</v>
      </c>
      <c r="E10" s="3"/>
      <c r="F10" s="3"/>
      <c r="G10" s="3" t="str">
        <f>IFERROR(__xludf.DUMMYFUNCTION("""COMPUTED_VALUE"""),"pinaultcollection")</f>
        <v>pinaultcollection</v>
      </c>
    </row>
    <row r="11">
      <c r="A11" s="3" t="str">
        <f>IFERROR(__xludf.DUMMYFUNCTION("""COMPUTED_VALUE"""),"Musée de l'Illusion")</f>
        <v>Musée de l'Illusion</v>
      </c>
      <c r="B11" s="3" t="str">
        <f>IFERROR(__xludf.DUMMYFUNCTION("""COMPUTED_VALUE"""),"98 rue Saint-Denis, 75001 PARIS")</f>
        <v>98 rue Saint-Denis, 75001 PARIS</v>
      </c>
      <c r="C11" s="3" t="str">
        <f>IFERROR(__xludf.DUMMYFUNCTION("""COMPUTED_VALUE"""),"Illusions et effets d'optique")</f>
        <v>Illusions et effets d'optique</v>
      </c>
      <c r="D11" s="3">
        <f>IFERROR(__xludf.DUMMYFUNCTION("""COMPUTED_VALUE"""),2019.0)</f>
        <v>2019</v>
      </c>
      <c r="E11" s="3"/>
      <c r="F11" s="3"/>
      <c r="G11" s="22" t="str">
        <f>IFERROR(__xludf.DUMMYFUNCTION("""COMPUTED_VALUE"""),"https://museedelillusion.fr/")</f>
        <v>https://museedelillusion.fr/</v>
      </c>
    </row>
  </sheetData>
  <hyperlinks>
    <hyperlink r:id="rId1" ref="G2"/>
    <hyperlink r:id="rId2" ref="G3"/>
    <hyperlink r:id="rId3" ref="G5"/>
    <hyperlink r:id="rId4" ref="G6"/>
    <hyperlink r:id="rId5" ref="G7"/>
    <hyperlink r:id="rId6" ref="G8"/>
    <hyperlink r:id="rId7" ref="G11"/>
  </hyperlinks>
  <drawing r:id="rId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65</v>
      </c>
      <c r="E1" s="11"/>
    </row>
    <row r="3">
      <c r="A3" s="11">
        <v>20.0</v>
      </c>
      <c r="C3" s="3">
        <f>SUM(A3:A15)</f>
        <v>900</v>
      </c>
    </row>
    <row r="4">
      <c r="A4" s="11">
        <f t="shared" ref="A4:A14" si="1"> A3+10</f>
        <v>30</v>
      </c>
    </row>
    <row r="5">
      <c r="A5" s="11">
        <f t="shared" si="1"/>
        <v>40</v>
      </c>
    </row>
    <row r="6">
      <c r="A6" s="11">
        <f t="shared" si="1"/>
        <v>50</v>
      </c>
    </row>
    <row r="7">
      <c r="A7" s="11">
        <f t="shared" si="1"/>
        <v>60</v>
      </c>
    </row>
    <row r="8">
      <c r="A8" s="11">
        <f t="shared" si="1"/>
        <v>70</v>
      </c>
    </row>
    <row r="9">
      <c r="A9" s="11">
        <f t="shared" si="1"/>
        <v>80</v>
      </c>
    </row>
    <row r="10">
      <c r="A10" s="11">
        <f t="shared" si="1"/>
        <v>90</v>
      </c>
    </row>
    <row r="11">
      <c r="A11" s="11">
        <f t="shared" si="1"/>
        <v>100</v>
      </c>
    </row>
    <row r="12">
      <c r="A12" s="11">
        <f t="shared" si="1"/>
        <v>110</v>
      </c>
    </row>
    <row r="13">
      <c r="A13" s="11">
        <f t="shared" si="1"/>
        <v>120</v>
      </c>
    </row>
    <row r="14">
      <c r="A14" s="11">
        <f t="shared" si="1"/>
        <v>130</v>
      </c>
    </row>
    <row r="16">
      <c r="A16" s="3" t="str">
        <f>IFERROR(__xludf.DUMMYFUNCTION("IMPORTHTML(""https://fr.wikipedia.org/wiki/Tableau_des_m%C3%A9dailles_olympiques_par_nation"",""table"", 1 , ""en_FR"")"),"Équipe")</f>
        <v>Équipe</v>
      </c>
      <c r="B16" s="3" t="str">
        <f>IFERROR(__xludf.DUMMYFUNCTION("""COMPUTED_VALUE"""),"Nb.
Été")</f>
        <v>Nb.
Été</v>
      </c>
      <c r="C16" s="3"/>
      <c r="D16" s="3"/>
      <c r="E16" s="3"/>
      <c r="F16" s="3" t="str">
        <f>IFERROR(__xludf.DUMMYFUNCTION("""COMPUTED_VALUE"""),"Total")</f>
        <v>Total</v>
      </c>
      <c r="G16" s="3" t="str">
        <f>IFERROR(__xludf.DUMMYFUNCTION("""COMPUTED_VALUE"""),"Nb.
Hiver")</f>
        <v>Nb.
Hiver</v>
      </c>
      <c r="H16" s="3"/>
      <c r="I16" s="3"/>
      <c r="J16" s="3"/>
      <c r="K16" s="3" t="str">
        <f>IFERROR(__xludf.DUMMYFUNCTION("""COMPUTED_VALUE"""),"Total")</f>
        <v>Total</v>
      </c>
      <c r="L16" s="3" t="str">
        <f>IFERROR(__xludf.DUMMYFUNCTION("""COMPUTED_VALUE"""),"Nb.
Jeux")</f>
        <v>Nb.
Jeux</v>
      </c>
      <c r="M16" s="3"/>
      <c r="N16" s="3"/>
      <c r="O16" s="3"/>
      <c r="P16" s="3" t="str">
        <f>IFERROR(__xludf.DUMMYFUNCTION("""COMPUTED_VALUE"""),"Total combiné")</f>
        <v>Total combiné</v>
      </c>
    </row>
    <row r="17">
      <c r="A17" s="3" t="str">
        <f>IFERROR(__xludf.DUMMYFUNCTION("""COMPUTED_VALUE"""),"Afghanistan")</f>
        <v>Afghanistan</v>
      </c>
      <c r="B17" s="3">
        <f>IFERROR(__xludf.DUMMYFUNCTION("""COMPUTED_VALUE"""),15.0)</f>
        <v>15</v>
      </c>
      <c r="C17" s="3">
        <f>IFERROR(__xludf.DUMMYFUNCTION("""COMPUTED_VALUE"""),0.0)</f>
        <v>0</v>
      </c>
      <c r="D17" s="3">
        <f>IFERROR(__xludf.DUMMYFUNCTION("""COMPUTED_VALUE"""),0.0)</f>
        <v>0</v>
      </c>
      <c r="E17" s="3">
        <f>IFERROR(__xludf.DUMMYFUNCTION("""COMPUTED_VALUE"""),2.0)</f>
        <v>2</v>
      </c>
      <c r="F17" s="3">
        <f>IFERROR(__xludf.DUMMYFUNCTION("""COMPUTED_VALUE"""),2.0)</f>
        <v>2</v>
      </c>
      <c r="G17" s="3">
        <f>IFERROR(__xludf.DUMMYFUNCTION("""COMPUTED_VALUE"""),0.0)</f>
        <v>0</v>
      </c>
      <c r="H17" s="3">
        <f>IFERROR(__xludf.DUMMYFUNCTION("""COMPUTED_VALUE"""),0.0)</f>
        <v>0</v>
      </c>
      <c r="I17" s="3">
        <f>IFERROR(__xludf.DUMMYFUNCTION("""COMPUTED_VALUE"""),0.0)</f>
        <v>0</v>
      </c>
      <c r="J17" s="3">
        <f>IFERROR(__xludf.DUMMYFUNCTION("""COMPUTED_VALUE"""),0.0)</f>
        <v>0</v>
      </c>
      <c r="K17" s="3">
        <f>IFERROR(__xludf.DUMMYFUNCTION("""COMPUTED_VALUE"""),0.0)</f>
        <v>0</v>
      </c>
      <c r="L17" s="3">
        <f>IFERROR(__xludf.DUMMYFUNCTION("""COMPUTED_VALUE"""),15.0)</f>
        <v>15</v>
      </c>
      <c r="M17" s="3">
        <f>IFERROR(__xludf.DUMMYFUNCTION("""COMPUTED_VALUE"""),0.0)</f>
        <v>0</v>
      </c>
      <c r="N17" s="3">
        <f>IFERROR(__xludf.DUMMYFUNCTION("""COMPUTED_VALUE"""),0.0)</f>
        <v>0</v>
      </c>
      <c r="O17" s="3">
        <f>IFERROR(__xludf.DUMMYFUNCTION("""COMPUTED_VALUE"""),2.0)</f>
        <v>2</v>
      </c>
      <c r="P17" s="3">
        <f>IFERROR(__xludf.DUMMYFUNCTION("""COMPUTED_VALUE"""),2.0)</f>
        <v>2</v>
      </c>
    </row>
    <row r="18">
      <c r="A18" s="3" t="str">
        <f>IFERROR(__xludf.DUMMYFUNCTION("""COMPUTED_VALUE"""),"Afrique du Sud")</f>
        <v>Afrique du Sud</v>
      </c>
      <c r="B18" s="3">
        <f>IFERROR(__xludf.DUMMYFUNCTION("""COMPUTED_VALUE"""),20.0)</f>
        <v>20</v>
      </c>
      <c r="C18" s="3">
        <f>IFERROR(__xludf.DUMMYFUNCTION("""COMPUTED_VALUE"""),27.0)</f>
        <v>27</v>
      </c>
      <c r="D18" s="3">
        <f>IFERROR(__xludf.DUMMYFUNCTION("""COMPUTED_VALUE"""),33.0)</f>
        <v>33</v>
      </c>
      <c r="E18" s="3">
        <f>IFERROR(__xludf.DUMMYFUNCTION("""COMPUTED_VALUE"""),29.0)</f>
        <v>29</v>
      </c>
      <c r="F18" s="3">
        <f>IFERROR(__xludf.DUMMYFUNCTION("""COMPUTED_VALUE"""),89.0)</f>
        <v>89</v>
      </c>
      <c r="G18" s="3">
        <f>IFERROR(__xludf.DUMMYFUNCTION("""COMPUTED_VALUE"""),7.0)</f>
        <v>7</v>
      </c>
      <c r="H18" s="3">
        <f>IFERROR(__xludf.DUMMYFUNCTION("""COMPUTED_VALUE"""),0.0)</f>
        <v>0</v>
      </c>
      <c r="I18" s="3">
        <f>IFERROR(__xludf.DUMMYFUNCTION("""COMPUTED_VALUE"""),0.0)</f>
        <v>0</v>
      </c>
      <c r="J18" s="3">
        <f>IFERROR(__xludf.DUMMYFUNCTION("""COMPUTED_VALUE"""),0.0)</f>
        <v>0</v>
      </c>
      <c r="K18" s="3">
        <f>IFERROR(__xludf.DUMMYFUNCTION("""COMPUTED_VALUE"""),0.0)</f>
        <v>0</v>
      </c>
      <c r="L18" s="3">
        <f>IFERROR(__xludf.DUMMYFUNCTION("""COMPUTED_VALUE"""),27.0)</f>
        <v>27</v>
      </c>
      <c r="M18" s="3">
        <f>IFERROR(__xludf.DUMMYFUNCTION("""COMPUTED_VALUE"""),27.0)</f>
        <v>27</v>
      </c>
      <c r="N18" s="3">
        <f>IFERROR(__xludf.DUMMYFUNCTION("""COMPUTED_VALUE"""),33.0)</f>
        <v>33</v>
      </c>
      <c r="O18" s="3">
        <f>IFERROR(__xludf.DUMMYFUNCTION("""COMPUTED_VALUE"""),29.0)</f>
        <v>29</v>
      </c>
      <c r="P18" s="3">
        <f>IFERROR(__xludf.DUMMYFUNCTION("""COMPUTED_VALUE"""),89.0)</f>
        <v>89</v>
      </c>
    </row>
    <row r="19">
      <c r="A19" s="3" t="str">
        <f>IFERROR(__xludf.DUMMYFUNCTION("""COMPUTED_VALUE"""),"Albanie")</f>
        <v>Albanie</v>
      </c>
      <c r="B19" s="3">
        <f>IFERROR(__xludf.DUMMYFUNCTION("""COMPUTED_VALUE"""),14.0)</f>
        <v>14</v>
      </c>
      <c r="C19" s="3">
        <f>IFERROR(__xludf.DUMMYFUNCTION("""COMPUTED_VALUE"""),0.0)</f>
        <v>0</v>
      </c>
      <c r="D19" s="3">
        <f>IFERROR(__xludf.DUMMYFUNCTION("""COMPUTED_VALUE"""),0.0)</f>
        <v>0</v>
      </c>
      <c r="E19" s="3">
        <f>IFERROR(__xludf.DUMMYFUNCTION("""COMPUTED_VALUE"""),2.0)</f>
        <v>2</v>
      </c>
      <c r="F19" s="3">
        <f>IFERROR(__xludf.DUMMYFUNCTION("""COMPUTED_VALUE"""),2.0)</f>
        <v>2</v>
      </c>
      <c r="G19" s="3">
        <f>IFERROR(__xludf.DUMMYFUNCTION("""COMPUTED_VALUE"""),5.0)</f>
        <v>5</v>
      </c>
      <c r="H19" s="3">
        <f>IFERROR(__xludf.DUMMYFUNCTION("""COMPUTED_VALUE"""),0.0)</f>
        <v>0</v>
      </c>
      <c r="I19" s="3">
        <f>IFERROR(__xludf.DUMMYFUNCTION("""COMPUTED_VALUE"""),0.0)</f>
        <v>0</v>
      </c>
      <c r="J19" s="3">
        <f>IFERROR(__xludf.DUMMYFUNCTION("""COMPUTED_VALUE"""),0.0)</f>
        <v>0</v>
      </c>
      <c r="K19" s="3">
        <f>IFERROR(__xludf.DUMMYFUNCTION("""COMPUTED_VALUE"""),0.0)</f>
        <v>0</v>
      </c>
      <c r="L19" s="3">
        <f>IFERROR(__xludf.DUMMYFUNCTION("""COMPUTED_VALUE"""),19.0)</f>
        <v>19</v>
      </c>
      <c r="M19" s="3">
        <f>IFERROR(__xludf.DUMMYFUNCTION("""COMPUTED_VALUE"""),0.0)</f>
        <v>0</v>
      </c>
      <c r="N19" s="3">
        <f>IFERROR(__xludf.DUMMYFUNCTION("""COMPUTED_VALUE"""),0.0)</f>
        <v>0</v>
      </c>
      <c r="O19" s="3">
        <f>IFERROR(__xludf.DUMMYFUNCTION("""COMPUTED_VALUE"""),2.0)</f>
        <v>2</v>
      </c>
      <c r="P19" s="3">
        <f>IFERROR(__xludf.DUMMYFUNCTION("""COMPUTED_VALUE"""),2.0)</f>
        <v>2</v>
      </c>
    </row>
    <row r="20">
      <c r="A20" s="3" t="str">
        <f>IFERROR(__xludf.DUMMYFUNCTION("""COMPUTED_VALUE"""),"Algérie")</f>
        <v>Algérie</v>
      </c>
      <c r="B20" s="3">
        <f>IFERROR(__xludf.DUMMYFUNCTION("""COMPUTED_VALUE"""),15.0)</f>
        <v>15</v>
      </c>
      <c r="C20" s="3">
        <f>IFERROR(__xludf.DUMMYFUNCTION("""COMPUTED_VALUE"""),7.0)</f>
        <v>7</v>
      </c>
      <c r="D20" s="3">
        <f>IFERROR(__xludf.DUMMYFUNCTION("""COMPUTED_VALUE"""),4.0)</f>
        <v>4</v>
      </c>
      <c r="E20" s="3">
        <f>IFERROR(__xludf.DUMMYFUNCTION("""COMPUTED_VALUE"""),9.0)</f>
        <v>9</v>
      </c>
      <c r="F20" s="3">
        <f>IFERROR(__xludf.DUMMYFUNCTION("""COMPUTED_VALUE"""),20.0)</f>
        <v>20</v>
      </c>
      <c r="G20" s="3">
        <f>IFERROR(__xludf.DUMMYFUNCTION("""COMPUTED_VALUE"""),3.0)</f>
        <v>3</v>
      </c>
      <c r="H20" s="3">
        <f>IFERROR(__xludf.DUMMYFUNCTION("""COMPUTED_VALUE"""),0.0)</f>
        <v>0</v>
      </c>
      <c r="I20" s="3">
        <f>IFERROR(__xludf.DUMMYFUNCTION("""COMPUTED_VALUE"""),0.0)</f>
        <v>0</v>
      </c>
      <c r="J20" s="3">
        <f>IFERROR(__xludf.DUMMYFUNCTION("""COMPUTED_VALUE"""),0.0)</f>
        <v>0</v>
      </c>
      <c r="K20" s="3">
        <f>IFERROR(__xludf.DUMMYFUNCTION("""COMPUTED_VALUE"""),0.0)</f>
        <v>0</v>
      </c>
      <c r="L20" s="3">
        <f>IFERROR(__xludf.DUMMYFUNCTION("""COMPUTED_VALUE"""),18.0)</f>
        <v>18</v>
      </c>
      <c r="M20" s="3">
        <f>IFERROR(__xludf.DUMMYFUNCTION("""COMPUTED_VALUE"""),7.0)</f>
        <v>7</v>
      </c>
      <c r="N20" s="3">
        <f>IFERROR(__xludf.DUMMYFUNCTION("""COMPUTED_VALUE"""),4.0)</f>
        <v>4</v>
      </c>
      <c r="O20" s="3">
        <f>IFERROR(__xludf.DUMMYFUNCTION("""COMPUTED_VALUE"""),9.0)</f>
        <v>9</v>
      </c>
      <c r="P20" s="3">
        <f>IFERROR(__xludf.DUMMYFUNCTION("""COMPUTED_VALUE"""),20.0)</f>
        <v>20</v>
      </c>
    </row>
    <row r="21">
      <c r="A21" s="3" t="str">
        <f>IFERROR(__xludf.DUMMYFUNCTION("""COMPUTED_VALUE"""),"Allemagne[3]")</f>
        <v>Allemagne[3]</v>
      </c>
      <c r="B21" s="3">
        <f>IFERROR(__xludf.DUMMYFUNCTION("""COMPUTED_VALUE"""),25.0)</f>
        <v>25</v>
      </c>
      <c r="C21" s="3">
        <f>IFERROR(__xludf.DUMMYFUNCTION("""COMPUTED_VALUE"""),297.0)</f>
        <v>297</v>
      </c>
      <c r="D21" s="3">
        <f>IFERROR(__xludf.DUMMYFUNCTION("""COMPUTED_VALUE"""),339.0)</f>
        <v>339</v>
      </c>
      <c r="E21" s="3">
        <f>IFERROR(__xludf.DUMMYFUNCTION("""COMPUTED_VALUE"""),371.0)</f>
        <v>371</v>
      </c>
      <c r="F21" s="3">
        <f>IFERROR(__xludf.DUMMYFUNCTION("""COMPUTED_VALUE"""),1007.0)</f>
        <v>1007</v>
      </c>
      <c r="G21" s="3">
        <f>IFERROR(__xludf.DUMMYFUNCTION("""COMPUTED_VALUE"""),21.0)</f>
        <v>21</v>
      </c>
      <c r="H21" s="3">
        <f>IFERROR(__xludf.DUMMYFUNCTION("""COMPUTED_VALUE"""),111.0)</f>
        <v>111</v>
      </c>
      <c r="I21" s="3">
        <f>IFERROR(__xludf.DUMMYFUNCTION("""COMPUTED_VALUE"""),109.0)</f>
        <v>109</v>
      </c>
      <c r="J21" s="3">
        <f>IFERROR(__xludf.DUMMYFUNCTION("""COMPUTED_VALUE"""),78.0)</f>
        <v>78</v>
      </c>
      <c r="K21" s="3">
        <f>IFERROR(__xludf.DUMMYFUNCTION("""COMPUTED_VALUE"""),298.0)</f>
        <v>298</v>
      </c>
      <c r="L21" s="3">
        <f>IFERROR(__xludf.DUMMYFUNCTION("""COMPUTED_VALUE"""),46.0)</f>
        <v>46</v>
      </c>
      <c r="M21" s="3">
        <f>IFERROR(__xludf.DUMMYFUNCTION("""COMPUTED_VALUE"""),408.0)</f>
        <v>408</v>
      </c>
      <c r="N21" s="3">
        <f>IFERROR(__xludf.DUMMYFUNCTION("""COMPUTED_VALUE"""),448.0)</f>
        <v>448</v>
      </c>
      <c r="O21" s="3">
        <f>IFERROR(__xludf.DUMMYFUNCTION("""COMPUTED_VALUE"""),449.0)</f>
        <v>449</v>
      </c>
      <c r="P21" s="3">
        <f>IFERROR(__xludf.DUMMYFUNCTION("""COMPUTED_VALUE"""),1305.0)</f>
        <v>1305</v>
      </c>
    </row>
    <row r="22">
      <c r="A22" s="3" t="str">
        <f>IFERROR(__xludf.DUMMYFUNCTION("""COMPUTED_VALUE"""),"*Allemagne de l'Est*[4]")</f>
        <v>*Allemagne de l'Est*[4]</v>
      </c>
      <c r="B22" s="3">
        <f>IFERROR(__xludf.DUMMYFUNCTION("""COMPUTED_VALUE"""),5.0)</f>
        <v>5</v>
      </c>
      <c r="C22" s="3">
        <f>IFERROR(__xludf.DUMMYFUNCTION("""COMPUTED_VALUE"""),153.0)</f>
        <v>153</v>
      </c>
      <c r="D22" s="3">
        <f>IFERROR(__xludf.DUMMYFUNCTION("""COMPUTED_VALUE"""),129.0)</f>
        <v>129</v>
      </c>
      <c r="E22" s="3">
        <f>IFERROR(__xludf.DUMMYFUNCTION("""COMPUTED_VALUE"""),127.0)</f>
        <v>127</v>
      </c>
      <c r="F22" s="3">
        <f>IFERROR(__xludf.DUMMYFUNCTION("""COMPUTED_VALUE"""),409.0)</f>
        <v>409</v>
      </c>
      <c r="G22" s="3">
        <f>IFERROR(__xludf.DUMMYFUNCTION("""COMPUTED_VALUE"""),6.0)</f>
        <v>6</v>
      </c>
      <c r="H22" s="3">
        <f>IFERROR(__xludf.DUMMYFUNCTION("""COMPUTED_VALUE"""),39.0)</f>
        <v>39</v>
      </c>
      <c r="I22" s="3">
        <f>IFERROR(__xludf.DUMMYFUNCTION("""COMPUTED_VALUE"""),36.0)</f>
        <v>36</v>
      </c>
      <c r="J22" s="3">
        <f>IFERROR(__xludf.DUMMYFUNCTION("""COMPUTED_VALUE"""),35.0)</f>
        <v>35</v>
      </c>
      <c r="K22" s="3">
        <f>IFERROR(__xludf.DUMMYFUNCTION("""COMPUTED_VALUE"""),110.0)</f>
        <v>110</v>
      </c>
      <c r="L22" s="3">
        <f>IFERROR(__xludf.DUMMYFUNCTION("""COMPUTED_VALUE"""),11.0)</f>
        <v>11</v>
      </c>
      <c r="M22" s="3">
        <f>IFERROR(__xludf.DUMMYFUNCTION("""COMPUTED_VALUE"""),192.0)</f>
        <v>192</v>
      </c>
      <c r="N22" s="3">
        <f>IFERROR(__xludf.DUMMYFUNCTION("""COMPUTED_VALUE"""),165.0)</f>
        <v>165</v>
      </c>
      <c r="O22" s="3">
        <f>IFERROR(__xludf.DUMMYFUNCTION("""COMPUTED_VALUE"""),162.0)</f>
        <v>162</v>
      </c>
      <c r="P22" s="3">
        <f>IFERROR(__xludf.DUMMYFUNCTION("""COMPUTED_VALUE"""),519.0)</f>
        <v>519</v>
      </c>
    </row>
    <row r="23">
      <c r="A23" s="3" t="str">
        <f>IFERROR(__xludf.DUMMYFUNCTION("""COMPUTED_VALUE"""),"*Antilles néerlandaises*")</f>
        <v>*Antilles néerlandaises*</v>
      </c>
      <c r="B23" s="3">
        <f>IFERROR(__xludf.DUMMYFUNCTION("""COMPUTED_VALUE"""),13.0)</f>
        <v>13</v>
      </c>
      <c r="C23" s="3">
        <f>IFERROR(__xludf.DUMMYFUNCTION("""COMPUTED_VALUE"""),0.0)</f>
        <v>0</v>
      </c>
      <c r="D23" s="3">
        <f>IFERROR(__xludf.DUMMYFUNCTION("""COMPUTED_VALUE"""),1.0)</f>
        <v>1</v>
      </c>
      <c r="E23" s="3">
        <f>IFERROR(__xludf.DUMMYFUNCTION("""COMPUTED_VALUE"""),0.0)</f>
        <v>0</v>
      </c>
      <c r="F23" s="3">
        <f>IFERROR(__xludf.DUMMYFUNCTION("""COMPUTED_VALUE"""),1.0)</f>
        <v>1</v>
      </c>
      <c r="G23" s="3">
        <f>IFERROR(__xludf.DUMMYFUNCTION("""COMPUTED_VALUE"""),2.0)</f>
        <v>2</v>
      </c>
      <c r="H23" s="3">
        <f>IFERROR(__xludf.DUMMYFUNCTION("""COMPUTED_VALUE"""),0.0)</f>
        <v>0</v>
      </c>
      <c r="I23" s="3">
        <f>IFERROR(__xludf.DUMMYFUNCTION("""COMPUTED_VALUE"""),0.0)</f>
        <v>0</v>
      </c>
      <c r="J23" s="3">
        <f>IFERROR(__xludf.DUMMYFUNCTION("""COMPUTED_VALUE"""),0.0)</f>
        <v>0</v>
      </c>
      <c r="K23" s="3">
        <f>IFERROR(__xludf.DUMMYFUNCTION("""COMPUTED_VALUE"""),0.0)</f>
        <v>0</v>
      </c>
      <c r="L23" s="3">
        <f>IFERROR(__xludf.DUMMYFUNCTION("""COMPUTED_VALUE"""),15.0)</f>
        <v>15</v>
      </c>
      <c r="M23" s="3">
        <f>IFERROR(__xludf.DUMMYFUNCTION("""COMPUTED_VALUE"""),0.0)</f>
        <v>0</v>
      </c>
      <c r="N23" s="3">
        <f>IFERROR(__xludf.DUMMYFUNCTION("""COMPUTED_VALUE"""),1.0)</f>
        <v>1</v>
      </c>
      <c r="O23" s="3">
        <f>IFERROR(__xludf.DUMMYFUNCTION("""COMPUTED_VALUE"""),0.0)</f>
        <v>0</v>
      </c>
      <c r="P23" s="3">
        <f>IFERROR(__xludf.DUMMYFUNCTION("""COMPUTED_VALUE"""),1.0)</f>
        <v>1</v>
      </c>
    </row>
    <row r="24">
      <c r="A24" s="3" t="str">
        <f>IFERROR(__xludf.DUMMYFUNCTION("""COMPUTED_VALUE"""),"Arabie saoudite")</f>
        <v>Arabie saoudite</v>
      </c>
      <c r="B24" s="3">
        <f>IFERROR(__xludf.DUMMYFUNCTION("""COMPUTED_VALUE"""),12.0)</f>
        <v>12</v>
      </c>
      <c r="C24" s="3">
        <f>IFERROR(__xludf.DUMMYFUNCTION("""COMPUTED_VALUE"""),0.0)</f>
        <v>0</v>
      </c>
      <c r="D24" s="3">
        <f>IFERROR(__xludf.DUMMYFUNCTION("""COMPUTED_VALUE"""),2.0)</f>
        <v>2</v>
      </c>
      <c r="E24" s="3">
        <f>IFERROR(__xludf.DUMMYFUNCTION("""COMPUTED_VALUE"""),2.0)</f>
        <v>2</v>
      </c>
      <c r="F24" s="3">
        <f>IFERROR(__xludf.DUMMYFUNCTION("""COMPUTED_VALUE"""),4.0)</f>
        <v>4</v>
      </c>
      <c r="G24" s="3">
        <f>IFERROR(__xludf.DUMMYFUNCTION("""COMPUTED_VALUE"""),0.0)</f>
        <v>0</v>
      </c>
      <c r="H24" s="3">
        <f>IFERROR(__xludf.DUMMYFUNCTION("""COMPUTED_VALUE"""),0.0)</f>
        <v>0</v>
      </c>
      <c r="I24" s="3">
        <f>IFERROR(__xludf.DUMMYFUNCTION("""COMPUTED_VALUE"""),0.0)</f>
        <v>0</v>
      </c>
      <c r="J24" s="3">
        <f>IFERROR(__xludf.DUMMYFUNCTION("""COMPUTED_VALUE"""),0.0)</f>
        <v>0</v>
      </c>
      <c r="K24" s="3">
        <f>IFERROR(__xludf.DUMMYFUNCTION("""COMPUTED_VALUE"""),0.0)</f>
        <v>0</v>
      </c>
      <c r="L24" s="3">
        <f>IFERROR(__xludf.DUMMYFUNCTION("""COMPUTED_VALUE"""),12.0)</f>
        <v>12</v>
      </c>
      <c r="M24" s="3">
        <f>IFERROR(__xludf.DUMMYFUNCTION("""COMPUTED_VALUE"""),0.0)</f>
        <v>0</v>
      </c>
      <c r="N24" s="3">
        <f>IFERROR(__xludf.DUMMYFUNCTION("""COMPUTED_VALUE"""),2.0)</f>
        <v>2</v>
      </c>
      <c r="O24" s="3">
        <f>IFERROR(__xludf.DUMMYFUNCTION("""COMPUTED_VALUE"""),2.0)</f>
        <v>2</v>
      </c>
      <c r="P24" s="3">
        <f>IFERROR(__xludf.DUMMYFUNCTION("""COMPUTED_VALUE"""),4.0)</f>
        <v>4</v>
      </c>
    </row>
    <row r="25">
      <c r="A25" s="3" t="str">
        <f>IFERROR(__xludf.DUMMYFUNCTION("""COMPUTED_VALUE"""),"Argentine")</f>
        <v>Argentine</v>
      </c>
      <c r="B25" s="3">
        <f>IFERROR(__xludf.DUMMYFUNCTION("""COMPUTED_VALUE"""),25.0)</f>
        <v>25</v>
      </c>
      <c r="C25" s="3">
        <f>IFERROR(__xludf.DUMMYFUNCTION("""COMPUTED_VALUE"""),21.0)</f>
        <v>21</v>
      </c>
      <c r="D25" s="3">
        <f>IFERROR(__xludf.DUMMYFUNCTION("""COMPUTED_VALUE"""),26.0)</f>
        <v>26</v>
      </c>
      <c r="E25" s="3">
        <f>IFERROR(__xludf.DUMMYFUNCTION("""COMPUTED_VALUE"""),30.0)</f>
        <v>30</v>
      </c>
      <c r="F25" s="3">
        <f>IFERROR(__xludf.DUMMYFUNCTION("""COMPUTED_VALUE"""),77.0)</f>
        <v>77</v>
      </c>
      <c r="G25" s="3">
        <f>IFERROR(__xludf.DUMMYFUNCTION("""COMPUTED_VALUE"""),19.0)</f>
        <v>19</v>
      </c>
      <c r="H25" s="3">
        <f>IFERROR(__xludf.DUMMYFUNCTION("""COMPUTED_VALUE"""),0.0)</f>
        <v>0</v>
      </c>
      <c r="I25" s="3">
        <f>IFERROR(__xludf.DUMMYFUNCTION("""COMPUTED_VALUE"""),0.0)</f>
        <v>0</v>
      </c>
      <c r="J25" s="3">
        <f>IFERROR(__xludf.DUMMYFUNCTION("""COMPUTED_VALUE"""),0.0)</f>
        <v>0</v>
      </c>
      <c r="K25" s="3">
        <f>IFERROR(__xludf.DUMMYFUNCTION("""COMPUTED_VALUE"""),0.0)</f>
        <v>0</v>
      </c>
      <c r="L25" s="3">
        <f>IFERROR(__xludf.DUMMYFUNCTION("""COMPUTED_VALUE"""),44.0)</f>
        <v>44</v>
      </c>
      <c r="M25" s="3">
        <f>IFERROR(__xludf.DUMMYFUNCTION("""COMPUTED_VALUE"""),21.0)</f>
        <v>21</v>
      </c>
      <c r="N25" s="3">
        <f>IFERROR(__xludf.DUMMYFUNCTION("""COMPUTED_VALUE"""),26.0)</f>
        <v>26</v>
      </c>
      <c r="O25" s="3">
        <f>IFERROR(__xludf.DUMMYFUNCTION("""COMPUTED_VALUE"""),30.0)</f>
        <v>30</v>
      </c>
      <c r="P25" s="3">
        <f>IFERROR(__xludf.DUMMYFUNCTION("""COMPUTED_VALUE"""),77.0)</f>
        <v>77</v>
      </c>
    </row>
    <row r="26">
      <c r="A26" s="3" t="str">
        <f>IFERROR(__xludf.DUMMYFUNCTION("""COMPUTED_VALUE"""),"Arménie")</f>
        <v>Arménie</v>
      </c>
      <c r="B26" s="3">
        <f>IFERROR(__xludf.DUMMYFUNCTION("""COMPUTED_VALUE"""),8.0)</f>
        <v>8</v>
      </c>
      <c r="C26" s="3">
        <f>IFERROR(__xludf.DUMMYFUNCTION("""COMPUTED_VALUE"""),2.0)</f>
        <v>2</v>
      </c>
      <c r="D26" s="3">
        <f>IFERROR(__xludf.DUMMYFUNCTION("""COMPUTED_VALUE"""),11.0)</f>
        <v>11</v>
      </c>
      <c r="E26" s="3">
        <f>IFERROR(__xludf.DUMMYFUNCTION("""COMPUTED_VALUE"""),9.0)</f>
        <v>9</v>
      </c>
      <c r="F26" s="3">
        <f>IFERROR(__xludf.DUMMYFUNCTION("""COMPUTED_VALUE"""),22.0)</f>
        <v>22</v>
      </c>
      <c r="G26" s="3">
        <f>IFERROR(__xludf.DUMMYFUNCTION("""COMPUTED_VALUE"""),7.0)</f>
        <v>7</v>
      </c>
      <c r="H26" s="3">
        <f>IFERROR(__xludf.DUMMYFUNCTION("""COMPUTED_VALUE"""),0.0)</f>
        <v>0</v>
      </c>
      <c r="I26" s="3">
        <f>IFERROR(__xludf.DUMMYFUNCTION("""COMPUTED_VALUE"""),0.0)</f>
        <v>0</v>
      </c>
      <c r="J26" s="3">
        <f>IFERROR(__xludf.DUMMYFUNCTION("""COMPUTED_VALUE"""),0.0)</f>
        <v>0</v>
      </c>
      <c r="K26" s="3">
        <f>IFERROR(__xludf.DUMMYFUNCTION("""COMPUTED_VALUE"""),0.0)</f>
        <v>0</v>
      </c>
      <c r="L26" s="3">
        <f>IFERROR(__xludf.DUMMYFUNCTION("""COMPUTED_VALUE"""),15.0)</f>
        <v>15</v>
      </c>
      <c r="M26" s="3">
        <f>IFERROR(__xludf.DUMMYFUNCTION("""COMPUTED_VALUE"""),2.0)</f>
        <v>2</v>
      </c>
      <c r="N26" s="3">
        <f>IFERROR(__xludf.DUMMYFUNCTION("""COMPUTED_VALUE"""),11.0)</f>
        <v>11</v>
      </c>
      <c r="O26" s="3">
        <f>IFERROR(__xludf.DUMMYFUNCTION("""COMPUTED_VALUE"""),9.0)</f>
        <v>9</v>
      </c>
      <c r="P26" s="3">
        <f>IFERROR(__xludf.DUMMYFUNCTION("""COMPUTED_VALUE"""),22.0)</f>
        <v>22</v>
      </c>
    </row>
    <row r="27">
      <c r="A27" s="3" t="str">
        <f>IFERROR(__xludf.DUMMYFUNCTION("""COMPUTED_VALUE"""),"*Athlètes indépendants*[5]")</f>
        <v>*Athlètes indépendants*[5]</v>
      </c>
      <c r="B27" s="3">
        <f>IFERROR(__xludf.DUMMYFUNCTION("""COMPUTED_VALUE"""),4.0)</f>
        <v>4</v>
      </c>
      <c r="C27" s="3">
        <f>IFERROR(__xludf.DUMMYFUNCTION("""COMPUTED_VALUE"""),1.0)</f>
        <v>1</v>
      </c>
      <c r="D27" s="3">
        <f>IFERROR(__xludf.DUMMYFUNCTION("""COMPUTED_VALUE"""),1.0)</f>
        <v>1</v>
      </c>
      <c r="E27" s="3">
        <f>IFERROR(__xludf.DUMMYFUNCTION("""COMPUTED_VALUE"""),3.0)</f>
        <v>3</v>
      </c>
      <c r="F27" s="3">
        <f>IFERROR(__xludf.DUMMYFUNCTION("""COMPUTED_VALUE"""),5.0)</f>
        <v>5</v>
      </c>
      <c r="G27" s="3">
        <f>IFERROR(__xludf.DUMMYFUNCTION("""COMPUTED_VALUE"""),0.0)</f>
        <v>0</v>
      </c>
      <c r="H27" s="3">
        <f>IFERROR(__xludf.DUMMYFUNCTION("""COMPUTED_VALUE"""),0.0)</f>
        <v>0</v>
      </c>
      <c r="I27" s="3">
        <f>IFERROR(__xludf.DUMMYFUNCTION("""COMPUTED_VALUE"""),0.0)</f>
        <v>0</v>
      </c>
      <c r="J27" s="3">
        <f>IFERROR(__xludf.DUMMYFUNCTION("""COMPUTED_VALUE"""),0.0)</f>
        <v>0</v>
      </c>
      <c r="K27" s="3">
        <f>IFERROR(__xludf.DUMMYFUNCTION("""COMPUTED_VALUE"""),0.0)</f>
        <v>0</v>
      </c>
      <c r="L27" s="3">
        <f>IFERROR(__xludf.DUMMYFUNCTION("""COMPUTED_VALUE"""),4.0)</f>
        <v>4</v>
      </c>
      <c r="M27" s="3">
        <f>IFERROR(__xludf.DUMMYFUNCTION("""COMPUTED_VALUE"""),1.0)</f>
        <v>1</v>
      </c>
      <c r="N27" s="3">
        <f>IFERROR(__xludf.DUMMYFUNCTION("""COMPUTED_VALUE"""),1.0)</f>
        <v>1</v>
      </c>
      <c r="O27" s="3">
        <f>IFERROR(__xludf.DUMMYFUNCTION("""COMPUTED_VALUE"""),3.0)</f>
        <v>3</v>
      </c>
      <c r="P27" s="3">
        <f>IFERROR(__xludf.DUMMYFUNCTION("""COMPUTED_VALUE"""),5.0)</f>
        <v>5</v>
      </c>
    </row>
    <row r="28">
      <c r="A28" s="3" t="str">
        <f>IFERROR(__xludf.DUMMYFUNCTION("""COMPUTED_VALUE"""),"*Athlètes olympiques de Russie*")</f>
        <v>*Athlètes olympiques de Russie*</v>
      </c>
      <c r="B28" s="3">
        <f>IFERROR(__xludf.DUMMYFUNCTION("""COMPUTED_VALUE"""),0.0)</f>
        <v>0</v>
      </c>
      <c r="C28" s="3">
        <f>IFERROR(__xludf.DUMMYFUNCTION("""COMPUTED_VALUE"""),0.0)</f>
        <v>0</v>
      </c>
      <c r="D28" s="3">
        <f>IFERROR(__xludf.DUMMYFUNCTION("""COMPUTED_VALUE"""),0.0)</f>
        <v>0</v>
      </c>
      <c r="E28" s="3">
        <f>IFERROR(__xludf.DUMMYFUNCTION("""COMPUTED_VALUE"""),0.0)</f>
        <v>0</v>
      </c>
      <c r="F28" s="3">
        <f>IFERROR(__xludf.DUMMYFUNCTION("""COMPUTED_VALUE"""),0.0)</f>
        <v>0</v>
      </c>
      <c r="G28" s="3">
        <f>IFERROR(__xludf.DUMMYFUNCTION("""COMPUTED_VALUE"""),1.0)</f>
        <v>1</v>
      </c>
      <c r="H28" s="3">
        <f>IFERROR(__xludf.DUMMYFUNCTION("""COMPUTED_VALUE"""),2.0)</f>
        <v>2</v>
      </c>
      <c r="I28" s="3">
        <f>IFERROR(__xludf.DUMMYFUNCTION("""COMPUTED_VALUE"""),6.0)</f>
        <v>6</v>
      </c>
      <c r="J28" s="3">
        <f>IFERROR(__xludf.DUMMYFUNCTION("""COMPUTED_VALUE"""),9.0)</f>
        <v>9</v>
      </c>
      <c r="K28" s="3">
        <f>IFERROR(__xludf.DUMMYFUNCTION("""COMPUTED_VALUE"""),17.0)</f>
        <v>17</v>
      </c>
      <c r="L28" s="3">
        <f>IFERROR(__xludf.DUMMYFUNCTION("""COMPUTED_VALUE"""),1.0)</f>
        <v>1</v>
      </c>
      <c r="M28" s="3">
        <f>IFERROR(__xludf.DUMMYFUNCTION("""COMPUTED_VALUE"""),2.0)</f>
        <v>2</v>
      </c>
      <c r="N28" s="3">
        <f>IFERROR(__xludf.DUMMYFUNCTION("""COMPUTED_VALUE"""),6.0)</f>
        <v>6</v>
      </c>
      <c r="O28" s="3">
        <f>IFERROR(__xludf.DUMMYFUNCTION("""COMPUTED_VALUE"""),9.0)</f>
        <v>9</v>
      </c>
      <c r="P28" s="3">
        <f>IFERROR(__xludf.DUMMYFUNCTION("""COMPUTED_VALUE"""),17.0)</f>
        <v>17</v>
      </c>
    </row>
    <row r="29">
      <c r="A29" s="3" t="str">
        <f>IFERROR(__xludf.DUMMYFUNCTION("""COMPUTED_VALUE"""),"*Australasie*[6]")</f>
        <v>*Australasie*[6]</v>
      </c>
      <c r="B29" s="3">
        <f>IFERROR(__xludf.DUMMYFUNCTION("""COMPUTED_VALUE"""),2.0)</f>
        <v>2</v>
      </c>
      <c r="C29" s="3">
        <f>IFERROR(__xludf.DUMMYFUNCTION("""COMPUTED_VALUE"""),3.0)</f>
        <v>3</v>
      </c>
      <c r="D29" s="3">
        <f>IFERROR(__xludf.DUMMYFUNCTION("""COMPUTED_VALUE"""),4.0)</f>
        <v>4</v>
      </c>
      <c r="E29" s="3">
        <f>IFERROR(__xludf.DUMMYFUNCTION("""COMPUTED_VALUE"""),5.0)</f>
        <v>5</v>
      </c>
      <c r="F29" s="3">
        <f>IFERROR(__xludf.DUMMYFUNCTION("""COMPUTED_VALUE"""),12.0)</f>
        <v>12</v>
      </c>
      <c r="G29" s="3">
        <f>IFERROR(__xludf.DUMMYFUNCTION("""COMPUTED_VALUE"""),0.0)</f>
        <v>0</v>
      </c>
      <c r="H29" s="3">
        <f>IFERROR(__xludf.DUMMYFUNCTION("""COMPUTED_VALUE"""),0.0)</f>
        <v>0</v>
      </c>
      <c r="I29" s="3">
        <f>IFERROR(__xludf.DUMMYFUNCTION("""COMPUTED_VALUE"""),0.0)</f>
        <v>0</v>
      </c>
      <c r="J29" s="3">
        <f>IFERROR(__xludf.DUMMYFUNCTION("""COMPUTED_VALUE"""),0.0)</f>
        <v>0</v>
      </c>
      <c r="K29" s="3">
        <f>IFERROR(__xludf.DUMMYFUNCTION("""COMPUTED_VALUE"""),0.0)</f>
        <v>0</v>
      </c>
      <c r="L29" s="3">
        <f>IFERROR(__xludf.DUMMYFUNCTION("""COMPUTED_VALUE"""),2.0)</f>
        <v>2</v>
      </c>
      <c r="M29" s="3">
        <f>IFERROR(__xludf.DUMMYFUNCTION("""COMPUTED_VALUE"""),3.0)</f>
        <v>3</v>
      </c>
      <c r="N29" s="3">
        <f>IFERROR(__xludf.DUMMYFUNCTION("""COMPUTED_VALUE"""),4.0)</f>
        <v>4</v>
      </c>
      <c r="O29" s="3">
        <f>IFERROR(__xludf.DUMMYFUNCTION("""COMPUTED_VALUE"""),5.0)</f>
        <v>5</v>
      </c>
      <c r="P29" s="3">
        <f>IFERROR(__xludf.DUMMYFUNCTION("""COMPUTED_VALUE"""),12.0)</f>
        <v>12</v>
      </c>
    </row>
    <row r="30">
      <c r="A30" s="3" t="str">
        <f>IFERROR(__xludf.DUMMYFUNCTION("""COMPUTED_VALUE"""),"Australie[7],[8]")</f>
        <v>Australie[7],[8]</v>
      </c>
      <c r="B30" s="3">
        <f>IFERROR(__xludf.DUMMYFUNCTION("""COMPUTED_VALUE"""),27.0)</f>
        <v>27</v>
      </c>
      <c r="C30" s="3">
        <f>IFERROR(__xludf.DUMMYFUNCTION("""COMPUTED_VALUE"""),182.0)</f>
        <v>182</v>
      </c>
      <c r="D30" s="3">
        <f>IFERROR(__xludf.DUMMYFUNCTION("""COMPUTED_VALUE"""),192.0)</f>
        <v>192</v>
      </c>
      <c r="E30" s="3">
        <f>IFERROR(__xludf.DUMMYFUNCTION("""COMPUTED_VALUE"""),226.0)</f>
        <v>226</v>
      </c>
      <c r="F30" s="3">
        <f>IFERROR(__xludf.DUMMYFUNCTION("""COMPUTED_VALUE"""),600.0)</f>
        <v>600</v>
      </c>
      <c r="G30" s="3">
        <f>IFERROR(__xludf.DUMMYFUNCTION("""COMPUTED_VALUE"""),19.0)</f>
        <v>19</v>
      </c>
      <c r="H30" s="3">
        <f>IFERROR(__xludf.DUMMYFUNCTION("""COMPUTED_VALUE"""),5.0)</f>
        <v>5</v>
      </c>
      <c r="I30" s="3">
        <f>IFERROR(__xludf.DUMMYFUNCTION("""COMPUTED_VALUE"""),5.0)</f>
        <v>5</v>
      </c>
      <c r="J30" s="3">
        <f>IFERROR(__xludf.DUMMYFUNCTION("""COMPUTED_VALUE"""),5.0)</f>
        <v>5</v>
      </c>
      <c r="K30" s="3">
        <f>IFERROR(__xludf.DUMMYFUNCTION("""COMPUTED_VALUE"""),15.0)</f>
        <v>15</v>
      </c>
      <c r="L30" s="3">
        <f>IFERROR(__xludf.DUMMYFUNCTION("""COMPUTED_VALUE"""),46.0)</f>
        <v>46</v>
      </c>
      <c r="M30" s="3">
        <f>IFERROR(__xludf.DUMMYFUNCTION("""COMPUTED_VALUE"""),187.0)</f>
        <v>187</v>
      </c>
      <c r="N30" s="3">
        <f>IFERROR(__xludf.DUMMYFUNCTION("""COMPUTED_VALUE"""),197.0)</f>
        <v>197</v>
      </c>
      <c r="O30" s="3">
        <f>IFERROR(__xludf.DUMMYFUNCTION("""COMPUTED_VALUE"""),231.0)</f>
        <v>231</v>
      </c>
      <c r="P30" s="3">
        <f>IFERROR(__xludf.DUMMYFUNCTION("""COMPUTED_VALUE"""),615.0)</f>
        <v>615</v>
      </c>
    </row>
    <row r="31">
      <c r="A31" s="3" t="str">
        <f>IFERROR(__xludf.DUMMYFUNCTION("""COMPUTED_VALUE"""),"Autriche")</f>
        <v>Autriche</v>
      </c>
      <c r="B31" s="3">
        <f>IFERROR(__xludf.DUMMYFUNCTION("""COMPUTED_VALUE"""),28.0)</f>
        <v>28</v>
      </c>
      <c r="C31" s="3">
        <f>IFERROR(__xludf.DUMMYFUNCTION("""COMPUTED_VALUE"""),19.0)</f>
        <v>19</v>
      </c>
      <c r="D31" s="3">
        <f>IFERROR(__xludf.DUMMYFUNCTION("""COMPUTED_VALUE"""),34.0)</f>
        <v>34</v>
      </c>
      <c r="E31" s="3">
        <f>IFERROR(__xludf.DUMMYFUNCTION("""COMPUTED_VALUE"""),41.0)</f>
        <v>41</v>
      </c>
      <c r="F31" s="3">
        <f>IFERROR(__xludf.DUMMYFUNCTION("""COMPUTED_VALUE"""),94.0)</f>
        <v>94</v>
      </c>
      <c r="G31" s="3">
        <f>IFERROR(__xludf.DUMMYFUNCTION("""COMPUTED_VALUE"""),23.0)</f>
        <v>23</v>
      </c>
      <c r="H31" s="3">
        <f>IFERROR(__xludf.DUMMYFUNCTION("""COMPUTED_VALUE"""),64.0)</f>
        <v>64</v>
      </c>
      <c r="I31" s="3">
        <f>IFERROR(__xludf.DUMMYFUNCTION("""COMPUTED_VALUE"""),81.0)</f>
        <v>81</v>
      </c>
      <c r="J31" s="3">
        <f>IFERROR(__xludf.DUMMYFUNCTION("""COMPUTED_VALUE"""),87.0)</f>
        <v>87</v>
      </c>
      <c r="K31" s="3">
        <f>IFERROR(__xludf.DUMMYFUNCTION("""COMPUTED_VALUE"""),232.0)</f>
        <v>232</v>
      </c>
      <c r="L31" s="3">
        <f>IFERROR(__xludf.DUMMYFUNCTION("""COMPUTED_VALUE"""),51.0)</f>
        <v>51</v>
      </c>
      <c r="M31" s="3">
        <f>IFERROR(__xludf.DUMMYFUNCTION("""COMPUTED_VALUE"""),83.0)</f>
        <v>83</v>
      </c>
      <c r="N31" s="3">
        <f>IFERROR(__xludf.DUMMYFUNCTION("""COMPUTED_VALUE"""),115.0)</f>
        <v>115</v>
      </c>
      <c r="O31" s="3">
        <f>IFERROR(__xludf.DUMMYFUNCTION("""COMPUTED_VALUE"""),128.0)</f>
        <v>128</v>
      </c>
      <c r="P31" s="3">
        <f>IFERROR(__xludf.DUMMYFUNCTION("""COMPUTED_VALUE"""),326.0)</f>
        <v>326</v>
      </c>
    </row>
    <row r="32">
      <c r="A32" s="3" t="str">
        <f>IFERROR(__xludf.DUMMYFUNCTION("""COMPUTED_VALUE"""),"Azerbaïdjan")</f>
        <v>Azerbaïdjan</v>
      </c>
      <c r="B32" s="3">
        <f>IFERROR(__xludf.DUMMYFUNCTION("""COMPUTED_VALUE"""),7.0)</f>
        <v>7</v>
      </c>
      <c r="C32" s="3">
        <f>IFERROR(__xludf.DUMMYFUNCTION("""COMPUTED_VALUE"""),7.0)</f>
        <v>7</v>
      </c>
      <c r="D32" s="3">
        <f>IFERROR(__xludf.DUMMYFUNCTION("""COMPUTED_VALUE"""),14.0)</f>
        <v>14</v>
      </c>
      <c r="E32" s="3">
        <f>IFERROR(__xludf.DUMMYFUNCTION("""COMPUTED_VALUE"""),28.0)</f>
        <v>28</v>
      </c>
      <c r="F32" s="3">
        <f>IFERROR(__xludf.DUMMYFUNCTION("""COMPUTED_VALUE"""),49.0)</f>
        <v>49</v>
      </c>
      <c r="G32" s="3">
        <f>IFERROR(__xludf.DUMMYFUNCTION("""COMPUTED_VALUE"""),6.0)</f>
        <v>6</v>
      </c>
      <c r="H32" s="3">
        <f>IFERROR(__xludf.DUMMYFUNCTION("""COMPUTED_VALUE"""),0.0)</f>
        <v>0</v>
      </c>
      <c r="I32" s="3">
        <f>IFERROR(__xludf.DUMMYFUNCTION("""COMPUTED_VALUE"""),0.0)</f>
        <v>0</v>
      </c>
      <c r="J32" s="3">
        <f>IFERROR(__xludf.DUMMYFUNCTION("""COMPUTED_VALUE"""),0.0)</f>
        <v>0</v>
      </c>
      <c r="K32" s="3">
        <f>IFERROR(__xludf.DUMMYFUNCTION("""COMPUTED_VALUE"""),0.0)</f>
        <v>0</v>
      </c>
      <c r="L32" s="3">
        <f>IFERROR(__xludf.DUMMYFUNCTION("""COMPUTED_VALUE"""),13.0)</f>
        <v>13</v>
      </c>
      <c r="M32" s="3">
        <f>IFERROR(__xludf.DUMMYFUNCTION("""COMPUTED_VALUE"""),7.0)</f>
        <v>7</v>
      </c>
      <c r="N32" s="3">
        <f>IFERROR(__xludf.DUMMYFUNCTION("""COMPUTED_VALUE"""),14.0)</f>
        <v>14</v>
      </c>
      <c r="O32" s="3">
        <f>IFERROR(__xludf.DUMMYFUNCTION("""COMPUTED_VALUE"""),28.0)</f>
        <v>28</v>
      </c>
      <c r="P32" s="3">
        <f>IFERROR(__xludf.DUMMYFUNCTION("""COMPUTED_VALUE"""),49.0)</f>
        <v>49</v>
      </c>
    </row>
    <row r="33">
      <c r="A33" s="3" t="str">
        <f>IFERROR(__xludf.DUMMYFUNCTION("""COMPUTED_VALUE"""),"Bahamas")</f>
        <v>Bahamas</v>
      </c>
      <c r="B33" s="3">
        <f>IFERROR(__xludf.DUMMYFUNCTION("""COMPUTED_VALUE"""),18.0)</f>
        <v>18</v>
      </c>
      <c r="C33" s="3">
        <f>IFERROR(__xludf.DUMMYFUNCTION("""COMPUTED_VALUE"""),8.0)</f>
        <v>8</v>
      </c>
      <c r="D33" s="3">
        <f>IFERROR(__xludf.DUMMYFUNCTION("""COMPUTED_VALUE"""),2.0)</f>
        <v>2</v>
      </c>
      <c r="E33" s="3">
        <f>IFERROR(__xludf.DUMMYFUNCTION("""COMPUTED_VALUE"""),6.0)</f>
        <v>6</v>
      </c>
      <c r="F33" s="3">
        <f>IFERROR(__xludf.DUMMYFUNCTION("""COMPUTED_VALUE"""),16.0)</f>
        <v>16</v>
      </c>
      <c r="G33" s="3">
        <f>IFERROR(__xludf.DUMMYFUNCTION("""COMPUTED_VALUE"""),0.0)</f>
        <v>0</v>
      </c>
      <c r="H33" s="3">
        <f>IFERROR(__xludf.DUMMYFUNCTION("""COMPUTED_VALUE"""),0.0)</f>
        <v>0</v>
      </c>
      <c r="I33" s="3">
        <f>IFERROR(__xludf.DUMMYFUNCTION("""COMPUTED_VALUE"""),0.0)</f>
        <v>0</v>
      </c>
      <c r="J33" s="3">
        <f>IFERROR(__xludf.DUMMYFUNCTION("""COMPUTED_VALUE"""),0.0)</f>
        <v>0</v>
      </c>
      <c r="K33" s="3">
        <f>IFERROR(__xludf.DUMMYFUNCTION("""COMPUTED_VALUE"""),0.0)</f>
        <v>0</v>
      </c>
      <c r="L33" s="3">
        <f>IFERROR(__xludf.DUMMYFUNCTION("""COMPUTED_VALUE"""),18.0)</f>
        <v>18</v>
      </c>
      <c r="M33" s="3">
        <f>IFERROR(__xludf.DUMMYFUNCTION("""COMPUTED_VALUE"""),8.0)</f>
        <v>8</v>
      </c>
      <c r="N33" s="3">
        <f>IFERROR(__xludf.DUMMYFUNCTION("""COMPUTED_VALUE"""),2.0)</f>
        <v>2</v>
      </c>
      <c r="O33" s="3">
        <f>IFERROR(__xludf.DUMMYFUNCTION("""COMPUTED_VALUE"""),6.0)</f>
        <v>6</v>
      </c>
      <c r="P33" s="3">
        <f>IFERROR(__xludf.DUMMYFUNCTION("""COMPUTED_VALUE"""),16.0)</f>
        <v>16</v>
      </c>
    </row>
    <row r="34">
      <c r="A34" s="3" t="str">
        <f>IFERROR(__xludf.DUMMYFUNCTION("""COMPUTED_VALUE"""),"Bahreïn")</f>
        <v>Bahreïn</v>
      </c>
      <c r="B34" s="3">
        <f>IFERROR(__xludf.DUMMYFUNCTION("""COMPUTED_VALUE"""),10.0)</f>
        <v>10</v>
      </c>
      <c r="C34" s="3">
        <f>IFERROR(__xludf.DUMMYFUNCTION("""COMPUTED_VALUE"""),2.0)</f>
        <v>2</v>
      </c>
      <c r="D34" s="3">
        <f>IFERROR(__xludf.DUMMYFUNCTION("""COMPUTED_VALUE"""),2.0)</f>
        <v>2</v>
      </c>
      <c r="E34" s="3">
        <f>IFERROR(__xludf.DUMMYFUNCTION("""COMPUTED_VALUE"""),0.0)</f>
        <v>0</v>
      </c>
      <c r="F34" s="3">
        <f>IFERROR(__xludf.DUMMYFUNCTION("""COMPUTED_VALUE"""),4.0)</f>
        <v>4</v>
      </c>
      <c r="G34" s="3">
        <f>IFERROR(__xludf.DUMMYFUNCTION("""COMPUTED_VALUE"""),0.0)</f>
        <v>0</v>
      </c>
      <c r="H34" s="3">
        <f>IFERROR(__xludf.DUMMYFUNCTION("""COMPUTED_VALUE"""),0.0)</f>
        <v>0</v>
      </c>
      <c r="I34" s="3">
        <f>IFERROR(__xludf.DUMMYFUNCTION("""COMPUTED_VALUE"""),0.0)</f>
        <v>0</v>
      </c>
      <c r="J34" s="3">
        <f>IFERROR(__xludf.DUMMYFUNCTION("""COMPUTED_VALUE"""),0.0)</f>
        <v>0</v>
      </c>
      <c r="K34" s="3">
        <f>IFERROR(__xludf.DUMMYFUNCTION("""COMPUTED_VALUE"""),0.0)</f>
        <v>0</v>
      </c>
      <c r="L34" s="3">
        <f>IFERROR(__xludf.DUMMYFUNCTION("""COMPUTED_VALUE"""),10.0)</f>
        <v>10</v>
      </c>
      <c r="M34" s="3">
        <f>IFERROR(__xludf.DUMMYFUNCTION("""COMPUTED_VALUE"""),2.0)</f>
        <v>2</v>
      </c>
      <c r="N34" s="3">
        <f>IFERROR(__xludf.DUMMYFUNCTION("""COMPUTED_VALUE"""),2.0)</f>
        <v>2</v>
      </c>
      <c r="O34" s="3">
        <f>IFERROR(__xludf.DUMMYFUNCTION("""COMPUTED_VALUE"""),0.0)</f>
        <v>0</v>
      </c>
      <c r="P34" s="3">
        <f>IFERROR(__xludf.DUMMYFUNCTION("""COMPUTED_VALUE"""),4.0)</f>
        <v>4</v>
      </c>
    </row>
    <row r="35">
      <c r="A35" s="3" t="str">
        <f>IFERROR(__xludf.DUMMYFUNCTION("""COMPUTED_VALUE"""),"Barbade[9]")</f>
        <v>Barbade[9]</v>
      </c>
      <c r="B35" s="3">
        <f>IFERROR(__xludf.DUMMYFUNCTION("""COMPUTED_VALUE"""),13.0)</f>
        <v>13</v>
      </c>
      <c r="C35" s="3">
        <f>IFERROR(__xludf.DUMMYFUNCTION("""COMPUTED_VALUE"""),0.0)</f>
        <v>0</v>
      </c>
      <c r="D35" s="3">
        <f>IFERROR(__xludf.DUMMYFUNCTION("""COMPUTED_VALUE"""),0.0)</f>
        <v>0</v>
      </c>
      <c r="E35" s="3">
        <f>IFERROR(__xludf.DUMMYFUNCTION("""COMPUTED_VALUE"""),1.0)</f>
        <v>1</v>
      </c>
      <c r="F35" s="3">
        <f>IFERROR(__xludf.DUMMYFUNCTION("""COMPUTED_VALUE"""),1.0)</f>
        <v>1</v>
      </c>
      <c r="G35" s="3">
        <f>IFERROR(__xludf.DUMMYFUNCTION("""COMPUTED_VALUE"""),0.0)</f>
        <v>0</v>
      </c>
      <c r="H35" s="3">
        <f>IFERROR(__xludf.DUMMYFUNCTION("""COMPUTED_VALUE"""),0.0)</f>
        <v>0</v>
      </c>
      <c r="I35" s="3">
        <f>IFERROR(__xludf.DUMMYFUNCTION("""COMPUTED_VALUE"""),0.0)</f>
        <v>0</v>
      </c>
      <c r="J35" s="3">
        <f>IFERROR(__xludf.DUMMYFUNCTION("""COMPUTED_VALUE"""),0.0)</f>
        <v>0</v>
      </c>
      <c r="K35" s="3">
        <f>IFERROR(__xludf.DUMMYFUNCTION("""COMPUTED_VALUE"""),0.0)</f>
        <v>0</v>
      </c>
      <c r="L35" s="3">
        <f>IFERROR(__xludf.DUMMYFUNCTION("""COMPUTED_VALUE"""),13.0)</f>
        <v>13</v>
      </c>
      <c r="M35" s="3">
        <f>IFERROR(__xludf.DUMMYFUNCTION("""COMPUTED_VALUE"""),0.0)</f>
        <v>0</v>
      </c>
      <c r="N35" s="3">
        <f>IFERROR(__xludf.DUMMYFUNCTION("""COMPUTED_VALUE"""),0.0)</f>
        <v>0</v>
      </c>
      <c r="O35" s="3">
        <f>IFERROR(__xludf.DUMMYFUNCTION("""COMPUTED_VALUE"""),1.0)</f>
        <v>1</v>
      </c>
      <c r="P35" s="3">
        <f>IFERROR(__xludf.DUMMYFUNCTION("""COMPUTED_VALUE"""),1.0)</f>
        <v>1</v>
      </c>
    </row>
    <row r="36">
      <c r="A36" s="3" t="str">
        <f>IFERROR(__xludf.DUMMYFUNCTION("""COMPUTED_VALUE"""),"Belgique")</f>
        <v>Belgique</v>
      </c>
      <c r="B36" s="3">
        <f>IFERROR(__xludf.DUMMYFUNCTION("""COMPUTED_VALUE"""),27.0)</f>
        <v>27</v>
      </c>
      <c r="C36" s="3">
        <f>IFERROR(__xludf.DUMMYFUNCTION("""COMPUTED_VALUE"""),43.0)</f>
        <v>43</v>
      </c>
      <c r="D36" s="3">
        <f>IFERROR(__xludf.DUMMYFUNCTION("""COMPUTED_VALUE"""),54.0)</f>
        <v>54</v>
      </c>
      <c r="E36" s="3">
        <f>IFERROR(__xludf.DUMMYFUNCTION("""COMPUTED_VALUE"""),58.0)</f>
        <v>58</v>
      </c>
      <c r="F36" s="3">
        <f>IFERROR(__xludf.DUMMYFUNCTION("""COMPUTED_VALUE"""),155.0)</f>
        <v>155</v>
      </c>
      <c r="G36" s="3">
        <f>IFERROR(__xludf.DUMMYFUNCTION("""COMPUTED_VALUE"""),21.0)</f>
        <v>21</v>
      </c>
      <c r="H36" s="3">
        <f>IFERROR(__xludf.DUMMYFUNCTION("""COMPUTED_VALUE"""),1.0)</f>
        <v>1</v>
      </c>
      <c r="I36" s="3">
        <f>IFERROR(__xludf.DUMMYFUNCTION("""COMPUTED_VALUE"""),2.0)</f>
        <v>2</v>
      </c>
      <c r="J36" s="3">
        <f>IFERROR(__xludf.DUMMYFUNCTION("""COMPUTED_VALUE"""),3.0)</f>
        <v>3</v>
      </c>
      <c r="K36" s="3">
        <f>IFERROR(__xludf.DUMMYFUNCTION("""COMPUTED_VALUE"""),6.0)</f>
        <v>6</v>
      </c>
      <c r="L36" s="3">
        <f>IFERROR(__xludf.DUMMYFUNCTION("""COMPUTED_VALUE"""),47.0)</f>
        <v>47</v>
      </c>
      <c r="M36" s="3">
        <f>IFERROR(__xludf.DUMMYFUNCTION("""COMPUTED_VALUE"""),44.0)</f>
        <v>44</v>
      </c>
      <c r="N36" s="3">
        <f>IFERROR(__xludf.DUMMYFUNCTION("""COMPUTED_VALUE"""),56.0)</f>
        <v>56</v>
      </c>
      <c r="O36" s="3">
        <f>IFERROR(__xludf.DUMMYFUNCTION("""COMPUTED_VALUE"""),61.0)</f>
        <v>61</v>
      </c>
      <c r="P36" s="3">
        <f>IFERROR(__xludf.DUMMYFUNCTION("""COMPUTED_VALUE"""),161.0)</f>
        <v>161</v>
      </c>
    </row>
    <row r="37">
      <c r="A37" s="3" t="str">
        <f>IFERROR(__xludf.DUMMYFUNCTION("""COMPUTED_VALUE"""),"Bermudes")</f>
        <v>Bermudes</v>
      </c>
      <c r="B37" s="3">
        <f>IFERROR(__xludf.DUMMYFUNCTION("""COMPUTED_VALUE"""),19.0)</f>
        <v>19</v>
      </c>
      <c r="C37" s="3">
        <f>IFERROR(__xludf.DUMMYFUNCTION("""COMPUTED_VALUE"""),1.0)</f>
        <v>1</v>
      </c>
      <c r="D37" s="3">
        <f>IFERROR(__xludf.DUMMYFUNCTION("""COMPUTED_VALUE"""),0.0)</f>
        <v>0</v>
      </c>
      <c r="E37" s="3">
        <f>IFERROR(__xludf.DUMMYFUNCTION("""COMPUTED_VALUE"""),1.0)</f>
        <v>1</v>
      </c>
      <c r="F37" s="3">
        <f>IFERROR(__xludf.DUMMYFUNCTION("""COMPUTED_VALUE"""),2.0)</f>
        <v>2</v>
      </c>
      <c r="G37" s="3">
        <f>IFERROR(__xludf.DUMMYFUNCTION("""COMPUTED_VALUE"""),8.0)</f>
        <v>8</v>
      </c>
      <c r="H37" s="3">
        <f>IFERROR(__xludf.DUMMYFUNCTION("""COMPUTED_VALUE"""),0.0)</f>
        <v>0</v>
      </c>
      <c r="I37" s="3">
        <f>IFERROR(__xludf.DUMMYFUNCTION("""COMPUTED_VALUE"""),0.0)</f>
        <v>0</v>
      </c>
      <c r="J37" s="3">
        <f>IFERROR(__xludf.DUMMYFUNCTION("""COMPUTED_VALUE"""),0.0)</f>
        <v>0</v>
      </c>
      <c r="K37" s="3">
        <f>IFERROR(__xludf.DUMMYFUNCTION("""COMPUTED_VALUE"""),0.0)</f>
        <v>0</v>
      </c>
      <c r="L37" s="3">
        <f>IFERROR(__xludf.DUMMYFUNCTION("""COMPUTED_VALUE"""),27.0)</f>
        <v>27</v>
      </c>
      <c r="M37" s="3">
        <f>IFERROR(__xludf.DUMMYFUNCTION("""COMPUTED_VALUE"""),1.0)</f>
        <v>1</v>
      </c>
      <c r="N37" s="3">
        <f>IFERROR(__xludf.DUMMYFUNCTION("""COMPUTED_VALUE"""),0.0)</f>
        <v>0</v>
      </c>
      <c r="O37" s="3">
        <f>IFERROR(__xludf.DUMMYFUNCTION("""COMPUTED_VALUE"""),1.0)</f>
        <v>1</v>
      </c>
      <c r="P37" s="3">
        <f>IFERROR(__xludf.DUMMYFUNCTION("""COMPUTED_VALUE"""),2.0)</f>
        <v>2</v>
      </c>
    </row>
    <row r="38">
      <c r="A38" s="3" t="str">
        <f>IFERROR(__xludf.DUMMYFUNCTION("""COMPUTED_VALUE"""),"Biélorussie")</f>
        <v>Biélorussie</v>
      </c>
      <c r="B38" s="3">
        <f>IFERROR(__xludf.DUMMYFUNCTION("""COMPUTED_VALUE"""),7.0)</f>
        <v>7</v>
      </c>
      <c r="C38" s="3">
        <f>IFERROR(__xludf.DUMMYFUNCTION("""COMPUTED_VALUE"""),13.0)</f>
        <v>13</v>
      </c>
      <c r="D38" s="3">
        <f>IFERROR(__xludf.DUMMYFUNCTION("""COMPUTED_VALUE"""),30.0)</f>
        <v>30</v>
      </c>
      <c r="E38" s="3">
        <f>IFERROR(__xludf.DUMMYFUNCTION("""COMPUTED_VALUE"""),42.0)</f>
        <v>42</v>
      </c>
      <c r="F38" s="3">
        <f>IFERROR(__xludf.DUMMYFUNCTION("""COMPUTED_VALUE"""),85.0)</f>
        <v>85</v>
      </c>
      <c r="G38" s="3">
        <f>IFERROR(__xludf.DUMMYFUNCTION("""COMPUTED_VALUE"""),7.0)</f>
        <v>7</v>
      </c>
      <c r="H38" s="3">
        <f>IFERROR(__xludf.DUMMYFUNCTION("""COMPUTED_VALUE"""),8.0)</f>
        <v>8</v>
      </c>
      <c r="I38" s="3">
        <f>IFERROR(__xludf.DUMMYFUNCTION("""COMPUTED_VALUE"""),5.0)</f>
        <v>5</v>
      </c>
      <c r="J38" s="3">
        <f>IFERROR(__xludf.DUMMYFUNCTION("""COMPUTED_VALUE"""),5.0)</f>
        <v>5</v>
      </c>
      <c r="K38" s="3">
        <f>IFERROR(__xludf.DUMMYFUNCTION("""COMPUTED_VALUE"""),18.0)</f>
        <v>18</v>
      </c>
      <c r="L38" s="3">
        <f>IFERROR(__xludf.DUMMYFUNCTION("""COMPUTED_VALUE"""),14.0)</f>
        <v>14</v>
      </c>
      <c r="M38" s="3">
        <f>IFERROR(__xludf.DUMMYFUNCTION("""COMPUTED_VALUE"""),21.0)</f>
        <v>21</v>
      </c>
      <c r="N38" s="3">
        <f>IFERROR(__xludf.DUMMYFUNCTION("""COMPUTED_VALUE"""),35.0)</f>
        <v>35</v>
      </c>
      <c r="O38" s="3">
        <f>IFERROR(__xludf.DUMMYFUNCTION("""COMPUTED_VALUE"""),47.0)</f>
        <v>47</v>
      </c>
      <c r="P38" s="3">
        <f>IFERROR(__xludf.DUMMYFUNCTION("""COMPUTED_VALUE"""),103.0)</f>
        <v>103</v>
      </c>
    </row>
    <row r="39">
      <c r="A39" s="3" t="str">
        <f>IFERROR(__xludf.DUMMYFUNCTION("""COMPUTED_VALUE"""),"*Bohême*[10],[8]")</f>
        <v>*Bohême*[10],[8]</v>
      </c>
      <c r="B39" s="3">
        <f>IFERROR(__xludf.DUMMYFUNCTION("""COMPUTED_VALUE"""),3.0)</f>
        <v>3</v>
      </c>
      <c r="C39" s="3">
        <f>IFERROR(__xludf.DUMMYFUNCTION("""COMPUTED_VALUE"""),0.0)</f>
        <v>0</v>
      </c>
      <c r="D39" s="3">
        <f>IFERROR(__xludf.DUMMYFUNCTION("""COMPUTED_VALUE"""),1.0)</f>
        <v>1</v>
      </c>
      <c r="E39" s="3">
        <f>IFERROR(__xludf.DUMMYFUNCTION("""COMPUTED_VALUE"""),3.0)</f>
        <v>3</v>
      </c>
      <c r="F39" s="3">
        <f>IFERROR(__xludf.DUMMYFUNCTION("""COMPUTED_VALUE"""),4.0)</f>
        <v>4</v>
      </c>
      <c r="G39" s="3">
        <f>IFERROR(__xludf.DUMMYFUNCTION("""COMPUTED_VALUE"""),0.0)</f>
        <v>0</v>
      </c>
      <c r="H39" s="3">
        <f>IFERROR(__xludf.DUMMYFUNCTION("""COMPUTED_VALUE"""),0.0)</f>
        <v>0</v>
      </c>
      <c r="I39" s="3">
        <f>IFERROR(__xludf.DUMMYFUNCTION("""COMPUTED_VALUE"""),0.0)</f>
        <v>0</v>
      </c>
      <c r="J39" s="3">
        <f>IFERROR(__xludf.DUMMYFUNCTION("""COMPUTED_VALUE"""),0.0)</f>
        <v>0</v>
      </c>
      <c r="K39" s="3">
        <f>IFERROR(__xludf.DUMMYFUNCTION("""COMPUTED_VALUE"""),0.0)</f>
        <v>0</v>
      </c>
      <c r="L39" s="3">
        <f>IFERROR(__xludf.DUMMYFUNCTION("""COMPUTED_VALUE"""),3.0)</f>
        <v>3</v>
      </c>
      <c r="M39" s="3">
        <f>IFERROR(__xludf.DUMMYFUNCTION("""COMPUTED_VALUE"""),0.0)</f>
        <v>0</v>
      </c>
      <c r="N39" s="3">
        <f>IFERROR(__xludf.DUMMYFUNCTION("""COMPUTED_VALUE"""),1.0)</f>
        <v>1</v>
      </c>
      <c r="O39" s="3">
        <f>IFERROR(__xludf.DUMMYFUNCTION("""COMPUTED_VALUE"""),3.0)</f>
        <v>3</v>
      </c>
      <c r="P39" s="3">
        <f>IFERROR(__xludf.DUMMYFUNCTION("""COMPUTED_VALUE"""),4.0)</f>
        <v>4</v>
      </c>
    </row>
    <row r="40">
      <c r="A40" s="3" t="str">
        <f>IFERROR(__xludf.DUMMYFUNCTION("""COMPUTED_VALUE"""),"Botswana")</f>
        <v>Botswana</v>
      </c>
      <c r="B40" s="3">
        <f>IFERROR(__xludf.DUMMYFUNCTION("""COMPUTED_VALUE"""),12.0)</f>
        <v>12</v>
      </c>
      <c r="C40" s="3">
        <f>IFERROR(__xludf.DUMMYFUNCTION("""COMPUTED_VALUE"""),1.0)</f>
        <v>1</v>
      </c>
      <c r="D40" s="3">
        <f>IFERROR(__xludf.DUMMYFUNCTION("""COMPUTED_VALUE"""),2.0)</f>
        <v>2</v>
      </c>
      <c r="E40" s="3">
        <f>IFERROR(__xludf.DUMMYFUNCTION("""COMPUTED_VALUE"""),1.0)</f>
        <v>1</v>
      </c>
      <c r="F40" s="3">
        <f>IFERROR(__xludf.DUMMYFUNCTION("""COMPUTED_VALUE"""),2.0)</f>
        <v>2</v>
      </c>
      <c r="G40" s="3">
        <f>IFERROR(__xludf.DUMMYFUNCTION("""COMPUTED_VALUE"""),0.0)</f>
        <v>0</v>
      </c>
      <c r="H40" s="3">
        <f>IFERROR(__xludf.DUMMYFUNCTION("""COMPUTED_VALUE"""),0.0)</f>
        <v>0</v>
      </c>
      <c r="I40" s="3">
        <f>IFERROR(__xludf.DUMMYFUNCTION("""COMPUTED_VALUE"""),0.0)</f>
        <v>0</v>
      </c>
      <c r="J40" s="3">
        <f>IFERROR(__xludf.DUMMYFUNCTION("""COMPUTED_VALUE"""),0.0)</f>
        <v>0</v>
      </c>
      <c r="K40" s="3">
        <f>IFERROR(__xludf.DUMMYFUNCTION("""COMPUTED_VALUE"""),0.0)</f>
        <v>0</v>
      </c>
      <c r="L40" s="3">
        <f>IFERROR(__xludf.DUMMYFUNCTION("""COMPUTED_VALUE"""),12.0)</f>
        <v>12</v>
      </c>
      <c r="M40" s="3">
        <f>IFERROR(__xludf.DUMMYFUNCTION("""COMPUTED_VALUE"""),1.0)</f>
        <v>1</v>
      </c>
      <c r="N40" s="3">
        <f>IFERROR(__xludf.DUMMYFUNCTION("""COMPUTED_VALUE"""),2.0)</f>
        <v>2</v>
      </c>
      <c r="O40" s="3">
        <f>IFERROR(__xludf.DUMMYFUNCTION("""COMPUTED_VALUE"""),1.0)</f>
        <v>1</v>
      </c>
      <c r="P40" s="3">
        <f>IFERROR(__xludf.DUMMYFUNCTION("""COMPUTED_VALUE"""),2.0)</f>
        <v>2</v>
      </c>
    </row>
    <row r="41">
      <c r="A41" s="3" t="str">
        <f>IFERROR(__xludf.DUMMYFUNCTION("""COMPUTED_VALUE"""),"Brésil")</f>
        <v>Brésil</v>
      </c>
      <c r="B41" s="3">
        <f>IFERROR(__xludf.DUMMYFUNCTION("""COMPUTED_VALUE"""),23.0)</f>
        <v>23</v>
      </c>
      <c r="C41" s="3">
        <f>IFERROR(__xludf.DUMMYFUNCTION("""COMPUTED_VALUE"""),37.0)</f>
        <v>37</v>
      </c>
      <c r="D41" s="3">
        <f>IFERROR(__xludf.DUMMYFUNCTION("""COMPUTED_VALUE"""),42.0)</f>
        <v>42</v>
      </c>
      <c r="E41" s="3">
        <f>IFERROR(__xludf.DUMMYFUNCTION("""COMPUTED_VALUE"""),71.0)</f>
        <v>71</v>
      </c>
      <c r="F41" s="3">
        <f>IFERROR(__xludf.DUMMYFUNCTION("""COMPUTED_VALUE"""),150.0)</f>
        <v>150</v>
      </c>
      <c r="G41" s="3">
        <f>IFERROR(__xludf.DUMMYFUNCTION("""COMPUTED_VALUE"""),8.0)</f>
        <v>8</v>
      </c>
      <c r="H41" s="3">
        <f>IFERROR(__xludf.DUMMYFUNCTION("""COMPUTED_VALUE"""),0.0)</f>
        <v>0</v>
      </c>
      <c r="I41" s="3">
        <f>IFERROR(__xludf.DUMMYFUNCTION("""COMPUTED_VALUE"""),0.0)</f>
        <v>0</v>
      </c>
      <c r="J41" s="3">
        <f>IFERROR(__xludf.DUMMYFUNCTION("""COMPUTED_VALUE"""),0.0)</f>
        <v>0</v>
      </c>
      <c r="K41" s="3">
        <f>IFERROR(__xludf.DUMMYFUNCTION("""COMPUTED_VALUE"""),0.0)</f>
        <v>0</v>
      </c>
      <c r="L41" s="3">
        <f>IFERROR(__xludf.DUMMYFUNCTION("""COMPUTED_VALUE"""),31.0)</f>
        <v>31</v>
      </c>
      <c r="M41" s="3">
        <f>IFERROR(__xludf.DUMMYFUNCTION("""COMPUTED_VALUE"""),37.0)</f>
        <v>37</v>
      </c>
      <c r="N41" s="3">
        <f>IFERROR(__xludf.DUMMYFUNCTION("""COMPUTED_VALUE"""),42.0)</f>
        <v>42</v>
      </c>
      <c r="O41" s="3">
        <f>IFERROR(__xludf.DUMMYFUNCTION("""COMPUTED_VALUE"""),71.0)</f>
        <v>71</v>
      </c>
      <c r="P41" s="3">
        <f>IFERROR(__xludf.DUMMYFUNCTION("""COMPUTED_VALUE"""),150.0)</f>
        <v>150</v>
      </c>
    </row>
    <row r="42">
      <c r="A42" s="3" t="str">
        <f>IFERROR(__xludf.DUMMYFUNCTION("""COMPUTED_VALUE"""),"Bulgarie")</f>
        <v>Bulgarie</v>
      </c>
      <c r="B42" s="3">
        <f>IFERROR(__xludf.DUMMYFUNCTION("""COMPUTED_VALUE"""),21.0)</f>
        <v>21</v>
      </c>
      <c r="C42" s="3">
        <f>IFERROR(__xludf.DUMMYFUNCTION("""COMPUTED_VALUE"""),54.0)</f>
        <v>54</v>
      </c>
      <c r="D42" s="3">
        <f>IFERROR(__xludf.DUMMYFUNCTION("""COMPUTED_VALUE"""),88.0)</f>
        <v>88</v>
      </c>
      <c r="E42" s="3">
        <f>IFERROR(__xludf.DUMMYFUNCTION("""COMPUTED_VALUE"""),82.0)</f>
        <v>82</v>
      </c>
      <c r="F42" s="3">
        <f>IFERROR(__xludf.DUMMYFUNCTION("""COMPUTED_VALUE"""),224.0)</f>
        <v>224</v>
      </c>
      <c r="G42" s="3">
        <f>IFERROR(__xludf.DUMMYFUNCTION("""COMPUTED_VALUE"""),20.0)</f>
        <v>20</v>
      </c>
      <c r="H42" s="3">
        <f>IFERROR(__xludf.DUMMYFUNCTION("""COMPUTED_VALUE"""),1.0)</f>
        <v>1</v>
      </c>
      <c r="I42" s="3">
        <f>IFERROR(__xludf.DUMMYFUNCTION("""COMPUTED_VALUE"""),2.0)</f>
        <v>2</v>
      </c>
      <c r="J42" s="3">
        <f>IFERROR(__xludf.DUMMYFUNCTION("""COMPUTED_VALUE"""),3.0)</f>
        <v>3</v>
      </c>
      <c r="K42" s="3">
        <f>IFERROR(__xludf.DUMMYFUNCTION("""COMPUTED_VALUE"""),6.0)</f>
        <v>6</v>
      </c>
      <c r="L42" s="3">
        <f>IFERROR(__xludf.DUMMYFUNCTION("""COMPUTED_VALUE"""),41.0)</f>
        <v>41</v>
      </c>
      <c r="M42" s="3">
        <f>IFERROR(__xludf.DUMMYFUNCTION("""COMPUTED_VALUE"""),55.0)</f>
        <v>55</v>
      </c>
      <c r="N42" s="3">
        <f>IFERROR(__xludf.DUMMYFUNCTION("""COMPUTED_VALUE"""),90.0)</f>
        <v>90</v>
      </c>
      <c r="O42" s="3">
        <f>IFERROR(__xludf.DUMMYFUNCTION("""COMPUTED_VALUE"""),85.0)</f>
        <v>85</v>
      </c>
      <c r="P42" s="3">
        <f>IFERROR(__xludf.DUMMYFUNCTION("""COMPUTED_VALUE"""),230.0)</f>
        <v>230</v>
      </c>
    </row>
    <row r="43">
      <c r="A43" s="3" t="str">
        <f>IFERROR(__xludf.DUMMYFUNCTION("""COMPUTED_VALUE"""),"Burkina Faso")</f>
        <v>Burkina Faso</v>
      </c>
      <c r="B43" s="3">
        <f>IFERROR(__xludf.DUMMYFUNCTION("""COMPUTED_VALUE"""),10.0)</f>
        <v>10</v>
      </c>
      <c r="C43" s="3">
        <f>IFERROR(__xludf.DUMMYFUNCTION("""COMPUTED_VALUE"""),0.0)</f>
        <v>0</v>
      </c>
      <c r="D43" s="3">
        <f>IFERROR(__xludf.DUMMYFUNCTION("""COMPUTED_VALUE"""),0.0)</f>
        <v>0</v>
      </c>
      <c r="E43" s="3">
        <f>IFERROR(__xludf.DUMMYFUNCTION("""COMPUTED_VALUE"""),1.0)</f>
        <v>1</v>
      </c>
      <c r="F43" s="3">
        <f>IFERROR(__xludf.DUMMYFUNCTION("""COMPUTED_VALUE"""),1.0)</f>
        <v>1</v>
      </c>
      <c r="G43" s="3">
        <f>IFERROR(__xludf.DUMMYFUNCTION("""COMPUTED_VALUE"""),0.0)</f>
        <v>0</v>
      </c>
      <c r="H43" s="3">
        <f>IFERROR(__xludf.DUMMYFUNCTION("""COMPUTED_VALUE"""),0.0)</f>
        <v>0</v>
      </c>
      <c r="I43" s="3">
        <f>IFERROR(__xludf.DUMMYFUNCTION("""COMPUTED_VALUE"""),0.0)</f>
        <v>0</v>
      </c>
      <c r="J43" s="3">
        <f>IFERROR(__xludf.DUMMYFUNCTION("""COMPUTED_VALUE"""),0.0)</f>
        <v>0</v>
      </c>
      <c r="K43" s="3">
        <f>IFERROR(__xludf.DUMMYFUNCTION("""COMPUTED_VALUE"""),0.0)</f>
        <v>0</v>
      </c>
      <c r="L43" s="3">
        <f>IFERROR(__xludf.DUMMYFUNCTION("""COMPUTED_VALUE"""),10.0)</f>
        <v>10</v>
      </c>
      <c r="M43" s="3">
        <f>IFERROR(__xludf.DUMMYFUNCTION("""COMPUTED_VALUE"""),0.0)</f>
        <v>0</v>
      </c>
      <c r="N43" s="3">
        <f>IFERROR(__xludf.DUMMYFUNCTION("""COMPUTED_VALUE"""),0.0)</f>
        <v>0</v>
      </c>
      <c r="O43" s="3">
        <f>IFERROR(__xludf.DUMMYFUNCTION("""COMPUTED_VALUE"""),1.0)</f>
        <v>1</v>
      </c>
      <c r="P43" s="3">
        <f>IFERROR(__xludf.DUMMYFUNCTION("""COMPUTED_VALUE"""),1.0)</f>
        <v>1</v>
      </c>
    </row>
    <row r="44">
      <c r="A44" s="3" t="str">
        <f>IFERROR(__xludf.DUMMYFUNCTION("""COMPUTED_VALUE"""),"Burundi")</f>
        <v>Burundi</v>
      </c>
      <c r="B44" s="3">
        <f>IFERROR(__xludf.DUMMYFUNCTION("""COMPUTED_VALUE"""),7.0)</f>
        <v>7</v>
      </c>
      <c r="C44" s="3">
        <f>IFERROR(__xludf.DUMMYFUNCTION("""COMPUTED_VALUE"""),1.0)</f>
        <v>1</v>
      </c>
      <c r="D44" s="3">
        <f>IFERROR(__xludf.DUMMYFUNCTION("""COMPUTED_VALUE"""),1.0)</f>
        <v>1</v>
      </c>
      <c r="E44" s="3">
        <f>IFERROR(__xludf.DUMMYFUNCTION("""COMPUTED_VALUE"""),0.0)</f>
        <v>0</v>
      </c>
      <c r="F44" s="3">
        <f>IFERROR(__xludf.DUMMYFUNCTION("""COMPUTED_VALUE"""),2.0)</f>
        <v>2</v>
      </c>
      <c r="G44" s="3">
        <f>IFERROR(__xludf.DUMMYFUNCTION("""COMPUTED_VALUE"""),0.0)</f>
        <v>0</v>
      </c>
      <c r="H44" s="3">
        <f>IFERROR(__xludf.DUMMYFUNCTION("""COMPUTED_VALUE"""),0.0)</f>
        <v>0</v>
      </c>
      <c r="I44" s="3">
        <f>IFERROR(__xludf.DUMMYFUNCTION("""COMPUTED_VALUE"""),0.0)</f>
        <v>0</v>
      </c>
      <c r="J44" s="3">
        <f>IFERROR(__xludf.DUMMYFUNCTION("""COMPUTED_VALUE"""),0.0)</f>
        <v>0</v>
      </c>
      <c r="K44" s="3">
        <f>IFERROR(__xludf.DUMMYFUNCTION("""COMPUTED_VALUE"""),0.0)</f>
        <v>0</v>
      </c>
      <c r="L44" s="3">
        <f>IFERROR(__xludf.DUMMYFUNCTION("""COMPUTED_VALUE"""),7.0)</f>
        <v>7</v>
      </c>
      <c r="M44" s="3">
        <f>IFERROR(__xludf.DUMMYFUNCTION("""COMPUTED_VALUE"""),1.0)</f>
        <v>1</v>
      </c>
      <c r="N44" s="3">
        <f>IFERROR(__xludf.DUMMYFUNCTION("""COMPUTED_VALUE"""),1.0)</f>
        <v>1</v>
      </c>
      <c r="O44" s="3">
        <f>IFERROR(__xludf.DUMMYFUNCTION("""COMPUTED_VALUE"""),0.0)</f>
        <v>0</v>
      </c>
      <c r="P44" s="3">
        <f>IFERROR(__xludf.DUMMYFUNCTION("""COMPUTED_VALUE"""),2.0)</f>
        <v>2</v>
      </c>
    </row>
    <row r="45">
      <c r="A45" s="3" t="str">
        <f>IFERROR(__xludf.DUMMYFUNCTION("""COMPUTED_VALUE"""),"Cameroun")</f>
        <v>Cameroun</v>
      </c>
      <c r="B45" s="3">
        <f>IFERROR(__xludf.DUMMYFUNCTION("""COMPUTED_VALUE"""),15.0)</f>
        <v>15</v>
      </c>
      <c r="C45" s="3">
        <f>IFERROR(__xludf.DUMMYFUNCTION("""COMPUTED_VALUE"""),3.0)</f>
        <v>3</v>
      </c>
      <c r="D45" s="3">
        <f>IFERROR(__xludf.DUMMYFUNCTION("""COMPUTED_VALUE"""),1.0)</f>
        <v>1</v>
      </c>
      <c r="E45" s="3">
        <f>IFERROR(__xludf.DUMMYFUNCTION("""COMPUTED_VALUE"""),2.0)</f>
        <v>2</v>
      </c>
      <c r="F45" s="3">
        <f>IFERROR(__xludf.DUMMYFUNCTION("""COMPUTED_VALUE"""),6.0)</f>
        <v>6</v>
      </c>
      <c r="G45" s="3">
        <f>IFERROR(__xludf.DUMMYFUNCTION("""COMPUTED_VALUE"""),1.0)</f>
        <v>1</v>
      </c>
      <c r="H45" s="3">
        <f>IFERROR(__xludf.DUMMYFUNCTION("""COMPUTED_VALUE"""),0.0)</f>
        <v>0</v>
      </c>
      <c r="I45" s="3">
        <f>IFERROR(__xludf.DUMMYFUNCTION("""COMPUTED_VALUE"""),0.0)</f>
        <v>0</v>
      </c>
      <c r="J45" s="3">
        <f>IFERROR(__xludf.DUMMYFUNCTION("""COMPUTED_VALUE"""),0.0)</f>
        <v>0</v>
      </c>
      <c r="K45" s="3">
        <f>IFERROR(__xludf.DUMMYFUNCTION("""COMPUTED_VALUE"""),0.0)</f>
        <v>0</v>
      </c>
      <c r="L45" s="3">
        <f>IFERROR(__xludf.DUMMYFUNCTION("""COMPUTED_VALUE"""),16.0)</f>
        <v>16</v>
      </c>
      <c r="M45" s="3">
        <f>IFERROR(__xludf.DUMMYFUNCTION("""COMPUTED_VALUE"""),3.0)</f>
        <v>3</v>
      </c>
      <c r="N45" s="3">
        <f>IFERROR(__xludf.DUMMYFUNCTION("""COMPUTED_VALUE"""),1.0)</f>
        <v>1</v>
      </c>
      <c r="O45" s="3">
        <f>IFERROR(__xludf.DUMMYFUNCTION("""COMPUTED_VALUE"""),2.0)</f>
        <v>2</v>
      </c>
      <c r="P45" s="3">
        <f>IFERROR(__xludf.DUMMYFUNCTION("""COMPUTED_VALUE"""),6.0)</f>
        <v>6</v>
      </c>
    </row>
    <row r="46">
      <c r="A46" s="3" t="str">
        <f>IFERROR(__xludf.DUMMYFUNCTION("""COMPUTED_VALUE"""),"Canada")</f>
        <v>Canada</v>
      </c>
      <c r="B46" s="3">
        <f>IFERROR(__xludf.DUMMYFUNCTION("""COMPUTED_VALUE"""),28.0)</f>
        <v>28</v>
      </c>
      <c r="C46" s="3">
        <f>IFERROR(__xludf.DUMMYFUNCTION("""COMPUTED_VALUE"""),80.0)</f>
        <v>80</v>
      </c>
      <c r="D46" s="3">
        <f>IFERROR(__xludf.DUMMYFUNCTION("""COMPUTED_VALUE"""),116.0)</f>
        <v>116</v>
      </c>
      <c r="E46" s="3">
        <f>IFERROR(__xludf.DUMMYFUNCTION("""COMPUTED_VALUE"""),157.0)</f>
        <v>157</v>
      </c>
      <c r="F46" s="3">
        <f>IFERROR(__xludf.DUMMYFUNCTION("""COMPUTED_VALUE"""),353.0)</f>
        <v>353</v>
      </c>
      <c r="G46" s="3">
        <f>IFERROR(__xludf.DUMMYFUNCTION("""COMPUTED_VALUE"""),24.0)</f>
        <v>24</v>
      </c>
      <c r="H46" s="3">
        <f>IFERROR(__xludf.DUMMYFUNCTION("""COMPUTED_VALUE"""),77.0)</f>
        <v>77</v>
      </c>
      <c r="I46" s="3">
        <f>IFERROR(__xludf.DUMMYFUNCTION("""COMPUTED_VALUE"""),71.0)</f>
        <v>71</v>
      </c>
      <c r="J46" s="3">
        <f>IFERROR(__xludf.DUMMYFUNCTION("""COMPUTED_VALUE"""),77.0)</f>
        <v>77</v>
      </c>
      <c r="K46" s="3">
        <f>IFERROR(__xludf.DUMMYFUNCTION("""COMPUTED_VALUE"""),225.0)</f>
        <v>225</v>
      </c>
      <c r="L46" s="3">
        <f>IFERROR(__xludf.DUMMYFUNCTION("""COMPUTED_VALUE"""),52.0)</f>
        <v>52</v>
      </c>
      <c r="M46" s="3">
        <f>IFERROR(__xludf.DUMMYFUNCTION("""COMPUTED_VALUE"""),157.0)</f>
        <v>157</v>
      </c>
      <c r="N46" s="3">
        <f>IFERROR(__xludf.DUMMYFUNCTION("""COMPUTED_VALUE"""),187.0)</f>
        <v>187</v>
      </c>
      <c r="O46" s="3">
        <f>IFERROR(__xludf.DUMMYFUNCTION("""COMPUTED_VALUE"""),234.0)</f>
        <v>234</v>
      </c>
      <c r="P46" s="3">
        <f>IFERROR(__xludf.DUMMYFUNCTION("""COMPUTED_VALUE"""),578.0)</f>
        <v>578</v>
      </c>
    </row>
    <row r="47">
      <c r="A47" s="3" t="str">
        <f>IFERROR(__xludf.DUMMYFUNCTION("""COMPUTED_VALUE"""),"Cap-Vert")</f>
        <v>Cap-Vert</v>
      </c>
      <c r="B47" s="3">
        <f>IFERROR(__xludf.DUMMYFUNCTION("""COMPUTED_VALUE"""),8.0)</f>
        <v>8</v>
      </c>
      <c r="C47" s="3">
        <f>IFERROR(__xludf.DUMMYFUNCTION("""COMPUTED_VALUE"""),0.0)</f>
        <v>0</v>
      </c>
      <c r="D47" s="3">
        <f>IFERROR(__xludf.DUMMYFUNCTION("""COMPUTED_VALUE"""),0.0)</f>
        <v>0</v>
      </c>
      <c r="E47" s="3">
        <f>IFERROR(__xludf.DUMMYFUNCTION("""COMPUTED_VALUE"""),1.0)</f>
        <v>1</v>
      </c>
      <c r="F47" s="3">
        <f>IFERROR(__xludf.DUMMYFUNCTION("""COMPUTED_VALUE"""),1.0)</f>
        <v>1</v>
      </c>
      <c r="G47" s="3">
        <f>IFERROR(__xludf.DUMMYFUNCTION("""COMPUTED_VALUE"""),0.0)</f>
        <v>0</v>
      </c>
      <c r="H47" s="3">
        <f>IFERROR(__xludf.DUMMYFUNCTION("""COMPUTED_VALUE"""),0.0)</f>
        <v>0</v>
      </c>
      <c r="I47" s="3">
        <f>IFERROR(__xludf.DUMMYFUNCTION("""COMPUTED_VALUE"""),0.0)</f>
        <v>0</v>
      </c>
      <c r="J47" s="3">
        <f>IFERROR(__xludf.DUMMYFUNCTION("""COMPUTED_VALUE"""),0.0)</f>
        <v>0</v>
      </c>
      <c r="K47" s="3">
        <f>IFERROR(__xludf.DUMMYFUNCTION("""COMPUTED_VALUE"""),0.0)</f>
        <v>0</v>
      </c>
      <c r="L47" s="3">
        <f>IFERROR(__xludf.DUMMYFUNCTION("""COMPUTED_VALUE"""),8.0)</f>
        <v>8</v>
      </c>
      <c r="M47" s="3">
        <f>IFERROR(__xludf.DUMMYFUNCTION("""COMPUTED_VALUE"""),0.0)</f>
        <v>0</v>
      </c>
      <c r="N47" s="3">
        <f>IFERROR(__xludf.DUMMYFUNCTION("""COMPUTED_VALUE"""),0.0)</f>
        <v>0</v>
      </c>
      <c r="O47" s="3">
        <f>IFERROR(__xludf.DUMMYFUNCTION("""COMPUTED_VALUE"""),1.0)</f>
        <v>1</v>
      </c>
      <c r="P47" s="3">
        <f>IFERROR(__xludf.DUMMYFUNCTION("""COMPUTED_VALUE"""),1.0)</f>
        <v>1</v>
      </c>
    </row>
    <row r="48">
      <c r="A48" s="3" t="str">
        <f>IFERROR(__xludf.DUMMYFUNCTION("""COMPUTED_VALUE"""),"Chili")</f>
        <v>Chili</v>
      </c>
      <c r="B48" s="3">
        <f>IFERROR(__xludf.DUMMYFUNCTION("""COMPUTED_VALUE"""),24.0)</f>
        <v>24</v>
      </c>
      <c r="C48" s="3">
        <f>IFERROR(__xludf.DUMMYFUNCTION("""COMPUTED_VALUE"""),2.0)</f>
        <v>2</v>
      </c>
      <c r="D48" s="3">
        <f>IFERROR(__xludf.DUMMYFUNCTION("""COMPUTED_VALUE"""),7.0)</f>
        <v>7</v>
      </c>
      <c r="E48" s="3">
        <f>IFERROR(__xludf.DUMMYFUNCTION("""COMPUTED_VALUE"""),4.0)</f>
        <v>4</v>
      </c>
      <c r="F48" s="3">
        <f>IFERROR(__xludf.DUMMYFUNCTION("""COMPUTED_VALUE"""),13.0)</f>
        <v>13</v>
      </c>
      <c r="G48" s="3">
        <f>IFERROR(__xludf.DUMMYFUNCTION("""COMPUTED_VALUE"""),17.0)</f>
        <v>17</v>
      </c>
      <c r="H48" s="3">
        <f>IFERROR(__xludf.DUMMYFUNCTION("""COMPUTED_VALUE"""),0.0)</f>
        <v>0</v>
      </c>
      <c r="I48" s="3">
        <f>IFERROR(__xludf.DUMMYFUNCTION("""COMPUTED_VALUE"""),0.0)</f>
        <v>0</v>
      </c>
      <c r="J48" s="3">
        <f>IFERROR(__xludf.DUMMYFUNCTION("""COMPUTED_VALUE"""),0.0)</f>
        <v>0</v>
      </c>
      <c r="K48" s="3">
        <f>IFERROR(__xludf.DUMMYFUNCTION("""COMPUTED_VALUE"""),0.0)</f>
        <v>0</v>
      </c>
      <c r="L48" s="3">
        <f>IFERROR(__xludf.DUMMYFUNCTION("""COMPUTED_VALUE"""),41.0)</f>
        <v>41</v>
      </c>
      <c r="M48" s="3">
        <f>IFERROR(__xludf.DUMMYFUNCTION("""COMPUTED_VALUE"""),2.0)</f>
        <v>2</v>
      </c>
      <c r="N48" s="3">
        <f>IFERROR(__xludf.DUMMYFUNCTION("""COMPUTED_VALUE"""),7.0)</f>
        <v>7</v>
      </c>
      <c r="O48" s="3">
        <f>IFERROR(__xludf.DUMMYFUNCTION("""COMPUTED_VALUE"""),4.0)</f>
        <v>4</v>
      </c>
      <c r="P48" s="3">
        <f>IFERROR(__xludf.DUMMYFUNCTION("""COMPUTED_VALUE"""),13.0)</f>
        <v>13</v>
      </c>
    </row>
    <row r="49">
      <c r="A49" s="3" t="str">
        <f>IFERROR(__xludf.DUMMYFUNCTION("""COMPUTED_VALUE"""),"Chine[11]")</f>
        <v>Chine[11]</v>
      </c>
      <c r="B49" s="3">
        <f>IFERROR(__xludf.DUMMYFUNCTION("""COMPUTED_VALUE"""),11.0)</f>
        <v>11</v>
      </c>
      <c r="C49" s="3">
        <f>IFERROR(__xludf.DUMMYFUNCTION("""COMPUTED_VALUE"""),302.0)</f>
        <v>302</v>
      </c>
      <c r="D49" s="3">
        <f>IFERROR(__xludf.DUMMYFUNCTION("""COMPUTED_VALUE"""),226.0)</f>
        <v>226</v>
      </c>
      <c r="E49" s="3">
        <f>IFERROR(__xludf.DUMMYFUNCTION("""COMPUTED_VALUE"""),197.0)</f>
        <v>197</v>
      </c>
      <c r="F49" s="3">
        <f>IFERROR(__xludf.DUMMYFUNCTION("""COMPUTED_VALUE"""),725.0)</f>
        <v>725</v>
      </c>
      <c r="G49" s="3">
        <f>IFERROR(__xludf.DUMMYFUNCTION("""COMPUTED_VALUE"""),11.0)</f>
        <v>11</v>
      </c>
      <c r="H49" s="3">
        <f>IFERROR(__xludf.DUMMYFUNCTION("""COMPUTED_VALUE"""),13.0)</f>
        <v>13</v>
      </c>
      <c r="I49" s="3">
        <f>IFERROR(__xludf.DUMMYFUNCTION("""COMPUTED_VALUE"""),28.0)</f>
        <v>28</v>
      </c>
      <c r="J49" s="3">
        <f>IFERROR(__xludf.DUMMYFUNCTION("""COMPUTED_VALUE"""),21.0)</f>
        <v>21</v>
      </c>
      <c r="K49" s="3">
        <f>IFERROR(__xludf.DUMMYFUNCTION("""COMPUTED_VALUE"""),62.0)</f>
        <v>62</v>
      </c>
      <c r="L49" s="3">
        <f>IFERROR(__xludf.DUMMYFUNCTION("""COMPUTED_VALUE"""),22.0)</f>
        <v>22</v>
      </c>
      <c r="M49" s="3">
        <f>IFERROR(__xludf.DUMMYFUNCTION("""COMPUTED_VALUE"""),315.0)</f>
        <v>315</v>
      </c>
      <c r="N49" s="3">
        <f>IFERROR(__xludf.DUMMYFUNCTION("""COMPUTED_VALUE"""),254.0)</f>
        <v>254</v>
      </c>
      <c r="O49" s="3">
        <f>IFERROR(__xludf.DUMMYFUNCTION("""COMPUTED_VALUE"""),218.0)</f>
        <v>218</v>
      </c>
      <c r="P49" s="3">
        <f>IFERROR(__xludf.DUMMYFUNCTION("""COMPUTED_VALUE"""),787.0)</f>
        <v>787</v>
      </c>
    </row>
    <row r="50">
      <c r="A50" s="3" t="str">
        <f>IFERROR(__xludf.DUMMYFUNCTION("""COMPUTED_VALUE"""),"Chypre")</f>
        <v>Chypre</v>
      </c>
      <c r="B50" s="3">
        <f>IFERROR(__xludf.DUMMYFUNCTION("""COMPUTED_VALUE"""),11.0)</f>
        <v>11</v>
      </c>
      <c r="C50" s="3">
        <f>IFERROR(__xludf.DUMMYFUNCTION("""COMPUTED_VALUE"""),0.0)</f>
        <v>0</v>
      </c>
      <c r="D50" s="3">
        <f>IFERROR(__xludf.DUMMYFUNCTION("""COMPUTED_VALUE"""),1.0)</f>
        <v>1</v>
      </c>
      <c r="E50" s="3">
        <f>IFERROR(__xludf.DUMMYFUNCTION("""COMPUTED_VALUE"""),0.0)</f>
        <v>0</v>
      </c>
      <c r="F50" s="3">
        <f>IFERROR(__xludf.DUMMYFUNCTION("""COMPUTED_VALUE"""),1.0)</f>
        <v>1</v>
      </c>
      <c r="G50" s="3">
        <f>IFERROR(__xludf.DUMMYFUNCTION("""COMPUTED_VALUE"""),11.0)</f>
        <v>11</v>
      </c>
      <c r="H50" s="3">
        <f>IFERROR(__xludf.DUMMYFUNCTION("""COMPUTED_VALUE"""),0.0)</f>
        <v>0</v>
      </c>
      <c r="I50" s="3">
        <f>IFERROR(__xludf.DUMMYFUNCTION("""COMPUTED_VALUE"""),0.0)</f>
        <v>0</v>
      </c>
      <c r="J50" s="3">
        <f>IFERROR(__xludf.DUMMYFUNCTION("""COMPUTED_VALUE"""),0.0)</f>
        <v>0</v>
      </c>
      <c r="K50" s="3">
        <f>IFERROR(__xludf.DUMMYFUNCTION("""COMPUTED_VALUE"""),0.0)</f>
        <v>0</v>
      </c>
      <c r="L50" s="3">
        <f>IFERROR(__xludf.DUMMYFUNCTION("""COMPUTED_VALUE"""),22.0)</f>
        <v>22</v>
      </c>
      <c r="M50" s="3">
        <f>IFERROR(__xludf.DUMMYFUNCTION("""COMPUTED_VALUE"""),0.0)</f>
        <v>0</v>
      </c>
      <c r="N50" s="3">
        <f>IFERROR(__xludf.DUMMYFUNCTION("""COMPUTED_VALUE"""),1.0)</f>
        <v>1</v>
      </c>
      <c r="O50" s="3">
        <f>IFERROR(__xludf.DUMMYFUNCTION("""COMPUTED_VALUE"""),0.0)</f>
        <v>0</v>
      </c>
      <c r="P50" s="3">
        <f>IFERROR(__xludf.DUMMYFUNCTION("""COMPUTED_VALUE"""),1.0)</f>
        <v>1</v>
      </c>
    </row>
    <row r="51">
      <c r="A51" s="3" t="str">
        <f>IFERROR(__xludf.DUMMYFUNCTION("""COMPUTED_VALUE"""),"Colombie")</f>
        <v>Colombie</v>
      </c>
      <c r="B51" s="3">
        <f>IFERROR(__xludf.DUMMYFUNCTION("""COMPUTED_VALUE"""),20.0)</f>
        <v>20</v>
      </c>
      <c r="C51" s="3">
        <f>IFERROR(__xludf.DUMMYFUNCTION("""COMPUTED_VALUE"""),5.0)</f>
        <v>5</v>
      </c>
      <c r="D51" s="3">
        <f>IFERROR(__xludf.DUMMYFUNCTION("""COMPUTED_VALUE"""),13.0)</f>
        <v>13</v>
      </c>
      <c r="E51" s="3">
        <f>IFERROR(__xludf.DUMMYFUNCTION("""COMPUTED_VALUE"""),16.0)</f>
        <v>16</v>
      </c>
      <c r="F51" s="3">
        <f>IFERROR(__xludf.DUMMYFUNCTION("""COMPUTED_VALUE"""),34.0)</f>
        <v>34</v>
      </c>
      <c r="G51" s="3">
        <f>IFERROR(__xludf.DUMMYFUNCTION("""COMPUTED_VALUE"""),2.0)</f>
        <v>2</v>
      </c>
      <c r="H51" s="3">
        <f>IFERROR(__xludf.DUMMYFUNCTION("""COMPUTED_VALUE"""),0.0)</f>
        <v>0</v>
      </c>
      <c r="I51" s="3">
        <f>IFERROR(__xludf.DUMMYFUNCTION("""COMPUTED_VALUE"""),0.0)</f>
        <v>0</v>
      </c>
      <c r="J51" s="3">
        <f>IFERROR(__xludf.DUMMYFUNCTION("""COMPUTED_VALUE"""),0.0)</f>
        <v>0</v>
      </c>
      <c r="K51" s="3">
        <f>IFERROR(__xludf.DUMMYFUNCTION("""COMPUTED_VALUE"""),0.0)</f>
        <v>0</v>
      </c>
      <c r="L51" s="3">
        <f>IFERROR(__xludf.DUMMYFUNCTION("""COMPUTED_VALUE"""),22.0)</f>
        <v>22</v>
      </c>
      <c r="M51" s="3">
        <f>IFERROR(__xludf.DUMMYFUNCTION("""COMPUTED_VALUE"""),5.0)</f>
        <v>5</v>
      </c>
      <c r="N51" s="3">
        <f>IFERROR(__xludf.DUMMYFUNCTION("""COMPUTED_VALUE"""),13.0)</f>
        <v>13</v>
      </c>
      <c r="O51" s="3">
        <f>IFERROR(__xludf.DUMMYFUNCTION("""COMPUTED_VALUE"""),16.0)</f>
        <v>16</v>
      </c>
      <c r="P51" s="3">
        <f>IFERROR(__xludf.DUMMYFUNCTION("""COMPUTED_VALUE"""),34.0)</f>
        <v>34</v>
      </c>
    </row>
    <row r="52">
      <c r="A52" s="3" t="str">
        <f>IFERROR(__xludf.DUMMYFUNCTION("""COMPUTED_VALUE"""),"*Comité olympique de Russie*")</f>
        <v>*Comité olympique de Russie*</v>
      </c>
      <c r="B52" s="3">
        <f>IFERROR(__xludf.DUMMYFUNCTION("""COMPUTED_VALUE"""),1.0)</f>
        <v>1</v>
      </c>
      <c r="C52" s="3">
        <f>IFERROR(__xludf.DUMMYFUNCTION("""COMPUTED_VALUE"""),20.0)</f>
        <v>20</v>
      </c>
      <c r="D52" s="3">
        <f>IFERROR(__xludf.DUMMYFUNCTION("""COMPUTED_VALUE"""),28.0)</f>
        <v>28</v>
      </c>
      <c r="E52" s="3">
        <f>IFERROR(__xludf.DUMMYFUNCTION("""COMPUTED_VALUE"""),23.0)</f>
        <v>23</v>
      </c>
      <c r="F52" s="3">
        <f>IFERROR(__xludf.DUMMYFUNCTION("""COMPUTED_VALUE"""),71.0)</f>
        <v>71</v>
      </c>
      <c r="G52" s="3">
        <f>IFERROR(__xludf.DUMMYFUNCTION("""COMPUTED_VALUE"""),0.0)</f>
        <v>0</v>
      </c>
      <c r="H52" s="3">
        <f>IFERROR(__xludf.DUMMYFUNCTION("""COMPUTED_VALUE"""),0.0)</f>
        <v>0</v>
      </c>
      <c r="I52" s="3">
        <f>IFERROR(__xludf.DUMMYFUNCTION("""COMPUTED_VALUE"""),0.0)</f>
        <v>0</v>
      </c>
      <c r="J52" s="3">
        <f>IFERROR(__xludf.DUMMYFUNCTION("""COMPUTED_VALUE"""),0.0)</f>
        <v>0</v>
      </c>
      <c r="K52" s="3">
        <f>IFERROR(__xludf.DUMMYFUNCTION("""COMPUTED_VALUE"""),0.0)</f>
        <v>0</v>
      </c>
      <c r="L52" s="3">
        <f>IFERROR(__xludf.DUMMYFUNCTION("""COMPUTED_VALUE"""),1.0)</f>
        <v>1</v>
      </c>
      <c r="M52" s="3">
        <f>IFERROR(__xludf.DUMMYFUNCTION("""COMPUTED_VALUE"""),20.0)</f>
        <v>20</v>
      </c>
      <c r="N52" s="3">
        <f>IFERROR(__xludf.DUMMYFUNCTION("""COMPUTED_VALUE"""),28.0)</f>
        <v>28</v>
      </c>
      <c r="O52" s="3">
        <f>IFERROR(__xludf.DUMMYFUNCTION("""COMPUTED_VALUE"""),23.0)</f>
        <v>23</v>
      </c>
      <c r="P52" s="3">
        <f>IFERROR(__xludf.DUMMYFUNCTION("""COMPUTED_VALUE"""),71.0)</f>
        <v>71</v>
      </c>
    </row>
    <row r="53">
      <c r="A53" s="3" t="str">
        <f>IFERROR(__xludf.DUMMYFUNCTION("""COMPUTED_VALUE"""),"Corée du Nord")</f>
        <v>Corée du Nord</v>
      </c>
      <c r="B53" s="3">
        <f>IFERROR(__xludf.DUMMYFUNCTION("""COMPUTED_VALUE"""),10.0)</f>
        <v>10</v>
      </c>
      <c r="C53" s="3">
        <f>IFERROR(__xludf.DUMMYFUNCTION("""COMPUTED_VALUE"""),16.0)</f>
        <v>16</v>
      </c>
      <c r="D53" s="3">
        <f>IFERROR(__xludf.DUMMYFUNCTION("""COMPUTED_VALUE"""),16.0)</f>
        <v>16</v>
      </c>
      <c r="E53" s="3">
        <f>IFERROR(__xludf.DUMMYFUNCTION("""COMPUTED_VALUE"""),22.0)</f>
        <v>22</v>
      </c>
      <c r="F53" s="3">
        <f>IFERROR(__xludf.DUMMYFUNCTION("""COMPUTED_VALUE"""),54.0)</f>
        <v>54</v>
      </c>
      <c r="G53" s="3">
        <f>IFERROR(__xludf.DUMMYFUNCTION("""COMPUTED_VALUE"""),9.0)</f>
        <v>9</v>
      </c>
      <c r="H53" s="3">
        <f>IFERROR(__xludf.DUMMYFUNCTION("""COMPUTED_VALUE"""),0.0)</f>
        <v>0</v>
      </c>
      <c r="I53" s="3">
        <f>IFERROR(__xludf.DUMMYFUNCTION("""COMPUTED_VALUE"""),1.0)</f>
        <v>1</v>
      </c>
      <c r="J53" s="3">
        <f>IFERROR(__xludf.DUMMYFUNCTION("""COMPUTED_VALUE"""),1.0)</f>
        <v>1</v>
      </c>
      <c r="K53" s="3">
        <f>IFERROR(__xludf.DUMMYFUNCTION("""COMPUTED_VALUE"""),2.0)</f>
        <v>2</v>
      </c>
      <c r="L53" s="3">
        <f>IFERROR(__xludf.DUMMYFUNCTION("""COMPUTED_VALUE"""),19.0)</f>
        <v>19</v>
      </c>
      <c r="M53" s="3">
        <f>IFERROR(__xludf.DUMMYFUNCTION("""COMPUTED_VALUE"""),16.0)</f>
        <v>16</v>
      </c>
      <c r="N53" s="3">
        <f>IFERROR(__xludf.DUMMYFUNCTION("""COMPUTED_VALUE"""),17.0)</f>
        <v>17</v>
      </c>
      <c r="O53" s="3">
        <f>IFERROR(__xludf.DUMMYFUNCTION("""COMPUTED_VALUE"""),23.0)</f>
        <v>23</v>
      </c>
      <c r="P53" s="3">
        <f>IFERROR(__xludf.DUMMYFUNCTION("""COMPUTED_VALUE"""),56.0)</f>
        <v>56</v>
      </c>
    </row>
    <row r="54">
      <c r="A54" s="3" t="str">
        <f>IFERROR(__xludf.DUMMYFUNCTION("""COMPUTED_VALUE"""),"Corée du Sud")</f>
        <v>Corée du Sud</v>
      </c>
      <c r="B54" s="3">
        <f>IFERROR(__xludf.DUMMYFUNCTION("""COMPUTED_VALUE"""),18.0)</f>
        <v>18</v>
      </c>
      <c r="C54" s="3">
        <f>IFERROR(__xludf.DUMMYFUNCTION("""COMPUTED_VALUE"""),109.0)</f>
        <v>109</v>
      </c>
      <c r="D54" s="3">
        <f>IFERROR(__xludf.DUMMYFUNCTION("""COMPUTED_VALUE"""),100.0)</f>
        <v>100</v>
      </c>
      <c r="E54" s="3">
        <f>IFERROR(__xludf.DUMMYFUNCTION("""COMPUTED_VALUE"""),110.0)</f>
        <v>110</v>
      </c>
      <c r="F54" s="3">
        <f>IFERROR(__xludf.DUMMYFUNCTION("""COMPUTED_VALUE"""),319.0)</f>
        <v>319</v>
      </c>
      <c r="G54" s="3">
        <f>IFERROR(__xludf.DUMMYFUNCTION("""COMPUTED_VALUE"""),18.0)</f>
        <v>18</v>
      </c>
      <c r="H54" s="3">
        <f>IFERROR(__xludf.DUMMYFUNCTION("""COMPUTED_VALUE"""),31.0)</f>
        <v>31</v>
      </c>
      <c r="I54" s="3">
        <f>IFERROR(__xludf.DUMMYFUNCTION("""COMPUTED_VALUE"""),25.0)</f>
        <v>25</v>
      </c>
      <c r="J54" s="3">
        <f>IFERROR(__xludf.DUMMYFUNCTION("""COMPUTED_VALUE"""),14.0)</f>
        <v>14</v>
      </c>
      <c r="K54" s="3">
        <f>IFERROR(__xludf.DUMMYFUNCTION("""COMPUTED_VALUE"""),70.0)</f>
        <v>70</v>
      </c>
      <c r="L54" s="3">
        <f>IFERROR(__xludf.DUMMYFUNCTION("""COMPUTED_VALUE"""),36.0)</f>
        <v>36</v>
      </c>
      <c r="M54" s="3">
        <f>IFERROR(__xludf.DUMMYFUNCTION("""COMPUTED_VALUE"""),140.0)</f>
        <v>140</v>
      </c>
      <c r="N54" s="3">
        <f>IFERROR(__xludf.DUMMYFUNCTION("""COMPUTED_VALUE"""),125.0)</f>
        <v>125</v>
      </c>
      <c r="O54" s="3">
        <f>IFERROR(__xludf.DUMMYFUNCTION("""COMPUTED_VALUE"""),124.0)</f>
        <v>124</v>
      </c>
      <c r="P54" s="3">
        <f>IFERROR(__xludf.DUMMYFUNCTION("""COMPUTED_VALUE"""),389.0)</f>
        <v>389</v>
      </c>
    </row>
    <row r="55">
      <c r="A55" s="3" t="str">
        <f>IFERROR(__xludf.DUMMYFUNCTION("""COMPUTED_VALUE"""),"Costa Rica")</f>
        <v>Costa Rica</v>
      </c>
      <c r="B55" s="3">
        <f>IFERROR(__xludf.DUMMYFUNCTION("""COMPUTED_VALUE"""),16.0)</f>
        <v>16</v>
      </c>
      <c r="C55" s="3">
        <f>IFERROR(__xludf.DUMMYFUNCTION("""COMPUTED_VALUE"""),1.0)</f>
        <v>1</v>
      </c>
      <c r="D55" s="3">
        <f>IFERROR(__xludf.DUMMYFUNCTION("""COMPUTED_VALUE"""),1.0)</f>
        <v>1</v>
      </c>
      <c r="E55" s="3">
        <f>IFERROR(__xludf.DUMMYFUNCTION("""COMPUTED_VALUE"""),2.0)</f>
        <v>2</v>
      </c>
      <c r="F55" s="3">
        <f>IFERROR(__xludf.DUMMYFUNCTION("""COMPUTED_VALUE"""),4.0)</f>
        <v>4</v>
      </c>
      <c r="G55" s="3">
        <f>IFERROR(__xludf.DUMMYFUNCTION("""COMPUTED_VALUE"""),6.0)</f>
        <v>6</v>
      </c>
      <c r="H55" s="3">
        <f>IFERROR(__xludf.DUMMYFUNCTION("""COMPUTED_VALUE"""),0.0)</f>
        <v>0</v>
      </c>
      <c r="I55" s="3">
        <f>IFERROR(__xludf.DUMMYFUNCTION("""COMPUTED_VALUE"""),0.0)</f>
        <v>0</v>
      </c>
      <c r="J55" s="3">
        <f>IFERROR(__xludf.DUMMYFUNCTION("""COMPUTED_VALUE"""),0.0)</f>
        <v>0</v>
      </c>
      <c r="K55" s="3">
        <f>IFERROR(__xludf.DUMMYFUNCTION("""COMPUTED_VALUE"""),0.0)</f>
        <v>0</v>
      </c>
      <c r="L55" s="3">
        <f>IFERROR(__xludf.DUMMYFUNCTION("""COMPUTED_VALUE"""),22.0)</f>
        <v>22</v>
      </c>
      <c r="M55" s="3">
        <f>IFERROR(__xludf.DUMMYFUNCTION("""COMPUTED_VALUE"""),1.0)</f>
        <v>1</v>
      </c>
      <c r="N55" s="3">
        <f>IFERROR(__xludf.DUMMYFUNCTION("""COMPUTED_VALUE"""),1.0)</f>
        <v>1</v>
      </c>
      <c r="O55" s="3">
        <f>IFERROR(__xludf.DUMMYFUNCTION("""COMPUTED_VALUE"""),2.0)</f>
        <v>2</v>
      </c>
      <c r="P55" s="3">
        <f>IFERROR(__xludf.DUMMYFUNCTION("""COMPUTED_VALUE"""),4.0)</f>
        <v>4</v>
      </c>
    </row>
    <row r="56">
      <c r="A56" s="3" t="str">
        <f>IFERROR(__xludf.DUMMYFUNCTION("""COMPUTED_VALUE"""),"Côte d'Ivoire")</f>
        <v>Côte d'Ivoire</v>
      </c>
      <c r="B56" s="3">
        <f>IFERROR(__xludf.DUMMYFUNCTION("""COMPUTED_VALUE"""),14.0)</f>
        <v>14</v>
      </c>
      <c r="C56" s="3">
        <f>IFERROR(__xludf.DUMMYFUNCTION("""COMPUTED_VALUE"""),1.0)</f>
        <v>1</v>
      </c>
      <c r="D56" s="3">
        <f>IFERROR(__xludf.DUMMYFUNCTION("""COMPUTED_VALUE"""),1.0)</f>
        <v>1</v>
      </c>
      <c r="E56" s="3">
        <f>IFERROR(__xludf.DUMMYFUNCTION("""COMPUTED_VALUE"""),2.0)</f>
        <v>2</v>
      </c>
      <c r="F56" s="3">
        <f>IFERROR(__xludf.DUMMYFUNCTION("""COMPUTED_VALUE"""),4.0)</f>
        <v>4</v>
      </c>
      <c r="G56" s="3">
        <f>IFERROR(__xludf.DUMMYFUNCTION("""COMPUTED_VALUE"""),0.0)</f>
        <v>0</v>
      </c>
      <c r="H56" s="3">
        <f>IFERROR(__xludf.DUMMYFUNCTION("""COMPUTED_VALUE"""),0.0)</f>
        <v>0</v>
      </c>
      <c r="I56" s="3">
        <f>IFERROR(__xludf.DUMMYFUNCTION("""COMPUTED_VALUE"""),0.0)</f>
        <v>0</v>
      </c>
      <c r="J56" s="3">
        <f>IFERROR(__xludf.DUMMYFUNCTION("""COMPUTED_VALUE"""),0.0)</f>
        <v>0</v>
      </c>
      <c r="K56" s="3">
        <f>IFERROR(__xludf.DUMMYFUNCTION("""COMPUTED_VALUE"""),0.0)</f>
        <v>0</v>
      </c>
      <c r="L56" s="3">
        <f>IFERROR(__xludf.DUMMYFUNCTION("""COMPUTED_VALUE"""),14.0)</f>
        <v>14</v>
      </c>
      <c r="M56" s="3">
        <f>IFERROR(__xludf.DUMMYFUNCTION("""COMPUTED_VALUE"""),1.0)</f>
        <v>1</v>
      </c>
      <c r="N56" s="3">
        <f>IFERROR(__xludf.DUMMYFUNCTION("""COMPUTED_VALUE"""),1.0)</f>
        <v>1</v>
      </c>
      <c r="O56" s="3">
        <f>IFERROR(__xludf.DUMMYFUNCTION("""COMPUTED_VALUE"""),2.0)</f>
        <v>2</v>
      </c>
      <c r="P56" s="3">
        <f>IFERROR(__xludf.DUMMYFUNCTION("""COMPUTED_VALUE"""),4.0)</f>
        <v>4</v>
      </c>
    </row>
    <row r="57">
      <c r="A57" s="3" t="str">
        <f>IFERROR(__xludf.DUMMYFUNCTION("""COMPUTED_VALUE"""),"Croatie")</f>
        <v>Croatie</v>
      </c>
      <c r="B57" s="3">
        <f>IFERROR(__xludf.DUMMYFUNCTION("""COMPUTED_VALUE"""),8.0)</f>
        <v>8</v>
      </c>
      <c r="C57" s="3">
        <f>IFERROR(__xludf.DUMMYFUNCTION("""COMPUTED_VALUE"""),14.0)</f>
        <v>14</v>
      </c>
      <c r="D57" s="3">
        <f>IFERROR(__xludf.DUMMYFUNCTION("""COMPUTED_VALUE"""),13.0)</f>
        <v>13</v>
      </c>
      <c r="E57" s="3">
        <f>IFERROR(__xludf.DUMMYFUNCTION("""COMPUTED_VALUE"""),14.0)</f>
        <v>14</v>
      </c>
      <c r="F57" s="3">
        <f>IFERROR(__xludf.DUMMYFUNCTION("""COMPUTED_VALUE"""),41.0)</f>
        <v>41</v>
      </c>
      <c r="G57" s="3">
        <f>IFERROR(__xludf.DUMMYFUNCTION("""COMPUTED_VALUE"""),8.0)</f>
        <v>8</v>
      </c>
      <c r="H57" s="3">
        <f>IFERROR(__xludf.DUMMYFUNCTION("""COMPUTED_VALUE"""),4.0)</f>
        <v>4</v>
      </c>
      <c r="I57" s="3">
        <f>IFERROR(__xludf.DUMMYFUNCTION("""COMPUTED_VALUE"""),6.0)</f>
        <v>6</v>
      </c>
      <c r="J57" s="3">
        <f>IFERROR(__xludf.DUMMYFUNCTION("""COMPUTED_VALUE"""),1.0)</f>
        <v>1</v>
      </c>
      <c r="K57" s="3">
        <f>IFERROR(__xludf.DUMMYFUNCTION("""COMPUTED_VALUE"""),11.0)</f>
        <v>11</v>
      </c>
      <c r="L57" s="3">
        <f>IFERROR(__xludf.DUMMYFUNCTION("""COMPUTED_VALUE"""),16.0)</f>
        <v>16</v>
      </c>
      <c r="M57" s="3">
        <f>IFERROR(__xludf.DUMMYFUNCTION("""COMPUTED_VALUE"""),18.0)</f>
        <v>18</v>
      </c>
      <c r="N57" s="3">
        <f>IFERROR(__xludf.DUMMYFUNCTION("""COMPUTED_VALUE"""),19.0)</f>
        <v>19</v>
      </c>
      <c r="O57" s="3">
        <f>IFERROR(__xludf.DUMMYFUNCTION("""COMPUTED_VALUE"""),15.0)</f>
        <v>15</v>
      </c>
      <c r="P57" s="3">
        <f>IFERROR(__xludf.DUMMYFUNCTION("""COMPUTED_VALUE"""),52.0)</f>
        <v>52</v>
      </c>
    </row>
    <row r="58">
      <c r="A58" s="3" t="str">
        <f>IFERROR(__xludf.DUMMYFUNCTION("""COMPUTED_VALUE"""),"Cuba[8]")</f>
        <v>Cuba[8]</v>
      </c>
      <c r="B58" s="3">
        <f>IFERROR(__xludf.DUMMYFUNCTION("""COMPUTED_VALUE"""),21.0)</f>
        <v>21</v>
      </c>
      <c r="C58" s="3">
        <f>IFERROR(__xludf.DUMMYFUNCTION("""COMPUTED_VALUE"""),85.0)</f>
        <v>85</v>
      </c>
      <c r="D58" s="3">
        <f>IFERROR(__xludf.DUMMYFUNCTION("""COMPUTED_VALUE"""),71.0)</f>
        <v>71</v>
      </c>
      <c r="E58" s="3">
        <f>IFERROR(__xludf.DUMMYFUNCTION("""COMPUTED_VALUE"""),85.0)</f>
        <v>85</v>
      </c>
      <c r="F58" s="3">
        <f>IFERROR(__xludf.DUMMYFUNCTION("""COMPUTED_VALUE"""),241.0)</f>
        <v>241</v>
      </c>
      <c r="G58" s="3">
        <f>IFERROR(__xludf.DUMMYFUNCTION("""COMPUTED_VALUE"""),0.0)</f>
        <v>0</v>
      </c>
      <c r="H58" s="3">
        <f>IFERROR(__xludf.DUMMYFUNCTION("""COMPUTED_VALUE"""),0.0)</f>
        <v>0</v>
      </c>
      <c r="I58" s="3">
        <f>IFERROR(__xludf.DUMMYFUNCTION("""COMPUTED_VALUE"""),0.0)</f>
        <v>0</v>
      </c>
      <c r="J58" s="3">
        <f>IFERROR(__xludf.DUMMYFUNCTION("""COMPUTED_VALUE"""),0.0)</f>
        <v>0</v>
      </c>
      <c r="K58" s="3">
        <f>IFERROR(__xludf.DUMMYFUNCTION("""COMPUTED_VALUE"""),0.0)</f>
        <v>0</v>
      </c>
      <c r="L58" s="3">
        <f>IFERROR(__xludf.DUMMYFUNCTION("""COMPUTED_VALUE"""),21.0)</f>
        <v>21</v>
      </c>
      <c r="M58" s="3">
        <f>IFERROR(__xludf.DUMMYFUNCTION("""COMPUTED_VALUE"""),85.0)</f>
        <v>85</v>
      </c>
      <c r="N58" s="3">
        <f>IFERROR(__xludf.DUMMYFUNCTION("""COMPUTED_VALUE"""),71.0)</f>
        <v>71</v>
      </c>
      <c r="O58" s="3">
        <f>IFERROR(__xludf.DUMMYFUNCTION("""COMPUTED_VALUE"""),85.0)</f>
        <v>85</v>
      </c>
      <c r="P58" s="3">
        <f>IFERROR(__xludf.DUMMYFUNCTION("""COMPUTED_VALUE"""),241.0)</f>
        <v>241</v>
      </c>
    </row>
    <row r="59">
      <c r="A59" s="3" t="str">
        <f>IFERROR(__xludf.DUMMYFUNCTION("""COMPUTED_VALUE"""),"Danemark[8]")</f>
        <v>Danemark[8]</v>
      </c>
      <c r="B59" s="3">
        <f>IFERROR(__xludf.DUMMYFUNCTION("""COMPUTED_VALUE"""),28.0)</f>
        <v>28</v>
      </c>
      <c r="C59" s="3">
        <f>IFERROR(__xludf.DUMMYFUNCTION("""COMPUTED_VALUE"""),48.0)</f>
        <v>48</v>
      </c>
      <c r="D59" s="3">
        <f>IFERROR(__xludf.DUMMYFUNCTION("""COMPUTED_VALUE"""),78.0)</f>
        <v>78</v>
      </c>
      <c r="E59" s="3">
        <f>IFERROR(__xludf.DUMMYFUNCTION("""COMPUTED_VALUE"""),79.0)</f>
        <v>79</v>
      </c>
      <c r="F59" s="3">
        <f>IFERROR(__xludf.DUMMYFUNCTION("""COMPUTED_VALUE"""),205.0)</f>
        <v>205</v>
      </c>
      <c r="G59" s="3">
        <f>IFERROR(__xludf.DUMMYFUNCTION("""COMPUTED_VALUE"""),14.0)</f>
        <v>14</v>
      </c>
      <c r="H59" s="3">
        <f>IFERROR(__xludf.DUMMYFUNCTION("""COMPUTED_VALUE"""),0.0)</f>
        <v>0</v>
      </c>
      <c r="I59" s="3">
        <f>IFERROR(__xludf.DUMMYFUNCTION("""COMPUTED_VALUE"""),1.0)</f>
        <v>1</v>
      </c>
      <c r="J59" s="3">
        <f>IFERROR(__xludf.DUMMYFUNCTION("""COMPUTED_VALUE"""),0.0)</f>
        <v>0</v>
      </c>
      <c r="K59" s="3">
        <f>IFERROR(__xludf.DUMMYFUNCTION("""COMPUTED_VALUE"""),1.0)</f>
        <v>1</v>
      </c>
      <c r="L59" s="3">
        <f>IFERROR(__xludf.DUMMYFUNCTION("""COMPUTED_VALUE"""),42.0)</f>
        <v>42</v>
      </c>
      <c r="M59" s="3">
        <f>IFERROR(__xludf.DUMMYFUNCTION("""COMPUTED_VALUE"""),48.0)</f>
        <v>48</v>
      </c>
      <c r="N59" s="3">
        <f>IFERROR(__xludf.DUMMYFUNCTION("""COMPUTED_VALUE"""),79.0)</f>
        <v>79</v>
      </c>
      <c r="O59" s="3">
        <f>IFERROR(__xludf.DUMMYFUNCTION("""COMPUTED_VALUE"""),79.0)</f>
        <v>79</v>
      </c>
      <c r="P59" s="3">
        <f>IFERROR(__xludf.DUMMYFUNCTION("""COMPUTED_VALUE"""),206.0)</f>
        <v>206</v>
      </c>
    </row>
    <row r="60">
      <c r="A60" s="3" t="str">
        <f>IFERROR(__xludf.DUMMYFUNCTION("""COMPUTED_VALUE"""),"Djibouti")</f>
        <v>Djibouti</v>
      </c>
      <c r="B60" s="3">
        <f>IFERROR(__xludf.DUMMYFUNCTION("""COMPUTED_VALUE"""),9.0)</f>
        <v>9</v>
      </c>
      <c r="C60" s="3">
        <f>IFERROR(__xludf.DUMMYFUNCTION("""COMPUTED_VALUE"""),0.0)</f>
        <v>0</v>
      </c>
      <c r="D60" s="3">
        <f>IFERROR(__xludf.DUMMYFUNCTION("""COMPUTED_VALUE"""),0.0)</f>
        <v>0</v>
      </c>
      <c r="E60" s="3">
        <f>IFERROR(__xludf.DUMMYFUNCTION("""COMPUTED_VALUE"""),1.0)</f>
        <v>1</v>
      </c>
      <c r="F60" s="3">
        <f>IFERROR(__xludf.DUMMYFUNCTION("""COMPUTED_VALUE"""),1.0)</f>
        <v>1</v>
      </c>
      <c r="G60" s="3">
        <f>IFERROR(__xludf.DUMMYFUNCTION("""COMPUTED_VALUE"""),0.0)</f>
        <v>0</v>
      </c>
      <c r="H60" s="3">
        <f>IFERROR(__xludf.DUMMYFUNCTION("""COMPUTED_VALUE"""),0.0)</f>
        <v>0</v>
      </c>
      <c r="I60" s="3">
        <f>IFERROR(__xludf.DUMMYFUNCTION("""COMPUTED_VALUE"""),0.0)</f>
        <v>0</v>
      </c>
      <c r="J60" s="3">
        <f>IFERROR(__xludf.DUMMYFUNCTION("""COMPUTED_VALUE"""),0.0)</f>
        <v>0</v>
      </c>
      <c r="K60" s="3">
        <f>IFERROR(__xludf.DUMMYFUNCTION("""COMPUTED_VALUE"""),0.0)</f>
        <v>0</v>
      </c>
      <c r="L60" s="3">
        <f>IFERROR(__xludf.DUMMYFUNCTION("""COMPUTED_VALUE"""),9.0)</f>
        <v>9</v>
      </c>
      <c r="M60" s="3">
        <f>IFERROR(__xludf.DUMMYFUNCTION("""COMPUTED_VALUE"""),0.0)</f>
        <v>0</v>
      </c>
      <c r="N60" s="3">
        <f>IFERROR(__xludf.DUMMYFUNCTION("""COMPUTED_VALUE"""),0.0)</f>
        <v>0</v>
      </c>
      <c r="O60" s="3">
        <f>IFERROR(__xludf.DUMMYFUNCTION("""COMPUTED_VALUE"""),1.0)</f>
        <v>1</v>
      </c>
      <c r="P60" s="3">
        <f>IFERROR(__xludf.DUMMYFUNCTION("""COMPUTED_VALUE"""),1.0)</f>
        <v>1</v>
      </c>
    </row>
    <row r="61">
      <c r="A61" s="3" t="str">
        <f>IFERROR(__xludf.DUMMYFUNCTION("""COMPUTED_VALUE"""),"Dominique")</f>
        <v>Dominique</v>
      </c>
      <c r="B61" s="3">
        <f>IFERROR(__xludf.DUMMYFUNCTION("""COMPUTED_VALUE"""),5.0)</f>
        <v>5</v>
      </c>
      <c r="C61" s="3">
        <f>IFERROR(__xludf.DUMMYFUNCTION("""COMPUTED_VALUE"""),1.0)</f>
        <v>1</v>
      </c>
      <c r="D61" s="3">
        <f>IFERROR(__xludf.DUMMYFUNCTION("""COMPUTED_VALUE"""),0.0)</f>
        <v>0</v>
      </c>
      <c r="E61" s="3">
        <f>IFERROR(__xludf.DUMMYFUNCTION("""COMPUTED_VALUE"""),0.0)</f>
        <v>0</v>
      </c>
      <c r="F61" s="3">
        <f>IFERROR(__xludf.DUMMYFUNCTION("""COMPUTED_VALUE"""),1.0)</f>
        <v>1</v>
      </c>
      <c r="G61" s="3">
        <f>IFERROR(__xludf.DUMMYFUNCTION("""COMPUTED_VALUE"""),1.0)</f>
        <v>1</v>
      </c>
      <c r="H61" s="3">
        <f>IFERROR(__xludf.DUMMYFUNCTION("""COMPUTED_VALUE"""),0.0)</f>
        <v>0</v>
      </c>
      <c r="I61" s="3">
        <f>IFERROR(__xludf.DUMMYFUNCTION("""COMPUTED_VALUE"""),0.0)</f>
        <v>0</v>
      </c>
      <c r="J61" s="3">
        <f>IFERROR(__xludf.DUMMYFUNCTION("""COMPUTED_VALUE"""),0.0)</f>
        <v>0</v>
      </c>
      <c r="K61" s="3">
        <f>IFERROR(__xludf.DUMMYFUNCTION("""COMPUTED_VALUE"""),0.0)</f>
        <v>0</v>
      </c>
      <c r="L61" s="3">
        <f>IFERROR(__xludf.DUMMYFUNCTION("""COMPUTED_VALUE"""),6.0)</f>
        <v>6</v>
      </c>
      <c r="M61" s="3">
        <f>IFERROR(__xludf.DUMMYFUNCTION("""COMPUTED_VALUE"""),1.0)</f>
        <v>1</v>
      </c>
      <c r="N61" s="3">
        <f>IFERROR(__xludf.DUMMYFUNCTION("""COMPUTED_VALUE"""),0.0)</f>
        <v>0</v>
      </c>
      <c r="O61" s="3">
        <f>IFERROR(__xludf.DUMMYFUNCTION("""COMPUTED_VALUE"""),0.0)</f>
        <v>0</v>
      </c>
      <c r="P61" s="3">
        <f>IFERROR(__xludf.DUMMYFUNCTION("""COMPUTED_VALUE"""),1.0)</f>
        <v>1</v>
      </c>
    </row>
    <row r="62">
      <c r="A62" s="3" t="str">
        <f>IFERROR(__xludf.DUMMYFUNCTION("""COMPUTED_VALUE"""),"Égypte[12],[8]")</f>
        <v>Égypte[12],[8]</v>
      </c>
      <c r="B62" s="3">
        <f>IFERROR(__xludf.DUMMYFUNCTION("""COMPUTED_VALUE"""),23.0)</f>
        <v>23</v>
      </c>
      <c r="C62" s="3">
        <f>IFERROR(__xludf.DUMMYFUNCTION("""COMPUTED_VALUE"""),7.0)</f>
        <v>7</v>
      </c>
      <c r="D62" s="3">
        <f>IFERROR(__xludf.DUMMYFUNCTION("""COMPUTED_VALUE"""),11.0)</f>
        <v>11</v>
      </c>
      <c r="E62" s="3">
        <f>IFERROR(__xludf.DUMMYFUNCTION("""COMPUTED_VALUE"""),19.0)</f>
        <v>19</v>
      </c>
      <c r="F62" s="3">
        <f>IFERROR(__xludf.DUMMYFUNCTION("""COMPUTED_VALUE"""),38.0)</f>
        <v>38</v>
      </c>
      <c r="G62" s="3">
        <f>IFERROR(__xludf.DUMMYFUNCTION("""COMPUTED_VALUE"""),1.0)</f>
        <v>1</v>
      </c>
      <c r="H62" s="3">
        <f>IFERROR(__xludf.DUMMYFUNCTION("""COMPUTED_VALUE"""),0.0)</f>
        <v>0</v>
      </c>
      <c r="I62" s="3">
        <f>IFERROR(__xludf.DUMMYFUNCTION("""COMPUTED_VALUE"""),0.0)</f>
        <v>0</v>
      </c>
      <c r="J62" s="3">
        <f>IFERROR(__xludf.DUMMYFUNCTION("""COMPUTED_VALUE"""),0.0)</f>
        <v>0</v>
      </c>
      <c r="K62" s="3">
        <f>IFERROR(__xludf.DUMMYFUNCTION("""COMPUTED_VALUE"""),0.0)</f>
        <v>0</v>
      </c>
      <c r="L62" s="3">
        <f>IFERROR(__xludf.DUMMYFUNCTION("""COMPUTED_VALUE"""),24.0)</f>
        <v>24</v>
      </c>
      <c r="M62" s="3">
        <f>IFERROR(__xludf.DUMMYFUNCTION("""COMPUTED_VALUE"""),7.0)</f>
        <v>7</v>
      </c>
      <c r="N62" s="3">
        <f>IFERROR(__xludf.DUMMYFUNCTION("""COMPUTED_VALUE"""),11.0)</f>
        <v>11</v>
      </c>
      <c r="O62" s="3">
        <f>IFERROR(__xludf.DUMMYFUNCTION("""COMPUTED_VALUE"""),19.0)</f>
        <v>19</v>
      </c>
      <c r="P62" s="3">
        <f>IFERROR(__xludf.DUMMYFUNCTION("""COMPUTED_VALUE"""),38.0)</f>
        <v>38</v>
      </c>
    </row>
    <row r="63">
      <c r="A63" s="3" t="str">
        <f>IFERROR(__xludf.DUMMYFUNCTION("""COMPUTED_VALUE"""),"*Empire russe*[13]")</f>
        <v>*Empire russe*[13]</v>
      </c>
      <c r="B63" s="3">
        <f>IFERROR(__xludf.DUMMYFUNCTION("""COMPUTED_VALUE"""),3.0)</f>
        <v>3</v>
      </c>
      <c r="C63" s="3">
        <f>IFERROR(__xludf.DUMMYFUNCTION("""COMPUTED_VALUE"""),1.0)</f>
        <v>1</v>
      </c>
      <c r="D63" s="3">
        <f>IFERROR(__xludf.DUMMYFUNCTION("""COMPUTED_VALUE"""),4.0)</f>
        <v>4</v>
      </c>
      <c r="E63" s="3">
        <f>IFERROR(__xludf.DUMMYFUNCTION("""COMPUTED_VALUE"""),3.0)</f>
        <v>3</v>
      </c>
      <c r="F63" s="3">
        <f>IFERROR(__xludf.DUMMYFUNCTION("""COMPUTED_VALUE"""),8.0)</f>
        <v>8</v>
      </c>
      <c r="G63" s="3">
        <f>IFERROR(__xludf.DUMMYFUNCTION("""COMPUTED_VALUE"""),0.0)</f>
        <v>0</v>
      </c>
      <c r="H63" s="3">
        <f>IFERROR(__xludf.DUMMYFUNCTION("""COMPUTED_VALUE"""),0.0)</f>
        <v>0</v>
      </c>
      <c r="I63" s="3">
        <f>IFERROR(__xludf.DUMMYFUNCTION("""COMPUTED_VALUE"""),0.0)</f>
        <v>0</v>
      </c>
      <c r="J63" s="3">
        <f>IFERROR(__xludf.DUMMYFUNCTION("""COMPUTED_VALUE"""),0.0)</f>
        <v>0</v>
      </c>
      <c r="K63" s="3">
        <f>IFERROR(__xludf.DUMMYFUNCTION("""COMPUTED_VALUE"""),0.0)</f>
        <v>0</v>
      </c>
      <c r="L63" s="3">
        <f>IFERROR(__xludf.DUMMYFUNCTION("""COMPUTED_VALUE"""),3.0)</f>
        <v>3</v>
      </c>
      <c r="M63" s="3">
        <f>IFERROR(__xludf.DUMMYFUNCTION("""COMPUTED_VALUE"""),1.0)</f>
        <v>1</v>
      </c>
      <c r="N63" s="3">
        <f>IFERROR(__xludf.DUMMYFUNCTION("""COMPUTED_VALUE"""),4.0)</f>
        <v>4</v>
      </c>
      <c r="O63" s="3">
        <f>IFERROR(__xludf.DUMMYFUNCTION("""COMPUTED_VALUE"""),3.0)</f>
        <v>3</v>
      </c>
      <c r="P63" s="3">
        <f>IFERROR(__xludf.DUMMYFUNCTION("""COMPUTED_VALUE"""),8.0)</f>
        <v>8</v>
      </c>
    </row>
    <row r="64">
      <c r="A64" s="3" t="str">
        <f>IFERROR(__xludf.DUMMYFUNCTION("""COMPUTED_VALUE"""),"Émirats arabes unis")</f>
        <v>Émirats arabes unis</v>
      </c>
      <c r="B64" s="3">
        <f>IFERROR(__xludf.DUMMYFUNCTION("""COMPUTED_VALUE"""),10.0)</f>
        <v>10</v>
      </c>
      <c r="C64" s="3">
        <f>IFERROR(__xludf.DUMMYFUNCTION("""COMPUTED_VALUE"""),1.0)</f>
        <v>1</v>
      </c>
      <c r="D64" s="3">
        <f>IFERROR(__xludf.DUMMYFUNCTION("""COMPUTED_VALUE"""),0.0)</f>
        <v>0</v>
      </c>
      <c r="E64" s="3">
        <f>IFERROR(__xludf.DUMMYFUNCTION("""COMPUTED_VALUE"""),1.0)</f>
        <v>1</v>
      </c>
      <c r="F64" s="3">
        <f>IFERROR(__xludf.DUMMYFUNCTION("""COMPUTED_VALUE"""),2.0)</f>
        <v>2</v>
      </c>
      <c r="G64" s="3">
        <f>IFERROR(__xludf.DUMMYFUNCTION("""COMPUTED_VALUE"""),0.0)</f>
        <v>0</v>
      </c>
      <c r="H64" s="3">
        <f>IFERROR(__xludf.DUMMYFUNCTION("""COMPUTED_VALUE"""),0.0)</f>
        <v>0</v>
      </c>
      <c r="I64" s="3">
        <f>IFERROR(__xludf.DUMMYFUNCTION("""COMPUTED_VALUE"""),0.0)</f>
        <v>0</v>
      </c>
      <c r="J64" s="3">
        <f>IFERROR(__xludf.DUMMYFUNCTION("""COMPUTED_VALUE"""),0.0)</f>
        <v>0</v>
      </c>
      <c r="K64" s="3">
        <f>IFERROR(__xludf.DUMMYFUNCTION("""COMPUTED_VALUE"""),0.0)</f>
        <v>0</v>
      </c>
      <c r="L64" s="3">
        <f>IFERROR(__xludf.DUMMYFUNCTION("""COMPUTED_VALUE"""),10.0)</f>
        <v>10</v>
      </c>
      <c r="M64" s="3">
        <f>IFERROR(__xludf.DUMMYFUNCTION("""COMPUTED_VALUE"""),1.0)</f>
        <v>1</v>
      </c>
      <c r="N64" s="3">
        <f>IFERROR(__xludf.DUMMYFUNCTION("""COMPUTED_VALUE"""),0.0)</f>
        <v>0</v>
      </c>
      <c r="O64" s="3">
        <f>IFERROR(__xludf.DUMMYFUNCTION("""COMPUTED_VALUE"""),1.0)</f>
        <v>1</v>
      </c>
      <c r="P64" s="3">
        <f>IFERROR(__xludf.DUMMYFUNCTION("""COMPUTED_VALUE"""),2.0)</f>
        <v>2</v>
      </c>
    </row>
    <row r="65">
      <c r="A65" s="3" t="str">
        <f>IFERROR(__xludf.DUMMYFUNCTION("""COMPUTED_VALUE"""),"Équateur")</f>
        <v>Équateur</v>
      </c>
      <c r="B65" s="3">
        <f>IFERROR(__xludf.DUMMYFUNCTION("""COMPUTED_VALUE"""),15.0)</f>
        <v>15</v>
      </c>
      <c r="C65" s="3">
        <f>IFERROR(__xludf.DUMMYFUNCTION("""COMPUTED_VALUE"""),3.0)</f>
        <v>3</v>
      </c>
      <c r="D65" s="3">
        <f>IFERROR(__xludf.DUMMYFUNCTION("""COMPUTED_VALUE"""),2.0)</f>
        <v>2</v>
      </c>
      <c r="E65" s="3">
        <f>IFERROR(__xludf.DUMMYFUNCTION("""COMPUTED_VALUE"""),0.0)</f>
        <v>0</v>
      </c>
      <c r="F65" s="3">
        <f>IFERROR(__xludf.DUMMYFUNCTION("""COMPUTED_VALUE"""),5.0)</f>
        <v>5</v>
      </c>
      <c r="G65" s="3">
        <f>IFERROR(__xludf.DUMMYFUNCTION("""COMPUTED_VALUE"""),1.0)</f>
        <v>1</v>
      </c>
      <c r="H65" s="3">
        <f>IFERROR(__xludf.DUMMYFUNCTION("""COMPUTED_VALUE"""),0.0)</f>
        <v>0</v>
      </c>
      <c r="I65" s="3">
        <f>IFERROR(__xludf.DUMMYFUNCTION("""COMPUTED_VALUE"""),0.0)</f>
        <v>0</v>
      </c>
      <c r="J65" s="3">
        <f>IFERROR(__xludf.DUMMYFUNCTION("""COMPUTED_VALUE"""),0.0)</f>
        <v>0</v>
      </c>
      <c r="K65" s="3">
        <f>IFERROR(__xludf.DUMMYFUNCTION("""COMPUTED_VALUE"""),0.0)</f>
        <v>0</v>
      </c>
      <c r="L65" s="3">
        <f>IFERROR(__xludf.DUMMYFUNCTION("""COMPUTED_VALUE"""),16.0)</f>
        <v>16</v>
      </c>
      <c r="M65" s="3">
        <f>IFERROR(__xludf.DUMMYFUNCTION("""COMPUTED_VALUE"""),3.0)</f>
        <v>3</v>
      </c>
      <c r="N65" s="3">
        <f>IFERROR(__xludf.DUMMYFUNCTION("""COMPUTED_VALUE"""),2.0)</f>
        <v>2</v>
      </c>
      <c r="O65" s="3">
        <f>IFERROR(__xludf.DUMMYFUNCTION("""COMPUTED_VALUE"""),0.0)</f>
        <v>0</v>
      </c>
      <c r="P65" s="3">
        <f>IFERROR(__xludf.DUMMYFUNCTION("""COMPUTED_VALUE"""),5.0)</f>
        <v>5</v>
      </c>
    </row>
    <row r="66">
      <c r="A66" s="3" t="str">
        <f>IFERROR(__xludf.DUMMYFUNCTION("""COMPUTED_VALUE"""),"* Équipe mixte*[14]")</f>
        <v>* Équipe mixte*[14]</v>
      </c>
      <c r="B66" s="3">
        <f>IFERROR(__xludf.DUMMYFUNCTION("""COMPUTED_VALUE"""),3.0)</f>
        <v>3</v>
      </c>
      <c r="C66" s="3">
        <f>IFERROR(__xludf.DUMMYFUNCTION("""COMPUTED_VALUE"""),8.0)</f>
        <v>8</v>
      </c>
      <c r="D66" s="3">
        <f>IFERROR(__xludf.DUMMYFUNCTION("""COMPUTED_VALUE"""),5.0)</f>
        <v>5</v>
      </c>
      <c r="E66" s="3">
        <f>IFERROR(__xludf.DUMMYFUNCTION("""COMPUTED_VALUE"""),4.0)</f>
        <v>4</v>
      </c>
      <c r="F66" s="3">
        <f>IFERROR(__xludf.DUMMYFUNCTION("""COMPUTED_VALUE"""),17.0)</f>
        <v>17</v>
      </c>
      <c r="G66" s="3">
        <f>IFERROR(__xludf.DUMMYFUNCTION("""COMPUTED_VALUE"""),0.0)</f>
        <v>0</v>
      </c>
      <c r="H66" s="3">
        <f>IFERROR(__xludf.DUMMYFUNCTION("""COMPUTED_VALUE"""),0.0)</f>
        <v>0</v>
      </c>
      <c r="I66" s="3">
        <f>IFERROR(__xludf.DUMMYFUNCTION("""COMPUTED_VALUE"""),0.0)</f>
        <v>0</v>
      </c>
      <c r="J66" s="3">
        <f>IFERROR(__xludf.DUMMYFUNCTION("""COMPUTED_VALUE"""),0.0)</f>
        <v>0</v>
      </c>
      <c r="K66" s="3">
        <f>IFERROR(__xludf.DUMMYFUNCTION("""COMPUTED_VALUE"""),0.0)</f>
        <v>0</v>
      </c>
      <c r="L66" s="3">
        <f>IFERROR(__xludf.DUMMYFUNCTION("""COMPUTED_VALUE"""),3.0)</f>
        <v>3</v>
      </c>
      <c r="M66" s="3">
        <f>IFERROR(__xludf.DUMMYFUNCTION("""COMPUTED_VALUE"""),8.0)</f>
        <v>8</v>
      </c>
      <c r="N66" s="3">
        <f>IFERROR(__xludf.DUMMYFUNCTION("""COMPUTED_VALUE"""),5.0)</f>
        <v>5</v>
      </c>
      <c r="O66" s="3">
        <f>IFERROR(__xludf.DUMMYFUNCTION("""COMPUTED_VALUE"""),4.0)</f>
        <v>4</v>
      </c>
      <c r="P66" s="3">
        <f>IFERROR(__xludf.DUMMYFUNCTION("""COMPUTED_VALUE"""),17.0)</f>
        <v>17</v>
      </c>
    </row>
    <row r="67">
      <c r="A67" s="3" t="str">
        <f>IFERROR(__xludf.DUMMYFUNCTION("""COMPUTED_VALUE"""),"Équipe réfugiés")</f>
        <v>Équipe réfugiés</v>
      </c>
      <c r="B67" s="3">
        <f>IFERROR(__xludf.DUMMYFUNCTION("""COMPUTED_VALUE"""),3.0)</f>
        <v>3</v>
      </c>
      <c r="C67" s="3">
        <f>IFERROR(__xludf.DUMMYFUNCTION("""COMPUTED_VALUE"""),0.0)</f>
        <v>0</v>
      </c>
      <c r="D67" s="3">
        <f>IFERROR(__xludf.DUMMYFUNCTION("""COMPUTED_VALUE"""),0.0)</f>
        <v>0</v>
      </c>
      <c r="E67" s="3">
        <f>IFERROR(__xludf.DUMMYFUNCTION("""COMPUTED_VALUE"""),1.0)</f>
        <v>1</v>
      </c>
      <c r="F67" s="3">
        <f>IFERROR(__xludf.DUMMYFUNCTION("""COMPUTED_VALUE"""),1.0)</f>
        <v>1</v>
      </c>
      <c r="G67" s="3">
        <f>IFERROR(__xludf.DUMMYFUNCTION("""COMPUTED_VALUE"""),0.0)</f>
        <v>0</v>
      </c>
      <c r="H67" s="3">
        <f>IFERROR(__xludf.DUMMYFUNCTION("""COMPUTED_VALUE"""),0.0)</f>
        <v>0</v>
      </c>
      <c r="I67" s="3">
        <f>IFERROR(__xludf.DUMMYFUNCTION("""COMPUTED_VALUE"""),0.0)</f>
        <v>0</v>
      </c>
      <c r="J67" s="3">
        <f>IFERROR(__xludf.DUMMYFUNCTION("""COMPUTED_VALUE"""),0.0)</f>
        <v>0</v>
      </c>
      <c r="K67" s="3">
        <f>IFERROR(__xludf.DUMMYFUNCTION("""COMPUTED_VALUE"""),0.0)</f>
        <v>0</v>
      </c>
      <c r="L67" s="3">
        <f>IFERROR(__xludf.DUMMYFUNCTION("""COMPUTED_VALUE"""),3.0)</f>
        <v>3</v>
      </c>
      <c r="M67" s="3">
        <f>IFERROR(__xludf.DUMMYFUNCTION("""COMPUTED_VALUE"""),0.0)</f>
        <v>0</v>
      </c>
      <c r="N67" s="3">
        <f>IFERROR(__xludf.DUMMYFUNCTION("""COMPUTED_VALUE"""),0.0)</f>
        <v>0</v>
      </c>
      <c r="O67" s="3">
        <f>IFERROR(__xludf.DUMMYFUNCTION("""COMPUTED_VALUE"""),1.0)</f>
        <v>1</v>
      </c>
      <c r="P67" s="3">
        <f>IFERROR(__xludf.DUMMYFUNCTION("""COMPUTED_VALUE"""),1.0)</f>
        <v>1</v>
      </c>
    </row>
    <row r="68">
      <c r="A68" s="3" t="str">
        <f>IFERROR(__xludf.DUMMYFUNCTION("""COMPUTED_VALUE"""),"*Équipe unifiée de l'ex-URSS*[15]")</f>
        <v>*Équipe unifiée de l'ex-URSS*[15]</v>
      </c>
      <c r="B68" s="3">
        <f>IFERROR(__xludf.DUMMYFUNCTION("""COMPUTED_VALUE"""),1.0)</f>
        <v>1</v>
      </c>
      <c r="C68" s="3">
        <f>IFERROR(__xludf.DUMMYFUNCTION("""COMPUTED_VALUE"""),45.0)</f>
        <v>45</v>
      </c>
      <c r="D68" s="3">
        <f>IFERROR(__xludf.DUMMYFUNCTION("""COMPUTED_VALUE"""),38.0)</f>
        <v>38</v>
      </c>
      <c r="E68" s="3">
        <f>IFERROR(__xludf.DUMMYFUNCTION("""COMPUTED_VALUE"""),29.0)</f>
        <v>29</v>
      </c>
      <c r="F68" s="3">
        <f>IFERROR(__xludf.DUMMYFUNCTION("""COMPUTED_VALUE"""),112.0)</f>
        <v>112</v>
      </c>
      <c r="G68" s="3">
        <f>IFERROR(__xludf.DUMMYFUNCTION("""COMPUTED_VALUE"""),1.0)</f>
        <v>1</v>
      </c>
      <c r="H68" s="3">
        <f>IFERROR(__xludf.DUMMYFUNCTION("""COMPUTED_VALUE"""),9.0)</f>
        <v>9</v>
      </c>
      <c r="I68" s="3">
        <f>IFERROR(__xludf.DUMMYFUNCTION("""COMPUTED_VALUE"""),6.0)</f>
        <v>6</v>
      </c>
      <c r="J68" s="3">
        <f>IFERROR(__xludf.DUMMYFUNCTION("""COMPUTED_VALUE"""),8.0)</f>
        <v>8</v>
      </c>
      <c r="K68" s="3">
        <f>IFERROR(__xludf.DUMMYFUNCTION("""COMPUTED_VALUE"""),23.0)</f>
        <v>23</v>
      </c>
      <c r="L68" s="3">
        <f>IFERROR(__xludf.DUMMYFUNCTION("""COMPUTED_VALUE"""),2.0)</f>
        <v>2</v>
      </c>
      <c r="M68" s="3">
        <f>IFERROR(__xludf.DUMMYFUNCTION("""COMPUTED_VALUE"""),54.0)</f>
        <v>54</v>
      </c>
      <c r="N68" s="3">
        <f>IFERROR(__xludf.DUMMYFUNCTION("""COMPUTED_VALUE"""),44.0)</f>
        <v>44</v>
      </c>
      <c r="O68" s="3">
        <f>IFERROR(__xludf.DUMMYFUNCTION("""COMPUTED_VALUE"""),37.0)</f>
        <v>37</v>
      </c>
      <c r="P68" s="3">
        <f>IFERROR(__xludf.DUMMYFUNCTION("""COMPUTED_VALUE"""),135.0)</f>
        <v>135</v>
      </c>
    </row>
    <row r="69">
      <c r="A69" s="3" t="str">
        <f>IFERROR(__xludf.DUMMYFUNCTION("""COMPUTED_VALUE"""),"Érythrée")</f>
        <v>Érythrée</v>
      </c>
      <c r="B69" s="3">
        <f>IFERROR(__xludf.DUMMYFUNCTION("""COMPUTED_VALUE"""),6.0)</f>
        <v>6</v>
      </c>
      <c r="C69" s="3">
        <f>IFERROR(__xludf.DUMMYFUNCTION("""COMPUTED_VALUE"""),0.0)</f>
        <v>0</v>
      </c>
      <c r="D69" s="3">
        <f>IFERROR(__xludf.DUMMYFUNCTION("""COMPUTED_VALUE"""),0.0)</f>
        <v>0</v>
      </c>
      <c r="E69" s="3">
        <f>IFERROR(__xludf.DUMMYFUNCTION("""COMPUTED_VALUE"""),1.0)</f>
        <v>1</v>
      </c>
      <c r="F69" s="3">
        <f>IFERROR(__xludf.DUMMYFUNCTION("""COMPUTED_VALUE"""),1.0)</f>
        <v>1</v>
      </c>
      <c r="G69" s="3">
        <f>IFERROR(__xludf.DUMMYFUNCTION("""COMPUTED_VALUE"""),1.0)</f>
        <v>1</v>
      </c>
      <c r="H69" s="3">
        <f>IFERROR(__xludf.DUMMYFUNCTION("""COMPUTED_VALUE"""),0.0)</f>
        <v>0</v>
      </c>
      <c r="I69" s="3">
        <f>IFERROR(__xludf.DUMMYFUNCTION("""COMPUTED_VALUE"""),0.0)</f>
        <v>0</v>
      </c>
      <c r="J69" s="3">
        <f>IFERROR(__xludf.DUMMYFUNCTION("""COMPUTED_VALUE"""),0.0)</f>
        <v>0</v>
      </c>
      <c r="K69" s="3">
        <f>IFERROR(__xludf.DUMMYFUNCTION("""COMPUTED_VALUE"""),0.0)</f>
        <v>0</v>
      </c>
      <c r="L69" s="3">
        <f>IFERROR(__xludf.DUMMYFUNCTION("""COMPUTED_VALUE"""),7.0)</f>
        <v>7</v>
      </c>
      <c r="M69" s="3">
        <f>IFERROR(__xludf.DUMMYFUNCTION("""COMPUTED_VALUE"""),0.0)</f>
        <v>0</v>
      </c>
      <c r="N69" s="3">
        <f>IFERROR(__xludf.DUMMYFUNCTION("""COMPUTED_VALUE"""),0.0)</f>
        <v>0</v>
      </c>
      <c r="O69" s="3">
        <f>IFERROR(__xludf.DUMMYFUNCTION("""COMPUTED_VALUE"""),1.0)</f>
        <v>1</v>
      </c>
      <c r="P69" s="3">
        <f>IFERROR(__xludf.DUMMYFUNCTION("""COMPUTED_VALUE"""),1.0)</f>
        <v>1</v>
      </c>
    </row>
    <row r="70">
      <c r="A70" s="3" t="str">
        <f>IFERROR(__xludf.DUMMYFUNCTION("""COMPUTED_VALUE"""),"Espagne[8]")</f>
        <v>Espagne[8]</v>
      </c>
      <c r="B70" s="3">
        <f>IFERROR(__xludf.DUMMYFUNCTION("""COMPUTED_VALUE"""),24.0)</f>
        <v>24</v>
      </c>
      <c r="C70" s="3">
        <f>IFERROR(__xludf.DUMMYFUNCTION("""COMPUTED_VALUE"""),53.0)</f>
        <v>53</v>
      </c>
      <c r="D70" s="3">
        <f>IFERROR(__xludf.DUMMYFUNCTION("""COMPUTED_VALUE"""),76.0)</f>
        <v>76</v>
      </c>
      <c r="E70" s="3">
        <f>IFERROR(__xludf.DUMMYFUNCTION("""COMPUTED_VALUE"""),56.0)</f>
        <v>56</v>
      </c>
      <c r="F70" s="3">
        <f>IFERROR(__xludf.DUMMYFUNCTION("""COMPUTED_VALUE"""),185.0)</f>
        <v>185</v>
      </c>
      <c r="G70" s="3">
        <f>IFERROR(__xludf.DUMMYFUNCTION("""COMPUTED_VALUE"""),20.0)</f>
        <v>20</v>
      </c>
      <c r="H70" s="3">
        <f>IFERROR(__xludf.DUMMYFUNCTION("""COMPUTED_VALUE"""),1.0)</f>
        <v>1</v>
      </c>
      <c r="I70" s="3">
        <f>IFERROR(__xludf.DUMMYFUNCTION("""COMPUTED_VALUE"""),0.0)</f>
        <v>0</v>
      </c>
      <c r="J70" s="3">
        <f>IFERROR(__xludf.DUMMYFUNCTION("""COMPUTED_VALUE"""),3.0)</f>
        <v>3</v>
      </c>
      <c r="K70" s="3">
        <f>IFERROR(__xludf.DUMMYFUNCTION("""COMPUTED_VALUE"""),4.0)</f>
        <v>4</v>
      </c>
      <c r="L70" s="3">
        <f>IFERROR(__xludf.DUMMYFUNCTION("""COMPUTED_VALUE"""),44.0)</f>
        <v>44</v>
      </c>
      <c r="M70" s="3">
        <f>IFERROR(__xludf.DUMMYFUNCTION("""COMPUTED_VALUE"""),54.0)</f>
        <v>54</v>
      </c>
      <c r="N70" s="3">
        <f>IFERROR(__xludf.DUMMYFUNCTION("""COMPUTED_VALUE"""),76.0)</f>
        <v>76</v>
      </c>
      <c r="O70" s="3">
        <f>IFERROR(__xludf.DUMMYFUNCTION("""COMPUTED_VALUE"""),59.0)</f>
        <v>59</v>
      </c>
      <c r="P70" s="3">
        <f>IFERROR(__xludf.DUMMYFUNCTION("""COMPUTED_VALUE"""),189.0)</f>
        <v>189</v>
      </c>
    </row>
    <row r="71">
      <c r="A71" s="3" t="str">
        <f>IFERROR(__xludf.DUMMYFUNCTION("""COMPUTED_VALUE"""),"Estonie")</f>
        <v>Estonie</v>
      </c>
      <c r="B71" s="3">
        <f>IFERROR(__xludf.DUMMYFUNCTION("""COMPUTED_VALUE"""),13.0)</f>
        <v>13</v>
      </c>
      <c r="C71" s="3">
        <f>IFERROR(__xludf.DUMMYFUNCTION("""COMPUTED_VALUE"""),10.0)</f>
        <v>10</v>
      </c>
      <c r="D71" s="3">
        <f>IFERROR(__xludf.DUMMYFUNCTION("""COMPUTED_VALUE"""),9.0)</f>
        <v>9</v>
      </c>
      <c r="E71" s="3">
        <f>IFERROR(__xludf.DUMMYFUNCTION("""COMPUTED_VALUE"""),17.0)</f>
        <v>17</v>
      </c>
      <c r="F71" s="3">
        <f>IFERROR(__xludf.DUMMYFUNCTION("""COMPUTED_VALUE"""),36.0)</f>
        <v>36</v>
      </c>
      <c r="G71" s="3">
        <f>IFERROR(__xludf.DUMMYFUNCTION("""COMPUTED_VALUE"""),10.0)</f>
        <v>10</v>
      </c>
      <c r="H71" s="3">
        <f>IFERROR(__xludf.DUMMYFUNCTION("""COMPUTED_VALUE"""),4.0)</f>
        <v>4</v>
      </c>
      <c r="I71" s="3">
        <f>IFERROR(__xludf.DUMMYFUNCTION("""COMPUTED_VALUE"""),2.0)</f>
        <v>2</v>
      </c>
      <c r="J71" s="3">
        <f>IFERROR(__xludf.DUMMYFUNCTION("""COMPUTED_VALUE"""),1.0)</f>
        <v>1</v>
      </c>
      <c r="K71" s="3">
        <f>IFERROR(__xludf.DUMMYFUNCTION("""COMPUTED_VALUE"""),7.0)</f>
        <v>7</v>
      </c>
      <c r="L71" s="3">
        <f>IFERROR(__xludf.DUMMYFUNCTION("""COMPUTED_VALUE"""),23.0)</f>
        <v>23</v>
      </c>
      <c r="M71" s="3">
        <f>IFERROR(__xludf.DUMMYFUNCTION("""COMPUTED_VALUE"""),14.0)</f>
        <v>14</v>
      </c>
      <c r="N71" s="3">
        <f>IFERROR(__xludf.DUMMYFUNCTION("""COMPUTED_VALUE"""),11.0)</f>
        <v>11</v>
      </c>
      <c r="O71" s="3">
        <f>IFERROR(__xludf.DUMMYFUNCTION("""COMPUTED_VALUE"""),18.0)</f>
        <v>18</v>
      </c>
      <c r="P71" s="3">
        <f>IFERROR(__xludf.DUMMYFUNCTION("""COMPUTED_VALUE"""),43.0)</f>
        <v>43</v>
      </c>
    </row>
    <row r="72">
      <c r="A72" s="3" t="str">
        <f>IFERROR(__xludf.DUMMYFUNCTION("""COMPUTED_VALUE"""),"États-Unis[8]")</f>
        <v>États-Unis[8]</v>
      </c>
      <c r="B72" s="3">
        <f>IFERROR(__xludf.DUMMYFUNCTION("""COMPUTED_VALUE"""),29.0)</f>
        <v>29</v>
      </c>
      <c r="C72" s="3">
        <f>IFERROR(__xludf.DUMMYFUNCTION("""COMPUTED_VALUE"""),1105.0)</f>
        <v>1105</v>
      </c>
      <c r="D72" s="3">
        <f>IFERROR(__xludf.DUMMYFUNCTION("""COMPUTED_VALUE"""),879.0)</f>
        <v>879</v>
      </c>
      <c r="E72" s="3">
        <f>IFERROR(__xludf.DUMMYFUNCTION("""COMPUTED_VALUE"""),780.0)</f>
        <v>780</v>
      </c>
      <c r="F72" s="3">
        <f>IFERROR(__xludf.DUMMYFUNCTION("""COMPUTED_VALUE"""),2764.0)</f>
        <v>2764</v>
      </c>
      <c r="G72" s="3">
        <f>IFERROR(__xludf.DUMMYFUNCTION("""COMPUTED_VALUE"""),24.0)</f>
        <v>24</v>
      </c>
      <c r="H72" s="3">
        <f>IFERROR(__xludf.DUMMYFUNCTION("""COMPUTED_VALUE"""),114.0)</f>
        <v>114</v>
      </c>
      <c r="I72" s="3">
        <f>IFERROR(__xludf.DUMMYFUNCTION("""COMPUTED_VALUE"""),121.0)</f>
        <v>121</v>
      </c>
      <c r="J72" s="3">
        <f>IFERROR(__xludf.DUMMYFUNCTION("""COMPUTED_VALUE"""),95.0)</f>
        <v>95</v>
      </c>
      <c r="K72" s="3">
        <f>IFERROR(__xludf.DUMMYFUNCTION("""COMPUTED_VALUE"""),330.0)</f>
        <v>330</v>
      </c>
      <c r="L72" s="3">
        <f>IFERROR(__xludf.DUMMYFUNCTION("""COMPUTED_VALUE"""),53.0)</f>
        <v>53</v>
      </c>
      <c r="M72" s="3">
        <f>IFERROR(__xludf.DUMMYFUNCTION("""COMPUTED_VALUE"""),1219.0)</f>
        <v>1219</v>
      </c>
      <c r="N72" s="3">
        <f>IFERROR(__xludf.DUMMYFUNCTION("""COMPUTED_VALUE"""),1000.0)</f>
        <v>1000</v>
      </c>
      <c r="O72" s="3">
        <f>IFERROR(__xludf.DUMMYFUNCTION("""COMPUTED_VALUE"""),875.0)</f>
        <v>875</v>
      </c>
      <c r="P72" s="3">
        <f>IFERROR(__xludf.DUMMYFUNCTION("""COMPUTED_VALUE"""),3094.0)</f>
        <v>3094</v>
      </c>
    </row>
    <row r="73">
      <c r="A73" s="3" t="str">
        <f>IFERROR(__xludf.DUMMYFUNCTION("""COMPUTED_VALUE"""),"Éthiopie")</f>
        <v>Éthiopie</v>
      </c>
      <c r="B73" s="3">
        <f>IFERROR(__xludf.DUMMYFUNCTION("""COMPUTED_VALUE"""),14.0)</f>
        <v>14</v>
      </c>
      <c r="C73" s="3">
        <f>IFERROR(__xludf.DUMMYFUNCTION("""COMPUTED_VALUE"""),23.0)</f>
        <v>23</v>
      </c>
      <c r="D73" s="3">
        <f>IFERROR(__xludf.DUMMYFUNCTION("""COMPUTED_VALUE"""),12.0)</f>
        <v>12</v>
      </c>
      <c r="E73" s="3">
        <f>IFERROR(__xludf.DUMMYFUNCTION("""COMPUTED_VALUE"""),23.0)</f>
        <v>23</v>
      </c>
      <c r="F73" s="3">
        <f>IFERROR(__xludf.DUMMYFUNCTION("""COMPUTED_VALUE"""),58.0)</f>
        <v>58</v>
      </c>
      <c r="G73" s="3">
        <f>IFERROR(__xludf.DUMMYFUNCTION("""COMPUTED_VALUE"""),2.0)</f>
        <v>2</v>
      </c>
      <c r="H73" s="3">
        <f>IFERROR(__xludf.DUMMYFUNCTION("""COMPUTED_VALUE"""),0.0)</f>
        <v>0</v>
      </c>
      <c r="I73" s="3">
        <f>IFERROR(__xludf.DUMMYFUNCTION("""COMPUTED_VALUE"""),0.0)</f>
        <v>0</v>
      </c>
      <c r="J73" s="3">
        <f>IFERROR(__xludf.DUMMYFUNCTION("""COMPUTED_VALUE"""),0.0)</f>
        <v>0</v>
      </c>
      <c r="K73" s="3">
        <f>IFERROR(__xludf.DUMMYFUNCTION("""COMPUTED_VALUE"""),0.0)</f>
        <v>0</v>
      </c>
      <c r="L73" s="3">
        <f>IFERROR(__xludf.DUMMYFUNCTION("""COMPUTED_VALUE"""),16.0)</f>
        <v>16</v>
      </c>
      <c r="M73" s="3">
        <f>IFERROR(__xludf.DUMMYFUNCTION("""COMPUTED_VALUE"""),23.0)</f>
        <v>23</v>
      </c>
      <c r="N73" s="3">
        <f>IFERROR(__xludf.DUMMYFUNCTION("""COMPUTED_VALUE"""),12.0)</f>
        <v>12</v>
      </c>
      <c r="O73" s="3">
        <f>IFERROR(__xludf.DUMMYFUNCTION("""COMPUTED_VALUE"""),23.0)</f>
        <v>23</v>
      </c>
      <c r="P73" s="3">
        <f>IFERROR(__xludf.DUMMYFUNCTION("""COMPUTED_VALUE"""),58.0)</f>
        <v>58</v>
      </c>
    </row>
    <row r="74">
      <c r="A74" s="3" t="str">
        <f>IFERROR(__xludf.DUMMYFUNCTION("""COMPUTED_VALUE"""),"*Indes occidentales*[16]")</f>
        <v>*Indes occidentales*[16]</v>
      </c>
      <c r="B74" s="3">
        <f>IFERROR(__xludf.DUMMYFUNCTION("""COMPUTED_VALUE"""),1.0)</f>
        <v>1</v>
      </c>
      <c r="C74" s="3">
        <f>IFERROR(__xludf.DUMMYFUNCTION("""COMPUTED_VALUE"""),0.0)</f>
        <v>0</v>
      </c>
      <c r="D74" s="3">
        <f>IFERROR(__xludf.DUMMYFUNCTION("""COMPUTED_VALUE"""),0.0)</f>
        <v>0</v>
      </c>
      <c r="E74" s="3">
        <f>IFERROR(__xludf.DUMMYFUNCTION("""COMPUTED_VALUE"""),2.0)</f>
        <v>2</v>
      </c>
      <c r="F74" s="3">
        <f>IFERROR(__xludf.DUMMYFUNCTION("""COMPUTED_VALUE"""),2.0)</f>
        <v>2</v>
      </c>
      <c r="G74" s="3">
        <f>IFERROR(__xludf.DUMMYFUNCTION("""COMPUTED_VALUE"""),0.0)</f>
        <v>0</v>
      </c>
      <c r="H74" s="3">
        <f>IFERROR(__xludf.DUMMYFUNCTION("""COMPUTED_VALUE"""),0.0)</f>
        <v>0</v>
      </c>
      <c r="I74" s="3">
        <f>IFERROR(__xludf.DUMMYFUNCTION("""COMPUTED_VALUE"""),0.0)</f>
        <v>0</v>
      </c>
      <c r="J74" s="3">
        <f>IFERROR(__xludf.DUMMYFUNCTION("""COMPUTED_VALUE"""),0.0)</f>
        <v>0</v>
      </c>
      <c r="K74" s="3">
        <f>IFERROR(__xludf.DUMMYFUNCTION("""COMPUTED_VALUE"""),0.0)</f>
        <v>0</v>
      </c>
      <c r="L74" s="3">
        <f>IFERROR(__xludf.DUMMYFUNCTION("""COMPUTED_VALUE"""),1.0)</f>
        <v>1</v>
      </c>
      <c r="M74" s="3">
        <f>IFERROR(__xludf.DUMMYFUNCTION("""COMPUTED_VALUE"""),0.0)</f>
        <v>0</v>
      </c>
      <c r="N74" s="3">
        <f>IFERROR(__xludf.DUMMYFUNCTION("""COMPUTED_VALUE"""),0.0)</f>
        <v>0</v>
      </c>
      <c r="O74" s="3">
        <f>IFERROR(__xludf.DUMMYFUNCTION("""COMPUTED_VALUE"""),2.0)</f>
        <v>2</v>
      </c>
      <c r="P74" s="3">
        <f>IFERROR(__xludf.DUMMYFUNCTION("""COMPUTED_VALUE"""),2.0)</f>
        <v>2</v>
      </c>
    </row>
    <row r="75">
      <c r="A75" s="3" t="str">
        <f>IFERROR(__xludf.DUMMYFUNCTION("""COMPUTED_VALUE"""),"Fidji")</f>
        <v>Fidji</v>
      </c>
      <c r="B75" s="3">
        <f>IFERROR(__xludf.DUMMYFUNCTION("""COMPUTED_VALUE"""),15.0)</f>
        <v>15</v>
      </c>
      <c r="C75" s="3">
        <f>IFERROR(__xludf.DUMMYFUNCTION("""COMPUTED_VALUE"""),2.0)</f>
        <v>2</v>
      </c>
      <c r="D75" s="3">
        <f>IFERROR(__xludf.DUMMYFUNCTION("""COMPUTED_VALUE"""),1.0)</f>
        <v>1</v>
      </c>
      <c r="E75" s="3">
        <f>IFERROR(__xludf.DUMMYFUNCTION("""COMPUTED_VALUE"""),1.0)</f>
        <v>1</v>
      </c>
      <c r="F75" s="3">
        <f>IFERROR(__xludf.DUMMYFUNCTION("""COMPUTED_VALUE"""),3.0)</f>
        <v>3</v>
      </c>
      <c r="G75" s="3">
        <f>IFERROR(__xludf.DUMMYFUNCTION("""COMPUTED_VALUE"""),3.0)</f>
        <v>3</v>
      </c>
      <c r="H75" s="3">
        <f>IFERROR(__xludf.DUMMYFUNCTION("""COMPUTED_VALUE"""),0.0)</f>
        <v>0</v>
      </c>
      <c r="I75" s="3">
        <f>IFERROR(__xludf.DUMMYFUNCTION("""COMPUTED_VALUE"""),0.0)</f>
        <v>0</v>
      </c>
      <c r="J75" s="3">
        <f>IFERROR(__xludf.DUMMYFUNCTION("""COMPUTED_VALUE"""),0.0)</f>
        <v>0</v>
      </c>
      <c r="K75" s="3">
        <f>IFERROR(__xludf.DUMMYFUNCTION("""COMPUTED_VALUE"""),0.0)</f>
        <v>0</v>
      </c>
      <c r="L75" s="3">
        <f>IFERROR(__xludf.DUMMYFUNCTION("""COMPUTED_VALUE"""),18.0)</f>
        <v>18</v>
      </c>
      <c r="M75" s="3">
        <f>IFERROR(__xludf.DUMMYFUNCTION("""COMPUTED_VALUE"""),2.0)</f>
        <v>2</v>
      </c>
      <c r="N75" s="3">
        <f>IFERROR(__xludf.DUMMYFUNCTION("""COMPUTED_VALUE"""),1.0)</f>
        <v>1</v>
      </c>
      <c r="O75" s="3">
        <f>IFERROR(__xludf.DUMMYFUNCTION("""COMPUTED_VALUE"""),1.0)</f>
        <v>1</v>
      </c>
      <c r="P75" s="3">
        <f>IFERROR(__xludf.DUMMYFUNCTION("""COMPUTED_VALUE"""),3.0)</f>
        <v>3</v>
      </c>
    </row>
    <row r="76">
      <c r="A76" s="3" t="str">
        <f>IFERROR(__xludf.DUMMYFUNCTION("""COMPUTED_VALUE"""),"Finlande")</f>
        <v>Finlande</v>
      </c>
      <c r="B76" s="3">
        <f>IFERROR(__xludf.DUMMYFUNCTION("""COMPUTED_VALUE"""),26.0)</f>
        <v>26</v>
      </c>
      <c r="C76" s="3">
        <f>IFERROR(__xludf.DUMMYFUNCTION("""COMPUTED_VALUE"""),101.0)</f>
        <v>101</v>
      </c>
      <c r="D76" s="3">
        <f>IFERROR(__xludf.DUMMYFUNCTION("""COMPUTED_VALUE"""),85.0)</f>
        <v>85</v>
      </c>
      <c r="E76" s="3">
        <f>IFERROR(__xludf.DUMMYFUNCTION("""COMPUTED_VALUE"""),119.0)</f>
        <v>119</v>
      </c>
      <c r="F76" s="3">
        <f>IFERROR(__xludf.DUMMYFUNCTION("""COMPUTED_VALUE"""),305.0)</f>
        <v>305</v>
      </c>
      <c r="G76" s="3">
        <f>IFERROR(__xludf.DUMMYFUNCTION("""COMPUTED_VALUE"""),23.0)</f>
        <v>23</v>
      </c>
      <c r="H76" s="3">
        <f>IFERROR(__xludf.DUMMYFUNCTION("""COMPUTED_VALUE"""),43.0)</f>
        <v>43</v>
      </c>
      <c r="I76" s="3">
        <f>IFERROR(__xludf.DUMMYFUNCTION("""COMPUTED_VALUE"""),63.0)</f>
        <v>63</v>
      </c>
      <c r="J76" s="3">
        <f>IFERROR(__xludf.DUMMYFUNCTION("""COMPUTED_VALUE"""),61.0)</f>
        <v>61</v>
      </c>
      <c r="K76" s="3">
        <f>IFERROR(__xludf.DUMMYFUNCTION("""COMPUTED_VALUE"""),167.0)</f>
        <v>167</v>
      </c>
      <c r="L76" s="3">
        <f>IFERROR(__xludf.DUMMYFUNCTION("""COMPUTED_VALUE"""),49.0)</f>
        <v>49</v>
      </c>
      <c r="M76" s="3">
        <f>IFERROR(__xludf.DUMMYFUNCTION("""COMPUTED_VALUE"""),144.0)</f>
        <v>144</v>
      </c>
      <c r="N76" s="3">
        <f>IFERROR(__xludf.DUMMYFUNCTION("""COMPUTED_VALUE"""),148.0)</f>
        <v>148</v>
      </c>
      <c r="O76" s="3">
        <f>IFERROR(__xludf.DUMMYFUNCTION("""COMPUTED_VALUE"""),180.0)</f>
        <v>180</v>
      </c>
      <c r="P76" s="3">
        <f>IFERROR(__xludf.DUMMYFUNCTION("""COMPUTED_VALUE"""),472.0)</f>
        <v>472</v>
      </c>
    </row>
    <row r="77">
      <c r="A77" s="3" t="str">
        <f>IFERROR(__xludf.DUMMYFUNCTION("""COMPUTED_VALUE"""),"France[8]")</f>
        <v>France[8]</v>
      </c>
      <c r="B77" s="3">
        <f>IFERROR(__xludf.DUMMYFUNCTION("""COMPUTED_VALUE"""),30.0)</f>
        <v>30</v>
      </c>
      <c r="C77" s="3">
        <f>IFERROR(__xludf.DUMMYFUNCTION("""COMPUTED_VALUE"""),239.0)</f>
        <v>239</v>
      </c>
      <c r="D77" s="3">
        <f>IFERROR(__xludf.DUMMYFUNCTION("""COMPUTED_VALUE"""),278.0)</f>
        <v>278</v>
      </c>
      <c r="E77" s="3">
        <f>IFERROR(__xludf.DUMMYFUNCTION("""COMPUTED_VALUE"""),299.0)</f>
        <v>299</v>
      </c>
      <c r="F77" s="3">
        <f>IFERROR(__xludf.DUMMYFUNCTION("""COMPUTED_VALUE"""),816.0)</f>
        <v>816</v>
      </c>
      <c r="G77" s="3">
        <f>IFERROR(__xludf.DUMMYFUNCTION("""COMPUTED_VALUE"""),24.0)</f>
        <v>24</v>
      </c>
      <c r="H77" s="3">
        <f>IFERROR(__xludf.DUMMYFUNCTION("""COMPUTED_VALUE"""),41.0)</f>
        <v>41</v>
      </c>
      <c r="I77" s="3">
        <f>IFERROR(__xludf.DUMMYFUNCTION("""COMPUTED_VALUE"""),42.0)</f>
        <v>42</v>
      </c>
      <c r="J77" s="3">
        <f>IFERROR(__xludf.DUMMYFUNCTION("""COMPUTED_VALUE"""),55.0)</f>
        <v>55</v>
      </c>
      <c r="K77" s="3">
        <f>IFERROR(__xludf.DUMMYFUNCTION("""COMPUTED_VALUE"""),138.0)</f>
        <v>138</v>
      </c>
      <c r="L77" s="3">
        <f>IFERROR(__xludf.DUMMYFUNCTION("""COMPUTED_VALUE"""),54.0)</f>
        <v>54</v>
      </c>
      <c r="M77" s="3">
        <f>IFERROR(__xludf.DUMMYFUNCTION("""COMPUTED_VALUE"""),280.0)</f>
        <v>280</v>
      </c>
      <c r="N77" s="3">
        <f>IFERROR(__xludf.DUMMYFUNCTION("""COMPUTED_VALUE"""),320.0)</f>
        <v>320</v>
      </c>
      <c r="O77" s="3">
        <f>IFERROR(__xludf.DUMMYFUNCTION("""COMPUTED_VALUE"""),354.0)</f>
        <v>354</v>
      </c>
      <c r="P77" s="3">
        <f>IFERROR(__xludf.DUMMYFUNCTION("""COMPUTED_VALUE"""),954.0)</f>
        <v>954</v>
      </c>
    </row>
    <row r="78">
      <c r="A78" s="3" t="str">
        <f>IFERROR(__xludf.DUMMYFUNCTION("""COMPUTED_VALUE"""),"Gabon")</f>
        <v>Gabon</v>
      </c>
      <c r="B78" s="3">
        <f>IFERROR(__xludf.DUMMYFUNCTION("""COMPUTED_VALUE"""),11.0)</f>
        <v>11</v>
      </c>
      <c r="C78" s="3">
        <f>IFERROR(__xludf.DUMMYFUNCTION("""COMPUTED_VALUE"""),0.0)</f>
        <v>0</v>
      </c>
      <c r="D78" s="3">
        <f>IFERROR(__xludf.DUMMYFUNCTION("""COMPUTED_VALUE"""),1.0)</f>
        <v>1</v>
      </c>
      <c r="E78" s="3">
        <f>IFERROR(__xludf.DUMMYFUNCTION("""COMPUTED_VALUE"""),0.0)</f>
        <v>0</v>
      </c>
      <c r="F78" s="3">
        <f>IFERROR(__xludf.DUMMYFUNCTION("""COMPUTED_VALUE"""),1.0)</f>
        <v>1</v>
      </c>
      <c r="G78" s="3">
        <f>IFERROR(__xludf.DUMMYFUNCTION("""COMPUTED_VALUE"""),0.0)</f>
        <v>0</v>
      </c>
      <c r="H78" s="3">
        <f>IFERROR(__xludf.DUMMYFUNCTION("""COMPUTED_VALUE"""),0.0)</f>
        <v>0</v>
      </c>
      <c r="I78" s="3">
        <f>IFERROR(__xludf.DUMMYFUNCTION("""COMPUTED_VALUE"""),0.0)</f>
        <v>0</v>
      </c>
      <c r="J78" s="3">
        <f>IFERROR(__xludf.DUMMYFUNCTION("""COMPUTED_VALUE"""),0.0)</f>
        <v>0</v>
      </c>
      <c r="K78" s="3">
        <f>IFERROR(__xludf.DUMMYFUNCTION("""COMPUTED_VALUE"""),0.0)</f>
        <v>0</v>
      </c>
      <c r="L78" s="3">
        <f>IFERROR(__xludf.DUMMYFUNCTION("""COMPUTED_VALUE"""),11.0)</f>
        <v>11</v>
      </c>
      <c r="M78" s="3">
        <f>IFERROR(__xludf.DUMMYFUNCTION("""COMPUTED_VALUE"""),0.0)</f>
        <v>0</v>
      </c>
      <c r="N78" s="3">
        <f>IFERROR(__xludf.DUMMYFUNCTION("""COMPUTED_VALUE"""),1.0)</f>
        <v>1</v>
      </c>
      <c r="O78" s="3">
        <f>IFERROR(__xludf.DUMMYFUNCTION("""COMPUTED_VALUE"""),0.0)</f>
        <v>0</v>
      </c>
      <c r="P78" s="3">
        <f>IFERROR(__xludf.DUMMYFUNCTION("""COMPUTED_VALUE"""),1.0)</f>
        <v>1</v>
      </c>
    </row>
    <row r="79">
      <c r="A79" s="3" t="str">
        <f>IFERROR(__xludf.DUMMYFUNCTION("""COMPUTED_VALUE"""),"Géorgie")</f>
        <v>Géorgie</v>
      </c>
      <c r="B79" s="3">
        <f>IFERROR(__xludf.DUMMYFUNCTION("""COMPUTED_VALUE"""),7.0)</f>
        <v>7</v>
      </c>
      <c r="C79" s="3">
        <f>IFERROR(__xludf.DUMMYFUNCTION("""COMPUTED_VALUE"""),10.0)</f>
        <v>10</v>
      </c>
      <c r="D79" s="3">
        <f>IFERROR(__xludf.DUMMYFUNCTION("""COMPUTED_VALUE"""),12.0)</f>
        <v>12</v>
      </c>
      <c r="E79" s="3">
        <f>IFERROR(__xludf.DUMMYFUNCTION("""COMPUTED_VALUE"""),18.0)</f>
        <v>18</v>
      </c>
      <c r="F79" s="3">
        <f>IFERROR(__xludf.DUMMYFUNCTION("""COMPUTED_VALUE"""),40.0)</f>
        <v>40</v>
      </c>
      <c r="G79" s="3">
        <f>IFERROR(__xludf.DUMMYFUNCTION("""COMPUTED_VALUE"""),7.0)</f>
        <v>7</v>
      </c>
      <c r="H79" s="3">
        <f>IFERROR(__xludf.DUMMYFUNCTION("""COMPUTED_VALUE"""),0.0)</f>
        <v>0</v>
      </c>
      <c r="I79" s="3">
        <f>IFERROR(__xludf.DUMMYFUNCTION("""COMPUTED_VALUE"""),0.0)</f>
        <v>0</v>
      </c>
      <c r="J79" s="3">
        <f>IFERROR(__xludf.DUMMYFUNCTION("""COMPUTED_VALUE"""),0.0)</f>
        <v>0</v>
      </c>
      <c r="K79" s="3">
        <f>IFERROR(__xludf.DUMMYFUNCTION("""COMPUTED_VALUE"""),0.0)</f>
        <v>0</v>
      </c>
      <c r="L79" s="3">
        <f>IFERROR(__xludf.DUMMYFUNCTION("""COMPUTED_VALUE"""),14.0)</f>
        <v>14</v>
      </c>
      <c r="M79" s="3">
        <f>IFERROR(__xludf.DUMMYFUNCTION("""COMPUTED_VALUE"""),10.0)</f>
        <v>10</v>
      </c>
      <c r="N79" s="3">
        <f>IFERROR(__xludf.DUMMYFUNCTION("""COMPUTED_VALUE"""),12.0)</f>
        <v>12</v>
      </c>
      <c r="O79" s="3">
        <f>IFERROR(__xludf.DUMMYFUNCTION("""COMPUTED_VALUE"""),18.0)</f>
        <v>18</v>
      </c>
      <c r="P79" s="3">
        <f>IFERROR(__xludf.DUMMYFUNCTION("""COMPUTED_VALUE"""),40.0)</f>
        <v>40</v>
      </c>
    </row>
    <row r="80">
      <c r="A80" s="3" t="str">
        <f>IFERROR(__xludf.DUMMYFUNCTION("""COMPUTED_VALUE"""),"Ghana")</f>
        <v>Ghana</v>
      </c>
      <c r="B80" s="3">
        <f>IFERROR(__xludf.DUMMYFUNCTION("""COMPUTED_VALUE"""),15.0)</f>
        <v>15</v>
      </c>
      <c r="C80" s="3">
        <f>IFERROR(__xludf.DUMMYFUNCTION("""COMPUTED_VALUE"""),0.0)</f>
        <v>0</v>
      </c>
      <c r="D80" s="3">
        <f>IFERROR(__xludf.DUMMYFUNCTION("""COMPUTED_VALUE"""),1.0)</f>
        <v>1</v>
      </c>
      <c r="E80" s="3">
        <f>IFERROR(__xludf.DUMMYFUNCTION("""COMPUTED_VALUE"""),4.0)</f>
        <v>4</v>
      </c>
      <c r="F80" s="3">
        <f>IFERROR(__xludf.DUMMYFUNCTION("""COMPUTED_VALUE"""),5.0)</f>
        <v>5</v>
      </c>
      <c r="G80" s="3">
        <f>IFERROR(__xludf.DUMMYFUNCTION("""COMPUTED_VALUE"""),2.0)</f>
        <v>2</v>
      </c>
      <c r="H80" s="3">
        <f>IFERROR(__xludf.DUMMYFUNCTION("""COMPUTED_VALUE"""),0.0)</f>
        <v>0</v>
      </c>
      <c r="I80" s="3">
        <f>IFERROR(__xludf.DUMMYFUNCTION("""COMPUTED_VALUE"""),0.0)</f>
        <v>0</v>
      </c>
      <c r="J80" s="3">
        <f>IFERROR(__xludf.DUMMYFUNCTION("""COMPUTED_VALUE"""),0.0)</f>
        <v>0</v>
      </c>
      <c r="K80" s="3">
        <f>IFERROR(__xludf.DUMMYFUNCTION("""COMPUTED_VALUE"""),0.0)</f>
        <v>0</v>
      </c>
      <c r="L80" s="3">
        <f>IFERROR(__xludf.DUMMYFUNCTION("""COMPUTED_VALUE"""),17.0)</f>
        <v>17</v>
      </c>
      <c r="M80" s="3">
        <f>IFERROR(__xludf.DUMMYFUNCTION("""COMPUTED_VALUE"""),0.0)</f>
        <v>0</v>
      </c>
      <c r="N80" s="3">
        <f>IFERROR(__xludf.DUMMYFUNCTION("""COMPUTED_VALUE"""),1.0)</f>
        <v>1</v>
      </c>
      <c r="O80" s="3">
        <f>IFERROR(__xludf.DUMMYFUNCTION("""COMPUTED_VALUE"""),4.0)</f>
        <v>4</v>
      </c>
      <c r="P80" s="3">
        <f>IFERROR(__xludf.DUMMYFUNCTION("""COMPUTED_VALUE"""),5.0)</f>
        <v>5</v>
      </c>
    </row>
    <row r="81">
      <c r="A81" s="3" t="str">
        <f>IFERROR(__xludf.DUMMYFUNCTION("""COMPUTED_VALUE"""),"Grande-Bretagne[8],[17]")</f>
        <v>Grande-Bretagne[8],[17]</v>
      </c>
      <c r="B81" s="3">
        <f>IFERROR(__xludf.DUMMYFUNCTION("""COMPUTED_VALUE"""),29.0)</f>
        <v>29</v>
      </c>
      <c r="C81" s="3">
        <f>IFERROR(__xludf.DUMMYFUNCTION("""COMPUTED_VALUE"""),299.0)</f>
        <v>299</v>
      </c>
      <c r="D81" s="3">
        <f>IFERROR(__xludf.DUMMYFUNCTION("""COMPUTED_VALUE"""),338.0)</f>
        <v>338</v>
      </c>
      <c r="E81" s="3">
        <f>IFERROR(__xludf.DUMMYFUNCTION("""COMPUTED_VALUE"""),344.0)</f>
        <v>344</v>
      </c>
      <c r="F81" s="3">
        <f>IFERROR(__xludf.DUMMYFUNCTION("""COMPUTED_VALUE"""),981.0)</f>
        <v>981</v>
      </c>
      <c r="G81" s="3">
        <f>IFERROR(__xludf.DUMMYFUNCTION("""COMPUTED_VALUE"""),23.0)</f>
        <v>23</v>
      </c>
      <c r="H81" s="3">
        <f>IFERROR(__xludf.DUMMYFUNCTION("""COMPUTED_VALUE"""),11.0)</f>
        <v>11</v>
      </c>
      <c r="I81" s="3">
        <f>IFERROR(__xludf.DUMMYFUNCTION("""COMPUTED_VALUE"""),4.0)</f>
        <v>4</v>
      </c>
      <c r="J81" s="3">
        <f>IFERROR(__xludf.DUMMYFUNCTION("""COMPUTED_VALUE"""),17.0)</f>
        <v>17</v>
      </c>
      <c r="K81" s="3">
        <f>IFERROR(__xludf.DUMMYFUNCTION("""COMPUTED_VALUE"""),32.0)</f>
        <v>32</v>
      </c>
      <c r="L81" s="3">
        <f>IFERROR(__xludf.DUMMYFUNCTION("""COMPUTED_VALUE"""),52.0)</f>
        <v>52</v>
      </c>
      <c r="M81" s="3">
        <f>IFERROR(__xludf.DUMMYFUNCTION("""COMPUTED_VALUE"""),310.0)</f>
        <v>310</v>
      </c>
      <c r="N81" s="3">
        <f>IFERROR(__xludf.DUMMYFUNCTION("""COMPUTED_VALUE"""),342.0)</f>
        <v>342</v>
      </c>
      <c r="O81" s="3">
        <f>IFERROR(__xludf.DUMMYFUNCTION("""COMPUTED_VALUE"""),361.0)</f>
        <v>361</v>
      </c>
      <c r="P81" s="3">
        <f>IFERROR(__xludf.DUMMYFUNCTION("""COMPUTED_VALUE"""),1013.0)</f>
        <v>1013</v>
      </c>
    </row>
    <row r="82">
      <c r="A82" s="3" t="str">
        <f>IFERROR(__xludf.DUMMYFUNCTION("""COMPUTED_VALUE"""),"Grèce[8]")</f>
        <v>Grèce[8]</v>
      </c>
      <c r="B82" s="3">
        <f>IFERROR(__xludf.DUMMYFUNCTION("""COMPUTED_VALUE"""),29.0)</f>
        <v>29</v>
      </c>
      <c r="C82" s="3">
        <f>IFERROR(__xludf.DUMMYFUNCTION("""COMPUTED_VALUE"""),35.0)</f>
        <v>35</v>
      </c>
      <c r="D82" s="3">
        <f>IFERROR(__xludf.DUMMYFUNCTION("""COMPUTED_VALUE"""),45.0)</f>
        <v>45</v>
      </c>
      <c r="E82" s="3">
        <f>IFERROR(__xludf.DUMMYFUNCTION("""COMPUTED_VALUE"""),41.0)</f>
        <v>41</v>
      </c>
      <c r="F82" s="3">
        <f>IFERROR(__xludf.DUMMYFUNCTION("""COMPUTED_VALUE"""),121.0)</f>
        <v>121</v>
      </c>
      <c r="G82" s="3">
        <f>IFERROR(__xludf.DUMMYFUNCTION("""COMPUTED_VALUE"""),19.0)</f>
        <v>19</v>
      </c>
      <c r="H82" s="3">
        <f>IFERROR(__xludf.DUMMYFUNCTION("""COMPUTED_VALUE"""),0.0)</f>
        <v>0</v>
      </c>
      <c r="I82" s="3">
        <f>IFERROR(__xludf.DUMMYFUNCTION("""COMPUTED_VALUE"""),0.0)</f>
        <v>0</v>
      </c>
      <c r="J82" s="3">
        <f>IFERROR(__xludf.DUMMYFUNCTION("""COMPUTED_VALUE"""),0.0)</f>
        <v>0</v>
      </c>
      <c r="K82" s="3">
        <f>IFERROR(__xludf.DUMMYFUNCTION("""COMPUTED_VALUE"""),0.0)</f>
        <v>0</v>
      </c>
      <c r="L82" s="3">
        <f>IFERROR(__xludf.DUMMYFUNCTION("""COMPUTED_VALUE"""),48.0)</f>
        <v>48</v>
      </c>
      <c r="M82" s="3">
        <f>IFERROR(__xludf.DUMMYFUNCTION("""COMPUTED_VALUE"""),35.0)</f>
        <v>35</v>
      </c>
      <c r="N82" s="3">
        <f>IFERROR(__xludf.DUMMYFUNCTION("""COMPUTED_VALUE"""),45.0)</f>
        <v>45</v>
      </c>
      <c r="O82" s="3">
        <f>IFERROR(__xludf.DUMMYFUNCTION("""COMPUTED_VALUE"""),41.0)</f>
        <v>41</v>
      </c>
      <c r="P82" s="3">
        <f>IFERROR(__xludf.DUMMYFUNCTION("""COMPUTED_VALUE"""),121.0)</f>
        <v>121</v>
      </c>
    </row>
    <row r="83">
      <c r="A83" s="3" t="str">
        <f>IFERROR(__xludf.DUMMYFUNCTION("""COMPUTED_VALUE"""),"Grenade")</f>
        <v>Grenade</v>
      </c>
      <c r="B83" s="3">
        <f>IFERROR(__xludf.DUMMYFUNCTION("""COMPUTED_VALUE"""),10.0)</f>
        <v>10</v>
      </c>
      <c r="C83" s="3">
        <f>IFERROR(__xludf.DUMMYFUNCTION("""COMPUTED_VALUE"""),1.0)</f>
        <v>1</v>
      </c>
      <c r="D83" s="3">
        <f>IFERROR(__xludf.DUMMYFUNCTION("""COMPUTED_VALUE"""),1.0)</f>
        <v>1</v>
      </c>
      <c r="E83" s="3">
        <f>IFERROR(__xludf.DUMMYFUNCTION("""COMPUTED_VALUE"""),1.0)</f>
        <v>1</v>
      </c>
      <c r="F83" s="3">
        <f>IFERROR(__xludf.DUMMYFUNCTION("""COMPUTED_VALUE"""),3.0)</f>
        <v>3</v>
      </c>
      <c r="G83" s="3">
        <f>IFERROR(__xludf.DUMMYFUNCTION("""COMPUTED_VALUE"""),0.0)</f>
        <v>0</v>
      </c>
      <c r="H83" s="3">
        <f>IFERROR(__xludf.DUMMYFUNCTION("""COMPUTED_VALUE"""),0.0)</f>
        <v>0</v>
      </c>
      <c r="I83" s="3">
        <f>IFERROR(__xludf.DUMMYFUNCTION("""COMPUTED_VALUE"""),0.0)</f>
        <v>0</v>
      </c>
      <c r="J83" s="3">
        <f>IFERROR(__xludf.DUMMYFUNCTION("""COMPUTED_VALUE"""),0.0)</f>
        <v>0</v>
      </c>
      <c r="K83" s="3">
        <f>IFERROR(__xludf.DUMMYFUNCTION("""COMPUTED_VALUE"""),0.0)</f>
        <v>0</v>
      </c>
      <c r="L83" s="3">
        <f>IFERROR(__xludf.DUMMYFUNCTION("""COMPUTED_VALUE"""),10.0)</f>
        <v>10</v>
      </c>
      <c r="M83" s="3">
        <f>IFERROR(__xludf.DUMMYFUNCTION("""COMPUTED_VALUE"""),1.0)</f>
        <v>1</v>
      </c>
      <c r="N83" s="3">
        <f>IFERROR(__xludf.DUMMYFUNCTION("""COMPUTED_VALUE"""),1.0)</f>
        <v>1</v>
      </c>
      <c r="O83" s="3">
        <f>IFERROR(__xludf.DUMMYFUNCTION("""COMPUTED_VALUE"""),1.0)</f>
        <v>1</v>
      </c>
      <c r="P83" s="3">
        <f>IFERROR(__xludf.DUMMYFUNCTION("""COMPUTED_VALUE"""),3.0)</f>
        <v>3</v>
      </c>
    </row>
    <row r="84">
      <c r="A84" s="3" t="str">
        <f>IFERROR(__xludf.DUMMYFUNCTION("""COMPUTED_VALUE"""),"Guatemala")</f>
        <v>Guatemala</v>
      </c>
      <c r="B84" s="3">
        <f>IFERROR(__xludf.DUMMYFUNCTION("""COMPUTED_VALUE"""),15.0)</f>
        <v>15</v>
      </c>
      <c r="C84" s="3">
        <f>IFERROR(__xludf.DUMMYFUNCTION("""COMPUTED_VALUE"""),1.0)</f>
        <v>1</v>
      </c>
      <c r="D84" s="3">
        <f>IFERROR(__xludf.DUMMYFUNCTION("""COMPUTED_VALUE"""),1.0)</f>
        <v>1</v>
      </c>
      <c r="E84" s="3">
        <f>IFERROR(__xludf.DUMMYFUNCTION("""COMPUTED_VALUE"""),1.0)</f>
        <v>1</v>
      </c>
      <c r="F84" s="3">
        <f>IFERROR(__xludf.DUMMYFUNCTION("""COMPUTED_VALUE"""),3.0)</f>
        <v>3</v>
      </c>
      <c r="G84" s="3">
        <f>IFERROR(__xludf.DUMMYFUNCTION("""COMPUTED_VALUE"""),1.0)</f>
        <v>1</v>
      </c>
      <c r="H84" s="3">
        <f>IFERROR(__xludf.DUMMYFUNCTION("""COMPUTED_VALUE"""),0.0)</f>
        <v>0</v>
      </c>
      <c r="I84" s="3">
        <f>IFERROR(__xludf.DUMMYFUNCTION("""COMPUTED_VALUE"""),0.0)</f>
        <v>0</v>
      </c>
      <c r="J84" s="3">
        <f>IFERROR(__xludf.DUMMYFUNCTION("""COMPUTED_VALUE"""),0.0)</f>
        <v>0</v>
      </c>
      <c r="K84" s="3">
        <f>IFERROR(__xludf.DUMMYFUNCTION("""COMPUTED_VALUE"""),0.0)</f>
        <v>0</v>
      </c>
      <c r="L84" s="3">
        <f>IFERROR(__xludf.DUMMYFUNCTION("""COMPUTED_VALUE"""),16.0)</f>
        <v>16</v>
      </c>
      <c r="M84" s="3">
        <f>IFERROR(__xludf.DUMMYFUNCTION("""COMPUTED_VALUE"""),1.0)</f>
        <v>1</v>
      </c>
      <c r="N84" s="3">
        <f>IFERROR(__xludf.DUMMYFUNCTION("""COMPUTED_VALUE"""),1.0)</f>
        <v>1</v>
      </c>
      <c r="O84" s="3">
        <f>IFERROR(__xludf.DUMMYFUNCTION("""COMPUTED_VALUE"""),1.0)</f>
        <v>1</v>
      </c>
      <c r="P84" s="3">
        <f>IFERROR(__xludf.DUMMYFUNCTION("""COMPUTED_VALUE"""),3.0)</f>
        <v>3</v>
      </c>
    </row>
    <row r="85">
      <c r="A85" s="3" t="str">
        <f>IFERROR(__xludf.DUMMYFUNCTION("""COMPUTED_VALUE"""),"Guyana")</f>
        <v>Guyana</v>
      </c>
      <c r="B85" s="3">
        <f>IFERROR(__xludf.DUMMYFUNCTION("""COMPUTED_VALUE"""),18.0)</f>
        <v>18</v>
      </c>
      <c r="C85" s="3">
        <f>IFERROR(__xludf.DUMMYFUNCTION("""COMPUTED_VALUE"""),0.0)</f>
        <v>0</v>
      </c>
      <c r="D85" s="3">
        <f>IFERROR(__xludf.DUMMYFUNCTION("""COMPUTED_VALUE"""),0.0)</f>
        <v>0</v>
      </c>
      <c r="E85" s="3">
        <f>IFERROR(__xludf.DUMMYFUNCTION("""COMPUTED_VALUE"""),1.0)</f>
        <v>1</v>
      </c>
      <c r="F85" s="3">
        <f>IFERROR(__xludf.DUMMYFUNCTION("""COMPUTED_VALUE"""),1.0)</f>
        <v>1</v>
      </c>
      <c r="G85" s="3">
        <f>IFERROR(__xludf.DUMMYFUNCTION("""COMPUTED_VALUE"""),0.0)</f>
        <v>0</v>
      </c>
      <c r="H85" s="3">
        <f>IFERROR(__xludf.DUMMYFUNCTION("""COMPUTED_VALUE"""),0.0)</f>
        <v>0</v>
      </c>
      <c r="I85" s="3">
        <f>IFERROR(__xludf.DUMMYFUNCTION("""COMPUTED_VALUE"""),0.0)</f>
        <v>0</v>
      </c>
      <c r="J85" s="3">
        <f>IFERROR(__xludf.DUMMYFUNCTION("""COMPUTED_VALUE"""),0.0)</f>
        <v>0</v>
      </c>
      <c r="K85" s="3">
        <f>IFERROR(__xludf.DUMMYFUNCTION("""COMPUTED_VALUE"""),0.0)</f>
        <v>0</v>
      </c>
      <c r="L85" s="3">
        <f>IFERROR(__xludf.DUMMYFUNCTION("""COMPUTED_VALUE"""),18.0)</f>
        <v>18</v>
      </c>
      <c r="M85" s="3">
        <f>IFERROR(__xludf.DUMMYFUNCTION("""COMPUTED_VALUE"""),0.0)</f>
        <v>0</v>
      </c>
      <c r="N85" s="3">
        <f>IFERROR(__xludf.DUMMYFUNCTION("""COMPUTED_VALUE"""),0.0)</f>
        <v>0</v>
      </c>
      <c r="O85" s="3">
        <f>IFERROR(__xludf.DUMMYFUNCTION("""COMPUTED_VALUE"""),1.0)</f>
        <v>1</v>
      </c>
      <c r="P85" s="3">
        <f>IFERROR(__xludf.DUMMYFUNCTION("""COMPUTED_VALUE"""),1.0)</f>
        <v>1</v>
      </c>
    </row>
    <row r="86">
      <c r="A86" s="3" t="str">
        <f>IFERROR(__xludf.DUMMYFUNCTION("""COMPUTED_VALUE"""),"Haïti")</f>
        <v>Haïti</v>
      </c>
      <c r="B86" s="3">
        <f>IFERROR(__xludf.DUMMYFUNCTION("""COMPUTED_VALUE"""),16.0)</f>
        <v>16</v>
      </c>
      <c r="C86" s="3">
        <f>IFERROR(__xludf.DUMMYFUNCTION("""COMPUTED_VALUE"""),0.0)</f>
        <v>0</v>
      </c>
      <c r="D86" s="3">
        <f>IFERROR(__xludf.DUMMYFUNCTION("""COMPUTED_VALUE"""),1.0)</f>
        <v>1</v>
      </c>
      <c r="E86" s="3">
        <f>IFERROR(__xludf.DUMMYFUNCTION("""COMPUTED_VALUE"""),1.0)</f>
        <v>1</v>
      </c>
      <c r="F86" s="3">
        <f>IFERROR(__xludf.DUMMYFUNCTION("""COMPUTED_VALUE"""),2.0)</f>
        <v>2</v>
      </c>
      <c r="G86" s="3">
        <f>IFERROR(__xludf.DUMMYFUNCTION("""COMPUTED_VALUE"""),0.0)</f>
        <v>0</v>
      </c>
      <c r="H86" s="3">
        <f>IFERROR(__xludf.DUMMYFUNCTION("""COMPUTED_VALUE"""),0.0)</f>
        <v>0</v>
      </c>
      <c r="I86" s="3">
        <f>IFERROR(__xludf.DUMMYFUNCTION("""COMPUTED_VALUE"""),0.0)</f>
        <v>0</v>
      </c>
      <c r="J86" s="3">
        <f>IFERROR(__xludf.DUMMYFUNCTION("""COMPUTED_VALUE"""),0.0)</f>
        <v>0</v>
      </c>
      <c r="K86" s="3">
        <f>IFERROR(__xludf.DUMMYFUNCTION("""COMPUTED_VALUE"""),0.0)</f>
        <v>0</v>
      </c>
      <c r="L86" s="3">
        <f>IFERROR(__xludf.DUMMYFUNCTION("""COMPUTED_VALUE"""),16.0)</f>
        <v>16</v>
      </c>
      <c r="M86" s="3">
        <f>IFERROR(__xludf.DUMMYFUNCTION("""COMPUTED_VALUE"""),0.0)</f>
        <v>0</v>
      </c>
      <c r="N86" s="3">
        <f>IFERROR(__xludf.DUMMYFUNCTION("""COMPUTED_VALUE"""),1.0)</f>
        <v>1</v>
      </c>
      <c r="O86" s="3">
        <f>IFERROR(__xludf.DUMMYFUNCTION("""COMPUTED_VALUE"""),1.0)</f>
        <v>1</v>
      </c>
      <c r="P86" s="3">
        <f>IFERROR(__xludf.DUMMYFUNCTION("""COMPUTED_VALUE"""),2.0)</f>
        <v>2</v>
      </c>
    </row>
    <row r="87">
      <c r="A87" s="3" t="str">
        <f>IFERROR(__xludf.DUMMYFUNCTION("""COMPUTED_VALUE"""),"Hong Kong[18]")</f>
        <v>Hong Kong[18]</v>
      </c>
      <c r="B87" s="3">
        <f>IFERROR(__xludf.DUMMYFUNCTION("""COMPUTED_VALUE"""),17.0)</f>
        <v>17</v>
      </c>
      <c r="C87" s="3">
        <f>IFERROR(__xludf.DUMMYFUNCTION("""COMPUTED_VALUE"""),2.0)</f>
        <v>2</v>
      </c>
      <c r="D87" s="3">
        <f>IFERROR(__xludf.DUMMYFUNCTION("""COMPUTED_VALUE"""),3.0)</f>
        <v>3</v>
      </c>
      <c r="E87" s="3">
        <f>IFERROR(__xludf.DUMMYFUNCTION("""COMPUTED_VALUE"""),4.0)</f>
        <v>4</v>
      </c>
      <c r="F87" s="3">
        <f>IFERROR(__xludf.DUMMYFUNCTION("""COMPUTED_VALUE"""),9.0)</f>
        <v>9</v>
      </c>
      <c r="G87" s="3">
        <f>IFERROR(__xludf.DUMMYFUNCTION("""COMPUTED_VALUE"""),5.0)</f>
        <v>5</v>
      </c>
      <c r="H87" s="3">
        <f>IFERROR(__xludf.DUMMYFUNCTION("""COMPUTED_VALUE"""),0.0)</f>
        <v>0</v>
      </c>
      <c r="I87" s="3">
        <f>IFERROR(__xludf.DUMMYFUNCTION("""COMPUTED_VALUE"""),0.0)</f>
        <v>0</v>
      </c>
      <c r="J87" s="3">
        <f>IFERROR(__xludf.DUMMYFUNCTION("""COMPUTED_VALUE"""),0.0)</f>
        <v>0</v>
      </c>
      <c r="K87" s="3">
        <f>IFERROR(__xludf.DUMMYFUNCTION("""COMPUTED_VALUE"""),0.0)</f>
        <v>0</v>
      </c>
      <c r="L87" s="3">
        <f>IFERROR(__xludf.DUMMYFUNCTION("""COMPUTED_VALUE"""),22.0)</f>
        <v>22</v>
      </c>
      <c r="M87" s="3">
        <f>IFERROR(__xludf.DUMMYFUNCTION("""COMPUTED_VALUE"""),2.0)</f>
        <v>2</v>
      </c>
      <c r="N87" s="3">
        <f>IFERROR(__xludf.DUMMYFUNCTION("""COMPUTED_VALUE"""),3.0)</f>
        <v>3</v>
      </c>
      <c r="O87" s="3">
        <f>IFERROR(__xludf.DUMMYFUNCTION("""COMPUTED_VALUE"""),4.0)</f>
        <v>4</v>
      </c>
      <c r="P87" s="3">
        <f>IFERROR(__xludf.DUMMYFUNCTION("""COMPUTED_VALUE"""),9.0)</f>
        <v>9</v>
      </c>
    </row>
    <row r="88">
      <c r="A88" s="3" t="str">
        <f>IFERROR(__xludf.DUMMYFUNCTION("""COMPUTED_VALUE"""),"Hongrie")</f>
        <v>Hongrie</v>
      </c>
      <c r="B88" s="3">
        <f>IFERROR(__xludf.DUMMYFUNCTION("""COMPUTED_VALUE"""),27.0)</f>
        <v>27</v>
      </c>
      <c r="C88" s="3">
        <f>IFERROR(__xludf.DUMMYFUNCTION("""COMPUTED_VALUE"""),187.0)</f>
        <v>187</v>
      </c>
      <c r="D88" s="3">
        <f>IFERROR(__xludf.DUMMYFUNCTION("""COMPUTED_VALUE"""),161.0)</f>
        <v>161</v>
      </c>
      <c r="E88" s="3">
        <f>IFERROR(__xludf.DUMMYFUNCTION("""COMPUTED_VALUE"""),182.0)</f>
        <v>182</v>
      </c>
      <c r="F88" s="3">
        <f>IFERROR(__xludf.DUMMYFUNCTION("""COMPUTED_VALUE"""),530.0)</f>
        <v>530</v>
      </c>
      <c r="G88" s="3">
        <f>IFERROR(__xludf.DUMMYFUNCTION("""COMPUTED_VALUE"""),23.0)</f>
        <v>23</v>
      </c>
      <c r="H88" s="3">
        <f>IFERROR(__xludf.DUMMYFUNCTION("""COMPUTED_VALUE"""),1.0)</f>
        <v>1</v>
      </c>
      <c r="I88" s="3">
        <f>IFERROR(__xludf.DUMMYFUNCTION("""COMPUTED_VALUE"""),2.0)</f>
        <v>2</v>
      </c>
      <c r="J88" s="3">
        <f>IFERROR(__xludf.DUMMYFUNCTION("""COMPUTED_VALUE"""),4.0)</f>
        <v>4</v>
      </c>
      <c r="K88" s="3">
        <f>IFERROR(__xludf.DUMMYFUNCTION("""COMPUTED_VALUE"""),7.0)</f>
        <v>7</v>
      </c>
      <c r="L88" s="3">
        <f>IFERROR(__xludf.DUMMYFUNCTION("""COMPUTED_VALUE"""),50.0)</f>
        <v>50</v>
      </c>
      <c r="M88" s="3">
        <f>IFERROR(__xludf.DUMMYFUNCTION("""COMPUTED_VALUE"""),188.0)</f>
        <v>188</v>
      </c>
      <c r="N88" s="3">
        <f>IFERROR(__xludf.DUMMYFUNCTION("""COMPUTED_VALUE"""),163.0)</f>
        <v>163</v>
      </c>
      <c r="O88" s="3">
        <f>IFERROR(__xludf.DUMMYFUNCTION("""COMPUTED_VALUE"""),186.0)</f>
        <v>186</v>
      </c>
      <c r="P88" s="3">
        <f>IFERROR(__xludf.DUMMYFUNCTION("""COMPUTED_VALUE"""),537.0)</f>
        <v>537</v>
      </c>
    </row>
    <row r="89">
      <c r="A89" s="3" t="str">
        <f>IFERROR(__xludf.DUMMYFUNCTION("""COMPUTED_VALUE"""),"Îles Vierges des États-Unis")</f>
        <v>Îles Vierges des États-Unis</v>
      </c>
      <c r="B89" s="3">
        <f>IFERROR(__xludf.DUMMYFUNCTION("""COMPUTED_VALUE"""),13.0)</f>
        <v>13</v>
      </c>
      <c r="C89" s="3">
        <f>IFERROR(__xludf.DUMMYFUNCTION("""COMPUTED_VALUE"""),0.0)</f>
        <v>0</v>
      </c>
      <c r="D89" s="3">
        <f>IFERROR(__xludf.DUMMYFUNCTION("""COMPUTED_VALUE"""),1.0)</f>
        <v>1</v>
      </c>
      <c r="E89" s="3">
        <f>IFERROR(__xludf.DUMMYFUNCTION("""COMPUTED_VALUE"""),0.0)</f>
        <v>0</v>
      </c>
      <c r="F89" s="3">
        <f>IFERROR(__xludf.DUMMYFUNCTION("""COMPUTED_VALUE"""),1.0)</f>
        <v>1</v>
      </c>
      <c r="G89" s="3">
        <f>IFERROR(__xludf.DUMMYFUNCTION("""COMPUTED_VALUE"""),7.0)</f>
        <v>7</v>
      </c>
      <c r="H89" s="3">
        <f>IFERROR(__xludf.DUMMYFUNCTION("""COMPUTED_VALUE"""),0.0)</f>
        <v>0</v>
      </c>
      <c r="I89" s="3">
        <f>IFERROR(__xludf.DUMMYFUNCTION("""COMPUTED_VALUE"""),0.0)</f>
        <v>0</v>
      </c>
      <c r="J89" s="3">
        <f>IFERROR(__xludf.DUMMYFUNCTION("""COMPUTED_VALUE"""),0.0)</f>
        <v>0</v>
      </c>
      <c r="K89" s="3">
        <f>IFERROR(__xludf.DUMMYFUNCTION("""COMPUTED_VALUE"""),0.0)</f>
        <v>0</v>
      </c>
      <c r="L89" s="3">
        <f>IFERROR(__xludf.DUMMYFUNCTION("""COMPUTED_VALUE"""),20.0)</f>
        <v>20</v>
      </c>
      <c r="M89" s="3">
        <f>IFERROR(__xludf.DUMMYFUNCTION("""COMPUTED_VALUE"""),0.0)</f>
        <v>0</v>
      </c>
      <c r="N89" s="3">
        <f>IFERROR(__xludf.DUMMYFUNCTION("""COMPUTED_VALUE"""),1.0)</f>
        <v>1</v>
      </c>
      <c r="O89" s="3">
        <f>IFERROR(__xludf.DUMMYFUNCTION("""COMPUTED_VALUE"""),0.0)</f>
        <v>0</v>
      </c>
      <c r="P89" s="3">
        <f>IFERROR(__xludf.DUMMYFUNCTION("""COMPUTED_VALUE"""),1.0)</f>
        <v>1</v>
      </c>
    </row>
    <row r="90">
      <c r="A90" s="3" t="str">
        <f>IFERROR(__xludf.DUMMYFUNCTION("""COMPUTED_VALUE"""),"Inde")</f>
        <v>Inde</v>
      </c>
      <c r="B90" s="3">
        <f>IFERROR(__xludf.DUMMYFUNCTION("""COMPUTED_VALUE"""),25.0)</f>
        <v>25</v>
      </c>
      <c r="C90" s="3">
        <f>IFERROR(__xludf.DUMMYFUNCTION("""COMPUTED_VALUE"""),10.0)</f>
        <v>10</v>
      </c>
      <c r="D90" s="3">
        <f>IFERROR(__xludf.DUMMYFUNCTION("""COMPUTED_VALUE"""),9.0)</f>
        <v>9</v>
      </c>
      <c r="E90" s="3">
        <f>IFERROR(__xludf.DUMMYFUNCTION("""COMPUTED_VALUE"""),16.0)</f>
        <v>16</v>
      </c>
      <c r="F90" s="3">
        <f>IFERROR(__xludf.DUMMYFUNCTION("""COMPUTED_VALUE"""),35.0)</f>
        <v>35</v>
      </c>
      <c r="G90" s="3">
        <f>IFERROR(__xludf.DUMMYFUNCTION("""COMPUTED_VALUE"""),10.0)</f>
        <v>10</v>
      </c>
      <c r="H90" s="3">
        <f>IFERROR(__xludf.DUMMYFUNCTION("""COMPUTED_VALUE"""),0.0)</f>
        <v>0</v>
      </c>
      <c r="I90" s="3">
        <f>IFERROR(__xludf.DUMMYFUNCTION("""COMPUTED_VALUE"""),0.0)</f>
        <v>0</v>
      </c>
      <c r="J90" s="3">
        <f>IFERROR(__xludf.DUMMYFUNCTION("""COMPUTED_VALUE"""),0.0)</f>
        <v>0</v>
      </c>
      <c r="K90" s="3">
        <f>IFERROR(__xludf.DUMMYFUNCTION("""COMPUTED_VALUE"""),0.0)</f>
        <v>0</v>
      </c>
      <c r="L90" s="3">
        <f>IFERROR(__xludf.DUMMYFUNCTION("""COMPUTED_VALUE"""),35.0)</f>
        <v>35</v>
      </c>
      <c r="M90" s="3">
        <f>IFERROR(__xludf.DUMMYFUNCTION("""COMPUTED_VALUE"""),10.0)</f>
        <v>10</v>
      </c>
      <c r="N90" s="3">
        <f>IFERROR(__xludf.DUMMYFUNCTION("""COMPUTED_VALUE"""),9.0)</f>
        <v>9</v>
      </c>
      <c r="O90" s="3">
        <f>IFERROR(__xludf.DUMMYFUNCTION("""COMPUTED_VALUE"""),16.0)</f>
        <v>16</v>
      </c>
      <c r="P90" s="3">
        <f>IFERROR(__xludf.DUMMYFUNCTION("""COMPUTED_VALUE"""),35.0)</f>
        <v>35</v>
      </c>
    </row>
    <row r="91">
      <c r="A91" s="3" t="str">
        <f>IFERROR(__xludf.DUMMYFUNCTION("""COMPUTED_VALUE"""),"Indonésie")</f>
        <v>Indonésie</v>
      </c>
      <c r="B91" s="3">
        <f>IFERROR(__xludf.DUMMYFUNCTION("""COMPUTED_VALUE"""),16.0)</f>
        <v>16</v>
      </c>
      <c r="C91" s="3">
        <f>IFERROR(__xludf.DUMMYFUNCTION("""COMPUTED_VALUE"""),8.0)</f>
        <v>8</v>
      </c>
      <c r="D91" s="3">
        <f>IFERROR(__xludf.DUMMYFUNCTION("""COMPUTED_VALUE"""),14.0)</f>
        <v>14</v>
      </c>
      <c r="E91" s="3">
        <f>IFERROR(__xludf.DUMMYFUNCTION("""COMPUTED_VALUE"""),15.0)</f>
        <v>15</v>
      </c>
      <c r="F91" s="3">
        <f>IFERROR(__xludf.DUMMYFUNCTION("""COMPUTED_VALUE"""),37.0)</f>
        <v>37</v>
      </c>
      <c r="G91" s="3">
        <f>IFERROR(__xludf.DUMMYFUNCTION("""COMPUTED_VALUE"""),0.0)</f>
        <v>0</v>
      </c>
      <c r="H91" s="3">
        <f>IFERROR(__xludf.DUMMYFUNCTION("""COMPUTED_VALUE"""),0.0)</f>
        <v>0</v>
      </c>
      <c r="I91" s="3">
        <f>IFERROR(__xludf.DUMMYFUNCTION("""COMPUTED_VALUE"""),0.0)</f>
        <v>0</v>
      </c>
      <c r="J91" s="3">
        <f>IFERROR(__xludf.DUMMYFUNCTION("""COMPUTED_VALUE"""),0.0)</f>
        <v>0</v>
      </c>
      <c r="K91" s="3">
        <f>IFERROR(__xludf.DUMMYFUNCTION("""COMPUTED_VALUE"""),0.0)</f>
        <v>0</v>
      </c>
      <c r="L91" s="3">
        <f>IFERROR(__xludf.DUMMYFUNCTION("""COMPUTED_VALUE"""),16.0)</f>
        <v>16</v>
      </c>
      <c r="M91" s="3">
        <f>IFERROR(__xludf.DUMMYFUNCTION("""COMPUTED_VALUE"""),8.0)</f>
        <v>8</v>
      </c>
      <c r="N91" s="3">
        <f>IFERROR(__xludf.DUMMYFUNCTION("""COMPUTED_VALUE"""),14.0)</f>
        <v>14</v>
      </c>
      <c r="O91" s="3">
        <f>IFERROR(__xludf.DUMMYFUNCTION("""COMPUTED_VALUE"""),15.0)</f>
        <v>15</v>
      </c>
      <c r="P91" s="3">
        <f>IFERROR(__xludf.DUMMYFUNCTION("""COMPUTED_VALUE"""),37.0)</f>
        <v>37</v>
      </c>
    </row>
    <row r="92">
      <c r="A92" s="3" t="str">
        <f>IFERROR(__xludf.DUMMYFUNCTION("""COMPUTED_VALUE"""),"Iran")</f>
        <v>Iran</v>
      </c>
      <c r="B92" s="3">
        <f>IFERROR(__xludf.DUMMYFUNCTION("""COMPUTED_VALUE"""),17.0)</f>
        <v>17</v>
      </c>
      <c r="C92" s="3">
        <f>IFERROR(__xludf.DUMMYFUNCTION("""COMPUTED_VALUE"""),24.0)</f>
        <v>24</v>
      </c>
      <c r="D92" s="3">
        <f>IFERROR(__xludf.DUMMYFUNCTION("""COMPUTED_VALUE"""),23.0)</f>
        <v>23</v>
      </c>
      <c r="E92" s="3">
        <f>IFERROR(__xludf.DUMMYFUNCTION("""COMPUTED_VALUE"""),29.0)</f>
        <v>29</v>
      </c>
      <c r="F92" s="3">
        <f>IFERROR(__xludf.DUMMYFUNCTION("""COMPUTED_VALUE"""),76.0)</f>
        <v>76</v>
      </c>
      <c r="G92" s="3">
        <f>IFERROR(__xludf.DUMMYFUNCTION("""COMPUTED_VALUE"""),11.0)</f>
        <v>11</v>
      </c>
      <c r="H92" s="3">
        <f>IFERROR(__xludf.DUMMYFUNCTION("""COMPUTED_VALUE"""),0.0)</f>
        <v>0</v>
      </c>
      <c r="I92" s="3">
        <f>IFERROR(__xludf.DUMMYFUNCTION("""COMPUTED_VALUE"""),0.0)</f>
        <v>0</v>
      </c>
      <c r="J92" s="3">
        <f>IFERROR(__xludf.DUMMYFUNCTION("""COMPUTED_VALUE"""),0.0)</f>
        <v>0</v>
      </c>
      <c r="K92" s="3">
        <f>IFERROR(__xludf.DUMMYFUNCTION("""COMPUTED_VALUE"""),0.0)</f>
        <v>0</v>
      </c>
      <c r="L92" s="3">
        <f>IFERROR(__xludf.DUMMYFUNCTION("""COMPUTED_VALUE"""),28.0)</f>
        <v>28</v>
      </c>
      <c r="M92" s="3">
        <f>IFERROR(__xludf.DUMMYFUNCTION("""COMPUTED_VALUE"""),24.0)</f>
        <v>24</v>
      </c>
      <c r="N92" s="3">
        <f>IFERROR(__xludf.DUMMYFUNCTION("""COMPUTED_VALUE"""),23.0)</f>
        <v>23</v>
      </c>
      <c r="O92" s="3">
        <f>IFERROR(__xludf.DUMMYFUNCTION("""COMPUTED_VALUE"""),29.0)</f>
        <v>29</v>
      </c>
      <c r="P92" s="3">
        <f>IFERROR(__xludf.DUMMYFUNCTION("""COMPUTED_VALUE"""),76.0)</f>
        <v>76</v>
      </c>
    </row>
    <row r="93">
      <c r="A93" s="3" t="str">
        <f>IFERROR(__xludf.DUMMYFUNCTION("""COMPUTED_VALUE"""),"Irak")</f>
        <v>Irak</v>
      </c>
      <c r="B93" s="3">
        <f>IFERROR(__xludf.DUMMYFUNCTION("""COMPUTED_VALUE"""),15.0)</f>
        <v>15</v>
      </c>
      <c r="C93" s="3">
        <f>IFERROR(__xludf.DUMMYFUNCTION("""COMPUTED_VALUE"""),0.0)</f>
        <v>0</v>
      </c>
      <c r="D93" s="3">
        <f>IFERROR(__xludf.DUMMYFUNCTION("""COMPUTED_VALUE"""),0.0)</f>
        <v>0</v>
      </c>
      <c r="E93" s="3">
        <f>IFERROR(__xludf.DUMMYFUNCTION("""COMPUTED_VALUE"""),1.0)</f>
        <v>1</v>
      </c>
      <c r="F93" s="3">
        <f>IFERROR(__xludf.DUMMYFUNCTION("""COMPUTED_VALUE"""),1.0)</f>
        <v>1</v>
      </c>
      <c r="G93" s="3">
        <f>IFERROR(__xludf.DUMMYFUNCTION("""COMPUTED_VALUE"""),0.0)</f>
        <v>0</v>
      </c>
      <c r="H93" s="3">
        <f>IFERROR(__xludf.DUMMYFUNCTION("""COMPUTED_VALUE"""),0.0)</f>
        <v>0</v>
      </c>
      <c r="I93" s="3">
        <f>IFERROR(__xludf.DUMMYFUNCTION("""COMPUTED_VALUE"""),0.0)</f>
        <v>0</v>
      </c>
      <c r="J93" s="3">
        <f>IFERROR(__xludf.DUMMYFUNCTION("""COMPUTED_VALUE"""),0.0)</f>
        <v>0</v>
      </c>
      <c r="K93" s="3">
        <f>IFERROR(__xludf.DUMMYFUNCTION("""COMPUTED_VALUE"""),0.0)</f>
        <v>0</v>
      </c>
      <c r="L93" s="3">
        <f>IFERROR(__xludf.DUMMYFUNCTION("""COMPUTED_VALUE"""),15.0)</f>
        <v>15</v>
      </c>
      <c r="M93" s="3">
        <f>IFERROR(__xludf.DUMMYFUNCTION("""COMPUTED_VALUE"""),0.0)</f>
        <v>0</v>
      </c>
      <c r="N93" s="3">
        <f>IFERROR(__xludf.DUMMYFUNCTION("""COMPUTED_VALUE"""),0.0)</f>
        <v>0</v>
      </c>
      <c r="O93" s="3">
        <f>IFERROR(__xludf.DUMMYFUNCTION("""COMPUTED_VALUE"""),1.0)</f>
        <v>1</v>
      </c>
      <c r="P93" s="3">
        <f>IFERROR(__xludf.DUMMYFUNCTION("""COMPUTED_VALUE"""),1.0)</f>
        <v>1</v>
      </c>
    </row>
    <row r="94">
      <c r="A94" s="3" t="str">
        <f>IFERROR(__xludf.DUMMYFUNCTION("""COMPUTED_VALUE"""),"Irlande")</f>
        <v>Irlande</v>
      </c>
      <c r="B94" s="3">
        <f>IFERROR(__xludf.DUMMYFUNCTION("""COMPUTED_VALUE"""),22.0)</f>
        <v>22</v>
      </c>
      <c r="C94" s="3">
        <f>IFERROR(__xludf.DUMMYFUNCTION("""COMPUTED_VALUE"""),11.0)</f>
        <v>11</v>
      </c>
      <c r="D94" s="3">
        <f>IFERROR(__xludf.DUMMYFUNCTION("""COMPUTED_VALUE"""),10.0)</f>
        <v>10</v>
      </c>
      <c r="E94" s="3">
        <f>IFERROR(__xludf.DUMMYFUNCTION("""COMPUTED_VALUE"""),14.0)</f>
        <v>14</v>
      </c>
      <c r="F94" s="3">
        <f>IFERROR(__xludf.DUMMYFUNCTION("""COMPUTED_VALUE"""),35.0)</f>
        <v>35</v>
      </c>
      <c r="G94" s="3">
        <f>IFERROR(__xludf.DUMMYFUNCTION("""COMPUTED_VALUE"""),7.0)</f>
        <v>7</v>
      </c>
      <c r="H94" s="3">
        <f>IFERROR(__xludf.DUMMYFUNCTION("""COMPUTED_VALUE"""),0.0)</f>
        <v>0</v>
      </c>
      <c r="I94" s="3">
        <f>IFERROR(__xludf.DUMMYFUNCTION("""COMPUTED_VALUE"""),0.0)</f>
        <v>0</v>
      </c>
      <c r="J94" s="3">
        <f>IFERROR(__xludf.DUMMYFUNCTION("""COMPUTED_VALUE"""),0.0)</f>
        <v>0</v>
      </c>
      <c r="K94" s="3">
        <f>IFERROR(__xludf.DUMMYFUNCTION("""COMPUTED_VALUE"""),0.0)</f>
        <v>0</v>
      </c>
      <c r="L94" s="3">
        <f>IFERROR(__xludf.DUMMYFUNCTION("""COMPUTED_VALUE"""),29.0)</f>
        <v>29</v>
      </c>
      <c r="M94" s="3">
        <f>IFERROR(__xludf.DUMMYFUNCTION("""COMPUTED_VALUE"""),11.0)</f>
        <v>11</v>
      </c>
      <c r="N94" s="3">
        <f>IFERROR(__xludf.DUMMYFUNCTION("""COMPUTED_VALUE"""),10.0)</f>
        <v>10</v>
      </c>
      <c r="O94" s="3">
        <f>IFERROR(__xludf.DUMMYFUNCTION("""COMPUTED_VALUE"""),14.0)</f>
        <v>14</v>
      </c>
      <c r="P94" s="3">
        <f>IFERROR(__xludf.DUMMYFUNCTION("""COMPUTED_VALUE"""),35.0)</f>
        <v>35</v>
      </c>
    </row>
    <row r="95">
      <c r="A95" s="3" t="str">
        <f>IFERROR(__xludf.DUMMYFUNCTION("""COMPUTED_VALUE"""),"Islande")</f>
        <v>Islande</v>
      </c>
      <c r="B95" s="3">
        <f>IFERROR(__xludf.DUMMYFUNCTION("""COMPUTED_VALUE"""),21.0)</f>
        <v>21</v>
      </c>
      <c r="C95" s="3">
        <f>IFERROR(__xludf.DUMMYFUNCTION("""COMPUTED_VALUE"""),0.0)</f>
        <v>0</v>
      </c>
      <c r="D95" s="3">
        <f>IFERROR(__xludf.DUMMYFUNCTION("""COMPUTED_VALUE"""),2.0)</f>
        <v>2</v>
      </c>
      <c r="E95" s="3">
        <f>IFERROR(__xludf.DUMMYFUNCTION("""COMPUTED_VALUE"""),2.0)</f>
        <v>2</v>
      </c>
      <c r="F95" s="3">
        <f>IFERROR(__xludf.DUMMYFUNCTION("""COMPUTED_VALUE"""),4.0)</f>
        <v>4</v>
      </c>
      <c r="G95" s="3">
        <f>IFERROR(__xludf.DUMMYFUNCTION("""COMPUTED_VALUE"""),18.0)</f>
        <v>18</v>
      </c>
      <c r="H95" s="3">
        <f>IFERROR(__xludf.DUMMYFUNCTION("""COMPUTED_VALUE"""),0.0)</f>
        <v>0</v>
      </c>
      <c r="I95" s="3">
        <f>IFERROR(__xludf.DUMMYFUNCTION("""COMPUTED_VALUE"""),0.0)</f>
        <v>0</v>
      </c>
      <c r="J95" s="3">
        <f>IFERROR(__xludf.DUMMYFUNCTION("""COMPUTED_VALUE"""),0.0)</f>
        <v>0</v>
      </c>
      <c r="K95" s="3">
        <f>IFERROR(__xludf.DUMMYFUNCTION("""COMPUTED_VALUE"""),0.0)</f>
        <v>0</v>
      </c>
      <c r="L95" s="3">
        <f>IFERROR(__xludf.DUMMYFUNCTION("""COMPUTED_VALUE"""),39.0)</f>
        <v>39</v>
      </c>
      <c r="M95" s="3">
        <f>IFERROR(__xludf.DUMMYFUNCTION("""COMPUTED_VALUE"""),0.0)</f>
        <v>0</v>
      </c>
      <c r="N95" s="3">
        <f>IFERROR(__xludf.DUMMYFUNCTION("""COMPUTED_VALUE"""),2.0)</f>
        <v>2</v>
      </c>
      <c r="O95" s="3">
        <f>IFERROR(__xludf.DUMMYFUNCTION("""COMPUTED_VALUE"""),2.0)</f>
        <v>2</v>
      </c>
      <c r="P95" s="3">
        <f>IFERROR(__xludf.DUMMYFUNCTION("""COMPUTED_VALUE"""),4.0)</f>
        <v>4</v>
      </c>
    </row>
    <row r="96">
      <c r="A96" s="3" t="str">
        <f>IFERROR(__xludf.DUMMYFUNCTION("""COMPUTED_VALUE"""),"Israël")</f>
        <v>Israël</v>
      </c>
      <c r="B96" s="3">
        <f>IFERROR(__xludf.DUMMYFUNCTION("""COMPUTED_VALUE"""),17.0)</f>
        <v>17</v>
      </c>
      <c r="C96" s="3">
        <f>IFERROR(__xludf.DUMMYFUNCTION("""COMPUTED_VALUE"""),3.0)</f>
        <v>3</v>
      </c>
      <c r="D96" s="3">
        <f>IFERROR(__xludf.DUMMYFUNCTION("""COMPUTED_VALUE"""),1.0)</f>
        <v>1</v>
      </c>
      <c r="E96" s="3">
        <f>IFERROR(__xludf.DUMMYFUNCTION("""COMPUTED_VALUE"""),9.0)</f>
        <v>9</v>
      </c>
      <c r="F96" s="3">
        <f>IFERROR(__xludf.DUMMYFUNCTION("""COMPUTED_VALUE"""),13.0)</f>
        <v>13</v>
      </c>
      <c r="G96" s="3">
        <f>IFERROR(__xludf.DUMMYFUNCTION("""COMPUTED_VALUE"""),7.0)</f>
        <v>7</v>
      </c>
      <c r="H96" s="3">
        <f>IFERROR(__xludf.DUMMYFUNCTION("""COMPUTED_VALUE"""),0.0)</f>
        <v>0</v>
      </c>
      <c r="I96" s="3">
        <f>IFERROR(__xludf.DUMMYFUNCTION("""COMPUTED_VALUE"""),0.0)</f>
        <v>0</v>
      </c>
      <c r="J96" s="3">
        <f>IFERROR(__xludf.DUMMYFUNCTION("""COMPUTED_VALUE"""),0.0)</f>
        <v>0</v>
      </c>
      <c r="K96" s="3">
        <f>IFERROR(__xludf.DUMMYFUNCTION("""COMPUTED_VALUE"""),0.0)</f>
        <v>0</v>
      </c>
      <c r="L96" s="3">
        <f>IFERROR(__xludf.DUMMYFUNCTION("""COMPUTED_VALUE"""),24.0)</f>
        <v>24</v>
      </c>
      <c r="M96" s="3">
        <f>IFERROR(__xludf.DUMMYFUNCTION("""COMPUTED_VALUE"""),3.0)</f>
        <v>3</v>
      </c>
      <c r="N96" s="3">
        <f>IFERROR(__xludf.DUMMYFUNCTION("""COMPUTED_VALUE"""),1.0)</f>
        <v>1</v>
      </c>
      <c r="O96" s="3">
        <f>IFERROR(__xludf.DUMMYFUNCTION("""COMPUTED_VALUE"""),9.0)</f>
        <v>9</v>
      </c>
      <c r="P96" s="3">
        <f>IFERROR(__xludf.DUMMYFUNCTION("""COMPUTED_VALUE"""),13.0)</f>
        <v>13</v>
      </c>
    </row>
    <row r="97">
      <c r="A97" s="3" t="str">
        <f>IFERROR(__xludf.DUMMYFUNCTION("""COMPUTED_VALUE"""),"Italie")</f>
        <v>Italie</v>
      </c>
      <c r="B97" s="3">
        <f>IFERROR(__xludf.DUMMYFUNCTION("""COMPUTED_VALUE"""),28.0)</f>
        <v>28</v>
      </c>
      <c r="C97" s="3">
        <f>IFERROR(__xludf.DUMMYFUNCTION("""COMPUTED_VALUE"""),229.0)</f>
        <v>229</v>
      </c>
      <c r="D97" s="3">
        <f>IFERROR(__xludf.DUMMYFUNCTION("""COMPUTED_VALUE"""),201.0)</f>
        <v>201</v>
      </c>
      <c r="E97" s="3">
        <f>IFERROR(__xludf.DUMMYFUNCTION("""COMPUTED_VALUE"""),228.0)</f>
        <v>228</v>
      </c>
      <c r="F97" s="3">
        <f>IFERROR(__xludf.DUMMYFUNCTION("""COMPUTED_VALUE"""),658.0)</f>
        <v>658</v>
      </c>
      <c r="G97" s="3">
        <f>IFERROR(__xludf.DUMMYFUNCTION("""COMPUTED_VALUE"""),23.0)</f>
        <v>23</v>
      </c>
      <c r="H97" s="3">
        <f>IFERROR(__xludf.DUMMYFUNCTION("""COMPUTED_VALUE"""),42.0)</f>
        <v>42</v>
      </c>
      <c r="I97" s="3">
        <f>IFERROR(__xludf.DUMMYFUNCTION("""COMPUTED_VALUE"""),43.0)</f>
        <v>43</v>
      </c>
      <c r="J97" s="3">
        <f>IFERROR(__xludf.DUMMYFUNCTION("""COMPUTED_VALUE"""),56.0)</f>
        <v>56</v>
      </c>
      <c r="K97" s="3">
        <f>IFERROR(__xludf.DUMMYFUNCTION("""COMPUTED_VALUE"""),124.0)</f>
        <v>124</v>
      </c>
      <c r="L97" s="3">
        <f>IFERROR(__xludf.DUMMYFUNCTION("""COMPUTED_VALUE"""),51.0)</f>
        <v>51</v>
      </c>
      <c r="M97" s="3">
        <f>IFERROR(__xludf.DUMMYFUNCTION("""COMPUTED_VALUE"""),271.0)</f>
        <v>271</v>
      </c>
      <c r="N97" s="3">
        <f>IFERROR(__xludf.DUMMYFUNCTION("""COMPUTED_VALUE"""),244.0)</f>
        <v>244</v>
      </c>
      <c r="O97" s="3">
        <f>IFERROR(__xludf.DUMMYFUNCTION("""COMPUTED_VALUE"""),284.0)</f>
        <v>284</v>
      </c>
      <c r="P97" s="3">
        <f>IFERROR(__xludf.DUMMYFUNCTION("""COMPUTED_VALUE"""),799.0)</f>
        <v>799</v>
      </c>
    </row>
    <row r="98">
      <c r="A98" s="3" t="str">
        <f>IFERROR(__xludf.DUMMYFUNCTION("""COMPUTED_VALUE"""),"Jamaïque[19]")</f>
        <v>Jamaïque[19]</v>
      </c>
      <c r="B98" s="3">
        <f>IFERROR(__xludf.DUMMYFUNCTION("""COMPUTED_VALUE"""),18.0)</f>
        <v>18</v>
      </c>
      <c r="C98" s="3">
        <f>IFERROR(__xludf.DUMMYFUNCTION("""COMPUTED_VALUE"""),26.0)</f>
        <v>26</v>
      </c>
      <c r="D98" s="3">
        <f>IFERROR(__xludf.DUMMYFUNCTION("""COMPUTED_VALUE"""),36.0)</f>
        <v>36</v>
      </c>
      <c r="E98" s="3">
        <f>IFERROR(__xludf.DUMMYFUNCTION("""COMPUTED_VALUE"""),25.0)</f>
        <v>25</v>
      </c>
      <c r="F98" s="3">
        <f>IFERROR(__xludf.DUMMYFUNCTION("""COMPUTED_VALUE"""),87.0)</f>
        <v>87</v>
      </c>
      <c r="G98" s="3">
        <f>IFERROR(__xludf.DUMMYFUNCTION("""COMPUTED_VALUE"""),8.0)</f>
        <v>8</v>
      </c>
      <c r="H98" s="3">
        <f>IFERROR(__xludf.DUMMYFUNCTION("""COMPUTED_VALUE"""),0.0)</f>
        <v>0</v>
      </c>
      <c r="I98" s="3">
        <f>IFERROR(__xludf.DUMMYFUNCTION("""COMPUTED_VALUE"""),0.0)</f>
        <v>0</v>
      </c>
      <c r="J98" s="3">
        <f>IFERROR(__xludf.DUMMYFUNCTION("""COMPUTED_VALUE"""),0.0)</f>
        <v>0</v>
      </c>
      <c r="K98" s="3">
        <f>IFERROR(__xludf.DUMMYFUNCTION("""COMPUTED_VALUE"""),0.0)</f>
        <v>0</v>
      </c>
      <c r="L98" s="3">
        <f>IFERROR(__xludf.DUMMYFUNCTION("""COMPUTED_VALUE"""),26.0)</f>
        <v>26</v>
      </c>
      <c r="M98" s="3">
        <f>IFERROR(__xludf.DUMMYFUNCTION("""COMPUTED_VALUE"""),26.0)</f>
        <v>26</v>
      </c>
      <c r="N98" s="3">
        <f>IFERROR(__xludf.DUMMYFUNCTION("""COMPUTED_VALUE"""),36.0)</f>
        <v>36</v>
      </c>
      <c r="O98" s="3">
        <f>IFERROR(__xludf.DUMMYFUNCTION("""COMPUTED_VALUE"""),25.0)</f>
        <v>25</v>
      </c>
      <c r="P98" s="3">
        <f>IFERROR(__xludf.DUMMYFUNCTION("""COMPUTED_VALUE"""),87.0)</f>
        <v>87</v>
      </c>
    </row>
    <row r="99">
      <c r="A99" s="3" t="str">
        <f>IFERROR(__xludf.DUMMYFUNCTION("""COMPUTED_VALUE"""),"Japon")</f>
        <v>Japon</v>
      </c>
      <c r="B99" s="3">
        <f>IFERROR(__xludf.DUMMYFUNCTION("""COMPUTED_VALUE"""),23.0)</f>
        <v>23</v>
      </c>
      <c r="C99" s="3">
        <f>IFERROR(__xludf.DUMMYFUNCTION("""COMPUTED_VALUE"""),189.0)</f>
        <v>189</v>
      </c>
      <c r="D99" s="3">
        <f>IFERROR(__xludf.DUMMYFUNCTION("""COMPUTED_VALUE"""),162.0)</f>
        <v>162</v>
      </c>
      <c r="E99" s="3">
        <f>IFERROR(__xludf.DUMMYFUNCTION("""COMPUTED_VALUE"""),191.0)</f>
        <v>191</v>
      </c>
      <c r="F99" s="3">
        <f>IFERROR(__xludf.DUMMYFUNCTION("""COMPUTED_VALUE"""),542.0)</f>
        <v>542</v>
      </c>
      <c r="G99" s="3">
        <f>IFERROR(__xludf.DUMMYFUNCTION("""COMPUTED_VALUE"""),21.0)</f>
        <v>21</v>
      </c>
      <c r="H99" s="3">
        <f>IFERROR(__xludf.DUMMYFUNCTION("""COMPUTED_VALUE"""),17.0)</f>
        <v>17</v>
      </c>
      <c r="I99" s="3">
        <f>IFERROR(__xludf.DUMMYFUNCTION("""COMPUTED_VALUE"""),28.0)</f>
        <v>28</v>
      </c>
      <c r="J99" s="3">
        <f>IFERROR(__xludf.DUMMYFUNCTION("""COMPUTED_VALUE"""),30.0)</f>
        <v>30</v>
      </c>
      <c r="K99" s="3">
        <f>IFERROR(__xludf.DUMMYFUNCTION("""COMPUTED_VALUE"""),58.0)</f>
        <v>58</v>
      </c>
      <c r="L99" s="3">
        <f>IFERROR(__xludf.DUMMYFUNCTION("""COMPUTED_VALUE"""),44.0)</f>
        <v>44</v>
      </c>
      <c r="M99" s="3">
        <f>IFERROR(__xludf.DUMMYFUNCTION("""COMPUTED_VALUE"""),206.0)</f>
        <v>206</v>
      </c>
      <c r="N99" s="3">
        <f>IFERROR(__xludf.DUMMYFUNCTION("""COMPUTED_VALUE"""),190.0)</f>
        <v>190</v>
      </c>
      <c r="O99" s="3">
        <f>IFERROR(__xludf.DUMMYFUNCTION("""COMPUTED_VALUE"""),221.0)</f>
        <v>221</v>
      </c>
      <c r="P99" s="3">
        <f>IFERROR(__xludf.DUMMYFUNCTION("""COMPUTED_VALUE"""),617.0)</f>
        <v>617</v>
      </c>
    </row>
    <row r="100">
      <c r="A100" s="3" t="str">
        <f>IFERROR(__xludf.DUMMYFUNCTION("""COMPUTED_VALUE"""),"Jordanie")</f>
        <v>Jordanie</v>
      </c>
      <c r="B100" s="3">
        <f>IFERROR(__xludf.DUMMYFUNCTION("""COMPUTED_VALUE"""),11.0)</f>
        <v>11</v>
      </c>
      <c r="C100" s="3">
        <f>IFERROR(__xludf.DUMMYFUNCTION("""COMPUTED_VALUE"""),1.0)</f>
        <v>1</v>
      </c>
      <c r="D100" s="3">
        <f>IFERROR(__xludf.DUMMYFUNCTION("""COMPUTED_VALUE"""),1.0)</f>
        <v>1</v>
      </c>
      <c r="E100" s="3">
        <f>IFERROR(__xludf.DUMMYFUNCTION("""COMPUTED_VALUE"""),1.0)</f>
        <v>1</v>
      </c>
      <c r="F100" s="3">
        <f>IFERROR(__xludf.DUMMYFUNCTION("""COMPUTED_VALUE"""),3.0)</f>
        <v>3</v>
      </c>
      <c r="G100" s="3">
        <f>IFERROR(__xludf.DUMMYFUNCTION("""COMPUTED_VALUE"""),0.0)</f>
        <v>0</v>
      </c>
      <c r="H100" s="3">
        <f>IFERROR(__xludf.DUMMYFUNCTION("""COMPUTED_VALUE"""),0.0)</f>
        <v>0</v>
      </c>
      <c r="I100" s="3">
        <f>IFERROR(__xludf.DUMMYFUNCTION("""COMPUTED_VALUE"""),0.0)</f>
        <v>0</v>
      </c>
      <c r="J100" s="3">
        <f>IFERROR(__xludf.DUMMYFUNCTION("""COMPUTED_VALUE"""),0.0)</f>
        <v>0</v>
      </c>
      <c r="K100" s="3">
        <f>IFERROR(__xludf.DUMMYFUNCTION("""COMPUTED_VALUE"""),0.0)</f>
        <v>0</v>
      </c>
      <c r="L100" s="3">
        <f>IFERROR(__xludf.DUMMYFUNCTION("""COMPUTED_VALUE"""),11.0)</f>
        <v>11</v>
      </c>
      <c r="M100" s="3">
        <f>IFERROR(__xludf.DUMMYFUNCTION("""COMPUTED_VALUE"""),1.0)</f>
        <v>1</v>
      </c>
      <c r="N100" s="3">
        <f>IFERROR(__xludf.DUMMYFUNCTION("""COMPUTED_VALUE"""),1.0)</f>
        <v>1</v>
      </c>
      <c r="O100" s="3">
        <f>IFERROR(__xludf.DUMMYFUNCTION("""COMPUTED_VALUE"""),1.0)</f>
        <v>1</v>
      </c>
      <c r="P100" s="3">
        <f>IFERROR(__xludf.DUMMYFUNCTION("""COMPUTED_VALUE"""),3.0)</f>
        <v>3</v>
      </c>
    </row>
    <row r="101">
      <c r="A101" s="3" t="str">
        <f>IFERROR(__xludf.DUMMYFUNCTION("""COMPUTED_VALUE"""),"Kazakhstan")</f>
        <v>Kazakhstan</v>
      </c>
      <c r="B101" s="3">
        <f>IFERROR(__xludf.DUMMYFUNCTION("""COMPUTED_VALUE"""),7.0)</f>
        <v>7</v>
      </c>
      <c r="C101" s="3">
        <f>IFERROR(__xludf.DUMMYFUNCTION("""COMPUTED_VALUE"""),15.0)</f>
        <v>15</v>
      </c>
      <c r="D101" s="3">
        <f>IFERROR(__xludf.DUMMYFUNCTION("""COMPUTED_VALUE"""),21.0)</f>
        <v>21</v>
      </c>
      <c r="E101" s="3">
        <f>IFERROR(__xludf.DUMMYFUNCTION("""COMPUTED_VALUE"""),36.0)</f>
        <v>36</v>
      </c>
      <c r="F101" s="3">
        <f>IFERROR(__xludf.DUMMYFUNCTION("""COMPUTED_VALUE"""),72.0)</f>
        <v>72</v>
      </c>
      <c r="G101" s="3">
        <f>IFERROR(__xludf.DUMMYFUNCTION("""COMPUTED_VALUE"""),7.0)</f>
        <v>7</v>
      </c>
      <c r="H101" s="3">
        <f>IFERROR(__xludf.DUMMYFUNCTION("""COMPUTED_VALUE"""),1.0)</f>
        <v>1</v>
      </c>
      <c r="I101" s="3">
        <f>IFERROR(__xludf.DUMMYFUNCTION("""COMPUTED_VALUE"""),3.0)</f>
        <v>3</v>
      </c>
      <c r="J101" s="3">
        <f>IFERROR(__xludf.DUMMYFUNCTION("""COMPUTED_VALUE"""),4.0)</f>
        <v>4</v>
      </c>
      <c r="K101" s="3">
        <f>IFERROR(__xludf.DUMMYFUNCTION("""COMPUTED_VALUE"""),8.0)</f>
        <v>8</v>
      </c>
      <c r="L101" s="3">
        <f>IFERROR(__xludf.DUMMYFUNCTION("""COMPUTED_VALUE"""),14.0)</f>
        <v>14</v>
      </c>
      <c r="M101" s="3">
        <f>IFERROR(__xludf.DUMMYFUNCTION("""COMPUTED_VALUE"""),16.0)</f>
        <v>16</v>
      </c>
      <c r="N101" s="3">
        <f>IFERROR(__xludf.DUMMYFUNCTION("""COMPUTED_VALUE"""),24.0)</f>
        <v>24</v>
      </c>
      <c r="O101" s="3">
        <f>IFERROR(__xludf.DUMMYFUNCTION("""COMPUTED_VALUE"""),40.0)</f>
        <v>40</v>
      </c>
      <c r="P101" s="3">
        <f>IFERROR(__xludf.DUMMYFUNCTION("""COMPUTED_VALUE"""),80.0)</f>
        <v>80</v>
      </c>
    </row>
    <row r="102">
      <c r="A102" s="3" t="str">
        <f>IFERROR(__xludf.DUMMYFUNCTION("""COMPUTED_VALUE"""),"Kenya")</f>
        <v>Kenya</v>
      </c>
      <c r="B102" s="3">
        <f>IFERROR(__xludf.DUMMYFUNCTION("""COMPUTED_VALUE"""),15.0)</f>
        <v>15</v>
      </c>
      <c r="C102" s="3">
        <f>IFERROR(__xludf.DUMMYFUNCTION("""COMPUTED_VALUE"""),35.0)</f>
        <v>35</v>
      </c>
      <c r="D102" s="3">
        <f>IFERROR(__xludf.DUMMYFUNCTION("""COMPUTED_VALUE"""),42.0)</f>
        <v>42</v>
      </c>
      <c r="E102" s="3">
        <f>IFERROR(__xludf.DUMMYFUNCTION("""COMPUTED_VALUE"""),36.0)</f>
        <v>36</v>
      </c>
      <c r="F102" s="3">
        <f>IFERROR(__xludf.DUMMYFUNCTION("""COMPUTED_VALUE"""),113.0)</f>
        <v>113</v>
      </c>
      <c r="G102" s="3">
        <f>IFERROR(__xludf.DUMMYFUNCTION("""COMPUTED_VALUE"""),4.0)</f>
        <v>4</v>
      </c>
      <c r="H102" s="3">
        <f>IFERROR(__xludf.DUMMYFUNCTION("""COMPUTED_VALUE"""),0.0)</f>
        <v>0</v>
      </c>
      <c r="I102" s="3">
        <f>IFERROR(__xludf.DUMMYFUNCTION("""COMPUTED_VALUE"""),0.0)</f>
        <v>0</v>
      </c>
      <c r="J102" s="3">
        <f>IFERROR(__xludf.DUMMYFUNCTION("""COMPUTED_VALUE"""),0.0)</f>
        <v>0</v>
      </c>
      <c r="K102" s="3">
        <f>IFERROR(__xludf.DUMMYFUNCTION("""COMPUTED_VALUE"""),0.0)</f>
        <v>0</v>
      </c>
      <c r="L102" s="3">
        <f>IFERROR(__xludf.DUMMYFUNCTION("""COMPUTED_VALUE"""),19.0)</f>
        <v>19</v>
      </c>
      <c r="M102" s="3">
        <f>IFERROR(__xludf.DUMMYFUNCTION("""COMPUTED_VALUE"""),35.0)</f>
        <v>35</v>
      </c>
      <c r="N102" s="3">
        <f>IFERROR(__xludf.DUMMYFUNCTION("""COMPUTED_VALUE"""),42.0)</f>
        <v>42</v>
      </c>
      <c r="O102" s="3">
        <f>IFERROR(__xludf.DUMMYFUNCTION("""COMPUTED_VALUE"""),36.0)</f>
        <v>36</v>
      </c>
      <c r="P102" s="3">
        <f>IFERROR(__xludf.DUMMYFUNCTION("""COMPUTED_VALUE"""),113.0)</f>
        <v>113</v>
      </c>
    </row>
    <row r="103">
      <c r="A103" s="3" t="str">
        <f>IFERROR(__xludf.DUMMYFUNCTION("""COMPUTED_VALUE"""),"Kosovo")</f>
        <v>Kosovo</v>
      </c>
      <c r="B103" s="3">
        <f>IFERROR(__xludf.DUMMYFUNCTION("""COMPUTED_VALUE"""),3.0)</f>
        <v>3</v>
      </c>
      <c r="C103" s="3">
        <f>IFERROR(__xludf.DUMMYFUNCTION("""COMPUTED_VALUE"""),3.0)</f>
        <v>3</v>
      </c>
      <c r="D103" s="3">
        <f>IFERROR(__xludf.DUMMYFUNCTION("""COMPUTED_VALUE"""),1.0)</f>
        <v>1</v>
      </c>
      <c r="E103" s="3">
        <f>IFERROR(__xludf.DUMMYFUNCTION("""COMPUTED_VALUE"""),1.0)</f>
        <v>1</v>
      </c>
      <c r="F103" s="3">
        <f>IFERROR(__xludf.DUMMYFUNCTION("""COMPUTED_VALUE"""),5.0)</f>
        <v>5</v>
      </c>
      <c r="G103" s="3">
        <f>IFERROR(__xludf.DUMMYFUNCTION("""COMPUTED_VALUE"""),1.0)</f>
        <v>1</v>
      </c>
      <c r="H103" s="3">
        <f>IFERROR(__xludf.DUMMYFUNCTION("""COMPUTED_VALUE"""),0.0)</f>
        <v>0</v>
      </c>
      <c r="I103" s="3">
        <f>IFERROR(__xludf.DUMMYFUNCTION("""COMPUTED_VALUE"""),0.0)</f>
        <v>0</v>
      </c>
      <c r="J103" s="3">
        <f>IFERROR(__xludf.DUMMYFUNCTION("""COMPUTED_VALUE"""),0.0)</f>
        <v>0</v>
      </c>
      <c r="K103" s="3">
        <f>IFERROR(__xludf.DUMMYFUNCTION("""COMPUTED_VALUE"""),0.0)</f>
        <v>0</v>
      </c>
      <c r="L103" s="3">
        <f>IFERROR(__xludf.DUMMYFUNCTION("""COMPUTED_VALUE"""),4.0)</f>
        <v>4</v>
      </c>
      <c r="M103" s="3">
        <f>IFERROR(__xludf.DUMMYFUNCTION("""COMPUTED_VALUE"""),3.0)</f>
        <v>3</v>
      </c>
      <c r="N103" s="3">
        <f>IFERROR(__xludf.DUMMYFUNCTION("""COMPUTED_VALUE"""),1.0)</f>
        <v>1</v>
      </c>
      <c r="O103" s="3">
        <f>IFERROR(__xludf.DUMMYFUNCTION("""COMPUTED_VALUE"""),1.0)</f>
        <v>1</v>
      </c>
      <c r="P103" s="3">
        <f>IFERROR(__xludf.DUMMYFUNCTION("""COMPUTED_VALUE"""),5.0)</f>
        <v>5</v>
      </c>
    </row>
    <row r="104">
      <c r="A104" s="3" t="str">
        <f>IFERROR(__xludf.DUMMYFUNCTION("""COMPUTED_VALUE"""),"Koweït")</f>
        <v>Koweït</v>
      </c>
      <c r="B104" s="3">
        <f>IFERROR(__xludf.DUMMYFUNCTION("""COMPUTED_VALUE"""),13.0)</f>
        <v>13</v>
      </c>
      <c r="C104" s="3">
        <f>IFERROR(__xludf.DUMMYFUNCTION("""COMPUTED_VALUE"""),0.0)</f>
        <v>0</v>
      </c>
      <c r="D104" s="3">
        <f>IFERROR(__xludf.DUMMYFUNCTION("""COMPUTED_VALUE"""),0.0)</f>
        <v>0</v>
      </c>
      <c r="E104" s="3">
        <f>IFERROR(__xludf.DUMMYFUNCTION("""COMPUTED_VALUE"""),3.0)</f>
        <v>3</v>
      </c>
      <c r="F104" s="3">
        <f>IFERROR(__xludf.DUMMYFUNCTION("""COMPUTED_VALUE"""),3.0)</f>
        <v>3</v>
      </c>
      <c r="G104" s="3">
        <f>IFERROR(__xludf.DUMMYFUNCTION("""COMPUTED_VALUE"""),0.0)</f>
        <v>0</v>
      </c>
      <c r="H104" s="3">
        <f>IFERROR(__xludf.DUMMYFUNCTION("""COMPUTED_VALUE"""),0.0)</f>
        <v>0</v>
      </c>
      <c r="I104" s="3">
        <f>IFERROR(__xludf.DUMMYFUNCTION("""COMPUTED_VALUE"""),0.0)</f>
        <v>0</v>
      </c>
      <c r="J104" s="3">
        <f>IFERROR(__xludf.DUMMYFUNCTION("""COMPUTED_VALUE"""),0.0)</f>
        <v>0</v>
      </c>
      <c r="K104" s="3">
        <f>IFERROR(__xludf.DUMMYFUNCTION("""COMPUTED_VALUE"""),0.0)</f>
        <v>0</v>
      </c>
      <c r="L104" s="3">
        <f>IFERROR(__xludf.DUMMYFUNCTION("""COMPUTED_VALUE"""),13.0)</f>
        <v>13</v>
      </c>
      <c r="M104" s="3">
        <f>IFERROR(__xludf.DUMMYFUNCTION("""COMPUTED_VALUE"""),0.0)</f>
        <v>0</v>
      </c>
      <c r="N104" s="3">
        <f>IFERROR(__xludf.DUMMYFUNCTION("""COMPUTED_VALUE"""),0.0)</f>
        <v>0</v>
      </c>
      <c r="O104" s="3">
        <f>IFERROR(__xludf.DUMMYFUNCTION("""COMPUTED_VALUE"""),3.0)</f>
        <v>3</v>
      </c>
      <c r="P104" s="3">
        <f>IFERROR(__xludf.DUMMYFUNCTION("""COMPUTED_VALUE"""),3.0)</f>
        <v>3</v>
      </c>
    </row>
    <row r="105">
      <c r="A105" s="3" t="str">
        <f>IFERROR(__xludf.DUMMYFUNCTION("""COMPUTED_VALUE"""),"Kirghizistan")</f>
        <v>Kirghizistan</v>
      </c>
      <c r="B105" s="3">
        <f>IFERROR(__xludf.DUMMYFUNCTION("""COMPUTED_VALUE"""),7.0)</f>
        <v>7</v>
      </c>
      <c r="C105" s="3">
        <f>IFERROR(__xludf.DUMMYFUNCTION("""COMPUTED_VALUE"""),0.0)</f>
        <v>0</v>
      </c>
      <c r="D105" s="3">
        <f>IFERROR(__xludf.DUMMYFUNCTION("""COMPUTED_VALUE"""),3.0)</f>
        <v>3</v>
      </c>
      <c r="E105" s="3">
        <f>IFERROR(__xludf.DUMMYFUNCTION("""COMPUTED_VALUE"""),4.0)</f>
        <v>4</v>
      </c>
      <c r="F105" s="3">
        <f>IFERROR(__xludf.DUMMYFUNCTION("""COMPUTED_VALUE"""),7.0)</f>
        <v>7</v>
      </c>
      <c r="G105" s="3">
        <f>IFERROR(__xludf.DUMMYFUNCTION("""COMPUTED_VALUE"""),7.0)</f>
        <v>7</v>
      </c>
      <c r="H105" s="3">
        <f>IFERROR(__xludf.DUMMYFUNCTION("""COMPUTED_VALUE"""),0.0)</f>
        <v>0</v>
      </c>
      <c r="I105" s="3">
        <f>IFERROR(__xludf.DUMMYFUNCTION("""COMPUTED_VALUE"""),0.0)</f>
        <v>0</v>
      </c>
      <c r="J105" s="3">
        <f>IFERROR(__xludf.DUMMYFUNCTION("""COMPUTED_VALUE"""),0.0)</f>
        <v>0</v>
      </c>
      <c r="K105" s="3">
        <f>IFERROR(__xludf.DUMMYFUNCTION("""COMPUTED_VALUE"""),0.0)</f>
        <v>0</v>
      </c>
      <c r="L105" s="3">
        <f>IFERROR(__xludf.DUMMYFUNCTION("""COMPUTED_VALUE"""),13.0)</f>
        <v>13</v>
      </c>
      <c r="M105" s="3">
        <f>IFERROR(__xludf.DUMMYFUNCTION("""COMPUTED_VALUE"""),0.0)</f>
        <v>0</v>
      </c>
      <c r="N105" s="3">
        <f>IFERROR(__xludf.DUMMYFUNCTION("""COMPUTED_VALUE"""),3.0)</f>
        <v>3</v>
      </c>
      <c r="O105" s="3">
        <f>IFERROR(__xludf.DUMMYFUNCTION("""COMPUTED_VALUE"""),4.0)</f>
        <v>4</v>
      </c>
      <c r="P105" s="3">
        <f>IFERROR(__xludf.DUMMYFUNCTION("""COMPUTED_VALUE"""),7.0)</f>
        <v>7</v>
      </c>
    </row>
    <row r="106">
      <c r="A106" s="3" t="str">
        <f>IFERROR(__xludf.DUMMYFUNCTION("""COMPUTED_VALUE"""),"Lettonie")</f>
        <v>Lettonie</v>
      </c>
      <c r="B106" s="3">
        <f>IFERROR(__xludf.DUMMYFUNCTION("""COMPUTED_VALUE"""),12.0)</f>
        <v>12</v>
      </c>
      <c r="C106" s="3">
        <f>IFERROR(__xludf.DUMMYFUNCTION("""COMPUTED_VALUE"""),4.0)</f>
        <v>4</v>
      </c>
      <c r="D106" s="3">
        <f>IFERROR(__xludf.DUMMYFUNCTION("""COMPUTED_VALUE"""),11.0)</f>
        <v>11</v>
      </c>
      <c r="E106" s="3">
        <f>IFERROR(__xludf.DUMMYFUNCTION("""COMPUTED_VALUE"""),6.0)</f>
        <v>6</v>
      </c>
      <c r="F106" s="3">
        <f>IFERROR(__xludf.DUMMYFUNCTION("""COMPUTED_VALUE"""),21.0)</f>
        <v>21</v>
      </c>
      <c r="G106" s="3">
        <f>IFERROR(__xludf.DUMMYFUNCTION("""COMPUTED_VALUE"""),11.0)</f>
        <v>11</v>
      </c>
      <c r="H106" s="3">
        <f>IFERROR(__xludf.DUMMYFUNCTION("""COMPUTED_VALUE"""),1.0)</f>
        <v>1</v>
      </c>
      <c r="I106" s="3">
        <f>IFERROR(__xludf.DUMMYFUNCTION("""COMPUTED_VALUE"""),3.0)</f>
        <v>3</v>
      </c>
      <c r="J106" s="3">
        <f>IFERROR(__xludf.DUMMYFUNCTION("""COMPUTED_VALUE"""),5.0)</f>
        <v>5</v>
      </c>
      <c r="K106" s="3">
        <f>IFERROR(__xludf.DUMMYFUNCTION("""COMPUTED_VALUE"""),9.0)</f>
        <v>9</v>
      </c>
      <c r="L106" s="3">
        <f>IFERROR(__xludf.DUMMYFUNCTION("""COMPUTED_VALUE"""),23.0)</f>
        <v>23</v>
      </c>
      <c r="M106" s="3">
        <f>IFERROR(__xludf.DUMMYFUNCTION("""COMPUTED_VALUE"""),5.0)</f>
        <v>5</v>
      </c>
      <c r="N106" s="3">
        <f>IFERROR(__xludf.DUMMYFUNCTION("""COMPUTED_VALUE"""),14.0)</f>
        <v>14</v>
      </c>
      <c r="O106" s="3">
        <f>IFERROR(__xludf.DUMMYFUNCTION("""COMPUTED_VALUE"""),11.0)</f>
        <v>11</v>
      </c>
      <c r="P106" s="3">
        <f>IFERROR(__xludf.DUMMYFUNCTION("""COMPUTED_VALUE"""),30.0)</f>
        <v>30</v>
      </c>
    </row>
    <row r="107">
      <c r="A107" s="3" t="str">
        <f>IFERROR(__xludf.DUMMYFUNCTION("""COMPUTED_VALUE"""),"Liban")</f>
        <v>Liban</v>
      </c>
      <c r="B107" s="3">
        <f>IFERROR(__xludf.DUMMYFUNCTION("""COMPUTED_VALUE"""),18.0)</f>
        <v>18</v>
      </c>
      <c r="C107" s="3">
        <f>IFERROR(__xludf.DUMMYFUNCTION("""COMPUTED_VALUE"""),0.0)</f>
        <v>0</v>
      </c>
      <c r="D107" s="3">
        <f>IFERROR(__xludf.DUMMYFUNCTION("""COMPUTED_VALUE"""),2.0)</f>
        <v>2</v>
      </c>
      <c r="E107" s="3">
        <f>IFERROR(__xludf.DUMMYFUNCTION("""COMPUTED_VALUE"""),2.0)</f>
        <v>2</v>
      </c>
      <c r="F107" s="3">
        <f>IFERROR(__xludf.DUMMYFUNCTION("""COMPUTED_VALUE"""),4.0)</f>
        <v>4</v>
      </c>
      <c r="G107" s="3">
        <f>IFERROR(__xludf.DUMMYFUNCTION("""COMPUTED_VALUE"""),17.0)</f>
        <v>17</v>
      </c>
      <c r="H107" s="3">
        <f>IFERROR(__xludf.DUMMYFUNCTION("""COMPUTED_VALUE"""),0.0)</f>
        <v>0</v>
      </c>
      <c r="I107" s="3">
        <f>IFERROR(__xludf.DUMMYFUNCTION("""COMPUTED_VALUE"""),0.0)</f>
        <v>0</v>
      </c>
      <c r="J107" s="3">
        <f>IFERROR(__xludf.DUMMYFUNCTION("""COMPUTED_VALUE"""),0.0)</f>
        <v>0</v>
      </c>
      <c r="K107" s="3">
        <f>IFERROR(__xludf.DUMMYFUNCTION("""COMPUTED_VALUE"""),0.0)</f>
        <v>0</v>
      </c>
      <c r="L107" s="3">
        <f>IFERROR(__xludf.DUMMYFUNCTION("""COMPUTED_VALUE"""),35.0)</f>
        <v>35</v>
      </c>
      <c r="M107" s="3">
        <f>IFERROR(__xludf.DUMMYFUNCTION("""COMPUTED_VALUE"""),0.0)</f>
        <v>0</v>
      </c>
      <c r="N107" s="3">
        <f>IFERROR(__xludf.DUMMYFUNCTION("""COMPUTED_VALUE"""),2.0)</f>
        <v>2</v>
      </c>
      <c r="O107" s="3">
        <f>IFERROR(__xludf.DUMMYFUNCTION("""COMPUTED_VALUE"""),2.0)</f>
        <v>2</v>
      </c>
      <c r="P107" s="3">
        <f>IFERROR(__xludf.DUMMYFUNCTION("""COMPUTED_VALUE"""),4.0)</f>
        <v>4</v>
      </c>
    </row>
    <row r="108">
      <c r="A108" s="3" t="str">
        <f>IFERROR(__xludf.DUMMYFUNCTION("""COMPUTED_VALUE"""),"Liechtenstein")</f>
        <v>Liechtenstein</v>
      </c>
      <c r="B108" s="3">
        <f>IFERROR(__xludf.DUMMYFUNCTION("""COMPUTED_VALUE"""),18.0)</f>
        <v>18</v>
      </c>
      <c r="C108" s="3">
        <f>IFERROR(__xludf.DUMMYFUNCTION("""COMPUTED_VALUE"""),0.0)</f>
        <v>0</v>
      </c>
      <c r="D108" s="3">
        <f>IFERROR(__xludf.DUMMYFUNCTION("""COMPUTED_VALUE"""),0.0)</f>
        <v>0</v>
      </c>
      <c r="E108" s="3">
        <f>IFERROR(__xludf.DUMMYFUNCTION("""COMPUTED_VALUE"""),0.0)</f>
        <v>0</v>
      </c>
      <c r="F108" s="3">
        <f>IFERROR(__xludf.DUMMYFUNCTION("""COMPUTED_VALUE"""),0.0)</f>
        <v>0</v>
      </c>
      <c r="G108" s="3">
        <f>IFERROR(__xludf.DUMMYFUNCTION("""COMPUTED_VALUE"""),19.0)</f>
        <v>19</v>
      </c>
      <c r="H108" s="3">
        <f>IFERROR(__xludf.DUMMYFUNCTION("""COMPUTED_VALUE"""),2.0)</f>
        <v>2</v>
      </c>
      <c r="I108" s="3">
        <f>IFERROR(__xludf.DUMMYFUNCTION("""COMPUTED_VALUE"""),2.0)</f>
        <v>2</v>
      </c>
      <c r="J108" s="3">
        <f>IFERROR(__xludf.DUMMYFUNCTION("""COMPUTED_VALUE"""),6.0)</f>
        <v>6</v>
      </c>
      <c r="K108" s="3">
        <f>IFERROR(__xludf.DUMMYFUNCTION("""COMPUTED_VALUE"""),10.0)</f>
        <v>10</v>
      </c>
      <c r="L108" s="3">
        <f>IFERROR(__xludf.DUMMYFUNCTION("""COMPUTED_VALUE"""),37.0)</f>
        <v>37</v>
      </c>
      <c r="M108" s="3">
        <f>IFERROR(__xludf.DUMMYFUNCTION("""COMPUTED_VALUE"""),2.0)</f>
        <v>2</v>
      </c>
      <c r="N108" s="3">
        <f>IFERROR(__xludf.DUMMYFUNCTION("""COMPUTED_VALUE"""),2.0)</f>
        <v>2</v>
      </c>
      <c r="O108" s="3">
        <f>IFERROR(__xludf.DUMMYFUNCTION("""COMPUTED_VALUE"""),6.0)</f>
        <v>6</v>
      </c>
      <c r="P108" s="3">
        <f>IFERROR(__xludf.DUMMYFUNCTION("""COMPUTED_VALUE"""),10.0)</f>
        <v>10</v>
      </c>
    </row>
    <row r="109">
      <c r="A109" s="3" t="str">
        <f>IFERROR(__xludf.DUMMYFUNCTION("""COMPUTED_VALUE"""),"Lituanie")</f>
        <v>Lituanie</v>
      </c>
      <c r="B109" s="3">
        <f>IFERROR(__xludf.DUMMYFUNCTION("""COMPUTED_VALUE"""),10.0)</f>
        <v>10</v>
      </c>
      <c r="C109" s="3">
        <f>IFERROR(__xludf.DUMMYFUNCTION("""COMPUTED_VALUE"""),6.0)</f>
        <v>6</v>
      </c>
      <c r="D109" s="3">
        <f>IFERROR(__xludf.DUMMYFUNCTION("""COMPUTED_VALUE"""),7.0)</f>
        <v>7</v>
      </c>
      <c r="E109" s="3">
        <f>IFERROR(__xludf.DUMMYFUNCTION("""COMPUTED_VALUE"""),13.0)</f>
        <v>13</v>
      </c>
      <c r="F109" s="3">
        <f>IFERROR(__xludf.DUMMYFUNCTION("""COMPUTED_VALUE"""),26.0)</f>
        <v>26</v>
      </c>
      <c r="G109" s="3">
        <f>IFERROR(__xludf.DUMMYFUNCTION("""COMPUTED_VALUE"""),9.0)</f>
        <v>9</v>
      </c>
      <c r="H109" s="3">
        <f>IFERROR(__xludf.DUMMYFUNCTION("""COMPUTED_VALUE"""),0.0)</f>
        <v>0</v>
      </c>
      <c r="I109" s="3">
        <f>IFERROR(__xludf.DUMMYFUNCTION("""COMPUTED_VALUE"""),0.0)</f>
        <v>0</v>
      </c>
      <c r="J109" s="3">
        <f>IFERROR(__xludf.DUMMYFUNCTION("""COMPUTED_VALUE"""),0.0)</f>
        <v>0</v>
      </c>
      <c r="K109" s="3">
        <f>IFERROR(__xludf.DUMMYFUNCTION("""COMPUTED_VALUE"""),0.0)</f>
        <v>0</v>
      </c>
      <c r="L109" s="3">
        <f>IFERROR(__xludf.DUMMYFUNCTION("""COMPUTED_VALUE"""),19.0)</f>
        <v>19</v>
      </c>
      <c r="M109" s="3">
        <f>IFERROR(__xludf.DUMMYFUNCTION("""COMPUTED_VALUE"""),6.0)</f>
        <v>6</v>
      </c>
      <c r="N109" s="3">
        <f>IFERROR(__xludf.DUMMYFUNCTION("""COMPUTED_VALUE"""),7.0)</f>
        <v>7</v>
      </c>
      <c r="O109" s="3">
        <f>IFERROR(__xludf.DUMMYFUNCTION("""COMPUTED_VALUE"""),13.0)</f>
        <v>13</v>
      </c>
      <c r="P109" s="3">
        <f>IFERROR(__xludf.DUMMYFUNCTION("""COMPUTED_VALUE"""),26.0)</f>
        <v>26</v>
      </c>
    </row>
    <row r="110">
      <c r="A110" s="3" t="str">
        <f>IFERROR(__xludf.DUMMYFUNCTION("""COMPUTED_VALUE"""),"Luxembourg[20]")</f>
        <v>Luxembourg[20]</v>
      </c>
      <c r="B110" s="3">
        <f>IFERROR(__xludf.DUMMYFUNCTION("""COMPUTED_VALUE"""),24.0)</f>
        <v>24</v>
      </c>
      <c r="C110" s="3">
        <f>IFERROR(__xludf.DUMMYFUNCTION("""COMPUTED_VALUE"""),1.0)</f>
        <v>1</v>
      </c>
      <c r="D110" s="3">
        <f>IFERROR(__xludf.DUMMYFUNCTION("""COMPUTED_VALUE"""),1.0)</f>
        <v>1</v>
      </c>
      <c r="E110" s="3">
        <f>IFERROR(__xludf.DUMMYFUNCTION("""COMPUTED_VALUE"""),0.0)</f>
        <v>0</v>
      </c>
      <c r="F110" s="3">
        <f>IFERROR(__xludf.DUMMYFUNCTION("""COMPUTED_VALUE"""),2.0)</f>
        <v>2</v>
      </c>
      <c r="G110" s="3">
        <f>IFERROR(__xludf.DUMMYFUNCTION("""COMPUTED_VALUE"""),9.0)</f>
        <v>9</v>
      </c>
      <c r="H110" s="3">
        <f>IFERROR(__xludf.DUMMYFUNCTION("""COMPUTED_VALUE"""),0.0)</f>
        <v>0</v>
      </c>
      <c r="I110" s="3">
        <f>IFERROR(__xludf.DUMMYFUNCTION("""COMPUTED_VALUE"""),2.0)</f>
        <v>2</v>
      </c>
      <c r="J110" s="3">
        <f>IFERROR(__xludf.DUMMYFUNCTION("""COMPUTED_VALUE"""),0.0)</f>
        <v>0</v>
      </c>
      <c r="K110" s="3">
        <f>IFERROR(__xludf.DUMMYFUNCTION("""COMPUTED_VALUE"""),2.0)</f>
        <v>2</v>
      </c>
      <c r="L110" s="3">
        <f>IFERROR(__xludf.DUMMYFUNCTION("""COMPUTED_VALUE"""),33.0)</f>
        <v>33</v>
      </c>
      <c r="M110" s="3">
        <f>IFERROR(__xludf.DUMMYFUNCTION("""COMPUTED_VALUE"""),1.0)</f>
        <v>1</v>
      </c>
      <c r="N110" s="3">
        <f>IFERROR(__xludf.DUMMYFUNCTION("""COMPUTED_VALUE"""),3.0)</f>
        <v>3</v>
      </c>
      <c r="O110" s="3">
        <f>IFERROR(__xludf.DUMMYFUNCTION("""COMPUTED_VALUE"""),0.0)</f>
        <v>0</v>
      </c>
      <c r="P110" s="3">
        <f>IFERROR(__xludf.DUMMYFUNCTION("""COMPUTED_VALUE"""),4.0)</f>
        <v>4</v>
      </c>
    </row>
    <row r="111">
      <c r="A111" s="3" t="str">
        <f>IFERROR(__xludf.DUMMYFUNCTION("""COMPUTED_VALUE"""),"Macédoine du Nord")</f>
        <v>Macédoine du Nord</v>
      </c>
      <c r="B111" s="3">
        <f>IFERROR(__xludf.DUMMYFUNCTION("""COMPUTED_VALUE"""),7.0)</f>
        <v>7</v>
      </c>
      <c r="C111" s="3">
        <f>IFERROR(__xludf.DUMMYFUNCTION("""COMPUTED_VALUE"""),0.0)</f>
        <v>0</v>
      </c>
      <c r="D111" s="3">
        <f>IFERROR(__xludf.DUMMYFUNCTION("""COMPUTED_VALUE"""),1.0)</f>
        <v>1</v>
      </c>
      <c r="E111" s="3">
        <f>IFERROR(__xludf.DUMMYFUNCTION("""COMPUTED_VALUE"""),1.0)</f>
        <v>1</v>
      </c>
      <c r="F111" s="3">
        <f>IFERROR(__xludf.DUMMYFUNCTION("""COMPUTED_VALUE"""),2.0)</f>
        <v>2</v>
      </c>
      <c r="G111" s="3">
        <f>IFERROR(__xludf.DUMMYFUNCTION("""COMPUTED_VALUE"""),6.0)</f>
        <v>6</v>
      </c>
      <c r="H111" s="3">
        <f>IFERROR(__xludf.DUMMYFUNCTION("""COMPUTED_VALUE"""),0.0)</f>
        <v>0</v>
      </c>
      <c r="I111" s="3">
        <f>IFERROR(__xludf.DUMMYFUNCTION("""COMPUTED_VALUE"""),0.0)</f>
        <v>0</v>
      </c>
      <c r="J111" s="3">
        <f>IFERROR(__xludf.DUMMYFUNCTION("""COMPUTED_VALUE"""),0.0)</f>
        <v>0</v>
      </c>
      <c r="K111" s="3">
        <f>IFERROR(__xludf.DUMMYFUNCTION("""COMPUTED_VALUE"""),0.0)</f>
        <v>0</v>
      </c>
      <c r="L111" s="3">
        <f>IFERROR(__xludf.DUMMYFUNCTION("""COMPUTED_VALUE"""),13.0)</f>
        <v>13</v>
      </c>
      <c r="M111" s="3">
        <f>IFERROR(__xludf.DUMMYFUNCTION("""COMPUTED_VALUE"""),0.0)</f>
        <v>0</v>
      </c>
      <c r="N111" s="3">
        <f>IFERROR(__xludf.DUMMYFUNCTION("""COMPUTED_VALUE"""),1.0)</f>
        <v>1</v>
      </c>
      <c r="O111" s="3">
        <f>IFERROR(__xludf.DUMMYFUNCTION("""COMPUTED_VALUE"""),1.0)</f>
        <v>1</v>
      </c>
      <c r="P111" s="3">
        <f>IFERROR(__xludf.DUMMYFUNCTION("""COMPUTED_VALUE"""),2.0)</f>
        <v>2</v>
      </c>
    </row>
    <row r="112">
      <c r="A112" s="3" t="str">
        <f>IFERROR(__xludf.DUMMYFUNCTION("""COMPUTED_VALUE"""),"Maroc")</f>
        <v>Maroc</v>
      </c>
      <c r="B112" s="3">
        <f>IFERROR(__xludf.DUMMYFUNCTION("""COMPUTED_VALUE"""),15.0)</f>
        <v>15</v>
      </c>
      <c r="C112" s="3">
        <f>IFERROR(__xludf.DUMMYFUNCTION("""COMPUTED_VALUE"""),8.0)</f>
        <v>8</v>
      </c>
      <c r="D112" s="3">
        <f>IFERROR(__xludf.DUMMYFUNCTION("""COMPUTED_VALUE"""),5.0)</f>
        <v>5</v>
      </c>
      <c r="E112" s="3">
        <f>IFERROR(__xludf.DUMMYFUNCTION("""COMPUTED_VALUE"""),13.0)</f>
        <v>13</v>
      </c>
      <c r="F112" s="3">
        <f>IFERROR(__xludf.DUMMYFUNCTION("""COMPUTED_VALUE"""),26.0)</f>
        <v>26</v>
      </c>
      <c r="G112" s="3">
        <f>IFERROR(__xludf.DUMMYFUNCTION("""COMPUTED_VALUE"""),7.0)</f>
        <v>7</v>
      </c>
      <c r="H112" s="3">
        <f>IFERROR(__xludf.DUMMYFUNCTION("""COMPUTED_VALUE"""),0.0)</f>
        <v>0</v>
      </c>
      <c r="I112" s="3">
        <f>IFERROR(__xludf.DUMMYFUNCTION("""COMPUTED_VALUE"""),0.0)</f>
        <v>0</v>
      </c>
      <c r="J112" s="3">
        <f>IFERROR(__xludf.DUMMYFUNCTION("""COMPUTED_VALUE"""),0.0)</f>
        <v>0</v>
      </c>
      <c r="K112" s="3">
        <f>IFERROR(__xludf.DUMMYFUNCTION("""COMPUTED_VALUE"""),0.0)</f>
        <v>0</v>
      </c>
      <c r="L112" s="3">
        <f>IFERROR(__xludf.DUMMYFUNCTION("""COMPUTED_VALUE"""),22.0)</f>
        <v>22</v>
      </c>
      <c r="M112" s="3">
        <f>IFERROR(__xludf.DUMMYFUNCTION("""COMPUTED_VALUE"""),8.0)</f>
        <v>8</v>
      </c>
      <c r="N112" s="3">
        <f>IFERROR(__xludf.DUMMYFUNCTION("""COMPUTED_VALUE"""),5.0)</f>
        <v>5</v>
      </c>
      <c r="O112" s="3">
        <f>IFERROR(__xludf.DUMMYFUNCTION("""COMPUTED_VALUE"""),13.0)</f>
        <v>13</v>
      </c>
      <c r="P112" s="3">
        <f>IFERROR(__xludf.DUMMYFUNCTION("""COMPUTED_VALUE"""),26.0)</f>
        <v>26</v>
      </c>
    </row>
    <row r="113">
      <c r="A113" s="3" t="str">
        <f>IFERROR(__xludf.DUMMYFUNCTION("""COMPUTED_VALUE"""),"Malaisie")</f>
        <v>Malaisie</v>
      </c>
      <c r="B113" s="3">
        <f>IFERROR(__xludf.DUMMYFUNCTION("""COMPUTED_VALUE"""),14.0)</f>
        <v>14</v>
      </c>
      <c r="C113" s="3">
        <f>IFERROR(__xludf.DUMMYFUNCTION("""COMPUTED_VALUE"""),0.0)</f>
        <v>0</v>
      </c>
      <c r="D113" s="3">
        <f>IFERROR(__xludf.DUMMYFUNCTION("""COMPUTED_VALUE"""),8.0)</f>
        <v>8</v>
      </c>
      <c r="E113" s="3">
        <f>IFERROR(__xludf.DUMMYFUNCTION("""COMPUTED_VALUE"""),5.0)</f>
        <v>5</v>
      </c>
      <c r="F113" s="3">
        <f>IFERROR(__xludf.DUMMYFUNCTION("""COMPUTED_VALUE"""),13.0)</f>
        <v>13</v>
      </c>
      <c r="G113" s="3">
        <f>IFERROR(__xludf.DUMMYFUNCTION("""COMPUTED_VALUE"""),1.0)</f>
        <v>1</v>
      </c>
      <c r="H113" s="3">
        <f>IFERROR(__xludf.DUMMYFUNCTION("""COMPUTED_VALUE"""),0.0)</f>
        <v>0</v>
      </c>
      <c r="I113" s="3">
        <f>IFERROR(__xludf.DUMMYFUNCTION("""COMPUTED_VALUE"""),0.0)</f>
        <v>0</v>
      </c>
      <c r="J113" s="3">
        <f>IFERROR(__xludf.DUMMYFUNCTION("""COMPUTED_VALUE"""),0.0)</f>
        <v>0</v>
      </c>
      <c r="K113" s="3">
        <f>IFERROR(__xludf.DUMMYFUNCTION("""COMPUTED_VALUE"""),0.0)</f>
        <v>0</v>
      </c>
      <c r="L113" s="3">
        <f>IFERROR(__xludf.DUMMYFUNCTION("""COMPUTED_VALUE"""),15.0)</f>
        <v>15</v>
      </c>
      <c r="M113" s="3">
        <f>IFERROR(__xludf.DUMMYFUNCTION("""COMPUTED_VALUE"""),0.0)</f>
        <v>0</v>
      </c>
      <c r="N113" s="3">
        <f>IFERROR(__xludf.DUMMYFUNCTION("""COMPUTED_VALUE"""),8.0)</f>
        <v>8</v>
      </c>
      <c r="O113" s="3">
        <f>IFERROR(__xludf.DUMMYFUNCTION("""COMPUTED_VALUE"""),5.0)</f>
        <v>5</v>
      </c>
      <c r="P113" s="3">
        <f>IFERROR(__xludf.DUMMYFUNCTION("""COMPUTED_VALUE"""),13.0)</f>
        <v>13</v>
      </c>
    </row>
    <row r="114">
      <c r="A114" s="3" t="str">
        <f>IFERROR(__xludf.DUMMYFUNCTION("""COMPUTED_VALUE"""),"Maurice")</f>
        <v>Maurice</v>
      </c>
      <c r="B114" s="3">
        <f>IFERROR(__xludf.DUMMYFUNCTION("""COMPUTED_VALUE"""),10.0)</f>
        <v>10</v>
      </c>
      <c r="C114" s="3">
        <f>IFERROR(__xludf.DUMMYFUNCTION("""COMPUTED_VALUE"""),0.0)</f>
        <v>0</v>
      </c>
      <c r="D114" s="3">
        <f>IFERROR(__xludf.DUMMYFUNCTION("""COMPUTED_VALUE"""),0.0)</f>
        <v>0</v>
      </c>
      <c r="E114" s="3">
        <f>IFERROR(__xludf.DUMMYFUNCTION("""COMPUTED_VALUE"""),1.0)</f>
        <v>1</v>
      </c>
      <c r="F114" s="3">
        <f>IFERROR(__xludf.DUMMYFUNCTION("""COMPUTED_VALUE"""),1.0)</f>
        <v>1</v>
      </c>
      <c r="G114" s="3">
        <f>IFERROR(__xludf.DUMMYFUNCTION("""COMPUTED_VALUE"""),0.0)</f>
        <v>0</v>
      </c>
      <c r="H114" s="3">
        <f>IFERROR(__xludf.DUMMYFUNCTION("""COMPUTED_VALUE"""),0.0)</f>
        <v>0</v>
      </c>
      <c r="I114" s="3">
        <f>IFERROR(__xludf.DUMMYFUNCTION("""COMPUTED_VALUE"""),0.0)</f>
        <v>0</v>
      </c>
      <c r="J114" s="3">
        <f>IFERROR(__xludf.DUMMYFUNCTION("""COMPUTED_VALUE"""),0.0)</f>
        <v>0</v>
      </c>
      <c r="K114" s="3">
        <f>IFERROR(__xludf.DUMMYFUNCTION("""COMPUTED_VALUE"""),0.0)</f>
        <v>0</v>
      </c>
      <c r="L114" s="3">
        <f>IFERROR(__xludf.DUMMYFUNCTION("""COMPUTED_VALUE"""),10.0)</f>
        <v>10</v>
      </c>
      <c r="M114" s="3">
        <f>IFERROR(__xludf.DUMMYFUNCTION("""COMPUTED_VALUE"""),0.0)</f>
        <v>0</v>
      </c>
      <c r="N114" s="3">
        <f>IFERROR(__xludf.DUMMYFUNCTION("""COMPUTED_VALUE"""),0.0)</f>
        <v>0</v>
      </c>
      <c r="O114" s="3">
        <f>IFERROR(__xludf.DUMMYFUNCTION("""COMPUTED_VALUE"""),1.0)</f>
        <v>1</v>
      </c>
      <c r="P114" s="3">
        <f>IFERROR(__xludf.DUMMYFUNCTION("""COMPUTED_VALUE"""),1.0)</f>
        <v>1</v>
      </c>
    </row>
    <row r="115">
      <c r="A115" s="3" t="str">
        <f>IFERROR(__xludf.DUMMYFUNCTION("""COMPUTED_VALUE"""),"Mexique")</f>
        <v>Mexique</v>
      </c>
      <c r="B115" s="3">
        <f>IFERROR(__xludf.DUMMYFUNCTION("""COMPUTED_VALUE"""),24.0)</f>
        <v>24</v>
      </c>
      <c r="C115" s="3">
        <f>IFERROR(__xludf.DUMMYFUNCTION("""COMPUTED_VALUE"""),13.0)</f>
        <v>13</v>
      </c>
      <c r="D115" s="3">
        <f>IFERROR(__xludf.DUMMYFUNCTION("""COMPUTED_VALUE"""),24.0)</f>
        <v>24</v>
      </c>
      <c r="E115" s="3">
        <f>IFERROR(__xludf.DUMMYFUNCTION("""COMPUTED_VALUE"""),36.0)</f>
        <v>36</v>
      </c>
      <c r="F115" s="3">
        <f>IFERROR(__xludf.DUMMYFUNCTION("""COMPUTED_VALUE"""),73.0)</f>
        <v>73</v>
      </c>
      <c r="G115" s="3">
        <f>IFERROR(__xludf.DUMMYFUNCTION("""COMPUTED_VALUE"""),9.0)</f>
        <v>9</v>
      </c>
      <c r="H115" s="3">
        <f>IFERROR(__xludf.DUMMYFUNCTION("""COMPUTED_VALUE"""),0.0)</f>
        <v>0</v>
      </c>
      <c r="I115" s="3">
        <f>IFERROR(__xludf.DUMMYFUNCTION("""COMPUTED_VALUE"""),0.0)</f>
        <v>0</v>
      </c>
      <c r="J115" s="3">
        <f>IFERROR(__xludf.DUMMYFUNCTION("""COMPUTED_VALUE"""),0.0)</f>
        <v>0</v>
      </c>
      <c r="K115" s="3">
        <f>IFERROR(__xludf.DUMMYFUNCTION("""COMPUTED_VALUE"""),0.0)</f>
        <v>0</v>
      </c>
      <c r="L115" s="3">
        <f>IFERROR(__xludf.DUMMYFUNCTION("""COMPUTED_VALUE"""),33.0)</f>
        <v>33</v>
      </c>
      <c r="M115" s="3">
        <f>IFERROR(__xludf.DUMMYFUNCTION("""COMPUTED_VALUE"""),13.0)</f>
        <v>13</v>
      </c>
      <c r="N115" s="3">
        <f>IFERROR(__xludf.DUMMYFUNCTION("""COMPUTED_VALUE"""),24.0)</f>
        <v>24</v>
      </c>
      <c r="O115" s="3">
        <f>IFERROR(__xludf.DUMMYFUNCTION("""COMPUTED_VALUE"""),36.0)</f>
        <v>36</v>
      </c>
      <c r="P115" s="3">
        <f>IFERROR(__xludf.DUMMYFUNCTION("""COMPUTED_VALUE"""),73.0)</f>
        <v>73</v>
      </c>
    </row>
    <row r="116">
      <c r="A116" s="3" t="str">
        <f>IFERROR(__xludf.DUMMYFUNCTION("""COMPUTED_VALUE"""),"Moldavie")</f>
        <v>Moldavie</v>
      </c>
      <c r="B116" s="3">
        <f>IFERROR(__xludf.DUMMYFUNCTION("""COMPUTED_VALUE"""),7.0)</f>
        <v>7</v>
      </c>
      <c r="C116" s="3">
        <f>IFERROR(__xludf.DUMMYFUNCTION("""COMPUTED_VALUE"""),0.0)</f>
        <v>0</v>
      </c>
      <c r="D116" s="3">
        <f>IFERROR(__xludf.DUMMYFUNCTION("""COMPUTED_VALUE"""),2.0)</f>
        <v>2</v>
      </c>
      <c r="E116" s="3">
        <f>IFERROR(__xludf.DUMMYFUNCTION("""COMPUTED_VALUE"""),4.0)</f>
        <v>4</v>
      </c>
      <c r="F116" s="3">
        <f>IFERROR(__xludf.DUMMYFUNCTION("""COMPUTED_VALUE"""),6.0)</f>
        <v>6</v>
      </c>
      <c r="G116" s="3">
        <f>IFERROR(__xludf.DUMMYFUNCTION("""COMPUTED_VALUE"""),7.0)</f>
        <v>7</v>
      </c>
      <c r="H116" s="3">
        <f>IFERROR(__xludf.DUMMYFUNCTION("""COMPUTED_VALUE"""),0.0)</f>
        <v>0</v>
      </c>
      <c r="I116" s="3">
        <f>IFERROR(__xludf.DUMMYFUNCTION("""COMPUTED_VALUE"""),0.0)</f>
        <v>0</v>
      </c>
      <c r="J116" s="3">
        <f>IFERROR(__xludf.DUMMYFUNCTION("""COMPUTED_VALUE"""),0.0)</f>
        <v>0</v>
      </c>
      <c r="K116" s="3">
        <f>IFERROR(__xludf.DUMMYFUNCTION("""COMPUTED_VALUE"""),0.0)</f>
        <v>0</v>
      </c>
      <c r="L116" s="3">
        <f>IFERROR(__xludf.DUMMYFUNCTION("""COMPUTED_VALUE"""),14.0)</f>
        <v>14</v>
      </c>
      <c r="M116" s="3">
        <f>IFERROR(__xludf.DUMMYFUNCTION("""COMPUTED_VALUE"""),0.0)</f>
        <v>0</v>
      </c>
      <c r="N116" s="3">
        <f>IFERROR(__xludf.DUMMYFUNCTION("""COMPUTED_VALUE"""),2.0)</f>
        <v>2</v>
      </c>
      <c r="O116" s="3">
        <f>IFERROR(__xludf.DUMMYFUNCTION("""COMPUTED_VALUE"""),4.0)</f>
        <v>4</v>
      </c>
      <c r="P116" s="3">
        <f>IFERROR(__xludf.DUMMYFUNCTION("""COMPUTED_VALUE"""),6.0)</f>
        <v>6</v>
      </c>
    </row>
    <row r="117">
      <c r="A117" s="3" t="str">
        <f>IFERROR(__xludf.DUMMYFUNCTION("""COMPUTED_VALUE"""),"Mongolie")</f>
        <v>Mongolie</v>
      </c>
      <c r="B117" s="3">
        <f>IFERROR(__xludf.DUMMYFUNCTION("""COMPUTED_VALUE"""),14.0)</f>
        <v>14</v>
      </c>
      <c r="C117" s="3">
        <f>IFERROR(__xludf.DUMMYFUNCTION("""COMPUTED_VALUE"""),2.0)</f>
        <v>2</v>
      </c>
      <c r="D117" s="3">
        <f>IFERROR(__xludf.DUMMYFUNCTION("""COMPUTED_VALUE"""),11.0)</f>
        <v>11</v>
      </c>
      <c r="E117" s="3">
        <f>IFERROR(__xludf.DUMMYFUNCTION("""COMPUTED_VALUE"""),17.0)</f>
        <v>17</v>
      </c>
      <c r="F117" s="3">
        <f>IFERROR(__xludf.DUMMYFUNCTION("""COMPUTED_VALUE"""),30.0)</f>
        <v>30</v>
      </c>
      <c r="G117" s="3">
        <f>IFERROR(__xludf.DUMMYFUNCTION("""COMPUTED_VALUE"""),14.0)</f>
        <v>14</v>
      </c>
      <c r="H117" s="3">
        <f>IFERROR(__xludf.DUMMYFUNCTION("""COMPUTED_VALUE"""),0.0)</f>
        <v>0</v>
      </c>
      <c r="I117" s="3">
        <f>IFERROR(__xludf.DUMMYFUNCTION("""COMPUTED_VALUE"""),0.0)</f>
        <v>0</v>
      </c>
      <c r="J117" s="3">
        <f>IFERROR(__xludf.DUMMYFUNCTION("""COMPUTED_VALUE"""),0.0)</f>
        <v>0</v>
      </c>
      <c r="K117" s="3">
        <f>IFERROR(__xludf.DUMMYFUNCTION("""COMPUTED_VALUE"""),0.0)</f>
        <v>0</v>
      </c>
      <c r="L117" s="3">
        <f>IFERROR(__xludf.DUMMYFUNCTION("""COMPUTED_VALUE"""),28.0)</f>
        <v>28</v>
      </c>
      <c r="M117" s="3">
        <f>IFERROR(__xludf.DUMMYFUNCTION("""COMPUTED_VALUE"""),2.0)</f>
        <v>2</v>
      </c>
      <c r="N117" s="3">
        <f>IFERROR(__xludf.DUMMYFUNCTION("""COMPUTED_VALUE"""),11.0)</f>
        <v>11</v>
      </c>
      <c r="O117" s="3">
        <f>IFERROR(__xludf.DUMMYFUNCTION("""COMPUTED_VALUE"""),17.0)</f>
        <v>17</v>
      </c>
      <c r="P117" s="3">
        <f>IFERROR(__xludf.DUMMYFUNCTION("""COMPUTED_VALUE"""),30.0)</f>
        <v>30</v>
      </c>
    </row>
    <row r="118">
      <c r="A118" s="3" t="str">
        <f>IFERROR(__xludf.DUMMYFUNCTION("""COMPUTED_VALUE"""),"Monténégro")</f>
        <v>Monténégro</v>
      </c>
      <c r="B118" s="3">
        <f>IFERROR(__xludf.DUMMYFUNCTION("""COMPUTED_VALUE"""),4.0)</f>
        <v>4</v>
      </c>
      <c r="C118" s="3">
        <f>IFERROR(__xludf.DUMMYFUNCTION("""COMPUTED_VALUE"""),0.0)</f>
        <v>0</v>
      </c>
      <c r="D118" s="3">
        <f>IFERROR(__xludf.DUMMYFUNCTION("""COMPUTED_VALUE"""),1.0)</f>
        <v>1</v>
      </c>
      <c r="E118" s="3">
        <f>IFERROR(__xludf.DUMMYFUNCTION("""COMPUTED_VALUE"""),0.0)</f>
        <v>0</v>
      </c>
      <c r="F118" s="3">
        <f>IFERROR(__xludf.DUMMYFUNCTION("""COMPUTED_VALUE"""),1.0)</f>
        <v>1</v>
      </c>
      <c r="G118" s="3">
        <f>IFERROR(__xludf.DUMMYFUNCTION("""COMPUTED_VALUE"""),3.0)</f>
        <v>3</v>
      </c>
      <c r="H118" s="3">
        <f>IFERROR(__xludf.DUMMYFUNCTION("""COMPUTED_VALUE"""),0.0)</f>
        <v>0</v>
      </c>
      <c r="I118" s="3">
        <f>IFERROR(__xludf.DUMMYFUNCTION("""COMPUTED_VALUE"""),0.0)</f>
        <v>0</v>
      </c>
      <c r="J118" s="3">
        <f>IFERROR(__xludf.DUMMYFUNCTION("""COMPUTED_VALUE"""),0.0)</f>
        <v>0</v>
      </c>
      <c r="K118" s="3">
        <f>IFERROR(__xludf.DUMMYFUNCTION("""COMPUTED_VALUE"""),0.0)</f>
        <v>0</v>
      </c>
      <c r="L118" s="3">
        <f>IFERROR(__xludf.DUMMYFUNCTION("""COMPUTED_VALUE"""),7.0)</f>
        <v>7</v>
      </c>
      <c r="M118" s="3">
        <f>IFERROR(__xludf.DUMMYFUNCTION("""COMPUTED_VALUE"""),0.0)</f>
        <v>0</v>
      </c>
      <c r="N118" s="3">
        <f>IFERROR(__xludf.DUMMYFUNCTION("""COMPUTED_VALUE"""),1.0)</f>
        <v>1</v>
      </c>
      <c r="O118" s="3">
        <f>IFERROR(__xludf.DUMMYFUNCTION("""COMPUTED_VALUE"""),0.0)</f>
        <v>0</v>
      </c>
      <c r="P118" s="3">
        <f>IFERROR(__xludf.DUMMYFUNCTION("""COMPUTED_VALUE"""),1.0)</f>
        <v>1</v>
      </c>
    </row>
    <row r="119">
      <c r="A119" s="3" t="str">
        <f>IFERROR(__xludf.DUMMYFUNCTION("""COMPUTED_VALUE"""),"Mozambique")</f>
        <v>Mozambique</v>
      </c>
      <c r="B119" s="3">
        <f>IFERROR(__xludf.DUMMYFUNCTION("""COMPUTED_VALUE"""),11.0)</f>
        <v>11</v>
      </c>
      <c r="C119" s="3">
        <f>IFERROR(__xludf.DUMMYFUNCTION("""COMPUTED_VALUE"""),1.0)</f>
        <v>1</v>
      </c>
      <c r="D119" s="3">
        <f>IFERROR(__xludf.DUMMYFUNCTION("""COMPUTED_VALUE"""),0.0)</f>
        <v>0</v>
      </c>
      <c r="E119" s="3">
        <f>IFERROR(__xludf.DUMMYFUNCTION("""COMPUTED_VALUE"""),1.0)</f>
        <v>1</v>
      </c>
      <c r="F119" s="3">
        <f>IFERROR(__xludf.DUMMYFUNCTION("""COMPUTED_VALUE"""),2.0)</f>
        <v>2</v>
      </c>
      <c r="G119" s="3">
        <f>IFERROR(__xludf.DUMMYFUNCTION("""COMPUTED_VALUE"""),0.0)</f>
        <v>0</v>
      </c>
      <c r="H119" s="3">
        <f>IFERROR(__xludf.DUMMYFUNCTION("""COMPUTED_VALUE"""),0.0)</f>
        <v>0</v>
      </c>
      <c r="I119" s="3">
        <f>IFERROR(__xludf.DUMMYFUNCTION("""COMPUTED_VALUE"""),0.0)</f>
        <v>0</v>
      </c>
      <c r="J119" s="3">
        <f>IFERROR(__xludf.DUMMYFUNCTION("""COMPUTED_VALUE"""),0.0)</f>
        <v>0</v>
      </c>
      <c r="K119" s="3">
        <f>IFERROR(__xludf.DUMMYFUNCTION("""COMPUTED_VALUE"""),0.0)</f>
        <v>0</v>
      </c>
      <c r="L119" s="3">
        <f>IFERROR(__xludf.DUMMYFUNCTION("""COMPUTED_VALUE"""),11.0)</f>
        <v>11</v>
      </c>
      <c r="M119" s="3">
        <f>IFERROR(__xludf.DUMMYFUNCTION("""COMPUTED_VALUE"""),1.0)</f>
        <v>1</v>
      </c>
      <c r="N119" s="3">
        <f>IFERROR(__xludf.DUMMYFUNCTION("""COMPUTED_VALUE"""),0.0)</f>
        <v>0</v>
      </c>
      <c r="O119" s="3">
        <f>IFERROR(__xludf.DUMMYFUNCTION("""COMPUTED_VALUE"""),1.0)</f>
        <v>1</v>
      </c>
      <c r="P119" s="3">
        <f>IFERROR(__xludf.DUMMYFUNCTION("""COMPUTED_VALUE"""),2.0)</f>
        <v>2</v>
      </c>
    </row>
    <row r="120">
      <c r="A120" s="3" t="str">
        <f>IFERROR(__xludf.DUMMYFUNCTION("""COMPUTED_VALUE"""),"Namibie")</f>
        <v>Namibie</v>
      </c>
      <c r="B120" s="3">
        <f>IFERROR(__xludf.DUMMYFUNCTION("""COMPUTED_VALUE"""),8.0)</f>
        <v>8</v>
      </c>
      <c r="C120" s="3">
        <f>IFERROR(__xludf.DUMMYFUNCTION("""COMPUTED_VALUE"""),0.0)</f>
        <v>0</v>
      </c>
      <c r="D120" s="3">
        <f>IFERROR(__xludf.DUMMYFUNCTION("""COMPUTED_VALUE"""),5.0)</f>
        <v>5</v>
      </c>
      <c r="E120" s="3">
        <f>IFERROR(__xludf.DUMMYFUNCTION("""COMPUTED_VALUE"""),0.0)</f>
        <v>0</v>
      </c>
      <c r="F120" s="3">
        <f>IFERROR(__xludf.DUMMYFUNCTION("""COMPUTED_VALUE"""),5.0)</f>
        <v>5</v>
      </c>
      <c r="G120" s="3">
        <f>IFERROR(__xludf.DUMMYFUNCTION("""COMPUTED_VALUE"""),0.0)</f>
        <v>0</v>
      </c>
      <c r="H120" s="3">
        <f>IFERROR(__xludf.DUMMYFUNCTION("""COMPUTED_VALUE"""),0.0)</f>
        <v>0</v>
      </c>
      <c r="I120" s="3">
        <f>IFERROR(__xludf.DUMMYFUNCTION("""COMPUTED_VALUE"""),0.0)</f>
        <v>0</v>
      </c>
      <c r="J120" s="3">
        <f>IFERROR(__xludf.DUMMYFUNCTION("""COMPUTED_VALUE"""),0.0)</f>
        <v>0</v>
      </c>
      <c r="K120" s="3">
        <f>IFERROR(__xludf.DUMMYFUNCTION("""COMPUTED_VALUE"""),0.0)</f>
        <v>0</v>
      </c>
      <c r="L120" s="3">
        <f>IFERROR(__xludf.DUMMYFUNCTION("""COMPUTED_VALUE"""),8.0)</f>
        <v>8</v>
      </c>
      <c r="M120" s="3">
        <f>IFERROR(__xludf.DUMMYFUNCTION("""COMPUTED_VALUE"""),0.0)</f>
        <v>0</v>
      </c>
      <c r="N120" s="3">
        <f>IFERROR(__xludf.DUMMYFUNCTION("""COMPUTED_VALUE"""),5.0)</f>
        <v>5</v>
      </c>
      <c r="O120" s="3">
        <f>IFERROR(__xludf.DUMMYFUNCTION("""COMPUTED_VALUE"""),0.0)</f>
        <v>0</v>
      </c>
      <c r="P120" s="3">
        <f>IFERROR(__xludf.DUMMYFUNCTION("""COMPUTED_VALUE"""),5.0)</f>
        <v>5</v>
      </c>
    </row>
    <row r="121">
      <c r="A121" s="3" t="str">
        <f>IFERROR(__xludf.DUMMYFUNCTION("""COMPUTED_VALUE"""),"Niger")</f>
        <v>Niger</v>
      </c>
      <c r="B121" s="3">
        <f>IFERROR(__xludf.DUMMYFUNCTION("""COMPUTED_VALUE"""),13.0)</f>
        <v>13</v>
      </c>
      <c r="C121" s="3">
        <f>IFERROR(__xludf.DUMMYFUNCTION("""COMPUTED_VALUE"""),0.0)</f>
        <v>0</v>
      </c>
      <c r="D121" s="3">
        <f>IFERROR(__xludf.DUMMYFUNCTION("""COMPUTED_VALUE"""),1.0)</f>
        <v>1</v>
      </c>
      <c r="E121" s="3">
        <f>IFERROR(__xludf.DUMMYFUNCTION("""COMPUTED_VALUE"""),1.0)</f>
        <v>1</v>
      </c>
      <c r="F121" s="3">
        <f>IFERROR(__xludf.DUMMYFUNCTION("""COMPUTED_VALUE"""),2.0)</f>
        <v>2</v>
      </c>
      <c r="G121" s="3">
        <f>IFERROR(__xludf.DUMMYFUNCTION("""COMPUTED_VALUE"""),0.0)</f>
        <v>0</v>
      </c>
      <c r="H121" s="3">
        <f>IFERROR(__xludf.DUMMYFUNCTION("""COMPUTED_VALUE"""),0.0)</f>
        <v>0</v>
      </c>
      <c r="I121" s="3">
        <f>IFERROR(__xludf.DUMMYFUNCTION("""COMPUTED_VALUE"""),0.0)</f>
        <v>0</v>
      </c>
      <c r="J121" s="3">
        <f>IFERROR(__xludf.DUMMYFUNCTION("""COMPUTED_VALUE"""),0.0)</f>
        <v>0</v>
      </c>
      <c r="K121" s="3">
        <f>IFERROR(__xludf.DUMMYFUNCTION("""COMPUTED_VALUE"""),0.0)</f>
        <v>0</v>
      </c>
      <c r="L121" s="3">
        <f>IFERROR(__xludf.DUMMYFUNCTION("""COMPUTED_VALUE"""),13.0)</f>
        <v>13</v>
      </c>
      <c r="M121" s="3">
        <f>IFERROR(__xludf.DUMMYFUNCTION("""COMPUTED_VALUE"""),0.0)</f>
        <v>0</v>
      </c>
      <c r="N121" s="3">
        <f>IFERROR(__xludf.DUMMYFUNCTION("""COMPUTED_VALUE"""),1.0)</f>
        <v>1</v>
      </c>
      <c r="O121" s="3">
        <f>IFERROR(__xludf.DUMMYFUNCTION("""COMPUTED_VALUE"""),1.0)</f>
        <v>1</v>
      </c>
      <c r="P121" s="3">
        <f>IFERROR(__xludf.DUMMYFUNCTION("""COMPUTED_VALUE"""),2.0)</f>
        <v>2</v>
      </c>
    </row>
    <row r="122">
      <c r="A122" s="3" t="str">
        <f>IFERROR(__xludf.DUMMYFUNCTION("""COMPUTED_VALUE"""),"Nigeria")</f>
        <v>Nigeria</v>
      </c>
      <c r="B122" s="3">
        <f>IFERROR(__xludf.DUMMYFUNCTION("""COMPUTED_VALUE"""),17.0)</f>
        <v>17</v>
      </c>
      <c r="C122" s="3">
        <f>IFERROR(__xludf.DUMMYFUNCTION("""COMPUTED_VALUE"""),3.0)</f>
        <v>3</v>
      </c>
      <c r="D122" s="3">
        <f>IFERROR(__xludf.DUMMYFUNCTION("""COMPUTED_VALUE"""),11.0)</f>
        <v>11</v>
      </c>
      <c r="E122" s="3">
        <f>IFERROR(__xludf.DUMMYFUNCTION("""COMPUTED_VALUE"""),13.0)</f>
        <v>13</v>
      </c>
      <c r="F122" s="3">
        <f>IFERROR(__xludf.DUMMYFUNCTION("""COMPUTED_VALUE"""),27.0)</f>
        <v>27</v>
      </c>
      <c r="G122" s="3">
        <f>IFERROR(__xludf.DUMMYFUNCTION("""COMPUTED_VALUE"""),1.0)</f>
        <v>1</v>
      </c>
      <c r="H122" s="3">
        <f>IFERROR(__xludf.DUMMYFUNCTION("""COMPUTED_VALUE"""),0.0)</f>
        <v>0</v>
      </c>
      <c r="I122" s="3">
        <f>IFERROR(__xludf.DUMMYFUNCTION("""COMPUTED_VALUE"""),0.0)</f>
        <v>0</v>
      </c>
      <c r="J122" s="3">
        <f>IFERROR(__xludf.DUMMYFUNCTION("""COMPUTED_VALUE"""),0.0)</f>
        <v>0</v>
      </c>
      <c r="K122" s="3">
        <f>IFERROR(__xludf.DUMMYFUNCTION("""COMPUTED_VALUE"""),0.0)</f>
        <v>0</v>
      </c>
      <c r="L122" s="3">
        <f>IFERROR(__xludf.DUMMYFUNCTION("""COMPUTED_VALUE"""),18.0)</f>
        <v>18</v>
      </c>
      <c r="M122" s="3">
        <f>IFERROR(__xludf.DUMMYFUNCTION("""COMPUTED_VALUE"""),3.0)</f>
        <v>3</v>
      </c>
      <c r="N122" s="3">
        <f>IFERROR(__xludf.DUMMYFUNCTION("""COMPUTED_VALUE"""),11.0)</f>
        <v>11</v>
      </c>
      <c r="O122" s="3">
        <f>IFERROR(__xludf.DUMMYFUNCTION("""COMPUTED_VALUE"""),13.0)</f>
        <v>13</v>
      </c>
      <c r="P122" s="3">
        <f>IFERROR(__xludf.DUMMYFUNCTION("""COMPUTED_VALUE"""),27.0)</f>
        <v>27</v>
      </c>
    </row>
    <row r="123">
      <c r="A123" s="3" t="str">
        <f>IFERROR(__xludf.DUMMYFUNCTION("""COMPUTED_VALUE"""),"Norvège")</f>
        <v>Norvège</v>
      </c>
      <c r="B123" s="3">
        <f>IFERROR(__xludf.DUMMYFUNCTION("""COMPUTED_VALUE"""),26.0)</f>
        <v>26</v>
      </c>
      <c r="C123" s="3">
        <f>IFERROR(__xludf.DUMMYFUNCTION("""COMPUTED_VALUE"""),60.0)</f>
        <v>60</v>
      </c>
      <c r="D123" s="3">
        <f>IFERROR(__xludf.DUMMYFUNCTION("""COMPUTED_VALUE"""),51.0)</f>
        <v>51</v>
      </c>
      <c r="E123" s="3">
        <f>IFERROR(__xludf.DUMMYFUNCTION("""COMPUTED_VALUE"""),49.0)</f>
        <v>49</v>
      </c>
      <c r="F123" s="3">
        <f>IFERROR(__xludf.DUMMYFUNCTION("""COMPUTED_VALUE"""),160.0)</f>
        <v>160</v>
      </c>
      <c r="G123" s="3">
        <f>IFERROR(__xludf.DUMMYFUNCTION("""COMPUTED_VALUE"""),23.0)</f>
        <v>23</v>
      </c>
      <c r="H123" s="3">
        <f>IFERROR(__xludf.DUMMYFUNCTION("""COMPUTED_VALUE"""),132.0)</f>
        <v>132</v>
      </c>
      <c r="I123" s="3">
        <f>IFERROR(__xludf.DUMMYFUNCTION("""COMPUTED_VALUE"""),125.0)</f>
        <v>125</v>
      </c>
      <c r="J123" s="3">
        <f>IFERROR(__xludf.DUMMYFUNCTION("""COMPUTED_VALUE"""),111.0)</f>
        <v>111</v>
      </c>
      <c r="K123" s="3">
        <f>IFERROR(__xludf.DUMMYFUNCTION("""COMPUTED_VALUE"""),368.0)</f>
        <v>368</v>
      </c>
      <c r="L123" s="3">
        <f>IFERROR(__xludf.DUMMYFUNCTION("""COMPUTED_VALUE"""),49.0)</f>
        <v>49</v>
      </c>
      <c r="M123" s="3">
        <f>IFERROR(__xludf.DUMMYFUNCTION("""COMPUTED_VALUE"""),193.0)</f>
        <v>193</v>
      </c>
      <c r="N123" s="3">
        <f>IFERROR(__xludf.DUMMYFUNCTION("""COMPUTED_VALUE"""),176.0)</f>
        <v>176</v>
      </c>
      <c r="O123" s="3">
        <f>IFERROR(__xludf.DUMMYFUNCTION("""COMPUTED_VALUE"""),160.0)</f>
        <v>160</v>
      </c>
      <c r="P123" s="3">
        <f>IFERROR(__xludf.DUMMYFUNCTION("""COMPUTED_VALUE"""),528.0)</f>
        <v>528</v>
      </c>
    </row>
    <row r="124">
      <c r="A124" s="3" t="str">
        <f>IFERROR(__xludf.DUMMYFUNCTION("""COMPUTED_VALUE"""),"Nouvelle-Zélande[21]")</f>
        <v>Nouvelle-Zélande[21]</v>
      </c>
      <c r="B124" s="3">
        <f>IFERROR(__xludf.DUMMYFUNCTION("""COMPUTED_VALUE"""),24.0)</f>
        <v>24</v>
      </c>
      <c r="C124" s="3">
        <f>IFERROR(__xludf.DUMMYFUNCTION("""COMPUTED_VALUE"""),53.0)</f>
        <v>53</v>
      </c>
      <c r="D124" s="3">
        <f>IFERROR(__xludf.DUMMYFUNCTION("""COMPUTED_VALUE"""),33.0)</f>
        <v>33</v>
      </c>
      <c r="E124" s="3">
        <f>IFERROR(__xludf.DUMMYFUNCTION("""COMPUTED_VALUE"""),51.0)</f>
        <v>51</v>
      </c>
      <c r="F124" s="3">
        <f>IFERROR(__xludf.DUMMYFUNCTION("""COMPUTED_VALUE"""),137.0)</f>
        <v>137</v>
      </c>
      <c r="G124" s="3">
        <f>IFERROR(__xludf.DUMMYFUNCTION("""COMPUTED_VALUE"""),16.0)</f>
        <v>16</v>
      </c>
      <c r="H124" s="3">
        <f>IFERROR(__xludf.DUMMYFUNCTION("""COMPUTED_VALUE"""),0.0)</f>
        <v>0</v>
      </c>
      <c r="I124" s="3">
        <f>IFERROR(__xludf.DUMMYFUNCTION("""COMPUTED_VALUE"""),1.0)</f>
        <v>1</v>
      </c>
      <c r="J124" s="3">
        <f>IFERROR(__xludf.DUMMYFUNCTION("""COMPUTED_VALUE"""),2.0)</f>
        <v>2</v>
      </c>
      <c r="K124" s="3">
        <f>IFERROR(__xludf.DUMMYFUNCTION("""COMPUTED_VALUE"""),3.0)</f>
        <v>3</v>
      </c>
      <c r="L124" s="3">
        <f>IFERROR(__xludf.DUMMYFUNCTION("""COMPUTED_VALUE"""),40.0)</f>
        <v>40</v>
      </c>
      <c r="M124" s="3">
        <f>IFERROR(__xludf.DUMMYFUNCTION("""COMPUTED_VALUE"""),53.0)</f>
        <v>53</v>
      </c>
      <c r="N124" s="3">
        <f>IFERROR(__xludf.DUMMYFUNCTION("""COMPUTED_VALUE"""),34.0)</f>
        <v>34</v>
      </c>
      <c r="O124" s="3">
        <f>IFERROR(__xludf.DUMMYFUNCTION("""COMPUTED_VALUE"""),53.0)</f>
        <v>53</v>
      </c>
      <c r="P124" s="3">
        <f>IFERROR(__xludf.DUMMYFUNCTION("""COMPUTED_VALUE"""),140.0)</f>
        <v>140</v>
      </c>
    </row>
    <row r="125">
      <c r="A125" s="3" t="str">
        <f>IFERROR(__xludf.DUMMYFUNCTION("""COMPUTED_VALUE"""),"Ouganda")</f>
        <v>Ouganda</v>
      </c>
      <c r="B125" s="3">
        <f>IFERROR(__xludf.DUMMYFUNCTION("""COMPUTED_VALUE"""),16.0)</f>
        <v>16</v>
      </c>
      <c r="C125" s="3">
        <f>IFERROR(__xludf.DUMMYFUNCTION("""COMPUTED_VALUE"""),4.0)</f>
        <v>4</v>
      </c>
      <c r="D125" s="3">
        <f>IFERROR(__xludf.DUMMYFUNCTION("""COMPUTED_VALUE"""),4.0)</f>
        <v>4</v>
      </c>
      <c r="E125" s="3">
        <f>IFERROR(__xludf.DUMMYFUNCTION("""COMPUTED_VALUE"""),3.0)</f>
        <v>3</v>
      </c>
      <c r="F125" s="3">
        <f>IFERROR(__xludf.DUMMYFUNCTION("""COMPUTED_VALUE"""),11.0)</f>
        <v>11</v>
      </c>
      <c r="G125" s="3">
        <f>IFERROR(__xludf.DUMMYFUNCTION("""COMPUTED_VALUE"""),0.0)</f>
        <v>0</v>
      </c>
      <c r="H125" s="3">
        <f>IFERROR(__xludf.DUMMYFUNCTION("""COMPUTED_VALUE"""),0.0)</f>
        <v>0</v>
      </c>
      <c r="I125" s="3">
        <f>IFERROR(__xludf.DUMMYFUNCTION("""COMPUTED_VALUE"""),0.0)</f>
        <v>0</v>
      </c>
      <c r="J125" s="3">
        <f>IFERROR(__xludf.DUMMYFUNCTION("""COMPUTED_VALUE"""),0.0)</f>
        <v>0</v>
      </c>
      <c r="K125" s="3">
        <f>IFERROR(__xludf.DUMMYFUNCTION("""COMPUTED_VALUE"""),0.0)</f>
        <v>0</v>
      </c>
      <c r="L125" s="3">
        <f>IFERROR(__xludf.DUMMYFUNCTION("""COMPUTED_VALUE"""),16.0)</f>
        <v>16</v>
      </c>
      <c r="M125" s="3">
        <f>IFERROR(__xludf.DUMMYFUNCTION("""COMPUTED_VALUE"""),4.0)</f>
        <v>4</v>
      </c>
      <c r="N125" s="3">
        <f>IFERROR(__xludf.DUMMYFUNCTION("""COMPUTED_VALUE"""),4.0)</f>
        <v>4</v>
      </c>
      <c r="O125" s="3">
        <f>IFERROR(__xludf.DUMMYFUNCTION("""COMPUTED_VALUE"""),3.0)</f>
        <v>3</v>
      </c>
      <c r="P125" s="3">
        <f>IFERROR(__xludf.DUMMYFUNCTION("""COMPUTED_VALUE"""),11.0)</f>
        <v>11</v>
      </c>
    </row>
    <row r="126">
      <c r="A126" s="3" t="str">
        <f>IFERROR(__xludf.DUMMYFUNCTION("""COMPUTED_VALUE"""),"Ouzbékistan")</f>
        <v>Ouzbékistan</v>
      </c>
      <c r="B126" s="3">
        <f>IFERROR(__xludf.DUMMYFUNCTION("""COMPUTED_VALUE"""),7.0)</f>
        <v>7</v>
      </c>
      <c r="C126" s="3">
        <f>IFERROR(__xludf.DUMMYFUNCTION("""COMPUTED_VALUE"""),10.0)</f>
        <v>10</v>
      </c>
      <c r="D126" s="3">
        <f>IFERROR(__xludf.DUMMYFUNCTION("""COMPUTED_VALUE"""),6.0)</f>
        <v>6</v>
      </c>
      <c r="E126" s="3">
        <f>IFERROR(__xludf.DUMMYFUNCTION("""COMPUTED_VALUE"""),20.0)</f>
        <v>20</v>
      </c>
      <c r="F126" s="3">
        <f>IFERROR(__xludf.DUMMYFUNCTION("""COMPUTED_VALUE"""),36.0)</f>
        <v>36</v>
      </c>
      <c r="G126" s="3">
        <f>IFERROR(__xludf.DUMMYFUNCTION("""COMPUTED_VALUE"""),7.0)</f>
        <v>7</v>
      </c>
      <c r="H126" s="3">
        <f>IFERROR(__xludf.DUMMYFUNCTION("""COMPUTED_VALUE"""),1.0)</f>
        <v>1</v>
      </c>
      <c r="I126" s="3">
        <f>IFERROR(__xludf.DUMMYFUNCTION("""COMPUTED_VALUE"""),0.0)</f>
        <v>0</v>
      </c>
      <c r="J126" s="3">
        <f>IFERROR(__xludf.DUMMYFUNCTION("""COMPUTED_VALUE"""),0.0)</f>
        <v>0</v>
      </c>
      <c r="K126" s="3">
        <f>IFERROR(__xludf.DUMMYFUNCTION("""COMPUTED_VALUE"""),1.0)</f>
        <v>1</v>
      </c>
      <c r="L126" s="3">
        <f>IFERROR(__xludf.DUMMYFUNCTION("""COMPUTED_VALUE"""),14.0)</f>
        <v>14</v>
      </c>
      <c r="M126" s="3">
        <f>IFERROR(__xludf.DUMMYFUNCTION("""COMPUTED_VALUE"""),11.0)</f>
        <v>11</v>
      </c>
      <c r="N126" s="3">
        <f>IFERROR(__xludf.DUMMYFUNCTION("""COMPUTED_VALUE"""),6.0)</f>
        <v>6</v>
      </c>
      <c r="O126" s="3">
        <f>IFERROR(__xludf.DUMMYFUNCTION("""COMPUTED_VALUE"""),20.0)</f>
        <v>20</v>
      </c>
      <c r="P126" s="3">
        <f>IFERROR(__xludf.DUMMYFUNCTION("""COMPUTED_VALUE"""),37.0)</f>
        <v>37</v>
      </c>
    </row>
    <row r="127">
      <c r="A127" s="3" t="str">
        <f>IFERROR(__xludf.DUMMYFUNCTION("""COMPUTED_VALUE"""),"Pakistan")</f>
        <v>Pakistan</v>
      </c>
      <c r="B127" s="3">
        <f>IFERROR(__xludf.DUMMYFUNCTION("""COMPUTED_VALUE"""),18.0)</f>
        <v>18</v>
      </c>
      <c r="C127" s="3">
        <f>IFERROR(__xludf.DUMMYFUNCTION("""COMPUTED_VALUE"""),3.0)</f>
        <v>3</v>
      </c>
      <c r="D127" s="3">
        <f>IFERROR(__xludf.DUMMYFUNCTION("""COMPUTED_VALUE"""),3.0)</f>
        <v>3</v>
      </c>
      <c r="E127" s="3">
        <f>IFERROR(__xludf.DUMMYFUNCTION("""COMPUTED_VALUE"""),4.0)</f>
        <v>4</v>
      </c>
      <c r="F127" s="3">
        <f>IFERROR(__xludf.DUMMYFUNCTION("""COMPUTED_VALUE"""),10.0)</f>
        <v>10</v>
      </c>
      <c r="G127" s="3">
        <f>IFERROR(__xludf.DUMMYFUNCTION("""COMPUTED_VALUE"""),3.0)</f>
        <v>3</v>
      </c>
      <c r="H127" s="3">
        <f>IFERROR(__xludf.DUMMYFUNCTION("""COMPUTED_VALUE"""),0.0)</f>
        <v>0</v>
      </c>
      <c r="I127" s="3">
        <f>IFERROR(__xludf.DUMMYFUNCTION("""COMPUTED_VALUE"""),0.0)</f>
        <v>0</v>
      </c>
      <c r="J127" s="3">
        <f>IFERROR(__xludf.DUMMYFUNCTION("""COMPUTED_VALUE"""),0.0)</f>
        <v>0</v>
      </c>
      <c r="K127" s="3">
        <f>IFERROR(__xludf.DUMMYFUNCTION("""COMPUTED_VALUE"""),0.0)</f>
        <v>0</v>
      </c>
      <c r="L127" s="3">
        <f>IFERROR(__xludf.DUMMYFUNCTION("""COMPUTED_VALUE"""),21.0)</f>
        <v>21</v>
      </c>
      <c r="M127" s="3">
        <f>IFERROR(__xludf.DUMMYFUNCTION("""COMPUTED_VALUE"""),3.0)</f>
        <v>3</v>
      </c>
      <c r="N127" s="3">
        <f>IFERROR(__xludf.DUMMYFUNCTION("""COMPUTED_VALUE"""),3.0)</f>
        <v>3</v>
      </c>
      <c r="O127" s="3">
        <f>IFERROR(__xludf.DUMMYFUNCTION("""COMPUTED_VALUE"""),4.0)</f>
        <v>4</v>
      </c>
      <c r="P127" s="3">
        <f>IFERROR(__xludf.DUMMYFUNCTION("""COMPUTED_VALUE"""),10.0)</f>
        <v>10</v>
      </c>
    </row>
    <row r="128">
      <c r="A128" s="3" t="str">
        <f>IFERROR(__xludf.DUMMYFUNCTION("""COMPUTED_VALUE"""),"Panama")</f>
        <v>Panama</v>
      </c>
      <c r="B128" s="3">
        <f>IFERROR(__xludf.DUMMYFUNCTION("""COMPUTED_VALUE"""),18.0)</f>
        <v>18</v>
      </c>
      <c r="C128" s="3">
        <f>IFERROR(__xludf.DUMMYFUNCTION("""COMPUTED_VALUE"""),1.0)</f>
        <v>1</v>
      </c>
      <c r="D128" s="3">
        <f>IFERROR(__xludf.DUMMYFUNCTION("""COMPUTED_VALUE"""),0.0)</f>
        <v>0</v>
      </c>
      <c r="E128" s="3">
        <f>IFERROR(__xludf.DUMMYFUNCTION("""COMPUTED_VALUE"""),2.0)</f>
        <v>2</v>
      </c>
      <c r="F128" s="3">
        <f>IFERROR(__xludf.DUMMYFUNCTION("""COMPUTED_VALUE"""),3.0)</f>
        <v>3</v>
      </c>
      <c r="G128" s="3">
        <f>IFERROR(__xludf.DUMMYFUNCTION("""COMPUTED_VALUE"""),0.0)</f>
        <v>0</v>
      </c>
      <c r="H128" s="3">
        <f>IFERROR(__xludf.DUMMYFUNCTION("""COMPUTED_VALUE"""),0.0)</f>
        <v>0</v>
      </c>
      <c r="I128" s="3">
        <f>IFERROR(__xludf.DUMMYFUNCTION("""COMPUTED_VALUE"""),0.0)</f>
        <v>0</v>
      </c>
      <c r="J128" s="3">
        <f>IFERROR(__xludf.DUMMYFUNCTION("""COMPUTED_VALUE"""),0.0)</f>
        <v>0</v>
      </c>
      <c r="K128" s="3">
        <f>IFERROR(__xludf.DUMMYFUNCTION("""COMPUTED_VALUE"""),0.0)</f>
        <v>0</v>
      </c>
      <c r="L128" s="3">
        <f>IFERROR(__xludf.DUMMYFUNCTION("""COMPUTED_VALUE"""),18.0)</f>
        <v>18</v>
      </c>
      <c r="M128" s="3">
        <f>IFERROR(__xludf.DUMMYFUNCTION("""COMPUTED_VALUE"""),1.0)</f>
        <v>1</v>
      </c>
      <c r="N128" s="3">
        <f>IFERROR(__xludf.DUMMYFUNCTION("""COMPUTED_VALUE"""),0.0)</f>
        <v>0</v>
      </c>
      <c r="O128" s="3">
        <f>IFERROR(__xludf.DUMMYFUNCTION("""COMPUTED_VALUE"""),2.0)</f>
        <v>2</v>
      </c>
      <c r="P128" s="3">
        <f>IFERROR(__xludf.DUMMYFUNCTION("""COMPUTED_VALUE"""),3.0)</f>
        <v>3</v>
      </c>
    </row>
    <row r="129">
      <c r="A129" s="3" t="str">
        <f>IFERROR(__xludf.DUMMYFUNCTION("""COMPUTED_VALUE"""),"Paraguay")</f>
        <v>Paraguay</v>
      </c>
      <c r="B129" s="3">
        <f>IFERROR(__xludf.DUMMYFUNCTION("""COMPUTED_VALUE"""),13.0)</f>
        <v>13</v>
      </c>
      <c r="C129" s="3">
        <f>IFERROR(__xludf.DUMMYFUNCTION("""COMPUTED_VALUE"""),0.0)</f>
        <v>0</v>
      </c>
      <c r="D129" s="3">
        <f>IFERROR(__xludf.DUMMYFUNCTION("""COMPUTED_VALUE"""),1.0)</f>
        <v>1</v>
      </c>
      <c r="E129" s="3">
        <f>IFERROR(__xludf.DUMMYFUNCTION("""COMPUTED_VALUE"""),0.0)</f>
        <v>0</v>
      </c>
      <c r="F129" s="3">
        <f>IFERROR(__xludf.DUMMYFUNCTION("""COMPUTED_VALUE"""),1.0)</f>
        <v>1</v>
      </c>
      <c r="G129" s="3">
        <f>IFERROR(__xludf.DUMMYFUNCTION("""COMPUTED_VALUE"""),1.0)</f>
        <v>1</v>
      </c>
      <c r="H129" s="3">
        <f>IFERROR(__xludf.DUMMYFUNCTION("""COMPUTED_VALUE"""),0.0)</f>
        <v>0</v>
      </c>
      <c r="I129" s="3">
        <f>IFERROR(__xludf.DUMMYFUNCTION("""COMPUTED_VALUE"""),0.0)</f>
        <v>0</v>
      </c>
      <c r="J129" s="3">
        <f>IFERROR(__xludf.DUMMYFUNCTION("""COMPUTED_VALUE"""),0.0)</f>
        <v>0</v>
      </c>
      <c r="K129" s="3">
        <f>IFERROR(__xludf.DUMMYFUNCTION("""COMPUTED_VALUE"""),0.0)</f>
        <v>0</v>
      </c>
      <c r="L129" s="3">
        <f>IFERROR(__xludf.DUMMYFUNCTION("""COMPUTED_VALUE"""),14.0)</f>
        <v>14</v>
      </c>
      <c r="M129" s="3">
        <f>IFERROR(__xludf.DUMMYFUNCTION("""COMPUTED_VALUE"""),0.0)</f>
        <v>0</v>
      </c>
      <c r="N129" s="3">
        <f>IFERROR(__xludf.DUMMYFUNCTION("""COMPUTED_VALUE"""),1.0)</f>
        <v>1</v>
      </c>
      <c r="O129" s="3">
        <f>IFERROR(__xludf.DUMMYFUNCTION("""COMPUTED_VALUE"""),0.0)</f>
        <v>0</v>
      </c>
      <c r="P129" s="3">
        <f>IFERROR(__xludf.DUMMYFUNCTION("""COMPUTED_VALUE"""),1.0)</f>
        <v>1</v>
      </c>
    </row>
    <row r="130">
      <c r="A130" s="3" t="str">
        <f>IFERROR(__xludf.DUMMYFUNCTION("""COMPUTED_VALUE"""),"Pays-Bas[8]")</f>
        <v>Pays-Bas[8]</v>
      </c>
      <c r="B130" s="3">
        <f>IFERROR(__xludf.DUMMYFUNCTION("""COMPUTED_VALUE"""),26.0)</f>
        <v>26</v>
      </c>
      <c r="C130" s="3">
        <f>IFERROR(__xludf.DUMMYFUNCTION("""COMPUTED_VALUE"""),100.0)</f>
        <v>100</v>
      </c>
      <c r="D130" s="3">
        <f>IFERROR(__xludf.DUMMYFUNCTION("""COMPUTED_VALUE"""),99.0)</f>
        <v>99</v>
      </c>
      <c r="E130" s="3">
        <f>IFERROR(__xludf.DUMMYFUNCTION("""COMPUTED_VALUE"""),120.0)</f>
        <v>120</v>
      </c>
      <c r="F130" s="3">
        <f>IFERROR(__xludf.DUMMYFUNCTION("""COMPUTED_VALUE"""),319.0)</f>
        <v>319</v>
      </c>
      <c r="G130" s="3">
        <f>IFERROR(__xludf.DUMMYFUNCTION("""COMPUTED_VALUE"""),21.0)</f>
        <v>21</v>
      </c>
      <c r="H130" s="3">
        <f>IFERROR(__xludf.DUMMYFUNCTION("""COMPUTED_VALUE"""),45.0)</f>
        <v>45</v>
      </c>
      <c r="I130" s="3">
        <f>IFERROR(__xludf.DUMMYFUNCTION("""COMPUTED_VALUE"""),44.0)</f>
        <v>44</v>
      </c>
      <c r="J130" s="3">
        <f>IFERROR(__xludf.DUMMYFUNCTION("""COMPUTED_VALUE"""),41.0)</f>
        <v>41</v>
      </c>
      <c r="K130" s="3">
        <f>IFERROR(__xludf.DUMMYFUNCTION("""COMPUTED_VALUE"""),130.0)</f>
        <v>130</v>
      </c>
      <c r="L130" s="3">
        <f>IFERROR(__xludf.DUMMYFUNCTION("""COMPUTED_VALUE"""),47.0)</f>
        <v>47</v>
      </c>
      <c r="M130" s="3">
        <f>IFERROR(__xludf.DUMMYFUNCTION("""COMPUTED_VALUE"""),145.0)</f>
        <v>145</v>
      </c>
      <c r="N130" s="3">
        <f>IFERROR(__xludf.DUMMYFUNCTION("""COMPUTED_VALUE"""),143.0)</f>
        <v>143</v>
      </c>
      <c r="O130" s="3">
        <f>IFERROR(__xludf.DUMMYFUNCTION("""COMPUTED_VALUE"""),161.0)</f>
        <v>161</v>
      </c>
      <c r="P130" s="3">
        <f>IFERROR(__xludf.DUMMYFUNCTION("""COMPUTED_VALUE"""),449.0)</f>
        <v>449</v>
      </c>
    </row>
    <row r="131">
      <c r="A131" s="3" t="str">
        <f>IFERROR(__xludf.DUMMYFUNCTION("""COMPUTED_VALUE"""),"Pérou")</f>
        <v>Pérou</v>
      </c>
      <c r="B131" s="3">
        <f>IFERROR(__xludf.DUMMYFUNCTION("""COMPUTED_VALUE"""),19.0)</f>
        <v>19</v>
      </c>
      <c r="C131" s="3">
        <f>IFERROR(__xludf.DUMMYFUNCTION("""COMPUTED_VALUE"""),1.0)</f>
        <v>1</v>
      </c>
      <c r="D131" s="3">
        <f>IFERROR(__xludf.DUMMYFUNCTION("""COMPUTED_VALUE"""),3.0)</f>
        <v>3</v>
      </c>
      <c r="E131" s="3">
        <f>IFERROR(__xludf.DUMMYFUNCTION("""COMPUTED_VALUE"""),0.0)</f>
        <v>0</v>
      </c>
      <c r="F131" s="3">
        <f>IFERROR(__xludf.DUMMYFUNCTION("""COMPUTED_VALUE"""),4.0)</f>
        <v>4</v>
      </c>
      <c r="G131" s="3">
        <f>IFERROR(__xludf.DUMMYFUNCTION("""COMPUTED_VALUE"""),2.0)</f>
        <v>2</v>
      </c>
      <c r="H131" s="3">
        <f>IFERROR(__xludf.DUMMYFUNCTION("""COMPUTED_VALUE"""),0.0)</f>
        <v>0</v>
      </c>
      <c r="I131" s="3">
        <f>IFERROR(__xludf.DUMMYFUNCTION("""COMPUTED_VALUE"""),0.0)</f>
        <v>0</v>
      </c>
      <c r="J131" s="3">
        <f>IFERROR(__xludf.DUMMYFUNCTION("""COMPUTED_VALUE"""),0.0)</f>
        <v>0</v>
      </c>
      <c r="K131" s="3">
        <f>IFERROR(__xludf.DUMMYFUNCTION("""COMPUTED_VALUE"""),0.0)</f>
        <v>0</v>
      </c>
      <c r="L131" s="3">
        <f>IFERROR(__xludf.DUMMYFUNCTION("""COMPUTED_VALUE"""),21.0)</f>
        <v>21</v>
      </c>
      <c r="M131" s="3">
        <f>IFERROR(__xludf.DUMMYFUNCTION("""COMPUTED_VALUE"""),1.0)</f>
        <v>1</v>
      </c>
      <c r="N131" s="3">
        <f>IFERROR(__xludf.DUMMYFUNCTION("""COMPUTED_VALUE"""),3.0)</f>
        <v>3</v>
      </c>
      <c r="O131" s="3">
        <f>IFERROR(__xludf.DUMMYFUNCTION("""COMPUTED_VALUE"""),0.0)</f>
        <v>0</v>
      </c>
      <c r="P131" s="3">
        <f>IFERROR(__xludf.DUMMYFUNCTION("""COMPUTED_VALUE"""),4.0)</f>
        <v>4</v>
      </c>
    </row>
    <row r="132">
      <c r="A132" s="3" t="str">
        <f>IFERROR(__xludf.DUMMYFUNCTION("""COMPUTED_VALUE"""),"Philippines")</f>
        <v>Philippines</v>
      </c>
      <c r="B132" s="3">
        <f>IFERROR(__xludf.DUMMYFUNCTION("""COMPUTED_VALUE"""),22.0)</f>
        <v>22</v>
      </c>
      <c r="C132" s="3">
        <f>IFERROR(__xludf.DUMMYFUNCTION("""COMPUTED_VALUE"""),1.0)</f>
        <v>1</v>
      </c>
      <c r="D132" s="3">
        <f>IFERROR(__xludf.DUMMYFUNCTION("""COMPUTED_VALUE"""),5.0)</f>
        <v>5</v>
      </c>
      <c r="E132" s="3">
        <f>IFERROR(__xludf.DUMMYFUNCTION("""COMPUTED_VALUE"""),8.0)</f>
        <v>8</v>
      </c>
      <c r="F132" s="3">
        <f>IFERROR(__xludf.DUMMYFUNCTION("""COMPUTED_VALUE"""),14.0)</f>
        <v>14</v>
      </c>
      <c r="G132" s="3">
        <f>IFERROR(__xludf.DUMMYFUNCTION("""COMPUTED_VALUE"""),5.0)</f>
        <v>5</v>
      </c>
      <c r="H132" s="3">
        <f>IFERROR(__xludf.DUMMYFUNCTION("""COMPUTED_VALUE"""),0.0)</f>
        <v>0</v>
      </c>
      <c r="I132" s="3">
        <f>IFERROR(__xludf.DUMMYFUNCTION("""COMPUTED_VALUE"""),0.0)</f>
        <v>0</v>
      </c>
      <c r="J132" s="3">
        <f>IFERROR(__xludf.DUMMYFUNCTION("""COMPUTED_VALUE"""),0.0)</f>
        <v>0</v>
      </c>
      <c r="K132" s="3">
        <f>IFERROR(__xludf.DUMMYFUNCTION("""COMPUTED_VALUE"""),0.0)</f>
        <v>0</v>
      </c>
      <c r="L132" s="3">
        <f>IFERROR(__xludf.DUMMYFUNCTION("""COMPUTED_VALUE"""),27.0)</f>
        <v>27</v>
      </c>
      <c r="M132" s="3">
        <f>IFERROR(__xludf.DUMMYFUNCTION("""COMPUTED_VALUE"""),1.0)</f>
        <v>1</v>
      </c>
      <c r="N132" s="3">
        <f>IFERROR(__xludf.DUMMYFUNCTION("""COMPUTED_VALUE"""),5.0)</f>
        <v>5</v>
      </c>
      <c r="O132" s="3">
        <f>IFERROR(__xludf.DUMMYFUNCTION("""COMPUTED_VALUE"""),8.0)</f>
        <v>8</v>
      </c>
      <c r="P132" s="3">
        <f>IFERROR(__xludf.DUMMYFUNCTION("""COMPUTED_VALUE"""),14.0)</f>
        <v>14</v>
      </c>
    </row>
    <row r="133">
      <c r="A133" s="3" t="str">
        <f>IFERROR(__xludf.DUMMYFUNCTION("""COMPUTED_VALUE"""),"Pologne")</f>
        <v>Pologne</v>
      </c>
      <c r="B133" s="3">
        <f>IFERROR(__xludf.DUMMYFUNCTION("""COMPUTED_VALUE"""),22.0)</f>
        <v>22</v>
      </c>
      <c r="C133" s="3">
        <f>IFERROR(__xludf.DUMMYFUNCTION("""COMPUTED_VALUE"""),72.0)</f>
        <v>72</v>
      </c>
      <c r="D133" s="3">
        <f>IFERROR(__xludf.DUMMYFUNCTION("""COMPUTED_VALUE"""),89.0)</f>
        <v>89</v>
      </c>
      <c r="E133" s="3">
        <f>IFERROR(__xludf.DUMMYFUNCTION("""COMPUTED_VALUE"""),137.0)</f>
        <v>137</v>
      </c>
      <c r="F133" s="3">
        <f>IFERROR(__xludf.DUMMYFUNCTION("""COMPUTED_VALUE"""),298.0)</f>
        <v>298</v>
      </c>
      <c r="G133" s="3">
        <f>IFERROR(__xludf.DUMMYFUNCTION("""COMPUTED_VALUE"""),23.0)</f>
        <v>23</v>
      </c>
      <c r="H133" s="3">
        <f>IFERROR(__xludf.DUMMYFUNCTION("""COMPUTED_VALUE"""),7.0)</f>
        <v>7</v>
      </c>
      <c r="I133" s="3">
        <f>IFERROR(__xludf.DUMMYFUNCTION("""COMPUTED_VALUE"""),7.0)</f>
        <v>7</v>
      </c>
      <c r="J133" s="3">
        <f>IFERROR(__xludf.DUMMYFUNCTION("""COMPUTED_VALUE"""),8.0)</f>
        <v>8</v>
      </c>
      <c r="K133" s="3">
        <f>IFERROR(__xludf.DUMMYFUNCTION("""COMPUTED_VALUE"""),22.0)</f>
        <v>22</v>
      </c>
      <c r="L133" s="3">
        <f>IFERROR(__xludf.DUMMYFUNCTION("""COMPUTED_VALUE"""),45.0)</f>
        <v>45</v>
      </c>
      <c r="M133" s="3">
        <f>IFERROR(__xludf.DUMMYFUNCTION("""COMPUTED_VALUE"""),79.0)</f>
        <v>79</v>
      </c>
      <c r="N133" s="3">
        <f>IFERROR(__xludf.DUMMYFUNCTION("""COMPUTED_VALUE"""),96.0)</f>
        <v>96</v>
      </c>
      <c r="O133" s="3">
        <f>IFERROR(__xludf.DUMMYFUNCTION("""COMPUTED_VALUE"""),145.0)</f>
        <v>145</v>
      </c>
      <c r="P133" s="3">
        <f>IFERROR(__xludf.DUMMYFUNCTION("""COMPUTED_VALUE"""),320.0)</f>
        <v>320</v>
      </c>
    </row>
    <row r="134">
      <c r="A134" s="3" t="str">
        <f>IFERROR(__xludf.DUMMYFUNCTION("""COMPUTED_VALUE"""),"Portugal")</f>
        <v>Portugal</v>
      </c>
      <c r="B134" s="3">
        <f>IFERROR(__xludf.DUMMYFUNCTION("""COMPUTED_VALUE"""),25.0)</f>
        <v>25</v>
      </c>
      <c r="C134" s="3">
        <f>IFERROR(__xludf.DUMMYFUNCTION("""COMPUTED_VALUE"""),5.0)</f>
        <v>5</v>
      </c>
      <c r="D134" s="3">
        <f>IFERROR(__xludf.DUMMYFUNCTION("""COMPUTED_VALUE"""),9.0)</f>
        <v>9</v>
      </c>
      <c r="E134" s="3">
        <f>IFERROR(__xludf.DUMMYFUNCTION("""COMPUTED_VALUE"""),14.0)</f>
        <v>14</v>
      </c>
      <c r="F134" s="3">
        <f>IFERROR(__xludf.DUMMYFUNCTION("""COMPUTED_VALUE"""),28.0)</f>
        <v>28</v>
      </c>
      <c r="G134" s="3">
        <f>IFERROR(__xludf.DUMMYFUNCTION("""COMPUTED_VALUE"""),8.0)</f>
        <v>8</v>
      </c>
      <c r="H134" s="3">
        <f>IFERROR(__xludf.DUMMYFUNCTION("""COMPUTED_VALUE"""),0.0)</f>
        <v>0</v>
      </c>
      <c r="I134" s="3">
        <f>IFERROR(__xludf.DUMMYFUNCTION("""COMPUTED_VALUE"""),0.0)</f>
        <v>0</v>
      </c>
      <c r="J134" s="3">
        <f>IFERROR(__xludf.DUMMYFUNCTION("""COMPUTED_VALUE"""),0.0)</f>
        <v>0</v>
      </c>
      <c r="K134" s="3">
        <f>IFERROR(__xludf.DUMMYFUNCTION("""COMPUTED_VALUE"""),0.0)</f>
        <v>0</v>
      </c>
      <c r="L134" s="3">
        <f>IFERROR(__xludf.DUMMYFUNCTION("""COMPUTED_VALUE"""),33.0)</f>
        <v>33</v>
      </c>
      <c r="M134" s="3">
        <f>IFERROR(__xludf.DUMMYFUNCTION("""COMPUTED_VALUE"""),5.0)</f>
        <v>5</v>
      </c>
      <c r="N134" s="3">
        <f>IFERROR(__xludf.DUMMYFUNCTION("""COMPUTED_VALUE"""),9.0)</f>
        <v>9</v>
      </c>
      <c r="O134" s="3">
        <f>IFERROR(__xludf.DUMMYFUNCTION("""COMPUTED_VALUE"""),14.0)</f>
        <v>14</v>
      </c>
      <c r="P134" s="3">
        <f>IFERROR(__xludf.DUMMYFUNCTION("""COMPUTED_VALUE"""),28.0)</f>
        <v>28</v>
      </c>
    </row>
    <row r="135">
      <c r="A135" s="3" t="str">
        <f>IFERROR(__xludf.DUMMYFUNCTION("""COMPUTED_VALUE"""),"Porto Rico")</f>
        <v>Porto Rico</v>
      </c>
      <c r="B135" s="3">
        <f>IFERROR(__xludf.DUMMYFUNCTION("""COMPUTED_VALUE"""),19.0)</f>
        <v>19</v>
      </c>
      <c r="C135" s="3">
        <f>IFERROR(__xludf.DUMMYFUNCTION("""COMPUTED_VALUE"""),2.0)</f>
        <v>2</v>
      </c>
      <c r="D135" s="3">
        <f>IFERROR(__xludf.DUMMYFUNCTION("""COMPUTED_VALUE"""),2.0)</f>
        <v>2</v>
      </c>
      <c r="E135" s="3">
        <f>IFERROR(__xludf.DUMMYFUNCTION("""COMPUTED_VALUE"""),6.0)</f>
        <v>6</v>
      </c>
      <c r="F135" s="3">
        <f>IFERROR(__xludf.DUMMYFUNCTION("""COMPUTED_VALUE"""),10.0)</f>
        <v>10</v>
      </c>
      <c r="G135" s="3">
        <f>IFERROR(__xludf.DUMMYFUNCTION("""COMPUTED_VALUE"""),7.0)</f>
        <v>7</v>
      </c>
      <c r="H135" s="3">
        <f>IFERROR(__xludf.DUMMYFUNCTION("""COMPUTED_VALUE"""),0.0)</f>
        <v>0</v>
      </c>
      <c r="I135" s="3">
        <f>IFERROR(__xludf.DUMMYFUNCTION("""COMPUTED_VALUE"""),0.0)</f>
        <v>0</v>
      </c>
      <c r="J135" s="3">
        <f>IFERROR(__xludf.DUMMYFUNCTION("""COMPUTED_VALUE"""),0.0)</f>
        <v>0</v>
      </c>
      <c r="K135" s="3">
        <f>IFERROR(__xludf.DUMMYFUNCTION("""COMPUTED_VALUE"""),0.0)</f>
        <v>0</v>
      </c>
      <c r="L135" s="3">
        <f>IFERROR(__xludf.DUMMYFUNCTION("""COMPUTED_VALUE"""),26.0)</f>
        <v>26</v>
      </c>
      <c r="M135" s="3">
        <f>IFERROR(__xludf.DUMMYFUNCTION("""COMPUTED_VALUE"""),2.0)</f>
        <v>2</v>
      </c>
      <c r="N135" s="3">
        <f>IFERROR(__xludf.DUMMYFUNCTION("""COMPUTED_VALUE"""),2.0)</f>
        <v>2</v>
      </c>
      <c r="O135" s="3">
        <f>IFERROR(__xludf.DUMMYFUNCTION("""COMPUTED_VALUE"""),6.0)</f>
        <v>6</v>
      </c>
      <c r="P135" s="3">
        <f>IFERROR(__xludf.DUMMYFUNCTION("""COMPUTED_VALUE"""),10.0)</f>
        <v>10</v>
      </c>
    </row>
    <row r="136">
      <c r="A136" s="3" t="str">
        <f>IFERROR(__xludf.DUMMYFUNCTION("""COMPUTED_VALUE"""),"Qatar")</f>
        <v>Qatar</v>
      </c>
      <c r="B136" s="3">
        <f>IFERROR(__xludf.DUMMYFUNCTION("""COMPUTED_VALUE"""),10.0)</f>
        <v>10</v>
      </c>
      <c r="C136" s="3">
        <f>IFERROR(__xludf.DUMMYFUNCTION("""COMPUTED_VALUE"""),2.0)</f>
        <v>2</v>
      </c>
      <c r="D136" s="3">
        <f>IFERROR(__xludf.DUMMYFUNCTION("""COMPUTED_VALUE"""),1.0)</f>
        <v>1</v>
      </c>
      <c r="E136" s="3">
        <f>IFERROR(__xludf.DUMMYFUNCTION("""COMPUTED_VALUE"""),5.0)</f>
        <v>5</v>
      </c>
      <c r="F136" s="3">
        <f>IFERROR(__xludf.DUMMYFUNCTION("""COMPUTED_VALUE"""),8.0)</f>
        <v>8</v>
      </c>
      <c r="G136" s="3">
        <f>IFERROR(__xludf.DUMMYFUNCTION("""COMPUTED_VALUE"""),0.0)</f>
        <v>0</v>
      </c>
      <c r="H136" s="3">
        <f>IFERROR(__xludf.DUMMYFUNCTION("""COMPUTED_VALUE"""),0.0)</f>
        <v>0</v>
      </c>
      <c r="I136" s="3">
        <f>IFERROR(__xludf.DUMMYFUNCTION("""COMPUTED_VALUE"""),0.0)</f>
        <v>0</v>
      </c>
      <c r="J136" s="3">
        <f>IFERROR(__xludf.DUMMYFUNCTION("""COMPUTED_VALUE"""),0.0)</f>
        <v>0</v>
      </c>
      <c r="K136" s="3">
        <f>IFERROR(__xludf.DUMMYFUNCTION("""COMPUTED_VALUE"""),0.0)</f>
        <v>0</v>
      </c>
      <c r="L136" s="3">
        <f>IFERROR(__xludf.DUMMYFUNCTION("""COMPUTED_VALUE"""),9.0)</f>
        <v>9</v>
      </c>
      <c r="M136" s="3">
        <f>IFERROR(__xludf.DUMMYFUNCTION("""COMPUTED_VALUE"""),2.0)</f>
        <v>2</v>
      </c>
      <c r="N136" s="3">
        <f>IFERROR(__xludf.DUMMYFUNCTION("""COMPUTED_VALUE"""),1.0)</f>
        <v>1</v>
      </c>
      <c r="O136" s="3">
        <f>IFERROR(__xludf.DUMMYFUNCTION("""COMPUTED_VALUE"""),5.0)</f>
        <v>5</v>
      </c>
      <c r="P136" s="3">
        <f>IFERROR(__xludf.DUMMYFUNCTION("""COMPUTED_VALUE"""),8.0)</f>
        <v>8</v>
      </c>
    </row>
    <row r="137">
      <c r="A137" s="3" t="str">
        <f>IFERROR(__xludf.DUMMYFUNCTION("""COMPUTED_VALUE"""),"République dominicaine")</f>
        <v>République dominicaine</v>
      </c>
      <c r="B137" s="3">
        <f>IFERROR(__xludf.DUMMYFUNCTION("""COMPUTED_VALUE"""),15.0)</f>
        <v>15</v>
      </c>
      <c r="C137" s="3">
        <f>IFERROR(__xludf.DUMMYFUNCTION("""COMPUTED_VALUE"""),3.0)</f>
        <v>3</v>
      </c>
      <c r="D137" s="3">
        <f>IFERROR(__xludf.DUMMYFUNCTION("""COMPUTED_VALUE"""),5.0)</f>
        <v>5</v>
      </c>
      <c r="E137" s="3">
        <f>IFERROR(__xludf.DUMMYFUNCTION("""COMPUTED_VALUE"""),4.0)</f>
        <v>4</v>
      </c>
      <c r="F137" s="3">
        <f>IFERROR(__xludf.DUMMYFUNCTION("""COMPUTED_VALUE"""),12.0)</f>
        <v>12</v>
      </c>
      <c r="G137" s="3">
        <f>IFERROR(__xludf.DUMMYFUNCTION("""COMPUTED_VALUE"""),0.0)</f>
        <v>0</v>
      </c>
      <c r="H137" s="3">
        <f>IFERROR(__xludf.DUMMYFUNCTION("""COMPUTED_VALUE"""),0.0)</f>
        <v>0</v>
      </c>
      <c r="I137" s="3">
        <f>IFERROR(__xludf.DUMMYFUNCTION("""COMPUTED_VALUE"""),0.0)</f>
        <v>0</v>
      </c>
      <c r="J137" s="3">
        <f>IFERROR(__xludf.DUMMYFUNCTION("""COMPUTED_VALUE"""),0.0)</f>
        <v>0</v>
      </c>
      <c r="K137" s="3">
        <f>IFERROR(__xludf.DUMMYFUNCTION("""COMPUTED_VALUE"""),0.0)</f>
        <v>0</v>
      </c>
      <c r="L137" s="3">
        <f>IFERROR(__xludf.DUMMYFUNCTION("""COMPUTED_VALUE"""),15.0)</f>
        <v>15</v>
      </c>
      <c r="M137" s="3">
        <f>IFERROR(__xludf.DUMMYFUNCTION("""COMPUTED_VALUE"""),3.0)</f>
        <v>3</v>
      </c>
      <c r="N137" s="3">
        <f>IFERROR(__xludf.DUMMYFUNCTION("""COMPUTED_VALUE"""),5.0)</f>
        <v>5</v>
      </c>
      <c r="O137" s="3">
        <f>IFERROR(__xludf.DUMMYFUNCTION("""COMPUTED_VALUE"""),4.0)</f>
        <v>4</v>
      </c>
      <c r="P137" s="3">
        <f>IFERROR(__xludf.DUMMYFUNCTION("""COMPUTED_VALUE"""),12.0)</f>
        <v>12</v>
      </c>
    </row>
    <row r="138">
      <c r="A138" s="3" t="str">
        <f>IFERROR(__xludf.DUMMYFUNCTION("""COMPUTED_VALUE"""),"République tchèque[22]")</f>
        <v>République tchèque[22]</v>
      </c>
      <c r="B138" s="3">
        <f>IFERROR(__xludf.DUMMYFUNCTION("""COMPUTED_VALUE"""),7.0)</f>
        <v>7</v>
      </c>
      <c r="C138" s="3">
        <f>IFERROR(__xludf.DUMMYFUNCTION("""COMPUTED_VALUE"""),19.0)</f>
        <v>19</v>
      </c>
      <c r="D138" s="3">
        <f>IFERROR(__xludf.DUMMYFUNCTION("""COMPUTED_VALUE"""),21.0)</f>
        <v>21</v>
      </c>
      <c r="E138" s="3">
        <f>IFERROR(__xludf.DUMMYFUNCTION("""COMPUTED_VALUE"""),27.0)</f>
        <v>27</v>
      </c>
      <c r="F138" s="3">
        <f>IFERROR(__xludf.DUMMYFUNCTION("""COMPUTED_VALUE"""),67.0)</f>
        <v>67</v>
      </c>
      <c r="G138" s="3">
        <f>IFERROR(__xludf.DUMMYFUNCTION("""COMPUTED_VALUE"""),7.0)</f>
        <v>7</v>
      </c>
      <c r="H138" s="3">
        <f>IFERROR(__xludf.DUMMYFUNCTION("""COMPUTED_VALUE"""),9.0)</f>
        <v>9</v>
      </c>
      <c r="I138" s="3">
        <f>IFERROR(__xludf.DUMMYFUNCTION("""COMPUTED_VALUE"""),11.0)</f>
        <v>11</v>
      </c>
      <c r="J138" s="3">
        <f>IFERROR(__xludf.DUMMYFUNCTION("""COMPUTED_VALUE"""),11.0)</f>
        <v>11</v>
      </c>
      <c r="K138" s="3">
        <f>IFERROR(__xludf.DUMMYFUNCTION("""COMPUTED_VALUE"""),31.0)</f>
        <v>31</v>
      </c>
      <c r="L138" s="3">
        <f>IFERROR(__xludf.DUMMYFUNCTION("""COMPUTED_VALUE"""),14.0)</f>
        <v>14</v>
      </c>
      <c r="M138" s="3">
        <f>IFERROR(__xludf.DUMMYFUNCTION("""COMPUTED_VALUE"""),28.0)</f>
        <v>28</v>
      </c>
      <c r="N138" s="3">
        <f>IFERROR(__xludf.DUMMYFUNCTION("""COMPUTED_VALUE"""),32.0)</f>
        <v>32</v>
      </c>
      <c r="O138" s="3">
        <f>IFERROR(__xludf.DUMMYFUNCTION("""COMPUTED_VALUE"""),38.0)</f>
        <v>38</v>
      </c>
      <c r="P138" s="3">
        <f>IFERROR(__xludf.DUMMYFUNCTION("""COMPUTED_VALUE"""),98.0)</f>
        <v>98</v>
      </c>
    </row>
    <row r="139">
      <c r="A139" s="3" t="str">
        <f>IFERROR(__xludf.DUMMYFUNCTION("""COMPUTED_VALUE"""),"Roumanie")</f>
        <v>Roumanie</v>
      </c>
      <c r="B139" s="3">
        <f>IFERROR(__xludf.DUMMYFUNCTION("""COMPUTED_VALUE"""),22.0)</f>
        <v>22</v>
      </c>
      <c r="C139" s="3">
        <f>IFERROR(__xludf.DUMMYFUNCTION("""COMPUTED_VALUE"""),90.0)</f>
        <v>90</v>
      </c>
      <c r="D139" s="3">
        <f>IFERROR(__xludf.DUMMYFUNCTION("""COMPUTED_VALUE"""),97.0)</f>
        <v>97</v>
      </c>
      <c r="E139" s="3">
        <f>IFERROR(__xludf.DUMMYFUNCTION("""COMPUTED_VALUE"""),121.0)</f>
        <v>121</v>
      </c>
      <c r="F139" s="3">
        <f>IFERROR(__xludf.DUMMYFUNCTION("""COMPUTED_VALUE"""),308.0)</f>
        <v>308</v>
      </c>
      <c r="G139" s="3">
        <f>IFERROR(__xludf.DUMMYFUNCTION("""COMPUTED_VALUE"""),21.0)</f>
        <v>21</v>
      </c>
      <c r="H139" s="3">
        <f>IFERROR(__xludf.DUMMYFUNCTION("""COMPUTED_VALUE"""),0.0)</f>
        <v>0</v>
      </c>
      <c r="I139" s="3">
        <f>IFERROR(__xludf.DUMMYFUNCTION("""COMPUTED_VALUE"""),0.0)</f>
        <v>0</v>
      </c>
      <c r="J139" s="3">
        <f>IFERROR(__xludf.DUMMYFUNCTION("""COMPUTED_VALUE"""),1.0)</f>
        <v>1</v>
      </c>
      <c r="K139" s="3">
        <f>IFERROR(__xludf.DUMMYFUNCTION("""COMPUTED_VALUE"""),1.0)</f>
        <v>1</v>
      </c>
      <c r="L139" s="3">
        <f>IFERROR(__xludf.DUMMYFUNCTION("""COMPUTED_VALUE"""),43.0)</f>
        <v>43</v>
      </c>
      <c r="M139" s="3">
        <f>IFERROR(__xludf.DUMMYFUNCTION("""COMPUTED_VALUE"""),90.0)</f>
        <v>90</v>
      </c>
      <c r="N139" s="3">
        <f>IFERROR(__xludf.DUMMYFUNCTION("""COMPUTED_VALUE"""),97.0)</f>
        <v>97</v>
      </c>
      <c r="O139" s="3">
        <f>IFERROR(__xludf.DUMMYFUNCTION("""COMPUTED_VALUE"""),122.0)</f>
        <v>122</v>
      </c>
      <c r="P139" s="3">
        <f>IFERROR(__xludf.DUMMYFUNCTION("""COMPUTED_VALUE"""),309.0)</f>
        <v>309</v>
      </c>
    </row>
    <row r="140">
      <c r="A140" s="3" t="str">
        <f>IFERROR(__xludf.DUMMYFUNCTION("""COMPUTED_VALUE"""),"Russie[23]")</f>
        <v>Russie[23]</v>
      </c>
      <c r="B140" s="3">
        <f>IFERROR(__xludf.DUMMYFUNCTION("""COMPUTED_VALUE"""),6.0)</f>
        <v>6</v>
      </c>
      <c r="C140" s="3">
        <f>IFERROR(__xludf.DUMMYFUNCTION("""COMPUTED_VALUE"""),149.0)</f>
        <v>149</v>
      </c>
      <c r="D140" s="3">
        <f>IFERROR(__xludf.DUMMYFUNCTION("""COMPUTED_VALUE"""),125.0)</f>
        <v>125</v>
      </c>
      <c r="E140" s="3">
        <f>IFERROR(__xludf.DUMMYFUNCTION("""COMPUTED_VALUE"""),152.0)</f>
        <v>152</v>
      </c>
      <c r="F140" s="3">
        <f>IFERROR(__xludf.DUMMYFUNCTION("""COMPUTED_VALUE"""),426.0)</f>
        <v>426</v>
      </c>
      <c r="G140" s="3">
        <f>IFERROR(__xludf.DUMMYFUNCTION("""COMPUTED_VALUE"""),6.0)</f>
        <v>6</v>
      </c>
      <c r="H140" s="3">
        <f>IFERROR(__xludf.DUMMYFUNCTION("""COMPUTED_VALUE"""),47.0)</f>
        <v>47</v>
      </c>
      <c r="I140" s="3">
        <f>IFERROR(__xludf.DUMMYFUNCTION("""COMPUTED_VALUE"""),39.0)</f>
        <v>39</v>
      </c>
      <c r="J140" s="3">
        <f>IFERROR(__xludf.DUMMYFUNCTION("""COMPUTED_VALUE"""),35.0)</f>
        <v>35</v>
      </c>
      <c r="K140" s="3">
        <f>IFERROR(__xludf.DUMMYFUNCTION("""COMPUTED_VALUE"""),121.0)</f>
        <v>121</v>
      </c>
      <c r="L140" s="3">
        <f>IFERROR(__xludf.DUMMYFUNCTION("""COMPUTED_VALUE"""),12.0)</f>
        <v>12</v>
      </c>
      <c r="M140" s="3">
        <f>IFERROR(__xludf.DUMMYFUNCTION("""COMPUTED_VALUE"""),196.0)</f>
        <v>196</v>
      </c>
      <c r="N140" s="3">
        <f>IFERROR(__xludf.DUMMYFUNCTION("""COMPUTED_VALUE"""),164.0)</f>
        <v>164</v>
      </c>
      <c r="O140" s="3">
        <f>IFERROR(__xludf.DUMMYFUNCTION("""COMPUTED_VALUE"""),187.0)</f>
        <v>187</v>
      </c>
      <c r="P140" s="3">
        <f>IFERROR(__xludf.DUMMYFUNCTION("""COMPUTED_VALUE"""),547.0)</f>
        <v>547</v>
      </c>
    </row>
    <row r="141">
      <c r="A141" s="3" t="str">
        <f>IFERROR(__xludf.DUMMYFUNCTION("""COMPUTED_VALUE"""),"Samoa")</f>
        <v>Samoa</v>
      </c>
      <c r="B141" s="3">
        <f>IFERROR(__xludf.DUMMYFUNCTION("""COMPUTED_VALUE"""),10.0)</f>
        <v>10</v>
      </c>
      <c r="C141" s="3">
        <f>IFERROR(__xludf.DUMMYFUNCTION("""COMPUTED_VALUE"""),0.0)</f>
        <v>0</v>
      </c>
      <c r="D141" s="3">
        <f>IFERROR(__xludf.DUMMYFUNCTION("""COMPUTED_VALUE"""),1.0)</f>
        <v>1</v>
      </c>
      <c r="E141" s="3">
        <f>IFERROR(__xludf.DUMMYFUNCTION("""COMPUTED_VALUE"""),0.0)</f>
        <v>0</v>
      </c>
      <c r="F141" s="3">
        <f>IFERROR(__xludf.DUMMYFUNCTION("""COMPUTED_VALUE"""),1.0)</f>
        <v>1</v>
      </c>
      <c r="G141" s="3">
        <f>IFERROR(__xludf.DUMMYFUNCTION("""COMPUTED_VALUE"""),0.0)</f>
        <v>0</v>
      </c>
      <c r="H141" s="3">
        <f>IFERROR(__xludf.DUMMYFUNCTION("""COMPUTED_VALUE"""),0.0)</f>
        <v>0</v>
      </c>
      <c r="I141" s="3">
        <f>IFERROR(__xludf.DUMMYFUNCTION("""COMPUTED_VALUE"""),0.0)</f>
        <v>0</v>
      </c>
      <c r="J141" s="3">
        <f>IFERROR(__xludf.DUMMYFUNCTION("""COMPUTED_VALUE"""),0.0)</f>
        <v>0</v>
      </c>
      <c r="K141" s="3">
        <f>IFERROR(__xludf.DUMMYFUNCTION("""COMPUTED_VALUE"""),0.0)</f>
        <v>0</v>
      </c>
      <c r="L141" s="3">
        <f>IFERROR(__xludf.DUMMYFUNCTION("""COMPUTED_VALUE"""),10.0)</f>
        <v>10</v>
      </c>
      <c r="M141" s="3">
        <f>IFERROR(__xludf.DUMMYFUNCTION("""COMPUTED_VALUE"""),0.0)</f>
        <v>0</v>
      </c>
      <c r="N141" s="3">
        <f>IFERROR(__xludf.DUMMYFUNCTION("""COMPUTED_VALUE"""),1.0)</f>
        <v>1</v>
      </c>
      <c r="O141" s="3">
        <f>IFERROR(__xludf.DUMMYFUNCTION("""COMPUTED_VALUE"""),0.0)</f>
        <v>0</v>
      </c>
      <c r="P141" s="3">
        <f>IFERROR(__xludf.DUMMYFUNCTION("""COMPUTED_VALUE"""),1.0)</f>
        <v>1</v>
      </c>
    </row>
    <row r="142">
      <c r="A142" s="3" t="str">
        <f>IFERROR(__xludf.DUMMYFUNCTION("""COMPUTED_VALUE"""),"Saint-Marin")</f>
        <v>Saint-Marin</v>
      </c>
      <c r="B142" s="3">
        <f>IFERROR(__xludf.DUMMYFUNCTION("""COMPUTED_VALUE"""),16.0)</f>
        <v>16</v>
      </c>
      <c r="C142" s="3">
        <f>IFERROR(__xludf.DUMMYFUNCTION("""COMPUTED_VALUE"""),0.0)</f>
        <v>0</v>
      </c>
      <c r="D142" s="3">
        <f>IFERROR(__xludf.DUMMYFUNCTION("""COMPUTED_VALUE"""),1.0)</f>
        <v>1</v>
      </c>
      <c r="E142" s="3">
        <f>IFERROR(__xludf.DUMMYFUNCTION("""COMPUTED_VALUE"""),2.0)</f>
        <v>2</v>
      </c>
      <c r="F142" s="3">
        <f>IFERROR(__xludf.DUMMYFUNCTION("""COMPUTED_VALUE"""),3.0)</f>
        <v>3</v>
      </c>
      <c r="G142" s="3">
        <f>IFERROR(__xludf.DUMMYFUNCTION("""COMPUTED_VALUE"""),10.0)</f>
        <v>10</v>
      </c>
      <c r="H142" s="3">
        <f>IFERROR(__xludf.DUMMYFUNCTION("""COMPUTED_VALUE"""),0.0)</f>
        <v>0</v>
      </c>
      <c r="I142" s="3">
        <f>IFERROR(__xludf.DUMMYFUNCTION("""COMPUTED_VALUE"""),0.0)</f>
        <v>0</v>
      </c>
      <c r="J142" s="3">
        <f>IFERROR(__xludf.DUMMYFUNCTION("""COMPUTED_VALUE"""),0.0)</f>
        <v>0</v>
      </c>
      <c r="K142" s="3">
        <f>IFERROR(__xludf.DUMMYFUNCTION("""COMPUTED_VALUE"""),0.0)</f>
        <v>0</v>
      </c>
      <c r="L142" s="3">
        <f>IFERROR(__xludf.DUMMYFUNCTION("""COMPUTED_VALUE"""),26.0)</f>
        <v>26</v>
      </c>
      <c r="M142" s="3">
        <f>IFERROR(__xludf.DUMMYFUNCTION("""COMPUTED_VALUE"""),0.0)</f>
        <v>0</v>
      </c>
      <c r="N142" s="3">
        <f>IFERROR(__xludf.DUMMYFUNCTION("""COMPUTED_VALUE"""),1.0)</f>
        <v>1</v>
      </c>
      <c r="O142" s="3">
        <f>IFERROR(__xludf.DUMMYFUNCTION("""COMPUTED_VALUE"""),2.0)</f>
        <v>2</v>
      </c>
      <c r="P142" s="3">
        <f>IFERROR(__xludf.DUMMYFUNCTION("""COMPUTED_VALUE"""),3.0)</f>
        <v>3</v>
      </c>
    </row>
    <row r="143">
      <c r="A143" s="3" t="str">
        <f>IFERROR(__xludf.DUMMYFUNCTION("""COMPUTED_VALUE"""),"Sainte-Lucie")</f>
        <v>Sainte-Lucie</v>
      </c>
      <c r="B143" s="3">
        <f>IFERROR(__xludf.DUMMYFUNCTION("""COMPUTED_VALUE"""),7.0)</f>
        <v>7</v>
      </c>
      <c r="C143" s="3">
        <f>IFERROR(__xludf.DUMMYFUNCTION("""COMPUTED_VALUE"""),1.0)</f>
        <v>1</v>
      </c>
      <c r="D143" s="3">
        <f>IFERROR(__xludf.DUMMYFUNCTION("""COMPUTED_VALUE"""),1.0)</f>
        <v>1</v>
      </c>
      <c r="E143" s="3">
        <f>IFERROR(__xludf.DUMMYFUNCTION("""COMPUTED_VALUE"""),0.0)</f>
        <v>0</v>
      </c>
      <c r="F143" s="3">
        <f>IFERROR(__xludf.DUMMYFUNCTION("""COMPUTED_VALUE"""),2.0)</f>
        <v>2</v>
      </c>
      <c r="G143" s="3">
        <f>IFERROR(__xludf.DUMMYFUNCTION("""COMPUTED_VALUE"""),0.0)</f>
        <v>0</v>
      </c>
      <c r="H143" s="3">
        <f>IFERROR(__xludf.DUMMYFUNCTION("""COMPUTED_VALUE"""),0.0)</f>
        <v>0</v>
      </c>
      <c r="I143" s="3">
        <f>IFERROR(__xludf.DUMMYFUNCTION("""COMPUTED_VALUE"""),0.0)</f>
        <v>0</v>
      </c>
      <c r="J143" s="3">
        <f>IFERROR(__xludf.DUMMYFUNCTION("""COMPUTED_VALUE"""),0.0)</f>
        <v>0</v>
      </c>
      <c r="K143" s="3">
        <f>IFERROR(__xludf.DUMMYFUNCTION("""COMPUTED_VALUE"""),0.0)</f>
        <v>0</v>
      </c>
      <c r="L143" s="3">
        <f>IFERROR(__xludf.DUMMYFUNCTION("""COMPUTED_VALUE"""),7.0)</f>
        <v>7</v>
      </c>
      <c r="M143" s="3">
        <f>IFERROR(__xludf.DUMMYFUNCTION("""COMPUTED_VALUE"""),1.0)</f>
        <v>1</v>
      </c>
      <c r="N143" s="3">
        <f>IFERROR(__xludf.DUMMYFUNCTION("""COMPUTED_VALUE"""),1.0)</f>
        <v>1</v>
      </c>
      <c r="O143" s="3">
        <f>IFERROR(__xludf.DUMMYFUNCTION("""COMPUTED_VALUE"""),0.0)</f>
        <v>0</v>
      </c>
      <c r="P143" s="3">
        <f>IFERROR(__xludf.DUMMYFUNCTION("""COMPUTED_VALUE"""),2.0)</f>
        <v>2</v>
      </c>
    </row>
    <row r="144">
      <c r="A144" s="3" t="str">
        <f>IFERROR(__xludf.DUMMYFUNCTION("""COMPUTED_VALUE"""),"Sénégal")</f>
        <v>Sénégal</v>
      </c>
      <c r="B144" s="3">
        <f>IFERROR(__xludf.DUMMYFUNCTION("""COMPUTED_VALUE"""),15.0)</f>
        <v>15</v>
      </c>
      <c r="C144" s="3">
        <f>IFERROR(__xludf.DUMMYFUNCTION("""COMPUTED_VALUE"""),0.0)</f>
        <v>0</v>
      </c>
      <c r="D144" s="3">
        <f>IFERROR(__xludf.DUMMYFUNCTION("""COMPUTED_VALUE"""),1.0)</f>
        <v>1</v>
      </c>
      <c r="E144" s="3">
        <f>IFERROR(__xludf.DUMMYFUNCTION("""COMPUTED_VALUE"""),0.0)</f>
        <v>0</v>
      </c>
      <c r="F144" s="3">
        <f>IFERROR(__xludf.DUMMYFUNCTION("""COMPUTED_VALUE"""),1.0)</f>
        <v>1</v>
      </c>
      <c r="G144" s="3">
        <f>IFERROR(__xludf.DUMMYFUNCTION("""COMPUTED_VALUE"""),5.0)</f>
        <v>5</v>
      </c>
      <c r="H144" s="3">
        <f>IFERROR(__xludf.DUMMYFUNCTION("""COMPUTED_VALUE"""),0.0)</f>
        <v>0</v>
      </c>
      <c r="I144" s="3">
        <f>IFERROR(__xludf.DUMMYFUNCTION("""COMPUTED_VALUE"""),0.0)</f>
        <v>0</v>
      </c>
      <c r="J144" s="3">
        <f>IFERROR(__xludf.DUMMYFUNCTION("""COMPUTED_VALUE"""),0.0)</f>
        <v>0</v>
      </c>
      <c r="K144" s="3">
        <f>IFERROR(__xludf.DUMMYFUNCTION("""COMPUTED_VALUE"""),0.0)</f>
        <v>0</v>
      </c>
      <c r="L144" s="3">
        <f>IFERROR(__xludf.DUMMYFUNCTION("""COMPUTED_VALUE"""),20.0)</f>
        <v>20</v>
      </c>
      <c r="M144" s="3">
        <f>IFERROR(__xludf.DUMMYFUNCTION("""COMPUTED_VALUE"""),0.0)</f>
        <v>0</v>
      </c>
      <c r="N144" s="3">
        <f>IFERROR(__xludf.DUMMYFUNCTION("""COMPUTED_VALUE"""),1.0)</f>
        <v>1</v>
      </c>
      <c r="O144" s="3">
        <f>IFERROR(__xludf.DUMMYFUNCTION("""COMPUTED_VALUE"""),0.0)</f>
        <v>0</v>
      </c>
      <c r="P144" s="3">
        <f>IFERROR(__xludf.DUMMYFUNCTION("""COMPUTED_VALUE"""),1.0)</f>
        <v>1</v>
      </c>
    </row>
    <row r="145">
      <c r="A145" s="3" t="str">
        <f>IFERROR(__xludf.DUMMYFUNCTION("""COMPUTED_VALUE"""),"Serbie")</f>
        <v>Serbie</v>
      </c>
      <c r="B145" s="3">
        <f>IFERROR(__xludf.DUMMYFUNCTION("""COMPUTED_VALUE"""),5.0)</f>
        <v>5</v>
      </c>
      <c r="C145" s="3">
        <f>IFERROR(__xludf.DUMMYFUNCTION("""COMPUTED_VALUE"""),6.0)</f>
        <v>6</v>
      </c>
      <c r="D145" s="3">
        <f>IFERROR(__xludf.DUMMYFUNCTION("""COMPUTED_VALUE"""),7.0)</f>
        <v>7</v>
      </c>
      <c r="E145" s="3">
        <f>IFERROR(__xludf.DUMMYFUNCTION("""COMPUTED_VALUE"""),11.0)</f>
        <v>11</v>
      </c>
      <c r="F145" s="3">
        <f>IFERROR(__xludf.DUMMYFUNCTION("""COMPUTED_VALUE"""),24.0)</f>
        <v>24</v>
      </c>
      <c r="G145" s="3">
        <f>IFERROR(__xludf.DUMMYFUNCTION("""COMPUTED_VALUE"""),3.0)</f>
        <v>3</v>
      </c>
      <c r="H145" s="3">
        <f>IFERROR(__xludf.DUMMYFUNCTION("""COMPUTED_VALUE"""),0.0)</f>
        <v>0</v>
      </c>
      <c r="I145" s="3">
        <f>IFERROR(__xludf.DUMMYFUNCTION("""COMPUTED_VALUE"""),0.0)</f>
        <v>0</v>
      </c>
      <c r="J145" s="3">
        <f>IFERROR(__xludf.DUMMYFUNCTION("""COMPUTED_VALUE"""),0.0)</f>
        <v>0</v>
      </c>
      <c r="K145" s="3">
        <f>IFERROR(__xludf.DUMMYFUNCTION("""COMPUTED_VALUE"""),0.0)</f>
        <v>0</v>
      </c>
      <c r="L145" s="3">
        <f>IFERROR(__xludf.DUMMYFUNCTION("""COMPUTED_VALUE"""),8.0)</f>
        <v>8</v>
      </c>
      <c r="M145" s="3">
        <f>IFERROR(__xludf.DUMMYFUNCTION("""COMPUTED_VALUE"""),6.0)</f>
        <v>6</v>
      </c>
      <c r="N145" s="3">
        <f>IFERROR(__xludf.DUMMYFUNCTION("""COMPUTED_VALUE"""),7.0)</f>
        <v>7</v>
      </c>
      <c r="O145" s="3">
        <f>IFERROR(__xludf.DUMMYFUNCTION("""COMPUTED_VALUE"""),11.0)</f>
        <v>11</v>
      </c>
      <c r="P145" s="3">
        <f>IFERROR(__xludf.DUMMYFUNCTION("""COMPUTED_VALUE"""),24.0)</f>
        <v>24</v>
      </c>
    </row>
    <row r="146">
      <c r="A146" s="3" t="str">
        <f>IFERROR(__xludf.DUMMYFUNCTION("""COMPUTED_VALUE"""),"*Serbie-et-Monténégro*[24]")</f>
        <v>*Serbie-et-Monténégro*[24]</v>
      </c>
      <c r="B146" s="3">
        <f>IFERROR(__xludf.DUMMYFUNCTION("""COMPUTED_VALUE"""),3.0)</f>
        <v>3</v>
      </c>
      <c r="C146" s="3">
        <f>IFERROR(__xludf.DUMMYFUNCTION("""COMPUTED_VALUE"""),0.0)</f>
        <v>0</v>
      </c>
      <c r="D146" s="3">
        <f>IFERROR(__xludf.DUMMYFUNCTION("""COMPUTED_VALUE"""),2.0)</f>
        <v>2</v>
      </c>
      <c r="E146" s="3">
        <f>IFERROR(__xludf.DUMMYFUNCTION("""COMPUTED_VALUE"""),0.0)</f>
        <v>0</v>
      </c>
      <c r="F146" s="3">
        <f>IFERROR(__xludf.DUMMYFUNCTION("""COMPUTED_VALUE"""),2.0)</f>
        <v>2</v>
      </c>
      <c r="G146" s="3">
        <f>IFERROR(__xludf.DUMMYFUNCTION("""COMPUTED_VALUE"""),3.0)</f>
        <v>3</v>
      </c>
      <c r="H146" s="3">
        <f>IFERROR(__xludf.DUMMYFUNCTION("""COMPUTED_VALUE"""),0.0)</f>
        <v>0</v>
      </c>
      <c r="I146" s="3">
        <f>IFERROR(__xludf.DUMMYFUNCTION("""COMPUTED_VALUE"""),0.0)</f>
        <v>0</v>
      </c>
      <c r="J146" s="3">
        <f>IFERROR(__xludf.DUMMYFUNCTION("""COMPUTED_VALUE"""),0.0)</f>
        <v>0</v>
      </c>
      <c r="K146" s="3">
        <f>IFERROR(__xludf.DUMMYFUNCTION("""COMPUTED_VALUE"""),0.0)</f>
        <v>0</v>
      </c>
      <c r="L146" s="3">
        <f>IFERROR(__xludf.DUMMYFUNCTION("""COMPUTED_VALUE"""),6.0)</f>
        <v>6</v>
      </c>
      <c r="M146" s="3">
        <f>IFERROR(__xludf.DUMMYFUNCTION("""COMPUTED_VALUE"""),0.0)</f>
        <v>0</v>
      </c>
      <c r="N146" s="3">
        <f>IFERROR(__xludf.DUMMYFUNCTION("""COMPUTED_VALUE"""),2.0)</f>
        <v>2</v>
      </c>
      <c r="O146" s="3">
        <f>IFERROR(__xludf.DUMMYFUNCTION("""COMPUTED_VALUE"""),0.0)</f>
        <v>0</v>
      </c>
      <c r="P146" s="3">
        <f>IFERROR(__xludf.DUMMYFUNCTION("""COMPUTED_VALUE"""),2.0)</f>
        <v>2</v>
      </c>
    </row>
    <row r="147">
      <c r="A147" s="3" t="str">
        <f>IFERROR(__xludf.DUMMYFUNCTION("""COMPUTED_VALUE"""),"Singapour")</f>
        <v>Singapour</v>
      </c>
      <c r="B147" s="3">
        <f>IFERROR(__xludf.DUMMYFUNCTION("""COMPUTED_VALUE"""),17.0)</f>
        <v>17</v>
      </c>
      <c r="C147" s="3">
        <f>IFERROR(__xludf.DUMMYFUNCTION("""COMPUTED_VALUE"""),1.0)</f>
        <v>1</v>
      </c>
      <c r="D147" s="3">
        <f>IFERROR(__xludf.DUMMYFUNCTION("""COMPUTED_VALUE"""),2.0)</f>
        <v>2</v>
      </c>
      <c r="E147" s="3">
        <f>IFERROR(__xludf.DUMMYFUNCTION("""COMPUTED_VALUE"""),2.0)</f>
        <v>2</v>
      </c>
      <c r="F147" s="3">
        <f>IFERROR(__xludf.DUMMYFUNCTION("""COMPUTED_VALUE"""),5.0)</f>
        <v>5</v>
      </c>
      <c r="G147" s="3">
        <f>IFERROR(__xludf.DUMMYFUNCTION("""COMPUTED_VALUE"""),1.0)</f>
        <v>1</v>
      </c>
      <c r="H147" s="3">
        <f>IFERROR(__xludf.DUMMYFUNCTION("""COMPUTED_VALUE"""),0.0)</f>
        <v>0</v>
      </c>
      <c r="I147" s="3">
        <f>IFERROR(__xludf.DUMMYFUNCTION("""COMPUTED_VALUE"""),0.0)</f>
        <v>0</v>
      </c>
      <c r="J147" s="3">
        <f>IFERROR(__xludf.DUMMYFUNCTION("""COMPUTED_VALUE"""),0.0)</f>
        <v>0</v>
      </c>
      <c r="K147" s="3">
        <f>IFERROR(__xludf.DUMMYFUNCTION("""COMPUTED_VALUE"""),0.0)</f>
        <v>0</v>
      </c>
      <c r="L147" s="3">
        <f>IFERROR(__xludf.DUMMYFUNCTION("""COMPUTED_VALUE"""),18.0)</f>
        <v>18</v>
      </c>
      <c r="M147" s="3">
        <f>IFERROR(__xludf.DUMMYFUNCTION("""COMPUTED_VALUE"""),1.0)</f>
        <v>1</v>
      </c>
      <c r="N147" s="3">
        <f>IFERROR(__xludf.DUMMYFUNCTION("""COMPUTED_VALUE"""),2.0)</f>
        <v>2</v>
      </c>
      <c r="O147" s="3">
        <f>IFERROR(__xludf.DUMMYFUNCTION("""COMPUTED_VALUE"""),2.0)</f>
        <v>2</v>
      </c>
      <c r="P147" s="3">
        <f>IFERROR(__xludf.DUMMYFUNCTION("""COMPUTED_VALUE"""),5.0)</f>
        <v>5</v>
      </c>
    </row>
    <row r="148">
      <c r="A148" s="3" t="str">
        <f>IFERROR(__xludf.DUMMYFUNCTION("""COMPUTED_VALUE"""),"Slovaquie")</f>
        <v>Slovaquie</v>
      </c>
      <c r="B148" s="3">
        <f>IFERROR(__xludf.DUMMYFUNCTION("""COMPUTED_VALUE"""),7.0)</f>
        <v>7</v>
      </c>
      <c r="C148" s="3">
        <f>IFERROR(__xludf.DUMMYFUNCTION("""COMPUTED_VALUE"""),10.0)</f>
        <v>10</v>
      </c>
      <c r="D148" s="3">
        <f>IFERROR(__xludf.DUMMYFUNCTION("""COMPUTED_VALUE"""),14.0)</f>
        <v>14</v>
      </c>
      <c r="E148" s="3">
        <f>IFERROR(__xludf.DUMMYFUNCTION("""COMPUTED_VALUE"""),8.0)</f>
        <v>8</v>
      </c>
      <c r="F148" s="3">
        <f>IFERROR(__xludf.DUMMYFUNCTION("""COMPUTED_VALUE"""),32.0)</f>
        <v>32</v>
      </c>
      <c r="G148" s="3">
        <f>IFERROR(__xludf.DUMMYFUNCTION("""COMPUTED_VALUE"""),7.0)</f>
        <v>7</v>
      </c>
      <c r="H148" s="3">
        <f>IFERROR(__xludf.DUMMYFUNCTION("""COMPUTED_VALUE"""),3.0)</f>
        <v>3</v>
      </c>
      <c r="I148" s="3">
        <f>IFERROR(__xludf.DUMMYFUNCTION("""COMPUTED_VALUE"""),4.0)</f>
        <v>4</v>
      </c>
      <c r="J148" s="3">
        <f>IFERROR(__xludf.DUMMYFUNCTION("""COMPUTED_VALUE"""),1.0)</f>
        <v>1</v>
      </c>
      <c r="K148" s="3">
        <f>IFERROR(__xludf.DUMMYFUNCTION("""COMPUTED_VALUE"""),8.0)</f>
        <v>8</v>
      </c>
      <c r="L148" s="3">
        <f>IFERROR(__xludf.DUMMYFUNCTION("""COMPUTED_VALUE"""),14.0)</f>
        <v>14</v>
      </c>
      <c r="M148" s="3">
        <f>IFERROR(__xludf.DUMMYFUNCTION("""COMPUTED_VALUE"""),13.0)</f>
        <v>13</v>
      </c>
      <c r="N148" s="3">
        <f>IFERROR(__xludf.DUMMYFUNCTION("""COMPUTED_VALUE"""),18.0)</f>
        <v>18</v>
      </c>
      <c r="O148" s="3">
        <f>IFERROR(__xludf.DUMMYFUNCTION("""COMPUTED_VALUE"""),9.0)</f>
        <v>9</v>
      </c>
      <c r="P148" s="3">
        <f>IFERROR(__xludf.DUMMYFUNCTION("""COMPUTED_VALUE"""),40.0)</f>
        <v>40</v>
      </c>
    </row>
    <row r="149">
      <c r="A149" s="3" t="str">
        <f>IFERROR(__xludf.DUMMYFUNCTION("""COMPUTED_VALUE"""),"Slovénie")</f>
        <v>Slovénie</v>
      </c>
      <c r="B149" s="3">
        <f>IFERROR(__xludf.DUMMYFUNCTION("""COMPUTED_VALUE"""),8.0)</f>
        <v>8</v>
      </c>
      <c r="C149" s="3">
        <f>IFERROR(__xludf.DUMMYFUNCTION("""COMPUTED_VALUE"""),8.0)</f>
        <v>8</v>
      </c>
      <c r="D149" s="3">
        <f>IFERROR(__xludf.DUMMYFUNCTION("""COMPUTED_VALUE"""),9.0)</f>
        <v>9</v>
      </c>
      <c r="E149" s="3">
        <f>IFERROR(__xludf.DUMMYFUNCTION("""COMPUTED_VALUE"""),11.0)</f>
        <v>11</v>
      </c>
      <c r="F149" s="3">
        <f>IFERROR(__xludf.DUMMYFUNCTION("""COMPUTED_VALUE"""),28.0)</f>
        <v>28</v>
      </c>
      <c r="G149" s="3">
        <f>IFERROR(__xludf.DUMMYFUNCTION("""COMPUTED_VALUE"""),8.0)</f>
        <v>8</v>
      </c>
      <c r="H149" s="3">
        <f>IFERROR(__xludf.DUMMYFUNCTION("""COMPUTED_VALUE"""),2.0)</f>
        <v>2</v>
      </c>
      <c r="I149" s="3">
        <f>IFERROR(__xludf.DUMMYFUNCTION("""COMPUTED_VALUE"""),5.0)</f>
        <v>5</v>
      </c>
      <c r="J149" s="3">
        <f>IFERROR(__xludf.DUMMYFUNCTION("""COMPUTED_VALUE"""),10.0)</f>
        <v>10</v>
      </c>
      <c r="K149" s="3">
        <f>IFERROR(__xludf.DUMMYFUNCTION("""COMPUTED_VALUE"""),17.0)</f>
        <v>17</v>
      </c>
      <c r="L149" s="3">
        <f>IFERROR(__xludf.DUMMYFUNCTION("""COMPUTED_VALUE"""),16.0)</f>
        <v>16</v>
      </c>
      <c r="M149" s="3">
        <f>IFERROR(__xludf.DUMMYFUNCTION("""COMPUTED_VALUE"""),10.0)</f>
        <v>10</v>
      </c>
      <c r="N149" s="3">
        <f>IFERROR(__xludf.DUMMYFUNCTION("""COMPUTED_VALUE"""),14.0)</f>
        <v>14</v>
      </c>
      <c r="O149" s="3">
        <f>IFERROR(__xludf.DUMMYFUNCTION("""COMPUTED_VALUE"""),21.0)</f>
        <v>21</v>
      </c>
      <c r="P149" s="3">
        <f>IFERROR(__xludf.DUMMYFUNCTION("""COMPUTED_VALUE"""),45.0)</f>
        <v>45</v>
      </c>
    </row>
    <row r="150">
      <c r="A150" s="3" t="str">
        <f>IFERROR(__xludf.DUMMYFUNCTION("""COMPUTED_VALUE"""),"Sri Lanka[25]")</f>
        <v>Sri Lanka[25]</v>
      </c>
      <c r="B150" s="3">
        <f>IFERROR(__xludf.DUMMYFUNCTION("""COMPUTED_VALUE"""),18.0)</f>
        <v>18</v>
      </c>
      <c r="C150" s="3">
        <f>IFERROR(__xludf.DUMMYFUNCTION("""COMPUTED_VALUE"""),0.0)</f>
        <v>0</v>
      </c>
      <c r="D150" s="3">
        <f>IFERROR(__xludf.DUMMYFUNCTION("""COMPUTED_VALUE"""),2.0)</f>
        <v>2</v>
      </c>
      <c r="E150" s="3">
        <f>IFERROR(__xludf.DUMMYFUNCTION("""COMPUTED_VALUE"""),0.0)</f>
        <v>0</v>
      </c>
      <c r="F150" s="3">
        <f>IFERROR(__xludf.DUMMYFUNCTION("""COMPUTED_VALUE"""),2.0)</f>
        <v>2</v>
      </c>
      <c r="G150" s="3">
        <f>IFERROR(__xludf.DUMMYFUNCTION("""COMPUTED_VALUE"""),0.0)</f>
        <v>0</v>
      </c>
      <c r="H150" s="3">
        <f>IFERROR(__xludf.DUMMYFUNCTION("""COMPUTED_VALUE"""),0.0)</f>
        <v>0</v>
      </c>
      <c r="I150" s="3">
        <f>IFERROR(__xludf.DUMMYFUNCTION("""COMPUTED_VALUE"""),0.0)</f>
        <v>0</v>
      </c>
      <c r="J150" s="3">
        <f>IFERROR(__xludf.DUMMYFUNCTION("""COMPUTED_VALUE"""),0.0)</f>
        <v>0</v>
      </c>
      <c r="K150" s="3">
        <f>IFERROR(__xludf.DUMMYFUNCTION("""COMPUTED_VALUE"""),0.0)</f>
        <v>0</v>
      </c>
      <c r="L150" s="3">
        <f>IFERROR(__xludf.DUMMYFUNCTION("""COMPUTED_VALUE"""),18.0)</f>
        <v>18</v>
      </c>
      <c r="M150" s="3">
        <f>IFERROR(__xludf.DUMMYFUNCTION("""COMPUTED_VALUE"""),0.0)</f>
        <v>0</v>
      </c>
      <c r="N150" s="3">
        <f>IFERROR(__xludf.DUMMYFUNCTION("""COMPUTED_VALUE"""),2.0)</f>
        <v>2</v>
      </c>
      <c r="O150" s="3">
        <f>IFERROR(__xludf.DUMMYFUNCTION("""COMPUTED_VALUE"""),0.0)</f>
        <v>0</v>
      </c>
      <c r="P150" s="3">
        <f>IFERROR(__xludf.DUMMYFUNCTION("""COMPUTED_VALUE"""),2.0)</f>
        <v>2</v>
      </c>
    </row>
    <row r="151">
      <c r="A151" s="3" t="str">
        <f>IFERROR(__xludf.DUMMYFUNCTION("""COMPUTED_VALUE"""),"Soudan")</f>
        <v>Soudan</v>
      </c>
      <c r="B151" s="3">
        <f>IFERROR(__xludf.DUMMYFUNCTION("""COMPUTED_VALUE"""),13.0)</f>
        <v>13</v>
      </c>
      <c r="C151" s="3">
        <f>IFERROR(__xludf.DUMMYFUNCTION("""COMPUTED_VALUE"""),0.0)</f>
        <v>0</v>
      </c>
      <c r="D151" s="3">
        <f>IFERROR(__xludf.DUMMYFUNCTION("""COMPUTED_VALUE"""),1.0)</f>
        <v>1</v>
      </c>
      <c r="E151" s="3">
        <f>IFERROR(__xludf.DUMMYFUNCTION("""COMPUTED_VALUE"""),0.0)</f>
        <v>0</v>
      </c>
      <c r="F151" s="3">
        <f>IFERROR(__xludf.DUMMYFUNCTION("""COMPUTED_VALUE"""),1.0)</f>
        <v>1</v>
      </c>
      <c r="G151" s="3">
        <f>IFERROR(__xludf.DUMMYFUNCTION("""COMPUTED_VALUE"""),0.0)</f>
        <v>0</v>
      </c>
      <c r="H151" s="3">
        <f>IFERROR(__xludf.DUMMYFUNCTION("""COMPUTED_VALUE"""),0.0)</f>
        <v>0</v>
      </c>
      <c r="I151" s="3">
        <f>IFERROR(__xludf.DUMMYFUNCTION("""COMPUTED_VALUE"""),0.0)</f>
        <v>0</v>
      </c>
      <c r="J151" s="3">
        <f>IFERROR(__xludf.DUMMYFUNCTION("""COMPUTED_VALUE"""),0.0)</f>
        <v>0</v>
      </c>
      <c r="K151" s="3">
        <f>IFERROR(__xludf.DUMMYFUNCTION("""COMPUTED_VALUE"""),0.0)</f>
        <v>0</v>
      </c>
      <c r="L151" s="3">
        <f>IFERROR(__xludf.DUMMYFUNCTION("""COMPUTED_VALUE"""),13.0)</f>
        <v>13</v>
      </c>
      <c r="M151" s="3">
        <f>IFERROR(__xludf.DUMMYFUNCTION("""COMPUTED_VALUE"""),0.0)</f>
        <v>0</v>
      </c>
      <c r="N151" s="3">
        <f>IFERROR(__xludf.DUMMYFUNCTION("""COMPUTED_VALUE"""),1.0)</f>
        <v>1</v>
      </c>
      <c r="O151" s="3">
        <f>IFERROR(__xludf.DUMMYFUNCTION("""COMPUTED_VALUE"""),0.0)</f>
        <v>0</v>
      </c>
      <c r="P151" s="3">
        <f>IFERROR(__xludf.DUMMYFUNCTION("""COMPUTED_VALUE"""),1.0)</f>
        <v>1</v>
      </c>
    </row>
    <row r="152">
      <c r="A152" s="3" t="str">
        <f>IFERROR(__xludf.DUMMYFUNCTION("""COMPUTED_VALUE"""),"Suriname")</f>
        <v>Suriname</v>
      </c>
      <c r="B152" s="3">
        <f>IFERROR(__xludf.DUMMYFUNCTION("""COMPUTED_VALUE"""),13.0)</f>
        <v>13</v>
      </c>
      <c r="C152" s="3">
        <f>IFERROR(__xludf.DUMMYFUNCTION("""COMPUTED_VALUE"""),1.0)</f>
        <v>1</v>
      </c>
      <c r="D152" s="3">
        <f>IFERROR(__xludf.DUMMYFUNCTION("""COMPUTED_VALUE"""),0.0)</f>
        <v>0</v>
      </c>
      <c r="E152" s="3">
        <f>IFERROR(__xludf.DUMMYFUNCTION("""COMPUTED_VALUE"""),1.0)</f>
        <v>1</v>
      </c>
      <c r="F152" s="3">
        <f>IFERROR(__xludf.DUMMYFUNCTION("""COMPUTED_VALUE"""),2.0)</f>
        <v>2</v>
      </c>
      <c r="G152" s="3">
        <f>IFERROR(__xludf.DUMMYFUNCTION("""COMPUTED_VALUE"""),0.0)</f>
        <v>0</v>
      </c>
      <c r="H152" s="3">
        <f>IFERROR(__xludf.DUMMYFUNCTION("""COMPUTED_VALUE"""),0.0)</f>
        <v>0</v>
      </c>
      <c r="I152" s="3">
        <f>IFERROR(__xludf.DUMMYFUNCTION("""COMPUTED_VALUE"""),0.0)</f>
        <v>0</v>
      </c>
      <c r="J152" s="3">
        <f>IFERROR(__xludf.DUMMYFUNCTION("""COMPUTED_VALUE"""),0.0)</f>
        <v>0</v>
      </c>
      <c r="K152" s="3">
        <f>IFERROR(__xludf.DUMMYFUNCTION("""COMPUTED_VALUE"""),0.0)</f>
        <v>0</v>
      </c>
      <c r="L152" s="3">
        <f>IFERROR(__xludf.DUMMYFUNCTION("""COMPUTED_VALUE"""),13.0)</f>
        <v>13</v>
      </c>
      <c r="M152" s="3">
        <f>IFERROR(__xludf.DUMMYFUNCTION("""COMPUTED_VALUE"""),1.0)</f>
        <v>1</v>
      </c>
      <c r="N152" s="3">
        <f>IFERROR(__xludf.DUMMYFUNCTION("""COMPUTED_VALUE"""),0.0)</f>
        <v>0</v>
      </c>
      <c r="O152" s="3">
        <f>IFERROR(__xludf.DUMMYFUNCTION("""COMPUTED_VALUE"""),1.0)</f>
        <v>1</v>
      </c>
      <c r="P152" s="3">
        <f>IFERROR(__xludf.DUMMYFUNCTION("""COMPUTED_VALUE"""),2.0)</f>
        <v>2</v>
      </c>
    </row>
    <row r="153">
      <c r="A153" s="3" t="str">
        <f>IFERROR(__xludf.DUMMYFUNCTION("""COMPUTED_VALUE"""),"Suède[8]")</f>
        <v>Suède[8]</v>
      </c>
      <c r="B153" s="3">
        <f>IFERROR(__xludf.DUMMYFUNCTION("""COMPUTED_VALUE"""),28.0)</f>
        <v>28</v>
      </c>
      <c r="C153" s="3">
        <f>IFERROR(__xludf.DUMMYFUNCTION("""COMPUTED_VALUE"""),148.0)</f>
        <v>148</v>
      </c>
      <c r="D153" s="3">
        <f>IFERROR(__xludf.DUMMYFUNCTION("""COMPUTED_VALUE"""),176.0)</f>
        <v>176</v>
      </c>
      <c r="E153" s="3">
        <f>IFERROR(__xludf.DUMMYFUNCTION("""COMPUTED_VALUE"""),179.0)</f>
        <v>179</v>
      </c>
      <c r="F153" s="3">
        <f>IFERROR(__xludf.DUMMYFUNCTION("""COMPUTED_VALUE"""),503.0)</f>
        <v>503</v>
      </c>
      <c r="G153" s="3">
        <f>IFERROR(__xludf.DUMMYFUNCTION("""COMPUTED_VALUE"""),23.0)</f>
        <v>23</v>
      </c>
      <c r="H153" s="3">
        <f>IFERROR(__xludf.DUMMYFUNCTION("""COMPUTED_VALUE"""),57.0)</f>
        <v>57</v>
      </c>
      <c r="I153" s="3">
        <f>IFERROR(__xludf.DUMMYFUNCTION("""COMPUTED_VALUE"""),46.0)</f>
        <v>46</v>
      </c>
      <c r="J153" s="3">
        <f>IFERROR(__xludf.DUMMYFUNCTION("""COMPUTED_VALUE"""),55.0)</f>
        <v>55</v>
      </c>
      <c r="K153" s="3">
        <f>IFERROR(__xludf.DUMMYFUNCTION("""COMPUTED_VALUE"""),158.0)</f>
        <v>158</v>
      </c>
      <c r="L153" s="3">
        <f>IFERROR(__xludf.DUMMYFUNCTION("""COMPUTED_VALUE"""),51.0)</f>
        <v>51</v>
      </c>
      <c r="M153" s="3">
        <f>IFERROR(__xludf.DUMMYFUNCTION("""COMPUTED_VALUE"""),205.0)</f>
        <v>205</v>
      </c>
      <c r="N153" s="3">
        <f>IFERROR(__xludf.DUMMYFUNCTION("""COMPUTED_VALUE"""),222.0)</f>
        <v>222</v>
      </c>
      <c r="O153" s="3">
        <f>IFERROR(__xludf.DUMMYFUNCTION("""COMPUTED_VALUE"""),234.0)</f>
        <v>234</v>
      </c>
      <c r="P153" s="3">
        <f>IFERROR(__xludf.DUMMYFUNCTION("""COMPUTED_VALUE"""),661.0)</f>
        <v>661</v>
      </c>
    </row>
    <row r="154">
      <c r="A154" s="3" t="str">
        <f>IFERROR(__xludf.DUMMYFUNCTION("""COMPUTED_VALUE"""),"Suisse")</f>
        <v>Suisse</v>
      </c>
      <c r="B154" s="3">
        <f>IFERROR(__xludf.DUMMYFUNCTION("""COMPUTED_VALUE"""),29.0)</f>
        <v>29</v>
      </c>
      <c r="C154" s="3">
        <f>IFERROR(__xludf.DUMMYFUNCTION("""COMPUTED_VALUE"""),53.0)</f>
        <v>53</v>
      </c>
      <c r="D154" s="3">
        <f>IFERROR(__xludf.DUMMYFUNCTION("""COMPUTED_VALUE"""),79.0)</f>
        <v>79</v>
      </c>
      <c r="E154" s="3">
        <f>IFERROR(__xludf.DUMMYFUNCTION("""COMPUTED_VALUE"""),73.0)</f>
        <v>73</v>
      </c>
      <c r="F154" s="3">
        <f>IFERROR(__xludf.DUMMYFUNCTION("""COMPUTED_VALUE"""),205.0)</f>
        <v>205</v>
      </c>
      <c r="G154" s="3">
        <f>IFERROR(__xludf.DUMMYFUNCTION("""COMPUTED_VALUE"""),23.0)</f>
        <v>23</v>
      </c>
      <c r="H154" s="3">
        <f>IFERROR(__xludf.DUMMYFUNCTION("""COMPUTED_VALUE"""),56.0)</f>
        <v>56</v>
      </c>
      <c r="I154" s="3">
        <f>IFERROR(__xludf.DUMMYFUNCTION("""COMPUTED_VALUE"""),45.0)</f>
        <v>45</v>
      </c>
      <c r="J154" s="3">
        <f>IFERROR(__xludf.DUMMYFUNCTION("""COMPUTED_VALUE"""),52.0)</f>
        <v>52</v>
      </c>
      <c r="K154" s="3">
        <f>IFERROR(__xludf.DUMMYFUNCTION("""COMPUTED_VALUE"""),153.0)</f>
        <v>153</v>
      </c>
      <c r="L154" s="3">
        <f>IFERROR(__xludf.DUMMYFUNCTION("""COMPUTED_VALUE"""),52.0)</f>
        <v>52</v>
      </c>
      <c r="M154" s="3">
        <f>IFERROR(__xludf.DUMMYFUNCTION("""COMPUTED_VALUE"""),109.0)</f>
        <v>109</v>
      </c>
      <c r="N154" s="3">
        <f>IFERROR(__xludf.DUMMYFUNCTION("""COMPUTED_VALUE"""),124.0)</f>
        <v>124</v>
      </c>
      <c r="O154" s="3">
        <f>IFERROR(__xludf.DUMMYFUNCTION("""COMPUTED_VALUE"""),125.0)</f>
        <v>125</v>
      </c>
      <c r="P154" s="3">
        <f>IFERROR(__xludf.DUMMYFUNCTION("""COMPUTED_VALUE"""),358.0)</f>
        <v>358</v>
      </c>
    </row>
    <row r="155">
      <c r="A155" s="3" t="str">
        <f>IFERROR(__xludf.DUMMYFUNCTION("""COMPUTED_VALUE"""),"Syrie")</f>
        <v>Syrie</v>
      </c>
      <c r="B155" s="3">
        <f>IFERROR(__xludf.DUMMYFUNCTION("""COMPUTED_VALUE"""),14.0)</f>
        <v>14</v>
      </c>
      <c r="C155" s="3">
        <f>IFERROR(__xludf.DUMMYFUNCTION("""COMPUTED_VALUE"""),1.0)</f>
        <v>1</v>
      </c>
      <c r="D155" s="3">
        <f>IFERROR(__xludf.DUMMYFUNCTION("""COMPUTED_VALUE"""),1.0)</f>
        <v>1</v>
      </c>
      <c r="E155" s="3">
        <f>IFERROR(__xludf.DUMMYFUNCTION("""COMPUTED_VALUE"""),2.0)</f>
        <v>2</v>
      </c>
      <c r="F155" s="3">
        <f>IFERROR(__xludf.DUMMYFUNCTION("""COMPUTED_VALUE"""),4.0)</f>
        <v>4</v>
      </c>
      <c r="G155" s="3">
        <f>IFERROR(__xludf.DUMMYFUNCTION("""COMPUTED_VALUE"""),0.0)</f>
        <v>0</v>
      </c>
      <c r="H155" s="3">
        <f>IFERROR(__xludf.DUMMYFUNCTION("""COMPUTED_VALUE"""),0.0)</f>
        <v>0</v>
      </c>
      <c r="I155" s="3">
        <f>IFERROR(__xludf.DUMMYFUNCTION("""COMPUTED_VALUE"""),0.0)</f>
        <v>0</v>
      </c>
      <c r="J155" s="3">
        <f>IFERROR(__xludf.DUMMYFUNCTION("""COMPUTED_VALUE"""),0.0)</f>
        <v>0</v>
      </c>
      <c r="K155" s="3">
        <f>IFERROR(__xludf.DUMMYFUNCTION("""COMPUTED_VALUE"""),0.0)</f>
        <v>0</v>
      </c>
      <c r="L155" s="3">
        <f>IFERROR(__xludf.DUMMYFUNCTION("""COMPUTED_VALUE"""),14.0)</f>
        <v>14</v>
      </c>
      <c r="M155" s="3">
        <f>IFERROR(__xludf.DUMMYFUNCTION("""COMPUTED_VALUE"""),1.0)</f>
        <v>1</v>
      </c>
      <c r="N155" s="3">
        <f>IFERROR(__xludf.DUMMYFUNCTION("""COMPUTED_VALUE"""),1.0)</f>
        <v>1</v>
      </c>
      <c r="O155" s="3">
        <f>IFERROR(__xludf.DUMMYFUNCTION("""COMPUTED_VALUE"""),2.0)</f>
        <v>2</v>
      </c>
      <c r="P155" s="3">
        <f>IFERROR(__xludf.DUMMYFUNCTION("""COMPUTED_VALUE"""),4.0)</f>
        <v>4</v>
      </c>
    </row>
    <row r="156">
      <c r="A156" s="3" t="str">
        <f>IFERROR(__xludf.DUMMYFUNCTION("""COMPUTED_VALUE"""),"Tadjikistan")</f>
        <v>Tadjikistan</v>
      </c>
      <c r="B156" s="3">
        <f>IFERROR(__xludf.DUMMYFUNCTION("""COMPUTED_VALUE"""),7.0)</f>
        <v>7</v>
      </c>
      <c r="C156" s="3">
        <f>IFERROR(__xludf.DUMMYFUNCTION("""COMPUTED_VALUE"""),1.0)</f>
        <v>1</v>
      </c>
      <c r="D156" s="3">
        <f>IFERROR(__xludf.DUMMYFUNCTION("""COMPUTED_VALUE"""),1.0)</f>
        <v>1</v>
      </c>
      <c r="E156" s="3">
        <f>IFERROR(__xludf.DUMMYFUNCTION("""COMPUTED_VALUE"""),2.0)</f>
        <v>2</v>
      </c>
      <c r="F156" s="3">
        <f>IFERROR(__xludf.DUMMYFUNCTION("""COMPUTED_VALUE"""),4.0)</f>
        <v>4</v>
      </c>
      <c r="G156" s="3">
        <f>IFERROR(__xludf.DUMMYFUNCTION("""COMPUTED_VALUE"""),4.0)</f>
        <v>4</v>
      </c>
      <c r="H156" s="3">
        <f>IFERROR(__xludf.DUMMYFUNCTION("""COMPUTED_VALUE"""),0.0)</f>
        <v>0</v>
      </c>
      <c r="I156" s="3">
        <f>IFERROR(__xludf.DUMMYFUNCTION("""COMPUTED_VALUE"""),0.0)</f>
        <v>0</v>
      </c>
      <c r="J156" s="3">
        <f>IFERROR(__xludf.DUMMYFUNCTION("""COMPUTED_VALUE"""),0.0)</f>
        <v>0</v>
      </c>
      <c r="K156" s="3">
        <f>IFERROR(__xludf.DUMMYFUNCTION("""COMPUTED_VALUE"""),0.0)</f>
        <v>0</v>
      </c>
      <c r="L156" s="3">
        <f>IFERROR(__xludf.DUMMYFUNCTION("""COMPUTED_VALUE"""),11.0)</f>
        <v>11</v>
      </c>
      <c r="M156" s="3">
        <f>IFERROR(__xludf.DUMMYFUNCTION("""COMPUTED_VALUE"""),1.0)</f>
        <v>1</v>
      </c>
      <c r="N156" s="3">
        <f>IFERROR(__xludf.DUMMYFUNCTION("""COMPUTED_VALUE"""),1.0)</f>
        <v>1</v>
      </c>
      <c r="O156" s="3">
        <f>IFERROR(__xludf.DUMMYFUNCTION("""COMPUTED_VALUE"""),2.0)</f>
        <v>2</v>
      </c>
      <c r="P156" s="3">
        <f>IFERROR(__xludf.DUMMYFUNCTION("""COMPUTED_VALUE"""),4.0)</f>
        <v>4</v>
      </c>
    </row>
    <row r="157">
      <c r="A157" s="3" t="str">
        <f>IFERROR(__xludf.DUMMYFUNCTION("""COMPUTED_VALUE"""),"Taipei chinois[26]")</f>
        <v>Taipei chinois[26]</v>
      </c>
      <c r="B157" s="3">
        <f>IFERROR(__xludf.DUMMYFUNCTION("""COMPUTED_VALUE"""),15.0)</f>
        <v>15</v>
      </c>
      <c r="C157" s="3">
        <f>IFERROR(__xludf.DUMMYFUNCTION("""COMPUTED_VALUE"""),7.0)</f>
        <v>7</v>
      </c>
      <c r="D157" s="3">
        <f>IFERROR(__xludf.DUMMYFUNCTION("""COMPUTED_VALUE"""),11.0)</f>
        <v>11</v>
      </c>
      <c r="E157" s="3">
        <f>IFERROR(__xludf.DUMMYFUNCTION("""COMPUTED_VALUE"""),18.0)</f>
        <v>18</v>
      </c>
      <c r="F157" s="3">
        <f>IFERROR(__xludf.DUMMYFUNCTION("""COMPUTED_VALUE"""),36.0)</f>
        <v>36</v>
      </c>
      <c r="G157" s="3">
        <f>IFERROR(__xludf.DUMMYFUNCTION("""COMPUTED_VALUE"""),12.0)</f>
        <v>12</v>
      </c>
      <c r="H157" s="3">
        <f>IFERROR(__xludf.DUMMYFUNCTION("""COMPUTED_VALUE"""),0.0)</f>
        <v>0</v>
      </c>
      <c r="I157" s="3">
        <f>IFERROR(__xludf.DUMMYFUNCTION("""COMPUTED_VALUE"""),0.0)</f>
        <v>0</v>
      </c>
      <c r="J157" s="3">
        <f>IFERROR(__xludf.DUMMYFUNCTION("""COMPUTED_VALUE"""),0.0)</f>
        <v>0</v>
      </c>
      <c r="K157" s="3">
        <f>IFERROR(__xludf.DUMMYFUNCTION("""COMPUTED_VALUE"""),0.0)</f>
        <v>0</v>
      </c>
      <c r="L157" s="3">
        <f>IFERROR(__xludf.DUMMYFUNCTION("""COMPUTED_VALUE"""),27.0)</f>
        <v>27</v>
      </c>
      <c r="M157" s="3">
        <f>IFERROR(__xludf.DUMMYFUNCTION("""COMPUTED_VALUE"""),7.0)</f>
        <v>7</v>
      </c>
      <c r="N157" s="3">
        <f>IFERROR(__xludf.DUMMYFUNCTION("""COMPUTED_VALUE"""),11.0)</f>
        <v>11</v>
      </c>
      <c r="O157" s="3">
        <f>IFERROR(__xludf.DUMMYFUNCTION("""COMPUTED_VALUE"""),18.0)</f>
        <v>18</v>
      </c>
      <c r="P157" s="3">
        <f>IFERROR(__xludf.DUMMYFUNCTION("""COMPUTED_VALUE"""),36.0)</f>
        <v>36</v>
      </c>
    </row>
    <row r="158">
      <c r="A158" s="3" t="str">
        <f>IFERROR(__xludf.DUMMYFUNCTION("""COMPUTED_VALUE"""),"Tanzanie")</f>
        <v>Tanzanie</v>
      </c>
      <c r="B158" s="3">
        <f>IFERROR(__xludf.DUMMYFUNCTION("""COMPUTED_VALUE"""),14.0)</f>
        <v>14</v>
      </c>
      <c r="C158" s="3">
        <f>IFERROR(__xludf.DUMMYFUNCTION("""COMPUTED_VALUE"""),0.0)</f>
        <v>0</v>
      </c>
      <c r="D158" s="3">
        <f>IFERROR(__xludf.DUMMYFUNCTION("""COMPUTED_VALUE"""),2.0)</f>
        <v>2</v>
      </c>
      <c r="E158" s="3">
        <f>IFERROR(__xludf.DUMMYFUNCTION("""COMPUTED_VALUE"""),0.0)</f>
        <v>0</v>
      </c>
      <c r="F158" s="3">
        <f>IFERROR(__xludf.DUMMYFUNCTION("""COMPUTED_VALUE"""),2.0)</f>
        <v>2</v>
      </c>
      <c r="G158" s="3">
        <f>IFERROR(__xludf.DUMMYFUNCTION("""COMPUTED_VALUE"""),0.0)</f>
        <v>0</v>
      </c>
      <c r="H158" s="3">
        <f>IFERROR(__xludf.DUMMYFUNCTION("""COMPUTED_VALUE"""),0.0)</f>
        <v>0</v>
      </c>
      <c r="I158" s="3">
        <f>IFERROR(__xludf.DUMMYFUNCTION("""COMPUTED_VALUE"""),0.0)</f>
        <v>0</v>
      </c>
      <c r="J158" s="3">
        <f>IFERROR(__xludf.DUMMYFUNCTION("""COMPUTED_VALUE"""),0.0)</f>
        <v>0</v>
      </c>
      <c r="K158" s="3">
        <f>IFERROR(__xludf.DUMMYFUNCTION("""COMPUTED_VALUE"""),0.0)</f>
        <v>0</v>
      </c>
      <c r="L158" s="3">
        <f>IFERROR(__xludf.DUMMYFUNCTION("""COMPUTED_VALUE"""),14.0)</f>
        <v>14</v>
      </c>
      <c r="M158" s="3">
        <f>IFERROR(__xludf.DUMMYFUNCTION("""COMPUTED_VALUE"""),0.0)</f>
        <v>0</v>
      </c>
      <c r="N158" s="3">
        <f>IFERROR(__xludf.DUMMYFUNCTION("""COMPUTED_VALUE"""),2.0)</f>
        <v>2</v>
      </c>
      <c r="O158" s="3">
        <f>IFERROR(__xludf.DUMMYFUNCTION("""COMPUTED_VALUE"""),0.0)</f>
        <v>0</v>
      </c>
      <c r="P158" s="3">
        <f>IFERROR(__xludf.DUMMYFUNCTION("""COMPUTED_VALUE"""),2.0)</f>
        <v>2</v>
      </c>
    </row>
    <row r="159">
      <c r="A159" s="3" t="str">
        <f>IFERROR(__xludf.DUMMYFUNCTION("""COMPUTED_VALUE"""),"*Tchécoslovaquie*[27]")</f>
        <v>*Tchécoslovaquie*[27]</v>
      </c>
      <c r="B159" s="3">
        <f>IFERROR(__xludf.DUMMYFUNCTION("""COMPUTED_VALUE"""),16.0)</f>
        <v>16</v>
      </c>
      <c r="C159" s="3">
        <f>IFERROR(__xludf.DUMMYFUNCTION("""COMPUTED_VALUE"""),49.0)</f>
        <v>49</v>
      </c>
      <c r="D159" s="3">
        <f>IFERROR(__xludf.DUMMYFUNCTION("""COMPUTED_VALUE"""),49.0)</f>
        <v>49</v>
      </c>
      <c r="E159" s="3">
        <f>IFERROR(__xludf.DUMMYFUNCTION("""COMPUTED_VALUE"""),45.0)</f>
        <v>45</v>
      </c>
      <c r="F159" s="3">
        <f>IFERROR(__xludf.DUMMYFUNCTION("""COMPUTED_VALUE"""),143.0)</f>
        <v>143</v>
      </c>
      <c r="G159" s="3">
        <f>IFERROR(__xludf.DUMMYFUNCTION("""COMPUTED_VALUE"""),16.0)</f>
        <v>16</v>
      </c>
      <c r="H159" s="3">
        <f>IFERROR(__xludf.DUMMYFUNCTION("""COMPUTED_VALUE"""),2.0)</f>
        <v>2</v>
      </c>
      <c r="I159" s="3">
        <f>IFERROR(__xludf.DUMMYFUNCTION("""COMPUTED_VALUE"""),8.0)</f>
        <v>8</v>
      </c>
      <c r="J159" s="3">
        <f>IFERROR(__xludf.DUMMYFUNCTION("""COMPUTED_VALUE"""),15.0)</f>
        <v>15</v>
      </c>
      <c r="K159" s="3">
        <f>IFERROR(__xludf.DUMMYFUNCTION("""COMPUTED_VALUE"""),25.0)</f>
        <v>25</v>
      </c>
      <c r="L159" s="3">
        <f>IFERROR(__xludf.DUMMYFUNCTION("""COMPUTED_VALUE"""),32.0)</f>
        <v>32</v>
      </c>
      <c r="M159" s="3">
        <f>IFERROR(__xludf.DUMMYFUNCTION("""COMPUTED_VALUE"""),51.0)</f>
        <v>51</v>
      </c>
      <c r="N159" s="3">
        <f>IFERROR(__xludf.DUMMYFUNCTION("""COMPUTED_VALUE"""),57.0)</f>
        <v>57</v>
      </c>
      <c r="O159" s="3">
        <f>IFERROR(__xludf.DUMMYFUNCTION("""COMPUTED_VALUE"""),60.0)</f>
        <v>60</v>
      </c>
      <c r="P159" s="3">
        <f>IFERROR(__xludf.DUMMYFUNCTION("""COMPUTED_VALUE"""),168.0)</f>
        <v>168</v>
      </c>
    </row>
    <row r="160">
      <c r="A160" s="3" t="str">
        <f>IFERROR(__xludf.DUMMYFUNCTION("""COMPUTED_VALUE"""),"Thaïlande")</f>
        <v>Thaïlande</v>
      </c>
      <c r="B160" s="3">
        <f>IFERROR(__xludf.DUMMYFUNCTION("""COMPUTED_VALUE"""),17.0)</f>
        <v>17</v>
      </c>
      <c r="C160" s="3">
        <f>IFERROR(__xludf.DUMMYFUNCTION("""COMPUTED_VALUE"""),10.0)</f>
        <v>10</v>
      </c>
      <c r="D160" s="3">
        <f>IFERROR(__xludf.DUMMYFUNCTION("""COMPUTED_VALUE"""),8.0)</f>
        <v>8</v>
      </c>
      <c r="E160" s="3">
        <f>IFERROR(__xludf.DUMMYFUNCTION("""COMPUTED_VALUE"""),17.0)</f>
        <v>17</v>
      </c>
      <c r="F160" s="3">
        <f>IFERROR(__xludf.DUMMYFUNCTION("""COMPUTED_VALUE"""),35.0)</f>
        <v>35</v>
      </c>
      <c r="G160" s="3">
        <f>IFERROR(__xludf.DUMMYFUNCTION("""COMPUTED_VALUE"""),4.0)</f>
        <v>4</v>
      </c>
      <c r="H160" s="3">
        <f>IFERROR(__xludf.DUMMYFUNCTION("""COMPUTED_VALUE"""),0.0)</f>
        <v>0</v>
      </c>
      <c r="I160" s="3">
        <f>IFERROR(__xludf.DUMMYFUNCTION("""COMPUTED_VALUE"""),0.0)</f>
        <v>0</v>
      </c>
      <c r="J160" s="3">
        <f>IFERROR(__xludf.DUMMYFUNCTION("""COMPUTED_VALUE"""),0.0)</f>
        <v>0</v>
      </c>
      <c r="K160" s="3">
        <f>IFERROR(__xludf.DUMMYFUNCTION("""COMPUTED_VALUE"""),0.0)</f>
        <v>0</v>
      </c>
      <c r="L160" s="3">
        <f>IFERROR(__xludf.DUMMYFUNCTION("""COMPUTED_VALUE"""),21.0)</f>
        <v>21</v>
      </c>
      <c r="M160" s="3">
        <f>IFERROR(__xludf.DUMMYFUNCTION("""COMPUTED_VALUE"""),10.0)</f>
        <v>10</v>
      </c>
      <c r="N160" s="3">
        <f>IFERROR(__xludf.DUMMYFUNCTION("""COMPUTED_VALUE"""),8.0)</f>
        <v>8</v>
      </c>
      <c r="O160" s="3">
        <f>IFERROR(__xludf.DUMMYFUNCTION("""COMPUTED_VALUE"""),17.0)</f>
        <v>17</v>
      </c>
      <c r="P160" s="3">
        <f>IFERROR(__xludf.DUMMYFUNCTION("""COMPUTED_VALUE"""),35.0)</f>
        <v>35</v>
      </c>
    </row>
    <row r="161">
      <c r="A161" s="3" t="str">
        <f>IFERROR(__xludf.DUMMYFUNCTION("""COMPUTED_VALUE"""),"Togo")</f>
        <v>Togo</v>
      </c>
      <c r="B161" s="3">
        <f>IFERROR(__xludf.DUMMYFUNCTION("""COMPUTED_VALUE"""),11.0)</f>
        <v>11</v>
      </c>
      <c r="C161" s="3">
        <f>IFERROR(__xludf.DUMMYFUNCTION("""COMPUTED_VALUE"""),0.0)</f>
        <v>0</v>
      </c>
      <c r="D161" s="3">
        <f>IFERROR(__xludf.DUMMYFUNCTION("""COMPUTED_VALUE"""),0.0)</f>
        <v>0</v>
      </c>
      <c r="E161" s="3">
        <f>IFERROR(__xludf.DUMMYFUNCTION("""COMPUTED_VALUE"""),1.0)</f>
        <v>1</v>
      </c>
      <c r="F161" s="3">
        <f>IFERROR(__xludf.DUMMYFUNCTION("""COMPUTED_VALUE"""),1.0)</f>
        <v>1</v>
      </c>
      <c r="G161" s="3">
        <f>IFERROR(__xludf.DUMMYFUNCTION("""COMPUTED_VALUE"""),2.0)</f>
        <v>2</v>
      </c>
      <c r="H161" s="3">
        <f>IFERROR(__xludf.DUMMYFUNCTION("""COMPUTED_VALUE"""),0.0)</f>
        <v>0</v>
      </c>
      <c r="I161" s="3">
        <f>IFERROR(__xludf.DUMMYFUNCTION("""COMPUTED_VALUE"""),0.0)</f>
        <v>0</v>
      </c>
      <c r="J161" s="3">
        <f>IFERROR(__xludf.DUMMYFUNCTION("""COMPUTED_VALUE"""),0.0)</f>
        <v>0</v>
      </c>
      <c r="K161" s="3">
        <f>IFERROR(__xludf.DUMMYFUNCTION("""COMPUTED_VALUE"""),0.0)</f>
        <v>0</v>
      </c>
      <c r="L161" s="3">
        <f>IFERROR(__xludf.DUMMYFUNCTION("""COMPUTED_VALUE"""),13.0)</f>
        <v>13</v>
      </c>
      <c r="M161" s="3">
        <f>IFERROR(__xludf.DUMMYFUNCTION("""COMPUTED_VALUE"""),0.0)</f>
        <v>0</v>
      </c>
      <c r="N161" s="3">
        <f>IFERROR(__xludf.DUMMYFUNCTION("""COMPUTED_VALUE"""),0.0)</f>
        <v>0</v>
      </c>
      <c r="O161" s="3">
        <f>IFERROR(__xludf.DUMMYFUNCTION("""COMPUTED_VALUE"""),1.0)</f>
        <v>1</v>
      </c>
      <c r="P161" s="3">
        <f>IFERROR(__xludf.DUMMYFUNCTION("""COMPUTED_VALUE"""),1.0)</f>
        <v>1</v>
      </c>
    </row>
    <row r="162">
      <c r="A162" s="3" t="str">
        <f>IFERROR(__xludf.DUMMYFUNCTION("""COMPUTED_VALUE"""),"Tonga")</f>
        <v>Tonga</v>
      </c>
      <c r="B162" s="3">
        <f>IFERROR(__xludf.DUMMYFUNCTION("""COMPUTED_VALUE"""),10.0)</f>
        <v>10</v>
      </c>
      <c r="C162" s="3">
        <f>IFERROR(__xludf.DUMMYFUNCTION("""COMPUTED_VALUE"""),0.0)</f>
        <v>0</v>
      </c>
      <c r="D162" s="3">
        <f>IFERROR(__xludf.DUMMYFUNCTION("""COMPUTED_VALUE"""),1.0)</f>
        <v>1</v>
      </c>
      <c r="E162" s="3">
        <f>IFERROR(__xludf.DUMMYFUNCTION("""COMPUTED_VALUE"""),0.0)</f>
        <v>0</v>
      </c>
      <c r="F162" s="3">
        <f>IFERROR(__xludf.DUMMYFUNCTION("""COMPUTED_VALUE"""),1.0)</f>
        <v>1</v>
      </c>
      <c r="G162" s="3">
        <f>IFERROR(__xludf.DUMMYFUNCTION("""COMPUTED_VALUE"""),2.0)</f>
        <v>2</v>
      </c>
      <c r="H162" s="3">
        <f>IFERROR(__xludf.DUMMYFUNCTION("""COMPUTED_VALUE"""),0.0)</f>
        <v>0</v>
      </c>
      <c r="I162" s="3">
        <f>IFERROR(__xludf.DUMMYFUNCTION("""COMPUTED_VALUE"""),0.0)</f>
        <v>0</v>
      </c>
      <c r="J162" s="3">
        <f>IFERROR(__xludf.DUMMYFUNCTION("""COMPUTED_VALUE"""),0.0)</f>
        <v>0</v>
      </c>
      <c r="K162" s="3">
        <f>IFERROR(__xludf.DUMMYFUNCTION("""COMPUTED_VALUE"""),0.0)</f>
        <v>0</v>
      </c>
      <c r="L162" s="3">
        <f>IFERROR(__xludf.DUMMYFUNCTION("""COMPUTED_VALUE"""),12.0)</f>
        <v>12</v>
      </c>
      <c r="M162" s="3">
        <f>IFERROR(__xludf.DUMMYFUNCTION("""COMPUTED_VALUE"""),0.0)</f>
        <v>0</v>
      </c>
      <c r="N162" s="3">
        <f>IFERROR(__xludf.DUMMYFUNCTION("""COMPUTED_VALUE"""),1.0)</f>
        <v>1</v>
      </c>
      <c r="O162" s="3">
        <f>IFERROR(__xludf.DUMMYFUNCTION("""COMPUTED_VALUE"""),0.0)</f>
        <v>0</v>
      </c>
      <c r="P162" s="3">
        <f>IFERROR(__xludf.DUMMYFUNCTION("""COMPUTED_VALUE"""),1.0)</f>
        <v>1</v>
      </c>
    </row>
    <row r="163">
      <c r="A163" s="3" t="str">
        <f>IFERROR(__xludf.DUMMYFUNCTION("""COMPUTED_VALUE"""),"Turkménistan")</f>
        <v>Turkménistan</v>
      </c>
      <c r="B163" s="3">
        <f>IFERROR(__xludf.DUMMYFUNCTION("""COMPUTED_VALUE"""),7.0)</f>
        <v>7</v>
      </c>
      <c r="C163" s="3">
        <f>IFERROR(__xludf.DUMMYFUNCTION("""COMPUTED_VALUE"""),0.0)</f>
        <v>0</v>
      </c>
      <c r="D163" s="3">
        <f>IFERROR(__xludf.DUMMYFUNCTION("""COMPUTED_VALUE"""),1.0)</f>
        <v>1</v>
      </c>
      <c r="E163" s="3">
        <f>IFERROR(__xludf.DUMMYFUNCTION("""COMPUTED_VALUE"""),0.0)</f>
        <v>0</v>
      </c>
      <c r="F163" s="3">
        <f>IFERROR(__xludf.DUMMYFUNCTION("""COMPUTED_VALUE"""),1.0)</f>
        <v>1</v>
      </c>
      <c r="G163" s="3">
        <f>IFERROR(__xludf.DUMMYFUNCTION("""COMPUTED_VALUE"""),0.0)</f>
        <v>0</v>
      </c>
      <c r="H163" s="3">
        <f>IFERROR(__xludf.DUMMYFUNCTION("""COMPUTED_VALUE"""),0.0)</f>
        <v>0</v>
      </c>
      <c r="I163" s="3">
        <f>IFERROR(__xludf.DUMMYFUNCTION("""COMPUTED_VALUE"""),0.0)</f>
        <v>0</v>
      </c>
      <c r="J163" s="3">
        <f>IFERROR(__xludf.DUMMYFUNCTION("""COMPUTED_VALUE"""),0.0)</f>
        <v>0</v>
      </c>
      <c r="K163" s="3">
        <f>IFERROR(__xludf.DUMMYFUNCTION("""COMPUTED_VALUE"""),0.0)</f>
        <v>0</v>
      </c>
      <c r="L163" s="3">
        <f>IFERROR(__xludf.DUMMYFUNCTION("""COMPUTED_VALUE"""),7.0)</f>
        <v>7</v>
      </c>
      <c r="M163" s="3">
        <f>IFERROR(__xludf.DUMMYFUNCTION("""COMPUTED_VALUE"""),0.0)</f>
        <v>0</v>
      </c>
      <c r="N163" s="3">
        <f>IFERROR(__xludf.DUMMYFUNCTION("""COMPUTED_VALUE"""),1.0)</f>
        <v>1</v>
      </c>
      <c r="O163" s="3">
        <f>IFERROR(__xludf.DUMMYFUNCTION("""COMPUTED_VALUE"""),0.0)</f>
        <v>0</v>
      </c>
      <c r="P163" s="3">
        <f>IFERROR(__xludf.DUMMYFUNCTION("""COMPUTED_VALUE"""),1.0)</f>
        <v>1</v>
      </c>
    </row>
    <row r="164">
      <c r="A164" s="3" t="str">
        <f>IFERROR(__xludf.DUMMYFUNCTION("""COMPUTED_VALUE"""),"Trinité-et-Tobago[28]")</f>
        <v>Trinité-et-Tobago[28]</v>
      </c>
      <c r="B164" s="3">
        <f>IFERROR(__xludf.DUMMYFUNCTION("""COMPUTED_VALUE"""),18.0)</f>
        <v>18</v>
      </c>
      <c r="C164" s="3">
        <f>IFERROR(__xludf.DUMMYFUNCTION("""COMPUTED_VALUE"""),3.0)</f>
        <v>3</v>
      </c>
      <c r="D164" s="3">
        <f>IFERROR(__xludf.DUMMYFUNCTION("""COMPUTED_VALUE"""),5.0)</f>
        <v>5</v>
      </c>
      <c r="E164" s="3">
        <f>IFERROR(__xludf.DUMMYFUNCTION("""COMPUTED_VALUE"""),11.0)</f>
        <v>11</v>
      </c>
      <c r="F164" s="3">
        <f>IFERROR(__xludf.DUMMYFUNCTION("""COMPUTED_VALUE"""),19.0)</f>
        <v>19</v>
      </c>
      <c r="G164" s="3">
        <f>IFERROR(__xludf.DUMMYFUNCTION("""COMPUTED_VALUE"""),3.0)</f>
        <v>3</v>
      </c>
      <c r="H164" s="3">
        <f>IFERROR(__xludf.DUMMYFUNCTION("""COMPUTED_VALUE"""),0.0)</f>
        <v>0</v>
      </c>
      <c r="I164" s="3">
        <f>IFERROR(__xludf.DUMMYFUNCTION("""COMPUTED_VALUE"""),0.0)</f>
        <v>0</v>
      </c>
      <c r="J164" s="3">
        <f>IFERROR(__xludf.DUMMYFUNCTION("""COMPUTED_VALUE"""),0.0)</f>
        <v>0</v>
      </c>
      <c r="K164" s="3">
        <f>IFERROR(__xludf.DUMMYFUNCTION("""COMPUTED_VALUE"""),0.0)</f>
        <v>0</v>
      </c>
      <c r="L164" s="3">
        <f>IFERROR(__xludf.DUMMYFUNCTION("""COMPUTED_VALUE"""),21.0)</f>
        <v>21</v>
      </c>
      <c r="M164" s="3">
        <f>IFERROR(__xludf.DUMMYFUNCTION("""COMPUTED_VALUE"""),3.0)</f>
        <v>3</v>
      </c>
      <c r="N164" s="3">
        <f>IFERROR(__xludf.DUMMYFUNCTION("""COMPUTED_VALUE"""),5.0)</f>
        <v>5</v>
      </c>
      <c r="O164" s="3">
        <f>IFERROR(__xludf.DUMMYFUNCTION("""COMPUTED_VALUE"""),11.0)</f>
        <v>11</v>
      </c>
      <c r="P164" s="3">
        <f>IFERROR(__xludf.DUMMYFUNCTION("""COMPUTED_VALUE"""),19.0)</f>
        <v>19</v>
      </c>
    </row>
    <row r="165">
      <c r="A165" s="3" t="str">
        <f>IFERROR(__xludf.DUMMYFUNCTION("""COMPUTED_VALUE"""),"Tunisie")</f>
        <v>Tunisie</v>
      </c>
      <c r="B165" s="3">
        <f>IFERROR(__xludf.DUMMYFUNCTION("""COMPUTED_VALUE"""),16.0)</f>
        <v>16</v>
      </c>
      <c r="C165" s="3">
        <f>IFERROR(__xludf.DUMMYFUNCTION("""COMPUTED_VALUE"""),6.0)</f>
        <v>6</v>
      </c>
      <c r="D165" s="3">
        <f>IFERROR(__xludf.DUMMYFUNCTION("""COMPUTED_VALUE"""),4.0)</f>
        <v>4</v>
      </c>
      <c r="E165" s="3">
        <f>IFERROR(__xludf.DUMMYFUNCTION("""COMPUTED_VALUE"""),8.0)</f>
        <v>8</v>
      </c>
      <c r="F165" s="3">
        <f>IFERROR(__xludf.DUMMYFUNCTION("""COMPUTED_VALUE"""),18.0)</f>
        <v>18</v>
      </c>
      <c r="G165" s="3">
        <f>IFERROR(__xludf.DUMMYFUNCTION("""COMPUTED_VALUE"""),0.0)</f>
        <v>0</v>
      </c>
      <c r="H165" s="3">
        <f>IFERROR(__xludf.DUMMYFUNCTION("""COMPUTED_VALUE"""),0.0)</f>
        <v>0</v>
      </c>
      <c r="I165" s="3">
        <f>IFERROR(__xludf.DUMMYFUNCTION("""COMPUTED_VALUE"""),0.0)</f>
        <v>0</v>
      </c>
      <c r="J165" s="3">
        <f>IFERROR(__xludf.DUMMYFUNCTION("""COMPUTED_VALUE"""),0.0)</f>
        <v>0</v>
      </c>
      <c r="K165" s="3">
        <f>IFERROR(__xludf.DUMMYFUNCTION("""COMPUTED_VALUE"""),0.0)</f>
        <v>0</v>
      </c>
      <c r="L165" s="3">
        <f>IFERROR(__xludf.DUMMYFUNCTION("""COMPUTED_VALUE"""),16.0)</f>
        <v>16</v>
      </c>
      <c r="M165" s="3">
        <f>IFERROR(__xludf.DUMMYFUNCTION("""COMPUTED_VALUE"""),6.0)</f>
        <v>6</v>
      </c>
      <c r="N165" s="3">
        <f>IFERROR(__xludf.DUMMYFUNCTION("""COMPUTED_VALUE"""),4.0)</f>
        <v>4</v>
      </c>
      <c r="O165" s="3">
        <f>IFERROR(__xludf.DUMMYFUNCTION("""COMPUTED_VALUE"""),8.0)</f>
        <v>8</v>
      </c>
      <c r="P165" s="3">
        <f>IFERROR(__xludf.DUMMYFUNCTION("""COMPUTED_VALUE"""),18.0)</f>
        <v>18</v>
      </c>
    </row>
    <row r="166">
      <c r="A166" s="3" t="str">
        <f>IFERROR(__xludf.DUMMYFUNCTION("""COMPUTED_VALUE"""),"Turquie")</f>
        <v>Turquie</v>
      </c>
      <c r="B166" s="3">
        <f>IFERROR(__xludf.DUMMYFUNCTION("""COMPUTED_VALUE"""),23.0)</f>
        <v>23</v>
      </c>
      <c r="C166" s="3">
        <f>IFERROR(__xludf.DUMMYFUNCTION("""COMPUTED_VALUE"""),41.0)</f>
        <v>41</v>
      </c>
      <c r="D166" s="3">
        <f>IFERROR(__xludf.DUMMYFUNCTION("""COMPUTED_VALUE"""),26.0)</f>
        <v>26</v>
      </c>
      <c r="E166" s="3">
        <f>IFERROR(__xludf.DUMMYFUNCTION("""COMPUTED_VALUE"""),37.0)</f>
        <v>37</v>
      </c>
      <c r="F166" s="3">
        <f>IFERROR(__xludf.DUMMYFUNCTION("""COMPUTED_VALUE"""),104.0)</f>
        <v>104</v>
      </c>
      <c r="G166" s="3">
        <f>IFERROR(__xludf.DUMMYFUNCTION("""COMPUTED_VALUE"""),17.0)</f>
        <v>17</v>
      </c>
      <c r="H166" s="3">
        <f>IFERROR(__xludf.DUMMYFUNCTION("""COMPUTED_VALUE"""),0.0)</f>
        <v>0</v>
      </c>
      <c r="I166" s="3">
        <f>IFERROR(__xludf.DUMMYFUNCTION("""COMPUTED_VALUE"""),0.0)</f>
        <v>0</v>
      </c>
      <c r="J166" s="3">
        <f>IFERROR(__xludf.DUMMYFUNCTION("""COMPUTED_VALUE"""),0.0)</f>
        <v>0</v>
      </c>
      <c r="K166" s="3">
        <f>IFERROR(__xludf.DUMMYFUNCTION("""COMPUTED_VALUE"""),0.0)</f>
        <v>0</v>
      </c>
      <c r="L166" s="3">
        <f>IFERROR(__xludf.DUMMYFUNCTION("""COMPUTED_VALUE"""),40.0)</f>
        <v>40</v>
      </c>
      <c r="M166" s="3">
        <f>IFERROR(__xludf.DUMMYFUNCTION("""COMPUTED_VALUE"""),41.0)</f>
        <v>41</v>
      </c>
      <c r="N166" s="3">
        <f>IFERROR(__xludf.DUMMYFUNCTION("""COMPUTED_VALUE"""),26.0)</f>
        <v>26</v>
      </c>
      <c r="O166" s="3">
        <f>IFERROR(__xludf.DUMMYFUNCTION("""COMPUTED_VALUE"""),37.0)</f>
        <v>37</v>
      </c>
      <c r="P166" s="3">
        <f>IFERROR(__xludf.DUMMYFUNCTION("""COMPUTED_VALUE"""),104.0)</f>
        <v>104</v>
      </c>
    </row>
    <row r="167">
      <c r="A167" s="3" t="str">
        <f>IFERROR(__xludf.DUMMYFUNCTION("""COMPUTED_VALUE"""),"Ukraine")</f>
        <v>Ukraine</v>
      </c>
      <c r="B167" s="3">
        <f>IFERROR(__xludf.DUMMYFUNCTION("""COMPUTED_VALUE"""),7.0)</f>
        <v>7</v>
      </c>
      <c r="C167" s="3">
        <f>IFERROR(__xludf.DUMMYFUNCTION("""COMPUTED_VALUE"""),35.0)</f>
        <v>35</v>
      </c>
      <c r="D167" s="3">
        <f>IFERROR(__xludf.DUMMYFUNCTION("""COMPUTED_VALUE"""),36.0)</f>
        <v>36</v>
      </c>
      <c r="E167" s="3">
        <f>IFERROR(__xludf.DUMMYFUNCTION("""COMPUTED_VALUE"""),68.0)</f>
        <v>68</v>
      </c>
      <c r="F167" s="3">
        <f>IFERROR(__xludf.DUMMYFUNCTION("""COMPUTED_VALUE"""),139.0)</f>
        <v>139</v>
      </c>
      <c r="G167" s="3">
        <f>IFERROR(__xludf.DUMMYFUNCTION("""COMPUTED_VALUE"""),7.0)</f>
        <v>7</v>
      </c>
      <c r="H167" s="3">
        <f>IFERROR(__xludf.DUMMYFUNCTION("""COMPUTED_VALUE"""),3.0)</f>
        <v>3</v>
      </c>
      <c r="I167" s="3">
        <f>IFERROR(__xludf.DUMMYFUNCTION("""COMPUTED_VALUE"""),1.0)</f>
        <v>1</v>
      </c>
      <c r="J167" s="3">
        <f>IFERROR(__xludf.DUMMYFUNCTION("""COMPUTED_VALUE"""),4.0)</f>
        <v>4</v>
      </c>
      <c r="K167" s="3">
        <f>IFERROR(__xludf.DUMMYFUNCTION("""COMPUTED_VALUE"""),8.0)</f>
        <v>8</v>
      </c>
      <c r="L167" s="3">
        <f>IFERROR(__xludf.DUMMYFUNCTION("""COMPUTED_VALUE"""),14.0)</f>
        <v>14</v>
      </c>
      <c r="M167" s="3">
        <f>IFERROR(__xludf.DUMMYFUNCTION("""COMPUTED_VALUE"""),38.0)</f>
        <v>38</v>
      </c>
      <c r="N167" s="3">
        <f>IFERROR(__xludf.DUMMYFUNCTION("""COMPUTED_VALUE"""),37.0)</f>
        <v>37</v>
      </c>
      <c r="O167" s="3">
        <f>IFERROR(__xludf.DUMMYFUNCTION("""COMPUTED_VALUE"""),72.0)</f>
        <v>72</v>
      </c>
      <c r="P167" s="3">
        <f>IFERROR(__xludf.DUMMYFUNCTION("""COMPUTED_VALUE"""),147.0)</f>
        <v>147</v>
      </c>
    </row>
    <row r="168">
      <c r="A168" s="3" t="str">
        <f>IFERROR(__xludf.DUMMYFUNCTION("""COMPUTED_VALUE"""),"*Union soviétique*[29]")</f>
        <v>*Union soviétique*[29]</v>
      </c>
      <c r="B168" s="3">
        <f>IFERROR(__xludf.DUMMYFUNCTION("""COMPUTED_VALUE"""),9.0)</f>
        <v>9</v>
      </c>
      <c r="C168" s="3">
        <f>IFERROR(__xludf.DUMMYFUNCTION("""COMPUTED_VALUE"""),395.0)</f>
        <v>395</v>
      </c>
      <c r="D168" s="3">
        <f>IFERROR(__xludf.DUMMYFUNCTION("""COMPUTED_VALUE"""),319.0)</f>
        <v>319</v>
      </c>
      <c r="E168" s="3">
        <f>IFERROR(__xludf.DUMMYFUNCTION("""COMPUTED_VALUE"""),296.0)</f>
        <v>296</v>
      </c>
      <c r="F168" s="3">
        <f>IFERROR(__xludf.DUMMYFUNCTION("""COMPUTED_VALUE"""),1010.0)</f>
        <v>1010</v>
      </c>
      <c r="G168" s="3">
        <f>IFERROR(__xludf.DUMMYFUNCTION("""COMPUTED_VALUE"""),9.0)</f>
        <v>9</v>
      </c>
      <c r="H168" s="3">
        <f>IFERROR(__xludf.DUMMYFUNCTION("""COMPUTED_VALUE"""),78.0)</f>
        <v>78</v>
      </c>
      <c r="I168" s="3">
        <f>IFERROR(__xludf.DUMMYFUNCTION("""COMPUTED_VALUE"""),57.0)</f>
        <v>57</v>
      </c>
      <c r="J168" s="3">
        <f>IFERROR(__xludf.DUMMYFUNCTION("""COMPUTED_VALUE"""),59.0)</f>
        <v>59</v>
      </c>
      <c r="K168" s="3">
        <f>IFERROR(__xludf.DUMMYFUNCTION("""COMPUTED_VALUE"""),194.0)</f>
        <v>194</v>
      </c>
      <c r="L168" s="3">
        <f>IFERROR(__xludf.DUMMYFUNCTION("""COMPUTED_VALUE"""),18.0)</f>
        <v>18</v>
      </c>
      <c r="M168" s="3">
        <f>IFERROR(__xludf.DUMMYFUNCTION("""COMPUTED_VALUE"""),473.0)</f>
        <v>473</v>
      </c>
      <c r="N168" s="3">
        <f>IFERROR(__xludf.DUMMYFUNCTION("""COMPUTED_VALUE"""),376.0)</f>
        <v>376</v>
      </c>
      <c r="O168" s="3">
        <f>IFERROR(__xludf.DUMMYFUNCTION("""COMPUTED_VALUE"""),355.0)</f>
        <v>355</v>
      </c>
      <c r="P168" s="3">
        <f>IFERROR(__xludf.DUMMYFUNCTION("""COMPUTED_VALUE"""),1204.0)</f>
        <v>1204</v>
      </c>
    </row>
    <row r="169">
      <c r="A169" s="3" t="str">
        <f>IFERROR(__xludf.DUMMYFUNCTION("""COMPUTED_VALUE"""),"Uruguay")</f>
        <v>Uruguay</v>
      </c>
      <c r="B169" s="3">
        <f>IFERROR(__xludf.DUMMYFUNCTION("""COMPUTED_VALUE"""),22.0)</f>
        <v>22</v>
      </c>
      <c r="C169" s="3">
        <f>IFERROR(__xludf.DUMMYFUNCTION("""COMPUTED_VALUE"""),2.0)</f>
        <v>2</v>
      </c>
      <c r="D169" s="3">
        <f>IFERROR(__xludf.DUMMYFUNCTION("""COMPUTED_VALUE"""),2.0)</f>
        <v>2</v>
      </c>
      <c r="E169" s="3">
        <f>IFERROR(__xludf.DUMMYFUNCTION("""COMPUTED_VALUE"""),6.0)</f>
        <v>6</v>
      </c>
      <c r="F169" s="3">
        <f>IFERROR(__xludf.DUMMYFUNCTION("""COMPUTED_VALUE"""),10.0)</f>
        <v>10</v>
      </c>
      <c r="G169" s="3">
        <f>IFERROR(__xludf.DUMMYFUNCTION("""COMPUTED_VALUE"""),1.0)</f>
        <v>1</v>
      </c>
      <c r="H169" s="3">
        <f>IFERROR(__xludf.DUMMYFUNCTION("""COMPUTED_VALUE"""),0.0)</f>
        <v>0</v>
      </c>
      <c r="I169" s="3">
        <f>IFERROR(__xludf.DUMMYFUNCTION("""COMPUTED_VALUE"""),0.0)</f>
        <v>0</v>
      </c>
      <c r="J169" s="3">
        <f>IFERROR(__xludf.DUMMYFUNCTION("""COMPUTED_VALUE"""),0.0)</f>
        <v>0</v>
      </c>
      <c r="K169" s="3">
        <f>IFERROR(__xludf.DUMMYFUNCTION("""COMPUTED_VALUE"""),0.0)</f>
        <v>0</v>
      </c>
      <c r="L169" s="3">
        <f>IFERROR(__xludf.DUMMYFUNCTION("""COMPUTED_VALUE"""),23.0)</f>
        <v>23</v>
      </c>
      <c r="M169" s="3">
        <f>IFERROR(__xludf.DUMMYFUNCTION("""COMPUTED_VALUE"""),2.0)</f>
        <v>2</v>
      </c>
      <c r="N169" s="3">
        <f>IFERROR(__xludf.DUMMYFUNCTION("""COMPUTED_VALUE"""),2.0)</f>
        <v>2</v>
      </c>
      <c r="O169" s="3">
        <f>IFERROR(__xludf.DUMMYFUNCTION("""COMPUTED_VALUE"""),6.0)</f>
        <v>6</v>
      </c>
      <c r="P169" s="3">
        <f>IFERROR(__xludf.DUMMYFUNCTION("""COMPUTED_VALUE"""),10.0)</f>
        <v>10</v>
      </c>
    </row>
    <row r="170">
      <c r="A170" s="3" t="str">
        <f>IFERROR(__xludf.DUMMYFUNCTION("""COMPUTED_VALUE"""),"Venezuela")</f>
        <v>Venezuela</v>
      </c>
      <c r="B170" s="3">
        <f>IFERROR(__xludf.DUMMYFUNCTION("""COMPUTED_VALUE"""),19.0)</f>
        <v>19</v>
      </c>
      <c r="C170" s="3">
        <f>IFERROR(__xludf.DUMMYFUNCTION("""COMPUTED_VALUE"""),3.0)</f>
        <v>3</v>
      </c>
      <c r="D170" s="3">
        <f>IFERROR(__xludf.DUMMYFUNCTION("""COMPUTED_VALUE"""),7.0)</f>
        <v>7</v>
      </c>
      <c r="E170" s="3">
        <f>IFERROR(__xludf.DUMMYFUNCTION("""COMPUTED_VALUE"""),9.0)</f>
        <v>9</v>
      </c>
      <c r="F170" s="3">
        <f>IFERROR(__xludf.DUMMYFUNCTION("""COMPUTED_VALUE"""),19.0)</f>
        <v>19</v>
      </c>
      <c r="G170" s="3">
        <f>IFERROR(__xludf.DUMMYFUNCTION("""COMPUTED_VALUE"""),4.0)</f>
        <v>4</v>
      </c>
      <c r="H170" s="3">
        <f>IFERROR(__xludf.DUMMYFUNCTION("""COMPUTED_VALUE"""),0.0)</f>
        <v>0</v>
      </c>
      <c r="I170" s="3">
        <f>IFERROR(__xludf.DUMMYFUNCTION("""COMPUTED_VALUE"""),0.0)</f>
        <v>0</v>
      </c>
      <c r="J170" s="3">
        <f>IFERROR(__xludf.DUMMYFUNCTION("""COMPUTED_VALUE"""),0.0)</f>
        <v>0</v>
      </c>
      <c r="K170" s="3">
        <f>IFERROR(__xludf.DUMMYFUNCTION("""COMPUTED_VALUE"""),0.0)</f>
        <v>0</v>
      </c>
      <c r="L170" s="3">
        <f>IFERROR(__xludf.DUMMYFUNCTION("""COMPUTED_VALUE"""),23.0)</f>
        <v>23</v>
      </c>
      <c r="M170" s="3">
        <f>IFERROR(__xludf.DUMMYFUNCTION("""COMPUTED_VALUE"""),3.0)</f>
        <v>3</v>
      </c>
      <c r="N170" s="3">
        <f>IFERROR(__xludf.DUMMYFUNCTION("""COMPUTED_VALUE"""),7.0)</f>
        <v>7</v>
      </c>
      <c r="O170" s="3">
        <f>IFERROR(__xludf.DUMMYFUNCTION("""COMPUTED_VALUE"""),9.0)</f>
        <v>9</v>
      </c>
      <c r="P170" s="3">
        <f>IFERROR(__xludf.DUMMYFUNCTION("""COMPUTED_VALUE"""),19.0)</f>
        <v>19</v>
      </c>
    </row>
    <row r="171">
      <c r="A171" s="3" t="str">
        <f>IFERROR(__xludf.DUMMYFUNCTION("""COMPUTED_VALUE"""),"Viêt Nam")</f>
        <v>Viêt Nam</v>
      </c>
      <c r="B171" s="3">
        <f>IFERROR(__xludf.DUMMYFUNCTION("""COMPUTED_VALUE"""),16.0)</f>
        <v>16</v>
      </c>
      <c r="C171" s="3">
        <f>IFERROR(__xludf.DUMMYFUNCTION("""COMPUTED_VALUE"""),1.0)</f>
        <v>1</v>
      </c>
      <c r="D171" s="3">
        <f>IFERROR(__xludf.DUMMYFUNCTION("""COMPUTED_VALUE"""),3.0)</f>
        <v>3</v>
      </c>
      <c r="E171" s="3">
        <f>IFERROR(__xludf.DUMMYFUNCTION("""COMPUTED_VALUE"""),1.0)</f>
        <v>1</v>
      </c>
      <c r="F171" s="3">
        <f>IFERROR(__xludf.DUMMYFUNCTION("""COMPUTED_VALUE"""),5.0)</f>
        <v>5</v>
      </c>
      <c r="G171" s="3">
        <f>IFERROR(__xludf.DUMMYFUNCTION("""COMPUTED_VALUE"""),0.0)</f>
        <v>0</v>
      </c>
      <c r="H171" s="3">
        <f>IFERROR(__xludf.DUMMYFUNCTION("""COMPUTED_VALUE"""),0.0)</f>
        <v>0</v>
      </c>
      <c r="I171" s="3">
        <f>IFERROR(__xludf.DUMMYFUNCTION("""COMPUTED_VALUE"""),0.0)</f>
        <v>0</v>
      </c>
      <c r="J171" s="3">
        <f>IFERROR(__xludf.DUMMYFUNCTION("""COMPUTED_VALUE"""),0.0)</f>
        <v>0</v>
      </c>
      <c r="K171" s="3">
        <f>IFERROR(__xludf.DUMMYFUNCTION("""COMPUTED_VALUE"""),0.0)</f>
        <v>0</v>
      </c>
      <c r="L171" s="3">
        <f>IFERROR(__xludf.DUMMYFUNCTION("""COMPUTED_VALUE"""),16.0)</f>
        <v>16</v>
      </c>
      <c r="M171" s="3">
        <f>IFERROR(__xludf.DUMMYFUNCTION("""COMPUTED_VALUE"""),1.0)</f>
        <v>1</v>
      </c>
      <c r="N171" s="3">
        <f>IFERROR(__xludf.DUMMYFUNCTION("""COMPUTED_VALUE"""),3.0)</f>
        <v>3</v>
      </c>
      <c r="O171" s="3">
        <f>IFERROR(__xludf.DUMMYFUNCTION("""COMPUTED_VALUE"""),1.0)</f>
        <v>1</v>
      </c>
      <c r="P171" s="3">
        <f>IFERROR(__xludf.DUMMYFUNCTION("""COMPUTED_VALUE"""),5.0)</f>
        <v>5</v>
      </c>
    </row>
    <row r="172">
      <c r="A172" s="3" t="str">
        <f>IFERROR(__xludf.DUMMYFUNCTION("""COMPUTED_VALUE"""),"* Yougoslavie*[30]")</f>
        <v>* Yougoslavie*[30]</v>
      </c>
      <c r="B172" s="3">
        <f>IFERROR(__xludf.DUMMYFUNCTION("""COMPUTED_VALUE"""),16.0)</f>
        <v>16</v>
      </c>
      <c r="C172" s="3">
        <f>IFERROR(__xludf.DUMMYFUNCTION("""COMPUTED_VALUE"""),28.0)</f>
        <v>28</v>
      </c>
      <c r="D172" s="3">
        <f>IFERROR(__xludf.DUMMYFUNCTION("""COMPUTED_VALUE"""),31.0)</f>
        <v>31</v>
      </c>
      <c r="E172" s="3">
        <f>IFERROR(__xludf.DUMMYFUNCTION("""COMPUTED_VALUE"""),31.0)</f>
        <v>31</v>
      </c>
      <c r="F172" s="3">
        <f>IFERROR(__xludf.DUMMYFUNCTION("""COMPUTED_VALUE"""),90.0)</f>
        <v>90</v>
      </c>
      <c r="G172" s="3">
        <f>IFERROR(__xludf.DUMMYFUNCTION("""COMPUTED_VALUE"""),14.0)</f>
        <v>14</v>
      </c>
      <c r="H172" s="3">
        <f>IFERROR(__xludf.DUMMYFUNCTION("""COMPUTED_VALUE"""),0.0)</f>
        <v>0</v>
      </c>
      <c r="I172" s="3">
        <f>IFERROR(__xludf.DUMMYFUNCTION("""COMPUTED_VALUE"""),3.0)</f>
        <v>3</v>
      </c>
      <c r="J172" s="3">
        <f>IFERROR(__xludf.DUMMYFUNCTION("""COMPUTED_VALUE"""),1.0)</f>
        <v>1</v>
      </c>
      <c r="K172" s="3">
        <f>IFERROR(__xludf.DUMMYFUNCTION("""COMPUTED_VALUE"""),4.0)</f>
        <v>4</v>
      </c>
      <c r="L172" s="3">
        <f>IFERROR(__xludf.DUMMYFUNCTION("""COMPUTED_VALUE"""),30.0)</f>
        <v>30</v>
      </c>
      <c r="M172" s="3">
        <f>IFERROR(__xludf.DUMMYFUNCTION("""COMPUTED_VALUE"""),26.0)</f>
        <v>26</v>
      </c>
      <c r="N172" s="3">
        <f>IFERROR(__xludf.DUMMYFUNCTION("""COMPUTED_VALUE"""),32.0)</f>
        <v>32</v>
      </c>
      <c r="O172" s="3">
        <f>IFERROR(__xludf.DUMMYFUNCTION("""COMPUTED_VALUE"""),29.0)</f>
        <v>29</v>
      </c>
      <c r="P172" s="3">
        <f>IFERROR(__xludf.DUMMYFUNCTION("""COMPUTED_VALUE"""),87.0)</f>
        <v>87</v>
      </c>
    </row>
    <row r="173">
      <c r="A173" s="3" t="str">
        <f>IFERROR(__xludf.DUMMYFUNCTION("""COMPUTED_VALUE"""),"Zambie")</f>
        <v>Zambie</v>
      </c>
      <c r="B173" s="3">
        <f>IFERROR(__xludf.DUMMYFUNCTION("""COMPUTED_VALUE"""),14.0)</f>
        <v>14</v>
      </c>
      <c r="C173" s="3">
        <f>IFERROR(__xludf.DUMMYFUNCTION("""COMPUTED_VALUE"""),0.0)</f>
        <v>0</v>
      </c>
      <c r="D173" s="3">
        <f>IFERROR(__xludf.DUMMYFUNCTION("""COMPUTED_VALUE"""),1.0)</f>
        <v>1</v>
      </c>
      <c r="E173" s="3">
        <f>IFERROR(__xludf.DUMMYFUNCTION("""COMPUTED_VALUE"""),1.0)</f>
        <v>1</v>
      </c>
      <c r="F173" s="3">
        <f>IFERROR(__xludf.DUMMYFUNCTION("""COMPUTED_VALUE"""),2.0)</f>
        <v>2</v>
      </c>
      <c r="G173" s="3">
        <f>IFERROR(__xludf.DUMMYFUNCTION("""COMPUTED_VALUE"""),0.0)</f>
        <v>0</v>
      </c>
      <c r="H173" s="3">
        <f>IFERROR(__xludf.DUMMYFUNCTION("""COMPUTED_VALUE"""),0.0)</f>
        <v>0</v>
      </c>
      <c r="I173" s="3">
        <f>IFERROR(__xludf.DUMMYFUNCTION("""COMPUTED_VALUE"""),0.0)</f>
        <v>0</v>
      </c>
      <c r="J173" s="3">
        <f>IFERROR(__xludf.DUMMYFUNCTION("""COMPUTED_VALUE"""),0.0)</f>
        <v>0</v>
      </c>
      <c r="K173" s="3">
        <f>IFERROR(__xludf.DUMMYFUNCTION("""COMPUTED_VALUE"""),0.0)</f>
        <v>0</v>
      </c>
      <c r="L173" s="3">
        <f>IFERROR(__xludf.DUMMYFUNCTION("""COMPUTED_VALUE"""),14.0)</f>
        <v>14</v>
      </c>
      <c r="M173" s="3">
        <f>IFERROR(__xludf.DUMMYFUNCTION("""COMPUTED_VALUE"""),0.0)</f>
        <v>0</v>
      </c>
      <c r="N173" s="3">
        <f>IFERROR(__xludf.DUMMYFUNCTION("""COMPUTED_VALUE"""),1.0)</f>
        <v>1</v>
      </c>
      <c r="O173" s="3">
        <f>IFERROR(__xludf.DUMMYFUNCTION("""COMPUTED_VALUE"""),1.0)</f>
        <v>1</v>
      </c>
      <c r="P173" s="3">
        <f>IFERROR(__xludf.DUMMYFUNCTION("""COMPUTED_VALUE"""),2.0)</f>
        <v>2</v>
      </c>
    </row>
    <row r="174">
      <c r="A174" s="3" t="str">
        <f>IFERROR(__xludf.DUMMYFUNCTION("""COMPUTED_VALUE"""),"Zimbabwe")</f>
        <v>Zimbabwe</v>
      </c>
      <c r="B174" s="3">
        <f>IFERROR(__xludf.DUMMYFUNCTION("""COMPUTED_VALUE"""),14.0)</f>
        <v>14</v>
      </c>
      <c r="C174" s="3">
        <f>IFERROR(__xludf.DUMMYFUNCTION("""COMPUTED_VALUE"""),3.0)</f>
        <v>3</v>
      </c>
      <c r="D174" s="3">
        <f>IFERROR(__xludf.DUMMYFUNCTION("""COMPUTED_VALUE"""),4.0)</f>
        <v>4</v>
      </c>
      <c r="E174" s="3">
        <f>IFERROR(__xludf.DUMMYFUNCTION("""COMPUTED_VALUE"""),1.0)</f>
        <v>1</v>
      </c>
      <c r="F174" s="3">
        <f>IFERROR(__xludf.DUMMYFUNCTION("""COMPUTED_VALUE"""),8.0)</f>
        <v>8</v>
      </c>
      <c r="G174" s="3">
        <f>IFERROR(__xludf.DUMMYFUNCTION("""COMPUTED_VALUE"""),1.0)</f>
        <v>1</v>
      </c>
      <c r="H174" s="3">
        <f>IFERROR(__xludf.DUMMYFUNCTION("""COMPUTED_VALUE"""),0.0)</f>
        <v>0</v>
      </c>
      <c r="I174" s="3">
        <f>IFERROR(__xludf.DUMMYFUNCTION("""COMPUTED_VALUE"""),0.0)</f>
        <v>0</v>
      </c>
      <c r="J174" s="3">
        <f>IFERROR(__xludf.DUMMYFUNCTION("""COMPUTED_VALUE"""),0.0)</f>
        <v>0</v>
      </c>
      <c r="K174" s="3">
        <f>IFERROR(__xludf.DUMMYFUNCTION("""COMPUTED_VALUE"""),0.0)</f>
        <v>0</v>
      </c>
      <c r="L174" s="3">
        <f>IFERROR(__xludf.DUMMYFUNCTION("""COMPUTED_VALUE"""),15.0)</f>
        <v>15</v>
      </c>
      <c r="M174" s="3">
        <f>IFERROR(__xludf.DUMMYFUNCTION("""COMPUTED_VALUE"""),3.0)</f>
        <v>3</v>
      </c>
      <c r="N174" s="3">
        <f>IFERROR(__xludf.DUMMYFUNCTION("""COMPUTED_VALUE"""),4.0)</f>
        <v>4</v>
      </c>
      <c r="O174" s="3">
        <f>IFERROR(__xludf.DUMMYFUNCTION("""COMPUTED_VALUE"""),1.0)</f>
        <v>1</v>
      </c>
      <c r="P174" s="3">
        <f>IFERROR(__xludf.DUMMYFUNCTION("""COMPUTED_VALUE"""),8.0)</f>
        <v>8</v>
      </c>
    </row>
    <row r="175">
      <c r="A175" s="3" t="str">
        <f>IFERROR(__xludf.DUMMYFUNCTION("""COMPUTED_VALUE"""),"Total")</f>
        <v>Total</v>
      </c>
      <c r="B175" s="3"/>
      <c r="C175" s="3">
        <f>IFERROR(__xludf.DUMMYFUNCTION("""COMPUTED_VALUE"""),5121.0)</f>
        <v>5121</v>
      </c>
      <c r="D175" s="3">
        <f>IFERROR(__xludf.DUMMYFUNCTION("""COMPUTED_VALUE"""),5085.0)</f>
        <v>5085</v>
      </c>
      <c r="E175" s="3">
        <f>IFERROR(__xludf.DUMMYFUNCTION("""COMPUTED_VALUE"""),5493.0)</f>
        <v>5493</v>
      </c>
      <c r="F175" s="3">
        <f>IFERROR(__xludf.DUMMYFUNCTION("""COMPUTED_VALUE"""),15703.0)</f>
        <v>15703</v>
      </c>
      <c r="G175" s="3">
        <f>IFERROR(__xludf.DUMMYFUNCTION("""COMPUTED_VALUE"""),23.0)</f>
        <v>23</v>
      </c>
      <c r="H175" s="3">
        <f>IFERROR(__xludf.DUMMYFUNCTION("""COMPUTED_VALUE"""),1062.0)</f>
        <v>1062</v>
      </c>
      <c r="I175" s="3">
        <f>IFERROR(__xludf.DUMMYFUNCTION("""COMPUTED_VALUE"""),1060.0)</f>
        <v>1060</v>
      </c>
      <c r="J175" s="3">
        <f>IFERROR(__xludf.DUMMYFUNCTION("""COMPUTED_VALUE"""),1051.0)</f>
        <v>1051</v>
      </c>
      <c r="K175" s="3">
        <f>IFERROR(__xludf.DUMMYFUNCTION("""COMPUTED_VALUE"""),3173.0)</f>
        <v>3173</v>
      </c>
      <c r="L175" s="3">
        <f>IFERROR(__xludf.DUMMYFUNCTION("""COMPUTED_VALUE"""),55.0)</f>
        <v>55</v>
      </c>
      <c r="M175" s="3">
        <f>IFERROR(__xludf.DUMMYFUNCTION("""COMPUTED_VALUE"""),6187.0)</f>
        <v>6187</v>
      </c>
      <c r="N175" s="3">
        <f>IFERROR(__xludf.DUMMYFUNCTION("""COMPUTED_VALUE"""),6145.0)</f>
        <v>6145</v>
      </c>
      <c r="O175" s="3">
        <f>IFERROR(__xludf.DUMMYFUNCTION("""COMPUTED_VALUE"""),6544.0)</f>
        <v>6544</v>
      </c>
      <c r="P175" s="3">
        <f>IFERROR(__xludf.DUMMYFUNCTION("""COMPUTED_VALUE"""),18876.0)</f>
        <v>18876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v>2.0</v>
      </c>
      <c r="C1" s="3">
        <f t="shared" ref="C1:C14" si="1">20+A1</f>
        <v>22</v>
      </c>
      <c r="D1" s="11">
        <f>A1+C1</f>
        <v>24</v>
      </c>
      <c r="F1" s="3">
        <f t="shared" ref="F1:F5" si="2">SUM(A1+C1+$D$1)</f>
        <v>48</v>
      </c>
    </row>
    <row r="2">
      <c r="A2" s="11">
        <f t="shared" ref="A2:A14" si="3">A1+1</f>
        <v>3</v>
      </c>
      <c r="C2" s="3">
        <f t="shared" si="1"/>
        <v>23</v>
      </c>
      <c r="F2" s="3">
        <f t="shared" si="2"/>
        <v>50</v>
      </c>
    </row>
    <row r="3">
      <c r="A3" s="11">
        <f t="shared" si="3"/>
        <v>4</v>
      </c>
      <c r="C3" s="3">
        <f t="shared" si="1"/>
        <v>24</v>
      </c>
      <c r="F3" s="3">
        <f t="shared" si="2"/>
        <v>52</v>
      </c>
    </row>
    <row r="4">
      <c r="A4" s="11">
        <f t="shared" si="3"/>
        <v>5</v>
      </c>
      <c r="C4" s="3">
        <f t="shared" si="1"/>
        <v>25</v>
      </c>
      <c r="F4" s="3">
        <f t="shared" si="2"/>
        <v>54</v>
      </c>
    </row>
    <row r="5">
      <c r="A5" s="11">
        <f t="shared" si="3"/>
        <v>6</v>
      </c>
      <c r="C5" s="3">
        <f t="shared" si="1"/>
        <v>26</v>
      </c>
      <c r="F5" s="3">
        <f t="shared" si="2"/>
        <v>56</v>
      </c>
    </row>
    <row r="6">
      <c r="A6" s="11">
        <f t="shared" si="3"/>
        <v>7</v>
      </c>
      <c r="C6" s="3">
        <f t="shared" si="1"/>
        <v>27</v>
      </c>
    </row>
    <row r="7">
      <c r="A7" s="11">
        <f t="shared" si="3"/>
        <v>8</v>
      </c>
      <c r="C7" s="3">
        <f t="shared" si="1"/>
        <v>28</v>
      </c>
    </row>
    <row r="8">
      <c r="A8" s="11">
        <f t="shared" si="3"/>
        <v>9</v>
      </c>
      <c r="C8" s="3">
        <f t="shared" si="1"/>
        <v>29</v>
      </c>
    </row>
    <row r="9">
      <c r="A9" s="11">
        <f t="shared" si="3"/>
        <v>10</v>
      </c>
      <c r="C9" s="3">
        <f t="shared" si="1"/>
        <v>30</v>
      </c>
    </row>
    <row r="10">
      <c r="A10" s="11">
        <f t="shared" si="3"/>
        <v>11</v>
      </c>
      <c r="C10" s="3">
        <f t="shared" si="1"/>
        <v>31</v>
      </c>
    </row>
    <row r="11">
      <c r="A11" s="11">
        <f t="shared" si="3"/>
        <v>12</v>
      </c>
      <c r="C11" s="3">
        <f t="shared" si="1"/>
        <v>32</v>
      </c>
    </row>
    <row r="12">
      <c r="A12" s="11">
        <f t="shared" si="3"/>
        <v>13</v>
      </c>
      <c r="C12" s="3">
        <f t="shared" si="1"/>
        <v>33</v>
      </c>
    </row>
    <row r="13">
      <c r="A13" s="11">
        <f t="shared" si="3"/>
        <v>14</v>
      </c>
      <c r="C13" s="3">
        <f t="shared" si="1"/>
        <v>34</v>
      </c>
      <c r="G13" s="11"/>
    </row>
    <row r="14">
      <c r="A14" s="11">
        <f t="shared" si="3"/>
        <v>15</v>
      </c>
      <c r="C14" s="3">
        <f t="shared" si="1"/>
        <v>35</v>
      </c>
    </row>
    <row r="15">
      <c r="D15" s="11"/>
    </row>
    <row r="16">
      <c r="A16" s="3" t="str">
        <f>IFERROR(__xludf.DUMMYFUNCTION("IMPORTHTML(""https://fr.wikipedia.org/wiki/Coupe_de_France_de_football_2022-2023"" , ""table"" , ""4"" , ""en_FR"")"),"- FC Annecy
   - Amiens SC
   - SC Bastia
   - FC Girondins de Bordeaux
   - SM Caen
   - Dijon FCO
   - Grenoble Foot 38
   - EA Guingamp
   - Stade lavallois
   - Le Havre AC
   - FC Metz
   - Nîmes Olympique
   - Chamois niortais FC
   - Paris FC
   - "&amp;"Pau FC
   - US Quevilly Rouen Métropole
   - Rodez AF
   - AS Saint-Étienne
   - FC Sochaux-Montbéliard
   - Valenciennes FC")</f>
        <v>- FC Annecy
   - Amiens SC
   - SC Bastia
   - FC Girondins de Bordeaux
   - SM Caen
   - Dijon FCO
   - Grenoble Foot 38
   - EA Guingamp
   - Stade lavallois
   - Le Havre AC
   - FC Metz
   - Nîmes Olympique
   - Chamois niortais FC
   - Paris FC
   - Pau FC
   - US Quevilly Rouen Métropole
   - Rodez AF
   - AS Saint-Étienne
   - FC Sochaux-Montbéliard
   - Valenciennes FC</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sheetData>
    <row r="1">
      <c r="A1" s="11"/>
    </row>
    <row r="2">
      <c r="A2" s="11">
        <v>20.0</v>
      </c>
      <c r="B2" s="11">
        <v>18.0</v>
      </c>
      <c r="D2" s="3">
        <f t="shared" ref="D2:D15" si="1">A2-B2</f>
        <v>2</v>
      </c>
    </row>
    <row r="3">
      <c r="A3" s="11">
        <v>25.0</v>
      </c>
      <c r="B3" s="11">
        <v>20.0</v>
      </c>
      <c r="D3" s="3">
        <f t="shared" si="1"/>
        <v>5</v>
      </c>
      <c r="G3" s="3" t="str">
        <f>IMPORTXML(url: https://fr.wikipedia.org/wiki/Wikipédia)</f>
        <v>#ERROR!</v>
      </c>
    </row>
    <row r="4">
      <c r="A4" s="11">
        <v>30.0</v>
      </c>
      <c r="B4" s="11">
        <v>22.0</v>
      </c>
      <c r="D4" s="3">
        <f t="shared" si="1"/>
        <v>8</v>
      </c>
      <c r="G4" s="3" t="str">
        <f>IMPORTXML(https://fr.wikipedia.org/wiki/Wikipédia,tab)</f>
        <v>#ERROR!</v>
      </c>
    </row>
    <row r="5">
      <c r="A5" s="11">
        <v>35.0</v>
      </c>
      <c r="B5" s="11">
        <v>24.0</v>
      </c>
      <c r="D5" s="3">
        <f t="shared" si="1"/>
        <v>11</v>
      </c>
      <c r="G5" s="3" t="str">
        <f>IFERROR(__xludf.DUMMYFUNCTION("IMPORTHTML(""https://fr.wikipedia.org/wiki/Wikipédia"",""table"",3)"),"Langue")</f>
        <v>Langue</v>
      </c>
      <c r="H5" s="3" t="str">
        <f>IFERROR(__xludf.DUMMYFUNCTION("""COMPUTED_VALUE"""),"Nombre d'articles")</f>
        <v>Nombre d'articles</v>
      </c>
      <c r="I5" s="3" t="str">
        <f>IFERROR(__xludf.DUMMYFUNCTION("""COMPUTED_VALUE"""),"Moyenne d'articles 
par jour 
depuis le 16/12/25")</f>
        <v>Moyenne d'articles 
par jour 
depuis le 16/12/25</v>
      </c>
      <c r="J5" s="3" t="str">
        <f>IFERROR(__xludf.DUMMYFUNCTION("""COMPUTED_VALUE"""),"Nombre de pages")</f>
        <v>Nombre de pages</v>
      </c>
      <c r="K5" s="3" t="str">
        <f>IFERROR(__xludf.DUMMYFUNCTION("""COMPUTED_VALUE"""),"Nombre de modifications")</f>
        <v>Nombre de modifications</v>
      </c>
      <c r="L5" s="3" t="str">
        <f>IFERROR(__xludf.DUMMYFUNCTION("""COMPUTED_VALUE"""),"Nombre de contributeurs enregistrés")</f>
        <v>Nombre de contributeurs enregistrés</v>
      </c>
    </row>
    <row r="6">
      <c r="A6" s="11">
        <v>40.0</v>
      </c>
      <c r="B6" s="11">
        <v>26.0</v>
      </c>
      <c r="C6" s="11"/>
      <c r="D6" s="3">
        <f t="shared" si="1"/>
        <v>14</v>
      </c>
      <c r="G6" s="3" t="str">
        <f>IFERROR(__xludf.DUMMYFUNCTION("""COMPUTED_VALUE"""),"allemande")</f>
        <v>allemande</v>
      </c>
      <c r="H6" s="3" t="str">
        <f>IFERROR(__xludf.DUMMYFUNCTION("""COMPUTED_VALUE"""),"+0003 089 353,")</f>
        <v>+0003 089 353,</v>
      </c>
      <c r="I6" s="3" t="str">
        <f>IFERROR(__xludf.DUMMYFUNCTION("""COMPUTED_VALUE"""),"+00319,7")</f>
        <v>+00319,7</v>
      </c>
      <c r="J6" s="3" t="str">
        <f>IFERROR(__xludf.DUMMYFUNCTION("""COMPUTED_VALUE"""),"+0008 464 543,")</f>
        <v>+0008 464 543,</v>
      </c>
      <c r="K6" s="3" t="str">
        <f>IFERROR(__xludf.DUMMYFUNCTION("""COMPUTED_VALUE"""),"+0261 537 233,")</f>
        <v>+0261 537 233,</v>
      </c>
      <c r="L6" s="3" t="str">
        <f>IFERROR(__xludf.DUMMYFUNCTION("""COMPUTED_VALUE"""),"+0004 937 167,")</f>
        <v>+0004 937 167,</v>
      </c>
    </row>
    <row r="7">
      <c r="A7" s="11">
        <v>45.0</v>
      </c>
      <c r="B7" s="11">
        <v>28.0</v>
      </c>
      <c r="D7" s="3">
        <f t="shared" si="1"/>
        <v>17</v>
      </c>
      <c r="G7" s="3" t="str">
        <f>IFERROR(__xludf.DUMMYFUNCTION("""COMPUTED_VALUE"""),"anglaise")</f>
        <v>anglaise</v>
      </c>
      <c r="H7" s="3" t="str">
        <f>IFERROR(__xludf.DUMMYFUNCTION("""COMPUTED_VALUE"""),"+0007 124 458,")</f>
        <v>+0007 124 458,</v>
      </c>
      <c r="I7" s="3" t="str">
        <f>IFERROR(__xludf.DUMMYFUNCTION("""COMPUTED_VALUE"""),"+00513,3")</f>
        <v>+00513,3</v>
      </c>
      <c r="J7" s="3" t="str">
        <f>IFERROR(__xludf.DUMMYFUNCTION("""COMPUTED_VALUE"""),"+0064 907 500,")</f>
        <v>+0064 907 500,</v>
      </c>
      <c r="K7" s="3" t="str">
        <f>IFERROR(__xludf.DUMMYFUNCTION("""COMPUTED_VALUE"""),"+1 329 106 102,")</f>
        <v>+1 329 106 102,</v>
      </c>
      <c r="L7" s="3" t="str">
        <f>IFERROR(__xludf.DUMMYFUNCTION("""COMPUTED_VALUE"""),"+0051 129 611,")</f>
        <v>+0051 129 611,</v>
      </c>
    </row>
    <row r="8">
      <c r="A8" s="11">
        <v>50.0</v>
      </c>
      <c r="B8" s="11">
        <v>30.0</v>
      </c>
      <c r="D8" s="3">
        <f t="shared" si="1"/>
        <v>20</v>
      </c>
      <c r="G8" s="3" t="str">
        <f>IFERROR(__xludf.DUMMYFUNCTION("""COMPUTED_VALUE"""),"anglaise simple")</f>
        <v>anglaise simple</v>
      </c>
      <c r="H8" s="3" t="str">
        <f>IFERROR(__xludf.DUMMYFUNCTION("""COMPUTED_VALUE"""),"+0 000278 776,")</f>
        <v>+0 000278 776,</v>
      </c>
      <c r="I8" s="3" t="str">
        <f>IFERROR(__xludf.DUMMYFUNCTION("""COMPUTED_VALUE"""),"+00035,9")</f>
        <v>+00035,9</v>
      </c>
      <c r="J8" s="3" t="str">
        <f>IFERROR(__xludf.DUMMYFUNCTION("""COMPUTED_VALUE"""),"+0 000925 818,")</f>
        <v>+0 000925 818,</v>
      </c>
      <c r="K8" s="3" t="str">
        <f>IFERROR(__xludf.DUMMYFUNCTION("""COMPUTED_VALUE"""),"+0010 696 356,")</f>
        <v>+0010 696 356,</v>
      </c>
      <c r="L8" s="3" t="str">
        <f>IFERROR(__xludf.DUMMYFUNCTION("""COMPUTED_VALUE"""),"+0001 706 889,")</f>
        <v>+0001 706 889,</v>
      </c>
    </row>
    <row r="9">
      <c r="A9" s="11">
        <v>55.0</v>
      </c>
      <c r="B9" s="11">
        <v>32.0</v>
      </c>
      <c r="D9" s="3">
        <f t="shared" si="1"/>
        <v>23</v>
      </c>
      <c r="G9" s="3" t="str">
        <f>IFERROR(__xludf.DUMMYFUNCTION("""COMPUTED_VALUE"""),"arabe")</f>
        <v>arabe</v>
      </c>
      <c r="H9" s="3" t="str">
        <f>IFERROR(__xludf.DUMMYFUNCTION("""COMPUTED_VALUE"""),"+0001 295 362,")</f>
        <v>+0001 295 362,</v>
      </c>
      <c r="I9" s="3" t="str">
        <f>IFERROR(__xludf.DUMMYFUNCTION("""COMPUTED_VALUE"""),"+00166,1")</f>
        <v>+00166,1</v>
      </c>
      <c r="J9" s="3" t="str">
        <f>IFERROR(__xludf.DUMMYFUNCTION("""COMPUTED_VALUE"""),"+0009 042 228,")</f>
        <v>+0009 042 228,</v>
      </c>
      <c r="K9" s="3" t="str">
        <f>IFERROR(__xludf.DUMMYFUNCTION("""COMPUTED_VALUE"""),"+0073 045 477,")</f>
        <v>+0073 045 477,</v>
      </c>
      <c r="L9" s="3" t="str">
        <f>IFERROR(__xludf.DUMMYFUNCTION("""COMPUTED_VALUE"""),"+0002 859 841,")</f>
        <v>+0002 859 841,</v>
      </c>
    </row>
    <row r="10">
      <c r="A10" s="11">
        <v>60.0</v>
      </c>
      <c r="B10" s="11">
        <v>34.0</v>
      </c>
      <c r="D10" s="3">
        <f t="shared" si="1"/>
        <v>26</v>
      </c>
      <c r="G10" s="3" t="str">
        <f>IFERROR(__xludf.DUMMYFUNCTION("""COMPUTED_VALUE"""),"arabe égyptien")</f>
        <v>arabe égyptien</v>
      </c>
      <c r="H10" s="3" t="str">
        <f>IFERROR(__xludf.DUMMYFUNCTION("""COMPUTED_VALUE"""),"+0001 630 406,")</f>
        <v>+0001 630 406,</v>
      </c>
      <c r="I10" s="3" t="str">
        <f>IFERROR(__xludf.DUMMYFUNCTION("""COMPUTED_VALUE"""),"+00012,5")</f>
        <v>+00012,5</v>
      </c>
      <c r="J10" s="3" t="str">
        <f>IFERROR(__xludf.DUMMYFUNCTION("""COMPUTED_VALUE"""),"+0002 218 471,")</f>
        <v>+0002 218 471,</v>
      </c>
      <c r="K10" s="3" t="str">
        <f>IFERROR(__xludf.DUMMYFUNCTION("""COMPUTED_VALUE"""),"+0012 925 481,")</f>
        <v>+0012 925 481,</v>
      </c>
      <c r="L10" s="3" t="str">
        <f>IFERROR(__xludf.DUMMYFUNCTION("""COMPUTED_VALUE"""),"+0 000277 854,")</f>
        <v>+0 000277 854,</v>
      </c>
    </row>
    <row r="11">
      <c r="A11" s="11">
        <v>65.0</v>
      </c>
      <c r="B11" s="11">
        <v>36.0</v>
      </c>
      <c r="D11" s="3">
        <f t="shared" si="1"/>
        <v>29</v>
      </c>
      <c r="G11" s="3" t="str">
        <f>IFERROR(__xludf.DUMMYFUNCTION("""COMPUTED_VALUE"""),"arménienne")</f>
        <v>arménienne</v>
      </c>
      <c r="H11" s="3" t="str">
        <f>IFERROR(__xludf.DUMMYFUNCTION("""COMPUTED_VALUE"""),"+0 000323 654,")</f>
        <v>+0 000323 654,</v>
      </c>
      <c r="I11" s="3" t="str">
        <f>IFERROR(__xludf.DUMMYFUNCTION("""COMPUTED_VALUE"""),"+00012,1")</f>
        <v>+00012,1</v>
      </c>
      <c r="J11" s="3" t="str">
        <f>IFERROR(__xludf.DUMMYFUNCTION("""COMPUTED_VALUE"""),"+0001 189 678,")</f>
        <v>+0001 189 678,</v>
      </c>
      <c r="K11" s="3" t="str">
        <f>IFERROR(__xludf.DUMMYFUNCTION("""COMPUTED_VALUE"""),"+0010 646 872,")</f>
        <v>+0010 646 872,</v>
      </c>
      <c r="L11" s="3" t="str">
        <f>IFERROR(__xludf.DUMMYFUNCTION("""COMPUTED_VALUE"""),"+0 000163 567,")</f>
        <v>+0 000163 567,</v>
      </c>
    </row>
    <row r="12">
      <c r="A12" s="11">
        <v>70.0</v>
      </c>
      <c r="B12" s="11">
        <v>38.0</v>
      </c>
      <c r="D12" s="3">
        <f t="shared" si="1"/>
        <v>32</v>
      </c>
      <c r="G12" s="3" t="str">
        <f>IFERROR(__xludf.DUMMYFUNCTION("""COMPUTED_VALUE"""),"azéri")</f>
        <v>azéri</v>
      </c>
      <c r="H12" s="3" t="str">
        <f>IFERROR(__xludf.DUMMYFUNCTION("""COMPUTED_VALUE"""),"+0 000211 103,")</f>
        <v>+0 000211 103,</v>
      </c>
      <c r="I12" s="3" t="str">
        <f>IFERROR(__xludf.DUMMYFUNCTION("""COMPUTED_VALUE"""),"+00033,4")</f>
        <v>+00033,4</v>
      </c>
      <c r="J12" s="3" t="str">
        <f>IFERROR(__xludf.DUMMYFUNCTION("""COMPUTED_VALUE"""),"+0 000647 882,")</f>
        <v>+0 000647 882,</v>
      </c>
      <c r="K12" s="3" t="str">
        <f>IFERROR(__xludf.DUMMYFUNCTION("""COMPUTED_VALUE"""),"+0008 433 369,")</f>
        <v>+0008 433 369,</v>
      </c>
      <c r="L12" s="3" t="str">
        <f>IFERROR(__xludf.DUMMYFUNCTION("""COMPUTED_VALUE"""),"+0 000330 828,")</f>
        <v>+0 000330 828,</v>
      </c>
    </row>
    <row r="13">
      <c r="A13" s="11">
        <v>75.0</v>
      </c>
      <c r="B13" s="11">
        <v>40.0</v>
      </c>
      <c r="D13" s="3">
        <f t="shared" si="1"/>
        <v>35</v>
      </c>
      <c r="G13" s="3" t="str">
        <f>IFERROR(__xludf.DUMMYFUNCTION("""COMPUTED_VALUE"""),"azéri du Sud")</f>
        <v>azéri du Sud</v>
      </c>
      <c r="H13" s="3" t="str">
        <f>IFERROR(__xludf.DUMMYFUNCTION("""COMPUTED_VALUE"""),"+0 000244 520,")</f>
        <v>+0 000244 520,</v>
      </c>
      <c r="I13" s="3" t="str">
        <f>IFERROR(__xludf.DUMMYFUNCTION("""COMPUTED_VALUE"""),"+0 0001,9")</f>
        <v>+0 0001,9</v>
      </c>
      <c r="J13" s="3" t="str">
        <f>IFERROR(__xludf.DUMMYFUNCTION("""COMPUTED_VALUE"""),"+0 000580 038,")</f>
        <v>+0 000580 038,</v>
      </c>
      <c r="K13" s="3" t="str">
        <f>IFERROR(__xludf.DUMMYFUNCTION("""COMPUTED_VALUE"""),"+0001 582 795,")</f>
        <v>+0001 582 795,</v>
      </c>
      <c r="L13" s="3" t="str">
        <f>IFERROR(__xludf.DUMMYFUNCTION("""COMPUTED_VALUE"""),"+00 00059 845,")</f>
        <v>+00 00059 845,</v>
      </c>
    </row>
    <row r="14">
      <c r="A14" s="11">
        <v>80.0</v>
      </c>
      <c r="B14" s="11">
        <v>42.0</v>
      </c>
      <c r="D14" s="3">
        <f t="shared" si="1"/>
        <v>38</v>
      </c>
      <c r="G14" s="3" t="str">
        <f>IFERROR(__xludf.DUMMYFUNCTION("""COMPUTED_VALUE"""),"basque")</f>
        <v>basque</v>
      </c>
      <c r="H14" s="3" t="str">
        <f>IFERROR(__xludf.DUMMYFUNCTION("""COMPUTED_VALUE"""),"+0 000479 042,")</f>
        <v>+0 000479 042,</v>
      </c>
      <c r="I14" s="3" t="str">
        <f>IFERROR(__xludf.DUMMYFUNCTION("""COMPUTED_VALUE"""),"+00056,6")</f>
        <v>+00056,6</v>
      </c>
      <c r="J14" s="3" t="str">
        <f>IFERROR(__xludf.DUMMYFUNCTION("""COMPUTED_VALUE"""),"+0001 027 828,")</f>
        <v>+0001 027 828,</v>
      </c>
      <c r="K14" s="3" t="str">
        <f>IFERROR(__xludf.DUMMYFUNCTION("""COMPUTED_VALUE"""),"+0010 502 117,")</f>
        <v>+0010 502 117,</v>
      </c>
      <c r="L14" s="3" t="str">
        <f>IFERROR(__xludf.DUMMYFUNCTION("""COMPUTED_VALUE"""),"+0 000186 276,")</f>
        <v>+0 000186 276,</v>
      </c>
    </row>
    <row r="15">
      <c r="D15" s="3">
        <f t="shared" si="1"/>
        <v>0</v>
      </c>
      <c r="G15" s="3" t="str">
        <f>IFERROR(__xludf.DUMMYFUNCTION("""COMPUTED_VALUE"""),"biélorusse")</f>
        <v>biélorusse</v>
      </c>
      <c r="H15" s="3" t="str">
        <f>IFERROR(__xludf.DUMMYFUNCTION("""COMPUTED_VALUE"""),"+0 000258 874,")</f>
        <v>+0 000258 874,</v>
      </c>
      <c r="I15" s="3" t="str">
        <f>IFERROR(__xludf.DUMMYFUNCTION("""COMPUTED_VALUE"""),"+00026,9")</f>
        <v>+00026,9</v>
      </c>
      <c r="J15" s="3" t="str">
        <f>IFERROR(__xludf.DUMMYFUNCTION("""COMPUTED_VALUE"""),"+0 000723 642,")</f>
        <v>+0 000723 642,</v>
      </c>
      <c r="K15" s="3" t="str">
        <f>IFERROR(__xludf.DUMMYFUNCTION("""COMPUTED_VALUE"""),"+0005 076 242,")</f>
        <v>+0005 076 242,</v>
      </c>
      <c r="L15" s="3" t="str">
        <f>IFERROR(__xludf.DUMMYFUNCTION("""COMPUTED_VALUE"""),"+0 000161 223,")</f>
        <v>+0 000161 223,</v>
      </c>
    </row>
    <row r="16">
      <c r="G16" s="3" t="str">
        <f>IFERROR(__xludf.DUMMYFUNCTION("""COMPUTED_VALUE"""),"bulgare")</f>
        <v>bulgare</v>
      </c>
      <c r="H16" s="3" t="str">
        <f>IFERROR(__xludf.DUMMYFUNCTION("""COMPUTED_VALUE"""),"+0 000307 269,")</f>
        <v>+0 000307 269,</v>
      </c>
      <c r="I16" s="3" t="str">
        <f>IFERROR(__xludf.DUMMYFUNCTION("""COMPUTED_VALUE"""),"+00011,5")</f>
        <v>+00011,5</v>
      </c>
      <c r="J16" s="3" t="str">
        <f>IFERROR(__xludf.DUMMYFUNCTION("""COMPUTED_VALUE"""),"+0 000696 314,")</f>
        <v>+0 000696 314,</v>
      </c>
      <c r="K16" s="3" t="str">
        <f>IFERROR(__xludf.DUMMYFUNCTION("""COMPUTED_VALUE"""),"+0012 775 310,")</f>
        <v>+0012 775 310,</v>
      </c>
      <c r="L16" s="3" t="str">
        <f>IFERROR(__xludf.DUMMYFUNCTION("""COMPUTED_VALUE"""),"+0 000379 577,")</f>
        <v>+0 000379 577,</v>
      </c>
    </row>
    <row r="17">
      <c r="G17" s="3" t="str">
        <f>IFERROR(__xludf.DUMMYFUNCTION("""COMPUTED_VALUE"""),"catalane")</f>
        <v>catalane</v>
      </c>
      <c r="H17" s="3" t="str">
        <f>IFERROR(__xludf.DUMMYFUNCTION("""COMPUTED_VALUE"""),"+0 000787 551,")</f>
        <v>+0 000787 551,</v>
      </c>
      <c r="I17" s="3" t="str">
        <f>IFERROR(__xludf.DUMMYFUNCTION("""COMPUTED_VALUE"""),"+00051,4")</f>
        <v>+00051,4</v>
      </c>
      <c r="J17" s="3" t="str">
        <f>IFERROR(__xludf.DUMMYFUNCTION("""COMPUTED_VALUE"""),"+0001 978 057,")</f>
        <v>+0001 978 057,</v>
      </c>
      <c r="K17" s="3" t="str">
        <f>IFERROR(__xludf.DUMMYFUNCTION("""COMPUTED_VALUE"""),"+0036 675 111,")</f>
        <v>+0036 675 111,</v>
      </c>
      <c r="L17" s="3" t="str">
        <f>IFERROR(__xludf.DUMMYFUNCTION("""COMPUTED_VALUE"""),"+0 000545 994,")</f>
        <v>+0 000545 994,</v>
      </c>
    </row>
    <row r="18">
      <c r="G18" s="3" t="str">
        <f>IFERROR(__xludf.DUMMYFUNCTION("""COMPUTED_VALUE"""),"cebuano")</f>
        <v>cebuano</v>
      </c>
      <c r="H18" s="3" t="str">
        <f>IFERROR(__xludf.DUMMYFUNCTION("""COMPUTED_VALUE"""),"+0006 115 882,")</f>
        <v>+0006 115 882,</v>
      </c>
      <c r="I18" s="3" t="str">
        <f>IFERROR(__xludf.DUMMYFUNCTION("""COMPUTED_VALUE"""),"+000 000 0000,")</f>
        <v>+000 000 0000,</v>
      </c>
      <c r="J18" s="3" t="str">
        <f>IFERROR(__xludf.DUMMYFUNCTION("""COMPUTED_VALUE"""),"+0011 232 039,")</f>
        <v>+0011 232 039,</v>
      </c>
      <c r="K18" s="3" t="str">
        <f>IFERROR(__xludf.DUMMYFUNCTION("""COMPUTED_VALUE"""),"+0036 980 917,")</f>
        <v>+0036 980 917,</v>
      </c>
      <c r="L18" s="3" t="str">
        <f>IFERROR(__xludf.DUMMYFUNCTION("""COMPUTED_VALUE"""),"+0 000136 569,")</f>
        <v>+0 000136 569,</v>
      </c>
    </row>
    <row r="19">
      <c r="G19" s="3" t="str">
        <f>IFERROR(__xludf.DUMMYFUNCTION("""COMPUTED_VALUE"""),"chinoise")</f>
        <v>chinoise</v>
      </c>
      <c r="H19" s="3" t="str">
        <f>IFERROR(__xludf.DUMMYFUNCTION("""COMPUTED_VALUE"""),"+0001 520 895,")</f>
        <v>+0001 520 895,</v>
      </c>
      <c r="I19" s="3" t="str">
        <f>IFERROR(__xludf.DUMMYFUNCTION("""COMPUTED_VALUE"""),"+00154,5")</f>
        <v>+00154,5</v>
      </c>
      <c r="J19" s="3" t="str">
        <f>IFERROR(__xludf.DUMMYFUNCTION("""COMPUTED_VALUE"""),"+0008 298 468,")</f>
        <v>+0008 298 468,</v>
      </c>
      <c r="K19" s="3" t="str">
        <f>IFERROR(__xludf.DUMMYFUNCTION("""COMPUTED_VALUE"""),"+0090 868 479,")</f>
        <v>+0090 868 479,</v>
      </c>
      <c r="L19" s="3" t="str">
        <f>IFERROR(__xludf.DUMMYFUNCTION("""COMPUTED_VALUE"""),"+0003 964 183,")</f>
        <v>+0003 964 183,</v>
      </c>
    </row>
    <row r="20">
      <c r="G20" s="3" t="str">
        <f>IFERROR(__xludf.DUMMYFUNCTION("""COMPUTED_VALUE"""),"coréenne")</f>
        <v>coréenne</v>
      </c>
      <c r="H20" s="3" t="str">
        <f>IFERROR(__xludf.DUMMYFUNCTION("""COMPUTED_VALUE"""),"+0 000736 047,")</f>
        <v>+0 000736 047,</v>
      </c>
      <c r="I20" s="3" t="str">
        <f>IFERROR(__xludf.DUMMYFUNCTION("""COMPUTED_VALUE"""),"+00104,7")</f>
        <v>+00104,7</v>
      </c>
      <c r="J20" s="3" t="str">
        <f>IFERROR(__xludf.DUMMYFUNCTION("""COMPUTED_VALUE"""),"+0003 497 578,")</f>
        <v>+0003 497 578,</v>
      </c>
      <c r="K20" s="3" t="str">
        <f>IFERROR(__xludf.DUMMYFUNCTION("""COMPUTED_VALUE"""),"+0041 148 498,")</f>
        <v>+0041 148 498,</v>
      </c>
      <c r="L20" s="3" t="str">
        <f>IFERROR(__xludf.DUMMYFUNCTION("""COMPUTED_VALUE"""),"+0 000974 020,")</f>
        <v>+0 000974 020,</v>
      </c>
    </row>
    <row r="21">
      <c r="G21" s="3" t="str">
        <f>IFERROR(__xludf.DUMMYFUNCTION("""COMPUTED_VALUE"""),"croate")</f>
        <v>croate</v>
      </c>
      <c r="H21" s="3" t="str">
        <f>IFERROR(__xludf.DUMMYFUNCTION("""COMPUTED_VALUE"""),"+0 000229 080,")</f>
        <v>+0 000229 080,</v>
      </c>
      <c r="I21" s="3" t="str">
        <f>IFERROR(__xludf.DUMMYFUNCTION("""COMPUTED_VALUE"""),"+00021,4")</f>
        <v>+00021,4</v>
      </c>
      <c r="J21" s="3" t="str">
        <f>IFERROR(__xludf.DUMMYFUNCTION("""COMPUTED_VALUE"""),"+0 000495 279,")</f>
        <v>+0 000495 279,</v>
      </c>
      <c r="K21" s="3" t="str">
        <f>IFERROR(__xludf.DUMMYFUNCTION("""COMPUTED_VALUE"""),"+0007 356 153,")</f>
        <v>+0007 356 153,</v>
      </c>
      <c r="L21" s="3" t="str">
        <f>IFERROR(__xludf.DUMMYFUNCTION("""COMPUTED_VALUE"""),"+0 000346 513,")</f>
        <v>+0 000346 513,</v>
      </c>
    </row>
    <row r="22">
      <c r="G22" s="3" t="str">
        <f>IFERROR(__xludf.DUMMYFUNCTION("""COMPUTED_VALUE"""),"danoise")</f>
        <v>danoise</v>
      </c>
      <c r="H22" s="3" t="str">
        <f>IFERROR(__xludf.DUMMYFUNCTION("""COMPUTED_VALUE"""),"+0 000312 245,")</f>
        <v>+0 000312 245,</v>
      </c>
      <c r="I22" s="3" t="str">
        <f>IFERROR(__xludf.DUMMYFUNCTION("""COMPUTED_VALUE"""),"+00012,1")</f>
        <v>+00012,1</v>
      </c>
      <c r="J22" s="3" t="str">
        <f>IFERROR(__xludf.DUMMYFUNCTION("""COMPUTED_VALUE"""),"+0 000979 396,")</f>
        <v>+0 000979 396,</v>
      </c>
      <c r="K22" s="3" t="str">
        <f>IFERROR(__xludf.DUMMYFUNCTION("""COMPUTED_VALUE"""),"+0012 177 044,")</f>
        <v>+0012 177 044,</v>
      </c>
      <c r="L22" s="3" t="str">
        <f>IFERROR(__xludf.DUMMYFUNCTION("""COMPUTED_VALUE"""),"+0 000547 061,")</f>
        <v>+0 000547 061,</v>
      </c>
    </row>
    <row r="23">
      <c r="G23" s="3" t="str">
        <f>IFERROR(__xludf.DUMMYFUNCTION("""COMPUTED_VALUE"""),"espagnole")</f>
        <v>espagnole</v>
      </c>
      <c r="H23" s="3" t="str">
        <f>IFERROR(__xludf.DUMMYFUNCTION("""COMPUTED_VALUE"""),"+0002 088 294,")</f>
        <v>+0002 088 294,</v>
      </c>
      <c r="I23" s="3" t="str">
        <f>IFERROR(__xludf.DUMMYFUNCTION("""COMPUTED_VALUE"""),"+00216,9")</f>
        <v>+00216,9</v>
      </c>
      <c r="J23" s="3" t="str">
        <f>IFERROR(__xludf.DUMMYFUNCTION("""COMPUTED_VALUE"""),"+0008 572 839,")</f>
        <v>+0008 572 839,</v>
      </c>
      <c r="K23" s="3" t="str">
        <f>IFERROR(__xludf.DUMMYFUNCTION("""COMPUTED_VALUE"""),"+0171 149 501,")</f>
        <v>+0171 149 501,</v>
      </c>
      <c r="L23" s="3" t="str">
        <f>IFERROR(__xludf.DUMMYFUNCTION("""COMPUTED_VALUE"""),"+0007 690 495,")</f>
        <v>+0007 690 495,</v>
      </c>
    </row>
    <row r="24">
      <c r="G24" s="3" t="str">
        <f>IFERROR(__xludf.DUMMYFUNCTION("""COMPUTED_VALUE"""),"espéranto")</f>
        <v>espéranto</v>
      </c>
      <c r="H24" s="3" t="str">
        <f>IFERROR(__xludf.DUMMYFUNCTION("""COMPUTED_VALUE"""),"+0 000380 802,")</f>
        <v>+0 000380 802,</v>
      </c>
      <c r="I24" s="3" t="str">
        <f>IFERROR(__xludf.DUMMYFUNCTION("""COMPUTED_VALUE"""),"+00044,1")</f>
        <v>+00044,1</v>
      </c>
      <c r="J24" s="3" t="str">
        <f>IFERROR(__xludf.DUMMYFUNCTION("""COMPUTED_VALUE"""),"+0 000854 129,")</f>
        <v>+0 000854 129,</v>
      </c>
      <c r="K24" s="3" t="str">
        <f>IFERROR(__xludf.DUMMYFUNCTION("""COMPUTED_VALUE"""),"+0009 265 361,")</f>
        <v>+0009 265 361,</v>
      </c>
      <c r="L24" s="3" t="str">
        <f>IFERROR(__xludf.DUMMYFUNCTION("""COMPUTED_VALUE"""),"+0 000248 203,")</f>
        <v>+0 000248 203,</v>
      </c>
    </row>
    <row r="25">
      <c r="G25" s="3" t="str">
        <f>IFERROR(__xludf.DUMMYFUNCTION("""COMPUTED_VALUE"""),"estonienne")</f>
        <v>estonienne</v>
      </c>
      <c r="H25" s="3" t="str">
        <f>IFERROR(__xludf.DUMMYFUNCTION("""COMPUTED_VALUE"""),"+0 000257 196,")</f>
        <v>+0 000257 196,</v>
      </c>
      <c r="I25" s="3" t="str">
        <f>IFERROR(__xludf.DUMMYFUNCTION("""COMPUTED_VALUE"""),"+00020,7")</f>
        <v>+00020,7</v>
      </c>
      <c r="J25" s="3" t="str">
        <f>IFERROR(__xludf.DUMMYFUNCTION("""COMPUTED_VALUE"""),"+0 000606 764,")</f>
        <v>+0 000606 764,</v>
      </c>
      <c r="K25" s="3" t="str">
        <f>IFERROR(__xludf.DUMMYFUNCTION("""COMPUTED_VALUE"""),"+0007 062 880,")</f>
        <v>+0007 062 880,</v>
      </c>
      <c r="L25" s="3" t="str">
        <f>IFERROR(__xludf.DUMMYFUNCTION("""COMPUTED_VALUE"""),"+0 000219 172,")</f>
        <v>+0 000219 172,</v>
      </c>
    </row>
    <row r="26">
      <c r="G26" s="3" t="str">
        <f>IFERROR(__xludf.DUMMYFUNCTION("""COMPUTED_VALUE"""),"finnoise")</f>
        <v>finnoise</v>
      </c>
      <c r="H26" s="3" t="str">
        <f>IFERROR(__xludf.DUMMYFUNCTION("""COMPUTED_VALUE"""),"+0 000611 646,")</f>
        <v>+0 000611 646,</v>
      </c>
      <c r="I26" s="3" t="str">
        <f>IFERROR(__xludf.DUMMYFUNCTION("""COMPUTED_VALUE"""),"+00066,3")</f>
        <v>+00066,3</v>
      </c>
      <c r="J26" s="3" t="str">
        <f>IFERROR(__xludf.DUMMYFUNCTION("""COMPUTED_VALUE"""),"+0001 568 295,")</f>
        <v>+0001 568 295,</v>
      </c>
      <c r="K26" s="3" t="str">
        <f>IFERROR(__xludf.DUMMYFUNCTION("""COMPUTED_VALUE"""),"+0023 740 197,")</f>
        <v>+0023 740 197,</v>
      </c>
      <c r="L26" s="3" t="str">
        <f>IFERROR(__xludf.DUMMYFUNCTION("""COMPUTED_VALUE"""),"+0 000636 496,")</f>
        <v>+0 000636 496,</v>
      </c>
    </row>
    <row r="27">
      <c r="G27" s="3" t="str">
        <f>IFERROR(__xludf.DUMMYFUNCTION("""COMPUTED_VALUE"""),"française")</f>
        <v>française</v>
      </c>
      <c r="H27" s="3" t="str">
        <f>IFERROR(__xludf.DUMMYFUNCTION("""COMPUTED_VALUE"""),"+0002 733 511,")</f>
        <v>+0002 733 511,</v>
      </c>
      <c r="I27" s="3" t="str">
        <f>IFERROR(__xludf.DUMMYFUNCTION("""COMPUTED_VALUE"""),"+00213,9")</f>
        <v>+00213,9</v>
      </c>
      <c r="J27" s="3" t="str">
        <f>IFERROR(__xludf.DUMMYFUNCTION("""COMPUTED_VALUE"""),"+0013 822 133,")</f>
        <v>+0013 822 133,</v>
      </c>
      <c r="K27" s="3" t="str">
        <f>IFERROR(__xludf.DUMMYFUNCTION("""COMPUTED_VALUE"""),"+0232 113 611,")</f>
        <v>+0232 113 611,</v>
      </c>
      <c r="L27" s="3" t="str">
        <f>IFERROR(__xludf.DUMMYFUNCTION("""COMPUTED_VALUE"""),"+0005 585 283,")</f>
        <v>+0005 585 283,</v>
      </c>
    </row>
    <row r="28">
      <c r="G28" s="3" t="str">
        <f>IFERROR(__xludf.DUMMYFUNCTION("""COMPUTED_VALUE"""),"galicienne")</f>
        <v>galicienne</v>
      </c>
      <c r="H28" s="3" t="str">
        <f>IFERROR(__xludf.DUMMYFUNCTION("""COMPUTED_VALUE"""),"+0 000229 264,")</f>
        <v>+0 000229 264,</v>
      </c>
      <c r="I28" s="3" t="str">
        <f>IFERROR(__xludf.DUMMYFUNCTION("""COMPUTED_VALUE"""),"+00026,7")</f>
        <v>+00026,7</v>
      </c>
      <c r="J28" s="3" t="str">
        <f>IFERROR(__xludf.DUMMYFUNCTION("""COMPUTED_VALUE"""),"+0 000564 517,")</f>
        <v>+0 000564 517,</v>
      </c>
      <c r="K28" s="3" t="str">
        <f>IFERROR(__xludf.DUMMYFUNCTION("""COMPUTED_VALUE"""),"+0007 286 299,")</f>
        <v>+0007 286 299,</v>
      </c>
      <c r="L28" s="3" t="str">
        <f>IFERROR(__xludf.DUMMYFUNCTION("""COMPUTED_VALUE"""),"+0 000163 525,")</f>
        <v>+0 000163 525,</v>
      </c>
    </row>
    <row r="29">
      <c r="G29" s="3" t="str">
        <f>IFERROR(__xludf.DUMMYFUNCTION("""COMPUTED_VALUE"""),"galloise")</f>
        <v>galloise</v>
      </c>
      <c r="H29" s="3" t="str">
        <f>IFERROR(__xludf.DUMMYFUNCTION("""COMPUTED_VALUE"""),"+0 000283 943,")</f>
        <v>+0 000283 943,</v>
      </c>
      <c r="I29" s="3" t="str">
        <f>IFERROR(__xludf.DUMMYFUNCTION("""COMPUTED_VALUE"""),"+0 0002,4")</f>
        <v>+0 0002,4</v>
      </c>
      <c r="J29" s="3" t="str">
        <f>IFERROR(__xludf.DUMMYFUNCTION("""COMPUTED_VALUE"""),"+0 000537 943,")</f>
        <v>+0 000537 943,</v>
      </c>
      <c r="K29" s="3" t="str">
        <f>IFERROR(__xludf.DUMMYFUNCTION("""COMPUTED_VALUE"""),"+0014 504 510,")</f>
        <v>+0014 504 510,</v>
      </c>
      <c r="L29" s="3" t="str">
        <f>IFERROR(__xludf.DUMMYFUNCTION("""COMPUTED_VALUE"""),"+0 000104 056,")</f>
        <v>+0 000104 056,</v>
      </c>
    </row>
    <row r="30">
      <c r="G30" s="3" t="str">
        <f>IFERROR(__xludf.DUMMYFUNCTION("""COMPUTED_VALUE"""),"grecque")</f>
        <v>grecque</v>
      </c>
      <c r="H30" s="3" t="str">
        <f>IFERROR(__xludf.DUMMYFUNCTION("""COMPUTED_VALUE"""),"+0 000263 379,")</f>
        <v>+0 000263 379,</v>
      </c>
      <c r="I30" s="3" t="str">
        <f>IFERROR(__xludf.DUMMYFUNCTION("""COMPUTED_VALUE"""),"+00031,6")</f>
        <v>+00031,6</v>
      </c>
      <c r="J30" s="3" t="str">
        <f>IFERROR(__xludf.DUMMYFUNCTION("""COMPUTED_VALUE"""),"+0 000740 750,")</f>
        <v>+0 000740 750,</v>
      </c>
      <c r="K30" s="3" t="str">
        <f>IFERROR(__xludf.DUMMYFUNCTION("""COMPUTED_VALUE"""),"+0011 437 152,")</f>
        <v>+0011 437 152,</v>
      </c>
      <c r="L30" s="3" t="str">
        <f>IFERROR(__xludf.DUMMYFUNCTION("""COMPUTED_VALUE"""),"+0 000484 038,")</f>
        <v>+0 000484 038,</v>
      </c>
    </row>
    <row r="31">
      <c r="G31" s="3" t="str">
        <f>IFERROR(__xludf.DUMMYFUNCTION("""COMPUTED_VALUE"""),"hébreue")</f>
        <v>hébreue</v>
      </c>
      <c r="H31" s="3" t="str">
        <f>IFERROR(__xludf.DUMMYFUNCTION("""COMPUTED_VALUE"""),"+0 000389 272,")</f>
        <v>+0 000389 272,</v>
      </c>
      <c r="I31" s="3" t="str">
        <f>IFERROR(__xludf.DUMMYFUNCTION("""COMPUTED_VALUE"""),"+00051,7")</f>
        <v>+00051,7</v>
      </c>
      <c r="J31" s="3" t="str">
        <f>IFERROR(__xludf.DUMMYFUNCTION("""COMPUTED_VALUE"""),"+0001 636 650,")</f>
        <v>+0001 636 650,</v>
      </c>
      <c r="K31" s="3" t="str">
        <f>IFERROR(__xludf.DUMMYFUNCTION("""COMPUTED_VALUE"""),"+0042 493 425,")</f>
        <v>+0042 493 425,</v>
      </c>
      <c r="L31" s="3" t="str">
        <f>IFERROR(__xludf.DUMMYFUNCTION("""COMPUTED_VALUE"""),"+0001 276 021,")</f>
        <v>+0001 276 021,</v>
      </c>
    </row>
    <row r="32">
      <c r="G32" s="3" t="str">
        <f>IFERROR(__xludf.DUMMYFUNCTION("""COMPUTED_VALUE"""),"hongroise")</f>
        <v>hongroise</v>
      </c>
      <c r="H32" s="3" t="str">
        <f>IFERROR(__xludf.DUMMYFUNCTION("""COMPUTED_VALUE"""),"+0 000565 350,")</f>
        <v>+0 000565 350,</v>
      </c>
      <c r="I32" s="3" t="str">
        <f>IFERROR(__xludf.DUMMYFUNCTION("""COMPUTED_VALUE"""),"+00039,6")</f>
        <v>+00039,6</v>
      </c>
      <c r="J32" s="3" t="str">
        <f>IFERROR(__xludf.DUMMYFUNCTION("""COMPUTED_VALUE"""),"+0001 606 780,")</f>
        <v>+0001 606 780,</v>
      </c>
      <c r="K32" s="3" t="str">
        <f>IFERROR(__xludf.DUMMYFUNCTION("""COMPUTED_VALUE"""),"+0028 665 831,")</f>
        <v>+0028 665 831,</v>
      </c>
      <c r="L32" s="3" t="str">
        <f>IFERROR(__xludf.DUMMYFUNCTION("""COMPUTED_VALUE"""),"+0 000615 501,")</f>
        <v>+0 000615 501,</v>
      </c>
    </row>
    <row r="33">
      <c r="G33" s="3" t="str">
        <f>IFERROR(__xludf.DUMMYFUNCTION("""COMPUTED_VALUE"""),"indonésienne")</f>
        <v>indonésienne</v>
      </c>
      <c r="H33" s="3" t="str">
        <f>IFERROR(__xludf.DUMMYFUNCTION("""COMPUTED_VALUE"""),"+0 000761 397,")</f>
        <v>+0 000761 397,</v>
      </c>
      <c r="I33" s="3" t="str">
        <f>IFERROR(__xludf.DUMMYFUNCTION("""COMPUTED_VALUE"""),"+00094,5")</f>
        <v>+00094,5</v>
      </c>
      <c r="J33" s="3" t="str">
        <f>IFERROR(__xludf.DUMMYFUNCTION("""COMPUTED_VALUE"""),"+0004 201 287,")</f>
        <v>+0004 201 287,</v>
      </c>
      <c r="K33" s="3" t="str">
        <f>IFERROR(__xludf.DUMMYFUNCTION("""COMPUTED_VALUE"""),"+0028 843 140,")</f>
        <v>+0028 843 140,</v>
      </c>
      <c r="L33" s="3" t="str">
        <f>IFERROR(__xludf.DUMMYFUNCTION("""COMPUTED_VALUE"""),"+0001 633 271,")</f>
        <v>+0001 633 271,</v>
      </c>
    </row>
    <row r="34">
      <c r="G34" s="3" t="str">
        <f>IFERROR(__xludf.DUMMYFUNCTION("""COMPUTED_VALUE"""),"italienne")</f>
        <v>italienne</v>
      </c>
      <c r="H34" s="3" t="str">
        <f>IFERROR(__xludf.DUMMYFUNCTION("""COMPUTED_VALUE"""),"+0001 952 850,")</f>
        <v>+0001 952 850,</v>
      </c>
      <c r="I34" s="3" t="str">
        <f>IFERROR(__xludf.DUMMYFUNCTION("""COMPUTED_VALUE"""),"+00127,1")</f>
        <v>+00127,1</v>
      </c>
      <c r="J34" s="3" t="str">
        <f>IFERROR(__xludf.DUMMYFUNCTION("""COMPUTED_VALUE"""),"+0008 568 696,")</f>
        <v>+0008 568 696,</v>
      </c>
      <c r="K34" s="3" t="str">
        <f>IFERROR(__xludf.DUMMYFUNCTION("""COMPUTED_VALUE"""),"+0148 696 215,")</f>
        <v>+0148 696 215,</v>
      </c>
      <c r="L34" s="3" t="str">
        <f>IFERROR(__xludf.DUMMYFUNCTION("""COMPUTED_VALUE"""),"+0002 843 660,")</f>
        <v>+0002 843 660,</v>
      </c>
    </row>
    <row r="35">
      <c r="G35" s="3" t="str">
        <f>IFERROR(__xludf.DUMMYFUNCTION("""COMPUTED_VALUE"""),"japonaise")</f>
        <v>japonaise</v>
      </c>
      <c r="H35" s="3" t="str">
        <f>IFERROR(__xludf.DUMMYFUNCTION("""COMPUTED_VALUE"""),"+0001 486 838,")</f>
        <v>+0001 486 838,</v>
      </c>
      <c r="I35" s="3" t="str">
        <f>IFERROR(__xludf.DUMMYFUNCTION("""COMPUTED_VALUE"""),"+00082,5")</f>
        <v>+00082,5</v>
      </c>
      <c r="J35" s="3" t="str">
        <f>IFERROR(__xludf.DUMMYFUNCTION("""COMPUTED_VALUE"""),"+0004 372 262,")</f>
        <v>+0004 372 262,</v>
      </c>
      <c r="K35" s="3" t="str">
        <f>IFERROR(__xludf.DUMMYFUNCTION("""COMPUTED_VALUE"""),"+0107 872 184,")</f>
        <v>+0107 872 184,</v>
      </c>
      <c r="L35" s="3" t="str">
        <f>IFERROR(__xludf.DUMMYFUNCTION("""COMPUTED_VALUE"""),"+0002 531 042,")</f>
        <v>+0002 531 042,</v>
      </c>
    </row>
    <row r="36">
      <c r="G36" s="3" t="str">
        <f>IFERROR(__xludf.DUMMYFUNCTION("""COMPUTED_VALUE"""),"kazakh")</f>
        <v>kazakh</v>
      </c>
      <c r="H36" s="3" t="str">
        <f>IFERROR(__xludf.DUMMYFUNCTION("""COMPUTED_VALUE"""),"+0 000242 116,")</f>
        <v>+0 000242 116,</v>
      </c>
      <c r="I36" s="3" t="str">
        <f>IFERROR(__xludf.DUMMYFUNCTION("""COMPUTED_VALUE"""),"+00017,5")</f>
        <v>+00017,5</v>
      </c>
      <c r="J36" s="3" t="str">
        <f>IFERROR(__xludf.DUMMYFUNCTION("""COMPUTED_VALUE"""),"+0 000660 292,")</f>
        <v>+0 000660 292,</v>
      </c>
      <c r="K36" s="3" t="str">
        <f>IFERROR(__xludf.DUMMYFUNCTION("""COMPUTED_VALUE"""),"+0003 537 940,")</f>
        <v>+0003 537 940,</v>
      </c>
      <c r="L36" s="3" t="str">
        <f>IFERROR(__xludf.DUMMYFUNCTION("""COMPUTED_VALUE"""),"+0 000173 007,")</f>
        <v>+0 000173 007,</v>
      </c>
    </row>
    <row r="37">
      <c r="G37" s="3" t="str">
        <f>IFERROR(__xludf.DUMMYFUNCTION("""COMPUTED_VALUE"""),"lituanienne")</f>
        <v>lituanienne</v>
      </c>
      <c r="H37" s="3" t="str">
        <f>IFERROR(__xludf.DUMMYFUNCTION("""COMPUTED_VALUE"""),"+0 000224 760,")</f>
        <v>+0 000224 760,</v>
      </c>
      <c r="I37" s="3" t="str">
        <f>IFERROR(__xludf.DUMMYFUNCTION("""COMPUTED_VALUE"""),"+0 0009,1")</f>
        <v>+0 0009,1</v>
      </c>
      <c r="J37" s="3" t="str">
        <f>IFERROR(__xludf.DUMMYFUNCTION("""COMPUTED_VALUE"""),"+0 000561 598,")</f>
        <v>+0 000561 598,</v>
      </c>
      <c r="K37" s="3" t="str">
        <f>IFERROR(__xludf.DUMMYFUNCTION("""COMPUTED_VALUE"""),"+0007 725 341,")</f>
        <v>+0007 725 341,</v>
      </c>
      <c r="L37" s="3" t="str">
        <f>IFERROR(__xludf.DUMMYFUNCTION("""COMPUTED_VALUE"""),"+0 000209 126,")</f>
        <v>+0 000209 126,</v>
      </c>
    </row>
    <row r="38">
      <c r="G38" s="3" t="str">
        <f>IFERROR(__xludf.DUMMYFUNCTION("""COMPUTED_VALUE"""),"malaise")</f>
        <v>malaise</v>
      </c>
      <c r="H38" s="3" t="str">
        <f>IFERROR(__xludf.DUMMYFUNCTION("""COMPUTED_VALUE"""),"+0 000435 981,")</f>
        <v>+0 000435 981,</v>
      </c>
      <c r="I38" s="3" t="str">
        <f>IFERROR(__xludf.DUMMYFUNCTION("""COMPUTED_VALUE"""),"+00023,6")</f>
        <v>+00023,6</v>
      </c>
      <c r="J38" s="3" t="str">
        <f>IFERROR(__xludf.DUMMYFUNCTION("""COMPUTED_VALUE"""),"+0001 173 303,")</f>
        <v>+0001 173 303,</v>
      </c>
      <c r="K38" s="3" t="str">
        <f>IFERROR(__xludf.DUMMYFUNCTION("""COMPUTED_VALUE"""),"+0006 743 654,")</f>
        <v>+0006 743 654,</v>
      </c>
      <c r="L38" s="3" t="str">
        <f>IFERROR(__xludf.DUMMYFUNCTION("""COMPUTED_VALUE"""),"+0 000380 063,")</f>
        <v>+0 000380 063,</v>
      </c>
    </row>
    <row r="39">
      <c r="G39" s="3" t="str">
        <f>IFERROR(__xludf.DUMMYFUNCTION("""COMPUTED_VALUE"""),"minangkabau")</f>
        <v>minangkabau</v>
      </c>
      <c r="H39" s="3" t="str">
        <f>IFERROR(__xludf.DUMMYFUNCTION("""COMPUTED_VALUE"""),"+0 000228 743,")</f>
        <v>+0 000228 743,</v>
      </c>
      <c r="I39" s="3" t="str">
        <f>IFERROR(__xludf.DUMMYFUNCTION("""COMPUTED_VALUE"""),"+0 0001,")</f>
        <v>+0 0001,</v>
      </c>
      <c r="J39" s="3" t="str">
        <f>IFERROR(__xludf.DUMMYFUNCTION("""COMPUTED_VALUE"""),"+0 000473 839,")</f>
        <v>+0 000473 839,</v>
      </c>
      <c r="K39" s="3" t="str">
        <f>IFERROR(__xludf.DUMMYFUNCTION("""COMPUTED_VALUE"""),"+0003 342 583,")</f>
        <v>+0003 342 583,</v>
      </c>
      <c r="L39" s="3" t="str">
        <f>IFERROR(__xludf.DUMMYFUNCTION("""COMPUTED_VALUE"""),"+00 00022 918,")</f>
        <v>+00 00022 918,</v>
      </c>
    </row>
    <row r="40">
      <c r="G40" s="3" t="str">
        <f>IFERROR(__xludf.DUMMYFUNCTION("""COMPUTED_VALUE"""),"minnane")</f>
        <v>minnane</v>
      </c>
      <c r="H40" s="3" t="str">
        <f>IFERROR(__xludf.DUMMYFUNCTION("""COMPUTED_VALUE"""),"+0 000433 885,")</f>
        <v>+0 000433 885,</v>
      </c>
      <c r="I40" s="3" t="str">
        <f>IFERROR(__xludf.DUMMYFUNCTION("""COMPUTED_VALUE"""),"+0 0000,4")</f>
        <v>+0 0000,4</v>
      </c>
      <c r="J40" s="3" t="str">
        <f>IFERROR(__xludf.DUMMYFUNCTION("""COMPUTED_VALUE"""),"+0001 075 675,")</f>
        <v>+0001 075 675,</v>
      </c>
      <c r="K40" s="3" t="str">
        <f>IFERROR(__xludf.DUMMYFUNCTION("""COMPUTED_VALUE"""),"+0003 257 728,")</f>
        <v>+0003 257 728,</v>
      </c>
      <c r="L40" s="3" t="str">
        <f>IFERROR(__xludf.DUMMYFUNCTION("""COMPUTED_VALUE"""),"+00 00071 375,")</f>
        <v>+00 00071 375,</v>
      </c>
    </row>
    <row r="41">
      <c r="G41" s="3" t="str">
        <f>IFERROR(__xludf.DUMMYFUNCTION("""COMPUTED_VALUE"""),"néerlandaise")</f>
        <v>néerlandaise</v>
      </c>
      <c r="H41" s="3" t="str">
        <f>IFERROR(__xludf.DUMMYFUNCTION("""COMPUTED_VALUE"""),"+0002 209 549,")</f>
        <v>+0002 209 549,</v>
      </c>
      <c r="I41" s="3" t="str">
        <f>IFERROR(__xludf.DUMMYFUNCTION("""COMPUTED_VALUE"""),"+00112,4")</f>
        <v>+00112,4</v>
      </c>
      <c r="J41" s="3" t="str">
        <f>IFERROR(__xludf.DUMMYFUNCTION("""COMPUTED_VALUE"""),"+0004 755 601,")</f>
        <v>+0004 755 601,</v>
      </c>
      <c r="K41" s="3" t="str">
        <f>IFERROR(__xludf.DUMMYFUNCTION("""COMPUTED_VALUE"""),"+0070 397 913,")</f>
        <v>+0070 397 913,</v>
      </c>
      <c r="L41" s="3" t="str">
        <f>IFERROR(__xludf.DUMMYFUNCTION("""COMPUTED_VALUE"""),"+0001 503 363,")</f>
        <v>+0001 503 363,</v>
      </c>
    </row>
    <row r="42">
      <c r="G42" s="3" t="str">
        <f>IFERROR(__xludf.DUMMYFUNCTION("""COMPUTED_VALUE"""),"norvégienne")</f>
        <v>norvégienne</v>
      </c>
      <c r="H42" s="3" t="str">
        <f>IFERROR(__xludf.DUMMYFUNCTION("""COMPUTED_VALUE"""),"+0 000670 331,")</f>
        <v>+0 000670 331,</v>
      </c>
      <c r="I42" s="3" t="str">
        <f>IFERROR(__xludf.DUMMYFUNCTION("""COMPUTED_VALUE"""),"+00218,2")</f>
        <v>+00218,2</v>
      </c>
      <c r="J42" s="3" t="str">
        <f>IFERROR(__xludf.DUMMYFUNCTION("""COMPUTED_VALUE"""),"+0001 888 122,")</f>
        <v>+0001 888 122,</v>
      </c>
      <c r="K42" s="3" t="str">
        <f>IFERROR(__xludf.DUMMYFUNCTION("""COMPUTED_VALUE"""),"+0025 531 346,")</f>
        <v>+0025 531 346,</v>
      </c>
      <c r="L42" s="3" t="str">
        <f>IFERROR(__xludf.DUMMYFUNCTION("""COMPUTED_VALUE"""),"+0 000690 780,")</f>
        <v>+0 000690 780,</v>
      </c>
    </row>
    <row r="43">
      <c r="G43" s="3" t="str">
        <f>IFERROR(__xludf.DUMMYFUNCTION("""COMPUTED_VALUE"""),"ourdoue")</f>
        <v>ourdoue</v>
      </c>
      <c r="H43" s="3" t="str">
        <f>IFERROR(__xludf.DUMMYFUNCTION("""COMPUTED_VALUE"""),"+0 000238 177,")</f>
        <v>+0 000238 177,</v>
      </c>
      <c r="I43" s="3" t="str">
        <f>IFERROR(__xludf.DUMMYFUNCTION("""COMPUTED_VALUE"""),"+00051,4")</f>
        <v>+00051,4</v>
      </c>
      <c r="J43" s="3" t="str">
        <f>IFERROR(__xludf.DUMMYFUNCTION("""COMPUTED_VALUE"""),"+0002 321 498,")</f>
        <v>+0002 321 498,</v>
      </c>
      <c r="K43" s="3" t="str">
        <f>IFERROR(__xludf.DUMMYFUNCTION("""COMPUTED_VALUE"""),"+0009 329 919,")</f>
        <v>+0009 329 919,</v>
      </c>
      <c r="L43" s="3" t="str">
        <f>IFERROR(__xludf.DUMMYFUNCTION("""COMPUTED_VALUE"""),"+0 000205 398,")</f>
        <v>+0 000205 398,</v>
      </c>
    </row>
    <row r="44">
      <c r="G44" s="3" t="str">
        <f>IFERROR(__xludf.DUMMYFUNCTION("""COMPUTED_VALUE"""),"ouzbek")</f>
        <v>ouzbek</v>
      </c>
      <c r="H44" s="3" t="str">
        <f>IFERROR(__xludf.DUMMYFUNCTION("""COMPUTED_VALUE"""),"+0 000326 062,")</f>
        <v>+0 000326 062,</v>
      </c>
      <c r="I44" s="3" t="str">
        <f>IFERROR(__xludf.DUMMYFUNCTION("""COMPUTED_VALUE"""),"+00160,7")</f>
        <v>+00160,7</v>
      </c>
      <c r="J44" s="3" t="str">
        <f>IFERROR(__xludf.DUMMYFUNCTION("""COMPUTED_VALUE"""),"+0001 187 940,")</f>
        <v>+0001 187 940,</v>
      </c>
      <c r="K44" s="3" t="str">
        <f>IFERROR(__xludf.DUMMYFUNCTION("""COMPUTED_VALUE"""),"+0005 873 650,")</f>
        <v>+0005 873 650,</v>
      </c>
      <c r="L44" s="3" t="str">
        <f>IFERROR(__xludf.DUMMYFUNCTION("""COMPUTED_VALUE"""),"+0 000234 094,")</f>
        <v>+0 000234 094,</v>
      </c>
    </row>
    <row r="45">
      <c r="G45" s="3" t="str">
        <f>IFERROR(__xludf.DUMMYFUNCTION("""COMPUTED_VALUE"""),"persane")</f>
        <v>persane</v>
      </c>
      <c r="H45" s="3" t="str">
        <f>IFERROR(__xludf.DUMMYFUNCTION("""COMPUTED_VALUE"""),"+0001 066 790,")</f>
        <v>+0001 066 790,</v>
      </c>
      <c r="I45" s="3" t="str">
        <f>IFERROR(__xludf.DUMMYFUNCTION("""COMPUTED_VALUE"""),"+00062,2")</f>
        <v>+00062,2</v>
      </c>
      <c r="J45" s="3" t="str">
        <f>IFERROR(__xludf.DUMMYFUNCTION("""COMPUTED_VALUE"""),"+0006 013 950,")</f>
        <v>+0006 013 950,</v>
      </c>
      <c r="K45" s="3" t="str">
        <f>IFERROR(__xludf.DUMMYFUNCTION("""COMPUTED_VALUE"""),"+0043 214 620,")</f>
        <v>+0043 214 620,</v>
      </c>
      <c r="L45" s="3" t="str">
        <f>IFERROR(__xludf.DUMMYFUNCTION("""COMPUTED_VALUE"""),"+0001 488 240,")</f>
        <v>+0001 488 240,</v>
      </c>
    </row>
    <row r="46">
      <c r="G46" s="3" t="str">
        <f>IFERROR(__xludf.DUMMYFUNCTION("""COMPUTED_VALUE"""),"polonaise")</f>
        <v>polonaise</v>
      </c>
      <c r="H46" s="3" t="str">
        <f>IFERROR(__xludf.DUMMYFUNCTION("""COMPUTED_VALUE"""),"+0001 681 839,")</f>
        <v>+0001 681 839,</v>
      </c>
      <c r="I46" s="3" t="str">
        <f>IFERROR(__xludf.DUMMYFUNCTION("""COMPUTED_VALUE"""),"+00106,6")</f>
        <v>+00106,6</v>
      </c>
      <c r="J46" s="3" t="str">
        <f>IFERROR(__xludf.DUMMYFUNCTION("""COMPUTED_VALUE"""),"+0003 979 631,")</f>
        <v>+0003 979 631,</v>
      </c>
      <c r="K46" s="3" t="str">
        <f>IFERROR(__xludf.DUMMYFUNCTION("""COMPUTED_VALUE"""),"+0078 631 404,")</f>
        <v>+0078 631 404,</v>
      </c>
      <c r="L46" s="3" t="str">
        <f>IFERROR(__xludf.DUMMYFUNCTION("""COMPUTED_VALUE"""),"+0001 492 785,")</f>
        <v>+0001 492 785,</v>
      </c>
    </row>
    <row r="47">
      <c r="G47" s="3" t="str">
        <f>IFERROR(__xludf.DUMMYFUNCTION("""COMPUTED_VALUE"""),"portugaise")</f>
        <v>portugaise</v>
      </c>
      <c r="H47" s="3" t="str">
        <f>IFERROR(__xludf.DUMMYFUNCTION("""COMPUTED_VALUE"""),"+0001 163 556,")</f>
        <v>+0001 163 556,</v>
      </c>
      <c r="I47" s="3" t="str">
        <f>IFERROR(__xludf.DUMMYFUNCTION("""COMPUTED_VALUE"""),"+00048,1")</f>
        <v>+00048,1</v>
      </c>
      <c r="J47" s="3" t="str">
        <f>IFERROR(__xludf.DUMMYFUNCTION("""COMPUTED_VALUE"""),"+0006 036 884,")</f>
        <v>+0006 036 884,</v>
      </c>
      <c r="K47" s="3" t="str">
        <f>IFERROR(__xludf.DUMMYFUNCTION("""COMPUTED_VALUE"""),"+0071 390 029,")</f>
        <v>+0071 390 029,</v>
      </c>
      <c r="L47" s="3" t="str">
        <f>IFERROR(__xludf.DUMMYFUNCTION("""COMPUTED_VALUE"""),"+0003 348 804,")</f>
        <v>+0003 348 804,</v>
      </c>
    </row>
    <row r="48">
      <c r="G48" s="3" t="str">
        <f>IFERROR(__xludf.DUMMYFUNCTION("""COMPUTED_VALUE"""),"roumaine")</f>
        <v>roumaine</v>
      </c>
      <c r="H48" s="3" t="str">
        <f>IFERROR(__xludf.DUMMYFUNCTION("""COMPUTED_VALUE"""),"+0 000538 406,")</f>
        <v>+0 000538 406,</v>
      </c>
      <c r="I48" s="3" t="str">
        <f>IFERROR(__xludf.DUMMYFUNCTION("""COMPUTED_VALUE"""),"+00559,4")</f>
        <v>+00559,4</v>
      </c>
      <c r="J48" s="3" t="str">
        <f>IFERROR(__xludf.DUMMYFUNCTION("""COMPUTED_VALUE"""),"+0002 976 958,")</f>
        <v>+0002 976 958,</v>
      </c>
      <c r="K48" s="3" t="str">
        <f>IFERROR(__xludf.DUMMYFUNCTION("""COMPUTED_VALUE"""),"+0017 375 869,")</f>
        <v>+0017 375 869,</v>
      </c>
      <c r="L48" s="3" t="str">
        <f>IFERROR(__xludf.DUMMYFUNCTION("""COMPUTED_VALUE"""),"+0 000730 587,")</f>
        <v>+0 000730 587,</v>
      </c>
    </row>
    <row r="49">
      <c r="G49" s="3" t="str">
        <f>IFERROR(__xludf.DUMMYFUNCTION("""COMPUTED_VALUE"""),"russe")</f>
        <v>russe</v>
      </c>
      <c r="H49" s="3" t="str">
        <f>IFERROR(__xludf.DUMMYFUNCTION("""COMPUTED_VALUE"""),"+0002 081 146,")</f>
        <v>+0002 081 146,</v>
      </c>
      <c r="I49" s="3" t="str">
        <f>IFERROR(__xludf.DUMMYFUNCTION("""COMPUTED_VALUE"""),"+00151,3")</f>
        <v>+00151,3</v>
      </c>
      <c r="J49" s="3" t="str">
        <f>IFERROR(__xludf.DUMMYFUNCTION("""COMPUTED_VALUE"""),"+0008 481 399,")</f>
        <v>+0008 481 399,</v>
      </c>
      <c r="K49" s="3" t="str">
        <f>IFERROR(__xludf.DUMMYFUNCTION("""COMPUTED_VALUE"""),"+0150 955 137,")</f>
        <v>+0150 955 137,</v>
      </c>
      <c r="L49" s="3" t="str">
        <f>IFERROR(__xludf.DUMMYFUNCTION("""COMPUTED_VALUE"""),"+0003 860 340,")</f>
        <v>+0003 860 340,</v>
      </c>
    </row>
    <row r="50">
      <c r="G50" s="3" t="str">
        <f>IFERROR(__xludf.DUMMYFUNCTION("""COMPUTED_VALUE"""),"serbe")</f>
        <v>serbe</v>
      </c>
      <c r="H50" s="3" t="str">
        <f>IFERROR(__xludf.DUMMYFUNCTION("""COMPUTED_VALUE"""),"+0 000715 142,")</f>
        <v>+0 000715 142,</v>
      </c>
      <c r="I50" s="3" t="str">
        <f>IFERROR(__xludf.DUMMYFUNCTION("""COMPUTED_VALUE"""),"+00037,3")</f>
        <v>+00037,3</v>
      </c>
      <c r="J50" s="3" t="str">
        <f>IFERROR(__xludf.DUMMYFUNCTION("""COMPUTED_VALUE"""),"+0004 224 865,")</f>
        <v>+0004 224 865,</v>
      </c>
      <c r="K50" s="3" t="str">
        <f>IFERROR(__xludf.DUMMYFUNCTION("""COMPUTED_VALUE"""),"+0030 652 946,")</f>
        <v>+0030 652 946,</v>
      </c>
      <c r="L50" s="3" t="str">
        <f>IFERROR(__xludf.DUMMYFUNCTION("""COMPUTED_VALUE"""),"+0 000522 327,")</f>
        <v>+0 000522 327,</v>
      </c>
    </row>
    <row r="51">
      <c r="G51" s="3" t="str">
        <f>IFERROR(__xludf.DUMMYFUNCTION("""COMPUTED_VALUE"""),"serbo-croate")</f>
        <v>serbo-croate</v>
      </c>
      <c r="H51" s="3" t="str">
        <f>IFERROR(__xludf.DUMMYFUNCTION("""COMPUTED_VALUE"""),"+0 000461 344,")</f>
        <v>+0 000461 344,</v>
      </c>
      <c r="I51" s="3" t="str">
        <f>IFERROR(__xludf.DUMMYFUNCTION("""COMPUTED_VALUE"""),"+0 0003,")</f>
        <v>+0 0003,</v>
      </c>
      <c r="J51" s="3" t="str">
        <f>IFERROR(__xludf.DUMMYFUNCTION("""COMPUTED_VALUE"""),"+0004 627 552,")</f>
        <v>+0004 627 552,</v>
      </c>
      <c r="K51" s="3" t="str">
        <f>IFERROR(__xludf.DUMMYFUNCTION("""COMPUTED_VALUE"""),"+0042 529 494,")</f>
        <v>+0042 529 494,</v>
      </c>
      <c r="L51" s="3" t="str">
        <f>IFERROR(__xludf.DUMMYFUNCTION("""COMPUTED_VALUE"""),"+0 000320 075,")</f>
        <v>+0 000320 075,</v>
      </c>
    </row>
    <row r="52">
      <c r="G52" s="3" t="str">
        <f>IFERROR(__xludf.DUMMYFUNCTION("""COMPUTED_VALUE"""),"slovaque")</f>
        <v>slovaque</v>
      </c>
      <c r="H52" s="3" t="str">
        <f>IFERROR(__xludf.DUMMYFUNCTION("""COMPUTED_VALUE"""),"+0 000257 792,")</f>
        <v>+0 000257 792,</v>
      </c>
      <c r="I52" s="3" t="str">
        <f>IFERROR(__xludf.DUMMYFUNCTION("""COMPUTED_VALUE"""),"+00018,5")</f>
        <v>+00018,5</v>
      </c>
      <c r="J52" s="3" t="str">
        <f>IFERROR(__xludf.DUMMYFUNCTION("""COMPUTED_VALUE"""),"+0 000598 331,")</f>
        <v>+0 000598 331,</v>
      </c>
      <c r="K52" s="3" t="str">
        <f>IFERROR(__xludf.DUMMYFUNCTION("""COMPUTED_VALUE"""),"+0008 126 664,")</f>
        <v>+0008 126 664,</v>
      </c>
      <c r="L52" s="3" t="str">
        <f>IFERROR(__xludf.DUMMYFUNCTION("""COMPUTED_VALUE"""),"+0 000281 474,")</f>
        <v>+0 000281 474,</v>
      </c>
    </row>
    <row r="53">
      <c r="G53" s="3" t="str">
        <f>IFERROR(__xludf.DUMMYFUNCTION("""COMPUTED_VALUE"""),"suédoise")</f>
        <v>suédoise</v>
      </c>
      <c r="H53" s="3" t="str">
        <f>IFERROR(__xludf.DUMMYFUNCTION("""COMPUTED_VALUE"""),"+0002 622 038,")</f>
        <v>+0002 622 038,</v>
      </c>
      <c r="I53" s="3" t="str">
        <f>IFERROR(__xludf.DUMMYFUNCTION("""COMPUTED_VALUE"""),"+00055,4")</f>
        <v>+00055,4</v>
      </c>
      <c r="J53" s="3" t="str">
        <f>IFERROR(__xludf.DUMMYFUNCTION("""COMPUTED_VALUE"""),"+0006 353 671,")</f>
        <v>+0006 353 671,</v>
      </c>
      <c r="K53" s="3" t="str">
        <f>IFERROR(__xludf.DUMMYFUNCTION("""COMPUTED_VALUE"""),"+0058 851 489,")</f>
        <v>+0058 851 489,</v>
      </c>
      <c r="L53" s="3" t="str">
        <f>IFERROR(__xludf.DUMMYFUNCTION("""COMPUTED_VALUE"""),"+0001 001 149,")</f>
        <v>+0001 001 149,</v>
      </c>
    </row>
    <row r="54">
      <c r="G54" s="3" t="str">
        <f>IFERROR(__xludf.DUMMYFUNCTION("""COMPUTED_VALUE"""),"tatare")</f>
        <v>tatare</v>
      </c>
      <c r="H54" s="3" t="str">
        <f>IFERROR(__xludf.DUMMYFUNCTION("""COMPUTED_VALUE"""),"+0 000609 662,")</f>
        <v>+0 000609 662,</v>
      </c>
      <c r="I54" s="3" t="str">
        <f>IFERROR(__xludf.DUMMYFUNCTION("""COMPUTED_VALUE"""),"+00842,4")</f>
        <v>+00842,4</v>
      </c>
      <c r="J54" s="3" t="str">
        <f>IFERROR(__xludf.DUMMYFUNCTION("""COMPUTED_VALUE"""),"+0001 358 841,")</f>
        <v>+0001 358 841,</v>
      </c>
      <c r="K54" s="3" t="str">
        <f>IFERROR(__xludf.DUMMYFUNCTION("""COMPUTED_VALUE"""),"+0005 492 159,")</f>
        <v>+0005 492 159,</v>
      </c>
      <c r="L54" s="3" t="str">
        <f>IFERROR(__xludf.DUMMYFUNCTION("""COMPUTED_VALUE"""),"+00 00058 720,")</f>
        <v>+00 00058 720,</v>
      </c>
    </row>
    <row r="55">
      <c r="G55" s="3" t="str">
        <f>IFERROR(__xludf.DUMMYFUNCTION("""COMPUTED_VALUE"""),"tchèque")</f>
        <v>tchèque</v>
      </c>
      <c r="H55" s="3" t="str">
        <f>IFERROR(__xludf.DUMMYFUNCTION("""COMPUTED_VALUE"""),"+0 000584 726,")</f>
        <v>+0 000584 726,</v>
      </c>
      <c r="I55" s="3" t="str">
        <f>IFERROR(__xludf.DUMMYFUNCTION("""COMPUTED_VALUE"""),"+00072,3")</f>
        <v>+00072,3</v>
      </c>
      <c r="J55" s="3" t="str">
        <f>IFERROR(__xludf.DUMMYFUNCTION("""COMPUTED_VALUE"""),"+0001 629 862,")</f>
        <v>+0001 629 862,</v>
      </c>
      <c r="K55" s="3" t="str">
        <f>IFERROR(__xludf.DUMMYFUNCTION("""COMPUTED_VALUE"""),"+0025 566 300,")</f>
        <v>+0025 566 300,</v>
      </c>
      <c r="L55" s="3" t="str">
        <f>IFERROR(__xludf.DUMMYFUNCTION("""COMPUTED_VALUE"""),"+0007 556 564,")</f>
        <v>+0007 556 564,</v>
      </c>
    </row>
    <row r="56">
      <c r="G56" s="3" t="str">
        <f>IFERROR(__xludf.DUMMYFUNCTION("""COMPUTED_VALUE"""),"tchétchène")</f>
        <v>tchétchène</v>
      </c>
      <c r="H56" s="3" t="str">
        <f>IFERROR(__xludf.DUMMYFUNCTION("""COMPUTED_VALUE"""),"+0 000789 713,")</f>
        <v>+0 000789 713,</v>
      </c>
      <c r="I56" s="3" t="str">
        <f>IFERROR(__xludf.DUMMYFUNCTION("""COMPUTED_VALUE"""),"+02 751,1")</f>
        <v>+02 751,1</v>
      </c>
      <c r="J56" s="3" t="str">
        <f>IFERROR(__xludf.DUMMYFUNCTION("""COMPUTED_VALUE"""),"+0001 424 186,")</f>
        <v>+0001 424 186,</v>
      </c>
      <c r="K56" s="3" t="str">
        <f>IFERROR(__xludf.DUMMYFUNCTION("""COMPUTED_VALUE"""),"+0011 236 620,")</f>
        <v>+0011 236 620,</v>
      </c>
      <c r="L56" s="3" t="str">
        <f>IFERROR(__xludf.DUMMYFUNCTION("""COMPUTED_VALUE"""),"+00 00044 349,")</f>
        <v>+00 00044 349,</v>
      </c>
    </row>
    <row r="57">
      <c r="G57" s="3" t="str">
        <f>IFERROR(__xludf.DUMMYFUNCTION("""COMPUTED_VALUE"""),"turque")</f>
        <v>turque</v>
      </c>
      <c r="H57" s="3" t="str">
        <f>IFERROR(__xludf.DUMMYFUNCTION("""COMPUTED_VALUE"""),"+0 000661 553,")</f>
        <v>+0 000661 553,</v>
      </c>
      <c r="I57" s="3" t="str">
        <f>IFERROR(__xludf.DUMMYFUNCTION("""COMPUTED_VALUE"""),"+00171,6")</f>
        <v>+00171,6</v>
      </c>
      <c r="J57" s="3" t="str">
        <f>IFERROR(__xludf.DUMMYFUNCTION("""COMPUTED_VALUE"""),"+0003 392 766,")</f>
        <v>+0003 392 766,</v>
      </c>
      <c r="K57" s="3" t="str">
        <f>IFERROR(__xludf.DUMMYFUNCTION("""COMPUTED_VALUE"""),"+0036 609 778,")</f>
        <v>+0036 609 778,</v>
      </c>
      <c r="L57" s="3" t="str">
        <f>IFERROR(__xludf.DUMMYFUNCTION("""COMPUTED_VALUE"""),"+0001 769 787,")</f>
        <v>+0001 769 787,</v>
      </c>
    </row>
    <row r="58">
      <c r="G58" s="3" t="str">
        <f>IFERROR(__xludf.DUMMYFUNCTION("""COMPUTED_VALUE"""),"ukrainienne")</f>
        <v>ukrainienne</v>
      </c>
      <c r="H58" s="3" t="str">
        <f>IFERROR(__xludf.DUMMYFUNCTION("""COMPUTED_VALUE"""),"+0001 404 496,")</f>
        <v>+0001 404 496,</v>
      </c>
      <c r="I58" s="3" t="str">
        <f>IFERROR(__xludf.DUMMYFUNCTION("""COMPUTED_VALUE"""),"+00124,3")</f>
        <v>+00124,3</v>
      </c>
      <c r="J58" s="3" t="str">
        <f>IFERROR(__xludf.DUMMYFUNCTION("""COMPUTED_VALUE"""),"+0005 240 692,")</f>
        <v>+0005 240 692,</v>
      </c>
      <c r="K58" s="3" t="str">
        <f>IFERROR(__xludf.DUMMYFUNCTION("""COMPUTED_VALUE"""),"+0047 226 957,")</f>
        <v>+0047 226 957,</v>
      </c>
      <c r="L58" s="3" t="str">
        <f>IFERROR(__xludf.DUMMYFUNCTION("""COMPUTED_VALUE"""),"+0 000868 256,")</f>
        <v>+0 000868 256,</v>
      </c>
    </row>
    <row r="59">
      <c r="G59" s="3" t="str">
        <f>IFERROR(__xludf.DUMMYFUNCTION("""COMPUTED_VALUE"""),"vietnamienne")</f>
        <v>vietnamienne</v>
      </c>
      <c r="H59" s="3" t="str">
        <f>IFERROR(__xludf.DUMMYFUNCTION("""COMPUTED_VALUE"""),"+0001 297 401,")</f>
        <v>+0001 297 401,</v>
      </c>
      <c r="I59" s="3" t="str">
        <f>IFERROR(__xludf.DUMMYFUNCTION("""COMPUTED_VALUE"""),"+00022,1")</f>
        <v>+00022,1</v>
      </c>
      <c r="J59" s="3" t="str">
        <f>IFERROR(__xludf.DUMMYFUNCTION("""COMPUTED_VALUE"""),"+0008 778 685,")</f>
        <v>+0008 778 685,</v>
      </c>
      <c r="K59" s="3" t="str">
        <f>IFERROR(__xludf.DUMMYFUNCTION("""COMPUTED_VALUE"""),"+0074 665 804,")</f>
        <v>+0074 665 804,</v>
      </c>
      <c r="L59" s="3" t="str">
        <f>IFERROR(__xludf.DUMMYFUNCTION("""COMPUTED_VALUE"""),"+0001 030 796,")</f>
        <v>+0001 030 796,</v>
      </c>
    </row>
    <row r="60">
      <c r="G60" s="3" t="str">
        <f>IFERROR(__xludf.DUMMYFUNCTION("""COMPUTED_VALUE"""),"waray-waray")</f>
        <v>waray-waray</v>
      </c>
      <c r="H60" s="3" t="str">
        <f>IFERROR(__xludf.DUMMYFUNCTION("""COMPUTED_VALUE"""),"+0001 266 855,")</f>
        <v>+0001 266 855,</v>
      </c>
      <c r="I60" s="3" t="str">
        <f>IFERROR(__xludf.DUMMYFUNCTION("""COMPUTED_VALUE"""),"+0 0000,5")</f>
        <v>+0 0000,5</v>
      </c>
      <c r="J60" s="3" t="str">
        <f>IFERROR(__xludf.DUMMYFUNCTION("""COMPUTED_VALUE"""),"+0002 870 729,")</f>
        <v>+0002 870 729,</v>
      </c>
      <c r="K60" s="3" t="str">
        <f>IFERROR(__xludf.DUMMYFUNCTION("""COMPUTED_VALUE"""),"+0007 727 263,")</f>
        <v>+0007 727 263,</v>
      </c>
      <c r="L60" s="3" t="str">
        <f>IFERROR(__xludf.DUMMYFUNCTION("""COMPUTED_VALUE"""),"+00 00065 307,")</f>
        <v>+00 00065 307,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1.88"/>
    <col customWidth="1" min="3" max="3" width="60.0"/>
  </cols>
  <sheetData>
    <row r="1">
      <c r="A1" s="3" t="str">
        <f>IFERROR(__xludf.DUMMYFUNCTION("IMPORTHTML(""https://fr.wikipedia.org/wiki/Liste_des_capitales_du_monde"",""table"", 1)"),"État")</f>
        <v>État</v>
      </c>
      <c r="B1" s="3" t="str">
        <f>IFERROR(__xludf.DUMMYFUNCTION("""COMPUTED_VALUE"""),"Capitale")</f>
        <v>Capitale</v>
      </c>
      <c r="C1" s="3" t="str">
        <f>IFERROR(__xludf.DUMMYFUNCTION("""COMPUTED_VALUE"""),"Notes")</f>
        <v>Notes</v>
      </c>
    </row>
    <row r="2">
      <c r="A2" s="3" t="str">
        <f>IFERROR(__xludf.DUMMYFUNCTION("""COMPUTED_VALUE"""),"Émirats arabes unis")</f>
        <v>Émirats arabes unis</v>
      </c>
      <c r="B2" s="3" t="str">
        <f>IFERROR(__xludf.DUMMYFUNCTION("""COMPUTED_VALUE"""),"Abou Dabi")</f>
        <v>Abou Dabi</v>
      </c>
      <c r="C2" s="3"/>
    </row>
    <row r="3">
      <c r="A3" s="3" t="str">
        <f>IFERROR(__xludf.DUMMYFUNCTION("""COMPUTED_VALUE"""),"Nigeria")</f>
        <v>Nigeria</v>
      </c>
      <c r="B3" s="3" t="str">
        <f>IFERROR(__xludf.DUMMYFUNCTION("""COMPUTED_VALUE"""),"Abuja")</f>
        <v>Abuja</v>
      </c>
      <c r="C3" s="3" t="str">
        <f>IFERROR(__xludf.DUMMYFUNCTION("""COMPUTED_VALUE"""),"Abuja est la capitale depuis 1991, en remplacement de Lagos.")</f>
        <v>Abuja est la capitale depuis 1991, en remplacement de Lagos.</v>
      </c>
    </row>
    <row r="4">
      <c r="A4" s="3" t="str">
        <f>IFERROR(__xludf.DUMMYFUNCTION("""COMPUTED_VALUE"""),"Ghana")</f>
        <v>Ghana</v>
      </c>
      <c r="B4" s="3" t="str">
        <f>IFERROR(__xludf.DUMMYFUNCTION("""COMPUTED_VALUE"""),"Accra")</f>
        <v>Accra</v>
      </c>
      <c r="C4" s="3"/>
    </row>
    <row r="5">
      <c r="A5" s="3" t="str">
        <f>IFERROR(__xludf.DUMMYFUNCTION("""COMPUTED_VALUE"""),"Turkménistan")</f>
        <v>Turkménistan</v>
      </c>
      <c r="B5" s="3" t="str">
        <f>IFERROR(__xludf.DUMMYFUNCTION("""COMPUTED_VALUE"""),"Achgabat")</f>
        <v>Achgabat</v>
      </c>
      <c r="C5" s="3"/>
    </row>
    <row r="6">
      <c r="A6" s="3" t="str">
        <f>IFERROR(__xludf.DUMMYFUNCTION("""COMPUTED_VALUE"""),"Éthiopie")</f>
        <v>Éthiopie</v>
      </c>
      <c r="B6" s="3" t="str">
        <f>IFERROR(__xludf.DUMMYFUNCTION("""COMPUTED_VALUE"""),"Addis-Abeba")</f>
        <v>Addis-Abeba</v>
      </c>
      <c r="C6" s="3"/>
    </row>
    <row r="7">
      <c r="A7" s="3" t="str">
        <f>IFERROR(__xludf.DUMMYFUNCTION("""COMPUTED_VALUE"""),"Yémen")</f>
        <v>Yémen</v>
      </c>
      <c r="B7" s="3" t="str">
        <f>IFERROR(__xludf.DUMMYFUNCTION("""COMPUTED_VALUE"""),"Sanaa(contesté)")</f>
        <v>Sanaa(contesté)</v>
      </c>
      <c r="C7" s="3" t="str">
        <f>IFERROR(__xludf.DUMMYFUNCTION("""COMPUTED_VALUE"""),"Sanaa sert de capitale au Conseil politique suprême. Aden sert de capitale 
au Conseil de transition du Sud. Les deux factions ont participé à la guerre 
civile.")</f>
        <v>Sanaa sert de capitale au Conseil politique suprême. Aden sert de capitale 
au Conseil de transition du Sud. Les deux factions ont participé à la guerre 
civile.</v>
      </c>
    </row>
    <row r="8">
      <c r="A8" s="3"/>
      <c r="B8" s="3" t="str">
        <f>IFERROR(__xludf.DUMMYFUNCTION("""COMPUTED_VALUE"""),"Aden(contesté)")</f>
        <v>Aden(contesté)</v>
      </c>
      <c r="C8" s="3"/>
    </row>
    <row r="9">
      <c r="A9" s="3" t="str">
        <f>IFERROR(__xludf.DUMMYFUNCTION("""COMPUTED_VALUE"""),"Algérie")</f>
        <v>Algérie</v>
      </c>
      <c r="B9" s="3" t="str">
        <f>IFERROR(__xludf.DUMMYFUNCTION("""COMPUTED_VALUE"""),"Alger")</f>
        <v>Alger</v>
      </c>
      <c r="C9" s="3"/>
    </row>
    <row r="10">
      <c r="A10" s="3" t="str">
        <f>IFERROR(__xludf.DUMMYFUNCTION("""COMPUTED_VALUE"""),"Niue")</f>
        <v>Niue</v>
      </c>
      <c r="B10" s="3" t="str">
        <f>IFERROR(__xludf.DUMMYFUNCTION("""COMPUTED_VALUE"""),"Alofi")</f>
        <v>Alofi</v>
      </c>
      <c r="C10" s="3"/>
    </row>
    <row r="11">
      <c r="A11" s="3" t="str">
        <f>IFERROR(__xludf.DUMMYFUNCTION("""COMPUTED_VALUE"""),"Jordanie")</f>
        <v>Jordanie</v>
      </c>
      <c r="B11" s="3" t="str">
        <f>IFERROR(__xludf.DUMMYFUNCTION("""COMPUTED_VALUE"""),"Amman")</f>
        <v>Amman</v>
      </c>
      <c r="C11" s="3"/>
    </row>
    <row r="12">
      <c r="A12" s="3" t="str">
        <f>IFERROR(__xludf.DUMMYFUNCTION("""COMPUTED_VALUE"""),"Pays-Bas")</f>
        <v>Pays-Bas</v>
      </c>
      <c r="B12" s="3" t="str">
        <f>IFERROR(__xludf.DUMMYFUNCTION("""COMPUTED_VALUE"""),"Amsterdam(officielle)")</f>
        <v>Amsterdam(officielle)</v>
      </c>
      <c r="C12" s="3" t="str">
        <f>IFERROR(__xludf.DUMMYFUNCTION("""COMPUTED_VALUE"""),"La constitution du royaume des Pays-Bas désigne Amsterdam comme 
« capitale ». Le gouvernement néerlandais, le roi, les ministères, la 
magistrature et les missions diplomatiques sont néanmoins situées à La Haye.")</f>
        <v>La constitution du royaume des Pays-Bas désigne Amsterdam comme 
« capitale ». Le gouvernement néerlandais, le roi, les ministères, la 
magistrature et les missions diplomatiques sont néanmoins situées à La Haye.</v>
      </c>
    </row>
    <row r="13">
      <c r="A13" s="3"/>
      <c r="B13" s="3" t="str">
        <f>IFERROR(__xludf.DUMMYFUNCTION("""COMPUTED_VALUE"""),"La Haye(*de facto*)")</f>
        <v>La Haye(*de facto*)</v>
      </c>
      <c r="C13" s="3"/>
    </row>
    <row r="14">
      <c r="A14" s="3" t="str">
        <f>IFERROR(__xludf.DUMMYFUNCTION("""COMPUTED_VALUE"""),"Andorre")</f>
        <v>Andorre</v>
      </c>
      <c r="B14" s="3" t="str">
        <f>IFERROR(__xludf.DUMMYFUNCTION("""COMPUTED_VALUE"""),"Andorre-la-Vieille")</f>
        <v>Andorre-la-Vieille</v>
      </c>
      <c r="C14" s="3"/>
    </row>
    <row r="15">
      <c r="A15" s="3" t="str">
        <f>IFERROR(__xludf.DUMMYFUNCTION("""COMPUTED_VALUE"""),"Turquie")</f>
        <v>Turquie</v>
      </c>
      <c r="B15" s="3" t="str">
        <f>IFERROR(__xludf.DUMMYFUNCTION("""COMPUTED_VALUE"""),"Ankara")</f>
        <v>Ankara</v>
      </c>
      <c r="C15" s="3"/>
    </row>
    <row r="16">
      <c r="A16" s="3" t="str">
        <f>IFERROR(__xludf.DUMMYFUNCTION("""COMPUTED_VALUE"""),"Madagascar")</f>
        <v>Madagascar</v>
      </c>
      <c r="B16" s="3" t="str">
        <f>IFERROR(__xludf.DUMMYFUNCTION("""COMPUTED_VALUE"""),"Antananarivo ou Tananarive")</f>
        <v>Antananarivo ou Tananarive</v>
      </c>
      <c r="C16" s="3"/>
    </row>
    <row r="17">
      <c r="A17" s="3" t="str">
        <f>IFERROR(__xludf.DUMMYFUNCTION("""COMPUTED_VALUE"""),"Samoa")</f>
        <v>Samoa</v>
      </c>
      <c r="B17" s="3" t="str">
        <f>IFERROR(__xludf.DUMMYFUNCTION("""COMPUTED_VALUE"""),"Apia")</f>
        <v>Apia</v>
      </c>
      <c r="C17" s="3"/>
    </row>
    <row r="18">
      <c r="A18" s="3" t="str">
        <f>IFERROR(__xludf.DUMMYFUNCTION("""COMPUTED_VALUE"""),"Érythrée")</f>
        <v>Érythrée</v>
      </c>
      <c r="B18" s="3" t="str">
        <f>IFERROR(__xludf.DUMMYFUNCTION("""COMPUTED_VALUE"""),"Asmara")</f>
        <v>Asmara</v>
      </c>
      <c r="C18" s="3"/>
    </row>
    <row r="19">
      <c r="A19" s="3" t="str">
        <f>IFERROR(__xludf.DUMMYFUNCTION("""COMPUTED_VALUE"""),"Kazakhstan")</f>
        <v>Kazakhstan</v>
      </c>
      <c r="B19" s="3" t="str">
        <f>IFERROR(__xludf.DUMMYFUNCTION("""COMPUTED_VALUE"""),"Astana")</f>
        <v>Astana</v>
      </c>
      <c r="C19" s="3" t="str">
        <f>IFERROR(__xludf.DUMMYFUNCTION("""COMPUTED_VALUE"""),"Précédemment nommée « Akmola » jusqu'en 1998, puis « Nour-Soultan » de 2019 
à 2022. Almaty était la capitale de 1991 à 1997.")</f>
        <v>Précédemment nommée « Akmola » jusqu'en 1998, puis « Nour-Soultan » de 2019 
à 2022. Almaty était la capitale de 1991 à 1997.</v>
      </c>
    </row>
    <row r="20">
      <c r="A20" s="3" t="str">
        <f>IFERROR(__xludf.DUMMYFUNCTION("""COMPUTED_VALUE"""),"Paraguay")</f>
        <v>Paraguay</v>
      </c>
      <c r="B20" s="3" t="str">
        <f>IFERROR(__xludf.DUMMYFUNCTION("""COMPUTED_VALUE"""),"Asuncion")</f>
        <v>Asuncion</v>
      </c>
      <c r="C20" s="3"/>
    </row>
    <row r="21">
      <c r="A21" s="3" t="str">
        <f>IFERROR(__xludf.DUMMYFUNCTION("""COMPUTED_VALUE"""),"Grèce")</f>
        <v>Grèce</v>
      </c>
      <c r="B21" s="3" t="str">
        <f>IFERROR(__xludf.DUMMYFUNCTION("""COMPUTED_VALUE"""),"Athènes")</f>
        <v>Athènes</v>
      </c>
      <c r="C21" s="3"/>
    </row>
    <row r="22">
      <c r="A22" s="3" t="str">
        <f>IFERROR(__xludf.DUMMYFUNCTION("""COMPUTED_VALUE"""),"Îles Cook")</f>
        <v>Îles Cook</v>
      </c>
      <c r="B22" s="3" t="str">
        <f>IFERROR(__xludf.DUMMYFUNCTION("""COMPUTED_VALUE"""),"Avarua")</f>
        <v>Avarua</v>
      </c>
      <c r="C22" s="3"/>
    </row>
    <row r="23">
      <c r="A23" s="3" t="str">
        <f>IFERROR(__xludf.DUMMYFUNCTION("""COMPUTED_VALUE"""),"Irak")</f>
        <v>Irak</v>
      </c>
      <c r="B23" s="3" t="str">
        <f>IFERROR(__xludf.DUMMYFUNCTION("""COMPUTED_VALUE"""),"Bagdad")</f>
        <v>Bagdad</v>
      </c>
      <c r="C23" s="3"/>
    </row>
    <row r="24">
      <c r="A24" s="3" t="str">
        <f>IFERROR(__xludf.DUMMYFUNCTION("""COMPUTED_VALUE"""),"Azerbaïdjan")</f>
        <v>Azerbaïdjan</v>
      </c>
      <c r="B24" s="3" t="str">
        <f>IFERROR(__xludf.DUMMYFUNCTION("""COMPUTED_VALUE"""),"Bakou")</f>
        <v>Bakou</v>
      </c>
      <c r="C24" s="3"/>
    </row>
    <row r="25">
      <c r="A25" s="3" t="str">
        <f>IFERROR(__xludf.DUMMYFUNCTION("""COMPUTED_VALUE"""),"Mali")</f>
        <v>Mali</v>
      </c>
      <c r="B25" s="3" t="str">
        <f>IFERROR(__xludf.DUMMYFUNCTION("""COMPUTED_VALUE"""),"Bamako")</f>
        <v>Bamako</v>
      </c>
      <c r="C25" s="3"/>
    </row>
    <row r="26">
      <c r="A26" s="3" t="str">
        <f>IFERROR(__xludf.DUMMYFUNCTION("""COMPUTED_VALUE"""),"Brunei")</f>
        <v>Brunei</v>
      </c>
      <c r="B26" s="3" t="str">
        <f>IFERROR(__xludf.DUMMYFUNCTION("""COMPUTED_VALUE"""),"Bandar Seri Begawan")</f>
        <v>Bandar Seri Begawan</v>
      </c>
      <c r="C26" s="3"/>
    </row>
    <row r="27">
      <c r="A27" s="3" t="str">
        <f>IFERROR(__xludf.DUMMYFUNCTION("""COMPUTED_VALUE"""),"Thaïlande")</f>
        <v>Thaïlande</v>
      </c>
      <c r="B27" s="3" t="str">
        <f>IFERROR(__xludf.DUMMYFUNCTION("""COMPUTED_VALUE"""),"Bangkok")</f>
        <v>Bangkok</v>
      </c>
      <c r="C27" s="3"/>
    </row>
    <row r="28">
      <c r="A28" s="3" t="str">
        <f>IFERROR(__xludf.DUMMYFUNCTION("""COMPUTED_VALUE"""),"République centrafricaine")</f>
        <v>République centrafricaine</v>
      </c>
      <c r="B28" s="3" t="str">
        <f>IFERROR(__xludf.DUMMYFUNCTION("""COMPUTED_VALUE"""),"Bangui")</f>
        <v>Bangui</v>
      </c>
      <c r="C28" s="3"/>
    </row>
    <row r="29">
      <c r="A29" s="3" t="str">
        <f>IFERROR(__xludf.DUMMYFUNCTION("""COMPUTED_VALUE"""),"Gambie")</f>
        <v>Gambie</v>
      </c>
      <c r="B29" s="3" t="str">
        <f>IFERROR(__xludf.DUMMYFUNCTION("""COMPUTED_VALUE"""),"Banjul")</f>
        <v>Banjul</v>
      </c>
      <c r="C29" s="3"/>
    </row>
    <row r="30">
      <c r="A30" s="3" t="str">
        <f>IFERROR(__xludf.DUMMYFUNCTION("""COMPUTED_VALUE"""),"Saint-Christophe-et-Niévès")</f>
        <v>Saint-Christophe-et-Niévès</v>
      </c>
      <c r="B30" s="3" t="str">
        <f>IFERROR(__xludf.DUMMYFUNCTION("""COMPUTED_VALUE"""),"Basseterre")</f>
        <v>Basseterre</v>
      </c>
      <c r="C30" s="3"/>
    </row>
    <row r="31">
      <c r="A31" s="3" t="str">
        <f>IFERROR(__xludf.DUMMYFUNCTION("""COMPUTED_VALUE"""),"Serbie")</f>
        <v>Serbie</v>
      </c>
      <c r="B31" s="3" t="str">
        <f>IFERROR(__xludf.DUMMYFUNCTION("""COMPUTED_VALUE"""),"Belgrade")</f>
        <v>Belgrade</v>
      </c>
      <c r="C31" s="3"/>
    </row>
    <row r="32">
      <c r="A32" s="3" t="str">
        <f>IFERROR(__xludf.DUMMYFUNCTION("""COMPUTED_VALUE"""),"Belize")</f>
        <v>Belize</v>
      </c>
      <c r="B32" s="3" t="str">
        <f>IFERROR(__xludf.DUMMYFUNCTION("""COMPUTED_VALUE"""),"Belmopan")</f>
        <v>Belmopan</v>
      </c>
      <c r="C32" s="3"/>
    </row>
    <row r="33">
      <c r="A33" s="3" t="str">
        <f>IFERROR(__xludf.DUMMYFUNCTION("""COMPUTED_VALUE"""),"Allemagne")</f>
        <v>Allemagne</v>
      </c>
      <c r="B33" s="3" t="str">
        <f>IFERROR(__xludf.DUMMYFUNCTION("""COMPUTED_VALUE"""),"Berlin")</f>
        <v>Berlin</v>
      </c>
      <c r="C33" s="3" t="str">
        <f>IFERROR(__xludf.DUMMYFUNCTION("""COMPUTED_VALUE"""),"Bonn était la capitale d'Allemagne de l'Ouest et est demeurée le siège du 
gouvernement de l'Allemagne réunifiée jusqu'en 1999.")</f>
        <v>Bonn était la capitale d'Allemagne de l'Ouest et est demeurée le siège du 
gouvernement de l'Allemagne réunifiée jusqu'en 1999.</v>
      </c>
    </row>
    <row r="34">
      <c r="A34" s="3" t="str">
        <f>IFERROR(__xludf.DUMMYFUNCTION("""COMPUTED_VALUE"""),"Suisse")</f>
        <v>Suisse</v>
      </c>
      <c r="B34" s="3" t="str">
        <f>IFERROR(__xludf.DUMMYFUNCTION("""COMPUTED_VALUE"""),"Berne(*de facto*)")</f>
        <v>Berne(*de facto*)</v>
      </c>
      <c r="C34" s="3" t="str">
        <f>IFERROR(__xludf.DUMMYFUNCTION("""COMPUTED_VALUE"""),"La Suisse n'a aucune capitale officielle ; Berne est la ville fédérale, 
c'est-à-dire le siège du gouvernement fédéral.")</f>
        <v>La Suisse n'a aucune capitale officielle ; Berne est la ville fédérale, 
c'est-à-dire le siège du gouvernement fédéral.</v>
      </c>
    </row>
    <row r="35">
      <c r="A35" s="3" t="str">
        <f>IFERROR(__xludf.DUMMYFUNCTION("""COMPUTED_VALUE"""),"Liban")</f>
        <v>Liban</v>
      </c>
      <c r="B35" s="3" t="str">
        <f>IFERROR(__xludf.DUMMYFUNCTION("""COMPUTED_VALUE"""),"Beyrouth")</f>
        <v>Beyrouth</v>
      </c>
      <c r="C35" s="3"/>
    </row>
    <row r="36">
      <c r="A36" s="3" t="str">
        <f>IFERROR(__xludf.DUMMYFUNCTION("""COMPUTED_VALUE"""),"Kirghizistan")</f>
        <v>Kirghizistan</v>
      </c>
      <c r="B36" s="3" t="str">
        <f>IFERROR(__xludf.DUMMYFUNCTION("""COMPUTED_VALUE"""),"Bichkek")</f>
        <v>Bichkek</v>
      </c>
      <c r="C36" s="3"/>
    </row>
    <row r="37">
      <c r="A37" s="3" t="str">
        <f>IFERROR(__xludf.DUMMYFUNCTION("""COMPUTED_VALUE"""),"Guinée-Bissau")</f>
        <v>Guinée-Bissau</v>
      </c>
      <c r="B37" s="3" t="str">
        <f>IFERROR(__xludf.DUMMYFUNCTION("""COMPUTED_VALUE"""),"Bissau")</f>
        <v>Bissau</v>
      </c>
      <c r="C37" s="3"/>
    </row>
    <row r="38">
      <c r="A38" s="3" t="str">
        <f>IFERROR(__xludf.DUMMYFUNCTION("""COMPUTED_VALUE"""),"Afrique du Sud")</f>
        <v>Afrique du Sud</v>
      </c>
      <c r="B38" s="3" t="str">
        <f>IFERROR(__xludf.DUMMYFUNCTION("""COMPUTED_VALUE"""),"Bloemfontein(judiciaire)")</f>
        <v>Bloemfontein(judiciaire)</v>
      </c>
      <c r="C38" s="3" t="str">
        <f>IFERROR(__xludf.DUMMYFUNCTION("""COMPUTED_VALUE"""),"L'Afrique du Sud compte trois capitales : Pretoria est la capitale 
administrative et le siège du gouvernement, Le Cap est le siège du 
Parlement et Bloemfontein la capitale judiciaire.")</f>
        <v>L'Afrique du Sud compte trois capitales : Pretoria est la capitale 
administrative et le siège du gouvernement, Le Cap est le siège du 
Parlement et Bloemfontein la capitale judiciaire.</v>
      </c>
    </row>
    <row r="39">
      <c r="A39" s="3"/>
      <c r="B39" s="3" t="str">
        <f>IFERROR(__xludf.DUMMYFUNCTION("""COMPUTED_VALUE"""),"Le Cap(législative)")</f>
        <v>Le Cap(législative)</v>
      </c>
      <c r="C39" s="3"/>
    </row>
    <row r="40">
      <c r="A40" s="3"/>
      <c r="B40" s="3" t="str">
        <f>IFERROR(__xludf.DUMMYFUNCTION("""COMPUTED_VALUE"""),"Pretoria(administrative)")</f>
        <v>Pretoria(administrative)</v>
      </c>
      <c r="C40" s="3"/>
    </row>
    <row r="41">
      <c r="A41" s="3" t="str">
        <f>IFERROR(__xludf.DUMMYFUNCTION("""COMPUTED_VALUE"""),"Colombie")</f>
        <v>Colombie</v>
      </c>
      <c r="B41" s="3" t="str">
        <f>IFERROR(__xludf.DUMMYFUNCTION("""COMPUTED_VALUE"""),"Bogota")</f>
        <v>Bogota</v>
      </c>
      <c r="C41" s="3"/>
    </row>
    <row r="42">
      <c r="A42" s="3" t="str">
        <f>IFERROR(__xludf.DUMMYFUNCTION("""COMPUTED_VALUE"""),"Brésil")</f>
        <v>Brésil</v>
      </c>
      <c r="B42" s="3" t="str">
        <f>IFERROR(__xludf.DUMMYFUNCTION("""COMPUTED_VALUE"""),"Brasilia")</f>
        <v>Brasilia</v>
      </c>
      <c r="C42" s="3" t="str">
        <f>IFERROR(__xludf.DUMMYFUNCTION("""COMPUTED_VALUE"""),"Rio de Janeiro était la capitale jusqu’en 1960. Belém a été temporairement 
capitale en novembre 2025 à l’occasion de la COP 30[3],[4].")</f>
        <v>Rio de Janeiro était la capitale jusqu’en 1960. Belém a été temporairement 
capitale en novembre 2025 à l’occasion de la COP 30[3],[4].</v>
      </c>
    </row>
    <row r="43">
      <c r="A43" s="3" t="str">
        <f>IFERROR(__xludf.DUMMYFUNCTION("""COMPUTED_VALUE"""),"Slovaquie")</f>
        <v>Slovaquie</v>
      </c>
      <c r="B43" s="3" t="str">
        <f>IFERROR(__xludf.DUMMYFUNCTION("""COMPUTED_VALUE"""),"Bratislava")</f>
        <v>Bratislava</v>
      </c>
      <c r="C43" s="3"/>
    </row>
    <row r="44">
      <c r="A44" s="3" t="str">
        <f>IFERROR(__xludf.DUMMYFUNCTION("""COMPUTED_VALUE"""),"République du Congo")</f>
        <v>République du Congo</v>
      </c>
      <c r="B44" s="3" t="str">
        <f>IFERROR(__xludf.DUMMYFUNCTION("""COMPUTED_VALUE"""),"Brazzaville")</f>
        <v>Brazzaville</v>
      </c>
      <c r="C44" s="3"/>
    </row>
    <row r="45">
      <c r="A45" s="3" t="str">
        <f>IFERROR(__xludf.DUMMYFUNCTION("""COMPUTED_VALUE"""),"Barbade")</f>
        <v>Barbade</v>
      </c>
      <c r="B45" s="3" t="str">
        <f>IFERROR(__xludf.DUMMYFUNCTION("""COMPUTED_VALUE"""),"Bridgetown")</f>
        <v>Bridgetown</v>
      </c>
      <c r="C45" s="3"/>
    </row>
    <row r="46">
      <c r="A46" s="3" t="str">
        <f>IFERROR(__xludf.DUMMYFUNCTION("""COMPUTED_VALUE"""),"Belgique")</f>
        <v>Belgique</v>
      </c>
      <c r="B46" s="3" t="str">
        <f>IFERROR(__xludf.DUMMYFUNCTION("""COMPUTED_VALUE"""),"Bruxelles")</f>
        <v>Bruxelles</v>
      </c>
      <c r="C46" s="3"/>
    </row>
    <row r="47">
      <c r="A47" s="3" t="str">
        <f>IFERROR(__xludf.DUMMYFUNCTION("""COMPUTED_VALUE"""),"Roumanie")</f>
        <v>Roumanie</v>
      </c>
      <c r="B47" s="3" t="str">
        <f>IFERROR(__xludf.DUMMYFUNCTION("""COMPUTED_VALUE"""),"Bucarest")</f>
        <v>Bucarest</v>
      </c>
      <c r="C47" s="3"/>
    </row>
    <row r="48">
      <c r="A48" s="3" t="str">
        <f>IFERROR(__xludf.DUMMYFUNCTION("""COMPUTED_VALUE"""),"Hongrie")</f>
        <v>Hongrie</v>
      </c>
      <c r="B48" s="3" t="str">
        <f>IFERROR(__xludf.DUMMYFUNCTION("""COMPUTED_VALUE"""),"Budapest")</f>
        <v>Budapest</v>
      </c>
      <c r="C48" s="3"/>
    </row>
    <row r="49">
      <c r="A49" s="3" t="str">
        <f>IFERROR(__xludf.DUMMYFUNCTION("""COMPUTED_VALUE"""),"Argentine")</f>
        <v>Argentine</v>
      </c>
      <c r="B49" s="3" t="str">
        <f>IFERROR(__xludf.DUMMYFUNCTION("""COMPUTED_VALUE"""),"Buenos Aires")</f>
        <v>Buenos Aires</v>
      </c>
      <c r="C49" s="3"/>
    </row>
    <row r="50">
      <c r="A50" s="3" t="str">
        <f>IFERROR(__xludf.DUMMYFUNCTION("""COMPUTED_VALUE"""),"Burundi")</f>
        <v>Burundi</v>
      </c>
      <c r="B50" s="3" t="str">
        <f>IFERROR(__xludf.DUMMYFUNCTION("""COMPUTED_VALUE"""),"Bujumbura(*de facto*)")</f>
        <v>Bujumbura(*de facto*)</v>
      </c>
      <c r="C50" s="3" t="str">
        <f>IFERROR(__xludf.DUMMYFUNCTION("""COMPUTED_VALUE"""),"Gitega est la capitale officielle depuis 2018. Bujumbura conserve néanmoins 
certaines institutions et missions diplomatiques.")</f>
        <v>Gitega est la capitale officielle depuis 2018. Bujumbura conserve néanmoins 
certaines institutions et missions diplomatiques.</v>
      </c>
    </row>
    <row r="51">
      <c r="A51" s="3"/>
      <c r="B51" s="3" t="str">
        <f>IFERROR(__xludf.DUMMYFUNCTION("""COMPUTED_VALUE"""),"Gitega(officielle)")</f>
        <v>Gitega(officielle)</v>
      </c>
      <c r="C51" s="3"/>
    </row>
    <row r="52">
      <c r="A52" s="3" t="str">
        <f>IFERROR(__xludf.DUMMYFUNCTION("""COMPUTED_VALUE"""),"Égypte")</f>
        <v>Égypte</v>
      </c>
      <c r="B52" s="3" t="str">
        <f>IFERROR(__xludf.DUMMYFUNCTION("""COMPUTED_VALUE"""),"Le Caire")</f>
        <v>Le Caire</v>
      </c>
      <c r="C52" s="3" t="str">
        <f>IFERROR(__xludf.DUMMYFUNCTION("""COMPUTED_VALUE"""),"En 2023, une nouvelle capitale est en construction.")</f>
        <v>En 2023, une nouvelle capitale est en construction.</v>
      </c>
    </row>
    <row r="53">
      <c r="A53" s="3" t="str">
        <f>IFERROR(__xludf.DUMMYFUNCTION("""COMPUTED_VALUE"""),"Australie")</f>
        <v>Australie</v>
      </c>
      <c r="B53" s="3" t="str">
        <f>IFERROR(__xludf.DUMMYFUNCTION("""COMPUTED_VALUE"""),"Canberra")</f>
        <v>Canberra</v>
      </c>
      <c r="C53" s="3"/>
    </row>
    <row r="54">
      <c r="A54" s="3" t="str">
        <f>IFERROR(__xludf.DUMMYFUNCTION("""COMPUTED_VALUE"""),"Venezuela")</f>
        <v>Venezuela</v>
      </c>
      <c r="B54" s="3" t="str">
        <f>IFERROR(__xludf.DUMMYFUNCTION("""COMPUTED_VALUE"""),"Caracas")</f>
        <v>Caracas</v>
      </c>
      <c r="C54" s="3"/>
    </row>
    <row r="55">
      <c r="A55" s="3" t="str">
        <f>IFERROR(__xludf.DUMMYFUNCTION("""COMPUTED_VALUE"""),"Sainte-Lucie")</f>
        <v>Sainte-Lucie</v>
      </c>
      <c r="B55" s="3" t="str">
        <f>IFERROR(__xludf.DUMMYFUNCTION("""COMPUTED_VALUE"""),"Castries")</f>
        <v>Castries</v>
      </c>
      <c r="C55" s="3"/>
    </row>
    <row r="56">
      <c r="A56" s="3" t="str">
        <f>IFERROR(__xludf.DUMMYFUNCTION("""COMPUTED_VALUE"""),"Monténégro")</f>
        <v>Monténégro</v>
      </c>
      <c r="B56" s="3" t="str">
        <f>IFERROR(__xludf.DUMMYFUNCTION("""COMPUTED_VALUE"""),"Cetinje(présidentielle)")</f>
        <v>Cetinje(présidentielle)</v>
      </c>
      <c r="C56" s="3" t="str">
        <f>IFERROR(__xludf.DUMMYFUNCTION("""COMPUTED_VALUE"""),"Podgorica est la capitale administrative, Cetinje est le siège du 
président.")</f>
        <v>Podgorica est la capitale administrative, Cetinje est le siège du 
président.</v>
      </c>
    </row>
    <row r="57">
      <c r="A57" s="3"/>
      <c r="B57" s="3" t="str">
        <f>IFERROR(__xludf.DUMMYFUNCTION("""COMPUTED_VALUE"""),"Podgorica(administrative)")</f>
        <v>Podgorica(administrative)</v>
      </c>
      <c r="C57" s="3"/>
    </row>
    <row r="58">
      <c r="A58" s="3" t="str">
        <f>IFERROR(__xludf.DUMMYFUNCTION("""COMPUTED_VALUE"""),"Moldavie")</f>
        <v>Moldavie</v>
      </c>
      <c r="B58" s="3" t="str">
        <f>IFERROR(__xludf.DUMMYFUNCTION("""COMPUTED_VALUE"""),"Chisinau")</f>
        <v>Chisinau</v>
      </c>
      <c r="C58" s="3"/>
    </row>
    <row r="59">
      <c r="A59" s="3" t="str">
        <f>IFERROR(__xludf.DUMMYFUNCTION("""COMPUTED_VALUE"""),"Guinée équatoriale")</f>
        <v>Guinée équatoriale</v>
      </c>
      <c r="B59" s="3" t="str">
        <f>IFERROR(__xludf.DUMMYFUNCTION("""COMPUTED_VALUE"""),"Ciudad de la Paz")</f>
        <v>Ciudad de la Paz</v>
      </c>
      <c r="C59" s="3" t="str">
        <f>IFERROR(__xludf.DUMMYFUNCTION("""COMPUTED_VALUE"""),"Malabo a été capitale jusqu’en janvier 2026[5].")</f>
        <v>Malabo a été capitale jusqu’en janvier 2026[5].</v>
      </c>
    </row>
    <row r="60">
      <c r="A60" s="3" t="str">
        <f>IFERROR(__xludf.DUMMYFUNCTION("""COMPUTED_VALUE"""),"Sri Lanka")</f>
        <v>Sri Lanka</v>
      </c>
      <c r="B60" s="3" t="str">
        <f>IFERROR(__xludf.DUMMYFUNCTION("""COMPUTED_VALUE"""),"Colombo(exécutive et judiciaire)")</f>
        <v>Colombo(exécutive et judiciaire)</v>
      </c>
      <c r="C60" s="3" t="str">
        <f>IFERROR(__xludf.DUMMYFUNCTION("""COMPUTED_VALUE"""),"Sri Jayawardenapura Kotte est la capitale officielle depuis les années 
1980, en remplacement de Colombo. Cette dernière conserve toujours 
plusieurs institutions gouvernementales importantes. L'Union européenne ne 
donne que Colombo comme capitale[réf. n"&amp;"écessaire]. L'IGN donne Sri 
Jayawardenapura Kotte comme capitale administrative et législative et 
Colombo comme capitale commerciale[réf. nécessaire].")</f>
        <v>Sri Jayawardenapura Kotte est la capitale officielle depuis les années 
1980, en remplacement de Colombo. Cette dernière conserve toujours 
plusieurs institutions gouvernementales importantes. L'Union européenne ne 
donne que Colombo comme capitale[réf. nécessaire]. L'IGN donne Sri 
Jayawardenapura Kotte comme capitale administrative et législative et 
Colombo comme capitale commerciale[réf. nécessaire].</v>
      </c>
    </row>
    <row r="61">
      <c r="A61" s="3"/>
      <c r="B61" s="3" t="str">
        <f>IFERROR(__xludf.DUMMYFUNCTION("""COMPUTED_VALUE"""),"Sri Jayawardenapura Kotte(officielle et législative)")</f>
        <v>Sri Jayawardenapura Kotte(officielle et législative)</v>
      </c>
      <c r="C61" s="3"/>
    </row>
    <row r="62">
      <c r="A62" s="3" t="str">
        <f>IFERROR(__xludf.DUMMYFUNCTION("""COMPUTED_VALUE"""),"Honduras")</f>
        <v>Honduras</v>
      </c>
      <c r="B62" s="3" t="str">
        <f>IFERROR(__xludf.DUMMYFUNCTION("""COMPUTED_VALUE"""),"Comayagüela")</f>
        <v>Comayagüela</v>
      </c>
      <c r="C62" s="3" t="str">
        <f>IFERROR(__xludf.DUMMYFUNCTION("""COMPUTED_VALUE"""),"La constitution du Honduras (es) désigne Comayagüela comme co-capitale avec 
Tegucigalpa. En 2023, les deux villes ne sont plus que deux localités de la 
municipalité du *Distrito Central* depuis 1937.")</f>
        <v>La constitution du Honduras (es) désigne Comayagüela comme co-capitale avec 
Tegucigalpa. En 2023, les deux villes ne sont plus que deux localités de la 
municipalité du *Distrito Central* depuis 1937.</v>
      </c>
    </row>
    <row r="63">
      <c r="A63" s="3"/>
      <c r="B63" s="3" t="str">
        <f>IFERROR(__xludf.DUMMYFUNCTION("""COMPUTED_VALUE"""),"Tegucigalpa")</f>
        <v>Tegucigalpa</v>
      </c>
      <c r="C63" s="3"/>
    </row>
    <row r="64">
      <c r="A64" s="3" t="str">
        <f>IFERROR(__xludf.DUMMYFUNCTION("""COMPUTED_VALUE"""),"Guinée")</f>
        <v>Guinée</v>
      </c>
      <c r="B64" s="3" t="str">
        <f>IFERROR(__xludf.DUMMYFUNCTION("""COMPUTED_VALUE"""),"Conakry")</f>
        <v>Conakry</v>
      </c>
      <c r="C64" s="3"/>
    </row>
    <row r="65">
      <c r="A65" s="3" t="str">
        <f>IFERROR(__xludf.DUMMYFUNCTION("""COMPUTED_VALUE"""),"Danemark")</f>
        <v>Danemark</v>
      </c>
      <c r="B65" s="3" t="str">
        <f>IFERROR(__xludf.DUMMYFUNCTION("""COMPUTED_VALUE"""),"Copenhague")</f>
        <v>Copenhague</v>
      </c>
      <c r="C65" s="3"/>
    </row>
    <row r="66">
      <c r="A66" s="3" t="str">
        <f>IFERROR(__xludf.DUMMYFUNCTION("""COMPUTED_VALUE"""),"Bénin")</f>
        <v>Bénin</v>
      </c>
      <c r="B66" s="3" t="str">
        <f>IFERROR(__xludf.DUMMYFUNCTION("""COMPUTED_VALUE"""),"Cotonou(*de facto*)")</f>
        <v>Cotonou(*de facto*)</v>
      </c>
      <c r="C66" s="3" t="str">
        <f>IFERROR(__xludf.DUMMYFUNCTION("""COMPUTED_VALUE"""),"Porto-Novo est la capitale constitutionnelle, Cotonou est le siège du 
gouvernement et des ambassades.")</f>
        <v>Porto-Novo est la capitale constitutionnelle, Cotonou est le siège du 
gouvernement et des ambassades.</v>
      </c>
    </row>
    <row r="67">
      <c r="A67" s="3"/>
      <c r="B67" s="3" t="str">
        <f>IFERROR(__xludf.DUMMYFUNCTION("""COMPUTED_VALUE"""),"Porto-Novo(officielle)")</f>
        <v>Porto-Novo(officielle)</v>
      </c>
      <c r="C67" s="3"/>
    </row>
    <row r="68">
      <c r="A68" s="3" t="str">
        <f>IFERROR(__xludf.DUMMYFUNCTION("""COMPUTED_VALUE"""),"Sénégal")</f>
        <v>Sénégal</v>
      </c>
      <c r="B68" s="3" t="str">
        <f>IFERROR(__xludf.DUMMYFUNCTION("""COMPUTED_VALUE"""),"Dakar")</f>
        <v>Dakar</v>
      </c>
      <c r="C68" s="3"/>
    </row>
    <row r="69">
      <c r="A69" s="3" t="str">
        <f>IFERROR(__xludf.DUMMYFUNCTION("""COMPUTED_VALUE"""),"Syrie")</f>
        <v>Syrie</v>
      </c>
      <c r="B69" s="3" t="str">
        <f>IFERROR(__xludf.DUMMYFUNCTION("""COMPUTED_VALUE"""),"Damas")</f>
        <v>Damas</v>
      </c>
      <c r="C69" s="3"/>
    </row>
    <row r="70">
      <c r="A70" s="3" t="str">
        <f>IFERROR(__xludf.DUMMYFUNCTION("""COMPUTED_VALUE"""),"Bangladesh")</f>
        <v>Bangladesh</v>
      </c>
      <c r="B70" s="3" t="str">
        <f>IFERROR(__xludf.DUMMYFUNCTION("""COMPUTED_VALUE"""),"Dacca")</f>
        <v>Dacca</v>
      </c>
      <c r="C70" s="3"/>
    </row>
    <row r="71">
      <c r="A71" s="3" t="str">
        <f>IFERROR(__xludf.DUMMYFUNCTION("""COMPUTED_VALUE"""),"Tanzanie")</f>
        <v>Tanzanie</v>
      </c>
      <c r="B71" s="3" t="str">
        <f>IFERROR(__xludf.DUMMYFUNCTION("""COMPUTED_VALUE"""),"Dar es Salam(*de facto*, judiciaire)")</f>
        <v>Dar es Salam(*de facto*, judiciaire)</v>
      </c>
      <c r="C71" s="3" t="str">
        <f>IFERROR(__xludf.DUMMYFUNCTION("""COMPUTED_VALUE"""),"Dodoma est la capitale officielle depuis 1996. Dar es Salaam, l'ancienne 
capitale et la plus grande ville du pays, continue toutefois à héberger *de 
facto* le gouvernement, la présidence, les ministères, la magistrature et 
les missions diplomatiques.")</f>
        <v>Dodoma est la capitale officielle depuis 1996. Dar es Salaam, l'ancienne 
capitale et la plus grande ville du pays, continue toutefois à héberger *de 
facto* le gouvernement, la présidence, les ministères, la magistrature et 
les missions diplomatiques.</v>
      </c>
    </row>
    <row r="72">
      <c r="A72" s="3"/>
      <c r="B72" s="3" t="str">
        <f>IFERROR(__xludf.DUMMYFUNCTION("""COMPUTED_VALUE"""),"Dodoma(officielle, législative)")</f>
        <v>Dodoma(officielle, législative)</v>
      </c>
      <c r="C72" s="3"/>
    </row>
    <row r="73">
      <c r="A73" s="3" t="str">
        <f>IFERROR(__xludf.DUMMYFUNCTION("""COMPUTED_VALUE"""),"Timor oriental")</f>
        <v>Timor oriental</v>
      </c>
      <c r="B73" s="3" t="str">
        <f>IFERROR(__xludf.DUMMYFUNCTION("""COMPUTED_VALUE"""),"Dili")</f>
        <v>Dili</v>
      </c>
      <c r="C73" s="3"/>
    </row>
    <row r="74">
      <c r="A74" s="3" t="str">
        <f>IFERROR(__xludf.DUMMYFUNCTION("""COMPUTED_VALUE"""),"Djibouti")</f>
        <v>Djibouti</v>
      </c>
      <c r="B74" s="3" t="str">
        <f>IFERROR(__xludf.DUMMYFUNCTION("""COMPUTED_VALUE"""),"Djibouti")</f>
        <v>Djibouti</v>
      </c>
      <c r="C74" s="3"/>
    </row>
    <row r="75">
      <c r="A75" s="3" t="str">
        <f>IFERROR(__xludf.DUMMYFUNCTION("""COMPUTED_VALUE"""),"Soudan du Sud")</f>
        <v>Soudan du Sud</v>
      </c>
      <c r="B75" s="3" t="str">
        <f>IFERROR(__xludf.DUMMYFUNCTION("""COMPUTED_VALUE"""),"Djouba")</f>
        <v>Djouba</v>
      </c>
      <c r="C75" s="3"/>
    </row>
    <row r="76">
      <c r="A76" s="3" t="str">
        <f>IFERROR(__xludf.DUMMYFUNCTION("""COMPUTED_VALUE"""),"Qatar")</f>
        <v>Qatar</v>
      </c>
      <c r="B76" s="3" t="str">
        <f>IFERROR(__xludf.DUMMYFUNCTION("""COMPUTED_VALUE"""),"Doha")</f>
        <v>Doha</v>
      </c>
      <c r="C76" s="3"/>
    </row>
    <row r="77">
      <c r="A77" s="3" t="str">
        <f>IFERROR(__xludf.DUMMYFUNCTION("""COMPUTED_VALUE"""),"Tadjikistan")</f>
        <v>Tadjikistan</v>
      </c>
      <c r="B77" s="3" t="str">
        <f>IFERROR(__xludf.DUMMYFUNCTION("""COMPUTED_VALUE"""),"Douchanbé")</f>
        <v>Douchanbé</v>
      </c>
      <c r="C77" s="3"/>
    </row>
    <row r="78">
      <c r="A78" s="3" t="str">
        <f>IFERROR(__xludf.DUMMYFUNCTION("""COMPUTED_VALUE"""),"Irlande")</f>
        <v>Irlande</v>
      </c>
      <c r="B78" s="3" t="str">
        <f>IFERROR(__xludf.DUMMYFUNCTION("""COMPUTED_VALUE"""),"Dublin")</f>
        <v>Dublin</v>
      </c>
      <c r="C78" s="3"/>
    </row>
    <row r="79">
      <c r="A79" s="3" t="str">
        <f>IFERROR(__xludf.DUMMYFUNCTION("""COMPUTED_VALUE"""),"Arménie")</f>
        <v>Arménie</v>
      </c>
      <c r="B79" s="3" t="str">
        <f>IFERROR(__xludf.DUMMYFUNCTION("""COMPUTED_VALUE"""),"Erevan")</f>
        <v>Erevan</v>
      </c>
      <c r="C79" s="3"/>
    </row>
    <row r="80">
      <c r="A80" s="3" t="str">
        <f>IFERROR(__xludf.DUMMYFUNCTION("""COMPUTED_VALUE"""),"Sierra Leone")</f>
        <v>Sierra Leone</v>
      </c>
      <c r="B80" s="3" t="str">
        <f>IFERROR(__xludf.DUMMYFUNCTION("""COMPUTED_VALUE"""),"Freetown")</f>
        <v>Freetown</v>
      </c>
      <c r="C80" s="3"/>
    </row>
    <row r="81">
      <c r="A81" s="3" t="str">
        <f>IFERROR(__xludf.DUMMYFUNCTION("""COMPUTED_VALUE"""),"Tuvalu")</f>
        <v>Tuvalu</v>
      </c>
      <c r="B81" s="3" t="str">
        <f>IFERROR(__xludf.DUMMYFUNCTION("""COMPUTED_VALUE"""),"Funafuti (Vaiaku)")</f>
        <v>Funafuti (Vaiaku)</v>
      </c>
      <c r="C81" s="3" t="str">
        <f>IFERROR(__xludf.DUMMYFUNCTION("""COMPUTED_VALUE"""),"Vaiaku est le centre administratif de l'atoll de Funafuti.")</f>
        <v>Vaiaku est le centre administratif de l'atoll de Funafuti.</v>
      </c>
    </row>
    <row r="82">
      <c r="A82" s="3" t="str">
        <f>IFERROR(__xludf.DUMMYFUNCTION("""COMPUTED_VALUE"""),"Botswana")</f>
        <v>Botswana</v>
      </c>
      <c r="B82" s="3" t="str">
        <f>IFERROR(__xludf.DUMMYFUNCTION("""COMPUTED_VALUE"""),"Gaborone")</f>
        <v>Gaborone</v>
      </c>
      <c r="C82" s="3"/>
    </row>
    <row r="83">
      <c r="A83" s="3" t="str">
        <f>IFERROR(__xludf.DUMMYFUNCTION("""COMPUTED_VALUE"""),"Guyana")</f>
        <v>Guyana</v>
      </c>
      <c r="B83" s="3" t="str">
        <f>IFERROR(__xludf.DUMMYFUNCTION("""COMPUTED_VALUE"""),"Georgetown")</f>
        <v>Georgetown</v>
      </c>
      <c r="C83" s="3"/>
    </row>
    <row r="84">
      <c r="A84" s="3" t="str">
        <f>IFERROR(__xludf.DUMMYFUNCTION("""COMPUTED_VALUE"""),"Guatemala")</f>
        <v>Guatemala</v>
      </c>
      <c r="B84" s="3" t="str">
        <f>IFERROR(__xludf.DUMMYFUNCTION("""COMPUTED_VALUE"""),"Guatemala")</f>
        <v>Guatemala</v>
      </c>
      <c r="C84" s="3"/>
    </row>
    <row r="85">
      <c r="A85" s="3" t="str">
        <f>IFERROR(__xludf.DUMMYFUNCTION("""COMPUTED_VALUE"""),"Vietnam")</f>
        <v>Vietnam</v>
      </c>
      <c r="B85" s="3" t="str">
        <f>IFERROR(__xludf.DUMMYFUNCTION("""COMPUTED_VALUE"""),"Hanoï")</f>
        <v>Hanoï</v>
      </c>
      <c r="C85" s="3"/>
    </row>
    <row r="86">
      <c r="A86" s="3" t="str">
        <f>IFERROR(__xludf.DUMMYFUNCTION("""COMPUTED_VALUE"""),"Zimbabwe")</f>
        <v>Zimbabwe</v>
      </c>
      <c r="B86" s="3" t="str">
        <f>IFERROR(__xludf.DUMMYFUNCTION("""COMPUTED_VALUE"""),"Harare")</f>
        <v>Harare</v>
      </c>
      <c r="C86" s="3"/>
    </row>
    <row r="87">
      <c r="A87" s="3" t="str">
        <f>IFERROR(__xludf.DUMMYFUNCTION("""COMPUTED_VALUE"""),"Cuba")</f>
        <v>Cuba</v>
      </c>
      <c r="B87" s="3" t="str">
        <f>IFERROR(__xludf.DUMMYFUNCTION("""COMPUTED_VALUE"""),"La Havane")</f>
        <v>La Havane</v>
      </c>
      <c r="C87" s="3"/>
    </row>
    <row r="88">
      <c r="A88" s="3" t="str">
        <f>IFERROR(__xludf.DUMMYFUNCTION("""COMPUTED_VALUE"""),"Finlande")</f>
        <v>Finlande</v>
      </c>
      <c r="B88" s="3" t="str">
        <f>IFERROR(__xludf.DUMMYFUNCTION("""COMPUTED_VALUE"""),"Helsinki")</f>
        <v>Helsinki</v>
      </c>
      <c r="C88" s="3"/>
    </row>
    <row r="89">
      <c r="A89" s="3" t="str">
        <f>IFERROR(__xludf.DUMMYFUNCTION("""COMPUTED_VALUE"""),"Îles Salomon")</f>
        <v>Îles Salomon</v>
      </c>
      <c r="B89" s="3" t="str">
        <f>IFERROR(__xludf.DUMMYFUNCTION("""COMPUTED_VALUE"""),"Honiara")</f>
        <v>Honiara</v>
      </c>
      <c r="C89" s="3"/>
    </row>
    <row r="90">
      <c r="A90" s="3" t="str">
        <f>IFERROR(__xludf.DUMMYFUNCTION("""COMPUTED_VALUE"""),"Pakistan")</f>
        <v>Pakistan</v>
      </c>
      <c r="B90" s="3" t="str">
        <f>IFERROR(__xludf.DUMMYFUNCTION("""COMPUTED_VALUE"""),"Islamabad")</f>
        <v>Islamabad</v>
      </c>
      <c r="C90" s="3" t="str">
        <f>IFERROR(__xludf.DUMMYFUNCTION("""COMPUTED_VALUE"""),"Islamabad est la capitale depuis les années 1960, en remplacement de 
Rawalpindi, laquelle avait déjà remplacé Karachi en 1958.")</f>
        <v>Islamabad est la capitale depuis les années 1960, en remplacement de 
Rawalpindi, laquelle avait déjà remplacé Karachi en 1958.</v>
      </c>
    </row>
    <row r="91">
      <c r="A91" s="3" t="str">
        <f>IFERROR(__xludf.DUMMYFUNCTION("""COMPUTED_VALUE"""),"Indonésie")</f>
        <v>Indonésie</v>
      </c>
      <c r="B91" s="3" t="str">
        <f>IFERROR(__xludf.DUMMYFUNCTION("""COMPUTED_VALUE"""),"Jakarta (*de facto*)")</f>
        <v>Jakarta (*de facto*)</v>
      </c>
      <c r="C91" s="3" t="str">
        <f>IFERROR(__xludf.DUMMYFUNCTION("""COMPUTED_VALUE"""),"Nusantara est la capitale officielle de l'Indonésie depuis le 17 août 2024, 
en remplacement de Jakarta, à la suite de l'entrée en vigueur de la loi sur 
la région spéciale de Jakarta (en)[6],[7]. Jakarta était la capitale du 
pays en remplacement de Yogy"&amp;"akarta, *de facto* depuis le 17 août 1950 et *de 
jure* depuis le 28 août 1961. Malgré le transfert de la capitale, Jakarta 
continue d'héberger de nombreuses administrations pendant une phase de 
transition.")</f>
        <v>Nusantara est la capitale officielle de l'Indonésie depuis le 17 août 2024, 
en remplacement de Jakarta, à la suite de l'entrée en vigueur de la loi sur 
la région spéciale de Jakarta (en)[6],[7]. Jakarta était la capitale du 
pays en remplacement de Yogyakarta, *de facto* depuis le 17 août 1950 et *de 
jure* depuis le 28 août 1961. Malgré le transfert de la capitale, Jakarta 
continue d'héberger de nombreuses administrations pendant une phase de 
transition.</v>
      </c>
    </row>
    <row r="92">
      <c r="A92" s="3"/>
      <c r="B92" s="3" t="str">
        <f>IFERROR(__xludf.DUMMYFUNCTION("""COMPUTED_VALUE"""),"Nusantara (*de jure*)")</f>
        <v>Nusantara (*de jure*)</v>
      </c>
      <c r="C92" s="3"/>
    </row>
    <row r="93">
      <c r="A93" s="3" t="str">
        <f>IFERROR(__xludf.DUMMYFUNCTION("""COMPUTED_VALUE"""),"Israël")</f>
        <v>Israël</v>
      </c>
      <c r="B93" s="3" t="str">
        <f>IFERROR(__xludf.DUMMYFUNCTION("""COMPUTED_VALUE"""),"Jérusalem(non reconnue internationalement)")</f>
        <v>Jérusalem(non reconnue internationalement)</v>
      </c>
      <c r="C93" s="3" t="str">
        <f>IFERROR(__xludf.DUMMYFUNCTION("""COMPUTED_VALUE"""),"Israël considère Jérusalem comme sa capitale depuis 1949 [8] fait reaffirmé 
pour la ville entière par la Loi de Jérusalem en 1980, une position 
fortement contestée internationalement, notamment par la résolution 478 du 
Conseil de sécurité des Nations u"&amp;"nies qui considère cette dernière loi 
israélienne « nulle et non avenue » et demande aux Etats membres de l'ONU 
de retirer leurs ambassades de la ville ; la plupart des ambassades sont 
situées à Tel Aviv-Jaffa[note 1], à l'exception notable de celle de"&amp;"s 
États-Unis[13].")</f>
        <v>Israël considère Jérusalem comme sa capitale depuis 1949 [8] fait reaffirmé 
pour la ville entière par la Loi de Jérusalem en 1980, une position 
fortement contestée internationalement, notamment par la résolution 478 du 
Conseil de sécurité des Nations unies qui considère cette dernière loi 
israélienne « nulle et non avenue » et demande aux Etats membres de l'ONU 
de retirer leurs ambassades de la ville ; la plupart des ambassades sont 
situées à Tel Aviv-Jaffa[note 1], à l'exception notable de celle des 
États-Unis[13].</v>
      </c>
    </row>
    <row r="94">
      <c r="A94" s="3"/>
      <c r="B94" s="3" t="str">
        <f>IFERROR(__xludf.DUMMYFUNCTION("""COMPUTED_VALUE"""),"Tel Aviv(siège des ambassades)")</f>
        <v>Tel Aviv(siège des ambassades)</v>
      </c>
      <c r="C94" s="3"/>
    </row>
    <row r="95">
      <c r="A95" s="3" t="str">
        <f>IFERROR(__xludf.DUMMYFUNCTION("""COMPUTED_VALUE"""),"Palestine[2]")</f>
        <v>Palestine[2]</v>
      </c>
      <c r="B95" s="3" t="str">
        <f>IFERROR(__xludf.DUMMYFUNCTION("""COMPUTED_VALUE"""),"Jérusalem(proclamée)")</f>
        <v>Jérusalem(proclamée)</v>
      </c>
      <c r="C95" s="3" t="str">
        <f>IFERROR(__xludf.DUMMYFUNCTION("""COMPUTED_VALUE"""),"Jérusalem est la capitale proclamée de l'État de Palestine (article 3 de la 
loi fondamentale palestinienne, votée en 1997[14],[15],[16]). L'entité 
gouvernementale palestinienne administre une grande partie de la Cisjordanie 
et la bande de Gaza[17] à la"&amp;" suite des accords d'Oslo[18],[19], mais non 
Jérusalem-Est, annexée par Israël[20]. Le siège administratif *de facto*[21]
,[22] du pouvoir palestinien est provisoirement situé à Ramallah[23].")</f>
        <v>Jérusalem est la capitale proclamée de l'État de Palestine (article 3 de la 
loi fondamentale palestinienne, votée en 1997[14],[15],[16]). L'entité 
gouvernementale palestinienne administre une grande partie de la Cisjordanie 
et la bande de Gaza[17] à la suite des accords d'Oslo[18],[19], mais non 
Jérusalem-Est, annexée par Israël[20]. Le siège administratif *de facto*[21]
,[22] du pouvoir palestinien est provisoirement situé à Ramallah[23].</v>
      </c>
    </row>
    <row r="96">
      <c r="A96" s="3"/>
      <c r="B96" s="3" t="str">
        <f>IFERROR(__xludf.DUMMYFUNCTION("""COMPUTED_VALUE"""),"Ramallah(*de facto*)")</f>
        <v>Ramallah(*de facto*)</v>
      </c>
      <c r="C96" s="3"/>
    </row>
    <row r="97">
      <c r="A97" s="3" t="str">
        <f>IFERROR(__xludf.DUMMYFUNCTION("""COMPUTED_VALUE"""),"Afghanistan")</f>
        <v>Afghanistan</v>
      </c>
      <c r="B97" s="3" t="str">
        <f>IFERROR(__xludf.DUMMYFUNCTION("""COMPUTED_VALUE"""),"Kaboul")</f>
        <v>Kaboul</v>
      </c>
      <c r="C97" s="3"/>
    </row>
    <row r="98">
      <c r="A98" s="3" t="str">
        <f>IFERROR(__xludf.DUMMYFUNCTION("""COMPUTED_VALUE"""),"Ouganda")</f>
        <v>Ouganda</v>
      </c>
      <c r="B98" s="3" t="str">
        <f>IFERROR(__xludf.DUMMYFUNCTION("""COMPUTED_VALUE"""),"Kampala")</f>
        <v>Kampala</v>
      </c>
      <c r="C98" s="3"/>
    </row>
    <row r="99">
      <c r="A99" s="3" t="str">
        <f>IFERROR(__xludf.DUMMYFUNCTION("""COMPUTED_VALUE"""),"Népal")</f>
        <v>Népal</v>
      </c>
      <c r="B99" s="3" t="str">
        <f>IFERROR(__xludf.DUMMYFUNCTION("""COMPUTED_VALUE"""),"Katmandou")</f>
        <v>Katmandou</v>
      </c>
      <c r="C99" s="3"/>
    </row>
    <row r="100">
      <c r="A100" s="3" t="str">
        <f>IFERROR(__xludf.DUMMYFUNCTION("""COMPUTED_VALUE"""),"Soudan")</f>
        <v>Soudan</v>
      </c>
      <c r="B100" s="3" t="str">
        <f>IFERROR(__xludf.DUMMYFUNCTION("""COMPUTED_VALUE"""),"Khartoum")</f>
        <v>Khartoum</v>
      </c>
      <c r="C100" s="3"/>
    </row>
    <row r="101">
      <c r="A101" s="3" t="str">
        <f>IFERROR(__xludf.DUMMYFUNCTION("""COMPUTED_VALUE"""),"Ukraine")</f>
        <v>Ukraine</v>
      </c>
      <c r="B101" s="3" t="str">
        <f>IFERROR(__xludf.DUMMYFUNCTION("""COMPUTED_VALUE"""),"Kiev")</f>
        <v>Kiev</v>
      </c>
      <c r="C101" s="3"/>
    </row>
    <row r="102">
      <c r="A102" s="3" t="str">
        <f>IFERROR(__xludf.DUMMYFUNCTION("""COMPUTED_VALUE"""),"Rwanda")</f>
        <v>Rwanda</v>
      </c>
      <c r="B102" s="3" t="str">
        <f>IFERROR(__xludf.DUMMYFUNCTION("""COMPUTED_VALUE"""),"Kigali")</f>
        <v>Kigali</v>
      </c>
      <c r="C102" s="3"/>
    </row>
    <row r="103">
      <c r="A103" s="3" t="str">
        <f>IFERROR(__xludf.DUMMYFUNCTION("""COMPUTED_VALUE"""),"Jamaïque")</f>
        <v>Jamaïque</v>
      </c>
      <c r="B103" s="3" t="str">
        <f>IFERROR(__xludf.DUMMYFUNCTION("""COMPUTED_VALUE"""),"Kingston")</f>
        <v>Kingston</v>
      </c>
      <c r="C103" s="3"/>
    </row>
    <row r="104">
      <c r="A104" s="3" t="str">
        <f>IFERROR(__xludf.DUMMYFUNCTION("""COMPUTED_VALUE"""),"Saint-Vincent-et-les-Grenadines")</f>
        <v>Saint-Vincent-et-les-Grenadines</v>
      </c>
      <c r="B104" s="3" t="str">
        <f>IFERROR(__xludf.DUMMYFUNCTION("""COMPUTED_VALUE"""),"Kingstown")</f>
        <v>Kingstown</v>
      </c>
      <c r="C104" s="3"/>
    </row>
    <row r="105">
      <c r="A105" s="3" t="str">
        <f>IFERROR(__xludf.DUMMYFUNCTION("""COMPUTED_VALUE"""),"République démocratique du Congo")</f>
        <v>République démocratique du Congo</v>
      </c>
      <c r="B105" s="3" t="str">
        <f>IFERROR(__xludf.DUMMYFUNCTION("""COMPUTED_VALUE"""),"Kinshasa")</f>
        <v>Kinshasa</v>
      </c>
      <c r="C105" s="3"/>
    </row>
    <row r="106">
      <c r="A106" s="3" t="str">
        <f>IFERROR(__xludf.DUMMYFUNCTION("""COMPUTED_VALUE"""),"Palaos")</f>
        <v>Palaos</v>
      </c>
      <c r="B106" s="3" t="str">
        <f>IFERROR(__xludf.DUMMYFUNCTION("""COMPUTED_VALUE"""),"Melekeok (Ngerulmud)")</f>
        <v>Melekeok (Ngerulmud)</v>
      </c>
      <c r="C106" s="3" t="str">
        <f>IFERROR(__xludf.DUMMYFUNCTION("""COMPUTED_VALUE"""),"Melekeok, dont le lieu-dit Ngerulmud accueille le Capitole, est la capitale 
depuis le 7 octobre 2006, en remplacement de Koror.")</f>
        <v>Melekeok, dont le lieu-dit Ngerulmud accueille le Capitole, est la capitale 
depuis le 7 octobre 2006, en remplacement de Koror.</v>
      </c>
    </row>
    <row r="107">
      <c r="A107" s="3" t="str">
        <f>IFERROR(__xludf.DUMMYFUNCTION("""COMPUTED_VALUE"""),"Koweït")</f>
        <v>Koweït</v>
      </c>
      <c r="B107" s="3" t="str">
        <f>IFERROR(__xludf.DUMMYFUNCTION("""COMPUTED_VALUE"""),"Koweït")</f>
        <v>Koweït</v>
      </c>
      <c r="C107" s="3"/>
    </row>
    <row r="108">
      <c r="A108" s="3" t="str">
        <f>IFERROR(__xludf.DUMMYFUNCTION("""COMPUTED_VALUE"""),"Malaisie")</f>
        <v>Malaisie</v>
      </c>
      <c r="B108" s="3" t="str">
        <f>IFERROR(__xludf.DUMMYFUNCTION("""COMPUTED_VALUE"""),"Kuala Lumpur(officielle)")</f>
        <v>Kuala Lumpur(officielle)</v>
      </c>
      <c r="C108" s="3" t="str">
        <f>IFERROR(__xludf.DUMMYFUNCTION("""COMPUTED_VALUE"""),"Kuala Lumpur est la capitale de la Malaisie et accueille le parlement et la résidence 
royale (en). Putrajaya, située à 20 km, est la nouvelle capitale 
administrative.")</f>
        <v>Kuala Lumpur est la capitale de la Malaisie et accueille le parlement et la résidence 
royale (en). Putrajaya, située à 20 km, est la nouvelle capitale 
administrative.</v>
      </c>
    </row>
    <row r="109">
      <c r="A109" s="3"/>
      <c r="B109" s="3" t="str">
        <f>IFERROR(__xludf.DUMMYFUNCTION("""COMPUTED_VALUE"""),"Putrajaya(administrative)")</f>
        <v>Putrajaya(administrative)</v>
      </c>
      <c r="C109" s="3"/>
    </row>
    <row r="110">
      <c r="A110" s="3" t="str">
        <f>IFERROR(__xludf.DUMMYFUNCTION("""COMPUTED_VALUE"""),"Gabon")</f>
        <v>Gabon</v>
      </c>
      <c r="B110" s="3" t="str">
        <f>IFERROR(__xludf.DUMMYFUNCTION("""COMPUTED_VALUE"""),"Libreville")</f>
        <v>Libreville</v>
      </c>
      <c r="C110" s="3"/>
    </row>
    <row r="111">
      <c r="A111" s="3" t="str">
        <f>IFERROR(__xludf.DUMMYFUNCTION("""COMPUTED_VALUE"""),"Malawi")</f>
        <v>Malawi</v>
      </c>
      <c r="B111" s="3" t="str">
        <f>IFERROR(__xludf.DUMMYFUNCTION("""COMPUTED_VALUE"""),"Lilongwe")</f>
        <v>Lilongwe</v>
      </c>
      <c r="C111" s="3"/>
    </row>
    <row r="112">
      <c r="A112" s="3" t="str">
        <f>IFERROR(__xludf.DUMMYFUNCTION("""COMPUTED_VALUE"""),"Pérou")</f>
        <v>Pérou</v>
      </c>
      <c r="B112" s="3" t="str">
        <f>IFERROR(__xludf.DUMMYFUNCTION("""COMPUTED_VALUE"""),"Lima")</f>
        <v>Lima</v>
      </c>
      <c r="C112" s="3" t="str">
        <f>IFERROR(__xludf.DUMMYFUNCTION("""COMPUTED_VALUE"""),"Cuzco est désignée « capitale historique » (*espagnol : Capital Historica*), 
une déclaration symbolique, dans l'article 49 de la constitution (es). 
Arequipa est surnommée « capitale judiciaire » car elle abrite le siège du tribunal 
constitutionnel (es)"&amp;".")</f>
        <v>Cuzco est désignée « capitale historique » (*espagnol : Capital Historica*), 
une déclaration symbolique, dans l'article 49 de la constitution (es). 
Arequipa est surnommée « capitale judiciaire » car elle abrite le siège du tribunal 
constitutionnel (es).</v>
      </c>
    </row>
    <row r="113">
      <c r="A113" s="3" t="str">
        <f>IFERROR(__xludf.DUMMYFUNCTION("""COMPUTED_VALUE"""),"Portugal")</f>
        <v>Portugal</v>
      </c>
      <c r="B113" s="3" t="str">
        <f>IFERROR(__xludf.DUMMYFUNCTION("""COMPUTED_VALUE"""),"Lisbonne")</f>
        <v>Lisbonne</v>
      </c>
      <c r="C113" s="3"/>
    </row>
    <row r="114">
      <c r="A114" s="3" t="str">
        <f>IFERROR(__xludf.DUMMYFUNCTION("""COMPUTED_VALUE"""),"Slovénie")</f>
        <v>Slovénie</v>
      </c>
      <c r="B114" s="3" t="str">
        <f>IFERROR(__xludf.DUMMYFUNCTION("""COMPUTED_VALUE"""),"Ljubljana")</f>
        <v>Ljubljana</v>
      </c>
      <c r="C114" s="3"/>
    </row>
    <row r="115">
      <c r="A115" s="3" t="str">
        <f>IFERROR(__xludf.DUMMYFUNCTION("""COMPUTED_VALUE"""),"Togo")</f>
        <v>Togo</v>
      </c>
      <c r="B115" s="3" t="str">
        <f>IFERROR(__xludf.DUMMYFUNCTION("""COMPUTED_VALUE"""),"Lomé")</f>
        <v>Lomé</v>
      </c>
      <c r="C115" s="3"/>
    </row>
    <row r="116">
      <c r="A116" s="3" t="str">
        <f>IFERROR(__xludf.DUMMYFUNCTION("""COMPUTED_VALUE"""),"Royaume-Uni")</f>
        <v>Royaume-Uni</v>
      </c>
      <c r="B116" s="3" t="str">
        <f>IFERROR(__xludf.DUMMYFUNCTION("""COMPUTED_VALUE"""),"Londres")</f>
        <v>Londres</v>
      </c>
      <c r="C116" s="3" t="str">
        <f>IFERROR(__xludf.DUMMYFUNCTION("""COMPUTED_VALUE"""),"Avant les Actes d'Union de 1707, Londres était la capitale de l'Angleterre 
seulement et Édimbourg la capitale du royaume d'Écosse. 
Le Royaume-Uni comprend l'Angleterre (capitale : Londres), l'Écosse 
(capitale : Édimbourg), le Pays de Galles (capitale "&amp;": Cardiff) et l'Irlande 
du Nord (capitale : Belfast).")</f>
        <v>Avant les Actes d'Union de 1707, Londres était la capitale de l'Angleterre 
seulement et Édimbourg la capitale du royaume d'Écosse. 
Le Royaume-Uni comprend l'Angleterre (capitale : Londres), l'Écosse 
(capitale : Édimbourg), le Pays de Galles (capitale : Cardiff) et l'Irlande 
du Nord (capitale : Belfast).</v>
      </c>
    </row>
    <row r="117">
      <c r="A117" s="3" t="str">
        <f>IFERROR(__xludf.DUMMYFUNCTION("""COMPUTED_VALUE"""),"Angola")</f>
        <v>Angola</v>
      </c>
      <c r="B117" s="3" t="str">
        <f>IFERROR(__xludf.DUMMYFUNCTION("""COMPUTED_VALUE"""),"Luanda")</f>
        <v>Luanda</v>
      </c>
      <c r="C117" s="3"/>
    </row>
    <row r="118">
      <c r="A118" s="3" t="str">
        <f>IFERROR(__xludf.DUMMYFUNCTION("""COMPUTED_VALUE"""),"Zambie")</f>
        <v>Zambie</v>
      </c>
      <c r="B118" s="3" t="str">
        <f>IFERROR(__xludf.DUMMYFUNCTION("""COMPUTED_VALUE"""),"Lusaka")</f>
        <v>Lusaka</v>
      </c>
      <c r="C118" s="3"/>
    </row>
    <row r="119">
      <c r="A119" s="3" t="str">
        <f>IFERROR(__xludf.DUMMYFUNCTION("""COMPUTED_VALUE"""),"Luxembourg")</f>
        <v>Luxembourg</v>
      </c>
      <c r="B119" s="3" t="str">
        <f>IFERROR(__xludf.DUMMYFUNCTION("""COMPUTED_VALUE"""),"Luxembourg")</f>
        <v>Luxembourg</v>
      </c>
      <c r="C119" s="3"/>
    </row>
    <row r="120">
      <c r="A120" s="3" t="str">
        <f>IFERROR(__xludf.DUMMYFUNCTION("""COMPUTED_VALUE"""),"Espagne")</f>
        <v>Espagne</v>
      </c>
      <c r="B120" s="3" t="str">
        <f>IFERROR(__xludf.DUMMYFUNCTION("""COMPUTED_VALUE"""),"Madrid")</f>
        <v>Madrid</v>
      </c>
      <c r="C120" s="3"/>
    </row>
    <row r="121">
      <c r="A121" s="3" t="str">
        <f>IFERROR(__xludf.DUMMYFUNCTION("""COMPUTED_VALUE"""),"Îles Marshall")</f>
        <v>Îles Marshall</v>
      </c>
      <c r="B121" s="3" t="str">
        <f>IFERROR(__xludf.DUMMYFUNCTION("""COMPUTED_VALUE"""),"Majuro (Delap-Uliga-Darrit)")</f>
        <v>Majuro (Delap-Uliga-Darrit)</v>
      </c>
      <c r="C121" s="3" t="str">
        <f>IFERROR(__xludf.DUMMYFUNCTION("""COMPUTED_VALUE"""),"Delap-Uliga-Darrit est la principale localité de l'atoll de Majuro. Majuro 
est une municipalité.")</f>
        <v>Delap-Uliga-Darrit est la principale localité de l'atoll de Majuro. Majuro 
est une municipalité.</v>
      </c>
    </row>
    <row r="122">
      <c r="A122" s="3" t="str">
        <f>IFERROR(__xludf.DUMMYFUNCTION("""COMPUTED_VALUE"""),"Maldives")</f>
        <v>Maldives</v>
      </c>
      <c r="B122" s="3" t="str">
        <f>IFERROR(__xludf.DUMMYFUNCTION("""COMPUTED_VALUE"""),"Malé")</f>
        <v>Malé</v>
      </c>
      <c r="C122" s="3"/>
    </row>
    <row r="123">
      <c r="A123" s="3" t="str">
        <f>IFERROR(__xludf.DUMMYFUNCTION("""COMPUTED_VALUE"""),"Nicaragua")</f>
        <v>Nicaragua</v>
      </c>
      <c r="B123" s="3" t="str">
        <f>IFERROR(__xludf.DUMMYFUNCTION("""COMPUTED_VALUE"""),"Managua")</f>
        <v>Managua</v>
      </c>
      <c r="C123" s="3"/>
    </row>
    <row r="124">
      <c r="A124" s="3" t="str">
        <f>IFERROR(__xludf.DUMMYFUNCTION("""COMPUTED_VALUE"""),"Bahreïn")</f>
        <v>Bahreïn</v>
      </c>
      <c r="B124" s="3" t="str">
        <f>IFERROR(__xludf.DUMMYFUNCTION("""COMPUTED_VALUE"""),"Manama")</f>
        <v>Manama</v>
      </c>
      <c r="C124" s="3"/>
    </row>
    <row r="125">
      <c r="A125" s="3" t="str">
        <f>IFERROR(__xludf.DUMMYFUNCTION("""COMPUTED_VALUE"""),"Philippines")</f>
        <v>Philippines</v>
      </c>
      <c r="B125" s="3" t="str">
        <f>IFERROR(__xludf.DUMMYFUNCTION("""COMPUTED_VALUE"""),"Manille")</f>
        <v>Manille</v>
      </c>
      <c r="C125" s="3"/>
    </row>
    <row r="126">
      <c r="A126" s="3" t="str">
        <f>IFERROR(__xludf.DUMMYFUNCTION("""COMPUTED_VALUE"""),"Mozambique")</f>
        <v>Mozambique</v>
      </c>
      <c r="B126" s="3" t="str">
        <f>IFERROR(__xludf.DUMMYFUNCTION("""COMPUTED_VALUE"""),"Maputo")</f>
        <v>Maputo</v>
      </c>
      <c r="C126" s="3"/>
    </row>
    <row r="127">
      <c r="A127" s="3" t="str">
        <f>IFERROR(__xludf.DUMMYFUNCTION("""COMPUTED_VALUE"""),"Oman")</f>
        <v>Oman</v>
      </c>
      <c r="B127" s="3" t="str">
        <f>IFERROR(__xludf.DUMMYFUNCTION("""COMPUTED_VALUE"""),"Mascate")</f>
        <v>Mascate</v>
      </c>
      <c r="C127" s="3"/>
    </row>
    <row r="128">
      <c r="A128" s="3" t="str">
        <f>IFERROR(__xludf.DUMMYFUNCTION("""COMPUTED_VALUE"""),"Lesotho")</f>
        <v>Lesotho</v>
      </c>
      <c r="B128" s="3" t="str">
        <f>IFERROR(__xludf.DUMMYFUNCTION("""COMPUTED_VALUE"""),"Maseru")</f>
        <v>Maseru</v>
      </c>
      <c r="C128" s="3"/>
    </row>
    <row r="129">
      <c r="A129" s="3" t="str">
        <f>IFERROR(__xludf.DUMMYFUNCTION("""COMPUTED_VALUE"""),"Eswatini")</f>
        <v>Eswatini</v>
      </c>
      <c r="B129" s="3" t="str">
        <f>IFERROR(__xludf.DUMMYFUNCTION("""COMPUTED_VALUE"""),"Mbabane")</f>
        <v>Mbabane</v>
      </c>
      <c r="C129" s="3"/>
    </row>
    <row r="130">
      <c r="A130" s="3" t="str">
        <f>IFERROR(__xludf.DUMMYFUNCTION("""COMPUTED_VALUE"""),"Mexique")</f>
        <v>Mexique</v>
      </c>
      <c r="B130" s="3" t="str">
        <f>IFERROR(__xludf.DUMMYFUNCTION("""COMPUTED_VALUE"""),"Mexico")</f>
        <v>Mexico</v>
      </c>
      <c r="C130" s="3"/>
    </row>
    <row r="131">
      <c r="A131" s="3" t="str">
        <f>IFERROR(__xludf.DUMMYFUNCTION("""COMPUTED_VALUE"""),"Biélorussie")</f>
        <v>Biélorussie</v>
      </c>
      <c r="B131" s="3" t="str">
        <f>IFERROR(__xludf.DUMMYFUNCTION("""COMPUTED_VALUE"""),"Minsk")</f>
        <v>Minsk</v>
      </c>
      <c r="C131" s="3"/>
    </row>
    <row r="132">
      <c r="A132" s="3" t="str">
        <f>IFERROR(__xludf.DUMMYFUNCTION("""COMPUTED_VALUE"""),"Somalie")</f>
        <v>Somalie</v>
      </c>
      <c r="B132" s="3" t="str">
        <f>IFERROR(__xludf.DUMMYFUNCTION("""COMPUTED_VALUE"""),"Mogadiscio")</f>
        <v>Mogadiscio</v>
      </c>
      <c r="C132" s="3"/>
    </row>
    <row r="133">
      <c r="A133" s="3" t="str">
        <f>IFERROR(__xludf.DUMMYFUNCTION("""COMPUTED_VALUE"""),"Monaco")</f>
        <v>Monaco</v>
      </c>
      <c r="B133" s="3" t="str">
        <f>IFERROR(__xludf.DUMMYFUNCTION("""COMPUTED_VALUE"""),"Monaco")</f>
        <v>Monaco</v>
      </c>
      <c r="C133" s="3" t="str">
        <f>IFERROR(__xludf.DUMMYFUNCTION("""COMPUTED_VALUE"""),"Cité-État : le pays est sa propre capitale.")</f>
        <v>Cité-État : le pays est sa propre capitale.</v>
      </c>
    </row>
    <row r="134">
      <c r="A134" s="3" t="str">
        <f>IFERROR(__xludf.DUMMYFUNCTION("""COMPUTED_VALUE"""),"Liberia")</f>
        <v>Liberia</v>
      </c>
      <c r="B134" s="3" t="str">
        <f>IFERROR(__xludf.DUMMYFUNCTION("""COMPUTED_VALUE"""),"Monrovia")</f>
        <v>Monrovia</v>
      </c>
      <c r="C134" s="3"/>
    </row>
    <row r="135">
      <c r="A135" s="3" t="str">
        <f>IFERROR(__xludf.DUMMYFUNCTION("""COMPUTED_VALUE"""),"Uruguay")</f>
        <v>Uruguay</v>
      </c>
      <c r="B135" s="3" t="str">
        <f>IFERROR(__xludf.DUMMYFUNCTION("""COMPUTED_VALUE"""),"Montevideo")</f>
        <v>Montevideo</v>
      </c>
      <c r="C135" s="3"/>
    </row>
    <row r="136">
      <c r="A136" s="3" t="str">
        <f>IFERROR(__xludf.DUMMYFUNCTION("""COMPUTED_VALUE"""),"Comores")</f>
        <v>Comores</v>
      </c>
      <c r="B136" s="3" t="str">
        <f>IFERROR(__xludf.DUMMYFUNCTION("""COMPUTED_VALUE"""),"Moroni")</f>
        <v>Moroni</v>
      </c>
      <c r="C136" s="3"/>
    </row>
    <row r="137">
      <c r="A137" s="3" t="str">
        <f>IFERROR(__xludf.DUMMYFUNCTION("""COMPUTED_VALUE"""),"Russie")</f>
        <v>Russie</v>
      </c>
      <c r="B137" s="3" t="str">
        <f>IFERROR(__xludf.DUMMYFUNCTION("""COMPUTED_VALUE"""),"Moscou")</f>
        <v>Moscou</v>
      </c>
      <c r="C137" s="3"/>
    </row>
    <row r="138">
      <c r="A138" s="3" t="str">
        <f>IFERROR(__xludf.DUMMYFUNCTION("""COMPUTED_VALUE"""),"Kenya")</f>
        <v>Kenya</v>
      </c>
      <c r="B138" s="3" t="str">
        <f>IFERROR(__xludf.DUMMYFUNCTION("""COMPUTED_VALUE"""),"Nairobi")</f>
        <v>Nairobi</v>
      </c>
      <c r="C138" s="3"/>
    </row>
    <row r="139">
      <c r="A139" s="3" t="str">
        <f>IFERROR(__xludf.DUMMYFUNCTION("""COMPUTED_VALUE"""),"Bahamas")</f>
        <v>Bahamas</v>
      </c>
      <c r="B139" s="3" t="str">
        <f>IFERROR(__xludf.DUMMYFUNCTION("""COMPUTED_VALUE"""),"Nassau")</f>
        <v>Nassau</v>
      </c>
      <c r="C139" s="3"/>
    </row>
    <row r="140">
      <c r="A140" s="3" t="str">
        <f>IFERROR(__xludf.DUMMYFUNCTION("""COMPUTED_VALUE"""),"Birmanie")</f>
        <v>Birmanie</v>
      </c>
      <c r="B140" s="3" t="str">
        <f>IFERROR(__xludf.DUMMYFUNCTION("""COMPUTED_VALUE"""),"Naypyidaw")</f>
        <v>Naypyidaw</v>
      </c>
      <c r="C140" s="3" t="str">
        <f>IFERROR(__xludf.DUMMYFUNCTION("""COMPUTED_VALUE"""),"Naypyidaw est la capitale officielle en replacement de Rangoun depuis le 7 
novembre 2005[note 2]")</f>
        <v>Naypyidaw est la capitale officielle en replacement de Rangoun depuis le 7 
novembre 2005[note 2]</v>
      </c>
    </row>
    <row r="141">
      <c r="A141" s="3" t="str">
        <f>IFERROR(__xludf.DUMMYFUNCTION("""COMPUTED_VALUE"""),"Tchad")</f>
        <v>Tchad</v>
      </c>
      <c r="B141" s="3" t="str">
        <f>IFERROR(__xludf.DUMMYFUNCTION("""COMPUTED_VALUE"""),"N'Djaména")</f>
        <v>N'Djaména</v>
      </c>
      <c r="C141" s="3"/>
    </row>
    <row r="142">
      <c r="A142" s="3" t="str">
        <f>IFERROR(__xludf.DUMMYFUNCTION("""COMPUTED_VALUE"""),"Inde")</f>
        <v>Inde</v>
      </c>
      <c r="B142" s="3" t="str">
        <f>IFERROR(__xludf.DUMMYFUNCTION("""COMPUTED_VALUE"""),"New Delhi")</f>
        <v>New Delhi</v>
      </c>
      <c r="C142" s="3"/>
    </row>
    <row r="143">
      <c r="A143" s="3" t="str">
        <f>IFERROR(__xludf.DUMMYFUNCTION("""COMPUTED_VALUE"""),"Niger")</f>
        <v>Niger</v>
      </c>
      <c r="B143" s="3" t="str">
        <f>IFERROR(__xludf.DUMMYFUNCTION("""COMPUTED_VALUE"""),"Niamey")</f>
        <v>Niamey</v>
      </c>
      <c r="C143" s="3"/>
    </row>
    <row r="144">
      <c r="A144" s="3" t="str">
        <f>IFERROR(__xludf.DUMMYFUNCTION("""COMPUTED_VALUE"""),"Chypre")</f>
        <v>Chypre</v>
      </c>
      <c r="B144" s="3" t="str">
        <f>IFERROR(__xludf.DUMMYFUNCTION("""COMPUTED_VALUE"""),"Nicosie")</f>
        <v>Nicosie</v>
      </c>
      <c r="C144" s="3"/>
    </row>
    <row r="145">
      <c r="A145" s="3" t="str">
        <f>IFERROR(__xludf.DUMMYFUNCTION("""COMPUTED_VALUE"""),"Mauritanie")</f>
        <v>Mauritanie</v>
      </c>
      <c r="B145" s="3" t="str">
        <f>IFERROR(__xludf.DUMMYFUNCTION("""COMPUTED_VALUE"""),"Nouakchott")</f>
        <v>Nouakchott</v>
      </c>
      <c r="C145" s="3"/>
    </row>
    <row r="146">
      <c r="A146" s="3" t="str">
        <f>IFERROR(__xludf.DUMMYFUNCTION("""COMPUTED_VALUE"""),"Tonga")</f>
        <v>Tonga</v>
      </c>
      <c r="B146" s="3" t="str">
        <f>IFERROR(__xludf.DUMMYFUNCTION("""COMPUTED_VALUE"""),"Nukuʻalofa")</f>
        <v>Nukuʻalofa</v>
      </c>
      <c r="C146" s="3"/>
    </row>
    <row r="147">
      <c r="A147" s="3" t="str">
        <f>IFERROR(__xludf.DUMMYFUNCTION("""COMPUTED_VALUE"""),"Norvège")</f>
        <v>Norvège</v>
      </c>
      <c r="B147" s="3" t="str">
        <f>IFERROR(__xludf.DUMMYFUNCTION("""COMPUTED_VALUE"""),"Oslo")</f>
        <v>Oslo</v>
      </c>
      <c r="C147" s="3"/>
    </row>
    <row r="148">
      <c r="A148" s="3" t="str">
        <f>IFERROR(__xludf.DUMMYFUNCTION("""COMPUTED_VALUE"""),"Canada")</f>
        <v>Canada</v>
      </c>
      <c r="B148" s="3" t="str">
        <f>IFERROR(__xludf.DUMMYFUNCTION("""COMPUTED_VALUE"""),"Ottawa")</f>
        <v>Ottawa</v>
      </c>
      <c r="C148" s="3"/>
    </row>
    <row r="149">
      <c r="A149" s="3" t="str">
        <f>IFERROR(__xludf.DUMMYFUNCTION("""COMPUTED_VALUE"""),"Burkina Faso")</f>
        <v>Burkina Faso</v>
      </c>
      <c r="B149" s="3" t="str">
        <f>IFERROR(__xludf.DUMMYFUNCTION("""COMPUTED_VALUE"""),"Ouagadougou")</f>
        <v>Ouagadougou</v>
      </c>
      <c r="C149" s="3"/>
    </row>
    <row r="150">
      <c r="A150" s="3" t="str">
        <f>IFERROR(__xludf.DUMMYFUNCTION("""COMPUTED_VALUE"""),"Mongolie")</f>
        <v>Mongolie</v>
      </c>
      <c r="B150" s="3" t="str">
        <f>IFERROR(__xludf.DUMMYFUNCTION("""COMPUTED_VALUE"""),"Oulan-Bator")</f>
        <v>Oulan-Bator</v>
      </c>
      <c r="C150" s="3"/>
    </row>
    <row r="151">
      <c r="A151" s="3" t="str">
        <f>IFERROR(__xludf.DUMMYFUNCTION("""COMPUTED_VALUE"""),"États fédérés de Micronésie")</f>
        <v>États fédérés de Micronésie</v>
      </c>
      <c r="B151" s="3" t="str">
        <f>IFERROR(__xludf.DUMMYFUNCTION("""COMPUTED_VALUE"""),"Palikir")</f>
        <v>Palikir</v>
      </c>
      <c r="C151" s="3" t="str">
        <f>IFERROR(__xludf.DUMMYFUNCTION("""COMPUTED_VALUE"""),"Kolonia était la capitale jusqu'en 1989 ; les ambassades d'Australie, Chine, 
États-Unis et Japon y sont toujours situées.")</f>
        <v>Kolonia était la capitale jusqu'en 1989 ; les ambassades d'Australie, Chine, 
États-Unis et Japon y sont toujours situées.</v>
      </c>
    </row>
    <row r="152">
      <c r="A152" s="3" t="str">
        <f>IFERROR(__xludf.DUMMYFUNCTION("""COMPUTED_VALUE"""),"Panama")</f>
        <v>Panama</v>
      </c>
      <c r="B152" s="3" t="str">
        <f>IFERROR(__xludf.DUMMYFUNCTION("""COMPUTED_VALUE"""),"Panama")</f>
        <v>Panama</v>
      </c>
      <c r="C152" s="3"/>
    </row>
    <row r="153">
      <c r="A153" s="3" t="str">
        <f>IFERROR(__xludf.DUMMYFUNCTION("""COMPUTED_VALUE"""),"Suriname")</f>
        <v>Suriname</v>
      </c>
      <c r="B153" s="3" t="str">
        <f>IFERROR(__xludf.DUMMYFUNCTION("""COMPUTED_VALUE"""),"Paramaribo")</f>
        <v>Paramaribo</v>
      </c>
      <c r="C153" s="3"/>
    </row>
    <row r="154">
      <c r="A154" s="3" t="str">
        <f>IFERROR(__xludf.DUMMYFUNCTION("""COMPUTED_VALUE"""),"France")</f>
        <v>France</v>
      </c>
      <c r="B154" s="3" t="str">
        <f>IFERROR(__xludf.DUMMYFUNCTION("""COMPUTED_VALUE"""),"Paris")</f>
        <v>Paris</v>
      </c>
      <c r="C154" s="3"/>
    </row>
    <row r="155">
      <c r="A155" s="3" t="str">
        <f>IFERROR(__xludf.DUMMYFUNCTION("""COMPUTED_VALUE"""),"Bolivie")</f>
        <v>Bolivie</v>
      </c>
      <c r="B155" s="3" t="str">
        <f>IFERROR(__xludf.DUMMYFUNCTION("""COMPUTED_VALUE"""),"La Paz(gouvernement et ambassades)")</f>
        <v>La Paz(gouvernement et ambassades)</v>
      </c>
      <c r="C155" s="3" t="str">
        <f>IFERROR(__xludf.DUMMYFUNCTION("""COMPUTED_VALUE"""),"Sucre est la capitale constitutionnelle, La Paz est le siège du 
gouvernement et des ambassades.")</f>
        <v>Sucre est la capitale constitutionnelle, La Paz est le siège du 
gouvernement et des ambassades.</v>
      </c>
    </row>
    <row r="156">
      <c r="A156" s="3"/>
      <c r="B156" s="3" t="str">
        <f>IFERROR(__xludf.DUMMYFUNCTION("""COMPUTED_VALUE"""),"Sucre(constitutionnelle)")</f>
        <v>Sucre(constitutionnelle)</v>
      </c>
      <c r="C156" s="3"/>
    </row>
    <row r="157">
      <c r="A157" s="3" t="str">
        <f>IFERROR(__xludf.DUMMYFUNCTION("""COMPUTED_VALUE"""),"Chine")</f>
        <v>Chine</v>
      </c>
      <c r="B157" s="3" t="str">
        <f>IFERROR(__xludf.DUMMYFUNCTION("""COMPUTED_VALUE"""),"Pékin")</f>
        <v>Pékin</v>
      </c>
      <c r="C157" s="3"/>
    </row>
    <row r="158">
      <c r="A158" s="3" t="str">
        <f>IFERROR(__xludf.DUMMYFUNCTION("""COMPUTED_VALUE"""),"Cambodge")</f>
        <v>Cambodge</v>
      </c>
      <c r="B158" s="3" t="str">
        <f>IFERROR(__xludf.DUMMYFUNCTION("""COMPUTED_VALUE"""),"Phnom Penh")</f>
        <v>Phnom Penh</v>
      </c>
      <c r="C158" s="3"/>
    </row>
    <row r="159">
      <c r="A159" s="3" t="str">
        <f>IFERROR(__xludf.DUMMYFUNCTION("""COMPUTED_VALUE"""),"Papouasie-Nouvelle-Guinée")</f>
        <v>Papouasie-Nouvelle-Guinée</v>
      </c>
      <c r="B159" s="3" t="str">
        <f>IFERROR(__xludf.DUMMYFUNCTION("""COMPUTED_VALUE"""),"Port Moresby")</f>
        <v>Port Moresby</v>
      </c>
      <c r="C159" s="3"/>
    </row>
    <row r="160">
      <c r="A160" s="3" t="str">
        <f>IFERROR(__xludf.DUMMYFUNCTION("""COMPUTED_VALUE"""),"Haïti")</f>
        <v>Haïti</v>
      </c>
      <c r="B160" s="3" t="str">
        <f>IFERROR(__xludf.DUMMYFUNCTION("""COMPUTED_VALUE"""),"Port-au-Prince")</f>
        <v>Port-au-Prince</v>
      </c>
      <c r="C160" s="3"/>
    </row>
    <row r="161">
      <c r="A161" s="3" t="str">
        <f>IFERROR(__xludf.DUMMYFUNCTION("""COMPUTED_VALUE"""),"Trinité-et-Tobago")</f>
        <v>Trinité-et-Tobago</v>
      </c>
      <c r="B161" s="3" t="str">
        <f>IFERROR(__xludf.DUMMYFUNCTION("""COMPUTED_VALUE"""),"Port-d'Espagne")</f>
        <v>Port-d'Espagne</v>
      </c>
      <c r="C161" s="3"/>
    </row>
    <row r="162">
      <c r="A162" s="3" t="str">
        <f>IFERROR(__xludf.DUMMYFUNCTION("""COMPUTED_VALUE"""),"Maurice")</f>
        <v>Maurice</v>
      </c>
      <c r="B162" s="3" t="str">
        <f>IFERROR(__xludf.DUMMYFUNCTION("""COMPUTED_VALUE"""),"Port-Louis")</f>
        <v>Port-Louis</v>
      </c>
      <c r="C162" s="3"/>
    </row>
    <row r="163">
      <c r="A163" s="3" t="str">
        <f>IFERROR(__xludf.DUMMYFUNCTION("""COMPUTED_VALUE"""),"Vanuatu")</f>
        <v>Vanuatu</v>
      </c>
      <c r="B163" s="3" t="str">
        <f>IFERROR(__xludf.DUMMYFUNCTION("""COMPUTED_VALUE"""),"Port-Vila")</f>
        <v>Port-Vila</v>
      </c>
      <c r="C163" s="3"/>
    </row>
    <row r="164">
      <c r="A164" s="3" t="str">
        <f>IFERROR(__xludf.DUMMYFUNCTION("""COMPUTED_VALUE"""),"République tchèque")</f>
        <v>République tchèque</v>
      </c>
      <c r="B164" s="3" t="str">
        <f>IFERROR(__xludf.DUMMYFUNCTION("""COMPUTED_VALUE"""),"Prague")</f>
        <v>Prague</v>
      </c>
      <c r="C164" s="3"/>
    </row>
    <row r="165">
      <c r="A165" s="3" t="str">
        <f>IFERROR(__xludf.DUMMYFUNCTION("""COMPUTED_VALUE"""),"Cap-Vert")</f>
        <v>Cap-Vert</v>
      </c>
      <c r="B165" s="3" t="str">
        <f>IFERROR(__xludf.DUMMYFUNCTION("""COMPUTED_VALUE"""),"Praia")</f>
        <v>Praia</v>
      </c>
      <c r="C165" s="3"/>
    </row>
    <row r="166">
      <c r="A166" s="3" t="str">
        <f>IFERROR(__xludf.DUMMYFUNCTION("""COMPUTED_VALUE"""),"Corée du Nord")</f>
        <v>Corée du Nord</v>
      </c>
      <c r="B166" s="3" t="str">
        <f>IFERROR(__xludf.DUMMYFUNCTION("""COMPUTED_VALUE"""),"Pyongyang")</f>
        <v>Pyongyang</v>
      </c>
      <c r="C166" s="3"/>
    </row>
    <row r="167">
      <c r="A167" s="3" t="str">
        <f>IFERROR(__xludf.DUMMYFUNCTION("""COMPUTED_VALUE"""),"Équateur")</f>
        <v>Équateur</v>
      </c>
      <c r="B167" s="3" t="str">
        <f>IFERROR(__xludf.DUMMYFUNCTION("""COMPUTED_VALUE"""),"Quito")</f>
        <v>Quito</v>
      </c>
      <c r="C167" s="3"/>
    </row>
    <row r="168">
      <c r="A168" s="3" t="str">
        <f>IFERROR(__xludf.DUMMYFUNCTION("""COMPUTED_VALUE"""),"Maroc")</f>
        <v>Maroc</v>
      </c>
      <c r="B168" s="3" t="str">
        <f>IFERROR(__xludf.DUMMYFUNCTION("""COMPUTED_VALUE"""),"Rabat")</f>
        <v>Rabat</v>
      </c>
      <c r="C168" s="3"/>
    </row>
    <row r="169">
      <c r="A169" s="3" t="str">
        <f>IFERROR(__xludf.DUMMYFUNCTION("""COMPUTED_VALUE"""),"Islande")</f>
        <v>Islande</v>
      </c>
      <c r="B169" s="3" t="str">
        <f>IFERROR(__xludf.DUMMYFUNCTION("""COMPUTED_VALUE"""),"Reykjavik")</f>
        <v>Reykjavik</v>
      </c>
      <c r="C169" s="3"/>
    </row>
    <row r="170">
      <c r="A170" s="3" t="str">
        <f>IFERROR(__xludf.DUMMYFUNCTION("""COMPUTED_VALUE"""),"Lettonie")</f>
        <v>Lettonie</v>
      </c>
      <c r="B170" s="3" t="str">
        <f>IFERROR(__xludf.DUMMYFUNCTION("""COMPUTED_VALUE"""),"Riga")</f>
        <v>Riga</v>
      </c>
      <c r="C170" s="3"/>
    </row>
    <row r="171">
      <c r="A171" s="3" t="str">
        <f>IFERROR(__xludf.DUMMYFUNCTION("""COMPUTED_VALUE"""),"Arabie saoudite")</f>
        <v>Arabie saoudite</v>
      </c>
      <c r="B171" s="3" t="str">
        <f>IFERROR(__xludf.DUMMYFUNCTION("""COMPUTED_VALUE"""),"Riyad")</f>
        <v>Riyad</v>
      </c>
      <c r="C171" s="3"/>
    </row>
    <row r="172">
      <c r="A172" s="3" t="str">
        <f>IFERROR(__xludf.DUMMYFUNCTION("""COMPUTED_VALUE"""),"Italie")</f>
        <v>Italie</v>
      </c>
      <c r="B172" s="3" t="str">
        <f>IFERROR(__xludf.DUMMYFUNCTION("""COMPUTED_VALUE"""),"Rome")</f>
        <v>Rome</v>
      </c>
      <c r="C172" s="3"/>
    </row>
    <row r="173">
      <c r="A173" s="3" t="str">
        <f>IFERROR(__xludf.DUMMYFUNCTION("""COMPUTED_VALUE"""),"Dominique")</f>
        <v>Dominique</v>
      </c>
      <c r="B173" s="3" t="str">
        <f>IFERROR(__xludf.DUMMYFUNCTION("""COMPUTED_VALUE"""),"Roseau")</f>
        <v>Roseau</v>
      </c>
      <c r="C173" s="3"/>
    </row>
    <row r="174">
      <c r="A174" s="3" t="str">
        <f>IFERROR(__xludf.DUMMYFUNCTION("""COMPUTED_VALUE"""),"Antigua-et-Barbuda")</f>
        <v>Antigua-et-Barbuda</v>
      </c>
      <c r="B174" s="3" t="str">
        <f>IFERROR(__xludf.DUMMYFUNCTION("""COMPUTED_VALUE"""),"Saint John's")</f>
        <v>Saint John's</v>
      </c>
      <c r="C174" s="3"/>
    </row>
    <row r="175">
      <c r="A175" s="3" t="str">
        <f>IFERROR(__xludf.DUMMYFUNCTION("""COMPUTED_VALUE"""),"République dominicaine")</f>
        <v>République dominicaine</v>
      </c>
      <c r="B175" s="3" t="str">
        <f>IFERROR(__xludf.DUMMYFUNCTION("""COMPUTED_VALUE"""),"Saint-Domingue")</f>
        <v>Saint-Domingue</v>
      </c>
      <c r="C175" s="3"/>
    </row>
    <row r="176">
      <c r="A176" s="3" t="str">
        <f>IFERROR(__xludf.DUMMYFUNCTION("""COMPUTED_VALUE"""),"Grenade")</f>
        <v>Grenade</v>
      </c>
      <c r="B176" s="3" t="str">
        <f>IFERROR(__xludf.DUMMYFUNCTION("""COMPUTED_VALUE"""),"Saint-Georges")</f>
        <v>Saint-Georges</v>
      </c>
      <c r="C176" s="3"/>
    </row>
    <row r="177">
      <c r="A177" s="3" t="str">
        <f>IFERROR(__xludf.DUMMYFUNCTION("""COMPUTED_VALUE"""),"Saint-Marin")</f>
        <v>Saint-Marin</v>
      </c>
      <c r="B177" s="3" t="str">
        <f>IFERROR(__xludf.DUMMYFUNCTION("""COMPUTED_VALUE"""),"Saint-Marin")</f>
        <v>Saint-Marin</v>
      </c>
      <c r="C177" s="3"/>
    </row>
    <row r="178">
      <c r="A178" s="3" t="str">
        <f>IFERROR(__xludf.DUMMYFUNCTION("""COMPUTED_VALUE"""),"Costa Rica")</f>
        <v>Costa Rica</v>
      </c>
      <c r="B178" s="3" t="str">
        <f>IFERROR(__xludf.DUMMYFUNCTION("""COMPUTED_VALUE"""),"San José")</f>
        <v>San José</v>
      </c>
      <c r="C178" s="3"/>
    </row>
    <row r="179">
      <c r="A179" s="3" t="str">
        <f>IFERROR(__xludf.DUMMYFUNCTION("""COMPUTED_VALUE"""),"Salvador")</f>
        <v>Salvador</v>
      </c>
      <c r="B179" s="3" t="str">
        <f>IFERROR(__xludf.DUMMYFUNCTION("""COMPUTED_VALUE"""),"San Salvador")</f>
        <v>San Salvador</v>
      </c>
      <c r="C179" s="3"/>
    </row>
    <row r="180">
      <c r="A180" s="3" t="str">
        <f>IFERROR(__xludf.DUMMYFUNCTION("""COMPUTED_VALUE"""),"Chili")</f>
        <v>Chili</v>
      </c>
      <c r="B180" s="3" t="str">
        <f>IFERROR(__xludf.DUMMYFUNCTION("""COMPUTED_VALUE"""),"Santiago(officielle)")</f>
        <v>Santiago(officielle)</v>
      </c>
      <c r="C180" s="3" t="str">
        <f>IFERROR(__xludf.DUMMYFUNCTION("""COMPUTED_VALUE"""),"Le Congrès national est situé à Valparaíso, le reste des institutions à 
Santiago.")</f>
        <v>Le Congrès national est situé à Valparaíso, le reste des institutions à 
Santiago.</v>
      </c>
    </row>
    <row r="181">
      <c r="A181" s="3"/>
      <c r="B181" s="3" t="str">
        <f>IFERROR(__xludf.DUMMYFUNCTION("""COMPUTED_VALUE"""),"Valparaíso(législative)")</f>
        <v>Valparaíso(législative)</v>
      </c>
      <c r="C181" s="3"/>
    </row>
    <row r="182">
      <c r="A182" s="3" t="str">
        <f>IFERROR(__xludf.DUMMYFUNCTION("""COMPUTED_VALUE"""),"Sao Tomé-et-Principe")</f>
        <v>Sao Tomé-et-Principe</v>
      </c>
      <c r="B182" s="3" t="str">
        <f>IFERROR(__xludf.DUMMYFUNCTION("""COMPUTED_VALUE"""),"São Tomé")</f>
        <v>São Tomé</v>
      </c>
      <c r="C182" s="3"/>
    </row>
    <row r="183">
      <c r="A183" s="3" t="str">
        <f>IFERROR(__xludf.DUMMYFUNCTION("""COMPUTED_VALUE"""),"Bosnie-Herzégovine")</f>
        <v>Bosnie-Herzégovine</v>
      </c>
      <c r="B183" s="3" t="str">
        <f>IFERROR(__xludf.DUMMYFUNCTION("""COMPUTED_VALUE"""),"Sarajevo")</f>
        <v>Sarajevo</v>
      </c>
      <c r="C183" s="3"/>
    </row>
    <row r="184">
      <c r="A184" s="3" t="str">
        <f>IFERROR(__xludf.DUMMYFUNCTION("""COMPUTED_VALUE"""),"Corée du Sud")</f>
        <v>Corée du Sud</v>
      </c>
      <c r="B184" s="3" t="str">
        <f>IFERROR(__xludf.DUMMYFUNCTION("""COMPUTED_VALUE"""),"Sejong(*de facto*)")</f>
        <v>Sejong(*de facto*)</v>
      </c>
      <c r="C184" s="3" t="str">
        <f>IFERROR(__xludf.DUMMYFUNCTION("""COMPUTED_VALUE"""),"Certaines fonctions gouvernementales ont été transférées à Sejong en 2012 ; 
Séoul héberge néanmoins la quasi-totalité des institutions.")</f>
        <v>Certaines fonctions gouvernementales ont été transférées à Sejong en 2012 ; 
Séoul héberge néanmoins la quasi-totalité des institutions.</v>
      </c>
    </row>
    <row r="185">
      <c r="A185" s="3"/>
      <c r="B185" s="3" t="str">
        <f>IFERROR(__xludf.DUMMYFUNCTION("""COMPUTED_VALUE"""),"Séoul")</f>
        <v>Séoul</v>
      </c>
      <c r="C185" s="3"/>
    </row>
    <row r="186">
      <c r="A186" s="3" t="str">
        <f>IFERROR(__xludf.DUMMYFUNCTION("""COMPUTED_VALUE"""),"Singapour")</f>
        <v>Singapour</v>
      </c>
      <c r="B186" s="3" t="str">
        <f>IFERROR(__xludf.DUMMYFUNCTION("""COMPUTED_VALUE"""),"Singapour")</f>
        <v>Singapour</v>
      </c>
      <c r="C186" s="3" t="str">
        <f>IFERROR(__xludf.DUMMYFUNCTION("""COMPUTED_VALUE"""),"Cité-État : le pays est sa propre capitale.")</f>
        <v>Cité-État : le pays est sa propre capitale.</v>
      </c>
    </row>
    <row r="187">
      <c r="A187" s="3" t="str">
        <f>IFERROR(__xludf.DUMMYFUNCTION("""COMPUTED_VALUE"""),"Macédoine du Nord")</f>
        <v>Macédoine du Nord</v>
      </c>
      <c r="B187" s="3" t="str">
        <f>IFERROR(__xludf.DUMMYFUNCTION("""COMPUTED_VALUE"""),"Skopje")</f>
        <v>Skopje</v>
      </c>
      <c r="C187" s="3"/>
    </row>
    <row r="188">
      <c r="A188" s="3" t="str">
        <f>IFERROR(__xludf.DUMMYFUNCTION("""COMPUTED_VALUE"""),"Bulgarie")</f>
        <v>Bulgarie</v>
      </c>
      <c r="B188" s="3" t="str">
        <f>IFERROR(__xludf.DUMMYFUNCTION("""COMPUTED_VALUE"""),"Sofia")</f>
        <v>Sofia</v>
      </c>
      <c r="C188" s="3"/>
    </row>
    <row r="189">
      <c r="A189" s="3" t="str">
        <f>IFERROR(__xludf.DUMMYFUNCTION("""COMPUTED_VALUE"""),"Suède")</f>
        <v>Suède</v>
      </c>
      <c r="B189" s="3" t="str">
        <f>IFERROR(__xludf.DUMMYFUNCTION("""COMPUTED_VALUE"""),"Stockholm")</f>
        <v>Stockholm</v>
      </c>
      <c r="C189" s="3"/>
    </row>
    <row r="190">
      <c r="A190" s="3" t="str">
        <f>IFERROR(__xludf.DUMMYFUNCTION("""COMPUTED_VALUE"""),"Fidji")</f>
        <v>Fidji</v>
      </c>
      <c r="B190" s="3" t="str">
        <f>IFERROR(__xludf.DUMMYFUNCTION("""COMPUTED_VALUE"""),"Suva")</f>
        <v>Suva</v>
      </c>
      <c r="C190" s="3"/>
    </row>
    <row r="191">
      <c r="A191" s="3" t="str">
        <f>IFERROR(__xludf.DUMMYFUNCTION("""COMPUTED_VALUE"""),"Ouzbékistan")</f>
        <v>Ouzbékistan</v>
      </c>
      <c r="B191" s="3" t="str">
        <f>IFERROR(__xludf.DUMMYFUNCTION("""COMPUTED_VALUE"""),"Tachkent")</f>
        <v>Tachkent</v>
      </c>
      <c r="C191" s="3"/>
    </row>
    <row r="192">
      <c r="A192" s="3" t="str">
        <f>IFERROR(__xludf.DUMMYFUNCTION("""COMPUTED_VALUE"""),"Estonie")</f>
        <v>Estonie</v>
      </c>
      <c r="B192" s="3" t="str">
        <f>IFERROR(__xludf.DUMMYFUNCTION("""COMPUTED_VALUE"""),"Tallinn")</f>
        <v>Tallinn</v>
      </c>
      <c r="C192" s="3"/>
    </row>
    <row r="193">
      <c r="A193" s="3" t="str">
        <f>IFERROR(__xludf.DUMMYFUNCTION("""COMPUTED_VALUE"""),"Kiribati")</f>
        <v>Kiribati</v>
      </c>
      <c r="B193" s="3" t="str">
        <f>IFERROR(__xludf.DUMMYFUNCTION("""COMPUTED_VALUE"""),"Tarawa-Sud")</f>
        <v>Tarawa-Sud</v>
      </c>
      <c r="C193" s="3" t="str">
        <f>IFERROR(__xludf.DUMMYFUNCTION("""COMPUTED_VALUE"""),"Tarawa-Sud est une communauté urbaine de l'atoll de Tarawa. Bairiki, un 
lieu-dit de Tarawa-Sud, accueille de nombreuses institutions et ambassades.")</f>
        <v>Tarawa-Sud est une communauté urbaine de l'atoll de Tarawa. Bairiki, un 
lieu-dit de Tarawa-Sud, accueille de nombreuses institutions et ambassades.</v>
      </c>
    </row>
    <row r="194">
      <c r="A194" s="3" t="str">
        <f>IFERROR(__xludf.DUMMYFUNCTION("""COMPUTED_VALUE"""),"Géorgie")</f>
        <v>Géorgie</v>
      </c>
      <c r="B194" s="3" t="str">
        <f>IFERROR(__xludf.DUMMYFUNCTION("""COMPUTED_VALUE"""),"Tbilissi")</f>
        <v>Tbilissi</v>
      </c>
      <c r="C194" s="3"/>
    </row>
    <row r="195">
      <c r="A195" s="3" t="str">
        <f>IFERROR(__xludf.DUMMYFUNCTION("""COMPUTED_VALUE"""),"Iran")</f>
        <v>Iran</v>
      </c>
      <c r="B195" s="3" t="str">
        <f>IFERROR(__xludf.DUMMYFUNCTION("""COMPUTED_VALUE"""),"Téhéran")</f>
        <v>Téhéran</v>
      </c>
      <c r="C195" s="3"/>
    </row>
    <row r="196">
      <c r="A196" s="3" t="str">
        <f>IFERROR(__xludf.DUMMYFUNCTION("""COMPUTED_VALUE"""),"Bhoutan")</f>
        <v>Bhoutan</v>
      </c>
      <c r="B196" s="3" t="str">
        <f>IFERROR(__xludf.DUMMYFUNCTION("""COMPUTED_VALUE"""),"Thimphou")</f>
        <v>Thimphou</v>
      </c>
      <c r="C196" s="3"/>
    </row>
    <row r="197">
      <c r="A197" s="3" t="str">
        <f>IFERROR(__xludf.DUMMYFUNCTION("""COMPUTED_VALUE"""),"Albanie")</f>
        <v>Albanie</v>
      </c>
      <c r="B197" s="3" t="str">
        <f>IFERROR(__xludf.DUMMYFUNCTION("""COMPUTED_VALUE"""),"Tirana")</f>
        <v>Tirana</v>
      </c>
      <c r="C197" s="3"/>
    </row>
    <row r="198">
      <c r="A198" s="3" t="str">
        <f>IFERROR(__xludf.DUMMYFUNCTION("""COMPUTED_VALUE"""),"Japon")</f>
        <v>Japon</v>
      </c>
      <c r="B198" s="3" t="str">
        <f>IFERROR(__xludf.DUMMYFUNCTION("""COMPUTED_VALUE"""),"Tokyo")</f>
        <v>Tokyo</v>
      </c>
      <c r="C198" s="3"/>
    </row>
    <row r="199">
      <c r="A199" s="3" t="str">
        <f>IFERROR(__xludf.DUMMYFUNCTION("""COMPUTED_VALUE"""),"Libye")</f>
        <v>Libye</v>
      </c>
      <c r="B199" s="3" t="str">
        <f>IFERROR(__xludf.DUMMYFUNCTION("""COMPUTED_VALUE"""),"Tripoli")</f>
        <v>Tripoli</v>
      </c>
      <c r="C199" s="3"/>
    </row>
    <row r="200">
      <c r="A200" s="3" t="str">
        <f>IFERROR(__xludf.DUMMYFUNCTION("""COMPUTED_VALUE"""),"Tunisie")</f>
        <v>Tunisie</v>
      </c>
      <c r="B200" s="3" t="str">
        <f>IFERROR(__xludf.DUMMYFUNCTION("""COMPUTED_VALUE"""),"Tunis")</f>
        <v>Tunis</v>
      </c>
      <c r="C200" s="3"/>
    </row>
    <row r="201">
      <c r="A201" s="3" t="str">
        <f>IFERROR(__xludf.DUMMYFUNCTION("""COMPUTED_VALUE"""),"Liechtenstein")</f>
        <v>Liechtenstein</v>
      </c>
      <c r="B201" s="3" t="str">
        <f>IFERROR(__xludf.DUMMYFUNCTION("""COMPUTED_VALUE"""),"Vaduz")</f>
        <v>Vaduz</v>
      </c>
      <c r="C201" s="3"/>
    </row>
    <row r="202">
      <c r="A202" s="3" t="str">
        <f>IFERROR(__xludf.DUMMYFUNCTION("""COMPUTED_VALUE"""),"Malte")</f>
        <v>Malte</v>
      </c>
      <c r="B202" s="3" t="str">
        <f>IFERROR(__xludf.DUMMYFUNCTION("""COMPUTED_VALUE"""),"La Valette")</f>
        <v>La Valette</v>
      </c>
      <c r="C202" s="3"/>
    </row>
    <row r="203">
      <c r="A203" s="3" t="str">
        <f>IFERROR(__xludf.DUMMYFUNCTION("""COMPUTED_VALUE"""),"Pologne")</f>
        <v>Pologne</v>
      </c>
      <c r="B203" s="3" t="str">
        <f>IFERROR(__xludf.DUMMYFUNCTION("""COMPUTED_VALUE"""),"Varsovie")</f>
        <v>Varsovie</v>
      </c>
      <c r="C203" s="3"/>
    </row>
    <row r="204">
      <c r="A204" s="3" t="str">
        <f>IFERROR(__xludf.DUMMYFUNCTION("""COMPUTED_VALUE"""),"Vatican[2]")</f>
        <v>Vatican[2]</v>
      </c>
      <c r="B204" s="3" t="str">
        <f>IFERROR(__xludf.DUMMYFUNCTION("""COMPUTED_VALUE"""),"Vatican")</f>
        <v>Vatican</v>
      </c>
      <c r="C204" s="3" t="str">
        <f>IFERROR(__xludf.DUMMYFUNCTION("""COMPUTED_VALUE"""),"Cité-État : le pays est sa propre capitale.")</f>
        <v>Cité-État : le pays est sa propre capitale.</v>
      </c>
    </row>
    <row r="205">
      <c r="A205" s="3" t="str">
        <f>IFERROR(__xludf.DUMMYFUNCTION("""COMPUTED_VALUE"""),"Seychelles")</f>
        <v>Seychelles</v>
      </c>
      <c r="B205" s="3" t="str">
        <f>IFERROR(__xludf.DUMMYFUNCTION("""COMPUTED_VALUE"""),"Victoria")</f>
        <v>Victoria</v>
      </c>
      <c r="C205" s="3"/>
    </row>
    <row r="206">
      <c r="A206" s="3" t="str">
        <f>IFERROR(__xludf.DUMMYFUNCTION("""COMPUTED_VALUE"""),"Autriche")</f>
        <v>Autriche</v>
      </c>
      <c r="B206" s="3" t="str">
        <f>IFERROR(__xludf.DUMMYFUNCTION("""COMPUTED_VALUE"""),"Vienne")</f>
        <v>Vienne</v>
      </c>
      <c r="C206" s="3"/>
    </row>
    <row r="207">
      <c r="A207" s="3" t="str">
        <f>IFERROR(__xludf.DUMMYFUNCTION("""COMPUTED_VALUE"""),"Laos")</f>
        <v>Laos</v>
      </c>
      <c r="B207" s="3" t="str">
        <f>IFERROR(__xludf.DUMMYFUNCTION("""COMPUTED_VALUE"""),"Vientiane")</f>
        <v>Vientiane</v>
      </c>
      <c r="C207" s="3"/>
    </row>
    <row r="208">
      <c r="A208" s="3" t="str">
        <f>IFERROR(__xludf.DUMMYFUNCTION("""COMPUTED_VALUE"""),"Lituanie")</f>
        <v>Lituanie</v>
      </c>
      <c r="B208" s="3" t="str">
        <f>IFERROR(__xludf.DUMMYFUNCTION("""COMPUTED_VALUE"""),"Vilnius")</f>
        <v>Vilnius</v>
      </c>
      <c r="C208" s="3"/>
    </row>
    <row r="209">
      <c r="A209" s="3" t="str">
        <f>IFERROR(__xludf.DUMMYFUNCTION("""COMPUTED_VALUE"""),"États-Unis")</f>
        <v>États-Unis</v>
      </c>
      <c r="B209" s="3" t="str">
        <f>IFERROR(__xludf.DUMMYFUNCTION("""COMPUTED_VALUE"""),"Washington")</f>
        <v>Washington</v>
      </c>
      <c r="C209" s="3"/>
    </row>
    <row r="210">
      <c r="A210" s="3" t="str">
        <f>IFERROR(__xludf.DUMMYFUNCTION("""COMPUTED_VALUE"""),"Nouvelle-Zélande")</f>
        <v>Nouvelle-Zélande</v>
      </c>
      <c r="B210" s="3" t="str">
        <f>IFERROR(__xludf.DUMMYFUNCTION("""COMPUTED_VALUE"""),"Wellington")</f>
        <v>Wellington</v>
      </c>
      <c r="C210" s="3"/>
    </row>
    <row r="211">
      <c r="A211" s="3" t="str">
        <f>IFERROR(__xludf.DUMMYFUNCTION("""COMPUTED_VALUE"""),"Namibie")</f>
        <v>Namibie</v>
      </c>
      <c r="B211" s="3" t="str">
        <f>IFERROR(__xludf.DUMMYFUNCTION("""COMPUTED_VALUE"""),"Windhoek")</f>
        <v>Windhoek</v>
      </c>
      <c r="C211" s="3"/>
    </row>
    <row r="212">
      <c r="A212" s="3" t="str">
        <f>IFERROR(__xludf.DUMMYFUNCTION("""COMPUTED_VALUE"""),"Côte d'Ivoire")</f>
        <v>Côte d'Ivoire</v>
      </c>
      <c r="B212" s="3" t="str">
        <f>IFERROR(__xludf.DUMMYFUNCTION("""COMPUTED_VALUE"""),"Yamoussoukro")</f>
        <v>Yamoussoukro</v>
      </c>
      <c r="C212" s="3" t="str">
        <f>IFERROR(__xludf.DUMMYFUNCTION("""COMPUTED_VALUE"""),"Selon l'IGN, Yamoussoukro est la capitale politique depuis 1983 ; 
l'ancienne capitale Abidjan demeure le siège des ambassades et compte 
toujours de nombreux bâtiments officiels.")</f>
        <v>Selon l'IGN, Yamoussoukro est la capitale politique depuis 1983 ; 
l'ancienne capitale Abidjan demeure le siège des ambassades et compte 
toujours de nombreux bâtiments officiels.</v>
      </c>
    </row>
    <row r="213">
      <c r="A213" s="3" t="str">
        <f>IFERROR(__xludf.DUMMYFUNCTION("""COMPUTED_VALUE"""),"Cameroun")</f>
        <v>Cameroun</v>
      </c>
      <c r="B213" s="3" t="str">
        <f>IFERROR(__xludf.DUMMYFUNCTION("""COMPUTED_VALUE"""),"Yaoundé")</f>
        <v>Yaoundé</v>
      </c>
      <c r="C213" s="3"/>
    </row>
    <row r="214">
      <c r="A214" s="3" t="str">
        <f>IFERROR(__xludf.DUMMYFUNCTION("""COMPUTED_VALUE"""),"Nauru")</f>
        <v>Nauru</v>
      </c>
      <c r="B214" s="3" t="str">
        <f>IFERROR(__xludf.DUMMYFUNCTION("""COMPUTED_VALUE"""),"Yaren(*de facto*)")</f>
        <v>Yaren(*de facto*)</v>
      </c>
      <c r="C214" s="3" t="str">
        <f>IFERROR(__xludf.DUMMYFUNCTION("""COMPUTED_VALUE"""),"Nauru ne compte aucune capitale officielle ; les institutions sont 
néanmoins situées à Yaren.")</f>
        <v>Nauru ne compte aucune capitale officielle ; les institutions sont 
néanmoins situées à Yaren.</v>
      </c>
    </row>
    <row r="215">
      <c r="A215" s="3" t="str">
        <f>IFERROR(__xludf.DUMMYFUNCTION("""COMPUTED_VALUE"""),"Croatie")</f>
        <v>Croatie</v>
      </c>
      <c r="B215" s="3" t="str">
        <f>IFERROR(__xludf.DUMMYFUNCTION("""COMPUTED_VALUE"""),"Zagreb")</f>
        <v>Zagreb</v>
      </c>
      <c r="C215" s="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tr">
        <f>IFERROR(__xludf.DUMMYFUNCTION("IMPORTHTML(""https://fr.wikipedia.org/wiki/Élection_présidentielle_française_de_2022"",""table"",4)"),"Candidat")</f>
        <v>Candidat</v>
      </c>
      <c r="C1" s="3" t="str">
        <f>IFERROR(__xludf.DUMMYFUNCTION("""COMPUTED_VALUE"""),"Appelle à voter pour")</f>
        <v>Appelle à voter pour</v>
      </c>
      <c r="D1" s="3"/>
    </row>
    <row r="2">
      <c r="B2" s="3" t="str">
        <f>IFERROR(__xludf.DUMMYFUNCTION("""COMPUTED_VALUE"""),"Jean-Luc Mélenchon")</f>
        <v>Jean-Luc Mélenchon</v>
      </c>
      <c r="C2" s="3"/>
      <c r="D2" s="3" t="str">
        <f>IFERROR(__xludf.DUMMYFUNCTION("""COMPUTED_VALUE"""),"Contre Marine Le Pen")</f>
        <v>Contre Marine Le Pen</v>
      </c>
    </row>
    <row r="3">
      <c r="B3" s="3" t="str">
        <f>IFERROR(__xludf.DUMMYFUNCTION("""COMPUTED_VALUE"""),"Éric Zemmour")</f>
        <v>Éric Zemmour</v>
      </c>
      <c r="C3" s="3"/>
      <c r="D3" s="3" t="str">
        <f>IFERROR(__xludf.DUMMYFUNCTION("""COMPUTED_VALUE"""),"Marine Le Pen")</f>
        <v>Marine Le Pen</v>
      </c>
    </row>
    <row r="4">
      <c r="B4" s="3" t="str">
        <f>IFERROR(__xludf.DUMMYFUNCTION("""COMPUTED_VALUE"""),"Valérie Pécresse")</f>
        <v>Valérie Pécresse</v>
      </c>
      <c r="C4" s="3"/>
      <c r="D4" s="3" t="str">
        <f>IFERROR(__xludf.DUMMYFUNCTION("""COMPUTED_VALUE"""),"Emmanuel Macron")</f>
        <v>Emmanuel Macron</v>
      </c>
    </row>
    <row r="5">
      <c r="B5" s="3" t="str">
        <f>IFERROR(__xludf.DUMMYFUNCTION("""COMPUTED_VALUE"""),"Yannick Jadot")</f>
        <v>Yannick Jadot</v>
      </c>
      <c r="C5" s="3"/>
      <c r="D5" s="3" t="str">
        <f>IFERROR(__xludf.DUMMYFUNCTION("""COMPUTED_VALUE"""),"Emmanuel Macron")</f>
        <v>Emmanuel Macron</v>
      </c>
    </row>
    <row r="6">
      <c r="B6" s="3" t="str">
        <f>IFERROR(__xludf.DUMMYFUNCTION("""COMPUTED_VALUE"""),"Jean Lassalle")</f>
        <v>Jean Lassalle</v>
      </c>
      <c r="C6" s="3"/>
      <c r="D6" s="3" t="str">
        <f>IFERROR(__xludf.DUMMYFUNCTION("""COMPUTED_VALUE"""),"Vote blanc")</f>
        <v>Vote blanc</v>
      </c>
    </row>
    <row r="7">
      <c r="B7" s="3" t="str">
        <f>IFERROR(__xludf.DUMMYFUNCTION("""COMPUTED_VALUE"""),"Fabien Roussel")</f>
        <v>Fabien Roussel</v>
      </c>
      <c r="C7" s="3"/>
      <c r="D7" s="3" t="str">
        <f>IFERROR(__xludf.DUMMYFUNCTION("""COMPUTED_VALUE"""),"Emmanuel Macron")</f>
        <v>Emmanuel Macron</v>
      </c>
    </row>
    <row r="8">
      <c r="B8" s="3" t="str">
        <f>IFERROR(__xludf.DUMMYFUNCTION("""COMPUTED_VALUE"""),"Nicolas Dupont-Aignan")</f>
        <v>Nicolas Dupont-Aignan</v>
      </c>
      <c r="C8" s="3"/>
      <c r="D8" s="3" t="str">
        <f>IFERROR(__xludf.DUMMYFUNCTION("""COMPUTED_VALUE"""),"Marine Le Pen")</f>
        <v>Marine Le Pen</v>
      </c>
    </row>
    <row r="9">
      <c r="B9" s="3" t="str">
        <f>IFERROR(__xludf.DUMMYFUNCTION("""COMPUTED_VALUE"""),"Anne Hidalgo")</f>
        <v>Anne Hidalgo</v>
      </c>
      <c r="C9" s="3"/>
      <c r="D9" s="3" t="str">
        <f>IFERROR(__xludf.DUMMYFUNCTION("""COMPUTED_VALUE"""),"Emmanuel Macron")</f>
        <v>Emmanuel Macron</v>
      </c>
    </row>
    <row r="10">
      <c r="B10" s="3" t="str">
        <f>IFERROR(__xludf.DUMMYFUNCTION("""COMPUTED_VALUE"""),"Nathalie Arthaud")</f>
        <v>Nathalie Arthaud</v>
      </c>
      <c r="C10" s="3"/>
      <c r="D10" s="3" t="str">
        <f>IFERROR(__xludf.DUMMYFUNCTION("""COMPUTED_VALUE"""),"Vote blanc")</f>
        <v>Vote blanc</v>
      </c>
    </row>
    <row r="11">
      <c r="B11" s="3" t="str">
        <f>IFERROR(__xludf.DUMMYFUNCTION("""COMPUTED_VALUE"""),"Philippe Poutou")</f>
        <v>Philippe Poutou</v>
      </c>
      <c r="C11" s="3"/>
      <c r="D11" s="3" t="str">
        <f>IFERROR(__xludf.DUMMYFUNCTION("""COMPUTED_VALUE"""),"Contre Marine Le Pen")</f>
        <v>Contre Marine Le Pen</v>
      </c>
    </row>
    <row r="13">
      <c r="A13" s="11" t="s">
        <v>66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67</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IFERROR(__xludf.DUMMYFUNCTION("IMPORTHTML(""https://fr.wikipedia.org/wiki/D%C3%A9mographie_de_la_France"",""table"",4)"),"")</f>
        <v/>
      </c>
      <c r="B1" s="3" t="str">
        <f>IFERROR(__xludf.DUMMYFUNCTION("""COMPUTED_VALUE"""),"Population (1er janvier)")</f>
        <v>Population (1er janvier)</v>
      </c>
      <c r="C1" s="3" t="str">
        <f>IFERROR(__xludf.DUMMYFUNCTION("""COMPUTED_VALUE"""),"Naissances")</f>
        <v>Naissances</v>
      </c>
      <c r="D1" s="3" t="str">
        <f>IFERROR(__xludf.DUMMYFUNCTION("""COMPUTED_VALUE"""),"Décès")</f>
        <v>Décès</v>
      </c>
      <c r="E1" s="3" t="str">
        <f>IFERROR(__xludf.DUMMYFUNCTION("""COMPUTED_VALUE"""),"Solde naturel")</f>
        <v>Solde naturel</v>
      </c>
      <c r="F1" s="3" t="str">
        <f>IFERROR(__xludf.DUMMYFUNCTION("""COMPUTED_VALUE"""),"Taux de natalité (pour 1000)")</f>
        <v>Taux de natalité (pour 1000)</v>
      </c>
      <c r="G1" s="3" t="str">
        <f>IFERROR(__xludf.DUMMYFUNCTION("""COMPUTED_VALUE"""),"Taux de mortalité (pour 1000)")</f>
        <v>Taux de mortalité (pour 1000)</v>
      </c>
      <c r="H1" s="3" t="str">
        <f>IFERROR(__xludf.DUMMYFUNCTION("""COMPUTED_VALUE"""),"Accroissement naturel (pour 1000)")</f>
        <v>Accroissement naturel (pour 1000)</v>
      </c>
      <c r="I1" s="3" t="str">
        <f>IFERROR(__xludf.DUMMYFUNCTION("""COMPUTED_VALUE"""),"Indice de fécondité[Note 3]")</f>
        <v>Indice de fécondité[Note 3]</v>
      </c>
      <c r="J1" s="3" t="str">
        <f>IFERROR(__xludf.DUMMYFUNCTION("""COMPUTED_VALUE"""),"Taux de mortalité infantile (pour 1000 naissances)")</f>
        <v>Taux de mortalité infantile (pour 1000 naissances)</v>
      </c>
      <c r="K1" s="3" t="str">
        <f>IFERROR(__xludf.DUMMYFUNCTION("""COMPUTED_VALUE"""),"Espérance de vie (hommes)")</f>
        <v>Espérance de vie (hommes)</v>
      </c>
      <c r="L1" s="3" t="str">
        <f>IFERROR(__xludf.DUMMYFUNCTION("""COMPUTED_VALUE"""),"Espérance de vie (femmes)")</f>
        <v>Espérance de vie (femmes)</v>
      </c>
    </row>
    <row r="2">
      <c r="A2" s="3">
        <f>IFERROR(__xludf.DUMMYFUNCTION("""COMPUTED_VALUE"""),1900.0)</f>
        <v>1900</v>
      </c>
      <c r="B2" s="3"/>
      <c r="C2" s="3">
        <f>IFERROR(__xludf.DUMMYFUNCTION("""COMPUTED_VALUE"""),885200.0)</f>
        <v>885200</v>
      </c>
      <c r="D2" s="3">
        <f>IFERROR(__xludf.DUMMYFUNCTION("""COMPUTED_VALUE"""),818900.0)</f>
        <v>818900</v>
      </c>
      <c r="E2" s="3">
        <f>IFERROR(__xludf.DUMMYFUNCTION("""COMPUTED_VALUE"""),66300.0)</f>
        <v>66300</v>
      </c>
      <c r="F2" s="3">
        <f>IFERROR(__xludf.DUMMYFUNCTION("""COMPUTED_VALUE"""),22.7)</f>
        <v>22.7</v>
      </c>
      <c r="G2" s="3">
        <f>IFERROR(__xludf.DUMMYFUNCTION("""COMPUTED_VALUE"""),21.0)</f>
        <v>21</v>
      </c>
      <c r="H2" s="3">
        <f>IFERROR(__xludf.DUMMYFUNCTION("""COMPUTED_VALUE"""),1.7)</f>
        <v>1.7</v>
      </c>
      <c r="I2" s="3">
        <f>IFERROR(__xludf.DUMMYFUNCTION("""COMPUTED_VALUE"""),2.8)</f>
        <v>2.8</v>
      </c>
      <c r="J2" s="3"/>
      <c r="K2" s="3"/>
      <c r="L2" s="3"/>
    </row>
    <row r="3">
      <c r="A3" s="3">
        <f>IFERROR(__xludf.DUMMYFUNCTION("""COMPUTED_VALUE"""),1901.0)</f>
        <v>1901</v>
      </c>
      <c r="B3" s="3">
        <f>IFERROR(__xludf.DUMMYFUNCTION("""COMPUTED_VALUE"""),4.071E7)</f>
        <v>40710000</v>
      </c>
      <c r="C3" s="3">
        <f>IFERROR(__xludf.DUMMYFUNCTION("""COMPUTED_VALUE"""),917075.0)</f>
        <v>917075</v>
      </c>
      <c r="D3" s="3">
        <f>IFERROR(__xludf.DUMMYFUNCTION("""COMPUTED_VALUE"""),825315.0)</f>
        <v>825315</v>
      </c>
      <c r="E3" s="3">
        <f>IFERROR(__xludf.DUMMYFUNCTION("""COMPUTED_VALUE"""),91760.0)</f>
        <v>91760</v>
      </c>
      <c r="F3" s="3">
        <f>IFERROR(__xludf.DUMMYFUNCTION("""COMPUTED_VALUE"""),22.5)</f>
        <v>22.5</v>
      </c>
      <c r="G3" s="3">
        <f>IFERROR(__xludf.DUMMYFUNCTION("""COMPUTED_VALUE"""),20.3)</f>
        <v>20.3</v>
      </c>
      <c r="H3" s="3">
        <f>IFERROR(__xludf.DUMMYFUNCTION("""COMPUTED_VALUE"""),2.3)</f>
        <v>2.3</v>
      </c>
      <c r="I3" s="3">
        <f>IFERROR(__xludf.DUMMYFUNCTION("""COMPUTED_VALUE"""),2.9)</f>
        <v>2.9</v>
      </c>
      <c r="J3" s="3"/>
      <c r="K3" s="3"/>
      <c r="L3" s="3"/>
    </row>
    <row r="4">
      <c r="A4" s="3">
        <f>IFERROR(__xludf.DUMMYFUNCTION("""COMPUTED_VALUE"""),1902.0)</f>
        <v>1902</v>
      </c>
      <c r="B4" s="3">
        <f>IFERROR(__xludf.DUMMYFUNCTION("""COMPUTED_VALUE"""),4.081E7)</f>
        <v>40810000</v>
      </c>
      <c r="C4" s="3">
        <f>IFERROR(__xludf.DUMMYFUNCTION("""COMPUTED_VALUE"""),904434.0)</f>
        <v>904434</v>
      </c>
      <c r="D4" s="3">
        <f>IFERROR(__xludf.DUMMYFUNCTION("""COMPUTED_VALUE"""),801379.0)</f>
        <v>801379</v>
      </c>
      <c r="E4" s="3">
        <f>IFERROR(__xludf.DUMMYFUNCTION("""COMPUTED_VALUE"""),103055.0)</f>
        <v>103055</v>
      </c>
      <c r="F4" s="3">
        <f>IFERROR(__xludf.DUMMYFUNCTION("""COMPUTED_VALUE"""),22.2)</f>
        <v>22.2</v>
      </c>
      <c r="G4" s="3">
        <f>IFERROR(__xludf.DUMMYFUNCTION("""COMPUTED_VALUE"""),19.6)</f>
        <v>19.6</v>
      </c>
      <c r="H4" s="3">
        <f>IFERROR(__xludf.DUMMYFUNCTION("""COMPUTED_VALUE"""),2.5)</f>
        <v>2.5</v>
      </c>
      <c r="I4" s="3">
        <f>IFERROR(__xludf.DUMMYFUNCTION("""COMPUTED_VALUE"""),2.85)</f>
        <v>2.85</v>
      </c>
      <c r="J4" s="3"/>
      <c r="K4" s="3"/>
      <c r="L4" s="3"/>
    </row>
    <row r="5">
      <c r="A5" s="3">
        <f>IFERROR(__xludf.DUMMYFUNCTION("""COMPUTED_VALUE"""),1903.0)</f>
        <v>1903</v>
      </c>
      <c r="B5" s="3">
        <f>IFERROR(__xludf.DUMMYFUNCTION("""COMPUTED_VALUE"""),4.091E7)</f>
        <v>40910000</v>
      </c>
      <c r="C5" s="3">
        <f>IFERROR(__xludf.DUMMYFUNCTION("""COMPUTED_VALUE"""),884498.0)</f>
        <v>884498</v>
      </c>
      <c r="D5" s="3">
        <f>IFERROR(__xludf.DUMMYFUNCTION("""COMPUTED_VALUE"""),794566.0)</f>
        <v>794566</v>
      </c>
      <c r="E5" s="3">
        <f>IFERROR(__xludf.DUMMYFUNCTION("""COMPUTED_VALUE"""),89932.0)</f>
        <v>89932</v>
      </c>
      <c r="F5" s="3">
        <f>IFERROR(__xludf.DUMMYFUNCTION("""COMPUTED_VALUE"""),21.6)</f>
        <v>21.6</v>
      </c>
      <c r="G5" s="3">
        <f>IFERROR(__xludf.DUMMYFUNCTION("""COMPUTED_VALUE"""),19.4)</f>
        <v>19.4</v>
      </c>
      <c r="H5" s="3">
        <f>IFERROR(__xludf.DUMMYFUNCTION("""COMPUTED_VALUE"""),2.2)</f>
        <v>2.2</v>
      </c>
      <c r="I5" s="3">
        <f>IFERROR(__xludf.DUMMYFUNCTION("""COMPUTED_VALUE"""),2.78)</f>
        <v>2.78</v>
      </c>
      <c r="J5" s="3"/>
      <c r="K5" s="3"/>
      <c r="L5" s="3"/>
    </row>
    <row r="6">
      <c r="A6" s="3">
        <f>IFERROR(__xludf.DUMMYFUNCTION("""COMPUTED_VALUE"""),1904.0)</f>
        <v>1904</v>
      </c>
      <c r="B6" s="3">
        <f>IFERROR(__xludf.DUMMYFUNCTION("""COMPUTED_VALUE"""),4.1E7)</f>
        <v>41000000</v>
      </c>
      <c r="C6" s="3">
        <f>IFERROR(__xludf.DUMMYFUNCTION("""COMPUTED_VALUE"""),877091.0)</f>
        <v>877091</v>
      </c>
      <c r="D6" s="3">
        <f>IFERROR(__xludf.DUMMYFUNCTION("""COMPUTED_VALUE"""),802536.0)</f>
        <v>802536</v>
      </c>
      <c r="E6" s="3">
        <f>IFERROR(__xludf.DUMMYFUNCTION("""COMPUTED_VALUE"""),74555.0)</f>
        <v>74555</v>
      </c>
      <c r="F6" s="3">
        <f>IFERROR(__xludf.DUMMYFUNCTION("""COMPUTED_VALUE"""),21.4)</f>
        <v>21.4</v>
      </c>
      <c r="G6" s="3">
        <f>IFERROR(__xludf.DUMMYFUNCTION("""COMPUTED_VALUE"""),19.6)</f>
        <v>19.6</v>
      </c>
      <c r="H6" s="3">
        <f>IFERROR(__xludf.DUMMYFUNCTION("""COMPUTED_VALUE"""),1.8)</f>
        <v>1.8</v>
      </c>
      <c r="I6" s="3">
        <f>IFERROR(__xludf.DUMMYFUNCTION("""COMPUTED_VALUE"""),2.75)</f>
        <v>2.75</v>
      </c>
      <c r="J6" s="3"/>
      <c r="K6" s="3"/>
      <c r="L6" s="3"/>
    </row>
    <row r="7">
      <c r="A7" s="3">
        <f>IFERROR(__xludf.DUMMYFUNCTION("""COMPUTED_VALUE"""),1905.0)</f>
        <v>1905</v>
      </c>
      <c r="B7" s="3">
        <f>IFERROR(__xludf.DUMMYFUNCTION("""COMPUTED_VALUE"""),4.105E7)</f>
        <v>41050000</v>
      </c>
      <c r="C7" s="3">
        <f>IFERROR(__xludf.DUMMYFUNCTION("""COMPUTED_VALUE"""),865604.0)</f>
        <v>865604</v>
      </c>
      <c r="D7" s="3">
        <f>IFERROR(__xludf.DUMMYFUNCTION("""COMPUTED_VALUE"""),812338.0)</f>
        <v>812338</v>
      </c>
      <c r="E7" s="3">
        <f>IFERROR(__xludf.DUMMYFUNCTION("""COMPUTED_VALUE"""),53266.0)</f>
        <v>53266</v>
      </c>
      <c r="F7" s="3">
        <f>IFERROR(__xludf.DUMMYFUNCTION("""COMPUTED_VALUE"""),21.1)</f>
        <v>21.1</v>
      </c>
      <c r="G7" s="3">
        <f>IFERROR(__xludf.DUMMYFUNCTION("""COMPUTED_VALUE"""),19.8)</f>
        <v>19.8</v>
      </c>
      <c r="H7" s="3">
        <f>IFERROR(__xludf.DUMMYFUNCTION("""COMPUTED_VALUE"""),1.3)</f>
        <v>1.3</v>
      </c>
      <c r="I7" s="3">
        <f>IFERROR(__xludf.DUMMYFUNCTION("""COMPUTED_VALUE"""),2.71)</f>
        <v>2.71</v>
      </c>
      <c r="J7" s="3"/>
      <c r="K7" s="3"/>
      <c r="L7" s="3"/>
    </row>
    <row r="8">
      <c r="A8" s="3">
        <f>IFERROR(__xludf.DUMMYFUNCTION("""COMPUTED_VALUE"""),1906.0)</f>
        <v>1906</v>
      </c>
      <c r="B8" s="3">
        <f>IFERROR(__xludf.DUMMYFUNCTION("""COMPUTED_VALUE"""),4.11E7)</f>
        <v>41100000</v>
      </c>
      <c r="C8" s="3">
        <f>IFERROR(__xludf.DUMMYFUNCTION("""COMPUTED_VALUE"""),864745.0)</f>
        <v>864745</v>
      </c>
      <c r="D8" s="3">
        <f>IFERROR(__xludf.DUMMYFUNCTION("""COMPUTED_VALUE"""),820051.0)</f>
        <v>820051</v>
      </c>
      <c r="E8" s="3">
        <f>IFERROR(__xludf.DUMMYFUNCTION("""COMPUTED_VALUE"""),44694.0)</f>
        <v>44694</v>
      </c>
      <c r="F8" s="3">
        <f>IFERROR(__xludf.DUMMYFUNCTION("""COMPUTED_VALUE"""),21.0)</f>
        <v>21</v>
      </c>
      <c r="G8" s="3">
        <f>IFERROR(__xludf.DUMMYFUNCTION("""COMPUTED_VALUE"""),20.0)</f>
        <v>20</v>
      </c>
      <c r="H8" s="3">
        <f>IFERROR(__xludf.DUMMYFUNCTION("""COMPUTED_VALUE"""),1.1)</f>
        <v>1.1</v>
      </c>
      <c r="I8" s="3">
        <f>IFERROR(__xludf.DUMMYFUNCTION("""COMPUTED_VALUE"""),2.7)</f>
        <v>2.7</v>
      </c>
      <c r="J8" s="3"/>
      <c r="K8" s="3"/>
      <c r="L8" s="3"/>
    </row>
    <row r="9">
      <c r="A9" s="3">
        <f>IFERROR(__xludf.DUMMYFUNCTION("""COMPUTED_VALUE"""),1907.0)</f>
        <v>1907</v>
      </c>
      <c r="B9" s="3">
        <f>IFERROR(__xludf.DUMMYFUNCTION("""COMPUTED_VALUE"""),4.11E7)</f>
        <v>41100000</v>
      </c>
      <c r="C9" s="3">
        <f>IFERROR(__xludf.DUMMYFUNCTION("""COMPUTED_VALUE"""),829632.0)</f>
        <v>829632</v>
      </c>
      <c r="D9" s="3">
        <f>IFERROR(__xludf.DUMMYFUNCTION("""COMPUTED_VALUE"""),830871.0)</f>
        <v>830871</v>
      </c>
      <c r="E9" s="3">
        <f>IFERROR(__xludf.DUMMYFUNCTION("""COMPUTED_VALUE"""),-1239.0)</f>
        <v>-1239</v>
      </c>
      <c r="F9" s="3">
        <f>IFERROR(__xludf.DUMMYFUNCTION("""COMPUTED_VALUE"""),20.2)</f>
        <v>20.2</v>
      </c>
      <c r="G9" s="3">
        <f>IFERROR(__xludf.DUMMYFUNCTION("""COMPUTED_VALUE"""),20.2)</f>
        <v>20.2</v>
      </c>
      <c r="H9" s="3">
        <f>IFERROR(__xludf.DUMMYFUNCTION("""COMPUTED_VALUE"""),0.0)</f>
        <v>0</v>
      </c>
      <c r="I9" s="3">
        <f>IFERROR(__xludf.DUMMYFUNCTION("""COMPUTED_VALUE"""),2.58)</f>
        <v>2.58</v>
      </c>
      <c r="J9" s="3"/>
      <c r="K9" s="3"/>
      <c r="L9" s="3"/>
    </row>
    <row r="10">
      <c r="A10" s="3">
        <f>IFERROR(__xludf.DUMMYFUNCTION("""COMPUTED_VALUE"""),1908.0)</f>
        <v>1908</v>
      </c>
      <c r="B10" s="3">
        <f>IFERROR(__xludf.DUMMYFUNCTION("""COMPUTED_VALUE"""),4.119E7)</f>
        <v>41190000</v>
      </c>
      <c r="C10" s="3">
        <f>IFERROR(__xludf.DUMMYFUNCTION("""COMPUTED_VALUE"""),848982.0)</f>
        <v>848982</v>
      </c>
      <c r="D10" s="3">
        <f>IFERROR(__xludf.DUMMYFUNCTION("""COMPUTED_VALUE"""),784415.0)</f>
        <v>784415</v>
      </c>
      <c r="E10" s="3">
        <f>IFERROR(__xludf.DUMMYFUNCTION("""COMPUTED_VALUE"""),64567.0)</f>
        <v>64567</v>
      </c>
      <c r="F10" s="3">
        <f>IFERROR(__xludf.DUMMYFUNCTION("""COMPUTED_VALUE"""),20.6)</f>
        <v>20.6</v>
      </c>
      <c r="G10" s="3">
        <f>IFERROR(__xludf.DUMMYFUNCTION("""COMPUTED_VALUE"""),19.0)</f>
        <v>19</v>
      </c>
      <c r="H10" s="3">
        <f>IFERROR(__xludf.DUMMYFUNCTION("""COMPUTED_VALUE"""),1.6)</f>
        <v>1.6</v>
      </c>
      <c r="I10" s="3">
        <f>IFERROR(__xludf.DUMMYFUNCTION("""COMPUTED_VALUE"""),2.64)</f>
        <v>2.64</v>
      </c>
      <c r="J10" s="3"/>
      <c r="K10" s="3"/>
      <c r="L10" s="3"/>
    </row>
    <row r="11">
      <c r="A11" s="3">
        <f>IFERROR(__xludf.DUMMYFUNCTION("""COMPUTED_VALUE"""),1909.0)</f>
        <v>1909</v>
      </c>
      <c r="B11" s="3">
        <f>IFERROR(__xludf.DUMMYFUNCTION("""COMPUTED_VALUE"""),4.124E7)</f>
        <v>41240000</v>
      </c>
      <c r="C11" s="3">
        <f>IFERROR(__xludf.DUMMYFUNCTION("""COMPUTED_VALUE"""),824739.0)</f>
        <v>824739</v>
      </c>
      <c r="D11" s="3">
        <f>IFERROR(__xludf.DUMMYFUNCTION("""COMPUTED_VALUE"""),792798.0)</f>
        <v>792798</v>
      </c>
      <c r="E11" s="3">
        <f>IFERROR(__xludf.DUMMYFUNCTION("""COMPUTED_VALUE"""),31941.0)</f>
        <v>31941</v>
      </c>
      <c r="F11" s="3">
        <f>IFERROR(__xludf.DUMMYFUNCTION("""COMPUTED_VALUE"""),20.0)</f>
        <v>20</v>
      </c>
      <c r="G11" s="3">
        <f>IFERROR(__xludf.DUMMYFUNCTION("""COMPUTED_VALUE"""),19.2)</f>
        <v>19.2</v>
      </c>
      <c r="H11" s="3">
        <f>IFERROR(__xludf.DUMMYFUNCTION("""COMPUTED_VALUE"""),0.8)</f>
        <v>0.8</v>
      </c>
      <c r="I11" s="3">
        <f>IFERROR(__xludf.DUMMYFUNCTION("""COMPUTED_VALUE"""),2.56)</f>
        <v>2.56</v>
      </c>
      <c r="J11" s="3"/>
      <c r="K11" s="3"/>
      <c r="L11" s="3"/>
    </row>
    <row r="12">
      <c r="A12" s="3">
        <f>IFERROR(__xludf.DUMMYFUNCTION("""COMPUTED_VALUE"""),1910.0)</f>
        <v>1910</v>
      </c>
      <c r="B12" s="3">
        <f>IFERROR(__xludf.DUMMYFUNCTION("""COMPUTED_VALUE"""),4.135E7)</f>
        <v>41350000</v>
      </c>
      <c r="C12" s="3">
        <f>IFERROR(__xludf.DUMMYFUNCTION("""COMPUTED_VALUE"""),828140.0)</f>
        <v>828140</v>
      </c>
      <c r="D12" s="3">
        <f>IFERROR(__xludf.DUMMYFUNCTION("""COMPUTED_VALUE"""),737877.0)</f>
        <v>737877</v>
      </c>
      <c r="E12" s="3">
        <f>IFERROR(__xludf.DUMMYFUNCTION("""COMPUTED_VALUE"""),90263.0)</f>
        <v>90263</v>
      </c>
      <c r="F12" s="3">
        <f>IFERROR(__xludf.DUMMYFUNCTION("""COMPUTED_VALUE"""),20.0)</f>
        <v>20</v>
      </c>
      <c r="G12" s="3">
        <f>IFERROR(__xludf.DUMMYFUNCTION("""COMPUTED_VALUE"""),17.8)</f>
        <v>17.8</v>
      </c>
      <c r="H12" s="3">
        <f>IFERROR(__xludf.DUMMYFUNCTION("""COMPUTED_VALUE"""),2.2)</f>
        <v>2.2</v>
      </c>
      <c r="I12" s="3">
        <f>IFERROR(__xludf.DUMMYFUNCTION("""COMPUTED_VALUE"""),2.57)</f>
        <v>2.57</v>
      </c>
      <c r="J12" s="3"/>
      <c r="K12" s="3"/>
      <c r="L12" s="3"/>
    </row>
    <row r="13">
      <c r="A13" s="3">
        <f>IFERROR(__xludf.DUMMYFUNCTION("""COMPUTED_VALUE"""),1911.0)</f>
        <v>1911</v>
      </c>
      <c r="B13" s="3">
        <f>IFERROR(__xludf.DUMMYFUNCTION("""COMPUTED_VALUE"""),4.142E7)</f>
        <v>41420000</v>
      </c>
      <c r="C13" s="3">
        <f>IFERROR(__xludf.DUMMYFUNCTION("""COMPUTED_VALUE"""),793506.0)</f>
        <v>793506</v>
      </c>
      <c r="D13" s="3">
        <f>IFERROR(__xludf.DUMMYFUNCTION("""COMPUTED_VALUE"""),813653.0)</f>
        <v>813653</v>
      </c>
      <c r="E13" s="3">
        <f>IFERROR(__xludf.DUMMYFUNCTION("""COMPUTED_VALUE"""),-20147.0)</f>
        <v>-20147</v>
      </c>
      <c r="F13" s="3">
        <f>IFERROR(__xludf.DUMMYFUNCTION("""COMPUTED_VALUE"""),19.2)</f>
        <v>19.2</v>
      </c>
      <c r="G13" s="3">
        <f>IFERROR(__xludf.DUMMYFUNCTION("""COMPUTED_VALUE"""),19.6)</f>
        <v>19.6</v>
      </c>
      <c r="H13" s="3">
        <f>IFERROR(__xludf.DUMMYFUNCTION("""COMPUTED_VALUE"""),-0.5)</f>
        <v>-0.5</v>
      </c>
      <c r="I13" s="3">
        <f>IFERROR(__xludf.DUMMYFUNCTION("""COMPUTED_VALUE"""),2.46)</f>
        <v>2.46</v>
      </c>
      <c r="J13" s="3"/>
      <c r="K13" s="3"/>
      <c r="L13" s="3"/>
    </row>
    <row r="14">
      <c r="A14" s="3">
        <f>IFERROR(__xludf.DUMMYFUNCTION("""COMPUTED_VALUE"""),1912.0)</f>
        <v>1912</v>
      </c>
      <c r="B14" s="3">
        <f>IFERROR(__xludf.DUMMYFUNCTION("""COMPUTED_VALUE"""),4.153E7)</f>
        <v>41530000</v>
      </c>
      <c r="C14" s="3">
        <f>IFERROR(__xludf.DUMMYFUNCTION("""COMPUTED_VALUE"""),801642.0)</f>
        <v>801642</v>
      </c>
      <c r="D14" s="3">
        <f>IFERROR(__xludf.DUMMYFUNCTION("""COMPUTED_VALUE"""),726848.0)</f>
        <v>726848</v>
      </c>
      <c r="E14" s="3">
        <f>IFERROR(__xludf.DUMMYFUNCTION("""COMPUTED_VALUE"""),74794.0)</f>
        <v>74794</v>
      </c>
      <c r="F14" s="3">
        <f>IFERROR(__xludf.DUMMYFUNCTION("""COMPUTED_VALUE"""),19.3)</f>
        <v>19.3</v>
      </c>
      <c r="G14" s="3">
        <f>IFERROR(__xludf.DUMMYFUNCTION("""COMPUTED_VALUE"""),17.5)</f>
        <v>17.5</v>
      </c>
      <c r="H14" s="3">
        <f>IFERROR(__xludf.DUMMYFUNCTION("""COMPUTED_VALUE"""),1.8)</f>
        <v>1.8</v>
      </c>
      <c r="I14" s="3">
        <f>IFERROR(__xludf.DUMMYFUNCTION("""COMPUTED_VALUE"""),2.49)</f>
        <v>2.49</v>
      </c>
      <c r="J14" s="3"/>
      <c r="K14" s="3"/>
      <c r="L14" s="3"/>
    </row>
    <row r="15">
      <c r="A15" s="3">
        <f>IFERROR(__xludf.DUMMYFUNCTION("""COMPUTED_VALUE"""),1913.0)</f>
        <v>1913</v>
      </c>
      <c r="B15" s="3">
        <f>IFERROR(__xludf.DUMMYFUNCTION("""COMPUTED_VALUE"""),4.162E7)</f>
        <v>41620000</v>
      </c>
      <c r="C15" s="3">
        <f>IFERROR(__xludf.DUMMYFUNCTION("""COMPUTED_VALUE"""),795851.0)</f>
        <v>795851</v>
      </c>
      <c r="D15" s="3">
        <f>IFERROR(__xludf.DUMMYFUNCTION("""COMPUTED_VALUE"""),736937.0)</f>
        <v>736937</v>
      </c>
      <c r="E15" s="3">
        <f>IFERROR(__xludf.DUMMYFUNCTION("""COMPUTED_VALUE"""),58914.0)</f>
        <v>58914</v>
      </c>
      <c r="F15" s="3">
        <f>IFERROR(__xludf.DUMMYFUNCTION("""COMPUTED_VALUE"""),19.1)</f>
        <v>19.1</v>
      </c>
      <c r="G15" s="3">
        <f>IFERROR(__xludf.DUMMYFUNCTION("""COMPUTED_VALUE"""),17.7)</f>
        <v>17.7</v>
      </c>
      <c r="H15" s="3">
        <f>IFERROR(__xludf.DUMMYFUNCTION("""COMPUTED_VALUE"""),1.4)</f>
        <v>1.4</v>
      </c>
      <c r="I15" s="3">
        <f>IFERROR(__xludf.DUMMYFUNCTION("""COMPUTED_VALUE"""),2.47)</f>
        <v>2.47</v>
      </c>
      <c r="J15" s="3"/>
      <c r="K15" s="3"/>
      <c r="L15" s="3"/>
    </row>
    <row r="16">
      <c r="A16" s="3">
        <f>IFERROR(__xludf.DUMMYFUNCTION("""COMPUTED_VALUE"""),1914.0)</f>
        <v>1914</v>
      </c>
      <c r="B16" s="3">
        <f>IFERROR(__xludf.DUMMYFUNCTION("""COMPUTED_VALUE"""),4.163E7)</f>
        <v>41630000</v>
      </c>
      <c r="C16" s="3">
        <f>IFERROR(__xludf.DUMMYFUNCTION("""COMPUTED_VALUE"""),757931.0)</f>
        <v>757931</v>
      </c>
      <c r="D16" s="3">
        <f>IFERROR(__xludf.DUMMYFUNCTION("""COMPUTED_VALUE"""),774931.0)</f>
        <v>774931</v>
      </c>
      <c r="E16" s="3">
        <f>IFERROR(__xludf.DUMMYFUNCTION("""COMPUTED_VALUE"""),-17000.0)</f>
        <v>-17000</v>
      </c>
      <c r="F16" s="3">
        <f>IFERROR(__xludf.DUMMYFUNCTION("""COMPUTED_VALUE"""),18.2)</f>
        <v>18.2</v>
      </c>
      <c r="G16" s="3">
        <f>IFERROR(__xludf.DUMMYFUNCTION("""COMPUTED_VALUE"""),18.6)</f>
        <v>18.6</v>
      </c>
      <c r="H16" s="3">
        <f>IFERROR(__xludf.DUMMYFUNCTION("""COMPUTED_VALUE"""),-0.4)</f>
        <v>-0.4</v>
      </c>
      <c r="I16" s="3">
        <f>IFERROR(__xludf.DUMMYFUNCTION("""COMPUTED_VALUE"""),2.34)</f>
        <v>2.34</v>
      </c>
      <c r="J16" s="3"/>
      <c r="K16" s="3"/>
      <c r="L16" s="3"/>
    </row>
    <row r="17">
      <c r="A17" s="3">
        <f>IFERROR(__xludf.DUMMYFUNCTION("""COMPUTED_VALUE"""),1915.0)</f>
        <v>1915</v>
      </c>
      <c r="B17" s="3">
        <f>IFERROR(__xludf.DUMMYFUNCTION("""COMPUTED_VALUE"""),4.062E7)</f>
        <v>40620000</v>
      </c>
      <c r="C17" s="3">
        <f>IFERROR(__xludf.DUMMYFUNCTION("""COMPUTED_VALUE"""),482968.0)</f>
        <v>482968</v>
      </c>
      <c r="D17" s="3">
        <f>IFERROR(__xludf.DUMMYFUNCTION("""COMPUTED_VALUE"""),747968.0)</f>
        <v>747968</v>
      </c>
      <c r="E17" s="3">
        <f>IFERROR(__xludf.DUMMYFUNCTION("""COMPUTED_VALUE"""),-265000.0)</f>
        <v>-265000</v>
      </c>
      <c r="F17" s="3">
        <f>IFERROR(__xludf.DUMMYFUNCTION("""COMPUTED_VALUE"""),11.9)</f>
        <v>11.9</v>
      </c>
      <c r="G17" s="3">
        <f>IFERROR(__xludf.DUMMYFUNCTION("""COMPUTED_VALUE"""),18.4)</f>
        <v>18.4</v>
      </c>
      <c r="H17" s="3">
        <f>IFERROR(__xludf.DUMMYFUNCTION("""COMPUTED_VALUE"""),-6.5)</f>
        <v>-6.5</v>
      </c>
      <c r="I17" s="3">
        <f>IFERROR(__xludf.DUMMYFUNCTION("""COMPUTED_VALUE"""),1.52)</f>
        <v>1.52</v>
      </c>
      <c r="J17" s="3"/>
      <c r="K17" s="3"/>
      <c r="L17" s="3"/>
    </row>
    <row r="18">
      <c r="A18" s="3">
        <f>IFERROR(__xludf.DUMMYFUNCTION("""COMPUTED_VALUE"""),1916.0)</f>
        <v>1916</v>
      </c>
      <c r="B18" s="3">
        <f>IFERROR(__xludf.DUMMYFUNCTION("""COMPUTED_VALUE"""),4.002E7)</f>
        <v>40020000</v>
      </c>
      <c r="C18" s="3">
        <f>IFERROR(__xludf.DUMMYFUNCTION("""COMPUTED_VALUE"""),384676.0)</f>
        <v>384676</v>
      </c>
      <c r="D18" s="3">
        <f>IFERROR(__xludf.DUMMYFUNCTION("""COMPUTED_VALUE"""),697676.0)</f>
        <v>697676</v>
      </c>
      <c r="E18" s="3">
        <f>IFERROR(__xludf.DUMMYFUNCTION("""COMPUTED_VALUE"""),-313000.0)</f>
        <v>-313000</v>
      </c>
      <c r="F18" s="3">
        <f>IFERROR(__xludf.DUMMYFUNCTION("""COMPUTED_VALUE"""),9.6)</f>
        <v>9.6</v>
      </c>
      <c r="G18" s="3">
        <f>IFERROR(__xludf.DUMMYFUNCTION("""COMPUTED_VALUE"""),17.4)</f>
        <v>17.4</v>
      </c>
      <c r="H18" s="3">
        <f>IFERROR(__xludf.DUMMYFUNCTION("""COMPUTED_VALUE"""),-7.8)</f>
        <v>-7.8</v>
      </c>
      <c r="I18" s="3">
        <f>IFERROR(__xludf.DUMMYFUNCTION("""COMPUTED_VALUE"""),1.23)</f>
        <v>1.23</v>
      </c>
      <c r="J18" s="3"/>
      <c r="K18" s="3"/>
      <c r="L18" s="3"/>
    </row>
    <row r="19">
      <c r="A19" s="3">
        <f>IFERROR(__xludf.DUMMYFUNCTION("""COMPUTED_VALUE"""),1917.0)</f>
        <v>1917</v>
      </c>
      <c r="B19" s="3">
        <f>IFERROR(__xludf.DUMMYFUNCTION("""COMPUTED_VALUE"""),3.942E7)</f>
        <v>39420000</v>
      </c>
      <c r="C19" s="3">
        <f>IFERROR(__xludf.DUMMYFUNCTION("""COMPUTED_VALUE"""),412744.0)</f>
        <v>412744</v>
      </c>
      <c r="D19" s="3">
        <f>IFERROR(__xludf.DUMMYFUNCTION("""COMPUTED_VALUE"""),712744.0)</f>
        <v>712744</v>
      </c>
      <c r="E19" s="3">
        <f>IFERROR(__xludf.DUMMYFUNCTION("""COMPUTED_VALUE"""),-300000.0)</f>
        <v>-300000</v>
      </c>
      <c r="F19" s="3">
        <f>IFERROR(__xludf.DUMMYFUNCTION("""COMPUTED_VALUE"""),10.5)</f>
        <v>10.5</v>
      </c>
      <c r="G19" s="3">
        <f>IFERROR(__xludf.DUMMYFUNCTION("""COMPUTED_VALUE"""),18.1)</f>
        <v>18.1</v>
      </c>
      <c r="H19" s="3">
        <f>IFERROR(__xludf.DUMMYFUNCTION("""COMPUTED_VALUE"""),-7.6)</f>
        <v>-7.6</v>
      </c>
      <c r="I19" s="3">
        <f>IFERROR(__xludf.DUMMYFUNCTION("""COMPUTED_VALUE"""),1.34)</f>
        <v>1.34</v>
      </c>
      <c r="J19" s="3"/>
      <c r="K19" s="3"/>
      <c r="L19" s="3"/>
    </row>
    <row r="20">
      <c r="A20" s="3">
        <f>IFERROR(__xludf.DUMMYFUNCTION("""COMPUTED_VALUE"""),1918.0)</f>
        <v>1918</v>
      </c>
      <c r="B20" s="3">
        <f>IFERROR(__xludf.DUMMYFUNCTION("""COMPUTED_VALUE"""),3.867E7)</f>
        <v>38670000</v>
      </c>
      <c r="C20" s="3">
        <f>IFERROR(__xludf.DUMMYFUNCTION("""COMPUTED_VALUE"""),472816.0)</f>
        <v>472816</v>
      </c>
      <c r="D20" s="3">
        <f>IFERROR(__xludf.DUMMYFUNCTION("""COMPUTED_VALUE"""),867816.0)</f>
        <v>867816</v>
      </c>
      <c r="E20" s="3">
        <f>IFERROR(__xludf.DUMMYFUNCTION("""COMPUTED_VALUE"""),-395000.0)</f>
        <v>-395000</v>
      </c>
      <c r="F20" s="3">
        <f>IFERROR(__xludf.DUMMYFUNCTION("""COMPUTED_VALUE"""),12.2)</f>
        <v>12.2</v>
      </c>
      <c r="G20" s="3">
        <f>IFERROR(__xludf.DUMMYFUNCTION("""COMPUTED_VALUE"""),22.4)</f>
        <v>22.4</v>
      </c>
      <c r="H20" s="3">
        <f>IFERROR(__xludf.DUMMYFUNCTION("""COMPUTED_VALUE"""),-10.2)</f>
        <v>-10.2</v>
      </c>
      <c r="I20" s="3">
        <f>IFERROR(__xludf.DUMMYFUNCTION("""COMPUTED_VALUE"""),1.56)</f>
        <v>1.56</v>
      </c>
      <c r="J20" s="3"/>
      <c r="K20" s="3"/>
      <c r="L20" s="3"/>
    </row>
    <row r="21">
      <c r="A21" s="3">
        <f>IFERROR(__xludf.DUMMYFUNCTION("""COMPUTED_VALUE"""),1919.0)</f>
        <v>1919</v>
      </c>
      <c r="B21" s="3">
        <f>IFERROR(__xludf.DUMMYFUNCTION("""COMPUTED_VALUE"""),3.86E7)</f>
        <v>38600000</v>
      </c>
      <c r="C21" s="3">
        <f>IFERROR(__xludf.DUMMYFUNCTION("""COMPUTED_VALUE"""),506960.0)</f>
        <v>506960</v>
      </c>
      <c r="D21" s="3">
        <f>IFERROR(__xludf.DUMMYFUNCTION("""COMPUTED_VALUE"""),739901.0)</f>
        <v>739901</v>
      </c>
      <c r="E21" s="3">
        <f>IFERROR(__xludf.DUMMYFUNCTION("""COMPUTED_VALUE"""),-232941.0)</f>
        <v>-232941</v>
      </c>
      <c r="F21" s="3">
        <f>IFERROR(__xludf.DUMMYFUNCTION("""COMPUTED_VALUE"""),13.1)</f>
        <v>13.1</v>
      </c>
      <c r="G21" s="3">
        <f>IFERROR(__xludf.DUMMYFUNCTION("""COMPUTED_VALUE"""),19.2)</f>
        <v>19.2</v>
      </c>
      <c r="H21" s="3">
        <f>IFERROR(__xludf.DUMMYFUNCTION("""COMPUTED_VALUE"""),-6.0)</f>
        <v>-6</v>
      </c>
      <c r="I21" s="3">
        <f>IFERROR(__xludf.DUMMYFUNCTION("""COMPUTED_VALUE"""),1.59)</f>
        <v>1.59</v>
      </c>
      <c r="J21" s="3"/>
      <c r="K21" s="3"/>
      <c r="L21" s="3"/>
    </row>
    <row r="22">
      <c r="A22" s="3">
        <f>IFERROR(__xludf.DUMMYFUNCTION("""COMPUTED_VALUE"""),1920.0)</f>
        <v>1920</v>
      </c>
      <c r="B22" s="3">
        <f>IFERROR(__xludf.DUMMYFUNCTION("""COMPUTED_VALUE"""),3.89E7)</f>
        <v>38900000</v>
      </c>
      <c r="C22" s="3">
        <f>IFERROR(__xludf.DUMMYFUNCTION("""COMPUTED_VALUE"""),838137.0)</f>
        <v>838137</v>
      </c>
      <c r="D22" s="3">
        <f>IFERROR(__xludf.DUMMYFUNCTION("""COMPUTED_VALUE"""),675676.0)</f>
        <v>675676</v>
      </c>
      <c r="E22" s="3">
        <f>IFERROR(__xludf.DUMMYFUNCTION("""COMPUTED_VALUE"""),162461.0)</f>
        <v>162461</v>
      </c>
      <c r="F22" s="3">
        <f>IFERROR(__xludf.DUMMYFUNCTION("""COMPUTED_VALUE"""),21.5)</f>
        <v>21.5</v>
      </c>
      <c r="G22" s="3">
        <f>IFERROR(__xludf.DUMMYFUNCTION("""COMPUTED_VALUE"""),17.4)</f>
        <v>17.4</v>
      </c>
      <c r="H22" s="3">
        <f>IFERROR(__xludf.DUMMYFUNCTION("""COMPUTED_VALUE"""),4.2)</f>
        <v>4.2</v>
      </c>
      <c r="I22" s="3">
        <f>IFERROR(__xludf.DUMMYFUNCTION("""COMPUTED_VALUE"""),2.69)</f>
        <v>2.69</v>
      </c>
      <c r="J22" s="3"/>
      <c r="K22" s="3"/>
      <c r="L22" s="3"/>
    </row>
    <row r="23">
      <c r="A23" s="3">
        <f>IFERROR(__xludf.DUMMYFUNCTION("""COMPUTED_VALUE"""),1921.0)</f>
        <v>1921</v>
      </c>
      <c r="B23" s="3">
        <f>IFERROR(__xludf.DUMMYFUNCTION("""COMPUTED_VALUE"""),3.914E7)</f>
        <v>39140000</v>
      </c>
      <c r="C23" s="3">
        <f>IFERROR(__xludf.DUMMYFUNCTION("""COMPUTED_VALUE"""),816555.0)</f>
        <v>816555</v>
      </c>
      <c r="D23" s="3">
        <f>IFERROR(__xludf.DUMMYFUNCTION("""COMPUTED_VALUE"""),697904.0)</f>
        <v>697904</v>
      </c>
      <c r="E23" s="3">
        <f>IFERROR(__xludf.DUMMYFUNCTION("""COMPUTED_VALUE"""),118651.0)</f>
        <v>118651</v>
      </c>
      <c r="F23" s="3">
        <f>IFERROR(__xludf.DUMMYFUNCTION("""COMPUTED_VALUE"""),20.9)</f>
        <v>20.9</v>
      </c>
      <c r="G23" s="3">
        <f>IFERROR(__xludf.DUMMYFUNCTION("""COMPUTED_VALUE"""),17.8)</f>
        <v>17.8</v>
      </c>
      <c r="H23" s="3">
        <f>IFERROR(__xludf.DUMMYFUNCTION("""COMPUTED_VALUE"""),3.0)</f>
        <v>3</v>
      </c>
      <c r="I23" s="3">
        <f>IFERROR(__xludf.DUMMYFUNCTION("""COMPUTED_VALUE"""),2.6)</f>
        <v>2.6</v>
      </c>
      <c r="J23" s="3"/>
      <c r="K23" s="3"/>
      <c r="L23" s="3"/>
    </row>
    <row r="24">
      <c r="A24" s="3">
        <f>IFERROR(__xludf.DUMMYFUNCTION("""COMPUTED_VALUE"""),1922.0)</f>
        <v>1922</v>
      </c>
      <c r="B24" s="3">
        <f>IFERROR(__xludf.DUMMYFUNCTION("""COMPUTED_VALUE"""),3.931E7)</f>
        <v>39310000</v>
      </c>
      <c r="C24" s="3">
        <f>IFERROR(__xludf.DUMMYFUNCTION("""COMPUTED_VALUE"""),764373.0)</f>
        <v>764373</v>
      </c>
      <c r="D24" s="3">
        <f>IFERROR(__xludf.DUMMYFUNCTION("""COMPUTED_VALUE"""),692322.0)</f>
        <v>692322</v>
      </c>
      <c r="E24" s="3">
        <f>IFERROR(__xludf.DUMMYFUNCTION("""COMPUTED_VALUE"""),72051.0)</f>
        <v>72051</v>
      </c>
      <c r="F24" s="3">
        <f>IFERROR(__xludf.DUMMYFUNCTION("""COMPUTED_VALUE"""),19.4)</f>
        <v>19.4</v>
      </c>
      <c r="G24" s="3">
        <f>IFERROR(__xludf.DUMMYFUNCTION("""COMPUTED_VALUE"""),17.6)</f>
        <v>17.6</v>
      </c>
      <c r="H24" s="3">
        <f>IFERROR(__xludf.DUMMYFUNCTION("""COMPUTED_VALUE"""),1.8)</f>
        <v>1.8</v>
      </c>
      <c r="I24" s="3">
        <f>IFERROR(__xludf.DUMMYFUNCTION("""COMPUTED_VALUE"""),2.42)</f>
        <v>2.42</v>
      </c>
      <c r="J24" s="3"/>
      <c r="K24" s="3"/>
      <c r="L24" s="3"/>
    </row>
    <row r="25">
      <c r="A25" s="3">
        <f>IFERROR(__xludf.DUMMYFUNCTION("""COMPUTED_VALUE"""),1923.0)</f>
        <v>1923</v>
      </c>
      <c r="B25" s="3">
        <f>IFERROR(__xludf.DUMMYFUNCTION("""COMPUTED_VALUE"""),3.975E7)</f>
        <v>39750000</v>
      </c>
      <c r="C25" s="3">
        <f>IFERROR(__xludf.DUMMYFUNCTION("""COMPUTED_VALUE"""),765888.0)</f>
        <v>765888</v>
      </c>
      <c r="D25" s="3">
        <f>IFERROR(__xludf.DUMMYFUNCTION("""COMPUTED_VALUE"""),670326.0)</f>
        <v>670326</v>
      </c>
      <c r="E25" s="3">
        <f>IFERROR(__xludf.DUMMYFUNCTION("""COMPUTED_VALUE"""),95562.0)</f>
        <v>95562</v>
      </c>
      <c r="F25" s="3">
        <f>IFERROR(__xludf.DUMMYFUNCTION("""COMPUTED_VALUE"""),19.3)</f>
        <v>19.3</v>
      </c>
      <c r="G25" s="3">
        <f>IFERROR(__xludf.DUMMYFUNCTION("""COMPUTED_VALUE"""),16.9)</f>
        <v>16.9</v>
      </c>
      <c r="H25" s="3">
        <f>IFERROR(__xludf.DUMMYFUNCTION("""COMPUTED_VALUE"""),2.4)</f>
        <v>2.4</v>
      </c>
      <c r="I25" s="3">
        <f>IFERROR(__xludf.DUMMYFUNCTION("""COMPUTED_VALUE"""),2.41)</f>
        <v>2.41</v>
      </c>
      <c r="J25" s="3"/>
      <c r="K25" s="3"/>
      <c r="L25" s="3"/>
    </row>
    <row r="26">
      <c r="A26" s="3">
        <f>IFERROR(__xludf.DUMMYFUNCTION("""COMPUTED_VALUE"""),1924.0)</f>
        <v>1924</v>
      </c>
      <c r="B26" s="3">
        <f>IFERROR(__xludf.DUMMYFUNCTION("""COMPUTED_VALUE"""),4.017E7)</f>
        <v>40170000</v>
      </c>
      <c r="C26" s="3">
        <f>IFERROR(__xludf.DUMMYFUNCTION("""COMPUTED_VALUE"""),757873.0)</f>
        <v>757873</v>
      </c>
      <c r="D26" s="3">
        <f>IFERROR(__xludf.DUMMYFUNCTION("""COMPUTED_VALUE"""),683296.0)</f>
        <v>683296</v>
      </c>
      <c r="E26" s="3">
        <f>IFERROR(__xludf.DUMMYFUNCTION("""COMPUTED_VALUE"""),74577.0)</f>
        <v>74577</v>
      </c>
      <c r="F26" s="3">
        <f>IFERROR(__xludf.DUMMYFUNCTION("""COMPUTED_VALUE"""),18.9)</f>
        <v>18.9</v>
      </c>
      <c r="G26" s="3">
        <f>IFERROR(__xludf.DUMMYFUNCTION("""COMPUTED_VALUE"""),17.0)</f>
        <v>17</v>
      </c>
      <c r="H26" s="3">
        <f>IFERROR(__xludf.DUMMYFUNCTION("""COMPUTED_VALUE"""),1.9)</f>
        <v>1.9</v>
      </c>
      <c r="I26" s="3">
        <f>IFERROR(__xludf.DUMMYFUNCTION("""COMPUTED_VALUE"""),2.36)</f>
        <v>2.36</v>
      </c>
      <c r="J26" s="3"/>
      <c r="K26" s="3"/>
      <c r="L26" s="3"/>
    </row>
    <row r="27">
      <c r="A27" s="3">
        <f>IFERROR(__xludf.DUMMYFUNCTION("""COMPUTED_VALUE"""),1925.0)</f>
        <v>1925</v>
      </c>
      <c r="B27" s="3">
        <f>IFERROR(__xludf.DUMMYFUNCTION("""COMPUTED_VALUE"""),4.046E7)</f>
        <v>40460000</v>
      </c>
      <c r="C27" s="3">
        <f>IFERROR(__xludf.DUMMYFUNCTION("""COMPUTED_VALUE"""),774455.0)</f>
        <v>774455</v>
      </c>
      <c r="D27" s="3">
        <f>IFERROR(__xludf.DUMMYFUNCTION("""COMPUTED_VALUE"""),712211.0)</f>
        <v>712211</v>
      </c>
      <c r="E27" s="3">
        <f>IFERROR(__xludf.DUMMYFUNCTION("""COMPUTED_VALUE"""),62244.0)</f>
        <v>62244</v>
      </c>
      <c r="F27" s="3">
        <f>IFERROR(__xludf.DUMMYFUNCTION("""COMPUTED_VALUE"""),19.1)</f>
        <v>19.1</v>
      </c>
      <c r="G27" s="3">
        <f>IFERROR(__xludf.DUMMYFUNCTION("""COMPUTED_VALUE"""),17.6)</f>
        <v>17.6</v>
      </c>
      <c r="H27" s="3">
        <f>IFERROR(__xludf.DUMMYFUNCTION("""COMPUTED_VALUE"""),1.5)</f>
        <v>1.5</v>
      </c>
      <c r="I27" s="3">
        <f>IFERROR(__xludf.DUMMYFUNCTION("""COMPUTED_VALUE"""),2.39)</f>
        <v>2.39</v>
      </c>
      <c r="J27" s="3"/>
      <c r="K27" s="3"/>
      <c r="L27" s="3"/>
    </row>
    <row r="28">
      <c r="A28" s="3">
        <f>IFERROR(__xludf.DUMMYFUNCTION("""COMPUTED_VALUE"""),1926.0)</f>
        <v>1926</v>
      </c>
      <c r="B28" s="3">
        <f>IFERROR(__xludf.DUMMYFUNCTION("""COMPUTED_VALUE"""),4.071E7)</f>
        <v>40710000</v>
      </c>
      <c r="C28" s="3">
        <f>IFERROR(__xludf.DUMMYFUNCTION("""COMPUTED_VALUE"""),771690.0)</f>
        <v>771690</v>
      </c>
      <c r="D28" s="3">
        <f>IFERROR(__xludf.DUMMYFUNCTION("""COMPUTED_VALUE"""),716966.0)</f>
        <v>716966</v>
      </c>
      <c r="E28" s="3">
        <f>IFERROR(__xludf.DUMMYFUNCTION("""COMPUTED_VALUE"""),54724.0)</f>
        <v>54724</v>
      </c>
      <c r="F28" s="3">
        <f>IFERROR(__xludf.DUMMYFUNCTION("""COMPUTED_VALUE"""),19.0)</f>
        <v>19</v>
      </c>
      <c r="G28" s="3">
        <f>IFERROR(__xludf.DUMMYFUNCTION("""COMPUTED_VALUE"""),17.6)</f>
        <v>17.6</v>
      </c>
      <c r="H28" s="3">
        <f>IFERROR(__xludf.DUMMYFUNCTION("""COMPUTED_VALUE"""),1.3)</f>
        <v>1.3</v>
      </c>
      <c r="I28" s="3">
        <f>IFERROR(__xludf.DUMMYFUNCTION("""COMPUTED_VALUE"""),2.37)</f>
        <v>2.37</v>
      </c>
      <c r="J28" s="3"/>
      <c r="K28" s="3"/>
      <c r="L28" s="3"/>
    </row>
    <row r="29">
      <c r="A29" s="3">
        <f>IFERROR(__xludf.DUMMYFUNCTION("""COMPUTED_VALUE"""),1927.0)</f>
        <v>1927</v>
      </c>
      <c r="B29" s="3">
        <f>IFERROR(__xludf.DUMMYFUNCTION("""COMPUTED_VALUE"""),4.077E7)</f>
        <v>40770000</v>
      </c>
      <c r="C29" s="3">
        <f>IFERROR(__xludf.DUMMYFUNCTION("""COMPUTED_VALUE"""),748102.0)</f>
        <v>748102</v>
      </c>
      <c r="D29" s="3">
        <f>IFERROR(__xludf.DUMMYFUNCTION("""COMPUTED_VALUE"""),679809.0)</f>
        <v>679809</v>
      </c>
      <c r="E29" s="3">
        <f>IFERROR(__xludf.DUMMYFUNCTION("""COMPUTED_VALUE"""),68293.0)</f>
        <v>68293</v>
      </c>
      <c r="F29" s="3">
        <f>IFERROR(__xludf.DUMMYFUNCTION("""COMPUTED_VALUE"""),18.3)</f>
        <v>18.3</v>
      </c>
      <c r="G29" s="3">
        <f>IFERROR(__xludf.DUMMYFUNCTION("""COMPUTED_VALUE"""),16.7)</f>
        <v>16.7</v>
      </c>
      <c r="H29" s="3">
        <f>IFERROR(__xludf.DUMMYFUNCTION("""COMPUTED_VALUE"""),1.7)</f>
        <v>1.7</v>
      </c>
      <c r="I29" s="3">
        <f>IFERROR(__xludf.DUMMYFUNCTION("""COMPUTED_VALUE"""),2.29)</f>
        <v>2.29</v>
      </c>
      <c r="J29" s="3"/>
      <c r="K29" s="3"/>
      <c r="L29" s="3"/>
    </row>
    <row r="30">
      <c r="A30" s="3">
        <f>IFERROR(__xludf.DUMMYFUNCTION("""COMPUTED_VALUE"""),1928.0)</f>
        <v>1928</v>
      </c>
      <c r="B30" s="3">
        <f>IFERROR(__xludf.DUMMYFUNCTION("""COMPUTED_VALUE"""),4.088E7)</f>
        <v>40880000</v>
      </c>
      <c r="C30" s="3">
        <f>IFERROR(__xludf.DUMMYFUNCTION("""COMPUTED_VALUE"""),753570.0)</f>
        <v>753570</v>
      </c>
      <c r="D30" s="3">
        <f>IFERROR(__xludf.DUMMYFUNCTION("""COMPUTED_VALUE"""),678269.0)</f>
        <v>678269</v>
      </c>
      <c r="E30" s="3">
        <f>IFERROR(__xludf.DUMMYFUNCTION("""COMPUTED_VALUE"""),75301.0)</f>
        <v>75301</v>
      </c>
      <c r="F30" s="3">
        <f>IFERROR(__xludf.DUMMYFUNCTION("""COMPUTED_VALUE"""),18.4)</f>
        <v>18.4</v>
      </c>
      <c r="G30" s="3">
        <f>IFERROR(__xludf.DUMMYFUNCTION("""COMPUTED_VALUE"""),16.6)</f>
        <v>16.6</v>
      </c>
      <c r="H30" s="3">
        <f>IFERROR(__xludf.DUMMYFUNCTION("""COMPUTED_VALUE"""),1.8)</f>
        <v>1.8</v>
      </c>
      <c r="I30" s="3">
        <f>IFERROR(__xludf.DUMMYFUNCTION("""COMPUTED_VALUE"""),2.31)</f>
        <v>2.31</v>
      </c>
      <c r="J30" s="3"/>
      <c r="K30" s="3"/>
      <c r="L30" s="3"/>
    </row>
    <row r="31">
      <c r="A31" s="3">
        <f>IFERROR(__xludf.DUMMYFUNCTION("""COMPUTED_VALUE"""),1929.0)</f>
        <v>1929</v>
      </c>
      <c r="B31" s="3">
        <f>IFERROR(__xludf.DUMMYFUNCTION("""COMPUTED_VALUE"""),4.102E7)</f>
        <v>41020000</v>
      </c>
      <c r="C31" s="3">
        <f>IFERROR(__xludf.DUMMYFUNCTION("""COMPUTED_VALUE"""),734140.0)</f>
        <v>734140</v>
      </c>
      <c r="D31" s="3">
        <f>IFERROR(__xludf.DUMMYFUNCTION("""COMPUTED_VALUE"""),742732.0)</f>
        <v>742732</v>
      </c>
      <c r="E31" s="3">
        <f>IFERROR(__xludf.DUMMYFUNCTION("""COMPUTED_VALUE"""),-8592.0)</f>
        <v>-8592</v>
      </c>
      <c r="F31" s="3">
        <f>IFERROR(__xludf.DUMMYFUNCTION("""COMPUTED_VALUE"""),17.9)</f>
        <v>17.9</v>
      </c>
      <c r="G31" s="3">
        <f>IFERROR(__xludf.DUMMYFUNCTION("""COMPUTED_VALUE"""),18.1)</f>
        <v>18.1</v>
      </c>
      <c r="H31" s="3">
        <f>IFERROR(__xludf.DUMMYFUNCTION("""COMPUTED_VALUE"""),-0.2)</f>
        <v>-0.2</v>
      </c>
      <c r="I31" s="3">
        <f>IFERROR(__xludf.DUMMYFUNCTION("""COMPUTED_VALUE"""),2.24)</f>
        <v>2.24</v>
      </c>
      <c r="J31" s="3"/>
      <c r="K31" s="3"/>
      <c r="L31" s="3"/>
    </row>
    <row r="32">
      <c r="A32" s="3">
        <f>IFERROR(__xludf.DUMMYFUNCTION("""COMPUTED_VALUE"""),1930.0)</f>
        <v>1930</v>
      </c>
      <c r="B32" s="3">
        <f>IFERROR(__xludf.DUMMYFUNCTION("""COMPUTED_VALUE"""),4.134E7)</f>
        <v>41340000</v>
      </c>
      <c r="C32" s="3">
        <f>IFERROR(__xludf.DUMMYFUNCTION("""COMPUTED_VALUE"""),754020.0)</f>
        <v>754020</v>
      </c>
      <c r="D32" s="3">
        <f>IFERROR(__xludf.DUMMYFUNCTION("""COMPUTED_VALUE"""),652953.0)</f>
        <v>652953</v>
      </c>
      <c r="E32" s="3">
        <f>IFERROR(__xludf.DUMMYFUNCTION("""COMPUTED_VALUE"""),101067.0)</f>
        <v>101067</v>
      </c>
      <c r="F32" s="3">
        <f>IFERROR(__xludf.DUMMYFUNCTION("""COMPUTED_VALUE"""),18.2)</f>
        <v>18.2</v>
      </c>
      <c r="G32" s="3">
        <f>IFERROR(__xludf.DUMMYFUNCTION("""COMPUTED_VALUE"""),15.8)</f>
        <v>15.8</v>
      </c>
      <c r="H32" s="3">
        <f>IFERROR(__xludf.DUMMYFUNCTION("""COMPUTED_VALUE"""),2.4)</f>
        <v>2.4</v>
      </c>
      <c r="I32" s="3">
        <f>IFERROR(__xludf.DUMMYFUNCTION("""COMPUTED_VALUE"""),2.3)</f>
        <v>2.3</v>
      </c>
      <c r="J32" s="3"/>
      <c r="K32" s="3"/>
      <c r="L32" s="3"/>
    </row>
    <row r="33">
      <c r="A33" s="3">
        <f>IFERROR(__xludf.DUMMYFUNCTION("""COMPUTED_VALUE"""),1931.0)</f>
        <v>1931</v>
      </c>
      <c r="B33" s="3">
        <f>IFERROR(__xludf.DUMMYFUNCTION("""COMPUTED_VALUE"""),4.155E7)</f>
        <v>41550000</v>
      </c>
      <c r="C33" s="3">
        <f>IFERROR(__xludf.DUMMYFUNCTION("""COMPUTED_VALUE"""),737611.0)</f>
        <v>737611</v>
      </c>
      <c r="D33" s="3">
        <f>IFERROR(__xludf.DUMMYFUNCTION("""COMPUTED_VALUE"""),682816.0)</f>
        <v>682816</v>
      </c>
      <c r="E33" s="3">
        <f>IFERROR(__xludf.DUMMYFUNCTION("""COMPUTED_VALUE"""),54795.0)</f>
        <v>54795</v>
      </c>
      <c r="F33" s="3">
        <f>IFERROR(__xludf.DUMMYFUNCTION("""COMPUTED_VALUE"""),17.8)</f>
        <v>17.8</v>
      </c>
      <c r="G33" s="3">
        <f>IFERROR(__xludf.DUMMYFUNCTION("""COMPUTED_VALUE"""),16.4)</f>
        <v>16.4</v>
      </c>
      <c r="H33" s="3">
        <f>IFERROR(__xludf.DUMMYFUNCTION("""COMPUTED_VALUE"""),1.3)</f>
        <v>1.3</v>
      </c>
      <c r="I33" s="3">
        <f>IFERROR(__xludf.DUMMYFUNCTION("""COMPUTED_VALUE"""),2.25)</f>
        <v>2.25</v>
      </c>
      <c r="J33" s="3"/>
      <c r="K33" s="3"/>
      <c r="L33" s="3"/>
    </row>
    <row r="34">
      <c r="A34" s="3">
        <f>IFERROR(__xludf.DUMMYFUNCTION("""COMPUTED_VALUE"""),1932.0)</f>
        <v>1932</v>
      </c>
      <c r="B34" s="3">
        <f>IFERROR(__xludf.DUMMYFUNCTION("""COMPUTED_VALUE"""),4.151E7)</f>
        <v>41510000</v>
      </c>
      <c r="C34" s="3">
        <f>IFERROR(__xludf.DUMMYFUNCTION("""COMPUTED_VALUE"""),726299.0)</f>
        <v>726299</v>
      </c>
      <c r="D34" s="3">
        <f>IFERROR(__xludf.DUMMYFUNCTION("""COMPUTED_VALUE"""),663705.0)</f>
        <v>663705</v>
      </c>
      <c r="E34" s="3">
        <f>IFERROR(__xludf.DUMMYFUNCTION("""COMPUTED_VALUE"""),62594.0)</f>
        <v>62594</v>
      </c>
      <c r="F34" s="3">
        <f>IFERROR(__xludf.DUMMYFUNCTION("""COMPUTED_VALUE"""),17.5)</f>
        <v>17.5</v>
      </c>
      <c r="G34" s="3">
        <f>IFERROR(__xludf.DUMMYFUNCTION("""COMPUTED_VALUE"""),16.0)</f>
        <v>16</v>
      </c>
      <c r="H34" s="3">
        <f>IFERROR(__xludf.DUMMYFUNCTION("""COMPUTED_VALUE"""),1.5)</f>
        <v>1.5</v>
      </c>
      <c r="I34" s="3">
        <f>IFERROR(__xludf.DUMMYFUNCTION("""COMPUTED_VALUE"""),2.23)</f>
        <v>2.23</v>
      </c>
      <c r="J34" s="3"/>
      <c r="K34" s="3"/>
      <c r="L34" s="3"/>
    </row>
    <row r="35">
      <c r="A35" s="3">
        <f>IFERROR(__xludf.DUMMYFUNCTION("""COMPUTED_VALUE"""),1933.0)</f>
        <v>1933</v>
      </c>
      <c r="B35" s="3">
        <f>IFERROR(__xludf.DUMMYFUNCTION("""COMPUTED_VALUE"""),4.152E7)</f>
        <v>41520000</v>
      </c>
      <c r="C35" s="3">
        <f>IFERROR(__xludf.DUMMYFUNCTION("""COMPUTED_VALUE"""),682394.0)</f>
        <v>682394</v>
      </c>
      <c r="D35" s="3">
        <f>IFERROR(__xludf.DUMMYFUNCTION("""COMPUTED_VALUE"""),664133.0)</f>
        <v>664133</v>
      </c>
      <c r="E35" s="3">
        <f>IFERROR(__xludf.DUMMYFUNCTION("""COMPUTED_VALUE"""),18261.0)</f>
        <v>18261</v>
      </c>
      <c r="F35" s="3">
        <f>IFERROR(__xludf.DUMMYFUNCTION("""COMPUTED_VALUE"""),16.4)</f>
        <v>16.4</v>
      </c>
      <c r="G35" s="3">
        <f>IFERROR(__xludf.DUMMYFUNCTION("""COMPUTED_VALUE"""),16.0)</f>
        <v>16</v>
      </c>
      <c r="H35" s="3">
        <f>IFERROR(__xludf.DUMMYFUNCTION("""COMPUTED_VALUE"""),0.4)</f>
        <v>0.4</v>
      </c>
      <c r="I35" s="3">
        <f>IFERROR(__xludf.DUMMYFUNCTION("""COMPUTED_VALUE"""),2.11)</f>
        <v>2.11</v>
      </c>
      <c r="J35" s="3"/>
      <c r="K35" s="3"/>
      <c r="L35" s="3"/>
    </row>
    <row r="36">
      <c r="A36" s="3">
        <f>IFERROR(__xludf.DUMMYFUNCTION("""COMPUTED_VALUE"""),1934.0)</f>
        <v>1934</v>
      </c>
      <c r="B36" s="3">
        <f>IFERROR(__xludf.DUMMYFUNCTION("""COMPUTED_VALUE"""),4.157E7)</f>
        <v>41570000</v>
      </c>
      <c r="C36" s="3">
        <f>IFERROR(__xludf.DUMMYFUNCTION("""COMPUTED_VALUE"""),681518.0)</f>
        <v>681518</v>
      </c>
      <c r="D36" s="3">
        <f>IFERROR(__xludf.DUMMYFUNCTION("""COMPUTED_VALUE"""),637713.0)</f>
        <v>637713</v>
      </c>
      <c r="E36" s="3">
        <f>IFERROR(__xludf.DUMMYFUNCTION("""COMPUTED_VALUE"""),43805.0)</f>
        <v>43805</v>
      </c>
      <c r="F36" s="3">
        <f>IFERROR(__xludf.DUMMYFUNCTION("""COMPUTED_VALUE"""),16.4)</f>
        <v>16.4</v>
      </c>
      <c r="G36" s="3">
        <f>IFERROR(__xludf.DUMMYFUNCTION("""COMPUTED_VALUE"""),15.3)</f>
        <v>15.3</v>
      </c>
      <c r="H36" s="3">
        <f>IFERROR(__xludf.DUMMYFUNCTION("""COMPUTED_VALUE"""),1.1)</f>
        <v>1.1</v>
      </c>
      <c r="I36" s="3">
        <f>IFERROR(__xludf.DUMMYFUNCTION("""COMPUTED_VALUE"""),2.14)</f>
        <v>2.14</v>
      </c>
      <c r="J36" s="3"/>
      <c r="K36" s="3"/>
      <c r="L36" s="3"/>
    </row>
    <row r="37">
      <c r="A37" s="3">
        <f>IFERROR(__xludf.DUMMYFUNCTION("""COMPUTED_VALUE"""),1935.0)</f>
        <v>1935</v>
      </c>
      <c r="B37" s="3">
        <f>IFERROR(__xludf.DUMMYFUNCTION("""COMPUTED_VALUE"""),4.155E7)</f>
        <v>41550000</v>
      </c>
      <c r="C37" s="3">
        <f>IFERROR(__xludf.DUMMYFUNCTION("""COMPUTED_VALUE"""),643870.0)</f>
        <v>643870</v>
      </c>
      <c r="D37" s="3">
        <f>IFERROR(__xludf.DUMMYFUNCTION("""COMPUTED_VALUE"""),661722.0)</f>
        <v>661722</v>
      </c>
      <c r="E37" s="3">
        <f>IFERROR(__xludf.DUMMYFUNCTION("""COMPUTED_VALUE"""),-17852.0)</f>
        <v>-17852</v>
      </c>
      <c r="F37" s="3">
        <f>IFERROR(__xludf.DUMMYFUNCTION("""COMPUTED_VALUE"""),15.5)</f>
        <v>15.5</v>
      </c>
      <c r="G37" s="3">
        <f>IFERROR(__xludf.DUMMYFUNCTION("""COMPUTED_VALUE"""),15.9)</f>
        <v>15.9</v>
      </c>
      <c r="H37" s="3">
        <f>IFERROR(__xludf.DUMMYFUNCTION("""COMPUTED_VALUE"""),-0.4)</f>
        <v>-0.4</v>
      </c>
      <c r="I37" s="3">
        <f>IFERROR(__xludf.DUMMYFUNCTION("""COMPUTED_VALUE"""),2.07)</f>
        <v>2.07</v>
      </c>
      <c r="J37" s="3"/>
      <c r="K37" s="3"/>
      <c r="L37" s="3"/>
    </row>
    <row r="38">
      <c r="A38" s="3">
        <f>IFERROR(__xludf.DUMMYFUNCTION("""COMPUTED_VALUE"""),1936.0)</f>
        <v>1936</v>
      </c>
      <c r="B38" s="3">
        <f>IFERROR(__xludf.DUMMYFUNCTION("""COMPUTED_VALUE"""),4.15E7)</f>
        <v>41500000</v>
      </c>
      <c r="C38" s="3">
        <f>IFERROR(__xludf.DUMMYFUNCTION("""COMPUTED_VALUE"""),634344.0)</f>
        <v>634344</v>
      </c>
      <c r="D38" s="3">
        <f>IFERROR(__xludf.DUMMYFUNCTION("""COMPUTED_VALUE"""),645844.0)</f>
        <v>645844</v>
      </c>
      <c r="E38" s="3">
        <f>IFERROR(__xludf.DUMMYFUNCTION("""COMPUTED_VALUE"""),-11500.0)</f>
        <v>-11500</v>
      </c>
      <c r="F38" s="3">
        <f>IFERROR(__xludf.DUMMYFUNCTION("""COMPUTED_VALUE"""),15.3)</f>
        <v>15.3</v>
      </c>
      <c r="G38" s="3">
        <f>IFERROR(__xludf.DUMMYFUNCTION("""COMPUTED_VALUE"""),15.6)</f>
        <v>15.6</v>
      </c>
      <c r="H38" s="3">
        <f>IFERROR(__xludf.DUMMYFUNCTION("""COMPUTED_VALUE"""),-0.3)</f>
        <v>-0.3</v>
      </c>
      <c r="I38" s="3">
        <f>IFERROR(__xludf.DUMMYFUNCTION("""COMPUTED_VALUE"""),2.09)</f>
        <v>2.09</v>
      </c>
      <c r="J38" s="3"/>
      <c r="K38" s="3"/>
      <c r="L38" s="3"/>
    </row>
    <row r="39">
      <c r="A39" s="3">
        <f>IFERROR(__xludf.DUMMYFUNCTION("""COMPUTED_VALUE"""),1937.0)</f>
        <v>1937</v>
      </c>
      <c r="B39" s="3">
        <f>IFERROR(__xludf.DUMMYFUNCTION("""COMPUTED_VALUE"""),4.153E7)</f>
        <v>41530000</v>
      </c>
      <c r="C39" s="3">
        <f>IFERROR(__xludf.DUMMYFUNCTION("""COMPUTED_VALUE"""),621453.0)</f>
        <v>621453</v>
      </c>
      <c r="D39" s="3">
        <f>IFERROR(__xludf.DUMMYFUNCTION("""COMPUTED_VALUE"""),632896.0)</f>
        <v>632896</v>
      </c>
      <c r="E39" s="3">
        <f>IFERROR(__xludf.DUMMYFUNCTION("""COMPUTED_VALUE"""),-11443.0)</f>
        <v>-11443</v>
      </c>
      <c r="F39" s="3">
        <f>IFERROR(__xludf.DUMMYFUNCTION("""COMPUTED_VALUE"""),15.0)</f>
        <v>15</v>
      </c>
      <c r="G39" s="3">
        <f>IFERROR(__xludf.DUMMYFUNCTION("""COMPUTED_VALUE"""),15.2)</f>
        <v>15.2</v>
      </c>
      <c r="H39" s="3">
        <f>IFERROR(__xludf.DUMMYFUNCTION("""COMPUTED_VALUE"""),-0.3)</f>
        <v>-0.3</v>
      </c>
      <c r="I39" s="3">
        <f>IFERROR(__xludf.DUMMYFUNCTION("""COMPUTED_VALUE"""),2.1)</f>
        <v>2.1</v>
      </c>
      <c r="J39" s="3"/>
      <c r="K39" s="3"/>
      <c r="L39" s="3"/>
    </row>
    <row r="40">
      <c r="A40" s="3">
        <f>IFERROR(__xludf.DUMMYFUNCTION("""COMPUTED_VALUE"""),1938.0)</f>
        <v>1938</v>
      </c>
      <c r="B40" s="3">
        <f>IFERROR(__xludf.DUMMYFUNCTION("""COMPUTED_VALUE"""),4.156E7)</f>
        <v>41560000</v>
      </c>
      <c r="C40" s="3">
        <f>IFERROR(__xludf.DUMMYFUNCTION("""COMPUTED_VALUE"""),615582.0)</f>
        <v>615582</v>
      </c>
      <c r="D40" s="3">
        <f>IFERROR(__xludf.DUMMYFUNCTION("""COMPUTED_VALUE"""),650832.0)</f>
        <v>650832</v>
      </c>
      <c r="E40" s="3">
        <f>IFERROR(__xludf.DUMMYFUNCTION("""COMPUTED_VALUE"""),-35250.0)</f>
        <v>-35250</v>
      </c>
      <c r="F40" s="3">
        <f>IFERROR(__xludf.DUMMYFUNCTION("""COMPUTED_VALUE"""),14.8)</f>
        <v>14.8</v>
      </c>
      <c r="G40" s="3">
        <f>IFERROR(__xludf.DUMMYFUNCTION("""COMPUTED_VALUE"""),15.7)</f>
        <v>15.7</v>
      </c>
      <c r="H40" s="3">
        <f>IFERROR(__xludf.DUMMYFUNCTION("""COMPUTED_VALUE"""),-0.8)</f>
        <v>-0.8</v>
      </c>
      <c r="I40" s="3">
        <f>IFERROR(__xludf.DUMMYFUNCTION("""COMPUTED_VALUE"""),2.13)</f>
        <v>2.13</v>
      </c>
      <c r="J40" s="3"/>
      <c r="K40" s="3"/>
      <c r="L40" s="3"/>
    </row>
    <row r="41">
      <c r="A41" s="3">
        <f>IFERROR(__xludf.DUMMYFUNCTION("""COMPUTED_VALUE"""),1939.0)</f>
        <v>1939</v>
      </c>
      <c r="B41" s="3">
        <f>IFERROR(__xludf.DUMMYFUNCTION("""COMPUTED_VALUE"""),4.151E7)</f>
        <v>41510000</v>
      </c>
      <c r="C41" s="3">
        <f>IFERROR(__xludf.DUMMYFUNCTION("""COMPUTED_VALUE"""),615599.0)</f>
        <v>615599</v>
      </c>
      <c r="D41" s="3">
        <f>IFERROR(__xludf.DUMMYFUNCTION("""COMPUTED_VALUE"""),645677.0)</f>
        <v>645677</v>
      </c>
      <c r="E41" s="3">
        <f>IFERROR(__xludf.DUMMYFUNCTION("""COMPUTED_VALUE"""),-30078.0)</f>
        <v>-30078</v>
      </c>
      <c r="F41" s="3">
        <f>IFERROR(__xludf.DUMMYFUNCTION("""COMPUTED_VALUE"""),14.8)</f>
        <v>14.8</v>
      </c>
      <c r="G41" s="3">
        <f>IFERROR(__xludf.DUMMYFUNCTION("""COMPUTED_VALUE"""),15.6)</f>
        <v>15.6</v>
      </c>
      <c r="H41" s="3">
        <f>IFERROR(__xludf.DUMMYFUNCTION("""COMPUTED_VALUE"""),-0.7)</f>
        <v>-0.7</v>
      </c>
      <c r="I41" s="3">
        <f>IFERROR(__xludf.DUMMYFUNCTION("""COMPUTED_VALUE"""),2.17)</f>
        <v>2.17</v>
      </c>
      <c r="J41" s="3"/>
      <c r="K41" s="3"/>
      <c r="L41" s="3"/>
    </row>
    <row r="42">
      <c r="A42" s="3">
        <f>IFERROR(__xludf.DUMMYFUNCTION("""COMPUTED_VALUE"""),1940.0)</f>
        <v>1940</v>
      </c>
      <c r="B42" s="3">
        <f>IFERROR(__xludf.DUMMYFUNCTION("""COMPUTED_VALUE"""),4.069E7)</f>
        <v>40690000</v>
      </c>
      <c r="C42" s="3">
        <f>IFERROR(__xludf.DUMMYFUNCTION("""COMPUTED_VALUE"""),561281.0)</f>
        <v>561281</v>
      </c>
      <c r="D42" s="3">
        <f>IFERROR(__xludf.DUMMYFUNCTION("""COMPUTED_VALUE"""),740281.0)</f>
        <v>740281</v>
      </c>
      <c r="E42" s="3">
        <f>IFERROR(__xludf.DUMMYFUNCTION("""COMPUTED_VALUE"""),-179000.0)</f>
        <v>-179000</v>
      </c>
      <c r="F42" s="3">
        <f>IFERROR(__xludf.DUMMYFUNCTION("""COMPUTED_VALUE"""),13.8)</f>
        <v>13.8</v>
      </c>
      <c r="G42" s="3">
        <f>IFERROR(__xludf.DUMMYFUNCTION("""COMPUTED_VALUE"""),18.2)</f>
        <v>18.2</v>
      </c>
      <c r="H42" s="3">
        <f>IFERROR(__xludf.DUMMYFUNCTION("""COMPUTED_VALUE"""),-4.4)</f>
        <v>-4.4</v>
      </c>
      <c r="I42" s="3">
        <f>IFERROR(__xludf.DUMMYFUNCTION("""COMPUTED_VALUE"""),2.0)</f>
        <v>2</v>
      </c>
      <c r="J42" s="3"/>
      <c r="K42" s="3"/>
      <c r="L42" s="3"/>
    </row>
    <row r="43">
      <c r="A43" s="3">
        <f>IFERROR(__xludf.DUMMYFUNCTION("""COMPUTED_VALUE"""),1941.0)</f>
        <v>1941</v>
      </c>
      <c r="B43" s="3">
        <f>IFERROR(__xludf.DUMMYFUNCTION("""COMPUTED_VALUE"""),3.942E7)</f>
        <v>39420000</v>
      </c>
      <c r="C43" s="3">
        <f>IFERROR(__xludf.DUMMYFUNCTION("""COMPUTED_VALUE"""),522261.0)</f>
        <v>522261</v>
      </c>
      <c r="D43" s="3">
        <f>IFERROR(__xludf.DUMMYFUNCTION("""COMPUTED_VALUE"""),675261.0)</f>
        <v>675261</v>
      </c>
      <c r="E43" s="3">
        <f>IFERROR(__xludf.DUMMYFUNCTION("""COMPUTED_VALUE"""),-153000.0)</f>
        <v>-153000</v>
      </c>
      <c r="F43" s="3">
        <f>IFERROR(__xludf.DUMMYFUNCTION("""COMPUTED_VALUE"""),13.2)</f>
        <v>13.2</v>
      </c>
      <c r="G43" s="3">
        <f>IFERROR(__xludf.DUMMYFUNCTION("""COMPUTED_VALUE"""),17.1)</f>
        <v>17.1</v>
      </c>
      <c r="H43" s="3">
        <f>IFERROR(__xludf.DUMMYFUNCTION("""COMPUTED_VALUE"""),-3.9)</f>
        <v>-3.9</v>
      </c>
      <c r="I43" s="3">
        <f>IFERROR(__xludf.DUMMYFUNCTION("""COMPUTED_VALUE"""),1.85)</f>
        <v>1.85</v>
      </c>
      <c r="J43" s="3"/>
      <c r="K43" s="3"/>
      <c r="L43" s="3"/>
    </row>
    <row r="44">
      <c r="A44" s="3">
        <f>IFERROR(__xludf.DUMMYFUNCTION("""COMPUTED_VALUE"""),1942.0)</f>
        <v>1942</v>
      </c>
      <c r="B44" s="3">
        <f>IFERROR(__xludf.DUMMYFUNCTION("""COMPUTED_VALUE"""),3.922E7)</f>
        <v>39220000</v>
      </c>
      <c r="C44" s="3">
        <f>IFERROR(__xludf.DUMMYFUNCTION("""COMPUTED_VALUE"""),575261.0)</f>
        <v>575261</v>
      </c>
      <c r="D44" s="3">
        <f>IFERROR(__xludf.DUMMYFUNCTION("""COMPUTED_VALUE"""),656261.0)</f>
        <v>656261</v>
      </c>
      <c r="E44" s="3">
        <f>IFERROR(__xludf.DUMMYFUNCTION("""COMPUTED_VALUE"""),-81000.0)</f>
        <v>-81000</v>
      </c>
      <c r="F44" s="3">
        <f>IFERROR(__xludf.DUMMYFUNCTION("""COMPUTED_VALUE"""),14.7)</f>
        <v>14.7</v>
      </c>
      <c r="G44" s="3">
        <f>IFERROR(__xludf.DUMMYFUNCTION("""COMPUTED_VALUE"""),16.7)</f>
        <v>16.7</v>
      </c>
      <c r="H44" s="3">
        <f>IFERROR(__xludf.DUMMYFUNCTION("""COMPUTED_VALUE"""),-2.1)</f>
        <v>-2.1</v>
      </c>
      <c r="I44" s="3">
        <f>IFERROR(__xludf.DUMMYFUNCTION("""COMPUTED_VALUE"""),2.04)</f>
        <v>2.04</v>
      </c>
      <c r="J44" s="3"/>
      <c r="K44" s="3"/>
      <c r="L44" s="3"/>
    </row>
    <row r="45">
      <c r="A45" s="3">
        <f>IFERROR(__xludf.DUMMYFUNCTION("""COMPUTED_VALUE"""),1943.0)</f>
        <v>1943</v>
      </c>
      <c r="B45" s="3">
        <f>IFERROR(__xludf.DUMMYFUNCTION("""COMPUTED_VALUE"""),3.886E7)</f>
        <v>38860000</v>
      </c>
      <c r="C45" s="3">
        <f>IFERROR(__xludf.DUMMYFUNCTION("""COMPUTED_VALUE"""),615780.0)</f>
        <v>615780</v>
      </c>
      <c r="D45" s="3">
        <f>IFERROR(__xludf.DUMMYFUNCTION("""COMPUTED_VALUE"""),626780.0)</f>
        <v>626780</v>
      </c>
      <c r="E45" s="3">
        <f>IFERROR(__xludf.DUMMYFUNCTION("""COMPUTED_VALUE"""),-11000.0)</f>
        <v>-11000</v>
      </c>
      <c r="F45" s="3">
        <f>IFERROR(__xludf.DUMMYFUNCTION("""COMPUTED_VALUE"""),15.8)</f>
        <v>15.8</v>
      </c>
      <c r="G45" s="3">
        <f>IFERROR(__xludf.DUMMYFUNCTION("""COMPUTED_VALUE"""),16.1)</f>
        <v>16.1</v>
      </c>
      <c r="H45" s="3">
        <f>IFERROR(__xludf.DUMMYFUNCTION("""COMPUTED_VALUE"""),-0.3)</f>
        <v>-0.3</v>
      </c>
      <c r="I45" s="3">
        <f>IFERROR(__xludf.DUMMYFUNCTION("""COMPUTED_VALUE"""),2.19)</f>
        <v>2.19</v>
      </c>
      <c r="J45" s="3"/>
      <c r="K45" s="3"/>
      <c r="L45" s="3"/>
    </row>
    <row r="46">
      <c r="A46" s="3">
        <f>IFERROR(__xludf.DUMMYFUNCTION("""COMPUTED_VALUE"""),1944.0)</f>
        <v>1944</v>
      </c>
      <c r="B46" s="3">
        <f>IFERROR(__xludf.DUMMYFUNCTION("""COMPUTED_VALUE"""),3.877E7)</f>
        <v>38770000</v>
      </c>
      <c r="C46" s="3">
        <f>IFERROR(__xludf.DUMMYFUNCTION("""COMPUTED_VALUE"""),629878.0)</f>
        <v>629878</v>
      </c>
      <c r="D46" s="3">
        <f>IFERROR(__xludf.DUMMYFUNCTION("""COMPUTED_VALUE"""),666878.0)</f>
        <v>666878</v>
      </c>
      <c r="E46" s="3">
        <f>IFERROR(__xludf.DUMMYFUNCTION("""COMPUTED_VALUE"""),-37000.0)</f>
        <v>-37000</v>
      </c>
      <c r="F46" s="3">
        <f>IFERROR(__xludf.DUMMYFUNCTION("""COMPUTED_VALUE"""),16.2)</f>
        <v>16.2</v>
      </c>
      <c r="G46" s="3">
        <f>IFERROR(__xludf.DUMMYFUNCTION("""COMPUTED_VALUE"""),17.2)</f>
        <v>17.2</v>
      </c>
      <c r="H46" s="3">
        <f>IFERROR(__xludf.DUMMYFUNCTION("""COMPUTED_VALUE"""),-1.0)</f>
        <v>-1</v>
      </c>
      <c r="I46" s="3">
        <f>IFERROR(__xludf.DUMMYFUNCTION("""COMPUTED_VALUE"""),2.25)</f>
        <v>2.25</v>
      </c>
      <c r="J46" s="3"/>
      <c r="K46" s="3"/>
      <c r="L46" s="3"/>
    </row>
    <row r="47">
      <c r="A47" s="3">
        <f>IFERROR(__xludf.DUMMYFUNCTION("""COMPUTED_VALUE"""),1945.0)</f>
        <v>1945</v>
      </c>
      <c r="B47" s="3">
        <f>IFERROR(__xludf.DUMMYFUNCTION("""COMPUTED_VALUE"""),3.966E7)</f>
        <v>39660000</v>
      </c>
      <c r="C47" s="3">
        <f>IFERROR(__xludf.DUMMYFUNCTION("""COMPUTED_VALUE"""),645899.0)</f>
        <v>645899</v>
      </c>
      <c r="D47" s="3">
        <f>IFERROR(__xludf.DUMMYFUNCTION("""COMPUTED_VALUE"""),643899.0)</f>
        <v>643899</v>
      </c>
      <c r="E47" s="3">
        <f>IFERROR(__xludf.DUMMYFUNCTION("""COMPUTED_VALUE"""),2000.0)</f>
        <v>2000</v>
      </c>
      <c r="F47" s="3">
        <f>IFERROR(__xludf.DUMMYFUNCTION("""COMPUTED_VALUE"""),16.3)</f>
        <v>16.3</v>
      </c>
      <c r="G47" s="3">
        <f>IFERROR(__xludf.DUMMYFUNCTION("""COMPUTED_VALUE"""),16.2)</f>
        <v>16.2</v>
      </c>
      <c r="H47" s="3">
        <f>IFERROR(__xludf.DUMMYFUNCTION("""COMPUTED_VALUE"""),0.1)</f>
        <v>0.1</v>
      </c>
      <c r="I47" s="3">
        <f>IFERROR(__xludf.DUMMYFUNCTION("""COMPUTED_VALUE"""),2.31)</f>
        <v>2.31</v>
      </c>
      <c r="J47" s="3"/>
      <c r="K47" s="3"/>
      <c r="L47" s="3"/>
    </row>
    <row r="48">
      <c r="A48" s="3">
        <f>IFERROR(__xludf.DUMMYFUNCTION("""COMPUTED_VALUE"""),1946.0)</f>
        <v>1946</v>
      </c>
      <c r="B48" s="3">
        <f>IFERROR(__xludf.DUMMYFUNCTION("""COMPUTED_VALUE"""),4.0287E7)</f>
        <v>40287000</v>
      </c>
      <c r="C48" s="3">
        <f>IFERROR(__xludf.DUMMYFUNCTION("""COMPUTED_VALUE"""),843904.0)</f>
        <v>843904</v>
      </c>
      <c r="D48" s="3">
        <f>IFERROR(__xludf.DUMMYFUNCTION("""COMPUTED_VALUE"""),545880.0)</f>
        <v>545880</v>
      </c>
      <c r="E48" s="3">
        <f>IFERROR(__xludf.DUMMYFUNCTION("""COMPUTED_VALUE"""),298024.0)</f>
        <v>298024</v>
      </c>
      <c r="F48" s="3">
        <f>IFERROR(__xludf.DUMMYFUNCTION("""COMPUTED_VALUE"""),20.9)</f>
        <v>20.9</v>
      </c>
      <c r="G48" s="3">
        <f>IFERROR(__xludf.DUMMYFUNCTION("""COMPUTED_VALUE"""),13.5)</f>
        <v>13.5</v>
      </c>
      <c r="H48" s="3">
        <f>IFERROR(__xludf.DUMMYFUNCTION("""COMPUTED_VALUE"""),7.4)</f>
        <v>7.4</v>
      </c>
      <c r="I48" s="3">
        <f>IFERROR(__xludf.DUMMYFUNCTION("""COMPUTED_VALUE"""),3.0)</f>
        <v>3</v>
      </c>
      <c r="J48" s="3">
        <f>IFERROR(__xludf.DUMMYFUNCTION("""COMPUTED_VALUE"""),77.8)</f>
        <v>77.8</v>
      </c>
      <c r="K48" s="3">
        <f>IFERROR(__xludf.DUMMYFUNCTION("""COMPUTED_VALUE"""),59.9)</f>
        <v>59.9</v>
      </c>
      <c r="L48" s="3">
        <f>IFERROR(__xludf.DUMMYFUNCTION("""COMPUTED_VALUE"""),65.2)</f>
        <v>65.2</v>
      </c>
    </row>
    <row r="49">
      <c r="A49" s="3">
        <f>IFERROR(__xludf.DUMMYFUNCTION("""COMPUTED_VALUE"""),1947.0)</f>
        <v>1947</v>
      </c>
      <c r="B49" s="3">
        <f>IFERROR(__xludf.DUMMYFUNCTION("""COMPUTED_VALUE"""),4.0679E7)</f>
        <v>40679000</v>
      </c>
      <c r="C49" s="3">
        <f>IFERROR(__xludf.DUMMYFUNCTION("""COMPUTED_VALUE"""),870472.0)</f>
        <v>870472</v>
      </c>
      <c r="D49" s="3">
        <f>IFERROR(__xludf.DUMMYFUNCTION("""COMPUTED_VALUE"""),538157.0)</f>
        <v>538157</v>
      </c>
      <c r="E49" s="3">
        <f>IFERROR(__xludf.DUMMYFUNCTION("""COMPUTED_VALUE"""),332315.0)</f>
        <v>332315</v>
      </c>
      <c r="F49" s="3">
        <f>IFERROR(__xludf.DUMMYFUNCTION("""COMPUTED_VALUE"""),21.4)</f>
        <v>21.4</v>
      </c>
      <c r="G49" s="3">
        <f>IFERROR(__xludf.DUMMYFUNCTION("""COMPUTED_VALUE"""),13.2)</f>
        <v>13.2</v>
      </c>
      <c r="H49" s="3">
        <f>IFERROR(__xludf.DUMMYFUNCTION("""COMPUTED_VALUE"""),8.2)</f>
        <v>8.2</v>
      </c>
      <c r="I49" s="3">
        <f>IFERROR(__xludf.DUMMYFUNCTION("""COMPUTED_VALUE"""),3.04)</f>
        <v>3.04</v>
      </c>
      <c r="J49" s="3">
        <f>IFERROR(__xludf.DUMMYFUNCTION("""COMPUTED_VALUE"""),71.1)</f>
        <v>71.1</v>
      </c>
      <c r="K49" s="3">
        <f>IFERROR(__xludf.DUMMYFUNCTION("""COMPUTED_VALUE"""),61.2)</f>
        <v>61.2</v>
      </c>
      <c r="L49" s="3">
        <f>IFERROR(__xludf.DUMMYFUNCTION("""COMPUTED_VALUE"""),66.7)</f>
        <v>66.7</v>
      </c>
    </row>
    <row r="50">
      <c r="A50" s="3">
        <f>IFERROR(__xludf.DUMMYFUNCTION("""COMPUTED_VALUE"""),1948.0)</f>
        <v>1948</v>
      </c>
      <c r="B50" s="3">
        <f>IFERROR(__xludf.DUMMYFUNCTION("""COMPUTED_VALUE"""),4.1112E7)</f>
        <v>41112000</v>
      </c>
      <c r="C50" s="3">
        <f>IFERROR(__xludf.DUMMYFUNCTION("""COMPUTED_VALUE"""),870836.0)</f>
        <v>870836</v>
      </c>
      <c r="D50" s="3">
        <f>IFERROR(__xludf.DUMMYFUNCTION("""COMPUTED_VALUE"""),513210.0)</f>
        <v>513210</v>
      </c>
      <c r="E50" s="3">
        <f>IFERROR(__xludf.DUMMYFUNCTION("""COMPUTED_VALUE"""),357626.0)</f>
        <v>357626</v>
      </c>
      <c r="F50" s="3">
        <f>IFERROR(__xludf.DUMMYFUNCTION("""COMPUTED_VALUE"""),21.2)</f>
        <v>21.2</v>
      </c>
      <c r="G50" s="3">
        <f>IFERROR(__xludf.DUMMYFUNCTION("""COMPUTED_VALUE"""),12.5)</f>
        <v>12.5</v>
      </c>
      <c r="H50" s="3">
        <f>IFERROR(__xludf.DUMMYFUNCTION("""COMPUTED_VALUE"""),8.7)</f>
        <v>8.7</v>
      </c>
      <c r="I50" s="3">
        <f>IFERROR(__xludf.DUMMYFUNCTION("""COMPUTED_VALUE"""),3.02)</f>
        <v>3.02</v>
      </c>
      <c r="J50" s="3">
        <f>IFERROR(__xludf.DUMMYFUNCTION("""COMPUTED_VALUE"""),55.9)</f>
        <v>55.9</v>
      </c>
      <c r="K50" s="3">
        <f>IFERROR(__xludf.DUMMYFUNCTION("""COMPUTED_VALUE"""),62.7)</f>
        <v>62.7</v>
      </c>
      <c r="L50" s="3">
        <f>IFERROR(__xludf.DUMMYFUNCTION("""COMPUTED_VALUE"""),68.8)</f>
        <v>68.8</v>
      </c>
    </row>
    <row r="51">
      <c r="A51" s="3">
        <f>IFERROR(__xludf.DUMMYFUNCTION("""COMPUTED_VALUE"""),1949.0)</f>
        <v>1949</v>
      </c>
      <c r="B51" s="3">
        <f>IFERROR(__xludf.DUMMYFUNCTION("""COMPUTED_VALUE"""),4.148E7)</f>
        <v>41480000</v>
      </c>
      <c r="C51" s="3">
        <f>IFERROR(__xludf.DUMMYFUNCTION("""COMPUTED_VALUE"""),872661.0)</f>
        <v>872661</v>
      </c>
      <c r="D51" s="3">
        <f>IFERROR(__xludf.DUMMYFUNCTION("""COMPUTED_VALUE"""),573598.0)</f>
        <v>573598</v>
      </c>
      <c r="E51" s="3">
        <f>IFERROR(__xludf.DUMMYFUNCTION("""COMPUTED_VALUE"""),299063.0)</f>
        <v>299063</v>
      </c>
      <c r="F51" s="3">
        <f>IFERROR(__xludf.DUMMYFUNCTION("""COMPUTED_VALUE"""),21.0)</f>
        <v>21</v>
      </c>
      <c r="G51" s="3">
        <f>IFERROR(__xludf.DUMMYFUNCTION("""COMPUTED_VALUE"""),13.8)</f>
        <v>13.8</v>
      </c>
      <c r="H51" s="3">
        <f>IFERROR(__xludf.DUMMYFUNCTION("""COMPUTED_VALUE"""),7.2)</f>
        <v>7.2</v>
      </c>
      <c r="I51" s="3">
        <f>IFERROR(__xludf.DUMMYFUNCTION("""COMPUTED_VALUE"""),3.0)</f>
        <v>3</v>
      </c>
      <c r="J51" s="3">
        <f>IFERROR(__xludf.DUMMYFUNCTION("""COMPUTED_VALUE"""),60.3)</f>
        <v>60.3</v>
      </c>
      <c r="K51" s="3">
        <f>IFERROR(__xludf.DUMMYFUNCTION("""COMPUTED_VALUE"""),62.2)</f>
        <v>62.2</v>
      </c>
      <c r="L51" s="3">
        <f>IFERROR(__xludf.DUMMYFUNCTION("""COMPUTED_VALUE"""),67.6)</f>
        <v>67.6</v>
      </c>
    </row>
    <row r="52">
      <c r="A52" s="3">
        <f>IFERROR(__xludf.DUMMYFUNCTION("""COMPUTED_VALUE"""),1950.0)</f>
        <v>1950</v>
      </c>
      <c r="B52" s="3">
        <f>IFERROR(__xludf.DUMMYFUNCTION("""COMPUTED_VALUE"""),4.1829E7)</f>
        <v>41829000</v>
      </c>
      <c r="C52" s="3">
        <f>IFERROR(__xludf.DUMMYFUNCTION("""COMPUTED_VALUE"""),862310.0)</f>
        <v>862310</v>
      </c>
      <c r="D52" s="3">
        <f>IFERROR(__xludf.DUMMYFUNCTION("""COMPUTED_VALUE"""),534480.0)</f>
        <v>534480</v>
      </c>
      <c r="E52" s="3">
        <f>IFERROR(__xludf.DUMMYFUNCTION("""COMPUTED_VALUE"""),327830.0)</f>
        <v>327830</v>
      </c>
      <c r="F52" s="3">
        <f>IFERROR(__xludf.DUMMYFUNCTION("""COMPUTED_VALUE"""),20.6)</f>
        <v>20.6</v>
      </c>
      <c r="G52" s="3">
        <f>IFERROR(__xludf.DUMMYFUNCTION("""COMPUTED_VALUE"""),12.8)</f>
        <v>12.8</v>
      </c>
      <c r="H52" s="3">
        <f>IFERROR(__xludf.DUMMYFUNCTION("""COMPUTED_VALUE"""),7.8)</f>
        <v>7.8</v>
      </c>
      <c r="I52" s="3">
        <f>IFERROR(__xludf.DUMMYFUNCTION("""COMPUTED_VALUE"""),2.95)</f>
        <v>2.95</v>
      </c>
      <c r="J52" s="3">
        <f>IFERROR(__xludf.DUMMYFUNCTION("""COMPUTED_VALUE"""),52.0)</f>
        <v>52</v>
      </c>
      <c r="K52" s="3">
        <f>IFERROR(__xludf.DUMMYFUNCTION("""COMPUTED_VALUE"""),63.4)</f>
        <v>63.4</v>
      </c>
      <c r="L52" s="3">
        <f>IFERROR(__xludf.DUMMYFUNCTION("""COMPUTED_VALUE"""),69.2)</f>
        <v>69.2</v>
      </c>
    </row>
    <row r="53">
      <c r="A53" s="3">
        <f>IFERROR(__xludf.DUMMYFUNCTION("""COMPUTED_VALUE"""),1951.0)</f>
        <v>1951</v>
      </c>
      <c r="B53" s="3">
        <f>IFERROR(__xludf.DUMMYFUNCTION("""COMPUTED_VALUE"""),4.2156E7)</f>
        <v>42156000</v>
      </c>
      <c r="C53" s="3">
        <f>IFERROR(__xludf.DUMMYFUNCTION("""COMPUTED_VALUE"""),826722.0)</f>
        <v>826722</v>
      </c>
      <c r="D53" s="3">
        <f>IFERROR(__xludf.DUMMYFUNCTION("""COMPUTED_VALUE"""),565829.0)</f>
        <v>565829</v>
      </c>
      <c r="E53" s="3">
        <f>IFERROR(__xludf.DUMMYFUNCTION("""COMPUTED_VALUE"""),260893.0)</f>
        <v>260893</v>
      </c>
      <c r="F53" s="3">
        <f>IFERROR(__xludf.DUMMYFUNCTION("""COMPUTED_VALUE"""),19.6)</f>
        <v>19.6</v>
      </c>
      <c r="G53" s="3">
        <f>IFERROR(__xludf.DUMMYFUNCTION("""COMPUTED_VALUE"""),13.4)</f>
        <v>13.4</v>
      </c>
      <c r="H53" s="3">
        <f>IFERROR(__xludf.DUMMYFUNCTION("""COMPUTED_VALUE"""),6.2)</f>
        <v>6.2</v>
      </c>
      <c r="I53" s="3">
        <f>IFERROR(__xludf.DUMMYFUNCTION("""COMPUTED_VALUE"""),2.81)</f>
        <v>2.81</v>
      </c>
      <c r="J53" s="3">
        <f>IFERROR(__xludf.DUMMYFUNCTION("""COMPUTED_VALUE"""),50.8)</f>
        <v>50.8</v>
      </c>
      <c r="K53" s="3">
        <f>IFERROR(__xludf.DUMMYFUNCTION("""COMPUTED_VALUE"""),63.1)</f>
        <v>63.1</v>
      </c>
      <c r="L53" s="3">
        <f>IFERROR(__xludf.DUMMYFUNCTION("""COMPUTED_VALUE"""),68.9)</f>
        <v>68.9</v>
      </c>
    </row>
    <row r="54">
      <c r="A54" s="3">
        <f>IFERROR(__xludf.DUMMYFUNCTION("""COMPUTED_VALUE"""),1952.0)</f>
        <v>1952</v>
      </c>
      <c r="B54" s="3">
        <f>IFERROR(__xludf.DUMMYFUNCTION("""COMPUTED_VALUE"""),4.246E7)</f>
        <v>42460000</v>
      </c>
      <c r="C54" s="3">
        <f>IFERROR(__xludf.DUMMYFUNCTION("""COMPUTED_VALUE"""),822204.0)</f>
        <v>822204</v>
      </c>
      <c r="D54" s="3">
        <f>IFERROR(__xludf.DUMMYFUNCTION("""COMPUTED_VALUE"""),524831.0)</f>
        <v>524831</v>
      </c>
      <c r="E54" s="3">
        <f>IFERROR(__xludf.DUMMYFUNCTION("""COMPUTED_VALUE"""),297373.0)</f>
        <v>297373</v>
      </c>
      <c r="F54" s="3">
        <f>IFERROR(__xludf.DUMMYFUNCTION("""COMPUTED_VALUE"""),19.4)</f>
        <v>19.4</v>
      </c>
      <c r="G54" s="3">
        <f>IFERROR(__xludf.DUMMYFUNCTION("""COMPUTED_VALUE"""),12.4)</f>
        <v>12.4</v>
      </c>
      <c r="H54" s="3">
        <f>IFERROR(__xludf.DUMMYFUNCTION("""COMPUTED_VALUE"""),7.0)</f>
        <v>7</v>
      </c>
      <c r="I54" s="3">
        <f>IFERROR(__xludf.DUMMYFUNCTION("""COMPUTED_VALUE"""),2.78)</f>
        <v>2.78</v>
      </c>
      <c r="J54" s="3">
        <f>IFERROR(__xludf.DUMMYFUNCTION("""COMPUTED_VALUE"""),45.2)</f>
        <v>45.2</v>
      </c>
      <c r="K54" s="3">
        <f>IFERROR(__xludf.DUMMYFUNCTION("""COMPUTED_VALUE"""),64.4)</f>
        <v>64.4</v>
      </c>
      <c r="L54" s="3">
        <f>IFERROR(__xludf.DUMMYFUNCTION("""COMPUTED_VALUE"""),70.2)</f>
        <v>70.2</v>
      </c>
    </row>
    <row r="55">
      <c r="A55" s="3">
        <f>IFERROR(__xludf.DUMMYFUNCTION("""COMPUTED_VALUE"""),1953.0)</f>
        <v>1953</v>
      </c>
      <c r="B55" s="3">
        <f>IFERROR(__xludf.DUMMYFUNCTION("""COMPUTED_VALUE"""),4.2752E7)</f>
        <v>42752000</v>
      </c>
      <c r="C55" s="3">
        <f>IFERROR(__xludf.DUMMYFUNCTION("""COMPUTED_VALUE"""),804696.0)</f>
        <v>804696</v>
      </c>
      <c r="D55" s="3">
        <f>IFERROR(__xludf.DUMMYFUNCTION("""COMPUTED_VALUE"""),556983.0)</f>
        <v>556983</v>
      </c>
      <c r="E55" s="3">
        <f>IFERROR(__xludf.DUMMYFUNCTION("""COMPUTED_VALUE"""),247713.0)</f>
        <v>247713</v>
      </c>
      <c r="F55" s="3">
        <f>IFERROR(__xludf.DUMMYFUNCTION("""COMPUTED_VALUE"""),18.8)</f>
        <v>18.8</v>
      </c>
      <c r="G55" s="3">
        <f>IFERROR(__xludf.DUMMYFUNCTION("""COMPUTED_VALUE"""),13.0)</f>
        <v>13</v>
      </c>
      <c r="H55" s="3">
        <f>IFERROR(__xludf.DUMMYFUNCTION("""COMPUTED_VALUE"""),5.8)</f>
        <v>5.8</v>
      </c>
      <c r="I55" s="3">
        <f>IFERROR(__xludf.DUMMYFUNCTION("""COMPUTED_VALUE"""),2.7)</f>
        <v>2.7</v>
      </c>
      <c r="J55" s="3">
        <f>IFERROR(__xludf.DUMMYFUNCTION("""COMPUTED_VALUE"""),41.9)</f>
        <v>41.9</v>
      </c>
      <c r="K55" s="3">
        <f>IFERROR(__xludf.DUMMYFUNCTION("""COMPUTED_VALUE"""),64.3)</f>
        <v>64.3</v>
      </c>
      <c r="L55" s="3">
        <f>IFERROR(__xludf.DUMMYFUNCTION("""COMPUTED_VALUE"""),70.3)</f>
        <v>70.3</v>
      </c>
    </row>
    <row r="56">
      <c r="A56" s="3">
        <f>IFERROR(__xludf.DUMMYFUNCTION("""COMPUTED_VALUE"""),1954.0)</f>
        <v>1954</v>
      </c>
      <c r="B56" s="3">
        <f>IFERROR(__xludf.DUMMYFUNCTION("""COMPUTED_VALUE"""),4.3057E7)</f>
        <v>43057000</v>
      </c>
      <c r="C56" s="3">
        <f>IFERROR(__xludf.DUMMYFUNCTION("""COMPUTED_VALUE"""),810754.0)</f>
        <v>810754</v>
      </c>
      <c r="D56" s="3">
        <f>IFERROR(__xludf.DUMMYFUNCTION("""COMPUTED_VALUE"""),518892.0)</f>
        <v>518892</v>
      </c>
      <c r="E56" s="3">
        <f>IFERROR(__xludf.DUMMYFUNCTION("""COMPUTED_VALUE"""),291862.0)</f>
        <v>291862</v>
      </c>
      <c r="F56" s="3">
        <f>IFERROR(__xludf.DUMMYFUNCTION("""COMPUTED_VALUE"""),18.8)</f>
        <v>18.8</v>
      </c>
      <c r="G56" s="3">
        <f>IFERROR(__xludf.DUMMYFUNCTION("""COMPUTED_VALUE"""),12.1)</f>
        <v>12.1</v>
      </c>
      <c r="H56" s="3">
        <f>IFERROR(__xludf.DUMMYFUNCTION("""COMPUTED_VALUE"""),6.8)</f>
        <v>6.8</v>
      </c>
      <c r="I56" s="3">
        <f>IFERROR(__xludf.DUMMYFUNCTION("""COMPUTED_VALUE"""),2.71)</f>
        <v>2.71</v>
      </c>
      <c r="J56" s="3">
        <f>IFERROR(__xludf.DUMMYFUNCTION("""COMPUTED_VALUE"""),40.7)</f>
        <v>40.7</v>
      </c>
      <c r="K56" s="3">
        <f>IFERROR(__xludf.DUMMYFUNCTION("""COMPUTED_VALUE"""),65.0)</f>
        <v>65</v>
      </c>
      <c r="L56" s="3">
        <f>IFERROR(__xludf.DUMMYFUNCTION("""COMPUTED_VALUE"""),71.2)</f>
        <v>71.2</v>
      </c>
    </row>
    <row r="57">
      <c r="A57" s="3">
        <f>IFERROR(__xludf.DUMMYFUNCTION("""COMPUTED_VALUE"""),1955.0)</f>
        <v>1955</v>
      </c>
      <c r="B57" s="3">
        <f>IFERROR(__xludf.DUMMYFUNCTION("""COMPUTED_VALUE"""),4.3428E7)</f>
        <v>43428000</v>
      </c>
      <c r="C57" s="3">
        <f>IFERROR(__xludf.DUMMYFUNCTION("""COMPUTED_VALUE"""),805917.0)</f>
        <v>805917</v>
      </c>
      <c r="D57" s="3">
        <f>IFERROR(__xludf.DUMMYFUNCTION("""COMPUTED_VALUE"""),526322.0)</f>
        <v>526322</v>
      </c>
      <c r="E57" s="3">
        <f>IFERROR(__xludf.DUMMYFUNCTION("""COMPUTED_VALUE"""),279595.0)</f>
        <v>279595</v>
      </c>
      <c r="F57" s="3">
        <f>IFERROR(__xludf.DUMMYFUNCTION("""COMPUTED_VALUE"""),18.6)</f>
        <v>18.6</v>
      </c>
      <c r="G57" s="3">
        <f>IFERROR(__xludf.DUMMYFUNCTION("""COMPUTED_VALUE"""),12.1)</f>
        <v>12.1</v>
      </c>
      <c r="H57" s="3">
        <f>IFERROR(__xludf.DUMMYFUNCTION("""COMPUTED_VALUE"""),6.4)</f>
        <v>6.4</v>
      </c>
      <c r="I57" s="3">
        <f>IFERROR(__xludf.DUMMYFUNCTION("""COMPUTED_VALUE"""),2.68)</f>
        <v>2.68</v>
      </c>
      <c r="J57" s="3">
        <f>IFERROR(__xludf.DUMMYFUNCTION("""COMPUTED_VALUE"""),38.6)</f>
        <v>38.6</v>
      </c>
      <c r="K57" s="3">
        <f>IFERROR(__xludf.DUMMYFUNCTION("""COMPUTED_VALUE"""),65.2)</f>
        <v>65.2</v>
      </c>
      <c r="L57" s="3">
        <f>IFERROR(__xludf.DUMMYFUNCTION("""COMPUTED_VALUE"""),71.5)</f>
        <v>71.5</v>
      </c>
    </row>
    <row r="58">
      <c r="A58" s="3">
        <f>IFERROR(__xludf.DUMMYFUNCTION("""COMPUTED_VALUE"""),1956.0)</f>
        <v>1956</v>
      </c>
      <c r="B58" s="3">
        <f>IFERROR(__xludf.DUMMYFUNCTION("""COMPUTED_VALUE"""),4.3843E7)</f>
        <v>43843000</v>
      </c>
      <c r="C58" s="3">
        <f>IFERROR(__xludf.DUMMYFUNCTION("""COMPUTED_VALUE"""),806916.0)</f>
        <v>806916</v>
      </c>
      <c r="D58" s="3">
        <f>IFERROR(__xludf.DUMMYFUNCTION("""COMPUTED_VALUE"""),545700.0)</f>
        <v>545700</v>
      </c>
      <c r="E58" s="3">
        <f>IFERROR(__xludf.DUMMYFUNCTION("""COMPUTED_VALUE"""),261216.0)</f>
        <v>261216</v>
      </c>
      <c r="F58" s="3">
        <f>IFERROR(__xludf.DUMMYFUNCTION("""COMPUTED_VALUE"""),18.4)</f>
        <v>18.4</v>
      </c>
      <c r="G58" s="3">
        <f>IFERROR(__xludf.DUMMYFUNCTION("""COMPUTED_VALUE"""),12.4)</f>
        <v>12.4</v>
      </c>
      <c r="H58" s="3">
        <f>IFERROR(__xludf.DUMMYFUNCTION("""COMPUTED_VALUE"""),6.0)</f>
        <v>6</v>
      </c>
      <c r="I58" s="3">
        <f>IFERROR(__xludf.DUMMYFUNCTION("""COMPUTED_VALUE"""),2.67)</f>
        <v>2.67</v>
      </c>
      <c r="J58" s="3">
        <f>IFERROR(__xludf.DUMMYFUNCTION("""COMPUTED_VALUE"""),36.2)</f>
        <v>36.2</v>
      </c>
      <c r="K58" s="3">
        <f>IFERROR(__xludf.DUMMYFUNCTION("""COMPUTED_VALUE"""),65.2)</f>
        <v>65.2</v>
      </c>
      <c r="L58" s="3">
        <f>IFERROR(__xludf.DUMMYFUNCTION("""COMPUTED_VALUE"""),71.7)</f>
        <v>71.7</v>
      </c>
    </row>
    <row r="59">
      <c r="A59" s="3">
        <f>IFERROR(__xludf.DUMMYFUNCTION("""COMPUTED_VALUE"""),1957.0)</f>
        <v>1957</v>
      </c>
      <c r="B59" s="3">
        <f>IFERROR(__xludf.DUMMYFUNCTION("""COMPUTED_VALUE"""),4.4311E7)</f>
        <v>44311000</v>
      </c>
      <c r="C59" s="3">
        <f>IFERROR(__xludf.DUMMYFUNCTION("""COMPUTED_VALUE"""),816467.0)</f>
        <v>816467</v>
      </c>
      <c r="D59" s="3">
        <f>IFERROR(__xludf.DUMMYFUNCTION("""COMPUTED_VALUE"""),532107.0)</f>
        <v>532107</v>
      </c>
      <c r="E59" s="3">
        <f>IFERROR(__xludf.DUMMYFUNCTION("""COMPUTED_VALUE"""),284360.0)</f>
        <v>284360</v>
      </c>
      <c r="F59" s="3">
        <f>IFERROR(__xludf.DUMMYFUNCTION("""COMPUTED_VALUE"""),18.4)</f>
        <v>18.4</v>
      </c>
      <c r="G59" s="3">
        <f>IFERROR(__xludf.DUMMYFUNCTION("""COMPUTED_VALUE"""),12.0)</f>
        <v>12</v>
      </c>
      <c r="H59" s="3">
        <f>IFERROR(__xludf.DUMMYFUNCTION("""COMPUTED_VALUE"""),6.4)</f>
        <v>6.4</v>
      </c>
      <c r="I59" s="3">
        <f>IFERROR(__xludf.DUMMYFUNCTION("""COMPUTED_VALUE"""),2.69)</f>
        <v>2.69</v>
      </c>
      <c r="J59" s="3">
        <f>IFERROR(__xludf.DUMMYFUNCTION("""COMPUTED_VALUE"""),33.8)</f>
        <v>33.8</v>
      </c>
      <c r="K59" s="3">
        <f>IFERROR(__xludf.DUMMYFUNCTION("""COMPUTED_VALUE"""),65.5)</f>
        <v>65.5</v>
      </c>
      <c r="L59" s="3">
        <f>IFERROR(__xludf.DUMMYFUNCTION("""COMPUTED_VALUE"""),72.2)</f>
        <v>72.2</v>
      </c>
    </row>
    <row r="60">
      <c r="A60" s="3">
        <f>IFERROR(__xludf.DUMMYFUNCTION("""COMPUTED_VALUE"""),1958.0)</f>
        <v>1958</v>
      </c>
      <c r="B60" s="3">
        <f>IFERROR(__xludf.DUMMYFUNCTION("""COMPUTED_VALUE"""),4.4789E7)</f>
        <v>44789000</v>
      </c>
      <c r="C60" s="3">
        <f>IFERROR(__xludf.DUMMYFUNCTION("""COMPUTED_VALUE"""),812215.0)</f>
        <v>812215</v>
      </c>
      <c r="D60" s="3">
        <f>IFERROR(__xludf.DUMMYFUNCTION("""COMPUTED_VALUE"""),500596.0)</f>
        <v>500596</v>
      </c>
      <c r="E60" s="3">
        <f>IFERROR(__xludf.DUMMYFUNCTION("""COMPUTED_VALUE"""),311619.0)</f>
        <v>311619</v>
      </c>
      <c r="F60" s="3">
        <f>IFERROR(__xludf.DUMMYFUNCTION("""COMPUTED_VALUE"""),18.1)</f>
        <v>18.1</v>
      </c>
      <c r="G60" s="3">
        <f>IFERROR(__xludf.DUMMYFUNCTION("""COMPUTED_VALUE"""),11.2)</f>
        <v>11.2</v>
      </c>
      <c r="H60" s="3">
        <f>IFERROR(__xludf.DUMMYFUNCTION("""COMPUTED_VALUE"""),7.0)</f>
        <v>7</v>
      </c>
      <c r="I60" s="3">
        <f>IFERROR(__xludf.DUMMYFUNCTION("""COMPUTED_VALUE"""),2.68)</f>
        <v>2.68</v>
      </c>
      <c r="J60" s="3">
        <f>IFERROR(__xludf.DUMMYFUNCTION("""COMPUTED_VALUE"""),31.4)</f>
        <v>31.4</v>
      </c>
      <c r="K60" s="3">
        <f>IFERROR(__xludf.DUMMYFUNCTION("""COMPUTED_VALUE"""),66.8)</f>
        <v>66.8</v>
      </c>
      <c r="L60" s="3">
        <f>IFERROR(__xludf.DUMMYFUNCTION("""COMPUTED_VALUE"""),73.4)</f>
        <v>73.4</v>
      </c>
    </row>
    <row r="61">
      <c r="A61" s="3">
        <f>IFERROR(__xludf.DUMMYFUNCTION("""COMPUTED_VALUE"""),1959.0)</f>
        <v>1959</v>
      </c>
      <c r="B61" s="3">
        <f>IFERROR(__xludf.DUMMYFUNCTION("""COMPUTED_VALUE"""),4.524E7)</f>
        <v>45240000</v>
      </c>
      <c r="C61" s="3">
        <f>IFERROR(__xludf.DUMMYFUNCTION("""COMPUTED_VALUE"""),829249.0)</f>
        <v>829249</v>
      </c>
      <c r="D61" s="3">
        <f>IFERROR(__xludf.DUMMYFUNCTION("""COMPUTED_VALUE"""),509114.0)</f>
        <v>509114</v>
      </c>
      <c r="E61" s="3">
        <f>IFERROR(__xludf.DUMMYFUNCTION("""COMPUTED_VALUE"""),320135.0)</f>
        <v>320135</v>
      </c>
      <c r="F61" s="3">
        <f>IFERROR(__xludf.DUMMYFUNCTION("""COMPUTED_VALUE"""),18.3)</f>
        <v>18.3</v>
      </c>
      <c r="G61" s="3">
        <f>IFERROR(__xludf.DUMMYFUNCTION("""COMPUTED_VALUE"""),11.3)</f>
        <v>11.3</v>
      </c>
      <c r="H61" s="3">
        <f>IFERROR(__xludf.DUMMYFUNCTION("""COMPUTED_VALUE"""),7.1)</f>
        <v>7.1</v>
      </c>
      <c r="I61" s="3">
        <f>IFERROR(__xludf.DUMMYFUNCTION("""COMPUTED_VALUE"""),2.75)</f>
        <v>2.75</v>
      </c>
      <c r="J61" s="3">
        <f>IFERROR(__xludf.DUMMYFUNCTION("""COMPUTED_VALUE"""),29.6)</f>
        <v>29.6</v>
      </c>
      <c r="K61" s="3">
        <f>IFERROR(__xludf.DUMMYFUNCTION("""COMPUTED_VALUE"""),66.8)</f>
        <v>66.8</v>
      </c>
      <c r="L61" s="3">
        <f>IFERROR(__xludf.DUMMYFUNCTION("""COMPUTED_VALUE"""),73.2)</f>
        <v>73.2</v>
      </c>
    </row>
    <row r="62">
      <c r="A62" s="3">
        <f>IFERROR(__xludf.DUMMYFUNCTION("""COMPUTED_VALUE"""),1960.0)</f>
        <v>1960</v>
      </c>
      <c r="B62" s="3">
        <f>IFERROR(__xludf.DUMMYFUNCTION("""COMPUTED_VALUE"""),4.5684E7)</f>
        <v>45684000</v>
      </c>
      <c r="C62" s="3">
        <f>IFERROR(__xludf.DUMMYFUNCTION("""COMPUTED_VALUE"""),819819.0)</f>
        <v>819819</v>
      </c>
      <c r="D62" s="3">
        <f>IFERROR(__xludf.DUMMYFUNCTION("""COMPUTED_VALUE"""),520960.0)</f>
        <v>520960</v>
      </c>
      <c r="E62" s="3">
        <f>IFERROR(__xludf.DUMMYFUNCTION("""COMPUTED_VALUE"""),298859.0)</f>
        <v>298859</v>
      </c>
      <c r="F62" s="3">
        <f>IFERROR(__xludf.DUMMYFUNCTION("""COMPUTED_VALUE"""),17.9)</f>
        <v>17.9</v>
      </c>
      <c r="G62" s="3">
        <f>IFERROR(__xludf.DUMMYFUNCTION("""COMPUTED_VALUE"""),11.4)</f>
        <v>11.4</v>
      </c>
      <c r="H62" s="3">
        <f>IFERROR(__xludf.DUMMYFUNCTION("""COMPUTED_VALUE"""),6.5)</f>
        <v>6.5</v>
      </c>
      <c r="I62" s="3">
        <f>IFERROR(__xludf.DUMMYFUNCTION("""COMPUTED_VALUE"""),2.74)</f>
        <v>2.74</v>
      </c>
      <c r="J62" s="3">
        <f>IFERROR(__xludf.DUMMYFUNCTION("""COMPUTED_VALUE"""),27.4)</f>
        <v>27.4</v>
      </c>
      <c r="K62" s="3">
        <f>IFERROR(__xludf.DUMMYFUNCTION("""COMPUTED_VALUE"""),67.0)</f>
        <v>67</v>
      </c>
      <c r="L62" s="3">
        <f>IFERROR(__xludf.DUMMYFUNCTION("""COMPUTED_VALUE"""),73.6)</f>
        <v>73.6</v>
      </c>
    </row>
    <row r="63">
      <c r="A63" s="3">
        <f>IFERROR(__xludf.DUMMYFUNCTION("""COMPUTED_VALUE"""),1961.0)</f>
        <v>1961</v>
      </c>
      <c r="B63" s="3">
        <f>IFERROR(__xludf.DUMMYFUNCTION("""COMPUTED_VALUE"""),4.6163E7)</f>
        <v>46163000</v>
      </c>
      <c r="C63" s="3">
        <f>IFERROR(__xludf.DUMMYFUNCTION("""COMPUTED_VALUE"""),838633.0)</f>
        <v>838633</v>
      </c>
      <c r="D63" s="3">
        <f>IFERROR(__xludf.DUMMYFUNCTION("""COMPUTED_VALUE"""),500289.0)</f>
        <v>500289</v>
      </c>
      <c r="E63" s="3">
        <f>IFERROR(__xludf.DUMMYFUNCTION("""COMPUTED_VALUE"""),338344.0)</f>
        <v>338344</v>
      </c>
      <c r="F63" s="3">
        <f>IFERROR(__xludf.DUMMYFUNCTION("""COMPUTED_VALUE"""),18.2)</f>
        <v>18.2</v>
      </c>
      <c r="G63" s="3">
        <f>IFERROR(__xludf.DUMMYFUNCTION("""COMPUTED_VALUE"""),10.8)</f>
        <v>10.8</v>
      </c>
      <c r="H63" s="3">
        <f>IFERROR(__xludf.DUMMYFUNCTION("""COMPUTED_VALUE"""),7.3)</f>
        <v>7.3</v>
      </c>
      <c r="I63" s="3">
        <f>IFERROR(__xludf.DUMMYFUNCTION("""COMPUTED_VALUE"""),2.82)</f>
        <v>2.82</v>
      </c>
      <c r="J63" s="3">
        <f>IFERROR(__xludf.DUMMYFUNCTION("""COMPUTED_VALUE"""),25.7)</f>
        <v>25.7</v>
      </c>
      <c r="K63" s="3">
        <f>IFERROR(__xludf.DUMMYFUNCTION("""COMPUTED_VALUE"""),67.5)</f>
        <v>67.5</v>
      </c>
      <c r="L63" s="3">
        <f>IFERROR(__xludf.DUMMYFUNCTION("""COMPUTED_VALUE"""),74.4)</f>
        <v>74.4</v>
      </c>
    </row>
    <row r="64">
      <c r="A64" s="3">
        <f>IFERROR(__xludf.DUMMYFUNCTION("""COMPUTED_VALUE"""),1962.0)</f>
        <v>1962</v>
      </c>
      <c r="B64" s="3">
        <f>IFERROR(__xludf.DUMMYFUNCTION("""COMPUTED_VALUE"""),4.6998E7)</f>
        <v>46998000</v>
      </c>
      <c r="C64" s="3">
        <f>IFERROR(__xludf.DUMMYFUNCTION("""COMPUTED_VALUE"""),832353.0)</f>
        <v>832353</v>
      </c>
      <c r="D64" s="3">
        <f>IFERROR(__xludf.DUMMYFUNCTION("""COMPUTED_VALUE"""),541147.0)</f>
        <v>541147</v>
      </c>
      <c r="E64" s="3">
        <f>IFERROR(__xludf.DUMMYFUNCTION("""COMPUTED_VALUE"""),291206.0)</f>
        <v>291206</v>
      </c>
      <c r="F64" s="3">
        <f>IFERROR(__xludf.DUMMYFUNCTION("""COMPUTED_VALUE"""),17.7)</f>
        <v>17.7</v>
      </c>
      <c r="G64" s="3">
        <f>IFERROR(__xludf.DUMMYFUNCTION("""COMPUTED_VALUE"""),11.5)</f>
        <v>11.5</v>
      </c>
      <c r="H64" s="3">
        <f>IFERROR(__xludf.DUMMYFUNCTION("""COMPUTED_VALUE"""),6.2)</f>
        <v>6.2</v>
      </c>
      <c r="I64" s="3">
        <f>IFERROR(__xludf.DUMMYFUNCTION("""COMPUTED_VALUE"""),2.8)</f>
        <v>2.8</v>
      </c>
      <c r="J64" s="3">
        <f>IFERROR(__xludf.DUMMYFUNCTION("""COMPUTED_VALUE"""),25.7)</f>
        <v>25.7</v>
      </c>
      <c r="K64" s="3">
        <f>IFERROR(__xludf.DUMMYFUNCTION("""COMPUTED_VALUE"""),67.0)</f>
        <v>67</v>
      </c>
      <c r="L64" s="3">
        <f>IFERROR(__xludf.DUMMYFUNCTION("""COMPUTED_VALUE"""),73.9)</f>
        <v>73.9</v>
      </c>
    </row>
    <row r="65">
      <c r="A65" s="3">
        <f>IFERROR(__xludf.DUMMYFUNCTION("""COMPUTED_VALUE"""),1963.0)</f>
        <v>1963</v>
      </c>
      <c r="B65" s="3">
        <f>IFERROR(__xludf.DUMMYFUNCTION("""COMPUTED_VALUE"""),4.7816E7)</f>
        <v>47816000</v>
      </c>
      <c r="C65" s="3">
        <f>IFERROR(__xludf.DUMMYFUNCTION("""COMPUTED_VALUE"""),868876.0)</f>
        <v>868876</v>
      </c>
      <c r="D65" s="3">
        <f>IFERROR(__xludf.DUMMYFUNCTION("""COMPUTED_VALUE"""),557852.0)</f>
        <v>557852</v>
      </c>
      <c r="E65" s="3">
        <f>IFERROR(__xludf.DUMMYFUNCTION("""COMPUTED_VALUE"""),311024.0)</f>
        <v>311024</v>
      </c>
      <c r="F65" s="3">
        <f>IFERROR(__xludf.DUMMYFUNCTION("""COMPUTED_VALUE"""),18.2)</f>
        <v>18.2</v>
      </c>
      <c r="G65" s="3">
        <f>IFERROR(__xludf.DUMMYFUNCTION("""COMPUTED_VALUE"""),11.7)</f>
        <v>11.7</v>
      </c>
      <c r="H65" s="3">
        <f>IFERROR(__xludf.DUMMYFUNCTION("""COMPUTED_VALUE"""),6.5)</f>
        <v>6.5</v>
      </c>
      <c r="I65" s="3">
        <f>IFERROR(__xludf.DUMMYFUNCTION("""COMPUTED_VALUE"""),2.9)</f>
        <v>2.9</v>
      </c>
      <c r="J65" s="3">
        <f>IFERROR(__xludf.DUMMYFUNCTION("""COMPUTED_VALUE"""),25.6)</f>
        <v>25.6</v>
      </c>
      <c r="K65" s="3">
        <f>IFERROR(__xludf.DUMMYFUNCTION("""COMPUTED_VALUE"""),66.8)</f>
        <v>66.8</v>
      </c>
      <c r="L65" s="3">
        <f>IFERROR(__xludf.DUMMYFUNCTION("""COMPUTED_VALUE"""),73.8)</f>
        <v>73.8</v>
      </c>
    </row>
    <row r="66">
      <c r="A66" s="3">
        <f>IFERROR(__xludf.DUMMYFUNCTION("""COMPUTED_VALUE"""),1964.0)</f>
        <v>1964</v>
      </c>
      <c r="B66" s="3">
        <f>IFERROR(__xludf.DUMMYFUNCTION("""COMPUTED_VALUE"""),4.831E7)</f>
        <v>48310000</v>
      </c>
      <c r="C66" s="3">
        <f>IFERROR(__xludf.DUMMYFUNCTION("""COMPUTED_VALUE"""),877804.0)</f>
        <v>877804</v>
      </c>
      <c r="D66" s="3">
        <f>IFERROR(__xludf.DUMMYFUNCTION("""COMPUTED_VALUE"""),520033.0)</f>
        <v>520033</v>
      </c>
      <c r="E66" s="3">
        <f>IFERROR(__xludf.DUMMYFUNCTION("""COMPUTED_VALUE"""),357771.0)</f>
        <v>357771</v>
      </c>
      <c r="F66" s="3">
        <f>IFERROR(__xludf.DUMMYFUNCTION("""COMPUTED_VALUE"""),18.2)</f>
        <v>18.2</v>
      </c>
      <c r="G66" s="3">
        <f>IFERROR(__xludf.DUMMYFUNCTION("""COMPUTED_VALUE"""),10.8)</f>
        <v>10.8</v>
      </c>
      <c r="H66" s="3">
        <f>IFERROR(__xludf.DUMMYFUNCTION("""COMPUTED_VALUE"""),7.4)</f>
        <v>7.4</v>
      </c>
      <c r="I66" s="3">
        <f>IFERROR(__xludf.DUMMYFUNCTION("""COMPUTED_VALUE"""),2.91)</f>
        <v>2.91</v>
      </c>
      <c r="J66" s="3">
        <f>IFERROR(__xludf.DUMMYFUNCTION("""COMPUTED_VALUE"""),23.4)</f>
        <v>23.4</v>
      </c>
      <c r="K66" s="3">
        <f>IFERROR(__xludf.DUMMYFUNCTION("""COMPUTED_VALUE"""),67.7)</f>
        <v>67.7</v>
      </c>
      <c r="L66" s="3">
        <f>IFERROR(__xludf.DUMMYFUNCTION("""COMPUTED_VALUE"""),74.8)</f>
        <v>74.8</v>
      </c>
    </row>
    <row r="67">
      <c r="A67" s="3">
        <f>IFERROR(__xludf.DUMMYFUNCTION("""COMPUTED_VALUE"""),1965.0)</f>
        <v>1965</v>
      </c>
      <c r="B67" s="3">
        <f>IFERROR(__xludf.DUMMYFUNCTION("""COMPUTED_VALUE"""),4.8758E7)</f>
        <v>48758000</v>
      </c>
      <c r="C67" s="3">
        <f>IFERROR(__xludf.DUMMYFUNCTION("""COMPUTED_VALUE"""),865688.0)</f>
        <v>865688</v>
      </c>
      <c r="D67" s="3">
        <f>IFERROR(__xludf.DUMMYFUNCTION("""COMPUTED_VALUE"""),543696.0)</f>
        <v>543696</v>
      </c>
      <c r="E67" s="3">
        <f>IFERROR(__xludf.DUMMYFUNCTION("""COMPUTED_VALUE"""),321992.0)</f>
        <v>321992</v>
      </c>
      <c r="F67" s="3">
        <f>IFERROR(__xludf.DUMMYFUNCTION("""COMPUTED_VALUE"""),17.8)</f>
        <v>17.8</v>
      </c>
      <c r="G67" s="3">
        <f>IFERROR(__xludf.DUMMYFUNCTION("""COMPUTED_VALUE"""),11.2)</f>
        <v>11.2</v>
      </c>
      <c r="H67" s="3">
        <f>IFERROR(__xludf.DUMMYFUNCTION("""COMPUTED_VALUE"""),6.6)</f>
        <v>6.6</v>
      </c>
      <c r="I67" s="3">
        <f>IFERROR(__xludf.DUMMYFUNCTION("""COMPUTED_VALUE"""),2.85)</f>
        <v>2.85</v>
      </c>
      <c r="J67" s="3">
        <f>IFERROR(__xludf.DUMMYFUNCTION("""COMPUTED_VALUE"""),21.9)</f>
        <v>21.9</v>
      </c>
      <c r="K67" s="3">
        <f>IFERROR(__xludf.DUMMYFUNCTION("""COMPUTED_VALUE"""),67.5)</f>
        <v>67.5</v>
      </c>
      <c r="L67" s="3">
        <f>IFERROR(__xludf.DUMMYFUNCTION("""COMPUTED_VALUE"""),74.7)</f>
        <v>74.7</v>
      </c>
    </row>
    <row r="68">
      <c r="A68" s="3">
        <f>IFERROR(__xludf.DUMMYFUNCTION("""COMPUTED_VALUE"""),1966.0)</f>
        <v>1966</v>
      </c>
      <c r="B68" s="3">
        <f>IFERROR(__xludf.DUMMYFUNCTION("""COMPUTED_VALUE"""),4.9164E7)</f>
        <v>49164000</v>
      </c>
      <c r="C68" s="3">
        <f>IFERROR(__xludf.DUMMYFUNCTION("""COMPUTED_VALUE"""),863527.0)</f>
        <v>863527</v>
      </c>
      <c r="D68" s="3">
        <f>IFERROR(__xludf.DUMMYFUNCTION("""COMPUTED_VALUE"""),528782.0)</f>
        <v>528782</v>
      </c>
      <c r="E68" s="3">
        <f>IFERROR(__xludf.DUMMYFUNCTION("""COMPUTED_VALUE"""),334745.0)</f>
        <v>334745</v>
      </c>
      <c r="F68" s="3">
        <f>IFERROR(__xludf.DUMMYFUNCTION("""COMPUTED_VALUE"""),17.6)</f>
        <v>17.6</v>
      </c>
      <c r="G68" s="3">
        <f>IFERROR(__xludf.DUMMYFUNCTION("""COMPUTED_VALUE"""),10.8)</f>
        <v>10.8</v>
      </c>
      <c r="H68" s="3">
        <f>IFERROR(__xludf.DUMMYFUNCTION("""COMPUTED_VALUE"""),6.8)</f>
        <v>6.8</v>
      </c>
      <c r="I68" s="3">
        <f>IFERROR(__xludf.DUMMYFUNCTION("""COMPUTED_VALUE"""),2.8)</f>
        <v>2.8</v>
      </c>
      <c r="J68" s="3">
        <f>IFERROR(__xludf.DUMMYFUNCTION("""COMPUTED_VALUE"""),21.7)</f>
        <v>21.7</v>
      </c>
      <c r="K68" s="3">
        <f>IFERROR(__xludf.DUMMYFUNCTION("""COMPUTED_VALUE"""),67.8)</f>
        <v>67.8</v>
      </c>
      <c r="L68" s="3">
        <f>IFERROR(__xludf.DUMMYFUNCTION("""COMPUTED_VALUE"""),75.2)</f>
        <v>75.2</v>
      </c>
    </row>
    <row r="69">
      <c r="A69" s="3">
        <f>IFERROR(__xludf.DUMMYFUNCTION("""COMPUTED_VALUE"""),1967.0)</f>
        <v>1967</v>
      </c>
      <c r="B69" s="3">
        <f>IFERROR(__xludf.DUMMYFUNCTION("""COMPUTED_VALUE"""),4.9548E7)</f>
        <v>49548000</v>
      </c>
      <c r="C69" s="3">
        <f>IFERROR(__xludf.DUMMYFUNCTION("""COMPUTED_VALUE"""),840568.0)</f>
        <v>840568</v>
      </c>
      <c r="D69" s="3">
        <f>IFERROR(__xludf.DUMMYFUNCTION("""COMPUTED_VALUE"""),543033.0)</f>
        <v>543033</v>
      </c>
      <c r="E69" s="3">
        <f>IFERROR(__xludf.DUMMYFUNCTION("""COMPUTED_VALUE"""),297535.0)</f>
        <v>297535</v>
      </c>
      <c r="F69" s="3">
        <f>IFERROR(__xludf.DUMMYFUNCTION("""COMPUTED_VALUE"""),17.0)</f>
        <v>17</v>
      </c>
      <c r="G69" s="3">
        <f>IFERROR(__xludf.DUMMYFUNCTION("""COMPUTED_VALUE"""),11.0)</f>
        <v>11</v>
      </c>
      <c r="H69" s="3">
        <f>IFERROR(__xludf.DUMMYFUNCTION("""COMPUTED_VALUE"""),6.0)</f>
        <v>6</v>
      </c>
      <c r="I69" s="3">
        <f>IFERROR(__xludf.DUMMYFUNCTION("""COMPUTED_VALUE"""),2.67)</f>
        <v>2.67</v>
      </c>
      <c r="J69" s="3">
        <f>IFERROR(__xludf.DUMMYFUNCTION("""COMPUTED_VALUE"""),20.7)</f>
        <v>20.7</v>
      </c>
      <c r="K69" s="3">
        <f>IFERROR(__xludf.DUMMYFUNCTION("""COMPUTED_VALUE"""),67.8)</f>
        <v>67.8</v>
      </c>
      <c r="L69" s="3">
        <f>IFERROR(__xludf.DUMMYFUNCTION("""COMPUTED_VALUE"""),75.2)</f>
        <v>75.2</v>
      </c>
    </row>
    <row r="70">
      <c r="A70" s="3">
        <f>IFERROR(__xludf.DUMMYFUNCTION("""COMPUTED_VALUE"""),1968.0)</f>
        <v>1968</v>
      </c>
      <c r="B70" s="3">
        <f>IFERROR(__xludf.DUMMYFUNCTION("""COMPUTED_VALUE"""),4.9915E7)</f>
        <v>49915000</v>
      </c>
      <c r="C70" s="3">
        <f>IFERROR(__xludf.DUMMYFUNCTION("""COMPUTED_VALUE"""),835796.0)</f>
        <v>835796</v>
      </c>
      <c r="D70" s="3">
        <f>IFERROR(__xludf.DUMMYFUNCTION("""COMPUTED_VALUE"""),553441.0)</f>
        <v>553441</v>
      </c>
      <c r="E70" s="3">
        <f>IFERROR(__xludf.DUMMYFUNCTION("""COMPUTED_VALUE"""),282355.0)</f>
        <v>282355</v>
      </c>
      <c r="F70" s="3">
        <f>IFERROR(__xludf.DUMMYFUNCTION("""COMPUTED_VALUE"""),16.7)</f>
        <v>16.7</v>
      </c>
      <c r="G70" s="3">
        <f>IFERROR(__xludf.DUMMYFUNCTION("""COMPUTED_VALUE"""),11.1)</f>
        <v>11.1</v>
      </c>
      <c r="H70" s="3">
        <f>IFERROR(__xludf.DUMMYFUNCTION("""COMPUTED_VALUE"""),5.7)</f>
        <v>5.7</v>
      </c>
      <c r="I70" s="3">
        <f>IFERROR(__xludf.DUMMYFUNCTION("""COMPUTED_VALUE"""),2.59)</f>
        <v>2.59</v>
      </c>
      <c r="J70" s="3">
        <f>IFERROR(__xludf.DUMMYFUNCTION("""COMPUTED_VALUE"""),20.4)</f>
        <v>20.4</v>
      </c>
      <c r="K70" s="3">
        <f>IFERROR(__xludf.DUMMYFUNCTION("""COMPUTED_VALUE"""),67.8)</f>
        <v>67.8</v>
      </c>
      <c r="L70" s="3">
        <f>IFERROR(__xludf.DUMMYFUNCTION("""COMPUTED_VALUE"""),75.2)</f>
        <v>75.2</v>
      </c>
    </row>
    <row r="71">
      <c r="A71" s="3">
        <f>IFERROR(__xludf.DUMMYFUNCTION("""COMPUTED_VALUE"""),1969.0)</f>
        <v>1969</v>
      </c>
      <c r="B71" s="3">
        <f>IFERROR(__xludf.DUMMYFUNCTION("""COMPUTED_VALUE"""),5.0318E7)</f>
        <v>50318000</v>
      </c>
      <c r="C71" s="3">
        <f>IFERROR(__xludf.DUMMYFUNCTION("""COMPUTED_VALUE"""),842245.0)</f>
        <v>842245</v>
      </c>
      <c r="D71" s="3">
        <f>IFERROR(__xludf.DUMMYFUNCTION("""COMPUTED_VALUE"""),573335.0)</f>
        <v>573335</v>
      </c>
      <c r="E71" s="3">
        <f>IFERROR(__xludf.DUMMYFUNCTION("""COMPUTED_VALUE"""),268910.0)</f>
        <v>268910</v>
      </c>
      <c r="F71" s="3">
        <f>IFERROR(__xludf.DUMMYFUNCTION("""COMPUTED_VALUE"""),16.7)</f>
        <v>16.7</v>
      </c>
      <c r="G71" s="3">
        <f>IFERROR(__xludf.DUMMYFUNCTION("""COMPUTED_VALUE"""),11.4)</f>
        <v>11.4</v>
      </c>
      <c r="H71" s="3">
        <f>IFERROR(__xludf.DUMMYFUNCTION("""COMPUTED_VALUE"""),5.3)</f>
        <v>5.3</v>
      </c>
      <c r="I71" s="3">
        <f>IFERROR(__xludf.DUMMYFUNCTION("""COMPUTED_VALUE"""),2.53)</f>
        <v>2.53</v>
      </c>
      <c r="J71" s="3">
        <f>IFERROR(__xludf.DUMMYFUNCTION("""COMPUTED_VALUE"""),19.6)</f>
        <v>19.6</v>
      </c>
      <c r="K71" s="3">
        <f>IFERROR(__xludf.DUMMYFUNCTION("""COMPUTED_VALUE"""),67.4)</f>
        <v>67.4</v>
      </c>
      <c r="L71" s="3">
        <f>IFERROR(__xludf.DUMMYFUNCTION("""COMPUTED_VALUE"""),75.1)</f>
        <v>75.1</v>
      </c>
    </row>
    <row r="72">
      <c r="A72" s="3">
        <f>IFERROR(__xludf.DUMMYFUNCTION("""COMPUTED_VALUE"""),1970.0)</f>
        <v>1970</v>
      </c>
      <c r="B72" s="3">
        <f>IFERROR(__xludf.DUMMYFUNCTION("""COMPUTED_VALUE"""),5.0772E7)</f>
        <v>50772000</v>
      </c>
      <c r="C72" s="3">
        <f>IFERROR(__xludf.DUMMYFUNCTION("""COMPUTED_VALUE"""),850381.0)</f>
        <v>850381</v>
      </c>
      <c r="D72" s="3">
        <f>IFERROR(__xludf.DUMMYFUNCTION("""COMPUTED_VALUE"""),542277.0)</f>
        <v>542277</v>
      </c>
      <c r="E72" s="3">
        <f>IFERROR(__xludf.DUMMYFUNCTION("""COMPUTED_VALUE"""),308104.0)</f>
        <v>308104</v>
      </c>
      <c r="F72" s="3">
        <f>IFERROR(__xludf.DUMMYFUNCTION("""COMPUTED_VALUE"""),16.7)</f>
        <v>16.7</v>
      </c>
      <c r="G72" s="3">
        <f>IFERROR(__xludf.DUMMYFUNCTION("""COMPUTED_VALUE"""),10.7)</f>
        <v>10.7</v>
      </c>
      <c r="H72" s="3">
        <f>IFERROR(__xludf.DUMMYFUNCTION("""COMPUTED_VALUE"""),6.1)</f>
        <v>6.1</v>
      </c>
      <c r="I72" s="3">
        <f>IFERROR(__xludf.DUMMYFUNCTION("""COMPUTED_VALUE"""),2.48)</f>
        <v>2.48</v>
      </c>
      <c r="J72" s="3">
        <f>IFERROR(__xludf.DUMMYFUNCTION("""COMPUTED_VALUE"""),18.2)</f>
        <v>18.2</v>
      </c>
      <c r="K72" s="3">
        <f>IFERROR(__xludf.DUMMYFUNCTION("""COMPUTED_VALUE"""),68.4)</f>
        <v>68.4</v>
      </c>
      <c r="L72" s="3">
        <f>IFERROR(__xludf.DUMMYFUNCTION("""COMPUTED_VALUE"""),75.9)</f>
        <v>75.9</v>
      </c>
    </row>
    <row r="73">
      <c r="A73" s="3">
        <f>IFERROR(__xludf.DUMMYFUNCTION("""COMPUTED_VALUE"""),1971.0)</f>
        <v>1971</v>
      </c>
      <c r="B73" s="3">
        <f>IFERROR(__xludf.DUMMYFUNCTION("""COMPUTED_VALUE"""),5.1251E7)</f>
        <v>51251000</v>
      </c>
      <c r="C73" s="3">
        <f>IFERROR(__xludf.DUMMYFUNCTION("""COMPUTED_VALUE"""),881284.0)</f>
        <v>881284</v>
      </c>
      <c r="D73" s="3">
        <f>IFERROR(__xludf.DUMMYFUNCTION("""COMPUTED_VALUE"""),554151.0)</f>
        <v>554151</v>
      </c>
      <c r="E73" s="3">
        <f>IFERROR(__xludf.DUMMYFUNCTION("""COMPUTED_VALUE"""),327133.0)</f>
        <v>327133</v>
      </c>
      <c r="F73" s="3">
        <f>IFERROR(__xludf.DUMMYFUNCTION("""COMPUTED_VALUE"""),17.2)</f>
        <v>17.2</v>
      </c>
      <c r="G73" s="3">
        <f>IFERROR(__xludf.DUMMYFUNCTION("""COMPUTED_VALUE"""),10.8)</f>
        <v>10.8</v>
      </c>
      <c r="H73" s="3">
        <f>IFERROR(__xludf.DUMMYFUNCTION("""COMPUTED_VALUE"""),6.4)</f>
        <v>6.4</v>
      </c>
      <c r="I73" s="3">
        <f>IFERROR(__xludf.DUMMYFUNCTION("""COMPUTED_VALUE"""),2.5)</f>
        <v>2.5</v>
      </c>
      <c r="J73" s="3">
        <f>IFERROR(__xludf.DUMMYFUNCTION("""COMPUTED_VALUE"""),17.2)</f>
        <v>17.2</v>
      </c>
      <c r="K73" s="3">
        <f>IFERROR(__xludf.DUMMYFUNCTION("""COMPUTED_VALUE"""),68.3)</f>
        <v>68.3</v>
      </c>
      <c r="L73" s="3">
        <f>IFERROR(__xludf.DUMMYFUNCTION("""COMPUTED_VALUE"""),75.9)</f>
        <v>75.9</v>
      </c>
    </row>
    <row r="74">
      <c r="A74" s="3">
        <f>IFERROR(__xludf.DUMMYFUNCTION("""COMPUTED_VALUE"""),1972.0)</f>
        <v>1972</v>
      </c>
      <c r="B74" s="3">
        <f>IFERROR(__xludf.DUMMYFUNCTION("""COMPUTED_VALUE"""),5.1701E7)</f>
        <v>51701000</v>
      </c>
      <c r="C74" s="3">
        <f>IFERROR(__xludf.DUMMYFUNCTION("""COMPUTED_VALUE"""),877506.0)</f>
        <v>877506</v>
      </c>
      <c r="D74" s="3">
        <f>IFERROR(__xludf.DUMMYFUNCTION("""COMPUTED_VALUE"""),549900.0)</f>
        <v>549900</v>
      </c>
      <c r="E74" s="3">
        <f>IFERROR(__xludf.DUMMYFUNCTION("""COMPUTED_VALUE"""),327606.0)</f>
        <v>327606</v>
      </c>
      <c r="F74" s="3">
        <f>IFERROR(__xludf.DUMMYFUNCTION("""COMPUTED_VALUE"""),17.0)</f>
        <v>17</v>
      </c>
      <c r="G74" s="3">
        <f>IFERROR(__xludf.DUMMYFUNCTION("""COMPUTED_VALUE"""),10.6)</f>
        <v>10.6</v>
      </c>
      <c r="H74" s="3">
        <f>IFERROR(__xludf.DUMMYFUNCTION("""COMPUTED_VALUE"""),6.3)</f>
        <v>6.3</v>
      </c>
      <c r="I74" s="3">
        <f>IFERROR(__xludf.DUMMYFUNCTION("""COMPUTED_VALUE"""),2.42)</f>
        <v>2.42</v>
      </c>
      <c r="J74" s="3">
        <f>IFERROR(__xludf.DUMMYFUNCTION("""COMPUTED_VALUE"""),16.0)</f>
        <v>16</v>
      </c>
      <c r="K74" s="3">
        <f>IFERROR(__xludf.DUMMYFUNCTION("""COMPUTED_VALUE"""),68.5)</f>
        <v>68.5</v>
      </c>
      <c r="L74" s="3">
        <f>IFERROR(__xludf.DUMMYFUNCTION("""COMPUTED_VALUE"""),76.2)</f>
        <v>76.2</v>
      </c>
    </row>
    <row r="75">
      <c r="A75" s="3">
        <f>IFERROR(__xludf.DUMMYFUNCTION("""COMPUTED_VALUE"""),1973.0)</f>
        <v>1973</v>
      </c>
      <c r="B75" s="3">
        <f>IFERROR(__xludf.DUMMYFUNCTION("""COMPUTED_VALUE"""),5.2118E7)</f>
        <v>52118000</v>
      </c>
      <c r="C75" s="3">
        <f>IFERROR(__xludf.DUMMYFUNCTION("""COMPUTED_VALUE"""),857186.0)</f>
        <v>857186</v>
      </c>
      <c r="D75" s="3">
        <f>IFERROR(__xludf.DUMMYFUNCTION("""COMPUTED_VALUE"""),558782.0)</f>
        <v>558782</v>
      </c>
      <c r="E75" s="3">
        <f>IFERROR(__xludf.DUMMYFUNCTION("""COMPUTED_VALUE"""),298404.0)</f>
        <v>298404</v>
      </c>
      <c r="F75" s="3">
        <f>IFERROR(__xludf.DUMMYFUNCTION("""COMPUTED_VALUE"""),16.4)</f>
        <v>16.4</v>
      </c>
      <c r="G75" s="3">
        <f>IFERROR(__xludf.DUMMYFUNCTION("""COMPUTED_VALUE"""),10.7)</f>
        <v>10.7</v>
      </c>
      <c r="H75" s="3">
        <f>IFERROR(__xludf.DUMMYFUNCTION("""COMPUTED_VALUE"""),5.7)</f>
        <v>5.7</v>
      </c>
      <c r="I75" s="3">
        <f>IFERROR(__xludf.DUMMYFUNCTION("""COMPUTED_VALUE"""),2.31)</f>
        <v>2.31</v>
      </c>
      <c r="J75" s="3">
        <f>IFERROR(__xludf.DUMMYFUNCTION("""COMPUTED_VALUE"""),15.4)</f>
        <v>15.4</v>
      </c>
      <c r="K75" s="3">
        <f>IFERROR(__xludf.DUMMYFUNCTION("""COMPUTED_VALUE"""),68.7)</f>
        <v>68.7</v>
      </c>
      <c r="L75" s="3">
        <f>IFERROR(__xludf.DUMMYFUNCTION("""COMPUTED_VALUE"""),76.3)</f>
        <v>76.3</v>
      </c>
    </row>
    <row r="76">
      <c r="A76" s="3">
        <f>IFERROR(__xludf.DUMMYFUNCTION("""COMPUTED_VALUE"""),1974.0)</f>
        <v>1974</v>
      </c>
      <c r="B76" s="3">
        <f>IFERROR(__xludf.DUMMYFUNCTION("""COMPUTED_VALUE"""),5.246E7)</f>
        <v>52460000</v>
      </c>
      <c r="C76" s="3">
        <f>IFERROR(__xludf.DUMMYFUNCTION("""COMPUTED_VALUE"""),801218.0)</f>
        <v>801218</v>
      </c>
      <c r="D76" s="3">
        <f>IFERROR(__xludf.DUMMYFUNCTION("""COMPUTED_VALUE"""),552551.0)</f>
        <v>552551</v>
      </c>
      <c r="E76" s="3">
        <f>IFERROR(__xludf.DUMMYFUNCTION("""COMPUTED_VALUE"""),248667.0)</f>
        <v>248667</v>
      </c>
      <c r="F76" s="3">
        <f>IFERROR(__xludf.DUMMYFUNCTION("""COMPUTED_VALUE"""),15.3)</f>
        <v>15.3</v>
      </c>
      <c r="G76" s="3">
        <f>IFERROR(__xludf.DUMMYFUNCTION("""COMPUTED_VALUE"""),10.5)</f>
        <v>10.5</v>
      </c>
      <c r="H76" s="3">
        <f>IFERROR(__xludf.DUMMYFUNCTION("""COMPUTED_VALUE"""),4.7)</f>
        <v>4.7</v>
      </c>
      <c r="I76" s="3">
        <f>IFERROR(__xludf.DUMMYFUNCTION("""COMPUTED_VALUE"""),2.11)</f>
        <v>2.11</v>
      </c>
      <c r="J76" s="3">
        <f>IFERROR(__xludf.DUMMYFUNCTION("""COMPUTED_VALUE"""),14.6)</f>
        <v>14.6</v>
      </c>
      <c r="K76" s="3">
        <f>IFERROR(__xludf.DUMMYFUNCTION("""COMPUTED_VALUE"""),68.9)</f>
        <v>68.9</v>
      </c>
      <c r="L76" s="3">
        <f>IFERROR(__xludf.DUMMYFUNCTION("""COMPUTED_VALUE"""),76.7)</f>
        <v>76.7</v>
      </c>
    </row>
    <row r="77">
      <c r="A77" s="3">
        <f>IFERROR(__xludf.DUMMYFUNCTION("""COMPUTED_VALUE"""),1975.0)</f>
        <v>1975</v>
      </c>
      <c r="B77" s="3">
        <f>IFERROR(__xludf.DUMMYFUNCTION("""COMPUTED_VALUE"""),5.2699E7)</f>
        <v>52699000</v>
      </c>
      <c r="C77" s="3">
        <f>IFERROR(__xludf.DUMMYFUNCTION("""COMPUTED_VALUE"""),745065.0)</f>
        <v>745065</v>
      </c>
      <c r="D77" s="3">
        <f>IFERROR(__xludf.DUMMYFUNCTION("""COMPUTED_VALUE"""),560353.0)</f>
        <v>560353</v>
      </c>
      <c r="E77" s="3">
        <f>IFERROR(__xludf.DUMMYFUNCTION("""COMPUTED_VALUE"""),184712.0)</f>
        <v>184712</v>
      </c>
      <c r="F77" s="3">
        <f>IFERROR(__xludf.DUMMYFUNCTION("""COMPUTED_VALUE"""),14.1)</f>
        <v>14.1</v>
      </c>
      <c r="G77" s="3">
        <f>IFERROR(__xludf.DUMMYFUNCTION("""COMPUTED_VALUE"""),10.6)</f>
        <v>10.6</v>
      </c>
      <c r="H77" s="3">
        <f>IFERROR(__xludf.DUMMYFUNCTION("""COMPUTED_VALUE"""),3.5)</f>
        <v>3.5</v>
      </c>
      <c r="I77" s="3">
        <f>IFERROR(__xludf.DUMMYFUNCTION("""COMPUTED_VALUE"""),1.93)</f>
        <v>1.93</v>
      </c>
      <c r="J77" s="3">
        <f>IFERROR(__xludf.DUMMYFUNCTION("""COMPUTED_VALUE"""),13.8)</f>
        <v>13.8</v>
      </c>
      <c r="K77" s="3">
        <f>IFERROR(__xludf.DUMMYFUNCTION("""COMPUTED_VALUE"""),69.0)</f>
        <v>69</v>
      </c>
      <c r="L77" s="3">
        <f>IFERROR(__xludf.DUMMYFUNCTION("""COMPUTED_VALUE"""),76.9)</f>
        <v>76.9</v>
      </c>
    </row>
    <row r="78">
      <c r="A78" s="3">
        <f>IFERROR(__xludf.DUMMYFUNCTION("""COMPUTED_VALUE"""),1976.0)</f>
        <v>1976</v>
      </c>
      <c r="B78" s="3">
        <f>IFERROR(__xludf.DUMMYFUNCTION("""COMPUTED_VALUE"""),5.2909E7)</f>
        <v>52909000</v>
      </c>
      <c r="C78" s="3">
        <f>IFERROR(__xludf.DUMMYFUNCTION("""COMPUTED_VALUE"""),720395.0)</f>
        <v>720395</v>
      </c>
      <c r="D78" s="3">
        <f>IFERROR(__xludf.DUMMYFUNCTION("""COMPUTED_VALUE"""),557114.0)</f>
        <v>557114</v>
      </c>
      <c r="E78" s="3">
        <f>IFERROR(__xludf.DUMMYFUNCTION("""COMPUTED_VALUE"""),163281.0)</f>
        <v>163281</v>
      </c>
      <c r="F78" s="3">
        <f>IFERROR(__xludf.DUMMYFUNCTION("""COMPUTED_VALUE"""),13.6)</f>
        <v>13.6</v>
      </c>
      <c r="G78" s="3">
        <f>IFERROR(__xludf.DUMMYFUNCTION("""COMPUTED_VALUE"""),10.5)</f>
        <v>10.5</v>
      </c>
      <c r="H78" s="3">
        <f>IFERROR(__xludf.DUMMYFUNCTION("""COMPUTED_VALUE"""),3.1)</f>
        <v>3.1</v>
      </c>
      <c r="I78" s="3">
        <f>IFERROR(__xludf.DUMMYFUNCTION("""COMPUTED_VALUE"""),1.83)</f>
        <v>1.83</v>
      </c>
      <c r="J78" s="3">
        <f>IFERROR(__xludf.DUMMYFUNCTION("""COMPUTED_VALUE"""),12.5)</f>
        <v>12.5</v>
      </c>
      <c r="K78" s="3">
        <f>IFERROR(__xludf.DUMMYFUNCTION("""COMPUTED_VALUE"""),69.2)</f>
        <v>69.2</v>
      </c>
      <c r="L78" s="3">
        <f>IFERROR(__xludf.DUMMYFUNCTION("""COMPUTED_VALUE"""),77.2)</f>
        <v>77.2</v>
      </c>
    </row>
    <row r="79">
      <c r="A79" s="3">
        <f>IFERROR(__xludf.DUMMYFUNCTION("""COMPUTED_VALUE"""),1977.0)</f>
        <v>1977</v>
      </c>
      <c r="B79" s="3">
        <f>IFERROR(__xludf.DUMMYFUNCTION("""COMPUTED_VALUE"""),5.3145E7)</f>
        <v>53145000</v>
      </c>
      <c r="C79" s="3">
        <f>IFERROR(__xludf.DUMMYFUNCTION("""COMPUTED_VALUE"""),744744.0)</f>
        <v>744744</v>
      </c>
      <c r="D79" s="3">
        <f>IFERROR(__xludf.DUMMYFUNCTION("""COMPUTED_VALUE"""),536221.0)</f>
        <v>536221</v>
      </c>
      <c r="E79" s="3">
        <f>IFERROR(__xludf.DUMMYFUNCTION("""COMPUTED_VALUE"""),208523.0)</f>
        <v>208523</v>
      </c>
      <c r="F79" s="3">
        <f>IFERROR(__xludf.DUMMYFUNCTION("""COMPUTED_VALUE"""),14.0)</f>
        <v>14</v>
      </c>
      <c r="G79" s="3">
        <f>IFERROR(__xludf.DUMMYFUNCTION("""COMPUTED_VALUE"""),10.1)</f>
        <v>10.1</v>
      </c>
      <c r="H79" s="3">
        <f>IFERROR(__xludf.DUMMYFUNCTION("""COMPUTED_VALUE"""),3.9)</f>
        <v>3.9</v>
      </c>
      <c r="I79" s="3">
        <f>IFERROR(__xludf.DUMMYFUNCTION("""COMPUTED_VALUE"""),1.86)</f>
        <v>1.86</v>
      </c>
      <c r="J79" s="3">
        <f>IFERROR(__xludf.DUMMYFUNCTION("""COMPUTED_VALUE"""),11.4)</f>
        <v>11.4</v>
      </c>
      <c r="K79" s="3">
        <f>IFERROR(__xludf.DUMMYFUNCTION("""COMPUTED_VALUE"""),69.7)</f>
        <v>69.7</v>
      </c>
      <c r="L79" s="3">
        <f>IFERROR(__xludf.DUMMYFUNCTION("""COMPUTED_VALUE"""),77.8)</f>
        <v>77.8</v>
      </c>
    </row>
    <row r="80">
      <c r="A80" s="3">
        <f>IFERROR(__xludf.DUMMYFUNCTION("""COMPUTED_VALUE"""),1978.0)</f>
        <v>1978</v>
      </c>
      <c r="B80" s="3">
        <f>IFERROR(__xludf.DUMMYFUNCTION("""COMPUTED_VALUE"""),5.3376E7)</f>
        <v>53376000</v>
      </c>
      <c r="C80" s="3">
        <f>IFERROR(__xludf.DUMMYFUNCTION("""COMPUTED_VALUE"""),737062.0)</f>
        <v>737062</v>
      </c>
      <c r="D80" s="3">
        <f>IFERROR(__xludf.DUMMYFUNCTION("""COMPUTED_VALUE"""),546916.0)</f>
        <v>546916</v>
      </c>
      <c r="E80" s="3">
        <f>IFERROR(__xludf.DUMMYFUNCTION("""COMPUTED_VALUE"""),190146.0)</f>
        <v>190146</v>
      </c>
      <c r="F80" s="3">
        <f>IFERROR(__xludf.DUMMYFUNCTION("""COMPUTED_VALUE"""),13.8)</f>
        <v>13.8</v>
      </c>
      <c r="G80" s="3">
        <f>IFERROR(__xludf.DUMMYFUNCTION("""COMPUTED_VALUE"""),10.2)</f>
        <v>10.2</v>
      </c>
      <c r="H80" s="3">
        <f>IFERROR(__xludf.DUMMYFUNCTION("""COMPUTED_VALUE"""),3.6)</f>
        <v>3.6</v>
      </c>
      <c r="I80" s="3">
        <f>IFERROR(__xludf.DUMMYFUNCTION("""COMPUTED_VALUE"""),1.82)</f>
        <v>1.82</v>
      </c>
      <c r="J80" s="3">
        <f>IFERROR(__xludf.DUMMYFUNCTION("""COMPUTED_VALUE"""),10.7)</f>
        <v>10.7</v>
      </c>
      <c r="K80" s="3">
        <f>IFERROR(__xludf.DUMMYFUNCTION("""COMPUTED_VALUE"""),69.8)</f>
        <v>69.8</v>
      </c>
      <c r="L80" s="3">
        <f>IFERROR(__xludf.DUMMYFUNCTION("""COMPUTED_VALUE"""),77.9)</f>
        <v>77.9</v>
      </c>
    </row>
    <row r="81">
      <c r="A81" s="3">
        <f>IFERROR(__xludf.DUMMYFUNCTION("""COMPUTED_VALUE"""),1979.0)</f>
        <v>1979</v>
      </c>
      <c r="B81" s="3">
        <f>IFERROR(__xludf.DUMMYFUNCTION("""COMPUTED_VALUE"""),5.3606E7)</f>
        <v>53606000</v>
      </c>
      <c r="C81" s="3">
        <f>IFERROR(__xludf.DUMMYFUNCTION("""COMPUTED_VALUE"""),757354.0)</f>
        <v>757354</v>
      </c>
      <c r="D81" s="3">
        <f>IFERROR(__xludf.DUMMYFUNCTION("""COMPUTED_VALUE"""),541805.0)</f>
        <v>541805</v>
      </c>
      <c r="E81" s="3">
        <f>IFERROR(__xludf.DUMMYFUNCTION("""COMPUTED_VALUE"""),215549.0)</f>
        <v>215549</v>
      </c>
      <c r="F81" s="3">
        <f>IFERROR(__xludf.DUMMYFUNCTION("""COMPUTED_VALUE"""),14.1)</f>
        <v>14.1</v>
      </c>
      <c r="G81" s="3">
        <f>IFERROR(__xludf.DUMMYFUNCTION("""COMPUTED_VALUE"""),10.1)</f>
        <v>10.1</v>
      </c>
      <c r="H81" s="3">
        <f>IFERROR(__xludf.DUMMYFUNCTION("""COMPUTED_VALUE"""),4.0)</f>
        <v>4</v>
      </c>
      <c r="I81" s="3">
        <f>IFERROR(__xludf.DUMMYFUNCTION("""COMPUTED_VALUE"""),1.86)</f>
        <v>1.86</v>
      </c>
      <c r="J81" s="3">
        <f>IFERROR(__xludf.DUMMYFUNCTION("""COMPUTED_VALUE"""),10.0)</f>
        <v>10</v>
      </c>
      <c r="K81" s="3">
        <f>IFERROR(__xludf.DUMMYFUNCTION("""COMPUTED_VALUE"""),70.1)</f>
        <v>70.1</v>
      </c>
      <c r="L81" s="3">
        <f>IFERROR(__xludf.DUMMYFUNCTION("""COMPUTED_VALUE"""),78.3)</f>
        <v>78.3</v>
      </c>
    </row>
    <row r="82">
      <c r="A82" s="3">
        <f>IFERROR(__xludf.DUMMYFUNCTION("""COMPUTED_VALUE"""),1980.0)</f>
        <v>1980</v>
      </c>
      <c r="B82" s="3">
        <f>IFERROR(__xludf.DUMMYFUNCTION("""COMPUTED_VALUE"""),5.388E7)</f>
        <v>53880000</v>
      </c>
      <c r="C82" s="3">
        <f>IFERROR(__xludf.DUMMYFUNCTION("""COMPUTED_VALUE"""),800376.0)</f>
        <v>800376</v>
      </c>
      <c r="D82" s="3">
        <f>IFERROR(__xludf.DUMMYFUNCTION("""COMPUTED_VALUE"""),547107.0)</f>
        <v>547107</v>
      </c>
      <c r="E82" s="3">
        <f>IFERROR(__xludf.DUMMYFUNCTION("""COMPUTED_VALUE"""),253269.0)</f>
        <v>253269</v>
      </c>
      <c r="F82" s="3">
        <f>IFERROR(__xludf.DUMMYFUNCTION("""COMPUTED_VALUE"""),14.9)</f>
        <v>14.9</v>
      </c>
      <c r="G82" s="3">
        <f>IFERROR(__xludf.DUMMYFUNCTION("""COMPUTED_VALUE"""),10.2)</f>
        <v>10.2</v>
      </c>
      <c r="H82" s="3">
        <f>IFERROR(__xludf.DUMMYFUNCTION("""COMPUTED_VALUE"""),4.7)</f>
        <v>4.7</v>
      </c>
      <c r="I82" s="3">
        <f>IFERROR(__xludf.DUMMYFUNCTION("""COMPUTED_VALUE"""),1.95)</f>
        <v>1.95</v>
      </c>
      <c r="J82" s="3">
        <f>IFERROR(__xludf.DUMMYFUNCTION("""COMPUTED_VALUE"""),10.0)</f>
        <v>10</v>
      </c>
      <c r="K82" s="3">
        <f>IFERROR(__xludf.DUMMYFUNCTION("""COMPUTED_VALUE"""),70.2)</f>
        <v>70.2</v>
      </c>
      <c r="L82" s="3">
        <f>IFERROR(__xludf.DUMMYFUNCTION("""COMPUTED_VALUE"""),78.4)</f>
        <v>78.4</v>
      </c>
    </row>
    <row r="83">
      <c r="A83" s="3">
        <f>IFERROR(__xludf.DUMMYFUNCTION("""COMPUTED_VALUE"""),1981.0)</f>
        <v>1981</v>
      </c>
      <c r="B83" s="3">
        <f>IFERROR(__xludf.DUMMYFUNCTION("""COMPUTED_VALUE"""),5.4182E7)</f>
        <v>54182000</v>
      </c>
      <c r="C83" s="3">
        <f>IFERROR(__xludf.DUMMYFUNCTION("""COMPUTED_VALUE"""),805483.0)</f>
        <v>805483</v>
      </c>
      <c r="D83" s="3">
        <f>IFERROR(__xludf.DUMMYFUNCTION("""COMPUTED_VALUE"""),554823.0)</f>
        <v>554823</v>
      </c>
      <c r="E83" s="3">
        <f>IFERROR(__xludf.DUMMYFUNCTION("""COMPUTED_VALUE"""),250660.0)</f>
        <v>250660</v>
      </c>
      <c r="F83" s="3">
        <f>IFERROR(__xludf.DUMMYFUNCTION("""COMPUTED_VALUE"""),14.9)</f>
        <v>14.9</v>
      </c>
      <c r="G83" s="3">
        <f>IFERROR(__xludf.DUMMYFUNCTION("""COMPUTED_VALUE"""),10.2)</f>
        <v>10.2</v>
      </c>
      <c r="H83" s="3">
        <f>IFERROR(__xludf.DUMMYFUNCTION("""COMPUTED_VALUE"""),4.6)</f>
        <v>4.6</v>
      </c>
      <c r="I83" s="3">
        <f>IFERROR(__xludf.DUMMYFUNCTION("""COMPUTED_VALUE"""),1.95)</f>
        <v>1.95</v>
      </c>
      <c r="J83" s="3">
        <f>IFERROR(__xludf.DUMMYFUNCTION("""COMPUTED_VALUE"""),9.7)</f>
        <v>9.7</v>
      </c>
      <c r="K83" s="3">
        <f>IFERROR(__xludf.DUMMYFUNCTION("""COMPUTED_VALUE"""),70.4)</f>
        <v>70.4</v>
      </c>
      <c r="L83" s="3">
        <f>IFERROR(__xludf.DUMMYFUNCTION("""COMPUTED_VALUE"""),78.5)</f>
        <v>78.5</v>
      </c>
    </row>
    <row r="84">
      <c r="A84" s="3">
        <f>IFERROR(__xludf.DUMMYFUNCTION("""COMPUTED_VALUE"""),1982.0)</f>
        <v>1982</v>
      </c>
      <c r="B84" s="3">
        <f>IFERROR(__xludf.DUMMYFUNCTION("""COMPUTED_VALUE"""),5.4492E7)</f>
        <v>54492000</v>
      </c>
      <c r="C84" s="3">
        <f>IFERROR(__xludf.DUMMYFUNCTION("""COMPUTED_VALUE"""),797223.0)</f>
        <v>797223</v>
      </c>
      <c r="D84" s="3">
        <f>IFERROR(__xludf.DUMMYFUNCTION("""COMPUTED_VALUE"""),543104.0)</f>
        <v>543104</v>
      </c>
      <c r="E84" s="3">
        <f>IFERROR(__xludf.DUMMYFUNCTION("""COMPUTED_VALUE"""),254119.0)</f>
        <v>254119</v>
      </c>
      <c r="F84" s="3">
        <f>IFERROR(__xludf.DUMMYFUNCTION("""COMPUTED_VALUE"""),14.6)</f>
        <v>14.6</v>
      </c>
      <c r="G84" s="3">
        <f>IFERROR(__xludf.DUMMYFUNCTION("""COMPUTED_VALUE"""),10.0)</f>
        <v>10</v>
      </c>
      <c r="H84" s="3">
        <f>IFERROR(__xludf.DUMMYFUNCTION("""COMPUTED_VALUE"""),4.7)</f>
        <v>4.7</v>
      </c>
      <c r="I84" s="3">
        <f>IFERROR(__xludf.DUMMYFUNCTION("""COMPUTED_VALUE"""),1.91)</f>
        <v>1.91</v>
      </c>
      <c r="J84" s="3">
        <f>IFERROR(__xludf.DUMMYFUNCTION("""COMPUTED_VALUE"""),9.5)</f>
        <v>9.5</v>
      </c>
      <c r="K84" s="3">
        <f>IFERROR(__xludf.DUMMYFUNCTION("""COMPUTED_VALUE"""),70.7)</f>
        <v>70.7</v>
      </c>
      <c r="L84" s="3">
        <f>IFERROR(__xludf.DUMMYFUNCTION("""COMPUTED_VALUE"""),78.9)</f>
        <v>78.9</v>
      </c>
    </row>
    <row r="85">
      <c r="A85" s="3">
        <f>IFERROR(__xludf.DUMMYFUNCTION("""COMPUTED_VALUE"""),1983.0)</f>
        <v>1983</v>
      </c>
      <c r="B85" s="3">
        <f>IFERROR(__xludf.DUMMYFUNCTION("""COMPUTED_VALUE"""),5.4772E7)</f>
        <v>54772000</v>
      </c>
      <c r="C85" s="3">
        <f>IFERROR(__xludf.DUMMYFUNCTION("""COMPUTED_VALUE"""),748525.0)</f>
        <v>748525</v>
      </c>
      <c r="D85" s="3">
        <f>IFERROR(__xludf.DUMMYFUNCTION("""COMPUTED_VALUE"""),559655.0)</f>
        <v>559655</v>
      </c>
      <c r="E85" s="3">
        <f>IFERROR(__xludf.DUMMYFUNCTION("""COMPUTED_VALUE"""),188870.0)</f>
        <v>188870</v>
      </c>
      <c r="F85" s="3">
        <f>IFERROR(__xludf.DUMMYFUNCTION("""COMPUTED_VALUE"""),13.7)</f>
        <v>13.7</v>
      </c>
      <c r="G85" s="3">
        <f>IFERROR(__xludf.DUMMYFUNCTION("""COMPUTED_VALUE"""),10.2)</f>
        <v>10.2</v>
      </c>
      <c r="H85" s="3">
        <f>IFERROR(__xludf.DUMMYFUNCTION("""COMPUTED_VALUE"""),3.4)</f>
        <v>3.4</v>
      </c>
      <c r="I85" s="3">
        <f>IFERROR(__xludf.DUMMYFUNCTION("""COMPUTED_VALUE"""),1.78)</f>
        <v>1.78</v>
      </c>
      <c r="J85" s="3">
        <f>IFERROR(__xludf.DUMMYFUNCTION("""COMPUTED_VALUE"""),9.1)</f>
        <v>9.1</v>
      </c>
      <c r="K85" s="3">
        <f>IFERROR(__xludf.DUMMYFUNCTION("""COMPUTED_VALUE"""),70.7)</f>
        <v>70.7</v>
      </c>
      <c r="L85" s="3">
        <f>IFERROR(__xludf.DUMMYFUNCTION("""COMPUTED_VALUE"""),78.8)</f>
        <v>78.8</v>
      </c>
    </row>
    <row r="86">
      <c r="A86" s="3">
        <f>IFERROR(__xludf.DUMMYFUNCTION("""COMPUTED_VALUE"""),1984.0)</f>
        <v>1984</v>
      </c>
      <c r="B86" s="3">
        <f>IFERROR(__xludf.DUMMYFUNCTION("""COMPUTED_VALUE"""),5.5026E7)</f>
        <v>55026000</v>
      </c>
      <c r="C86" s="3">
        <f>IFERROR(__xludf.DUMMYFUNCTION("""COMPUTED_VALUE"""),759939.0)</f>
        <v>759939</v>
      </c>
      <c r="D86" s="3">
        <f>IFERROR(__xludf.DUMMYFUNCTION("""COMPUTED_VALUE"""),542490.0)</f>
        <v>542490</v>
      </c>
      <c r="E86" s="3">
        <f>IFERROR(__xludf.DUMMYFUNCTION("""COMPUTED_VALUE"""),217449.0)</f>
        <v>217449</v>
      </c>
      <c r="F86" s="3">
        <f>IFERROR(__xludf.DUMMYFUNCTION("""COMPUTED_VALUE"""),13.8)</f>
        <v>13.8</v>
      </c>
      <c r="G86" s="3">
        <f>IFERROR(__xludf.DUMMYFUNCTION("""COMPUTED_VALUE"""),9.9)</f>
        <v>9.9</v>
      </c>
      <c r="H86" s="3">
        <f>IFERROR(__xludf.DUMMYFUNCTION("""COMPUTED_VALUE"""),4.0)</f>
        <v>4</v>
      </c>
      <c r="I86" s="3">
        <f>IFERROR(__xludf.DUMMYFUNCTION("""COMPUTED_VALUE"""),1.8)</f>
        <v>1.8</v>
      </c>
      <c r="J86" s="3">
        <f>IFERROR(__xludf.DUMMYFUNCTION("""COMPUTED_VALUE"""),8.3)</f>
        <v>8.3</v>
      </c>
      <c r="K86" s="3">
        <f>IFERROR(__xludf.DUMMYFUNCTION("""COMPUTED_VALUE"""),71.2)</f>
        <v>71.2</v>
      </c>
      <c r="L86" s="3">
        <f>IFERROR(__xludf.DUMMYFUNCTION("""COMPUTED_VALUE"""),79.3)</f>
        <v>79.3</v>
      </c>
    </row>
    <row r="87">
      <c r="A87" s="3">
        <f>IFERROR(__xludf.DUMMYFUNCTION("""COMPUTED_VALUE"""),1985.0)</f>
        <v>1985</v>
      </c>
      <c r="B87" s="3">
        <f>IFERROR(__xludf.DUMMYFUNCTION("""COMPUTED_VALUE"""),5.5284E7)</f>
        <v>55284000</v>
      </c>
      <c r="C87" s="3">
        <f>IFERROR(__xludf.DUMMYFUNCTION("""COMPUTED_VALUE"""),768431.0)</f>
        <v>768431</v>
      </c>
      <c r="D87" s="3">
        <f>IFERROR(__xludf.DUMMYFUNCTION("""COMPUTED_VALUE"""),552496.0)</f>
        <v>552496</v>
      </c>
      <c r="E87" s="3">
        <f>IFERROR(__xludf.DUMMYFUNCTION("""COMPUTED_VALUE"""),215935.0)</f>
        <v>215935</v>
      </c>
      <c r="F87" s="3">
        <f>IFERROR(__xludf.DUMMYFUNCTION("""COMPUTED_VALUE"""),13.9)</f>
        <v>13.9</v>
      </c>
      <c r="G87" s="3">
        <f>IFERROR(__xludf.DUMMYFUNCTION("""COMPUTED_VALUE"""),10.0)</f>
        <v>10</v>
      </c>
      <c r="H87" s="3">
        <f>IFERROR(__xludf.DUMMYFUNCTION("""COMPUTED_VALUE"""),3.9)</f>
        <v>3.9</v>
      </c>
      <c r="I87" s="3">
        <f>IFERROR(__xludf.DUMMYFUNCTION("""COMPUTED_VALUE"""),1.81)</f>
        <v>1.81</v>
      </c>
      <c r="J87" s="3">
        <f>IFERROR(__xludf.DUMMYFUNCTION("""COMPUTED_VALUE"""),8.3)</f>
        <v>8.3</v>
      </c>
      <c r="K87" s="3">
        <f>IFERROR(__xludf.DUMMYFUNCTION("""COMPUTED_VALUE"""),71.3)</f>
        <v>71.3</v>
      </c>
      <c r="L87" s="3">
        <f>IFERROR(__xludf.DUMMYFUNCTION("""COMPUTED_VALUE"""),79.4)</f>
        <v>79.4</v>
      </c>
    </row>
    <row r="88">
      <c r="A88" s="3">
        <f>IFERROR(__xludf.DUMMYFUNCTION("""COMPUTED_VALUE"""),1986.0)</f>
        <v>1986</v>
      </c>
      <c r="B88" s="3">
        <f>IFERROR(__xludf.DUMMYFUNCTION("""COMPUTED_VALUE"""),5.5577E7)</f>
        <v>55577000</v>
      </c>
      <c r="C88" s="3">
        <f>IFERROR(__xludf.DUMMYFUNCTION("""COMPUTED_VALUE"""),778468.0)</f>
        <v>778468</v>
      </c>
      <c r="D88" s="3">
        <f>IFERROR(__xludf.DUMMYFUNCTION("""COMPUTED_VALUE"""),546926.0)</f>
        <v>546926</v>
      </c>
      <c r="E88" s="3">
        <f>IFERROR(__xludf.DUMMYFUNCTION("""COMPUTED_VALUE"""),231542.0)</f>
        <v>231542</v>
      </c>
      <c r="F88" s="3">
        <f>IFERROR(__xludf.DUMMYFUNCTION("""COMPUTED_VALUE"""),14.0)</f>
        <v>14</v>
      </c>
      <c r="G88" s="3">
        <f>IFERROR(__xludf.DUMMYFUNCTION("""COMPUTED_VALUE"""),9.8)</f>
        <v>9.8</v>
      </c>
      <c r="H88" s="3">
        <f>IFERROR(__xludf.DUMMYFUNCTION("""COMPUTED_VALUE"""),4.2)</f>
        <v>4.2</v>
      </c>
      <c r="I88" s="3">
        <f>IFERROR(__xludf.DUMMYFUNCTION("""COMPUTED_VALUE"""),1.83)</f>
        <v>1.83</v>
      </c>
      <c r="J88" s="3">
        <f>IFERROR(__xludf.DUMMYFUNCTION("""COMPUTED_VALUE"""),8.0)</f>
        <v>8</v>
      </c>
      <c r="K88" s="3">
        <f>IFERROR(__xludf.DUMMYFUNCTION("""COMPUTED_VALUE"""),71.5)</f>
        <v>71.5</v>
      </c>
      <c r="L88" s="3">
        <f>IFERROR(__xludf.DUMMYFUNCTION("""COMPUTED_VALUE"""),79.7)</f>
        <v>79.7</v>
      </c>
    </row>
    <row r="89">
      <c r="A89" s="3">
        <f>IFERROR(__xludf.DUMMYFUNCTION("""COMPUTED_VALUE"""),1987.0)</f>
        <v>1987</v>
      </c>
      <c r="B89" s="3">
        <f>IFERROR(__xludf.DUMMYFUNCTION("""COMPUTED_VALUE"""),5.5824E7)</f>
        <v>55824000</v>
      </c>
      <c r="C89" s="3">
        <f>IFERROR(__xludf.DUMMYFUNCTION("""COMPUTED_VALUE"""),767828.0)</f>
        <v>767828</v>
      </c>
      <c r="D89" s="3">
        <f>IFERROR(__xludf.DUMMYFUNCTION("""COMPUTED_VALUE"""),527466.0)</f>
        <v>527466</v>
      </c>
      <c r="E89" s="3">
        <f>IFERROR(__xludf.DUMMYFUNCTION("""COMPUTED_VALUE"""),240362.0)</f>
        <v>240362</v>
      </c>
      <c r="F89" s="3">
        <f>IFERROR(__xludf.DUMMYFUNCTION("""COMPUTED_VALUE"""),13.8)</f>
        <v>13.8</v>
      </c>
      <c r="G89" s="3">
        <f>IFERROR(__xludf.DUMMYFUNCTION("""COMPUTED_VALUE"""),9.4)</f>
        <v>9.4</v>
      </c>
      <c r="H89" s="3">
        <f>IFERROR(__xludf.DUMMYFUNCTION("""COMPUTED_VALUE"""),4.3)</f>
        <v>4.3</v>
      </c>
      <c r="I89" s="3">
        <f>IFERROR(__xludf.DUMMYFUNCTION("""COMPUTED_VALUE"""),1.8)</f>
        <v>1.8</v>
      </c>
      <c r="J89" s="3">
        <f>IFERROR(__xludf.DUMMYFUNCTION("""COMPUTED_VALUE"""),7.8)</f>
        <v>7.8</v>
      </c>
      <c r="K89" s="3">
        <f>IFERROR(__xludf.DUMMYFUNCTION("""COMPUTED_VALUE"""),72.0)</f>
        <v>72</v>
      </c>
      <c r="L89" s="3">
        <f>IFERROR(__xludf.DUMMYFUNCTION("""COMPUTED_VALUE"""),80.3)</f>
        <v>80.3</v>
      </c>
    </row>
    <row r="90">
      <c r="A90" s="3">
        <f>IFERROR(__xludf.DUMMYFUNCTION("""COMPUTED_VALUE"""),1988.0)</f>
        <v>1988</v>
      </c>
      <c r="B90" s="3">
        <f>IFERROR(__xludf.DUMMYFUNCTION("""COMPUTED_VALUE"""),5.6118E7)</f>
        <v>56118000</v>
      </c>
      <c r="C90" s="3">
        <f>IFERROR(__xludf.DUMMYFUNCTION("""COMPUTED_VALUE"""),771268.0)</f>
        <v>771268</v>
      </c>
      <c r="D90" s="3">
        <f>IFERROR(__xludf.DUMMYFUNCTION("""COMPUTED_VALUE"""),524600.0)</f>
        <v>524600</v>
      </c>
      <c r="E90" s="3">
        <f>IFERROR(__xludf.DUMMYFUNCTION("""COMPUTED_VALUE"""),246668.0)</f>
        <v>246668</v>
      </c>
      <c r="F90" s="3">
        <f>IFERROR(__xludf.DUMMYFUNCTION("""COMPUTED_VALUE"""),13.7)</f>
        <v>13.7</v>
      </c>
      <c r="G90" s="3">
        <f>IFERROR(__xludf.DUMMYFUNCTION("""COMPUTED_VALUE"""),9.3)</f>
        <v>9.3</v>
      </c>
      <c r="H90" s="3">
        <f>IFERROR(__xludf.DUMMYFUNCTION("""COMPUTED_VALUE"""),4.4)</f>
        <v>4.4</v>
      </c>
      <c r="I90" s="3">
        <f>IFERROR(__xludf.DUMMYFUNCTION("""COMPUTED_VALUE"""),1.81)</f>
        <v>1.81</v>
      </c>
      <c r="J90" s="3">
        <f>IFERROR(__xludf.DUMMYFUNCTION("""COMPUTED_VALUE"""),7.8)</f>
        <v>7.8</v>
      </c>
      <c r="K90" s="3">
        <f>IFERROR(__xludf.DUMMYFUNCTION("""COMPUTED_VALUE"""),72.3)</f>
        <v>72.3</v>
      </c>
      <c r="L90" s="3">
        <f>IFERROR(__xludf.DUMMYFUNCTION("""COMPUTED_VALUE"""),80.5)</f>
        <v>80.5</v>
      </c>
    </row>
    <row r="91">
      <c r="A91" s="3">
        <f>IFERROR(__xludf.DUMMYFUNCTION("""COMPUTED_VALUE"""),1989.0)</f>
        <v>1989</v>
      </c>
      <c r="B91" s="3">
        <f>IFERROR(__xludf.DUMMYFUNCTION("""COMPUTED_VALUE"""),5.6423E7)</f>
        <v>56423000</v>
      </c>
      <c r="C91" s="3">
        <f>IFERROR(__xludf.DUMMYFUNCTION("""COMPUTED_VALUE"""),765473.0)</f>
        <v>765473</v>
      </c>
      <c r="D91" s="3">
        <f>IFERROR(__xludf.DUMMYFUNCTION("""COMPUTED_VALUE"""),529283.0)</f>
        <v>529283</v>
      </c>
      <c r="E91" s="3">
        <f>IFERROR(__xludf.DUMMYFUNCTION("""COMPUTED_VALUE"""),236190.0)</f>
        <v>236190</v>
      </c>
      <c r="F91" s="3">
        <f>IFERROR(__xludf.DUMMYFUNCTION("""COMPUTED_VALUE"""),13.6)</f>
        <v>13.6</v>
      </c>
      <c r="G91" s="3">
        <f>IFERROR(__xludf.DUMMYFUNCTION("""COMPUTED_VALUE"""),9.4)</f>
        <v>9.4</v>
      </c>
      <c r="H91" s="3">
        <f>IFERROR(__xludf.DUMMYFUNCTION("""COMPUTED_VALUE"""),4.2)</f>
        <v>4.2</v>
      </c>
      <c r="I91" s="3">
        <f>IFERROR(__xludf.DUMMYFUNCTION("""COMPUTED_VALUE"""),1.79)</f>
        <v>1.79</v>
      </c>
      <c r="J91" s="3">
        <f>IFERROR(__xludf.DUMMYFUNCTION("""COMPUTED_VALUE"""),7.5)</f>
        <v>7.5</v>
      </c>
      <c r="K91" s="3">
        <f>IFERROR(__xludf.DUMMYFUNCTION("""COMPUTED_VALUE"""),72.5)</f>
        <v>72.5</v>
      </c>
      <c r="L91" s="3">
        <f>IFERROR(__xludf.DUMMYFUNCTION("""COMPUTED_VALUE"""),80.6)</f>
        <v>80.6</v>
      </c>
    </row>
    <row r="92">
      <c r="A92" s="3">
        <f>IFERROR(__xludf.DUMMYFUNCTION("""COMPUTED_VALUE"""),1990.0)</f>
        <v>1990</v>
      </c>
      <c r="B92" s="3">
        <f>IFERROR(__xludf.DUMMYFUNCTION("""COMPUTED_VALUE"""),5.6709E7)</f>
        <v>56709000</v>
      </c>
      <c r="C92" s="3">
        <f>IFERROR(__xludf.DUMMYFUNCTION("""COMPUTED_VALUE"""),762407.0)</f>
        <v>762407</v>
      </c>
      <c r="D92" s="3">
        <f>IFERROR(__xludf.DUMMYFUNCTION("""COMPUTED_VALUE"""),526201.0)</f>
        <v>526201</v>
      </c>
      <c r="E92" s="3">
        <f>IFERROR(__xludf.DUMMYFUNCTION("""COMPUTED_VALUE"""),236206.0)</f>
        <v>236206</v>
      </c>
      <c r="F92" s="3">
        <f>IFERROR(__xludf.DUMMYFUNCTION("""COMPUTED_VALUE"""),13.4)</f>
        <v>13.4</v>
      </c>
      <c r="G92" s="3">
        <f>IFERROR(__xludf.DUMMYFUNCTION("""COMPUTED_VALUE"""),9.3)</f>
        <v>9.3</v>
      </c>
      <c r="H92" s="3">
        <f>IFERROR(__xludf.DUMMYFUNCTION("""COMPUTED_VALUE"""),4.2)</f>
        <v>4.2</v>
      </c>
      <c r="I92" s="3">
        <f>IFERROR(__xludf.DUMMYFUNCTION("""COMPUTED_VALUE"""),1.78)</f>
        <v>1.78</v>
      </c>
      <c r="J92" s="3">
        <f>IFERROR(__xludf.DUMMYFUNCTION("""COMPUTED_VALUE"""),7.3)</f>
        <v>7.3</v>
      </c>
      <c r="K92" s="3">
        <f>IFERROR(__xludf.DUMMYFUNCTION("""COMPUTED_VALUE"""),72.7)</f>
        <v>72.7</v>
      </c>
      <c r="L92" s="3">
        <f>IFERROR(__xludf.DUMMYFUNCTION("""COMPUTED_VALUE"""),81.0)</f>
        <v>81</v>
      </c>
    </row>
    <row r="93">
      <c r="A93" s="3">
        <f>IFERROR(__xludf.DUMMYFUNCTION("""COMPUTED_VALUE"""),1991.0)</f>
        <v>1991</v>
      </c>
      <c r="B93" s="3">
        <f>IFERROR(__xludf.DUMMYFUNCTION("""COMPUTED_VALUE"""),5.6976E7)</f>
        <v>56976000</v>
      </c>
      <c r="C93" s="3">
        <f>IFERROR(__xludf.DUMMYFUNCTION("""COMPUTED_VALUE"""),759056.0)</f>
        <v>759056</v>
      </c>
      <c r="D93" s="3">
        <f>IFERROR(__xludf.DUMMYFUNCTION("""COMPUTED_VALUE"""),524685.0)</f>
        <v>524685</v>
      </c>
      <c r="E93" s="3">
        <f>IFERROR(__xludf.DUMMYFUNCTION("""COMPUTED_VALUE"""),234371.0)</f>
        <v>234371</v>
      </c>
      <c r="F93" s="3">
        <f>IFERROR(__xludf.DUMMYFUNCTION("""COMPUTED_VALUE"""),13.3)</f>
        <v>13.3</v>
      </c>
      <c r="G93" s="3">
        <f>IFERROR(__xludf.DUMMYFUNCTION("""COMPUTED_VALUE"""),9.2)</f>
        <v>9.2</v>
      </c>
      <c r="H93" s="3">
        <f>IFERROR(__xludf.DUMMYFUNCTION("""COMPUTED_VALUE"""),4.1)</f>
        <v>4.1</v>
      </c>
      <c r="I93" s="3">
        <f>IFERROR(__xludf.DUMMYFUNCTION("""COMPUTED_VALUE"""),1.77)</f>
        <v>1.77</v>
      </c>
      <c r="J93" s="3">
        <f>IFERROR(__xludf.DUMMYFUNCTION("""COMPUTED_VALUE"""),7.3)</f>
        <v>7.3</v>
      </c>
      <c r="K93" s="3">
        <f>IFERROR(__xludf.DUMMYFUNCTION("""COMPUTED_VALUE"""),72.9)</f>
        <v>72.9</v>
      </c>
      <c r="L93" s="3">
        <f>IFERROR(__xludf.DUMMYFUNCTION("""COMPUTED_VALUE"""),81.2)</f>
        <v>81.2</v>
      </c>
    </row>
    <row r="94">
      <c r="A94" s="3">
        <f>IFERROR(__xludf.DUMMYFUNCTION("""COMPUTED_VALUE"""),1992.0)</f>
        <v>1992</v>
      </c>
      <c r="B94" s="3">
        <f>IFERROR(__xludf.DUMMYFUNCTION("""COMPUTED_VALUE"""),5.724E7)</f>
        <v>57240000</v>
      </c>
      <c r="C94" s="3">
        <f>IFERROR(__xludf.DUMMYFUNCTION("""COMPUTED_VALUE"""),743658.0)</f>
        <v>743658</v>
      </c>
      <c r="D94" s="3">
        <f>IFERROR(__xludf.DUMMYFUNCTION("""COMPUTED_VALUE"""),521530.0)</f>
        <v>521530</v>
      </c>
      <c r="E94" s="3">
        <f>IFERROR(__xludf.DUMMYFUNCTION("""COMPUTED_VALUE"""),222128.0)</f>
        <v>222128</v>
      </c>
      <c r="F94" s="3">
        <f>IFERROR(__xludf.DUMMYFUNCTION("""COMPUTED_VALUE"""),13.0)</f>
        <v>13</v>
      </c>
      <c r="G94" s="3">
        <f>IFERROR(__xludf.DUMMYFUNCTION("""COMPUTED_VALUE"""),9.1)</f>
        <v>9.1</v>
      </c>
      <c r="H94" s="3">
        <f>IFERROR(__xludf.DUMMYFUNCTION("""COMPUTED_VALUE"""),3.9)</f>
        <v>3.9</v>
      </c>
      <c r="I94" s="3">
        <f>IFERROR(__xludf.DUMMYFUNCTION("""COMPUTED_VALUE"""),1.73)</f>
        <v>1.73</v>
      </c>
      <c r="J94" s="3">
        <f>IFERROR(__xludf.DUMMYFUNCTION("""COMPUTED_VALUE"""),6.8)</f>
        <v>6.8</v>
      </c>
      <c r="K94" s="3">
        <f>IFERROR(__xludf.DUMMYFUNCTION("""COMPUTED_VALUE"""),73.2)</f>
        <v>73.2</v>
      </c>
      <c r="L94" s="3">
        <f>IFERROR(__xludf.DUMMYFUNCTION("""COMPUTED_VALUE"""),81.5)</f>
        <v>81.5</v>
      </c>
    </row>
    <row r="95">
      <c r="A95" s="3">
        <f>IFERROR(__xludf.DUMMYFUNCTION("""COMPUTED_VALUE"""),1993.0)</f>
        <v>1993</v>
      </c>
      <c r="B95" s="3">
        <f>IFERROR(__xludf.DUMMYFUNCTION("""COMPUTED_VALUE"""),5.7467E7)</f>
        <v>57467000</v>
      </c>
      <c r="C95" s="3">
        <f>IFERROR(__xludf.DUMMYFUNCTION("""COMPUTED_VALUE"""),711610.0)</f>
        <v>711610</v>
      </c>
      <c r="D95" s="3">
        <f>IFERROR(__xludf.DUMMYFUNCTION("""COMPUTED_VALUE"""),532263.0)</f>
        <v>532263</v>
      </c>
      <c r="E95" s="3">
        <f>IFERROR(__xludf.DUMMYFUNCTION("""COMPUTED_VALUE"""),179347.0)</f>
        <v>179347</v>
      </c>
      <c r="F95" s="3">
        <f>IFERROR(__xludf.DUMMYFUNCTION("""COMPUTED_VALUE"""),12.4)</f>
        <v>12.4</v>
      </c>
      <c r="G95" s="3">
        <f>IFERROR(__xludf.DUMMYFUNCTION("""COMPUTED_VALUE"""),9.3)</f>
        <v>9.3</v>
      </c>
      <c r="H95" s="3">
        <f>IFERROR(__xludf.DUMMYFUNCTION("""COMPUTED_VALUE"""),3.1)</f>
        <v>3.1</v>
      </c>
      <c r="I95" s="3">
        <f>IFERROR(__xludf.DUMMYFUNCTION("""COMPUTED_VALUE"""),1.66)</f>
        <v>1.66</v>
      </c>
      <c r="J95" s="3">
        <f>IFERROR(__xludf.DUMMYFUNCTION("""COMPUTED_VALUE"""),6.5)</f>
        <v>6.5</v>
      </c>
      <c r="K95" s="3">
        <f>IFERROR(__xludf.DUMMYFUNCTION("""COMPUTED_VALUE"""),73.3)</f>
        <v>73.3</v>
      </c>
      <c r="L95" s="3">
        <f>IFERROR(__xludf.DUMMYFUNCTION("""COMPUTED_VALUE"""),81.5)</f>
        <v>81.5</v>
      </c>
    </row>
    <row r="96">
      <c r="A96" s="3">
        <f>IFERROR(__xludf.DUMMYFUNCTION("""COMPUTED_VALUE"""),1994.0)</f>
        <v>1994</v>
      </c>
      <c r="B96" s="3">
        <f>IFERROR(__xludf.DUMMYFUNCTION("""COMPUTED_VALUE"""),5.7659E7)</f>
        <v>57659000</v>
      </c>
      <c r="C96" s="3">
        <f>IFERROR(__xludf.DUMMYFUNCTION("""COMPUTED_VALUE"""),710993.0)</f>
        <v>710993</v>
      </c>
      <c r="D96" s="3">
        <f>IFERROR(__xludf.DUMMYFUNCTION("""COMPUTED_VALUE"""),519965.0)</f>
        <v>519965</v>
      </c>
      <c r="E96" s="3">
        <f>IFERROR(__xludf.DUMMYFUNCTION("""COMPUTED_VALUE"""),191028.0)</f>
        <v>191028</v>
      </c>
      <c r="F96" s="3">
        <f>IFERROR(__xludf.DUMMYFUNCTION("""COMPUTED_VALUE"""),12.3)</f>
        <v>12.3</v>
      </c>
      <c r="G96" s="3">
        <f>IFERROR(__xludf.DUMMYFUNCTION("""COMPUTED_VALUE"""),9.0)</f>
        <v>9</v>
      </c>
      <c r="H96" s="3">
        <f>IFERROR(__xludf.DUMMYFUNCTION("""COMPUTED_VALUE"""),3.3)</f>
        <v>3.3</v>
      </c>
      <c r="I96" s="3">
        <f>IFERROR(__xludf.DUMMYFUNCTION("""COMPUTED_VALUE"""),1.66)</f>
        <v>1.66</v>
      </c>
      <c r="J96" s="3">
        <f>IFERROR(__xludf.DUMMYFUNCTION("""COMPUTED_VALUE"""),5.9)</f>
        <v>5.9</v>
      </c>
      <c r="K96" s="3">
        <f>IFERROR(__xludf.DUMMYFUNCTION("""COMPUTED_VALUE"""),73.6)</f>
        <v>73.6</v>
      </c>
      <c r="L96" s="3">
        <f>IFERROR(__xludf.DUMMYFUNCTION("""COMPUTED_VALUE"""),81.8)</f>
        <v>81.8</v>
      </c>
    </row>
    <row r="97">
      <c r="A97" s="3">
        <f>IFERROR(__xludf.DUMMYFUNCTION("""COMPUTED_VALUE"""),1995.0)</f>
        <v>1995</v>
      </c>
      <c r="B97" s="3">
        <f>IFERROR(__xludf.DUMMYFUNCTION("""COMPUTED_VALUE"""),5.7844E7)</f>
        <v>57844000</v>
      </c>
      <c r="C97" s="3">
        <f>IFERROR(__xludf.DUMMYFUNCTION("""COMPUTED_VALUE"""),729609.0)</f>
        <v>729609</v>
      </c>
      <c r="D97" s="3">
        <f>IFERROR(__xludf.DUMMYFUNCTION("""COMPUTED_VALUE"""),531618.0)</f>
        <v>531618</v>
      </c>
      <c r="E97" s="3">
        <f>IFERROR(__xludf.DUMMYFUNCTION("""COMPUTED_VALUE"""),197991.0)</f>
        <v>197991</v>
      </c>
      <c r="F97" s="3">
        <f>IFERROR(__xludf.DUMMYFUNCTION("""COMPUTED_VALUE"""),12.6)</f>
        <v>12.6</v>
      </c>
      <c r="G97" s="3">
        <f>IFERROR(__xludf.DUMMYFUNCTION("""COMPUTED_VALUE"""),9.2)</f>
        <v>9.2</v>
      </c>
      <c r="H97" s="3">
        <f>IFERROR(__xludf.DUMMYFUNCTION("""COMPUTED_VALUE"""),3.4)</f>
        <v>3.4</v>
      </c>
      <c r="I97" s="3">
        <f>IFERROR(__xludf.DUMMYFUNCTION("""COMPUTED_VALUE"""),1.71)</f>
        <v>1.71</v>
      </c>
      <c r="J97" s="3">
        <f>IFERROR(__xludf.DUMMYFUNCTION("""COMPUTED_VALUE"""),4.9)</f>
        <v>4.9</v>
      </c>
      <c r="K97" s="3">
        <f>IFERROR(__xludf.DUMMYFUNCTION("""COMPUTED_VALUE"""),73.8)</f>
        <v>73.8</v>
      </c>
      <c r="L97" s="3">
        <f>IFERROR(__xludf.DUMMYFUNCTION("""COMPUTED_VALUE"""),81.9)</f>
        <v>81.9</v>
      </c>
    </row>
    <row r="98">
      <c r="A98" s="3">
        <f>IFERROR(__xludf.DUMMYFUNCTION("""COMPUTED_VALUE"""),1996.0)</f>
        <v>1996</v>
      </c>
      <c r="B98" s="3">
        <f>IFERROR(__xludf.DUMMYFUNCTION("""COMPUTED_VALUE"""),5.8026E7)</f>
        <v>58026000</v>
      </c>
      <c r="C98" s="3">
        <f>IFERROR(__xludf.DUMMYFUNCTION("""COMPUTED_VALUE"""),734338.0)</f>
        <v>734338</v>
      </c>
      <c r="D98" s="3">
        <f>IFERROR(__xludf.DUMMYFUNCTION("""COMPUTED_VALUE"""),535775.0)</f>
        <v>535775</v>
      </c>
      <c r="E98" s="3">
        <f>IFERROR(__xludf.DUMMYFUNCTION("""COMPUTED_VALUE"""),198563.0)</f>
        <v>198563</v>
      </c>
      <c r="F98" s="3">
        <f>IFERROR(__xludf.DUMMYFUNCTION("""COMPUTED_VALUE"""),12.7)</f>
        <v>12.7</v>
      </c>
      <c r="G98" s="3">
        <f>IFERROR(__xludf.DUMMYFUNCTION("""COMPUTED_VALUE"""),9.2)</f>
        <v>9.2</v>
      </c>
      <c r="H98" s="3">
        <f>IFERROR(__xludf.DUMMYFUNCTION("""COMPUTED_VALUE"""),3.4)</f>
        <v>3.4</v>
      </c>
      <c r="I98" s="3">
        <f>IFERROR(__xludf.DUMMYFUNCTION("""COMPUTED_VALUE"""),1.73)</f>
        <v>1.73</v>
      </c>
      <c r="J98" s="3">
        <f>IFERROR(__xludf.DUMMYFUNCTION("""COMPUTED_VALUE"""),4.8)</f>
        <v>4.8</v>
      </c>
      <c r="K98" s="3">
        <f>IFERROR(__xludf.DUMMYFUNCTION("""COMPUTED_VALUE"""),74.1)</f>
        <v>74.1</v>
      </c>
      <c r="L98" s="3">
        <f>IFERROR(__xludf.DUMMYFUNCTION("""COMPUTED_VALUE"""),82.0)</f>
        <v>82</v>
      </c>
    </row>
    <row r="99">
      <c r="A99" s="3">
        <f>IFERROR(__xludf.DUMMYFUNCTION("""COMPUTED_VALUE"""),1997.0)</f>
        <v>1997</v>
      </c>
      <c r="B99" s="3">
        <f>IFERROR(__xludf.DUMMYFUNCTION("""COMPUTED_VALUE"""),5.8207E7)</f>
        <v>58207000</v>
      </c>
      <c r="C99" s="3">
        <f>IFERROR(__xludf.DUMMYFUNCTION("""COMPUTED_VALUE"""),726768.0)</f>
        <v>726768</v>
      </c>
      <c r="D99" s="3">
        <f>IFERROR(__xludf.DUMMYFUNCTION("""COMPUTED_VALUE"""),530319.0)</f>
        <v>530319</v>
      </c>
      <c r="E99" s="3">
        <f>IFERROR(__xludf.DUMMYFUNCTION("""COMPUTED_VALUE"""),196449.0)</f>
        <v>196449</v>
      </c>
      <c r="F99" s="3">
        <f>IFERROR(__xludf.DUMMYFUNCTION("""COMPUTED_VALUE"""),12.5)</f>
        <v>12.5</v>
      </c>
      <c r="G99" s="3">
        <f>IFERROR(__xludf.DUMMYFUNCTION("""COMPUTED_VALUE"""),9.1)</f>
        <v>9.1</v>
      </c>
      <c r="H99" s="3">
        <f>IFERROR(__xludf.DUMMYFUNCTION("""COMPUTED_VALUE"""),3.4)</f>
        <v>3.4</v>
      </c>
      <c r="I99" s="3">
        <f>IFERROR(__xludf.DUMMYFUNCTION("""COMPUTED_VALUE"""),1.73)</f>
        <v>1.73</v>
      </c>
      <c r="J99" s="3">
        <f>IFERROR(__xludf.DUMMYFUNCTION("""COMPUTED_VALUE"""),4.7)</f>
        <v>4.7</v>
      </c>
      <c r="K99" s="3">
        <f>IFERROR(__xludf.DUMMYFUNCTION("""COMPUTED_VALUE"""),74.5)</f>
        <v>74.5</v>
      </c>
      <c r="L99" s="3">
        <f>IFERROR(__xludf.DUMMYFUNCTION("""COMPUTED_VALUE"""),82.3)</f>
        <v>82.3</v>
      </c>
    </row>
    <row r="100">
      <c r="A100" s="3">
        <f>IFERROR(__xludf.DUMMYFUNCTION("""COMPUTED_VALUE"""),1998.0)</f>
        <v>1998</v>
      </c>
      <c r="B100" s="3">
        <f>IFERROR(__xludf.DUMMYFUNCTION("""COMPUTED_VALUE"""),5.8398E7)</f>
        <v>58398000</v>
      </c>
      <c r="C100" s="3">
        <f>IFERROR(__xludf.DUMMYFUNCTION("""COMPUTED_VALUE"""),738080.0)</f>
        <v>738080</v>
      </c>
      <c r="D100" s="3">
        <f>IFERROR(__xludf.DUMMYFUNCTION("""COMPUTED_VALUE"""),534005.0)</f>
        <v>534005</v>
      </c>
      <c r="E100" s="3">
        <f>IFERROR(__xludf.DUMMYFUNCTION("""COMPUTED_VALUE"""),204075.0)</f>
        <v>204075</v>
      </c>
      <c r="F100" s="3">
        <f>IFERROR(__xludf.DUMMYFUNCTION("""COMPUTED_VALUE"""),12.6)</f>
        <v>12.6</v>
      </c>
      <c r="G100" s="3">
        <f>IFERROR(__xludf.DUMMYFUNCTION("""COMPUTED_VALUE"""),9.1)</f>
        <v>9.1</v>
      </c>
      <c r="H100" s="3">
        <f>IFERROR(__xludf.DUMMYFUNCTION("""COMPUTED_VALUE"""),3.5)</f>
        <v>3.5</v>
      </c>
      <c r="I100" s="3">
        <f>IFERROR(__xludf.DUMMYFUNCTION("""COMPUTED_VALUE"""),1.76)</f>
        <v>1.76</v>
      </c>
      <c r="J100" s="3">
        <f>IFERROR(__xludf.DUMMYFUNCTION("""COMPUTED_VALUE"""),4.6)</f>
        <v>4.6</v>
      </c>
      <c r="K100" s="3">
        <f>IFERROR(__xludf.DUMMYFUNCTION("""COMPUTED_VALUE"""),74.7)</f>
        <v>74.7</v>
      </c>
      <c r="L100" s="3">
        <f>IFERROR(__xludf.DUMMYFUNCTION("""COMPUTED_VALUE"""),82.4)</f>
        <v>82.4</v>
      </c>
    </row>
    <row r="101">
      <c r="A101" s="3">
        <f>IFERROR(__xludf.DUMMYFUNCTION("""COMPUTED_VALUE"""),1999.0)</f>
        <v>1999</v>
      </c>
      <c r="B101" s="3">
        <f>IFERROR(__xludf.DUMMYFUNCTION("""COMPUTED_VALUE"""),5.8661E7)</f>
        <v>58661000</v>
      </c>
      <c r="C101" s="3">
        <f>IFERROR(__xludf.DUMMYFUNCTION("""COMPUTED_VALUE"""),744791.0)</f>
        <v>744791</v>
      </c>
      <c r="D101" s="3">
        <f>IFERROR(__xludf.DUMMYFUNCTION("""COMPUTED_VALUE"""),537661.0)</f>
        <v>537661</v>
      </c>
      <c r="E101" s="3">
        <f>IFERROR(__xludf.DUMMYFUNCTION("""COMPUTED_VALUE"""),207130.0)</f>
        <v>207130</v>
      </c>
      <c r="F101" s="3">
        <f>IFERROR(__xludf.DUMMYFUNCTION("""COMPUTED_VALUE"""),12.7)</f>
        <v>12.7</v>
      </c>
      <c r="G101" s="3">
        <f>IFERROR(__xludf.DUMMYFUNCTION("""COMPUTED_VALUE"""),9.2)</f>
        <v>9.2</v>
      </c>
      <c r="H101" s="3">
        <f>IFERROR(__xludf.DUMMYFUNCTION("""COMPUTED_VALUE"""),3.5)</f>
        <v>3.5</v>
      </c>
      <c r="I101" s="3">
        <f>IFERROR(__xludf.DUMMYFUNCTION("""COMPUTED_VALUE"""),1.79)</f>
        <v>1.79</v>
      </c>
      <c r="J101" s="3">
        <f>IFERROR(__xludf.DUMMYFUNCTION("""COMPUTED_VALUE"""),4.3)</f>
        <v>4.3</v>
      </c>
      <c r="K101" s="3">
        <f>IFERROR(__xludf.DUMMYFUNCTION("""COMPUTED_VALUE"""),74.9)</f>
        <v>74.9</v>
      </c>
      <c r="L101" s="3">
        <f>IFERROR(__xludf.DUMMYFUNCTION("""COMPUTED_VALUE"""),82.5)</f>
        <v>82.5</v>
      </c>
    </row>
    <row r="102">
      <c r="A102" s="3">
        <f>IFERROR(__xludf.DUMMYFUNCTION("""COMPUTED_VALUE"""),2000.0)</f>
        <v>2000</v>
      </c>
      <c r="B102" s="3">
        <f>IFERROR(__xludf.DUMMYFUNCTION("""COMPUTED_VALUE"""),5.9049E7)</f>
        <v>59049000</v>
      </c>
      <c r="C102" s="3">
        <f>IFERROR(__xludf.DUMMYFUNCTION("""COMPUTED_VALUE"""),774782.0)</f>
        <v>774782</v>
      </c>
      <c r="D102" s="3">
        <f>IFERROR(__xludf.DUMMYFUNCTION("""COMPUTED_VALUE"""),530864.0)</f>
        <v>530864</v>
      </c>
      <c r="E102" s="3">
        <f>IFERROR(__xludf.DUMMYFUNCTION("""COMPUTED_VALUE"""),243918.0)</f>
        <v>243918</v>
      </c>
      <c r="F102" s="3">
        <f>IFERROR(__xludf.DUMMYFUNCTION("""COMPUTED_VALUE"""),13.1)</f>
        <v>13.1</v>
      </c>
      <c r="G102" s="3">
        <f>IFERROR(__xludf.DUMMYFUNCTION("""COMPUTED_VALUE"""),9.0)</f>
        <v>9</v>
      </c>
      <c r="H102" s="3">
        <f>IFERROR(__xludf.DUMMYFUNCTION("""COMPUTED_VALUE"""),4.1)</f>
        <v>4.1</v>
      </c>
      <c r="I102" s="3">
        <f>IFERROR(__xludf.DUMMYFUNCTION("""COMPUTED_VALUE"""),1.87)</f>
        <v>1.87</v>
      </c>
      <c r="J102" s="3">
        <f>IFERROR(__xludf.DUMMYFUNCTION("""COMPUTED_VALUE"""),4.4)</f>
        <v>4.4</v>
      </c>
      <c r="K102" s="3">
        <f>IFERROR(__xludf.DUMMYFUNCTION("""COMPUTED_VALUE"""),75.2)</f>
        <v>75.2</v>
      </c>
      <c r="L102" s="3">
        <f>IFERROR(__xludf.DUMMYFUNCTION("""COMPUTED_VALUE"""),82.8)</f>
        <v>82.8</v>
      </c>
    </row>
    <row r="103">
      <c r="A103" s="3">
        <f>IFERROR(__xludf.DUMMYFUNCTION("""COMPUTED_VALUE"""),2001.0)</f>
        <v>2001</v>
      </c>
      <c r="B103" s="3">
        <f>IFERROR(__xludf.DUMMYFUNCTION("""COMPUTED_VALUE"""),5.9477E7)</f>
        <v>59477000</v>
      </c>
      <c r="C103" s="3">
        <f>IFERROR(__xludf.DUMMYFUNCTION("""COMPUTED_VALUE"""),770945.0)</f>
        <v>770945</v>
      </c>
      <c r="D103" s="3">
        <f>IFERROR(__xludf.DUMMYFUNCTION("""COMPUTED_VALUE"""),531073.0)</f>
        <v>531073</v>
      </c>
      <c r="E103" s="3">
        <f>IFERROR(__xludf.DUMMYFUNCTION("""COMPUTED_VALUE"""),239872.0)</f>
        <v>239872</v>
      </c>
      <c r="F103" s="3">
        <f>IFERROR(__xludf.DUMMYFUNCTION("""COMPUTED_VALUE"""),13.0)</f>
        <v>13</v>
      </c>
      <c r="G103" s="3">
        <f>IFERROR(__xludf.DUMMYFUNCTION("""COMPUTED_VALUE"""),8.9)</f>
        <v>8.9</v>
      </c>
      <c r="H103" s="3">
        <f>IFERROR(__xludf.DUMMYFUNCTION("""COMPUTED_VALUE"""),4.0)</f>
        <v>4</v>
      </c>
      <c r="I103" s="3">
        <f>IFERROR(__xludf.DUMMYFUNCTION("""COMPUTED_VALUE"""),1.88)</f>
        <v>1.88</v>
      </c>
      <c r="J103" s="3">
        <f>IFERROR(__xludf.DUMMYFUNCTION("""COMPUTED_VALUE"""),4.5)</f>
        <v>4.5</v>
      </c>
      <c r="K103" s="3">
        <f>IFERROR(__xludf.DUMMYFUNCTION("""COMPUTED_VALUE"""),75.4)</f>
        <v>75.4</v>
      </c>
      <c r="L103" s="3">
        <f>IFERROR(__xludf.DUMMYFUNCTION("""COMPUTED_VALUE"""),82.9)</f>
        <v>82.9</v>
      </c>
    </row>
    <row r="104">
      <c r="A104" s="3">
        <f>IFERROR(__xludf.DUMMYFUNCTION("""COMPUTED_VALUE"""),2002.0)</f>
        <v>2002</v>
      </c>
      <c r="B104" s="3">
        <f>IFERROR(__xludf.DUMMYFUNCTION("""COMPUTED_VALUE"""),5.9894E7)</f>
        <v>59894000</v>
      </c>
      <c r="C104" s="3">
        <f>IFERROR(__xludf.DUMMYFUNCTION("""COMPUTED_VALUE"""),761630.0)</f>
        <v>761630</v>
      </c>
      <c r="D104" s="3">
        <f>IFERROR(__xludf.DUMMYFUNCTION("""COMPUTED_VALUE"""),535144.0)</f>
        <v>535144</v>
      </c>
      <c r="E104" s="3">
        <f>IFERROR(__xludf.DUMMYFUNCTION("""COMPUTED_VALUE"""),226486.0)</f>
        <v>226486</v>
      </c>
      <c r="F104" s="3">
        <f>IFERROR(__xludf.DUMMYFUNCTION("""COMPUTED_VALUE"""),12.7)</f>
        <v>12.7</v>
      </c>
      <c r="G104" s="3">
        <f>IFERROR(__xludf.DUMMYFUNCTION("""COMPUTED_VALUE"""),8.9)</f>
        <v>8.9</v>
      </c>
      <c r="H104" s="3">
        <f>IFERROR(__xludf.DUMMYFUNCTION("""COMPUTED_VALUE"""),3.8)</f>
        <v>3.8</v>
      </c>
      <c r="I104" s="3">
        <f>IFERROR(__xludf.DUMMYFUNCTION("""COMPUTED_VALUE"""),1.86)</f>
        <v>1.86</v>
      </c>
      <c r="J104" s="3">
        <f>IFERROR(__xludf.DUMMYFUNCTION("""COMPUTED_VALUE"""),4.1)</f>
        <v>4.1</v>
      </c>
      <c r="K104" s="3">
        <f>IFERROR(__xludf.DUMMYFUNCTION("""COMPUTED_VALUE"""),75.7)</f>
        <v>75.7</v>
      </c>
      <c r="L104" s="3">
        <f>IFERROR(__xludf.DUMMYFUNCTION("""COMPUTED_VALUE"""),83.0)</f>
        <v>83</v>
      </c>
    </row>
    <row r="105">
      <c r="A105" s="3">
        <f>IFERROR(__xludf.DUMMYFUNCTION("""COMPUTED_VALUE"""),2003.0)</f>
        <v>2003</v>
      </c>
      <c r="B105" s="3">
        <f>IFERROR(__xludf.DUMMYFUNCTION("""COMPUTED_VALUE"""),6.0304E7)</f>
        <v>60304000</v>
      </c>
      <c r="C105" s="3">
        <f>IFERROR(__xludf.DUMMYFUNCTION("""COMPUTED_VALUE"""),761464.0)</f>
        <v>761464</v>
      </c>
      <c r="D105" s="3">
        <f>IFERROR(__xludf.DUMMYFUNCTION("""COMPUTED_VALUE"""),552339.0)</f>
        <v>552339</v>
      </c>
      <c r="E105" s="3">
        <f>IFERROR(__xludf.DUMMYFUNCTION("""COMPUTED_VALUE"""),209125.0)</f>
        <v>209125</v>
      </c>
      <c r="F105" s="3">
        <f>IFERROR(__xludf.DUMMYFUNCTION("""COMPUTED_VALUE"""),12.6)</f>
        <v>12.6</v>
      </c>
      <c r="G105" s="3">
        <f>IFERROR(__xludf.DUMMYFUNCTION("""COMPUTED_VALUE"""),9.2)</f>
        <v>9.2</v>
      </c>
      <c r="H105" s="3">
        <f>IFERROR(__xludf.DUMMYFUNCTION("""COMPUTED_VALUE"""),3.5)</f>
        <v>3.5</v>
      </c>
      <c r="I105" s="3">
        <f>IFERROR(__xludf.DUMMYFUNCTION("""COMPUTED_VALUE"""),1.87)</f>
        <v>1.87</v>
      </c>
      <c r="J105" s="3">
        <f>IFERROR(__xludf.DUMMYFUNCTION("""COMPUTED_VALUE"""),4.0)</f>
        <v>4</v>
      </c>
      <c r="K105" s="3">
        <f>IFERROR(__xludf.DUMMYFUNCTION("""COMPUTED_VALUE"""),75.8)</f>
        <v>75.8</v>
      </c>
      <c r="L105" s="3">
        <f>IFERROR(__xludf.DUMMYFUNCTION("""COMPUTED_VALUE"""),82.9)</f>
        <v>82.9</v>
      </c>
    </row>
    <row r="106">
      <c r="A106" s="3">
        <f>IFERROR(__xludf.DUMMYFUNCTION("""COMPUTED_VALUE"""),2004.0)</f>
        <v>2004</v>
      </c>
      <c r="B106" s="3">
        <f>IFERROR(__xludf.DUMMYFUNCTION("""COMPUTED_VALUE"""),6.0734E7)</f>
        <v>60734000</v>
      </c>
      <c r="C106" s="3">
        <f>IFERROR(__xludf.DUMMYFUNCTION("""COMPUTED_VALUE"""),767816.0)</f>
        <v>767816</v>
      </c>
      <c r="D106" s="3">
        <f>IFERROR(__xludf.DUMMYFUNCTION("""COMPUTED_VALUE"""),509429.0)</f>
        <v>509429</v>
      </c>
      <c r="E106" s="3">
        <f>IFERROR(__xludf.DUMMYFUNCTION("""COMPUTED_VALUE"""),258387.0)</f>
        <v>258387</v>
      </c>
      <c r="F106" s="3">
        <f>IFERROR(__xludf.DUMMYFUNCTION("""COMPUTED_VALUE"""),12.6)</f>
        <v>12.6</v>
      </c>
      <c r="G106" s="3">
        <f>IFERROR(__xludf.DUMMYFUNCTION("""COMPUTED_VALUE"""),8.4)</f>
        <v>8.4</v>
      </c>
      <c r="H106" s="3">
        <f>IFERROR(__xludf.DUMMYFUNCTION("""COMPUTED_VALUE"""),4.3)</f>
        <v>4.3</v>
      </c>
      <c r="I106" s="3">
        <f>IFERROR(__xludf.DUMMYFUNCTION("""COMPUTED_VALUE"""),1.9)</f>
        <v>1.9</v>
      </c>
      <c r="J106" s="3">
        <f>IFERROR(__xludf.DUMMYFUNCTION("""COMPUTED_VALUE"""),3.9)</f>
        <v>3.9</v>
      </c>
      <c r="K106" s="3">
        <f>IFERROR(__xludf.DUMMYFUNCTION("""COMPUTED_VALUE"""),76.7)</f>
        <v>76.7</v>
      </c>
      <c r="L106" s="3">
        <f>IFERROR(__xludf.DUMMYFUNCTION("""COMPUTED_VALUE"""),83.8)</f>
        <v>83.8</v>
      </c>
    </row>
    <row r="107">
      <c r="A107" s="3">
        <f>IFERROR(__xludf.DUMMYFUNCTION("""COMPUTED_VALUE"""),2005.0)</f>
        <v>2005</v>
      </c>
      <c r="B107" s="3">
        <f>IFERROR(__xludf.DUMMYFUNCTION("""COMPUTED_VALUE"""),6.1182E7)</f>
        <v>61182000</v>
      </c>
      <c r="C107" s="3">
        <f>IFERROR(__xludf.DUMMYFUNCTION("""COMPUTED_VALUE"""),774355.0)</f>
        <v>774355</v>
      </c>
      <c r="D107" s="3">
        <f>IFERROR(__xludf.DUMMYFUNCTION("""COMPUTED_VALUE"""),527533.0)</f>
        <v>527533</v>
      </c>
      <c r="E107" s="3">
        <f>IFERROR(__xludf.DUMMYFUNCTION("""COMPUTED_VALUE"""),246822.0)</f>
        <v>246822</v>
      </c>
      <c r="F107" s="3">
        <f>IFERROR(__xludf.DUMMYFUNCTION("""COMPUTED_VALUE"""),12.7)</f>
        <v>12.7</v>
      </c>
      <c r="G107" s="3">
        <f>IFERROR(__xludf.DUMMYFUNCTION("""COMPUTED_VALUE"""),8.6)</f>
        <v>8.6</v>
      </c>
      <c r="H107" s="3">
        <f>IFERROR(__xludf.DUMMYFUNCTION("""COMPUTED_VALUE"""),4.0)</f>
        <v>4</v>
      </c>
      <c r="I107" s="3">
        <f>IFERROR(__xludf.DUMMYFUNCTION("""COMPUTED_VALUE"""),1.92)</f>
        <v>1.92</v>
      </c>
      <c r="J107" s="3">
        <f>IFERROR(__xludf.DUMMYFUNCTION("""COMPUTED_VALUE"""),3.6)</f>
        <v>3.6</v>
      </c>
      <c r="K107" s="3">
        <f>IFERROR(__xludf.DUMMYFUNCTION("""COMPUTED_VALUE"""),76.7)</f>
        <v>76.7</v>
      </c>
      <c r="L107" s="3">
        <f>IFERROR(__xludf.DUMMYFUNCTION("""COMPUTED_VALUE"""),83.8)</f>
        <v>83.8</v>
      </c>
    </row>
    <row r="108">
      <c r="A108" s="3">
        <f>IFERROR(__xludf.DUMMYFUNCTION("""COMPUTED_VALUE"""),2006.0)</f>
        <v>2006</v>
      </c>
      <c r="B108" s="3">
        <f>IFERROR(__xludf.DUMMYFUNCTION("""COMPUTED_VALUE"""),6.1598E7)</f>
        <v>61598000</v>
      </c>
      <c r="C108" s="3">
        <f>IFERROR(__xludf.DUMMYFUNCTION("""COMPUTED_VALUE"""),796896.0)</f>
        <v>796896</v>
      </c>
      <c r="D108" s="3">
        <f>IFERROR(__xludf.DUMMYFUNCTION("""COMPUTED_VALUE"""),516416.0)</f>
        <v>516416</v>
      </c>
      <c r="E108" s="3">
        <f>IFERROR(__xludf.DUMMYFUNCTION("""COMPUTED_VALUE"""),280480.0)</f>
        <v>280480</v>
      </c>
      <c r="F108" s="3">
        <f>IFERROR(__xludf.DUMMYFUNCTION("""COMPUTED_VALUE"""),12.9)</f>
        <v>12.9</v>
      </c>
      <c r="G108" s="3">
        <f>IFERROR(__xludf.DUMMYFUNCTION("""COMPUTED_VALUE"""),8.4)</f>
        <v>8.4</v>
      </c>
      <c r="H108" s="3">
        <f>IFERROR(__xludf.DUMMYFUNCTION("""COMPUTED_VALUE"""),4.6)</f>
        <v>4.6</v>
      </c>
      <c r="I108" s="3">
        <f>IFERROR(__xludf.DUMMYFUNCTION("""COMPUTED_VALUE"""),1.98)</f>
        <v>1.98</v>
      </c>
      <c r="J108" s="3">
        <f>IFERROR(__xludf.DUMMYFUNCTION("""COMPUTED_VALUE"""),3.6)</f>
        <v>3.6</v>
      </c>
      <c r="K108" s="3">
        <f>IFERROR(__xludf.DUMMYFUNCTION("""COMPUTED_VALUE"""),77.1)</f>
        <v>77.1</v>
      </c>
      <c r="L108" s="3">
        <f>IFERROR(__xludf.DUMMYFUNCTION("""COMPUTED_VALUE"""),84.2)</f>
        <v>84.2</v>
      </c>
    </row>
    <row r="109">
      <c r="A109" s="3">
        <f>IFERROR(__xludf.DUMMYFUNCTION("""COMPUTED_VALUE"""),2007.0)</f>
        <v>2007</v>
      </c>
      <c r="B109" s="3">
        <f>IFERROR(__xludf.DUMMYFUNCTION("""COMPUTED_VALUE"""),6.1965E7)</f>
        <v>61965000</v>
      </c>
      <c r="C109" s="3">
        <f>IFERROR(__xludf.DUMMYFUNCTION("""COMPUTED_VALUE"""),785985.0)</f>
        <v>785985</v>
      </c>
      <c r="D109" s="3">
        <f>IFERROR(__xludf.DUMMYFUNCTION("""COMPUTED_VALUE"""),521016.0)</f>
        <v>521016</v>
      </c>
      <c r="E109" s="3">
        <f>IFERROR(__xludf.DUMMYFUNCTION("""COMPUTED_VALUE"""),264969.0)</f>
        <v>264969</v>
      </c>
      <c r="F109" s="3">
        <f>IFERROR(__xludf.DUMMYFUNCTION("""COMPUTED_VALUE"""),12.7)</f>
        <v>12.7</v>
      </c>
      <c r="G109" s="3">
        <f>IFERROR(__xludf.DUMMYFUNCTION("""COMPUTED_VALUE"""),8.4)</f>
        <v>8.4</v>
      </c>
      <c r="H109" s="3">
        <f>IFERROR(__xludf.DUMMYFUNCTION("""COMPUTED_VALUE"""),4.3)</f>
        <v>4.3</v>
      </c>
      <c r="I109" s="3">
        <f>IFERROR(__xludf.DUMMYFUNCTION("""COMPUTED_VALUE"""),1.96)</f>
        <v>1.96</v>
      </c>
      <c r="J109" s="3">
        <f>IFERROR(__xludf.DUMMYFUNCTION("""COMPUTED_VALUE"""),3.6)</f>
        <v>3.6</v>
      </c>
      <c r="K109" s="3">
        <f>IFERROR(__xludf.DUMMYFUNCTION("""COMPUTED_VALUE"""),77.4)</f>
        <v>77.4</v>
      </c>
      <c r="L109" s="3">
        <f>IFERROR(__xludf.DUMMYFUNCTION("""COMPUTED_VALUE"""),84.4)</f>
        <v>84.4</v>
      </c>
    </row>
    <row r="110">
      <c r="A110" s="3">
        <f>IFERROR(__xludf.DUMMYFUNCTION("""COMPUTED_VALUE"""),2008.0)</f>
        <v>2008</v>
      </c>
      <c r="B110" s="3">
        <f>IFERROR(__xludf.DUMMYFUNCTION("""COMPUTED_VALUE"""),6.2301E7)</f>
        <v>62301000</v>
      </c>
      <c r="C110" s="3">
        <f>IFERROR(__xludf.DUMMYFUNCTION("""COMPUTED_VALUE"""),796044.0)</f>
        <v>796044</v>
      </c>
      <c r="D110" s="3">
        <f>IFERROR(__xludf.DUMMYFUNCTION("""COMPUTED_VALUE"""),532131.0)</f>
        <v>532131</v>
      </c>
      <c r="E110" s="3">
        <f>IFERROR(__xludf.DUMMYFUNCTION("""COMPUTED_VALUE"""),263913.0)</f>
        <v>263913</v>
      </c>
      <c r="F110" s="3">
        <f>IFERROR(__xludf.DUMMYFUNCTION("""COMPUTED_VALUE"""),12.8)</f>
        <v>12.8</v>
      </c>
      <c r="G110" s="3">
        <f>IFERROR(__xludf.DUMMYFUNCTION("""COMPUTED_VALUE"""),8.5)</f>
        <v>8.5</v>
      </c>
      <c r="H110" s="3">
        <f>IFERROR(__xludf.DUMMYFUNCTION("""COMPUTED_VALUE"""),4.2)</f>
        <v>4.2</v>
      </c>
      <c r="I110" s="3">
        <f>IFERROR(__xludf.DUMMYFUNCTION("""COMPUTED_VALUE"""),1.99)</f>
        <v>1.99</v>
      </c>
      <c r="J110" s="3">
        <f>IFERROR(__xludf.DUMMYFUNCTION("""COMPUTED_VALUE"""),3.6)</f>
        <v>3.6</v>
      </c>
      <c r="K110" s="3">
        <f>IFERROR(__xludf.DUMMYFUNCTION("""COMPUTED_VALUE"""),77.6)</f>
        <v>77.6</v>
      </c>
      <c r="L110" s="3">
        <f>IFERROR(__xludf.DUMMYFUNCTION("""COMPUTED_VALUE"""),84.3)</f>
        <v>84.3</v>
      </c>
    </row>
    <row r="111">
      <c r="A111" s="3">
        <f>IFERROR(__xludf.DUMMYFUNCTION("""COMPUTED_VALUE"""),2009.0)</f>
        <v>2009</v>
      </c>
      <c r="B111" s="3">
        <f>IFERROR(__xludf.DUMMYFUNCTION("""COMPUTED_VALUE"""),6.2616E7)</f>
        <v>62616000</v>
      </c>
      <c r="C111" s="3">
        <f>IFERROR(__xludf.DUMMYFUNCTION("""COMPUTED_VALUE"""),793420.0)</f>
        <v>793420</v>
      </c>
      <c r="D111" s="3">
        <f>IFERROR(__xludf.DUMMYFUNCTION("""COMPUTED_VALUE"""),538166.0)</f>
        <v>538166</v>
      </c>
      <c r="E111" s="3">
        <f>IFERROR(__xludf.DUMMYFUNCTION("""COMPUTED_VALUE"""),255254.0)</f>
        <v>255254</v>
      </c>
      <c r="F111" s="3">
        <f>IFERROR(__xludf.DUMMYFUNCTION("""COMPUTED_VALUE"""),12.7)</f>
        <v>12.7</v>
      </c>
      <c r="G111" s="3">
        <f>IFERROR(__xludf.DUMMYFUNCTION("""COMPUTED_VALUE"""),8.6)</f>
        <v>8.6</v>
      </c>
      <c r="H111" s="3">
        <f>IFERROR(__xludf.DUMMYFUNCTION("""COMPUTED_VALUE"""),4.1)</f>
        <v>4.1</v>
      </c>
      <c r="I111" s="3">
        <f>IFERROR(__xludf.DUMMYFUNCTION("""COMPUTED_VALUE"""),1.99)</f>
        <v>1.99</v>
      </c>
      <c r="J111" s="3">
        <f>IFERROR(__xludf.DUMMYFUNCTION("""COMPUTED_VALUE"""),3.7)</f>
        <v>3.7</v>
      </c>
      <c r="K111" s="3">
        <f>IFERROR(__xludf.DUMMYFUNCTION("""COMPUTED_VALUE"""),77.7)</f>
        <v>77.7</v>
      </c>
      <c r="L111" s="3">
        <f>IFERROR(__xludf.DUMMYFUNCTION("""COMPUTED_VALUE"""),84.4)</f>
        <v>84.4</v>
      </c>
    </row>
    <row r="112">
      <c r="A112" s="3">
        <f>IFERROR(__xludf.DUMMYFUNCTION("""COMPUTED_VALUE"""),2010.0)</f>
        <v>2010</v>
      </c>
      <c r="B112" s="3">
        <f>IFERROR(__xludf.DUMMYFUNCTION("""COMPUTED_VALUE"""),6.2765E7)</f>
        <v>62765000</v>
      </c>
      <c r="C112" s="3">
        <f>IFERROR(__xludf.DUMMYFUNCTION("""COMPUTED_VALUE"""),802224.0)</f>
        <v>802224</v>
      </c>
      <c r="D112" s="3">
        <f>IFERROR(__xludf.DUMMYFUNCTION("""COMPUTED_VALUE"""),540469.0)</f>
        <v>540469</v>
      </c>
      <c r="E112" s="3">
        <f>IFERROR(__xludf.DUMMYFUNCTION("""COMPUTED_VALUE"""),261755.0)</f>
        <v>261755</v>
      </c>
      <c r="F112" s="3">
        <f>IFERROR(__xludf.DUMMYFUNCTION("""COMPUTED_VALUE"""),12.8)</f>
        <v>12.8</v>
      </c>
      <c r="G112" s="3">
        <f>IFERROR(__xludf.DUMMYFUNCTION("""COMPUTED_VALUE"""),8.6)</f>
        <v>8.6</v>
      </c>
      <c r="H112" s="3">
        <f>IFERROR(__xludf.DUMMYFUNCTION("""COMPUTED_VALUE"""),4.2)</f>
        <v>4.2</v>
      </c>
      <c r="I112" s="3">
        <f>IFERROR(__xludf.DUMMYFUNCTION("""COMPUTED_VALUE"""),2.02)</f>
        <v>2.02</v>
      </c>
      <c r="J112" s="3">
        <f>IFERROR(__xludf.DUMMYFUNCTION("""COMPUTED_VALUE"""),3.6)</f>
        <v>3.6</v>
      </c>
      <c r="K112" s="3">
        <f>IFERROR(__xludf.DUMMYFUNCTION("""COMPUTED_VALUE"""),78.0)</f>
        <v>78</v>
      </c>
      <c r="L112" s="3">
        <f>IFERROR(__xludf.DUMMYFUNCTION("""COMPUTED_VALUE"""),84.6)</f>
        <v>84.6</v>
      </c>
    </row>
    <row r="113">
      <c r="A113" s="3">
        <f>IFERROR(__xludf.DUMMYFUNCTION("""COMPUTED_VALUE"""),2011.0)</f>
        <v>2011</v>
      </c>
      <c r="B113" s="3">
        <f>IFERROR(__xludf.DUMMYFUNCTION("""COMPUTED_VALUE"""),6.307E7)</f>
        <v>63070000</v>
      </c>
      <c r="C113" s="3">
        <f>IFERROR(__xludf.DUMMYFUNCTION("""COMPUTED_VALUE"""),792996.0)</f>
        <v>792996</v>
      </c>
      <c r="D113" s="3">
        <f>IFERROR(__xludf.DUMMYFUNCTION("""COMPUTED_VALUE"""),534795.0)</f>
        <v>534795</v>
      </c>
      <c r="E113" s="3">
        <f>IFERROR(__xludf.DUMMYFUNCTION("""COMPUTED_VALUE"""),258201.0)</f>
        <v>258201</v>
      </c>
      <c r="F113" s="3">
        <f>IFERROR(__xludf.DUMMYFUNCTION("""COMPUTED_VALUE"""),12.5)</f>
        <v>12.5</v>
      </c>
      <c r="G113" s="3">
        <f>IFERROR(__xludf.DUMMYFUNCTION("""COMPUTED_VALUE"""),8.5)</f>
        <v>8.5</v>
      </c>
      <c r="H113" s="3">
        <f>IFERROR(__xludf.DUMMYFUNCTION("""COMPUTED_VALUE"""),4.0)</f>
        <v>4</v>
      </c>
      <c r="I113" s="3">
        <f>IFERROR(__xludf.DUMMYFUNCTION("""COMPUTED_VALUE"""),2.0)</f>
        <v>2</v>
      </c>
      <c r="J113" s="3">
        <f>IFERROR(__xludf.DUMMYFUNCTION("""COMPUTED_VALUE"""),3.5)</f>
        <v>3.5</v>
      </c>
      <c r="K113" s="3">
        <f>IFERROR(__xludf.DUMMYFUNCTION("""COMPUTED_VALUE"""),78.4)</f>
        <v>78.4</v>
      </c>
      <c r="L113" s="3">
        <f>IFERROR(__xludf.DUMMYFUNCTION("""COMPUTED_VALUE"""),85.0)</f>
        <v>85</v>
      </c>
    </row>
    <row r="114">
      <c r="A114" s="3">
        <f>IFERROR(__xludf.DUMMYFUNCTION("""COMPUTED_VALUE"""),2012.0)</f>
        <v>2012</v>
      </c>
      <c r="B114" s="3">
        <f>IFERROR(__xludf.DUMMYFUNCTION("""COMPUTED_VALUE"""),6.3375E7)</f>
        <v>63375000</v>
      </c>
      <c r="C114" s="3">
        <f>IFERROR(__xludf.DUMMYFUNCTION("""COMPUTED_VALUE"""),790290.0)</f>
        <v>790290</v>
      </c>
      <c r="D114" s="3">
        <f>IFERROR(__xludf.DUMMYFUNCTION("""COMPUTED_VALUE"""),559227.0)</f>
        <v>559227</v>
      </c>
      <c r="E114" s="3">
        <f>IFERROR(__xludf.DUMMYFUNCTION("""COMPUTED_VALUE"""),231063.0)</f>
        <v>231063</v>
      </c>
      <c r="F114" s="3">
        <f>IFERROR(__xludf.DUMMYFUNCTION("""COMPUTED_VALUE"""),12.4)</f>
        <v>12.4</v>
      </c>
      <c r="G114" s="3">
        <f>IFERROR(__xludf.DUMMYFUNCTION("""COMPUTED_VALUE"""),8.8)</f>
        <v>8.8</v>
      </c>
      <c r="H114" s="3">
        <f>IFERROR(__xludf.DUMMYFUNCTION("""COMPUTED_VALUE"""),3.6)</f>
        <v>3.6</v>
      </c>
      <c r="I114" s="3">
        <f>IFERROR(__xludf.DUMMYFUNCTION("""COMPUTED_VALUE"""),1.99)</f>
        <v>1.99</v>
      </c>
      <c r="J114" s="3">
        <f>IFERROR(__xludf.DUMMYFUNCTION("""COMPUTED_VALUE"""),3.5)</f>
        <v>3.5</v>
      </c>
      <c r="K114" s="3">
        <f>IFERROR(__xludf.DUMMYFUNCTION("""COMPUTED_VALUE"""),78.5)</f>
        <v>78.5</v>
      </c>
      <c r="L114" s="3">
        <f>IFERROR(__xludf.DUMMYFUNCTION("""COMPUTED_VALUE"""),84.8)</f>
        <v>84.8</v>
      </c>
    </row>
    <row r="115">
      <c r="A115" s="3">
        <f>IFERROR(__xludf.DUMMYFUNCTION("""COMPUTED_VALUE"""),2013.0)</f>
        <v>2013</v>
      </c>
      <c r="B115" s="3">
        <f>IFERROR(__xludf.DUMMYFUNCTION("""COMPUTED_VALUE"""),6.3697E7)</f>
        <v>63697000</v>
      </c>
      <c r="C115" s="3">
        <f>IFERROR(__xludf.DUMMYFUNCTION("""COMPUTED_VALUE"""),781621.0)</f>
        <v>781621</v>
      </c>
      <c r="D115" s="3">
        <f>IFERROR(__xludf.DUMMYFUNCTION("""COMPUTED_VALUE"""),558408.0)</f>
        <v>558408</v>
      </c>
      <c r="E115" s="3">
        <f>IFERROR(__xludf.DUMMYFUNCTION("""COMPUTED_VALUE"""),223213.0)</f>
        <v>223213</v>
      </c>
      <c r="F115" s="3">
        <f>IFERROR(__xludf.DUMMYFUNCTION("""COMPUTED_VALUE"""),12.2)</f>
        <v>12.2</v>
      </c>
      <c r="G115" s="3">
        <f>IFERROR(__xludf.DUMMYFUNCTION("""COMPUTED_VALUE"""),8.7)</f>
        <v>8.7</v>
      </c>
      <c r="H115" s="3">
        <f>IFERROR(__xludf.DUMMYFUNCTION("""COMPUTED_VALUE"""),3.5)</f>
        <v>3.5</v>
      </c>
      <c r="I115" s="3">
        <f>IFERROR(__xludf.DUMMYFUNCTION("""COMPUTED_VALUE"""),1.97)</f>
        <v>1.97</v>
      </c>
      <c r="J115" s="3">
        <f>IFERROR(__xludf.DUMMYFUNCTION("""COMPUTED_VALUE"""),3.5)</f>
        <v>3.5</v>
      </c>
      <c r="K115" s="3">
        <f>IFERROR(__xludf.DUMMYFUNCTION("""COMPUTED_VALUE"""),78.7)</f>
        <v>78.7</v>
      </c>
      <c r="L115" s="3">
        <f>IFERROR(__xludf.DUMMYFUNCTION("""COMPUTED_VALUE"""),85.0)</f>
        <v>85</v>
      </c>
    </row>
    <row r="116">
      <c r="A116" s="3">
        <f>IFERROR(__xludf.DUMMYFUNCTION("""COMPUTED_VALUE"""),2014.0)</f>
        <v>2014</v>
      </c>
      <c r="B116" s="3">
        <f>IFERROR(__xludf.DUMMYFUNCTION("""COMPUTED_VALUE"""),6.4028E7)</f>
        <v>64028000</v>
      </c>
      <c r="C116" s="3">
        <f>IFERROR(__xludf.DUMMYFUNCTION("""COMPUTED_VALUE"""),781167.0)</f>
        <v>781167</v>
      </c>
      <c r="D116" s="3">
        <f>IFERROR(__xludf.DUMMYFUNCTION("""COMPUTED_VALUE"""),547003.0)</f>
        <v>547003</v>
      </c>
      <c r="E116" s="3">
        <f>IFERROR(__xludf.DUMMYFUNCTION("""COMPUTED_VALUE"""),234164.0)</f>
        <v>234164</v>
      </c>
      <c r="F116" s="3">
        <f>IFERROR(__xludf.DUMMYFUNCTION("""COMPUTED_VALUE"""),12.2)</f>
        <v>12.2</v>
      </c>
      <c r="G116" s="3">
        <f>IFERROR(__xludf.DUMMYFUNCTION("""COMPUTED_VALUE"""),8.5)</f>
        <v>8.5</v>
      </c>
      <c r="H116" s="3">
        <f>IFERROR(__xludf.DUMMYFUNCTION("""COMPUTED_VALUE"""),3.7)</f>
        <v>3.7</v>
      </c>
      <c r="I116" s="3">
        <f>IFERROR(__xludf.DUMMYFUNCTION("""COMPUTED_VALUE"""),1.97)</f>
        <v>1.97</v>
      </c>
      <c r="J116" s="3">
        <f>IFERROR(__xludf.DUMMYFUNCTION("""COMPUTED_VALUE"""),3.3)</f>
        <v>3.3</v>
      </c>
      <c r="K116" s="3">
        <f>IFERROR(__xludf.DUMMYFUNCTION("""COMPUTED_VALUE"""),79.2)</f>
        <v>79.2</v>
      </c>
      <c r="L116" s="3">
        <f>IFERROR(__xludf.DUMMYFUNCTION("""COMPUTED_VALUE"""),85.4)</f>
        <v>85.4</v>
      </c>
    </row>
    <row r="117">
      <c r="A117" s="3">
        <f>IFERROR(__xludf.DUMMYFUNCTION("""COMPUTED_VALUE"""),2015.0)</f>
        <v>2015</v>
      </c>
      <c r="B117" s="3">
        <f>IFERROR(__xludf.DUMMYFUNCTION("""COMPUTED_VALUE"""),6.4301E7)</f>
        <v>64301000</v>
      </c>
      <c r="C117" s="3">
        <f>IFERROR(__xludf.DUMMYFUNCTION("""COMPUTED_VALUE"""),760421.0)</f>
        <v>760421</v>
      </c>
      <c r="D117" s="3">
        <f>IFERROR(__xludf.DUMMYFUNCTION("""COMPUTED_VALUE"""),581770.0)</f>
        <v>581770</v>
      </c>
      <c r="E117" s="3">
        <f>IFERROR(__xludf.DUMMYFUNCTION("""COMPUTED_VALUE"""),178651.0)</f>
        <v>178651</v>
      </c>
      <c r="F117" s="3">
        <f>IFERROR(__xludf.DUMMYFUNCTION("""COMPUTED_VALUE"""),11.8)</f>
        <v>11.8</v>
      </c>
      <c r="G117" s="3">
        <f>IFERROR(__xludf.DUMMYFUNCTION("""COMPUTED_VALUE"""),9.0)</f>
        <v>9</v>
      </c>
      <c r="H117" s="3">
        <f>IFERROR(__xludf.DUMMYFUNCTION("""COMPUTED_VALUE"""),2.8)</f>
        <v>2.8</v>
      </c>
      <c r="I117" s="3">
        <f>IFERROR(__xludf.DUMMYFUNCTION("""COMPUTED_VALUE"""),1.93)</f>
        <v>1.93</v>
      </c>
      <c r="J117" s="3">
        <f>IFERROR(__xludf.DUMMYFUNCTION("""COMPUTED_VALUE"""),3.5)</f>
        <v>3.5</v>
      </c>
      <c r="K117" s="3">
        <f>IFERROR(__xludf.DUMMYFUNCTION("""COMPUTED_VALUE"""),79.0)</f>
        <v>79</v>
      </c>
      <c r="L117" s="3">
        <f>IFERROR(__xludf.DUMMYFUNCTION("""COMPUTED_VALUE"""),85.1)</f>
        <v>85.1</v>
      </c>
    </row>
    <row r="118">
      <c r="A118" s="3">
        <f>IFERROR(__xludf.DUMMYFUNCTION("""COMPUTED_VALUE"""),2016.0)</f>
        <v>2016</v>
      </c>
      <c r="B118" s="3">
        <f>IFERROR(__xludf.DUMMYFUNCTION("""COMPUTED_VALUE"""),6.4469E7)</f>
        <v>64469000</v>
      </c>
      <c r="C118" s="3">
        <f>IFERROR(__xludf.DUMMYFUNCTION("""COMPUTED_VALUE"""),744697.0)</f>
        <v>744697</v>
      </c>
      <c r="D118" s="3">
        <f>IFERROR(__xludf.DUMMYFUNCTION("""COMPUTED_VALUE"""),581073.0)</f>
        <v>581073</v>
      </c>
      <c r="E118" s="3">
        <f>IFERROR(__xludf.DUMMYFUNCTION("""COMPUTED_VALUE"""),163624.0)</f>
        <v>163624</v>
      </c>
      <c r="F118" s="3">
        <f>IFERROR(__xludf.DUMMYFUNCTION("""COMPUTED_VALUE"""),11.5)</f>
        <v>11.5</v>
      </c>
      <c r="G118" s="3">
        <f>IFERROR(__xludf.DUMMYFUNCTION("""COMPUTED_VALUE"""),9.0)</f>
        <v>9</v>
      </c>
      <c r="H118" s="3">
        <f>IFERROR(__xludf.DUMMYFUNCTION("""COMPUTED_VALUE"""),2.5)</f>
        <v>2.5</v>
      </c>
      <c r="I118" s="3">
        <f>IFERROR(__xludf.DUMMYFUNCTION("""COMPUTED_VALUE"""),1.89)</f>
        <v>1.89</v>
      </c>
      <c r="J118" s="3">
        <f>IFERROR(__xludf.DUMMYFUNCTION("""COMPUTED_VALUE"""),3.5)</f>
        <v>3.5</v>
      </c>
      <c r="K118" s="3">
        <f>IFERROR(__xludf.DUMMYFUNCTION("""COMPUTED_VALUE"""),79.3)</f>
        <v>79.3</v>
      </c>
      <c r="L118" s="3">
        <f>IFERROR(__xludf.DUMMYFUNCTION("""COMPUTED_VALUE"""),85.3)</f>
        <v>85.3</v>
      </c>
    </row>
    <row r="119">
      <c r="A119" s="3">
        <f>IFERROR(__xludf.DUMMYFUNCTION("""COMPUTED_VALUE"""),2017.0)</f>
        <v>2017</v>
      </c>
      <c r="B119" s="3">
        <f>IFERROR(__xludf.DUMMYFUNCTION("""COMPUTED_VALUE"""),6.4639E7)</f>
        <v>64639000</v>
      </c>
      <c r="C119" s="3">
        <f>IFERROR(__xludf.DUMMYFUNCTION("""COMPUTED_VALUE"""),730242.0)</f>
        <v>730242</v>
      </c>
      <c r="D119" s="3">
        <f>IFERROR(__xludf.DUMMYFUNCTION("""COMPUTED_VALUE"""),593606.0)</f>
        <v>593606</v>
      </c>
      <c r="E119" s="3">
        <f>IFERROR(__xludf.DUMMYFUNCTION("""COMPUTED_VALUE"""),136636.0)</f>
        <v>136636</v>
      </c>
      <c r="F119" s="3">
        <f>IFERROR(__xludf.DUMMYFUNCTION("""COMPUTED_VALUE"""),11.3)</f>
        <v>11.3</v>
      </c>
      <c r="G119" s="3">
        <f>IFERROR(__xludf.DUMMYFUNCTION("""COMPUTED_VALUE"""),9.2)</f>
        <v>9.2</v>
      </c>
      <c r="H119" s="3">
        <f>IFERROR(__xludf.DUMMYFUNCTION("""COMPUTED_VALUE"""),2.1)</f>
        <v>2.1</v>
      </c>
      <c r="I119" s="3">
        <f>IFERROR(__xludf.DUMMYFUNCTION("""COMPUTED_VALUE"""),1.86)</f>
        <v>1.86</v>
      </c>
      <c r="J119" s="3">
        <f>IFERROR(__xludf.DUMMYFUNCTION("""COMPUTED_VALUE"""),3.6)</f>
        <v>3.6</v>
      </c>
      <c r="K119" s="3">
        <f>IFERROR(__xludf.DUMMYFUNCTION("""COMPUTED_VALUE"""),79.5)</f>
        <v>79.5</v>
      </c>
      <c r="L119" s="3">
        <f>IFERROR(__xludf.DUMMYFUNCTION("""COMPUTED_VALUE"""),85.3)</f>
        <v>85.3</v>
      </c>
    </row>
    <row r="120">
      <c r="A120" s="3">
        <f>IFERROR(__xludf.DUMMYFUNCTION("""COMPUTED_VALUE"""),2018.0)</f>
        <v>2018</v>
      </c>
      <c r="B120" s="3">
        <f>IFERROR(__xludf.DUMMYFUNCTION("""COMPUTED_VALUE"""),6.4844E7)</f>
        <v>64844000</v>
      </c>
      <c r="C120" s="3">
        <f>IFERROR(__xludf.DUMMYFUNCTION("""COMPUTED_VALUE"""),719737.0)</f>
        <v>719737</v>
      </c>
      <c r="D120" s="3">
        <f>IFERROR(__xludf.DUMMYFUNCTION("""COMPUTED_VALUE"""),596552.0)</f>
        <v>596552</v>
      </c>
      <c r="E120" s="3">
        <f>IFERROR(__xludf.DUMMYFUNCTION("""COMPUTED_VALUE"""),123185.0)</f>
        <v>123185</v>
      </c>
      <c r="F120" s="3">
        <f>IFERROR(__xludf.DUMMYFUNCTION("""COMPUTED_VALUE"""),11.1)</f>
        <v>11.1</v>
      </c>
      <c r="G120" s="3">
        <f>IFERROR(__xludf.DUMMYFUNCTION("""COMPUTED_VALUE"""),9.2)</f>
        <v>9.2</v>
      </c>
      <c r="H120" s="3">
        <f>IFERROR(__xludf.DUMMYFUNCTION("""COMPUTED_VALUE"""),1.9)</f>
        <v>1.9</v>
      </c>
      <c r="I120" s="3">
        <f>IFERROR(__xludf.DUMMYFUNCTION("""COMPUTED_VALUE"""),1.84)</f>
        <v>1.84</v>
      </c>
      <c r="J120" s="3">
        <f>IFERROR(__xludf.DUMMYFUNCTION("""COMPUTED_VALUE"""),3.6)</f>
        <v>3.6</v>
      </c>
      <c r="K120" s="3">
        <f>IFERROR(__xludf.DUMMYFUNCTION("""COMPUTED_VALUE"""),79.6)</f>
        <v>79.6</v>
      </c>
      <c r="L120" s="3">
        <f>IFERROR(__xludf.DUMMYFUNCTION("""COMPUTED_VALUE"""),85.5)</f>
        <v>85.5</v>
      </c>
    </row>
    <row r="121">
      <c r="A121" s="3">
        <f>IFERROR(__xludf.DUMMYFUNCTION("""COMPUTED_VALUE"""),2019.0)</f>
        <v>2019</v>
      </c>
      <c r="B121" s="3">
        <f>IFERROR(__xludf.DUMMYFUNCTION("""COMPUTED_VALUE"""),6.5097E7)</f>
        <v>65097000</v>
      </c>
      <c r="C121" s="3">
        <f>IFERROR(__xludf.DUMMYFUNCTION("""COMPUTED_VALUE"""),714029.0)</f>
        <v>714029</v>
      </c>
      <c r="D121" s="3">
        <f>IFERROR(__xludf.DUMMYFUNCTION("""COMPUTED_VALUE"""),599408.0)</f>
        <v>599408</v>
      </c>
      <c r="E121" s="3">
        <f>IFERROR(__xludf.DUMMYFUNCTION("""COMPUTED_VALUE"""),114621.0)</f>
        <v>114621</v>
      </c>
      <c r="F121" s="3">
        <f>IFERROR(__xludf.DUMMYFUNCTION("""COMPUTED_VALUE"""),11.0)</f>
        <v>11</v>
      </c>
      <c r="G121" s="3">
        <f>IFERROR(__xludf.DUMMYFUNCTION("""COMPUTED_VALUE"""),9.2)</f>
        <v>9.2</v>
      </c>
      <c r="H121" s="3">
        <f>IFERROR(__xludf.DUMMYFUNCTION("""COMPUTED_VALUE"""),1.8)</f>
        <v>1.8</v>
      </c>
      <c r="I121" s="3">
        <f>IFERROR(__xludf.DUMMYFUNCTION("""COMPUTED_VALUE"""),1.83)</f>
        <v>1.83</v>
      </c>
      <c r="J121" s="3">
        <f>IFERROR(__xludf.DUMMYFUNCTION("""COMPUTED_VALUE"""),3.6)</f>
        <v>3.6</v>
      </c>
      <c r="K121" s="3">
        <f>IFERROR(__xludf.DUMMYFUNCTION("""COMPUTED_VALUE"""),79.8)</f>
        <v>79.8</v>
      </c>
      <c r="L121" s="3">
        <f>IFERROR(__xludf.DUMMYFUNCTION("""COMPUTED_VALUE"""),85.6)</f>
        <v>85.6</v>
      </c>
    </row>
    <row r="122">
      <c r="A122" s="3">
        <f>IFERROR(__xludf.DUMMYFUNCTION("""COMPUTED_VALUE"""),2020.0)</f>
        <v>2020</v>
      </c>
      <c r="B122" s="3">
        <f>IFERROR(__xludf.DUMMYFUNCTION("""COMPUTED_VALUE"""),6.5269E7)</f>
        <v>65269000</v>
      </c>
      <c r="C122" s="3">
        <f>IFERROR(__xludf.DUMMYFUNCTION("""COMPUTED_VALUE"""),696664.0)</f>
        <v>696664</v>
      </c>
      <c r="D122" s="3">
        <f>IFERROR(__xludf.DUMMYFUNCTION("""COMPUTED_VALUE"""),654599.0)</f>
        <v>654599</v>
      </c>
      <c r="E122" s="3">
        <f>IFERROR(__xludf.DUMMYFUNCTION("""COMPUTED_VALUE"""),42065.0)</f>
        <v>42065</v>
      </c>
      <c r="F122" s="3">
        <f>IFERROR(__xludf.DUMMYFUNCTION("""COMPUTED_VALUE"""),10.7)</f>
        <v>10.7</v>
      </c>
      <c r="G122" s="3">
        <f>IFERROR(__xludf.DUMMYFUNCTION("""COMPUTED_VALUE"""),10.0)</f>
        <v>10</v>
      </c>
      <c r="H122" s="3">
        <f>IFERROR(__xludf.DUMMYFUNCTION("""COMPUTED_VALUE"""),0.7)</f>
        <v>0.7</v>
      </c>
      <c r="I122" s="3">
        <f>IFERROR(__xludf.DUMMYFUNCTION("""COMPUTED_VALUE"""),1.78)</f>
        <v>1.78</v>
      </c>
      <c r="J122" s="3">
        <f>IFERROR(__xludf.DUMMYFUNCTION("""COMPUTED_VALUE"""),3.4)</f>
        <v>3.4</v>
      </c>
      <c r="K122" s="3">
        <f>IFERROR(__xludf.DUMMYFUNCTION("""COMPUTED_VALUE"""),79.2)</f>
        <v>79.2</v>
      </c>
      <c r="L122" s="3">
        <f>IFERROR(__xludf.DUMMYFUNCTION("""COMPUTED_VALUE"""),85.2)</f>
        <v>85.2</v>
      </c>
    </row>
    <row r="123">
      <c r="A123" s="3">
        <f>IFERROR(__xludf.DUMMYFUNCTION("""COMPUTED_VALUE"""),2021.0)</f>
        <v>2021</v>
      </c>
      <c r="B123" s="3">
        <f>IFERROR(__xludf.DUMMYFUNCTION("""COMPUTED_VALUE"""),6.5505E7)</f>
        <v>65505000</v>
      </c>
      <c r="C123" s="3">
        <f>IFERROR(__xludf.DUMMYFUNCTION("""COMPUTED_VALUE"""),701819.0)</f>
        <v>701819</v>
      </c>
      <c r="D123" s="3">
        <f>IFERROR(__xludf.DUMMYFUNCTION("""COMPUTED_VALUE"""),644201.0)</f>
        <v>644201</v>
      </c>
      <c r="E123" s="3">
        <f>IFERROR(__xludf.DUMMYFUNCTION("""COMPUTED_VALUE"""),57618.0)</f>
        <v>57618</v>
      </c>
      <c r="F123" s="3">
        <f>IFERROR(__xludf.DUMMYFUNCTION("""COMPUTED_VALUE"""),10.7)</f>
        <v>10.7</v>
      </c>
      <c r="G123" s="3">
        <f>IFERROR(__xludf.DUMMYFUNCTION("""COMPUTED_VALUE"""),9.8)</f>
        <v>9.8</v>
      </c>
      <c r="H123" s="3">
        <f>IFERROR(__xludf.DUMMYFUNCTION("""COMPUTED_VALUE"""),0.9)</f>
        <v>0.9</v>
      </c>
      <c r="I123" s="3">
        <f>IFERROR(__xludf.DUMMYFUNCTION("""COMPUTED_VALUE"""),1.79)</f>
        <v>1.79</v>
      </c>
      <c r="J123" s="3">
        <f>IFERROR(__xludf.DUMMYFUNCTION("""COMPUTED_VALUE"""),3.4)</f>
        <v>3.4</v>
      </c>
      <c r="K123" s="3">
        <f>IFERROR(__xludf.DUMMYFUNCTION("""COMPUTED_VALUE"""),79.3)</f>
        <v>79.3</v>
      </c>
      <c r="L123" s="3">
        <f>IFERROR(__xludf.DUMMYFUNCTION("""COMPUTED_VALUE"""),85.3)</f>
        <v>85.3</v>
      </c>
    </row>
    <row r="124">
      <c r="A124" s="3">
        <f>IFERROR(__xludf.DUMMYFUNCTION("""COMPUTED_VALUE"""),2022.0)</f>
        <v>2022</v>
      </c>
      <c r="B124" s="3">
        <f>IFERROR(__xludf.DUMMYFUNCTION("""COMPUTED_VALUE"""),6.5846E7)</f>
        <v>65846000</v>
      </c>
      <c r="C124" s="3">
        <f>IFERROR(__xludf.DUMMYFUNCTION("""COMPUTED_VALUE"""),686564.0)</f>
        <v>686564</v>
      </c>
      <c r="D124" s="3">
        <f>IFERROR(__xludf.DUMMYFUNCTION("""COMPUTED_VALUE"""),658434.0)</f>
        <v>658434</v>
      </c>
      <c r="E124" s="3">
        <f>IFERROR(__xludf.DUMMYFUNCTION("""COMPUTED_VALUE"""),28130.0)</f>
        <v>28130</v>
      </c>
      <c r="F124" s="3">
        <f>IFERROR(__xludf.DUMMYFUNCTION("""COMPUTED_VALUE"""),10.4)</f>
        <v>10.4</v>
      </c>
      <c r="G124" s="3">
        <f>IFERROR(__xludf.DUMMYFUNCTION("""COMPUTED_VALUE"""),10.0)</f>
        <v>10</v>
      </c>
      <c r="H124" s="3">
        <f>IFERROR(__xludf.DUMMYFUNCTION("""COMPUTED_VALUE"""),0.4)</f>
        <v>0.4</v>
      </c>
      <c r="I124" s="3">
        <f>IFERROR(__xludf.DUMMYFUNCTION("""COMPUTED_VALUE"""),1.74)</f>
        <v>1.74</v>
      </c>
      <c r="J124" s="3">
        <f>IFERROR(__xludf.DUMMYFUNCTION("""COMPUTED_VALUE"""),3.7)</f>
        <v>3.7</v>
      </c>
      <c r="K124" s="3">
        <f>IFERROR(__xludf.DUMMYFUNCTION("""COMPUTED_VALUE"""),79.4)</f>
        <v>79.4</v>
      </c>
      <c r="L124" s="3">
        <f>IFERROR(__xludf.DUMMYFUNCTION("""COMPUTED_VALUE"""),85.2)</f>
        <v>85.2</v>
      </c>
    </row>
    <row r="125">
      <c r="A125" s="3">
        <f>IFERROR(__xludf.DUMMYFUNCTION("""COMPUTED_VALUE"""),2023.0)</f>
        <v>2023</v>
      </c>
      <c r="B125" s="3">
        <f>IFERROR(__xludf.DUMMYFUNCTION("""COMPUTED_VALUE"""),6.6166E7)</f>
        <v>66166000</v>
      </c>
      <c r="C125" s="3">
        <f>IFERROR(__xludf.DUMMYFUNCTION("""COMPUTED_VALUE"""),639533.0)</f>
        <v>639533</v>
      </c>
      <c r="D125" s="3">
        <f>IFERROR(__xludf.DUMMYFUNCTION("""COMPUTED_VALUE"""),623959.0)</f>
        <v>623959</v>
      </c>
      <c r="E125" s="3">
        <f>IFERROR(__xludf.DUMMYFUNCTION("""COMPUTED_VALUE"""),15574.0)</f>
        <v>15574</v>
      </c>
      <c r="F125" s="3">
        <f>IFERROR(__xludf.DUMMYFUNCTION("""COMPUTED_VALUE"""),9.7)</f>
        <v>9.7</v>
      </c>
      <c r="G125" s="3">
        <f>IFERROR(__xludf.DUMMYFUNCTION("""COMPUTED_VALUE"""),9.4)</f>
        <v>9.4</v>
      </c>
      <c r="H125" s="3">
        <f>IFERROR(__xludf.DUMMYFUNCTION("""COMPUTED_VALUE"""),0.3)</f>
        <v>0.3</v>
      </c>
      <c r="I125" s="3">
        <f>IFERROR(__xludf.DUMMYFUNCTION("""COMPUTED_VALUE"""),1.62)</f>
        <v>1.62</v>
      </c>
      <c r="J125" s="3">
        <f>IFERROR(__xludf.DUMMYFUNCTION("""COMPUTED_VALUE"""),3.7)</f>
        <v>3.7</v>
      </c>
      <c r="K125" s="3">
        <f>IFERROR(__xludf.DUMMYFUNCTION("""COMPUTED_VALUE"""),80.1)</f>
        <v>80.1</v>
      </c>
      <c r="L125" s="3">
        <f>IFERROR(__xludf.DUMMYFUNCTION("""COMPUTED_VALUE"""),85.7)</f>
        <v>85.7</v>
      </c>
    </row>
    <row r="126">
      <c r="A126" s="3">
        <f>IFERROR(__xludf.DUMMYFUNCTION("""COMPUTED_VALUE"""),2024.0)</f>
        <v>2024</v>
      </c>
      <c r="B126" s="3">
        <f>IFERROR(__xludf.DUMMYFUNCTION("""COMPUTED_VALUE"""),6.638E7)</f>
        <v>66380000</v>
      </c>
      <c r="C126" s="3">
        <f>IFERROR(__xludf.DUMMYFUNCTION("""COMPUTED_VALUE"""),626776.0)</f>
        <v>626776</v>
      </c>
      <c r="D126" s="3">
        <f>IFERROR(__xludf.DUMMYFUNCTION("""COMPUTED_VALUE"""),627513.0)</f>
        <v>627513</v>
      </c>
      <c r="E126" s="3">
        <f>IFERROR(__xludf.DUMMYFUNCTION("""COMPUTED_VALUE"""),-737.0)</f>
        <v>-737</v>
      </c>
      <c r="F126" s="3">
        <f>IFERROR(__xludf.DUMMYFUNCTION("""COMPUTED_VALUE"""),9.4)</f>
        <v>9.4</v>
      </c>
      <c r="G126" s="3">
        <f>IFERROR(__xludf.DUMMYFUNCTION("""COMPUTED_VALUE"""),9.4)</f>
        <v>9.4</v>
      </c>
      <c r="H126" s="3">
        <f>IFERROR(__xludf.DUMMYFUNCTION("""COMPUTED_VALUE"""),0.0)</f>
        <v>0</v>
      </c>
      <c r="I126" s="3">
        <f>IFERROR(__xludf.DUMMYFUNCTION("""COMPUTED_VALUE"""),1.58)</f>
        <v>1.58</v>
      </c>
      <c r="J126" s="3">
        <f>IFERROR(__xludf.DUMMYFUNCTION("""COMPUTED_VALUE"""),3.9)</f>
        <v>3.9</v>
      </c>
      <c r="K126" s="3">
        <f>IFERROR(__xludf.DUMMYFUNCTION("""COMPUTED_VALUE"""),80.3)</f>
        <v>80.3</v>
      </c>
      <c r="L126" s="3">
        <f>IFERROR(__xludf.DUMMYFUNCTION("""COMPUTED_VALUE"""),85.8)</f>
        <v>85.8</v>
      </c>
    </row>
    <row r="127">
      <c r="A127" s="3">
        <f>IFERROR(__xludf.DUMMYFUNCTION("""COMPUTED_VALUE"""),2025.0)</f>
        <v>2025</v>
      </c>
      <c r="B127" s="3">
        <f>IFERROR(__xludf.DUMMYFUNCTION("""COMPUTED_VALUE"""),6.6579E7)</f>
        <v>66579000</v>
      </c>
      <c r="C127" s="3">
        <f>IFERROR(__xludf.DUMMYFUNCTION("""COMPUTED_VALUE"""),611000.0)</f>
        <v>611000</v>
      </c>
      <c r="D127" s="3">
        <f>IFERROR(__xludf.DUMMYFUNCTION("""COMPUTED_VALUE"""),635000.0)</f>
        <v>635000</v>
      </c>
      <c r="E127" s="3">
        <f>IFERROR(__xludf.DUMMYFUNCTION("""COMPUTED_VALUE"""),-24000.0)</f>
        <v>-24000</v>
      </c>
      <c r="F127" s="3">
        <f>IFERROR(__xludf.DUMMYFUNCTION("""COMPUTED_VALUE"""),9.2)</f>
        <v>9.2</v>
      </c>
      <c r="G127" s="3">
        <f>IFERROR(__xludf.DUMMYFUNCTION("""COMPUTED_VALUE"""),9.5)</f>
        <v>9.5</v>
      </c>
      <c r="H127" s="3">
        <f>IFERROR(__xludf.DUMMYFUNCTION("""COMPUTED_VALUE"""),-0.3)</f>
        <v>-0.3</v>
      </c>
      <c r="I127" s="3">
        <f>IFERROR(__xludf.DUMMYFUNCTION("""COMPUTED_VALUE"""),1.53)</f>
        <v>1.53</v>
      </c>
      <c r="J127" s="3">
        <f>IFERROR(__xludf.DUMMYFUNCTION("""COMPUTED_VALUE"""),3.8)</f>
        <v>3.8</v>
      </c>
      <c r="K127" s="3">
        <f>IFERROR(__xludf.DUMMYFUNCTION("""COMPUTED_VALUE"""),80.4)</f>
        <v>80.4</v>
      </c>
      <c r="L127" s="3">
        <f>IFERROR(__xludf.DUMMYFUNCTION("""COMPUTED_VALUE"""),85.9)</f>
        <v>85.9</v>
      </c>
    </row>
    <row r="128">
      <c r="A128" s="3"/>
      <c r="B128" s="3" t="str">
        <f>IFERROR(__xludf.DUMMYFUNCTION("""COMPUTED_VALUE"""),"Population (1er janvier)")</f>
        <v>Population (1er janvier)</v>
      </c>
      <c r="C128" s="3" t="str">
        <f>IFERROR(__xludf.DUMMYFUNCTION("""COMPUTED_VALUE"""),"Naissances")</f>
        <v>Naissances</v>
      </c>
      <c r="D128" s="3" t="str">
        <f>IFERROR(__xludf.DUMMYFUNCTION("""COMPUTED_VALUE"""),"Décès")</f>
        <v>Décès</v>
      </c>
      <c r="E128" s="3" t="str">
        <f>IFERROR(__xludf.DUMMYFUNCTION("""COMPUTED_VALUE"""),"Solde naturel")</f>
        <v>Solde naturel</v>
      </c>
      <c r="F128" s="3" t="str">
        <f>IFERROR(__xludf.DUMMYFUNCTION("""COMPUTED_VALUE"""),"Taux de natalité (pour 1000)")</f>
        <v>Taux de natalité (pour 1000)</v>
      </c>
      <c r="G128" s="3" t="str">
        <f>IFERROR(__xludf.DUMMYFUNCTION("""COMPUTED_VALUE"""),"Taux de mortalité (pour 1000)")</f>
        <v>Taux de mortalité (pour 1000)</v>
      </c>
      <c r="H128" s="3" t="str">
        <f>IFERROR(__xludf.DUMMYFUNCTION("""COMPUTED_VALUE"""),"Accroissement naturel (pour 1000)")</f>
        <v>Accroissement naturel (pour 1000)</v>
      </c>
      <c r="I128" s="3" t="str">
        <f>IFERROR(__xludf.DUMMYFUNCTION("""COMPUTED_VALUE"""),"Indice de fécondité")</f>
        <v>Indice de fécondité</v>
      </c>
      <c r="J128" s="3" t="str">
        <f>IFERROR(__xludf.DUMMYFUNCTION("""COMPUTED_VALUE"""),"Taux de mortalité infantile (pour 1000 naissances)")</f>
        <v>Taux de mortalité infantile (pour 1000 naissances)</v>
      </c>
      <c r="K128" s="3" t="str">
        <f>IFERROR(__xludf.DUMMYFUNCTION("""COMPUTED_VALUE"""),"Espérance de vie (hommes)")</f>
        <v>Espérance de vie (hommes)</v>
      </c>
      <c r="L128" s="3" t="str">
        <f>IFERROR(__xludf.DUMMYFUNCTION("""COMPUTED_VALUE"""),"Espérance de vie (femmes)")</f>
        <v>Espérance de vie (femmes)</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4.38"/>
    <col customWidth="1" min="2" max="2" width="42.13"/>
  </cols>
  <sheetData>
    <row r="1">
      <c r="A1" s="3" t="str">
        <f>IFERROR(__xludf.DUMMYFUNCTION("IMPORTHTML(""https://fr.wikipedia.org/wiki/D%C3%A9mographie_de_la_France"",""table"",""2"")"),"")</f>
        <v/>
      </c>
      <c r="B1" s="4" t="str">
        <f>IFERROR(__xludf.DUMMYFUNCTION("""COMPUTED_VALUE"""),"1er janvier 2023")</f>
        <v>1er janvier 2023</v>
      </c>
      <c r="C1" s="3" t="str">
        <f>IFERROR(__xludf.DUMMYFUNCTION("""COMPUTED_VALUE"""),"1er janvier 2024")</f>
        <v>1er janvier 2024</v>
      </c>
    </row>
    <row r="2">
      <c r="A2" s="3" t="str">
        <f>IFERROR(__xludf.DUMMYFUNCTION("""COMPUTED_VALUE"""),"*Métropole et départements d'outre mer*")</f>
        <v>*Métropole et départements d'outre mer*</v>
      </c>
      <c r="B2" s="4" t="str">
        <f>IFERROR(__xludf.DUMMYFUNCTION("""COMPUTED_VALUE"""),"68 143 433 hab.")</f>
        <v>68 143 433 hab.</v>
      </c>
      <c r="C2" s="3" t="str">
        <f>IFERROR(__xludf.DUMMYFUNCTION("""COMPUTED_VALUE"""),"68 373 433 hab.")</f>
        <v>68 373 433 hab.</v>
      </c>
    </row>
    <row r="3">
      <c r="A3" s="3" t="str">
        <f>IFERROR(__xludf.DUMMYFUNCTION("""COMPUTED_VALUE"""),"*Métropole*")</f>
        <v>*Métropole*</v>
      </c>
      <c r="B3" s="4" t="str">
        <f>IFERROR(__xludf.DUMMYFUNCTION("""COMPUTED_VALUE"""),"65 925 961 hab.")</f>
        <v>65 925 961 hab.</v>
      </c>
      <c r="C3" s="3" t="str">
        <f>IFERROR(__xludf.DUMMYFUNCTION("""COMPUTED_VALUE"""),"66 142 961 hab.")</f>
        <v>66 142 961 hab.</v>
      </c>
    </row>
    <row r="4">
      <c r="B4" s="4"/>
    </row>
    <row r="5">
      <c r="B5" s="4"/>
    </row>
    <row r="6">
      <c r="B6" s="4"/>
    </row>
    <row r="7">
      <c r="B7" s="4"/>
    </row>
    <row r="8">
      <c r="B8" s="4"/>
    </row>
    <row r="9">
      <c r="B9" s="4"/>
    </row>
    <row r="10">
      <c r="B10" s="4"/>
    </row>
    <row r="11">
      <c r="B11" s="4"/>
    </row>
    <row r="12">
      <c r="B12" s="4"/>
    </row>
    <row r="13">
      <c r="B13" s="4"/>
    </row>
    <row r="14">
      <c r="B14" s="4"/>
    </row>
    <row r="15">
      <c r="B15" s="4"/>
    </row>
    <row r="16">
      <c r="B16" s="4"/>
    </row>
    <row r="17">
      <c r="B17" s="4"/>
    </row>
    <row r="18">
      <c r="B18" s="4"/>
    </row>
    <row r="19">
      <c r="B19" s="4"/>
    </row>
    <row r="20">
      <c r="B20" s="4"/>
    </row>
    <row r="21">
      <c r="B21" s="4"/>
    </row>
    <row r="22">
      <c r="B22" s="4"/>
    </row>
    <row r="23">
      <c r="B23" s="4"/>
    </row>
    <row r="24">
      <c r="B24" s="4"/>
    </row>
    <row r="25">
      <c r="B25" s="4"/>
    </row>
    <row r="26">
      <c r="B26" s="4"/>
    </row>
    <row r="27">
      <c r="B27" s="4"/>
    </row>
    <row r="28">
      <c r="A28" s="11" t="s">
        <v>68</v>
      </c>
      <c r="B28" s="23" t="s">
        <v>69</v>
      </c>
      <c r="C28" s="11" t="s">
        <v>70</v>
      </c>
    </row>
    <row r="29">
      <c r="A29" s="11" t="s">
        <v>71</v>
      </c>
      <c r="B29" s="23" t="s">
        <v>72</v>
      </c>
    </row>
    <row r="30">
      <c r="A30" s="11" t="s">
        <v>73</v>
      </c>
      <c r="B30" s="4"/>
    </row>
    <row r="31">
      <c r="A31" s="11" t="s">
        <v>74</v>
      </c>
      <c r="B31" s="23" t="s">
        <v>75</v>
      </c>
      <c r="C31" s="11" t="s">
        <v>76</v>
      </c>
      <c r="D31" s="11">
        <v>201735.0</v>
      </c>
    </row>
    <row r="32">
      <c r="A32" s="11" t="s">
        <v>77</v>
      </c>
      <c r="B32" s="23" t="s">
        <v>78</v>
      </c>
      <c r="C32" s="11">
        <v>201634.0</v>
      </c>
    </row>
    <row r="33">
      <c r="A33" s="11" t="s">
        <v>79</v>
      </c>
      <c r="B33" s="23" t="s">
        <v>80</v>
      </c>
      <c r="C33" s="11">
        <v>201634.0</v>
      </c>
    </row>
    <row r="34">
      <c r="A34" s="11" t="s">
        <v>81</v>
      </c>
      <c r="B34" s="23" t="s">
        <v>82</v>
      </c>
      <c r="C34" s="11">
        <v>201634.0</v>
      </c>
    </row>
    <row r="35">
      <c r="A35" s="11" t="s">
        <v>83</v>
      </c>
      <c r="B35" s="23" t="s">
        <v>84</v>
      </c>
      <c r="C35" s="11">
        <v>201836.0</v>
      </c>
    </row>
    <row r="36">
      <c r="A36" s="11" t="s">
        <v>85</v>
      </c>
      <c r="B36" s="4"/>
    </row>
    <row r="37">
      <c r="A37" s="11" t="s">
        <v>86</v>
      </c>
      <c r="B37" s="23" t="s">
        <v>87</v>
      </c>
      <c r="C37" s="11" t="s">
        <v>88</v>
      </c>
      <c r="D37" s="11">
        <v>201937.0</v>
      </c>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 (""https://www.lequipe.fr/Football/ligue-1/page-classement-equipes/general"" , ""table"" ,1)"),"")</f>
        <v/>
      </c>
      <c r="B1" s="3"/>
      <c r="C1" s="3"/>
      <c r="D1" s="3" t="str">
        <f>IFERROR(__xludf.DUMMYFUNCTION("""COMPUTED_VALUE"""),"pts")</f>
        <v>pts</v>
      </c>
      <c r="E1" s="3" t="str">
        <f>IFERROR(__xludf.DUMMYFUNCTION("""COMPUTED_VALUE"""),"J.")</f>
        <v>J.</v>
      </c>
      <c r="F1" s="3" t="str">
        <f>IFERROR(__xludf.DUMMYFUNCTION("""COMPUTED_VALUE"""),"G.")</f>
        <v>G.</v>
      </c>
      <c r="G1" s="3" t="str">
        <f>IFERROR(__xludf.DUMMYFUNCTION("""COMPUTED_VALUE"""),"N.")</f>
        <v>N.</v>
      </c>
      <c r="H1" s="3" t="str">
        <f>IFERROR(__xludf.DUMMYFUNCTION("""COMPUTED_VALUE"""),"P.")</f>
        <v>P.</v>
      </c>
      <c r="I1" s="3" t="str">
        <f>IFERROR(__xludf.DUMMYFUNCTION("""COMPUTED_VALUE"""),"p.")</f>
        <v>p.</v>
      </c>
      <c r="J1" s="3" t="str">
        <f>IFERROR(__xludf.DUMMYFUNCTION("""COMPUTED_VALUE"""),"c.")</f>
        <v>c.</v>
      </c>
      <c r="K1" s="3" t="str">
        <f>IFERROR(__xludf.DUMMYFUNCTION("""COMPUTED_VALUE"""),"+/-")</f>
        <v>+/-</v>
      </c>
      <c r="L1" s="3" t="str">
        <f>IFERROR(__xludf.DUMMYFUNCTION("""COMPUTED_VALUE"""),"G.")</f>
        <v>G.</v>
      </c>
      <c r="M1" s="3" t="str">
        <f>IFERROR(__xludf.DUMMYFUNCTION("""COMPUTED_VALUE"""),"N.")</f>
        <v>N.</v>
      </c>
      <c r="N1" s="3" t="str">
        <f>IFERROR(__xludf.DUMMYFUNCTION("""COMPUTED_VALUE"""),"P.")</f>
        <v>P.</v>
      </c>
    </row>
    <row r="2">
      <c r="A2" s="3">
        <f>IFERROR(__xludf.DUMMYFUNCTION("""COMPUTED_VALUE"""),1.0)</f>
        <v>1</v>
      </c>
      <c r="B2" s="3" t="str">
        <f>IFERROR(__xludf.DUMMYFUNCTION("""COMPUTED_VALUE"""),"Paris-SG")</f>
        <v>Paris-SG</v>
      </c>
      <c r="C2" s="3"/>
      <c r="D2" s="3">
        <f>IFERROR(__xludf.DUMMYFUNCTION("""COMPUTED_VALUE"""),48.0)</f>
        <v>48</v>
      </c>
      <c r="E2" s="3">
        <f>IFERROR(__xludf.DUMMYFUNCTION("""COMPUTED_VALUE"""),20.0)</f>
        <v>20</v>
      </c>
      <c r="F2" s="3">
        <f>IFERROR(__xludf.DUMMYFUNCTION("""COMPUTED_VALUE"""),15.0)</f>
        <v>15</v>
      </c>
      <c r="G2" s="3">
        <f>IFERROR(__xludf.DUMMYFUNCTION("""COMPUTED_VALUE"""),3.0)</f>
        <v>3</v>
      </c>
      <c r="H2" s="3">
        <f>IFERROR(__xludf.DUMMYFUNCTION("""COMPUTED_VALUE"""),2.0)</f>
        <v>2</v>
      </c>
      <c r="I2" s="3">
        <f>IFERROR(__xludf.DUMMYFUNCTION("""COMPUTED_VALUE"""),43.0)</f>
        <v>43</v>
      </c>
      <c r="J2" s="3">
        <f>IFERROR(__xludf.DUMMYFUNCTION("""COMPUTED_VALUE"""),16.0)</f>
        <v>16</v>
      </c>
      <c r="K2" s="3" t="str">
        <f>IFERROR(__xludf.DUMMYFUNCTION("""COMPUTED_VALUE"""),"+27")</f>
        <v>+27</v>
      </c>
      <c r="L2" s="3"/>
      <c r="M2" s="3"/>
      <c r="N2" s="3"/>
    </row>
    <row r="3">
      <c r="A3" s="3">
        <f>IFERROR(__xludf.DUMMYFUNCTION("""COMPUTED_VALUE"""),2.0)</f>
        <v>2</v>
      </c>
      <c r="B3" s="3" t="str">
        <f>IFERROR(__xludf.DUMMYFUNCTION("""COMPUTED_VALUE"""),"Lens")</f>
        <v>Lens</v>
      </c>
      <c r="C3" s="3"/>
      <c r="D3" s="3">
        <f>IFERROR(__xludf.DUMMYFUNCTION("""COMPUTED_VALUE"""),46.0)</f>
        <v>46</v>
      </c>
      <c r="E3" s="3">
        <f>IFERROR(__xludf.DUMMYFUNCTION("""COMPUTED_VALUE"""),20.0)</f>
        <v>20</v>
      </c>
      <c r="F3" s="3">
        <f>IFERROR(__xludf.DUMMYFUNCTION("""COMPUTED_VALUE"""),15.0)</f>
        <v>15</v>
      </c>
      <c r="G3" s="3">
        <f>IFERROR(__xludf.DUMMYFUNCTION("""COMPUTED_VALUE"""),1.0)</f>
        <v>1</v>
      </c>
      <c r="H3" s="3">
        <f>IFERROR(__xludf.DUMMYFUNCTION("""COMPUTED_VALUE"""),4.0)</f>
        <v>4</v>
      </c>
      <c r="I3" s="3">
        <f>IFERROR(__xludf.DUMMYFUNCTION("""COMPUTED_VALUE"""),34.0)</f>
        <v>34</v>
      </c>
      <c r="J3" s="3">
        <f>IFERROR(__xludf.DUMMYFUNCTION("""COMPUTED_VALUE"""),16.0)</f>
        <v>16</v>
      </c>
      <c r="K3" s="3" t="str">
        <f>IFERROR(__xludf.DUMMYFUNCTION("""COMPUTED_VALUE"""),"+18")</f>
        <v>+18</v>
      </c>
      <c r="L3" s="3"/>
      <c r="M3" s="3"/>
      <c r="N3" s="3"/>
    </row>
    <row r="4">
      <c r="A4" s="3">
        <f>IFERROR(__xludf.DUMMYFUNCTION("""COMPUTED_VALUE"""),3.0)</f>
        <v>3</v>
      </c>
      <c r="B4" s="3" t="str">
        <f>IFERROR(__xludf.DUMMYFUNCTION("""COMPUTED_VALUE"""),"Marseille")</f>
        <v>Marseille</v>
      </c>
      <c r="C4" s="3"/>
      <c r="D4" s="3">
        <f>IFERROR(__xludf.DUMMYFUNCTION("""COMPUTED_VALUE"""),39.0)</f>
        <v>39</v>
      </c>
      <c r="E4" s="3">
        <f>IFERROR(__xludf.DUMMYFUNCTION("""COMPUTED_VALUE"""),20.0)</f>
        <v>20</v>
      </c>
      <c r="F4" s="3">
        <f>IFERROR(__xludf.DUMMYFUNCTION("""COMPUTED_VALUE"""),12.0)</f>
        <v>12</v>
      </c>
      <c r="G4" s="3">
        <f>IFERROR(__xludf.DUMMYFUNCTION("""COMPUTED_VALUE"""),3.0)</f>
        <v>3</v>
      </c>
      <c r="H4" s="3">
        <f>IFERROR(__xludf.DUMMYFUNCTION("""COMPUTED_VALUE"""),5.0)</f>
        <v>5</v>
      </c>
      <c r="I4" s="3">
        <f>IFERROR(__xludf.DUMMYFUNCTION("""COMPUTED_VALUE"""),46.0)</f>
        <v>46</v>
      </c>
      <c r="J4" s="3">
        <f>IFERROR(__xludf.DUMMYFUNCTION("""COMPUTED_VALUE"""),22.0)</f>
        <v>22</v>
      </c>
      <c r="K4" s="3" t="str">
        <f>IFERROR(__xludf.DUMMYFUNCTION("""COMPUTED_VALUE"""),"+24")</f>
        <v>+24</v>
      </c>
      <c r="L4" s="3"/>
      <c r="M4" s="3"/>
      <c r="N4" s="3"/>
    </row>
    <row r="5">
      <c r="A5" s="3">
        <f>IFERROR(__xludf.DUMMYFUNCTION("""COMPUTED_VALUE"""),4.0)</f>
        <v>4</v>
      </c>
      <c r="B5" s="3" t="str">
        <f>IFERROR(__xludf.DUMMYFUNCTION("""COMPUTED_VALUE"""),"Lyon")</f>
        <v>Lyon</v>
      </c>
      <c r="C5" s="3"/>
      <c r="D5" s="3">
        <f>IFERROR(__xludf.DUMMYFUNCTION("""COMPUTED_VALUE"""),39.0)</f>
        <v>39</v>
      </c>
      <c r="E5" s="3">
        <f>IFERROR(__xludf.DUMMYFUNCTION("""COMPUTED_VALUE"""),20.0)</f>
        <v>20</v>
      </c>
      <c r="F5" s="3">
        <f>IFERROR(__xludf.DUMMYFUNCTION("""COMPUTED_VALUE"""),12.0)</f>
        <v>12</v>
      </c>
      <c r="G5" s="3">
        <f>IFERROR(__xludf.DUMMYFUNCTION("""COMPUTED_VALUE"""),3.0)</f>
        <v>3</v>
      </c>
      <c r="H5" s="3">
        <f>IFERROR(__xludf.DUMMYFUNCTION("""COMPUTED_VALUE"""),5.0)</f>
        <v>5</v>
      </c>
      <c r="I5" s="3">
        <f>IFERROR(__xludf.DUMMYFUNCTION("""COMPUTED_VALUE"""),33.0)</f>
        <v>33</v>
      </c>
      <c r="J5" s="3">
        <f>IFERROR(__xludf.DUMMYFUNCTION("""COMPUTED_VALUE"""),20.0)</f>
        <v>20</v>
      </c>
      <c r="K5" s="3" t="str">
        <f>IFERROR(__xludf.DUMMYFUNCTION("""COMPUTED_VALUE"""),"+13")</f>
        <v>+13</v>
      </c>
      <c r="L5" s="3"/>
      <c r="M5" s="3"/>
      <c r="N5" s="3"/>
    </row>
    <row r="6">
      <c r="A6" s="3">
        <f>IFERROR(__xludf.DUMMYFUNCTION("""COMPUTED_VALUE"""),5.0)</f>
        <v>5</v>
      </c>
      <c r="B6" s="3" t="str">
        <f>IFERROR(__xludf.DUMMYFUNCTION("""COMPUTED_VALUE"""),"Lille")</f>
        <v>Lille</v>
      </c>
      <c r="C6" s="3"/>
      <c r="D6" s="3">
        <f>IFERROR(__xludf.DUMMYFUNCTION("""COMPUTED_VALUE"""),33.0)</f>
        <v>33</v>
      </c>
      <c r="E6" s="3">
        <f>IFERROR(__xludf.DUMMYFUNCTION("""COMPUTED_VALUE"""),21.0)</f>
        <v>21</v>
      </c>
      <c r="F6" s="3">
        <f>IFERROR(__xludf.DUMMYFUNCTION("""COMPUTED_VALUE"""),10.0)</f>
        <v>10</v>
      </c>
      <c r="G6" s="3">
        <f>IFERROR(__xludf.DUMMYFUNCTION("""COMPUTED_VALUE"""),3.0)</f>
        <v>3</v>
      </c>
      <c r="H6" s="3">
        <f>IFERROR(__xludf.DUMMYFUNCTION("""COMPUTED_VALUE"""),8.0)</f>
        <v>8</v>
      </c>
      <c r="I6" s="3">
        <f>IFERROR(__xludf.DUMMYFUNCTION("""COMPUTED_VALUE"""),34.0)</f>
        <v>34</v>
      </c>
      <c r="J6" s="3">
        <f>IFERROR(__xludf.DUMMYFUNCTION("""COMPUTED_VALUE"""),30.0)</f>
        <v>30</v>
      </c>
      <c r="K6" s="3" t="str">
        <f>IFERROR(__xludf.DUMMYFUNCTION("""COMPUTED_VALUE"""),"+4")</f>
        <v>+4</v>
      </c>
      <c r="L6" s="3"/>
      <c r="M6" s="3"/>
      <c r="N6" s="3"/>
    </row>
    <row r="7">
      <c r="A7" s="3">
        <f>IFERROR(__xludf.DUMMYFUNCTION("""COMPUTED_VALUE"""),6.0)</f>
        <v>6</v>
      </c>
      <c r="B7" s="3" t="str">
        <f>IFERROR(__xludf.DUMMYFUNCTION("""COMPUTED_VALUE"""),"Rennes")</f>
        <v>Rennes</v>
      </c>
      <c r="C7" s="3"/>
      <c r="D7" s="3">
        <f>IFERROR(__xludf.DUMMYFUNCTION("""COMPUTED_VALUE"""),31.0)</f>
        <v>31</v>
      </c>
      <c r="E7" s="3">
        <f>IFERROR(__xludf.DUMMYFUNCTION("""COMPUTED_VALUE"""),20.0)</f>
        <v>20</v>
      </c>
      <c r="F7" s="3">
        <f>IFERROR(__xludf.DUMMYFUNCTION("""COMPUTED_VALUE"""),8.0)</f>
        <v>8</v>
      </c>
      <c r="G7" s="3">
        <f>IFERROR(__xludf.DUMMYFUNCTION("""COMPUTED_VALUE"""),7.0)</f>
        <v>7</v>
      </c>
      <c r="H7" s="3">
        <f>IFERROR(__xludf.DUMMYFUNCTION("""COMPUTED_VALUE"""),5.0)</f>
        <v>5</v>
      </c>
      <c r="I7" s="3">
        <f>IFERROR(__xludf.DUMMYFUNCTION("""COMPUTED_VALUE"""),30.0)</f>
        <v>30</v>
      </c>
      <c r="J7" s="3">
        <f>IFERROR(__xludf.DUMMYFUNCTION("""COMPUTED_VALUE"""),31.0)</f>
        <v>31</v>
      </c>
      <c r="K7" s="3">
        <f>IFERROR(__xludf.DUMMYFUNCTION("""COMPUTED_VALUE"""),-1.0)</f>
        <v>-1</v>
      </c>
      <c r="L7" s="3"/>
      <c r="M7" s="3"/>
      <c r="N7" s="3"/>
    </row>
    <row r="8">
      <c r="A8" s="3">
        <f>IFERROR(__xludf.DUMMYFUNCTION("""COMPUTED_VALUE"""),7.0)</f>
        <v>7</v>
      </c>
      <c r="B8" s="3" t="str">
        <f>IFERROR(__xludf.DUMMYFUNCTION("""COMPUTED_VALUE"""),"Strasbourg")</f>
        <v>Strasbourg</v>
      </c>
      <c r="C8" s="3"/>
      <c r="D8" s="3">
        <f>IFERROR(__xludf.DUMMYFUNCTION("""COMPUTED_VALUE"""),30.0)</f>
        <v>30</v>
      </c>
      <c r="E8" s="3">
        <f>IFERROR(__xludf.DUMMYFUNCTION("""COMPUTED_VALUE"""),20.0)</f>
        <v>20</v>
      </c>
      <c r="F8" s="3">
        <f>IFERROR(__xludf.DUMMYFUNCTION("""COMPUTED_VALUE"""),9.0)</f>
        <v>9</v>
      </c>
      <c r="G8" s="3">
        <f>IFERROR(__xludf.DUMMYFUNCTION("""COMPUTED_VALUE"""),3.0)</f>
        <v>3</v>
      </c>
      <c r="H8" s="3">
        <f>IFERROR(__xludf.DUMMYFUNCTION("""COMPUTED_VALUE"""),8.0)</f>
        <v>8</v>
      </c>
      <c r="I8" s="3">
        <f>IFERROR(__xludf.DUMMYFUNCTION("""COMPUTED_VALUE"""),33.0)</f>
        <v>33</v>
      </c>
      <c r="J8" s="3">
        <f>IFERROR(__xludf.DUMMYFUNCTION("""COMPUTED_VALUE"""),25.0)</f>
        <v>25</v>
      </c>
      <c r="K8" s="3" t="str">
        <f>IFERROR(__xludf.DUMMYFUNCTION("""COMPUTED_VALUE"""),"+8")</f>
        <v>+8</v>
      </c>
      <c r="L8" s="3"/>
      <c r="M8" s="3"/>
      <c r="N8" s="3"/>
    </row>
    <row r="9">
      <c r="A9" s="3">
        <f>IFERROR(__xludf.DUMMYFUNCTION("""COMPUTED_VALUE"""),8.0)</f>
        <v>8</v>
      </c>
      <c r="B9" s="3" t="str">
        <f>IFERROR(__xludf.DUMMYFUNCTION("""COMPUTED_VALUE"""),"Toulouse")</f>
        <v>Toulouse</v>
      </c>
      <c r="C9" s="3"/>
      <c r="D9" s="3">
        <f>IFERROR(__xludf.DUMMYFUNCTION("""COMPUTED_VALUE"""),30.0)</f>
        <v>30</v>
      </c>
      <c r="E9" s="3">
        <f>IFERROR(__xludf.DUMMYFUNCTION("""COMPUTED_VALUE"""),20.0)</f>
        <v>20</v>
      </c>
      <c r="F9" s="3">
        <f>IFERROR(__xludf.DUMMYFUNCTION("""COMPUTED_VALUE"""),8.0)</f>
        <v>8</v>
      </c>
      <c r="G9" s="3">
        <f>IFERROR(__xludf.DUMMYFUNCTION("""COMPUTED_VALUE"""),6.0)</f>
        <v>6</v>
      </c>
      <c r="H9" s="3">
        <f>IFERROR(__xludf.DUMMYFUNCTION("""COMPUTED_VALUE"""),6.0)</f>
        <v>6</v>
      </c>
      <c r="I9" s="3">
        <f>IFERROR(__xludf.DUMMYFUNCTION("""COMPUTED_VALUE"""),31.0)</f>
        <v>31</v>
      </c>
      <c r="J9" s="3">
        <f>IFERROR(__xludf.DUMMYFUNCTION("""COMPUTED_VALUE"""),23.0)</f>
        <v>23</v>
      </c>
      <c r="K9" s="3" t="str">
        <f>IFERROR(__xludf.DUMMYFUNCTION("""COMPUTED_VALUE"""),"+8")</f>
        <v>+8</v>
      </c>
      <c r="L9" s="3"/>
      <c r="M9" s="3"/>
      <c r="N9" s="3"/>
    </row>
    <row r="10">
      <c r="A10" s="3">
        <f>IFERROR(__xludf.DUMMYFUNCTION("""COMPUTED_VALUE"""),9.0)</f>
        <v>9</v>
      </c>
      <c r="B10" s="3" t="str">
        <f>IFERROR(__xludf.DUMMYFUNCTION("""COMPUTED_VALUE"""),"Lorient")</f>
        <v>Lorient</v>
      </c>
      <c r="C10" s="3"/>
      <c r="D10" s="3">
        <f>IFERROR(__xludf.DUMMYFUNCTION("""COMPUTED_VALUE"""),28.0)</f>
        <v>28</v>
      </c>
      <c r="E10" s="3">
        <f>IFERROR(__xludf.DUMMYFUNCTION("""COMPUTED_VALUE"""),20.0)</f>
        <v>20</v>
      </c>
      <c r="F10" s="3">
        <f>IFERROR(__xludf.DUMMYFUNCTION("""COMPUTED_VALUE"""),7.0)</f>
        <v>7</v>
      </c>
      <c r="G10" s="3">
        <f>IFERROR(__xludf.DUMMYFUNCTION("""COMPUTED_VALUE"""),7.0)</f>
        <v>7</v>
      </c>
      <c r="H10" s="3">
        <f>IFERROR(__xludf.DUMMYFUNCTION("""COMPUTED_VALUE"""),6.0)</f>
        <v>6</v>
      </c>
      <c r="I10" s="3">
        <f>IFERROR(__xludf.DUMMYFUNCTION("""COMPUTED_VALUE"""),27.0)</f>
        <v>27</v>
      </c>
      <c r="J10" s="3">
        <f>IFERROR(__xludf.DUMMYFUNCTION("""COMPUTED_VALUE"""),31.0)</f>
        <v>31</v>
      </c>
      <c r="K10" s="3">
        <f>IFERROR(__xludf.DUMMYFUNCTION("""COMPUTED_VALUE"""),-4.0)</f>
        <v>-4</v>
      </c>
      <c r="L10" s="3"/>
      <c r="M10" s="3"/>
      <c r="N10" s="3"/>
    </row>
    <row r="11">
      <c r="A11" s="3">
        <f>IFERROR(__xludf.DUMMYFUNCTION("""COMPUTED_VALUE"""),10.0)</f>
        <v>10</v>
      </c>
      <c r="B11" s="3" t="str">
        <f>IFERROR(__xludf.DUMMYFUNCTION("""COMPUTED_VALUE"""),"Monaco")</f>
        <v>Monaco</v>
      </c>
      <c r="C11" s="3"/>
      <c r="D11" s="3">
        <f>IFERROR(__xludf.DUMMYFUNCTION("""COMPUTED_VALUE"""),27.0)</f>
        <v>27</v>
      </c>
      <c r="E11" s="3">
        <f>IFERROR(__xludf.DUMMYFUNCTION("""COMPUTED_VALUE"""),20.0)</f>
        <v>20</v>
      </c>
      <c r="F11" s="3">
        <f>IFERROR(__xludf.DUMMYFUNCTION("""COMPUTED_VALUE"""),8.0)</f>
        <v>8</v>
      </c>
      <c r="G11" s="3">
        <f>IFERROR(__xludf.DUMMYFUNCTION("""COMPUTED_VALUE"""),3.0)</f>
        <v>3</v>
      </c>
      <c r="H11" s="3">
        <f>IFERROR(__xludf.DUMMYFUNCTION("""COMPUTED_VALUE"""),9.0)</f>
        <v>9</v>
      </c>
      <c r="I11" s="3">
        <f>IFERROR(__xludf.DUMMYFUNCTION("""COMPUTED_VALUE"""),32.0)</f>
        <v>32</v>
      </c>
      <c r="J11" s="3">
        <f>IFERROR(__xludf.DUMMYFUNCTION("""COMPUTED_VALUE"""),33.0)</f>
        <v>33</v>
      </c>
      <c r="K11" s="3">
        <f>IFERROR(__xludf.DUMMYFUNCTION("""COMPUTED_VALUE"""),-1.0)</f>
        <v>-1</v>
      </c>
      <c r="L11" s="3"/>
      <c r="M11" s="3"/>
      <c r="N11" s="3"/>
    </row>
    <row r="12">
      <c r="A12" s="3">
        <f>IFERROR(__xludf.DUMMYFUNCTION("""COMPUTED_VALUE"""),11.0)</f>
        <v>11</v>
      </c>
      <c r="B12" s="3" t="str">
        <f>IFERROR(__xludf.DUMMYFUNCTION("""COMPUTED_VALUE"""),"Angers")</f>
        <v>Angers</v>
      </c>
      <c r="C12" s="3"/>
      <c r="D12" s="3">
        <f>IFERROR(__xludf.DUMMYFUNCTION("""COMPUTED_VALUE"""),26.0)</f>
        <v>26</v>
      </c>
      <c r="E12" s="3">
        <f>IFERROR(__xludf.DUMMYFUNCTION("""COMPUTED_VALUE"""),20.0)</f>
        <v>20</v>
      </c>
      <c r="F12" s="3">
        <f>IFERROR(__xludf.DUMMYFUNCTION("""COMPUTED_VALUE"""),7.0)</f>
        <v>7</v>
      </c>
      <c r="G12" s="3">
        <f>IFERROR(__xludf.DUMMYFUNCTION("""COMPUTED_VALUE"""),5.0)</f>
        <v>5</v>
      </c>
      <c r="H12" s="3">
        <f>IFERROR(__xludf.DUMMYFUNCTION("""COMPUTED_VALUE"""),8.0)</f>
        <v>8</v>
      </c>
      <c r="I12" s="3">
        <f>IFERROR(__xludf.DUMMYFUNCTION("""COMPUTED_VALUE"""),21.0)</f>
        <v>21</v>
      </c>
      <c r="J12" s="3">
        <f>IFERROR(__xludf.DUMMYFUNCTION("""COMPUTED_VALUE"""),25.0)</f>
        <v>25</v>
      </c>
      <c r="K12" s="3">
        <f>IFERROR(__xludf.DUMMYFUNCTION("""COMPUTED_VALUE"""),-4.0)</f>
        <v>-4</v>
      </c>
      <c r="L12" s="3"/>
      <c r="M12" s="3"/>
      <c r="N12" s="3"/>
    </row>
    <row r="13">
      <c r="A13" s="3">
        <f>IFERROR(__xludf.DUMMYFUNCTION("""COMPUTED_VALUE"""),12.0)</f>
        <v>12</v>
      </c>
      <c r="B13" s="3" t="str">
        <f>IFERROR(__xludf.DUMMYFUNCTION("""COMPUTED_VALUE"""),"Brest")</f>
        <v>Brest</v>
      </c>
      <c r="C13" s="3"/>
      <c r="D13" s="3">
        <f>IFERROR(__xludf.DUMMYFUNCTION("""COMPUTED_VALUE"""),23.0)</f>
        <v>23</v>
      </c>
      <c r="E13" s="3">
        <f>IFERROR(__xludf.DUMMYFUNCTION("""COMPUTED_VALUE"""),20.0)</f>
        <v>20</v>
      </c>
      <c r="F13" s="3">
        <f>IFERROR(__xludf.DUMMYFUNCTION("""COMPUTED_VALUE"""),6.0)</f>
        <v>6</v>
      </c>
      <c r="G13" s="3">
        <f>IFERROR(__xludf.DUMMYFUNCTION("""COMPUTED_VALUE"""),5.0)</f>
        <v>5</v>
      </c>
      <c r="H13" s="3">
        <f>IFERROR(__xludf.DUMMYFUNCTION("""COMPUTED_VALUE"""),9.0)</f>
        <v>9</v>
      </c>
      <c r="I13" s="3">
        <f>IFERROR(__xludf.DUMMYFUNCTION("""COMPUTED_VALUE"""),26.0)</f>
        <v>26</v>
      </c>
      <c r="J13" s="3">
        <f>IFERROR(__xludf.DUMMYFUNCTION("""COMPUTED_VALUE"""),33.0)</f>
        <v>33</v>
      </c>
      <c r="K13" s="3">
        <f>IFERROR(__xludf.DUMMYFUNCTION("""COMPUTED_VALUE"""),-7.0)</f>
        <v>-7</v>
      </c>
      <c r="L13" s="3"/>
      <c r="M13" s="3"/>
      <c r="N13" s="3"/>
    </row>
    <row r="14">
      <c r="A14" s="3">
        <f>IFERROR(__xludf.DUMMYFUNCTION("""COMPUTED_VALUE"""),13.0)</f>
        <v>13</v>
      </c>
      <c r="B14" s="3" t="str">
        <f>IFERROR(__xludf.DUMMYFUNCTION("""COMPUTED_VALUE"""),"Nice")</f>
        <v>Nice</v>
      </c>
      <c r="C14" s="3"/>
      <c r="D14" s="3">
        <f>IFERROR(__xludf.DUMMYFUNCTION("""COMPUTED_VALUE"""),22.0)</f>
        <v>22</v>
      </c>
      <c r="E14" s="3">
        <f>IFERROR(__xludf.DUMMYFUNCTION("""COMPUTED_VALUE"""),20.0)</f>
        <v>20</v>
      </c>
      <c r="F14" s="3">
        <f>IFERROR(__xludf.DUMMYFUNCTION("""COMPUTED_VALUE"""),6.0)</f>
        <v>6</v>
      </c>
      <c r="G14" s="3">
        <f>IFERROR(__xludf.DUMMYFUNCTION("""COMPUTED_VALUE"""),4.0)</f>
        <v>4</v>
      </c>
      <c r="H14" s="3">
        <f>IFERROR(__xludf.DUMMYFUNCTION("""COMPUTED_VALUE"""),10.0)</f>
        <v>10</v>
      </c>
      <c r="I14" s="3">
        <f>IFERROR(__xludf.DUMMYFUNCTION("""COMPUTED_VALUE"""),27.0)</f>
        <v>27</v>
      </c>
      <c r="J14" s="3">
        <f>IFERROR(__xludf.DUMMYFUNCTION("""COMPUTED_VALUE"""),38.0)</f>
        <v>38</v>
      </c>
      <c r="K14" s="3">
        <f>IFERROR(__xludf.DUMMYFUNCTION("""COMPUTED_VALUE"""),-11.0)</f>
        <v>-11</v>
      </c>
      <c r="L14" s="3"/>
      <c r="M14" s="3"/>
      <c r="N14" s="3"/>
    </row>
    <row r="15">
      <c r="A15" s="3">
        <f>IFERROR(__xludf.DUMMYFUNCTION("""COMPUTED_VALUE"""),14.0)</f>
        <v>14</v>
      </c>
      <c r="B15" s="3" t="str">
        <f>IFERROR(__xludf.DUMMYFUNCTION("""COMPUTED_VALUE"""),"Paris FC")</f>
        <v>Paris FC</v>
      </c>
      <c r="C15" s="3"/>
      <c r="D15" s="3">
        <f>IFERROR(__xludf.DUMMYFUNCTION("""COMPUTED_VALUE"""),21.0)</f>
        <v>21</v>
      </c>
      <c r="E15" s="3">
        <f>IFERROR(__xludf.DUMMYFUNCTION("""COMPUTED_VALUE"""),20.0)</f>
        <v>20</v>
      </c>
      <c r="F15" s="3">
        <f>IFERROR(__xludf.DUMMYFUNCTION("""COMPUTED_VALUE"""),5.0)</f>
        <v>5</v>
      </c>
      <c r="G15" s="3">
        <f>IFERROR(__xludf.DUMMYFUNCTION("""COMPUTED_VALUE"""),6.0)</f>
        <v>6</v>
      </c>
      <c r="H15" s="3">
        <f>IFERROR(__xludf.DUMMYFUNCTION("""COMPUTED_VALUE"""),9.0)</f>
        <v>9</v>
      </c>
      <c r="I15" s="3">
        <f>IFERROR(__xludf.DUMMYFUNCTION("""COMPUTED_VALUE"""),26.0)</f>
        <v>26</v>
      </c>
      <c r="J15" s="3">
        <f>IFERROR(__xludf.DUMMYFUNCTION("""COMPUTED_VALUE"""),34.0)</f>
        <v>34</v>
      </c>
      <c r="K15" s="3">
        <f>IFERROR(__xludf.DUMMYFUNCTION("""COMPUTED_VALUE"""),-8.0)</f>
        <v>-8</v>
      </c>
      <c r="L15" s="3"/>
      <c r="M15" s="3"/>
      <c r="N15" s="3"/>
    </row>
    <row r="16">
      <c r="A16" s="3">
        <f>IFERROR(__xludf.DUMMYFUNCTION("""COMPUTED_VALUE"""),15.0)</f>
        <v>15</v>
      </c>
      <c r="B16" s="3" t="str">
        <f>IFERROR(__xludf.DUMMYFUNCTION("""COMPUTED_VALUE"""),"Le Havre")</f>
        <v>Le Havre</v>
      </c>
      <c r="C16" s="3"/>
      <c r="D16" s="3">
        <f>IFERROR(__xludf.DUMMYFUNCTION("""COMPUTED_VALUE"""),20.0)</f>
        <v>20</v>
      </c>
      <c r="E16" s="3">
        <f>IFERROR(__xludf.DUMMYFUNCTION("""COMPUTED_VALUE"""),20.0)</f>
        <v>20</v>
      </c>
      <c r="F16" s="3">
        <f>IFERROR(__xludf.DUMMYFUNCTION("""COMPUTED_VALUE"""),4.0)</f>
        <v>4</v>
      </c>
      <c r="G16" s="3">
        <f>IFERROR(__xludf.DUMMYFUNCTION("""COMPUTED_VALUE"""),8.0)</f>
        <v>8</v>
      </c>
      <c r="H16" s="3">
        <f>IFERROR(__xludf.DUMMYFUNCTION("""COMPUTED_VALUE"""),8.0)</f>
        <v>8</v>
      </c>
      <c r="I16" s="3">
        <f>IFERROR(__xludf.DUMMYFUNCTION("""COMPUTED_VALUE"""),16.0)</f>
        <v>16</v>
      </c>
      <c r="J16" s="3">
        <f>IFERROR(__xludf.DUMMYFUNCTION("""COMPUTED_VALUE"""),25.0)</f>
        <v>25</v>
      </c>
      <c r="K16" s="3">
        <f>IFERROR(__xludf.DUMMYFUNCTION("""COMPUTED_VALUE"""),-9.0)</f>
        <v>-9</v>
      </c>
      <c r="L16" s="3"/>
      <c r="M16" s="3"/>
      <c r="N16" s="3"/>
    </row>
    <row r="17">
      <c r="A17" s="3">
        <f>IFERROR(__xludf.DUMMYFUNCTION("""COMPUTED_VALUE"""),16.0)</f>
        <v>16</v>
      </c>
      <c r="B17" s="3" t="str">
        <f>IFERROR(__xludf.DUMMYFUNCTION("""COMPUTED_VALUE"""),"Nantes")</f>
        <v>Nantes</v>
      </c>
      <c r="C17" s="3"/>
      <c r="D17" s="3">
        <f>IFERROR(__xludf.DUMMYFUNCTION("""COMPUTED_VALUE"""),14.0)</f>
        <v>14</v>
      </c>
      <c r="E17" s="3">
        <f>IFERROR(__xludf.DUMMYFUNCTION("""COMPUTED_VALUE"""),20.0)</f>
        <v>20</v>
      </c>
      <c r="F17" s="3">
        <f>IFERROR(__xludf.DUMMYFUNCTION("""COMPUTED_VALUE"""),3.0)</f>
        <v>3</v>
      </c>
      <c r="G17" s="3">
        <f>IFERROR(__xludf.DUMMYFUNCTION("""COMPUTED_VALUE"""),5.0)</f>
        <v>5</v>
      </c>
      <c r="H17" s="3">
        <f>IFERROR(__xludf.DUMMYFUNCTION("""COMPUTED_VALUE"""),12.0)</f>
        <v>12</v>
      </c>
      <c r="I17" s="3">
        <f>IFERROR(__xludf.DUMMYFUNCTION("""COMPUTED_VALUE"""),19.0)</f>
        <v>19</v>
      </c>
      <c r="J17" s="3">
        <f>IFERROR(__xludf.DUMMYFUNCTION("""COMPUTED_VALUE"""),36.0)</f>
        <v>36</v>
      </c>
      <c r="K17" s="3">
        <f>IFERROR(__xludf.DUMMYFUNCTION("""COMPUTED_VALUE"""),-17.0)</f>
        <v>-17</v>
      </c>
      <c r="L17" s="3"/>
      <c r="M17" s="3"/>
      <c r="N17" s="3"/>
    </row>
    <row r="18">
      <c r="A18" s="3">
        <f>IFERROR(__xludf.DUMMYFUNCTION("""COMPUTED_VALUE"""),17.0)</f>
        <v>17</v>
      </c>
      <c r="B18" s="3" t="str">
        <f>IFERROR(__xludf.DUMMYFUNCTION("""COMPUTED_VALUE"""),"Auxerre")</f>
        <v>Auxerre</v>
      </c>
      <c r="C18" s="3"/>
      <c r="D18" s="3">
        <f>IFERROR(__xludf.DUMMYFUNCTION("""COMPUTED_VALUE"""),13.0)</f>
        <v>13</v>
      </c>
      <c r="E18" s="3">
        <f>IFERROR(__xludf.DUMMYFUNCTION("""COMPUTED_VALUE"""),20.0)</f>
        <v>20</v>
      </c>
      <c r="F18" s="3">
        <f>IFERROR(__xludf.DUMMYFUNCTION("""COMPUTED_VALUE"""),3.0)</f>
        <v>3</v>
      </c>
      <c r="G18" s="3">
        <f>IFERROR(__xludf.DUMMYFUNCTION("""COMPUTED_VALUE"""),4.0)</f>
        <v>4</v>
      </c>
      <c r="H18" s="3">
        <f>IFERROR(__xludf.DUMMYFUNCTION("""COMPUTED_VALUE"""),13.0)</f>
        <v>13</v>
      </c>
      <c r="I18" s="3">
        <f>IFERROR(__xludf.DUMMYFUNCTION("""COMPUTED_VALUE"""),14.0)</f>
        <v>14</v>
      </c>
      <c r="J18" s="3">
        <f>IFERROR(__xludf.DUMMYFUNCTION("""COMPUTED_VALUE"""),29.0)</f>
        <v>29</v>
      </c>
      <c r="K18" s="3">
        <f>IFERROR(__xludf.DUMMYFUNCTION("""COMPUTED_VALUE"""),-15.0)</f>
        <v>-15</v>
      </c>
      <c r="L18" s="3"/>
      <c r="M18" s="3"/>
      <c r="N18" s="3"/>
    </row>
    <row r="19">
      <c r="A19" s="3">
        <f>IFERROR(__xludf.DUMMYFUNCTION("""COMPUTED_VALUE"""),18.0)</f>
        <v>18</v>
      </c>
      <c r="B19" s="3" t="str">
        <f>IFERROR(__xludf.DUMMYFUNCTION("""COMPUTED_VALUE"""),"Metz")</f>
        <v>Metz</v>
      </c>
      <c r="C19" s="3"/>
      <c r="D19" s="3">
        <f>IFERROR(__xludf.DUMMYFUNCTION("""COMPUTED_VALUE"""),13.0)</f>
        <v>13</v>
      </c>
      <c r="E19" s="3">
        <f>IFERROR(__xludf.DUMMYFUNCTION("""COMPUTED_VALUE"""),21.0)</f>
        <v>21</v>
      </c>
      <c r="F19" s="3">
        <f>IFERROR(__xludf.DUMMYFUNCTION("""COMPUTED_VALUE"""),3.0)</f>
        <v>3</v>
      </c>
      <c r="G19" s="3">
        <f>IFERROR(__xludf.DUMMYFUNCTION("""COMPUTED_VALUE"""),4.0)</f>
        <v>4</v>
      </c>
      <c r="H19" s="3">
        <f>IFERROR(__xludf.DUMMYFUNCTION("""COMPUTED_VALUE"""),14.0)</f>
        <v>14</v>
      </c>
      <c r="I19" s="3">
        <f>IFERROR(__xludf.DUMMYFUNCTION("""COMPUTED_VALUE"""),21.0)</f>
        <v>21</v>
      </c>
      <c r="J19" s="3">
        <f>IFERROR(__xludf.DUMMYFUNCTION("""COMPUTED_VALUE"""),46.0)</f>
        <v>46</v>
      </c>
      <c r="K19" s="3">
        <f>IFERROR(__xludf.DUMMYFUNCTION("""COMPUTED_VALUE"""),-25.0)</f>
        <v>-25</v>
      </c>
      <c r="L19" s="3"/>
      <c r="M19" s="3"/>
      <c r="N19" s="3"/>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row>
    <row r="5">
      <c r="A5" s="3" t="str">
        <f>IFERROR(__xludf.DUMMYFUNCTION("IMPORTHTML(""https://fr.wikipedia.org/wiki/%C3%89lections_r%C3%A9gionales_en_France"",""table"")"),"Région")</f>
        <v>Région</v>
      </c>
      <c r="B5" s="3" t="str">
        <f>IFERROR(__xludf.DUMMYFUNCTION("""COMPUTED_VALUE"""),"Anciennes régions fusionnées")</f>
        <v>Anciennes régions fusionnées</v>
      </c>
      <c r="C5" s="3" t="str">
        <f>IFERROR(__xludf.DUMMYFUNCTION("""COMPUTED_VALUE"""),"Nombre de conseillers")</f>
        <v>Nombre de conseillers</v>
      </c>
    </row>
    <row r="6">
      <c r="A6" s="3" t="str">
        <f>IFERROR(__xludf.DUMMYFUNCTION("""COMPUTED_VALUE"""),"Auvergne-Rhône-Alpes")</f>
        <v>Auvergne-Rhône-Alpes</v>
      </c>
      <c r="B6" s="3" t="str">
        <f>IFERROR(__xludf.DUMMYFUNCTION("""COMPUTED_VALUE"""),"Auvergne
Rhône-Alpes")</f>
        <v>Auvergne
Rhône-Alpes</v>
      </c>
      <c r="C6" s="3">
        <f>IFERROR(__xludf.DUMMYFUNCTION("""COMPUTED_VALUE"""),204.0)</f>
        <v>204</v>
      </c>
    </row>
    <row r="7">
      <c r="A7" s="3" t="str">
        <f>IFERROR(__xludf.DUMMYFUNCTION("""COMPUTED_VALUE"""),"Bourgogne-Franche-Comté")</f>
        <v>Bourgogne-Franche-Comté</v>
      </c>
      <c r="B7" s="3" t="str">
        <f>IFERROR(__xludf.DUMMYFUNCTION("""COMPUTED_VALUE"""),"Bourgogne
Franche-Comté")</f>
        <v>Bourgogne
Franche-Comté</v>
      </c>
      <c r="C7" s="3">
        <f>IFERROR(__xludf.DUMMYFUNCTION("""COMPUTED_VALUE"""),100.0)</f>
        <v>100</v>
      </c>
    </row>
    <row r="8">
      <c r="A8" s="3" t="str">
        <f>IFERROR(__xludf.DUMMYFUNCTION("""COMPUTED_VALUE"""),"Bretagne")</f>
        <v>Bretagne</v>
      </c>
      <c r="B8" s="3" t="str">
        <f>IFERROR(__xludf.DUMMYFUNCTION("""COMPUTED_VALUE"""),"*Pas de changement*
*des limites régionales*")</f>
        <v>*Pas de changement*
*des limites régionales*</v>
      </c>
      <c r="C8" s="3">
        <f>IFERROR(__xludf.DUMMYFUNCTION("""COMPUTED_VALUE"""),83.0)</f>
        <v>83</v>
      </c>
    </row>
    <row r="9">
      <c r="A9" s="3" t="str">
        <f>IFERROR(__xludf.DUMMYFUNCTION("""COMPUTED_VALUE"""),"Centre-Val de Loire")</f>
        <v>Centre-Val de Loire</v>
      </c>
      <c r="B9" s="3"/>
      <c r="C9" s="3">
        <f>IFERROR(__xludf.DUMMYFUNCTION("""COMPUTED_VALUE"""),77.0)</f>
        <v>77</v>
      </c>
    </row>
    <row r="10">
      <c r="A10" s="3" t="str">
        <f>IFERROR(__xludf.DUMMYFUNCTION("""COMPUTED_VALUE"""),"Corse")</f>
        <v>Corse</v>
      </c>
      <c r="B10" s="3"/>
      <c r="C10" s="3">
        <f>IFERROR(__xludf.DUMMYFUNCTION("""COMPUTED_VALUE"""),51.0)</f>
        <v>51</v>
      </c>
    </row>
    <row r="11">
      <c r="A11" s="3" t="str">
        <f>IFERROR(__xludf.DUMMYFUNCTION("""COMPUTED_VALUE"""),"Grand Est")</f>
        <v>Grand Est</v>
      </c>
      <c r="B11" s="3" t="str">
        <f>IFERROR(__xludf.DUMMYFUNCTION("""COMPUTED_VALUE"""),"Alsace
Champagne-Ardenne
Lorraine")</f>
        <v>Alsace
Champagne-Ardenne
Lorraine</v>
      </c>
      <c r="C11" s="3">
        <f>IFERROR(__xludf.DUMMYFUNCTION("""COMPUTED_VALUE"""),169.0)</f>
        <v>169</v>
      </c>
    </row>
    <row r="12">
      <c r="A12" s="3" t="str">
        <f>IFERROR(__xludf.DUMMYFUNCTION("""COMPUTED_VALUE"""),"Guadeloupe")</f>
        <v>Guadeloupe</v>
      </c>
      <c r="B12" s="3" t="str">
        <f>IFERROR(__xludf.DUMMYFUNCTION("""COMPUTED_VALUE"""),"*Pas de changement*
*des limites régionales*")</f>
        <v>*Pas de changement*
*des limites régionales*</v>
      </c>
      <c r="C12" s="3">
        <f>IFERROR(__xludf.DUMMYFUNCTION("""COMPUTED_VALUE"""),41.0)</f>
        <v>41</v>
      </c>
    </row>
    <row r="13">
      <c r="A13" s="3" t="str">
        <f>IFERROR(__xludf.DUMMYFUNCTION("""COMPUTED_VALUE"""),"Guyane")</f>
        <v>Guyane</v>
      </c>
      <c r="B13" s="3"/>
      <c r="C13" s="3">
        <f>IFERROR(__xludf.DUMMYFUNCTION("""COMPUTED_VALUE"""),51.0)</f>
        <v>51</v>
      </c>
    </row>
    <row r="14">
      <c r="A14" s="3" t="str">
        <f>IFERROR(__xludf.DUMMYFUNCTION("""COMPUTED_VALUE"""),"Hauts-de-France")</f>
        <v>Hauts-de-France</v>
      </c>
      <c r="B14" s="3" t="str">
        <f>IFERROR(__xludf.DUMMYFUNCTION("""COMPUTED_VALUE"""),"Nord-Pas-de-Calais
Picardie")</f>
        <v>Nord-Pas-de-Calais
Picardie</v>
      </c>
      <c r="C14" s="3">
        <f>IFERROR(__xludf.DUMMYFUNCTION("""COMPUTED_VALUE"""),170.0)</f>
        <v>170</v>
      </c>
    </row>
    <row r="15">
      <c r="A15" s="3" t="str">
        <f>IFERROR(__xludf.DUMMYFUNCTION("""COMPUTED_VALUE"""),"Île-de-France")</f>
        <v>Île-de-France</v>
      </c>
      <c r="B15" s="3" t="str">
        <f>IFERROR(__xludf.DUMMYFUNCTION("""COMPUTED_VALUE"""),"*Pas de changement*
*des limites régionales*")</f>
        <v>*Pas de changement*
*des limites régionales*</v>
      </c>
      <c r="C15" s="3">
        <f>IFERROR(__xludf.DUMMYFUNCTION("""COMPUTED_VALUE"""),209.0)</f>
        <v>209</v>
      </c>
    </row>
    <row r="16">
      <c r="A16" s="3" t="str">
        <f>IFERROR(__xludf.DUMMYFUNCTION("""COMPUTED_VALUE"""),"Martinique")</f>
        <v>Martinique</v>
      </c>
      <c r="B16" s="3"/>
      <c r="C16" s="3">
        <f>IFERROR(__xludf.DUMMYFUNCTION("""COMPUTED_VALUE"""),51.0)</f>
        <v>51</v>
      </c>
    </row>
    <row r="17">
      <c r="A17" s="3" t="str">
        <f>IFERROR(__xludf.DUMMYFUNCTION("""COMPUTED_VALUE"""),"Normandie")</f>
        <v>Normandie</v>
      </c>
      <c r="B17" s="3" t="str">
        <f>IFERROR(__xludf.DUMMYFUNCTION("""COMPUTED_VALUE"""),"Basse-Normandie
Haute-Normandie")</f>
        <v>Basse-Normandie
Haute-Normandie</v>
      </c>
      <c r="C17" s="3">
        <f>IFERROR(__xludf.DUMMYFUNCTION("""COMPUTED_VALUE"""),102.0)</f>
        <v>102</v>
      </c>
    </row>
    <row r="18">
      <c r="A18" s="3" t="str">
        <f>IFERROR(__xludf.DUMMYFUNCTION("""COMPUTED_VALUE"""),"Nouvelle-Aquitaine")</f>
        <v>Nouvelle-Aquitaine</v>
      </c>
      <c r="B18" s="3" t="str">
        <f>IFERROR(__xludf.DUMMYFUNCTION("""COMPUTED_VALUE"""),"Aquitaine
Limousin
Poitou-Charentes")</f>
        <v>Aquitaine
Limousin
Poitou-Charentes</v>
      </c>
      <c r="C18" s="3">
        <f>IFERROR(__xludf.DUMMYFUNCTION("""COMPUTED_VALUE"""),183.0)</f>
        <v>183</v>
      </c>
    </row>
    <row r="19">
      <c r="A19" s="3" t="str">
        <f>IFERROR(__xludf.DUMMYFUNCTION("""COMPUTED_VALUE"""),"Occitanie")</f>
        <v>Occitanie</v>
      </c>
      <c r="B19" s="3" t="str">
        <f>IFERROR(__xludf.DUMMYFUNCTION("""COMPUTED_VALUE"""),"Languedoc-Roussillon
Midi-Pyrénées")</f>
        <v>Languedoc-Roussillon
Midi-Pyrénées</v>
      </c>
      <c r="C19" s="3">
        <f>IFERROR(__xludf.DUMMYFUNCTION("""COMPUTED_VALUE"""),158.0)</f>
        <v>158</v>
      </c>
    </row>
    <row r="20">
      <c r="A20" s="3" t="str">
        <f>IFERROR(__xludf.DUMMYFUNCTION("""COMPUTED_VALUE"""),"Pays de la Loire")</f>
        <v>Pays de la Loire</v>
      </c>
      <c r="B20" s="3" t="str">
        <f>IFERROR(__xludf.DUMMYFUNCTION("""COMPUTED_VALUE"""),"*Pas de changement*
*des limites régionales*")</f>
        <v>*Pas de changement*
*des limites régionales*</v>
      </c>
      <c r="C20" s="3">
        <f>IFERROR(__xludf.DUMMYFUNCTION("""COMPUTED_VALUE"""),93.0)</f>
        <v>93</v>
      </c>
    </row>
    <row r="21">
      <c r="A21" s="3" t="str">
        <f>IFERROR(__xludf.DUMMYFUNCTION("""COMPUTED_VALUE"""),"Provence-Alpes-Côte d'Azur")</f>
        <v>Provence-Alpes-Côte d'Azur</v>
      </c>
      <c r="B21" s="3"/>
      <c r="C21" s="3">
        <f>IFERROR(__xludf.DUMMYFUNCTION("""COMPUTED_VALUE"""),123.0)</f>
        <v>123</v>
      </c>
    </row>
    <row r="22">
      <c r="A22" s="3" t="str">
        <f>IFERROR(__xludf.DUMMYFUNCTION("""COMPUTED_VALUE"""),"La Réunion")</f>
        <v>La Réunion</v>
      </c>
      <c r="B22" s="3"/>
      <c r="C22" s="3">
        <f>IFERROR(__xludf.DUMMYFUNCTION("""COMPUTED_VALUE"""),45.0)</f>
        <v>45</v>
      </c>
    </row>
    <row r="23">
      <c r="A23" s="3" t="str">
        <f>IFERROR(__xludf.DUMMYFUNCTION("""COMPUTED_VALUE"""),"Total")</f>
        <v>Total</v>
      </c>
      <c r="B23" s="3"/>
      <c r="C23" s="3">
        <f>IFERROR(__xludf.DUMMYFUNCTION("""COMPUTED_VALUE"""),1910.0)</f>
        <v>1910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2.88"/>
    <col customWidth="1" min="2" max="2" width="23.25"/>
    <col customWidth="1" min="3" max="3" width="19.13"/>
    <col customWidth="1" min="4" max="4" width="8.63"/>
    <col customWidth="1" min="5" max="5" width="18.13"/>
    <col customWidth="1" min="7" max="7" width="3.0"/>
    <col customWidth="1" min="8" max="8" width="12.75"/>
    <col customWidth="1" min="9" max="9" width="27.75"/>
    <col customWidth="1" min="11" max="11" width="19.88"/>
  </cols>
  <sheetData>
    <row r="1">
      <c r="A1" s="24" t="str">
        <f>IFERROR(__xludf.DUMMYFUNCTION("IMPORTHTML(""https://fr.wikipedia.org/wiki/Liste_des_milliardaires_du_monde_des_ann%C3%A9es_2020_par_ann%C3%A9e"",""table"",)"),"#")</f>
        <v>#</v>
      </c>
      <c r="B1" s="25" t="str">
        <f>IFERROR(__xludf.DUMMYFUNCTION("""COMPUTED_VALUE"""),"Nom")</f>
        <v>Nom</v>
      </c>
      <c r="C1" s="25" t="str">
        <f>IFERROR(__xludf.DUMMYFUNCTION("""COMPUTED_VALUE"""),"Fortune au 31 décembre 2020
(dollars américains)")</f>
        <v>Fortune au 31 décembre 2020
(dollars américains)</v>
      </c>
      <c r="D1" s="25" t="str">
        <f>IFERROR(__xludf.DUMMYFUNCTION("""COMPUTED_VALUE"""),"Nationalité")</f>
        <v>Nationalité</v>
      </c>
      <c r="E1" s="25" t="str">
        <f>IFERROR(__xludf.DUMMYFUNCTION("""COMPUTED_VALUE"""),"Entreprise ou secteur")</f>
        <v>Entreprise ou secteur</v>
      </c>
    </row>
    <row r="2">
      <c r="A2" s="24">
        <f>IFERROR(__xludf.DUMMYFUNCTION("""COMPUTED_VALUE"""),1.0)</f>
        <v>1</v>
      </c>
      <c r="B2" s="26" t="str">
        <f>IFERROR(__xludf.DUMMYFUNCTION("""COMPUTED_VALUE"""),"Jeff Bezos")</f>
        <v>Jeff Bezos</v>
      </c>
      <c r="C2" s="26" t="str">
        <f>IFERROR(__xludf.DUMMYFUNCTION("""COMPUTED_VALUE"""),"113 milliards")</f>
        <v>113 milliards</v>
      </c>
      <c r="D2" s="26" t="str">
        <f>IFERROR(__xludf.DUMMYFUNCTION("""COMPUTED_VALUE"""),"États-Unis")</f>
        <v>États-Unis</v>
      </c>
      <c r="E2" s="26" t="str">
        <f>IFERROR(__xludf.DUMMYFUNCTION("""COMPUTED_VALUE"""),"Amazon")</f>
        <v>Amazon</v>
      </c>
    </row>
    <row r="3">
      <c r="A3" s="24">
        <f>IFERROR(__xludf.DUMMYFUNCTION("""COMPUTED_VALUE"""),2.0)</f>
        <v>2</v>
      </c>
      <c r="B3" s="26" t="str">
        <f>IFERROR(__xludf.DUMMYFUNCTION("""COMPUTED_VALUE"""),"Bill Gates")</f>
        <v>Bill Gates</v>
      </c>
      <c r="C3" s="26" t="str">
        <f>IFERROR(__xludf.DUMMYFUNCTION("""COMPUTED_VALUE"""),"98 milliards")</f>
        <v>98 milliards</v>
      </c>
      <c r="D3" s="26"/>
      <c r="E3" s="26" t="str">
        <f>IFERROR(__xludf.DUMMYFUNCTION("""COMPUTED_VALUE"""),"Microsoft")</f>
        <v>Microsoft</v>
      </c>
    </row>
    <row r="4">
      <c r="A4" s="24">
        <f>IFERROR(__xludf.DUMMYFUNCTION("""COMPUTED_VALUE"""),3.0)</f>
        <v>3</v>
      </c>
      <c r="B4" s="26" t="str">
        <f>IFERROR(__xludf.DUMMYFUNCTION("""COMPUTED_VALUE"""),"Bernard Arnault")</f>
        <v>Bernard Arnault</v>
      </c>
      <c r="C4" s="26" t="str">
        <f>IFERROR(__xludf.DUMMYFUNCTION("""COMPUTED_VALUE"""),"76 milliards")</f>
        <v>76 milliards</v>
      </c>
      <c r="D4" s="26" t="str">
        <f>IFERROR(__xludf.DUMMYFUNCTION("""COMPUTED_VALUE"""),"France")</f>
        <v>France</v>
      </c>
      <c r="E4" s="26" t="str">
        <f>IFERROR(__xludf.DUMMYFUNCTION("""COMPUTED_VALUE"""),"LVMH")</f>
        <v>LVMH</v>
      </c>
    </row>
    <row r="5">
      <c r="A5" s="24">
        <f>IFERROR(__xludf.DUMMYFUNCTION("""COMPUTED_VALUE"""),4.0)</f>
        <v>4</v>
      </c>
      <c r="B5" s="26" t="str">
        <f>IFERROR(__xludf.DUMMYFUNCTION("""COMPUTED_VALUE"""),"Warren Buffett")</f>
        <v>Warren Buffett</v>
      </c>
      <c r="C5" s="26" t="str">
        <f>IFERROR(__xludf.DUMMYFUNCTION("""COMPUTED_VALUE"""),"67.5 milliards")</f>
        <v>67.5 milliards</v>
      </c>
      <c r="D5" s="26" t="str">
        <f>IFERROR(__xludf.DUMMYFUNCTION("""COMPUTED_VALUE"""),"États-Unis")</f>
        <v>États-Unis</v>
      </c>
      <c r="E5" s="26" t="str">
        <f>IFERROR(__xludf.DUMMYFUNCTION("""COMPUTED_VALUE"""),"Berkshire Hathaway")</f>
        <v>Berkshire Hathaway</v>
      </c>
    </row>
    <row r="6">
      <c r="A6" s="24">
        <f>IFERROR(__xludf.DUMMYFUNCTION("""COMPUTED_VALUE"""),5.0)</f>
        <v>5</v>
      </c>
      <c r="B6" s="26" t="str">
        <f>IFERROR(__xludf.DUMMYFUNCTION("""COMPUTED_VALUE"""),"Larry Ellison")</f>
        <v>Larry Ellison</v>
      </c>
      <c r="C6" s="26" t="str">
        <f>IFERROR(__xludf.DUMMYFUNCTION("""COMPUTED_VALUE"""),"59 milliards")</f>
        <v>59 milliards</v>
      </c>
      <c r="D6" s="26"/>
      <c r="E6" s="26" t="str">
        <f>IFERROR(__xludf.DUMMYFUNCTION("""COMPUTED_VALUE"""),"Oracle")</f>
        <v>Oracle</v>
      </c>
    </row>
    <row r="7">
      <c r="A7" s="24">
        <f>IFERROR(__xludf.DUMMYFUNCTION("""COMPUTED_VALUE"""),6.0)</f>
        <v>6</v>
      </c>
      <c r="B7" s="26" t="str">
        <f>IFERROR(__xludf.DUMMYFUNCTION("""COMPUTED_VALUE"""),"Amancio Ortega")</f>
        <v>Amancio Ortega</v>
      </c>
      <c r="C7" s="26" t="str">
        <f>IFERROR(__xludf.DUMMYFUNCTION("""COMPUTED_VALUE"""),"55.1 milliards")</f>
        <v>55.1 milliards</v>
      </c>
      <c r="D7" s="26" t="str">
        <f>IFERROR(__xludf.DUMMYFUNCTION("""COMPUTED_VALUE"""),"Espagne")</f>
        <v>Espagne</v>
      </c>
      <c r="E7" s="26" t="str">
        <f>IFERROR(__xludf.DUMMYFUNCTION("""COMPUTED_VALUE"""),"Inditex")</f>
        <v>Inditex</v>
      </c>
      <c r="G7" s="27"/>
      <c r="H7" s="28"/>
      <c r="I7" s="28"/>
      <c r="J7" s="28"/>
      <c r="K7" s="28"/>
    </row>
    <row r="8">
      <c r="A8" s="24">
        <f>IFERROR(__xludf.DUMMYFUNCTION("""COMPUTED_VALUE"""),7.0)</f>
        <v>7</v>
      </c>
      <c r="B8" s="26" t="str">
        <f>IFERROR(__xludf.DUMMYFUNCTION("""COMPUTED_VALUE"""),"Mark Zuckerberg")</f>
        <v>Mark Zuckerberg</v>
      </c>
      <c r="C8" s="26" t="str">
        <f>IFERROR(__xludf.DUMMYFUNCTION("""COMPUTED_VALUE"""),"54.7 milliards")</f>
        <v>54.7 milliards</v>
      </c>
      <c r="D8" s="26" t="str">
        <f>IFERROR(__xludf.DUMMYFUNCTION("""COMPUTED_VALUE"""),"États-Unis")</f>
        <v>États-Unis</v>
      </c>
      <c r="E8" s="26" t="str">
        <f>IFERROR(__xludf.DUMMYFUNCTION("""COMPUTED_VALUE"""),"Facebook")</f>
        <v>Facebook</v>
      </c>
      <c r="G8" s="29"/>
      <c r="H8" s="30"/>
      <c r="I8" s="29"/>
      <c r="J8" s="29"/>
      <c r="K8" s="30"/>
    </row>
    <row r="9">
      <c r="A9" s="24">
        <f>IFERROR(__xludf.DUMMYFUNCTION("""COMPUTED_VALUE"""),8.0)</f>
        <v>8</v>
      </c>
      <c r="B9" s="26" t="str">
        <f>IFERROR(__xludf.DUMMYFUNCTION("""COMPUTED_VALUE"""),"Jim Walton")</f>
        <v>Jim Walton</v>
      </c>
      <c r="C9" s="26" t="str">
        <f>IFERROR(__xludf.DUMMYFUNCTION("""COMPUTED_VALUE"""),"54.6 milliards")</f>
        <v>54.6 milliards</v>
      </c>
      <c r="D9" s="26"/>
      <c r="E9" s="26" t="str">
        <f>IFERROR(__xludf.DUMMYFUNCTION("""COMPUTED_VALUE"""),"Walmart")</f>
        <v>Walmart</v>
      </c>
      <c r="G9" s="29"/>
      <c r="H9" s="30"/>
      <c r="I9" s="29"/>
      <c r="J9" s="29"/>
      <c r="K9" s="30"/>
    </row>
    <row r="10">
      <c r="A10" s="24">
        <f>IFERROR(__xludf.DUMMYFUNCTION("""COMPUTED_VALUE"""),9.0)</f>
        <v>9</v>
      </c>
      <c r="B10" s="26" t="str">
        <f>IFERROR(__xludf.DUMMYFUNCTION("""COMPUTED_VALUE"""),"Alice Walton")</f>
        <v>Alice Walton</v>
      </c>
      <c r="C10" s="26" t="str">
        <f>IFERROR(__xludf.DUMMYFUNCTION("""COMPUTED_VALUE"""),"54.4 milliards")</f>
        <v>54.4 milliards</v>
      </c>
      <c r="D10" s="26"/>
      <c r="E10" s="26" t="str">
        <f>IFERROR(__xludf.DUMMYFUNCTION("""COMPUTED_VALUE"""),"Walmart")</f>
        <v>Walmart</v>
      </c>
      <c r="G10" s="29"/>
      <c r="H10" s="30"/>
      <c r="I10" s="29"/>
      <c r="J10" s="29"/>
      <c r="K10" s="30"/>
    </row>
    <row r="11">
      <c r="A11" s="24">
        <f>IFERROR(__xludf.DUMMYFUNCTION("""COMPUTED_VALUE"""),10.0)</f>
        <v>10</v>
      </c>
      <c r="B11" s="26" t="str">
        <f>IFERROR(__xludf.DUMMYFUNCTION("""COMPUTED_VALUE"""),"S. Robson Walton")</f>
        <v>S. Robson Walton</v>
      </c>
      <c r="C11" s="26" t="str">
        <f>IFERROR(__xludf.DUMMYFUNCTION("""COMPUTED_VALUE"""),"54.1 milliards")</f>
        <v>54.1 milliards</v>
      </c>
      <c r="D11" s="26"/>
      <c r="E11" s="26" t="str">
        <f>IFERROR(__xludf.DUMMYFUNCTION("""COMPUTED_VALUE"""),"Walmart")</f>
        <v>Walmart</v>
      </c>
      <c r="G11" s="29"/>
      <c r="H11" s="30"/>
      <c r="I11" s="29"/>
      <c r="J11" s="29"/>
      <c r="K11" s="30"/>
    </row>
    <row r="12">
      <c r="A12" s="24">
        <f>IFERROR(__xludf.DUMMYFUNCTION("""COMPUTED_VALUE"""),11.0)</f>
        <v>11</v>
      </c>
      <c r="B12" s="26" t="str">
        <f>IFERROR(__xludf.DUMMYFUNCTION("""COMPUTED_VALUE"""),"Steve Ballmer")</f>
        <v>Steve Ballmer</v>
      </c>
      <c r="C12" s="26" t="str">
        <f>IFERROR(__xludf.DUMMYFUNCTION("""COMPUTED_VALUE"""),"52.7 milliards")</f>
        <v>52.7 milliards</v>
      </c>
      <c r="D12" s="26"/>
      <c r="E12" s="26" t="str">
        <f>IFERROR(__xludf.DUMMYFUNCTION("""COMPUTED_VALUE"""),"Microsoft")</f>
        <v>Microsoft</v>
      </c>
      <c r="G12" s="29"/>
      <c r="H12" s="30"/>
      <c r="I12" s="29"/>
      <c r="J12" s="29"/>
      <c r="K12" s="30"/>
    </row>
    <row r="13">
      <c r="A13" s="24">
        <f>IFERROR(__xludf.DUMMYFUNCTION("""COMPUTED_VALUE"""),12.0)</f>
        <v>12</v>
      </c>
      <c r="B13" s="26" t="str">
        <f>IFERROR(__xludf.DUMMYFUNCTION("""COMPUTED_VALUE"""),"Carlos Slim Helú")</f>
        <v>Carlos Slim Helú</v>
      </c>
      <c r="C13" s="26" t="str">
        <f>IFERROR(__xludf.DUMMYFUNCTION("""COMPUTED_VALUE"""),"52.1 milliards")</f>
        <v>52.1 milliards</v>
      </c>
      <c r="D13" s="26" t="str">
        <f>IFERROR(__xludf.DUMMYFUNCTION("""COMPUTED_VALUE"""),"Mexique")</f>
        <v>Mexique</v>
      </c>
      <c r="E13" s="26" t="str">
        <f>IFERROR(__xludf.DUMMYFUNCTION("""COMPUTED_VALUE"""),"América Móvil")</f>
        <v>América Móvil</v>
      </c>
      <c r="G13" s="29"/>
      <c r="H13" s="30"/>
      <c r="I13" s="29"/>
      <c r="J13" s="29"/>
      <c r="K13" s="30"/>
    </row>
    <row r="14">
      <c r="A14" s="24">
        <f>IFERROR(__xludf.DUMMYFUNCTION("""COMPUTED_VALUE"""),13.0)</f>
        <v>13</v>
      </c>
      <c r="B14" s="26" t="str">
        <f>IFERROR(__xludf.DUMMYFUNCTION("""COMPUTED_VALUE"""),"Larry Page")</f>
        <v>Larry Page</v>
      </c>
      <c r="C14" s="26" t="str">
        <f>IFERROR(__xludf.DUMMYFUNCTION("""COMPUTED_VALUE"""),"50.9 milliards")</f>
        <v>50.9 milliards</v>
      </c>
      <c r="D14" s="26" t="str">
        <f>IFERROR(__xludf.DUMMYFUNCTION("""COMPUTED_VALUE"""),"États-Unis")</f>
        <v>États-Unis</v>
      </c>
      <c r="E14" s="26" t="str">
        <f>IFERROR(__xludf.DUMMYFUNCTION("""COMPUTED_VALUE"""),"Google")</f>
        <v>Google</v>
      </c>
      <c r="G14" s="29"/>
      <c r="H14" s="30"/>
      <c r="I14" s="29"/>
      <c r="J14" s="29"/>
      <c r="K14" s="30"/>
    </row>
    <row r="15">
      <c r="A15" s="24">
        <f>IFERROR(__xludf.DUMMYFUNCTION("""COMPUTED_VALUE"""),14.0)</f>
        <v>14</v>
      </c>
      <c r="B15" s="26" t="str">
        <f>IFERROR(__xludf.DUMMYFUNCTION("""COMPUTED_VALUE"""),"Sergey Brin")</f>
        <v>Sergey Brin</v>
      </c>
      <c r="C15" s="26" t="str">
        <f>IFERROR(__xludf.DUMMYFUNCTION("""COMPUTED_VALUE"""),"49.1 milliards")</f>
        <v>49.1 milliards</v>
      </c>
      <c r="D15" s="26"/>
      <c r="E15" s="26" t="str">
        <f>IFERROR(__xludf.DUMMYFUNCTION("""COMPUTED_VALUE"""),"Google")</f>
        <v>Google</v>
      </c>
      <c r="G15" s="29"/>
      <c r="H15" s="30"/>
      <c r="I15" s="29"/>
      <c r="J15" s="29"/>
      <c r="K15" s="30"/>
    </row>
    <row r="16">
      <c r="A16" s="24">
        <f>IFERROR(__xludf.DUMMYFUNCTION("""COMPUTED_VALUE"""),15.0)</f>
        <v>15</v>
      </c>
      <c r="B16" s="26" t="str">
        <f>IFERROR(__xludf.DUMMYFUNCTION("""COMPUTED_VALUE"""),"Françoise Bettencourt Meyers")</f>
        <v>Françoise Bettencourt Meyers</v>
      </c>
      <c r="C16" s="26" t="str">
        <f>IFERROR(__xludf.DUMMYFUNCTION("""COMPUTED_VALUE"""),"48.9 milliards")</f>
        <v>48.9 milliards</v>
      </c>
      <c r="D16" s="26" t="str">
        <f>IFERROR(__xludf.DUMMYFUNCTION("""COMPUTED_VALUE"""),"France")</f>
        <v>France</v>
      </c>
      <c r="E16" s="26" t="str">
        <f>IFERROR(__xludf.DUMMYFUNCTION("""COMPUTED_VALUE"""),"L'Oréal")</f>
        <v>L'Oréal</v>
      </c>
      <c r="G16" s="29"/>
      <c r="H16" s="30"/>
      <c r="I16" s="29"/>
      <c r="J16" s="29"/>
      <c r="K16" s="30"/>
    </row>
    <row r="17">
      <c r="A17" s="24">
        <f>IFERROR(__xludf.DUMMYFUNCTION("""COMPUTED_VALUE"""),16.0)</f>
        <v>16</v>
      </c>
      <c r="B17" s="26" t="str">
        <f>IFERROR(__xludf.DUMMYFUNCTION("""COMPUTED_VALUE"""),"Michael Bloomberg")</f>
        <v>Michael Bloomberg</v>
      </c>
      <c r="C17" s="26" t="str">
        <f>IFERROR(__xludf.DUMMYFUNCTION("""COMPUTED_VALUE"""),"48 milliards")</f>
        <v>48 milliards</v>
      </c>
      <c r="D17" s="26" t="str">
        <f>IFERROR(__xludf.DUMMYFUNCTION("""COMPUTED_VALUE"""),"États-Unis")</f>
        <v>États-Unis</v>
      </c>
      <c r="E17" s="26" t="str">
        <f>IFERROR(__xludf.DUMMYFUNCTION("""COMPUTED_VALUE"""),"Bloomberg LP")</f>
        <v>Bloomberg LP</v>
      </c>
      <c r="G17" s="29"/>
      <c r="H17" s="30"/>
      <c r="I17" s="29"/>
      <c r="J17" s="29"/>
      <c r="K17" s="30"/>
    </row>
    <row r="18">
      <c r="A18" s="24">
        <f>IFERROR(__xludf.DUMMYFUNCTION("""COMPUTED_VALUE"""),17.0)</f>
        <v>17</v>
      </c>
      <c r="B18" s="26" t="str">
        <f>IFERROR(__xludf.DUMMYFUNCTION("""COMPUTED_VALUE"""),"Jack Ma")</f>
        <v>Jack Ma</v>
      </c>
      <c r="C18" s="26" t="str">
        <f>IFERROR(__xludf.DUMMYFUNCTION("""COMPUTED_VALUE"""),"38.8 milliards")</f>
        <v>38.8 milliards</v>
      </c>
      <c r="D18" s="26" t="str">
        <f>IFERROR(__xludf.DUMMYFUNCTION("""COMPUTED_VALUE"""),"Chine")</f>
        <v>Chine</v>
      </c>
      <c r="E18" s="26" t="str">
        <f>IFERROR(__xludf.DUMMYFUNCTION("""COMPUTED_VALUE"""),"Alibaba Group")</f>
        <v>Alibaba Group</v>
      </c>
      <c r="G18" s="29"/>
      <c r="H18" s="30"/>
      <c r="I18" s="29"/>
      <c r="J18" s="29"/>
      <c r="K18" s="30"/>
    </row>
    <row r="19">
      <c r="A19" s="24">
        <f>IFERROR(__xludf.DUMMYFUNCTION("""COMPUTED_VALUE"""),18.0)</f>
        <v>18</v>
      </c>
      <c r="B19" s="26" t="str">
        <f>IFERROR(__xludf.DUMMYFUNCTION("""COMPUTED_VALUE"""),"Charles Koch")</f>
        <v>Charles Koch</v>
      </c>
      <c r="C19" s="26" t="str">
        <f>IFERROR(__xludf.DUMMYFUNCTION("""COMPUTED_VALUE"""),"38.2 milliards")</f>
        <v>38.2 milliards</v>
      </c>
      <c r="D19" s="26" t="str">
        <f>IFERROR(__xludf.DUMMYFUNCTION("""COMPUTED_VALUE"""),"États-Unis")</f>
        <v>États-Unis</v>
      </c>
      <c r="E19" s="26" t="str">
        <f>IFERROR(__xludf.DUMMYFUNCTION("""COMPUTED_VALUE"""),"Koch Industries")</f>
        <v>Koch Industries</v>
      </c>
      <c r="G19" s="29"/>
      <c r="I19" s="29"/>
      <c r="J19" s="29"/>
      <c r="K19" s="30"/>
    </row>
    <row r="20">
      <c r="A20" s="24">
        <f>IFERROR(__xludf.DUMMYFUNCTION("""COMPUTED_VALUE"""),19.0)</f>
        <v>19</v>
      </c>
      <c r="B20" s="26" t="str">
        <f>IFERROR(__xludf.DUMMYFUNCTION("""COMPUTED_VALUE"""),"Julia Koch")</f>
        <v>Julia Koch</v>
      </c>
      <c r="C20" s="26" t="str">
        <f>IFERROR(__xludf.DUMMYFUNCTION("""COMPUTED_VALUE"""),"38.2 milliards")</f>
        <v>38.2 milliards</v>
      </c>
      <c r="D20" s="26"/>
      <c r="E20" s="26" t="str">
        <f>IFERROR(__xludf.DUMMYFUNCTION("""COMPUTED_VALUE"""),"Koch Industries")</f>
        <v>Koch Industries</v>
      </c>
      <c r="G20" s="29"/>
      <c r="H20" s="30"/>
      <c r="I20" s="29"/>
      <c r="J20" s="29"/>
      <c r="K20" s="30"/>
    </row>
    <row r="21">
      <c r="A21" s="24">
        <f>IFERROR(__xludf.DUMMYFUNCTION("""COMPUTED_VALUE"""),20.0)</f>
        <v>20</v>
      </c>
      <c r="B21" s="26" t="str">
        <f>IFERROR(__xludf.DUMMYFUNCTION("""COMPUTED_VALUE"""),"Ma Huateng")</f>
        <v>Ma Huateng</v>
      </c>
      <c r="C21" s="26" t="str">
        <f>IFERROR(__xludf.DUMMYFUNCTION("""COMPUTED_VALUE"""),"38.1 milliards")</f>
        <v>38.1 milliards</v>
      </c>
      <c r="D21" s="26" t="str">
        <f>IFERROR(__xludf.DUMMYFUNCTION("""COMPUTED_VALUE"""),"Chine")</f>
        <v>Chine</v>
      </c>
      <c r="E21" s="26" t="str">
        <f>IFERROR(__xludf.DUMMYFUNCTION("""COMPUTED_VALUE"""),"Tencent Holdings")</f>
        <v>Tencent Holdings</v>
      </c>
      <c r="G21" s="29"/>
      <c r="H21" s="30"/>
      <c r="I21" s="29"/>
      <c r="J21" s="29"/>
      <c r="K21" s="30"/>
    </row>
    <row r="22">
      <c r="G22" s="29"/>
      <c r="H22" s="30"/>
      <c r="I22" s="29"/>
      <c r="J22" s="29"/>
      <c r="K22" s="30"/>
    </row>
    <row r="23">
      <c r="G23" s="29"/>
      <c r="H23" s="30"/>
      <c r="I23" s="29"/>
      <c r="J23" s="29"/>
      <c r="K23" s="30"/>
    </row>
    <row r="24">
      <c r="G24" s="29"/>
      <c r="H24" s="30"/>
      <c r="I24" s="29"/>
      <c r="J24" s="29"/>
      <c r="K24" s="30"/>
    </row>
    <row r="25">
      <c r="G25" s="29"/>
      <c r="H25" s="30"/>
      <c r="I25" s="29"/>
      <c r="J25" s="29"/>
      <c r="K25" s="30"/>
    </row>
    <row r="26">
      <c r="G26" s="29"/>
      <c r="H26" s="30"/>
      <c r="I26" s="29"/>
      <c r="J26" s="29"/>
      <c r="K26" s="30"/>
    </row>
    <row r="27">
      <c r="G27" s="29"/>
      <c r="H27" s="30"/>
      <c r="I27" s="29"/>
      <c r="J27" s="29"/>
      <c r="K27" s="30"/>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0.0"/>
  </cols>
  <sheetData>
    <row r="3">
      <c r="F3" s="31" t="s">
        <v>89</v>
      </c>
    </row>
    <row r="4">
      <c r="D4" s="32" t="str">
        <f>IFERROR(__xludf.DUMMYFUNCTION("IMPORTHTML(""https://fr.wikipedia.org/wiki/Coupe_du_monde_de_football"",""table"")"),"Édition")</f>
        <v>Édition</v>
      </c>
      <c r="E4" s="32" t="str">
        <f>IFERROR(__xludf.DUMMYFUNCTION("""COMPUTED_VALUE"""),"Année")</f>
        <v>Année</v>
      </c>
      <c r="F4" s="32" t="str">
        <f>IFERROR(__xludf.DUMMYFUNCTION("""COMPUTED_VALUE"""),"Vainqueur")</f>
        <v>Vainqueur</v>
      </c>
      <c r="G4" s="32" t="str">
        <f>IFERROR(__xludf.DUMMYFUNCTION("""COMPUTED_VALUE"""),"Score")</f>
        <v>Score</v>
      </c>
      <c r="H4" s="32" t="str">
        <f>IFERROR(__xludf.DUMMYFUNCTION("""COMPUTED_VALUE"""),"Finaliste")</f>
        <v>Finaliste</v>
      </c>
      <c r="I4" s="32" t="str">
        <f>IFERROR(__xludf.DUMMYFUNCTION("""COMPUTED_VALUE"""),"Troisième")</f>
        <v>Troisième</v>
      </c>
    </row>
    <row r="5">
      <c r="D5" s="3" t="str">
        <f>IFERROR(__xludf.DUMMYFUNCTION("""COMPUTED_VALUE"""),"1re")</f>
        <v>1re</v>
      </c>
      <c r="E5" s="3">
        <f>IFERROR(__xludf.DUMMYFUNCTION("""COMPUTED_VALUE"""),1930.0)</f>
        <v>1930</v>
      </c>
      <c r="F5" s="3" t="str">
        <f>IFERROR(__xludf.DUMMYFUNCTION("""COMPUTED_VALUE"""),"*Uruguay*(1)")</f>
        <v>*Uruguay*(1)</v>
      </c>
      <c r="G5" s="3" t="str">
        <f>IFERROR(__xludf.DUMMYFUNCTION("""COMPUTED_VALUE"""),"4 - 2")</f>
        <v>4 - 2</v>
      </c>
      <c r="H5" s="3" t="str">
        <f>IFERROR(__xludf.DUMMYFUNCTION("""COMPUTED_VALUE"""),"Argentine")</f>
        <v>Argentine</v>
      </c>
      <c r="I5" s="3" t="str">
        <f>IFERROR(__xludf.DUMMYFUNCTION("""COMPUTED_VALUE"""),"États-Unis[70]")</f>
        <v>États-Unis[70]</v>
      </c>
    </row>
    <row r="6">
      <c r="D6" s="3" t="str">
        <f>IFERROR(__xludf.DUMMYFUNCTION("""COMPUTED_VALUE"""),"2e")</f>
        <v>2e</v>
      </c>
      <c r="E6" s="3">
        <f>IFERROR(__xludf.DUMMYFUNCTION("""COMPUTED_VALUE"""),1934.0)</f>
        <v>1934</v>
      </c>
      <c r="F6" s="3" t="str">
        <f>IFERROR(__xludf.DUMMYFUNCTION("""COMPUTED_VALUE"""),"*Italie*(1)")</f>
        <v>*Italie*(1)</v>
      </c>
      <c r="G6" s="3" t="str">
        <f>IFERROR(__xludf.DUMMYFUNCTION("""COMPUTED_VALUE"""),"2 - 1 (ap)")</f>
        <v>2 - 1 (ap)</v>
      </c>
      <c r="H6" s="3" t="str">
        <f>IFERROR(__xludf.DUMMYFUNCTION("""COMPUTED_VALUE"""),"Tchécoslovaquie")</f>
        <v>Tchécoslovaquie</v>
      </c>
      <c r="I6" s="3" t="str">
        <f>IFERROR(__xludf.DUMMYFUNCTION("""COMPUTED_VALUE"""),"Allemagne[d],[5]")</f>
        <v>Allemagne[d],[5]</v>
      </c>
    </row>
    <row r="7">
      <c r="D7" s="3" t="str">
        <f>IFERROR(__xludf.DUMMYFUNCTION("""COMPUTED_VALUE"""),"3e")</f>
        <v>3e</v>
      </c>
      <c r="E7" s="3">
        <f>IFERROR(__xludf.DUMMYFUNCTION("""COMPUTED_VALUE"""),1938.0)</f>
        <v>1938</v>
      </c>
      <c r="F7" s="3" t="str">
        <f>IFERROR(__xludf.DUMMYFUNCTION("""COMPUTED_VALUE"""),"*Italie*(2)")</f>
        <v>*Italie*(2)</v>
      </c>
      <c r="G7" s="3" t="str">
        <f>IFERROR(__xludf.DUMMYFUNCTION("""COMPUTED_VALUE"""),"4 - 2")</f>
        <v>4 - 2</v>
      </c>
      <c r="H7" s="3" t="str">
        <f>IFERROR(__xludf.DUMMYFUNCTION("""COMPUTED_VALUE"""),"Hongrie")</f>
        <v>Hongrie</v>
      </c>
      <c r="I7" s="3" t="str">
        <f>IFERROR(__xludf.DUMMYFUNCTION("""COMPUTED_VALUE"""),"Brésil")</f>
        <v>Brésil</v>
      </c>
    </row>
    <row r="8">
      <c r="D8" s="3" t="str">
        <f>IFERROR(__xludf.DUMMYFUNCTION("""COMPUTED_VALUE"""),"4e")</f>
        <v>4e</v>
      </c>
      <c r="E8" s="3">
        <f>IFERROR(__xludf.DUMMYFUNCTION("""COMPUTED_VALUE"""),1950.0)</f>
        <v>1950</v>
      </c>
      <c r="F8" s="3" t="str">
        <f>IFERROR(__xludf.DUMMYFUNCTION("""COMPUTED_VALUE"""),"*Uruguay*(2)")</f>
        <v>*Uruguay*(2)</v>
      </c>
      <c r="G8" s="3" t="str">
        <f>IFERROR(__xludf.DUMMYFUNCTION("""COMPUTED_VALUE"""),"2 - 1[e]")</f>
        <v>2 - 1[e]</v>
      </c>
      <c r="H8" s="3" t="str">
        <f>IFERROR(__xludf.DUMMYFUNCTION("""COMPUTED_VALUE"""),"Brésil")</f>
        <v>Brésil</v>
      </c>
      <c r="I8" s="3" t="str">
        <f>IFERROR(__xludf.DUMMYFUNCTION("""COMPUTED_VALUE"""),"Suède")</f>
        <v>Suède</v>
      </c>
    </row>
    <row r="9">
      <c r="D9" s="3" t="str">
        <f>IFERROR(__xludf.DUMMYFUNCTION("""COMPUTED_VALUE"""),"5e")</f>
        <v>5e</v>
      </c>
      <c r="E9" s="3">
        <f>IFERROR(__xludf.DUMMYFUNCTION("""COMPUTED_VALUE"""),1954.0)</f>
        <v>1954</v>
      </c>
      <c r="F9" s="3" t="str">
        <f>IFERROR(__xludf.DUMMYFUNCTION("""COMPUTED_VALUE"""),"*Allemagne de l'Ouest*(1)")</f>
        <v>*Allemagne de l'Ouest*(1)</v>
      </c>
      <c r="G9" s="3" t="str">
        <f>IFERROR(__xludf.DUMMYFUNCTION("""COMPUTED_VALUE"""),"3 - 2")</f>
        <v>3 - 2</v>
      </c>
      <c r="H9" s="3" t="str">
        <f>IFERROR(__xludf.DUMMYFUNCTION("""COMPUTED_VALUE"""),"Hongrie")</f>
        <v>Hongrie</v>
      </c>
      <c r="I9" s="3" t="str">
        <f>IFERROR(__xludf.DUMMYFUNCTION("""COMPUTED_VALUE"""),"Autriche")</f>
        <v>Autriche</v>
      </c>
    </row>
    <row r="10">
      <c r="D10" s="3" t="str">
        <f>IFERROR(__xludf.DUMMYFUNCTION("""COMPUTED_VALUE"""),"6e")</f>
        <v>6e</v>
      </c>
      <c r="E10" s="3">
        <f>IFERROR(__xludf.DUMMYFUNCTION("""COMPUTED_VALUE"""),1958.0)</f>
        <v>1958</v>
      </c>
      <c r="F10" s="3" t="str">
        <f>IFERROR(__xludf.DUMMYFUNCTION("""COMPUTED_VALUE"""),"*Brésil*(1)")</f>
        <v>*Brésil*(1)</v>
      </c>
      <c r="G10" s="3" t="str">
        <f>IFERROR(__xludf.DUMMYFUNCTION("""COMPUTED_VALUE"""),"5 - 2")</f>
        <v>5 - 2</v>
      </c>
      <c r="H10" s="3" t="str">
        <f>IFERROR(__xludf.DUMMYFUNCTION("""COMPUTED_VALUE"""),"Suède")</f>
        <v>Suède</v>
      </c>
      <c r="I10" s="3" t="str">
        <f>IFERROR(__xludf.DUMMYFUNCTION("""COMPUTED_VALUE"""),"France")</f>
        <v>France</v>
      </c>
    </row>
    <row r="11">
      <c r="D11" s="3" t="str">
        <f>IFERROR(__xludf.DUMMYFUNCTION("""COMPUTED_VALUE"""),"7e")</f>
        <v>7e</v>
      </c>
      <c r="E11" s="3">
        <f>IFERROR(__xludf.DUMMYFUNCTION("""COMPUTED_VALUE"""),1962.0)</f>
        <v>1962</v>
      </c>
      <c r="F11" s="3" t="str">
        <f>IFERROR(__xludf.DUMMYFUNCTION("""COMPUTED_VALUE"""),"*Brésil*(2)")</f>
        <v>*Brésil*(2)</v>
      </c>
      <c r="G11" s="3" t="str">
        <f>IFERROR(__xludf.DUMMYFUNCTION("""COMPUTED_VALUE"""),"3 - 1")</f>
        <v>3 - 1</v>
      </c>
      <c r="H11" s="3" t="str">
        <f>IFERROR(__xludf.DUMMYFUNCTION("""COMPUTED_VALUE"""),"Tchécoslovaquie")</f>
        <v>Tchécoslovaquie</v>
      </c>
      <c r="I11" s="3" t="str">
        <f>IFERROR(__xludf.DUMMYFUNCTION("""COMPUTED_VALUE"""),"Chili")</f>
        <v>Chili</v>
      </c>
    </row>
    <row r="12">
      <c r="D12" s="3" t="str">
        <f>IFERROR(__xludf.DUMMYFUNCTION("""COMPUTED_VALUE"""),"8e")</f>
        <v>8e</v>
      </c>
      <c r="E12" s="3">
        <f>IFERROR(__xludf.DUMMYFUNCTION("""COMPUTED_VALUE"""),1966.0)</f>
        <v>1966</v>
      </c>
      <c r="F12" s="3" t="str">
        <f>IFERROR(__xludf.DUMMYFUNCTION("""COMPUTED_VALUE"""),"*Angleterre*(1)")</f>
        <v>*Angleterre*(1)</v>
      </c>
      <c r="G12" s="3" t="str">
        <f>IFERROR(__xludf.DUMMYFUNCTION("""COMPUTED_VALUE"""),"4 - 2 (ap)")</f>
        <v>4 - 2 (ap)</v>
      </c>
      <c r="H12" s="3" t="str">
        <f>IFERROR(__xludf.DUMMYFUNCTION("""COMPUTED_VALUE"""),"Allemagne de l'Ouest")</f>
        <v>Allemagne de l'Ouest</v>
      </c>
      <c r="I12" s="3" t="str">
        <f>IFERROR(__xludf.DUMMYFUNCTION("""COMPUTED_VALUE"""),"Portugal")</f>
        <v>Portugal</v>
      </c>
    </row>
    <row r="13">
      <c r="D13" s="3" t="str">
        <f>IFERROR(__xludf.DUMMYFUNCTION("""COMPUTED_VALUE"""),"9e")</f>
        <v>9e</v>
      </c>
      <c r="E13" s="3">
        <f>IFERROR(__xludf.DUMMYFUNCTION("""COMPUTED_VALUE"""),1970.0)</f>
        <v>1970</v>
      </c>
      <c r="F13" s="3" t="str">
        <f>IFERROR(__xludf.DUMMYFUNCTION("""COMPUTED_VALUE"""),"*Brésil*(3)")</f>
        <v>*Brésil*(3)</v>
      </c>
      <c r="G13" s="3" t="str">
        <f>IFERROR(__xludf.DUMMYFUNCTION("""COMPUTED_VALUE"""),"4 - 1")</f>
        <v>4 - 1</v>
      </c>
      <c r="H13" s="3" t="str">
        <f>IFERROR(__xludf.DUMMYFUNCTION("""COMPUTED_VALUE"""),"Italie")</f>
        <v>Italie</v>
      </c>
      <c r="I13" s="3" t="str">
        <f>IFERROR(__xludf.DUMMYFUNCTION("""COMPUTED_VALUE"""),"Allemagne de l'Ouest")</f>
        <v>Allemagne de l'Ouest</v>
      </c>
    </row>
    <row r="14">
      <c r="D14" s="3" t="str">
        <f>IFERROR(__xludf.DUMMYFUNCTION("""COMPUTED_VALUE"""),"10e")</f>
        <v>10e</v>
      </c>
      <c r="E14" s="3">
        <f>IFERROR(__xludf.DUMMYFUNCTION("""COMPUTED_VALUE"""),1974.0)</f>
        <v>1974</v>
      </c>
      <c r="F14" s="3" t="str">
        <f>IFERROR(__xludf.DUMMYFUNCTION("""COMPUTED_VALUE"""),"*Allemagne de l'Ouest*(2)")</f>
        <v>*Allemagne de l'Ouest*(2)</v>
      </c>
      <c r="G14" s="3" t="str">
        <f>IFERROR(__xludf.DUMMYFUNCTION("""COMPUTED_VALUE"""),"2 - 1")</f>
        <v>2 - 1</v>
      </c>
      <c r="H14" s="3" t="str">
        <f>IFERROR(__xludf.DUMMYFUNCTION("""COMPUTED_VALUE"""),"Pays-Bas")</f>
        <v>Pays-Bas</v>
      </c>
      <c r="I14" s="3" t="str">
        <f>IFERROR(__xludf.DUMMYFUNCTION("""COMPUTED_VALUE"""),"Pologne")</f>
        <v>Pologne</v>
      </c>
    </row>
    <row r="15">
      <c r="D15" s="3" t="str">
        <f>IFERROR(__xludf.DUMMYFUNCTION("""COMPUTED_VALUE"""),"11e")</f>
        <v>11e</v>
      </c>
      <c r="E15" s="3">
        <f>IFERROR(__xludf.DUMMYFUNCTION("""COMPUTED_VALUE"""),1978.0)</f>
        <v>1978</v>
      </c>
      <c r="F15" s="3" t="str">
        <f>IFERROR(__xludf.DUMMYFUNCTION("""COMPUTED_VALUE"""),"*Argentine*(1)")</f>
        <v>*Argentine*(1)</v>
      </c>
      <c r="G15" s="3" t="str">
        <f>IFERROR(__xludf.DUMMYFUNCTION("""COMPUTED_VALUE"""),"3 - 1 (ap)")</f>
        <v>3 - 1 (ap)</v>
      </c>
      <c r="H15" s="3" t="str">
        <f>IFERROR(__xludf.DUMMYFUNCTION("""COMPUTED_VALUE"""),"Pays-Bas")</f>
        <v>Pays-Bas</v>
      </c>
      <c r="I15" s="3" t="str">
        <f>IFERROR(__xludf.DUMMYFUNCTION("""COMPUTED_VALUE"""),"Brésil")</f>
        <v>Brésil</v>
      </c>
    </row>
    <row r="16">
      <c r="D16" s="3" t="str">
        <f>IFERROR(__xludf.DUMMYFUNCTION("""COMPUTED_VALUE"""),"12e")</f>
        <v>12e</v>
      </c>
      <c r="E16" s="3">
        <f>IFERROR(__xludf.DUMMYFUNCTION("""COMPUTED_VALUE"""),1982.0)</f>
        <v>1982</v>
      </c>
      <c r="F16" s="3" t="str">
        <f>IFERROR(__xludf.DUMMYFUNCTION("""COMPUTED_VALUE"""),"*Italie*(3)")</f>
        <v>*Italie*(3)</v>
      </c>
      <c r="G16" s="3" t="str">
        <f>IFERROR(__xludf.DUMMYFUNCTION("""COMPUTED_VALUE"""),"3 - 1")</f>
        <v>3 - 1</v>
      </c>
      <c r="H16" s="3" t="str">
        <f>IFERROR(__xludf.DUMMYFUNCTION("""COMPUTED_VALUE"""),"Allemagne de l'Ouest")</f>
        <v>Allemagne de l'Ouest</v>
      </c>
      <c r="I16" s="3" t="str">
        <f>IFERROR(__xludf.DUMMYFUNCTION("""COMPUTED_VALUE"""),"Pologne")</f>
        <v>Pologne</v>
      </c>
    </row>
    <row r="17">
      <c r="D17" s="3" t="str">
        <f>IFERROR(__xludf.DUMMYFUNCTION("""COMPUTED_VALUE"""),"13e")</f>
        <v>13e</v>
      </c>
      <c r="E17" s="3">
        <f>IFERROR(__xludf.DUMMYFUNCTION("""COMPUTED_VALUE"""),1986.0)</f>
        <v>1986</v>
      </c>
      <c r="F17" s="3" t="str">
        <f>IFERROR(__xludf.DUMMYFUNCTION("""COMPUTED_VALUE"""),"*Argentine*(2)")</f>
        <v>*Argentine*(2)</v>
      </c>
      <c r="G17" s="3" t="str">
        <f>IFERROR(__xludf.DUMMYFUNCTION("""COMPUTED_VALUE"""),"3 - 2")</f>
        <v>3 - 2</v>
      </c>
      <c r="H17" s="3" t="str">
        <f>IFERROR(__xludf.DUMMYFUNCTION("""COMPUTED_VALUE"""),"Allemagne de l'Ouest")</f>
        <v>Allemagne de l'Ouest</v>
      </c>
      <c r="I17" s="3" t="str">
        <f>IFERROR(__xludf.DUMMYFUNCTION("""COMPUTED_VALUE"""),"France")</f>
        <v>France</v>
      </c>
    </row>
    <row r="18">
      <c r="D18" s="3" t="str">
        <f>IFERROR(__xludf.DUMMYFUNCTION("""COMPUTED_VALUE"""),"14e")</f>
        <v>14e</v>
      </c>
      <c r="E18" s="3">
        <f>IFERROR(__xludf.DUMMYFUNCTION("""COMPUTED_VALUE"""),1990.0)</f>
        <v>1990</v>
      </c>
      <c r="F18" s="3" t="str">
        <f>IFERROR(__xludf.DUMMYFUNCTION("""COMPUTED_VALUE"""),"*Allemagne de l'Ouest*(3)")</f>
        <v>*Allemagne de l'Ouest*(3)</v>
      </c>
      <c r="G18" s="3" t="str">
        <f>IFERROR(__xludf.DUMMYFUNCTION("""COMPUTED_VALUE"""),"1 - 0")</f>
        <v>1 - 0</v>
      </c>
      <c r="H18" s="3" t="str">
        <f>IFERROR(__xludf.DUMMYFUNCTION("""COMPUTED_VALUE"""),"Argentine")</f>
        <v>Argentine</v>
      </c>
      <c r="I18" s="3" t="str">
        <f>IFERROR(__xludf.DUMMYFUNCTION("""COMPUTED_VALUE"""),"Italie")</f>
        <v>Italie</v>
      </c>
    </row>
    <row r="19">
      <c r="D19" s="3" t="str">
        <f>IFERROR(__xludf.DUMMYFUNCTION("""COMPUTED_VALUE"""),"15e")</f>
        <v>15e</v>
      </c>
      <c r="E19" s="3">
        <f>IFERROR(__xludf.DUMMYFUNCTION("""COMPUTED_VALUE"""),1994.0)</f>
        <v>1994</v>
      </c>
      <c r="F19" s="3" t="str">
        <f>IFERROR(__xludf.DUMMYFUNCTION("""COMPUTED_VALUE"""),"*Brésil*(4)")</f>
        <v>*Brésil*(4)</v>
      </c>
      <c r="G19" s="3" t="str">
        <f>IFERROR(__xludf.DUMMYFUNCTION("""COMPUTED_VALUE"""),"0 - 0 (ap)
(3-2 tab)")</f>
        <v>0 - 0 (ap)
(3-2 tab)</v>
      </c>
      <c r="H19" s="3" t="str">
        <f>IFERROR(__xludf.DUMMYFUNCTION("""COMPUTED_VALUE"""),"Italie")</f>
        <v>Italie</v>
      </c>
      <c r="I19" s="3" t="str">
        <f>IFERROR(__xludf.DUMMYFUNCTION("""COMPUTED_VALUE"""),"Suède")</f>
        <v>Suède</v>
      </c>
    </row>
    <row r="20">
      <c r="D20" s="3" t="str">
        <f>IFERROR(__xludf.DUMMYFUNCTION("""COMPUTED_VALUE"""),"16e")</f>
        <v>16e</v>
      </c>
      <c r="E20" s="3">
        <f>IFERROR(__xludf.DUMMYFUNCTION("""COMPUTED_VALUE"""),1998.0)</f>
        <v>1998</v>
      </c>
      <c r="F20" s="3" t="str">
        <f>IFERROR(__xludf.DUMMYFUNCTION("""COMPUTED_VALUE"""),"*France*(1)")</f>
        <v>*France*(1)</v>
      </c>
      <c r="G20" s="3" t="str">
        <f>IFERROR(__xludf.DUMMYFUNCTION("""COMPUTED_VALUE"""),"3 - 0")</f>
        <v>3 - 0</v>
      </c>
      <c r="H20" s="3" t="str">
        <f>IFERROR(__xludf.DUMMYFUNCTION("""COMPUTED_VALUE"""),"Brésil")</f>
        <v>Brésil</v>
      </c>
      <c r="I20" s="3" t="str">
        <f>IFERROR(__xludf.DUMMYFUNCTION("""COMPUTED_VALUE"""),"Croatie")</f>
        <v>Croatie</v>
      </c>
    </row>
    <row r="21">
      <c r="D21" s="3" t="str">
        <f>IFERROR(__xludf.DUMMYFUNCTION("""COMPUTED_VALUE"""),"17e")</f>
        <v>17e</v>
      </c>
      <c r="E21" s="3">
        <f>IFERROR(__xludf.DUMMYFUNCTION("""COMPUTED_VALUE"""),2002.0)</f>
        <v>2002</v>
      </c>
      <c r="F21" s="3" t="str">
        <f>IFERROR(__xludf.DUMMYFUNCTION("""COMPUTED_VALUE"""),"*Brésil*(5)")</f>
        <v>*Brésil*(5)</v>
      </c>
      <c r="G21" s="3" t="str">
        <f>IFERROR(__xludf.DUMMYFUNCTION("""COMPUTED_VALUE"""),"2 - 0")</f>
        <v>2 - 0</v>
      </c>
      <c r="H21" s="3" t="str">
        <f>IFERROR(__xludf.DUMMYFUNCTION("""COMPUTED_VALUE"""),"Allemagne")</f>
        <v>Allemagne</v>
      </c>
      <c r="I21" s="3" t="str">
        <f>IFERROR(__xludf.DUMMYFUNCTION("""COMPUTED_VALUE"""),"Turquie")</f>
        <v>Turquie</v>
      </c>
    </row>
    <row r="22">
      <c r="D22" s="3" t="str">
        <f>IFERROR(__xludf.DUMMYFUNCTION("""COMPUTED_VALUE"""),"18e")</f>
        <v>18e</v>
      </c>
      <c r="E22" s="3">
        <f>IFERROR(__xludf.DUMMYFUNCTION("""COMPUTED_VALUE"""),2006.0)</f>
        <v>2006</v>
      </c>
      <c r="F22" s="3" t="str">
        <f>IFERROR(__xludf.DUMMYFUNCTION("""COMPUTED_VALUE"""),"*Italie*(4)")</f>
        <v>*Italie*(4)</v>
      </c>
      <c r="G22" s="3" t="str">
        <f>IFERROR(__xludf.DUMMYFUNCTION("""COMPUTED_VALUE"""),"1 - 1 (ap)
(5-3 tab)")</f>
        <v>1 - 1 (ap)
(5-3 tab)</v>
      </c>
      <c r="H22" s="3" t="str">
        <f>IFERROR(__xludf.DUMMYFUNCTION("""COMPUTED_VALUE"""),"France")</f>
        <v>France</v>
      </c>
      <c r="I22" s="3" t="str">
        <f>IFERROR(__xludf.DUMMYFUNCTION("""COMPUTED_VALUE"""),"Allemagne")</f>
        <v>Allemagne</v>
      </c>
    </row>
    <row r="23">
      <c r="D23" s="3" t="str">
        <f>IFERROR(__xludf.DUMMYFUNCTION("""COMPUTED_VALUE"""),"19e")</f>
        <v>19e</v>
      </c>
      <c r="E23" s="3">
        <f>IFERROR(__xludf.DUMMYFUNCTION("""COMPUTED_VALUE"""),2010.0)</f>
        <v>2010</v>
      </c>
      <c r="F23" s="3" t="str">
        <f>IFERROR(__xludf.DUMMYFUNCTION("""COMPUTED_VALUE"""),"*Espagne*(1)")</f>
        <v>*Espagne*(1)</v>
      </c>
      <c r="G23" s="3" t="str">
        <f>IFERROR(__xludf.DUMMYFUNCTION("""COMPUTED_VALUE"""),"1 - 0 (ap)")</f>
        <v>1 - 0 (ap)</v>
      </c>
      <c r="H23" s="3" t="str">
        <f>IFERROR(__xludf.DUMMYFUNCTION("""COMPUTED_VALUE"""),"Pays-Bas")</f>
        <v>Pays-Bas</v>
      </c>
      <c r="I23" s="3" t="str">
        <f>IFERROR(__xludf.DUMMYFUNCTION("""COMPUTED_VALUE"""),"Allemagne")</f>
        <v>Allemagne</v>
      </c>
    </row>
    <row r="24">
      <c r="D24" s="3" t="str">
        <f>IFERROR(__xludf.DUMMYFUNCTION("""COMPUTED_VALUE"""),"20e")</f>
        <v>20e</v>
      </c>
      <c r="E24" s="3">
        <f>IFERROR(__xludf.DUMMYFUNCTION("""COMPUTED_VALUE"""),2014.0)</f>
        <v>2014</v>
      </c>
      <c r="F24" s="3" t="str">
        <f>IFERROR(__xludf.DUMMYFUNCTION("""COMPUTED_VALUE"""),"*Allemagne*(4)")</f>
        <v>*Allemagne*(4)</v>
      </c>
      <c r="G24" s="3" t="str">
        <f>IFERROR(__xludf.DUMMYFUNCTION("""COMPUTED_VALUE"""),"1 - 0 (ap)")</f>
        <v>1 - 0 (ap)</v>
      </c>
      <c r="H24" s="3" t="str">
        <f>IFERROR(__xludf.DUMMYFUNCTION("""COMPUTED_VALUE"""),"Argentine")</f>
        <v>Argentine</v>
      </c>
      <c r="I24" s="3" t="str">
        <f>IFERROR(__xludf.DUMMYFUNCTION("""COMPUTED_VALUE"""),"Pays-Bas")</f>
        <v>Pays-Bas</v>
      </c>
    </row>
    <row r="25">
      <c r="D25" s="3" t="str">
        <f>IFERROR(__xludf.DUMMYFUNCTION("""COMPUTED_VALUE"""),"21e")</f>
        <v>21e</v>
      </c>
      <c r="E25" s="3">
        <f>IFERROR(__xludf.DUMMYFUNCTION("""COMPUTED_VALUE"""),2018.0)</f>
        <v>2018</v>
      </c>
      <c r="F25" s="3" t="str">
        <f>IFERROR(__xludf.DUMMYFUNCTION("""COMPUTED_VALUE"""),"*France*(2)")</f>
        <v>*France*(2)</v>
      </c>
      <c r="G25" s="3" t="str">
        <f>IFERROR(__xludf.DUMMYFUNCTION("""COMPUTED_VALUE"""),"4 - 2")</f>
        <v>4 - 2</v>
      </c>
      <c r="H25" s="3" t="str">
        <f>IFERROR(__xludf.DUMMYFUNCTION("""COMPUTED_VALUE"""),"Croatie")</f>
        <v>Croatie</v>
      </c>
      <c r="I25" s="3" t="str">
        <f>IFERROR(__xludf.DUMMYFUNCTION("""COMPUTED_VALUE"""),"Belgique")</f>
        <v>Belgique</v>
      </c>
    </row>
    <row r="26">
      <c r="D26" s="3" t="str">
        <f>IFERROR(__xludf.DUMMYFUNCTION("""COMPUTED_VALUE"""),"22e")</f>
        <v>22e</v>
      </c>
      <c r="E26" s="3">
        <f>IFERROR(__xludf.DUMMYFUNCTION("""COMPUTED_VALUE"""),2022.0)</f>
        <v>2022</v>
      </c>
      <c r="F26" s="3" t="str">
        <f>IFERROR(__xludf.DUMMYFUNCTION("""COMPUTED_VALUE"""),"*Argentine*(3)")</f>
        <v>*Argentine*(3)</v>
      </c>
      <c r="G26" s="3" t="str">
        <f>IFERROR(__xludf.DUMMYFUNCTION("""COMPUTED_VALUE"""),"3 - 3 (ap)
(4-2 tab)")</f>
        <v>3 - 3 (ap)
(4-2 tab)</v>
      </c>
      <c r="H26" s="3" t="str">
        <f>IFERROR(__xludf.DUMMYFUNCTION("""COMPUTED_VALUE"""),"France")</f>
        <v>France</v>
      </c>
      <c r="I26" s="3" t="str">
        <f>IFERROR(__xludf.DUMMYFUNCTION("""COMPUTED_VALUE"""),"Croatie")</f>
        <v>Croatie</v>
      </c>
    </row>
    <row r="27">
      <c r="D27" s="3" t="str">
        <f>IFERROR(__xludf.DUMMYFUNCTION("""COMPUTED_VALUE"""),"23e")</f>
        <v>23e</v>
      </c>
      <c r="E27" s="3">
        <f>IFERROR(__xludf.DUMMYFUNCTION("""COMPUTED_VALUE"""),2026.0)</f>
        <v>2026</v>
      </c>
      <c r="F27" s="3"/>
      <c r="G27" s="3"/>
      <c r="H27" s="3"/>
      <c r="I27" s="3"/>
    </row>
    <row r="28">
      <c r="D28" s="3" t="str">
        <f>IFERROR(__xludf.DUMMYFUNCTION("""COMPUTED_VALUE"""),"24e")</f>
        <v>24e</v>
      </c>
      <c r="E28" s="3" t="str">
        <f>IFERROR(__xludf.DUMMYFUNCTION("""COMPUTED_VALUE"""),"(MO) 
(PF) 2030")</f>
        <v>(MO) 
(PF) 2030</v>
      </c>
      <c r="F28" s="3"/>
      <c r="G28" s="3"/>
      <c r="H28" s="3"/>
      <c r="I28" s="3"/>
    </row>
    <row r="29">
      <c r="D29" s="3" t="str">
        <f>IFERROR(__xludf.DUMMYFUNCTION("""COMPUTED_VALUE"""),"25e")</f>
        <v>25e</v>
      </c>
      <c r="E29" s="3">
        <f>IFERROR(__xludf.DUMMYFUNCTION("""COMPUTED_VALUE"""),2034.0)</f>
        <v>2034</v>
      </c>
      <c r="F29" s="3"/>
      <c r="G29" s="3"/>
      <c r="H29" s="3"/>
      <c r="I29" s="3"/>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tr">
        <f>IFERROR(__xludf.DUMMYFUNCTION("IMPORTHTML(""https://fr.wikipedia.org/wiki/Maubourguet"",""table"",15)"),"Période")</f>
        <v>Période</v>
      </c>
      <c r="B1" s="3"/>
      <c r="C1" s="3" t="str">
        <f>IFERROR(__xludf.DUMMYFUNCTION("""COMPUTED_VALUE"""),"Identité")</f>
        <v>Identité</v>
      </c>
      <c r="D1" s="3" t="str">
        <f>IFERROR(__xludf.DUMMYFUNCTION("""COMPUTED_VALUE"""),"Étiquette")</f>
        <v>Étiquette</v>
      </c>
      <c r="E1" s="3" t="str">
        <f>IFERROR(__xludf.DUMMYFUNCTION("""COMPUTED_VALUE"""),"Qualité")</f>
        <v>Qualité</v>
      </c>
    </row>
    <row r="2">
      <c r="A2" s="3" t="str">
        <f>IFERROR(__xludf.DUMMYFUNCTION("""COMPUTED_VALUE"""),"Liste des maires avant 1944
[TABLE]")</f>
        <v>Liste des maires avant 1944
[TABLE]</v>
      </c>
      <c r="B2" s="3"/>
      <c r="C2" s="3"/>
      <c r="D2" s="3"/>
      <c r="E2" s="3"/>
    </row>
    <row r="3">
      <c r="A3" s="33">
        <f>IFERROR(__xludf.DUMMYFUNCTION("""COMPUTED_VALUE"""),16558.0)</f>
        <v>16558</v>
      </c>
      <c r="B3" s="33">
        <f>IFERROR(__xludf.DUMMYFUNCTION("""COMPUTED_VALUE"""),17472.0)</f>
        <v>17472</v>
      </c>
      <c r="C3" s="3" t="str">
        <f>IFERROR(__xludf.DUMMYFUNCTION("""COMPUTED_VALUE"""),"Roger Labusquière[73]")</f>
        <v>Roger Labusquière[73]</v>
      </c>
      <c r="D3" s="3" t="str">
        <f>IFERROR(__xludf.DUMMYFUNCTION("""COMPUTED_VALUE"""),"SFIO")</f>
        <v>SFIO</v>
      </c>
      <c r="E3" s="3" t="str">
        <f>IFERROR(__xludf.DUMMYFUNCTION("""COMPUTED_VALUE"""),"Restaurateur")</f>
        <v>Restaurateur</v>
      </c>
    </row>
    <row r="4">
      <c r="A4" s="33">
        <f>IFERROR(__xludf.DUMMYFUNCTION("""COMPUTED_VALUE"""),17472.0)</f>
        <v>17472</v>
      </c>
      <c r="B4" s="33">
        <f>IFERROR(__xludf.DUMMYFUNCTION("""COMPUTED_VALUE"""),19480.0)</f>
        <v>19480</v>
      </c>
      <c r="C4" s="3" t="str">
        <f>IFERROR(__xludf.DUMMYFUNCTION("""COMPUTED_VALUE"""),"Georges Saint-Lanne Gramont")</f>
        <v>Georges Saint-Lanne Gramont</v>
      </c>
      <c r="D4" s="3"/>
      <c r="E4" s="3" t="str">
        <f>IFERROR(__xludf.DUMMYFUNCTION("""COMPUTED_VALUE"""),"Capitaine de marine retraité")</f>
        <v>Capitaine de marine retraité</v>
      </c>
    </row>
    <row r="5">
      <c r="A5" s="33">
        <f>IFERROR(__xludf.DUMMYFUNCTION("""COMPUTED_VALUE"""),19480.0)</f>
        <v>19480</v>
      </c>
      <c r="B5" s="33">
        <f>IFERROR(__xludf.DUMMYFUNCTION("""COMPUTED_VALUE"""),21610.0)</f>
        <v>21610</v>
      </c>
      <c r="C5" s="3" t="str">
        <f>IFERROR(__xludf.DUMMYFUNCTION("""COMPUTED_VALUE"""),"Maurice Ducru")</f>
        <v>Maurice Ducru</v>
      </c>
      <c r="D5" s="3" t="str">
        <f>IFERROR(__xludf.DUMMYFUNCTION("""COMPUTED_VALUE"""),"Rad.")</f>
        <v>Rad.</v>
      </c>
      <c r="E5" s="3" t="str">
        <f>IFERROR(__xludf.DUMMYFUNCTION("""COMPUTED_VALUE"""),"Vétérinaire et propriétaire-exploitant
Conseiller général de Maubourguet(1945 → 1973)")</f>
        <v>Vétérinaire et propriétaire-exploitant
Conseiller général de Maubourguet(1945 → 1973)</v>
      </c>
    </row>
    <row r="6">
      <c r="A6" s="33">
        <f>IFERROR(__xludf.DUMMYFUNCTION("""COMPUTED_VALUE"""),21610.0)</f>
        <v>21610</v>
      </c>
      <c r="B6" s="33">
        <f>IFERROR(__xludf.DUMMYFUNCTION("""COMPUTED_VALUE"""),25020.0)</f>
        <v>25020</v>
      </c>
      <c r="C6" s="3" t="str">
        <f>IFERROR(__xludf.DUMMYFUNCTION("""COMPUTED_VALUE"""),"Jean Delaporte")</f>
        <v>Jean Delaporte</v>
      </c>
      <c r="D6" s="3"/>
      <c r="E6" s="3" t="str">
        <f>IFERROR(__xludf.DUMMYFUNCTION("""COMPUTED_VALUE"""),"Médecin")</f>
        <v>Médecin</v>
      </c>
    </row>
    <row r="7">
      <c r="A7" s="33">
        <f>IFERROR(__xludf.DUMMYFUNCTION("""COMPUTED_VALUE"""),25020.0)</f>
        <v>25020</v>
      </c>
      <c r="B7" s="33">
        <f>IFERROR(__xludf.DUMMYFUNCTION("""COMPUTED_VALUE"""),28185.0)</f>
        <v>28185</v>
      </c>
      <c r="C7" s="3" t="str">
        <f>IFERROR(__xludf.DUMMYFUNCTION("""COMPUTED_VALUE"""),"Georges Dargelos[74]")</f>
        <v>Georges Dargelos[74]</v>
      </c>
      <c r="D7" s="3" t="str">
        <f>IFERROR(__xludf.DUMMYFUNCTION("""COMPUTED_VALUE"""),"DVD")</f>
        <v>DVD</v>
      </c>
      <c r="E7" s="3" t="str">
        <f>IFERROR(__xludf.DUMMYFUNCTION("""COMPUTED_VALUE"""),"Huissier de justice
Premier adjoint au maire(1959 → 1968)")</f>
        <v>Huissier de justice
Premier adjoint au maire(1959 → 1968)</v>
      </c>
    </row>
    <row r="8">
      <c r="A8" s="33">
        <f>IFERROR(__xludf.DUMMYFUNCTION("""COMPUTED_VALUE"""),28185.0)</f>
        <v>28185</v>
      </c>
      <c r="B8" s="33">
        <f>IFERROR(__xludf.DUMMYFUNCTION("""COMPUTED_VALUE"""),30376.0)</f>
        <v>30376</v>
      </c>
      <c r="C8" s="3" t="str">
        <f>IFERROR(__xludf.DUMMYFUNCTION("""COMPUTED_VALUE"""),"Jean Ducru[75],[76]")</f>
        <v>Jean Ducru[75],[76]</v>
      </c>
      <c r="D8" s="3" t="str">
        <f>IFERROR(__xludf.DUMMYFUNCTION("""COMPUTED_VALUE"""),"MRG")</f>
        <v>MRG</v>
      </c>
      <c r="E8" s="3" t="str">
        <f>IFERROR(__xludf.DUMMYFUNCTION("""COMPUTED_VALUE"""),"Vétérinaire
Conseiller général de Maubourguet(1973 → 1992)")</f>
        <v>Vétérinaire
Conseiller général de Maubourguet(1973 → 1992)</v>
      </c>
    </row>
    <row r="9">
      <c r="A9" s="33">
        <f>IFERROR(__xludf.DUMMYFUNCTION("""COMPUTED_VALUE"""),30376.0)</f>
        <v>30376</v>
      </c>
      <c r="B9" s="33">
        <f>IFERROR(__xludf.DUMMYFUNCTION("""COMPUTED_VALUE"""),32568.0)</f>
        <v>32568</v>
      </c>
      <c r="C9" s="3" t="str">
        <f>IFERROR(__xludf.DUMMYFUNCTION("""COMPUTED_VALUE"""),"Robert Baradat[77],[78]")</f>
        <v>Robert Baradat[77],[78]</v>
      </c>
      <c r="D9" s="3"/>
      <c r="E9" s="3" t="str">
        <f>IFERROR(__xludf.DUMMYFUNCTION("""COMPUTED_VALUE"""),"Agent d'assurance")</f>
        <v>Agent d'assurance</v>
      </c>
    </row>
    <row r="10">
      <c r="A10" s="33">
        <f>IFERROR(__xludf.DUMMYFUNCTION("""COMPUTED_VALUE"""),32568.0)</f>
        <v>32568</v>
      </c>
      <c r="B10" s="3" t="str">
        <f>IFERROR(__xludf.DUMMYFUNCTION("""COMPUTED_VALUE"""),"octobre 1998
(démission)")</f>
        <v>octobre 1998
(démission)</v>
      </c>
      <c r="C10" s="3" t="str">
        <f>IFERROR(__xludf.DUMMYFUNCTION("""COMPUTED_VALUE"""),"Jean Glavany")</f>
        <v>Jean Glavany</v>
      </c>
      <c r="D10" s="3" t="str">
        <f>IFERROR(__xludf.DUMMYFUNCTION("""COMPUTED_VALUE"""),"PS")</f>
        <v>PS</v>
      </c>
      <c r="E10" s="3" t="str">
        <f>IFERROR(__xludf.DUMMYFUNCTION("""COMPUTED_VALUE"""),"Préfet
Député des Hautes-Pyrénées (3e circ.) (1993 → 1998)
Conseiller régional de Midi-Pyrénées(1992 → 1993)
Conseiller général de Maubourguet(1992 → 2002)
Vice-président du conseil général(1992 → 2002)")</f>
        <v>Préfet
Député des Hautes-Pyrénées (3e circ.) (1993 → 1998)
Conseiller régional de Midi-Pyrénées(1992 → 1993)
Conseiller général de Maubourguet(1992 → 2002)
Vice-président du conseil général(1992 → 2002)</v>
      </c>
    </row>
    <row r="11">
      <c r="A11" s="33">
        <f>IFERROR(__xludf.DUMMYFUNCTION("""COMPUTED_VALUE"""),36069.0)</f>
        <v>36069</v>
      </c>
      <c r="B11" s="33">
        <f>IFERROR(__xludf.DUMMYFUNCTION("""COMPUTED_VALUE"""),41699.0)</f>
        <v>41699</v>
      </c>
      <c r="C11" s="3" t="str">
        <f>IFERROR(__xludf.DUMMYFUNCTION("""COMPUTED_VALUE"""),"Jean Guilhas")</f>
        <v>Jean Guilhas</v>
      </c>
      <c r="D11" s="3" t="str">
        <f>IFERROR(__xludf.DUMMYFUNCTION("""COMPUTED_VALUE"""),"PS")</f>
        <v>PS</v>
      </c>
      <c r="E11" s="3" t="str">
        <f>IFERROR(__xludf.DUMMYFUNCTION("""COMPUTED_VALUE"""),"Techno-commercial et agriculteur
Conseiller général de Maubourguet(2002 → 2015)")</f>
        <v>Techno-commercial et agriculteur
Conseiller général de Maubourguet(2002 → 2015)</v>
      </c>
    </row>
    <row r="12">
      <c r="A12" s="3" t="str">
        <f>IFERROR(__xludf.DUMMYFUNCTION("""COMPUTED_VALUE"""),"30 mars 2014[D 2]")</f>
        <v>30 mars 2014[D 2]</v>
      </c>
      <c r="B12" s="3" t="str">
        <f>IFERROR(__xludf.DUMMYFUNCTION("""COMPUTED_VALUE"""),"11 décembre 2024
(démission)")</f>
        <v>11 décembre 2024
(démission)</v>
      </c>
      <c r="C12" s="3" t="str">
        <f>IFERROR(__xludf.DUMMYFUNCTION("""COMPUTED_VALUE"""),"Jean Nadal")</f>
        <v>Jean Nadal</v>
      </c>
      <c r="D12" s="3" t="str">
        <f>IFERROR(__xludf.DUMMYFUNCTION("""COMPUTED_VALUE"""),"PS[79]")</f>
        <v>PS[79]</v>
      </c>
      <c r="E12" s="3" t="str">
        <f>IFERROR(__xludf.DUMMYFUNCTION("""COMPUTED_VALUE"""),"Enseignant retraité
3e vice-président de la CC Adour Madiran(2017 → )")</f>
        <v>Enseignant retraité
3e vice-président de la CC Adour Madiran(2017 → )</v>
      </c>
    </row>
    <row r="13">
      <c r="A13" s="8">
        <f>IFERROR(__xludf.DUMMYFUNCTION("""COMPUTED_VALUE"""),45637.0)</f>
        <v>45637</v>
      </c>
      <c r="B13" s="3" t="str">
        <f>IFERROR(__xludf.DUMMYFUNCTION("""COMPUTED_VALUE"""),"*en cours*")</f>
        <v>*en cours*</v>
      </c>
      <c r="C13" s="3" t="str">
        <f>IFERROR(__xludf.DUMMYFUNCTION("""COMPUTED_VALUE"""),"Sylvie Dubertrand[80]")</f>
        <v>Sylvie Dubertrand[80]</v>
      </c>
      <c r="D13" s="3" t="str">
        <f>IFERROR(__xludf.DUMMYFUNCTION("""COMPUTED_VALUE"""),"DVG")</f>
        <v>DVG</v>
      </c>
      <c r="E13" s="3" t="str">
        <f>IFERROR(__xludf.DUMMYFUNCTION("""COMPUTED_VALUE"""),"Responsable de l'ADMR Rivière-Basse")</f>
        <v>Responsable de l'ADMR Rivière-Basse</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IFERROR(__xludf.DUMMYFUNCTION("IMPORTHTML(""https://www.europarl.europa.eu/election-results-2019/fr/france/"",""table"",1)"),"#N/A")</f>
        <v>#N/A</v>
      </c>
      <c r="G1" s="3" t="str">
        <f>IFERROR(__xludf.DUMMYFUNCTION("IMPORTHTML(""https://www.insee.fr/fr/statistiques/2011101?geo=COM-61273#chiffre-cle-6"",""table"",9)"),"")</f>
        <v/>
      </c>
      <c r="H1" s="3">
        <f>IFERROR(__xludf.DUMMYFUNCTION("""COMPUTED_VALUE"""),2011.0)</f>
        <v>2011</v>
      </c>
      <c r="I1" s="3">
        <f>IFERROR(__xludf.DUMMYFUNCTION("""COMPUTED_VALUE"""),2016.0)</f>
        <v>2016</v>
      </c>
      <c r="J1" s="3">
        <f>IFERROR(__xludf.DUMMYFUNCTION("""COMPUTED_VALUE"""),2022.0)</f>
        <v>2022</v>
      </c>
    </row>
    <row r="2">
      <c r="G2" s="3" t="str">
        <f>IFERROR(__xludf.DUMMYFUNCTION("""COMPUTED_VALUE"""),"15 à 19 ans")</f>
        <v>15 à 19 ans</v>
      </c>
      <c r="H2" s="3">
        <f>IFERROR(__xludf.DUMMYFUNCTION("""COMPUTED_VALUE"""),0.0)</f>
        <v>0</v>
      </c>
      <c r="I2" s="3">
        <f>IFERROR(__xludf.DUMMYFUNCTION("""COMPUTED_VALUE"""),0.0)</f>
        <v>0</v>
      </c>
      <c r="J2" s="3">
        <f>IFERROR(__xludf.DUMMYFUNCTION("""COMPUTED_VALUE"""),0.0)</f>
        <v>0</v>
      </c>
    </row>
    <row r="3">
      <c r="G3" s="3" t="str">
        <f>IFERROR(__xludf.DUMMYFUNCTION("""COMPUTED_VALUE"""),"20 à 24 ans")</f>
        <v>20 à 24 ans</v>
      </c>
      <c r="H3" s="3"/>
      <c r="I3" s="3">
        <f>IFERROR(__xludf.DUMMYFUNCTION("""COMPUTED_VALUE"""),66.7)</f>
        <v>66.7</v>
      </c>
      <c r="J3" s="3">
        <f>IFERROR(__xludf.DUMMYFUNCTION("""COMPUTED_VALUE"""),75.0)</f>
        <v>75</v>
      </c>
    </row>
    <row r="4">
      <c r="G4" s="3" t="str">
        <f>IFERROR(__xludf.DUMMYFUNCTION("""COMPUTED_VALUE"""),"25 à 39 ans")</f>
        <v>25 à 39 ans</v>
      </c>
      <c r="H4" s="3">
        <f>IFERROR(__xludf.DUMMYFUNCTION("""COMPUTED_VALUE"""),50.0)</f>
        <v>50</v>
      </c>
      <c r="I4" s="3">
        <f>IFERROR(__xludf.DUMMYFUNCTION("""COMPUTED_VALUE"""),71.4)</f>
        <v>71.4</v>
      </c>
      <c r="J4" s="3">
        <f>IFERROR(__xludf.DUMMYFUNCTION("""COMPUTED_VALUE"""),77.8)</f>
        <v>77.8</v>
      </c>
    </row>
    <row r="5">
      <c r="G5" s="3" t="str">
        <f>IFERROR(__xludf.DUMMYFUNCTION("""COMPUTED_VALUE"""),"40 à 54 ans")</f>
        <v>40 à 54 ans</v>
      </c>
      <c r="H5" s="3">
        <f>IFERROR(__xludf.DUMMYFUNCTION("""COMPUTED_VALUE"""),60.0)</f>
        <v>60</v>
      </c>
      <c r="I5" s="3">
        <f>IFERROR(__xludf.DUMMYFUNCTION("""COMPUTED_VALUE"""),90.0)</f>
        <v>90</v>
      </c>
      <c r="J5" s="3">
        <f>IFERROR(__xludf.DUMMYFUNCTION("""COMPUTED_VALUE"""),76.9)</f>
        <v>76.9</v>
      </c>
    </row>
    <row r="6">
      <c r="G6" s="3" t="str">
        <f>IFERROR(__xludf.DUMMYFUNCTION("""COMPUTED_VALUE"""),"55 à 64 ans")</f>
        <v>55 à 64 ans</v>
      </c>
      <c r="H6" s="3">
        <f>IFERROR(__xludf.DUMMYFUNCTION("""COMPUTED_VALUE"""),76.9)</f>
        <v>76.9</v>
      </c>
      <c r="I6" s="3">
        <f>IFERROR(__xludf.DUMMYFUNCTION("""COMPUTED_VALUE"""),44.4)</f>
        <v>44.4</v>
      </c>
      <c r="J6" s="3">
        <f>IFERROR(__xludf.DUMMYFUNCTION("""COMPUTED_VALUE"""),0.0)</f>
        <v>0</v>
      </c>
    </row>
    <row r="7">
      <c r="G7" s="3" t="str">
        <f>IFERROR(__xludf.DUMMYFUNCTION("""COMPUTED_VALUE"""),"65 à 79 ans")</f>
        <v>65 à 79 ans</v>
      </c>
      <c r="H7" s="3">
        <f>IFERROR(__xludf.DUMMYFUNCTION("""COMPUTED_VALUE"""),87.5)</f>
        <v>87.5</v>
      </c>
      <c r="I7" s="3">
        <f>IFERROR(__xludf.DUMMYFUNCTION("""COMPUTED_VALUE"""),91.7)</f>
        <v>91.7</v>
      </c>
      <c r="J7" s="3">
        <f>IFERROR(__xludf.DUMMYFUNCTION("""COMPUTED_VALUE"""),80.0)</f>
        <v>80</v>
      </c>
    </row>
    <row r="8">
      <c r="G8" s="3" t="str">
        <f>IFERROR(__xludf.DUMMYFUNCTION("""COMPUTED_VALUE"""),"80 ans ou plus")</f>
        <v>80 ans ou plus</v>
      </c>
      <c r="H8" s="3">
        <f>IFERROR(__xludf.DUMMYFUNCTION("""COMPUTED_VALUE"""),0.0)</f>
        <v>0</v>
      </c>
      <c r="I8" s="3">
        <f>IFERROR(__xludf.DUMMYFUNCTION("""COMPUTED_VALUE"""),33.3)</f>
        <v>33.3</v>
      </c>
      <c r="J8" s="3">
        <f>IFERROR(__xludf.DUMMYFUNCTION("""COMPUTED_VALUE"""),50.0)</f>
        <v>50</v>
      </c>
    </row>
    <row r="10">
      <c r="G10" s="3" t="str">
        <f>IFERROR(__xludf.DUMMYFUNCTION("IMPORTHTML(""https://fr.wikipedia.org/wiki/Palmarès_du_Tour_de_France"",""table"",1)"),"Année 
Édition")</f>
        <v>Année 
Édition</v>
      </c>
      <c r="H10" s="3" t="str">
        <f>IFERROR(__xludf.DUMMYFUNCTION("""COMPUTED_VALUE"""),"Vainqueur")</f>
        <v>Vainqueur</v>
      </c>
      <c r="I10" s="3" t="str">
        <f>IFERROR(__xludf.DUMMYFUNCTION("""COMPUTED_VALUE"""),"Deuxième")</f>
        <v>Deuxième</v>
      </c>
      <c r="J10" s="3" t="str">
        <f>IFERROR(__xludf.DUMMYFUNCTION("""COMPUTED_VALUE"""),"Troisième")</f>
        <v>Troisième</v>
      </c>
      <c r="K10" s="3" t="str">
        <f>IFERROR(__xludf.DUMMYFUNCTION("""COMPUTED_VALUE"""),"Équipe[1] du vainqueur")</f>
        <v>Équipe[1] du vainqueur</v>
      </c>
      <c r="L10" s="3" t="str">
        <f>IFERROR(__xludf.DUMMYFUNCTION("""COMPUTED_VALUE"""),"Vélo")</f>
        <v>Vélo</v>
      </c>
      <c r="M10" s="3" t="str">
        <f>IFERROR(__xludf.DUMMYFUNCTION("""COMPUTED_VALUE"""),"Dérailleur[2]")</f>
        <v>Dérailleur[2]</v>
      </c>
      <c r="N10" s="3" t="str">
        <f>IFERROR(__xludf.DUMMYFUNCTION("""COMPUTED_VALUE"""),"Nombre
d'étapes")</f>
        <v>Nombre
d'étapes</v>
      </c>
      <c r="O10" s="3" t="str">
        <f>IFERROR(__xludf.DUMMYFUNCTION("""COMPUTED_VALUE"""),"Distance
(en km)")</f>
        <v>Distance
(en km)</v>
      </c>
      <c r="P10" s="3" t="str">
        <f>IFERROR(__xludf.DUMMYFUNCTION("""COMPUTED_VALUE"""),"Vitesse moyenne
du vainqueur[3]")</f>
        <v>Vitesse moyenne
du vainqueur[3]</v>
      </c>
      <c r="Q10" s="3" t="str">
        <f>IFERROR(__xludf.DUMMYFUNCTION("""COMPUTED_VALUE"""),"Grand Prix de la montagne")</f>
        <v>Grand Prix de la montagne</v>
      </c>
      <c r="R10" s="3" t="str">
        <f>IFERROR(__xludf.DUMMYFUNCTION("""COMPUTED_VALUE"""),"Par points")</f>
        <v>Par points</v>
      </c>
      <c r="S10" s="3" t="str">
        <f>IFERROR(__xludf.DUMMYFUNCTION("""COMPUTED_VALUE"""),"Meilleur jeune")</f>
        <v>Meilleur jeune</v>
      </c>
      <c r="T10" s="3" t="str">
        <f>IFERROR(__xludf.DUMMYFUNCTION("""COMPUTED_VALUE"""),"Prix de la combativité")</f>
        <v>Prix de la combativité</v>
      </c>
    </row>
    <row r="11">
      <c r="G11" s="3" t="str">
        <f>IFERROR(__xludf.DUMMYFUNCTION("""COMPUTED_VALUE"""),"1903 (1re)")</f>
        <v>1903 (1re)</v>
      </c>
      <c r="H11" s="3" t="str">
        <f>IFERROR(__xludf.DUMMYFUNCTION("""COMPUTED_VALUE"""),"Maurice Garin")</f>
        <v>Maurice Garin</v>
      </c>
      <c r="I11" s="3" t="str">
        <f>IFERROR(__xludf.DUMMYFUNCTION("""COMPUTED_VALUE"""),"Lucien Pothier")</f>
        <v>Lucien Pothier</v>
      </c>
      <c r="J11" s="3" t="str">
        <f>IFERROR(__xludf.DUMMYFUNCTION("""COMPUTED_VALUE"""),"Fernand Augereau")</f>
        <v>Fernand Augereau</v>
      </c>
      <c r="K11" s="3" t="str">
        <f>IFERROR(__xludf.DUMMYFUNCTION("""COMPUTED_VALUE"""),"La Française")</f>
        <v>La Française</v>
      </c>
      <c r="L11" s="3" t="str">
        <f>IFERROR(__xludf.DUMMYFUNCTION("""COMPUTED_VALUE"""),"La Française")</f>
        <v>La Française</v>
      </c>
      <c r="M11" s="3" t="str">
        <f>IFERROR(__xludf.DUMMYFUNCTION("""COMPUTED_VALUE"""),"dérailleur interdit")</f>
        <v>dérailleur interdit</v>
      </c>
      <c r="N11" s="3">
        <f>IFERROR(__xludf.DUMMYFUNCTION("""COMPUTED_VALUE"""),6.0)</f>
        <v>6</v>
      </c>
      <c r="O11" s="3">
        <f>IFERROR(__xludf.DUMMYFUNCTION("""COMPUTED_VALUE"""),2428.0)</f>
        <v>2428</v>
      </c>
      <c r="P11" s="3" t="str">
        <f>IFERROR(__xludf.DUMMYFUNCTION("""COMPUTED_VALUE"""),"25,679 km/h")</f>
        <v>25,679 km/h</v>
      </c>
      <c r="Q11" s="3"/>
      <c r="R11" s="3"/>
      <c r="S11" s="3"/>
      <c r="T11" s="3"/>
    </row>
    <row r="12">
      <c r="G12" s="3" t="str">
        <f>IFERROR(__xludf.DUMMYFUNCTION("""COMPUTED_VALUE"""),"1904 (2e)")</f>
        <v>1904 (2e)</v>
      </c>
      <c r="H12" s="3" t="str">
        <f>IFERROR(__xludf.DUMMYFUNCTION("""COMPUTED_VALUE"""),"Henri Cornet[4]")</f>
        <v>Henri Cornet[4]</v>
      </c>
      <c r="I12" s="3" t="str">
        <f>IFERROR(__xludf.DUMMYFUNCTION("""COMPUTED_VALUE"""),"Jean-Baptiste Dortignacq[4]")</f>
        <v>Jean-Baptiste Dortignacq[4]</v>
      </c>
      <c r="J12" s="3" t="str">
        <f>IFERROR(__xludf.DUMMYFUNCTION("""COMPUTED_VALUE"""),"Aloïs Catteau[4]")</f>
        <v>Aloïs Catteau[4]</v>
      </c>
      <c r="K12" s="3" t="str">
        <f>IFERROR(__xludf.DUMMYFUNCTION("""COMPUTED_VALUE"""),"Cycles J.C.-Michelin")</f>
        <v>Cycles J.C.-Michelin</v>
      </c>
      <c r="L12" s="3"/>
      <c r="M12" s="3" t="str">
        <f>IFERROR(__xludf.DUMMYFUNCTION("""COMPUTED_VALUE"""),"dérailleur interdit")</f>
        <v>dérailleur interdit</v>
      </c>
      <c r="N12" s="3">
        <f>IFERROR(__xludf.DUMMYFUNCTION("""COMPUTED_VALUE"""),6.0)</f>
        <v>6</v>
      </c>
      <c r="O12" s="3">
        <f>IFERROR(__xludf.DUMMYFUNCTION("""COMPUTED_VALUE"""),2428.0)</f>
        <v>2428</v>
      </c>
      <c r="P12" s="3" t="str">
        <f>IFERROR(__xludf.DUMMYFUNCTION("""COMPUTED_VALUE"""),"25,265 km/h")</f>
        <v>25,265 km/h</v>
      </c>
      <c r="Q12" s="3"/>
      <c r="R12" s="3"/>
      <c r="S12" s="3"/>
      <c r="T12" s="3"/>
    </row>
    <row r="13">
      <c r="G13" s="3" t="str">
        <f>IFERROR(__xludf.DUMMYFUNCTION("""COMPUTED_VALUE"""),"1905 (3e)")</f>
        <v>1905 (3e)</v>
      </c>
      <c r="H13" s="3" t="str">
        <f>IFERROR(__xludf.DUMMYFUNCTION("""COMPUTED_VALUE"""),"Louis Trousselier")</f>
        <v>Louis Trousselier</v>
      </c>
      <c r="I13" s="3" t="str">
        <f>IFERROR(__xludf.DUMMYFUNCTION("""COMPUTED_VALUE"""),"Hippolyte Aucouturier")</f>
        <v>Hippolyte Aucouturier</v>
      </c>
      <c r="J13" s="3" t="str">
        <f>IFERROR(__xludf.DUMMYFUNCTION("""COMPUTED_VALUE"""),"Jean-Baptiste Dortignacq")</f>
        <v>Jean-Baptiste Dortignacq</v>
      </c>
      <c r="K13" s="3" t="str">
        <f>IFERROR(__xludf.DUMMYFUNCTION("""COMPUTED_VALUE"""),"Peugeot-Wolber")</f>
        <v>Peugeot-Wolber</v>
      </c>
      <c r="L13" s="3" t="str">
        <f>IFERROR(__xludf.DUMMYFUNCTION("""COMPUTED_VALUE"""),"Peugeot")</f>
        <v>Peugeot</v>
      </c>
      <c r="M13" s="3" t="str">
        <f>IFERROR(__xludf.DUMMYFUNCTION("""COMPUTED_VALUE"""),"dérailleur interdit")</f>
        <v>dérailleur interdit</v>
      </c>
      <c r="N13" s="3">
        <f>IFERROR(__xludf.DUMMYFUNCTION("""COMPUTED_VALUE"""),11.0)</f>
        <v>11</v>
      </c>
      <c r="O13" s="3">
        <f>IFERROR(__xludf.DUMMYFUNCTION("""COMPUTED_VALUE"""),2994.0)</f>
        <v>2994</v>
      </c>
      <c r="P13" s="3" t="str">
        <f>IFERROR(__xludf.DUMMYFUNCTION("""COMPUTED_VALUE"""),"27,107 km/h")</f>
        <v>27,107 km/h</v>
      </c>
      <c r="Q13" s="3"/>
      <c r="R13" s="3"/>
      <c r="S13" s="3"/>
      <c r="T13" s="3"/>
    </row>
    <row r="14">
      <c r="G14" s="3" t="str">
        <f>IFERROR(__xludf.DUMMYFUNCTION("""COMPUTED_VALUE"""),"1906 (4e)")</f>
        <v>1906 (4e)</v>
      </c>
      <c r="H14" s="3" t="str">
        <f>IFERROR(__xludf.DUMMYFUNCTION("""COMPUTED_VALUE"""),"René Pottier")</f>
        <v>René Pottier</v>
      </c>
      <c r="I14" s="3" t="str">
        <f>IFERROR(__xludf.DUMMYFUNCTION("""COMPUTED_VALUE"""),"Georges Passerieu")</f>
        <v>Georges Passerieu</v>
      </c>
      <c r="J14" s="3" t="str">
        <f>IFERROR(__xludf.DUMMYFUNCTION("""COMPUTED_VALUE"""),"Louis Trousselier")</f>
        <v>Louis Trousselier</v>
      </c>
      <c r="K14" s="3" t="str">
        <f>IFERROR(__xludf.DUMMYFUNCTION("""COMPUTED_VALUE"""),"Peugeot")</f>
        <v>Peugeot</v>
      </c>
      <c r="L14" s="3" t="str">
        <f>IFERROR(__xludf.DUMMYFUNCTION("""COMPUTED_VALUE"""),"Peugeot")</f>
        <v>Peugeot</v>
      </c>
      <c r="M14" s="3" t="str">
        <f>IFERROR(__xludf.DUMMYFUNCTION("""COMPUTED_VALUE"""),"dérailleur interdit")</f>
        <v>dérailleur interdit</v>
      </c>
      <c r="N14" s="3">
        <f>IFERROR(__xludf.DUMMYFUNCTION("""COMPUTED_VALUE"""),13.0)</f>
        <v>13</v>
      </c>
      <c r="O14" s="3">
        <f>IFERROR(__xludf.DUMMYFUNCTION("""COMPUTED_VALUE"""),4637.0)</f>
        <v>4637</v>
      </c>
      <c r="P14" s="3" t="str">
        <f>IFERROR(__xludf.DUMMYFUNCTION("""COMPUTED_VALUE"""),"24,463 km/h")</f>
        <v>24,463 km/h</v>
      </c>
      <c r="Q14" s="3"/>
      <c r="R14" s="3"/>
      <c r="S14" s="3"/>
      <c r="T14" s="3"/>
    </row>
    <row r="15">
      <c r="G15" s="3" t="str">
        <f>IFERROR(__xludf.DUMMYFUNCTION("""COMPUTED_VALUE"""),"1907 (5e)")</f>
        <v>1907 (5e)</v>
      </c>
      <c r="H15" s="3" t="str">
        <f>IFERROR(__xludf.DUMMYFUNCTION("""COMPUTED_VALUE"""),"Lucien Petit-Breton")</f>
        <v>Lucien Petit-Breton</v>
      </c>
      <c r="I15" s="3" t="str">
        <f>IFERROR(__xludf.DUMMYFUNCTION("""COMPUTED_VALUE"""),"Gustave Garrigou")</f>
        <v>Gustave Garrigou</v>
      </c>
      <c r="J15" s="3" t="str">
        <f>IFERROR(__xludf.DUMMYFUNCTION("""COMPUTED_VALUE"""),"Émile Georget")</f>
        <v>Émile Georget</v>
      </c>
      <c r="K15" s="3" t="str">
        <f>IFERROR(__xludf.DUMMYFUNCTION("""COMPUTED_VALUE"""),"Peugeot-Wolber")</f>
        <v>Peugeot-Wolber</v>
      </c>
      <c r="L15" s="3" t="str">
        <f>IFERROR(__xludf.DUMMYFUNCTION("""COMPUTED_VALUE"""),"Peugeot")</f>
        <v>Peugeot</v>
      </c>
      <c r="M15" s="3" t="str">
        <f>IFERROR(__xludf.DUMMYFUNCTION("""COMPUTED_VALUE"""),"dérailleur interdit")</f>
        <v>dérailleur interdit</v>
      </c>
      <c r="N15" s="3">
        <f>IFERROR(__xludf.DUMMYFUNCTION("""COMPUTED_VALUE"""),14.0)</f>
        <v>14</v>
      </c>
      <c r="O15" s="3">
        <f>IFERROR(__xludf.DUMMYFUNCTION("""COMPUTED_VALUE"""),4488.0)</f>
        <v>4488</v>
      </c>
      <c r="P15" s="3" t="str">
        <f>IFERROR(__xludf.DUMMYFUNCTION("""COMPUTED_VALUE"""),"28,470 km/h")</f>
        <v>28,470 km/h</v>
      </c>
      <c r="Q15" s="3"/>
      <c r="R15" s="3"/>
      <c r="S15" s="3"/>
      <c r="T15" s="3"/>
    </row>
    <row r="16">
      <c r="G16" s="3" t="str">
        <f>IFERROR(__xludf.DUMMYFUNCTION("""COMPUTED_VALUE"""),"1908 (6e)")</f>
        <v>1908 (6e)</v>
      </c>
      <c r="H16" s="3" t="str">
        <f>IFERROR(__xludf.DUMMYFUNCTION("""COMPUTED_VALUE"""),"Lucien Petit-Breton")</f>
        <v>Lucien Petit-Breton</v>
      </c>
      <c r="I16" s="3" t="str">
        <f>IFERROR(__xludf.DUMMYFUNCTION("""COMPUTED_VALUE"""),"François Faber")</f>
        <v>François Faber</v>
      </c>
      <c r="J16" s="3" t="str">
        <f>IFERROR(__xludf.DUMMYFUNCTION("""COMPUTED_VALUE"""),"Georges Passerieu")</f>
        <v>Georges Passerieu</v>
      </c>
      <c r="K16" s="3" t="str">
        <f>IFERROR(__xludf.DUMMYFUNCTION("""COMPUTED_VALUE"""),"Peugeot-Wolber")</f>
        <v>Peugeot-Wolber</v>
      </c>
      <c r="L16" s="3" t="str">
        <f>IFERROR(__xludf.DUMMYFUNCTION("""COMPUTED_VALUE"""),"Peugeot")</f>
        <v>Peugeot</v>
      </c>
      <c r="M16" s="3" t="str">
        <f>IFERROR(__xludf.DUMMYFUNCTION("""COMPUTED_VALUE"""),"dérailleur interdit")</f>
        <v>dérailleur interdit</v>
      </c>
      <c r="N16" s="3">
        <f>IFERROR(__xludf.DUMMYFUNCTION("""COMPUTED_VALUE"""),14.0)</f>
        <v>14</v>
      </c>
      <c r="O16" s="3">
        <f>IFERROR(__xludf.DUMMYFUNCTION("""COMPUTED_VALUE"""),4488.0)</f>
        <v>4488</v>
      </c>
      <c r="P16" s="3" t="str">
        <f>IFERROR(__xludf.DUMMYFUNCTION("""COMPUTED_VALUE"""),"28,740 km/h")</f>
        <v>28,740 km/h</v>
      </c>
      <c r="Q16" s="3"/>
      <c r="R16" s="3"/>
      <c r="S16" s="3"/>
      <c r="T16" s="3"/>
    </row>
    <row r="17">
      <c r="G17" s="3" t="str">
        <f>IFERROR(__xludf.DUMMYFUNCTION("""COMPUTED_VALUE"""),"1909 (7e)")</f>
        <v>1909 (7e)</v>
      </c>
      <c r="H17" s="3" t="str">
        <f>IFERROR(__xludf.DUMMYFUNCTION("""COMPUTED_VALUE"""),"François Faber")</f>
        <v>François Faber</v>
      </c>
      <c r="I17" s="3" t="str">
        <f>IFERROR(__xludf.DUMMYFUNCTION("""COMPUTED_VALUE"""),"Gustave Garrigou")</f>
        <v>Gustave Garrigou</v>
      </c>
      <c r="J17" s="3" t="str">
        <f>IFERROR(__xludf.DUMMYFUNCTION("""COMPUTED_VALUE"""),"Jean Alavoine")</f>
        <v>Jean Alavoine</v>
      </c>
      <c r="K17" s="3" t="str">
        <f>IFERROR(__xludf.DUMMYFUNCTION("""COMPUTED_VALUE"""),"Alcyon-Dunlop")</f>
        <v>Alcyon-Dunlop</v>
      </c>
      <c r="L17" s="3" t="str">
        <f>IFERROR(__xludf.DUMMYFUNCTION("""COMPUTED_VALUE"""),"Alcyon")</f>
        <v>Alcyon</v>
      </c>
      <c r="M17" s="3" t="str">
        <f>IFERROR(__xludf.DUMMYFUNCTION("""COMPUTED_VALUE"""),"dérailleur interdit")</f>
        <v>dérailleur interdit</v>
      </c>
      <c r="N17" s="3">
        <f>IFERROR(__xludf.DUMMYFUNCTION("""COMPUTED_VALUE"""),14.0)</f>
        <v>14</v>
      </c>
      <c r="O17" s="3">
        <f>IFERROR(__xludf.DUMMYFUNCTION("""COMPUTED_VALUE"""),4497.0)</f>
        <v>4497</v>
      </c>
      <c r="P17" s="3" t="str">
        <f>IFERROR(__xludf.DUMMYFUNCTION("""COMPUTED_VALUE"""),"28,658 km/h")</f>
        <v>28,658 km/h</v>
      </c>
      <c r="Q17" s="3"/>
      <c r="R17" s="3"/>
      <c r="S17" s="3"/>
      <c r="T17" s="3"/>
    </row>
    <row r="18">
      <c r="G18" s="3" t="str">
        <f>IFERROR(__xludf.DUMMYFUNCTION("""COMPUTED_VALUE"""),"1910 (8e)")</f>
        <v>1910 (8e)</v>
      </c>
      <c r="H18" s="3" t="str">
        <f>IFERROR(__xludf.DUMMYFUNCTION("""COMPUTED_VALUE"""),"Octave Lapize")</f>
        <v>Octave Lapize</v>
      </c>
      <c r="I18" s="3" t="str">
        <f>IFERROR(__xludf.DUMMYFUNCTION("""COMPUTED_VALUE"""),"François Faber")</f>
        <v>François Faber</v>
      </c>
      <c r="J18" s="3" t="str">
        <f>IFERROR(__xludf.DUMMYFUNCTION("""COMPUTED_VALUE"""),"Gustave Garrigou")</f>
        <v>Gustave Garrigou</v>
      </c>
      <c r="K18" s="3" t="str">
        <f>IFERROR(__xludf.DUMMYFUNCTION("""COMPUTED_VALUE"""),"Alcyon-Dunlop")</f>
        <v>Alcyon-Dunlop</v>
      </c>
      <c r="L18" s="3" t="str">
        <f>IFERROR(__xludf.DUMMYFUNCTION("""COMPUTED_VALUE"""),"Alcyon")</f>
        <v>Alcyon</v>
      </c>
      <c r="M18" s="3" t="str">
        <f>IFERROR(__xludf.DUMMYFUNCTION("""COMPUTED_VALUE"""),"dérailleur interdit")</f>
        <v>dérailleur interdit</v>
      </c>
      <c r="N18" s="3">
        <f>IFERROR(__xludf.DUMMYFUNCTION("""COMPUTED_VALUE"""),15.0)</f>
        <v>15</v>
      </c>
      <c r="O18" s="3">
        <f>IFERROR(__xludf.DUMMYFUNCTION("""COMPUTED_VALUE"""),4734.0)</f>
        <v>4734</v>
      </c>
      <c r="P18" s="3" t="str">
        <f>IFERROR(__xludf.DUMMYFUNCTION("""COMPUTED_VALUE"""),"29,099 km/h")</f>
        <v>29,099 km/h</v>
      </c>
      <c r="Q18" s="3"/>
      <c r="R18" s="3"/>
      <c r="S18" s="3"/>
      <c r="T18" s="3"/>
    </row>
    <row r="19">
      <c r="G19" s="3" t="str">
        <f>IFERROR(__xludf.DUMMYFUNCTION("""COMPUTED_VALUE"""),"1911 (9e)")</f>
        <v>1911 (9e)</v>
      </c>
      <c r="H19" s="3" t="str">
        <f>IFERROR(__xludf.DUMMYFUNCTION("""COMPUTED_VALUE"""),"Gustave Garrigou")</f>
        <v>Gustave Garrigou</v>
      </c>
      <c r="I19" s="3" t="str">
        <f>IFERROR(__xludf.DUMMYFUNCTION("""COMPUTED_VALUE"""),"Paul Duboc")</f>
        <v>Paul Duboc</v>
      </c>
      <c r="J19" s="3" t="str">
        <f>IFERROR(__xludf.DUMMYFUNCTION("""COMPUTED_VALUE"""),"Émile Georget")</f>
        <v>Émile Georget</v>
      </c>
      <c r="K19" s="3" t="str">
        <f>IFERROR(__xludf.DUMMYFUNCTION("""COMPUTED_VALUE"""),"Alcyon-Dunlop")</f>
        <v>Alcyon-Dunlop</v>
      </c>
      <c r="L19" s="3" t="str">
        <f>IFERROR(__xludf.DUMMYFUNCTION("""COMPUTED_VALUE"""),"Alcyon")</f>
        <v>Alcyon</v>
      </c>
      <c r="M19" s="3" t="str">
        <f>IFERROR(__xludf.DUMMYFUNCTION("""COMPUTED_VALUE"""),"dérailleur interdit")</f>
        <v>dérailleur interdit</v>
      </c>
      <c r="N19" s="3">
        <f>IFERROR(__xludf.DUMMYFUNCTION("""COMPUTED_VALUE"""),15.0)</f>
        <v>15</v>
      </c>
      <c r="O19" s="3">
        <f>IFERROR(__xludf.DUMMYFUNCTION("""COMPUTED_VALUE"""),5343.0)</f>
        <v>5343</v>
      </c>
      <c r="P19" s="3" t="str">
        <f>IFERROR(__xludf.DUMMYFUNCTION("""COMPUTED_VALUE"""),"27,322 km/h")</f>
        <v>27,322 km/h</v>
      </c>
      <c r="Q19" s="3"/>
      <c r="R19" s="3"/>
      <c r="S19" s="3"/>
      <c r="T19" s="3"/>
    </row>
    <row r="20">
      <c r="G20" s="3" t="str">
        <f>IFERROR(__xludf.DUMMYFUNCTION("""COMPUTED_VALUE"""),"1912 (10e)")</f>
        <v>1912 (10e)</v>
      </c>
      <c r="H20" s="3" t="str">
        <f>IFERROR(__xludf.DUMMYFUNCTION("""COMPUTED_VALUE"""),"Odile Defraye")</f>
        <v>Odile Defraye</v>
      </c>
      <c r="I20" s="3" t="str">
        <f>IFERROR(__xludf.DUMMYFUNCTION("""COMPUTED_VALUE"""),"Eugène Christophe")</f>
        <v>Eugène Christophe</v>
      </c>
      <c r="J20" s="3" t="str">
        <f>IFERROR(__xludf.DUMMYFUNCTION("""COMPUTED_VALUE"""),"Gustave Garrigou")</f>
        <v>Gustave Garrigou</v>
      </c>
      <c r="K20" s="3" t="str">
        <f>IFERROR(__xludf.DUMMYFUNCTION("""COMPUTED_VALUE"""),"Alcyon-Dunlop")</f>
        <v>Alcyon-Dunlop</v>
      </c>
      <c r="L20" s="3" t="str">
        <f>IFERROR(__xludf.DUMMYFUNCTION("""COMPUTED_VALUE"""),"Alcyon")</f>
        <v>Alcyon</v>
      </c>
      <c r="M20" s="3" t="str">
        <f>IFERROR(__xludf.DUMMYFUNCTION("""COMPUTED_VALUE"""),"dérailleur interdit")</f>
        <v>dérailleur interdit</v>
      </c>
      <c r="N20" s="3">
        <f>IFERROR(__xludf.DUMMYFUNCTION("""COMPUTED_VALUE"""),15.0)</f>
        <v>15</v>
      </c>
      <c r="O20" s="3">
        <f>IFERROR(__xludf.DUMMYFUNCTION("""COMPUTED_VALUE"""),5289.0)</f>
        <v>5289</v>
      </c>
      <c r="P20" s="3" t="str">
        <f>IFERROR(__xludf.DUMMYFUNCTION("""COMPUTED_VALUE"""),"27,763 km/h")</f>
        <v>27,763 km/h</v>
      </c>
      <c r="Q20" s="3"/>
      <c r="R20" s="3"/>
      <c r="S20" s="3"/>
      <c r="T20" s="3"/>
    </row>
    <row r="21">
      <c r="G21" s="3" t="str">
        <f>IFERROR(__xludf.DUMMYFUNCTION("""COMPUTED_VALUE"""),"1913 (11e)")</f>
        <v>1913 (11e)</v>
      </c>
      <c r="H21" s="3" t="str">
        <f>IFERROR(__xludf.DUMMYFUNCTION("""COMPUTED_VALUE"""),"Philippe Thys")</f>
        <v>Philippe Thys</v>
      </c>
      <c r="I21" s="3" t="str">
        <f>IFERROR(__xludf.DUMMYFUNCTION("""COMPUTED_VALUE"""),"Gustave Garrigou")</f>
        <v>Gustave Garrigou</v>
      </c>
      <c r="J21" s="3" t="str">
        <f>IFERROR(__xludf.DUMMYFUNCTION("""COMPUTED_VALUE"""),"Marcel Buysse")</f>
        <v>Marcel Buysse</v>
      </c>
      <c r="K21" s="3" t="str">
        <f>IFERROR(__xludf.DUMMYFUNCTION("""COMPUTED_VALUE"""),"Peugeot-Wolber")</f>
        <v>Peugeot-Wolber</v>
      </c>
      <c r="L21" s="3" t="str">
        <f>IFERROR(__xludf.DUMMYFUNCTION("""COMPUTED_VALUE"""),"Peugeot")</f>
        <v>Peugeot</v>
      </c>
      <c r="M21" s="3" t="str">
        <f>IFERROR(__xludf.DUMMYFUNCTION("""COMPUTED_VALUE"""),"dérailleur interdit")</f>
        <v>dérailleur interdit</v>
      </c>
      <c r="N21" s="3">
        <f>IFERROR(__xludf.DUMMYFUNCTION("""COMPUTED_VALUE"""),15.0)</f>
        <v>15</v>
      </c>
      <c r="O21" s="3">
        <f>IFERROR(__xludf.DUMMYFUNCTION("""COMPUTED_VALUE"""),5287.0)</f>
        <v>5287</v>
      </c>
      <c r="P21" s="3" t="str">
        <f>IFERROR(__xludf.DUMMYFUNCTION("""COMPUTED_VALUE"""),"26,715 km/h")</f>
        <v>26,715 km/h</v>
      </c>
      <c r="Q21" s="3"/>
      <c r="R21" s="3"/>
      <c r="S21" s="3"/>
      <c r="T21" s="3"/>
    </row>
    <row r="22">
      <c r="G22" s="3" t="str">
        <f>IFERROR(__xludf.DUMMYFUNCTION("""COMPUTED_VALUE"""),"1914 (12e)")</f>
        <v>1914 (12e)</v>
      </c>
      <c r="H22" s="3" t="str">
        <f>IFERROR(__xludf.DUMMYFUNCTION("""COMPUTED_VALUE"""),"Philippe Thys")</f>
        <v>Philippe Thys</v>
      </c>
      <c r="I22" s="3" t="str">
        <f>IFERROR(__xludf.DUMMYFUNCTION("""COMPUTED_VALUE"""),"Henri Pélissier")</f>
        <v>Henri Pélissier</v>
      </c>
      <c r="J22" s="3" t="str">
        <f>IFERROR(__xludf.DUMMYFUNCTION("""COMPUTED_VALUE"""),"Jean Alavoine")</f>
        <v>Jean Alavoine</v>
      </c>
      <c r="K22" s="3" t="str">
        <f>IFERROR(__xludf.DUMMYFUNCTION("""COMPUTED_VALUE"""),"Peugeot-Wolber")</f>
        <v>Peugeot-Wolber</v>
      </c>
      <c r="L22" s="3" t="str">
        <f>IFERROR(__xludf.DUMMYFUNCTION("""COMPUTED_VALUE"""),"Peugeot")</f>
        <v>Peugeot</v>
      </c>
      <c r="M22" s="3" t="str">
        <f>IFERROR(__xludf.DUMMYFUNCTION("""COMPUTED_VALUE"""),"dérailleur interdit")</f>
        <v>dérailleur interdit</v>
      </c>
      <c r="N22" s="3">
        <f>IFERROR(__xludf.DUMMYFUNCTION("""COMPUTED_VALUE"""),15.0)</f>
        <v>15</v>
      </c>
      <c r="O22" s="3">
        <f>IFERROR(__xludf.DUMMYFUNCTION("""COMPUTED_VALUE"""),5380.0)</f>
        <v>5380</v>
      </c>
      <c r="P22" s="3" t="str">
        <f>IFERROR(__xludf.DUMMYFUNCTION("""COMPUTED_VALUE"""),"26,835 km/h")</f>
        <v>26,835 km/h</v>
      </c>
      <c r="Q22" s="3"/>
      <c r="R22" s="3"/>
      <c r="S22" s="3"/>
      <c r="T22" s="3"/>
    </row>
    <row r="23">
      <c r="G23" s="3" t="str">
        <f>IFERROR(__xludf.DUMMYFUNCTION("""COMPUTED_VALUE"""),"1919 (13e)")</f>
        <v>1919 (13e)</v>
      </c>
      <c r="H23" s="3" t="str">
        <f>IFERROR(__xludf.DUMMYFUNCTION("""COMPUTED_VALUE"""),"Firmin Lambot")</f>
        <v>Firmin Lambot</v>
      </c>
      <c r="I23" s="3" t="str">
        <f>IFERROR(__xludf.DUMMYFUNCTION("""COMPUTED_VALUE"""),"Jean Alavoine")</f>
        <v>Jean Alavoine</v>
      </c>
      <c r="J23" s="3" t="str">
        <f>IFERROR(__xludf.DUMMYFUNCTION("""COMPUTED_VALUE"""),"Eugène Christophe")</f>
        <v>Eugène Christophe</v>
      </c>
      <c r="K23" s="3" t="str">
        <f>IFERROR(__xludf.DUMMYFUNCTION("""COMPUTED_VALUE"""),"La Sportive")</f>
        <v>La Sportive</v>
      </c>
      <c r="L23" s="3"/>
      <c r="M23" s="3" t="str">
        <f>IFERROR(__xludf.DUMMYFUNCTION("""COMPUTED_VALUE"""),"dérailleur interdit")</f>
        <v>dérailleur interdit</v>
      </c>
      <c r="N23" s="3">
        <f>IFERROR(__xludf.DUMMYFUNCTION("""COMPUTED_VALUE"""),15.0)</f>
        <v>15</v>
      </c>
      <c r="O23" s="3">
        <f>IFERROR(__xludf.DUMMYFUNCTION("""COMPUTED_VALUE"""),5560.0)</f>
        <v>5560</v>
      </c>
      <c r="P23" s="3" t="str">
        <f>IFERROR(__xludf.DUMMYFUNCTION("""COMPUTED_VALUE"""),"24,056 km/h")</f>
        <v>24,056 km/h</v>
      </c>
      <c r="Q23" s="3"/>
      <c r="R23" s="3"/>
      <c r="S23" s="3"/>
      <c r="T23" s="3"/>
    </row>
    <row r="24">
      <c r="G24" s="3" t="str">
        <f>IFERROR(__xludf.DUMMYFUNCTION("""COMPUTED_VALUE"""),"1920 (14e)")</f>
        <v>1920 (14e)</v>
      </c>
      <c r="H24" s="3" t="str">
        <f>IFERROR(__xludf.DUMMYFUNCTION("""COMPUTED_VALUE"""),"Philippe Thys")</f>
        <v>Philippe Thys</v>
      </c>
      <c r="I24" s="3" t="str">
        <f>IFERROR(__xludf.DUMMYFUNCTION("""COMPUTED_VALUE"""),"Hector Heusghem")</f>
        <v>Hector Heusghem</v>
      </c>
      <c r="J24" s="3" t="str">
        <f>IFERROR(__xludf.DUMMYFUNCTION("""COMPUTED_VALUE"""),"Firmin Lambot")</f>
        <v>Firmin Lambot</v>
      </c>
      <c r="K24" s="3" t="str">
        <f>IFERROR(__xludf.DUMMYFUNCTION("""COMPUTED_VALUE"""),"La Sportive")</f>
        <v>La Sportive</v>
      </c>
      <c r="L24" s="3"/>
      <c r="M24" s="3" t="str">
        <f>IFERROR(__xludf.DUMMYFUNCTION("""COMPUTED_VALUE"""),"dérailleur interdit")</f>
        <v>dérailleur interdit</v>
      </c>
      <c r="N24" s="3">
        <f>IFERROR(__xludf.DUMMYFUNCTION("""COMPUTED_VALUE"""),15.0)</f>
        <v>15</v>
      </c>
      <c r="O24" s="3">
        <f>IFERROR(__xludf.DUMMYFUNCTION("""COMPUTED_VALUE"""),5503.0)</f>
        <v>5503</v>
      </c>
      <c r="P24" s="3" t="str">
        <f>IFERROR(__xludf.DUMMYFUNCTION("""COMPUTED_VALUE"""),"24,072 km/h")</f>
        <v>24,072 km/h</v>
      </c>
      <c r="Q24" s="3"/>
      <c r="R24" s="3"/>
      <c r="S24" s="3"/>
      <c r="T24" s="3"/>
    </row>
    <row r="25">
      <c r="G25" s="3" t="str">
        <f>IFERROR(__xludf.DUMMYFUNCTION("""COMPUTED_VALUE"""),"1921 (15e)")</f>
        <v>1921 (15e)</v>
      </c>
      <c r="H25" s="3" t="str">
        <f>IFERROR(__xludf.DUMMYFUNCTION("""COMPUTED_VALUE"""),"Léon Scieur")</f>
        <v>Léon Scieur</v>
      </c>
      <c r="I25" s="3" t="str">
        <f>IFERROR(__xludf.DUMMYFUNCTION("""COMPUTED_VALUE"""),"Hector Heusghem")</f>
        <v>Hector Heusghem</v>
      </c>
      <c r="J25" s="3" t="str">
        <f>IFERROR(__xludf.DUMMYFUNCTION("""COMPUTED_VALUE"""),"Honoré Barthélémy")</f>
        <v>Honoré Barthélémy</v>
      </c>
      <c r="K25" s="3" t="str">
        <f>IFERROR(__xludf.DUMMYFUNCTION("""COMPUTED_VALUE"""),"La Sportive")</f>
        <v>La Sportive</v>
      </c>
      <c r="L25" s="3"/>
      <c r="M25" s="3" t="str">
        <f>IFERROR(__xludf.DUMMYFUNCTION("""COMPUTED_VALUE"""),"dérailleur interdit")</f>
        <v>dérailleur interdit</v>
      </c>
      <c r="N25" s="3">
        <f>IFERROR(__xludf.DUMMYFUNCTION("""COMPUTED_VALUE"""),15.0)</f>
        <v>15</v>
      </c>
      <c r="O25" s="3">
        <f>IFERROR(__xludf.DUMMYFUNCTION("""COMPUTED_VALUE"""),5485.0)</f>
        <v>5485</v>
      </c>
      <c r="P25" s="3" t="str">
        <f>IFERROR(__xludf.DUMMYFUNCTION("""COMPUTED_VALUE"""),"24,724 km/h")</f>
        <v>24,724 km/h</v>
      </c>
      <c r="Q25" s="3"/>
      <c r="R25" s="3"/>
      <c r="S25" s="3"/>
      <c r="T25" s="3"/>
    </row>
    <row r="26">
      <c r="G26" s="3" t="str">
        <f>IFERROR(__xludf.DUMMYFUNCTION("""COMPUTED_VALUE"""),"1922 (16e)")</f>
        <v>1922 (16e)</v>
      </c>
      <c r="H26" s="3" t="str">
        <f>IFERROR(__xludf.DUMMYFUNCTION("""COMPUTED_VALUE"""),"Firmin Lambot")</f>
        <v>Firmin Lambot</v>
      </c>
      <c r="I26" s="3" t="str">
        <f>IFERROR(__xludf.DUMMYFUNCTION("""COMPUTED_VALUE"""),"Jean Alavoine")</f>
        <v>Jean Alavoine</v>
      </c>
      <c r="J26" s="3" t="str">
        <f>IFERROR(__xludf.DUMMYFUNCTION("""COMPUTED_VALUE"""),"Félix Sellier")</f>
        <v>Félix Sellier</v>
      </c>
      <c r="K26" s="3" t="str">
        <f>IFERROR(__xludf.DUMMYFUNCTION("""COMPUTED_VALUE"""),"Peugeot-Wolber")</f>
        <v>Peugeot-Wolber</v>
      </c>
      <c r="L26" s="3" t="str">
        <f>IFERROR(__xludf.DUMMYFUNCTION("""COMPUTED_VALUE"""),"Peugeot")</f>
        <v>Peugeot</v>
      </c>
      <c r="M26" s="3" t="str">
        <f>IFERROR(__xludf.DUMMYFUNCTION("""COMPUTED_VALUE"""),"dérailleur interdit")</f>
        <v>dérailleur interdit</v>
      </c>
      <c r="N26" s="3">
        <f>IFERROR(__xludf.DUMMYFUNCTION("""COMPUTED_VALUE"""),15.0)</f>
        <v>15</v>
      </c>
      <c r="O26" s="3">
        <f>IFERROR(__xludf.DUMMYFUNCTION("""COMPUTED_VALUE"""),5375.0)</f>
        <v>5375</v>
      </c>
      <c r="P26" s="3" t="str">
        <f>IFERROR(__xludf.DUMMYFUNCTION("""COMPUTED_VALUE"""),"24,196 km/h")</f>
        <v>24,196 km/h</v>
      </c>
      <c r="Q26" s="3"/>
      <c r="R26" s="3"/>
      <c r="S26" s="3"/>
      <c r="T26" s="3"/>
    </row>
    <row r="27">
      <c r="G27" s="3" t="str">
        <f>IFERROR(__xludf.DUMMYFUNCTION("""COMPUTED_VALUE"""),"1923 (17e)")</f>
        <v>1923 (17e)</v>
      </c>
      <c r="H27" s="3" t="str">
        <f>IFERROR(__xludf.DUMMYFUNCTION("""COMPUTED_VALUE"""),"Henri Pélissier")</f>
        <v>Henri Pélissier</v>
      </c>
      <c r="I27" s="3" t="str">
        <f>IFERROR(__xludf.DUMMYFUNCTION("""COMPUTED_VALUE"""),"Ottavio Bottecchia")</f>
        <v>Ottavio Bottecchia</v>
      </c>
      <c r="J27" s="3" t="str">
        <f>IFERROR(__xludf.DUMMYFUNCTION("""COMPUTED_VALUE"""),"Romain Bellenger")</f>
        <v>Romain Bellenger</v>
      </c>
      <c r="K27" s="3" t="str">
        <f>IFERROR(__xludf.DUMMYFUNCTION("""COMPUTED_VALUE"""),"Automoto-Hutchinson")</f>
        <v>Automoto-Hutchinson</v>
      </c>
      <c r="L27" s="3" t="str">
        <f>IFERROR(__xludf.DUMMYFUNCTION("""COMPUTED_VALUE"""),"Automoto")</f>
        <v>Automoto</v>
      </c>
      <c r="M27" s="3" t="str">
        <f>IFERROR(__xludf.DUMMYFUNCTION("""COMPUTED_VALUE"""),"dérailleur interdit")</f>
        <v>dérailleur interdit</v>
      </c>
      <c r="N27" s="3">
        <f>IFERROR(__xludf.DUMMYFUNCTION("""COMPUTED_VALUE"""),15.0)</f>
        <v>15</v>
      </c>
      <c r="O27" s="3">
        <f>IFERROR(__xludf.DUMMYFUNCTION("""COMPUTED_VALUE"""),5386.0)</f>
        <v>5386</v>
      </c>
      <c r="P27" s="3" t="str">
        <f>IFERROR(__xludf.DUMMYFUNCTION("""COMPUTED_VALUE"""),"24,233 km/h")</f>
        <v>24,233 km/h</v>
      </c>
      <c r="Q27" s="3"/>
      <c r="R27" s="3"/>
      <c r="S27" s="3"/>
      <c r="T27" s="3"/>
    </row>
    <row r="28">
      <c r="G28" s="3" t="str">
        <f>IFERROR(__xludf.DUMMYFUNCTION("""COMPUTED_VALUE"""),"1924 (18e)")</f>
        <v>1924 (18e)</v>
      </c>
      <c r="H28" s="3" t="str">
        <f>IFERROR(__xludf.DUMMYFUNCTION("""COMPUTED_VALUE"""),"Ottavio Bottecchia")</f>
        <v>Ottavio Bottecchia</v>
      </c>
      <c r="I28" s="3" t="str">
        <f>IFERROR(__xludf.DUMMYFUNCTION("""COMPUTED_VALUE"""),"Nicolas Frantz")</f>
        <v>Nicolas Frantz</v>
      </c>
      <c r="J28" s="3" t="str">
        <f>IFERROR(__xludf.DUMMYFUNCTION("""COMPUTED_VALUE"""),"Lucien Buysse")</f>
        <v>Lucien Buysse</v>
      </c>
      <c r="K28" s="3" t="str">
        <f>IFERROR(__xludf.DUMMYFUNCTION("""COMPUTED_VALUE"""),"Automoto-Hutchinson")</f>
        <v>Automoto-Hutchinson</v>
      </c>
      <c r="L28" s="3" t="str">
        <f>IFERROR(__xludf.DUMMYFUNCTION("""COMPUTED_VALUE"""),"Automoto")</f>
        <v>Automoto</v>
      </c>
      <c r="M28" s="3" t="str">
        <f>IFERROR(__xludf.DUMMYFUNCTION("""COMPUTED_VALUE"""),"dérailleur interdit")</f>
        <v>dérailleur interdit</v>
      </c>
      <c r="N28" s="3">
        <f>IFERROR(__xludf.DUMMYFUNCTION("""COMPUTED_VALUE"""),15.0)</f>
        <v>15</v>
      </c>
      <c r="O28" s="3">
        <f>IFERROR(__xludf.DUMMYFUNCTION("""COMPUTED_VALUE"""),5425.0)</f>
        <v>5425</v>
      </c>
      <c r="P28" s="3" t="str">
        <f>IFERROR(__xludf.DUMMYFUNCTION("""COMPUTED_VALUE"""),"24,250 km/h")</f>
        <v>24,250 km/h</v>
      </c>
      <c r="Q28" s="3"/>
      <c r="R28" s="3"/>
      <c r="S28" s="3"/>
      <c r="T28" s="3"/>
    </row>
    <row r="29">
      <c r="G29" s="3" t="str">
        <f>IFERROR(__xludf.DUMMYFUNCTION("""COMPUTED_VALUE"""),"1925 (19e)")</f>
        <v>1925 (19e)</v>
      </c>
      <c r="H29" s="3" t="str">
        <f>IFERROR(__xludf.DUMMYFUNCTION("""COMPUTED_VALUE"""),"Ottavio Bottecchia")</f>
        <v>Ottavio Bottecchia</v>
      </c>
      <c r="I29" s="3" t="str">
        <f>IFERROR(__xludf.DUMMYFUNCTION("""COMPUTED_VALUE"""),"Lucien Buysse")</f>
        <v>Lucien Buysse</v>
      </c>
      <c r="J29" s="3" t="str">
        <f>IFERROR(__xludf.DUMMYFUNCTION("""COMPUTED_VALUE"""),"Bartolomeo Aimo")</f>
        <v>Bartolomeo Aimo</v>
      </c>
      <c r="K29" s="3" t="str">
        <f>IFERROR(__xludf.DUMMYFUNCTION("""COMPUTED_VALUE"""),"Automoto-Hutchinson")</f>
        <v>Automoto-Hutchinson</v>
      </c>
      <c r="L29" s="3" t="str">
        <f>IFERROR(__xludf.DUMMYFUNCTION("""COMPUTED_VALUE"""),"Automoto")</f>
        <v>Automoto</v>
      </c>
      <c r="M29" s="3" t="str">
        <f>IFERROR(__xludf.DUMMYFUNCTION("""COMPUTED_VALUE"""),"dérailleur interdit")</f>
        <v>dérailleur interdit</v>
      </c>
      <c r="N29" s="3">
        <f>IFERROR(__xludf.DUMMYFUNCTION("""COMPUTED_VALUE"""),15.0)</f>
        <v>15</v>
      </c>
      <c r="O29" s="3">
        <f>IFERROR(__xludf.DUMMYFUNCTION("""COMPUTED_VALUE"""),5440.0)</f>
        <v>5440</v>
      </c>
      <c r="P29" s="3" t="str">
        <f>IFERROR(__xludf.DUMMYFUNCTION("""COMPUTED_VALUE"""),"24,820 km/h")</f>
        <v>24,820 km/h</v>
      </c>
      <c r="Q29" s="3"/>
      <c r="R29" s="3"/>
      <c r="S29" s="3"/>
      <c r="T29" s="3"/>
    </row>
    <row r="30">
      <c r="G30" s="3" t="str">
        <f>IFERROR(__xludf.DUMMYFUNCTION("""COMPUTED_VALUE"""),"1926 (20e)")</f>
        <v>1926 (20e)</v>
      </c>
      <c r="H30" s="3" t="str">
        <f>IFERROR(__xludf.DUMMYFUNCTION("""COMPUTED_VALUE"""),"Lucien Buysse")</f>
        <v>Lucien Buysse</v>
      </c>
      <c r="I30" s="3" t="str">
        <f>IFERROR(__xludf.DUMMYFUNCTION("""COMPUTED_VALUE"""),"Nicolas Frantz")</f>
        <v>Nicolas Frantz</v>
      </c>
      <c r="J30" s="3" t="str">
        <f>IFERROR(__xludf.DUMMYFUNCTION("""COMPUTED_VALUE"""),"Bartolomeo Aimo")</f>
        <v>Bartolomeo Aimo</v>
      </c>
      <c r="K30" s="3" t="str">
        <f>IFERROR(__xludf.DUMMYFUNCTION("""COMPUTED_VALUE"""),"Automoto-Hutchinson")</f>
        <v>Automoto-Hutchinson</v>
      </c>
      <c r="L30" s="3" t="str">
        <f>IFERROR(__xludf.DUMMYFUNCTION("""COMPUTED_VALUE"""),"Automoto")</f>
        <v>Automoto</v>
      </c>
      <c r="M30" s="3" t="str">
        <f>IFERROR(__xludf.DUMMYFUNCTION("""COMPUTED_VALUE"""),"dérailleur interdit")</f>
        <v>dérailleur interdit</v>
      </c>
      <c r="N30" s="3">
        <f>IFERROR(__xludf.DUMMYFUNCTION("""COMPUTED_VALUE"""),17.0)</f>
        <v>17</v>
      </c>
      <c r="O30" s="3">
        <f>IFERROR(__xludf.DUMMYFUNCTION("""COMPUTED_VALUE"""),5745.0)</f>
        <v>5745</v>
      </c>
      <c r="P30" s="3" t="str">
        <f>IFERROR(__xludf.DUMMYFUNCTION("""COMPUTED_VALUE"""),"24,273 km/h")</f>
        <v>24,273 km/h</v>
      </c>
      <c r="Q30" s="3"/>
      <c r="R30" s="3"/>
      <c r="S30" s="3"/>
      <c r="T30" s="3"/>
    </row>
    <row r="31">
      <c r="G31" s="3" t="str">
        <f>IFERROR(__xludf.DUMMYFUNCTION("""COMPUTED_VALUE"""),"1927 (21e)")</f>
        <v>1927 (21e)</v>
      </c>
      <c r="H31" s="3" t="str">
        <f>IFERROR(__xludf.DUMMYFUNCTION("""COMPUTED_VALUE"""),"Nicolas Frantz")</f>
        <v>Nicolas Frantz</v>
      </c>
      <c r="I31" s="3" t="str">
        <f>IFERROR(__xludf.DUMMYFUNCTION("""COMPUTED_VALUE"""),"Maurice De Waele")</f>
        <v>Maurice De Waele</v>
      </c>
      <c r="J31" s="3" t="str">
        <f>IFERROR(__xludf.DUMMYFUNCTION("""COMPUTED_VALUE"""),"Julien Vervaecke")</f>
        <v>Julien Vervaecke</v>
      </c>
      <c r="K31" s="3" t="str">
        <f>IFERROR(__xludf.DUMMYFUNCTION("""COMPUTED_VALUE"""),"Alcyon-Dunlop")</f>
        <v>Alcyon-Dunlop</v>
      </c>
      <c r="L31" s="3" t="str">
        <f>IFERROR(__xludf.DUMMYFUNCTION("""COMPUTED_VALUE"""),"Alcyon")</f>
        <v>Alcyon</v>
      </c>
      <c r="M31" s="3" t="str">
        <f>IFERROR(__xludf.DUMMYFUNCTION("""COMPUTED_VALUE"""),"dérailleur interdit")</f>
        <v>dérailleur interdit</v>
      </c>
      <c r="N31" s="3">
        <f>IFERROR(__xludf.DUMMYFUNCTION("""COMPUTED_VALUE"""),24.0)</f>
        <v>24</v>
      </c>
      <c r="O31" s="3">
        <f>IFERROR(__xludf.DUMMYFUNCTION("""COMPUTED_VALUE"""),5398.0)</f>
        <v>5398</v>
      </c>
      <c r="P31" s="3" t="str">
        <f>IFERROR(__xludf.DUMMYFUNCTION("""COMPUTED_VALUE"""),"27,224 km/h")</f>
        <v>27,224 km/h</v>
      </c>
      <c r="Q31" s="3"/>
      <c r="R31" s="3"/>
      <c r="S31" s="3"/>
      <c r="T31" s="3"/>
    </row>
    <row r="32">
      <c r="G32" s="3" t="str">
        <f>IFERROR(__xludf.DUMMYFUNCTION("""COMPUTED_VALUE"""),"1928 (22e)")</f>
        <v>1928 (22e)</v>
      </c>
      <c r="H32" s="3" t="str">
        <f>IFERROR(__xludf.DUMMYFUNCTION("""COMPUTED_VALUE"""),"Nicolas Frantz")</f>
        <v>Nicolas Frantz</v>
      </c>
      <c r="I32" s="3" t="str">
        <f>IFERROR(__xludf.DUMMYFUNCTION("""COMPUTED_VALUE"""),"André Leducq")</f>
        <v>André Leducq</v>
      </c>
      <c r="J32" s="3" t="str">
        <f>IFERROR(__xludf.DUMMYFUNCTION("""COMPUTED_VALUE"""),"Maurice De Waele")</f>
        <v>Maurice De Waele</v>
      </c>
      <c r="K32" s="3" t="str">
        <f>IFERROR(__xludf.DUMMYFUNCTION("""COMPUTED_VALUE"""),"Alcyon-Dunlop")</f>
        <v>Alcyon-Dunlop</v>
      </c>
      <c r="L32" s="3" t="str">
        <f>IFERROR(__xludf.DUMMYFUNCTION("""COMPUTED_VALUE"""),"Alcyon")</f>
        <v>Alcyon</v>
      </c>
      <c r="M32" s="3" t="str">
        <f>IFERROR(__xludf.DUMMYFUNCTION("""COMPUTED_VALUE"""),"dérailleur interdit")</f>
        <v>dérailleur interdit</v>
      </c>
      <c r="N32" s="3">
        <f>IFERROR(__xludf.DUMMYFUNCTION("""COMPUTED_VALUE"""),22.0)</f>
        <v>22</v>
      </c>
      <c r="O32" s="3">
        <f>IFERROR(__xludf.DUMMYFUNCTION("""COMPUTED_VALUE"""),5376.0)</f>
        <v>5376</v>
      </c>
      <c r="P32" s="3" t="str">
        <f>IFERROR(__xludf.DUMMYFUNCTION("""COMPUTED_VALUE"""),"28,400 km/h")</f>
        <v>28,400 km/h</v>
      </c>
      <c r="Q32" s="3"/>
      <c r="R32" s="3"/>
      <c r="S32" s="3"/>
      <c r="T32" s="3"/>
    </row>
    <row r="33">
      <c r="G33" s="3" t="str">
        <f>IFERROR(__xludf.DUMMYFUNCTION("""COMPUTED_VALUE"""),"1929 (23e)")</f>
        <v>1929 (23e)</v>
      </c>
      <c r="H33" s="3" t="str">
        <f>IFERROR(__xludf.DUMMYFUNCTION("""COMPUTED_VALUE"""),"Maurice De Waele")</f>
        <v>Maurice De Waele</v>
      </c>
      <c r="I33" s="3" t="str">
        <f>IFERROR(__xludf.DUMMYFUNCTION("""COMPUTED_VALUE"""),"Giuseppe Pancera")</f>
        <v>Giuseppe Pancera</v>
      </c>
      <c r="J33" s="3" t="str">
        <f>IFERROR(__xludf.DUMMYFUNCTION("""COMPUTED_VALUE"""),"Jef Demuysere")</f>
        <v>Jef Demuysere</v>
      </c>
      <c r="K33" s="3" t="str">
        <f>IFERROR(__xludf.DUMMYFUNCTION("""COMPUTED_VALUE"""),"Alcyon-Dunlop")</f>
        <v>Alcyon-Dunlop</v>
      </c>
      <c r="L33" s="3" t="str">
        <f>IFERROR(__xludf.DUMMYFUNCTION("""COMPUTED_VALUE"""),"Alcyon")</f>
        <v>Alcyon</v>
      </c>
      <c r="M33" s="3" t="str">
        <f>IFERROR(__xludf.DUMMYFUNCTION("""COMPUTED_VALUE"""),"dérailleur interdit")</f>
        <v>dérailleur interdit</v>
      </c>
      <c r="N33" s="3">
        <f>IFERROR(__xludf.DUMMYFUNCTION("""COMPUTED_VALUE"""),22.0)</f>
        <v>22</v>
      </c>
      <c r="O33" s="3">
        <f>IFERROR(__xludf.DUMMYFUNCTION("""COMPUTED_VALUE"""),5286.0)</f>
        <v>5286</v>
      </c>
      <c r="P33" s="3" t="str">
        <f>IFERROR(__xludf.DUMMYFUNCTION("""COMPUTED_VALUE"""),"28,319 km/h")</f>
        <v>28,319 km/h</v>
      </c>
      <c r="Q33" s="3"/>
      <c r="R33" s="3"/>
      <c r="S33" s="3"/>
      <c r="T33" s="3"/>
    </row>
    <row r="34">
      <c r="G34" s="3" t="str">
        <f>IFERROR(__xludf.DUMMYFUNCTION("""COMPUTED_VALUE"""),"1930 (24e)")</f>
        <v>1930 (24e)</v>
      </c>
      <c r="H34" s="3" t="str">
        <f>IFERROR(__xludf.DUMMYFUNCTION("""COMPUTED_VALUE"""),"André Leducq")</f>
        <v>André Leducq</v>
      </c>
      <c r="I34" s="3" t="str">
        <f>IFERROR(__xludf.DUMMYFUNCTION("""COMPUTED_VALUE"""),"Learco Guerra")</f>
        <v>Learco Guerra</v>
      </c>
      <c r="J34" s="3" t="str">
        <f>IFERROR(__xludf.DUMMYFUNCTION("""COMPUTED_VALUE"""),"Antonin Magne")</f>
        <v>Antonin Magne</v>
      </c>
      <c r="K34" s="3" t="str">
        <f>IFERROR(__xludf.DUMMYFUNCTION("""COMPUTED_VALUE"""),"France")</f>
        <v>France</v>
      </c>
      <c r="L34" s="3"/>
      <c r="M34" s="3" t="str">
        <f>IFERROR(__xludf.DUMMYFUNCTION("""COMPUTED_VALUE"""),"dérailleur interdit")</f>
        <v>dérailleur interdit</v>
      </c>
      <c r="N34" s="3">
        <f>IFERROR(__xludf.DUMMYFUNCTION("""COMPUTED_VALUE"""),21.0)</f>
        <v>21</v>
      </c>
      <c r="O34" s="3">
        <f>IFERROR(__xludf.DUMMYFUNCTION("""COMPUTED_VALUE"""),4822.0)</f>
        <v>4822</v>
      </c>
      <c r="P34" s="3" t="str">
        <f>IFERROR(__xludf.DUMMYFUNCTION("""COMPUTED_VALUE"""),"28,000 km/h")</f>
        <v>28,000 km/h</v>
      </c>
      <c r="Q34" s="3"/>
      <c r="R34" s="3"/>
      <c r="S34" s="3"/>
      <c r="T34" s="3"/>
    </row>
    <row r="35">
      <c r="G35" s="3" t="str">
        <f>IFERROR(__xludf.DUMMYFUNCTION("""COMPUTED_VALUE"""),"1931 (25e)")</f>
        <v>1931 (25e)</v>
      </c>
      <c r="H35" s="3" t="str">
        <f>IFERROR(__xludf.DUMMYFUNCTION("""COMPUTED_VALUE"""),"Antonin Magne")</f>
        <v>Antonin Magne</v>
      </c>
      <c r="I35" s="3" t="str">
        <f>IFERROR(__xludf.DUMMYFUNCTION("""COMPUTED_VALUE"""),"Jef Demuysere")</f>
        <v>Jef Demuysere</v>
      </c>
      <c r="J35" s="3" t="str">
        <f>IFERROR(__xludf.DUMMYFUNCTION("""COMPUTED_VALUE"""),"Antonio Pesenti")</f>
        <v>Antonio Pesenti</v>
      </c>
      <c r="K35" s="3" t="str">
        <f>IFERROR(__xludf.DUMMYFUNCTION("""COMPUTED_VALUE"""),"France")</f>
        <v>France</v>
      </c>
      <c r="L35" s="3"/>
      <c r="M35" s="3" t="str">
        <f>IFERROR(__xludf.DUMMYFUNCTION("""COMPUTED_VALUE"""),"dérailleur interdit")</f>
        <v>dérailleur interdit</v>
      </c>
      <c r="N35" s="3">
        <f>IFERROR(__xludf.DUMMYFUNCTION("""COMPUTED_VALUE"""),24.0)</f>
        <v>24</v>
      </c>
      <c r="O35" s="3">
        <f>IFERROR(__xludf.DUMMYFUNCTION("""COMPUTED_VALUE"""),5091.0)</f>
        <v>5091</v>
      </c>
      <c r="P35" s="3" t="str">
        <f>IFERROR(__xludf.DUMMYFUNCTION("""COMPUTED_VALUE"""),"28,735 km/h")</f>
        <v>28,735 km/h</v>
      </c>
      <c r="Q35" s="3"/>
      <c r="R35" s="3"/>
      <c r="S35" s="3"/>
      <c r="T35" s="3"/>
    </row>
    <row r="36">
      <c r="G36" s="3" t="str">
        <f>IFERROR(__xludf.DUMMYFUNCTION("""COMPUTED_VALUE"""),"1932 (26e)")</f>
        <v>1932 (26e)</v>
      </c>
      <c r="H36" s="3" t="str">
        <f>IFERROR(__xludf.DUMMYFUNCTION("""COMPUTED_VALUE"""),"André Leducq")</f>
        <v>André Leducq</v>
      </c>
      <c r="I36" s="3" t="str">
        <f>IFERROR(__xludf.DUMMYFUNCTION("""COMPUTED_VALUE"""),"Kurt Stöpel")</f>
        <v>Kurt Stöpel</v>
      </c>
      <c r="J36" s="3" t="str">
        <f>IFERROR(__xludf.DUMMYFUNCTION("""COMPUTED_VALUE"""),"Francesco Camusso")</f>
        <v>Francesco Camusso</v>
      </c>
      <c r="K36" s="3" t="str">
        <f>IFERROR(__xludf.DUMMYFUNCTION("""COMPUTED_VALUE"""),"France")</f>
        <v>France</v>
      </c>
      <c r="L36" s="3"/>
      <c r="M36" s="3" t="str">
        <f>IFERROR(__xludf.DUMMYFUNCTION("""COMPUTED_VALUE"""),"dérailleur interdit")</f>
        <v>dérailleur interdit</v>
      </c>
      <c r="N36" s="3">
        <f>IFERROR(__xludf.DUMMYFUNCTION("""COMPUTED_VALUE"""),21.0)</f>
        <v>21</v>
      </c>
      <c r="O36" s="3">
        <f>IFERROR(__xludf.DUMMYFUNCTION("""COMPUTED_VALUE"""),4479.0)</f>
        <v>4479</v>
      </c>
      <c r="P36" s="3" t="str">
        <f>IFERROR(__xludf.DUMMYFUNCTION("""COMPUTED_VALUE"""),"29,047 km/h")</f>
        <v>29,047 km/h</v>
      </c>
      <c r="Q36" s="3"/>
      <c r="R36" s="3"/>
      <c r="S36" s="3"/>
      <c r="T36" s="3"/>
    </row>
    <row r="37">
      <c r="G37" s="3" t="str">
        <f>IFERROR(__xludf.DUMMYFUNCTION("""COMPUTED_VALUE"""),"1933 (27e)")</f>
        <v>1933 (27e)</v>
      </c>
      <c r="H37" s="3" t="str">
        <f>IFERROR(__xludf.DUMMYFUNCTION("""COMPUTED_VALUE"""),"Georges Speicher")</f>
        <v>Georges Speicher</v>
      </c>
      <c r="I37" s="3" t="str">
        <f>IFERROR(__xludf.DUMMYFUNCTION("""COMPUTED_VALUE"""),"Learco Guerra")</f>
        <v>Learco Guerra</v>
      </c>
      <c r="J37" s="3" t="str">
        <f>IFERROR(__xludf.DUMMYFUNCTION("""COMPUTED_VALUE"""),"Giuseppe Martano")</f>
        <v>Giuseppe Martano</v>
      </c>
      <c r="K37" s="3" t="str">
        <f>IFERROR(__xludf.DUMMYFUNCTION("""COMPUTED_VALUE"""),"France")</f>
        <v>France</v>
      </c>
      <c r="L37" s="3"/>
      <c r="M37" s="3" t="str">
        <f>IFERROR(__xludf.DUMMYFUNCTION("""COMPUTED_VALUE"""),"dérailleur interdit")</f>
        <v>dérailleur interdit</v>
      </c>
      <c r="N37" s="3">
        <f>IFERROR(__xludf.DUMMYFUNCTION("""COMPUTED_VALUE"""),23.0)</f>
        <v>23</v>
      </c>
      <c r="O37" s="3">
        <f>IFERROR(__xludf.DUMMYFUNCTION("""COMPUTED_VALUE"""),4395.0)</f>
        <v>4395</v>
      </c>
      <c r="P37" s="3" t="str">
        <f>IFERROR(__xludf.DUMMYFUNCTION("""COMPUTED_VALUE"""),"29,818 km/h")</f>
        <v>29,818 km/h</v>
      </c>
      <c r="Q37" s="3" t="str">
        <f>IFERROR(__xludf.DUMMYFUNCTION("""COMPUTED_VALUE"""),"Vicente Trueba")</f>
        <v>Vicente Trueba</v>
      </c>
      <c r="R37" s="3"/>
      <c r="S37" s="3"/>
      <c r="T37" s="3"/>
    </row>
    <row r="38">
      <c r="G38" s="3" t="str">
        <f>IFERROR(__xludf.DUMMYFUNCTION("""COMPUTED_VALUE"""),"1934 (28e)")</f>
        <v>1934 (28e)</v>
      </c>
      <c r="H38" s="3" t="str">
        <f>IFERROR(__xludf.DUMMYFUNCTION("""COMPUTED_VALUE"""),"Antonin Magne")</f>
        <v>Antonin Magne</v>
      </c>
      <c r="I38" s="3" t="str">
        <f>IFERROR(__xludf.DUMMYFUNCTION("""COMPUTED_VALUE"""),"Giuseppe Martano")</f>
        <v>Giuseppe Martano</v>
      </c>
      <c r="J38" s="3" t="str">
        <f>IFERROR(__xludf.DUMMYFUNCTION("""COMPUTED_VALUE"""),"Roger Lapébie")</f>
        <v>Roger Lapébie</v>
      </c>
      <c r="K38" s="3" t="str">
        <f>IFERROR(__xludf.DUMMYFUNCTION("""COMPUTED_VALUE"""),"France")</f>
        <v>France</v>
      </c>
      <c r="L38" s="3"/>
      <c r="M38" s="3" t="str">
        <f>IFERROR(__xludf.DUMMYFUNCTION("""COMPUTED_VALUE"""),"dérailleur interdit")</f>
        <v>dérailleur interdit</v>
      </c>
      <c r="N38" s="3">
        <f>IFERROR(__xludf.DUMMYFUNCTION("""COMPUTED_VALUE"""),23.0)</f>
        <v>23</v>
      </c>
      <c r="O38" s="3">
        <f>IFERROR(__xludf.DUMMYFUNCTION("""COMPUTED_VALUE"""),4470.0)</f>
        <v>4470</v>
      </c>
      <c r="P38" s="3" t="str">
        <f>IFERROR(__xludf.DUMMYFUNCTION("""COMPUTED_VALUE"""),"30,360 km/h")</f>
        <v>30,360 km/h</v>
      </c>
      <c r="Q38" s="3" t="str">
        <f>IFERROR(__xludf.DUMMYFUNCTION("""COMPUTED_VALUE"""),"René Vietto")</f>
        <v>René Vietto</v>
      </c>
      <c r="R38" s="3"/>
      <c r="S38" s="3"/>
      <c r="T38" s="3"/>
    </row>
    <row r="39">
      <c r="G39" s="3" t="str">
        <f>IFERROR(__xludf.DUMMYFUNCTION("""COMPUTED_VALUE"""),"1935 (29e)")</f>
        <v>1935 (29e)</v>
      </c>
      <c r="H39" s="3" t="str">
        <f>IFERROR(__xludf.DUMMYFUNCTION("""COMPUTED_VALUE"""),"Romain Maes")</f>
        <v>Romain Maes</v>
      </c>
      <c r="I39" s="3" t="str">
        <f>IFERROR(__xludf.DUMMYFUNCTION("""COMPUTED_VALUE"""),"Ambrogio Morelli")</f>
        <v>Ambrogio Morelli</v>
      </c>
      <c r="J39" s="3" t="str">
        <f>IFERROR(__xludf.DUMMYFUNCTION("""COMPUTED_VALUE"""),"Félicien Vervaecke")</f>
        <v>Félicien Vervaecke</v>
      </c>
      <c r="K39" s="3" t="str">
        <f>IFERROR(__xludf.DUMMYFUNCTION("""COMPUTED_VALUE"""),"Belgique")</f>
        <v>Belgique</v>
      </c>
      <c r="L39" s="3" t="str">
        <f>IFERROR(__xludf.DUMMYFUNCTION("""COMPUTED_VALUE"""),"Alcyon")</f>
        <v>Alcyon</v>
      </c>
      <c r="M39" s="3" t="str">
        <f>IFERROR(__xludf.DUMMYFUNCTION("""COMPUTED_VALUE"""),"dérailleur interdit")</f>
        <v>dérailleur interdit</v>
      </c>
      <c r="N39" s="3">
        <f>IFERROR(__xludf.DUMMYFUNCTION("""COMPUTED_VALUE"""),21.0)</f>
        <v>21</v>
      </c>
      <c r="O39" s="3">
        <f>IFERROR(__xludf.DUMMYFUNCTION("""COMPUTED_VALUE"""),4338.0)</f>
        <v>4338</v>
      </c>
      <c r="P39" s="3" t="str">
        <f>IFERROR(__xludf.DUMMYFUNCTION("""COMPUTED_VALUE"""),"30,650 km/h")</f>
        <v>30,650 km/h</v>
      </c>
      <c r="Q39" s="3" t="str">
        <f>IFERROR(__xludf.DUMMYFUNCTION("""COMPUTED_VALUE"""),"Félicien Vervaecke")</f>
        <v>Félicien Vervaecke</v>
      </c>
      <c r="R39" s="3"/>
      <c r="S39" s="3"/>
      <c r="T39" s="3"/>
    </row>
    <row r="40">
      <c r="G40" s="3" t="str">
        <f>IFERROR(__xludf.DUMMYFUNCTION("""COMPUTED_VALUE"""),"1936 (30e)")</f>
        <v>1936 (30e)</v>
      </c>
      <c r="H40" s="3" t="str">
        <f>IFERROR(__xludf.DUMMYFUNCTION("""COMPUTED_VALUE"""),"Sylvère Maes")</f>
        <v>Sylvère Maes</v>
      </c>
      <c r="I40" s="3" t="str">
        <f>IFERROR(__xludf.DUMMYFUNCTION("""COMPUTED_VALUE"""),"Antonin Magne")</f>
        <v>Antonin Magne</v>
      </c>
      <c r="J40" s="3" t="str">
        <f>IFERROR(__xludf.DUMMYFUNCTION("""COMPUTED_VALUE"""),"Félicien Vervaecke")</f>
        <v>Félicien Vervaecke</v>
      </c>
      <c r="K40" s="3" t="str">
        <f>IFERROR(__xludf.DUMMYFUNCTION("""COMPUTED_VALUE"""),"Belgique")</f>
        <v>Belgique</v>
      </c>
      <c r="L40" s="3" t="str">
        <f>IFERROR(__xludf.DUMMYFUNCTION("""COMPUTED_VALUE"""),"Alcyon")</f>
        <v>Alcyon</v>
      </c>
      <c r="M40" s="3" t="str">
        <f>IFERROR(__xludf.DUMMYFUNCTION("""COMPUTED_VALUE"""),"dérailleur interdit")</f>
        <v>dérailleur interdit</v>
      </c>
      <c r="N40" s="3">
        <f>IFERROR(__xludf.DUMMYFUNCTION("""COMPUTED_VALUE"""),21.0)</f>
        <v>21</v>
      </c>
      <c r="O40" s="3">
        <f>IFERROR(__xludf.DUMMYFUNCTION("""COMPUTED_VALUE"""),4442.0)</f>
        <v>4442</v>
      </c>
      <c r="P40" s="3" t="str">
        <f>IFERROR(__xludf.DUMMYFUNCTION("""COMPUTED_VALUE"""),"31,108 km/h")</f>
        <v>31,108 km/h</v>
      </c>
      <c r="Q40" s="3" t="str">
        <f>IFERROR(__xludf.DUMMYFUNCTION("""COMPUTED_VALUE"""),"Julián Berrendero")</f>
        <v>Julián Berrendero</v>
      </c>
      <c r="R40" s="3"/>
      <c r="S40" s="3"/>
      <c r="T40" s="3"/>
    </row>
    <row r="41">
      <c r="G41" s="3" t="str">
        <f>IFERROR(__xludf.DUMMYFUNCTION("""COMPUTED_VALUE"""),"1937 (31e)")</f>
        <v>1937 (31e)</v>
      </c>
      <c r="H41" s="3" t="str">
        <f>IFERROR(__xludf.DUMMYFUNCTION("""COMPUTED_VALUE"""),"Roger Lapébie")</f>
        <v>Roger Lapébie</v>
      </c>
      <c r="I41" s="3" t="str">
        <f>IFERROR(__xludf.DUMMYFUNCTION("""COMPUTED_VALUE"""),"Mario Vicini")</f>
        <v>Mario Vicini</v>
      </c>
      <c r="J41" s="3" t="str">
        <f>IFERROR(__xludf.DUMMYFUNCTION("""COMPUTED_VALUE"""),"Léo Amberg")</f>
        <v>Léo Amberg</v>
      </c>
      <c r="K41" s="3" t="str">
        <f>IFERROR(__xludf.DUMMYFUNCTION("""COMPUTED_VALUE"""),"France")</f>
        <v>France</v>
      </c>
      <c r="L41" s="3"/>
      <c r="M41" s="3" t="str">
        <f>IFERROR(__xludf.DUMMYFUNCTION("""COMPUTED_VALUE"""),"Super Champion")</f>
        <v>Super Champion</v>
      </c>
      <c r="N41" s="3">
        <f>IFERROR(__xludf.DUMMYFUNCTION("""COMPUTED_VALUE"""),20.0)</f>
        <v>20</v>
      </c>
      <c r="O41" s="3">
        <f>IFERROR(__xludf.DUMMYFUNCTION("""COMPUTED_VALUE"""),4415.0)</f>
        <v>4415</v>
      </c>
      <c r="P41" s="3" t="str">
        <f>IFERROR(__xludf.DUMMYFUNCTION("""COMPUTED_VALUE"""),"31,768 km/h")</f>
        <v>31,768 km/h</v>
      </c>
      <c r="Q41" s="3" t="str">
        <f>IFERROR(__xludf.DUMMYFUNCTION("""COMPUTED_VALUE"""),"Félicien Vervaecke")</f>
        <v>Félicien Vervaecke</v>
      </c>
      <c r="R41" s="3"/>
      <c r="S41" s="3"/>
      <c r="T41" s="3"/>
    </row>
    <row r="42">
      <c r="G42" s="3" t="str">
        <f>IFERROR(__xludf.DUMMYFUNCTION("""COMPUTED_VALUE"""),"1938 (32e)")</f>
        <v>1938 (32e)</v>
      </c>
      <c r="H42" s="3" t="str">
        <f>IFERROR(__xludf.DUMMYFUNCTION("""COMPUTED_VALUE"""),"Gino Bartali")</f>
        <v>Gino Bartali</v>
      </c>
      <c r="I42" s="3" t="str">
        <f>IFERROR(__xludf.DUMMYFUNCTION("""COMPUTED_VALUE"""),"Félicien Vervaecke")</f>
        <v>Félicien Vervaecke</v>
      </c>
      <c r="J42" s="3" t="str">
        <f>IFERROR(__xludf.DUMMYFUNCTION("""COMPUTED_VALUE"""),"Victor Cosson")</f>
        <v>Victor Cosson</v>
      </c>
      <c r="K42" s="3" t="str">
        <f>IFERROR(__xludf.DUMMYFUNCTION("""COMPUTED_VALUE"""),"Italie")</f>
        <v>Italie</v>
      </c>
      <c r="L42" s="3" t="str">
        <f>IFERROR(__xludf.DUMMYFUNCTION("""COMPUTED_VALUE"""),"Legnano")</f>
        <v>Legnano</v>
      </c>
      <c r="M42" s="3" t="str">
        <f>IFERROR(__xludf.DUMMYFUNCTION("""COMPUTED_VALUE"""),"Vittoria Margherita")</f>
        <v>Vittoria Margherita</v>
      </c>
      <c r="N42" s="3">
        <f>IFERROR(__xludf.DUMMYFUNCTION("""COMPUTED_VALUE"""),21.0)</f>
        <v>21</v>
      </c>
      <c r="O42" s="3">
        <f>IFERROR(__xludf.DUMMYFUNCTION("""COMPUTED_VALUE"""),4694.0)</f>
        <v>4694</v>
      </c>
      <c r="P42" s="3" t="str">
        <f>IFERROR(__xludf.DUMMYFUNCTION("""COMPUTED_VALUE"""),"31,565 km/h")</f>
        <v>31,565 km/h</v>
      </c>
      <c r="Q42" s="3" t="str">
        <f>IFERROR(__xludf.DUMMYFUNCTION("""COMPUTED_VALUE"""),"Gino Bartali")</f>
        <v>Gino Bartali</v>
      </c>
      <c r="R42" s="3"/>
      <c r="S42" s="3"/>
      <c r="T42" s="3"/>
    </row>
    <row r="43">
      <c r="G43" s="3" t="str">
        <f>IFERROR(__xludf.DUMMYFUNCTION("""COMPUTED_VALUE"""),"1939 (33e)")</f>
        <v>1939 (33e)</v>
      </c>
      <c r="H43" s="3" t="str">
        <f>IFERROR(__xludf.DUMMYFUNCTION("""COMPUTED_VALUE"""),"Sylvère Maes")</f>
        <v>Sylvère Maes</v>
      </c>
      <c r="I43" s="3" t="str">
        <f>IFERROR(__xludf.DUMMYFUNCTION("""COMPUTED_VALUE"""),"René Vietto")</f>
        <v>René Vietto</v>
      </c>
      <c r="J43" s="3" t="str">
        <f>IFERROR(__xludf.DUMMYFUNCTION("""COMPUTED_VALUE"""),"Lucien Vlaemynck")</f>
        <v>Lucien Vlaemynck</v>
      </c>
      <c r="K43" s="3" t="str">
        <f>IFERROR(__xludf.DUMMYFUNCTION("""COMPUTED_VALUE"""),"Belgique")</f>
        <v>Belgique</v>
      </c>
      <c r="L43" s="3" t="str">
        <f>IFERROR(__xludf.DUMMYFUNCTION("""COMPUTED_VALUE"""),"Alcyon")</f>
        <v>Alcyon</v>
      </c>
      <c r="M43" s="3" t="str">
        <f>IFERROR(__xludf.DUMMYFUNCTION("""COMPUTED_VALUE"""),"Super Champion")</f>
        <v>Super Champion</v>
      </c>
      <c r="N43" s="3">
        <f>IFERROR(__xludf.DUMMYFUNCTION("""COMPUTED_VALUE"""),18.0)</f>
        <v>18</v>
      </c>
      <c r="O43" s="3">
        <f>IFERROR(__xludf.DUMMYFUNCTION("""COMPUTED_VALUE"""),4224.0)</f>
        <v>4224</v>
      </c>
      <c r="P43" s="3" t="str">
        <f>IFERROR(__xludf.DUMMYFUNCTION("""COMPUTED_VALUE"""),"31,986 km/h")</f>
        <v>31,986 km/h</v>
      </c>
      <c r="Q43" s="3" t="str">
        <f>IFERROR(__xludf.DUMMYFUNCTION("""COMPUTED_VALUE"""),"Sylvère Maes")</f>
        <v>Sylvère Maes</v>
      </c>
      <c r="R43" s="3"/>
      <c r="S43" s="3"/>
      <c r="T43" s="3"/>
    </row>
    <row r="44">
      <c r="G44" s="3" t="str">
        <f>IFERROR(__xludf.DUMMYFUNCTION("""COMPUTED_VALUE"""),"1947 (34e)")</f>
        <v>1947 (34e)</v>
      </c>
      <c r="H44" s="3" t="str">
        <f>IFERROR(__xludf.DUMMYFUNCTION("""COMPUTED_VALUE"""),"Jean Robic")</f>
        <v>Jean Robic</v>
      </c>
      <c r="I44" s="3" t="str">
        <f>IFERROR(__xludf.DUMMYFUNCTION("""COMPUTED_VALUE"""),"Édouard Fachleitner")</f>
        <v>Édouard Fachleitner</v>
      </c>
      <c r="J44" s="3" t="str">
        <f>IFERROR(__xludf.DUMMYFUNCTION("""COMPUTED_VALUE"""),"Pierre Brambilla")</f>
        <v>Pierre Brambilla</v>
      </c>
      <c r="K44" s="3" t="str">
        <f>IFERROR(__xludf.DUMMYFUNCTION("""COMPUTED_VALUE"""),"Ouest")</f>
        <v>Ouest</v>
      </c>
      <c r="L44" s="3"/>
      <c r="M44" s="3" t="str">
        <f>IFERROR(__xludf.DUMMYFUNCTION("""COMPUTED_VALUE"""),"Simplex (en)")</f>
        <v>Simplex (en)</v>
      </c>
      <c r="N44" s="3">
        <f>IFERROR(__xludf.DUMMYFUNCTION("""COMPUTED_VALUE"""),21.0)</f>
        <v>21</v>
      </c>
      <c r="O44" s="3">
        <f>IFERROR(__xludf.DUMMYFUNCTION("""COMPUTED_VALUE"""),4642.0)</f>
        <v>4642</v>
      </c>
      <c r="P44" s="3" t="str">
        <f>IFERROR(__xludf.DUMMYFUNCTION("""COMPUTED_VALUE"""),"31,412 km/h")</f>
        <v>31,412 km/h</v>
      </c>
      <c r="Q44" s="3" t="str">
        <f>IFERROR(__xludf.DUMMYFUNCTION("""COMPUTED_VALUE"""),"Pierre Brambilla")</f>
        <v>Pierre Brambilla</v>
      </c>
      <c r="R44" s="3"/>
      <c r="S44" s="3"/>
      <c r="T44" s="3"/>
    </row>
    <row r="45">
      <c r="G45" s="3" t="str">
        <f>IFERROR(__xludf.DUMMYFUNCTION("""COMPUTED_VALUE"""),"1948 (35e)")</f>
        <v>1948 (35e)</v>
      </c>
      <c r="H45" s="3" t="str">
        <f>IFERROR(__xludf.DUMMYFUNCTION("""COMPUTED_VALUE"""),"Gino Bartali")</f>
        <v>Gino Bartali</v>
      </c>
      <c r="I45" s="3" t="str">
        <f>IFERROR(__xludf.DUMMYFUNCTION("""COMPUTED_VALUE"""),"Albéric Schotte")</f>
        <v>Albéric Schotte</v>
      </c>
      <c r="J45" s="3" t="str">
        <f>IFERROR(__xludf.DUMMYFUNCTION("""COMPUTED_VALUE"""),"Guy Lapébie")</f>
        <v>Guy Lapébie</v>
      </c>
      <c r="K45" s="3" t="str">
        <f>IFERROR(__xludf.DUMMYFUNCTION("""COMPUTED_VALUE"""),"Italie")</f>
        <v>Italie</v>
      </c>
      <c r="L45" s="3" t="str">
        <f>IFERROR(__xludf.DUMMYFUNCTION("""COMPUTED_VALUE"""),"Legnano")</f>
        <v>Legnano</v>
      </c>
      <c r="M45" s="3" t="str">
        <f>IFERROR(__xludf.DUMMYFUNCTION("""COMPUTED_VALUE"""),"Campagnolo")</f>
        <v>Campagnolo</v>
      </c>
      <c r="N45" s="3">
        <f>IFERROR(__xludf.DUMMYFUNCTION("""COMPUTED_VALUE"""),21.0)</f>
        <v>21</v>
      </c>
      <c r="O45" s="3">
        <f>IFERROR(__xludf.DUMMYFUNCTION("""COMPUTED_VALUE"""),4922.0)</f>
        <v>4922</v>
      </c>
      <c r="P45" s="3" t="str">
        <f>IFERROR(__xludf.DUMMYFUNCTION("""COMPUTED_VALUE"""),"33,442 km/h")</f>
        <v>33,442 km/h</v>
      </c>
      <c r="Q45" s="3" t="str">
        <f>IFERROR(__xludf.DUMMYFUNCTION("""COMPUTED_VALUE"""),"Gino Bartali")</f>
        <v>Gino Bartali</v>
      </c>
      <c r="R45" s="3"/>
      <c r="S45" s="3"/>
      <c r="T45" s="3"/>
    </row>
    <row r="46">
      <c r="G46" s="3" t="str">
        <f>IFERROR(__xludf.DUMMYFUNCTION("""COMPUTED_VALUE"""),"1949 (36e)")</f>
        <v>1949 (36e)</v>
      </c>
      <c r="H46" s="3" t="str">
        <f>IFERROR(__xludf.DUMMYFUNCTION("""COMPUTED_VALUE"""),"Fausto Coppi")</f>
        <v>Fausto Coppi</v>
      </c>
      <c r="I46" s="3" t="str">
        <f>IFERROR(__xludf.DUMMYFUNCTION("""COMPUTED_VALUE"""),"Gino Bartali")</f>
        <v>Gino Bartali</v>
      </c>
      <c r="J46" s="3" t="str">
        <f>IFERROR(__xludf.DUMMYFUNCTION("""COMPUTED_VALUE"""),"Jacques Marinelli")</f>
        <v>Jacques Marinelli</v>
      </c>
      <c r="K46" s="3" t="str">
        <f>IFERROR(__xludf.DUMMYFUNCTION("""COMPUTED_VALUE"""),"Italie")</f>
        <v>Italie</v>
      </c>
      <c r="L46" s="3" t="str">
        <f>IFERROR(__xludf.DUMMYFUNCTION("""COMPUTED_VALUE"""),"Bianchi")</f>
        <v>Bianchi</v>
      </c>
      <c r="M46" s="3" t="str">
        <f>IFERROR(__xludf.DUMMYFUNCTION("""COMPUTED_VALUE"""),"Simplex (en)")</f>
        <v>Simplex (en)</v>
      </c>
      <c r="N46" s="3">
        <f>IFERROR(__xludf.DUMMYFUNCTION("""COMPUTED_VALUE"""),21.0)</f>
        <v>21</v>
      </c>
      <c r="O46" s="3">
        <f>IFERROR(__xludf.DUMMYFUNCTION("""COMPUTED_VALUE"""),4808.0)</f>
        <v>4808</v>
      </c>
      <c r="P46" s="3" t="str">
        <f>IFERROR(__xludf.DUMMYFUNCTION("""COMPUTED_VALUE"""),"32,121 km/h")</f>
        <v>32,121 km/h</v>
      </c>
      <c r="Q46" s="3" t="str">
        <f>IFERROR(__xludf.DUMMYFUNCTION("""COMPUTED_VALUE"""),"Fausto Coppi")</f>
        <v>Fausto Coppi</v>
      </c>
      <c r="R46" s="3"/>
      <c r="S46" s="3"/>
      <c r="T46" s="3"/>
    </row>
    <row r="47">
      <c r="G47" s="3" t="str">
        <f>IFERROR(__xludf.DUMMYFUNCTION("""COMPUTED_VALUE"""),"1950 (37e)")</f>
        <v>1950 (37e)</v>
      </c>
      <c r="H47" s="3" t="str">
        <f>IFERROR(__xludf.DUMMYFUNCTION("""COMPUTED_VALUE"""),"Ferdi Kübler")</f>
        <v>Ferdi Kübler</v>
      </c>
      <c r="I47" s="3" t="str">
        <f>IFERROR(__xludf.DUMMYFUNCTION("""COMPUTED_VALUE"""),"Stan Ockers")</f>
        <v>Stan Ockers</v>
      </c>
      <c r="J47" s="3" t="str">
        <f>IFERROR(__xludf.DUMMYFUNCTION("""COMPUTED_VALUE"""),"Louison Bobet")</f>
        <v>Louison Bobet</v>
      </c>
      <c r="K47" s="3" t="str">
        <f>IFERROR(__xludf.DUMMYFUNCTION("""COMPUTED_VALUE"""),"Suisse")</f>
        <v>Suisse</v>
      </c>
      <c r="L47" s="3"/>
      <c r="M47" s="3" t="str">
        <f>IFERROR(__xludf.DUMMYFUNCTION("""COMPUTED_VALUE"""),"Simplex (en)")</f>
        <v>Simplex (en)</v>
      </c>
      <c r="N47" s="3">
        <f>IFERROR(__xludf.DUMMYFUNCTION("""COMPUTED_VALUE"""),22.0)</f>
        <v>22</v>
      </c>
      <c r="O47" s="3">
        <f>IFERROR(__xludf.DUMMYFUNCTION("""COMPUTED_VALUE"""),4773.0)</f>
        <v>4773</v>
      </c>
      <c r="P47" s="3" t="str">
        <f>IFERROR(__xludf.DUMMYFUNCTION("""COMPUTED_VALUE"""),"32,778 km/h")</f>
        <v>32,778 km/h</v>
      </c>
      <c r="Q47" s="3" t="str">
        <f>IFERROR(__xludf.DUMMYFUNCTION("""COMPUTED_VALUE"""),"Louison Bobet")</f>
        <v>Louison Bobet</v>
      </c>
      <c r="R47" s="3"/>
      <c r="S47" s="3"/>
      <c r="T47" s="3"/>
    </row>
    <row r="48">
      <c r="G48" s="3" t="str">
        <f>IFERROR(__xludf.DUMMYFUNCTION("""COMPUTED_VALUE"""),"1951 (38e)")</f>
        <v>1951 (38e)</v>
      </c>
      <c r="H48" s="3" t="str">
        <f>IFERROR(__xludf.DUMMYFUNCTION("""COMPUTED_VALUE"""),"Hugo Koblet")</f>
        <v>Hugo Koblet</v>
      </c>
      <c r="I48" s="3" t="str">
        <f>IFERROR(__xludf.DUMMYFUNCTION("""COMPUTED_VALUE"""),"Raphaël Géminiani")</f>
        <v>Raphaël Géminiani</v>
      </c>
      <c r="J48" s="3" t="str">
        <f>IFERROR(__xludf.DUMMYFUNCTION("""COMPUTED_VALUE"""),"Lucien Lazaridès")</f>
        <v>Lucien Lazaridès</v>
      </c>
      <c r="K48" s="3" t="str">
        <f>IFERROR(__xludf.DUMMYFUNCTION("""COMPUTED_VALUE"""),"Suisse")</f>
        <v>Suisse</v>
      </c>
      <c r="L48" s="3" t="str">
        <f>IFERROR(__xludf.DUMMYFUNCTION("""COMPUTED_VALUE"""),"Cycles La Perle")</f>
        <v>Cycles La Perle</v>
      </c>
      <c r="M48" s="3" t="str">
        <f>IFERROR(__xludf.DUMMYFUNCTION("""COMPUTED_VALUE"""),"Campagnolo")</f>
        <v>Campagnolo</v>
      </c>
      <c r="N48" s="3">
        <f>IFERROR(__xludf.DUMMYFUNCTION("""COMPUTED_VALUE"""),24.0)</f>
        <v>24</v>
      </c>
      <c r="O48" s="3">
        <f>IFERROR(__xludf.DUMMYFUNCTION("""COMPUTED_VALUE"""),4690.0)</f>
        <v>4690</v>
      </c>
      <c r="P48" s="3" t="str">
        <f>IFERROR(__xludf.DUMMYFUNCTION("""COMPUTED_VALUE"""),"32,949 km/h")</f>
        <v>32,949 km/h</v>
      </c>
      <c r="Q48" s="3" t="str">
        <f>IFERROR(__xludf.DUMMYFUNCTION("""COMPUTED_VALUE"""),"Raphaël Géminiani")</f>
        <v>Raphaël Géminiani</v>
      </c>
      <c r="R48" s="3"/>
      <c r="S48" s="3"/>
      <c r="T48" s="3"/>
    </row>
    <row r="49">
      <c r="G49" s="3" t="str">
        <f>IFERROR(__xludf.DUMMYFUNCTION("""COMPUTED_VALUE"""),"1952 (39e)")</f>
        <v>1952 (39e)</v>
      </c>
      <c r="H49" s="3" t="str">
        <f>IFERROR(__xludf.DUMMYFUNCTION("""COMPUTED_VALUE"""),"Fausto Coppi")</f>
        <v>Fausto Coppi</v>
      </c>
      <c r="I49" s="3" t="str">
        <f>IFERROR(__xludf.DUMMYFUNCTION("""COMPUTED_VALUE"""),"Stan Ockers")</f>
        <v>Stan Ockers</v>
      </c>
      <c r="J49" s="3" t="str">
        <f>IFERROR(__xludf.DUMMYFUNCTION("""COMPUTED_VALUE"""),"Bernardo Ruiz")</f>
        <v>Bernardo Ruiz</v>
      </c>
      <c r="K49" s="3" t="str">
        <f>IFERROR(__xludf.DUMMYFUNCTION("""COMPUTED_VALUE"""),"Italie")</f>
        <v>Italie</v>
      </c>
      <c r="L49" s="3" t="str">
        <f>IFERROR(__xludf.DUMMYFUNCTION("""COMPUTED_VALUE"""),"Bianchi")</f>
        <v>Bianchi</v>
      </c>
      <c r="M49" s="3" t="str">
        <f>IFERROR(__xludf.DUMMYFUNCTION("""COMPUTED_VALUE"""),"Campagnolo")</f>
        <v>Campagnolo</v>
      </c>
      <c r="N49" s="3">
        <f>IFERROR(__xludf.DUMMYFUNCTION("""COMPUTED_VALUE"""),23.0)</f>
        <v>23</v>
      </c>
      <c r="O49" s="3">
        <f>IFERROR(__xludf.DUMMYFUNCTION("""COMPUTED_VALUE"""),4898.0)</f>
        <v>4898</v>
      </c>
      <c r="P49" s="3" t="str">
        <f>IFERROR(__xludf.DUMMYFUNCTION("""COMPUTED_VALUE"""),"32,233 km/h")</f>
        <v>32,233 km/h</v>
      </c>
      <c r="Q49" s="3" t="str">
        <f>IFERROR(__xludf.DUMMYFUNCTION("""COMPUTED_VALUE"""),"Fausto Coppi")</f>
        <v>Fausto Coppi</v>
      </c>
      <c r="R49" s="3"/>
      <c r="S49" s="3"/>
      <c r="T49" s="3"/>
    </row>
    <row r="50">
      <c r="G50" s="3" t="str">
        <f>IFERROR(__xludf.DUMMYFUNCTION("""COMPUTED_VALUE"""),"1953 (40e)")</f>
        <v>1953 (40e)</v>
      </c>
      <c r="H50" s="3" t="str">
        <f>IFERROR(__xludf.DUMMYFUNCTION("""COMPUTED_VALUE"""),"Louison Bobet")</f>
        <v>Louison Bobet</v>
      </c>
      <c r="I50" s="3" t="str">
        <f>IFERROR(__xludf.DUMMYFUNCTION("""COMPUTED_VALUE"""),"Jean Malléjac")</f>
        <v>Jean Malléjac</v>
      </c>
      <c r="J50" s="3" t="str">
        <f>IFERROR(__xludf.DUMMYFUNCTION("""COMPUTED_VALUE"""),"Giancarlo Astrua")</f>
        <v>Giancarlo Astrua</v>
      </c>
      <c r="K50" s="3" t="str">
        <f>IFERROR(__xludf.DUMMYFUNCTION("""COMPUTED_VALUE"""),"France")</f>
        <v>France</v>
      </c>
      <c r="L50" s="3"/>
      <c r="M50" s="3" t="str">
        <f>IFERROR(__xludf.DUMMYFUNCTION("""COMPUTED_VALUE"""),"Huret")</f>
        <v>Huret</v>
      </c>
      <c r="N50" s="3">
        <f>IFERROR(__xludf.DUMMYFUNCTION("""COMPUTED_VALUE"""),22.0)</f>
        <v>22</v>
      </c>
      <c r="O50" s="3">
        <f>IFERROR(__xludf.DUMMYFUNCTION("""COMPUTED_VALUE"""),4476.0)</f>
        <v>4476</v>
      </c>
      <c r="P50" s="3" t="str">
        <f>IFERROR(__xludf.DUMMYFUNCTION("""COMPUTED_VALUE"""),"34,593 km/h")</f>
        <v>34,593 km/h</v>
      </c>
      <c r="Q50" s="3" t="str">
        <f>IFERROR(__xludf.DUMMYFUNCTION("""COMPUTED_VALUE"""),"Jesús Loroño")</f>
        <v>Jesús Loroño</v>
      </c>
      <c r="R50" s="3" t="str">
        <f>IFERROR(__xludf.DUMMYFUNCTION("""COMPUTED_VALUE"""),"Fritz Schaer")</f>
        <v>Fritz Schaer</v>
      </c>
      <c r="S50" s="3"/>
      <c r="T50" s="3"/>
    </row>
    <row r="51">
      <c r="G51" s="3" t="str">
        <f>IFERROR(__xludf.DUMMYFUNCTION("""COMPUTED_VALUE"""),"1954 (41e)")</f>
        <v>1954 (41e)</v>
      </c>
      <c r="H51" s="3" t="str">
        <f>IFERROR(__xludf.DUMMYFUNCTION("""COMPUTED_VALUE"""),"Louison Bobet")</f>
        <v>Louison Bobet</v>
      </c>
      <c r="I51" s="3" t="str">
        <f>IFERROR(__xludf.DUMMYFUNCTION("""COMPUTED_VALUE"""),"Ferdi Kübler")</f>
        <v>Ferdi Kübler</v>
      </c>
      <c r="J51" s="3" t="str">
        <f>IFERROR(__xludf.DUMMYFUNCTION("""COMPUTED_VALUE"""),"Fritz Schaer")</f>
        <v>Fritz Schaer</v>
      </c>
      <c r="K51" s="3" t="str">
        <f>IFERROR(__xludf.DUMMYFUNCTION("""COMPUTED_VALUE"""),"France")</f>
        <v>France</v>
      </c>
      <c r="L51" s="3"/>
      <c r="M51" s="3" t="str">
        <f>IFERROR(__xludf.DUMMYFUNCTION("""COMPUTED_VALUE"""),"Huret")</f>
        <v>Huret</v>
      </c>
      <c r="N51" s="3">
        <f>IFERROR(__xludf.DUMMYFUNCTION("""COMPUTED_VALUE"""),23.0)</f>
        <v>23</v>
      </c>
      <c r="O51" s="3">
        <f>IFERROR(__xludf.DUMMYFUNCTION("""COMPUTED_VALUE"""),4656.0)</f>
        <v>4656</v>
      </c>
      <c r="P51" s="3" t="str">
        <f>IFERROR(__xludf.DUMMYFUNCTION("""COMPUTED_VALUE"""),"33,229 km/h")</f>
        <v>33,229 km/h</v>
      </c>
      <c r="Q51" s="3" t="str">
        <f>IFERROR(__xludf.DUMMYFUNCTION("""COMPUTED_VALUE"""),"Federico Bahamontes")</f>
        <v>Federico Bahamontes</v>
      </c>
      <c r="R51" s="3" t="str">
        <f>IFERROR(__xludf.DUMMYFUNCTION("""COMPUTED_VALUE"""),"Ferdi Kübler")</f>
        <v>Ferdi Kübler</v>
      </c>
      <c r="S51" s="3"/>
      <c r="T51" s="3"/>
    </row>
    <row r="52">
      <c r="G52" s="3" t="str">
        <f>IFERROR(__xludf.DUMMYFUNCTION("""COMPUTED_VALUE"""),"1955 (42e)")</f>
        <v>1955 (42e)</v>
      </c>
      <c r="H52" s="3" t="str">
        <f>IFERROR(__xludf.DUMMYFUNCTION("""COMPUTED_VALUE"""),"Louison Bobet")</f>
        <v>Louison Bobet</v>
      </c>
      <c r="I52" s="3" t="str">
        <f>IFERROR(__xludf.DUMMYFUNCTION("""COMPUTED_VALUE"""),"Jean Brankart")</f>
        <v>Jean Brankart</v>
      </c>
      <c r="J52" s="3" t="str">
        <f>IFERROR(__xludf.DUMMYFUNCTION("""COMPUTED_VALUE"""),"Charly Gaul")</f>
        <v>Charly Gaul</v>
      </c>
      <c r="K52" s="3" t="str">
        <f>IFERROR(__xludf.DUMMYFUNCTION("""COMPUTED_VALUE"""),"France")</f>
        <v>France</v>
      </c>
      <c r="L52" s="3"/>
      <c r="M52" s="3" t="str">
        <f>IFERROR(__xludf.DUMMYFUNCTION("""COMPUTED_VALUE"""),"Huret")</f>
        <v>Huret</v>
      </c>
      <c r="N52" s="3">
        <f>IFERROR(__xludf.DUMMYFUNCTION("""COMPUTED_VALUE"""),22.0)</f>
        <v>22</v>
      </c>
      <c r="O52" s="3">
        <f>IFERROR(__xludf.DUMMYFUNCTION("""COMPUTED_VALUE"""),4495.0)</f>
        <v>4495</v>
      </c>
      <c r="P52" s="3" t="str">
        <f>IFERROR(__xludf.DUMMYFUNCTION("""COMPUTED_VALUE"""),"34,446 km/h")</f>
        <v>34,446 km/h</v>
      </c>
      <c r="Q52" s="3" t="str">
        <f>IFERROR(__xludf.DUMMYFUNCTION("""COMPUTED_VALUE"""),"Charly Gaul")</f>
        <v>Charly Gaul</v>
      </c>
      <c r="R52" s="3" t="str">
        <f>IFERROR(__xludf.DUMMYFUNCTION("""COMPUTED_VALUE"""),"Stan Ockers")</f>
        <v>Stan Ockers</v>
      </c>
      <c r="S52" s="3"/>
      <c r="T52" s="3"/>
    </row>
    <row r="53">
      <c r="G53" s="3" t="str">
        <f>IFERROR(__xludf.DUMMYFUNCTION("""COMPUTED_VALUE"""),"1956 (43e)")</f>
        <v>1956 (43e)</v>
      </c>
      <c r="H53" s="3" t="str">
        <f>IFERROR(__xludf.DUMMYFUNCTION("""COMPUTED_VALUE"""),"Roger Walkowiak")</f>
        <v>Roger Walkowiak</v>
      </c>
      <c r="I53" s="3" t="str">
        <f>IFERROR(__xludf.DUMMYFUNCTION("""COMPUTED_VALUE"""),"Gilbert Bauvin")</f>
        <v>Gilbert Bauvin</v>
      </c>
      <c r="J53" s="3" t="str">
        <f>IFERROR(__xludf.DUMMYFUNCTION("""COMPUTED_VALUE"""),"Jan Adriaensens")</f>
        <v>Jan Adriaensens</v>
      </c>
      <c r="K53" s="3" t="str">
        <f>IFERROR(__xludf.DUMMYFUNCTION("""COMPUTED_VALUE"""),"Nord-Est")</f>
        <v>Nord-Est</v>
      </c>
      <c r="L53" s="3"/>
      <c r="M53" s="3" t="str">
        <f>IFERROR(__xludf.DUMMYFUNCTION("""COMPUTED_VALUE"""),"Campagnolo")</f>
        <v>Campagnolo</v>
      </c>
      <c r="N53" s="3">
        <f>IFERROR(__xludf.DUMMYFUNCTION("""COMPUTED_VALUE"""),22.0)</f>
        <v>22</v>
      </c>
      <c r="O53" s="3">
        <f>IFERROR(__xludf.DUMMYFUNCTION("""COMPUTED_VALUE"""),4498.0)</f>
        <v>4498</v>
      </c>
      <c r="P53" s="3" t="str">
        <f>IFERROR(__xludf.DUMMYFUNCTION("""COMPUTED_VALUE"""),"36,268 km/h")</f>
        <v>36,268 km/h</v>
      </c>
      <c r="Q53" s="3" t="str">
        <f>IFERROR(__xludf.DUMMYFUNCTION("""COMPUTED_VALUE"""),"Charly Gaul")</f>
        <v>Charly Gaul</v>
      </c>
      <c r="R53" s="3" t="str">
        <f>IFERROR(__xludf.DUMMYFUNCTION("""COMPUTED_VALUE"""),"Stan Ockers")</f>
        <v>Stan Ockers</v>
      </c>
      <c r="S53" s="3"/>
      <c r="T53" s="3" t="str">
        <f>IFERROR(__xludf.DUMMYFUNCTION("""COMPUTED_VALUE"""),"André Darrigade")</f>
        <v>André Darrigade</v>
      </c>
    </row>
    <row r="54">
      <c r="G54" s="3" t="str">
        <f>IFERROR(__xludf.DUMMYFUNCTION("""COMPUTED_VALUE"""),"1957 (44e)")</f>
        <v>1957 (44e)</v>
      </c>
      <c r="H54" s="3" t="str">
        <f>IFERROR(__xludf.DUMMYFUNCTION("""COMPUTED_VALUE"""),"Jacques Anquetil")</f>
        <v>Jacques Anquetil</v>
      </c>
      <c r="I54" s="3" t="str">
        <f>IFERROR(__xludf.DUMMYFUNCTION("""COMPUTED_VALUE"""),"Marcel Janssens")</f>
        <v>Marcel Janssens</v>
      </c>
      <c r="J54" s="3" t="str">
        <f>IFERROR(__xludf.DUMMYFUNCTION("""COMPUTED_VALUE"""),"Adolf Christian")</f>
        <v>Adolf Christian</v>
      </c>
      <c r="K54" s="3" t="str">
        <f>IFERROR(__xludf.DUMMYFUNCTION("""COMPUTED_VALUE"""),"France")</f>
        <v>France</v>
      </c>
      <c r="L54" s="3"/>
      <c r="M54" s="3" t="str">
        <f>IFERROR(__xludf.DUMMYFUNCTION("""COMPUTED_VALUE"""),"Simplex (en)")</f>
        <v>Simplex (en)</v>
      </c>
      <c r="N54" s="3">
        <f>IFERROR(__xludf.DUMMYFUNCTION("""COMPUTED_VALUE"""),23.0)</f>
        <v>23</v>
      </c>
      <c r="O54" s="3">
        <f>IFERROR(__xludf.DUMMYFUNCTION("""COMPUTED_VALUE"""),4669.0)</f>
        <v>4669</v>
      </c>
      <c r="P54" s="3" t="str">
        <f>IFERROR(__xludf.DUMMYFUNCTION("""COMPUTED_VALUE"""),"34,520 km/h")</f>
        <v>34,520 km/h</v>
      </c>
      <c r="Q54" s="3" t="str">
        <f>IFERROR(__xludf.DUMMYFUNCTION("""COMPUTED_VALUE"""),"Gastone Nencini")</f>
        <v>Gastone Nencini</v>
      </c>
      <c r="R54" s="3" t="str">
        <f>IFERROR(__xludf.DUMMYFUNCTION("""COMPUTED_VALUE"""),"Jean Forestier")</f>
        <v>Jean Forestier</v>
      </c>
      <c r="S54" s="3"/>
      <c r="T54" s="3" t="str">
        <f>IFERROR(__xludf.DUMMYFUNCTION("""COMPUTED_VALUE"""),"Nicolas Barone")</f>
        <v>Nicolas Barone</v>
      </c>
    </row>
    <row r="55">
      <c r="G55" s="3" t="str">
        <f>IFERROR(__xludf.DUMMYFUNCTION("""COMPUTED_VALUE"""),"1958 (45e)")</f>
        <v>1958 (45e)</v>
      </c>
      <c r="H55" s="3" t="str">
        <f>IFERROR(__xludf.DUMMYFUNCTION("""COMPUTED_VALUE"""),"Charly Gaul")</f>
        <v>Charly Gaul</v>
      </c>
      <c r="I55" s="3" t="str">
        <f>IFERROR(__xludf.DUMMYFUNCTION("""COMPUTED_VALUE"""),"Vito Favero")</f>
        <v>Vito Favero</v>
      </c>
      <c r="J55" s="3" t="str">
        <f>IFERROR(__xludf.DUMMYFUNCTION("""COMPUTED_VALUE"""),"Raphaël Géminiani")</f>
        <v>Raphaël Géminiani</v>
      </c>
      <c r="K55" s="3" t="str">
        <f>IFERROR(__xludf.DUMMYFUNCTION("""COMPUTED_VALUE"""),"Pays-Bas-Luxembourg")</f>
        <v>Pays-Bas-Luxembourg</v>
      </c>
      <c r="L55" s="3" t="str">
        <f>IFERROR(__xludf.DUMMYFUNCTION("""COMPUTED_VALUE"""),"Learco Guerra")</f>
        <v>Learco Guerra</v>
      </c>
      <c r="M55" s="3" t="str">
        <f>IFERROR(__xludf.DUMMYFUNCTION("""COMPUTED_VALUE"""),"Campagnolo")</f>
        <v>Campagnolo</v>
      </c>
      <c r="N55" s="3">
        <f>IFERROR(__xludf.DUMMYFUNCTION("""COMPUTED_VALUE"""),24.0)</f>
        <v>24</v>
      </c>
      <c r="O55" s="3">
        <f>IFERROR(__xludf.DUMMYFUNCTION("""COMPUTED_VALUE"""),4319.0)</f>
        <v>4319</v>
      </c>
      <c r="P55" s="3" t="str">
        <f>IFERROR(__xludf.DUMMYFUNCTION("""COMPUTED_VALUE"""),"36,919 km/h")</f>
        <v>36,919 km/h</v>
      </c>
      <c r="Q55" s="3" t="str">
        <f>IFERROR(__xludf.DUMMYFUNCTION("""COMPUTED_VALUE"""),"Federico Bahamontes")</f>
        <v>Federico Bahamontes</v>
      </c>
      <c r="R55" s="3" t="str">
        <f>IFERROR(__xludf.DUMMYFUNCTION("""COMPUTED_VALUE"""),"Jean Graczyk")</f>
        <v>Jean Graczyk</v>
      </c>
      <c r="S55" s="3"/>
      <c r="T55" s="3" t="str">
        <f>IFERROR(__xludf.DUMMYFUNCTION("""COMPUTED_VALUE"""),"Federico Bahamontes")</f>
        <v>Federico Bahamontes</v>
      </c>
    </row>
    <row r="56">
      <c r="G56" s="3" t="str">
        <f>IFERROR(__xludf.DUMMYFUNCTION("""COMPUTED_VALUE"""),"1959 (46e)")</f>
        <v>1959 (46e)</v>
      </c>
      <c r="H56" s="3" t="str">
        <f>IFERROR(__xludf.DUMMYFUNCTION("""COMPUTED_VALUE"""),"Federico Bahamontes")</f>
        <v>Federico Bahamontes</v>
      </c>
      <c r="I56" s="3" t="str">
        <f>IFERROR(__xludf.DUMMYFUNCTION("""COMPUTED_VALUE"""),"Henry Anglade")</f>
        <v>Henry Anglade</v>
      </c>
      <c r="J56" s="3" t="str">
        <f>IFERROR(__xludf.DUMMYFUNCTION("""COMPUTED_VALUE"""),"Jacques Anquetil")</f>
        <v>Jacques Anquetil</v>
      </c>
      <c r="K56" s="3" t="str">
        <f>IFERROR(__xludf.DUMMYFUNCTION("""COMPUTED_VALUE"""),"Espagne")</f>
        <v>Espagne</v>
      </c>
      <c r="L56" s="3"/>
      <c r="M56" s="3" t="str">
        <f>IFERROR(__xludf.DUMMYFUNCTION("""COMPUTED_VALUE"""),"Campagnolo")</f>
        <v>Campagnolo</v>
      </c>
      <c r="N56" s="3">
        <f>IFERROR(__xludf.DUMMYFUNCTION("""COMPUTED_VALUE"""),22.0)</f>
        <v>22</v>
      </c>
      <c r="O56" s="3">
        <f>IFERROR(__xludf.DUMMYFUNCTION("""COMPUTED_VALUE"""),4358.0)</f>
        <v>4358</v>
      </c>
      <c r="P56" s="3" t="str">
        <f>IFERROR(__xludf.DUMMYFUNCTION("""COMPUTED_VALUE"""),"35,474 km/h")</f>
        <v>35,474 km/h</v>
      </c>
      <c r="Q56" s="3" t="str">
        <f>IFERROR(__xludf.DUMMYFUNCTION("""COMPUTED_VALUE"""),"Federico Bahamontes")</f>
        <v>Federico Bahamontes</v>
      </c>
      <c r="R56" s="3" t="str">
        <f>IFERROR(__xludf.DUMMYFUNCTION("""COMPUTED_VALUE"""),"André Darrigade")</f>
        <v>André Darrigade</v>
      </c>
      <c r="S56" s="3"/>
      <c r="T56" s="3" t="str">
        <f>IFERROR(__xludf.DUMMYFUNCTION("""COMPUTED_VALUE"""),"Gérard Saint")</f>
        <v>Gérard Saint</v>
      </c>
    </row>
    <row r="57">
      <c r="G57" s="3" t="str">
        <f>IFERROR(__xludf.DUMMYFUNCTION("""COMPUTED_VALUE"""),"1960 (47e)")</f>
        <v>1960 (47e)</v>
      </c>
      <c r="H57" s="3" t="str">
        <f>IFERROR(__xludf.DUMMYFUNCTION("""COMPUTED_VALUE"""),"Gastone Nencini")</f>
        <v>Gastone Nencini</v>
      </c>
      <c r="I57" s="3" t="str">
        <f>IFERROR(__xludf.DUMMYFUNCTION("""COMPUTED_VALUE"""),"Graziano Battistini")</f>
        <v>Graziano Battistini</v>
      </c>
      <c r="J57" s="3" t="str">
        <f>IFERROR(__xludf.DUMMYFUNCTION("""COMPUTED_VALUE"""),"Jan Adriaensens")</f>
        <v>Jan Adriaensens</v>
      </c>
      <c r="K57" s="3" t="str">
        <f>IFERROR(__xludf.DUMMYFUNCTION("""COMPUTED_VALUE"""),"Italie")</f>
        <v>Italie</v>
      </c>
      <c r="L57" s="3"/>
      <c r="M57" s="3" t="str">
        <f>IFERROR(__xludf.DUMMYFUNCTION("""COMPUTED_VALUE"""),"Campagnolo")</f>
        <v>Campagnolo</v>
      </c>
      <c r="N57" s="3">
        <f>IFERROR(__xludf.DUMMYFUNCTION("""COMPUTED_VALUE"""),21.0)</f>
        <v>21</v>
      </c>
      <c r="O57" s="3">
        <f>IFERROR(__xludf.DUMMYFUNCTION("""COMPUTED_VALUE"""),4173.0)</f>
        <v>4173</v>
      </c>
      <c r="P57" s="3" t="str">
        <f>IFERROR(__xludf.DUMMYFUNCTION("""COMPUTED_VALUE"""),"37,210 km/h")</f>
        <v>37,210 km/h</v>
      </c>
      <c r="Q57" s="3" t="str">
        <f>IFERROR(__xludf.DUMMYFUNCTION("""COMPUTED_VALUE"""),"Imerio Massignan")</f>
        <v>Imerio Massignan</v>
      </c>
      <c r="R57" s="3" t="str">
        <f>IFERROR(__xludf.DUMMYFUNCTION("""COMPUTED_VALUE"""),"Jean Graczyk")</f>
        <v>Jean Graczyk</v>
      </c>
      <c r="S57" s="3"/>
      <c r="T57" s="3" t="str">
        <f>IFERROR(__xludf.DUMMYFUNCTION("""COMPUTED_VALUE"""),"Jean Graczyk")</f>
        <v>Jean Graczyk</v>
      </c>
    </row>
    <row r="58">
      <c r="G58" s="3" t="str">
        <f>IFERROR(__xludf.DUMMYFUNCTION("""COMPUTED_VALUE"""),"1961 (48e)")</f>
        <v>1961 (48e)</v>
      </c>
      <c r="H58" s="3" t="str">
        <f>IFERROR(__xludf.DUMMYFUNCTION("""COMPUTED_VALUE"""),"Jacques Anquetil")</f>
        <v>Jacques Anquetil</v>
      </c>
      <c r="I58" s="3" t="str">
        <f>IFERROR(__xludf.DUMMYFUNCTION("""COMPUTED_VALUE"""),"Guido Carlesi")</f>
        <v>Guido Carlesi</v>
      </c>
      <c r="J58" s="3" t="str">
        <f>IFERROR(__xludf.DUMMYFUNCTION("""COMPUTED_VALUE"""),"Charly Gaul")</f>
        <v>Charly Gaul</v>
      </c>
      <c r="K58" s="3" t="str">
        <f>IFERROR(__xludf.DUMMYFUNCTION("""COMPUTED_VALUE"""),"France")</f>
        <v>France</v>
      </c>
      <c r="L58" s="3"/>
      <c r="M58" s="3" t="str">
        <f>IFERROR(__xludf.DUMMYFUNCTION("""COMPUTED_VALUE"""),"Simplex (en)")</f>
        <v>Simplex (en)</v>
      </c>
      <c r="N58" s="3">
        <f>IFERROR(__xludf.DUMMYFUNCTION("""COMPUTED_VALUE"""),21.0)</f>
        <v>21</v>
      </c>
      <c r="O58" s="3">
        <f>IFERROR(__xludf.DUMMYFUNCTION("""COMPUTED_VALUE"""),4397.0)</f>
        <v>4397</v>
      </c>
      <c r="P58" s="3" t="str">
        <f>IFERROR(__xludf.DUMMYFUNCTION("""COMPUTED_VALUE"""),"36,033 km/h")</f>
        <v>36,033 km/h</v>
      </c>
      <c r="Q58" s="3" t="str">
        <f>IFERROR(__xludf.DUMMYFUNCTION("""COMPUTED_VALUE"""),"Imerio Massignan")</f>
        <v>Imerio Massignan</v>
      </c>
      <c r="R58" s="3" t="str">
        <f>IFERROR(__xludf.DUMMYFUNCTION("""COMPUTED_VALUE"""),"André Darrigade")</f>
        <v>André Darrigade</v>
      </c>
      <c r="S58" s="3"/>
      <c r="T58" s="3" t="str">
        <f>IFERROR(__xludf.DUMMYFUNCTION("""COMPUTED_VALUE"""),"Équipe Ouest-Sud-Ouest")</f>
        <v>Équipe Ouest-Sud-Ouest</v>
      </c>
    </row>
    <row r="59">
      <c r="G59" s="3" t="str">
        <f>IFERROR(__xludf.DUMMYFUNCTION("""COMPUTED_VALUE"""),"1962 (49e)")</f>
        <v>1962 (49e)</v>
      </c>
      <c r="H59" s="3" t="str">
        <f>IFERROR(__xludf.DUMMYFUNCTION("""COMPUTED_VALUE"""),"Jacques Anquetil")</f>
        <v>Jacques Anquetil</v>
      </c>
      <c r="I59" s="3" t="str">
        <f>IFERROR(__xludf.DUMMYFUNCTION("""COMPUTED_VALUE"""),"Joseph Planckaert")</f>
        <v>Joseph Planckaert</v>
      </c>
      <c r="J59" s="3" t="str">
        <f>IFERROR(__xludf.DUMMYFUNCTION("""COMPUTED_VALUE"""),"Raymond Poulidor")</f>
        <v>Raymond Poulidor</v>
      </c>
      <c r="K59" s="3" t="str">
        <f>IFERROR(__xludf.DUMMYFUNCTION("""COMPUTED_VALUE"""),"Saint-Raphaël-Helyett-Hutchinson")</f>
        <v>Saint-Raphaël-Helyett-Hutchinson</v>
      </c>
      <c r="L59" s="3" t="str">
        <f>IFERROR(__xludf.DUMMYFUNCTION("""COMPUTED_VALUE"""),"Helyett")</f>
        <v>Helyett</v>
      </c>
      <c r="M59" s="3" t="str">
        <f>IFERROR(__xludf.DUMMYFUNCTION("""COMPUTED_VALUE"""),"Simplex (en)")</f>
        <v>Simplex (en)</v>
      </c>
      <c r="N59" s="3">
        <f>IFERROR(__xludf.DUMMYFUNCTION("""COMPUTED_VALUE"""),22.0)</f>
        <v>22</v>
      </c>
      <c r="O59" s="3">
        <f>IFERROR(__xludf.DUMMYFUNCTION("""COMPUTED_VALUE"""),4274.0)</f>
        <v>4274</v>
      </c>
      <c r="P59" s="3" t="str">
        <f>IFERROR(__xludf.DUMMYFUNCTION("""COMPUTED_VALUE"""),"37,317 km/h")</f>
        <v>37,317 km/h</v>
      </c>
      <c r="Q59" s="3" t="str">
        <f>IFERROR(__xludf.DUMMYFUNCTION("""COMPUTED_VALUE"""),"Federico Bahamontes")</f>
        <v>Federico Bahamontes</v>
      </c>
      <c r="R59" s="3" t="str">
        <f>IFERROR(__xludf.DUMMYFUNCTION("""COMPUTED_VALUE"""),"Rudi Altig")</f>
        <v>Rudi Altig</v>
      </c>
      <c r="S59" s="3"/>
      <c r="T59" s="3" t="str">
        <f>IFERROR(__xludf.DUMMYFUNCTION("""COMPUTED_VALUE"""),"Eddy Pauwels")</f>
        <v>Eddy Pauwels</v>
      </c>
    </row>
    <row r="60">
      <c r="G60" s="3" t="str">
        <f>IFERROR(__xludf.DUMMYFUNCTION("""COMPUTED_VALUE"""),"1963 (50e)")</f>
        <v>1963 (50e)</v>
      </c>
      <c r="H60" s="3" t="str">
        <f>IFERROR(__xludf.DUMMYFUNCTION("""COMPUTED_VALUE"""),"Jacques Anquetil")</f>
        <v>Jacques Anquetil</v>
      </c>
      <c r="I60" s="3" t="str">
        <f>IFERROR(__xludf.DUMMYFUNCTION("""COMPUTED_VALUE"""),"Federico Bahamontes")</f>
        <v>Federico Bahamontes</v>
      </c>
      <c r="J60" s="3" t="str">
        <f>IFERROR(__xludf.DUMMYFUNCTION("""COMPUTED_VALUE"""),"José Pérez Francés")</f>
        <v>José Pérez Francés</v>
      </c>
      <c r="K60" s="3" t="str">
        <f>IFERROR(__xludf.DUMMYFUNCTION("""COMPUTED_VALUE"""),"Saint-Raphaël-Gitane-R. Geminiani")</f>
        <v>Saint-Raphaël-Gitane-R. Geminiani</v>
      </c>
      <c r="L60" s="3" t="str">
        <f>IFERROR(__xludf.DUMMYFUNCTION("""COMPUTED_VALUE"""),"Cycles Gitane")</f>
        <v>Cycles Gitane</v>
      </c>
      <c r="M60" s="3" t="str">
        <f>IFERROR(__xludf.DUMMYFUNCTION("""COMPUTED_VALUE"""),"Campagnolo")</f>
        <v>Campagnolo</v>
      </c>
      <c r="N60" s="3">
        <f>IFERROR(__xludf.DUMMYFUNCTION("""COMPUTED_VALUE"""),21.0)</f>
        <v>21</v>
      </c>
      <c r="O60" s="3">
        <f>IFERROR(__xludf.DUMMYFUNCTION("""COMPUTED_VALUE"""),4138.0)</f>
        <v>4138</v>
      </c>
      <c r="P60" s="3" t="str">
        <f>IFERROR(__xludf.DUMMYFUNCTION("""COMPUTED_VALUE"""),"37,092 km/h")</f>
        <v>37,092 km/h</v>
      </c>
      <c r="Q60" s="3" t="str">
        <f>IFERROR(__xludf.DUMMYFUNCTION("""COMPUTED_VALUE"""),"Federico Bahamontes")</f>
        <v>Federico Bahamontes</v>
      </c>
      <c r="R60" s="3" t="str">
        <f>IFERROR(__xludf.DUMMYFUNCTION("""COMPUTED_VALUE"""),"Rik Van Looy")</f>
        <v>Rik Van Looy</v>
      </c>
      <c r="S60" s="3"/>
      <c r="T60" s="3" t="str">
        <f>IFERROR(__xludf.DUMMYFUNCTION("""COMPUTED_VALUE"""),"Rik Van Looy")</f>
        <v>Rik Van Looy</v>
      </c>
    </row>
    <row r="61">
      <c r="G61" s="3" t="str">
        <f>IFERROR(__xludf.DUMMYFUNCTION("""COMPUTED_VALUE"""),"1964 (51e)")</f>
        <v>1964 (51e)</v>
      </c>
      <c r="H61" s="3" t="str">
        <f>IFERROR(__xludf.DUMMYFUNCTION("""COMPUTED_VALUE"""),"Jacques Anquetil")</f>
        <v>Jacques Anquetil</v>
      </c>
      <c r="I61" s="3" t="str">
        <f>IFERROR(__xludf.DUMMYFUNCTION("""COMPUTED_VALUE"""),"Raymond Poulidor")</f>
        <v>Raymond Poulidor</v>
      </c>
      <c r="J61" s="3" t="str">
        <f>IFERROR(__xludf.DUMMYFUNCTION("""COMPUTED_VALUE"""),"Federico Bahamontes")</f>
        <v>Federico Bahamontes</v>
      </c>
      <c r="K61" s="3" t="str">
        <f>IFERROR(__xludf.DUMMYFUNCTION("""COMPUTED_VALUE"""),"Saint-Raphaël-Gitane-Dunlop")</f>
        <v>Saint-Raphaël-Gitane-Dunlop</v>
      </c>
      <c r="L61" s="3" t="str">
        <f>IFERROR(__xludf.DUMMYFUNCTION("""COMPUTED_VALUE"""),"Cycles Gitane")</f>
        <v>Cycles Gitane</v>
      </c>
      <c r="M61" s="3" t="str">
        <f>IFERROR(__xludf.DUMMYFUNCTION("""COMPUTED_VALUE"""),"Campagnolo")</f>
        <v>Campagnolo</v>
      </c>
      <c r="N61" s="3">
        <f>IFERROR(__xludf.DUMMYFUNCTION("""COMPUTED_VALUE"""),22.0)</f>
        <v>22</v>
      </c>
      <c r="O61" s="3">
        <f>IFERROR(__xludf.DUMMYFUNCTION("""COMPUTED_VALUE"""),4504.0)</f>
        <v>4504</v>
      </c>
      <c r="P61" s="3" t="str">
        <f>IFERROR(__xludf.DUMMYFUNCTION("""COMPUTED_VALUE"""),"35,419 km/h")</f>
        <v>35,419 km/h</v>
      </c>
      <c r="Q61" s="3" t="str">
        <f>IFERROR(__xludf.DUMMYFUNCTION("""COMPUTED_VALUE"""),"Federico Bahamontes")</f>
        <v>Federico Bahamontes</v>
      </c>
      <c r="R61" s="3" t="str">
        <f>IFERROR(__xludf.DUMMYFUNCTION("""COMPUTED_VALUE"""),"Jan Janssen")</f>
        <v>Jan Janssen</v>
      </c>
      <c r="S61" s="3"/>
      <c r="T61" s="3" t="str">
        <f>IFERROR(__xludf.DUMMYFUNCTION("""COMPUTED_VALUE"""),"Henri Anglade")</f>
        <v>Henri Anglade</v>
      </c>
    </row>
    <row r="62">
      <c r="G62" s="3" t="str">
        <f>IFERROR(__xludf.DUMMYFUNCTION("""COMPUTED_VALUE"""),"1965 (52e)")</f>
        <v>1965 (52e)</v>
      </c>
      <c r="H62" s="3" t="str">
        <f>IFERROR(__xludf.DUMMYFUNCTION("""COMPUTED_VALUE"""),"Felice Gimondi")</f>
        <v>Felice Gimondi</v>
      </c>
      <c r="I62" s="3" t="str">
        <f>IFERROR(__xludf.DUMMYFUNCTION("""COMPUTED_VALUE"""),"Raymond Poulidor")</f>
        <v>Raymond Poulidor</v>
      </c>
      <c r="J62" s="3" t="str">
        <f>IFERROR(__xludf.DUMMYFUNCTION("""COMPUTED_VALUE"""),"Gianni Motta")</f>
        <v>Gianni Motta</v>
      </c>
      <c r="K62" s="3" t="str">
        <f>IFERROR(__xludf.DUMMYFUNCTION("""COMPUTED_VALUE"""),"Salvarani")</f>
        <v>Salvarani</v>
      </c>
      <c r="L62" s="3" t="str">
        <f>IFERROR(__xludf.DUMMYFUNCTION("""COMPUTED_VALUE"""),"Magni")</f>
        <v>Magni</v>
      </c>
      <c r="M62" s="3" t="str">
        <f>IFERROR(__xludf.DUMMYFUNCTION("""COMPUTED_VALUE"""),"Campagnolo")</f>
        <v>Campagnolo</v>
      </c>
      <c r="N62" s="3">
        <f>IFERROR(__xludf.DUMMYFUNCTION("""COMPUTED_VALUE"""),22.0)</f>
        <v>22</v>
      </c>
      <c r="O62" s="3">
        <f>IFERROR(__xludf.DUMMYFUNCTION("""COMPUTED_VALUE"""),4188.0)</f>
        <v>4188</v>
      </c>
      <c r="P62" s="3" t="str">
        <f>IFERROR(__xludf.DUMMYFUNCTION("""COMPUTED_VALUE"""),"35,886 km/h")</f>
        <v>35,886 km/h</v>
      </c>
      <c r="Q62" s="3" t="str">
        <f>IFERROR(__xludf.DUMMYFUNCTION("""COMPUTED_VALUE"""),"Julio Jiménez")</f>
        <v>Julio Jiménez</v>
      </c>
      <c r="R62" s="3" t="str">
        <f>IFERROR(__xludf.DUMMYFUNCTION("""COMPUTED_VALUE"""),"Jan Janssen")</f>
        <v>Jan Janssen</v>
      </c>
      <c r="S62" s="3"/>
      <c r="T62" s="3" t="str">
        <f>IFERROR(__xludf.DUMMYFUNCTION("""COMPUTED_VALUE"""),"Felice Gimondi")</f>
        <v>Felice Gimondi</v>
      </c>
    </row>
    <row r="63">
      <c r="G63" s="3" t="str">
        <f>IFERROR(__xludf.DUMMYFUNCTION("""COMPUTED_VALUE"""),"1966 (53e)")</f>
        <v>1966 (53e)</v>
      </c>
      <c r="H63" s="3" t="str">
        <f>IFERROR(__xludf.DUMMYFUNCTION("""COMPUTED_VALUE"""),"Lucien Aimar")</f>
        <v>Lucien Aimar</v>
      </c>
      <c r="I63" s="3" t="str">
        <f>IFERROR(__xludf.DUMMYFUNCTION("""COMPUTED_VALUE"""),"Jan Janssen")</f>
        <v>Jan Janssen</v>
      </c>
      <c r="J63" s="3" t="str">
        <f>IFERROR(__xludf.DUMMYFUNCTION("""COMPUTED_VALUE"""),"Raymond Poulidor")</f>
        <v>Raymond Poulidor</v>
      </c>
      <c r="K63" s="3" t="str">
        <f>IFERROR(__xludf.DUMMYFUNCTION("""COMPUTED_VALUE"""),"Ford France-Hutchinson")</f>
        <v>Ford France-Hutchinson</v>
      </c>
      <c r="L63" s="3" t="str">
        <f>IFERROR(__xludf.DUMMYFUNCTION("""COMPUTED_VALUE"""),"Cycles Gitane")</f>
        <v>Cycles Gitane</v>
      </c>
      <c r="M63" s="3" t="str">
        <f>IFERROR(__xludf.DUMMYFUNCTION("""COMPUTED_VALUE"""),"Campagnolo")</f>
        <v>Campagnolo</v>
      </c>
      <c r="N63" s="3">
        <f>IFERROR(__xludf.DUMMYFUNCTION("""COMPUTED_VALUE"""),22.0)</f>
        <v>22</v>
      </c>
      <c r="O63" s="3">
        <f>IFERROR(__xludf.DUMMYFUNCTION("""COMPUTED_VALUE"""),4329.0)</f>
        <v>4329</v>
      </c>
      <c r="P63" s="3" t="str">
        <f>IFERROR(__xludf.DUMMYFUNCTION("""COMPUTED_VALUE"""),"36,760 km/h")</f>
        <v>36,760 km/h</v>
      </c>
      <c r="Q63" s="3" t="str">
        <f>IFERROR(__xludf.DUMMYFUNCTION("""COMPUTED_VALUE"""),"Julio Jiménez")</f>
        <v>Julio Jiménez</v>
      </c>
      <c r="R63" s="3" t="str">
        <f>IFERROR(__xludf.DUMMYFUNCTION("""COMPUTED_VALUE"""),"Willy Planckaert")</f>
        <v>Willy Planckaert</v>
      </c>
      <c r="S63" s="3"/>
      <c r="T63" s="3" t="str">
        <f>IFERROR(__xludf.DUMMYFUNCTION("""COMPUTED_VALUE"""),"Rudi Altig")</f>
        <v>Rudi Altig</v>
      </c>
    </row>
    <row r="64">
      <c r="G64" s="3" t="str">
        <f>IFERROR(__xludf.DUMMYFUNCTION("""COMPUTED_VALUE"""),"1967 (54e)")</f>
        <v>1967 (54e)</v>
      </c>
      <c r="H64" s="3" t="str">
        <f>IFERROR(__xludf.DUMMYFUNCTION("""COMPUTED_VALUE"""),"Roger Pingeon")</f>
        <v>Roger Pingeon</v>
      </c>
      <c r="I64" s="3" t="str">
        <f>IFERROR(__xludf.DUMMYFUNCTION("""COMPUTED_VALUE"""),"Julio Jiménez")</f>
        <v>Julio Jiménez</v>
      </c>
      <c r="J64" s="3" t="str">
        <f>IFERROR(__xludf.DUMMYFUNCTION("""COMPUTED_VALUE"""),"Franco Balmamion")</f>
        <v>Franco Balmamion</v>
      </c>
      <c r="K64" s="3" t="str">
        <f>IFERROR(__xludf.DUMMYFUNCTION("""COMPUTED_VALUE"""),"France")</f>
        <v>France</v>
      </c>
      <c r="L64" s="3" t="str">
        <f>IFERROR(__xludf.DUMMYFUNCTION("""COMPUTED_VALUE"""),"Peugeot")</f>
        <v>Peugeot</v>
      </c>
      <c r="M64" s="3" t="str">
        <f>IFERROR(__xludf.DUMMYFUNCTION("""COMPUTED_VALUE"""),"Simplex (en)")</f>
        <v>Simplex (en)</v>
      </c>
      <c r="N64" s="3">
        <f>IFERROR(__xludf.DUMMYFUNCTION("""COMPUTED_VALUE"""),22.0)</f>
        <v>22</v>
      </c>
      <c r="O64" s="3">
        <f>IFERROR(__xludf.DUMMYFUNCTION("""COMPUTED_VALUE"""),4779.0)</f>
        <v>4779</v>
      </c>
      <c r="P64" s="3" t="str">
        <f>IFERROR(__xludf.DUMMYFUNCTION("""COMPUTED_VALUE"""),"34,756 km/h")</f>
        <v>34,756 km/h</v>
      </c>
      <c r="Q64" s="3" t="str">
        <f>IFERROR(__xludf.DUMMYFUNCTION("""COMPUTED_VALUE"""),"Julio Jiménez")</f>
        <v>Julio Jiménez</v>
      </c>
      <c r="R64" s="3" t="str">
        <f>IFERROR(__xludf.DUMMYFUNCTION("""COMPUTED_VALUE"""),"Jan Janssen")</f>
        <v>Jan Janssen</v>
      </c>
      <c r="S64" s="3"/>
      <c r="T64" s="3" t="str">
        <f>IFERROR(__xludf.DUMMYFUNCTION("""COMPUTED_VALUE"""),"Désiré Letort")</f>
        <v>Désiré Letort</v>
      </c>
    </row>
    <row r="65">
      <c r="G65" s="3" t="str">
        <f>IFERROR(__xludf.DUMMYFUNCTION("""COMPUTED_VALUE"""),"1968 (55e)")</f>
        <v>1968 (55e)</v>
      </c>
      <c r="H65" s="3" t="str">
        <f>IFERROR(__xludf.DUMMYFUNCTION("""COMPUTED_VALUE"""),"Jan Janssen")</f>
        <v>Jan Janssen</v>
      </c>
      <c r="I65" s="3" t="str">
        <f>IFERROR(__xludf.DUMMYFUNCTION("""COMPUTED_VALUE"""),"Herman Van Springel")</f>
        <v>Herman Van Springel</v>
      </c>
      <c r="J65" s="3" t="str">
        <f>IFERROR(__xludf.DUMMYFUNCTION("""COMPUTED_VALUE"""),"Ferdinand Bracke")</f>
        <v>Ferdinand Bracke</v>
      </c>
      <c r="K65" s="3" t="str">
        <f>IFERROR(__xludf.DUMMYFUNCTION("""COMPUTED_VALUE"""),"Pays-Bas")</f>
        <v>Pays-Bas</v>
      </c>
      <c r="L65" s="3" t="str">
        <f>IFERROR(__xludf.DUMMYFUNCTION("""COMPUTED_VALUE"""),"Lejeune")</f>
        <v>Lejeune</v>
      </c>
      <c r="M65" s="3" t="str">
        <f>IFERROR(__xludf.DUMMYFUNCTION("""COMPUTED_VALUE"""),"Campagnolo")</f>
        <v>Campagnolo</v>
      </c>
      <c r="N65" s="3">
        <f>IFERROR(__xludf.DUMMYFUNCTION("""COMPUTED_VALUE"""),22.0)</f>
        <v>22</v>
      </c>
      <c r="O65" s="3">
        <f>IFERROR(__xludf.DUMMYFUNCTION("""COMPUTED_VALUE"""),4492.0)</f>
        <v>4492</v>
      </c>
      <c r="P65" s="3" t="str">
        <f>IFERROR(__xludf.DUMMYFUNCTION("""COMPUTED_VALUE"""),"33,556 km/h")</f>
        <v>33,556 km/h</v>
      </c>
      <c r="Q65" s="3" t="str">
        <f>IFERROR(__xludf.DUMMYFUNCTION("""COMPUTED_VALUE"""),"Aurelio González")</f>
        <v>Aurelio González</v>
      </c>
      <c r="R65" s="3" t="str">
        <f>IFERROR(__xludf.DUMMYFUNCTION("""COMPUTED_VALUE"""),"Franco Bitossi")</f>
        <v>Franco Bitossi</v>
      </c>
      <c r="S65" s="3"/>
      <c r="T65" s="3" t="str">
        <f>IFERROR(__xludf.DUMMYFUNCTION("""COMPUTED_VALUE"""),"Roger Pingeon")</f>
        <v>Roger Pingeon</v>
      </c>
    </row>
    <row r="66">
      <c r="G66" s="3" t="str">
        <f>IFERROR(__xludf.DUMMYFUNCTION("""COMPUTED_VALUE"""),"1969 (56e)")</f>
        <v>1969 (56e)</v>
      </c>
      <c r="H66" s="3" t="str">
        <f>IFERROR(__xludf.DUMMYFUNCTION("""COMPUTED_VALUE"""),"Eddy Merckx")</f>
        <v>Eddy Merckx</v>
      </c>
      <c r="I66" s="3" t="str">
        <f>IFERROR(__xludf.DUMMYFUNCTION("""COMPUTED_VALUE"""),"Roger Pingeon")</f>
        <v>Roger Pingeon</v>
      </c>
      <c r="J66" s="3" t="str">
        <f>IFERROR(__xludf.DUMMYFUNCTION("""COMPUTED_VALUE"""),"Raymond Poulidor")</f>
        <v>Raymond Poulidor</v>
      </c>
      <c r="K66" s="3" t="str">
        <f>IFERROR(__xludf.DUMMYFUNCTION("""COMPUTED_VALUE"""),"Faema")</f>
        <v>Faema</v>
      </c>
      <c r="L66" s="3" t="str">
        <f>IFERROR(__xludf.DUMMYFUNCTION("""COMPUTED_VALUE"""),"Colnago")</f>
        <v>Colnago</v>
      </c>
      <c r="M66" s="3" t="str">
        <f>IFERROR(__xludf.DUMMYFUNCTION("""COMPUTED_VALUE"""),"Campagnolo")</f>
        <v>Campagnolo</v>
      </c>
      <c r="N66" s="3">
        <f>IFERROR(__xludf.DUMMYFUNCTION("""COMPUTED_VALUE"""),22.0)</f>
        <v>22</v>
      </c>
      <c r="O66" s="3">
        <f>IFERROR(__xludf.DUMMYFUNCTION("""COMPUTED_VALUE"""),4117.0)</f>
        <v>4117</v>
      </c>
      <c r="P66" s="3" t="str">
        <f>IFERROR(__xludf.DUMMYFUNCTION("""COMPUTED_VALUE"""),"35,409 km/h")</f>
        <v>35,409 km/h</v>
      </c>
      <c r="Q66" s="3" t="str">
        <f>IFERROR(__xludf.DUMMYFUNCTION("""COMPUTED_VALUE"""),"Eddy Merckx")</f>
        <v>Eddy Merckx</v>
      </c>
      <c r="R66" s="3" t="str">
        <f>IFERROR(__xludf.DUMMYFUNCTION("""COMPUTED_VALUE"""),"Eddy Merckx")</f>
        <v>Eddy Merckx</v>
      </c>
      <c r="S66" s="3"/>
      <c r="T66" s="3" t="str">
        <f>IFERROR(__xludf.DUMMYFUNCTION("""COMPUTED_VALUE"""),"Eddy Merckx")</f>
        <v>Eddy Merckx</v>
      </c>
    </row>
    <row r="67">
      <c r="G67" s="3" t="str">
        <f>IFERROR(__xludf.DUMMYFUNCTION("""COMPUTED_VALUE"""),"1970 (57e)")</f>
        <v>1970 (57e)</v>
      </c>
      <c r="H67" s="3" t="str">
        <f>IFERROR(__xludf.DUMMYFUNCTION("""COMPUTED_VALUE"""),"Eddy Merckx")</f>
        <v>Eddy Merckx</v>
      </c>
      <c r="I67" s="3" t="str">
        <f>IFERROR(__xludf.DUMMYFUNCTION("""COMPUTED_VALUE"""),"Joop Zoetemelk")</f>
        <v>Joop Zoetemelk</v>
      </c>
      <c r="J67" s="3" t="str">
        <f>IFERROR(__xludf.DUMMYFUNCTION("""COMPUTED_VALUE"""),"Gösta Pettersson")</f>
        <v>Gösta Pettersson</v>
      </c>
      <c r="K67" s="3" t="str">
        <f>IFERROR(__xludf.DUMMYFUNCTION("""COMPUTED_VALUE"""),"Faemino-Faema")</f>
        <v>Faemino-Faema</v>
      </c>
      <c r="L67" s="3" t="str">
        <f>IFERROR(__xludf.DUMMYFUNCTION("""COMPUTED_VALUE"""),"Colnago")</f>
        <v>Colnago</v>
      </c>
      <c r="M67" s="3" t="str">
        <f>IFERROR(__xludf.DUMMYFUNCTION("""COMPUTED_VALUE"""),"Campagnolo")</f>
        <v>Campagnolo</v>
      </c>
      <c r="N67" s="3">
        <f>IFERROR(__xludf.DUMMYFUNCTION("""COMPUTED_VALUE"""),22.0)</f>
        <v>22</v>
      </c>
      <c r="O67" s="3">
        <f>IFERROR(__xludf.DUMMYFUNCTION("""COMPUTED_VALUE"""),4254.0)</f>
        <v>4254</v>
      </c>
      <c r="P67" s="3" t="str">
        <f>IFERROR(__xludf.DUMMYFUNCTION("""COMPUTED_VALUE"""),"35,589 km/h")</f>
        <v>35,589 km/h</v>
      </c>
      <c r="Q67" s="3" t="str">
        <f>IFERROR(__xludf.DUMMYFUNCTION("""COMPUTED_VALUE"""),"Eddy Merckx")</f>
        <v>Eddy Merckx</v>
      </c>
      <c r="R67" s="3" t="str">
        <f>IFERROR(__xludf.DUMMYFUNCTION("""COMPUTED_VALUE"""),"Walter Godefroot")</f>
        <v>Walter Godefroot</v>
      </c>
      <c r="S67" s="3"/>
      <c r="T67" s="3" t="str">
        <f>IFERROR(__xludf.DUMMYFUNCTION("""COMPUTED_VALUE"""),"Eddy Merckx")</f>
        <v>Eddy Merckx</v>
      </c>
    </row>
    <row r="68">
      <c r="G68" s="3" t="str">
        <f>IFERROR(__xludf.DUMMYFUNCTION("""COMPUTED_VALUE"""),"1971 (58e)")</f>
        <v>1971 (58e)</v>
      </c>
      <c r="H68" s="3" t="str">
        <f>IFERROR(__xludf.DUMMYFUNCTION("""COMPUTED_VALUE"""),"Eddy Merckx")</f>
        <v>Eddy Merckx</v>
      </c>
      <c r="I68" s="3" t="str">
        <f>IFERROR(__xludf.DUMMYFUNCTION("""COMPUTED_VALUE"""),"Joop Zoetemelk")</f>
        <v>Joop Zoetemelk</v>
      </c>
      <c r="J68" s="3" t="str">
        <f>IFERROR(__xludf.DUMMYFUNCTION("""COMPUTED_VALUE"""),"Lucien Van Impe")</f>
        <v>Lucien Van Impe</v>
      </c>
      <c r="K68" s="3" t="str">
        <f>IFERROR(__xludf.DUMMYFUNCTION("""COMPUTED_VALUE"""),"Molteni")</f>
        <v>Molteni</v>
      </c>
      <c r="L68" s="3" t="str">
        <f>IFERROR(__xludf.DUMMYFUNCTION("""COMPUTED_VALUE"""),"De Rosa")</f>
        <v>De Rosa</v>
      </c>
      <c r="M68" s="3" t="str">
        <f>IFERROR(__xludf.DUMMYFUNCTION("""COMPUTED_VALUE"""),"Campagnolo")</f>
        <v>Campagnolo</v>
      </c>
      <c r="N68" s="3">
        <f>IFERROR(__xludf.DUMMYFUNCTION("""COMPUTED_VALUE"""),20.0)</f>
        <v>20</v>
      </c>
      <c r="O68" s="3">
        <f>IFERROR(__xludf.DUMMYFUNCTION("""COMPUTED_VALUE"""),3608.0)</f>
        <v>3608</v>
      </c>
      <c r="P68" s="3" t="str">
        <f>IFERROR(__xludf.DUMMYFUNCTION("""COMPUTED_VALUE"""),"38,084 km/h")</f>
        <v>38,084 km/h</v>
      </c>
      <c r="Q68" s="3" t="str">
        <f>IFERROR(__xludf.DUMMYFUNCTION("""COMPUTED_VALUE"""),"Lucien Van Impe")</f>
        <v>Lucien Van Impe</v>
      </c>
      <c r="R68" s="3" t="str">
        <f>IFERROR(__xludf.DUMMYFUNCTION("""COMPUTED_VALUE"""),"Eddy Merckx")</f>
        <v>Eddy Merckx</v>
      </c>
      <c r="S68" s="3"/>
      <c r="T68" s="3" t="str">
        <f>IFERROR(__xludf.DUMMYFUNCTION("""COMPUTED_VALUE"""),"Luis Ocaña")</f>
        <v>Luis Ocaña</v>
      </c>
    </row>
    <row r="69">
      <c r="G69" s="3" t="str">
        <f>IFERROR(__xludf.DUMMYFUNCTION("""COMPUTED_VALUE"""),"1972 (59e)")</f>
        <v>1972 (59e)</v>
      </c>
      <c r="H69" s="3" t="str">
        <f>IFERROR(__xludf.DUMMYFUNCTION("""COMPUTED_VALUE"""),"Eddy Merckx")</f>
        <v>Eddy Merckx</v>
      </c>
      <c r="I69" s="3" t="str">
        <f>IFERROR(__xludf.DUMMYFUNCTION("""COMPUTED_VALUE"""),"Felice Gimondi")</f>
        <v>Felice Gimondi</v>
      </c>
      <c r="J69" s="3" t="str">
        <f>IFERROR(__xludf.DUMMYFUNCTION("""COMPUTED_VALUE"""),"Raymond Poulidor")</f>
        <v>Raymond Poulidor</v>
      </c>
      <c r="K69" s="3" t="str">
        <f>IFERROR(__xludf.DUMMYFUNCTION("""COMPUTED_VALUE"""),"Molteni")</f>
        <v>Molteni</v>
      </c>
      <c r="L69" s="3" t="str">
        <f>IFERROR(__xludf.DUMMYFUNCTION("""COMPUTED_VALUE"""),"Colnago")</f>
        <v>Colnago</v>
      </c>
      <c r="M69" s="3" t="str">
        <f>IFERROR(__xludf.DUMMYFUNCTION("""COMPUTED_VALUE"""),"Campagnolo")</f>
        <v>Campagnolo</v>
      </c>
      <c r="N69" s="3">
        <f>IFERROR(__xludf.DUMMYFUNCTION("""COMPUTED_VALUE"""),20.0)</f>
        <v>20</v>
      </c>
      <c r="O69" s="3">
        <f>IFERROR(__xludf.DUMMYFUNCTION("""COMPUTED_VALUE"""),3846.0)</f>
        <v>3846</v>
      </c>
      <c r="P69" s="3" t="str">
        <f>IFERROR(__xludf.DUMMYFUNCTION("""COMPUTED_VALUE"""),"35,514 km/h")</f>
        <v>35,514 km/h</v>
      </c>
      <c r="Q69" s="3" t="str">
        <f>IFERROR(__xludf.DUMMYFUNCTION("""COMPUTED_VALUE"""),"Lucien Van Impe")</f>
        <v>Lucien Van Impe</v>
      </c>
      <c r="R69" s="3" t="str">
        <f>IFERROR(__xludf.DUMMYFUNCTION("""COMPUTED_VALUE"""),"Eddy Merckx")</f>
        <v>Eddy Merckx</v>
      </c>
      <c r="S69" s="3"/>
      <c r="T69" s="3" t="str">
        <f>IFERROR(__xludf.DUMMYFUNCTION("""COMPUTED_VALUE"""),"Cyrille Guimard")</f>
        <v>Cyrille Guimard</v>
      </c>
    </row>
    <row r="70">
      <c r="G70" s="3" t="str">
        <f>IFERROR(__xludf.DUMMYFUNCTION("""COMPUTED_VALUE"""),"1973 (60e)")</f>
        <v>1973 (60e)</v>
      </c>
      <c r="H70" s="3" t="str">
        <f>IFERROR(__xludf.DUMMYFUNCTION("""COMPUTED_VALUE"""),"Luis Ocaña")</f>
        <v>Luis Ocaña</v>
      </c>
      <c r="I70" s="3" t="str">
        <f>IFERROR(__xludf.DUMMYFUNCTION("""COMPUTED_VALUE"""),"Bernard Thévenet")</f>
        <v>Bernard Thévenet</v>
      </c>
      <c r="J70" s="3" t="str">
        <f>IFERROR(__xludf.DUMMYFUNCTION("""COMPUTED_VALUE"""),"José Manuel Fuente")</f>
        <v>José Manuel Fuente</v>
      </c>
      <c r="K70" s="3" t="str">
        <f>IFERROR(__xludf.DUMMYFUNCTION("""COMPUTED_VALUE"""),"Bic")</f>
        <v>Bic</v>
      </c>
      <c r="L70" s="3" t="str">
        <f>IFERROR(__xludf.DUMMYFUNCTION("""COMPUTED_VALUE"""),"Motobecane")</f>
        <v>Motobecane</v>
      </c>
      <c r="M70" s="3" t="str">
        <f>IFERROR(__xludf.DUMMYFUNCTION("""COMPUTED_VALUE"""),"Campagnolo")</f>
        <v>Campagnolo</v>
      </c>
      <c r="N70" s="3">
        <f>IFERROR(__xludf.DUMMYFUNCTION("""COMPUTED_VALUE"""),20.0)</f>
        <v>20</v>
      </c>
      <c r="O70" s="3">
        <f>IFERROR(__xludf.DUMMYFUNCTION("""COMPUTED_VALUE"""),4090.0)</f>
        <v>4090</v>
      </c>
      <c r="P70" s="3" t="str">
        <f>IFERROR(__xludf.DUMMYFUNCTION("""COMPUTED_VALUE"""),"33,407 km/h")</f>
        <v>33,407 km/h</v>
      </c>
      <c r="Q70" s="3" t="str">
        <f>IFERROR(__xludf.DUMMYFUNCTION("""COMPUTED_VALUE"""),"Pedro Torres")</f>
        <v>Pedro Torres</v>
      </c>
      <c r="R70" s="3" t="str">
        <f>IFERROR(__xludf.DUMMYFUNCTION("""COMPUTED_VALUE"""),"Herman Van Springel")</f>
        <v>Herman Van Springel</v>
      </c>
      <c r="S70" s="3"/>
      <c r="T70" s="3" t="str">
        <f>IFERROR(__xludf.DUMMYFUNCTION("""COMPUTED_VALUE"""),"Luis Ocaña")</f>
        <v>Luis Ocaña</v>
      </c>
    </row>
    <row r="71">
      <c r="G71" s="3" t="str">
        <f>IFERROR(__xludf.DUMMYFUNCTION("""COMPUTED_VALUE"""),"1974 (61e)")</f>
        <v>1974 (61e)</v>
      </c>
      <c r="H71" s="3" t="str">
        <f>IFERROR(__xludf.DUMMYFUNCTION("""COMPUTED_VALUE"""),"Eddy Merckx")</f>
        <v>Eddy Merckx</v>
      </c>
      <c r="I71" s="3" t="str">
        <f>IFERROR(__xludf.DUMMYFUNCTION("""COMPUTED_VALUE"""),"Raymond Poulidor")</f>
        <v>Raymond Poulidor</v>
      </c>
      <c r="J71" s="3" t="str">
        <f>IFERROR(__xludf.DUMMYFUNCTION("""COMPUTED_VALUE"""),"Vicente López Carril")</f>
        <v>Vicente López Carril</v>
      </c>
      <c r="K71" s="3" t="str">
        <f>IFERROR(__xludf.DUMMYFUNCTION("""COMPUTED_VALUE"""),"Molteni")</f>
        <v>Molteni</v>
      </c>
      <c r="L71" s="3" t="str">
        <f>IFERROR(__xludf.DUMMYFUNCTION("""COMPUTED_VALUE"""),"Kessels")</f>
        <v>Kessels</v>
      </c>
      <c r="M71" s="3" t="str">
        <f>IFERROR(__xludf.DUMMYFUNCTION("""COMPUTED_VALUE"""),"Campagnolo")</f>
        <v>Campagnolo</v>
      </c>
      <c r="N71" s="3">
        <f>IFERROR(__xludf.DUMMYFUNCTION("""COMPUTED_VALUE"""),22.0)</f>
        <v>22</v>
      </c>
      <c r="O71" s="3">
        <f>IFERROR(__xludf.DUMMYFUNCTION("""COMPUTED_VALUE"""),4098.0)</f>
        <v>4098</v>
      </c>
      <c r="P71" s="3" t="str">
        <f>IFERROR(__xludf.DUMMYFUNCTION("""COMPUTED_VALUE"""),"35,241 km/h")</f>
        <v>35,241 km/h</v>
      </c>
      <c r="Q71" s="3" t="str">
        <f>IFERROR(__xludf.DUMMYFUNCTION("""COMPUTED_VALUE"""),"Domingo Perurena")</f>
        <v>Domingo Perurena</v>
      </c>
      <c r="R71" s="3" t="str">
        <f>IFERROR(__xludf.DUMMYFUNCTION("""COMPUTED_VALUE"""),"Patrick Sercu")</f>
        <v>Patrick Sercu</v>
      </c>
      <c r="S71" s="3"/>
      <c r="T71" s="3" t="str">
        <f>IFERROR(__xludf.DUMMYFUNCTION("""COMPUTED_VALUE"""),"Eddy Merckx")</f>
        <v>Eddy Merckx</v>
      </c>
    </row>
    <row r="72">
      <c r="G72" s="3" t="str">
        <f>IFERROR(__xludf.DUMMYFUNCTION("""COMPUTED_VALUE"""),"1975 (62e)")</f>
        <v>1975 (62e)</v>
      </c>
      <c r="H72" s="3" t="str">
        <f>IFERROR(__xludf.DUMMYFUNCTION("""COMPUTED_VALUE"""),"Bernard Thévenet")</f>
        <v>Bernard Thévenet</v>
      </c>
      <c r="I72" s="3" t="str">
        <f>IFERROR(__xludf.DUMMYFUNCTION("""COMPUTED_VALUE"""),"Eddy Merckx")</f>
        <v>Eddy Merckx</v>
      </c>
      <c r="J72" s="3" t="str">
        <f>IFERROR(__xludf.DUMMYFUNCTION("""COMPUTED_VALUE"""),"Lucien Van Impe")</f>
        <v>Lucien Van Impe</v>
      </c>
      <c r="K72" s="3" t="str">
        <f>IFERROR(__xludf.DUMMYFUNCTION("""COMPUTED_VALUE"""),"Peugeot-BP-Michelin")</f>
        <v>Peugeot-BP-Michelin</v>
      </c>
      <c r="L72" s="3" t="str">
        <f>IFERROR(__xludf.DUMMYFUNCTION("""COMPUTED_VALUE"""),"Peugeot")</f>
        <v>Peugeot</v>
      </c>
      <c r="M72" s="3" t="str">
        <f>IFERROR(__xludf.DUMMYFUNCTION("""COMPUTED_VALUE"""),"Simplex (en)")</f>
        <v>Simplex (en)</v>
      </c>
      <c r="N72" s="3">
        <f>IFERROR(__xludf.DUMMYFUNCTION("""COMPUTED_VALUE"""),22.0)</f>
        <v>22</v>
      </c>
      <c r="O72" s="3">
        <f>IFERROR(__xludf.DUMMYFUNCTION("""COMPUTED_VALUE"""),4000.0)</f>
        <v>4000</v>
      </c>
      <c r="P72" s="3" t="str">
        <f>IFERROR(__xludf.DUMMYFUNCTION("""COMPUTED_VALUE"""),"34,906 km/h")</f>
        <v>34,906 km/h</v>
      </c>
      <c r="Q72" s="3" t="str">
        <f>IFERROR(__xludf.DUMMYFUNCTION("""COMPUTED_VALUE"""),"Lucien Van Impe")</f>
        <v>Lucien Van Impe</v>
      </c>
      <c r="R72" s="3" t="str">
        <f>IFERROR(__xludf.DUMMYFUNCTION("""COMPUTED_VALUE"""),"Rik Van Linden")</f>
        <v>Rik Van Linden</v>
      </c>
      <c r="S72" s="3" t="str">
        <f>IFERROR(__xludf.DUMMYFUNCTION("""COMPUTED_VALUE"""),"Francesco Moser")</f>
        <v>Francesco Moser</v>
      </c>
      <c r="T72" s="3" t="str">
        <f>IFERROR(__xludf.DUMMYFUNCTION("""COMPUTED_VALUE"""),"Eddy Merckx")</f>
        <v>Eddy Merckx</v>
      </c>
    </row>
    <row r="73">
      <c r="G73" s="3" t="str">
        <f>IFERROR(__xludf.DUMMYFUNCTION("""COMPUTED_VALUE"""),"1976 (63e)")</f>
        <v>1976 (63e)</v>
      </c>
      <c r="H73" s="3" t="str">
        <f>IFERROR(__xludf.DUMMYFUNCTION("""COMPUTED_VALUE"""),"Lucien Van Impe")</f>
        <v>Lucien Van Impe</v>
      </c>
      <c r="I73" s="3" t="str">
        <f>IFERROR(__xludf.DUMMYFUNCTION("""COMPUTED_VALUE"""),"Joop Zoetemelk")</f>
        <v>Joop Zoetemelk</v>
      </c>
      <c r="J73" s="3" t="str">
        <f>IFERROR(__xludf.DUMMYFUNCTION("""COMPUTED_VALUE"""),"Raymond Poulidor")</f>
        <v>Raymond Poulidor</v>
      </c>
      <c r="K73" s="3" t="str">
        <f>IFERROR(__xludf.DUMMYFUNCTION("""COMPUTED_VALUE"""),"Gitane-Campagnolo")</f>
        <v>Gitane-Campagnolo</v>
      </c>
      <c r="L73" s="3" t="str">
        <f>IFERROR(__xludf.DUMMYFUNCTION("""COMPUTED_VALUE"""),"Cycles Gitane")</f>
        <v>Cycles Gitane</v>
      </c>
      <c r="M73" s="3" t="str">
        <f>IFERROR(__xludf.DUMMYFUNCTION("""COMPUTED_VALUE"""),"Campagnolo")</f>
        <v>Campagnolo</v>
      </c>
      <c r="N73" s="3">
        <f>IFERROR(__xludf.DUMMYFUNCTION("""COMPUTED_VALUE"""),22.0)</f>
        <v>22</v>
      </c>
      <c r="O73" s="3">
        <f>IFERROR(__xludf.DUMMYFUNCTION("""COMPUTED_VALUE"""),4017.0)</f>
        <v>4017</v>
      </c>
      <c r="P73" s="3" t="str">
        <f>IFERROR(__xludf.DUMMYFUNCTION("""COMPUTED_VALUE"""),"34,518 km/h")</f>
        <v>34,518 km/h</v>
      </c>
      <c r="Q73" s="3" t="str">
        <f>IFERROR(__xludf.DUMMYFUNCTION("""COMPUTED_VALUE"""),"Giancarlo Bellini")</f>
        <v>Giancarlo Bellini</v>
      </c>
      <c r="R73" s="3" t="str">
        <f>IFERROR(__xludf.DUMMYFUNCTION("""COMPUTED_VALUE"""),"Freddy Maertens")</f>
        <v>Freddy Maertens</v>
      </c>
      <c r="S73" s="3" t="str">
        <f>IFERROR(__xludf.DUMMYFUNCTION("""COMPUTED_VALUE"""),"Enrique Martínez Heredia")</f>
        <v>Enrique Martínez Heredia</v>
      </c>
      <c r="T73" s="3" t="str">
        <f>IFERROR(__xludf.DUMMYFUNCTION("""COMPUTED_VALUE"""),"Raymond Delisle")</f>
        <v>Raymond Delisle</v>
      </c>
    </row>
    <row r="74">
      <c r="G74" s="3" t="str">
        <f>IFERROR(__xludf.DUMMYFUNCTION("""COMPUTED_VALUE"""),"1977 (64e)")</f>
        <v>1977 (64e)</v>
      </c>
      <c r="H74" s="3" t="str">
        <f>IFERROR(__xludf.DUMMYFUNCTION("""COMPUTED_VALUE"""),"Bernard Thévenet")</f>
        <v>Bernard Thévenet</v>
      </c>
      <c r="I74" s="3" t="str">
        <f>IFERROR(__xludf.DUMMYFUNCTION("""COMPUTED_VALUE"""),"Hennie Kuiper")</f>
        <v>Hennie Kuiper</v>
      </c>
      <c r="J74" s="3" t="str">
        <f>IFERROR(__xludf.DUMMYFUNCTION("""COMPUTED_VALUE"""),"Lucien Van Impe")</f>
        <v>Lucien Van Impe</v>
      </c>
      <c r="K74" s="3" t="str">
        <f>IFERROR(__xludf.DUMMYFUNCTION("""COMPUTED_VALUE"""),"Peugeot-Esso-Michelin")</f>
        <v>Peugeot-Esso-Michelin</v>
      </c>
      <c r="L74" s="3" t="str">
        <f>IFERROR(__xludf.DUMMYFUNCTION("""COMPUTED_VALUE"""),"Peugeot")</f>
        <v>Peugeot</v>
      </c>
      <c r="M74" s="3" t="str">
        <f>IFERROR(__xludf.DUMMYFUNCTION("""COMPUTED_VALUE"""),"Simplex (en)")</f>
        <v>Simplex (en)</v>
      </c>
      <c r="N74" s="3">
        <f>IFERROR(__xludf.DUMMYFUNCTION("""COMPUTED_VALUE"""),22.0)</f>
        <v>22</v>
      </c>
      <c r="O74" s="3">
        <f>IFERROR(__xludf.DUMMYFUNCTION("""COMPUTED_VALUE"""),4096.0)</f>
        <v>4096</v>
      </c>
      <c r="P74" s="3" t="str">
        <f>IFERROR(__xludf.DUMMYFUNCTION("""COMPUTED_VALUE"""),"35,419 km/h")</f>
        <v>35,419 km/h</v>
      </c>
      <c r="Q74" s="3" t="str">
        <f>IFERROR(__xludf.DUMMYFUNCTION("""COMPUTED_VALUE"""),"Lucien Van Impe")</f>
        <v>Lucien Van Impe</v>
      </c>
      <c r="R74" s="3" t="str">
        <f>IFERROR(__xludf.DUMMYFUNCTION("""COMPUTED_VALUE"""),"Jacques Esclassan")</f>
        <v>Jacques Esclassan</v>
      </c>
      <c r="S74" s="3" t="str">
        <f>IFERROR(__xludf.DUMMYFUNCTION("""COMPUTED_VALUE"""),"Dietrich Thurau")</f>
        <v>Dietrich Thurau</v>
      </c>
      <c r="T74" s="3" t="str">
        <f>IFERROR(__xludf.DUMMYFUNCTION("""COMPUTED_VALUE"""),"Gerrie Knetemann")</f>
        <v>Gerrie Knetemann</v>
      </c>
    </row>
    <row r="75">
      <c r="G75" s="3" t="str">
        <f>IFERROR(__xludf.DUMMYFUNCTION("""COMPUTED_VALUE"""),"1978 (65e)")</f>
        <v>1978 (65e)</v>
      </c>
      <c r="H75" s="3" t="str">
        <f>IFERROR(__xludf.DUMMYFUNCTION("""COMPUTED_VALUE"""),"Bernard Hinault")</f>
        <v>Bernard Hinault</v>
      </c>
      <c r="I75" s="3" t="str">
        <f>IFERROR(__xludf.DUMMYFUNCTION("""COMPUTED_VALUE"""),"Joop Zoetemelk")</f>
        <v>Joop Zoetemelk</v>
      </c>
      <c r="J75" s="3" t="str">
        <f>IFERROR(__xludf.DUMMYFUNCTION("""COMPUTED_VALUE"""),"Joaquim Agostinho")</f>
        <v>Joaquim Agostinho</v>
      </c>
      <c r="K75" s="3" t="str">
        <f>IFERROR(__xludf.DUMMYFUNCTION("""COMPUTED_VALUE"""),"Renault-Gitane-Campagnolo")</f>
        <v>Renault-Gitane-Campagnolo</v>
      </c>
      <c r="L75" s="3" t="str">
        <f>IFERROR(__xludf.DUMMYFUNCTION("""COMPUTED_VALUE"""),"Cycles Gitane")</f>
        <v>Cycles Gitane</v>
      </c>
      <c r="M75" s="3" t="str">
        <f>IFERROR(__xludf.DUMMYFUNCTION("""COMPUTED_VALUE"""),"Campagnolo")</f>
        <v>Campagnolo</v>
      </c>
      <c r="N75" s="3">
        <f>IFERROR(__xludf.DUMMYFUNCTION("""COMPUTED_VALUE"""),22.0)</f>
        <v>22</v>
      </c>
      <c r="O75" s="3">
        <f>IFERROR(__xludf.DUMMYFUNCTION("""COMPUTED_VALUE"""),3908.0)</f>
        <v>3908</v>
      </c>
      <c r="P75" s="3" t="str">
        <f>IFERROR(__xludf.DUMMYFUNCTION("""COMPUTED_VALUE"""),"36,084 km/h")</f>
        <v>36,084 km/h</v>
      </c>
      <c r="Q75" s="3" t="str">
        <f>IFERROR(__xludf.DUMMYFUNCTION("""COMPUTED_VALUE"""),"Mariano Martinez")</f>
        <v>Mariano Martinez</v>
      </c>
      <c r="R75" s="3" t="str">
        <f>IFERROR(__xludf.DUMMYFUNCTION("""COMPUTED_VALUE"""),"Freddy Maertens")</f>
        <v>Freddy Maertens</v>
      </c>
      <c r="S75" s="3" t="str">
        <f>IFERROR(__xludf.DUMMYFUNCTION("""COMPUTED_VALUE"""),"Henk Lubberding")</f>
        <v>Henk Lubberding</v>
      </c>
      <c r="T75" s="3" t="str">
        <f>IFERROR(__xludf.DUMMYFUNCTION("""COMPUTED_VALUE"""),"Paul Wellens")</f>
        <v>Paul Wellens</v>
      </c>
    </row>
    <row r="76">
      <c r="G76" s="3" t="str">
        <f>IFERROR(__xludf.DUMMYFUNCTION("""COMPUTED_VALUE"""),"1979 (66e)")</f>
        <v>1979 (66e)</v>
      </c>
      <c r="H76" s="3" t="str">
        <f>IFERROR(__xludf.DUMMYFUNCTION("""COMPUTED_VALUE"""),"Bernard Hinault")</f>
        <v>Bernard Hinault</v>
      </c>
      <c r="I76" s="3" t="str">
        <f>IFERROR(__xludf.DUMMYFUNCTION("""COMPUTED_VALUE"""),"Joop Zoetemelk")</f>
        <v>Joop Zoetemelk</v>
      </c>
      <c r="J76" s="3" t="str">
        <f>IFERROR(__xludf.DUMMYFUNCTION("""COMPUTED_VALUE"""),"Joaquim Agostinho")</f>
        <v>Joaquim Agostinho</v>
      </c>
      <c r="K76" s="3" t="str">
        <f>IFERROR(__xludf.DUMMYFUNCTION("""COMPUTED_VALUE"""),"Renault-Gitane")</f>
        <v>Renault-Gitane</v>
      </c>
      <c r="L76" s="3" t="str">
        <f>IFERROR(__xludf.DUMMYFUNCTION("""COMPUTED_VALUE"""),"Cycles Gitane")</f>
        <v>Cycles Gitane</v>
      </c>
      <c r="M76" s="3" t="str">
        <f>IFERROR(__xludf.DUMMYFUNCTION("""COMPUTED_VALUE"""),"Campagnolo")</f>
        <v>Campagnolo</v>
      </c>
      <c r="N76" s="3">
        <f>IFERROR(__xludf.DUMMYFUNCTION("""COMPUTED_VALUE"""),24.0)</f>
        <v>24</v>
      </c>
      <c r="O76" s="3">
        <f>IFERROR(__xludf.DUMMYFUNCTION("""COMPUTED_VALUE"""),3765.0)</f>
        <v>3765</v>
      </c>
      <c r="P76" s="3" t="str">
        <f>IFERROR(__xludf.DUMMYFUNCTION("""COMPUTED_VALUE"""),"36,513 km/h")</f>
        <v>36,513 km/h</v>
      </c>
      <c r="Q76" s="3" t="str">
        <f>IFERROR(__xludf.DUMMYFUNCTION("""COMPUTED_VALUE"""),"Giovanni Battaglin")</f>
        <v>Giovanni Battaglin</v>
      </c>
      <c r="R76" s="3" t="str">
        <f>IFERROR(__xludf.DUMMYFUNCTION("""COMPUTED_VALUE"""),"Bernard Hinault")</f>
        <v>Bernard Hinault</v>
      </c>
      <c r="S76" s="3" t="str">
        <f>IFERROR(__xludf.DUMMYFUNCTION("""COMPUTED_VALUE"""),"Jean-René Bernaudeau")</f>
        <v>Jean-René Bernaudeau</v>
      </c>
      <c r="T76" s="3" t="str">
        <f>IFERROR(__xludf.DUMMYFUNCTION("""COMPUTED_VALUE"""),"Hennie Kuiper")</f>
        <v>Hennie Kuiper</v>
      </c>
    </row>
    <row r="77">
      <c r="G77" s="3" t="str">
        <f>IFERROR(__xludf.DUMMYFUNCTION("""COMPUTED_VALUE"""),"1980 (67e)")</f>
        <v>1980 (67e)</v>
      </c>
      <c r="H77" s="3" t="str">
        <f>IFERROR(__xludf.DUMMYFUNCTION("""COMPUTED_VALUE"""),"Joop Zoetemelk")</f>
        <v>Joop Zoetemelk</v>
      </c>
      <c r="I77" s="3" t="str">
        <f>IFERROR(__xludf.DUMMYFUNCTION("""COMPUTED_VALUE"""),"Hennie Kuiper")</f>
        <v>Hennie Kuiper</v>
      </c>
      <c r="J77" s="3" t="str">
        <f>IFERROR(__xludf.DUMMYFUNCTION("""COMPUTED_VALUE"""),"Raymond Martin")</f>
        <v>Raymond Martin</v>
      </c>
      <c r="K77" s="3" t="str">
        <f>IFERROR(__xludf.DUMMYFUNCTION("""COMPUTED_VALUE"""),"TI-Raleigh-Creda")</f>
        <v>TI-Raleigh-Creda</v>
      </c>
      <c r="L77" s="3" t="str">
        <f>IFERROR(__xludf.DUMMYFUNCTION("""COMPUTED_VALUE"""),"Raleigh")</f>
        <v>Raleigh</v>
      </c>
      <c r="M77" s="3" t="str">
        <f>IFERROR(__xludf.DUMMYFUNCTION("""COMPUTED_VALUE"""),"Campagnolo")</f>
        <v>Campagnolo</v>
      </c>
      <c r="N77" s="3">
        <f>IFERROR(__xludf.DUMMYFUNCTION("""COMPUTED_VALUE"""),22.0)</f>
        <v>22</v>
      </c>
      <c r="O77" s="3">
        <f>IFERROR(__xludf.DUMMYFUNCTION("""COMPUTED_VALUE"""),3842.0)</f>
        <v>3842</v>
      </c>
      <c r="P77" s="3" t="str">
        <f>IFERROR(__xludf.DUMMYFUNCTION("""COMPUTED_VALUE"""),"35,144 km/h")</f>
        <v>35,144 km/h</v>
      </c>
      <c r="Q77" s="3" t="str">
        <f>IFERROR(__xludf.DUMMYFUNCTION("""COMPUTED_VALUE"""),"Raymond Martin")</f>
        <v>Raymond Martin</v>
      </c>
      <c r="R77" s="3" t="str">
        <f>IFERROR(__xludf.DUMMYFUNCTION("""COMPUTED_VALUE"""),"Rudy Pevenage")</f>
        <v>Rudy Pevenage</v>
      </c>
      <c r="S77" s="3" t="str">
        <f>IFERROR(__xludf.DUMMYFUNCTION("""COMPUTED_VALUE"""),"Johan van der Velde")</f>
        <v>Johan van der Velde</v>
      </c>
      <c r="T77" s="3" t="str">
        <f>IFERROR(__xludf.DUMMYFUNCTION("""COMPUTED_VALUE"""),"Christian Levavasseur")</f>
        <v>Christian Levavasseur</v>
      </c>
    </row>
    <row r="78">
      <c r="G78" s="3" t="str">
        <f>IFERROR(__xludf.DUMMYFUNCTION("""COMPUTED_VALUE"""),"1981 (68e)")</f>
        <v>1981 (68e)</v>
      </c>
      <c r="H78" s="3" t="str">
        <f>IFERROR(__xludf.DUMMYFUNCTION("""COMPUTED_VALUE"""),"Bernard Hinault")</f>
        <v>Bernard Hinault</v>
      </c>
      <c r="I78" s="3" t="str">
        <f>IFERROR(__xludf.DUMMYFUNCTION("""COMPUTED_VALUE"""),"Lucien Van Impe")</f>
        <v>Lucien Van Impe</v>
      </c>
      <c r="J78" s="3" t="str">
        <f>IFERROR(__xludf.DUMMYFUNCTION("""COMPUTED_VALUE"""),"Robert Alban")</f>
        <v>Robert Alban</v>
      </c>
      <c r="K78" s="3" t="str">
        <f>IFERROR(__xludf.DUMMYFUNCTION("""COMPUTED_VALUE"""),"Renault-Elf-Gitane")</f>
        <v>Renault-Elf-Gitane</v>
      </c>
      <c r="L78" s="3" t="str">
        <f>IFERROR(__xludf.DUMMYFUNCTION("""COMPUTED_VALUE"""),"Cycles Gitane")</f>
        <v>Cycles Gitane</v>
      </c>
      <c r="M78" s="3" t="str">
        <f>IFERROR(__xludf.DUMMYFUNCTION("""COMPUTED_VALUE"""),"Campagnolo")</f>
        <v>Campagnolo</v>
      </c>
      <c r="N78" s="3">
        <f>IFERROR(__xludf.DUMMYFUNCTION("""COMPUTED_VALUE"""),24.0)</f>
        <v>24</v>
      </c>
      <c r="O78" s="3">
        <f>IFERROR(__xludf.DUMMYFUNCTION("""COMPUTED_VALUE"""),3753.0)</f>
        <v>3753</v>
      </c>
      <c r="P78" s="3" t="str">
        <f>IFERROR(__xludf.DUMMYFUNCTION("""COMPUTED_VALUE"""),"38,960 km/h")</f>
        <v>38,960 km/h</v>
      </c>
      <c r="Q78" s="3" t="str">
        <f>IFERROR(__xludf.DUMMYFUNCTION("""COMPUTED_VALUE"""),"Lucien Van Impe")</f>
        <v>Lucien Van Impe</v>
      </c>
      <c r="R78" s="3" t="str">
        <f>IFERROR(__xludf.DUMMYFUNCTION("""COMPUTED_VALUE"""),"Freddy Maertens")</f>
        <v>Freddy Maertens</v>
      </c>
      <c r="S78" s="3" t="str">
        <f>IFERROR(__xludf.DUMMYFUNCTION("""COMPUTED_VALUE"""),"Peter Winnen")</f>
        <v>Peter Winnen</v>
      </c>
      <c r="T78" s="3" t="str">
        <f>IFERROR(__xludf.DUMMYFUNCTION("""COMPUTED_VALUE"""),"Bernard Hinault")</f>
        <v>Bernard Hinault</v>
      </c>
    </row>
    <row r="79">
      <c r="G79" s="3" t="str">
        <f>IFERROR(__xludf.DUMMYFUNCTION("""COMPUTED_VALUE"""),"1982 (69e)")</f>
        <v>1982 (69e)</v>
      </c>
      <c r="H79" s="3" t="str">
        <f>IFERROR(__xludf.DUMMYFUNCTION("""COMPUTED_VALUE"""),"Bernard Hinault")</f>
        <v>Bernard Hinault</v>
      </c>
      <c r="I79" s="3" t="str">
        <f>IFERROR(__xludf.DUMMYFUNCTION("""COMPUTED_VALUE"""),"Joop Zoetemelk")</f>
        <v>Joop Zoetemelk</v>
      </c>
      <c r="J79" s="3" t="str">
        <f>IFERROR(__xludf.DUMMYFUNCTION("""COMPUTED_VALUE"""),"Johan van der Velde")</f>
        <v>Johan van der Velde</v>
      </c>
      <c r="K79" s="3" t="str">
        <f>IFERROR(__xludf.DUMMYFUNCTION("""COMPUTED_VALUE"""),"Renault-Elf-Gitane")</f>
        <v>Renault-Elf-Gitane</v>
      </c>
      <c r="L79" s="3" t="str">
        <f>IFERROR(__xludf.DUMMYFUNCTION("""COMPUTED_VALUE"""),"Cycles Gitane")</f>
        <v>Cycles Gitane</v>
      </c>
      <c r="M79" s="3" t="str">
        <f>IFERROR(__xludf.DUMMYFUNCTION("""COMPUTED_VALUE"""),"Campagnolo")</f>
        <v>Campagnolo</v>
      </c>
      <c r="N79" s="3">
        <f>IFERROR(__xludf.DUMMYFUNCTION("""COMPUTED_VALUE"""),21.0)</f>
        <v>21</v>
      </c>
      <c r="O79" s="3">
        <f>IFERROR(__xludf.DUMMYFUNCTION("""COMPUTED_VALUE"""),3507.0)</f>
        <v>3507</v>
      </c>
      <c r="P79" s="3" t="str">
        <f>IFERROR(__xludf.DUMMYFUNCTION("""COMPUTED_VALUE"""),"38,059 km/h")</f>
        <v>38,059 km/h</v>
      </c>
      <c r="Q79" s="3" t="str">
        <f>IFERROR(__xludf.DUMMYFUNCTION("""COMPUTED_VALUE"""),"Bernard Vallet")</f>
        <v>Bernard Vallet</v>
      </c>
      <c r="R79" s="3" t="str">
        <f>IFERROR(__xludf.DUMMYFUNCTION("""COMPUTED_VALUE"""),"Sean Kelly")</f>
        <v>Sean Kelly</v>
      </c>
      <c r="S79" s="3" t="str">
        <f>IFERROR(__xludf.DUMMYFUNCTION("""COMPUTED_VALUE"""),"Phil Anderson")</f>
        <v>Phil Anderson</v>
      </c>
      <c r="T79" s="3" t="str">
        <f>IFERROR(__xludf.DUMMYFUNCTION("""COMPUTED_VALUE"""),"Régis Clère")</f>
        <v>Régis Clère</v>
      </c>
    </row>
    <row r="80">
      <c r="G80" s="3" t="str">
        <f>IFERROR(__xludf.DUMMYFUNCTION("""COMPUTED_VALUE"""),"1983 (70e)")</f>
        <v>1983 (70e)</v>
      </c>
      <c r="H80" s="3" t="str">
        <f>IFERROR(__xludf.DUMMYFUNCTION("""COMPUTED_VALUE"""),"Laurent Fignon")</f>
        <v>Laurent Fignon</v>
      </c>
      <c r="I80" s="3" t="str">
        <f>IFERROR(__xludf.DUMMYFUNCTION("""COMPUTED_VALUE"""),"Ángel Arroyo")</f>
        <v>Ángel Arroyo</v>
      </c>
      <c r="J80" s="3" t="str">
        <f>IFERROR(__xludf.DUMMYFUNCTION("""COMPUTED_VALUE"""),"Peter Winnen")</f>
        <v>Peter Winnen</v>
      </c>
      <c r="K80" s="3" t="str">
        <f>IFERROR(__xludf.DUMMYFUNCTION("""COMPUTED_VALUE"""),"Renault-Elf")</f>
        <v>Renault-Elf</v>
      </c>
      <c r="L80" s="3" t="str">
        <f>IFERROR(__xludf.DUMMYFUNCTION("""COMPUTED_VALUE"""),"Cycles Gitane")</f>
        <v>Cycles Gitane</v>
      </c>
      <c r="M80" s="3" t="str">
        <f>IFERROR(__xludf.DUMMYFUNCTION("""COMPUTED_VALUE"""),"Simplex (en)")</f>
        <v>Simplex (en)</v>
      </c>
      <c r="N80" s="3">
        <f>IFERROR(__xludf.DUMMYFUNCTION("""COMPUTED_VALUE"""),22.0)</f>
        <v>22</v>
      </c>
      <c r="O80" s="3">
        <f>IFERROR(__xludf.DUMMYFUNCTION("""COMPUTED_VALUE"""),3809.0)</f>
        <v>3809</v>
      </c>
      <c r="P80" s="3" t="str">
        <f>IFERROR(__xludf.DUMMYFUNCTION("""COMPUTED_VALUE"""),"36,230 km/h")</f>
        <v>36,230 km/h</v>
      </c>
      <c r="Q80" s="3" t="str">
        <f>IFERROR(__xludf.DUMMYFUNCTION("""COMPUTED_VALUE"""),"Lucien Van Impe")</f>
        <v>Lucien Van Impe</v>
      </c>
      <c r="R80" s="3" t="str">
        <f>IFERROR(__xludf.DUMMYFUNCTION("""COMPUTED_VALUE"""),"Sean Kelly")</f>
        <v>Sean Kelly</v>
      </c>
      <c r="S80" s="3" t="str">
        <f>IFERROR(__xludf.DUMMYFUNCTION("""COMPUTED_VALUE"""),"Laurent Fignon")</f>
        <v>Laurent Fignon</v>
      </c>
      <c r="T80" s="3" t="str">
        <f>IFERROR(__xludf.DUMMYFUNCTION("""COMPUTED_VALUE"""),"Serge Demierre")</f>
        <v>Serge Demierre</v>
      </c>
    </row>
    <row r="81">
      <c r="G81" s="3" t="str">
        <f>IFERROR(__xludf.DUMMYFUNCTION("""COMPUTED_VALUE"""),"1984 (71e)")</f>
        <v>1984 (71e)</v>
      </c>
      <c r="H81" s="3" t="str">
        <f>IFERROR(__xludf.DUMMYFUNCTION("""COMPUTED_VALUE"""),"Laurent Fignon")</f>
        <v>Laurent Fignon</v>
      </c>
      <c r="I81" s="3" t="str">
        <f>IFERROR(__xludf.DUMMYFUNCTION("""COMPUTED_VALUE"""),"Bernard Hinault")</f>
        <v>Bernard Hinault</v>
      </c>
      <c r="J81" s="3" t="str">
        <f>IFERROR(__xludf.DUMMYFUNCTION("""COMPUTED_VALUE"""),"Greg LeMond")</f>
        <v>Greg LeMond</v>
      </c>
      <c r="K81" s="3" t="str">
        <f>IFERROR(__xludf.DUMMYFUNCTION("""COMPUTED_VALUE"""),"Renault-Elf")</f>
        <v>Renault-Elf</v>
      </c>
      <c r="L81" s="3" t="str">
        <f>IFERROR(__xludf.DUMMYFUNCTION("""COMPUTED_VALUE"""),"Cycles Gitane")</f>
        <v>Cycles Gitane</v>
      </c>
      <c r="M81" s="3" t="str">
        <f>IFERROR(__xludf.DUMMYFUNCTION("""COMPUTED_VALUE"""),"Campagnolo")</f>
        <v>Campagnolo</v>
      </c>
      <c r="N81" s="3">
        <f>IFERROR(__xludf.DUMMYFUNCTION("""COMPUTED_VALUE"""),23.0)</f>
        <v>23</v>
      </c>
      <c r="O81" s="3">
        <f>IFERROR(__xludf.DUMMYFUNCTION("""COMPUTED_VALUE"""),4021.0)</f>
        <v>4021</v>
      </c>
      <c r="P81" s="3" t="str">
        <f>IFERROR(__xludf.DUMMYFUNCTION("""COMPUTED_VALUE"""),"35,882 km/h")</f>
        <v>35,882 km/h</v>
      </c>
      <c r="Q81" s="3" t="str">
        <f>IFERROR(__xludf.DUMMYFUNCTION("""COMPUTED_VALUE"""),"Robert Millar")</f>
        <v>Robert Millar</v>
      </c>
      <c r="R81" s="3" t="str">
        <f>IFERROR(__xludf.DUMMYFUNCTION("""COMPUTED_VALUE"""),"Frank Hoste")</f>
        <v>Frank Hoste</v>
      </c>
      <c r="S81" s="3" t="str">
        <f>IFERROR(__xludf.DUMMYFUNCTION("""COMPUTED_VALUE"""),"Greg LeMond")</f>
        <v>Greg LeMond</v>
      </c>
      <c r="T81" s="3" t="str">
        <f>IFERROR(__xludf.DUMMYFUNCTION("""COMPUTED_VALUE"""),"Bernard Hinault")</f>
        <v>Bernard Hinault</v>
      </c>
    </row>
    <row r="82">
      <c r="G82" s="3" t="str">
        <f>IFERROR(__xludf.DUMMYFUNCTION("""COMPUTED_VALUE"""),"1985 (72e)")</f>
        <v>1985 (72e)</v>
      </c>
      <c r="H82" s="3" t="str">
        <f>IFERROR(__xludf.DUMMYFUNCTION("""COMPUTED_VALUE"""),"Bernard Hinault")</f>
        <v>Bernard Hinault</v>
      </c>
      <c r="I82" s="3" t="str">
        <f>IFERROR(__xludf.DUMMYFUNCTION("""COMPUTED_VALUE"""),"Greg LeMond")</f>
        <v>Greg LeMond</v>
      </c>
      <c r="J82" s="3" t="str">
        <f>IFERROR(__xludf.DUMMYFUNCTION("""COMPUTED_VALUE"""),"Stephen Roche")</f>
        <v>Stephen Roche</v>
      </c>
      <c r="K82" s="3" t="str">
        <f>IFERROR(__xludf.DUMMYFUNCTION("""COMPUTED_VALUE"""),"La Vie claire-Radar")</f>
        <v>La Vie claire-Radar</v>
      </c>
      <c r="L82" s="3" t="str">
        <f>IFERROR(__xludf.DUMMYFUNCTION("""COMPUTED_VALUE"""),"Look")</f>
        <v>Look</v>
      </c>
      <c r="M82" s="3" t="str">
        <f>IFERROR(__xludf.DUMMYFUNCTION("""COMPUTED_VALUE"""),"Campagnolo")</f>
        <v>Campagnolo</v>
      </c>
      <c r="N82" s="3">
        <f>IFERROR(__xludf.DUMMYFUNCTION("""COMPUTED_VALUE"""),22.0)</f>
        <v>22</v>
      </c>
      <c r="O82" s="3">
        <f>IFERROR(__xludf.DUMMYFUNCTION("""COMPUTED_VALUE"""),4109.0)</f>
        <v>4109</v>
      </c>
      <c r="P82" s="3" t="str">
        <f>IFERROR(__xludf.DUMMYFUNCTION("""COMPUTED_VALUE"""),"36,232 km/h")</f>
        <v>36,232 km/h</v>
      </c>
      <c r="Q82" s="3" t="str">
        <f>IFERROR(__xludf.DUMMYFUNCTION("""COMPUTED_VALUE"""),"Luis Herrera")</f>
        <v>Luis Herrera</v>
      </c>
      <c r="R82" s="3" t="str">
        <f>IFERROR(__xludf.DUMMYFUNCTION("""COMPUTED_VALUE"""),"Sean Kelly")</f>
        <v>Sean Kelly</v>
      </c>
      <c r="S82" s="3" t="str">
        <f>IFERROR(__xludf.DUMMYFUNCTION("""COMPUTED_VALUE"""),"Fabio Parra")</f>
        <v>Fabio Parra</v>
      </c>
      <c r="T82" s="3" t="str">
        <f>IFERROR(__xludf.DUMMYFUNCTION("""COMPUTED_VALUE"""),"Maarten Ducrot")</f>
        <v>Maarten Ducrot</v>
      </c>
    </row>
    <row r="83">
      <c r="G83" s="3" t="str">
        <f>IFERROR(__xludf.DUMMYFUNCTION("""COMPUTED_VALUE"""),"1986 (73e)")</f>
        <v>1986 (73e)</v>
      </c>
      <c r="H83" s="3" t="str">
        <f>IFERROR(__xludf.DUMMYFUNCTION("""COMPUTED_VALUE"""),"Greg LeMond")</f>
        <v>Greg LeMond</v>
      </c>
      <c r="I83" s="3" t="str">
        <f>IFERROR(__xludf.DUMMYFUNCTION("""COMPUTED_VALUE"""),"Bernard Hinault")</f>
        <v>Bernard Hinault</v>
      </c>
      <c r="J83" s="3" t="str">
        <f>IFERROR(__xludf.DUMMYFUNCTION("""COMPUTED_VALUE"""),"Urs Zimmermann")</f>
        <v>Urs Zimmermann</v>
      </c>
      <c r="K83" s="3" t="str">
        <f>IFERROR(__xludf.DUMMYFUNCTION("""COMPUTED_VALUE"""),"La Vie claire-Radar")</f>
        <v>La Vie claire-Radar</v>
      </c>
      <c r="L83" s="3" t="str">
        <f>IFERROR(__xludf.DUMMYFUNCTION("""COMPUTED_VALUE"""),"Look")</f>
        <v>Look</v>
      </c>
      <c r="M83" s="3" t="str">
        <f>IFERROR(__xludf.DUMMYFUNCTION("""COMPUTED_VALUE"""),"Campagnolo")</f>
        <v>Campagnolo</v>
      </c>
      <c r="N83" s="3">
        <f>IFERROR(__xludf.DUMMYFUNCTION("""COMPUTED_VALUE"""),23.0)</f>
        <v>23</v>
      </c>
      <c r="O83" s="3">
        <f>IFERROR(__xludf.DUMMYFUNCTION("""COMPUTED_VALUE"""),4094.0)</f>
        <v>4094</v>
      </c>
      <c r="P83" s="3" t="str">
        <f>IFERROR(__xludf.DUMMYFUNCTION("""COMPUTED_VALUE"""),"37,020 km/h")</f>
        <v>37,020 km/h</v>
      </c>
      <c r="Q83" s="3" t="str">
        <f>IFERROR(__xludf.DUMMYFUNCTION("""COMPUTED_VALUE"""),"Bernard Hinault")</f>
        <v>Bernard Hinault</v>
      </c>
      <c r="R83" s="3" t="str">
        <f>IFERROR(__xludf.DUMMYFUNCTION("""COMPUTED_VALUE"""),"Eric Vanderaerden")</f>
        <v>Eric Vanderaerden</v>
      </c>
      <c r="S83" s="3" t="str">
        <f>IFERROR(__xludf.DUMMYFUNCTION("""COMPUTED_VALUE"""),"Andrew Hampsten")</f>
        <v>Andrew Hampsten</v>
      </c>
      <c r="T83" s="3" t="str">
        <f>IFERROR(__xludf.DUMMYFUNCTION("""COMPUTED_VALUE"""),"Bernard Hinault")</f>
        <v>Bernard Hinault</v>
      </c>
    </row>
    <row r="84">
      <c r="G84" s="3" t="str">
        <f>IFERROR(__xludf.DUMMYFUNCTION("""COMPUTED_VALUE"""),"1987 (74e)")</f>
        <v>1987 (74e)</v>
      </c>
      <c r="H84" s="3" t="str">
        <f>IFERROR(__xludf.DUMMYFUNCTION("""COMPUTED_VALUE"""),"Stephen Roche")</f>
        <v>Stephen Roche</v>
      </c>
      <c r="I84" s="3" t="str">
        <f>IFERROR(__xludf.DUMMYFUNCTION("""COMPUTED_VALUE"""),"Pedro Delgado")</f>
        <v>Pedro Delgado</v>
      </c>
      <c r="J84" s="3" t="str">
        <f>IFERROR(__xludf.DUMMYFUNCTION("""COMPUTED_VALUE"""),"Jean-François Bernard")</f>
        <v>Jean-François Bernard</v>
      </c>
      <c r="K84" s="3" t="str">
        <f>IFERROR(__xludf.DUMMYFUNCTION("""COMPUTED_VALUE"""),"Carrera Jeans-Vagabond")</f>
        <v>Carrera Jeans-Vagabond</v>
      </c>
      <c r="L84" s="3" t="str">
        <f>IFERROR(__xludf.DUMMYFUNCTION("""COMPUTED_VALUE"""),"Battaglin")</f>
        <v>Battaglin</v>
      </c>
      <c r="M84" s="3" t="str">
        <f>IFERROR(__xludf.DUMMYFUNCTION("""COMPUTED_VALUE"""),"Campagnolo")</f>
        <v>Campagnolo</v>
      </c>
      <c r="N84" s="3">
        <f>IFERROR(__xludf.DUMMYFUNCTION("""COMPUTED_VALUE"""),25.0)</f>
        <v>25</v>
      </c>
      <c r="O84" s="3">
        <f>IFERROR(__xludf.DUMMYFUNCTION("""COMPUTED_VALUE"""),4231.0)</f>
        <v>4231</v>
      </c>
      <c r="P84" s="3" t="str">
        <f>IFERROR(__xludf.DUMMYFUNCTION("""COMPUTED_VALUE"""),"36,645 km/h")</f>
        <v>36,645 km/h</v>
      </c>
      <c r="Q84" s="3" t="str">
        <f>IFERROR(__xludf.DUMMYFUNCTION("""COMPUTED_VALUE"""),"Luis Herrera")</f>
        <v>Luis Herrera</v>
      </c>
      <c r="R84" s="3" t="str">
        <f>IFERROR(__xludf.DUMMYFUNCTION("""COMPUTED_VALUE"""),"Jean-Paul van Poppel")</f>
        <v>Jean-Paul van Poppel</v>
      </c>
      <c r="S84" s="3" t="str">
        <f>IFERROR(__xludf.DUMMYFUNCTION("""COMPUTED_VALUE"""),"Raúl Alcalá")</f>
        <v>Raúl Alcalá</v>
      </c>
      <c r="T84" s="3" t="str">
        <f>IFERROR(__xludf.DUMMYFUNCTION("""COMPUTED_VALUE"""),"Régis Clère")</f>
        <v>Régis Clère</v>
      </c>
    </row>
    <row r="85">
      <c r="G85" s="3" t="str">
        <f>IFERROR(__xludf.DUMMYFUNCTION("""COMPUTED_VALUE"""),"1988 (75e)")</f>
        <v>1988 (75e)</v>
      </c>
      <c r="H85" s="3" t="str">
        <f>IFERROR(__xludf.DUMMYFUNCTION("""COMPUTED_VALUE"""),"Pedro Delgado")</f>
        <v>Pedro Delgado</v>
      </c>
      <c r="I85" s="3" t="str">
        <f>IFERROR(__xludf.DUMMYFUNCTION("""COMPUTED_VALUE"""),"Steven Rooks")</f>
        <v>Steven Rooks</v>
      </c>
      <c r="J85" s="3" t="str">
        <f>IFERROR(__xludf.DUMMYFUNCTION("""COMPUTED_VALUE"""),"Fabio Parra")</f>
        <v>Fabio Parra</v>
      </c>
      <c r="K85" s="3" t="str">
        <f>IFERROR(__xludf.DUMMYFUNCTION("""COMPUTED_VALUE"""),"Reynolds")</f>
        <v>Reynolds</v>
      </c>
      <c r="L85" s="3" t="str">
        <f>IFERROR(__xludf.DUMMYFUNCTION("""COMPUTED_VALUE"""),"Pinarello")</f>
        <v>Pinarello</v>
      </c>
      <c r="M85" s="3" t="str">
        <f>IFERROR(__xludf.DUMMYFUNCTION("""COMPUTED_VALUE"""),"Campagnolo")</f>
        <v>Campagnolo</v>
      </c>
      <c r="N85" s="3">
        <f>IFERROR(__xludf.DUMMYFUNCTION("""COMPUTED_VALUE"""),22.0)</f>
        <v>22</v>
      </c>
      <c r="O85" s="3">
        <f>IFERROR(__xludf.DUMMYFUNCTION("""COMPUTED_VALUE"""),3286.0)</f>
        <v>3286</v>
      </c>
      <c r="P85" s="3" t="str">
        <f>IFERROR(__xludf.DUMMYFUNCTION("""COMPUTED_VALUE"""),"38,909 km/h")</f>
        <v>38,909 km/h</v>
      </c>
      <c r="Q85" s="3" t="str">
        <f>IFERROR(__xludf.DUMMYFUNCTION("""COMPUTED_VALUE"""),"Steven Rooks")</f>
        <v>Steven Rooks</v>
      </c>
      <c r="R85" s="3" t="str">
        <f>IFERROR(__xludf.DUMMYFUNCTION("""COMPUTED_VALUE"""),"Eddy Planckaert")</f>
        <v>Eddy Planckaert</v>
      </c>
      <c r="S85" s="3" t="str">
        <f>IFERROR(__xludf.DUMMYFUNCTION("""COMPUTED_VALUE"""),"Erik Breukink")</f>
        <v>Erik Breukink</v>
      </c>
      <c r="T85" s="3" t="str">
        <f>IFERROR(__xludf.DUMMYFUNCTION("""COMPUTED_VALUE"""),"Jérôme Simon")</f>
        <v>Jérôme Simon</v>
      </c>
    </row>
    <row r="86">
      <c r="G86" s="3" t="str">
        <f>IFERROR(__xludf.DUMMYFUNCTION("""COMPUTED_VALUE"""),"1989 (76e)")</f>
        <v>1989 (76e)</v>
      </c>
      <c r="H86" s="3" t="str">
        <f>IFERROR(__xludf.DUMMYFUNCTION("""COMPUTED_VALUE"""),"Greg LeMond")</f>
        <v>Greg LeMond</v>
      </c>
      <c r="I86" s="3" t="str">
        <f>IFERROR(__xludf.DUMMYFUNCTION("""COMPUTED_VALUE"""),"Laurent Fignon")</f>
        <v>Laurent Fignon</v>
      </c>
      <c r="J86" s="3" t="str">
        <f>IFERROR(__xludf.DUMMYFUNCTION("""COMPUTED_VALUE"""),"Pedro Delgado")</f>
        <v>Pedro Delgado</v>
      </c>
      <c r="K86" s="3" t="str">
        <f>IFERROR(__xludf.DUMMYFUNCTION("""COMPUTED_VALUE"""),"ADR-Agrigel-Bottecchia")</f>
        <v>ADR-Agrigel-Bottecchia</v>
      </c>
      <c r="L86" s="3" t="str">
        <f>IFERROR(__xludf.DUMMYFUNCTION("""COMPUTED_VALUE"""),"Bottecchia")</f>
        <v>Bottecchia</v>
      </c>
      <c r="M86" s="3" t="str">
        <f>IFERROR(__xludf.DUMMYFUNCTION("""COMPUTED_VALUE"""),"Mavic")</f>
        <v>Mavic</v>
      </c>
      <c r="N86" s="3">
        <f>IFERROR(__xludf.DUMMYFUNCTION("""COMPUTED_VALUE"""),21.0)</f>
        <v>21</v>
      </c>
      <c r="O86" s="3">
        <f>IFERROR(__xludf.DUMMYFUNCTION("""COMPUTED_VALUE"""),3285.0)</f>
        <v>3285</v>
      </c>
      <c r="P86" s="3" t="str">
        <f>IFERROR(__xludf.DUMMYFUNCTION("""COMPUTED_VALUE"""),"37,487 km/h")</f>
        <v>37,487 km/h</v>
      </c>
      <c r="Q86" s="3" t="str">
        <f>IFERROR(__xludf.DUMMYFUNCTION("""COMPUTED_VALUE"""),"Gert-Jan Theunisse")</f>
        <v>Gert-Jan Theunisse</v>
      </c>
      <c r="R86" s="3" t="str">
        <f>IFERROR(__xludf.DUMMYFUNCTION("""COMPUTED_VALUE"""),"Sean Kelly")</f>
        <v>Sean Kelly</v>
      </c>
      <c r="S86" s="3" t="str">
        <f>IFERROR(__xludf.DUMMYFUNCTION("""COMPUTED_VALUE"""),"Fabrice Philipot")</f>
        <v>Fabrice Philipot</v>
      </c>
      <c r="T86" s="3" t="str">
        <f>IFERROR(__xludf.DUMMYFUNCTION("""COMPUTED_VALUE"""),"Laurent Fignon")</f>
        <v>Laurent Fignon</v>
      </c>
    </row>
    <row r="87">
      <c r="G87" s="3" t="str">
        <f>IFERROR(__xludf.DUMMYFUNCTION("""COMPUTED_VALUE"""),"1990 (77e)")</f>
        <v>1990 (77e)</v>
      </c>
      <c r="H87" s="3" t="str">
        <f>IFERROR(__xludf.DUMMYFUNCTION("""COMPUTED_VALUE"""),"Greg LeMond")</f>
        <v>Greg LeMond</v>
      </c>
      <c r="I87" s="3" t="str">
        <f>IFERROR(__xludf.DUMMYFUNCTION("""COMPUTED_VALUE"""),"Claudio Chiappucci")</f>
        <v>Claudio Chiappucci</v>
      </c>
      <c r="J87" s="3" t="str">
        <f>IFERROR(__xludf.DUMMYFUNCTION("""COMPUTED_VALUE"""),"Erik Breukink")</f>
        <v>Erik Breukink</v>
      </c>
      <c r="K87" s="3" t="str">
        <f>IFERROR(__xludf.DUMMYFUNCTION("""COMPUTED_VALUE"""),"Z-Tommaso")</f>
        <v>Z-Tommaso</v>
      </c>
      <c r="L87" s="3" t="str">
        <f>IFERROR(__xludf.DUMMYFUNCTION("""COMPUTED_VALUE"""),"LeMond")</f>
        <v>LeMond</v>
      </c>
      <c r="M87" s="3" t="str">
        <f>IFERROR(__xludf.DUMMYFUNCTION("""COMPUTED_VALUE"""),"Campagnolo")</f>
        <v>Campagnolo</v>
      </c>
      <c r="N87" s="3">
        <f>IFERROR(__xludf.DUMMYFUNCTION("""COMPUTED_VALUE"""),21.0)</f>
        <v>21</v>
      </c>
      <c r="O87" s="3">
        <f>IFERROR(__xludf.DUMMYFUNCTION("""COMPUTED_VALUE"""),3504.0)</f>
        <v>3504</v>
      </c>
      <c r="P87" s="3" t="str">
        <f>IFERROR(__xludf.DUMMYFUNCTION("""COMPUTED_VALUE"""),"38,621 km/h")</f>
        <v>38,621 km/h</v>
      </c>
      <c r="Q87" s="3" t="str">
        <f>IFERROR(__xludf.DUMMYFUNCTION("""COMPUTED_VALUE"""),"Thierry Claveyrolat")</f>
        <v>Thierry Claveyrolat</v>
      </c>
      <c r="R87" s="3" t="str">
        <f>IFERROR(__xludf.DUMMYFUNCTION("""COMPUTED_VALUE"""),"Olaf Ludwig")</f>
        <v>Olaf Ludwig</v>
      </c>
      <c r="S87" s="3" t="str">
        <f>IFERROR(__xludf.DUMMYFUNCTION("""COMPUTED_VALUE"""),"Gilles Delion")</f>
        <v>Gilles Delion</v>
      </c>
      <c r="T87" s="3" t="str">
        <f>IFERROR(__xludf.DUMMYFUNCTION("""COMPUTED_VALUE"""),"Eduardo Chozas")</f>
        <v>Eduardo Chozas</v>
      </c>
    </row>
    <row r="88">
      <c r="G88" s="3" t="str">
        <f>IFERROR(__xludf.DUMMYFUNCTION("""COMPUTED_VALUE"""),"1991 (78e)")</f>
        <v>1991 (78e)</v>
      </c>
      <c r="H88" s="3" t="str">
        <f>IFERROR(__xludf.DUMMYFUNCTION("""COMPUTED_VALUE"""),"Miguel Indurain")</f>
        <v>Miguel Indurain</v>
      </c>
      <c r="I88" s="3" t="str">
        <f>IFERROR(__xludf.DUMMYFUNCTION("""COMPUTED_VALUE"""),"Gianni Bugno")</f>
        <v>Gianni Bugno</v>
      </c>
      <c r="J88" s="3" t="str">
        <f>IFERROR(__xludf.DUMMYFUNCTION("""COMPUTED_VALUE"""),"Claudio Chiappucci")</f>
        <v>Claudio Chiappucci</v>
      </c>
      <c r="K88" s="3" t="str">
        <f>IFERROR(__xludf.DUMMYFUNCTION("""COMPUTED_VALUE"""),"Banesto")</f>
        <v>Banesto</v>
      </c>
      <c r="L88" s="3" t="str">
        <f>IFERROR(__xludf.DUMMYFUNCTION("""COMPUTED_VALUE"""),"Razesa/T.V.T.")</f>
        <v>Razesa/T.V.T.</v>
      </c>
      <c r="M88" s="3" t="str">
        <f>IFERROR(__xludf.DUMMYFUNCTION("""COMPUTED_VALUE"""),"Campagnolo")</f>
        <v>Campagnolo</v>
      </c>
      <c r="N88" s="3">
        <f>IFERROR(__xludf.DUMMYFUNCTION("""COMPUTED_VALUE"""),22.0)</f>
        <v>22</v>
      </c>
      <c r="O88" s="3">
        <f>IFERROR(__xludf.DUMMYFUNCTION("""COMPUTED_VALUE"""),3914.0)</f>
        <v>3914</v>
      </c>
      <c r="P88" s="3" t="str">
        <f>IFERROR(__xludf.DUMMYFUNCTION("""COMPUTED_VALUE"""),"38,747 km/h")</f>
        <v>38,747 km/h</v>
      </c>
      <c r="Q88" s="3" t="str">
        <f>IFERROR(__xludf.DUMMYFUNCTION("""COMPUTED_VALUE"""),"Claudio Chiappucci")</f>
        <v>Claudio Chiappucci</v>
      </c>
      <c r="R88" s="3" t="str">
        <f>IFERROR(__xludf.DUMMYFUNCTION("""COMPUTED_VALUE"""),"Djamolidine Abdoujaparov")</f>
        <v>Djamolidine Abdoujaparov</v>
      </c>
      <c r="S88" s="3" t="str">
        <f>IFERROR(__xludf.DUMMYFUNCTION("""COMPUTED_VALUE"""),"Álvaro Mejía")</f>
        <v>Álvaro Mejía</v>
      </c>
      <c r="T88" s="3" t="str">
        <f>IFERROR(__xludf.DUMMYFUNCTION("""COMPUTED_VALUE"""),"Claudio Chiappucci")</f>
        <v>Claudio Chiappucci</v>
      </c>
    </row>
    <row r="89">
      <c r="G89" s="3" t="str">
        <f>IFERROR(__xludf.DUMMYFUNCTION("""COMPUTED_VALUE"""),"1992 (79e)")</f>
        <v>1992 (79e)</v>
      </c>
      <c r="H89" s="3" t="str">
        <f>IFERROR(__xludf.DUMMYFUNCTION("""COMPUTED_VALUE"""),"Miguel Indurain")</f>
        <v>Miguel Indurain</v>
      </c>
      <c r="I89" s="3" t="str">
        <f>IFERROR(__xludf.DUMMYFUNCTION("""COMPUTED_VALUE"""),"Claudio Chiappucci")</f>
        <v>Claudio Chiappucci</v>
      </c>
      <c r="J89" s="3" t="str">
        <f>IFERROR(__xludf.DUMMYFUNCTION("""COMPUTED_VALUE"""),"Gianni Bugno")</f>
        <v>Gianni Bugno</v>
      </c>
      <c r="K89" s="3" t="str">
        <f>IFERROR(__xludf.DUMMYFUNCTION("""COMPUTED_VALUE"""),"Banesto")</f>
        <v>Banesto</v>
      </c>
      <c r="L89" s="3" t="str">
        <f>IFERROR(__xludf.DUMMYFUNCTION("""COMPUTED_VALUE"""),"Pinarello")</f>
        <v>Pinarello</v>
      </c>
      <c r="M89" s="3" t="str">
        <f>IFERROR(__xludf.DUMMYFUNCTION("""COMPUTED_VALUE"""),"Campagnolo")</f>
        <v>Campagnolo</v>
      </c>
      <c r="N89" s="3">
        <f>IFERROR(__xludf.DUMMYFUNCTION("""COMPUTED_VALUE"""),21.0)</f>
        <v>21</v>
      </c>
      <c r="O89" s="3">
        <f>IFERROR(__xludf.DUMMYFUNCTION("""COMPUTED_VALUE"""),3983.0)</f>
        <v>3983</v>
      </c>
      <c r="P89" s="3" t="str">
        <f>IFERROR(__xludf.DUMMYFUNCTION("""COMPUTED_VALUE"""),"39,504 km/h")</f>
        <v>39,504 km/h</v>
      </c>
      <c r="Q89" s="3" t="str">
        <f>IFERROR(__xludf.DUMMYFUNCTION("""COMPUTED_VALUE"""),"Claudio Chiappucci")</f>
        <v>Claudio Chiappucci</v>
      </c>
      <c r="R89" s="3" t="str">
        <f>IFERROR(__xludf.DUMMYFUNCTION("""COMPUTED_VALUE"""),"Laurent Jalabert")</f>
        <v>Laurent Jalabert</v>
      </c>
      <c r="S89" s="3" t="str">
        <f>IFERROR(__xludf.DUMMYFUNCTION("""COMPUTED_VALUE"""),"Eddy Bouwmans")</f>
        <v>Eddy Bouwmans</v>
      </c>
      <c r="T89" s="3" t="str">
        <f>IFERROR(__xludf.DUMMYFUNCTION("""COMPUTED_VALUE"""),"Claudio Chiappucci")</f>
        <v>Claudio Chiappucci</v>
      </c>
    </row>
    <row r="90">
      <c r="G90" s="3" t="str">
        <f>IFERROR(__xludf.DUMMYFUNCTION("""COMPUTED_VALUE"""),"1993 (80e)")</f>
        <v>1993 (80e)</v>
      </c>
      <c r="H90" s="3" t="str">
        <f>IFERROR(__xludf.DUMMYFUNCTION("""COMPUTED_VALUE"""),"Miguel Indurain")</f>
        <v>Miguel Indurain</v>
      </c>
      <c r="I90" s="3" t="str">
        <f>IFERROR(__xludf.DUMMYFUNCTION("""COMPUTED_VALUE"""),"Tony Rominger")</f>
        <v>Tony Rominger</v>
      </c>
      <c r="J90" s="3" t="str">
        <f>IFERROR(__xludf.DUMMYFUNCTION("""COMPUTED_VALUE"""),"Zenon Jaskuła")</f>
        <v>Zenon Jaskuła</v>
      </c>
      <c r="K90" s="3" t="str">
        <f>IFERROR(__xludf.DUMMYFUNCTION("""COMPUTED_VALUE"""),"Banesto")</f>
        <v>Banesto</v>
      </c>
      <c r="L90" s="3" t="str">
        <f>IFERROR(__xludf.DUMMYFUNCTION("""COMPUTED_VALUE"""),"Pinarello")</f>
        <v>Pinarello</v>
      </c>
      <c r="M90" s="3" t="str">
        <f>IFERROR(__xludf.DUMMYFUNCTION("""COMPUTED_VALUE"""),"Campagnolo")</f>
        <v>Campagnolo</v>
      </c>
      <c r="N90" s="3">
        <f>IFERROR(__xludf.DUMMYFUNCTION("""COMPUTED_VALUE"""),20.0)</f>
        <v>20</v>
      </c>
      <c r="O90" s="3">
        <f>IFERROR(__xludf.DUMMYFUNCTION("""COMPUTED_VALUE"""),3714.0)</f>
        <v>3714</v>
      </c>
      <c r="P90" s="3" t="str">
        <f>IFERROR(__xludf.DUMMYFUNCTION("""COMPUTED_VALUE"""),"38,709 km/h")</f>
        <v>38,709 km/h</v>
      </c>
      <c r="Q90" s="3" t="str">
        <f>IFERROR(__xludf.DUMMYFUNCTION("""COMPUTED_VALUE"""),"Tony Rominger")</f>
        <v>Tony Rominger</v>
      </c>
      <c r="R90" s="3" t="str">
        <f>IFERROR(__xludf.DUMMYFUNCTION("""COMPUTED_VALUE"""),"Djamolidine Abdoujaparov")</f>
        <v>Djamolidine Abdoujaparov</v>
      </c>
      <c r="S90" s="3" t="str">
        <f>IFERROR(__xludf.DUMMYFUNCTION("""COMPUTED_VALUE"""),"Antonio Martín Velasco")</f>
        <v>Antonio Martín Velasco</v>
      </c>
      <c r="T90" s="3" t="str">
        <f>IFERROR(__xludf.DUMMYFUNCTION("""COMPUTED_VALUE"""),"Massimo Ghirotto")</f>
        <v>Massimo Ghirotto</v>
      </c>
    </row>
    <row r="91">
      <c r="G91" s="3" t="str">
        <f>IFERROR(__xludf.DUMMYFUNCTION("""COMPUTED_VALUE"""),"1994 (81e)")</f>
        <v>1994 (81e)</v>
      </c>
      <c r="H91" s="3" t="str">
        <f>IFERROR(__xludf.DUMMYFUNCTION("""COMPUTED_VALUE"""),"Miguel Indurain")</f>
        <v>Miguel Indurain</v>
      </c>
      <c r="I91" s="3" t="str">
        <f>IFERROR(__xludf.DUMMYFUNCTION("""COMPUTED_VALUE"""),"Piotr Ugrumov")</f>
        <v>Piotr Ugrumov</v>
      </c>
      <c r="J91" s="3" t="str">
        <f>IFERROR(__xludf.DUMMYFUNCTION("""COMPUTED_VALUE"""),"Marco Pantani")</f>
        <v>Marco Pantani</v>
      </c>
      <c r="K91" s="3" t="str">
        <f>IFERROR(__xludf.DUMMYFUNCTION("""COMPUTED_VALUE"""),"Banesto")</f>
        <v>Banesto</v>
      </c>
      <c r="L91" s="3" t="str">
        <f>IFERROR(__xludf.DUMMYFUNCTION("""COMPUTED_VALUE"""),"Pinarello")</f>
        <v>Pinarello</v>
      </c>
      <c r="M91" s="3" t="str">
        <f>IFERROR(__xludf.DUMMYFUNCTION("""COMPUTED_VALUE"""),"Campagnolo")</f>
        <v>Campagnolo</v>
      </c>
      <c r="N91" s="3">
        <f>IFERROR(__xludf.DUMMYFUNCTION("""COMPUTED_VALUE"""),21.0)</f>
        <v>21</v>
      </c>
      <c r="O91" s="3">
        <f>IFERROR(__xludf.DUMMYFUNCTION("""COMPUTED_VALUE"""),3978.0)</f>
        <v>3978</v>
      </c>
      <c r="P91" s="3" t="str">
        <f>IFERROR(__xludf.DUMMYFUNCTION("""COMPUTED_VALUE"""),"38,383 km/h")</f>
        <v>38,383 km/h</v>
      </c>
      <c r="Q91" s="3" t="str">
        <f>IFERROR(__xludf.DUMMYFUNCTION("""COMPUTED_VALUE"""),"Richard Virenque")</f>
        <v>Richard Virenque</v>
      </c>
      <c r="R91" s="3" t="str">
        <f>IFERROR(__xludf.DUMMYFUNCTION("""COMPUTED_VALUE"""),"Djamolidine Abdoujaparov")</f>
        <v>Djamolidine Abdoujaparov</v>
      </c>
      <c r="S91" s="3" t="str">
        <f>IFERROR(__xludf.DUMMYFUNCTION("""COMPUTED_VALUE"""),"Marco Pantani")</f>
        <v>Marco Pantani</v>
      </c>
      <c r="T91" s="3" t="str">
        <f>IFERROR(__xludf.DUMMYFUNCTION("""COMPUTED_VALUE"""),"Eros Poli")</f>
        <v>Eros Poli</v>
      </c>
    </row>
    <row r="92">
      <c r="G92" s="3" t="str">
        <f>IFERROR(__xludf.DUMMYFUNCTION("""COMPUTED_VALUE"""),"1995 (82e)")</f>
        <v>1995 (82e)</v>
      </c>
      <c r="H92" s="3" t="str">
        <f>IFERROR(__xludf.DUMMYFUNCTION("""COMPUTED_VALUE"""),"Miguel Indurain")</f>
        <v>Miguel Indurain</v>
      </c>
      <c r="I92" s="3" t="str">
        <f>IFERROR(__xludf.DUMMYFUNCTION("""COMPUTED_VALUE"""),"Alex Zülle")</f>
        <v>Alex Zülle</v>
      </c>
      <c r="J92" s="3" t="str">
        <f>IFERROR(__xludf.DUMMYFUNCTION("""COMPUTED_VALUE"""),"Bjarne Riis")</f>
        <v>Bjarne Riis</v>
      </c>
      <c r="K92" s="3" t="str">
        <f>IFERROR(__xludf.DUMMYFUNCTION("""COMPUTED_VALUE"""),"Banesto")</f>
        <v>Banesto</v>
      </c>
      <c r="L92" s="3" t="str">
        <f>IFERROR(__xludf.DUMMYFUNCTION("""COMPUTED_VALUE"""),"Pinarello")</f>
        <v>Pinarello</v>
      </c>
      <c r="M92" s="3" t="str">
        <f>IFERROR(__xludf.DUMMYFUNCTION("""COMPUTED_VALUE"""),"Campagnolo")</f>
        <v>Campagnolo</v>
      </c>
      <c r="N92" s="3">
        <f>IFERROR(__xludf.DUMMYFUNCTION("""COMPUTED_VALUE"""),20.0)</f>
        <v>20</v>
      </c>
      <c r="O92" s="3">
        <f>IFERROR(__xludf.DUMMYFUNCTION("""COMPUTED_VALUE"""),3635.0)</f>
        <v>3635</v>
      </c>
      <c r="P92" s="3" t="str">
        <f>IFERROR(__xludf.DUMMYFUNCTION("""COMPUTED_VALUE"""),"39,193 km/h")</f>
        <v>39,193 km/h</v>
      </c>
      <c r="Q92" s="3" t="str">
        <f>IFERROR(__xludf.DUMMYFUNCTION("""COMPUTED_VALUE"""),"Richard Virenque")</f>
        <v>Richard Virenque</v>
      </c>
      <c r="R92" s="3" t="str">
        <f>IFERROR(__xludf.DUMMYFUNCTION("""COMPUTED_VALUE"""),"Laurent Jalabert")</f>
        <v>Laurent Jalabert</v>
      </c>
      <c r="S92" s="3" t="str">
        <f>IFERROR(__xludf.DUMMYFUNCTION("""COMPUTED_VALUE"""),"Marco Pantani")</f>
        <v>Marco Pantani</v>
      </c>
      <c r="T92" s="3" t="str">
        <f>IFERROR(__xludf.DUMMYFUNCTION("""COMPUTED_VALUE"""),"Hernán Buenahora")</f>
        <v>Hernán Buenahora</v>
      </c>
    </row>
    <row r="93">
      <c r="G93" s="3" t="str">
        <f>IFERROR(__xludf.DUMMYFUNCTION("""COMPUTED_VALUE"""),"1996 (83e)")</f>
        <v>1996 (83e)</v>
      </c>
      <c r="H93" s="3" t="str">
        <f>IFERROR(__xludf.DUMMYFUNCTION("""COMPUTED_VALUE"""),"Bjarne Riis[5]")</f>
        <v>Bjarne Riis[5]</v>
      </c>
      <c r="I93" s="3" t="str">
        <f>IFERROR(__xludf.DUMMYFUNCTION("""COMPUTED_VALUE"""),"Jan Ullrich")</f>
        <v>Jan Ullrich</v>
      </c>
      <c r="J93" s="3" t="str">
        <f>IFERROR(__xludf.DUMMYFUNCTION("""COMPUTED_VALUE"""),"Richard Virenque")</f>
        <v>Richard Virenque</v>
      </c>
      <c r="K93" s="3" t="str">
        <f>IFERROR(__xludf.DUMMYFUNCTION("""COMPUTED_VALUE"""),"Deutsche Telekom")</f>
        <v>Deutsche Telekom</v>
      </c>
      <c r="L93" s="3" t="str">
        <f>IFERROR(__xludf.DUMMYFUNCTION("""COMPUTED_VALUE"""),"Pinarello")</f>
        <v>Pinarello</v>
      </c>
      <c r="M93" s="3" t="str">
        <f>IFERROR(__xludf.DUMMYFUNCTION("""COMPUTED_VALUE"""),"Campagnolo")</f>
        <v>Campagnolo</v>
      </c>
      <c r="N93" s="3">
        <f>IFERROR(__xludf.DUMMYFUNCTION("""COMPUTED_VALUE"""),21.0)</f>
        <v>21</v>
      </c>
      <c r="O93" s="3">
        <f>IFERROR(__xludf.DUMMYFUNCTION("""COMPUTED_VALUE"""),3765.0)</f>
        <v>3765</v>
      </c>
      <c r="P93" s="3" t="str">
        <f>IFERROR(__xludf.DUMMYFUNCTION("""COMPUTED_VALUE"""),"39,227 km/h")</f>
        <v>39,227 km/h</v>
      </c>
      <c r="Q93" s="3" t="str">
        <f>IFERROR(__xludf.DUMMYFUNCTION("""COMPUTED_VALUE"""),"Richard Virenque")</f>
        <v>Richard Virenque</v>
      </c>
      <c r="R93" s="3" t="str">
        <f>IFERROR(__xludf.DUMMYFUNCTION("""COMPUTED_VALUE"""),"Erik Zabel")</f>
        <v>Erik Zabel</v>
      </c>
      <c r="S93" s="3" t="str">
        <f>IFERROR(__xludf.DUMMYFUNCTION("""COMPUTED_VALUE"""),"Jan Ullrich")</f>
        <v>Jan Ullrich</v>
      </c>
      <c r="T93" s="3" t="str">
        <f>IFERROR(__xludf.DUMMYFUNCTION("""COMPUTED_VALUE"""),"Richard Virenque")</f>
        <v>Richard Virenque</v>
      </c>
    </row>
    <row r="94">
      <c r="G94" s="3" t="str">
        <f>IFERROR(__xludf.DUMMYFUNCTION("""COMPUTED_VALUE"""),"1997 (84e)")</f>
        <v>1997 (84e)</v>
      </c>
      <c r="H94" s="3" t="str">
        <f>IFERROR(__xludf.DUMMYFUNCTION("""COMPUTED_VALUE"""),"Jan Ullrich")</f>
        <v>Jan Ullrich</v>
      </c>
      <c r="I94" s="3" t="str">
        <f>IFERROR(__xludf.DUMMYFUNCTION("""COMPUTED_VALUE"""),"Richard Virenque")</f>
        <v>Richard Virenque</v>
      </c>
      <c r="J94" s="3" t="str">
        <f>IFERROR(__xludf.DUMMYFUNCTION("""COMPUTED_VALUE"""),"Marco Pantani")</f>
        <v>Marco Pantani</v>
      </c>
      <c r="K94" s="3" t="str">
        <f>IFERROR(__xludf.DUMMYFUNCTION("""COMPUTED_VALUE"""),"Deutsche Telekom")</f>
        <v>Deutsche Telekom</v>
      </c>
      <c r="L94" s="3" t="str">
        <f>IFERROR(__xludf.DUMMYFUNCTION("""COMPUTED_VALUE"""),"Pinarello")</f>
        <v>Pinarello</v>
      </c>
      <c r="M94" s="3" t="str">
        <f>IFERROR(__xludf.DUMMYFUNCTION("""COMPUTED_VALUE"""),"Campagnolo")</f>
        <v>Campagnolo</v>
      </c>
      <c r="N94" s="3">
        <f>IFERROR(__xludf.DUMMYFUNCTION("""COMPUTED_VALUE"""),21.0)</f>
        <v>21</v>
      </c>
      <c r="O94" s="3">
        <f>IFERROR(__xludf.DUMMYFUNCTION("""COMPUTED_VALUE"""),3950.0)</f>
        <v>3950</v>
      </c>
      <c r="P94" s="3" t="str">
        <f>IFERROR(__xludf.DUMMYFUNCTION("""COMPUTED_VALUE"""),"39,237 km/h")</f>
        <v>39,237 km/h</v>
      </c>
      <c r="Q94" s="3" t="str">
        <f>IFERROR(__xludf.DUMMYFUNCTION("""COMPUTED_VALUE"""),"Richard Virenque")</f>
        <v>Richard Virenque</v>
      </c>
      <c r="R94" s="3" t="str">
        <f>IFERROR(__xludf.DUMMYFUNCTION("""COMPUTED_VALUE"""),"Erik Zabel")</f>
        <v>Erik Zabel</v>
      </c>
      <c r="S94" s="3" t="str">
        <f>IFERROR(__xludf.DUMMYFUNCTION("""COMPUTED_VALUE"""),"Jan Ullrich")</f>
        <v>Jan Ullrich</v>
      </c>
      <c r="T94" s="3" t="str">
        <f>IFERROR(__xludf.DUMMYFUNCTION("""COMPUTED_VALUE"""),"Richard Virenque")</f>
        <v>Richard Virenque</v>
      </c>
    </row>
    <row r="95">
      <c r="G95" s="3" t="str">
        <f>IFERROR(__xludf.DUMMYFUNCTION("""COMPUTED_VALUE"""),"1998 (85e)")</f>
        <v>1998 (85e)</v>
      </c>
      <c r="H95" s="3" t="str">
        <f>IFERROR(__xludf.DUMMYFUNCTION("""COMPUTED_VALUE"""),"Marco Pantani")</f>
        <v>Marco Pantani</v>
      </c>
      <c r="I95" s="3" t="str">
        <f>IFERROR(__xludf.DUMMYFUNCTION("""COMPUTED_VALUE"""),"Jan Ullrich")</f>
        <v>Jan Ullrich</v>
      </c>
      <c r="J95" s="3" t="str">
        <f>IFERROR(__xludf.DUMMYFUNCTION("""COMPUTED_VALUE"""),"Bobby Julich")</f>
        <v>Bobby Julich</v>
      </c>
      <c r="K95" s="3" t="str">
        <f>IFERROR(__xludf.DUMMYFUNCTION("""COMPUTED_VALUE"""),"Mercatone Uno-Bianchi")</f>
        <v>Mercatone Uno-Bianchi</v>
      </c>
      <c r="L95" s="3" t="str">
        <f>IFERROR(__xludf.DUMMYFUNCTION("""COMPUTED_VALUE"""),"Bianchi")</f>
        <v>Bianchi</v>
      </c>
      <c r="M95" s="3" t="str">
        <f>IFERROR(__xludf.DUMMYFUNCTION("""COMPUTED_VALUE"""),"Campagnolo")</f>
        <v>Campagnolo</v>
      </c>
      <c r="N95" s="3">
        <f>IFERROR(__xludf.DUMMYFUNCTION("""COMPUTED_VALUE"""),21.0)</f>
        <v>21</v>
      </c>
      <c r="O95" s="3">
        <f>IFERROR(__xludf.DUMMYFUNCTION("""COMPUTED_VALUE"""),3875.0)</f>
        <v>3875</v>
      </c>
      <c r="P95" s="3" t="str">
        <f>IFERROR(__xludf.DUMMYFUNCTION("""COMPUTED_VALUE"""),"39,983 km/h")</f>
        <v>39,983 km/h</v>
      </c>
      <c r="Q95" s="3" t="str">
        <f>IFERROR(__xludf.DUMMYFUNCTION("""COMPUTED_VALUE"""),"Christophe Rinero")</f>
        <v>Christophe Rinero</v>
      </c>
      <c r="R95" s="3" t="str">
        <f>IFERROR(__xludf.DUMMYFUNCTION("""COMPUTED_VALUE"""),"Erik Zabel")</f>
        <v>Erik Zabel</v>
      </c>
      <c r="S95" s="3" t="str">
        <f>IFERROR(__xludf.DUMMYFUNCTION("""COMPUTED_VALUE"""),"Jan Ullrich")</f>
        <v>Jan Ullrich</v>
      </c>
      <c r="T95" s="3" t="str">
        <f>IFERROR(__xludf.DUMMYFUNCTION("""COMPUTED_VALUE"""),"Jacky Durand")</f>
        <v>Jacky Durand</v>
      </c>
    </row>
    <row r="96">
      <c r="G96" s="3" t="str">
        <f>IFERROR(__xludf.DUMMYFUNCTION("""COMPUTED_VALUE"""),"1999 (86e)")</f>
        <v>1999 (86e)</v>
      </c>
      <c r="H96" s="3" t="str">
        <f>IFERROR(__xludf.DUMMYFUNCTION("""COMPUTED_VALUE"""),"*non attribué*[6],[7]")</f>
        <v>*non attribué*[6],[7]</v>
      </c>
      <c r="I96" s="3" t="str">
        <f>IFERROR(__xludf.DUMMYFUNCTION("""COMPUTED_VALUE"""),"Alex Zülle")</f>
        <v>Alex Zülle</v>
      </c>
      <c r="J96" s="3" t="str">
        <f>IFERROR(__xludf.DUMMYFUNCTION("""COMPUTED_VALUE"""),"Fernando Escartín")</f>
        <v>Fernando Escartín</v>
      </c>
      <c r="K96" s="3" t="str">
        <f>IFERROR(__xludf.DUMMYFUNCTION("""COMPUTED_VALUE"""),"*non attribué*[6],[7].")</f>
        <v>*non attribué*[6],[7].</v>
      </c>
      <c r="L96" s="3" t="str">
        <f>IFERROR(__xludf.DUMMYFUNCTION("""COMPUTED_VALUE"""),"*non attribué*[6],[7].")</f>
        <v>*non attribué*[6],[7].</v>
      </c>
      <c r="M96" s="3"/>
      <c r="N96" s="3">
        <f>IFERROR(__xludf.DUMMYFUNCTION("""COMPUTED_VALUE"""),20.0)</f>
        <v>20</v>
      </c>
      <c r="O96" s="3">
        <f>IFERROR(__xludf.DUMMYFUNCTION("""COMPUTED_VALUE"""),3870.0)</f>
        <v>3870</v>
      </c>
      <c r="P96" s="3"/>
      <c r="Q96" s="3" t="str">
        <f>IFERROR(__xludf.DUMMYFUNCTION("""COMPUTED_VALUE"""),"Richard Virenque")</f>
        <v>Richard Virenque</v>
      </c>
      <c r="R96" s="3" t="str">
        <f>IFERROR(__xludf.DUMMYFUNCTION("""COMPUTED_VALUE"""),"Erik Zabel")</f>
        <v>Erik Zabel</v>
      </c>
      <c r="S96" s="3" t="str">
        <f>IFERROR(__xludf.DUMMYFUNCTION("""COMPUTED_VALUE"""),"Benoît Salmon")</f>
        <v>Benoît Salmon</v>
      </c>
      <c r="T96" s="3" t="str">
        <f>IFERROR(__xludf.DUMMYFUNCTION("""COMPUTED_VALUE"""),"Jacky Durand")</f>
        <v>Jacky Durand</v>
      </c>
    </row>
    <row r="97">
      <c r="G97" s="3" t="str">
        <f>IFERROR(__xludf.DUMMYFUNCTION("""COMPUTED_VALUE"""),"2000 (87e)")</f>
        <v>2000 (87e)</v>
      </c>
      <c r="H97" s="3" t="str">
        <f>IFERROR(__xludf.DUMMYFUNCTION("""COMPUTED_VALUE"""),"*non attribué*[6],[7]")</f>
        <v>*non attribué*[6],[7]</v>
      </c>
      <c r="I97" s="3" t="str">
        <f>IFERROR(__xludf.DUMMYFUNCTION("""COMPUTED_VALUE"""),"Jan Ullrich")</f>
        <v>Jan Ullrich</v>
      </c>
      <c r="J97" s="3" t="str">
        <f>IFERROR(__xludf.DUMMYFUNCTION("""COMPUTED_VALUE"""),"Joseba Beloki")</f>
        <v>Joseba Beloki</v>
      </c>
      <c r="K97" s="3" t="str">
        <f>IFERROR(__xludf.DUMMYFUNCTION("""COMPUTED_VALUE"""),"*non attribué*[6],[7].")</f>
        <v>*non attribué*[6],[7].</v>
      </c>
      <c r="L97" s="3" t="str">
        <f>IFERROR(__xludf.DUMMYFUNCTION("""COMPUTED_VALUE"""),"*non attribué*[6],[7].")</f>
        <v>*non attribué*[6],[7].</v>
      </c>
      <c r="M97" s="3"/>
      <c r="N97" s="3">
        <f>IFERROR(__xludf.DUMMYFUNCTION("""COMPUTED_VALUE"""),21.0)</f>
        <v>21</v>
      </c>
      <c r="O97" s="3">
        <f>IFERROR(__xludf.DUMMYFUNCTION("""COMPUTED_VALUE"""),3662.0)</f>
        <v>3662</v>
      </c>
      <c r="P97" s="3"/>
      <c r="Q97" s="3" t="str">
        <f>IFERROR(__xludf.DUMMYFUNCTION("""COMPUTED_VALUE"""),"Santiago Botero")</f>
        <v>Santiago Botero</v>
      </c>
      <c r="R97" s="3" t="str">
        <f>IFERROR(__xludf.DUMMYFUNCTION("""COMPUTED_VALUE"""),"Erik Zabel")</f>
        <v>Erik Zabel</v>
      </c>
      <c r="S97" s="3" t="str">
        <f>IFERROR(__xludf.DUMMYFUNCTION("""COMPUTED_VALUE"""),"Francisco Mancebo")</f>
        <v>Francisco Mancebo</v>
      </c>
      <c r="T97" s="3" t="str">
        <f>IFERROR(__xludf.DUMMYFUNCTION("""COMPUTED_VALUE"""),"Erik Dekker")</f>
        <v>Erik Dekker</v>
      </c>
    </row>
    <row r="98">
      <c r="G98" s="3" t="str">
        <f>IFERROR(__xludf.DUMMYFUNCTION("""COMPUTED_VALUE"""),"2001 (88e)")</f>
        <v>2001 (88e)</v>
      </c>
      <c r="H98" s="3" t="str">
        <f>IFERROR(__xludf.DUMMYFUNCTION("""COMPUTED_VALUE"""),"*non attribué*[6],[7]")</f>
        <v>*non attribué*[6],[7]</v>
      </c>
      <c r="I98" s="3" t="str">
        <f>IFERROR(__xludf.DUMMYFUNCTION("""COMPUTED_VALUE"""),"Jan Ullrich")</f>
        <v>Jan Ullrich</v>
      </c>
      <c r="J98" s="3" t="str">
        <f>IFERROR(__xludf.DUMMYFUNCTION("""COMPUTED_VALUE"""),"Joseba Beloki")</f>
        <v>Joseba Beloki</v>
      </c>
      <c r="K98" s="3" t="str">
        <f>IFERROR(__xludf.DUMMYFUNCTION("""COMPUTED_VALUE"""),"*non attribué*[6],[7].")</f>
        <v>*non attribué*[6],[7].</v>
      </c>
      <c r="L98" s="3" t="str">
        <f>IFERROR(__xludf.DUMMYFUNCTION("""COMPUTED_VALUE"""),"*non attribué*[6],[7].")</f>
        <v>*non attribué*[6],[7].</v>
      </c>
      <c r="M98" s="3"/>
      <c r="N98" s="3">
        <f>IFERROR(__xludf.DUMMYFUNCTION("""COMPUTED_VALUE"""),20.0)</f>
        <v>20</v>
      </c>
      <c r="O98" s="3">
        <f>IFERROR(__xludf.DUMMYFUNCTION("""COMPUTED_VALUE"""),3458.0)</f>
        <v>3458</v>
      </c>
      <c r="P98" s="3"/>
      <c r="Q98" s="3" t="str">
        <f>IFERROR(__xludf.DUMMYFUNCTION("""COMPUTED_VALUE"""),"Laurent Jalabert")</f>
        <v>Laurent Jalabert</v>
      </c>
      <c r="R98" s="3" t="str">
        <f>IFERROR(__xludf.DUMMYFUNCTION("""COMPUTED_VALUE"""),"Erik Zabel")</f>
        <v>Erik Zabel</v>
      </c>
      <c r="S98" s="3" t="str">
        <f>IFERROR(__xludf.DUMMYFUNCTION("""COMPUTED_VALUE"""),"Óscar Sevilla")</f>
        <v>Óscar Sevilla</v>
      </c>
      <c r="T98" s="3" t="str">
        <f>IFERROR(__xludf.DUMMYFUNCTION("""COMPUTED_VALUE"""),"Laurent Jalabert")</f>
        <v>Laurent Jalabert</v>
      </c>
    </row>
    <row r="99">
      <c r="G99" s="3" t="str">
        <f>IFERROR(__xludf.DUMMYFUNCTION("""COMPUTED_VALUE"""),"2002 (89e)")</f>
        <v>2002 (89e)</v>
      </c>
      <c r="H99" s="3" t="str">
        <f>IFERROR(__xludf.DUMMYFUNCTION("""COMPUTED_VALUE"""),"*non attribué*[6],[7]")</f>
        <v>*non attribué*[6],[7]</v>
      </c>
      <c r="I99" s="3" t="str">
        <f>IFERROR(__xludf.DUMMYFUNCTION("""COMPUTED_VALUE"""),"Joseba Beloki")</f>
        <v>Joseba Beloki</v>
      </c>
      <c r="J99" s="3" t="str">
        <f>IFERROR(__xludf.DUMMYFUNCTION("""COMPUTED_VALUE"""),"Raimondas Rumšas")</f>
        <v>Raimondas Rumšas</v>
      </c>
      <c r="K99" s="3" t="str">
        <f>IFERROR(__xludf.DUMMYFUNCTION("""COMPUTED_VALUE"""),"*non attribué*[6],[7].")</f>
        <v>*non attribué*[6],[7].</v>
      </c>
      <c r="L99" s="3" t="str">
        <f>IFERROR(__xludf.DUMMYFUNCTION("""COMPUTED_VALUE"""),"*non attribué*[6],[7].")</f>
        <v>*non attribué*[6],[7].</v>
      </c>
      <c r="M99" s="3"/>
      <c r="N99" s="3">
        <f>IFERROR(__xludf.DUMMYFUNCTION("""COMPUTED_VALUE"""),20.0)</f>
        <v>20</v>
      </c>
      <c r="O99" s="3">
        <f>IFERROR(__xludf.DUMMYFUNCTION("""COMPUTED_VALUE"""),3278.0)</f>
        <v>3278</v>
      </c>
      <c r="P99" s="3"/>
      <c r="Q99" s="3" t="str">
        <f>IFERROR(__xludf.DUMMYFUNCTION("""COMPUTED_VALUE"""),"Laurent Jalabert")</f>
        <v>Laurent Jalabert</v>
      </c>
      <c r="R99" s="3" t="str">
        <f>IFERROR(__xludf.DUMMYFUNCTION("""COMPUTED_VALUE"""),"Robbie McEwen")</f>
        <v>Robbie McEwen</v>
      </c>
      <c r="S99" s="3" t="str">
        <f>IFERROR(__xludf.DUMMYFUNCTION("""COMPUTED_VALUE"""),"Ivan Basso")</f>
        <v>Ivan Basso</v>
      </c>
      <c r="T99" s="3" t="str">
        <f>IFERROR(__xludf.DUMMYFUNCTION("""COMPUTED_VALUE"""),"Laurent Jalabert")</f>
        <v>Laurent Jalabert</v>
      </c>
    </row>
    <row r="100">
      <c r="G100" s="3" t="str">
        <f>IFERROR(__xludf.DUMMYFUNCTION("""COMPUTED_VALUE"""),"2003 (90e)")</f>
        <v>2003 (90e)</v>
      </c>
      <c r="H100" s="3" t="str">
        <f>IFERROR(__xludf.DUMMYFUNCTION("""COMPUTED_VALUE"""),"*non attribué*[6],[7]")</f>
        <v>*non attribué*[6],[7]</v>
      </c>
      <c r="I100" s="3" t="str">
        <f>IFERROR(__xludf.DUMMYFUNCTION("""COMPUTED_VALUE"""),"Jan Ullrich")</f>
        <v>Jan Ullrich</v>
      </c>
      <c r="J100" s="3" t="str">
        <f>IFERROR(__xludf.DUMMYFUNCTION("""COMPUTED_VALUE"""),"Alexandre Vinokourov")</f>
        <v>Alexandre Vinokourov</v>
      </c>
      <c r="K100" s="3" t="str">
        <f>IFERROR(__xludf.DUMMYFUNCTION("""COMPUTED_VALUE"""),"*non attribué*[6],[7].")</f>
        <v>*non attribué*[6],[7].</v>
      </c>
      <c r="L100" s="3" t="str">
        <f>IFERROR(__xludf.DUMMYFUNCTION("""COMPUTED_VALUE"""),"*non attribué*[6],[7].")</f>
        <v>*non attribué*[6],[7].</v>
      </c>
      <c r="M100" s="3"/>
      <c r="N100" s="3">
        <f>IFERROR(__xludf.DUMMYFUNCTION("""COMPUTED_VALUE"""),20.0)</f>
        <v>20</v>
      </c>
      <c r="O100" s="3">
        <f>IFERROR(__xludf.DUMMYFUNCTION("""COMPUTED_VALUE"""),3427.0)</f>
        <v>3427</v>
      </c>
      <c r="P100" s="3"/>
      <c r="Q100" s="3" t="str">
        <f>IFERROR(__xludf.DUMMYFUNCTION("""COMPUTED_VALUE"""),"Richard Virenque")</f>
        <v>Richard Virenque</v>
      </c>
      <c r="R100" s="3" t="str">
        <f>IFERROR(__xludf.DUMMYFUNCTION("""COMPUTED_VALUE"""),"Baden Cooke")</f>
        <v>Baden Cooke</v>
      </c>
      <c r="S100" s="3" t="str">
        <f>IFERROR(__xludf.DUMMYFUNCTION("""COMPUTED_VALUE"""),"Denis Menchov")</f>
        <v>Denis Menchov</v>
      </c>
      <c r="T100" s="3" t="str">
        <f>IFERROR(__xludf.DUMMYFUNCTION("""COMPUTED_VALUE"""),"Alexandre Vinokourov")</f>
        <v>Alexandre Vinokourov</v>
      </c>
    </row>
    <row r="101">
      <c r="G101" s="3" t="str">
        <f>IFERROR(__xludf.DUMMYFUNCTION("""COMPUTED_VALUE"""),"2004 (91e)")</f>
        <v>2004 (91e)</v>
      </c>
      <c r="H101" s="3" t="str">
        <f>IFERROR(__xludf.DUMMYFUNCTION("""COMPUTED_VALUE"""),"*non attribué*[6],[7]")</f>
        <v>*non attribué*[6],[7]</v>
      </c>
      <c r="I101" s="3" t="str">
        <f>IFERROR(__xludf.DUMMYFUNCTION("""COMPUTED_VALUE"""),"Andreas Klöden")</f>
        <v>Andreas Klöden</v>
      </c>
      <c r="J101" s="3" t="str">
        <f>IFERROR(__xludf.DUMMYFUNCTION("""COMPUTED_VALUE"""),"Ivan Basso")</f>
        <v>Ivan Basso</v>
      </c>
      <c r="K101" s="3" t="str">
        <f>IFERROR(__xludf.DUMMYFUNCTION("""COMPUTED_VALUE"""),"*non attribué*[6],[7].")</f>
        <v>*non attribué*[6],[7].</v>
      </c>
      <c r="L101" s="3" t="str">
        <f>IFERROR(__xludf.DUMMYFUNCTION("""COMPUTED_VALUE"""),"*non attribué*[6],[7].")</f>
        <v>*non attribué*[6],[7].</v>
      </c>
      <c r="M101" s="3"/>
      <c r="N101" s="3">
        <f>IFERROR(__xludf.DUMMYFUNCTION("""COMPUTED_VALUE"""),20.0)</f>
        <v>20</v>
      </c>
      <c r="O101" s="3">
        <f>IFERROR(__xludf.DUMMYFUNCTION("""COMPUTED_VALUE"""),3391.0)</f>
        <v>3391</v>
      </c>
      <c r="P101" s="3"/>
      <c r="Q101" s="3" t="str">
        <f>IFERROR(__xludf.DUMMYFUNCTION("""COMPUTED_VALUE"""),"Richard Virenque")</f>
        <v>Richard Virenque</v>
      </c>
      <c r="R101" s="3" t="str">
        <f>IFERROR(__xludf.DUMMYFUNCTION("""COMPUTED_VALUE"""),"Robbie McEwen")</f>
        <v>Robbie McEwen</v>
      </c>
      <c r="S101" s="3" t="str">
        <f>IFERROR(__xludf.DUMMYFUNCTION("""COMPUTED_VALUE"""),"Vladimir Karpets")</f>
        <v>Vladimir Karpets</v>
      </c>
      <c r="T101" s="3" t="str">
        <f>IFERROR(__xludf.DUMMYFUNCTION("""COMPUTED_VALUE"""),"Richard Virenque")</f>
        <v>Richard Virenque</v>
      </c>
    </row>
    <row r="102">
      <c r="G102" s="3" t="str">
        <f>IFERROR(__xludf.DUMMYFUNCTION("""COMPUTED_VALUE"""),"2005 (92e)")</f>
        <v>2005 (92e)</v>
      </c>
      <c r="H102" s="3" t="str">
        <f>IFERROR(__xludf.DUMMYFUNCTION("""COMPUTED_VALUE"""),"*non attribué*[6],[7]")</f>
        <v>*non attribué*[6],[7]</v>
      </c>
      <c r="I102" s="3" t="str">
        <f>IFERROR(__xludf.DUMMYFUNCTION("""COMPUTED_VALUE"""),"Ivan Basso")</f>
        <v>Ivan Basso</v>
      </c>
      <c r="J102" s="3" t="str">
        <f>IFERROR(__xludf.DUMMYFUNCTION("""COMPUTED_VALUE"""),"*non attribué*[8]")</f>
        <v>*non attribué*[8]</v>
      </c>
      <c r="K102" s="3" t="str">
        <f>IFERROR(__xludf.DUMMYFUNCTION("""COMPUTED_VALUE"""),"*non attribué*[6],[7].")</f>
        <v>*non attribué*[6],[7].</v>
      </c>
      <c r="L102" s="3" t="str">
        <f>IFERROR(__xludf.DUMMYFUNCTION("""COMPUTED_VALUE"""),"*non attribué*[6],[7]")</f>
        <v>*non attribué*[6],[7]</v>
      </c>
      <c r="M102" s="3"/>
      <c r="N102" s="3">
        <f>IFERROR(__xludf.DUMMYFUNCTION("""COMPUTED_VALUE"""),21.0)</f>
        <v>21</v>
      </c>
      <c r="O102" s="3">
        <f>IFERROR(__xludf.DUMMYFUNCTION("""COMPUTED_VALUE"""),3593.0)</f>
        <v>3593</v>
      </c>
      <c r="P102" s="3"/>
      <c r="Q102" s="3" t="str">
        <f>IFERROR(__xludf.DUMMYFUNCTION("""COMPUTED_VALUE"""),"Michael Rasmussen")</f>
        <v>Michael Rasmussen</v>
      </c>
      <c r="R102" s="3" t="str">
        <f>IFERROR(__xludf.DUMMYFUNCTION("""COMPUTED_VALUE"""),"Thor Hushovd")</f>
        <v>Thor Hushovd</v>
      </c>
      <c r="S102" s="3" t="str">
        <f>IFERROR(__xludf.DUMMYFUNCTION("""COMPUTED_VALUE"""),"Yaroslav Popovych")</f>
        <v>Yaroslav Popovych</v>
      </c>
      <c r="T102" s="3" t="str">
        <f>IFERROR(__xludf.DUMMYFUNCTION("""COMPUTED_VALUE"""),"Óscar Pereiro")</f>
        <v>Óscar Pereiro</v>
      </c>
    </row>
    <row r="103">
      <c r="G103" s="3" t="str">
        <f>IFERROR(__xludf.DUMMYFUNCTION("""COMPUTED_VALUE"""),"2006 (93e)")</f>
        <v>2006 (93e)</v>
      </c>
      <c r="H103" s="3" t="str">
        <f>IFERROR(__xludf.DUMMYFUNCTION("""COMPUTED_VALUE"""),"Óscar Pereiro[9]")</f>
        <v>Óscar Pereiro[9]</v>
      </c>
      <c r="I103" s="3" t="str">
        <f>IFERROR(__xludf.DUMMYFUNCTION("""COMPUTED_VALUE"""),"Andreas Klöden")</f>
        <v>Andreas Klöden</v>
      </c>
      <c r="J103" s="3" t="str">
        <f>IFERROR(__xludf.DUMMYFUNCTION("""COMPUTED_VALUE"""),"Carlos Sastre")</f>
        <v>Carlos Sastre</v>
      </c>
      <c r="K103" s="3" t="str">
        <f>IFERROR(__xludf.DUMMYFUNCTION("""COMPUTED_VALUE"""),"Caisse d'Épargne-Illes Balears")</f>
        <v>Caisse d'Épargne-Illes Balears</v>
      </c>
      <c r="L103" s="3" t="str">
        <f>IFERROR(__xludf.DUMMYFUNCTION("""COMPUTED_VALUE"""),"Pinarello")</f>
        <v>Pinarello</v>
      </c>
      <c r="M103" s="3" t="str">
        <f>IFERROR(__xludf.DUMMYFUNCTION("""COMPUTED_VALUE"""),"Campagnolo")</f>
        <v>Campagnolo</v>
      </c>
      <c r="N103" s="3">
        <f>IFERROR(__xludf.DUMMYFUNCTION("""COMPUTED_VALUE"""),21.0)</f>
        <v>21</v>
      </c>
      <c r="O103" s="3">
        <f>IFERROR(__xludf.DUMMYFUNCTION("""COMPUTED_VALUE"""),3657.1)</f>
        <v>3657.1</v>
      </c>
      <c r="P103" s="3" t="str">
        <f>IFERROR(__xludf.DUMMYFUNCTION("""COMPUTED_VALUE"""),"40,784 km/h")</f>
        <v>40,784 km/h</v>
      </c>
      <c r="Q103" s="3" t="str">
        <f>IFERROR(__xludf.DUMMYFUNCTION("""COMPUTED_VALUE"""),"Michael Rasmussen")</f>
        <v>Michael Rasmussen</v>
      </c>
      <c r="R103" s="3" t="str">
        <f>IFERROR(__xludf.DUMMYFUNCTION("""COMPUTED_VALUE"""),"Robbie McEwen")</f>
        <v>Robbie McEwen</v>
      </c>
      <c r="S103" s="3" t="str">
        <f>IFERROR(__xludf.DUMMYFUNCTION("""COMPUTED_VALUE"""),"Damiano Cunego")</f>
        <v>Damiano Cunego</v>
      </c>
      <c r="T103" s="3" t="str">
        <f>IFERROR(__xludf.DUMMYFUNCTION("""COMPUTED_VALUE"""),"David de la Fuente")</f>
        <v>David de la Fuente</v>
      </c>
    </row>
    <row r="104">
      <c r="G104" s="3" t="str">
        <f>IFERROR(__xludf.DUMMYFUNCTION("""COMPUTED_VALUE"""),"2007 (94e)")</f>
        <v>2007 (94e)</v>
      </c>
      <c r="H104" s="3" t="str">
        <f>IFERROR(__xludf.DUMMYFUNCTION("""COMPUTED_VALUE"""),"Alberto Contador")</f>
        <v>Alberto Contador</v>
      </c>
      <c r="I104" s="3" t="str">
        <f>IFERROR(__xludf.DUMMYFUNCTION("""COMPUTED_VALUE"""),"Cadel Evans")</f>
        <v>Cadel Evans</v>
      </c>
      <c r="J104" s="3" t="str">
        <f>IFERROR(__xludf.DUMMYFUNCTION("""COMPUTED_VALUE"""),"*non attribué*[10]")</f>
        <v>*non attribué*[10]</v>
      </c>
      <c r="K104" s="3" t="str">
        <f>IFERROR(__xludf.DUMMYFUNCTION("""COMPUTED_VALUE"""),"Discovery Channel")</f>
        <v>Discovery Channel</v>
      </c>
      <c r="L104" s="3" t="str">
        <f>IFERROR(__xludf.DUMMYFUNCTION("""COMPUTED_VALUE"""),"Trek")</f>
        <v>Trek</v>
      </c>
      <c r="M104" s="3" t="str">
        <f>IFERROR(__xludf.DUMMYFUNCTION("""COMPUTED_VALUE"""),"Shimano")</f>
        <v>Shimano</v>
      </c>
      <c r="N104" s="3">
        <f>IFERROR(__xludf.DUMMYFUNCTION("""COMPUTED_VALUE"""),21.0)</f>
        <v>21</v>
      </c>
      <c r="O104" s="3">
        <f>IFERROR(__xludf.DUMMYFUNCTION("""COMPUTED_VALUE"""),3569.5)</f>
        <v>3569.5</v>
      </c>
      <c r="P104" s="3" t="str">
        <f>IFERROR(__xludf.DUMMYFUNCTION("""COMPUTED_VALUE"""),"39,228 km/h")</f>
        <v>39,228 km/h</v>
      </c>
      <c r="Q104" s="3" t="str">
        <f>IFERROR(__xludf.DUMMYFUNCTION("""COMPUTED_VALUE"""),"Mauricio Soler")</f>
        <v>Mauricio Soler</v>
      </c>
      <c r="R104" s="3" t="str">
        <f>IFERROR(__xludf.DUMMYFUNCTION("""COMPUTED_VALUE"""),"Tom Boonen")</f>
        <v>Tom Boonen</v>
      </c>
      <c r="S104" s="3" t="str">
        <f>IFERROR(__xludf.DUMMYFUNCTION("""COMPUTED_VALUE"""),"Alberto Contador")</f>
        <v>Alberto Contador</v>
      </c>
      <c r="T104" s="3" t="str">
        <f>IFERROR(__xludf.DUMMYFUNCTION("""COMPUTED_VALUE"""),"Amets Txurruka")</f>
        <v>Amets Txurruka</v>
      </c>
    </row>
    <row r="105">
      <c r="G105" s="3" t="str">
        <f>IFERROR(__xludf.DUMMYFUNCTION("""COMPUTED_VALUE"""),"2008 (95e)")</f>
        <v>2008 (95e)</v>
      </c>
      <c r="H105" s="3" t="str">
        <f>IFERROR(__xludf.DUMMYFUNCTION("""COMPUTED_VALUE"""),"Carlos Sastre")</f>
        <v>Carlos Sastre</v>
      </c>
      <c r="I105" s="3" t="str">
        <f>IFERROR(__xludf.DUMMYFUNCTION("""COMPUTED_VALUE"""),"Cadel Evans")</f>
        <v>Cadel Evans</v>
      </c>
      <c r="J105" s="3" t="str">
        <f>IFERROR(__xludf.DUMMYFUNCTION("""COMPUTED_VALUE"""),"Denis Menchov[11],[12]")</f>
        <v>Denis Menchov[11],[12]</v>
      </c>
      <c r="K105" s="3" t="str">
        <f>IFERROR(__xludf.DUMMYFUNCTION("""COMPUTED_VALUE"""),"CSC Saxo Bank")</f>
        <v>CSC Saxo Bank</v>
      </c>
      <c r="L105" s="3" t="str">
        <f>IFERROR(__xludf.DUMMYFUNCTION("""COMPUTED_VALUE"""),"Cervélo")</f>
        <v>Cervélo</v>
      </c>
      <c r="M105" s="3" t="str">
        <f>IFERROR(__xludf.DUMMYFUNCTION("""COMPUTED_VALUE"""),"Shimano")</f>
        <v>Shimano</v>
      </c>
      <c r="N105" s="3">
        <f>IFERROR(__xludf.DUMMYFUNCTION("""COMPUTED_VALUE"""),21.0)</f>
        <v>21</v>
      </c>
      <c r="O105" s="3">
        <f>IFERROR(__xludf.DUMMYFUNCTION("""COMPUTED_VALUE"""),3558.5)</f>
        <v>3558.5</v>
      </c>
      <c r="P105" s="3" t="str">
        <f>IFERROR(__xludf.DUMMYFUNCTION("""COMPUTED_VALUE"""),"40,492 km/h")</f>
        <v>40,492 km/h</v>
      </c>
      <c r="Q105" s="3" t="str">
        <f>IFERROR(__xludf.DUMMYFUNCTION("""COMPUTED_VALUE"""),"Carlos Sastre[13]")</f>
        <v>Carlos Sastre[13]</v>
      </c>
      <c r="R105" s="3" t="str">
        <f>IFERROR(__xludf.DUMMYFUNCTION("""COMPUTED_VALUE"""),"Óscar Freire")</f>
        <v>Óscar Freire</v>
      </c>
      <c r="S105" s="3" t="str">
        <f>IFERROR(__xludf.DUMMYFUNCTION("""COMPUTED_VALUE"""),"Andy Schleck")</f>
        <v>Andy Schleck</v>
      </c>
      <c r="T105" s="3" t="str">
        <f>IFERROR(__xludf.DUMMYFUNCTION("""COMPUTED_VALUE"""),"Sylvain Chavanel")</f>
        <v>Sylvain Chavanel</v>
      </c>
    </row>
    <row r="106">
      <c r="G106" s="3" t="str">
        <f>IFERROR(__xludf.DUMMYFUNCTION("""COMPUTED_VALUE"""),"2009 (96e)")</f>
        <v>2009 (96e)</v>
      </c>
      <c r="H106" s="3" t="str">
        <f>IFERROR(__xludf.DUMMYFUNCTION("""COMPUTED_VALUE"""),"Alberto Contador")</f>
        <v>Alberto Contador</v>
      </c>
      <c r="I106" s="3" t="str">
        <f>IFERROR(__xludf.DUMMYFUNCTION("""COMPUTED_VALUE"""),"Andy Schleck")</f>
        <v>Andy Schleck</v>
      </c>
      <c r="J106" s="3" t="str">
        <f>IFERROR(__xludf.DUMMYFUNCTION("""COMPUTED_VALUE"""),"Bradley Wiggins[14]")</f>
        <v>Bradley Wiggins[14]</v>
      </c>
      <c r="K106" s="3" t="str">
        <f>IFERROR(__xludf.DUMMYFUNCTION("""COMPUTED_VALUE"""),"Astana")</f>
        <v>Astana</v>
      </c>
      <c r="L106" s="3" t="str">
        <f>IFERROR(__xludf.DUMMYFUNCTION("""COMPUTED_VALUE"""),"Trek")</f>
        <v>Trek</v>
      </c>
      <c r="M106" s="3" t="str">
        <f>IFERROR(__xludf.DUMMYFUNCTION("""COMPUTED_VALUE"""),"SRAM")</f>
        <v>SRAM</v>
      </c>
      <c r="N106" s="3">
        <f>IFERROR(__xludf.DUMMYFUNCTION("""COMPUTED_VALUE"""),21.0)</f>
        <v>21</v>
      </c>
      <c r="O106" s="3">
        <f>IFERROR(__xludf.DUMMYFUNCTION("""COMPUTED_VALUE"""),3459.5)</f>
        <v>3459.5</v>
      </c>
      <c r="P106" s="3" t="str">
        <f>IFERROR(__xludf.DUMMYFUNCTION("""COMPUTED_VALUE"""),"40,315 km/h")</f>
        <v>40,315 km/h</v>
      </c>
      <c r="Q106" s="3" t="str">
        <f>IFERROR(__xludf.DUMMYFUNCTION("""COMPUTED_VALUE"""),"Egoi Martínez[15]")</f>
        <v>Egoi Martínez[15]</v>
      </c>
      <c r="R106" s="3" t="str">
        <f>IFERROR(__xludf.DUMMYFUNCTION("""COMPUTED_VALUE"""),"Thor Hushovd")</f>
        <v>Thor Hushovd</v>
      </c>
      <c r="S106" s="3" t="str">
        <f>IFERROR(__xludf.DUMMYFUNCTION("""COMPUTED_VALUE"""),"Andy Schleck")</f>
        <v>Andy Schleck</v>
      </c>
      <c r="T106" s="3" t="str">
        <f>IFERROR(__xludf.DUMMYFUNCTION("""COMPUTED_VALUE"""),"*non attribué*[16]")</f>
        <v>*non attribué*[16]</v>
      </c>
    </row>
    <row r="107">
      <c r="G107" s="3" t="str">
        <f>IFERROR(__xludf.DUMMYFUNCTION("""COMPUTED_VALUE"""),"2010 (97e)")</f>
        <v>2010 (97e)</v>
      </c>
      <c r="H107" s="3" t="str">
        <f>IFERROR(__xludf.DUMMYFUNCTION("""COMPUTED_VALUE"""),"Andy Schleck[17]")</f>
        <v>Andy Schleck[17]</v>
      </c>
      <c r="I107" s="3" t="str">
        <f>IFERROR(__xludf.DUMMYFUNCTION("""COMPUTED_VALUE"""),"Samuel Sánchez[18]")</f>
        <v>Samuel Sánchez[18]</v>
      </c>
      <c r="J107" s="3" t="str">
        <f>IFERROR(__xludf.DUMMYFUNCTION("""COMPUTED_VALUE"""),"Jurgen Van den Broeck[18]")</f>
        <v>Jurgen Van den Broeck[18]</v>
      </c>
      <c r="K107" s="3" t="str">
        <f>IFERROR(__xludf.DUMMYFUNCTION("""COMPUTED_VALUE"""),"Saxo Bank")</f>
        <v>Saxo Bank</v>
      </c>
      <c r="L107" s="3" t="str">
        <f>IFERROR(__xludf.DUMMYFUNCTION("""COMPUTED_VALUE"""),"Specialized")</f>
        <v>Specialized</v>
      </c>
      <c r="M107" s="3" t="str">
        <f>IFERROR(__xludf.DUMMYFUNCTION("""COMPUTED_VALUE"""),"SRAM")</f>
        <v>SRAM</v>
      </c>
      <c r="N107" s="3">
        <f>IFERROR(__xludf.DUMMYFUNCTION("""COMPUTED_VALUE"""),21.0)</f>
        <v>21</v>
      </c>
      <c r="O107" s="3">
        <f>IFERROR(__xludf.DUMMYFUNCTION("""COMPUTED_VALUE"""),3642.0)</f>
        <v>3642</v>
      </c>
      <c r="P107" s="3" t="str">
        <f>IFERROR(__xludf.DUMMYFUNCTION("""COMPUTED_VALUE"""),"39,594 km/h")</f>
        <v>39,594 km/h</v>
      </c>
      <c r="Q107" s="3" t="str">
        <f>IFERROR(__xludf.DUMMYFUNCTION("""COMPUTED_VALUE"""),"Anthony Charteau")</f>
        <v>Anthony Charteau</v>
      </c>
      <c r="R107" s="3" t="str">
        <f>IFERROR(__xludf.DUMMYFUNCTION("""COMPUTED_VALUE"""),"Alessandro Petacchi")</f>
        <v>Alessandro Petacchi</v>
      </c>
      <c r="S107" s="3" t="str">
        <f>IFERROR(__xludf.DUMMYFUNCTION("""COMPUTED_VALUE"""),"Andy Schleck")</f>
        <v>Andy Schleck</v>
      </c>
      <c r="T107" s="3" t="str">
        <f>IFERROR(__xludf.DUMMYFUNCTION("""COMPUTED_VALUE"""),"Sylvain Chavanel")</f>
        <v>Sylvain Chavanel</v>
      </c>
    </row>
    <row r="108">
      <c r="G108" s="3" t="str">
        <f>IFERROR(__xludf.DUMMYFUNCTION("""COMPUTED_VALUE"""),"2011 (98e)")</f>
        <v>2011 (98e)</v>
      </c>
      <c r="H108" s="3" t="str">
        <f>IFERROR(__xludf.DUMMYFUNCTION("""COMPUTED_VALUE"""),"Cadel Evans")</f>
        <v>Cadel Evans</v>
      </c>
      <c r="I108" s="3" t="str">
        <f>IFERROR(__xludf.DUMMYFUNCTION("""COMPUTED_VALUE"""),"Andy Schleck")</f>
        <v>Andy Schleck</v>
      </c>
      <c r="J108" s="3" t="str">
        <f>IFERROR(__xludf.DUMMYFUNCTION("""COMPUTED_VALUE"""),"Fränk Schleck")</f>
        <v>Fränk Schleck</v>
      </c>
      <c r="K108" s="3" t="str">
        <f>IFERROR(__xludf.DUMMYFUNCTION("""COMPUTED_VALUE"""),"BMC Racing")</f>
        <v>BMC Racing</v>
      </c>
      <c r="L108" s="3" t="str">
        <f>IFERROR(__xludf.DUMMYFUNCTION("""COMPUTED_VALUE"""),"BMC")</f>
        <v>BMC</v>
      </c>
      <c r="M108" s="3" t="str">
        <f>IFERROR(__xludf.DUMMYFUNCTION("""COMPUTED_VALUE"""),"Shimano")</f>
        <v>Shimano</v>
      </c>
      <c r="N108" s="3">
        <f>IFERROR(__xludf.DUMMYFUNCTION("""COMPUTED_VALUE"""),21.0)</f>
        <v>21</v>
      </c>
      <c r="O108" s="3">
        <f>IFERROR(__xludf.DUMMYFUNCTION("""COMPUTED_VALUE"""),3430.0)</f>
        <v>3430</v>
      </c>
      <c r="P108" s="3" t="str">
        <f>IFERROR(__xludf.DUMMYFUNCTION("""COMPUTED_VALUE"""),"39,788 km/h")</f>
        <v>39,788 km/h</v>
      </c>
      <c r="Q108" s="3" t="str">
        <f>IFERROR(__xludf.DUMMYFUNCTION("""COMPUTED_VALUE"""),"Samuel Sánchez")</f>
        <v>Samuel Sánchez</v>
      </c>
      <c r="R108" s="3" t="str">
        <f>IFERROR(__xludf.DUMMYFUNCTION("""COMPUTED_VALUE"""),"Mark Cavendish")</f>
        <v>Mark Cavendish</v>
      </c>
      <c r="S108" s="3" t="str">
        <f>IFERROR(__xludf.DUMMYFUNCTION("""COMPUTED_VALUE"""),"Pierre Rolland")</f>
        <v>Pierre Rolland</v>
      </c>
      <c r="T108" s="3" t="str">
        <f>IFERROR(__xludf.DUMMYFUNCTION("""COMPUTED_VALUE"""),"Jérémy Roy")</f>
        <v>Jérémy Roy</v>
      </c>
    </row>
    <row r="109">
      <c r="G109" s="3" t="str">
        <f>IFERROR(__xludf.DUMMYFUNCTION("""COMPUTED_VALUE"""),"2012 (99e)")</f>
        <v>2012 (99e)</v>
      </c>
      <c r="H109" s="3" t="str">
        <f>IFERROR(__xludf.DUMMYFUNCTION("""COMPUTED_VALUE"""),"Bradley Wiggins")</f>
        <v>Bradley Wiggins</v>
      </c>
      <c r="I109" s="3" t="str">
        <f>IFERROR(__xludf.DUMMYFUNCTION("""COMPUTED_VALUE"""),"Christopher Froome")</f>
        <v>Christopher Froome</v>
      </c>
      <c r="J109" s="3" t="str">
        <f>IFERROR(__xludf.DUMMYFUNCTION("""COMPUTED_VALUE"""),"Vincenzo Nibali")</f>
        <v>Vincenzo Nibali</v>
      </c>
      <c r="K109" s="3" t="str">
        <f>IFERROR(__xludf.DUMMYFUNCTION("""COMPUTED_VALUE"""),"Team Sky")</f>
        <v>Team Sky</v>
      </c>
      <c r="L109" s="3" t="str">
        <f>IFERROR(__xludf.DUMMYFUNCTION("""COMPUTED_VALUE"""),"Pinarello")</f>
        <v>Pinarello</v>
      </c>
      <c r="M109" s="3" t="str">
        <f>IFERROR(__xludf.DUMMYFUNCTION("""COMPUTED_VALUE"""),"Shimano")</f>
        <v>Shimano</v>
      </c>
      <c r="N109" s="3">
        <f>IFERROR(__xludf.DUMMYFUNCTION("""COMPUTED_VALUE"""),21.0)</f>
        <v>21</v>
      </c>
      <c r="O109" s="3">
        <f>IFERROR(__xludf.DUMMYFUNCTION("""COMPUTED_VALUE"""),3497.0)</f>
        <v>3497</v>
      </c>
      <c r="P109" s="3" t="str">
        <f>IFERROR(__xludf.DUMMYFUNCTION("""COMPUTED_VALUE"""),"39,724 km/h")</f>
        <v>39,724 km/h</v>
      </c>
      <c r="Q109" s="3" t="str">
        <f>IFERROR(__xludf.DUMMYFUNCTION("""COMPUTED_VALUE"""),"Thomas Voeckler")</f>
        <v>Thomas Voeckler</v>
      </c>
      <c r="R109" s="3" t="str">
        <f>IFERROR(__xludf.DUMMYFUNCTION("""COMPUTED_VALUE"""),"Peter Sagan")</f>
        <v>Peter Sagan</v>
      </c>
      <c r="S109" s="3" t="str">
        <f>IFERROR(__xludf.DUMMYFUNCTION("""COMPUTED_VALUE"""),"Tejay van Garderen")</f>
        <v>Tejay van Garderen</v>
      </c>
      <c r="T109" s="3" t="str">
        <f>IFERROR(__xludf.DUMMYFUNCTION("""COMPUTED_VALUE"""),"Chris Anker Sørensen")</f>
        <v>Chris Anker Sørensen</v>
      </c>
    </row>
    <row r="110">
      <c r="G110" s="3" t="str">
        <f>IFERROR(__xludf.DUMMYFUNCTION("""COMPUTED_VALUE"""),"2013 (100e)")</f>
        <v>2013 (100e)</v>
      </c>
      <c r="H110" s="3" t="str">
        <f>IFERROR(__xludf.DUMMYFUNCTION("""COMPUTED_VALUE"""),"Christopher Froome")</f>
        <v>Christopher Froome</v>
      </c>
      <c r="I110" s="3" t="str">
        <f>IFERROR(__xludf.DUMMYFUNCTION("""COMPUTED_VALUE"""),"Nairo Quintana")</f>
        <v>Nairo Quintana</v>
      </c>
      <c r="J110" s="3" t="str">
        <f>IFERROR(__xludf.DUMMYFUNCTION("""COMPUTED_VALUE"""),"Joaquim Rodríguez")</f>
        <v>Joaquim Rodríguez</v>
      </c>
      <c r="K110" s="3" t="str">
        <f>IFERROR(__xludf.DUMMYFUNCTION("""COMPUTED_VALUE"""),"Team Sky")</f>
        <v>Team Sky</v>
      </c>
      <c r="L110" s="3" t="str">
        <f>IFERROR(__xludf.DUMMYFUNCTION("""COMPUTED_VALUE"""),"Pinarello")</f>
        <v>Pinarello</v>
      </c>
      <c r="M110" s="3" t="str">
        <f>IFERROR(__xludf.DUMMYFUNCTION("""COMPUTED_VALUE"""),"Shimano")</f>
        <v>Shimano</v>
      </c>
      <c r="N110" s="3">
        <f>IFERROR(__xludf.DUMMYFUNCTION("""COMPUTED_VALUE"""),21.0)</f>
        <v>21</v>
      </c>
      <c r="O110" s="3">
        <f>IFERROR(__xludf.DUMMYFUNCTION("""COMPUTED_VALUE"""),3404.0)</f>
        <v>3404</v>
      </c>
      <c r="P110" s="3" t="str">
        <f>IFERROR(__xludf.DUMMYFUNCTION("""COMPUTED_VALUE"""),"40,542 km/h")</f>
        <v>40,542 km/h</v>
      </c>
      <c r="Q110" s="3" t="str">
        <f>IFERROR(__xludf.DUMMYFUNCTION("""COMPUTED_VALUE"""),"Nairo Quintana")</f>
        <v>Nairo Quintana</v>
      </c>
      <c r="R110" s="3" t="str">
        <f>IFERROR(__xludf.DUMMYFUNCTION("""COMPUTED_VALUE"""),"Peter Sagan")</f>
        <v>Peter Sagan</v>
      </c>
      <c r="S110" s="3" t="str">
        <f>IFERROR(__xludf.DUMMYFUNCTION("""COMPUTED_VALUE"""),"Nairo Quintana")</f>
        <v>Nairo Quintana</v>
      </c>
      <c r="T110" s="3" t="str">
        <f>IFERROR(__xludf.DUMMYFUNCTION("""COMPUTED_VALUE"""),"Christophe Riblon")</f>
        <v>Christophe Riblon</v>
      </c>
    </row>
    <row r="111">
      <c r="G111" s="3" t="str">
        <f>IFERROR(__xludf.DUMMYFUNCTION("""COMPUTED_VALUE"""),"2014 (101e)")</f>
        <v>2014 (101e)</v>
      </c>
      <c r="H111" s="3" t="str">
        <f>IFERROR(__xludf.DUMMYFUNCTION("""COMPUTED_VALUE"""),"Vincenzo Nibali")</f>
        <v>Vincenzo Nibali</v>
      </c>
      <c r="I111" s="3" t="str">
        <f>IFERROR(__xludf.DUMMYFUNCTION("""COMPUTED_VALUE"""),"Jean-Christophe Péraud")</f>
        <v>Jean-Christophe Péraud</v>
      </c>
      <c r="J111" s="3" t="str">
        <f>IFERROR(__xludf.DUMMYFUNCTION("""COMPUTED_VALUE"""),"Thibaut Pinot")</f>
        <v>Thibaut Pinot</v>
      </c>
      <c r="K111" s="3" t="str">
        <f>IFERROR(__xludf.DUMMYFUNCTION("""COMPUTED_VALUE"""),"Astana")</f>
        <v>Astana</v>
      </c>
      <c r="L111" s="3" t="str">
        <f>IFERROR(__xludf.DUMMYFUNCTION("""COMPUTED_VALUE"""),"Specialized")</f>
        <v>Specialized</v>
      </c>
      <c r="M111" s="3" t="str">
        <f>IFERROR(__xludf.DUMMYFUNCTION("""COMPUTED_VALUE"""),"Campagnolo")</f>
        <v>Campagnolo</v>
      </c>
      <c r="N111" s="3">
        <f>IFERROR(__xludf.DUMMYFUNCTION("""COMPUTED_VALUE"""),21.0)</f>
        <v>21</v>
      </c>
      <c r="O111" s="3">
        <f>IFERROR(__xludf.DUMMYFUNCTION("""COMPUTED_VALUE"""),3660.5)</f>
        <v>3660.5</v>
      </c>
      <c r="P111" s="3" t="str">
        <f>IFERROR(__xludf.DUMMYFUNCTION("""COMPUTED_VALUE"""),"40,452 km/h")</f>
        <v>40,452 km/h</v>
      </c>
      <c r="Q111" s="3" t="str">
        <f>IFERROR(__xludf.DUMMYFUNCTION("""COMPUTED_VALUE"""),"Rafał Majka")</f>
        <v>Rafał Majka</v>
      </c>
      <c r="R111" s="3" t="str">
        <f>IFERROR(__xludf.DUMMYFUNCTION("""COMPUTED_VALUE"""),"Peter Sagan")</f>
        <v>Peter Sagan</v>
      </c>
      <c r="S111" s="3" t="str">
        <f>IFERROR(__xludf.DUMMYFUNCTION("""COMPUTED_VALUE"""),"Thibaut Pinot")</f>
        <v>Thibaut Pinot</v>
      </c>
      <c r="T111" s="3" t="str">
        <f>IFERROR(__xludf.DUMMYFUNCTION("""COMPUTED_VALUE"""),"Alessandro De Marchi")</f>
        <v>Alessandro De Marchi</v>
      </c>
    </row>
    <row r="112">
      <c r="G112" s="3" t="str">
        <f>IFERROR(__xludf.DUMMYFUNCTION("""COMPUTED_VALUE"""),"2015 (102e)")</f>
        <v>2015 (102e)</v>
      </c>
      <c r="H112" s="3" t="str">
        <f>IFERROR(__xludf.DUMMYFUNCTION("""COMPUTED_VALUE"""),"Christopher Froome")</f>
        <v>Christopher Froome</v>
      </c>
      <c r="I112" s="3" t="str">
        <f>IFERROR(__xludf.DUMMYFUNCTION("""COMPUTED_VALUE"""),"Nairo Quintana")</f>
        <v>Nairo Quintana</v>
      </c>
      <c r="J112" s="3" t="str">
        <f>IFERROR(__xludf.DUMMYFUNCTION("""COMPUTED_VALUE"""),"Alejandro Valverde")</f>
        <v>Alejandro Valverde</v>
      </c>
      <c r="K112" s="3" t="str">
        <f>IFERROR(__xludf.DUMMYFUNCTION("""COMPUTED_VALUE"""),"Team Sky")</f>
        <v>Team Sky</v>
      </c>
      <c r="L112" s="3" t="str">
        <f>IFERROR(__xludf.DUMMYFUNCTION("""COMPUTED_VALUE"""),"Pinarello")</f>
        <v>Pinarello</v>
      </c>
      <c r="M112" s="3" t="str">
        <f>IFERROR(__xludf.DUMMYFUNCTION("""COMPUTED_VALUE"""),"Shimano")</f>
        <v>Shimano</v>
      </c>
      <c r="N112" s="3">
        <f>IFERROR(__xludf.DUMMYFUNCTION("""COMPUTED_VALUE"""),21.0)</f>
        <v>21</v>
      </c>
      <c r="O112" s="3">
        <f>IFERROR(__xludf.DUMMYFUNCTION("""COMPUTED_VALUE"""),3360.0)</f>
        <v>3360</v>
      </c>
      <c r="P112" s="3" t="str">
        <f>IFERROR(__xludf.DUMMYFUNCTION("""COMPUTED_VALUE"""),"39,567 km/h")</f>
        <v>39,567 km/h</v>
      </c>
      <c r="Q112" s="3" t="str">
        <f>IFERROR(__xludf.DUMMYFUNCTION("""COMPUTED_VALUE"""),"Christopher Froome")</f>
        <v>Christopher Froome</v>
      </c>
      <c r="R112" s="3" t="str">
        <f>IFERROR(__xludf.DUMMYFUNCTION("""COMPUTED_VALUE"""),"Peter Sagan")</f>
        <v>Peter Sagan</v>
      </c>
      <c r="S112" s="3" t="str">
        <f>IFERROR(__xludf.DUMMYFUNCTION("""COMPUTED_VALUE"""),"Nairo Quintana")</f>
        <v>Nairo Quintana</v>
      </c>
      <c r="T112" s="3" t="str">
        <f>IFERROR(__xludf.DUMMYFUNCTION("""COMPUTED_VALUE"""),"Romain Bardet")</f>
        <v>Romain Bardet</v>
      </c>
    </row>
    <row r="113">
      <c r="G113" s="3" t="str">
        <f>IFERROR(__xludf.DUMMYFUNCTION("""COMPUTED_VALUE"""),"2016 (103e)")</f>
        <v>2016 (103e)</v>
      </c>
      <c r="H113" s="3" t="str">
        <f>IFERROR(__xludf.DUMMYFUNCTION("""COMPUTED_VALUE"""),"Christopher Froome")</f>
        <v>Christopher Froome</v>
      </c>
      <c r="I113" s="3" t="str">
        <f>IFERROR(__xludf.DUMMYFUNCTION("""COMPUTED_VALUE"""),"Romain Bardet")</f>
        <v>Romain Bardet</v>
      </c>
      <c r="J113" s="3" t="str">
        <f>IFERROR(__xludf.DUMMYFUNCTION("""COMPUTED_VALUE"""),"Nairo Quintana")</f>
        <v>Nairo Quintana</v>
      </c>
      <c r="K113" s="3" t="str">
        <f>IFERROR(__xludf.DUMMYFUNCTION("""COMPUTED_VALUE"""),"Team Sky")</f>
        <v>Team Sky</v>
      </c>
      <c r="L113" s="3" t="str">
        <f>IFERROR(__xludf.DUMMYFUNCTION("""COMPUTED_VALUE"""),"Pinarello")</f>
        <v>Pinarello</v>
      </c>
      <c r="M113" s="3" t="str">
        <f>IFERROR(__xludf.DUMMYFUNCTION("""COMPUTED_VALUE"""),"Shimano")</f>
        <v>Shimano</v>
      </c>
      <c r="N113" s="3">
        <f>IFERROR(__xludf.DUMMYFUNCTION("""COMPUTED_VALUE"""),21.0)</f>
        <v>21</v>
      </c>
      <c r="O113" s="3">
        <f>IFERROR(__xludf.DUMMYFUNCTION("""COMPUTED_VALUE"""),3529.0)</f>
        <v>3529</v>
      </c>
      <c r="P113" s="3" t="str">
        <f>IFERROR(__xludf.DUMMYFUNCTION("""COMPUTED_VALUE"""),"39,616 km/h")</f>
        <v>39,616 km/h</v>
      </c>
      <c r="Q113" s="3" t="str">
        <f>IFERROR(__xludf.DUMMYFUNCTION("""COMPUTED_VALUE"""),"Rafał Majka")</f>
        <v>Rafał Majka</v>
      </c>
      <c r="R113" s="3" t="str">
        <f>IFERROR(__xludf.DUMMYFUNCTION("""COMPUTED_VALUE"""),"Peter Sagan")</f>
        <v>Peter Sagan</v>
      </c>
      <c r="S113" s="3" t="str">
        <f>IFERROR(__xludf.DUMMYFUNCTION("""COMPUTED_VALUE"""),"Adam Yates")</f>
        <v>Adam Yates</v>
      </c>
      <c r="T113" s="3" t="str">
        <f>IFERROR(__xludf.DUMMYFUNCTION("""COMPUTED_VALUE"""),"Peter Sagan")</f>
        <v>Peter Sagan</v>
      </c>
    </row>
    <row r="114">
      <c r="G114" s="3" t="str">
        <f>IFERROR(__xludf.DUMMYFUNCTION("""COMPUTED_VALUE"""),"2017 (104e)")</f>
        <v>2017 (104e)</v>
      </c>
      <c r="H114" s="3" t="str">
        <f>IFERROR(__xludf.DUMMYFUNCTION("""COMPUTED_VALUE"""),"Christopher Froome")</f>
        <v>Christopher Froome</v>
      </c>
      <c r="I114" s="3" t="str">
        <f>IFERROR(__xludf.DUMMYFUNCTION("""COMPUTED_VALUE"""),"Rigoberto Urán")</f>
        <v>Rigoberto Urán</v>
      </c>
      <c r="J114" s="3" t="str">
        <f>IFERROR(__xludf.DUMMYFUNCTION("""COMPUTED_VALUE"""),"Romain Bardet")</f>
        <v>Romain Bardet</v>
      </c>
      <c r="K114" s="3" t="str">
        <f>IFERROR(__xludf.DUMMYFUNCTION("""COMPUTED_VALUE"""),"Team Sky")</f>
        <v>Team Sky</v>
      </c>
      <c r="L114" s="3" t="str">
        <f>IFERROR(__xludf.DUMMYFUNCTION("""COMPUTED_VALUE"""),"Pinarello")</f>
        <v>Pinarello</v>
      </c>
      <c r="M114" s="3" t="str">
        <f>IFERROR(__xludf.DUMMYFUNCTION("""COMPUTED_VALUE"""),"Shimano")</f>
        <v>Shimano</v>
      </c>
      <c r="N114" s="3">
        <f>IFERROR(__xludf.DUMMYFUNCTION("""COMPUTED_VALUE"""),21.0)</f>
        <v>21</v>
      </c>
      <c r="O114" s="3">
        <f>IFERROR(__xludf.DUMMYFUNCTION("""COMPUTED_VALUE"""),3540.0)</f>
        <v>3540</v>
      </c>
      <c r="P114" s="3" t="str">
        <f>IFERROR(__xludf.DUMMYFUNCTION("""COMPUTED_VALUE"""),"40,996 km/h")</f>
        <v>40,996 km/h</v>
      </c>
      <c r="Q114" s="3" t="str">
        <f>IFERROR(__xludf.DUMMYFUNCTION("""COMPUTED_VALUE"""),"Warren Barguil")</f>
        <v>Warren Barguil</v>
      </c>
      <c r="R114" s="3" t="str">
        <f>IFERROR(__xludf.DUMMYFUNCTION("""COMPUTED_VALUE"""),"Michael Matthews")</f>
        <v>Michael Matthews</v>
      </c>
      <c r="S114" s="3" t="str">
        <f>IFERROR(__xludf.DUMMYFUNCTION("""COMPUTED_VALUE"""),"Simon Yates")</f>
        <v>Simon Yates</v>
      </c>
      <c r="T114" s="3" t="str">
        <f>IFERROR(__xludf.DUMMYFUNCTION("""COMPUTED_VALUE"""),"Warren Barguil")</f>
        <v>Warren Barguil</v>
      </c>
    </row>
    <row r="115">
      <c r="G115" s="3" t="str">
        <f>IFERROR(__xludf.DUMMYFUNCTION("""COMPUTED_VALUE"""),"2018 (105e)")</f>
        <v>2018 (105e)</v>
      </c>
      <c r="H115" s="3" t="str">
        <f>IFERROR(__xludf.DUMMYFUNCTION("""COMPUTED_VALUE"""),"Geraint Thomas")</f>
        <v>Geraint Thomas</v>
      </c>
      <c r="I115" s="3" t="str">
        <f>IFERROR(__xludf.DUMMYFUNCTION("""COMPUTED_VALUE"""),"Tom Dumoulin")</f>
        <v>Tom Dumoulin</v>
      </c>
      <c r="J115" s="3" t="str">
        <f>IFERROR(__xludf.DUMMYFUNCTION("""COMPUTED_VALUE"""),"Christopher Froome")</f>
        <v>Christopher Froome</v>
      </c>
      <c r="K115" s="3" t="str">
        <f>IFERROR(__xludf.DUMMYFUNCTION("""COMPUTED_VALUE"""),"Team Sky")</f>
        <v>Team Sky</v>
      </c>
      <c r="L115" s="3" t="str">
        <f>IFERROR(__xludf.DUMMYFUNCTION("""COMPUTED_VALUE"""),"Pinarello")</f>
        <v>Pinarello</v>
      </c>
      <c r="M115" s="3" t="str">
        <f>IFERROR(__xludf.DUMMYFUNCTION("""COMPUTED_VALUE"""),"Shimano")</f>
        <v>Shimano</v>
      </c>
      <c r="N115" s="3">
        <f>IFERROR(__xludf.DUMMYFUNCTION("""COMPUTED_VALUE"""),21.0)</f>
        <v>21</v>
      </c>
      <c r="O115" s="3">
        <f>IFERROR(__xludf.DUMMYFUNCTION("""COMPUTED_VALUE"""),3351.0)</f>
        <v>3351</v>
      </c>
      <c r="P115" s="3" t="str">
        <f>IFERROR(__xludf.DUMMYFUNCTION("""COMPUTED_VALUE"""),"40,234 km/h")</f>
        <v>40,234 km/h</v>
      </c>
      <c r="Q115" s="3" t="str">
        <f>IFERROR(__xludf.DUMMYFUNCTION("""COMPUTED_VALUE"""),"Julian Alaphilippe")</f>
        <v>Julian Alaphilippe</v>
      </c>
      <c r="R115" s="3" t="str">
        <f>IFERROR(__xludf.DUMMYFUNCTION("""COMPUTED_VALUE"""),"Peter Sagan")</f>
        <v>Peter Sagan</v>
      </c>
      <c r="S115" s="3" t="str">
        <f>IFERROR(__xludf.DUMMYFUNCTION("""COMPUTED_VALUE"""),"Pierre Latour")</f>
        <v>Pierre Latour</v>
      </c>
      <c r="T115" s="3" t="str">
        <f>IFERROR(__xludf.DUMMYFUNCTION("""COMPUTED_VALUE"""),"Daniel Martin")</f>
        <v>Daniel Martin</v>
      </c>
    </row>
    <row r="116">
      <c r="G116" s="3" t="str">
        <f>IFERROR(__xludf.DUMMYFUNCTION("""COMPUTED_VALUE"""),"2019 (106e)")</f>
        <v>2019 (106e)</v>
      </c>
      <c r="H116" s="3" t="str">
        <f>IFERROR(__xludf.DUMMYFUNCTION("""COMPUTED_VALUE"""),"Egan Bernal")</f>
        <v>Egan Bernal</v>
      </c>
      <c r="I116" s="3" t="str">
        <f>IFERROR(__xludf.DUMMYFUNCTION("""COMPUTED_VALUE"""),"Geraint Thomas")</f>
        <v>Geraint Thomas</v>
      </c>
      <c r="J116" s="3" t="str">
        <f>IFERROR(__xludf.DUMMYFUNCTION("""COMPUTED_VALUE"""),"Steven Kruijswijk")</f>
        <v>Steven Kruijswijk</v>
      </c>
      <c r="K116" s="3" t="str">
        <f>IFERROR(__xludf.DUMMYFUNCTION("""COMPUTED_VALUE"""),"Team Ineos")</f>
        <v>Team Ineos</v>
      </c>
      <c r="L116" s="3" t="str">
        <f>IFERROR(__xludf.DUMMYFUNCTION("""COMPUTED_VALUE"""),"Pinarello")</f>
        <v>Pinarello</v>
      </c>
      <c r="M116" s="3" t="str">
        <f>IFERROR(__xludf.DUMMYFUNCTION("""COMPUTED_VALUE"""),"Shimano")</f>
        <v>Shimano</v>
      </c>
      <c r="N116" s="3">
        <f>IFERROR(__xludf.DUMMYFUNCTION("""COMPUTED_VALUE"""),21.0)</f>
        <v>21</v>
      </c>
      <c r="O116" s="3">
        <f>IFERROR(__xludf.DUMMYFUNCTION("""COMPUTED_VALUE"""),3365.8)</f>
        <v>3365.8</v>
      </c>
      <c r="P116" s="3" t="str">
        <f>IFERROR(__xludf.DUMMYFUNCTION("""COMPUTED_VALUE"""),"40,576 km/h")</f>
        <v>40,576 km/h</v>
      </c>
      <c r="Q116" s="3" t="str">
        <f>IFERROR(__xludf.DUMMYFUNCTION("""COMPUTED_VALUE"""),"Romain Bardet")</f>
        <v>Romain Bardet</v>
      </c>
      <c r="R116" s="3" t="str">
        <f>IFERROR(__xludf.DUMMYFUNCTION("""COMPUTED_VALUE"""),"Peter Sagan")</f>
        <v>Peter Sagan</v>
      </c>
      <c r="S116" s="3" t="str">
        <f>IFERROR(__xludf.DUMMYFUNCTION("""COMPUTED_VALUE"""),"Egan Bernal")</f>
        <v>Egan Bernal</v>
      </c>
      <c r="T116" s="3" t="str">
        <f>IFERROR(__xludf.DUMMYFUNCTION("""COMPUTED_VALUE"""),"Julian Alaphilippe")</f>
        <v>Julian Alaphilippe</v>
      </c>
    </row>
    <row r="117">
      <c r="G117" s="3" t="str">
        <f>IFERROR(__xludf.DUMMYFUNCTION("""COMPUTED_VALUE"""),"2020 (107e)")</f>
        <v>2020 (107e)</v>
      </c>
      <c r="H117" s="3" t="str">
        <f>IFERROR(__xludf.DUMMYFUNCTION("""COMPUTED_VALUE"""),"Tadej Pogačar")</f>
        <v>Tadej Pogačar</v>
      </c>
      <c r="I117" s="3" t="str">
        <f>IFERROR(__xludf.DUMMYFUNCTION("""COMPUTED_VALUE"""),"Primož Roglič")</f>
        <v>Primož Roglič</v>
      </c>
      <c r="J117" s="3" t="str">
        <f>IFERROR(__xludf.DUMMYFUNCTION("""COMPUTED_VALUE"""),"Richie Porte")</f>
        <v>Richie Porte</v>
      </c>
      <c r="K117" s="3" t="str">
        <f>IFERROR(__xludf.DUMMYFUNCTION("""COMPUTED_VALUE"""),"UAE Team Emirates")</f>
        <v>UAE Team Emirates</v>
      </c>
      <c r="L117" s="3" t="str">
        <f>IFERROR(__xludf.DUMMYFUNCTION("""COMPUTED_VALUE"""),"Colnago")</f>
        <v>Colnago</v>
      </c>
      <c r="M117" s="3" t="str">
        <f>IFERROR(__xludf.DUMMYFUNCTION("""COMPUTED_VALUE"""),"Campagnolo")</f>
        <v>Campagnolo</v>
      </c>
      <c r="N117" s="3">
        <f>IFERROR(__xludf.DUMMYFUNCTION("""COMPUTED_VALUE"""),21.0)</f>
        <v>21</v>
      </c>
      <c r="O117" s="3">
        <f>IFERROR(__xludf.DUMMYFUNCTION("""COMPUTED_VALUE"""),3484.2)</f>
        <v>3484.2</v>
      </c>
      <c r="P117" s="3" t="str">
        <f>IFERROR(__xludf.DUMMYFUNCTION("""COMPUTED_VALUE"""),"39,894 km/h")</f>
        <v>39,894 km/h</v>
      </c>
      <c r="Q117" s="3" t="str">
        <f>IFERROR(__xludf.DUMMYFUNCTION("""COMPUTED_VALUE"""),"Tadej Pogačar")</f>
        <v>Tadej Pogačar</v>
      </c>
      <c r="R117" s="3" t="str">
        <f>IFERROR(__xludf.DUMMYFUNCTION("""COMPUTED_VALUE"""),"Sam Bennett")</f>
        <v>Sam Bennett</v>
      </c>
      <c r="S117" s="3" t="str">
        <f>IFERROR(__xludf.DUMMYFUNCTION("""COMPUTED_VALUE"""),"Tadej Pogačar")</f>
        <v>Tadej Pogačar</v>
      </c>
      <c r="T117" s="3" t="str">
        <f>IFERROR(__xludf.DUMMYFUNCTION("""COMPUTED_VALUE"""),"Marc Hirschi")</f>
        <v>Marc Hirschi</v>
      </c>
    </row>
    <row r="118">
      <c r="G118" s="3" t="str">
        <f>IFERROR(__xludf.DUMMYFUNCTION("""COMPUTED_VALUE"""),"2021 (108e)")</f>
        <v>2021 (108e)</v>
      </c>
      <c r="H118" s="3" t="str">
        <f>IFERROR(__xludf.DUMMYFUNCTION("""COMPUTED_VALUE"""),"Tadej Pogačar")</f>
        <v>Tadej Pogačar</v>
      </c>
      <c r="I118" s="3" t="str">
        <f>IFERROR(__xludf.DUMMYFUNCTION("""COMPUTED_VALUE"""),"Jonas Vingegaard")</f>
        <v>Jonas Vingegaard</v>
      </c>
      <c r="J118" s="3" t="str">
        <f>IFERROR(__xludf.DUMMYFUNCTION("""COMPUTED_VALUE"""),"Richard Carapaz")</f>
        <v>Richard Carapaz</v>
      </c>
      <c r="K118" s="3" t="str">
        <f>IFERROR(__xludf.DUMMYFUNCTION("""COMPUTED_VALUE"""),"UAE Team Emirates")</f>
        <v>UAE Team Emirates</v>
      </c>
      <c r="L118" s="3" t="str">
        <f>IFERROR(__xludf.DUMMYFUNCTION("""COMPUTED_VALUE"""),"Colnago")</f>
        <v>Colnago</v>
      </c>
      <c r="M118" s="3" t="str">
        <f>IFERROR(__xludf.DUMMYFUNCTION("""COMPUTED_VALUE"""),"Campagnolo")</f>
        <v>Campagnolo</v>
      </c>
      <c r="N118" s="3">
        <f>IFERROR(__xludf.DUMMYFUNCTION("""COMPUTED_VALUE"""),21.0)</f>
        <v>21</v>
      </c>
      <c r="O118" s="3">
        <f>IFERROR(__xludf.DUMMYFUNCTION("""COMPUTED_VALUE"""),3414.4)</f>
        <v>3414.4</v>
      </c>
      <c r="P118" s="3" t="str">
        <f>IFERROR(__xludf.DUMMYFUNCTION("""COMPUTED_VALUE"""),"41,165 km/h")</f>
        <v>41,165 km/h</v>
      </c>
      <c r="Q118" s="3" t="str">
        <f>IFERROR(__xludf.DUMMYFUNCTION("""COMPUTED_VALUE"""),"Tadej Pogačar")</f>
        <v>Tadej Pogačar</v>
      </c>
      <c r="R118" s="3" t="str">
        <f>IFERROR(__xludf.DUMMYFUNCTION("""COMPUTED_VALUE"""),"Mark Cavendish")</f>
        <v>Mark Cavendish</v>
      </c>
      <c r="S118" s="3" t="str">
        <f>IFERROR(__xludf.DUMMYFUNCTION("""COMPUTED_VALUE"""),"Tadej Pogačar")</f>
        <v>Tadej Pogačar</v>
      </c>
      <c r="T118" s="3" t="str">
        <f>IFERROR(__xludf.DUMMYFUNCTION("""COMPUTED_VALUE"""),"Franck Bonnamour")</f>
        <v>Franck Bonnamour</v>
      </c>
    </row>
    <row r="119">
      <c r="G119" s="3" t="str">
        <f>IFERROR(__xludf.DUMMYFUNCTION("""COMPUTED_VALUE"""),"2022 (109e)")</f>
        <v>2022 (109e)</v>
      </c>
      <c r="H119" s="3" t="str">
        <f>IFERROR(__xludf.DUMMYFUNCTION("""COMPUTED_VALUE"""),"Jonas Vingegaard")</f>
        <v>Jonas Vingegaard</v>
      </c>
      <c r="I119" s="3" t="str">
        <f>IFERROR(__xludf.DUMMYFUNCTION("""COMPUTED_VALUE"""),"Tadej Pogačar")</f>
        <v>Tadej Pogačar</v>
      </c>
      <c r="J119" s="3" t="str">
        <f>IFERROR(__xludf.DUMMYFUNCTION("""COMPUTED_VALUE"""),"Geraint Thomas")</f>
        <v>Geraint Thomas</v>
      </c>
      <c r="K119" s="3" t="str">
        <f>IFERROR(__xludf.DUMMYFUNCTION("""COMPUTED_VALUE"""),"Jumbo-Visma")</f>
        <v>Jumbo-Visma</v>
      </c>
      <c r="L119" s="3" t="str">
        <f>IFERROR(__xludf.DUMMYFUNCTION("""COMPUTED_VALUE"""),"Cervélo")</f>
        <v>Cervélo</v>
      </c>
      <c r="M119" s="3" t="str">
        <f>IFERROR(__xludf.DUMMYFUNCTION("""COMPUTED_VALUE"""),"SRAM")</f>
        <v>SRAM</v>
      </c>
      <c r="N119" s="3">
        <f>IFERROR(__xludf.DUMMYFUNCTION("""COMPUTED_VALUE"""),21.0)</f>
        <v>21</v>
      </c>
      <c r="O119" s="3">
        <f>IFERROR(__xludf.DUMMYFUNCTION("""COMPUTED_VALUE"""),3349.8)</f>
        <v>3349.8</v>
      </c>
      <c r="P119" s="3" t="str">
        <f>IFERROR(__xludf.DUMMYFUNCTION("""COMPUTED_VALUE"""),"42,068 km/h")</f>
        <v>42,068 km/h</v>
      </c>
      <c r="Q119" s="3" t="str">
        <f>IFERROR(__xludf.DUMMYFUNCTION("""COMPUTED_VALUE"""),"Jonas Vingegaard")</f>
        <v>Jonas Vingegaard</v>
      </c>
      <c r="R119" s="3" t="str">
        <f>IFERROR(__xludf.DUMMYFUNCTION("""COMPUTED_VALUE"""),"Wout van Aert")</f>
        <v>Wout van Aert</v>
      </c>
      <c r="S119" s="3" t="str">
        <f>IFERROR(__xludf.DUMMYFUNCTION("""COMPUTED_VALUE"""),"Tadej Pogačar")</f>
        <v>Tadej Pogačar</v>
      </c>
      <c r="T119" s="3" t="str">
        <f>IFERROR(__xludf.DUMMYFUNCTION("""COMPUTED_VALUE"""),"Wout van Aert")</f>
        <v>Wout van Aert</v>
      </c>
    </row>
    <row r="120">
      <c r="G120" s="3" t="str">
        <f>IFERROR(__xludf.DUMMYFUNCTION("""COMPUTED_VALUE"""),"2023 (110e)")</f>
        <v>2023 (110e)</v>
      </c>
      <c r="H120" s="3" t="str">
        <f>IFERROR(__xludf.DUMMYFUNCTION("""COMPUTED_VALUE"""),"Jonas Vingegaard")</f>
        <v>Jonas Vingegaard</v>
      </c>
      <c r="I120" s="3" t="str">
        <f>IFERROR(__xludf.DUMMYFUNCTION("""COMPUTED_VALUE"""),"Tadej Pogačar")</f>
        <v>Tadej Pogačar</v>
      </c>
      <c r="J120" s="3" t="str">
        <f>IFERROR(__xludf.DUMMYFUNCTION("""COMPUTED_VALUE"""),"Adam Yates")</f>
        <v>Adam Yates</v>
      </c>
      <c r="K120" s="3" t="str">
        <f>IFERROR(__xludf.DUMMYFUNCTION("""COMPUTED_VALUE"""),"Jumbo-Visma")</f>
        <v>Jumbo-Visma</v>
      </c>
      <c r="L120" s="3" t="str">
        <f>IFERROR(__xludf.DUMMYFUNCTION("""COMPUTED_VALUE"""),"Cervélo")</f>
        <v>Cervélo</v>
      </c>
      <c r="M120" s="3" t="str">
        <f>IFERROR(__xludf.DUMMYFUNCTION("""COMPUTED_VALUE"""),"SRAM")</f>
        <v>SRAM</v>
      </c>
      <c r="N120" s="3">
        <f>IFERROR(__xludf.DUMMYFUNCTION("""COMPUTED_VALUE"""),21.0)</f>
        <v>21</v>
      </c>
      <c r="O120" s="3">
        <f>IFERROR(__xludf.DUMMYFUNCTION("""COMPUTED_VALUE"""),3405.6)</f>
        <v>3405.6</v>
      </c>
      <c r="P120" s="3" t="str">
        <f>IFERROR(__xludf.DUMMYFUNCTION("""COMPUTED_VALUE"""),"41,483 km/h")</f>
        <v>41,483 km/h</v>
      </c>
      <c r="Q120" s="3" t="str">
        <f>IFERROR(__xludf.DUMMYFUNCTION("""COMPUTED_VALUE"""),"Giulio Ciccone")</f>
        <v>Giulio Ciccone</v>
      </c>
      <c r="R120" s="3" t="str">
        <f>IFERROR(__xludf.DUMMYFUNCTION("""COMPUTED_VALUE"""),"Jasper Philipsen")</f>
        <v>Jasper Philipsen</v>
      </c>
      <c r="S120" s="3" t="str">
        <f>IFERROR(__xludf.DUMMYFUNCTION("""COMPUTED_VALUE"""),"Tadej Pogačar")</f>
        <v>Tadej Pogačar</v>
      </c>
      <c r="T120" s="3" t="str">
        <f>IFERROR(__xludf.DUMMYFUNCTION("""COMPUTED_VALUE"""),"Victor Campenaerts")</f>
        <v>Victor Campenaerts</v>
      </c>
    </row>
    <row r="121">
      <c r="G121" s="3" t="str">
        <f>IFERROR(__xludf.DUMMYFUNCTION("""COMPUTED_VALUE"""),"2024 (111e)")</f>
        <v>2024 (111e)</v>
      </c>
      <c r="H121" s="3" t="str">
        <f>IFERROR(__xludf.DUMMYFUNCTION("""COMPUTED_VALUE"""),"Tadej Pogačar")</f>
        <v>Tadej Pogačar</v>
      </c>
      <c r="I121" s="3" t="str">
        <f>IFERROR(__xludf.DUMMYFUNCTION("""COMPUTED_VALUE"""),"Jonas Vingegaard")</f>
        <v>Jonas Vingegaard</v>
      </c>
      <c r="J121" s="3" t="str">
        <f>IFERROR(__xludf.DUMMYFUNCTION("""COMPUTED_VALUE"""),"Remco Evenepoel")</f>
        <v>Remco Evenepoel</v>
      </c>
      <c r="K121" s="3" t="str">
        <f>IFERROR(__xludf.DUMMYFUNCTION("""COMPUTED_VALUE"""),"UAE Team Emirates")</f>
        <v>UAE Team Emirates</v>
      </c>
      <c r="L121" s="3" t="str">
        <f>IFERROR(__xludf.DUMMYFUNCTION("""COMPUTED_VALUE"""),"Colnago")</f>
        <v>Colnago</v>
      </c>
      <c r="M121" s="3" t="str">
        <f>IFERROR(__xludf.DUMMYFUNCTION("""COMPUTED_VALUE"""),"Shimano")</f>
        <v>Shimano</v>
      </c>
      <c r="N121" s="3">
        <f>IFERROR(__xludf.DUMMYFUNCTION("""COMPUTED_VALUE"""),21.0)</f>
        <v>21</v>
      </c>
      <c r="O121" s="3">
        <f>IFERROR(__xludf.DUMMYFUNCTION("""COMPUTED_VALUE"""),3498.0)</f>
        <v>3498</v>
      </c>
      <c r="P121" s="3" t="str">
        <f>IFERROR(__xludf.DUMMYFUNCTION("""COMPUTED_VALUE"""),"41,765 km/h")</f>
        <v>41,765 km/h</v>
      </c>
      <c r="Q121" s="3" t="str">
        <f>IFERROR(__xludf.DUMMYFUNCTION("""COMPUTED_VALUE"""),"Richard Carapaz")</f>
        <v>Richard Carapaz</v>
      </c>
      <c r="R121" s="3" t="str">
        <f>IFERROR(__xludf.DUMMYFUNCTION("""COMPUTED_VALUE"""),"Biniam Girmay")</f>
        <v>Biniam Girmay</v>
      </c>
      <c r="S121" s="3" t="str">
        <f>IFERROR(__xludf.DUMMYFUNCTION("""COMPUTED_VALUE"""),"Remco Evenepoel")</f>
        <v>Remco Evenepoel</v>
      </c>
      <c r="T121" s="3" t="str">
        <f>IFERROR(__xludf.DUMMYFUNCTION("""COMPUTED_VALUE"""),"Richard Carapaz")</f>
        <v>Richard Carapaz</v>
      </c>
    </row>
    <row r="122">
      <c r="G122" s="3" t="str">
        <f>IFERROR(__xludf.DUMMYFUNCTION("""COMPUTED_VALUE"""),"2025 (112e)")</f>
        <v>2025 (112e)</v>
      </c>
      <c r="H122" s="3" t="str">
        <f>IFERROR(__xludf.DUMMYFUNCTION("""COMPUTED_VALUE"""),"Tadej Pogačar")</f>
        <v>Tadej Pogačar</v>
      </c>
      <c r="I122" s="3" t="str">
        <f>IFERROR(__xludf.DUMMYFUNCTION("""COMPUTED_VALUE"""),"Jonas Vingegaard")</f>
        <v>Jonas Vingegaard</v>
      </c>
      <c r="J122" s="3" t="str">
        <f>IFERROR(__xludf.DUMMYFUNCTION("""COMPUTED_VALUE"""),"Florian Lipowitz")</f>
        <v>Florian Lipowitz</v>
      </c>
      <c r="K122" s="3" t="str">
        <f>IFERROR(__xludf.DUMMYFUNCTION("""COMPUTED_VALUE"""),"UAE Team Emirates")</f>
        <v>UAE Team Emirates</v>
      </c>
      <c r="L122" s="3" t="str">
        <f>IFERROR(__xludf.DUMMYFUNCTION("""COMPUTED_VALUE"""),"Colnago")</f>
        <v>Colnago</v>
      </c>
      <c r="M122" s="3" t="str">
        <f>IFERROR(__xludf.DUMMYFUNCTION("""COMPUTED_VALUE"""),"Shimano")</f>
        <v>Shimano</v>
      </c>
      <c r="N122" s="3">
        <f>IFERROR(__xludf.DUMMYFUNCTION("""COMPUTED_VALUE"""),21.0)</f>
        <v>21</v>
      </c>
      <c r="O122" s="3">
        <f>IFERROR(__xludf.DUMMYFUNCTION("""COMPUTED_VALUE"""),3298.6)</f>
        <v>3298.6</v>
      </c>
      <c r="P122" s="3" t="str">
        <f>IFERROR(__xludf.DUMMYFUNCTION("""COMPUTED_VALUE"""),"42,445 km/h[19]")</f>
        <v>42,445 km/h[19]</v>
      </c>
      <c r="Q122" s="3" t="str">
        <f>IFERROR(__xludf.DUMMYFUNCTION("""COMPUTED_VALUE"""),"Tadej Pogačar")</f>
        <v>Tadej Pogačar</v>
      </c>
      <c r="R122" s="3" t="str">
        <f>IFERROR(__xludf.DUMMYFUNCTION("""COMPUTED_VALUE"""),"Jonathan Milan")</f>
        <v>Jonathan Milan</v>
      </c>
      <c r="S122" s="3" t="str">
        <f>IFERROR(__xludf.DUMMYFUNCTION("""COMPUTED_VALUE"""),"Florian Lipowitz")</f>
        <v>Florian Lipowitz</v>
      </c>
      <c r="T122" s="3" t="str">
        <f>IFERROR(__xludf.DUMMYFUNCTION("""COMPUTED_VALUE"""),"Ben Healy")</f>
        <v>Ben Healy</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5" max="5" width="19.88"/>
    <col customWidth="1" min="7" max="7" width="14.5"/>
    <col customWidth="1" min="8" max="8" width="2.38"/>
    <col customWidth="1" min="15" max="15" width="1.63"/>
    <col customWidth="1" min="18" max="18" width="1.88"/>
    <col customWidth="1" min="22" max="22" width="3.13"/>
  </cols>
  <sheetData>
    <row r="1">
      <c r="A1" s="3" t="str">
        <f>IFERROR(__xludf.DUMMYFUNCTION("IMPORTHTML(""https://steamspy.com"",""table"",2)"),"#")</f>
        <v>#</v>
      </c>
      <c r="B1" s="3" t="str">
        <f>IFERROR(__xludf.DUMMYFUNCTION("""COMPUTED_VALUE"""),"Game")</f>
        <v>Game</v>
      </c>
      <c r="C1" s="3" t="str">
        <f>IFERROR(__xludf.DUMMYFUNCTION("""COMPUTED_VALUE"""),"Release date")</f>
        <v>Release date</v>
      </c>
      <c r="D1" s="3" t="str">
        <f>IFERROR(__xludf.DUMMYFUNCTION("""COMPUTED_VALUE"""),"Price")</f>
        <v>Price</v>
      </c>
      <c r="E1" s="3" t="str">
        <f>IFERROR(__xludf.DUMMYFUNCTION("""COMPUTED_VALUE"""),"Score rank
(Userscore / Metascore)")</f>
        <v>Score rank
(Userscore / Metascore)</v>
      </c>
      <c r="F1" s="3" t="str">
        <f>IFERROR(__xludf.DUMMYFUNCTION("""COMPUTED_VALUE"""),"Owners")</f>
        <v>Owners</v>
      </c>
      <c r="G1" s="3" t="str">
        <f>IFERROR(__xludf.DUMMYFUNCTION("""COMPUTED_VALUE"""),"Playtime (Median)")</f>
        <v>Playtime (Median)</v>
      </c>
      <c r="H1" s="34"/>
      <c r="I1" s="3" t="str">
        <f>IFERROR(__xludf.DUMMYFUNCTION("IMPORTHTML(""https://datatables.net"", ""table"", 1)"),"Name")</f>
        <v>Name</v>
      </c>
      <c r="J1" s="3" t="str">
        <f>IFERROR(__xludf.DUMMYFUNCTION("""COMPUTED_VALUE"""),"Position")</f>
        <v>Position</v>
      </c>
      <c r="K1" s="3" t="str">
        <f>IFERROR(__xludf.DUMMYFUNCTION("""COMPUTED_VALUE"""),"Office")</f>
        <v>Office</v>
      </c>
      <c r="L1" s="3" t="str">
        <f>IFERROR(__xludf.DUMMYFUNCTION("""COMPUTED_VALUE"""),"Age")</f>
        <v>Age</v>
      </c>
      <c r="M1" s="3" t="str">
        <f>IFERROR(__xludf.DUMMYFUNCTION("""COMPUTED_VALUE"""),"Start date")</f>
        <v>Start date</v>
      </c>
      <c r="N1" s="3" t="str">
        <f>IFERROR(__xludf.DUMMYFUNCTION("""COMPUTED_VALUE"""),"Salary")</f>
        <v>Salary</v>
      </c>
      <c r="O1" s="34"/>
      <c r="P1" s="35" t="str">
        <f>IFERROR(__xludf.DUMMYFUNCTION("importhtml(""https://www.insee.fr/fr/statistiques/6959520"", ""table"", 3)"),"Département")</f>
        <v>Département</v>
      </c>
      <c r="Q1" s="3" t="str">
        <f>IFERROR(__xludf.DUMMYFUNCTION("""COMPUTED_VALUE"""),"Évolution")</f>
        <v>Évolution</v>
      </c>
      <c r="R1" s="34"/>
      <c r="S1" s="3" t="str">
        <f>IFERROR(__xludf.DUMMYFUNCTION("importhtml(""https://www.insee.fr/fr/statistiques/serie/010752319"", ""table"", 4)"),"#N/A")</f>
        <v>#N/A</v>
      </c>
    </row>
    <row r="2">
      <c r="A2" s="3">
        <f>IFERROR(__xludf.DUMMYFUNCTION("""COMPUTED_VALUE"""),1.0)</f>
        <v>1</v>
      </c>
      <c r="B2" s="3" t="str">
        <f>IFERROR(__xludf.DUMMYFUNCTION("""COMPUTED_VALUE"""),"戦国英雄譚-Samurai Heroes-")</f>
        <v>戦国英雄譚-Samurai Heroes-</v>
      </c>
      <c r="C2" s="3" t="str">
        <f>IFERROR(__xludf.DUMMYFUNCTION("""COMPUTED_VALUE"""),"Feb 6, 2026")</f>
        <v>Feb 6, 2026</v>
      </c>
      <c r="D2" s="3" t="str">
        <f>IFERROR(__xludf.DUMMYFUNCTION("""COMPUTED_VALUE"""),"$7.99")</f>
        <v>$7.99</v>
      </c>
      <c r="E2" s="3" t="str">
        <f>IFERROR(__xludf.DUMMYFUNCTION("""COMPUTED_VALUE"""),"N/A (N/A)")</f>
        <v>N/A (N/A)</v>
      </c>
      <c r="F2" s="3" t="str">
        <f>IFERROR(__xludf.DUMMYFUNCTION("""COMPUTED_VALUE"""),"0 .. 20,000")</f>
        <v>0 .. 20,000</v>
      </c>
      <c r="G2" s="3" t="str">
        <f>IFERROR(__xludf.DUMMYFUNCTION("""COMPUTED_VALUE"""),"00:00 (00:00)")</f>
        <v>00:00 (00:00)</v>
      </c>
      <c r="H2" s="34"/>
      <c r="I2" s="3" t="str">
        <f>IFERROR(__xludf.DUMMYFUNCTION("""COMPUTED_VALUE"""),"Tiger Nixon")</f>
        <v>Tiger Nixon</v>
      </c>
      <c r="J2" s="3" t="str">
        <f>IFERROR(__xludf.DUMMYFUNCTION("""COMPUTED_VALUE"""),"System Architect")</f>
        <v>System Architect</v>
      </c>
      <c r="K2" s="3" t="str">
        <f>IFERROR(__xludf.DUMMYFUNCTION("""COMPUTED_VALUE"""),"Edinburgh")</f>
        <v>Edinburgh</v>
      </c>
      <c r="L2" s="3">
        <f>IFERROR(__xludf.DUMMYFUNCTION("""COMPUTED_VALUE"""),61.0)</f>
        <v>61</v>
      </c>
      <c r="M2" s="36">
        <f>IFERROR(__xludf.DUMMYFUNCTION("""COMPUTED_VALUE"""),40658.0)</f>
        <v>40658</v>
      </c>
      <c r="N2" s="3" t="str">
        <f>IFERROR(__xludf.DUMMYFUNCTION("""COMPUTED_VALUE"""),"$320,800")</f>
        <v>$320,800</v>
      </c>
      <c r="O2" s="34"/>
      <c r="P2" s="3" t="str">
        <f>IFERROR(__xludf.DUMMYFUNCTION("""COMPUTED_VALUE"""),"Ain")</f>
        <v>Ain</v>
      </c>
      <c r="Q2" s="37">
        <f>IFERROR(__xludf.DUMMYFUNCTION("""COMPUTED_VALUE"""),0.016)</f>
        <v>0.016</v>
      </c>
      <c r="R2" s="34"/>
    </row>
    <row r="3">
      <c r="A3" s="3">
        <f>IFERROR(__xludf.DUMMYFUNCTION("""COMPUTED_VALUE"""),2.0)</f>
        <v>2</v>
      </c>
      <c r="B3" s="3" t="str">
        <f>IFERROR(__xludf.DUMMYFUNCTION("""COMPUTED_VALUE"""),"Souper Game")</f>
        <v>Souper Game</v>
      </c>
      <c r="C3" s="3" t="str">
        <f>IFERROR(__xludf.DUMMYFUNCTION("""COMPUTED_VALUE"""),"Feb 6, 2026")</f>
        <v>Feb 6, 2026</v>
      </c>
      <c r="D3" s="3" t="str">
        <f>IFERROR(__xludf.DUMMYFUNCTION("""COMPUTED_VALUE"""),"$12.74")</f>
        <v>$12.74</v>
      </c>
      <c r="E3" s="3" t="str">
        <f>IFERROR(__xludf.DUMMYFUNCTION("""COMPUTED_VALUE"""),"N/A (N/A)")</f>
        <v>N/A (N/A)</v>
      </c>
      <c r="F3" s="3" t="str">
        <f>IFERROR(__xludf.DUMMYFUNCTION("""COMPUTED_VALUE"""),"0 .. 20,000")</f>
        <v>0 .. 20,000</v>
      </c>
      <c r="G3" s="3" t="str">
        <f>IFERROR(__xludf.DUMMYFUNCTION("""COMPUTED_VALUE"""),"00:00 (00:00)")</f>
        <v>00:00 (00:00)</v>
      </c>
      <c r="H3" s="34"/>
      <c r="I3" s="3" t="str">
        <f>IFERROR(__xludf.DUMMYFUNCTION("""COMPUTED_VALUE"""),"Garrett Winters")</f>
        <v>Garrett Winters</v>
      </c>
      <c r="J3" s="3" t="str">
        <f>IFERROR(__xludf.DUMMYFUNCTION("""COMPUTED_VALUE"""),"Accountant")</f>
        <v>Accountant</v>
      </c>
      <c r="K3" s="3" t="str">
        <f>IFERROR(__xludf.DUMMYFUNCTION("""COMPUTED_VALUE"""),"Tokyo")</f>
        <v>Tokyo</v>
      </c>
      <c r="L3" s="3">
        <f>IFERROR(__xludf.DUMMYFUNCTION("""COMPUTED_VALUE"""),63.0)</f>
        <v>63</v>
      </c>
      <c r="M3" s="36">
        <f>IFERROR(__xludf.DUMMYFUNCTION("""COMPUTED_VALUE"""),40749.0)</f>
        <v>40749</v>
      </c>
      <c r="N3" s="3" t="str">
        <f>IFERROR(__xludf.DUMMYFUNCTION("""COMPUTED_VALUE"""),"$170,750")</f>
        <v>$170,750</v>
      </c>
      <c r="O3" s="34"/>
      <c r="P3" s="3" t="str">
        <f>IFERROR(__xludf.DUMMYFUNCTION("""COMPUTED_VALUE"""),"Aisne")</f>
        <v>Aisne</v>
      </c>
      <c r="Q3" s="37">
        <f>IFERROR(__xludf.DUMMYFUNCTION("""COMPUTED_VALUE"""),0.0)</f>
        <v>0</v>
      </c>
      <c r="R3" s="34"/>
    </row>
    <row r="4">
      <c r="A4" s="3">
        <f>IFERROR(__xludf.DUMMYFUNCTION("""COMPUTED_VALUE"""),3.0)</f>
        <v>3</v>
      </c>
      <c r="B4" s="3" t="str">
        <f>IFERROR(__xludf.DUMMYFUNCTION("""COMPUTED_VALUE"""),"Break them all")</f>
        <v>Break them all</v>
      </c>
      <c r="C4" s="3" t="str">
        <f>IFERROR(__xludf.DUMMYFUNCTION("""COMPUTED_VALUE"""),"Feb 6, 2026")</f>
        <v>Feb 6, 2026</v>
      </c>
      <c r="D4" s="3" t="str">
        <f>IFERROR(__xludf.DUMMYFUNCTION("""COMPUTED_VALUE"""),"$1.19")</f>
        <v>$1.19</v>
      </c>
      <c r="E4" s="3" t="str">
        <f>IFERROR(__xludf.DUMMYFUNCTION("""COMPUTED_VALUE"""),"N/A (N/A)")</f>
        <v>N/A (N/A)</v>
      </c>
      <c r="F4" s="3" t="str">
        <f>IFERROR(__xludf.DUMMYFUNCTION("""COMPUTED_VALUE"""),"0 .. 20,000")</f>
        <v>0 .. 20,000</v>
      </c>
      <c r="G4" s="3" t="str">
        <f>IFERROR(__xludf.DUMMYFUNCTION("""COMPUTED_VALUE"""),"00:00 (00:00)")</f>
        <v>00:00 (00:00)</v>
      </c>
      <c r="H4" s="34"/>
      <c r="I4" s="3" t="str">
        <f>IFERROR(__xludf.DUMMYFUNCTION("""COMPUTED_VALUE"""),"Ashton Cox")</f>
        <v>Ashton Cox</v>
      </c>
      <c r="J4" s="3" t="str">
        <f>IFERROR(__xludf.DUMMYFUNCTION("""COMPUTED_VALUE"""),"Junior Technical Author")</f>
        <v>Junior Technical Author</v>
      </c>
      <c r="K4" s="3" t="str">
        <f>IFERROR(__xludf.DUMMYFUNCTION("""COMPUTED_VALUE"""),"San Francisco")</f>
        <v>San Francisco</v>
      </c>
      <c r="L4" s="3">
        <f>IFERROR(__xludf.DUMMYFUNCTION("""COMPUTED_VALUE"""),66.0)</f>
        <v>66</v>
      </c>
      <c r="M4" s="36">
        <f>IFERROR(__xludf.DUMMYFUNCTION("""COMPUTED_VALUE"""),39825.0)</f>
        <v>39825</v>
      </c>
      <c r="N4" s="3" t="str">
        <f>IFERROR(__xludf.DUMMYFUNCTION("""COMPUTED_VALUE"""),"$86,000")</f>
        <v>$86,000</v>
      </c>
      <c r="O4" s="34"/>
      <c r="P4" s="3" t="str">
        <f>IFERROR(__xludf.DUMMYFUNCTION("""COMPUTED_VALUE"""),"Allier")</f>
        <v>Allier</v>
      </c>
      <c r="Q4" s="37">
        <f>IFERROR(__xludf.DUMMYFUNCTION("""COMPUTED_VALUE"""),-0.001)</f>
        <v>-0.001</v>
      </c>
      <c r="R4" s="34"/>
    </row>
    <row r="5">
      <c r="A5" s="3">
        <f>IFERROR(__xludf.DUMMYFUNCTION("""COMPUTED_VALUE"""),4.0)</f>
        <v>4</v>
      </c>
      <c r="B5" s="3" t="str">
        <f>IFERROR(__xludf.DUMMYFUNCTION("""COMPUTED_VALUE"""),"The Quinfall")</f>
        <v>The Quinfall</v>
      </c>
      <c r="C5" s="3" t="str">
        <f>IFERROR(__xludf.DUMMYFUNCTION("""COMPUTED_VALUE"""),"Feb 6, 2026")</f>
        <v>Feb 6, 2026</v>
      </c>
      <c r="D5" s="3" t="str">
        <f>IFERROR(__xludf.DUMMYFUNCTION("""COMPUTED_VALUE"""),"$9.99")</f>
        <v>$9.99</v>
      </c>
      <c r="E5" s="3" t="str">
        <f>IFERROR(__xludf.DUMMYFUNCTION("""COMPUTED_VALUE"""),"N/A (N/A)")</f>
        <v>N/A (N/A)</v>
      </c>
      <c r="F5" s="3" t="str">
        <f>IFERROR(__xludf.DUMMYFUNCTION("""COMPUTED_VALUE"""),"200,000 .. 500,000")</f>
        <v>200,000 .. 500,000</v>
      </c>
      <c r="G5" s="3" t="str">
        <f>IFERROR(__xludf.DUMMYFUNCTION("""COMPUTED_VALUE"""),"00:21 (00:17)")</f>
        <v>00:21 (00:17)</v>
      </c>
      <c r="H5" s="34"/>
      <c r="I5" s="3" t="str">
        <f>IFERROR(__xludf.DUMMYFUNCTION("""COMPUTED_VALUE"""),"Cedric Kelly")</f>
        <v>Cedric Kelly</v>
      </c>
      <c r="J5" s="3" t="str">
        <f>IFERROR(__xludf.DUMMYFUNCTION("""COMPUTED_VALUE"""),"Senior JavaScript Developer")</f>
        <v>Senior JavaScript Developer</v>
      </c>
      <c r="K5" s="3" t="str">
        <f>IFERROR(__xludf.DUMMYFUNCTION("""COMPUTED_VALUE"""),"Edinburgh")</f>
        <v>Edinburgh</v>
      </c>
      <c r="L5" s="3">
        <f>IFERROR(__xludf.DUMMYFUNCTION("""COMPUTED_VALUE"""),22.0)</f>
        <v>22</v>
      </c>
      <c r="M5" s="36">
        <f>IFERROR(__xludf.DUMMYFUNCTION("""COMPUTED_VALUE"""),40997.0)</f>
        <v>40997</v>
      </c>
      <c r="N5" s="3" t="str">
        <f>IFERROR(__xludf.DUMMYFUNCTION("""COMPUTED_VALUE"""),"$433,060")</f>
        <v>$433,060</v>
      </c>
      <c r="O5" s="34"/>
      <c r="P5" s="3" t="str">
        <f>IFERROR(__xludf.DUMMYFUNCTION("""COMPUTED_VALUE"""),"Alpes-de-Haute-Provence")</f>
        <v>Alpes-de-Haute-Provence</v>
      </c>
      <c r="Q5" s="37">
        <f>IFERROR(__xludf.DUMMYFUNCTION("""COMPUTED_VALUE"""),0.017)</f>
        <v>0.017</v>
      </c>
      <c r="R5" s="34"/>
    </row>
    <row r="6">
      <c r="A6" s="3">
        <f>IFERROR(__xludf.DUMMYFUNCTION("""COMPUTED_VALUE"""),5.0)</f>
        <v>5</v>
      </c>
      <c r="B6" s="3" t="str">
        <f>IFERROR(__xludf.DUMMYFUNCTION("""COMPUTED_VALUE"""),"HumanitZ")</f>
        <v>HumanitZ</v>
      </c>
      <c r="C6" s="3" t="str">
        <f>IFERROR(__xludf.DUMMYFUNCTION("""COMPUTED_VALUE"""),"Feb 6, 2026")</f>
        <v>Feb 6, 2026</v>
      </c>
      <c r="D6" s="3" t="str">
        <f>IFERROR(__xludf.DUMMYFUNCTION("""COMPUTED_VALUE"""),"$11.99")</f>
        <v>$11.99</v>
      </c>
      <c r="E6" s="3" t="str">
        <f>IFERROR(__xludf.DUMMYFUNCTION("""COMPUTED_VALUE"""),"N/A (N/A)")</f>
        <v>N/A (N/A)</v>
      </c>
      <c r="F6" s="3" t="str">
        <f>IFERROR(__xludf.DUMMYFUNCTION("""COMPUTED_VALUE"""),"200,000 .. 500,000")</f>
        <v>200,000 .. 500,000</v>
      </c>
      <c r="G6" s="3" t="str">
        <f>IFERROR(__xludf.DUMMYFUNCTION("""COMPUTED_VALUE"""),"00:42 (00:28)")</f>
        <v>00:42 (00:28)</v>
      </c>
      <c r="H6" s="34"/>
      <c r="I6" s="3" t="str">
        <f>IFERROR(__xludf.DUMMYFUNCTION("""COMPUTED_VALUE"""),"Airi Satou")</f>
        <v>Airi Satou</v>
      </c>
      <c r="J6" s="3" t="str">
        <f>IFERROR(__xludf.DUMMYFUNCTION("""COMPUTED_VALUE"""),"Accountant")</f>
        <v>Accountant</v>
      </c>
      <c r="K6" s="3" t="str">
        <f>IFERROR(__xludf.DUMMYFUNCTION("""COMPUTED_VALUE"""),"Tokyo")</f>
        <v>Tokyo</v>
      </c>
      <c r="L6" s="3">
        <f>IFERROR(__xludf.DUMMYFUNCTION("""COMPUTED_VALUE"""),33.0)</f>
        <v>33</v>
      </c>
      <c r="M6" s="36">
        <f>IFERROR(__xludf.DUMMYFUNCTION("""COMPUTED_VALUE"""),39780.0)</f>
        <v>39780</v>
      </c>
      <c r="N6" s="3" t="str">
        <f>IFERROR(__xludf.DUMMYFUNCTION("""COMPUTED_VALUE"""),"$162,700")</f>
        <v>$162,700</v>
      </c>
      <c r="O6" s="34"/>
      <c r="P6" s="3" t="str">
        <f>IFERROR(__xludf.DUMMYFUNCTION("""COMPUTED_VALUE"""),"Hautes-Alpes")</f>
        <v>Hautes-Alpes</v>
      </c>
      <c r="Q6" s="37">
        <f>IFERROR(__xludf.DUMMYFUNCTION("""COMPUTED_VALUE"""),0.023)</f>
        <v>0.023</v>
      </c>
      <c r="R6" s="34"/>
    </row>
    <row r="7">
      <c r="A7" s="3">
        <f>IFERROR(__xludf.DUMMYFUNCTION("""COMPUTED_VALUE"""),6.0)</f>
        <v>6</v>
      </c>
      <c r="B7" s="3" t="str">
        <f>IFERROR(__xludf.DUMMYFUNCTION("""COMPUTED_VALUE"""),"SUPER BOMBERMAN COLLECTION")</f>
        <v>SUPER BOMBERMAN COLLECTION</v>
      </c>
      <c r="C7" s="3" t="str">
        <f>IFERROR(__xludf.DUMMYFUNCTION("""COMPUTED_VALUE"""),"Feb 5, 2026")</f>
        <v>Feb 5, 2026</v>
      </c>
      <c r="D7" s="3" t="str">
        <f>IFERROR(__xludf.DUMMYFUNCTION("""COMPUTED_VALUE"""),"$19.99")</f>
        <v>$19.99</v>
      </c>
      <c r="E7" s="3" t="str">
        <f>IFERROR(__xludf.DUMMYFUNCTION("""COMPUTED_VALUE"""),"N/A (N/A)")</f>
        <v>N/A (N/A)</v>
      </c>
      <c r="F7" s="3" t="str">
        <f>IFERROR(__xludf.DUMMYFUNCTION("""COMPUTED_VALUE"""),"0 .. 20,000")</f>
        <v>0 .. 20,000</v>
      </c>
      <c r="G7" s="3" t="str">
        <f>IFERROR(__xludf.DUMMYFUNCTION("""COMPUTED_VALUE"""),"00:00 (00:00)")</f>
        <v>00:00 (00:00)</v>
      </c>
      <c r="H7" s="34"/>
      <c r="I7" s="3" t="str">
        <f>IFERROR(__xludf.DUMMYFUNCTION("""COMPUTED_VALUE"""),"Brielle Williamson")</f>
        <v>Brielle Williamson</v>
      </c>
      <c r="J7" s="3" t="str">
        <f>IFERROR(__xludf.DUMMYFUNCTION("""COMPUTED_VALUE"""),"Integration Specialist")</f>
        <v>Integration Specialist</v>
      </c>
      <c r="K7" s="3" t="str">
        <f>IFERROR(__xludf.DUMMYFUNCTION("""COMPUTED_VALUE"""),"New York")</f>
        <v>New York</v>
      </c>
      <c r="L7" s="3">
        <f>IFERROR(__xludf.DUMMYFUNCTION("""COMPUTED_VALUE"""),61.0)</f>
        <v>61</v>
      </c>
      <c r="M7" s="36">
        <f>IFERROR(__xludf.DUMMYFUNCTION("""COMPUTED_VALUE"""),41245.0)</f>
        <v>41245</v>
      </c>
      <c r="N7" s="3" t="str">
        <f>IFERROR(__xludf.DUMMYFUNCTION("""COMPUTED_VALUE"""),"$372,000")</f>
        <v>$372,000</v>
      </c>
      <c r="O7" s="34"/>
      <c r="P7" s="3" t="str">
        <f>IFERROR(__xludf.DUMMYFUNCTION("""COMPUTED_VALUE"""),"Alpes-Maritimes")</f>
        <v>Alpes-Maritimes</v>
      </c>
      <c r="Q7" s="37">
        <f>IFERROR(__xludf.DUMMYFUNCTION("""COMPUTED_VALUE"""),0.051)</f>
        <v>0.051</v>
      </c>
      <c r="R7" s="34"/>
    </row>
    <row r="8">
      <c r="A8" s="3">
        <f>IFERROR(__xludf.DUMMYFUNCTION("""COMPUTED_VALUE"""),7.0)</f>
        <v>7</v>
      </c>
      <c r="B8" s="3" t="str">
        <f>IFERROR(__xludf.DUMMYFUNCTION("""COMPUTED_VALUE"""),"Nioh 3")</f>
        <v>Nioh 3</v>
      </c>
      <c r="C8" s="3" t="str">
        <f>IFERROR(__xludf.DUMMYFUNCTION("""COMPUTED_VALUE"""),"Feb 5, 2026")</f>
        <v>Feb 5, 2026</v>
      </c>
      <c r="D8" s="3" t="str">
        <f>IFERROR(__xludf.DUMMYFUNCTION("""COMPUTED_VALUE"""),"$69.99")</f>
        <v>$69.99</v>
      </c>
      <c r="E8" s="3" t="str">
        <f>IFERROR(__xludf.DUMMYFUNCTION("""COMPUTED_VALUE"""),"N/A (N/A)")</f>
        <v>N/A (N/A)</v>
      </c>
      <c r="F8" s="3" t="str">
        <f>IFERROR(__xludf.DUMMYFUNCTION("""COMPUTED_VALUE"""),"0 .. 20,000")</f>
        <v>0 .. 20,000</v>
      </c>
      <c r="G8" s="3" t="str">
        <f>IFERROR(__xludf.DUMMYFUNCTION("""COMPUTED_VALUE"""),"02:22 (00:50)")</f>
        <v>02:22 (00:50)</v>
      </c>
      <c r="H8" s="34"/>
      <c r="I8" s="3" t="str">
        <f>IFERROR(__xludf.DUMMYFUNCTION("""COMPUTED_VALUE"""),"Herrod Chandler")</f>
        <v>Herrod Chandler</v>
      </c>
      <c r="J8" s="3" t="str">
        <f>IFERROR(__xludf.DUMMYFUNCTION("""COMPUTED_VALUE"""),"Sales Assistant")</f>
        <v>Sales Assistant</v>
      </c>
      <c r="K8" s="3" t="str">
        <f>IFERROR(__xludf.DUMMYFUNCTION("""COMPUTED_VALUE"""),"San Francisco")</f>
        <v>San Francisco</v>
      </c>
      <c r="L8" s="3">
        <f>IFERROR(__xludf.DUMMYFUNCTION("""COMPUTED_VALUE"""),59.0)</f>
        <v>59</v>
      </c>
      <c r="M8" s="36">
        <f>IFERROR(__xludf.DUMMYFUNCTION("""COMPUTED_VALUE"""),41127.0)</f>
        <v>41127</v>
      </c>
      <c r="N8" s="3" t="str">
        <f>IFERROR(__xludf.DUMMYFUNCTION("""COMPUTED_VALUE"""),"$137,500")</f>
        <v>$137,500</v>
      </c>
      <c r="O8" s="34"/>
      <c r="P8" s="3" t="str">
        <f>IFERROR(__xludf.DUMMYFUNCTION("""COMPUTED_VALUE"""),"Ardèche")</f>
        <v>Ardèche</v>
      </c>
      <c r="Q8" s="37">
        <f>IFERROR(__xludf.DUMMYFUNCTION("""COMPUTED_VALUE"""),0.003)</f>
        <v>0.003</v>
      </c>
      <c r="R8" s="34"/>
    </row>
    <row r="9">
      <c r="A9" s="3">
        <f>IFERROR(__xludf.DUMMYFUNCTION("""COMPUTED_VALUE"""),8.0)</f>
        <v>8</v>
      </c>
      <c r="B9" s="3" t="str">
        <f>IFERROR(__xludf.DUMMYFUNCTION("""COMPUTED_VALUE"""),"Mind-Control Talisman ~Strong and Beautiful Adventurers Meet Their End~")</f>
        <v>Mind-Control Talisman ~Strong and Beautiful Adventurers Meet Their End~</v>
      </c>
      <c r="C9" s="3" t="str">
        <f>IFERROR(__xludf.DUMMYFUNCTION("""COMPUTED_VALUE"""),"Feb 5, 2026")</f>
        <v>Feb 5, 2026</v>
      </c>
      <c r="D9" s="3" t="str">
        <f>IFERROR(__xludf.DUMMYFUNCTION("""COMPUTED_VALUE"""),"$9.89")</f>
        <v>$9.89</v>
      </c>
      <c r="E9" s="3" t="str">
        <f>IFERROR(__xludf.DUMMYFUNCTION("""COMPUTED_VALUE"""),"N/A (N/A)")</f>
        <v>N/A (N/A)</v>
      </c>
      <c r="F9" s="3" t="str">
        <f>IFERROR(__xludf.DUMMYFUNCTION("""COMPUTED_VALUE"""),"0 .. 20,000")</f>
        <v>0 .. 20,000</v>
      </c>
      <c r="G9" s="3" t="str">
        <f>IFERROR(__xludf.DUMMYFUNCTION("""COMPUTED_VALUE"""),"00:00 (00:00)")</f>
        <v>00:00 (00:00)</v>
      </c>
      <c r="H9" s="34"/>
      <c r="I9" s="3" t="str">
        <f>IFERROR(__xludf.DUMMYFUNCTION("""COMPUTED_VALUE"""),"Rhona Davidson")</f>
        <v>Rhona Davidson</v>
      </c>
      <c r="J9" s="3" t="str">
        <f>IFERROR(__xludf.DUMMYFUNCTION("""COMPUTED_VALUE"""),"Integration Specialist")</f>
        <v>Integration Specialist</v>
      </c>
      <c r="K9" s="3" t="str">
        <f>IFERROR(__xludf.DUMMYFUNCTION("""COMPUTED_VALUE"""),"Tokyo")</f>
        <v>Tokyo</v>
      </c>
      <c r="L9" s="3">
        <f>IFERROR(__xludf.DUMMYFUNCTION("""COMPUTED_VALUE"""),55.0)</f>
        <v>55</v>
      </c>
      <c r="M9" s="36">
        <f>IFERROR(__xludf.DUMMYFUNCTION("""COMPUTED_VALUE"""),40465.0)</f>
        <v>40465</v>
      </c>
      <c r="N9" s="3" t="str">
        <f>IFERROR(__xludf.DUMMYFUNCTION("""COMPUTED_VALUE"""),"$327,900")</f>
        <v>$327,900</v>
      </c>
      <c r="O9" s="34"/>
      <c r="P9" s="3" t="str">
        <f>IFERROR(__xludf.DUMMYFUNCTION("""COMPUTED_VALUE"""),"Ardennes")</f>
        <v>Ardennes</v>
      </c>
      <c r="Q9" s="37">
        <f>IFERROR(__xludf.DUMMYFUNCTION("""COMPUTED_VALUE"""),-0.001)</f>
        <v>-0.001</v>
      </c>
      <c r="R9" s="34"/>
    </row>
    <row r="10">
      <c r="A10" s="3">
        <f>IFERROR(__xludf.DUMMYFUNCTION("""COMPUTED_VALUE"""),9.0)</f>
        <v>9</v>
      </c>
      <c r="B10" s="3" t="str">
        <f>IFERROR(__xludf.DUMMYFUNCTION("""COMPUTED_VALUE"""),"Youtubers Life 3")</f>
        <v>Youtubers Life 3</v>
      </c>
      <c r="C10" s="3" t="str">
        <f>IFERROR(__xludf.DUMMYFUNCTION("""COMPUTED_VALUE"""),"Feb 5, 2026")</f>
        <v>Feb 5, 2026</v>
      </c>
      <c r="D10" s="3" t="str">
        <f>IFERROR(__xludf.DUMMYFUNCTION("""COMPUTED_VALUE"""),"$15.99")</f>
        <v>$15.99</v>
      </c>
      <c r="E10" s="3" t="str">
        <f>IFERROR(__xludf.DUMMYFUNCTION("""COMPUTED_VALUE"""),"N/A (N/A)")</f>
        <v>N/A (N/A)</v>
      </c>
      <c r="F10" s="3" t="str">
        <f>IFERROR(__xludf.DUMMYFUNCTION("""COMPUTED_VALUE"""),"0 .. 20,000")</f>
        <v>0 .. 20,000</v>
      </c>
      <c r="G10" s="3" t="str">
        <f>IFERROR(__xludf.DUMMYFUNCTION("""COMPUTED_VALUE"""),"00:00 (00:00)")</f>
        <v>00:00 (00:00)</v>
      </c>
      <c r="H10" s="34"/>
      <c r="I10" s="3" t="str">
        <f>IFERROR(__xludf.DUMMYFUNCTION("""COMPUTED_VALUE"""),"Colleen Hurst")</f>
        <v>Colleen Hurst</v>
      </c>
      <c r="J10" s="3" t="str">
        <f>IFERROR(__xludf.DUMMYFUNCTION("""COMPUTED_VALUE"""),"JavaScript Developer")</f>
        <v>JavaScript Developer</v>
      </c>
      <c r="K10" s="3" t="str">
        <f>IFERROR(__xludf.DUMMYFUNCTION("""COMPUTED_VALUE"""),"San Francisco")</f>
        <v>San Francisco</v>
      </c>
      <c r="L10" s="3">
        <f>IFERROR(__xludf.DUMMYFUNCTION("""COMPUTED_VALUE"""),39.0)</f>
        <v>39</v>
      </c>
      <c r="M10" s="36">
        <f>IFERROR(__xludf.DUMMYFUNCTION("""COMPUTED_VALUE"""),40071.0)</f>
        <v>40071</v>
      </c>
      <c r="N10" s="3" t="str">
        <f>IFERROR(__xludf.DUMMYFUNCTION("""COMPUTED_VALUE"""),"$205,500")</f>
        <v>$205,500</v>
      </c>
      <c r="O10" s="34"/>
      <c r="P10" s="3" t="str">
        <f>IFERROR(__xludf.DUMMYFUNCTION("""COMPUTED_VALUE"""),"Ariège")</f>
        <v>Ariège</v>
      </c>
      <c r="Q10" s="37">
        <f>IFERROR(__xludf.DUMMYFUNCTION("""COMPUTED_VALUE"""),0.047)</f>
        <v>0.047</v>
      </c>
      <c r="R10" s="34"/>
    </row>
    <row r="11">
      <c r="A11" s="3">
        <f>IFERROR(__xludf.DUMMYFUNCTION("""COMPUTED_VALUE"""),10.0)</f>
        <v>10</v>
      </c>
      <c r="B11" s="3" t="str">
        <f>IFERROR(__xludf.DUMMYFUNCTION("""COMPUTED_VALUE"""),"Deus Ex Remastered")</f>
        <v>Deus Ex Remastered</v>
      </c>
      <c r="C11" s="3" t="str">
        <f>IFERROR(__xludf.DUMMYFUNCTION("""COMPUTED_VALUE"""),"Feb 5, 2026")</f>
        <v>Feb 5, 2026</v>
      </c>
      <c r="D11" s="3" t="str">
        <f>IFERROR(__xludf.DUMMYFUNCTION("""COMPUTED_VALUE"""),"$26.99")</f>
        <v>$26.99</v>
      </c>
      <c r="E11" s="3" t="str">
        <f>IFERROR(__xludf.DUMMYFUNCTION("""COMPUTED_VALUE"""),"N/A (N/A)")</f>
        <v>N/A (N/A)</v>
      </c>
      <c r="F11" s="3" t="str">
        <f>IFERROR(__xludf.DUMMYFUNCTION("""COMPUTED_VALUE"""),"0 .. 20,000")</f>
        <v>0 .. 20,000</v>
      </c>
      <c r="G11" s="3" t="str">
        <f>IFERROR(__xludf.DUMMYFUNCTION("""COMPUTED_VALUE"""),"00:00 (00:00)")</f>
        <v>00:00 (00:00)</v>
      </c>
      <c r="H11" s="34"/>
      <c r="I11" s="3" t="str">
        <f>IFERROR(__xludf.DUMMYFUNCTION("""COMPUTED_VALUE"""),"Sonya Frost")</f>
        <v>Sonya Frost</v>
      </c>
      <c r="J11" s="3" t="str">
        <f>IFERROR(__xludf.DUMMYFUNCTION("""COMPUTED_VALUE"""),"Software Engineer")</f>
        <v>Software Engineer</v>
      </c>
      <c r="K11" s="3" t="str">
        <f>IFERROR(__xludf.DUMMYFUNCTION("""COMPUTED_VALUE"""),"Edinburgh")</f>
        <v>Edinburgh</v>
      </c>
      <c r="L11" s="3">
        <f>IFERROR(__xludf.DUMMYFUNCTION("""COMPUTED_VALUE"""),23.0)</f>
        <v>23</v>
      </c>
      <c r="M11" s="36">
        <f>IFERROR(__xludf.DUMMYFUNCTION("""COMPUTED_VALUE"""),39795.0)</f>
        <v>39795</v>
      </c>
      <c r="N11" s="3" t="str">
        <f>IFERROR(__xludf.DUMMYFUNCTION("""COMPUTED_VALUE"""),"$103,600")</f>
        <v>$103,600</v>
      </c>
      <c r="O11" s="34"/>
      <c r="P11" s="3" t="str">
        <f>IFERROR(__xludf.DUMMYFUNCTION("""COMPUTED_VALUE"""),"Aube")</f>
        <v>Aube</v>
      </c>
      <c r="Q11" s="37">
        <f>IFERROR(__xludf.DUMMYFUNCTION("""COMPUTED_VALUE"""),0.033)</f>
        <v>0.033</v>
      </c>
      <c r="R11" s="34"/>
    </row>
    <row r="12">
      <c r="A12" s="3">
        <f>IFERROR(__xludf.DUMMYFUNCTION("""COMPUTED_VALUE"""),11.0)</f>
        <v>11</v>
      </c>
      <c r="B12" s="3" t="str">
        <f>IFERROR(__xludf.DUMMYFUNCTION("""COMPUTED_VALUE"""),"Jackal")</f>
        <v>Jackal</v>
      </c>
      <c r="C12" s="3" t="str">
        <f>IFERROR(__xludf.DUMMYFUNCTION("""COMPUTED_VALUE"""),"Feb 5, 2026")</f>
        <v>Feb 5, 2026</v>
      </c>
      <c r="D12" s="3" t="str">
        <f>IFERROR(__xludf.DUMMYFUNCTION("""COMPUTED_VALUE"""),"$13.49")</f>
        <v>$13.49</v>
      </c>
      <c r="E12" s="3" t="str">
        <f>IFERROR(__xludf.DUMMYFUNCTION("""COMPUTED_VALUE"""),"N/A (N/A)")</f>
        <v>N/A (N/A)</v>
      </c>
      <c r="F12" s="3" t="str">
        <f>IFERROR(__xludf.DUMMYFUNCTION("""COMPUTED_VALUE"""),"0 .. 20,000")</f>
        <v>0 .. 20,000</v>
      </c>
      <c r="G12" s="3" t="str">
        <f>IFERROR(__xludf.DUMMYFUNCTION("""COMPUTED_VALUE"""),"00:00 (00:00)")</f>
        <v>00:00 (00:00)</v>
      </c>
      <c r="H12" s="34"/>
      <c r="I12" s="3" t="str">
        <f>IFERROR(__xludf.DUMMYFUNCTION("""COMPUTED_VALUE"""),"Jena Gaines")</f>
        <v>Jena Gaines</v>
      </c>
      <c r="J12" s="3" t="str">
        <f>IFERROR(__xludf.DUMMYFUNCTION("""COMPUTED_VALUE"""),"Office Manager")</f>
        <v>Office Manager</v>
      </c>
      <c r="K12" s="3" t="str">
        <f>IFERROR(__xludf.DUMMYFUNCTION("""COMPUTED_VALUE"""),"London")</f>
        <v>London</v>
      </c>
      <c r="L12" s="3">
        <f>IFERROR(__xludf.DUMMYFUNCTION("""COMPUTED_VALUE"""),30.0)</f>
        <v>30</v>
      </c>
      <c r="M12" s="36">
        <f>IFERROR(__xludf.DUMMYFUNCTION("""COMPUTED_VALUE"""),39801.0)</f>
        <v>39801</v>
      </c>
      <c r="N12" s="3" t="str">
        <f>IFERROR(__xludf.DUMMYFUNCTION("""COMPUTED_VALUE"""),"$90,560")</f>
        <v>$90,560</v>
      </c>
      <c r="O12" s="34"/>
      <c r="P12" s="3" t="str">
        <f>IFERROR(__xludf.DUMMYFUNCTION("""COMPUTED_VALUE"""),"Aude")</f>
        <v>Aude</v>
      </c>
      <c r="Q12" s="37">
        <f>IFERROR(__xludf.DUMMYFUNCTION("""COMPUTED_VALUE"""),0.112)</f>
        <v>0.112</v>
      </c>
      <c r="R12" s="34"/>
    </row>
    <row r="13">
      <c r="A13" s="3">
        <f>IFERROR(__xludf.DUMMYFUNCTION("""COMPUTED_VALUE"""),12.0)</f>
        <v>12</v>
      </c>
      <c r="B13" s="3" t="str">
        <f>IFERROR(__xludf.DUMMYFUNCTION("""COMPUTED_VALUE"""),"I AM ETHERIC")</f>
        <v>I AM ETHERIC</v>
      </c>
      <c r="C13" s="3" t="str">
        <f>IFERROR(__xludf.DUMMYFUNCTION("""COMPUTED_VALUE"""),"Feb 5, 2026")</f>
        <v>Feb 5, 2026</v>
      </c>
      <c r="D13" s="3" t="str">
        <f>IFERROR(__xludf.DUMMYFUNCTION("""COMPUTED_VALUE"""),"$11.69")</f>
        <v>$11.69</v>
      </c>
      <c r="E13" s="3" t="str">
        <f>IFERROR(__xludf.DUMMYFUNCTION("""COMPUTED_VALUE"""),"N/A (N/A)")</f>
        <v>N/A (N/A)</v>
      </c>
      <c r="F13" s="3" t="str">
        <f>IFERROR(__xludf.DUMMYFUNCTION("""COMPUTED_VALUE"""),"0 .. 20,000")</f>
        <v>0 .. 20,000</v>
      </c>
      <c r="G13" s="3" t="str">
        <f>IFERROR(__xludf.DUMMYFUNCTION("""COMPUTED_VALUE"""),"00:00 (00:00)")</f>
        <v>00:00 (00:00)</v>
      </c>
      <c r="H13" s="34"/>
      <c r="I13" s="3" t="str">
        <f>IFERROR(__xludf.DUMMYFUNCTION("""COMPUTED_VALUE"""),"Quinn Flynn")</f>
        <v>Quinn Flynn</v>
      </c>
      <c r="J13" s="3" t="str">
        <f>IFERROR(__xludf.DUMMYFUNCTION("""COMPUTED_VALUE"""),"Support Lead")</f>
        <v>Support Lead</v>
      </c>
      <c r="K13" s="3" t="str">
        <f>IFERROR(__xludf.DUMMYFUNCTION("""COMPUTED_VALUE"""),"Edinburgh")</f>
        <v>Edinburgh</v>
      </c>
      <c r="L13" s="3">
        <f>IFERROR(__xludf.DUMMYFUNCTION("""COMPUTED_VALUE"""),22.0)</f>
        <v>22</v>
      </c>
      <c r="M13" s="36">
        <f>IFERROR(__xludf.DUMMYFUNCTION("""COMPUTED_VALUE"""),41336.0)</f>
        <v>41336</v>
      </c>
      <c r="N13" s="3" t="str">
        <f>IFERROR(__xludf.DUMMYFUNCTION("""COMPUTED_VALUE"""),"$342,000")</f>
        <v>$342,000</v>
      </c>
      <c r="O13" s="34"/>
      <c r="P13" s="3" t="str">
        <f>IFERROR(__xludf.DUMMYFUNCTION("""COMPUTED_VALUE"""),"Aveyron")</f>
        <v>Aveyron</v>
      </c>
      <c r="Q13" s="37">
        <f>IFERROR(__xludf.DUMMYFUNCTION("""COMPUTED_VALUE"""),0.049)</f>
        <v>0.049</v>
      </c>
      <c r="R13" s="34"/>
    </row>
    <row r="14">
      <c r="A14" s="3">
        <f>IFERROR(__xludf.DUMMYFUNCTION("""COMPUTED_VALUE"""),13.0)</f>
        <v>13</v>
      </c>
      <c r="B14" s="3" t="str">
        <f>IFERROR(__xludf.DUMMYFUNCTION("""COMPUTED_VALUE"""),"DRAGON QUEST VII Reimagined")</f>
        <v>DRAGON QUEST VII Reimagined</v>
      </c>
      <c r="C14" s="3" t="str">
        <f>IFERROR(__xludf.DUMMYFUNCTION("""COMPUTED_VALUE"""),"Feb 5, 2026")</f>
        <v>Feb 5, 2026</v>
      </c>
      <c r="D14" s="3" t="str">
        <f>IFERROR(__xludf.DUMMYFUNCTION("""COMPUTED_VALUE"""),"$59.99")</f>
        <v>$59.99</v>
      </c>
      <c r="E14" s="3" t="str">
        <f>IFERROR(__xludf.DUMMYFUNCTION("""COMPUTED_VALUE"""),"N/A (N/A)")</f>
        <v>N/A (N/A)</v>
      </c>
      <c r="F14" s="3" t="str">
        <f>IFERROR(__xludf.DUMMYFUNCTION("""COMPUTED_VALUE"""),"0 .. 20,000")</f>
        <v>0 .. 20,000</v>
      </c>
      <c r="G14" s="3" t="str">
        <f>IFERROR(__xludf.DUMMYFUNCTION("""COMPUTED_VALUE"""),"06:57 (06:12)")</f>
        <v>06:57 (06:12)</v>
      </c>
      <c r="H14" s="34"/>
      <c r="I14" s="3" t="str">
        <f>IFERROR(__xludf.DUMMYFUNCTION("""COMPUTED_VALUE"""),"Charde Marshall")</f>
        <v>Charde Marshall</v>
      </c>
      <c r="J14" s="3" t="str">
        <f>IFERROR(__xludf.DUMMYFUNCTION("""COMPUTED_VALUE"""),"Regional Director")</f>
        <v>Regional Director</v>
      </c>
      <c r="K14" s="3" t="str">
        <f>IFERROR(__xludf.DUMMYFUNCTION("""COMPUTED_VALUE"""),"San Francisco")</f>
        <v>San Francisco</v>
      </c>
      <c r="L14" s="3">
        <f>IFERROR(__xludf.DUMMYFUNCTION("""COMPUTED_VALUE"""),36.0)</f>
        <v>36</v>
      </c>
      <c r="M14" s="36">
        <f>IFERROR(__xludf.DUMMYFUNCTION("""COMPUTED_VALUE"""),39737.0)</f>
        <v>39737</v>
      </c>
      <c r="N14" s="3" t="str">
        <f>IFERROR(__xludf.DUMMYFUNCTION("""COMPUTED_VALUE"""),"$470,600")</f>
        <v>$470,600</v>
      </c>
      <c r="O14" s="34"/>
      <c r="P14" s="3" t="str">
        <f>IFERROR(__xludf.DUMMYFUNCTION("""COMPUTED_VALUE"""),"Bouches-du-Rhône")</f>
        <v>Bouches-du-Rhône</v>
      </c>
      <c r="Q14" s="37">
        <f>IFERROR(__xludf.DUMMYFUNCTION("""COMPUTED_VALUE"""),0.022)</f>
        <v>0.022</v>
      </c>
      <c r="R14" s="34"/>
    </row>
    <row r="15">
      <c r="A15" s="3">
        <f>IFERROR(__xludf.DUMMYFUNCTION("""COMPUTED_VALUE"""),14.0)</f>
        <v>14</v>
      </c>
      <c r="B15" s="3" t="str">
        <f>IFERROR(__xludf.DUMMYFUNCTION("""COMPUTED_VALUE"""),"MENACE")</f>
        <v>MENACE</v>
      </c>
      <c r="C15" s="3" t="str">
        <f>IFERROR(__xludf.DUMMYFUNCTION("""COMPUTED_VALUE"""),"Feb 5, 2026")</f>
        <v>Feb 5, 2026</v>
      </c>
      <c r="D15" s="3" t="str">
        <f>IFERROR(__xludf.DUMMYFUNCTION("""COMPUTED_VALUE"""),"$29.99")</f>
        <v>$29.99</v>
      </c>
      <c r="E15" s="3" t="str">
        <f>IFERROR(__xludf.DUMMYFUNCTION("""COMPUTED_VALUE"""),"N/A (N/A)")</f>
        <v>N/A (N/A)</v>
      </c>
      <c r="F15" s="3" t="str">
        <f>IFERROR(__xludf.DUMMYFUNCTION("""COMPUTED_VALUE"""),"0 .. 20,000")</f>
        <v>0 .. 20,000</v>
      </c>
      <c r="G15" s="3" t="str">
        <f>IFERROR(__xludf.DUMMYFUNCTION("""COMPUTED_VALUE"""),"06:00 (05:19)")</f>
        <v>06:00 (05:19)</v>
      </c>
      <c r="H15" s="34"/>
      <c r="I15" s="3" t="str">
        <f>IFERROR(__xludf.DUMMYFUNCTION("""COMPUTED_VALUE"""),"Haley Kennedy")</f>
        <v>Haley Kennedy</v>
      </c>
      <c r="J15" s="3" t="str">
        <f>IFERROR(__xludf.DUMMYFUNCTION("""COMPUTED_VALUE"""),"Senior Marketing Designer")</f>
        <v>Senior Marketing Designer</v>
      </c>
      <c r="K15" s="3" t="str">
        <f>IFERROR(__xludf.DUMMYFUNCTION("""COMPUTED_VALUE"""),"London")</f>
        <v>London</v>
      </c>
      <c r="L15" s="3">
        <f>IFERROR(__xludf.DUMMYFUNCTION("""COMPUTED_VALUE"""),43.0)</f>
        <v>43</v>
      </c>
      <c r="M15" s="36">
        <f>IFERROR(__xludf.DUMMYFUNCTION("""COMPUTED_VALUE"""),41261.0)</f>
        <v>41261</v>
      </c>
      <c r="N15" s="3" t="str">
        <f>IFERROR(__xludf.DUMMYFUNCTION("""COMPUTED_VALUE"""),"$313,500")</f>
        <v>$313,500</v>
      </c>
      <c r="O15" s="34"/>
      <c r="P15" s="3" t="str">
        <f>IFERROR(__xludf.DUMMYFUNCTION("""COMPUTED_VALUE"""),"Calvados")</f>
        <v>Calvados</v>
      </c>
      <c r="Q15" s="37">
        <f>IFERROR(__xludf.DUMMYFUNCTION("""COMPUTED_VALUE"""),0.031)</f>
        <v>0.031</v>
      </c>
      <c r="R15" s="34"/>
    </row>
    <row r="16">
      <c r="A16" s="3">
        <f>IFERROR(__xludf.DUMMYFUNCTION("""COMPUTED_VALUE"""),15.0)</f>
        <v>15</v>
      </c>
      <c r="B16" s="3" t="str">
        <f>IFERROR(__xludf.DUMMYFUNCTION("""COMPUTED_VALUE"""),"MY HERO ACADEMIA: All’s Justice")</f>
        <v>MY HERO ACADEMIA: All’s Justice</v>
      </c>
      <c r="C16" s="3" t="str">
        <f>IFERROR(__xludf.DUMMYFUNCTION("""COMPUTED_VALUE"""),"Feb 5, 2026")</f>
        <v>Feb 5, 2026</v>
      </c>
      <c r="D16" s="3" t="str">
        <f>IFERROR(__xludf.DUMMYFUNCTION("""COMPUTED_VALUE"""),"$59.99")</f>
        <v>$59.99</v>
      </c>
      <c r="E16" s="3" t="str">
        <f>IFERROR(__xludf.DUMMYFUNCTION("""COMPUTED_VALUE"""),"N/A (N/A)")</f>
        <v>N/A (N/A)</v>
      </c>
      <c r="F16" s="3" t="str">
        <f>IFERROR(__xludf.DUMMYFUNCTION("""COMPUTED_VALUE"""),"0 .. 20,000")</f>
        <v>0 .. 20,000</v>
      </c>
      <c r="G16" s="3" t="str">
        <f>IFERROR(__xludf.DUMMYFUNCTION("""COMPUTED_VALUE"""),"03:37 (02:24)")</f>
        <v>03:37 (02:24)</v>
      </c>
      <c r="H16" s="34"/>
      <c r="I16" s="3" t="str">
        <f>IFERROR(__xludf.DUMMYFUNCTION("""COMPUTED_VALUE"""),"Tatyana Fitzpatrick")</f>
        <v>Tatyana Fitzpatrick</v>
      </c>
      <c r="J16" s="3" t="str">
        <f>IFERROR(__xludf.DUMMYFUNCTION("""COMPUTED_VALUE"""),"Regional Director")</f>
        <v>Regional Director</v>
      </c>
      <c r="K16" s="3" t="str">
        <f>IFERROR(__xludf.DUMMYFUNCTION("""COMPUTED_VALUE"""),"London")</f>
        <v>London</v>
      </c>
      <c r="L16" s="3">
        <f>IFERROR(__xludf.DUMMYFUNCTION("""COMPUTED_VALUE"""),19.0)</f>
        <v>19</v>
      </c>
      <c r="M16" s="36">
        <f>IFERROR(__xludf.DUMMYFUNCTION("""COMPUTED_VALUE"""),40254.0)</f>
        <v>40254</v>
      </c>
      <c r="N16" s="3" t="str">
        <f>IFERROR(__xludf.DUMMYFUNCTION("""COMPUTED_VALUE"""),"$385,750")</f>
        <v>$385,750</v>
      </c>
      <c r="O16" s="34"/>
      <c r="P16" s="3" t="str">
        <f>IFERROR(__xludf.DUMMYFUNCTION("""COMPUTED_VALUE"""),"Cantal")</f>
        <v>Cantal</v>
      </c>
      <c r="Q16" s="37">
        <f>IFERROR(__xludf.DUMMYFUNCTION("""COMPUTED_VALUE"""),0.031)</f>
        <v>0.031</v>
      </c>
      <c r="R16" s="34"/>
    </row>
    <row r="17">
      <c r="A17" s="3">
        <f>IFERROR(__xludf.DUMMYFUNCTION("""COMPUTED_VALUE"""),16.0)</f>
        <v>16</v>
      </c>
      <c r="B17" s="3" t="str">
        <f>IFERROR(__xludf.DUMMYFUNCTION("""COMPUTED_VALUE"""),"SIFU Kidnapped! Adventure in the Women's Kingdom")</f>
        <v>SIFU Kidnapped! Adventure in the Women's Kingdom</v>
      </c>
      <c r="C17" s="3" t="str">
        <f>IFERROR(__xludf.DUMMYFUNCTION("""COMPUTED_VALUE"""),"Feb 4, 2026")</f>
        <v>Feb 4, 2026</v>
      </c>
      <c r="D17" s="3" t="str">
        <f>IFERROR(__xludf.DUMMYFUNCTION("""COMPUTED_VALUE"""),"$8.49")</f>
        <v>$8.49</v>
      </c>
      <c r="E17" s="3" t="str">
        <f>IFERROR(__xludf.DUMMYFUNCTION("""COMPUTED_VALUE"""),"N/A (N/A)")</f>
        <v>N/A (N/A)</v>
      </c>
      <c r="F17" s="3" t="str">
        <f>IFERROR(__xludf.DUMMYFUNCTION("""COMPUTED_VALUE"""),"0 .. 20,000")</f>
        <v>0 .. 20,000</v>
      </c>
      <c r="G17" s="3" t="str">
        <f>IFERROR(__xludf.DUMMYFUNCTION("""COMPUTED_VALUE"""),"00:00 (00:00)")</f>
        <v>00:00 (00:00)</v>
      </c>
      <c r="H17" s="34"/>
      <c r="I17" s="3" t="str">
        <f>IFERROR(__xludf.DUMMYFUNCTION("""COMPUTED_VALUE"""),"Michael Silva")</f>
        <v>Michael Silva</v>
      </c>
      <c r="J17" s="3" t="str">
        <f>IFERROR(__xludf.DUMMYFUNCTION("""COMPUTED_VALUE"""),"Marketing Designer")</f>
        <v>Marketing Designer</v>
      </c>
      <c r="K17" s="3" t="str">
        <f>IFERROR(__xludf.DUMMYFUNCTION("""COMPUTED_VALUE"""),"London")</f>
        <v>London</v>
      </c>
      <c r="L17" s="3">
        <f>IFERROR(__xludf.DUMMYFUNCTION("""COMPUTED_VALUE"""),66.0)</f>
        <v>66</v>
      </c>
      <c r="M17" s="36">
        <f>IFERROR(__xludf.DUMMYFUNCTION("""COMPUTED_VALUE"""),41240.0)</f>
        <v>41240</v>
      </c>
      <c r="N17" s="3" t="str">
        <f>IFERROR(__xludf.DUMMYFUNCTION("""COMPUTED_VALUE"""),"$198,500")</f>
        <v>$198,500</v>
      </c>
      <c r="O17" s="34"/>
      <c r="P17" s="3" t="str">
        <f>IFERROR(__xludf.DUMMYFUNCTION("""COMPUTED_VALUE"""),"Charente")</f>
        <v>Charente</v>
      </c>
      <c r="Q17" s="37">
        <f>IFERROR(__xludf.DUMMYFUNCTION("""COMPUTED_VALUE"""),0.018)</f>
        <v>0.018</v>
      </c>
      <c r="R17" s="34"/>
    </row>
    <row r="18">
      <c r="A18" s="3">
        <f>IFERROR(__xludf.DUMMYFUNCTION("""COMPUTED_VALUE"""),17.0)</f>
        <v>17</v>
      </c>
      <c r="B18" s="3" t="str">
        <f>IFERROR(__xludf.DUMMYFUNCTION("""COMPUTED_VALUE"""),"HoloType: Treasure Zombie Island")</f>
        <v>HoloType: Treasure Zombie Island</v>
      </c>
      <c r="C18" s="3" t="str">
        <f>IFERROR(__xludf.DUMMYFUNCTION("""COMPUTED_VALUE"""),"Feb 4, 2026")</f>
        <v>Feb 4, 2026</v>
      </c>
      <c r="D18" s="3" t="str">
        <f>IFERROR(__xludf.DUMMYFUNCTION("""COMPUTED_VALUE"""),"$8.99")</f>
        <v>$8.99</v>
      </c>
      <c r="E18" s="3" t="str">
        <f>IFERROR(__xludf.DUMMYFUNCTION("""COMPUTED_VALUE"""),"N/A (N/A)")</f>
        <v>N/A (N/A)</v>
      </c>
      <c r="F18" s="3" t="str">
        <f>IFERROR(__xludf.DUMMYFUNCTION("""COMPUTED_VALUE"""),"0 .. 20,000")</f>
        <v>0 .. 20,000</v>
      </c>
      <c r="G18" s="3" t="str">
        <f>IFERROR(__xludf.DUMMYFUNCTION("""COMPUTED_VALUE"""),"00:00 (00:00)")</f>
        <v>00:00 (00:00)</v>
      </c>
      <c r="H18" s="34"/>
      <c r="I18" s="3" t="str">
        <f>IFERROR(__xludf.DUMMYFUNCTION("""COMPUTED_VALUE"""),"Paul Byrd")</f>
        <v>Paul Byrd</v>
      </c>
      <c r="J18" s="3" t="str">
        <f>IFERROR(__xludf.DUMMYFUNCTION("""COMPUTED_VALUE"""),"Chief Financial Officer (CFO)")</f>
        <v>Chief Financial Officer (CFO)</v>
      </c>
      <c r="K18" s="3" t="str">
        <f>IFERROR(__xludf.DUMMYFUNCTION("""COMPUTED_VALUE"""),"New York")</f>
        <v>New York</v>
      </c>
      <c r="L18" s="3">
        <f>IFERROR(__xludf.DUMMYFUNCTION("""COMPUTED_VALUE"""),64.0)</f>
        <v>64</v>
      </c>
      <c r="M18" s="36">
        <f>IFERROR(__xludf.DUMMYFUNCTION("""COMPUTED_VALUE"""),40338.0)</f>
        <v>40338</v>
      </c>
      <c r="N18" s="3" t="str">
        <f>IFERROR(__xludf.DUMMYFUNCTION("""COMPUTED_VALUE"""),"$725,000")</f>
        <v>$725,000</v>
      </c>
      <c r="O18" s="34"/>
      <c r="P18" s="3" t="str">
        <f>IFERROR(__xludf.DUMMYFUNCTION("""COMPUTED_VALUE"""),"Charente-Maritime")</f>
        <v>Charente-Maritime</v>
      </c>
      <c r="Q18" s="37">
        <f>IFERROR(__xludf.DUMMYFUNCTION("""COMPUTED_VALUE"""),0.079)</f>
        <v>0.079</v>
      </c>
      <c r="R18" s="34"/>
    </row>
    <row r="19">
      <c r="A19" s="3">
        <f>IFERROR(__xludf.DUMMYFUNCTION("""COMPUTED_VALUE"""),18.0)</f>
        <v>18</v>
      </c>
      <c r="B19" s="3" t="str">
        <f>IFERROR(__xludf.DUMMYFUNCTION("""COMPUTED_VALUE"""),"Number Dungeon")</f>
        <v>Number Dungeon</v>
      </c>
      <c r="C19" s="3" t="str">
        <f>IFERROR(__xludf.DUMMYFUNCTION("""COMPUTED_VALUE"""),"Feb 4, 2026")</f>
        <v>Feb 4, 2026</v>
      </c>
      <c r="D19" s="3" t="str">
        <f>IFERROR(__xludf.DUMMYFUNCTION("""COMPUTED_VALUE"""),"$2.99")</f>
        <v>$2.99</v>
      </c>
      <c r="E19" s="3" t="str">
        <f>IFERROR(__xludf.DUMMYFUNCTION("""COMPUTED_VALUE"""),"N/A (N/A)")</f>
        <v>N/A (N/A)</v>
      </c>
      <c r="F19" s="3" t="str">
        <f>IFERROR(__xludf.DUMMYFUNCTION("""COMPUTED_VALUE"""),"0 .. 20,000")</f>
        <v>0 .. 20,000</v>
      </c>
      <c r="G19" s="3" t="str">
        <f>IFERROR(__xludf.DUMMYFUNCTION("""COMPUTED_VALUE"""),"00:00 (00:00)")</f>
        <v>00:00 (00:00)</v>
      </c>
      <c r="H19" s="34"/>
      <c r="I19" s="3" t="str">
        <f>IFERROR(__xludf.DUMMYFUNCTION("""COMPUTED_VALUE"""),"Gloria Little")</f>
        <v>Gloria Little</v>
      </c>
      <c r="J19" s="3" t="str">
        <f>IFERROR(__xludf.DUMMYFUNCTION("""COMPUTED_VALUE"""),"Systems Administrator")</f>
        <v>Systems Administrator</v>
      </c>
      <c r="K19" s="3" t="str">
        <f>IFERROR(__xludf.DUMMYFUNCTION("""COMPUTED_VALUE"""),"New York")</f>
        <v>New York</v>
      </c>
      <c r="L19" s="3">
        <f>IFERROR(__xludf.DUMMYFUNCTION("""COMPUTED_VALUE"""),59.0)</f>
        <v>59</v>
      </c>
      <c r="M19" s="36">
        <f>IFERROR(__xludf.DUMMYFUNCTION("""COMPUTED_VALUE"""),39913.0)</f>
        <v>39913</v>
      </c>
      <c r="N19" s="3" t="str">
        <f>IFERROR(__xludf.DUMMYFUNCTION("""COMPUTED_VALUE"""),"$237,500")</f>
        <v>$237,500</v>
      </c>
      <c r="O19" s="34"/>
      <c r="P19" s="3" t="str">
        <f>IFERROR(__xludf.DUMMYFUNCTION("""COMPUTED_VALUE"""),"Cher")</f>
        <v>Cher</v>
      </c>
      <c r="Q19" s="37">
        <f>IFERROR(__xludf.DUMMYFUNCTION("""COMPUTED_VALUE"""),0.043)</f>
        <v>0.043</v>
      </c>
      <c r="R19" s="34"/>
    </row>
    <row r="20">
      <c r="A20" s="3">
        <f>IFERROR(__xludf.DUMMYFUNCTION("""COMPUTED_VALUE"""),19.0)</f>
        <v>19</v>
      </c>
      <c r="B20" s="3" t="str">
        <f>IFERROR(__xludf.DUMMYFUNCTION("""COMPUTED_VALUE"""),"Bow Down &amp; Eyes Up")</f>
        <v>Bow Down &amp; Eyes Up</v>
      </c>
      <c r="C20" s="3" t="str">
        <f>IFERROR(__xludf.DUMMYFUNCTION("""COMPUTED_VALUE"""),"Feb 4, 2026")</f>
        <v>Feb 4, 2026</v>
      </c>
      <c r="D20" s="3" t="str">
        <f>IFERROR(__xludf.DUMMYFUNCTION("""COMPUTED_VALUE"""),"$16.99")</f>
        <v>$16.99</v>
      </c>
      <c r="E20" s="3" t="str">
        <f>IFERROR(__xludf.DUMMYFUNCTION("""COMPUTED_VALUE"""),"N/A (N/A)")</f>
        <v>N/A (N/A)</v>
      </c>
      <c r="F20" s="3" t="str">
        <f>IFERROR(__xludf.DUMMYFUNCTION("""COMPUTED_VALUE"""),"0 .. 20,000")</f>
        <v>0 .. 20,000</v>
      </c>
      <c r="G20" s="3" t="str">
        <f>IFERROR(__xludf.DUMMYFUNCTION("""COMPUTED_VALUE"""),"00:00 (00:00)")</f>
        <v>00:00 (00:00)</v>
      </c>
      <c r="H20" s="34"/>
      <c r="I20" s="3" t="str">
        <f>IFERROR(__xludf.DUMMYFUNCTION("""COMPUTED_VALUE"""),"Bradley Greer")</f>
        <v>Bradley Greer</v>
      </c>
      <c r="J20" s="3" t="str">
        <f>IFERROR(__xludf.DUMMYFUNCTION("""COMPUTED_VALUE"""),"Software Engineer")</f>
        <v>Software Engineer</v>
      </c>
      <c r="K20" s="3" t="str">
        <f>IFERROR(__xludf.DUMMYFUNCTION("""COMPUTED_VALUE"""),"London")</f>
        <v>London</v>
      </c>
      <c r="L20" s="3">
        <f>IFERROR(__xludf.DUMMYFUNCTION("""COMPUTED_VALUE"""),41.0)</f>
        <v>41</v>
      </c>
      <c r="M20" s="36">
        <f>IFERROR(__xludf.DUMMYFUNCTION("""COMPUTED_VALUE"""),41195.0)</f>
        <v>41195</v>
      </c>
      <c r="N20" s="3" t="str">
        <f>IFERROR(__xludf.DUMMYFUNCTION("""COMPUTED_VALUE"""),"$132,000")</f>
        <v>$132,000</v>
      </c>
      <c r="O20" s="34"/>
      <c r="P20" s="3" t="str">
        <f>IFERROR(__xludf.DUMMYFUNCTION("""COMPUTED_VALUE"""),"Corrèze")</f>
        <v>Corrèze</v>
      </c>
      <c r="Q20" s="37">
        <f>IFERROR(__xludf.DUMMYFUNCTION("""COMPUTED_VALUE"""),0.016)</f>
        <v>0.016</v>
      </c>
      <c r="R20" s="34"/>
    </row>
    <row r="21">
      <c r="A21" s="3">
        <f>IFERROR(__xludf.DUMMYFUNCTION("""COMPUTED_VALUE"""),20.0)</f>
        <v>20</v>
      </c>
      <c r="B21" s="3" t="str">
        <f>IFERROR(__xludf.DUMMYFUNCTION("""COMPUTED_VALUE"""),"UMIGARI | ウミガリ")</f>
        <v>UMIGARI | ウミガリ</v>
      </c>
      <c r="C21" s="3" t="str">
        <f>IFERROR(__xludf.DUMMYFUNCTION("""COMPUTED_VALUE"""),"Feb 4, 2026")</f>
        <v>Feb 4, 2026</v>
      </c>
      <c r="D21" s="3" t="str">
        <f>IFERROR(__xludf.DUMMYFUNCTION("""COMPUTED_VALUE"""),"$10.39")</f>
        <v>$10.39</v>
      </c>
      <c r="E21" s="3" t="str">
        <f>IFERROR(__xludf.DUMMYFUNCTION("""COMPUTED_VALUE"""),"N/A (N/A)")</f>
        <v>N/A (N/A)</v>
      </c>
      <c r="F21" s="3" t="str">
        <f>IFERROR(__xludf.DUMMYFUNCTION("""COMPUTED_VALUE"""),"0 .. 20,000")</f>
        <v>0 .. 20,000</v>
      </c>
      <c r="G21" s="3" t="str">
        <f>IFERROR(__xludf.DUMMYFUNCTION("""COMPUTED_VALUE"""),"00:00 (00:00)")</f>
        <v>00:00 (00:00)</v>
      </c>
      <c r="H21" s="34"/>
      <c r="I21" s="3" t="str">
        <f>IFERROR(__xludf.DUMMYFUNCTION("""COMPUTED_VALUE"""),"Dai Rios")</f>
        <v>Dai Rios</v>
      </c>
      <c r="J21" s="3" t="str">
        <f>IFERROR(__xludf.DUMMYFUNCTION("""COMPUTED_VALUE"""),"Personnel Lead")</f>
        <v>Personnel Lead</v>
      </c>
      <c r="K21" s="3" t="str">
        <f>IFERROR(__xludf.DUMMYFUNCTION("""COMPUTED_VALUE"""),"Edinburgh")</f>
        <v>Edinburgh</v>
      </c>
      <c r="L21" s="3">
        <f>IFERROR(__xludf.DUMMYFUNCTION("""COMPUTED_VALUE"""),35.0)</f>
        <v>35</v>
      </c>
      <c r="M21" s="36">
        <f>IFERROR(__xludf.DUMMYFUNCTION("""COMPUTED_VALUE"""),41178.0)</f>
        <v>41178</v>
      </c>
      <c r="N21" s="3" t="str">
        <f>IFERROR(__xludf.DUMMYFUNCTION("""COMPUTED_VALUE"""),"$217,500")</f>
        <v>$217,500</v>
      </c>
      <c r="O21" s="34"/>
      <c r="P21" s="3" t="str">
        <f>IFERROR(__xludf.DUMMYFUNCTION("""COMPUTED_VALUE"""),"Côte-d'Or")</f>
        <v>Côte-d'Or</v>
      </c>
      <c r="Q21" s="37">
        <f>IFERROR(__xludf.DUMMYFUNCTION("""COMPUTED_VALUE"""),0.074)</f>
        <v>0.074</v>
      </c>
      <c r="R21" s="34"/>
    </row>
    <row r="22">
      <c r="A22" s="3">
        <f>IFERROR(__xludf.DUMMYFUNCTION("""COMPUTED_VALUE"""),21.0)</f>
        <v>21</v>
      </c>
      <c r="B22" s="3" t="str">
        <f>IFERROR(__xludf.DUMMYFUNCTION("""COMPUTED_VALUE"""),"Car Service Together")</f>
        <v>Car Service Together</v>
      </c>
      <c r="C22" s="3" t="str">
        <f>IFERROR(__xludf.DUMMYFUNCTION("""COMPUTED_VALUE"""),"Feb 4, 2026")</f>
        <v>Feb 4, 2026</v>
      </c>
      <c r="D22" s="3" t="str">
        <f>IFERROR(__xludf.DUMMYFUNCTION("""COMPUTED_VALUE"""),"$17.99")</f>
        <v>$17.99</v>
      </c>
      <c r="E22" s="3" t="str">
        <f>IFERROR(__xludf.DUMMYFUNCTION("""COMPUTED_VALUE"""),"N/A (N/A)")</f>
        <v>N/A (N/A)</v>
      </c>
      <c r="F22" s="3" t="str">
        <f>IFERROR(__xludf.DUMMYFUNCTION("""COMPUTED_VALUE"""),"0 .. 20,000")</f>
        <v>0 .. 20,000</v>
      </c>
      <c r="G22" s="3" t="str">
        <f>IFERROR(__xludf.DUMMYFUNCTION("""COMPUTED_VALUE"""),"01:40 (01:45)")</f>
        <v>01:40 (01:45)</v>
      </c>
      <c r="H22" s="34"/>
      <c r="I22" s="3" t="str">
        <f>IFERROR(__xludf.DUMMYFUNCTION("""COMPUTED_VALUE"""),"Jenette Caldwell")</f>
        <v>Jenette Caldwell</v>
      </c>
      <c r="J22" s="3" t="str">
        <f>IFERROR(__xludf.DUMMYFUNCTION("""COMPUTED_VALUE"""),"Development Lead")</f>
        <v>Development Lead</v>
      </c>
      <c r="K22" s="3" t="str">
        <f>IFERROR(__xludf.DUMMYFUNCTION("""COMPUTED_VALUE"""),"New York")</f>
        <v>New York</v>
      </c>
      <c r="L22" s="3">
        <f>IFERROR(__xludf.DUMMYFUNCTION("""COMPUTED_VALUE"""),30.0)</f>
        <v>30</v>
      </c>
      <c r="M22" s="36">
        <f>IFERROR(__xludf.DUMMYFUNCTION("""COMPUTED_VALUE"""),40789.0)</f>
        <v>40789</v>
      </c>
      <c r="N22" s="3" t="str">
        <f>IFERROR(__xludf.DUMMYFUNCTION("""COMPUTED_VALUE"""),"$345,000")</f>
        <v>$345,000</v>
      </c>
      <c r="O22" s="34"/>
      <c r="P22" s="3" t="str">
        <f>IFERROR(__xludf.DUMMYFUNCTION("""COMPUTED_VALUE"""),"Côtes-d'Armor")</f>
        <v>Côtes-d'Armor</v>
      </c>
      <c r="Q22" s="37">
        <f>IFERROR(__xludf.DUMMYFUNCTION("""COMPUTED_VALUE"""),0.043)</f>
        <v>0.043</v>
      </c>
      <c r="R22" s="34"/>
    </row>
    <row r="23">
      <c r="A23" s="3">
        <f>IFERROR(__xludf.DUMMYFUNCTION("""COMPUTED_VALUE"""),22.0)</f>
        <v>22</v>
      </c>
      <c r="B23" s="3" t="str">
        <f>IFERROR(__xludf.DUMMYFUNCTION("""COMPUTED_VALUE"""),"Moor Rail")</f>
        <v>Moor Rail</v>
      </c>
      <c r="C23" s="3" t="str">
        <f>IFERROR(__xludf.DUMMYFUNCTION("""COMPUTED_VALUE"""),"Feb 4, 2026")</f>
        <v>Feb 4, 2026</v>
      </c>
      <c r="D23" s="3" t="str">
        <f>IFERROR(__xludf.DUMMYFUNCTION("""COMPUTED_VALUE"""),"$7.99")</f>
        <v>$7.99</v>
      </c>
      <c r="E23" s="3" t="str">
        <f>IFERROR(__xludf.DUMMYFUNCTION("""COMPUTED_VALUE"""),"N/A (N/A)")</f>
        <v>N/A (N/A)</v>
      </c>
      <c r="F23" s="3" t="str">
        <f>IFERROR(__xludf.DUMMYFUNCTION("""COMPUTED_VALUE"""),"0 .. 20,000")</f>
        <v>0 .. 20,000</v>
      </c>
      <c r="G23" s="3" t="str">
        <f>IFERROR(__xludf.DUMMYFUNCTION("""COMPUTED_VALUE"""),"00:00 (00:00)")</f>
        <v>00:00 (00:00)</v>
      </c>
      <c r="H23" s="34"/>
      <c r="I23" s="3" t="str">
        <f>IFERROR(__xludf.DUMMYFUNCTION("""COMPUTED_VALUE"""),"Yuri Berry")</f>
        <v>Yuri Berry</v>
      </c>
      <c r="J23" s="3" t="str">
        <f>IFERROR(__xludf.DUMMYFUNCTION("""COMPUTED_VALUE"""),"Chief Marketing Officer (CMO)")</f>
        <v>Chief Marketing Officer (CMO)</v>
      </c>
      <c r="K23" s="3" t="str">
        <f>IFERROR(__xludf.DUMMYFUNCTION("""COMPUTED_VALUE"""),"New York")</f>
        <v>New York</v>
      </c>
      <c r="L23" s="3">
        <f>IFERROR(__xludf.DUMMYFUNCTION("""COMPUTED_VALUE"""),40.0)</f>
        <v>40</v>
      </c>
      <c r="M23" s="36">
        <f>IFERROR(__xludf.DUMMYFUNCTION("""COMPUTED_VALUE"""),39989.0)</f>
        <v>39989</v>
      </c>
      <c r="N23" s="3" t="str">
        <f>IFERROR(__xludf.DUMMYFUNCTION("""COMPUTED_VALUE"""),"$675,000")</f>
        <v>$675,000</v>
      </c>
      <c r="O23" s="34"/>
      <c r="P23" s="3" t="str">
        <f>IFERROR(__xludf.DUMMYFUNCTION("""COMPUTED_VALUE"""),"Creuse")</f>
        <v>Creuse</v>
      </c>
      <c r="Q23" s="37">
        <f>IFERROR(__xludf.DUMMYFUNCTION("""COMPUTED_VALUE"""),-0.022)</f>
        <v>-0.022</v>
      </c>
      <c r="R23" s="34"/>
    </row>
    <row r="24">
      <c r="A24" s="3">
        <f>IFERROR(__xludf.DUMMYFUNCTION("""COMPUTED_VALUE"""),23.0)</f>
        <v>23</v>
      </c>
      <c r="B24" s="3" t="str">
        <f>IFERROR(__xludf.DUMMYFUNCTION("""COMPUTED_VALUE"""),"Master of Piece")</f>
        <v>Master of Piece</v>
      </c>
      <c r="C24" s="3" t="str">
        <f>IFERROR(__xludf.DUMMYFUNCTION("""COMPUTED_VALUE"""),"Feb 4, 2026")</f>
        <v>Feb 4, 2026</v>
      </c>
      <c r="D24" s="3" t="str">
        <f>IFERROR(__xludf.DUMMYFUNCTION("""COMPUTED_VALUE"""),"$13.49")</f>
        <v>$13.49</v>
      </c>
      <c r="E24" s="3" t="str">
        <f>IFERROR(__xludf.DUMMYFUNCTION("""COMPUTED_VALUE"""),"N/A (N/A)")</f>
        <v>N/A (N/A)</v>
      </c>
      <c r="F24" s="3" t="str">
        <f>IFERROR(__xludf.DUMMYFUNCTION("""COMPUTED_VALUE"""),"0 .. 20,000")</f>
        <v>0 .. 20,000</v>
      </c>
      <c r="G24" s="3" t="str">
        <f>IFERROR(__xludf.DUMMYFUNCTION("""COMPUTED_VALUE"""),"00:00 (00:00)")</f>
        <v>00:00 (00:00)</v>
      </c>
      <c r="H24" s="34"/>
      <c r="I24" s="3" t="str">
        <f>IFERROR(__xludf.DUMMYFUNCTION("""COMPUTED_VALUE"""),"Caesar Vance")</f>
        <v>Caesar Vance</v>
      </c>
      <c r="J24" s="3" t="str">
        <f>IFERROR(__xludf.DUMMYFUNCTION("""COMPUTED_VALUE"""),"Pre-Sales Support")</f>
        <v>Pre-Sales Support</v>
      </c>
      <c r="K24" s="3" t="str">
        <f>IFERROR(__xludf.DUMMYFUNCTION("""COMPUTED_VALUE"""),"New York")</f>
        <v>New York</v>
      </c>
      <c r="L24" s="3">
        <f>IFERROR(__xludf.DUMMYFUNCTION("""COMPUTED_VALUE"""),21.0)</f>
        <v>21</v>
      </c>
      <c r="M24" s="36">
        <f>IFERROR(__xludf.DUMMYFUNCTION("""COMPUTED_VALUE"""),40889.0)</f>
        <v>40889</v>
      </c>
      <c r="N24" s="3" t="str">
        <f>IFERROR(__xludf.DUMMYFUNCTION("""COMPUTED_VALUE"""),"$106,450")</f>
        <v>$106,450</v>
      </c>
      <c r="O24" s="34"/>
      <c r="P24" s="3" t="str">
        <f>IFERROR(__xludf.DUMMYFUNCTION("""COMPUTED_VALUE"""),"Dordogne")</f>
        <v>Dordogne</v>
      </c>
      <c r="Q24" s="37">
        <f>IFERROR(__xludf.DUMMYFUNCTION("""COMPUTED_VALUE"""),0.058)</f>
        <v>0.058</v>
      </c>
      <c r="R24" s="34"/>
    </row>
    <row r="25">
      <c r="A25" s="3">
        <f>IFERROR(__xludf.DUMMYFUNCTION("""COMPUTED_VALUE"""),24.0)</f>
        <v>24</v>
      </c>
      <c r="B25" s="3" t="str">
        <f>IFERROR(__xludf.DUMMYFUNCTION("""COMPUTED_VALUE"""),"Choppy Cuts")</f>
        <v>Choppy Cuts</v>
      </c>
      <c r="C25" s="3" t="str">
        <f>IFERROR(__xludf.DUMMYFUNCTION("""COMPUTED_VALUE"""),"Feb 4, 2026")</f>
        <v>Feb 4, 2026</v>
      </c>
      <c r="D25" s="3" t="str">
        <f>IFERROR(__xludf.DUMMYFUNCTION("""COMPUTED_VALUE"""),"$14.44")</f>
        <v>$14.44</v>
      </c>
      <c r="E25" s="3" t="str">
        <f>IFERROR(__xludf.DUMMYFUNCTION("""COMPUTED_VALUE"""),"N/A (N/A)")</f>
        <v>N/A (N/A)</v>
      </c>
      <c r="F25" s="3" t="str">
        <f>IFERROR(__xludf.DUMMYFUNCTION("""COMPUTED_VALUE"""),"0 .. 20,000")</f>
        <v>0 .. 20,000</v>
      </c>
      <c r="G25" s="3" t="str">
        <f>IFERROR(__xludf.DUMMYFUNCTION("""COMPUTED_VALUE"""),"00:00 (00:00)")</f>
        <v>00:00 (00:00)</v>
      </c>
      <c r="H25" s="34"/>
      <c r="I25" s="3" t="str">
        <f>IFERROR(__xludf.DUMMYFUNCTION("""COMPUTED_VALUE"""),"Doris Wilder")</f>
        <v>Doris Wilder</v>
      </c>
      <c r="J25" s="3" t="str">
        <f>IFERROR(__xludf.DUMMYFUNCTION("""COMPUTED_VALUE"""),"Sales Assistant")</f>
        <v>Sales Assistant</v>
      </c>
      <c r="K25" s="3" t="str">
        <f>IFERROR(__xludf.DUMMYFUNCTION("""COMPUTED_VALUE"""),"Sydney")</f>
        <v>Sydney</v>
      </c>
      <c r="L25" s="3">
        <f>IFERROR(__xludf.DUMMYFUNCTION("""COMPUTED_VALUE"""),23.0)</f>
        <v>23</v>
      </c>
      <c r="M25" s="36">
        <f>IFERROR(__xludf.DUMMYFUNCTION("""COMPUTED_VALUE"""),40441.0)</f>
        <v>40441</v>
      </c>
      <c r="N25" s="3" t="str">
        <f>IFERROR(__xludf.DUMMYFUNCTION("""COMPUTED_VALUE"""),"$85,600")</f>
        <v>$85,600</v>
      </c>
      <c r="O25" s="34"/>
      <c r="P25" s="3" t="str">
        <f>IFERROR(__xludf.DUMMYFUNCTION("""COMPUTED_VALUE"""),"Doubs")</f>
        <v>Doubs</v>
      </c>
      <c r="Q25" s="37">
        <f>IFERROR(__xludf.DUMMYFUNCTION("""COMPUTED_VALUE"""),0.079)</f>
        <v>0.079</v>
      </c>
      <c r="R25" s="34"/>
    </row>
    <row r="26">
      <c r="A26" s="3">
        <f>IFERROR(__xludf.DUMMYFUNCTION("""COMPUTED_VALUE"""),25.0)</f>
        <v>25</v>
      </c>
      <c r="B26" s="3" t="str">
        <f>IFERROR(__xludf.DUMMYFUNCTION("""COMPUTED_VALUE"""),"Island Of Enchantment")</f>
        <v>Island Of Enchantment</v>
      </c>
      <c r="C26" s="3" t="str">
        <f>IFERROR(__xludf.DUMMYFUNCTION("""COMPUTED_VALUE"""),"Feb 4, 2026")</f>
        <v>Feb 4, 2026</v>
      </c>
      <c r="D26" s="3" t="str">
        <f>IFERROR(__xludf.DUMMYFUNCTION("""COMPUTED_VALUE"""),"$3.74")</f>
        <v>$3.74</v>
      </c>
      <c r="E26" s="3" t="str">
        <f>IFERROR(__xludf.DUMMYFUNCTION("""COMPUTED_VALUE"""),"N/A (N/A)")</f>
        <v>N/A (N/A)</v>
      </c>
      <c r="F26" s="3" t="str">
        <f>IFERROR(__xludf.DUMMYFUNCTION("""COMPUTED_VALUE"""),"0 .. 20,000")</f>
        <v>0 .. 20,000</v>
      </c>
      <c r="G26" s="3" t="str">
        <f>IFERROR(__xludf.DUMMYFUNCTION("""COMPUTED_VALUE"""),"00:00 (00:00)")</f>
        <v>00:00 (00:00)</v>
      </c>
      <c r="H26" s="34"/>
      <c r="I26" s="3" t="str">
        <f>IFERROR(__xludf.DUMMYFUNCTION("""COMPUTED_VALUE"""),"Angelica Ramos")</f>
        <v>Angelica Ramos</v>
      </c>
      <c r="J26" s="3" t="str">
        <f>IFERROR(__xludf.DUMMYFUNCTION("""COMPUTED_VALUE"""),"Chief Executive Officer (CEO)")</f>
        <v>Chief Executive Officer (CEO)</v>
      </c>
      <c r="K26" s="3" t="str">
        <f>IFERROR(__xludf.DUMMYFUNCTION("""COMPUTED_VALUE"""),"London")</f>
        <v>London</v>
      </c>
      <c r="L26" s="3">
        <f>IFERROR(__xludf.DUMMYFUNCTION("""COMPUTED_VALUE"""),47.0)</f>
        <v>47</v>
      </c>
      <c r="M26" s="36">
        <f>IFERROR(__xludf.DUMMYFUNCTION("""COMPUTED_VALUE"""),40095.0)</f>
        <v>40095</v>
      </c>
      <c r="N26" s="3" t="str">
        <f>IFERROR(__xludf.DUMMYFUNCTION("""COMPUTED_VALUE"""),"$1,200,000")</f>
        <v>$1,200,000</v>
      </c>
      <c r="O26" s="34"/>
      <c r="P26" s="3" t="str">
        <f>IFERROR(__xludf.DUMMYFUNCTION("""COMPUTED_VALUE"""),"Drôme")</f>
        <v>Drôme</v>
      </c>
      <c r="Q26" s="37">
        <f>IFERROR(__xludf.DUMMYFUNCTION("""COMPUTED_VALUE"""),0.068)</f>
        <v>0.068</v>
      </c>
      <c r="R26" s="34"/>
    </row>
    <row r="27">
      <c r="A27" s="3">
        <f>IFERROR(__xludf.DUMMYFUNCTION("""COMPUTED_VALUE"""),26.0)</f>
        <v>26</v>
      </c>
      <c r="B27" s="3" t="str">
        <f>IFERROR(__xludf.DUMMYFUNCTION("""COMPUTED_VALUE"""),"ANTHEM#9")</f>
        <v>ANTHEM#9</v>
      </c>
      <c r="C27" s="3" t="str">
        <f>IFERROR(__xludf.DUMMYFUNCTION("""COMPUTED_VALUE"""),"Feb 4, 2026")</f>
        <v>Feb 4, 2026</v>
      </c>
      <c r="D27" s="3" t="str">
        <f>IFERROR(__xludf.DUMMYFUNCTION("""COMPUTED_VALUE"""),"$13.49")</f>
        <v>$13.49</v>
      </c>
      <c r="E27" s="3" t="str">
        <f>IFERROR(__xludf.DUMMYFUNCTION("""COMPUTED_VALUE"""),"N/A (N/A)")</f>
        <v>N/A (N/A)</v>
      </c>
      <c r="F27" s="3" t="str">
        <f>IFERROR(__xludf.DUMMYFUNCTION("""COMPUTED_VALUE"""),"0 .. 20,000")</f>
        <v>0 .. 20,000</v>
      </c>
      <c r="G27" s="3" t="str">
        <f>IFERROR(__xludf.DUMMYFUNCTION("""COMPUTED_VALUE"""),"00:00 (00:00)")</f>
        <v>00:00 (00:00)</v>
      </c>
      <c r="H27" s="34"/>
      <c r="I27" s="3" t="str">
        <f>IFERROR(__xludf.DUMMYFUNCTION("""COMPUTED_VALUE"""),"Gavin Joyce")</f>
        <v>Gavin Joyce</v>
      </c>
      <c r="J27" s="3" t="str">
        <f>IFERROR(__xludf.DUMMYFUNCTION("""COMPUTED_VALUE"""),"Developer")</f>
        <v>Developer</v>
      </c>
      <c r="K27" s="3" t="str">
        <f>IFERROR(__xludf.DUMMYFUNCTION("""COMPUTED_VALUE"""),"Edinburgh")</f>
        <v>Edinburgh</v>
      </c>
      <c r="L27" s="3">
        <f>IFERROR(__xludf.DUMMYFUNCTION("""COMPUTED_VALUE"""),42.0)</f>
        <v>42</v>
      </c>
      <c r="M27" s="36">
        <f>IFERROR(__xludf.DUMMYFUNCTION("""COMPUTED_VALUE"""),40534.0)</f>
        <v>40534</v>
      </c>
      <c r="N27" s="3" t="str">
        <f>IFERROR(__xludf.DUMMYFUNCTION("""COMPUTED_VALUE"""),"$92,575")</f>
        <v>$92,575</v>
      </c>
      <c r="O27" s="34"/>
      <c r="P27" s="3" t="str">
        <f>IFERROR(__xludf.DUMMYFUNCTION("""COMPUTED_VALUE"""),"Eure")</f>
        <v>Eure</v>
      </c>
      <c r="Q27" s="37">
        <f>IFERROR(__xludf.DUMMYFUNCTION("""COMPUTED_VALUE"""),0.021)</f>
        <v>0.021</v>
      </c>
      <c r="R27" s="34"/>
    </row>
    <row r="28">
      <c r="A28" s="3">
        <f>IFERROR(__xludf.DUMMYFUNCTION("""COMPUTED_VALUE"""),27.0)</f>
        <v>27</v>
      </c>
      <c r="B28" s="3" t="str">
        <f>IFERROR(__xludf.DUMMYFUNCTION("""COMPUTED_VALUE"""),"TAXINAUT")</f>
        <v>TAXINAUT</v>
      </c>
      <c r="C28" s="3" t="str">
        <f>IFERROR(__xludf.DUMMYFUNCTION("""COMPUTED_VALUE"""),"Feb 4, 2026")</f>
        <v>Feb 4, 2026</v>
      </c>
      <c r="D28" s="3" t="str">
        <f>IFERROR(__xludf.DUMMYFUNCTION("""COMPUTED_VALUE"""),"$15.99")</f>
        <v>$15.99</v>
      </c>
      <c r="E28" s="3" t="str">
        <f>IFERROR(__xludf.DUMMYFUNCTION("""COMPUTED_VALUE"""),"N/A (N/A)")</f>
        <v>N/A (N/A)</v>
      </c>
      <c r="F28" s="3" t="str">
        <f>IFERROR(__xludf.DUMMYFUNCTION("""COMPUTED_VALUE"""),"0 .. 20,000")</f>
        <v>0 .. 20,000</v>
      </c>
      <c r="G28" s="3" t="str">
        <f>IFERROR(__xludf.DUMMYFUNCTION("""COMPUTED_VALUE"""),"00:00 (00:00)")</f>
        <v>00:00 (00:00)</v>
      </c>
      <c r="H28" s="34"/>
      <c r="I28" s="3" t="str">
        <f>IFERROR(__xludf.DUMMYFUNCTION("""COMPUTED_VALUE"""),"Jennifer Chang")</f>
        <v>Jennifer Chang</v>
      </c>
      <c r="J28" s="3" t="str">
        <f>IFERROR(__xludf.DUMMYFUNCTION("""COMPUTED_VALUE"""),"Regional Director")</f>
        <v>Regional Director</v>
      </c>
      <c r="K28" s="3" t="str">
        <f>IFERROR(__xludf.DUMMYFUNCTION("""COMPUTED_VALUE"""),"Singapore")</f>
        <v>Singapore</v>
      </c>
      <c r="L28" s="3">
        <f>IFERROR(__xludf.DUMMYFUNCTION("""COMPUTED_VALUE"""),28.0)</f>
        <v>28</v>
      </c>
      <c r="M28" s="36">
        <f>IFERROR(__xludf.DUMMYFUNCTION("""COMPUTED_VALUE"""),40496.0)</f>
        <v>40496</v>
      </c>
      <c r="N28" s="3" t="str">
        <f>IFERROR(__xludf.DUMMYFUNCTION("""COMPUTED_VALUE"""),"$357,650")</f>
        <v>$357,650</v>
      </c>
      <c r="O28" s="34"/>
      <c r="P28" s="3" t="str">
        <f>IFERROR(__xludf.DUMMYFUNCTION("""COMPUTED_VALUE"""),"Eure-et-Loir")</f>
        <v>Eure-et-Loir</v>
      </c>
      <c r="Q28" s="37">
        <f>IFERROR(__xludf.DUMMYFUNCTION("""COMPUTED_VALUE"""),0.073)</f>
        <v>0.073</v>
      </c>
      <c r="R28" s="34"/>
    </row>
    <row r="29">
      <c r="A29" s="3">
        <f>IFERROR(__xludf.DUMMYFUNCTION("""COMPUTED_VALUE"""),28.0)</f>
        <v>28</v>
      </c>
      <c r="B29" s="3" t="str">
        <f>IFERROR(__xludf.DUMMYFUNCTION("""COMPUTED_VALUE"""),"Dead Grid")</f>
        <v>Dead Grid</v>
      </c>
      <c r="C29" s="3" t="str">
        <f>IFERROR(__xludf.DUMMYFUNCTION("""COMPUTED_VALUE"""),"Feb 4, 2026")</f>
        <v>Feb 4, 2026</v>
      </c>
      <c r="D29" s="3" t="str">
        <f>IFERROR(__xludf.DUMMYFUNCTION("""COMPUTED_VALUE"""),"$10.39")</f>
        <v>$10.39</v>
      </c>
      <c r="E29" s="3" t="str">
        <f>IFERROR(__xludf.DUMMYFUNCTION("""COMPUTED_VALUE"""),"N/A (N/A)")</f>
        <v>N/A (N/A)</v>
      </c>
      <c r="F29" s="3" t="str">
        <f>IFERROR(__xludf.DUMMYFUNCTION("""COMPUTED_VALUE"""),"20,000 .. 50,000")</f>
        <v>20,000 .. 50,000</v>
      </c>
      <c r="G29" s="3" t="str">
        <f>IFERROR(__xludf.DUMMYFUNCTION("""COMPUTED_VALUE"""),"00:00 (00:00)")</f>
        <v>00:00 (00:00)</v>
      </c>
      <c r="H29" s="34"/>
      <c r="I29" s="3" t="str">
        <f>IFERROR(__xludf.DUMMYFUNCTION("""COMPUTED_VALUE"""),"Brenden Wagner")</f>
        <v>Brenden Wagner</v>
      </c>
      <c r="J29" s="3" t="str">
        <f>IFERROR(__xludf.DUMMYFUNCTION("""COMPUTED_VALUE"""),"Software Engineer")</f>
        <v>Software Engineer</v>
      </c>
      <c r="K29" s="3" t="str">
        <f>IFERROR(__xludf.DUMMYFUNCTION("""COMPUTED_VALUE"""),"San Francisco")</f>
        <v>San Francisco</v>
      </c>
      <c r="L29" s="3">
        <f>IFERROR(__xludf.DUMMYFUNCTION("""COMPUTED_VALUE"""),28.0)</f>
        <v>28</v>
      </c>
      <c r="M29" s="36">
        <f>IFERROR(__xludf.DUMMYFUNCTION("""COMPUTED_VALUE"""),40701.0)</f>
        <v>40701</v>
      </c>
      <c r="N29" s="3" t="str">
        <f>IFERROR(__xludf.DUMMYFUNCTION("""COMPUTED_VALUE"""),"$206,850")</f>
        <v>$206,850</v>
      </c>
      <c r="O29" s="34"/>
      <c r="P29" s="3" t="str">
        <f>IFERROR(__xludf.DUMMYFUNCTION("""COMPUTED_VALUE"""),"Finistère")</f>
        <v>Finistère</v>
      </c>
      <c r="Q29" s="37">
        <f>IFERROR(__xludf.DUMMYFUNCTION("""COMPUTED_VALUE"""),0.073)</f>
        <v>0.073</v>
      </c>
      <c r="R29" s="34"/>
    </row>
    <row r="30">
      <c r="A30" s="3">
        <f>IFERROR(__xludf.DUMMYFUNCTION("""COMPUTED_VALUE"""),29.0)</f>
        <v>29</v>
      </c>
      <c r="B30" s="3" t="str">
        <f>IFERROR(__xludf.DUMMYFUNCTION("""COMPUTED_VALUE"""),"Territory: Farming and Warfare")</f>
        <v>Territory: Farming and Warfare</v>
      </c>
      <c r="C30" s="3" t="str">
        <f>IFERROR(__xludf.DUMMYFUNCTION("""COMPUTED_VALUE"""),"Feb 4, 2026")</f>
        <v>Feb 4, 2026</v>
      </c>
      <c r="D30" s="3" t="str">
        <f>IFERROR(__xludf.DUMMYFUNCTION("""COMPUTED_VALUE"""),"$11.99")</f>
        <v>$11.99</v>
      </c>
      <c r="E30" s="3" t="str">
        <f>IFERROR(__xludf.DUMMYFUNCTION("""COMPUTED_VALUE"""),"N/A (N/A)")</f>
        <v>N/A (N/A)</v>
      </c>
      <c r="F30" s="3" t="str">
        <f>IFERROR(__xludf.DUMMYFUNCTION("""COMPUTED_VALUE"""),"20,000 .. 50,000")</f>
        <v>20,000 .. 50,000</v>
      </c>
      <c r="G30" s="3" t="str">
        <f>IFERROR(__xludf.DUMMYFUNCTION("""COMPUTED_VALUE"""),"00:00 (00:00)")</f>
        <v>00:00 (00:00)</v>
      </c>
      <c r="H30" s="34"/>
      <c r="I30" s="3" t="str">
        <f>IFERROR(__xludf.DUMMYFUNCTION("""COMPUTED_VALUE"""),"Fiona Green")</f>
        <v>Fiona Green</v>
      </c>
      <c r="J30" s="3" t="str">
        <f>IFERROR(__xludf.DUMMYFUNCTION("""COMPUTED_VALUE"""),"Chief Operating Officer (COO)")</f>
        <v>Chief Operating Officer (COO)</v>
      </c>
      <c r="K30" s="3" t="str">
        <f>IFERROR(__xludf.DUMMYFUNCTION("""COMPUTED_VALUE"""),"San Francisco")</f>
        <v>San Francisco</v>
      </c>
      <c r="L30" s="3">
        <f>IFERROR(__xludf.DUMMYFUNCTION("""COMPUTED_VALUE"""),48.0)</f>
        <v>48</v>
      </c>
      <c r="M30" s="36">
        <f>IFERROR(__xludf.DUMMYFUNCTION("""COMPUTED_VALUE"""),40248.0)</f>
        <v>40248</v>
      </c>
      <c r="N30" s="3" t="str">
        <f>IFERROR(__xludf.DUMMYFUNCTION("""COMPUTED_VALUE"""),"$850,000")</f>
        <v>$850,000</v>
      </c>
      <c r="O30" s="34"/>
      <c r="P30" s="3" t="str">
        <f>IFERROR(__xludf.DUMMYFUNCTION("""COMPUTED_VALUE"""),"Corse-du-Sud")</f>
        <v>Corse-du-Sud</v>
      </c>
      <c r="Q30" s="37">
        <f>IFERROR(__xludf.DUMMYFUNCTION("""COMPUTED_VALUE"""),0.132)</f>
        <v>0.132</v>
      </c>
      <c r="R30" s="34"/>
    </row>
    <row r="31">
      <c r="A31" s="3">
        <f>IFERROR(__xludf.DUMMYFUNCTION("""COMPUTED_VALUE"""),30.0)</f>
        <v>30</v>
      </c>
      <c r="B31" s="3" t="str">
        <f>IFERROR(__xludf.DUMMYFUNCTION("""COMPUTED_VALUE"""),"Hoverflow")</f>
        <v>Hoverflow</v>
      </c>
      <c r="C31" s="3" t="str">
        <f>IFERROR(__xludf.DUMMYFUNCTION("""COMPUTED_VALUE"""),"Feb 4, 2026")</f>
        <v>Feb 4, 2026</v>
      </c>
      <c r="D31" s="3" t="str">
        <f>IFERROR(__xludf.DUMMYFUNCTION("""COMPUTED_VALUE"""),"$12.74")</f>
        <v>$12.74</v>
      </c>
      <c r="E31" s="3" t="str">
        <f>IFERROR(__xludf.DUMMYFUNCTION("""COMPUTED_VALUE"""),"N/A (N/A)")</f>
        <v>N/A (N/A)</v>
      </c>
      <c r="F31" s="3" t="str">
        <f>IFERROR(__xludf.DUMMYFUNCTION("""COMPUTED_VALUE"""),"0 .. 20,000")</f>
        <v>0 .. 20,000</v>
      </c>
      <c r="G31" s="3" t="str">
        <f>IFERROR(__xludf.DUMMYFUNCTION("""COMPUTED_VALUE"""),"00:00 (00:00)")</f>
        <v>00:00 (00:00)</v>
      </c>
      <c r="H31" s="34"/>
      <c r="I31" s="3" t="str">
        <f>IFERROR(__xludf.DUMMYFUNCTION("""COMPUTED_VALUE"""),"Shou Itou")</f>
        <v>Shou Itou</v>
      </c>
      <c r="J31" s="3" t="str">
        <f>IFERROR(__xludf.DUMMYFUNCTION("""COMPUTED_VALUE"""),"Regional Marketing")</f>
        <v>Regional Marketing</v>
      </c>
      <c r="K31" s="3" t="str">
        <f>IFERROR(__xludf.DUMMYFUNCTION("""COMPUTED_VALUE"""),"Tokyo")</f>
        <v>Tokyo</v>
      </c>
      <c r="L31" s="3">
        <f>IFERROR(__xludf.DUMMYFUNCTION("""COMPUTED_VALUE"""),20.0)</f>
        <v>20</v>
      </c>
      <c r="M31" s="36">
        <f>IFERROR(__xludf.DUMMYFUNCTION("""COMPUTED_VALUE"""),40769.0)</f>
        <v>40769</v>
      </c>
      <c r="N31" s="3" t="str">
        <f>IFERROR(__xludf.DUMMYFUNCTION("""COMPUTED_VALUE"""),"$163,000")</f>
        <v>$163,000</v>
      </c>
      <c r="O31" s="34"/>
      <c r="P31" s="3" t="str">
        <f>IFERROR(__xludf.DUMMYFUNCTION("""COMPUTED_VALUE"""),"Haute-Corse")</f>
        <v>Haute-Corse</v>
      </c>
      <c r="Q31" s="37">
        <f>IFERROR(__xludf.DUMMYFUNCTION("""COMPUTED_VALUE"""),0.119)</f>
        <v>0.119</v>
      </c>
      <c r="R31" s="34"/>
    </row>
    <row r="32">
      <c r="A32" s="3">
        <f>IFERROR(__xludf.DUMMYFUNCTION("""COMPUTED_VALUE"""),31.0)</f>
        <v>31</v>
      </c>
      <c r="B32" s="3" t="str">
        <f>IFERROR(__xludf.DUMMYFUNCTION("""COMPUTED_VALUE"""),"FLUFF SWING")</f>
        <v>FLUFF SWING</v>
      </c>
      <c r="C32" s="3" t="str">
        <f>IFERROR(__xludf.DUMMYFUNCTION("""COMPUTED_VALUE"""),"Feb 3, 2026")</f>
        <v>Feb 3, 2026</v>
      </c>
      <c r="D32" s="3" t="str">
        <f>IFERROR(__xludf.DUMMYFUNCTION("""COMPUTED_VALUE"""),"$1.99")</f>
        <v>$1.99</v>
      </c>
      <c r="E32" s="3" t="str">
        <f>IFERROR(__xludf.DUMMYFUNCTION("""COMPUTED_VALUE"""),"N/A (N/A)")</f>
        <v>N/A (N/A)</v>
      </c>
      <c r="F32" s="3" t="str">
        <f>IFERROR(__xludf.DUMMYFUNCTION("""COMPUTED_VALUE"""),"0 .. 20,000")</f>
        <v>0 .. 20,000</v>
      </c>
      <c r="G32" s="3" t="str">
        <f>IFERROR(__xludf.DUMMYFUNCTION("""COMPUTED_VALUE"""),"00:00 (00:00)")</f>
        <v>00:00 (00:00)</v>
      </c>
      <c r="H32" s="34"/>
      <c r="I32" s="3" t="str">
        <f>IFERROR(__xludf.DUMMYFUNCTION("""COMPUTED_VALUE"""),"Michelle House")</f>
        <v>Michelle House</v>
      </c>
      <c r="J32" s="3" t="str">
        <f>IFERROR(__xludf.DUMMYFUNCTION("""COMPUTED_VALUE"""),"Integration Specialist")</f>
        <v>Integration Specialist</v>
      </c>
      <c r="K32" s="3" t="str">
        <f>IFERROR(__xludf.DUMMYFUNCTION("""COMPUTED_VALUE"""),"Sydney")</f>
        <v>Sydney</v>
      </c>
      <c r="L32" s="3">
        <f>IFERROR(__xludf.DUMMYFUNCTION("""COMPUTED_VALUE"""),37.0)</f>
        <v>37</v>
      </c>
      <c r="M32" s="36">
        <f>IFERROR(__xludf.DUMMYFUNCTION("""COMPUTED_VALUE"""),40696.0)</f>
        <v>40696</v>
      </c>
      <c r="N32" s="3" t="str">
        <f>IFERROR(__xludf.DUMMYFUNCTION("""COMPUTED_VALUE"""),"$95,400")</f>
        <v>$95,400</v>
      </c>
      <c r="O32" s="34"/>
      <c r="P32" s="3" t="str">
        <f>IFERROR(__xludf.DUMMYFUNCTION("""COMPUTED_VALUE"""),"Gard")</f>
        <v>Gard</v>
      </c>
      <c r="Q32" s="37">
        <f>IFERROR(__xludf.DUMMYFUNCTION("""COMPUTED_VALUE"""),0.091)</f>
        <v>0.091</v>
      </c>
      <c r="R32" s="34"/>
    </row>
    <row r="33">
      <c r="A33" s="3">
        <f>IFERROR(__xludf.DUMMYFUNCTION("""COMPUTED_VALUE"""),32.0)</f>
        <v>32</v>
      </c>
      <c r="B33" s="3" t="str">
        <f>IFERROR(__xludf.DUMMYFUNCTION("""COMPUTED_VALUE"""),"YAPYAP")</f>
        <v>YAPYAP</v>
      </c>
      <c r="C33" s="3" t="str">
        <f>IFERROR(__xludf.DUMMYFUNCTION("""COMPUTED_VALUE"""),"Feb 3, 2026")</f>
        <v>Feb 3, 2026</v>
      </c>
      <c r="D33" s="3" t="str">
        <f>IFERROR(__xludf.DUMMYFUNCTION("""COMPUTED_VALUE"""),"$7.99")</f>
        <v>$7.99</v>
      </c>
      <c r="E33" s="3" t="str">
        <f>IFERROR(__xludf.DUMMYFUNCTION("""COMPUTED_VALUE"""),"N/A (N/A)")</f>
        <v>N/A (N/A)</v>
      </c>
      <c r="F33" s="3" t="str">
        <f>IFERROR(__xludf.DUMMYFUNCTION("""COMPUTED_VALUE"""),"0 .. 20,000")</f>
        <v>0 .. 20,000</v>
      </c>
      <c r="G33" s="3" t="str">
        <f>IFERROR(__xludf.DUMMYFUNCTION("""COMPUTED_VALUE"""),"01:43 (01:28)")</f>
        <v>01:43 (01:28)</v>
      </c>
      <c r="H33" s="34"/>
      <c r="I33" s="3" t="str">
        <f>IFERROR(__xludf.DUMMYFUNCTION("""COMPUTED_VALUE"""),"Suki Burks")</f>
        <v>Suki Burks</v>
      </c>
      <c r="J33" s="3" t="str">
        <f>IFERROR(__xludf.DUMMYFUNCTION("""COMPUTED_VALUE"""),"Developer")</f>
        <v>Developer</v>
      </c>
      <c r="K33" s="3" t="str">
        <f>IFERROR(__xludf.DUMMYFUNCTION("""COMPUTED_VALUE"""),"London")</f>
        <v>London</v>
      </c>
      <c r="L33" s="3">
        <f>IFERROR(__xludf.DUMMYFUNCTION("""COMPUTED_VALUE"""),53.0)</f>
        <v>53</v>
      </c>
      <c r="M33" s="36">
        <f>IFERROR(__xludf.DUMMYFUNCTION("""COMPUTED_VALUE"""),40108.0)</f>
        <v>40108</v>
      </c>
      <c r="N33" s="3" t="str">
        <f>IFERROR(__xludf.DUMMYFUNCTION("""COMPUTED_VALUE"""),"$114,500")</f>
        <v>$114,500</v>
      </c>
      <c r="O33" s="34"/>
      <c r="P33" s="3" t="str">
        <f>IFERROR(__xludf.DUMMYFUNCTION("""COMPUTED_VALUE"""),"Haute-Garonne")</f>
        <v>Haute-Garonne</v>
      </c>
      <c r="Q33" s="37">
        <f>IFERROR(__xludf.DUMMYFUNCTION("""COMPUTED_VALUE"""),0.051)</f>
        <v>0.051</v>
      </c>
      <c r="R33" s="34"/>
    </row>
    <row r="34">
      <c r="A34" s="3">
        <f>IFERROR(__xludf.DUMMYFUNCTION("""COMPUTED_VALUE"""),33.0)</f>
        <v>33</v>
      </c>
      <c r="B34" s="3" t="str">
        <f>IFERROR(__xludf.DUMMYFUNCTION("""COMPUTED_VALUE"""),"The Dark Rites of Arkham")</f>
        <v>The Dark Rites of Arkham</v>
      </c>
      <c r="C34" s="3" t="str">
        <f>IFERROR(__xludf.DUMMYFUNCTION("""COMPUTED_VALUE"""),"Feb 3, 2026")</f>
        <v>Feb 3, 2026</v>
      </c>
      <c r="D34" s="3" t="str">
        <f>IFERROR(__xludf.DUMMYFUNCTION("""COMPUTED_VALUE"""),"$13.49")</f>
        <v>$13.49</v>
      </c>
      <c r="E34" s="3" t="str">
        <f>IFERROR(__xludf.DUMMYFUNCTION("""COMPUTED_VALUE"""),"N/A (N/A)")</f>
        <v>N/A (N/A)</v>
      </c>
      <c r="F34" s="3" t="str">
        <f>IFERROR(__xludf.DUMMYFUNCTION("""COMPUTED_VALUE"""),"0 .. 20,000")</f>
        <v>0 .. 20,000</v>
      </c>
      <c r="G34" s="3" t="str">
        <f>IFERROR(__xludf.DUMMYFUNCTION("""COMPUTED_VALUE"""),"00:00 (00:00)")</f>
        <v>00:00 (00:00)</v>
      </c>
      <c r="H34" s="34"/>
      <c r="I34" s="3" t="str">
        <f>IFERROR(__xludf.DUMMYFUNCTION("""COMPUTED_VALUE"""),"Prescott Bartlett")</f>
        <v>Prescott Bartlett</v>
      </c>
      <c r="J34" s="3" t="str">
        <f>IFERROR(__xludf.DUMMYFUNCTION("""COMPUTED_VALUE"""),"Technical Author")</f>
        <v>Technical Author</v>
      </c>
      <c r="K34" s="3" t="str">
        <f>IFERROR(__xludf.DUMMYFUNCTION("""COMPUTED_VALUE"""),"London")</f>
        <v>London</v>
      </c>
      <c r="L34" s="3">
        <f>IFERROR(__xludf.DUMMYFUNCTION("""COMPUTED_VALUE"""),27.0)</f>
        <v>27</v>
      </c>
      <c r="M34" s="36">
        <f>IFERROR(__xludf.DUMMYFUNCTION("""COMPUTED_VALUE"""),40670.0)</f>
        <v>40670</v>
      </c>
      <c r="N34" s="3" t="str">
        <f>IFERROR(__xludf.DUMMYFUNCTION("""COMPUTED_VALUE"""),"$145,000")</f>
        <v>$145,000</v>
      </c>
      <c r="O34" s="34"/>
      <c r="P34" s="3" t="str">
        <f>IFERROR(__xludf.DUMMYFUNCTION("""COMPUTED_VALUE"""),"Gers")</f>
        <v>Gers</v>
      </c>
      <c r="Q34" s="37">
        <f>IFERROR(__xludf.DUMMYFUNCTION("""COMPUTED_VALUE"""),0.07)</f>
        <v>0.07</v>
      </c>
      <c r="R34" s="34"/>
    </row>
    <row r="35">
      <c r="A35" s="3">
        <f>IFERROR(__xludf.DUMMYFUNCTION("""COMPUTED_VALUE"""),34.0)</f>
        <v>34</v>
      </c>
      <c r="B35" s="3" t="str">
        <f>IFERROR(__xludf.DUMMYFUNCTION("""COMPUTED_VALUE"""),"GOD FORSAKEN")</f>
        <v>GOD FORSAKEN</v>
      </c>
      <c r="C35" s="3" t="str">
        <f>IFERROR(__xludf.DUMMYFUNCTION("""COMPUTED_VALUE"""),"Feb 3, 2026")</f>
        <v>Feb 3, 2026</v>
      </c>
      <c r="D35" s="3" t="str">
        <f>IFERROR(__xludf.DUMMYFUNCTION("""COMPUTED_VALUE"""),"$13.99")</f>
        <v>$13.99</v>
      </c>
      <c r="E35" s="3" t="str">
        <f>IFERROR(__xludf.DUMMYFUNCTION("""COMPUTED_VALUE"""),"N/A (N/A)")</f>
        <v>N/A (N/A)</v>
      </c>
      <c r="F35" s="3" t="str">
        <f>IFERROR(__xludf.DUMMYFUNCTION("""COMPUTED_VALUE"""),"0 .. 20,000")</f>
        <v>0 .. 20,000</v>
      </c>
      <c r="G35" s="3" t="str">
        <f>IFERROR(__xludf.DUMMYFUNCTION("""COMPUTED_VALUE"""),"02:50 (00:56)")</f>
        <v>02:50 (00:56)</v>
      </c>
      <c r="H35" s="34"/>
      <c r="I35" s="3" t="str">
        <f>IFERROR(__xludf.DUMMYFUNCTION("""COMPUTED_VALUE"""),"Gavin Cortez")</f>
        <v>Gavin Cortez</v>
      </c>
      <c r="J35" s="3" t="str">
        <f>IFERROR(__xludf.DUMMYFUNCTION("""COMPUTED_VALUE"""),"Team Leader")</f>
        <v>Team Leader</v>
      </c>
      <c r="K35" s="3" t="str">
        <f>IFERROR(__xludf.DUMMYFUNCTION("""COMPUTED_VALUE"""),"San Francisco")</f>
        <v>San Francisco</v>
      </c>
      <c r="L35" s="3">
        <f>IFERROR(__xludf.DUMMYFUNCTION("""COMPUTED_VALUE"""),22.0)</f>
        <v>22</v>
      </c>
      <c r="M35" s="36">
        <f>IFERROR(__xludf.DUMMYFUNCTION("""COMPUTED_VALUE"""),39747.0)</f>
        <v>39747</v>
      </c>
      <c r="N35" s="3" t="str">
        <f>IFERROR(__xludf.DUMMYFUNCTION("""COMPUTED_VALUE"""),"$235,500")</f>
        <v>$235,500</v>
      </c>
      <c r="O35" s="34"/>
      <c r="P35" s="3" t="str">
        <f>IFERROR(__xludf.DUMMYFUNCTION("""COMPUTED_VALUE"""),"Gironde")</f>
        <v>Gironde</v>
      </c>
      <c r="Q35" s="37">
        <f>IFERROR(__xludf.DUMMYFUNCTION("""COMPUTED_VALUE"""),0.034)</f>
        <v>0.034</v>
      </c>
      <c r="R35" s="34"/>
    </row>
    <row r="36">
      <c r="A36" s="3">
        <f>IFERROR(__xludf.DUMMYFUNCTION("""COMPUTED_VALUE"""),35.0)</f>
        <v>35</v>
      </c>
      <c r="B36" s="3" t="str">
        <f>IFERROR(__xludf.DUMMYFUNCTION("""COMPUTED_VALUE"""),"Unemployment Simulator 2018")</f>
        <v>Unemployment Simulator 2018</v>
      </c>
      <c r="C36" s="3" t="str">
        <f>IFERROR(__xludf.DUMMYFUNCTION("""COMPUTED_VALUE"""),"Feb 3, 2026")</f>
        <v>Feb 3, 2026</v>
      </c>
      <c r="D36" s="3" t="str">
        <f>IFERROR(__xludf.DUMMYFUNCTION("""COMPUTED_VALUE"""),"$7.99")</f>
        <v>$7.99</v>
      </c>
      <c r="E36" s="3" t="str">
        <f>IFERROR(__xludf.DUMMYFUNCTION("""COMPUTED_VALUE"""),"N/A (N/A)")</f>
        <v>N/A (N/A)</v>
      </c>
      <c r="F36" s="3" t="str">
        <f>IFERROR(__xludf.DUMMYFUNCTION("""COMPUTED_VALUE"""),"0 .. 20,000")</f>
        <v>0 .. 20,000</v>
      </c>
      <c r="G36" s="3" t="str">
        <f>IFERROR(__xludf.DUMMYFUNCTION("""COMPUTED_VALUE"""),"00:00 (00:00)")</f>
        <v>00:00 (00:00)</v>
      </c>
      <c r="H36" s="34"/>
      <c r="I36" s="3" t="str">
        <f>IFERROR(__xludf.DUMMYFUNCTION("""COMPUTED_VALUE"""),"Martena Mccray")</f>
        <v>Martena Mccray</v>
      </c>
      <c r="J36" s="3" t="str">
        <f>IFERROR(__xludf.DUMMYFUNCTION("""COMPUTED_VALUE"""),"Post-Sales support")</f>
        <v>Post-Sales support</v>
      </c>
      <c r="K36" s="3" t="str">
        <f>IFERROR(__xludf.DUMMYFUNCTION("""COMPUTED_VALUE"""),"Edinburgh")</f>
        <v>Edinburgh</v>
      </c>
      <c r="L36" s="3">
        <f>IFERROR(__xludf.DUMMYFUNCTION("""COMPUTED_VALUE"""),46.0)</f>
        <v>46</v>
      </c>
      <c r="M36" s="36">
        <f>IFERROR(__xludf.DUMMYFUNCTION("""COMPUTED_VALUE"""),40611.0)</f>
        <v>40611</v>
      </c>
      <c r="N36" s="3" t="str">
        <f>IFERROR(__xludf.DUMMYFUNCTION("""COMPUTED_VALUE"""),"$324,050")</f>
        <v>$324,050</v>
      </c>
      <c r="O36" s="34"/>
      <c r="P36" s="3" t="str">
        <f>IFERROR(__xludf.DUMMYFUNCTION("""COMPUTED_VALUE"""),"Hérault")</f>
        <v>Hérault</v>
      </c>
      <c r="Q36" s="37">
        <f>IFERROR(__xludf.DUMMYFUNCTION("""COMPUTED_VALUE"""),0.069)</f>
        <v>0.069</v>
      </c>
      <c r="R36" s="34"/>
    </row>
    <row r="37">
      <c r="A37" s="3">
        <f>IFERROR(__xludf.DUMMYFUNCTION("""COMPUTED_VALUE"""),36.0)</f>
        <v>36</v>
      </c>
      <c r="B37" s="3" t="str">
        <f>IFERROR(__xludf.DUMMYFUNCTION("""COMPUTED_VALUE"""),"Theta and Paralldox on Worldlines")</f>
        <v>Theta and Paralldox on Worldlines</v>
      </c>
      <c r="C37" s="3" t="str">
        <f>IFERROR(__xludf.DUMMYFUNCTION("""COMPUTED_VALUE"""),"Feb 3, 2026")</f>
        <v>Feb 3, 2026</v>
      </c>
      <c r="D37" s="3" t="str">
        <f>IFERROR(__xludf.DUMMYFUNCTION("""COMPUTED_VALUE"""),"$8.99")</f>
        <v>$8.99</v>
      </c>
      <c r="E37" s="3" t="str">
        <f>IFERROR(__xludf.DUMMYFUNCTION("""COMPUTED_VALUE"""),"N/A (N/A)")</f>
        <v>N/A (N/A)</v>
      </c>
      <c r="F37" s="3" t="str">
        <f>IFERROR(__xludf.DUMMYFUNCTION("""COMPUTED_VALUE"""),"0 .. 20,000")</f>
        <v>0 .. 20,000</v>
      </c>
      <c r="G37" s="3" t="str">
        <f>IFERROR(__xludf.DUMMYFUNCTION("""COMPUTED_VALUE"""),"00:00 (00:00)")</f>
        <v>00:00 (00:00)</v>
      </c>
      <c r="H37" s="34"/>
      <c r="I37" s="3" t="str">
        <f>IFERROR(__xludf.DUMMYFUNCTION("""COMPUTED_VALUE"""),"Unity Butler")</f>
        <v>Unity Butler</v>
      </c>
      <c r="J37" s="3" t="str">
        <f>IFERROR(__xludf.DUMMYFUNCTION("""COMPUTED_VALUE"""),"Marketing Designer")</f>
        <v>Marketing Designer</v>
      </c>
      <c r="K37" s="3" t="str">
        <f>IFERROR(__xludf.DUMMYFUNCTION("""COMPUTED_VALUE"""),"San Francisco")</f>
        <v>San Francisco</v>
      </c>
      <c r="L37" s="3">
        <f>IFERROR(__xludf.DUMMYFUNCTION("""COMPUTED_VALUE"""),47.0)</f>
        <v>47</v>
      </c>
      <c r="M37" s="36">
        <f>IFERROR(__xludf.DUMMYFUNCTION("""COMPUTED_VALUE"""),40156.0)</f>
        <v>40156</v>
      </c>
      <c r="N37" s="3" t="str">
        <f>IFERROR(__xludf.DUMMYFUNCTION("""COMPUTED_VALUE"""),"$85,675")</f>
        <v>$85,675</v>
      </c>
      <c r="O37" s="34"/>
      <c r="P37" s="3" t="str">
        <f>IFERROR(__xludf.DUMMYFUNCTION("""COMPUTED_VALUE"""),"Ille-et-Vilaine")</f>
        <v>Ille-et-Vilaine</v>
      </c>
      <c r="Q37" s="37">
        <f>IFERROR(__xludf.DUMMYFUNCTION("""COMPUTED_VALUE"""),0.033)</f>
        <v>0.033</v>
      </c>
      <c r="R37" s="34"/>
    </row>
    <row r="38">
      <c r="A38" s="3">
        <f>IFERROR(__xludf.DUMMYFUNCTION("""COMPUTED_VALUE"""),37.0)</f>
        <v>37</v>
      </c>
      <c r="B38" s="3" t="str">
        <f>IFERROR(__xludf.DUMMYFUNCTION("""COMPUTED_VALUE"""),"Rogue Factory")</f>
        <v>Rogue Factory</v>
      </c>
      <c r="C38" s="3" t="str">
        <f>IFERROR(__xludf.DUMMYFUNCTION("""COMPUTED_VALUE"""),"Feb 3, 2026")</f>
        <v>Feb 3, 2026</v>
      </c>
      <c r="D38" s="3" t="str">
        <f>IFERROR(__xludf.DUMMYFUNCTION("""COMPUTED_VALUE"""),"$8.99")</f>
        <v>$8.99</v>
      </c>
      <c r="E38" s="3" t="str">
        <f>IFERROR(__xludf.DUMMYFUNCTION("""COMPUTED_VALUE"""),"N/A (N/A)")</f>
        <v>N/A (N/A)</v>
      </c>
      <c r="F38" s="3" t="str">
        <f>IFERROR(__xludf.DUMMYFUNCTION("""COMPUTED_VALUE"""),"0 .. 20,000")</f>
        <v>0 .. 20,000</v>
      </c>
      <c r="G38" s="3" t="str">
        <f>IFERROR(__xludf.DUMMYFUNCTION("""COMPUTED_VALUE"""),"01:59 (01:59)")</f>
        <v>01:59 (01:59)</v>
      </c>
      <c r="H38" s="34"/>
      <c r="I38" s="3" t="str">
        <f>IFERROR(__xludf.DUMMYFUNCTION("""COMPUTED_VALUE"""),"Howard Hatfield")</f>
        <v>Howard Hatfield</v>
      </c>
      <c r="J38" s="3" t="str">
        <f>IFERROR(__xludf.DUMMYFUNCTION("""COMPUTED_VALUE"""),"Office Manager")</f>
        <v>Office Manager</v>
      </c>
      <c r="K38" s="3" t="str">
        <f>IFERROR(__xludf.DUMMYFUNCTION("""COMPUTED_VALUE"""),"San Francisco")</f>
        <v>San Francisco</v>
      </c>
      <c r="L38" s="3">
        <f>IFERROR(__xludf.DUMMYFUNCTION("""COMPUTED_VALUE"""),51.0)</f>
        <v>51</v>
      </c>
      <c r="M38" s="36">
        <f>IFERROR(__xludf.DUMMYFUNCTION("""COMPUTED_VALUE"""),39798.0)</f>
        <v>39798</v>
      </c>
      <c r="N38" s="3" t="str">
        <f>IFERROR(__xludf.DUMMYFUNCTION("""COMPUTED_VALUE"""),"$164,500")</f>
        <v>$164,500</v>
      </c>
      <c r="O38" s="34"/>
      <c r="P38" s="3" t="str">
        <f>IFERROR(__xludf.DUMMYFUNCTION("""COMPUTED_VALUE"""),"Indre")</f>
        <v>Indre</v>
      </c>
      <c r="Q38" s="37">
        <f>IFERROR(__xludf.DUMMYFUNCTION("""COMPUTED_VALUE"""),0.027)</f>
        <v>0.027</v>
      </c>
      <c r="R38" s="34"/>
    </row>
    <row r="39">
      <c r="A39" s="3">
        <f>IFERROR(__xludf.DUMMYFUNCTION("""COMPUTED_VALUE"""),38.0)</f>
        <v>38</v>
      </c>
      <c r="B39" s="3" t="str">
        <f>IFERROR(__xludf.DUMMYFUNCTION("""COMPUTED_VALUE"""),"Nonentity Galaxy")</f>
        <v>Nonentity Galaxy</v>
      </c>
      <c r="C39" s="3" t="str">
        <f>IFERROR(__xludf.DUMMYFUNCTION("""COMPUTED_VALUE"""),"Feb 3, 2026")</f>
        <v>Feb 3, 2026</v>
      </c>
      <c r="D39" s="3" t="str">
        <f>IFERROR(__xludf.DUMMYFUNCTION("""COMPUTED_VALUE"""),"$8.99")</f>
        <v>$8.99</v>
      </c>
      <c r="E39" s="3" t="str">
        <f>IFERROR(__xludf.DUMMYFUNCTION("""COMPUTED_VALUE"""),"N/A (N/A)")</f>
        <v>N/A (N/A)</v>
      </c>
      <c r="F39" s="3" t="str">
        <f>IFERROR(__xludf.DUMMYFUNCTION("""COMPUTED_VALUE"""),"0 .. 20,000")</f>
        <v>0 .. 20,000</v>
      </c>
      <c r="G39" s="3" t="str">
        <f>IFERROR(__xludf.DUMMYFUNCTION("""COMPUTED_VALUE"""),"00:00 (00:00)")</f>
        <v>00:00 (00:00)</v>
      </c>
      <c r="H39" s="34"/>
      <c r="I39" s="3" t="str">
        <f>IFERROR(__xludf.DUMMYFUNCTION("""COMPUTED_VALUE"""),"Hope Fuentes")</f>
        <v>Hope Fuentes</v>
      </c>
      <c r="J39" s="3" t="str">
        <f>IFERROR(__xludf.DUMMYFUNCTION("""COMPUTED_VALUE"""),"Secretary")</f>
        <v>Secretary</v>
      </c>
      <c r="K39" s="3" t="str">
        <f>IFERROR(__xludf.DUMMYFUNCTION("""COMPUTED_VALUE"""),"San Francisco")</f>
        <v>San Francisco</v>
      </c>
      <c r="L39" s="3">
        <f>IFERROR(__xludf.DUMMYFUNCTION("""COMPUTED_VALUE"""),41.0)</f>
        <v>41</v>
      </c>
      <c r="M39" s="36">
        <f>IFERROR(__xludf.DUMMYFUNCTION("""COMPUTED_VALUE"""),40221.0)</f>
        <v>40221</v>
      </c>
      <c r="N39" s="3" t="str">
        <f>IFERROR(__xludf.DUMMYFUNCTION("""COMPUTED_VALUE"""),"$109,850")</f>
        <v>$109,850</v>
      </c>
      <c r="O39" s="34"/>
      <c r="P39" s="3" t="str">
        <f>IFERROR(__xludf.DUMMYFUNCTION("""COMPUTED_VALUE"""),"Indre-et-Loire")</f>
        <v>Indre-et-Loire</v>
      </c>
      <c r="Q39" s="37">
        <f>IFERROR(__xludf.DUMMYFUNCTION("""COMPUTED_VALUE"""),0.026)</f>
        <v>0.026</v>
      </c>
      <c r="R39" s="34"/>
    </row>
    <row r="40">
      <c r="A40" s="3">
        <f>IFERROR(__xludf.DUMMYFUNCTION("""COMPUTED_VALUE"""),39.0)</f>
        <v>39</v>
      </c>
      <c r="B40" s="3" t="str">
        <f>IFERROR(__xludf.DUMMYFUNCTION("""COMPUTED_VALUE"""),"Aces of Thunder")</f>
        <v>Aces of Thunder</v>
      </c>
      <c r="C40" s="3" t="str">
        <f>IFERROR(__xludf.DUMMYFUNCTION("""COMPUTED_VALUE"""),"Feb 3, 2026")</f>
        <v>Feb 3, 2026</v>
      </c>
      <c r="D40" s="3" t="str">
        <f>IFERROR(__xludf.DUMMYFUNCTION("""COMPUTED_VALUE"""),"$26.99")</f>
        <v>$26.99</v>
      </c>
      <c r="E40" s="3" t="str">
        <f>IFERROR(__xludf.DUMMYFUNCTION("""COMPUTED_VALUE"""),"N/A (N/A)")</f>
        <v>N/A (N/A)</v>
      </c>
      <c r="F40" s="3" t="str">
        <f>IFERROR(__xludf.DUMMYFUNCTION("""COMPUTED_VALUE"""),"0 .. 20,000")</f>
        <v>0 .. 20,000</v>
      </c>
      <c r="G40" s="3" t="str">
        <f>IFERROR(__xludf.DUMMYFUNCTION("""COMPUTED_VALUE"""),"00:00 (00:00)")</f>
        <v>00:00 (00:00)</v>
      </c>
      <c r="H40" s="34"/>
      <c r="I40" s="3" t="str">
        <f>IFERROR(__xludf.DUMMYFUNCTION("""COMPUTED_VALUE"""),"Vivian Harrell")</f>
        <v>Vivian Harrell</v>
      </c>
      <c r="J40" s="3" t="str">
        <f>IFERROR(__xludf.DUMMYFUNCTION("""COMPUTED_VALUE"""),"Financial Controller")</f>
        <v>Financial Controller</v>
      </c>
      <c r="K40" s="3" t="str">
        <f>IFERROR(__xludf.DUMMYFUNCTION("""COMPUTED_VALUE"""),"San Francisco")</f>
        <v>San Francisco</v>
      </c>
      <c r="L40" s="3">
        <f>IFERROR(__xludf.DUMMYFUNCTION("""COMPUTED_VALUE"""),62.0)</f>
        <v>62</v>
      </c>
      <c r="M40" s="36">
        <f>IFERROR(__xludf.DUMMYFUNCTION("""COMPUTED_VALUE"""),39858.0)</f>
        <v>39858</v>
      </c>
      <c r="N40" s="3" t="str">
        <f>IFERROR(__xludf.DUMMYFUNCTION("""COMPUTED_VALUE"""),"$452,500")</f>
        <v>$452,500</v>
      </c>
      <c r="O40" s="34"/>
      <c r="P40" s="3" t="str">
        <f>IFERROR(__xludf.DUMMYFUNCTION("""COMPUTED_VALUE"""),"Isère")</f>
        <v>Isère</v>
      </c>
      <c r="Q40" s="37">
        <f>IFERROR(__xludf.DUMMYFUNCTION("""COMPUTED_VALUE"""),0.03)</f>
        <v>0.03</v>
      </c>
      <c r="R40" s="34"/>
    </row>
    <row r="41">
      <c r="A41" s="3">
        <f>IFERROR(__xludf.DUMMYFUNCTION("""COMPUTED_VALUE"""),40.0)</f>
        <v>40</v>
      </c>
      <c r="B41" s="3" t="str">
        <f>IFERROR(__xludf.DUMMYFUNCTION("""COMPUTED_VALUE"""),"The Last Starship")</f>
        <v>The Last Starship</v>
      </c>
      <c r="C41" s="3" t="str">
        <f>IFERROR(__xludf.DUMMYFUNCTION("""COMPUTED_VALUE"""),"Feb 3, 2026")</f>
        <v>Feb 3, 2026</v>
      </c>
      <c r="D41" s="3" t="str">
        <f>IFERROR(__xludf.DUMMYFUNCTION("""COMPUTED_VALUE"""),"$16.99")</f>
        <v>$16.99</v>
      </c>
      <c r="E41" s="3" t="str">
        <f>IFERROR(__xludf.DUMMYFUNCTION("""COMPUTED_VALUE"""),"N/A (N/A)")</f>
        <v>N/A (N/A)</v>
      </c>
      <c r="F41" s="3" t="str">
        <f>IFERROR(__xludf.DUMMYFUNCTION("""COMPUTED_VALUE"""),"50,000 .. 100,000")</f>
        <v>50,000 .. 100,000</v>
      </c>
      <c r="G41" s="3" t="str">
        <f>IFERROR(__xludf.DUMMYFUNCTION("""COMPUTED_VALUE"""),"04:44 (03:12)")</f>
        <v>04:44 (03:12)</v>
      </c>
      <c r="H41" s="34"/>
      <c r="I41" s="3" t="str">
        <f>IFERROR(__xludf.DUMMYFUNCTION("""COMPUTED_VALUE"""),"Timothy Mooney")</f>
        <v>Timothy Mooney</v>
      </c>
      <c r="J41" s="3" t="str">
        <f>IFERROR(__xludf.DUMMYFUNCTION("""COMPUTED_VALUE"""),"Office Manager")</f>
        <v>Office Manager</v>
      </c>
      <c r="K41" s="3" t="str">
        <f>IFERROR(__xludf.DUMMYFUNCTION("""COMPUTED_VALUE"""),"London")</f>
        <v>London</v>
      </c>
      <c r="L41" s="3">
        <f>IFERROR(__xludf.DUMMYFUNCTION("""COMPUTED_VALUE"""),37.0)</f>
        <v>37</v>
      </c>
      <c r="M41" s="36">
        <f>IFERROR(__xludf.DUMMYFUNCTION("""COMPUTED_VALUE"""),39793.0)</f>
        <v>39793</v>
      </c>
      <c r="N41" s="3" t="str">
        <f>IFERROR(__xludf.DUMMYFUNCTION("""COMPUTED_VALUE"""),"$136,200")</f>
        <v>$136,200</v>
      </c>
      <c r="O41" s="34"/>
      <c r="P41" s="3" t="str">
        <f>IFERROR(__xludf.DUMMYFUNCTION("""COMPUTED_VALUE"""),"Jura")</f>
        <v>Jura</v>
      </c>
      <c r="Q41" s="37">
        <f>IFERROR(__xludf.DUMMYFUNCTION("""COMPUTED_VALUE"""),0.033)</f>
        <v>0.033</v>
      </c>
      <c r="R41" s="34"/>
    </row>
    <row r="42">
      <c r="A42" s="3">
        <f>IFERROR(__xludf.DUMMYFUNCTION("""COMPUTED_VALUE"""),41.0)</f>
        <v>41</v>
      </c>
      <c r="B42" s="3" t="str">
        <f>IFERROR(__xludf.DUMMYFUNCTION("""COMPUTED_VALUE"""),"Tearscape")</f>
        <v>Tearscape</v>
      </c>
      <c r="C42" s="3" t="str">
        <f>IFERROR(__xludf.DUMMYFUNCTION("""COMPUTED_VALUE"""),"Feb 2, 2026")</f>
        <v>Feb 2, 2026</v>
      </c>
      <c r="D42" s="3" t="str">
        <f>IFERROR(__xludf.DUMMYFUNCTION("""COMPUTED_VALUE"""),"$13.49")</f>
        <v>$13.49</v>
      </c>
      <c r="E42" s="3" t="str">
        <f>IFERROR(__xludf.DUMMYFUNCTION("""COMPUTED_VALUE"""),"N/A (N/A)")</f>
        <v>N/A (N/A)</v>
      </c>
      <c r="F42" s="3" t="str">
        <f>IFERROR(__xludf.DUMMYFUNCTION("""COMPUTED_VALUE"""),"0 .. 20,000")</f>
        <v>0 .. 20,000</v>
      </c>
      <c r="G42" s="3" t="str">
        <f>IFERROR(__xludf.DUMMYFUNCTION("""COMPUTED_VALUE"""),"02:27 (01:13)")</f>
        <v>02:27 (01:13)</v>
      </c>
      <c r="H42" s="34"/>
      <c r="I42" s="3" t="str">
        <f>IFERROR(__xludf.DUMMYFUNCTION("""COMPUTED_VALUE"""),"Jackson Bradshaw")</f>
        <v>Jackson Bradshaw</v>
      </c>
      <c r="J42" s="3" t="str">
        <f>IFERROR(__xludf.DUMMYFUNCTION("""COMPUTED_VALUE"""),"Director")</f>
        <v>Director</v>
      </c>
      <c r="K42" s="3" t="str">
        <f>IFERROR(__xludf.DUMMYFUNCTION("""COMPUTED_VALUE"""),"New York")</f>
        <v>New York</v>
      </c>
      <c r="L42" s="3">
        <f>IFERROR(__xludf.DUMMYFUNCTION("""COMPUTED_VALUE"""),65.0)</f>
        <v>65</v>
      </c>
      <c r="M42" s="36">
        <f>IFERROR(__xludf.DUMMYFUNCTION("""COMPUTED_VALUE"""),39717.0)</f>
        <v>39717</v>
      </c>
      <c r="N42" s="3" t="str">
        <f>IFERROR(__xludf.DUMMYFUNCTION("""COMPUTED_VALUE"""),"$645,750")</f>
        <v>$645,750</v>
      </c>
      <c r="O42" s="34"/>
      <c r="P42" s="3" t="str">
        <f>IFERROR(__xludf.DUMMYFUNCTION("""COMPUTED_VALUE"""),"Landes")</f>
        <v>Landes</v>
      </c>
      <c r="Q42" s="37">
        <f>IFERROR(__xludf.DUMMYFUNCTION("""COMPUTED_VALUE"""),0.099)</f>
        <v>0.099</v>
      </c>
      <c r="R42" s="34"/>
    </row>
    <row r="43">
      <c r="A43" s="3">
        <f>IFERROR(__xludf.DUMMYFUNCTION("""COMPUTED_VALUE"""),42.0)</f>
        <v>42</v>
      </c>
      <c r="B43" s="3" t="str">
        <f>IFERROR(__xludf.DUMMYFUNCTION("""COMPUTED_VALUE"""),"Queen Slayer")</f>
        <v>Queen Slayer</v>
      </c>
      <c r="C43" s="3" t="str">
        <f>IFERROR(__xludf.DUMMYFUNCTION("""COMPUTED_VALUE"""),"Feb 2, 2026")</f>
        <v>Feb 2, 2026</v>
      </c>
      <c r="D43" s="3" t="str">
        <f>IFERROR(__xludf.DUMMYFUNCTION("""COMPUTED_VALUE"""),"$5.59")</f>
        <v>$5.59</v>
      </c>
      <c r="E43" s="3" t="str">
        <f>IFERROR(__xludf.DUMMYFUNCTION("""COMPUTED_VALUE"""),"N/A (N/A)")</f>
        <v>N/A (N/A)</v>
      </c>
      <c r="F43" s="3" t="str">
        <f>IFERROR(__xludf.DUMMYFUNCTION("""COMPUTED_VALUE"""),"0 .. 20,000")</f>
        <v>0 .. 20,000</v>
      </c>
      <c r="G43" s="3" t="str">
        <f>IFERROR(__xludf.DUMMYFUNCTION("""COMPUTED_VALUE"""),"00:00 (00:00)")</f>
        <v>00:00 (00:00)</v>
      </c>
      <c r="H43" s="34"/>
      <c r="I43" s="3" t="str">
        <f>IFERROR(__xludf.DUMMYFUNCTION("""COMPUTED_VALUE"""),"Olivia Liang")</f>
        <v>Olivia Liang</v>
      </c>
      <c r="J43" s="3" t="str">
        <f>IFERROR(__xludf.DUMMYFUNCTION("""COMPUTED_VALUE"""),"Support Engineer")</f>
        <v>Support Engineer</v>
      </c>
      <c r="K43" s="3" t="str">
        <f>IFERROR(__xludf.DUMMYFUNCTION("""COMPUTED_VALUE"""),"Singapore")</f>
        <v>Singapore</v>
      </c>
      <c r="L43" s="3">
        <f>IFERROR(__xludf.DUMMYFUNCTION("""COMPUTED_VALUE"""),64.0)</f>
        <v>64</v>
      </c>
      <c r="M43" s="36">
        <f>IFERROR(__xludf.DUMMYFUNCTION("""COMPUTED_VALUE"""),40577.0)</f>
        <v>40577</v>
      </c>
      <c r="N43" s="3" t="str">
        <f>IFERROR(__xludf.DUMMYFUNCTION("""COMPUTED_VALUE"""),"$234,500")</f>
        <v>$234,500</v>
      </c>
      <c r="O43" s="34"/>
      <c r="P43" s="3" t="str">
        <f>IFERROR(__xludf.DUMMYFUNCTION("""COMPUTED_VALUE"""),"Loir-et-Cher")</f>
        <v>Loir-et-Cher</v>
      </c>
      <c r="Q43" s="37">
        <f>IFERROR(__xludf.DUMMYFUNCTION("""COMPUTED_VALUE"""),0.072)</f>
        <v>0.072</v>
      </c>
      <c r="R43" s="34"/>
    </row>
    <row r="44">
      <c r="A44" s="3">
        <f>IFERROR(__xludf.DUMMYFUNCTION("""COMPUTED_VALUE"""),43.0)</f>
        <v>43</v>
      </c>
      <c r="B44" s="3" t="str">
        <f>IFERROR(__xludf.DUMMYFUNCTION("""COMPUTED_VALUE"""),"Femdom Wife Game - Emily")</f>
        <v>Femdom Wife Game - Emily</v>
      </c>
      <c r="C44" s="3" t="str">
        <f>IFERROR(__xludf.DUMMYFUNCTION("""COMPUTED_VALUE"""),"Feb 2, 2026")</f>
        <v>Feb 2, 2026</v>
      </c>
      <c r="D44" s="3" t="str">
        <f>IFERROR(__xludf.DUMMYFUNCTION("""COMPUTED_VALUE"""),"$17.99")</f>
        <v>$17.99</v>
      </c>
      <c r="E44" s="3" t="str">
        <f>IFERROR(__xludf.DUMMYFUNCTION("""COMPUTED_VALUE"""),"N/A (N/A)")</f>
        <v>N/A (N/A)</v>
      </c>
      <c r="F44" s="3" t="str">
        <f>IFERROR(__xludf.DUMMYFUNCTION("""COMPUTED_VALUE"""),"0 .. 20,000")</f>
        <v>0 .. 20,000</v>
      </c>
      <c r="G44" s="3" t="str">
        <f>IFERROR(__xludf.DUMMYFUNCTION("""COMPUTED_VALUE"""),"00:00 (00:00)")</f>
        <v>00:00 (00:00)</v>
      </c>
      <c r="H44" s="34"/>
      <c r="I44" s="3" t="str">
        <f>IFERROR(__xludf.DUMMYFUNCTION("""COMPUTED_VALUE"""),"Bruno Nash")</f>
        <v>Bruno Nash</v>
      </c>
      <c r="J44" s="3" t="str">
        <f>IFERROR(__xludf.DUMMYFUNCTION("""COMPUTED_VALUE"""),"Software Engineer")</f>
        <v>Software Engineer</v>
      </c>
      <c r="K44" s="3" t="str">
        <f>IFERROR(__xludf.DUMMYFUNCTION("""COMPUTED_VALUE"""),"London")</f>
        <v>London</v>
      </c>
      <c r="L44" s="3">
        <f>IFERROR(__xludf.DUMMYFUNCTION("""COMPUTED_VALUE"""),38.0)</f>
        <v>38</v>
      </c>
      <c r="M44" s="36">
        <f>IFERROR(__xludf.DUMMYFUNCTION("""COMPUTED_VALUE"""),40666.0)</f>
        <v>40666</v>
      </c>
      <c r="N44" s="3" t="str">
        <f>IFERROR(__xludf.DUMMYFUNCTION("""COMPUTED_VALUE"""),"$163,500")</f>
        <v>$163,500</v>
      </c>
      <c r="O44" s="34"/>
      <c r="P44" s="3" t="str">
        <f>IFERROR(__xludf.DUMMYFUNCTION("""COMPUTED_VALUE"""),"Loire")</f>
        <v>Loire</v>
      </c>
      <c r="Q44" s="37">
        <f>IFERROR(__xludf.DUMMYFUNCTION("""COMPUTED_VALUE"""),0.009)</f>
        <v>0.009</v>
      </c>
      <c r="R44" s="34"/>
    </row>
    <row r="45">
      <c r="A45" s="3">
        <f>IFERROR(__xludf.DUMMYFUNCTION("""COMPUTED_VALUE"""),44.0)</f>
        <v>44</v>
      </c>
      <c r="B45" s="3" t="str">
        <f>IFERROR(__xludf.DUMMYFUNCTION("""COMPUTED_VALUE"""),"EmoteLab")</f>
        <v>EmoteLab</v>
      </c>
      <c r="C45" s="3" t="str">
        <f>IFERROR(__xludf.DUMMYFUNCTION("""COMPUTED_VALUE"""),"Feb 1, 2026")</f>
        <v>Feb 1, 2026</v>
      </c>
      <c r="D45" s="3" t="str">
        <f>IFERROR(__xludf.DUMMYFUNCTION("""COMPUTED_VALUE"""),"$8.09")</f>
        <v>$8.09</v>
      </c>
      <c r="E45" s="3" t="str">
        <f>IFERROR(__xludf.DUMMYFUNCTION("""COMPUTED_VALUE"""),"N/A (N/A)")</f>
        <v>N/A (N/A)</v>
      </c>
      <c r="F45" s="3" t="str">
        <f>IFERROR(__xludf.DUMMYFUNCTION("""COMPUTED_VALUE"""),"0 .. 20,000")</f>
        <v>0 .. 20,000</v>
      </c>
      <c r="G45" s="3" t="str">
        <f>IFERROR(__xludf.DUMMYFUNCTION("""COMPUTED_VALUE"""),"07:55 (11:30)")</f>
        <v>07:55 (11:30)</v>
      </c>
      <c r="H45" s="34"/>
      <c r="I45" s="3" t="str">
        <f>IFERROR(__xludf.DUMMYFUNCTION("""COMPUTED_VALUE"""),"Sakura Yamamoto")</f>
        <v>Sakura Yamamoto</v>
      </c>
      <c r="J45" s="3" t="str">
        <f>IFERROR(__xludf.DUMMYFUNCTION("""COMPUTED_VALUE"""),"Support Engineer")</f>
        <v>Support Engineer</v>
      </c>
      <c r="K45" s="3" t="str">
        <f>IFERROR(__xludf.DUMMYFUNCTION("""COMPUTED_VALUE"""),"Tokyo")</f>
        <v>Tokyo</v>
      </c>
      <c r="L45" s="3">
        <f>IFERROR(__xludf.DUMMYFUNCTION("""COMPUTED_VALUE"""),37.0)</f>
        <v>37</v>
      </c>
      <c r="M45" s="36">
        <f>IFERROR(__xludf.DUMMYFUNCTION("""COMPUTED_VALUE"""),40044.0)</f>
        <v>40044</v>
      </c>
      <c r="N45" s="3" t="str">
        <f>IFERROR(__xludf.DUMMYFUNCTION("""COMPUTED_VALUE"""),"$139,575")</f>
        <v>$139,575</v>
      </c>
      <c r="O45" s="34"/>
      <c r="P45" s="3" t="str">
        <f>IFERROR(__xludf.DUMMYFUNCTION("""COMPUTED_VALUE"""),"Haute-Loire")</f>
        <v>Haute-Loire</v>
      </c>
      <c r="Q45" s="37">
        <f>IFERROR(__xludf.DUMMYFUNCTION("""COMPUTED_VALUE"""),0.054)</f>
        <v>0.054</v>
      </c>
      <c r="R45" s="34"/>
    </row>
    <row r="46">
      <c r="A46" s="3">
        <f>IFERROR(__xludf.DUMMYFUNCTION("""COMPUTED_VALUE"""),45.0)</f>
        <v>45</v>
      </c>
      <c r="B46" s="3" t="str">
        <f>IFERROR(__xludf.DUMMYFUNCTION("""COMPUTED_VALUE"""),"Skewer Squad")</f>
        <v>Skewer Squad</v>
      </c>
      <c r="C46" s="3" t="str">
        <f>IFERROR(__xludf.DUMMYFUNCTION("""COMPUTED_VALUE"""),"Feb 1, 2026")</f>
        <v>Feb 1, 2026</v>
      </c>
      <c r="D46" s="3" t="str">
        <f>IFERROR(__xludf.DUMMYFUNCTION("""COMPUTED_VALUE"""),"$4.94")</f>
        <v>$4.94</v>
      </c>
      <c r="E46" s="3" t="str">
        <f>IFERROR(__xludf.DUMMYFUNCTION("""COMPUTED_VALUE"""),"N/A (N/A)")</f>
        <v>N/A (N/A)</v>
      </c>
      <c r="F46" s="3" t="str">
        <f>IFERROR(__xludf.DUMMYFUNCTION("""COMPUTED_VALUE"""),"0 .. 20,000")</f>
        <v>0 .. 20,000</v>
      </c>
      <c r="G46" s="3" t="str">
        <f>IFERROR(__xludf.DUMMYFUNCTION("""COMPUTED_VALUE"""),"00:00 (00:00)")</f>
        <v>00:00 (00:00)</v>
      </c>
      <c r="H46" s="34"/>
      <c r="I46" s="3" t="str">
        <f>IFERROR(__xludf.DUMMYFUNCTION("""COMPUTED_VALUE"""),"Thor Walton")</f>
        <v>Thor Walton</v>
      </c>
      <c r="J46" s="3" t="str">
        <f>IFERROR(__xludf.DUMMYFUNCTION("""COMPUTED_VALUE"""),"Developer")</f>
        <v>Developer</v>
      </c>
      <c r="K46" s="3" t="str">
        <f>IFERROR(__xludf.DUMMYFUNCTION("""COMPUTED_VALUE"""),"New York")</f>
        <v>New York</v>
      </c>
      <c r="L46" s="3">
        <f>IFERROR(__xludf.DUMMYFUNCTION("""COMPUTED_VALUE"""),61.0)</f>
        <v>61</v>
      </c>
      <c r="M46" s="36">
        <f>IFERROR(__xludf.DUMMYFUNCTION("""COMPUTED_VALUE"""),41497.0)</f>
        <v>41497</v>
      </c>
      <c r="N46" s="3" t="str">
        <f>IFERROR(__xludf.DUMMYFUNCTION("""COMPUTED_VALUE"""),"$98,540")</f>
        <v>$98,540</v>
      </c>
      <c r="O46" s="34"/>
      <c r="P46" s="3" t="str">
        <f>IFERROR(__xludf.DUMMYFUNCTION("""COMPUTED_VALUE"""),"Loire-Atlantique")</f>
        <v>Loire-Atlantique</v>
      </c>
      <c r="Q46" s="37">
        <f>IFERROR(__xludf.DUMMYFUNCTION("""COMPUTED_VALUE"""),0.036)</f>
        <v>0.036</v>
      </c>
      <c r="R46" s="34"/>
    </row>
    <row r="47">
      <c r="A47" s="3">
        <f>IFERROR(__xludf.DUMMYFUNCTION("""COMPUTED_VALUE"""),46.0)</f>
        <v>46</v>
      </c>
      <c r="B47" s="3" t="str">
        <f>IFERROR(__xludf.DUMMYFUNCTION("""COMPUTED_VALUE"""),"One More Run")</f>
        <v>One More Run</v>
      </c>
      <c r="C47" s="3" t="str">
        <f>IFERROR(__xludf.DUMMYFUNCTION("""COMPUTED_VALUE"""),"February 2026")</f>
        <v>February 2026</v>
      </c>
      <c r="D47" s="3" t="str">
        <f>IFERROR(__xludf.DUMMYFUNCTION("""COMPUTED_VALUE"""),"N/A")</f>
        <v>N/A</v>
      </c>
      <c r="E47" s="3" t="str">
        <f>IFERROR(__xludf.DUMMYFUNCTION("""COMPUTED_VALUE"""),"N/A (N/A)")</f>
        <v>N/A (N/A)</v>
      </c>
      <c r="F47" s="3" t="str">
        <f>IFERROR(__xludf.DUMMYFUNCTION("""COMPUTED_VALUE"""),"0 .. 20,000")</f>
        <v>0 .. 20,000</v>
      </c>
      <c r="G47" s="3" t="str">
        <f>IFERROR(__xludf.DUMMYFUNCTION("""COMPUTED_VALUE"""),"00:00 (00:00)")</f>
        <v>00:00 (00:00)</v>
      </c>
      <c r="H47" s="34"/>
      <c r="I47" s="3" t="str">
        <f>IFERROR(__xludf.DUMMYFUNCTION("""COMPUTED_VALUE"""),"Finn Camacho")</f>
        <v>Finn Camacho</v>
      </c>
      <c r="J47" s="3" t="str">
        <f>IFERROR(__xludf.DUMMYFUNCTION("""COMPUTED_VALUE"""),"Support Engineer")</f>
        <v>Support Engineer</v>
      </c>
      <c r="K47" s="3" t="str">
        <f>IFERROR(__xludf.DUMMYFUNCTION("""COMPUTED_VALUE"""),"San Francisco")</f>
        <v>San Francisco</v>
      </c>
      <c r="L47" s="3">
        <f>IFERROR(__xludf.DUMMYFUNCTION("""COMPUTED_VALUE"""),47.0)</f>
        <v>47</v>
      </c>
      <c r="M47" s="36">
        <f>IFERROR(__xludf.DUMMYFUNCTION("""COMPUTED_VALUE"""),40001.0)</f>
        <v>40001</v>
      </c>
      <c r="N47" s="3" t="str">
        <f>IFERROR(__xludf.DUMMYFUNCTION("""COMPUTED_VALUE"""),"$87,500")</f>
        <v>$87,500</v>
      </c>
      <c r="O47" s="34"/>
      <c r="P47" s="3" t="str">
        <f>IFERROR(__xludf.DUMMYFUNCTION("""COMPUTED_VALUE"""),"Loiret")</f>
        <v>Loiret</v>
      </c>
      <c r="Q47" s="37">
        <f>IFERROR(__xludf.DUMMYFUNCTION("""COMPUTED_VALUE"""),0.017)</f>
        <v>0.017</v>
      </c>
      <c r="R47" s="34"/>
    </row>
    <row r="48">
      <c r="A48" s="3">
        <f>IFERROR(__xludf.DUMMYFUNCTION("""COMPUTED_VALUE"""),47.0)</f>
        <v>47</v>
      </c>
      <c r="B48" s="3" t="str">
        <f>IFERROR(__xludf.DUMMYFUNCTION("""COMPUTED_VALUE"""),"Buzz Off!")</f>
        <v>Buzz Off!</v>
      </c>
      <c r="C48" s="3" t="str">
        <f>IFERROR(__xludf.DUMMYFUNCTION("""COMPUTED_VALUE"""),"Feb 1, 2026")</f>
        <v>Feb 1, 2026</v>
      </c>
      <c r="D48" s="3" t="str">
        <f>IFERROR(__xludf.DUMMYFUNCTION("""COMPUTED_VALUE"""),"$3.59")</f>
        <v>$3.59</v>
      </c>
      <c r="E48" s="3" t="str">
        <f>IFERROR(__xludf.DUMMYFUNCTION("""COMPUTED_VALUE"""),"N/A (N/A)")</f>
        <v>N/A (N/A)</v>
      </c>
      <c r="F48" s="3" t="str">
        <f>IFERROR(__xludf.DUMMYFUNCTION("""COMPUTED_VALUE"""),"0 .. 20,000")</f>
        <v>0 .. 20,000</v>
      </c>
      <c r="G48" s="3" t="str">
        <f>IFERROR(__xludf.DUMMYFUNCTION("""COMPUTED_VALUE"""),"00:00 (00:00)")</f>
        <v>00:00 (00:00)</v>
      </c>
      <c r="H48" s="34"/>
      <c r="I48" s="3" t="str">
        <f>IFERROR(__xludf.DUMMYFUNCTION("""COMPUTED_VALUE"""),"Serge Baldwin")</f>
        <v>Serge Baldwin</v>
      </c>
      <c r="J48" s="3" t="str">
        <f>IFERROR(__xludf.DUMMYFUNCTION("""COMPUTED_VALUE"""),"Data Coordinator")</f>
        <v>Data Coordinator</v>
      </c>
      <c r="K48" s="3" t="str">
        <f>IFERROR(__xludf.DUMMYFUNCTION("""COMPUTED_VALUE"""),"Singapore")</f>
        <v>Singapore</v>
      </c>
      <c r="L48" s="3">
        <f>IFERROR(__xludf.DUMMYFUNCTION("""COMPUTED_VALUE"""),64.0)</f>
        <v>64</v>
      </c>
      <c r="M48" s="36">
        <f>IFERROR(__xludf.DUMMYFUNCTION("""COMPUTED_VALUE"""),41008.0)</f>
        <v>41008</v>
      </c>
      <c r="N48" s="3" t="str">
        <f>IFERROR(__xludf.DUMMYFUNCTION("""COMPUTED_VALUE"""),"$138,575")</f>
        <v>$138,575</v>
      </c>
      <c r="O48" s="34"/>
      <c r="P48" s="3" t="str">
        <f>IFERROR(__xludf.DUMMYFUNCTION("""COMPUTED_VALUE"""),"Lot")</f>
        <v>Lot</v>
      </c>
      <c r="Q48" s="37">
        <f>IFERROR(__xludf.DUMMYFUNCTION("""COMPUTED_VALUE"""),-0.01)</f>
        <v>-0.01</v>
      </c>
      <c r="R48" s="34"/>
    </row>
    <row r="49">
      <c r="A49" s="3">
        <f>IFERROR(__xludf.DUMMYFUNCTION("""COMPUTED_VALUE"""),48.0)</f>
        <v>48</v>
      </c>
      <c r="B49" s="3" t="str">
        <f>IFERROR(__xludf.DUMMYFUNCTION("""COMPUTED_VALUE"""),"Nak")</f>
        <v>Nak</v>
      </c>
      <c r="C49" s="3" t="str">
        <f>IFERROR(__xludf.DUMMYFUNCTION("""COMPUTED_VALUE"""),"February 2026")</f>
        <v>February 2026</v>
      </c>
      <c r="D49" s="3" t="str">
        <f>IFERROR(__xludf.DUMMYFUNCTION("""COMPUTED_VALUE"""),"N/A")</f>
        <v>N/A</v>
      </c>
      <c r="E49" s="3" t="str">
        <f>IFERROR(__xludf.DUMMYFUNCTION("""COMPUTED_VALUE"""),"N/A (N/A)")</f>
        <v>N/A (N/A)</v>
      </c>
      <c r="F49" s="3" t="str">
        <f>IFERROR(__xludf.DUMMYFUNCTION("""COMPUTED_VALUE"""),"0 .. 20,000")</f>
        <v>0 .. 20,000</v>
      </c>
      <c r="G49" s="3" t="str">
        <f>IFERROR(__xludf.DUMMYFUNCTION("""COMPUTED_VALUE"""),"00:00 (00:00)")</f>
        <v>00:00 (00:00)</v>
      </c>
      <c r="H49" s="34"/>
      <c r="I49" s="3" t="str">
        <f>IFERROR(__xludf.DUMMYFUNCTION("""COMPUTED_VALUE"""),"Zenaida Frank")</f>
        <v>Zenaida Frank</v>
      </c>
      <c r="J49" s="3" t="str">
        <f>IFERROR(__xludf.DUMMYFUNCTION("""COMPUTED_VALUE"""),"Software Engineer")</f>
        <v>Software Engineer</v>
      </c>
      <c r="K49" s="3" t="str">
        <f>IFERROR(__xludf.DUMMYFUNCTION("""COMPUTED_VALUE"""),"New York")</f>
        <v>New York</v>
      </c>
      <c r="L49" s="3">
        <f>IFERROR(__xludf.DUMMYFUNCTION("""COMPUTED_VALUE"""),63.0)</f>
        <v>63</v>
      </c>
      <c r="M49" s="36">
        <f>IFERROR(__xludf.DUMMYFUNCTION("""COMPUTED_VALUE"""),40182.0)</f>
        <v>40182</v>
      </c>
      <c r="N49" s="3" t="str">
        <f>IFERROR(__xludf.DUMMYFUNCTION("""COMPUTED_VALUE"""),"$125,250")</f>
        <v>$125,250</v>
      </c>
      <c r="O49" s="34"/>
      <c r="P49" s="3" t="str">
        <f>IFERROR(__xludf.DUMMYFUNCTION("""COMPUTED_VALUE"""),"Lot-et-Garonne")</f>
        <v>Lot-et-Garonne</v>
      </c>
      <c r="Q49" s="37">
        <f>IFERROR(__xludf.DUMMYFUNCTION("""COMPUTED_VALUE"""),0.006)</f>
        <v>0.006</v>
      </c>
      <c r="R49" s="34"/>
    </row>
    <row r="50">
      <c r="A50" s="3">
        <f>IFERROR(__xludf.DUMMYFUNCTION("""COMPUTED_VALUE"""),49.0)</f>
        <v>49</v>
      </c>
      <c r="B50" s="3" t="str">
        <f>IFERROR(__xludf.DUMMYFUNCTION("""COMPUTED_VALUE"""),"Octopus Goulash")</f>
        <v>Octopus Goulash</v>
      </c>
      <c r="C50" s="3" t="str">
        <f>IFERROR(__xludf.DUMMYFUNCTION("""COMPUTED_VALUE"""),"Feb 1, 2026")</f>
        <v>Feb 1, 2026</v>
      </c>
      <c r="D50" s="3" t="str">
        <f>IFERROR(__xludf.DUMMYFUNCTION("""COMPUTED_VALUE"""),"$12.99")</f>
        <v>$12.99</v>
      </c>
      <c r="E50" s="3" t="str">
        <f>IFERROR(__xludf.DUMMYFUNCTION("""COMPUTED_VALUE"""),"N/A (N/A)")</f>
        <v>N/A (N/A)</v>
      </c>
      <c r="F50" s="3" t="str">
        <f>IFERROR(__xludf.DUMMYFUNCTION("""COMPUTED_VALUE"""),"0 .. 20,000")</f>
        <v>0 .. 20,000</v>
      </c>
      <c r="G50" s="3" t="str">
        <f>IFERROR(__xludf.DUMMYFUNCTION("""COMPUTED_VALUE"""),"00:00 (00:00)")</f>
        <v>00:00 (00:00)</v>
      </c>
      <c r="H50" s="34"/>
      <c r="I50" s="3" t="str">
        <f>IFERROR(__xludf.DUMMYFUNCTION("""COMPUTED_VALUE"""),"Zorita Serrano")</f>
        <v>Zorita Serrano</v>
      </c>
      <c r="J50" s="3" t="str">
        <f>IFERROR(__xludf.DUMMYFUNCTION("""COMPUTED_VALUE"""),"Software Engineer")</f>
        <v>Software Engineer</v>
      </c>
      <c r="K50" s="3" t="str">
        <f>IFERROR(__xludf.DUMMYFUNCTION("""COMPUTED_VALUE"""),"San Francisco")</f>
        <v>San Francisco</v>
      </c>
      <c r="L50" s="3">
        <f>IFERROR(__xludf.DUMMYFUNCTION("""COMPUTED_VALUE"""),56.0)</f>
        <v>56</v>
      </c>
      <c r="M50" s="36">
        <f>IFERROR(__xludf.DUMMYFUNCTION("""COMPUTED_VALUE"""),41061.0)</f>
        <v>41061</v>
      </c>
      <c r="N50" s="3" t="str">
        <f>IFERROR(__xludf.DUMMYFUNCTION("""COMPUTED_VALUE"""),"$115,000")</f>
        <v>$115,000</v>
      </c>
      <c r="O50" s="34"/>
      <c r="P50" s="3" t="str">
        <f>IFERROR(__xludf.DUMMYFUNCTION("""COMPUTED_VALUE"""),"Lozère")</f>
        <v>Lozère</v>
      </c>
      <c r="Q50" s="37">
        <f>IFERROR(__xludf.DUMMYFUNCTION("""COMPUTED_VALUE"""),0.011)</f>
        <v>0.011</v>
      </c>
      <c r="R50" s="34"/>
    </row>
    <row r="51">
      <c r="A51" s="3">
        <f>IFERROR(__xludf.DUMMYFUNCTION("""COMPUTED_VALUE"""),50.0)</f>
        <v>50</v>
      </c>
      <c r="B51" s="3" t="str">
        <f>IFERROR(__xludf.DUMMYFUNCTION("""COMPUTED_VALUE"""),"Banished Knight")</f>
        <v>Banished Knight</v>
      </c>
      <c r="C51" s="3" t="str">
        <f>IFERROR(__xludf.DUMMYFUNCTION("""COMPUTED_VALUE"""),"Jan 31, 2026")</f>
        <v>Jan 31, 2026</v>
      </c>
      <c r="D51" s="3" t="str">
        <f>IFERROR(__xludf.DUMMYFUNCTION("""COMPUTED_VALUE"""),"$3.99")</f>
        <v>$3.99</v>
      </c>
      <c r="E51" s="3" t="str">
        <f>IFERROR(__xludf.DUMMYFUNCTION("""COMPUTED_VALUE"""),"N/A (N/A)")</f>
        <v>N/A (N/A)</v>
      </c>
      <c r="F51" s="3" t="str">
        <f>IFERROR(__xludf.DUMMYFUNCTION("""COMPUTED_VALUE"""),"0 .. 20,000")</f>
        <v>0 .. 20,000</v>
      </c>
      <c r="G51" s="3" t="str">
        <f>IFERROR(__xludf.DUMMYFUNCTION("""COMPUTED_VALUE"""),"00:00 (00:00)")</f>
        <v>00:00 (00:00)</v>
      </c>
      <c r="H51" s="34"/>
      <c r="I51" s="3" t="str">
        <f>IFERROR(__xludf.DUMMYFUNCTION("""COMPUTED_VALUE"""),"Jennifer Acosta")</f>
        <v>Jennifer Acosta</v>
      </c>
      <c r="J51" s="3" t="str">
        <f>IFERROR(__xludf.DUMMYFUNCTION("""COMPUTED_VALUE"""),"Junior JavaScript Developer")</f>
        <v>Junior JavaScript Developer</v>
      </c>
      <c r="K51" s="3" t="str">
        <f>IFERROR(__xludf.DUMMYFUNCTION("""COMPUTED_VALUE"""),"Edinburgh")</f>
        <v>Edinburgh</v>
      </c>
      <c r="L51" s="3">
        <f>IFERROR(__xludf.DUMMYFUNCTION("""COMPUTED_VALUE"""),43.0)</f>
        <v>43</v>
      </c>
      <c r="M51" s="36">
        <f>IFERROR(__xludf.DUMMYFUNCTION("""COMPUTED_VALUE"""),41306.0)</f>
        <v>41306</v>
      </c>
      <c r="N51" s="3" t="str">
        <f>IFERROR(__xludf.DUMMYFUNCTION("""COMPUTED_VALUE"""),"$75,650")</f>
        <v>$75,650</v>
      </c>
      <c r="O51" s="34"/>
      <c r="P51" s="3" t="str">
        <f>IFERROR(__xludf.DUMMYFUNCTION("""COMPUTED_VALUE"""),"Maine-et-Loire")</f>
        <v>Maine-et-Loire</v>
      </c>
      <c r="Q51" s="37">
        <f>IFERROR(__xludf.DUMMYFUNCTION("""COMPUTED_VALUE"""),0.049)</f>
        <v>0.049</v>
      </c>
      <c r="R51" s="34"/>
    </row>
    <row r="52">
      <c r="A52" s="3">
        <f>IFERROR(__xludf.DUMMYFUNCTION("""COMPUTED_VALUE"""),51.0)</f>
        <v>51</v>
      </c>
      <c r="B52" s="3" t="str">
        <f>IFERROR(__xludf.DUMMYFUNCTION("""COMPUTED_VALUE"""),"Sausage Hunter")</f>
        <v>Sausage Hunter</v>
      </c>
      <c r="C52" s="3" t="str">
        <f>IFERROR(__xludf.DUMMYFUNCTION("""COMPUTED_VALUE"""),"Jan 31, 2026")</f>
        <v>Jan 31, 2026</v>
      </c>
      <c r="D52" s="3" t="str">
        <f>IFERROR(__xludf.DUMMYFUNCTION("""COMPUTED_VALUE"""),"$0.99")</f>
        <v>$0.99</v>
      </c>
      <c r="E52" s="3" t="str">
        <f>IFERROR(__xludf.DUMMYFUNCTION("""COMPUTED_VALUE"""),"N/A (N/A)")</f>
        <v>N/A (N/A)</v>
      </c>
      <c r="F52" s="3" t="str">
        <f>IFERROR(__xludf.DUMMYFUNCTION("""COMPUTED_VALUE"""),"0 .. 20,000")</f>
        <v>0 .. 20,000</v>
      </c>
      <c r="G52" s="3" t="str">
        <f>IFERROR(__xludf.DUMMYFUNCTION("""COMPUTED_VALUE"""),"00:00 (00:00)")</f>
        <v>00:00 (00:00)</v>
      </c>
      <c r="H52" s="34"/>
      <c r="I52" s="3" t="str">
        <f>IFERROR(__xludf.DUMMYFUNCTION("""COMPUTED_VALUE"""),"Cara Stevens")</f>
        <v>Cara Stevens</v>
      </c>
      <c r="J52" s="3" t="str">
        <f>IFERROR(__xludf.DUMMYFUNCTION("""COMPUTED_VALUE"""),"Sales Assistant")</f>
        <v>Sales Assistant</v>
      </c>
      <c r="K52" s="3" t="str">
        <f>IFERROR(__xludf.DUMMYFUNCTION("""COMPUTED_VALUE"""),"New York")</f>
        <v>New York</v>
      </c>
      <c r="L52" s="3">
        <f>IFERROR(__xludf.DUMMYFUNCTION("""COMPUTED_VALUE"""),46.0)</f>
        <v>46</v>
      </c>
      <c r="M52" s="36">
        <f>IFERROR(__xludf.DUMMYFUNCTION("""COMPUTED_VALUE"""),40883.0)</f>
        <v>40883</v>
      </c>
      <c r="N52" s="3" t="str">
        <f>IFERROR(__xludf.DUMMYFUNCTION("""COMPUTED_VALUE"""),"$145,600")</f>
        <v>$145,600</v>
      </c>
      <c r="O52" s="34"/>
      <c r="P52" s="3" t="str">
        <f>IFERROR(__xludf.DUMMYFUNCTION("""COMPUTED_VALUE"""),"Manche")</f>
        <v>Manche</v>
      </c>
      <c r="Q52" s="37">
        <f>IFERROR(__xludf.DUMMYFUNCTION("""COMPUTED_VALUE"""),0.063)</f>
        <v>0.063</v>
      </c>
      <c r="R52" s="34"/>
    </row>
    <row r="53">
      <c r="A53" s="3">
        <f>IFERROR(__xludf.DUMMYFUNCTION("""COMPUTED_VALUE"""),52.0)</f>
        <v>52</v>
      </c>
      <c r="B53" s="3" t="str">
        <f>IFERROR(__xludf.DUMMYFUNCTION("""COMPUTED_VALUE"""),"4th Era - The RuneChild")</f>
        <v>4th Era - The RuneChild</v>
      </c>
      <c r="C53" s="3" t="str">
        <f>IFERROR(__xludf.DUMMYFUNCTION("""COMPUTED_VALUE"""),"Jan 31, 2026")</f>
        <v>Jan 31, 2026</v>
      </c>
      <c r="D53" s="3" t="str">
        <f>IFERROR(__xludf.DUMMYFUNCTION("""COMPUTED_VALUE"""),"$19.99")</f>
        <v>$19.99</v>
      </c>
      <c r="E53" s="3" t="str">
        <f>IFERROR(__xludf.DUMMYFUNCTION("""COMPUTED_VALUE"""),"N/A (N/A)")</f>
        <v>N/A (N/A)</v>
      </c>
      <c r="F53" s="3" t="str">
        <f>IFERROR(__xludf.DUMMYFUNCTION("""COMPUTED_VALUE"""),"20,000 .. 50,000")</f>
        <v>20,000 .. 50,000</v>
      </c>
      <c r="G53" s="3" t="str">
        <f>IFERROR(__xludf.DUMMYFUNCTION("""COMPUTED_VALUE"""),"00:00 (00:00)")</f>
        <v>00:00 (00:00)</v>
      </c>
      <c r="H53" s="34"/>
      <c r="I53" s="3" t="str">
        <f>IFERROR(__xludf.DUMMYFUNCTION("""COMPUTED_VALUE"""),"Hermione Butler")</f>
        <v>Hermione Butler</v>
      </c>
      <c r="J53" s="3" t="str">
        <f>IFERROR(__xludf.DUMMYFUNCTION("""COMPUTED_VALUE"""),"Regional Director")</f>
        <v>Regional Director</v>
      </c>
      <c r="K53" s="3" t="str">
        <f>IFERROR(__xludf.DUMMYFUNCTION("""COMPUTED_VALUE"""),"London")</f>
        <v>London</v>
      </c>
      <c r="L53" s="3">
        <f>IFERROR(__xludf.DUMMYFUNCTION("""COMPUTED_VALUE"""),47.0)</f>
        <v>47</v>
      </c>
      <c r="M53" s="36">
        <f>IFERROR(__xludf.DUMMYFUNCTION("""COMPUTED_VALUE"""),40623.0)</f>
        <v>40623</v>
      </c>
      <c r="N53" s="3" t="str">
        <f>IFERROR(__xludf.DUMMYFUNCTION("""COMPUTED_VALUE"""),"$356,250")</f>
        <v>$356,250</v>
      </c>
      <c r="O53" s="34"/>
      <c r="P53" s="3" t="str">
        <f>IFERROR(__xludf.DUMMYFUNCTION("""COMPUTED_VALUE"""),"Marne")</f>
        <v>Marne</v>
      </c>
      <c r="Q53" s="37">
        <f>IFERROR(__xludf.DUMMYFUNCTION("""COMPUTED_VALUE"""),0.029)</f>
        <v>0.029</v>
      </c>
      <c r="R53" s="34"/>
    </row>
    <row r="54">
      <c r="A54" s="3">
        <f>IFERROR(__xludf.DUMMYFUNCTION("""COMPUTED_VALUE"""),53.0)</f>
        <v>53</v>
      </c>
      <c r="B54" s="3" t="str">
        <f>IFERROR(__xludf.DUMMYFUNCTION("""COMPUTED_VALUE"""),"Nocan's Quest: Sex Gold Glory")</f>
        <v>Nocan's Quest: Sex Gold Glory</v>
      </c>
      <c r="C54" s="3" t="str">
        <f>IFERROR(__xludf.DUMMYFUNCTION("""COMPUTED_VALUE"""),"Jan 30, 2026")</f>
        <v>Jan 30, 2026</v>
      </c>
      <c r="D54" s="3" t="str">
        <f>IFERROR(__xludf.DUMMYFUNCTION("""COMPUTED_VALUE"""),"$7.99")</f>
        <v>$7.99</v>
      </c>
      <c r="E54" s="3" t="str">
        <f>IFERROR(__xludf.DUMMYFUNCTION("""COMPUTED_VALUE"""),"N/A (N/A)")</f>
        <v>N/A (N/A)</v>
      </c>
      <c r="F54" s="3" t="str">
        <f>IFERROR(__xludf.DUMMYFUNCTION("""COMPUTED_VALUE"""),"0 .. 20,000")</f>
        <v>0 .. 20,000</v>
      </c>
      <c r="G54" s="3" t="str">
        <f>IFERROR(__xludf.DUMMYFUNCTION("""COMPUTED_VALUE"""),"00:29 (00:29)")</f>
        <v>00:29 (00:29)</v>
      </c>
      <c r="H54" s="34"/>
      <c r="I54" s="3" t="str">
        <f>IFERROR(__xludf.DUMMYFUNCTION("""COMPUTED_VALUE"""),"Lael Greer")</f>
        <v>Lael Greer</v>
      </c>
      <c r="J54" s="3" t="str">
        <f>IFERROR(__xludf.DUMMYFUNCTION("""COMPUTED_VALUE"""),"Systems Administrator")</f>
        <v>Systems Administrator</v>
      </c>
      <c r="K54" s="3" t="str">
        <f>IFERROR(__xludf.DUMMYFUNCTION("""COMPUTED_VALUE"""),"London")</f>
        <v>London</v>
      </c>
      <c r="L54" s="3">
        <f>IFERROR(__xludf.DUMMYFUNCTION("""COMPUTED_VALUE"""),21.0)</f>
        <v>21</v>
      </c>
      <c r="M54" s="36">
        <f>IFERROR(__xludf.DUMMYFUNCTION("""COMPUTED_VALUE"""),39871.0)</f>
        <v>39871</v>
      </c>
      <c r="N54" s="3" t="str">
        <f>IFERROR(__xludf.DUMMYFUNCTION("""COMPUTED_VALUE"""),"$103,500")</f>
        <v>$103,500</v>
      </c>
      <c r="O54" s="34"/>
      <c r="P54" s="3" t="str">
        <f>IFERROR(__xludf.DUMMYFUNCTION("""COMPUTED_VALUE"""),"Haute-Marne")</f>
        <v>Haute-Marne</v>
      </c>
      <c r="Q54" s="37">
        <f>IFERROR(__xludf.DUMMYFUNCTION("""COMPUTED_VALUE"""),-0.003)</f>
        <v>-0.003</v>
      </c>
      <c r="R54" s="34"/>
    </row>
    <row r="55">
      <c r="A55" s="3">
        <f>IFERROR(__xludf.DUMMYFUNCTION("""COMPUTED_VALUE"""),54.0)</f>
        <v>54</v>
      </c>
      <c r="B55" s="3" t="str">
        <f>IFERROR(__xludf.DUMMYFUNCTION("""COMPUTED_VALUE"""),"FRONT MISSION 3: Remake")</f>
        <v>FRONT MISSION 3: Remake</v>
      </c>
      <c r="C55" s="3" t="str">
        <f>IFERROR(__xludf.DUMMYFUNCTION("""COMPUTED_VALUE"""),"Jan 30, 2026")</f>
        <v>Jan 30, 2026</v>
      </c>
      <c r="D55" s="3" t="str">
        <f>IFERROR(__xludf.DUMMYFUNCTION("""COMPUTED_VALUE"""),"$31.49")</f>
        <v>$31.49</v>
      </c>
      <c r="E55" s="3" t="str">
        <f>IFERROR(__xludf.DUMMYFUNCTION("""COMPUTED_VALUE"""),"N/A (N/A)")</f>
        <v>N/A (N/A)</v>
      </c>
      <c r="F55" s="3" t="str">
        <f>IFERROR(__xludf.DUMMYFUNCTION("""COMPUTED_VALUE"""),"0 .. 20,000")</f>
        <v>0 .. 20,000</v>
      </c>
      <c r="G55" s="3" t="str">
        <f>IFERROR(__xludf.DUMMYFUNCTION("""COMPUTED_VALUE"""),"00:00 (00:00)")</f>
        <v>00:00 (00:00)</v>
      </c>
      <c r="H55" s="34"/>
      <c r="I55" s="3" t="str">
        <f>IFERROR(__xludf.DUMMYFUNCTION("""COMPUTED_VALUE"""),"Jonas Alexander")</f>
        <v>Jonas Alexander</v>
      </c>
      <c r="J55" s="3" t="str">
        <f>IFERROR(__xludf.DUMMYFUNCTION("""COMPUTED_VALUE"""),"Developer")</f>
        <v>Developer</v>
      </c>
      <c r="K55" s="3" t="str">
        <f>IFERROR(__xludf.DUMMYFUNCTION("""COMPUTED_VALUE"""),"San Francisco")</f>
        <v>San Francisco</v>
      </c>
      <c r="L55" s="3">
        <f>IFERROR(__xludf.DUMMYFUNCTION("""COMPUTED_VALUE"""),30.0)</f>
        <v>30</v>
      </c>
      <c r="M55" s="36">
        <f>IFERROR(__xludf.DUMMYFUNCTION("""COMPUTED_VALUE"""),40373.0)</f>
        <v>40373</v>
      </c>
      <c r="N55" s="3" t="str">
        <f>IFERROR(__xludf.DUMMYFUNCTION("""COMPUTED_VALUE"""),"$86,500")</f>
        <v>$86,500</v>
      </c>
      <c r="O55" s="34"/>
      <c r="P55" s="3" t="str">
        <f>IFERROR(__xludf.DUMMYFUNCTION("""COMPUTED_VALUE"""),"Mayenne")</f>
        <v>Mayenne</v>
      </c>
      <c r="Q55" s="37">
        <f>IFERROR(__xludf.DUMMYFUNCTION("""COMPUTED_VALUE"""),0.057)</f>
        <v>0.057</v>
      </c>
      <c r="R55" s="34"/>
    </row>
    <row r="56">
      <c r="A56" s="3">
        <f>IFERROR(__xludf.DUMMYFUNCTION("""COMPUTED_VALUE"""),55.0)</f>
        <v>55</v>
      </c>
      <c r="B56" s="3" t="str">
        <f>IFERROR(__xludf.DUMMYFUNCTION("""COMPUTED_VALUE"""),"VonGarland Castle : Beyond Blood")</f>
        <v>VonGarland Castle : Beyond Blood</v>
      </c>
      <c r="C56" s="3" t="str">
        <f>IFERROR(__xludf.DUMMYFUNCTION("""COMPUTED_VALUE"""),"Jan 30, 2026")</f>
        <v>Jan 30, 2026</v>
      </c>
      <c r="D56" s="3" t="str">
        <f>IFERROR(__xludf.DUMMYFUNCTION("""COMPUTED_VALUE"""),"$8.99")</f>
        <v>$8.99</v>
      </c>
      <c r="E56" s="3" t="str">
        <f>IFERROR(__xludf.DUMMYFUNCTION("""COMPUTED_VALUE"""),"N/A (N/A)")</f>
        <v>N/A (N/A)</v>
      </c>
      <c r="F56" s="3" t="str">
        <f>IFERROR(__xludf.DUMMYFUNCTION("""COMPUTED_VALUE"""),"0 .. 20,000")</f>
        <v>0 .. 20,000</v>
      </c>
      <c r="G56" s="3" t="str">
        <f>IFERROR(__xludf.DUMMYFUNCTION("""COMPUTED_VALUE"""),"00:00 (00:00)")</f>
        <v>00:00 (00:00)</v>
      </c>
      <c r="H56" s="34"/>
      <c r="I56" s="3" t="str">
        <f>IFERROR(__xludf.DUMMYFUNCTION("""COMPUTED_VALUE"""),"Shad Decker")</f>
        <v>Shad Decker</v>
      </c>
      <c r="J56" s="3" t="str">
        <f>IFERROR(__xludf.DUMMYFUNCTION("""COMPUTED_VALUE"""),"Regional Director")</f>
        <v>Regional Director</v>
      </c>
      <c r="K56" s="3" t="str">
        <f>IFERROR(__xludf.DUMMYFUNCTION("""COMPUTED_VALUE"""),"Edinburgh")</f>
        <v>Edinburgh</v>
      </c>
      <c r="L56" s="3">
        <f>IFERROR(__xludf.DUMMYFUNCTION("""COMPUTED_VALUE"""),51.0)</f>
        <v>51</v>
      </c>
      <c r="M56" s="36">
        <f>IFERROR(__xludf.DUMMYFUNCTION("""COMPUTED_VALUE"""),39765.0)</f>
        <v>39765</v>
      </c>
      <c r="N56" s="3" t="str">
        <f>IFERROR(__xludf.DUMMYFUNCTION("""COMPUTED_VALUE"""),"$183,000")</f>
        <v>$183,000</v>
      </c>
      <c r="O56" s="34"/>
      <c r="P56" s="3" t="str">
        <f>IFERROR(__xludf.DUMMYFUNCTION("""COMPUTED_VALUE"""),"Meurthe-et-Moselle")</f>
        <v>Meurthe-et-Moselle</v>
      </c>
      <c r="Q56" s="37">
        <f>IFERROR(__xludf.DUMMYFUNCTION("""COMPUTED_VALUE"""),0.026)</f>
        <v>0.026</v>
      </c>
      <c r="R56" s="34"/>
    </row>
    <row r="57">
      <c r="A57" s="3">
        <f>IFERROR(__xludf.DUMMYFUNCTION("""COMPUTED_VALUE"""),56.0)</f>
        <v>56</v>
      </c>
      <c r="B57" s="3" t="str">
        <f>IFERROR(__xludf.DUMMYFUNCTION("""COMPUTED_VALUE"""),"travis, the frog")</f>
        <v>travis, the frog</v>
      </c>
      <c r="C57" s="3" t="str">
        <f>IFERROR(__xludf.DUMMYFUNCTION("""COMPUTED_VALUE"""),"Jan 30, 2026")</f>
        <v>Jan 30, 2026</v>
      </c>
      <c r="D57" s="3" t="str">
        <f>IFERROR(__xludf.DUMMYFUNCTION("""COMPUTED_VALUE"""),"$4.49")</f>
        <v>$4.49</v>
      </c>
      <c r="E57" s="3" t="str">
        <f>IFERROR(__xludf.DUMMYFUNCTION("""COMPUTED_VALUE"""),"N/A (N/A)")</f>
        <v>N/A (N/A)</v>
      </c>
      <c r="F57" s="3" t="str">
        <f>IFERROR(__xludf.DUMMYFUNCTION("""COMPUTED_VALUE"""),"0 .. 20,000")</f>
        <v>0 .. 20,000</v>
      </c>
      <c r="G57" s="3" t="str">
        <f>IFERROR(__xludf.DUMMYFUNCTION("""COMPUTED_VALUE"""),"00:00 (00:00)")</f>
        <v>00:00 (00:00)</v>
      </c>
      <c r="H57" s="34"/>
      <c r="I57" s="3" t="str">
        <f>IFERROR(__xludf.DUMMYFUNCTION("""COMPUTED_VALUE"""),"Michael Bruce")</f>
        <v>Michael Bruce</v>
      </c>
      <c r="J57" s="3" t="str">
        <f>IFERROR(__xludf.DUMMYFUNCTION("""COMPUTED_VALUE"""),"JavaScript Developer")</f>
        <v>JavaScript Developer</v>
      </c>
      <c r="K57" s="3" t="str">
        <f>IFERROR(__xludf.DUMMYFUNCTION("""COMPUTED_VALUE"""),"Singapore")</f>
        <v>Singapore</v>
      </c>
      <c r="L57" s="3">
        <f>IFERROR(__xludf.DUMMYFUNCTION("""COMPUTED_VALUE"""),29.0)</f>
        <v>29</v>
      </c>
      <c r="M57" s="36">
        <f>IFERROR(__xludf.DUMMYFUNCTION("""COMPUTED_VALUE"""),40721.0)</f>
        <v>40721</v>
      </c>
      <c r="N57" s="3" t="str">
        <f>IFERROR(__xludf.DUMMYFUNCTION("""COMPUTED_VALUE"""),"$183,000")</f>
        <v>$183,000</v>
      </c>
      <c r="O57" s="34"/>
      <c r="P57" s="3" t="str">
        <f>IFERROR(__xludf.DUMMYFUNCTION("""COMPUTED_VALUE"""),"Meuse")</f>
        <v>Meuse</v>
      </c>
      <c r="Q57" s="37">
        <f>IFERROR(__xludf.DUMMYFUNCTION("""COMPUTED_VALUE"""),0.027)</f>
        <v>0.027</v>
      </c>
      <c r="R57" s="34"/>
    </row>
    <row r="58">
      <c r="A58" s="3">
        <f>IFERROR(__xludf.DUMMYFUNCTION("""COMPUTED_VALUE"""),57.0)</f>
        <v>57</v>
      </c>
      <c r="B58" s="3" t="str">
        <f>IFERROR(__xludf.DUMMYFUNCTION("""COMPUTED_VALUE"""),"Tarot")</f>
        <v>Tarot</v>
      </c>
      <c r="C58" s="3" t="str">
        <f>IFERROR(__xludf.DUMMYFUNCTION("""COMPUTED_VALUE"""),"Jan 30, 2026")</f>
        <v>Jan 30, 2026</v>
      </c>
      <c r="D58" s="3" t="str">
        <f>IFERROR(__xludf.DUMMYFUNCTION("""COMPUTED_VALUE"""),"$1.99")</f>
        <v>$1.99</v>
      </c>
      <c r="E58" s="3" t="str">
        <f>IFERROR(__xludf.DUMMYFUNCTION("""COMPUTED_VALUE"""),"N/A (N/A)")</f>
        <v>N/A (N/A)</v>
      </c>
      <c r="F58" s="3" t="str">
        <f>IFERROR(__xludf.DUMMYFUNCTION("""COMPUTED_VALUE"""),"0 .. 20,000")</f>
        <v>0 .. 20,000</v>
      </c>
      <c r="G58" s="3" t="str">
        <f>IFERROR(__xludf.DUMMYFUNCTION("""COMPUTED_VALUE"""),"00:00 (00:00)")</f>
        <v>00:00 (00:00)</v>
      </c>
      <c r="H58" s="34"/>
      <c r="I58" s="3" t="str">
        <f>IFERROR(__xludf.DUMMYFUNCTION("""COMPUTED_VALUE"""),"Donna Snider")</f>
        <v>Donna Snider</v>
      </c>
      <c r="J58" s="3" t="str">
        <f>IFERROR(__xludf.DUMMYFUNCTION("""COMPUTED_VALUE"""),"Customer Support")</f>
        <v>Customer Support</v>
      </c>
      <c r="K58" s="3" t="str">
        <f>IFERROR(__xludf.DUMMYFUNCTION("""COMPUTED_VALUE"""),"New York")</f>
        <v>New York</v>
      </c>
      <c r="L58" s="3">
        <f>IFERROR(__xludf.DUMMYFUNCTION("""COMPUTED_VALUE"""),27.0)</f>
        <v>27</v>
      </c>
      <c r="M58" s="36">
        <f>IFERROR(__xludf.DUMMYFUNCTION("""COMPUTED_VALUE"""),40568.0)</f>
        <v>40568</v>
      </c>
      <c r="N58" s="3" t="str">
        <f>IFERROR(__xludf.DUMMYFUNCTION("""COMPUTED_VALUE"""),"$112,000")</f>
        <v>$112,000</v>
      </c>
      <c r="O58" s="34"/>
      <c r="P58" s="3" t="str">
        <f>IFERROR(__xludf.DUMMYFUNCTION("""COMPUTED_VALUE"""),"Morbihan")</f>
        <v>Morbihan</v>
      </c>
      <c r="Q58" s="37">
        <f>IFERROR(__xludf.DUMMYFUNCTION("""COMPUTED_VALUE"""),0.06)</f>
        <v>0.06</v>
      </c>
      <c r="R58" s="34"/>
    </row>
    <row r="59">
      <c r="A59" s="3">
        <f>IFERROR(__xludf.DUMMYFUNCTION("""COMPUTED_VALUE"""),58.0)</f>
        <v>58</v>
      </c>
      <c r="B59" s="3" t="str">
        <f>IFERROR(__xludf.DUMMYFUNCTION("""COMPUTED_VALUE"""),"RLLL: Tower of Choices")</f>
        <v>RLLL: Tower of Choices</v>
      </c>
      <c r="C59" s="3" t="str">
        <f>IFERROR(__xludf.DUMMYFUNCTION("""COMPUTED_VALUE"""),"Jan 30, 2026")</f>
        <v>Jan 30, 2026</v>
      </c>
      <c r="D59" s="3" t="str">
        <f>IFERROR(__xludf.DUMMYFUNCTION("""COMPUTED_VALUE"""),"$9.99")</f>
        <v>$9.99</v>
      </c>
      <c r="E59" s="3" t="str">
        <f>IFERROR(__xludf.DUMMYFUNCTION("""COMPUTED_VALUE"""),"N/A (N/A)")</f>
        <v>N/A (N/A)</v>
      </c>
      <c r="F59" s="3" t="str">
        <f>IFERROR(__xludf.DUMMYFUNCTION("""COMPUTED_VALUE"""),"0 .. 20,000")</f>
        <v>0 .. 20,000</v>
      </c>
      <c r="G59" s="3" t="str">
        <f>IFERROR(__xludf.DUMMYFUNCTION("""COMPUTED_VALUE"""),"00:00 (00:00)")</f>
        <v>00:00 (00:00)</v>
      </c>
      <c r="H59" s="34"/>
      <c r="I59" s="3" t="str">
        <f>IFERROR(__xludf.DUMMYFUNCTION("""COMPUTED_VALUE"""),"Name")</f>
        <v>Name</v>
      </c>
      <c r="J59" s="3" t="str">
        <f>IFERROR(__xludf.DUMMYFUNCTION("""COMPUTED_VALUE"""),"Position")</f>
        <v>Position</v>
      </c>
      <c r="K59" s="3" t="str">
        <f>IFERROR(__xludf.DUMMYFUNCTION("""COMPUTED_VALUE"""),"Office")</f>
        <v>Office</v>
      </c>
      <c r="L59" s="3" t="str">
        <f>IFERROR(__xludf.DUMMYFUNCTION("""COMPUTED_VALUE"""),"Age")</f>
        <v>Age</v>
      </c>
      <c r="M59" s="3" t="str">
        <f>IFERROR(__xludf.DUMMYFUNCTION("""COMPUTED_VALUE"""),"Start date")</f>
        <v>Start date</v>
      </c>
      <c r="N59" s="3" t="str">
        <f>IFERROR(__xludf.DUMMYFUNCTION("""COMPUTED_VALUE"""),"Salary")</f>
        <v>Salary</v>
      </c>
      <c r="O59" s="34"/>
      <c r="P59" s="3" t="str">
        <f>IFERROR(__xludf.DUMMYFUNCTION("""COMPUTED_VALUE"""),"Moselle")</f>
        <v>Moselle</v>
      </c>
      <c r="Q59" s="37">
        <f>IFERROR(__xludf.DUMMYFUNCTION("""COMPUTED_VALUE"""),0.033)</f>
        <v>0.033</v>
      </c>
      <c r="R59" s="34"/>
    </row>
    <row r="60">
      <c r="A60" s="3">
        <f>IFERROR(__xludf.DUMMYFUNCTION("""COMPUTED_VALUE"""),59.0)</f>
        <v>59</v>
      </c>
      <c r="B60" s="3" t="str">
        <f>IFERROR(__xludf.DUMMYFUNCTION("""COMPUTED_VALUE"""),"Chumini: Tiny Army")</f>
        <v>Chumini: Tiny Army</v>
      </c>
      <c r="C60" s="3" t="str">
        <f>IFERROR(__xludf.DUMMYFUNCTION("""COMPUTED_VALUE"""),"Jan 30, 2026")</f>
        <v>Jan 30, 2026</v>
      </c>
      <c r="D60" s="3" t="str">
        <f>IFERROR(__xludf.DUMMYFUNCTION("""COMPUTED_VALUE"""),"$4.49")</f>
        <v>$4.49</v>
      </c>
      <c r="E60" s="3" t="str">
        <f>IFERROR(__xludf.DUMMYFUNCTION("""COMPUTED_VALUE"""),"N/A (N/A)")</f>
        <v>N/A (N/A)</v>
      </c>
      <c r="F60" s="3" t="str">
        <f>IFERROR(__xludf.DUMMYFUNCTION("""COMPUTED_VALUE"""),"0 .. 20,000")</f>
        <v>0 .. 20,000</v>
      </c>
      <c r="G60" s="3" t="str">
        <f>IFERROR(__xludf.DUMMYFUNCTION("""COMPUTED_VALUE"""),"00:01 (00:01)")</f>
        <v>00:01 (00:01)</v>
      </c>
      <c r="H60" s="34"/>
      <c r="O60" s="34"/>
      <c r="P60" s="3" t="str">
        <f>IFERROR(__xludf.DUMMYFUNCTION("""COMPUTED_VALUE"""),"Nièvre")</f>
        <v>Nièvre</v>
      </c>
      <c r="Q60" s="37">
        <f>IFERROR(__xludf.DUMMYFUNCTION("""COMPUTED_VALUE"""),0.03)</f>
        <v>0.03</v>
      </c>
      <c r="R60" s="34"/>
    </row>
    <row r="61">
      <c r="A61" s="3">
        <f>IFERROR(__xludf.DUMMYFUNCTION("""COMPUTED_VALUE"""),60.0)</f>
        <v>60</v>
      </c>
      <c r="B61" s="3" t="str">
        <f>IFERROR(__xludf.DUMMYFUNCTION("""COMPUTED_VALUE"""),"Katana Dragon")</f>
        <v>Katana Dragon</v>
      </c>
      <c r="C61" s="3" t="str">
        <f>IFERROR(__xludf.DUMMYFUNCTION("""COMPUTED_VALUE"""),"Jan 30, 2026")</f>
        <v>Jan 30, 2026</v>
      </c>
      <c r="D61" s="3" t="str">
        <f>IFERROR(__xludf.DUMMYFUNCTION("""COMPUTED_VALUE"""),"$5.99")</f>
        <v>$5.99</v>
      </c>
      <c r="E61" s="3" t="str">
        <f>IFERROR(__xludf.DUMMYFUNCTION("""COMPUTED_VALUE"""),"N/A (N/A)")</f>
        <v>N/A (N/A)</v>
      </c>
      <c r="F61" s="3" t="str">
        <f>IFERROR(__xludf.DUMMYFUNCTION("""COMPUTED_VALUE"""),"0 .. 20,000")</f>
        <v>0 .. 20,000</v>
      </c>
      <c r="G61" s="3" t="str">
        <f>IFERROR(__xludf.DUMMYFUNCTION("""COMPUTED_VALUE"""),"00:00 (00:00)")</f>
        <v>00:00 (00:00)</v>
      </c>
      <c r="H61" s="34"/>
      <c r="O61" s="34"/>
      <c r="P61" s="3" t="str">
        <f>IFERROR(__xludf.DUMMYFUNCTION("""COMPUTED_VALUE"""),"Nord")</f>
        <v>Nord</v>
      </c>
      <c r="Q61" s="37">
        <f>IFERROR(__xludf.DUMMYFUNCTION("""COMPUTED_VALUE"""),0.036)</f>
        <v>0.036</v>
      </c>
      <c r="R61" s="34"/>
    </row>
    <row r="62">
      <c r="A62" s="3">
        <f>IFERROR(__xludf.DUMMYFUNCTION("""COMPUTED_VALUE"""),61.0)</f>
        <v>61</v>
      </c>
      <c r="B62" s="3" t="str">
        <f>IFERROR(__xludf.DUMMYFUNCTION("""COMPUTED_VALUE"""),"NET.CRAWL")</f>
        <v>NET.CRAWL</v>
      </c>
      <c r="C62" s="3" t="str">
        <f>IFERROR(__xludf.DUMMYFUNCTION("""COMPUTED_VALUE"""),"Jan 30, 2026")</f>
        <v>Jan 30, 2026</v>
      </c>
      <c r="D62" s="3" t="str">
        <f>IFERROR(__xludf.DUMMYFUNCTION("""COMPUTED_VALUE"""),"$7.64")</f>
        <v>$7.64</v>
      </c>
      <c r="E62" s="3" t="str">
        <f>IFERROR(__xludf.DUMMYFUNCTION("""COMPUTED_VALUE"""),"N/A (N/A)")</f>
        <v>N/A (N/A)</v>
      </c>
      <c r="F62" s="3" t="str">
        <f>IFERROR(__xludf.DUMMYFUNCTION("""COMPUTED_VALUE"""),"0 .. 20,000")</f>
        <v>0 .. 20,000</v>
      </c>
      <c r="G62" s="3" t="str">
        <f>IFERROR(__xludf.DUMMYFUNCTION("""COMPUTED_VALUE"""),"00:00 (00:00)")</f>
        <v>00:00 (00:00)</v>
      </c>
      <c r="H62" s="34"/>
      <c r="O62" s="34"/>
      <c r="P62" s="3" t="str">
        <f>IFERROR(__xludf.DUMMYFUNCTION("""COMPUTED_VALUE"""),"Oise")</f>
        <v>Oise</v>
      </c>
      <c r="Q62" s="37">
        <f>IFERROR(__xludf.DUMMYFUNCTION("""COMPUTED_VALUE"""),0.082)</f>
        <v>0.082</v>
      </c>
      <c r="R62" s="34"/>
    </row>
    <row r="63">
      <c r="A63" s="3">
        <f>IFERROR(__xludf.DUMMYFUNCTION("""COMPUTED_VALUE"""),62.0)</f>
        <v>62</v>
      </c>
      <c r="B63" s="3" t="str">
        <f>IFERROR(__xludf.DUMMYFUNCTION("""COMPUTED_VALUE"""),"Fear The Timeloop")</f>
        <v>Fear The Timeloop</v>
      </c>
      <c r="C63" s="3" t="str">
        <f>IFERROR(__xludf.DUMMYFUNCTION("""COMPUTED_VALUE"""),"Jan 30, 2026")</f>
        <v>Jan 30, 2026</v>
      </c>
      <c r="D63" s="3" t="str">
        <f>IFERROR(__xludf.DUMMYFUNCTION("""COMPUTED_VALUE"""),"$13.49")</f>
        <v>$13.49</v>
      </c>
      <c r="E63" s="3" t="str">
        <f>IFERROR(__xludf.DUMMYFUNCTION("""COMPUTED_VALUE"""),"N/A (N/A)")</f>
        <v>N/A (N/A)</v>
      </c>
      <c r="F63" s="3" t="str">
        <f>IFERROR(__xludf.DUMMYFUNCTION("""COMPUTED_VALUE"""),"0 .. 20,000")</f>
        <v>0 .. 20,000</v>
      </c>
      <c r="G63" s="3" t="str">
        <f>IFERROR(__xludf.DUMMYFUNCTION("""COMPUTED_VALUE"""),"00:53 (00:53)")</f>
        <v>00:53 (00:53)</v>
      </c>
      <c r="H63" s="34"/>
      <c r="O63" s="34"/>
      <c r="P63" s="3" t="str">
        <f>IFERROR(__xludf.DUMMYFUNCTION("""COMPUTED_VALUE"""),"Orne")</f>
        <v>Orne</v>
      </c>
      <c r="Q63" s="37">
        <f>IFERROR(__xludf.DUMMYFUNCTION("""COMPUTED_VALUE"""),0.035)</f>
        <v>0.035</v>
      </c>
      <c r="R63" s="34"/>
    </row>
    <row r="64">
      <c r="A64" s="3">
        <f>IFERROR(__xludf.DUMMYFUNCTION("""COMPUTED_VALUE"""),63.0)</f>
        <v>63</v>
      </c>
      <c r="B64" s="3" t="str">
        <f>IFERROR(__xludf.DUMMYFUNCTION("""COMPUTED_VALUE"""),"Project Rebearth")</f>
        <v>Project Rebearth</v>
      </c>
      <c r="C64" s="3" t="str">
        <f>IFERROR(__xludf.DUMMYFUNCTION("""COMPUTED_VALUE"""),"Jan 30, 2026")</f>
        <v>Jan 30, 2026</v>
      </c>
      <c r="D64" s="3" t="str">
        <f>IFERROR(__xludf.DUMMYFUNCTION("""COMPUTED_VALUE"""),"$15.99")</f>
        <v>$15.99</v>
      </c>
      <c r="E64" s="3" t="str">
        <f>IFERROR(__xludf.DUMMYFUNCTION("""COMPUTED_VALUE"""),"N/A (N/A)")</f>
        <v>N/A (N/A)</v>
      </c>
      <c r="F64" s="3" t="str">
        <f>IFERROR(__xludf.DUMMYFUNCTION("""COMPUTED_VALUE"""),"0 .. 20,000")</f>
        <v>0 .. 20,000</v>
      </c>
      <c r="G64" s="3" t="str">
        <f>IFERROR(__xludf.DUMMYFUNCTION("""COMPUTED_VALUE"""),"00:00 (00:00)")</f>
        <v>00:00 (00:00)</v>
      </c>
      <c r="H64" s="34"/>
      <c r="O64" s="34"/>
      <c r="P64" s="3" t="str">
        <f>IFERROR(__xludf.DUMMYFUNCTION("""COMPUTED_VALUE"""),"Pas-de-Calais")</f>
        <v>Pas-de-Calais</v>
      </c>
      <c r="Q64" s="37">
        <f>IFERROR(__xludf.DUMMYFUNCTION("""COMPUTED_VALUE"""),0.037)</f>
        <v>0.037</v>
      </c>
      <c r="R64" s="34"/>
    </row>
    <row r="65">
      <c r="A65" s="3">
        <f>IFERROR(__xludf.DUMMYFUNCTION("""COMPUTED_VALUE"""),64.0)</f>
        <v>64</v>
      </c>
      <c r="B65" s="3" t="str">
        <f>IFERROR(__xludf.DUMMYFUNCTION("""COMPUTED_VALUE"""),"Half Sword")</f>
        <v>Half Sword</v>
      </c>
      <c r="C65" s="3" t="str">
        <f>IFERROR(__xludf.DUMMYFUNCTION("""COMPUTED_VALUE"""),"Jan 30, 2026")</f>
        <v>Jan 30, 2026</v>
      </c>
      <c r="D65" s="3" t="str">
        <f>IFERROR(__xludf.DUMMYFUNCTION("""COMPUTED_VALUE"""),"$19.99")</f>
        <v>$19.99</v>
      </c>
      <c r="E65" s="3" t="str">
        <f>IFERROR(__xludf.DUMMYFUNCTION("""COMPUTED_VALUE"""),"N/A (N/A)")</f>
        <v>N/A (N/A)</v>
      </c>
      <c r="F65" s="3" t="str">
        <f>IFERROR(__xludf.DUMMYFUNCTION("""COMPUTED_VALUE"""),"0 .. 20,000")</f>
        <v>0 .. 20,000</v>
      </c>
      <c r="G65" s="3" t="str">
        <f>IFERROR(__xludf.DUMMYFUNCTION("""COMPUTED_VALUE"""),"08:24 (03:54)")</f>
        <v>08:24 (03:54)</v>
      </c>
      <c r="H65" s="34"/>
      <c r="O65" s="34"/>
      <c r="P65" s="3" t="str">
        <f>IFERROR(__xludf.DUMMYFUNCTION("""COMPUTED_VALUE"""),"Puy-de-Dôme")</f>
        <v>Puy-de-Dôme</v>
      </c>
      <c r="Q65" s="37">
        <f>IFERROR(__xludf.DUMMYFUNCTION("""COMPUTED_VALUE"""),0.044)</f>
        <v>0.044</v>
      </c>
      <c r="R65" s="34"/>
    </row>
    <row r="66">
      <c r="A66" s="3">
        <f>IFERROR(__xludf.DUMMYFUNCTION("""COMPUTED_VALUE"""),65.0)</f>
        <v>65</v>
      </c>
      <c r="B66" s="3" t="str">
        <f>IFERROR(__xludf.DUMMYFUNCTION("""COMPUTED_VALUE"""),"Vampires: Bloodlord Rising")</f>
        <v>Vampires: Bloodlord Rising</v>
      </c>
      <c r="C66" s="3" t="str">
        <f>IFERROR(__xludf.DUMMYFUNCTION("""COMPUTED_VALUE"""),"Jan 30, 2026")</f>
        <v>Jan 30, 2026</v>
      </c>
      <c r="D66" s="3" t="str">
        <f>IFERROR(__xludf.DUMMYFUNCTION("""COMPUTED_VALUE"""),"$15.99")</f>
        <v>$15.99</v>
      </c>
      <c r="E66" s="3" t="str">
        <f>IFERROR(__xludf.DUMMYFUNCTION("""COMPUTED_VALUE"""),"N/A (N/A)")</f>
        <v>N/A (N/A)</v>
      </c>
      <c r="F66" s="3" t="str">
        <f>IFERROR(__xludf.DUMMYFUNCTION("""COMPUTED_VALUE"""),"0 .. 20,000")</f>
        <v>0 .. 20,000</v>
      </c>
      <c r="G66" s="3" t="str">
        <f>IFERROR(__xludf.DUMMYFUNCTION("""COMPUTED_VALUE"""),"06:40 (11:07)")</f>
        <v>06:40 (11:07)</v>
      </c>
      <c r="H66" s="34"/>
      <c r="O66" s="34"/>
      <c r="P66" s="3" t="str">
        <f>IFERROR(__xludf.DUMMYFUNCTION("""COMPUTED_VALUE"""),"Pyrénées-Atlantiques")</f>
        <v>Pyrénées-Atlantiques</v>
      </c>
      <c r="Q66" s="37">
        <f>IFERROR(__xludf.DUMMYFUNCTION("""COMPUTED_VALUE"""),0.065)</f>
        <v>0.065</v>
      </c>
      <c r="R66" s="34"/>
    </row>
    <row r="67">
      <c r="A67" s="3">
        <f>IFERROR(__xludf.DUMMYFUNCTION("""COMPUTED_VALUE"""),66.0)</f>
        <v>66</v>
      </c>
      <c r="B67" s="3" t="str">
        <f>IFERROR(__xludf.DUMMYFUNCTION("""COMPUTED_VALUE"""),"Touhou Blooming Soul")</f>
        <v>Touhou Blooming Soul</v>
      </c>
      <c r="C67" s="3" t="str">
        <f>IFERROR(__xludf.DUMMYFUNCTION("""COMPUTED_VALUE"""),"Jan 30, 2026")</f>
        <v>Jan 30, 2026</v>
      </c>
      <c r="D67" s="3" t="str">
        <f>IFERROR(__xludf.DUMMYFUNCTION("""COMPUTED_VALUE"""),"$5.39")</f>
        <v>$5.39</v>
      </c>
      <c r="E67" s="3" t="str">
        <f>IFERROR(__xludf.DUMMYFUNCTION("""COMPUTED_VALUE"""),"N/A (N/A)")</f>
        <v>N/A (N/A)</v>
      </c>
      <c r="F67" s="3" t="str">
        <f>IFERROR(__xludf.DUMMYFUNCTION("""COMPUTED_VALUE"""),"0 .. 20,000")</f>
        <v>0 .. 20,000</v>
      </c>
      <c r="G67" s="3" t="str">
        <f>IFERROR(__xludf.DUMMYFUNCTION("""COMPUTED_VALUE"""),"00:50 (00:33)")</f>
        <v>00:50 (00:33)</v>
      </c>
      <c r="H67" s="34"/>
      <c r="O67" s="34"/>
      <c r="P67" s="3" t="str">
        <f>IFERROR(__xludf.DUMMYFUNCTION("""COMPUTED_VALUE"""),"Hautes-Pyrénées")</f>
        <v>Hautes-Pyrénées</v>
      </c>
      <c r="Q67" s="37">
        <f>IFERROR(__xludf.DUMMYFUNCTION("""COMPUTED_VALUE"""),0.002)</f>
        <v>0.002</v>
      </c>
      <c r="R67" s="34"/>
    </row>
    <row r="68">
      <c r="A68" s="3">
        <f>IFERROR(__xludf.DUMMYFUNCTION("""COMPUTED_VALUE"""),67.0)</f>
        <v>67</v>
      </c>
      <c r="B68" s="3" t="str">
        <f>IFERROR(__xludf.DUMMYFUNCTION("""COMPUTED_VALUE"""),"Occupy Mars: The Game")</f>
        <v>Occupy Mars: The Game</v>
      </c>
      <c r="C68" s="3" t="str">
        <f>IFERROR(__xludf.DUMMYFUNCTION("""COMPUTED_VALUE"""),"Jan 30, 2026")</f>
        <v>Jan 30, 2026</v>
      </c>
      <c r="D68" s="3" t="str">
        <f>IFERROR(__xludf.DUMMYFUNCTION("""COMPUTED_VALUE"""),"$14.99")</f>
        <v>$14.99</v>
      </c>
      <c r="E68" s="3" t="str">
        <f>IFERROR(__xludf.DUMMYFUNCTION("""COMPUTED_VALUE"""),"N/A (N/A)")</f>
        <v>N/A (N/A)</v>
      </c>
      <c r="F68" s="3" t="str">
        <f>IFERROR(__xludf.DUMMYFUNCTION("""COMPUTED_VALUE"""),"100,000 .. 200,000")</f>
        <v>100,000 .. 200,000</v>
      </c>
      <c r="G68" s="3" t="str">
        <f>IFERROR(__xludf.DUMMYFUNCTION("""COMPUTED_VALUE"""),"04:54 (05:18)")</f>
        <v>04:54 (05:18)</v>
      </c>
      <c r="H68" s="34"/>
      <c r="O68" s="34"/>
      <c r="P68" s="3" t="str">
        <f>IFERROR(__xludf.DUMMYFUNCTION("""COMPUTED_VALUE"""),"Pyrénées-Orientales")</f>
        <v>Pyrénées-Orientales</v>
      </c>
      <c r="Q68" s="37">
        <f>IFERROR(__xludf.DUMMYFUNCTION("""COMPUTED_VALUE"""),0.075)</f>
        <v>0.075</v>
      </c>
      <c r="R68" s="34"/>
    </row>
    <row r="69">
      <c r="A69" s="3">
        <f>IFERROR(__xludf.DUMMYFUNCTION("""COMPUTED_VALUE"""),68.0)</f>
        <v>68</v>
      </c>
      <c r="B69" s="3" t="str">
        <f>IFERROR(__xludf.DUMMYFUNCTION("""COMPUTED_VALUE"""),"Folklore Hunter")</f>
        <v>Folklore Hunter</v>
      </c>
      <c r="C69" s="3" t="str">
        <f>IFERROR(__xludf.DUMMYFUNCTION("""COMPUTED_VALUE"""),"Jan 30, 2026")</f>
        <v>Jan 30, 2026</v>
      </c>
      <c r="D69" s="3" t="str">
        <f>IFERROR(__xludf.DUMMYFUNCTION("""COMPUTED_VALUE"""),"$17.99")</f>
        <v>$17.99</v>
      </c>
      <c r="E69" s="3" t="str">
        <f>IFERROR(__xludf.DUMMYFUNCTION("""COMPUTED_VALUE"""),"N/A (N/A)")</f>
        <v>N/A (N/A)</v>
      </c>
      <c r="F69" s="3" t="str">
        <f>IFERROR(__xludf.DUMMYFUNCTION("""COMPUTED_VALUE"""),"50,000 .. 100,000")</f>
        <v>50,000 .. 100,000</v>
      </c>
      <c r="G69" s="3" t="str">
        <f>IFERROR(__xludf.DUMMYFUNCTION("""COMPUTED_VALUE"""),"00:17 (00:05)")</f>
        <v>00:17 (00:05)</v>
      </c>
      <c r="H69" s="34"/>
      <c r="O69" s="34"/>
      <c r="P69" s="3" t="str">
        <f>IFERROR(__xludf.DUMMYFUNCTION("""COMPUTED_VALUE"""),"Bas-Rhin")</f>
        <v>Bas-Rhin</v>
      </c>
      <c r="Q69" s="37">
        <f>IFERROR(__xludf.DUMMYFUNCTION("""COMPUTED_VALUE"""),0.077)</f>
        <v>0.077</v>
      </c>
      <c r="R69" s="34"/>
    </row>
    <row r="70">
      <c r="A70" s="3">
        <f>IFERROR(__xludf.DUMMYFUNCTION("""COMPUTED_VALUE"""),69.0)</f>
        <v>69</v>
      </c>
      <c r="B70" s="3" t="str">
        <f>IFERROR(__xludf.DUMMYFUNCTION("""COMPUTED_VALUE"""),"ホロダンジョン 博衣こよりとホロウライブ in ホンシャタワー")</f>
        <v>ホロダンジョン 博衣こよりとホロウライブ in ホンシャタワー</v>
      </c>
      <c r="C70" s="3" t="str">
        <f>IFERROR(__xludf.DUMMYFUNCTION("""COMPUTED_VALUE"""),"Jan 29, 2026")</f>
        <v>Jan 29, 2026</v>
      </c>
      <c r="D70" s="3" t="str">
        <f>IFERROR(__xludf.DUMMYFUNCTION("""COMPUTED_VALUE"""),"$11.69")</f>
        <v>$11.69</v>
      </c>
      <c r="E70" s="3" t="str">
        <f>IFERROR(__xludf.DUMMYFUNCTION("""COMPUTED_VALUE"""),"N/A (N/A)")</f>
        <v>N/A (N/A)</v>
      </c>
      <c r="F70" s="3" t="str">
        <f>IFERROR(__xludf.DUMMYFUNCTION("""COMPUTED_VALUE"""),"0 .. 20,000")</f>
        <v>0 .. 20,000</v>
      </c>
      <c r="G70" s="3" t="str">
        <f>IFERROR(__xludf.DUMMYFUNCTION("""COMPUTED_VALUE"""),"00:00 (00:00)")</f>
        <v>00:00 (00:00)</v>
      </c>
      <c r="H70" s="34"/>
      <c r="O70" s="34"/>
      <c r="P70" s="3" t="str">
        <f>IFERROR(__xludf.DUMMYFUNCTION("""COMPUTED_VALUE"""),"Haut-Rhin")</f>
        <v>Haut-Rhin</v>
      </c>
      <c r="Q70" s="37">
        <f>IFERROR(__xludf.DUMMYFUNCTION("""COMPUTED_VALUE"""),0.057)</f>
        <v>0.057</v>
      </c>
      <c r="R70" s="34"/>
    </row>
    <row r="71">
      <c r="A71" s="3">
        <f>IFERROR(__xludf.DUMMYFUNCTION("""COMPUTED_VALUE"""),70.0)</f>
        <v>70</v>
      </c>
      <c r="B71" s="3" t="str">
        <f>IFERROR(__xludf.DUMMYFUNCTION("""COMPUTED_VALUE"""),"Burning Boundaries Part 1")</f>
        <v>Burning Boundaries Part 1</v>
      </c>
      <c r="C71" s="3" t="str">
        <f>IFERROR(__xludf.DUMMYFUNCTION("""COMPUTED_VALUE"""),"Jan 29, 2026")</f>
        <v>Jan 29, 2026</v>
      </c>
      <c r="D71" s="3" t="str">
        <f>IFERROR(__xludf.DUMMYFUNCTION("""COMPUTED_VALUE"""),"$14.99")</f>
        <v>$14.99</v>
      </c>
      <c r="E71" s="3" t="str">
        <f>IFERROR(__xludf.DUMMYFUNCTION("""COMPUTED_VALUE"""),"N/A (N/A)")</f>
        <v>N/A (N/A)</v>
      </c>
      <c r="F71" s="3" t="str">
        <f>IFERROR(__xludf.DUMMYFUNCTION("""COMPUTED_VALUE"""),"0 .. 20,000")</f>
        <v>0 .. 20,000</v>
      </c>
      <c r="G71" s="3" t="str">
        <f>IFERROR(__xludf.DUMMYFUNCTION("""COMPUTED_VALUE"""),"03:03 (03:03)")</f>
        <v>03:03 (03:03)</v>
      </c>
      <c r="H71" s="34"/>
      <c r="O71" s="34"/>
      <c r="P71" s="3" t="str">
        <f>IFERROR(__xludf.DUMMYFUNCTION("""COMPUTED_VALUE"""),"Rhône")</f>
        <v>Rhône</v>
      </c>
      <c r="Q71" s="37">
        <f>IFERROR(__xludf.DUMMYFUNCTION("""COMPUTED_VALUE"""),-0.002)</f>
        <v>-0.002</v>
      </c>
      <c r="R71" s="34"/>
    </row>
    <row r="72">
      <c r="A72" s="3">
        <f>IFERROR(__xludf.DUMMYFUNCTION("""COMPUTED_VALUE"""),71.0)</f>
        <v>71</v>
      </c>
      <c r="B72" s="3" t="str">
        <f>IFERROR(__xludf.DUMMYFUNCTION("""COMPUTED_VALUE"""),"NAMAKORIUM (ナマコリウム)")</f>
        <v>NAMAKORIUM (ナマコリウム)</v>
      </c>
      <c r="C72" s="3" t="str">
        <f>IFERROR(__xludf.DUMMYFUNCTION("""COMPUTED_VALUE"""),"Jan 29, 2026")</f>
        <v>Jan 29, 2026</v>
      </c>
      <c r="D72" s="3" t="str">
        <f>IFERROR(__xludf.DUMMYFUNCTION("""COMPUTED_VALUE"""),"$9.59")</f>
        <v>$9.59</v>
      </c>
      <c r="E72" s="3" t="str">
        <f>IFERROR(__xludf.DUMMYFUNCTION("""COMPUTED_VALUE"""),"N/A (N/A)")</f>
        <v>N/A (N/A)</v>
      </c>
      <c r="F72" s="3" t="str">
        <f>IFERROR(__xludf.DUMMYFUNCTION("""COMPUTED_VALUE"""),"0 .. 20,000")</f>
        <v>0 .. 20,000</v>
      </c>
      <c r="G72" s="3" t="str">
        <f>IFERROR(__xludf.DUMMYFUNCTION("""COMPUTED_VALUE"""),"00:00 (00:00)")</f>
        <v>00:00 (00:00)</v>
      </c>
      <c r="H72" s="34"/>
      <c r="O72" s="34"/>
      <c r="P72" s="3" t="str">
        <f>IFERROR(__xludf.DUMMYFUNCTION("""COMPUTED_VALUE"""),"Haute-Saône")</f>
        <v>Haute-Saône</v>
      </c>
      <c r="Q72" s="37">
        <f>IFERROR(__xludf.DUMMYFUNCTION("""COMPUTED_VALUE"""),0.087)</f>
        <v>0.087</v>
      </c>
      <c r="R72" s="34"/>
    </row>
    <row r="73">
      <c r="A73" s="3">
        <f>IFERROR(__xludf.DUMMYFUNCTION("""COMPUTED_VALUE"""),72.0)</f>
        <v>72</v>
      </c>
      <c r="B73" s="3" t="str">
        <f>IFERROR(__xludf.DUMMYFUNCTION("""COMPUTED_VALUE"""),"Berry Bury Berry")</f>
        <v>Berry Bury Berry</v>
      </c>
      <c r="C73" s="3" t="str">
        <f>IFERROR(__xludf.DUMMYFUNCTION("""COMPUTED_VALUE"""),"Jan 29, 2026")</f>
        <v>Jan 29, 2026</v>
      </c>
      <c r="D73" s="3" t="str">
        <f>IFERROR(__xludf.DUMMYFUNCTION("""COMPUTED_VALUE"""),"$7.99")</f>
        <v>$7.99</v>
      </c>
      <c r="E73" s="3" t="str">
        <f>IFERROR(__xludf.DUMMYFUNCTION("""COMPUTED_VALUE"""),"N/A (N/A)")</f>
        <v>N/A (N/A)</v>
      </c>
      <c r="F73" s="3" t="str">
        <f>IFERROR(__xludf.DUMMYFUNCTION("""COMPUTED_VALUE"""),"0 .. 20,000")</f>
        <v>0 .. 20,000</v>
      </c>
      <c r="G73" s="3" t="str">
        <f>IFERROR(__xludf.DUMMYFUNCTION("""COMPUTED_VALUE"""),"05:31 (09:00)")</f>
        <v>05:31 (09:00)</v>
      </c>
      <c r="H73" s="34"/>
      <c r="O73" s="34"/>
      <c r="P73" s="3" t="str">
        <f>IFERROR(__xludf.DUMMYFUNCTION("""COMPUTED_VALUE"""),"Saône-et-Loire")</f>
        <v>Saône-et-Loire</v>
      </c>
      <c r="Q73" s="37">
        <f>IFERROR(__xludf.DUMMYFUNCTION("""COMPUTED_VALUE"""),0.019)</f>
        <v>0.019</v>
      </c>
      <c r="R73" s="34"/>
    </row>
    <row r="74">
      <c r="A74" s="3">
        <f>IFERROR(__xludf.DUMMYFUNCTION("""COMPUTED_VALUE"""),73.0)</f>
        <v>73</v>
      </c>
      <c r="B74" s="3" t="str">
        <f>IFERROR(__xludf.DUMMYFUNCTION("""COMPUTED_VALUE"""),"City Tales - Medieval Era")</f>
        <v>City Tales - Medieval Era</v>
      </c>
      <c r="C74" s="3" t="str">
        <f>IFERROR(__xludf.DUMMYFUNCTION("""COMPUTED_VALUE"""),"Jan 29, 2026")</f>
        <v>Jan 29, 2026</v>
      </c>
      <c r="D74" s="3" t="str">
        <f>IFERROR(__xludf.DUMMYFUNCTION("""COMPUTED_VALUE"""),"$14.94")</f>
        <v>$14.94</v>
      </c>
      <c r="E74" s="3" t="str">
        <f>IFERROR(__xludf.DUMMYFUNCTION("""COMPUTED_VALUE"""),"N/A (N/A)")</f>
        <v>N/A (N/A)</v>
      </c>
      <c r="F74" s="3" t="str">
        <f>IFERROR(__xludf.DUMMYFUNCTION("""COMPUTED_VALUE"""),"0 .. 20,000")</f>
        <v>0 .. 20,000</v>
      </c>
      <c r="G74" s="3" t="str">
        <f>IFERROR(__xludf.DUMMYFUNCTION("""COMPUTED_VALUE"""),"00:00 (00:00)")</f>
        <v>00:00 (00:00)</v>
      </c>
      <c r="H74" s="34"/>
      <c r="O74" s="34"/>
      <c r="P74" s="3" t="str">
        <f>IFERROR(__xludf.DUMMYFUNCTION("""COMPUTED_VALUE"""),"Sarthe")</f>
        <v>Sarthe</v>
      </c>
      <c r="Q74" s="37">
        <f>IFERROR(__xludf.DUMMYFUNCTION("""COMPUTED_VALUE"""),0.007)</f>
        <v>0.007</v>
      </c>
      <c r="R74" s="34"/>
    </row>
    <row r="75">
      <c r="A75" s="3">
        <f>IFERROR(__xludf.DUMMYFUNCTION("""COMPUTED_VALUE"""),74.0)</f>
        <v>74</v>
      </c>
      <c r="B75" s="3" t="str">
        <f>IFERROR(__xludf.DUMMYFUNCTION("""COMPUTED_VALUE"""),"Calyx")</f>
        <v>Calyx</v>
      </c>
      <c r="C75" s="3" t="str">
        <f>IFERROR(__xludf.DUMMYFUNCTION("""COMPUTED_VALUE"""),"Jan 29, 2026")</f>
        <v>Jan 29, 2026</v>
      </c>
      <c r="D75" s="3" t="str">
        <f>IFERROR(__xludf.DUMMYFUNCTION("""COMPUTED_VALUE"""),"$22.49")</f>
        <v>$22.49</v>
      </c>
      <c r="E75" s="3" t="str">
        <f>IFERROR(__xludf.DUMMYFUNCTION("""COMPUTED_VALUE"""),"N/A (N/A)")</f>
        <v>N/A (N/A)</v>
      </c>
      <c r="F75" s="3" t="str">
        <f>IFERROR(__xludf.DUMMYFUNCTION("""COMPUTED_VALUE"""),"0 .. 20,000")</f>
        <v>0 .. 20,000</v>
      </c>
      <c r="G75" s="3" t="str">
        <f>IFERROR(__xludf.DUMMYFUNCTION("""COMPUTED_VALUE"""),"02:39 (02:39)")</f>
        <v>02:39 (02:39)</v>
      </c>
      <c r="H75" s="34"/>
      <c r="O75" s="34"/>
      <c r="P75" s="3" t="str">
        <f>IFERROR(__xludf.DUMMYFUNCTION("""COMPUTED_VALUE"""),"Savoie")</f>
        <v>Savoie</v>
      </c>
      <c r="Q75" s="37">
        <f>IFERROR(__xludf.DUMMYFUNCTION("""COMPUTED_VALUE"""),0.068)</f>
        <v>0.068</v>
      </c>
      <c r="R75" s="34"/>
    </row>
    <row r="76">
      <c r="A76" s="3">
        <f>IFERROR(__xludf.DUMMYFUNCTION("""COMPUTED_VALUE"""),75.0)</f>
        <v>75</v>
      </c>
      <c r="B76" s="3" t="str">
        <f>IFERROR(__xludf.DUMMYFUNCTION("""COMPUTED_VALUE"""),"Spring Tales")</f>
        <v>Spring Tales</v>
      </c>
      <c r="C76" s="3" t="str">
        <f>IFERROR(__xludf.DUMMYFUNCTION("""COMPUTED_VALUE"""),"Jan 29, 2026")</f>
        <v>Jan 29, 2026</v>
      </c>
      <c r="D76" s="3" t="str">
        <f>IFERROR(__xludf.DUMMYFUNCTION("""COMPUTED_VALUE"""),"$4.79")</f>
        <v>$4.79</v>
      </c>
      <c r="E76" s="3" t="str">
        <f>IFERROR(__xludf.DUMMYFUNCTION("""COMPUTED_VALUE"""),"N/A (N/A)")</f>
        <v>N/A (N/A)</v>
      </c>
      <c r="F76" s="3" t="str">
        <f>IFERROR(__xludf.DUMMYFUNCTION("""COMPUTED_VALUE"""),"0 .. 20,000")</f>
        <v>0 .. 20,000</v>
      </c>
      <c r="G76" s="3" t="str">
        <f>IFERROR(__xludf.DUMMYFUNCTION("""COMPUTED_VALUE"""),"00:00 (00:00)")</f>
        <v>00:00 (00:00)</v>
      </c>
      <c r="H76" s="34"/>
      <c r="O76" s="34"/>
      <c r="P76" s="3" t="str">
        <f>IFERROR(__xludf.DUMMYFUNCTION("""COMPUTED_VALUE"""),"Haute-Savoie")</f>
        <v>Haute-Savoie</v>
      </c>
      <c r="Q76" s="37">
        <f>IFERROR(__xludf.DUMMYFUNCTION("""COMPUTED_VALUE"""),0.089)</f>
        <v>0.089</v>
      </c>
      <c r="R76" s="34"/>
    </row>
    <row r="77">
      <c r="A77" s="3">
        <f>IFERROR(__xludf.DUMMYFUNCTION("""COMPUTED_VALUE"""),76.0)</f>
        <v>76</v>
      </c>
      <c r="B77" s="3" t="str">
        <f>IFERROR(__xludf.DUMMYFUNCTION("""COMPUTED_VALUE"""),"Poly TD")</f>
        <v>Poly TD</v>
      </c>
      <c r="C77" s="3" t="str">
        <f>IFERROR(__xludf.DUMMYFUNCTION("""COMPUTED_VALUE"""),"Jan 29, 2026")</f>
        <v>Jan 29, 2026</v>
      </c>
      <c r="D77" s="3" t="str">
        <f>IFERROR(__xludf.DUMMYFUNCTION("""COMPUTED_VALUE"""),"$7.19")</f>
        <v>$7.19</v>
      </c>
      <c r="E77" s="3" t="str">
        <f>IFERROR(__xludf.DUMMYFUNCTION("""COMPUTED_VALUE"""),"N/A (N/A)")</f>
        <v>N/A (N/A)</v>
      </c>
      <c r="F77" s="3" t="str">
        <f>IFERROR(__xludf.DUMMYFUNCTION("""COMPUTED_VALUE"""),"0 .. 20,000")</f>
        <v>0 .. 20,000</v>
      </c>
      <c r="G77" s="3" t="str">
        <f>IFERROR(__xludf.DUMMYFUNCTION("""COMPUTED_VALUE"""),"07:08 (03:34)")</f>
        <v>07:08 (03:34)</v>
      </c>
      <c r="H77" s="34"/>
      <c r="O77" s="34"/>
      <c r="P77" s="3" t="str">
        <f>IFERROR(__xludf.DUMMYFUNCTION("""COMPUTED_VALUE"""),"Paris")</f>
        <v>Paris</v>
      </c>
      <c r="Q77" s="37">
        <f>IFERROR(__xludf.DUMMYFUNCTION("""COMPUTED_VALUE"""),-0.02)</f>
        <v>-0.02</v>
      </c>
      <c r="R77" s="34"/>
    </row>
    <row r="78">
      <c r="A78" s="3">
        <f>IFERROR(__xludf.DUMMYFUNCTION("""COMPUTED_VALUE"""),77.0)</f>
        <v>77</v>
      </c>
      <c r="B78" s="3" t="str">
        <f>IFERROR(__xludf.DUMMYFUNCTION("""COMPUTED_VALUE"""),"MMA Life Simulator")</f>
        <v>MMA Life Simulator</v>
      </c>
      <c r="C78" s="3" t="str">
        <f>IFERROR(__xludf.DUMMYFUNCTION("""COMPUTED_VALUE"""),"Jan 29, 2026")</f>
        <v>Jan 29, 2026</v>
      </c>
      <c r="D78" s="3" t="str">
        <f>IFERROR(__xludf.DUMMYFUNCTION("""COMPUTED_VALUE"""),"$15.29")</f>
        <v>$15.29</v>
      </c>
      <c r="E78" s="3" t="str">
        <f>IFERROR(__xludf.DUMMYFUNCTION("""COMPUTED_VALUE"""),"N/A (N/A)")</f>
        <v>N/A (N/A)</v>
      </c>
      <c r="F78" s="3" t="str">
        <f>IFERROR(__xludf.DUMMYFUNCTION("""COMPUTED_VALUE"""),"0 .. 20,000")</f>
        <v>0 .. 20,000</v>
      </c>
      <c r="G78" s="3" t="str">
        <f>IFERROR(__xludf.DUMMYFUNCTION("""COMPUTED_VALUE"""),"00:00 (00:00)")</f>
        <v>00:00 (00:00)</v>
      </c>
      <c r="H78" s="34"/>
      <c r="O78" s="34"/>
      <c r="P78" s="3" t="str">
        <f>IFERROR(__xludf.DUMMYFUNCTION("""COMPUTED_VALUE"""),"Seine-Maritime")</f>
        <v>Seine-Maritime</v>
      </c>
      <c r="Q78" s="37">
        <f>IFERROR(__xludf.DUMMYFUNCTION("""COMPUTED_VALUE"""),0.032)</f>
        <v>0.032</v>
      </c>
      <c r="R78" s="34"/>
    </row>
    <row r="79">
      <c r="A79" s="3">
        <f>IFERROR(__xludf.DUMMYFUNCTION("""COMPUTED_VALUE"""),78.0)</f>
        <v>78</v>
      </c>
      <c r="B79" s="3" t="str">
        <f>IFERROR(__xludf.DUMMYFUNCTION("""COMPUTED_VALUE"""),"Don't Stop, Girlypop!")</f>
        <v>Don't Stop, Girlypop!</v>
      </c>
      <c r="C79" s="3" t="str">
        <f>IFERROR(__xludf.DUMMYFUNCTION("""COMPUTED_VALUE"""),"Jan 29, 2026")</f>
        <v>Jan 29, 2026</v>
      </c>
      <c r="D79" s="3" t="str">
        <f>IFERROR(__xludf.DUMMYFUNCTION("""COMPUTED_VALUE"""),"$19.99")</f>
        <v>$19.99</v>
      </c>
      <c r="E79" s="3" t="str">
        <f>IFERROR(__xludf.DUMMYFUNCTION("""COMPUTED_VALUE"""),"N/A (N/A)")</f>
        <v>N/A (N/A)</v>
      </c>
      <c r="F79" s="3" t="str">
        <f>IFERROR(__xludf.DUMMYFUNCTION("""COMPUTED_VALUE"""),"0 .. 20,000")</f>
        <v>0 .. 20,000</v>
      </c>
      <c r="G79" s="3" t="str">
        <f>IFERROR(__xludf.DUMMYFUNCTION("""COMPUTED_VALUE"""),"03:24 (01:08)")</f>
        <v>03:24 (01:08)</v>
      </c>
      <c r="H79" s="34"/>
      <c r="O79" s="34"/>
      <c r="P79" s="3" t="str">
        <f>IFERROR(__xludf.DUMMYFUNCTION("""COMPUTED_VALUE"""),"Seine-et-Marne")</f>
        <v>Seine-et-Marne</v>
      </c>
      <c r="Q79" s="37">
        <f>IFERROR(__xludf.DUMMYFUNCTION("""COMPUTED_VALUE"""),0.09)</f>
        <v>0.09</v>
      </c>
      <c r="R79" s="34"/>
    </row>
    <row r="80">
      <c r="A80" s="3">
        <f>IFERROR(__xludf.DUMMYFUNCTION("""COMPUTED_VALUE"""),79.0)</f>
        <v>79</v>
      </c>
      <c r="B80" s="3" t="str">
        <f>IFERROR(__xludf.DUMMYFUNCTION("""COMPUTED_VALUE"""),"Harem in Another World")</f>
        <v>Harem in Another World</v>
      </c>
      <c r="C80" s="3" t="str">
        <f>IFERROR(__xludf.DUMMYFUNCTION("""COMPUTED_VALUE"""),"Jan 29, 2026")</f>
        <v>Jan 29, 2026</v>
      </c>
      <c r="D80" s="3" t="str">
        <f>IFERROR(__xludf.DUMMYFUNCTION("""COMPUTED_VALUE"""),"$13.49")</f>
        <v>$13.49</v>
      </c>
      <c r="E80" s="3" t="str">
        <f>IFERROR(__xludf.DUMMYFUNCTION("""COMPUTED_VALUE"""),"N/A (N/A)")</f>
        <v>N/A (N/A)</v>
      </c>
      <c r="F80" s="3" t="str">
        <f>IFERROR(__xludf.DUMMYFUNCTION("""COMPUTED_VALUE"""),"0 .. 20,000")</f>
        <v>0 .. 20,000</v>
      </c>
      <c r="G80" s="3" t="str">
        <f>IFERROR(__xludf.DUMMYFUNCTION("""COMPUTED_VALUE"""),"00:01 (00:00)")</f>
        <v>00:01 (00:00)</v>
      </c>
      <c r="H80" s="34"/>
      <c r="O80" s="34"/>
      <c r="P80" s="3" t="str">
        <f>IFERROR(__xludf.DUMMYFUNCTION("""COMPUTED_VALUE"""),"Yvelines")</f>
        <v>Yvelines</v>
      </c>
      <c r="Q80" s="37">
        <f>IFERROR(__xludf.DUMMYFUNCTION("""COMPUTED_VALUE"""),0.026)</f>
        <v>0.026</v>
      </c>
      <c r="R80" s="34"/>
    </row>
    <row r="81">
      <c r="A81" s="3">
        <f>IFERROR(__xludf.DUMMYFUNCTION("""COMPUTED_VALUE"""),80.0)</f>
        <v>80</v>
      </c>
      <c r="B81" s="3" t="str">
        <f>IFERROR(__xludf.DUMMYFUNCTION("""COMPUTED_VALUE"""),"CODE VEIN II")</f>
        <v>CODE VEIN II</v>
      </c>
      <c r="C81" s="3" t="str">
        <f>IFERROR(__xludf.DUMMYFUNCTION("""COMPUTED_VALUE"""),"Jan 29, 2026")</f>
        <v>Jan 29, 2026</v>
      </c>
      <c r="D81" s="3" t="str">
        <f>IFERROR(__xludf.DUMMYFUNCTION("""COMPUTED_VALUE"""),"$69.99")</f>
        <v>$69.99</v>
      </c>
      <c r="E81" s="3" t="str">
        <f>IFERROR(__xludf.DUMMYFUNCTION("""COMPUTED_VALUE"""),"N/A (N/A)")</f>
        <v>N/A (N/A)</v>
      </c>
      <c r="F81" s="3" t="str">
        <f>IFERROR(__xludf.DUMMYFUNCTION("""COMPUTED_VALUE"""),"0 .. 20,000")</f>
        <v>0 .. 20,000</v>
      </c>
      <c r="G81" s="3" t="str">
        <f>IFERROR(__xludf.DUMMYFUNCTION("""COMPUTED_VALUE"""),"18:20 (23:55)")</f>
        <v>18:20 (23:55)</v>
      </c>
      <c r="H81" s="34"/>
      <c r="O81" s="34"/>
      <c r="P81" s="3" t="str">
        <f>IFERROR(__xludf.DUMMYFUNCTION("""COMPUTED_VALUE"""),"Deux-Sèvres")</f>
        <v>Deux-Sèvres</v>
      </c>
      <c r="Q81" s="37">
        <f>IFERROR(__xludf.DUMMYFUNCTION("""COMPUTED_VALUE"""),0.061)</f>
        <v>0.061</v>
      </c>
      <c r="R81" s="34"/>
    </row>
    <row r="82">
      <c r="A82" s="3">
        <f>IFERROR(__xludf.DUMMYFUNCTION("""COMPUTED_VALUE"""),81.0)</f>
        <v>81</v>
      </c>
      <c r="B82" s="3" t="str">
        <f>IFERROR(__xludf.DUMMYFUNCTION("""COMPUTED_VALUE"""),"The 9th Charnel")</f>
        <v>The 9th Charnel</v>
      </c>
      <c r="C82" s="3" t="str">
        <f>IFERROR(__xludf.DUMMYFUNCTION("""COMPUTED_VALUE"""),"Jan 29, 2026")</f>
        <v>Jan 29, 2026</v>
      </c>
      <c r="D82" s="3" t="str">
        <f>IFERROR(__xludf.DUMMYFUNCTION("""COMPUTED_VALUE"""),"$17.99")</f>
        <v>$17.99</v>
      </c>
      <c r="E82" s="3" t="str">
        <f>IFERROR(__xludf.DUMMYFUNCTION("""COMPUTED_VALUE"""),"N/A (N/A)")</f>
        <v>N/A (N/A)</v>
      </c>
      <c r="F82" s="3" t="str">
        <f>IFERROR(__xludf.DUMMYFUNCTION("""COMPUTED_VALUE"""),"0 .. 20,000")</f>
        <v>0 .. 20,000</v>
      </c>
      <c r="G82" s="3" t="str">
        <f>IFERROR(__xludf.DUMMYFUNCTION("""COMPUTED_VALUE"""),"00:00 (00:00)")</f>
        <v>00:00 (00:00)</v>
      </c>
      <c r="H82" s="34"/>
      <c r="O82" s="34"/>
      <c r="P82" s="3" t="str">
        <f>IFERROR(__xludf.DUMMYFUNCTION("""COMPUTED_VALUE"""),"Somme")</f>
        <v>Somme</v>
      </c>
      <c r="Q82" s="37">
        <f>IFERROR(__xludf.DUMMYFUNCTION("""COMPUTED_VALUE"""),-0.006)</f>
        <v>-0.006</v>
      </c>
      <c r="R82" s="34"/>
    </row>
    <row r="83">
      <c r="A83" s="3">
        <f>IFERROR(__xludf.DUMMYFUNCTION("""COMPUTED_VALUE"""),82.0)</f>
        <v>82</v>
      </c>
      <c r="B83" s="3" t="str">
        <f>IFERROR(__xludf.DUMMYFUNCTION("""COMPUTED_VALUE"""),"Cairn")</f>
        <v>Cairn</v>
      </c>
      <c r="C83" s="3" t="str">
        <f>IFERROR(__xludf.DUMMYFUNCTION("""COMPUTED_VALUE"""),"Jan 29, 2026")</f>
        <v>Jan 29, 2026</v>
      </c>
      <c r="D83" s="3" t="str">
        <f>IFERROR(__xludf.DUMMYFUNCTION("""COMPUTED_VALUE"""),"$26.99")</f>
        <v>$26.99</v>
      </c>
      <c r="E83" s="3" t="str">
        <f>IFERROR(__xludf.DUMMYFUNCTION("""COMPUTED_VALUE"""),"N/A (N/A)")</f>
        <v>N/A (N/A)</v>
      </c>
      <c r="F83" s="3" t="str">
        <f>IFERROR(__xludf.DUMMYFUNCTION("""COMPUTED_VALUE"""),"0 .. 20,000")</f>
        <v>0 .. 20,000</v>
      </c>
      <c r="G83" s="3" t="str">
        <f>IFERROR(__xludf.DUMMYFUNCTION("""COMPUTED_VALUE"""),"08:28 (05:03)")</f>
        <v>08:28 (05:03)</v>
      </c>
      <c r="H83" s="34"/>
      <c r="O83" s="34"/>
      <c r="P83" s="3" t="str">
        <f>IFERROR(__xludf.DUMMYFUNCTION("""COMPUTED_VALUE"""),"Tarn")</f>
        <v>Tarn</v>
      </c>
      <c r="Q83" s="37">
        <f>IFERROR(__xludf.DUMMYFUNCTION("""COMPUTED_VALUE"""),0.027)</f>
        <v>0.027</v>
      </c>
      <c r="R83" s="34"/>
    </row>
    <row r="84">
      <c r="A84" s="3">
        <f>IFERROR(__xludf.DUMMYFUNCTION("""COMPUTED_VALUE"""),83.0)</f>
        <v>83</v>
      </c>
      <c r="B84" s="3" t="str">
        <f>IFERROR(__xludf.DUMMYFUNCTION("""COMPUTED_VALUE"""),"Terraformental")</f>
        <v>Terraformental</v>
      </c>
      <c r="C84" s="3" t="str">
        <f>IFERROR(__xludf.DUMMYFUNCTION("""COMPUTED_VALUE"""),"Jan 28, 2026")</f>
        <v>Jan 28, 2026</v>
      </c>
      <c r="D84" s="3" t="str">
        <f>IFERROR(__xludf.DUMMYFUNCTION("""COMPUTED_VALUE"""),"$5.99")</f>
        <v>$5.99</v>
      </c>
      <c r="E84" s="3" t="str">
        <f>IFERROR(__xludf.DUMMYFUNCTION("""COMPUTED_VALUE"""),"N/A (N/A)")</f>
        <v>N/A (N/A)</v>
      </c>
      <c r="F84" s="3" t="str">
        <f>IFERROR(__xludf.DUMMYFUNCTION("""COMPUTED_VALUE"""),"0 .. 20,000")</f>
        <v>0 .. 20,000</v>
      </c>
      <c r="G84" s="3" t="str">
        <f>IFERROR(__xludf.DUMMYFUNCTION("""COMPUTED_VALUE"""),"00:00 (00:00)")</f>
        <v>00:00 (00:00)</v>
      </c>
      <c r="H84" s="34"/>
      <c r="O84" s="34"/>
      <c r="P84" s="3" t="str">
        <f>IFERROR(__xludf.DUMMYFUNCTION("""COMPUTED_VALUE"""),"Tarn-et-Garonne")</f>
        <v>Tarn-et-Garonne</v>
      </c>
      <c r="Q84" s="37">
        <f>IFERROR(__xludf.DUMMYFUNCTION("""COMPUTED_VALUE"""),0.038)</f>
        <v>0.038</v>
      </c>
      <c r="R84" s="34"/>
    </row>
    <row r="85">
      <c r="A85" s="3">
        <f>IFERROR(__xludf.DUMMYFUNCTION("""COMPUTED_VALUE"""),84.0)</f>
        <v>84</v>
      </c>
      <c r="B85" s="3" t="str">
        <f>IFERROR(__xludf.DUMMYFUNCTION("""COMPUTED_VALUE"""),"HELLMART")</f>
        <v>HELLMART</v>
      </c>
      <c r="C85" s="3" t="str">
        <f>IFERROR(__xludf.DUMMYFUNCTION("""COMPUTED_VALUE"""),"Jan 28, 2026")</f>
        <v>Jan 28, 2026</v>
      </c>
      <c r="D85" s="3" t="str">
        <f>IFERROR(__xludf.DUMMYFUNCTION("""COMPUTED_VALUE"""),"$13.49")</f>
        <v>$13.49</v>
      </c>
      <c r="E85" s="3" t="str">
        <f>IFERROR(__xludf.DUMMYFUNCTION("""COMPUTED_VALUE"""),"N/A (N/A)")</f>
        <v>N/A (N/A)</v>
      </c>
      <c r="F85" s="3" t="str">
        <f>IFERROR(__xludf.DUMMYFUNCTION("""COMPUTED_VALUE"""),"0 .. 20,000")</f>
        <v>0 .. 20,000</v>
      </c>
      <c r="G85" s="3" t="str">
        <f>IFERROR(__xludf.DUMMYFUNCTION("""COMPUTED_VALUE"""),"03:39 (03:38)")</f>
        <v>03:39 (03:38)</v>
      </c>
      <c r="H85" s="34"/>
      <c r="O85" s="34"/>
      <c r="P85" s="3" t="str">
        <f>IFERROR(__xludf.DUMMYFUNCTION("""COMPUTED_VALUE"""),"Var")</f>
        <v>Var</v>
      </c>
      <c r="Q85" s="37">
        <f>IFERROR(__xludf.DUMMYFUNCTION("""COMPUTED_VALUE"""),0.068)</f>
        <v>0.068</v>
      </c>
      <c r="R85" s="34"/>
    </row>
    <row r="86">
      <c r="A86" s="3">
        <f>IFERROR(__xludf.DUMMYFUNCTION("""COMPUTED_VALUE"""),85.0)</f>
        <v>85</v>
      </c>
      <c r="B86" s="3" t="str">
        <f>IFERROR(__xludf.DUMMYFUNCTION("""COMPUTED_VALUE"""),"My Cute Roommate 2")</f>
        <v>My Cute Roommate 2</v>
      </c>
      <c r="C86" s="3" t="str">
        <f>IFERROR(__xludf.DUMMYFUNCTION("""COMPUTED_VALUE"""),"Jan 28, 2026")</f>
        <v>Jan 28, 2026</v>
      </c>
      <c r="D86" s="3" t="str">
        <f>IFERROR(__xludf.DUMMYFUNCTION("""COMPUTED_VALUE"""),"$24.99")</f>
        <v>$24.99</v>
      </c>
      <c r="E86" s="3" t="str">
        <f>IFERROR(__xludf.DUMMYFUNCTION("""COMPUTED_VALUE"""),"N/A (N/A)")</f>
        <v>N/A (N/A)</v>
      </c>
      <c r="F86" s="3" t="str">
        <f>IFERROR(__xludf.DUMMYFUNCTION("""COMPUTED_VALUE"""),"0 .. 20,000")</f>
        <v>0 .. 20,000</v>
      </c>
      <c r="G86" s="3" t="str">
        <f>IFERROR(__xludf.DUMMYFUNCTION("""COMPUTED_VALUE"""),"00:00 (00:00)")</f>
        <v>00:00 (00:00)</v>
      </c>
      <c r="H86" s="34"/>
      <c r="O86" s="34"/>
      <c r="P86" s="3" t="str">
        <f>IFERROR(__xludf.DUMMYFUNCTION("""COMPUTED_VALUE"""),"Vaucluse")</f>
        <v>Vaucluse</v>
      </c>
      <c r="Q86" s="37">
        <f>IFERROR(__xludf.DUMMYFUNCTION("""COMPUTED_VALUE"""),0.015)</f>
        <v>0.015</v>
      </c>
      <c r="R86" s="34"/>
    </row>
    <row r="87">
      <c r="A87" s="3">
        <f>IFERROR(__xludf.DUMMYFUNCTION("""COMPUTED_VALUE"""),86.0)</f>
        <v>86</v>
      </c>
      <c r="B87" s="3" t="str">
        <f>IFERROR(__xludf.DUMMYFUNCTION("""COMPUTED_VALUE"""),"Bogos Binted?")</f>
        <v>Bogos Binted?</v>
      </c>
      <c r="C87" s="3" t="str">
        <f>IFERROR(__xludf.DUMMYFUNCTION("""COMPUTED_VALUE"""),"Jan 28, 2026")</f>
        <v>Jan 28, 2026</v>
      </c>
      <c r="D87" s="3" t="str">
        <f>IFERROR(__xludf.DUMMYFUNCTION("""COMPUTED_VALUE"""),"$2.74")</f>
        <v>$2.74</v>
      </c>
      <c r="E87" s="3" t="str">
        <f>IFERROR(__xludf.DUMMYFUNCTION("""COMPUTED_VALUE"""),"N/A (N/A)")</f>
        <v>N/A (N/A)</v>
      </c>
      <c r="F87" s="3" t="str">
        <f>IFERROR(__xludf.DUMMYFUNCTION("""COMPUTED_VALUE"""),"0 .. 20,000")</f>
        <v>0 .. 20,000</v>
      </c>
      <c r="G87" s="3" t="str">
        <f>IFERROR(__xludf.DUMMYFUNCTION("""COMPUTED_VALUE"""),"01:27 (01:54)")</f>
        <v>01:27 (01:54)</v>
      </c>
      <c r="H87" s="34"/>
      <c r="O87" s="34"/>
      <c r="P87" s="3" t="str">
        <f>IFERROR(__xludf.DUMMYFUNCTION("""COMPUTED_VALUE"""),"Vendée")</f>
        <v>Vendée</v>
      </c>
      <c r="Q87" s="37">
        <f>IFERROR(__xludf.DUMMYFUNCTION("""COMPUTED_VALUE"""),0.09)</f>
        <v>0.09</v>
      </c>
      <c r="R87" s="34"/>
    </row>
    <row r="88">
      <c r="A88" s="3">
        <f>IFERROR(__xludf.DUMMYFUNCTION("""COMPUTED_VALUE"""),87.0)</f>
        <v>87</v>
      </c>
      <c r="B88" s="3" t="str">
        <f>IFERROR(__xludf.DUMMYFUNCTION("""COMPUTED_VALUE"""),"Cleaning Simulator")</f>
        <v>Cleaning Simulator</v>
      </c>
      <c r="C88" s="3" t="str">
        <f>IFERROR(__xludf.DUMMYFUNCTION("""COMPUTED_VALUE"""),"Jan 28, 2026")</f>
        <v>Jan 28, 2026</v>
      </c>
      <c r="D88" s="3" t="str">
        <f>IFERROR(__xludf.DUMMYFUNCTION("""COMPUTED_VALUE"""),"$7.19")</f>
        <v>$7.19</v>
      </c>
      <c r="E88" s="3" t="str">
        <f>IFERROR(__xludf.DUMMYFUNCTION("""COMPUTED_VALUE"""),"N/A (N/A)")</f>
        <v>N/A (N/A)</v>
      </c>
      <c r="F88" s="3" t="str">
        <f>IFERROR(__xludf.DUMMYFUNCTION("""COMPUTED_VALUE"""),"0 .. 20,000")</f>
        <v>0 .. 20,000</v>
      </c>
      <c r="G88" s="3" t="str">
        <f>IFERROR(__xludf.DUMMYFUNCTION("""COMPUTED_VALUE"""),"00:00 (00:00)")</f>
        <v>00:00 (00:00)</v>
      </c>
      <c r="H88" s="34"/>
      <c r="O88" s="34"/>
      <c r="P88" s="3" t="str">
        <f>IFERROR(__xludf.DUMMYFUNCTION("""COMPUTED_VALUE"""),"Vienne")</f>
        <v>Vienne</v>
      </c>
      <c r="Q88" s="37">
        <f>IFERROR(__xludf.DUMMYFUNCTION("""COMPUTED_VALUE"""),0.021)</f>
        <v>0.021</v>
      </c>
      <c r="R88" s="34"/>
    </row>
    <row r="89">
      <c r="A89" s="3">
        <f>IFERROR(__xludf.DUMMYFUNCTION("""COMPUTED_VALUE"""),88.0)</f>
        <v>88</v>
      </c>
      <c r="B89" s="3" t="str">
        <f>IFERROR(__xludf.DUMMYFUNCTION("""COMPUTED_VALUE"""),"Labyrinth of Touhou Tri -The Dreaming Girls &amp; The Mysterious Orbs-")</f>
        <v>Labyrinth of Touhou Tri -The Dreaming Girls &amp; The Mysterious Orbs-</v>
      </c>
      <c r="C89" s="3" t="str">
        <f>IFERROR(__xludf.DUMMYFUNCTION("""COMPUTED_VALUE"""),"Jan 28, 2026")</f>
        <v>Jan 28, 2026</v>
      </c>
      <c r="D89" s="3" t="str">
        <f>IFERROR(__xludf.DUMMYFUNCTION("""COMPUTED_VALUE"""),"$19.99")</f>
        <v>$19.99</v>
      </c>
      <c r="E89" s="3" t="str">
        <f>IFERROR(__xludf.DUMMYFUNCTION("""COMPUTED_VALUE"""),"N/A (N/A)")</f>
        <v>N/A (N/A)</v>
      </c>
      <c r="F89" s="3" t="str">
        <f>IFERROR(__xludf.DUMMYFUNCTION("""COMPUTED_VALUE"""),"0 .. 20,000")</f>
        <v>0 .. 20,000</v>
      </c>
      <c r="G89" s="3" t="str">
        <f>IFERROR(__xludf.DUMMYFUNCTION("""COMPUTED_VALUE"""),"04:28 (05:57)")</f>
        <v>04:28 (05:57)</v>
      </c>
      <c r="H89" s="34"/>
      <c r="O89" s="34"/>
      <c r="P89" s="3" t="str">
        <f>IFERROR(__xludf.DUMMYFUNCTION("""COMPUTED_VALUE"""),"Haute-Vienne")</f>
        <v>Haute-Vienne</v>
      </c>
      <c r="Q89" s="37">
        <f>IFERROR(__xludf.DUMMYFUNCTION("""COMPUTED_VALUE"""),0.009)</f>
        <v>0.009</v>
      </c>
      <c r="R89" s="34"/>
    </row>
    <row r="90">
      <c r="A90" s="3">
        <f>IFERROR(__xludf.DUMMYFUNCTION("""COMPUTED_VALUE"""),89.0)</f>
        <v>89</v>
      </c>
      <c r="B90" s="3" t="str">
        <f>IFERROR(__xludf.DUMMYFUNCTION("""COMPUTED_VALUE"""),"5omeday")</f>
        <v>5omeday</v>
      </c>
      <c r="C90" s="3" t="str">
        <f>IFERROR(__xludf.DUMMYFUNCTION("""COMPUTED_VALUE"""),"Jan 28, 2026")</f>
        <v>Jan 28, 2026</v>
      </c>
      <c r="D90" s="3" t="str">
        <f>IFERROR(__xludf.DUMMYFUNCTION("""COMPUTED_VALUE"""),"$4.79")</f>
        <v>$4.79</v>
      </c>
      <c r="E90" s="3" t="str">
        <f>IFERROR(__xludf.DUMMYFUNCTION("""COMPUTED_VALUE"""),"N/A (N/A)")</f>
        <v>N/A (N/A)</v>
      </c>
      <c r="F90" s="3" t="str">
        <f>IFERROR(__xludf.DUMMYFUNCTION("""COMPUTED_VALUE"""),"0 .. 20,000")</f>
        <v>0 .. 20,000</v>
      </c>
      <c r="G90" s="3" t="str">
        <f>IFERROR(__xludf.DUMMYFUNCTION("""COMPUTED_VALUE"""),"00:07 (00:07)")</f>
        <v>00:07 (00:07)</v>
      </c>
      <c r="H90" s="34"/>
      <c r="O90" s="34"/>
      <c r="P90" s="3" t="str">
        <f>IFERROR(__xludf.DUMMYFUNCTION("""COMPUTED_VALUE"""),"Vosges")</f>
        <v>Vosges</v>
      </c>
      <c r="Q90" s="37">
        <f>IFERROR(__xludf.DUMMYFUNCTION("""COMPUTED_VALUE"""),0.02)</f>
        <v>0.02</v>
      </c>
      <c r="R90" s="34"/>
    </row>
    <row r="91">
      <c r="A91" s="3">
        <f>IFERROR(__xludf.DUMMYFUNCTION("""COMPUTED_VALUE"""),90.0)</f>
        <v>90</v>
      </c>
      <c r="B91" s="3" t="str">
        <f>IFERROR(__xludf.DUMMYFUNCTION("""COMPUTED_VALUE"""),"The Midnight Walkers")</f>
        <v>The Midnight Walkers</v>
      </c>
      <c r="C91" s="3" t="str">
        <f>IFERROR(__xludf.DUMMYFUNCTION("""COMPUTED_VALUE"""),"Jan 28, 2026")</f>
        <v>Jan 28, 2026</v>
      </c>
      <c r="D91" s="3" t="str">
        <f>IFERROR(__xludf.DUMMYFUNCTION("""COMPUTED_VALUE"""),"$15.99")</f>
        <v>$15.99</v>
      </c>
      <c r="E91" s="3" t="str">
        <f>IFERROR(__xludf.DUMMYFUNCTION("""COMPUTED_VALUE"""),"N/A (N/A)")</f>
        <v>N/A (N/A)</v>
      </c>
      <c r="F91" s="3" t="str">
        <f>IFERROR(__xludf.DUMMYFUNCTION("""COMPUTED_VALUE"""),"0 .. 20,000")</f>
        <v>0 .. 20,000</v>
      </c>
      <c r="G91" s="3" t="str">
        <f>IFERROR(__xludf.DUMMYFUNCTION("""COMPUTED_VALUE"""),"03:03 (03:02)")</f>
        <v>03:03 (03:02)</v>
      </c>
      <c r="H91" s="34"/>
      <c r="O91" s="34"/>
      <c r="P91" s="3" t="str">
        <f>IFERROR(__xludf.DUMMYFUNCTION("""COMPUTED_VALUE"""),"Yonne")</f>
        <v>Yonne</v>
      </c>
      <c r="Q91" s="37">
        <f>IFERROR(__xludf.DUMMYFUNCTION("""COMPUTED_VALUE"""),0.025)</f>
        <v>0.025</v>
      </c>
      <c r="R91" s="34"/>
    </row>
    <row r="92">
      <c r="A92" s="3">
        <f>IFERROR(__xludf.DUMMYFUNCTION("""COMPUTED_VALUE"""),91.0)</f>
        <v>91</v>
      </c>
      <c r="B92" s="3" t="str">
        <f>IFERROR(__xludf.DUMMYFUNCTION("""COMPUTED_VALUE"""),"Dark Auction")</f>
        <v>Dark Auction</v>
      </c>
      <c r="C92" s="3" t="str">
        <f>IFERROR(__xludf.DUMMYFUNCTION("""COMPUTED_VALUE"""),"Jan 28, 2026")</f>
        <v>Jan 28, 2026</v>
      </c>
      <c r="D92" s="3" t="str">
        <f>IFERROR(__xludf.DUMMYFUNCTION("""COMPUTED_VALUE"""),"$31.49")</f>
        <v>$31.49</v>
      </c>
      <c r="E92" s="3" t="str">
        <f>IFERROR(__xludf.DUMMYFUNCTION("""COMPUTED_VALUE"""),"N/A (N/A)")</f>
        <v>N/A (N/A)</v>
      </c>
      <c r="F92" s="3" t="str">
        <f>IFERROR(__xludf.DUMMYFUNCTION("""COMPUTED_VALUE"""),"0 .. 20,000")</f>
        <v>0 .. 20,000</v>
      </c>
      <c r="G92" s="3" t="str">
        <f>IFERROR(__xludf.DUMMYFUNCTION("""COMPUTED_VALUE"""),"00:00 (00:00)")</f>
        <v>00:00 (00:00)</v>
      </c>
      <c r="H92" s="34"/>
      <c r="O92" s="34"/>
      <c r="P92" s="3" t="str">
        <f>IFERROR(__xludf.DUMMYFUNCTION("""COMPUTED_VALUE"""),"Territoire de Belfort")</f>
        <v>Territoire de Belfort</v>
      </c>
      <c r="Q92" s="37">
        <f>IFERROR(__xludf.DUMMYFUNCTION("""COMPUTED_VALUE"""),0.04)</f>
        <v>0.04</v>
      </c>
      <c r="R92" s="34"/>
    </row>
    <row r="93">
      <c r="A93" s="3">
        <f>IFERROR(__xludf.DUMMYFUNCTION("""COMPUTED_VALUE"""),92.0)</f>
        <v>92</v>
      </c>
      <c r="B93" s="3" t="str">
        <f>IFERROR(__xludf.DUMMYFUNCTION("""COMPUTED_VALUE"""),"Re-Activated")</f>
        <v>Re-Activated</v>
      </c>
      <c r="C93" s="3" t="str">
        <f>IFERROR(__xludf.DUMMYFUNCTION("""COMPUTED_VALUE"""),"Jan 28, 2026")</f>
        <v>Jan 28, 2026</v>
      </c>
      <c r="D93" s="3" t="str">
        <f>IFERROR(__xludf.DUMMYFUNCTION("""COMPUTED_VALUE"""),"$7.99")</f>
        <v>$7.99</v>
      </c>
      <c r="E93" s="3" t="str">
        <f>IFERROR(__xludf.DUMMYFUNCTION("""COMPUTED_VALUE"""),"N/A (N/A)")</f>
        <v>N/A (N/A)</v>
      </c>
      <c r="F93" s="3" t="str">
        <f>IFERROR(__xludf.DUMMYFUNCTION("""COMPUTED_VALUE"""),"0 .. 20,000")</f>
        <v>0 .. 20,000</v>
      </c>
      <c r="G93" s="3" t="str">
        <f>IFERROR(__xludf.DUMMYFUNCTION("""COMPUTED_VALUE"""),"00:00 (00:00)")</f>
        <v>00:00 (00:00)</v>
      </c>
      <c r="H93" s="34"/>
      <c r="O93" s="34"/>
      <c r="P93" s="3" t="str">
        <f>IFERROR(__xludf.DUMMYFUNCTION("""COMPUTED_VALUE"""),"Essonne")</f>
        <v>Essonne</v>
      </c>
      <c r="Q93" s="37">
        <f>IFERROR(__xludf.DUMMYFUNCTION("""COMPUTED_VALUE"""),0.072)</f>
        <v>0.072</v>
      </c>
      <c r="R93" s="34"/>
    </row>
    <row r="94">
      <c r="A94" s="3">
        <f>IFERROR(__xludf.DUMMYFUNCTION("""COMPUTED_VALUE"""),93.0)</f>
        <v>93</v>
      </c>
      <c r="B94" s="3" t="str">
        <f>IFERROR(__xludf.DUMMYFUNCTION("""COMPUTED_VALUE"""),"Nova Antarctica")</f>
        <v>Nova Antarctica</v>
      </c>
      <c r="C94" s="3" t="str">
        <f>IFERROR(__xludf.DUMMYFUNCTION("""COMPUTED_VALUE"""),"Jan 28, 2026")</f>
        <v>Jan 28, 2026</v>
      </c>
      <c r="D94" s="3" t="str">
        <f>IFERROR(__xludf.DUMMYFUNCTION("""COMPUTED_VALUE"""),"$19.99")</f>
        <v>$19.99</v>
      </c>
      <c r="E94" s="3" t="str">
        <f>IFERROR(__xludf.DUMMYFUNCTION("""COMPUTED_VALUE"""),"N/A (N/A)")</f>
        <v>N/A (N/A)</v>
      </c>
      <c r="F94" s="3" t="str">
        <f>IFERROR(__xludf.DUMMYFUNCTION("""COMPUTED_VALUE"""),"0 .. 20,000")</f>
        <v>0 .. 20,000</v>
      </c>
      <c r="G94" s="3" t="str">
        <f>IFERROR(__xludf.DUMMYFUNCTION("""COMPUTED_VALUE"""),"00:00 (00:00)")</f>
        <v>00:00 (00:00)</v>
      </c>
      <c r="H94" s="34"/>
      <c r="O94" s="34"/>
      <c r="P94" s="3" t="str">
        <f>IFERROR(__xludf.DUMMYFUNCTION("""COMPUTED_VALUE"""),"Hauts-de-Seine")</f>
        <v>Hauts-de-Seine</v>
      </c>
      <c r="Q94" s="37">
        <f>IFERROR(__xludf.DUMMYFUNCTION("""COMPUTED_VALUE"""),0.013)</f>
        <v>0.013</v>
      </c>
      <c r="R94" s="34"/>
    </row>
    <row r="95">
      <c r="A95" s="3">
        <f>IFERROR(__xludf.DUMMYFUNCTION("""COMPUTED_VALUE"""),94.0)</f>
        <v>94</v>
      </c>
      <c r="B95" s="3" t="str">
        <f>IFERROR(__xludf.DUMMYFUNCTION("""COMPUTED_VALUE"""),"School Days")</f>
        <v>School Days</v>
      </c>
      <c r="C95" s="3" t="str">
        <f>IFERROR(__xludf.DUMMYFUNCTION("""COMPUTED_VALUE"""),"Jan 28, 2026")</f>
        <v>Jan 28, 2026</v>
      </c>
      <c r="D95" s="3" t="str">
        <f>IFERROR(__xludf.DUMMYFUNCTION("""COMPUTED_VALUE"""),"$9.59")</f>
        <v>$9.59</v>
      </c>
      <c r="E95" s="3" t="str">
        <f>IFERROR(__xludf.DUMMYFUNCTION("""COMPUTED_VALUE"""),"N/A (N/A)")</f>
        <v>N/A (N/A)</v>
      </c>
      <c r="F95" s="3" t="str">
        <f>IFERROR(__xludf.DUMMYFUNCTION("""COMPUTED_VALUE"""),"100,000 .. 200,000")</f>
        <v>100,000 .. 200,000</v>
      </c>
      <c r="G95" s="3" t="str">
        <f>IFERROR(__xludf.DUMMYFUNCTION("""COMPUTED_VALUE"""),"09:53 (07:02)")</f>
        <v>09:53 (07:02)</v>
      </c>
      <c r="H95" s="34"/>
      <c r="O95" s="34"/>
      <c r="P95" s="3" t="str">
        <f>IFERROR(__xludf.DUMMYFUNCTION("""COMPUTED_VALUE"""),"Seine-Saint-Denis")</f>
        <v>Seine-Saint-Denis</v>
      </c>
      <c r="Q95" s="37">
        <f>IFERROR(__xludf.DUMMYFUNCTION("""COMPUTED_VALUE"""),0.015)</f>
        <v>0.015</v>
      </c>
      <c r="R95" s="34"/>
    </row>
    <row r="96">
      <c r="A96" s="3">
        <f>IFERROR(__xludf.DUMMYFUNCTION("""COMPUTED_VALUE"""),95.0)</f>
        <v>95</v>
      </c>
      <c r="B96" s="3" t="str">
        <f>IFERROR(__xludf.DUMMYFUNCTION("""COMPUTED_VALUE"""),"Carnage in Space: Crucible")</f>
        <v>Carnage in Space: Crucible</v>
      </c>
      <c r="C96" s="3" t="str">
        <f>IFERROR(__xludf.DUMMYFUNCTION("""COMPUTED_VALUE"""),"Jan 28, 2026")</f>
        <v>Jan 28, 2026</v>
      </c>
      <c r="D96" s="3" t="str">
        <f>IFERROR(__xludf.DUMMYFUNCTION("""COMPUTED_VALUE"""),"$13.99")</f>
        <v>$13.99</v>
      </c>
      <c r="E96" s="3" t="str">
        <f>IFERROR(__xludf.DUMMYFUNCTION("""COMPUTED_VALUE"""),"N/A (N/A)")</f>
        <v>N/A (N/A)</v>
      </c>
      <c r="F96" s="3" t="str">
        <f>IFERROR(__xludf.DUMMYFUNCTION("""COMPUTED_VALUE"""),"0 .. 20,000")</f>
        <v>0 .. 20,000</v>
      </c>
      <c r="G96" s="3" t="str">
        <f>IFERROR(__xludf.DUMMYFUNCTION("""COMPUTED_VALUE"""),"00:00 (00:00)")</f>
        <v>00:00 (00:00)</v>
      </c>
      <c r="H96" s="34"/>
      <c r="O96" s="34"/>
      <c r="P96" s="3" t="str">
        <f>IFERROR(__xludf.DUMMYFUNCTION("""COMPUTED_VALUE"""),"Val-de-Marne")</f>
        <v>Val-de-Marne</v>
      </c>
      <c r="Q96" s="37">
        <f>IFERROR(__xludf.DUMMYFUNCTION("""COMPUTED_VALUE"""),-0.024)</f>
        <v>-0.024</v>
      </c>
      <c r="R96" s="34"/>
    </row>
    <row r="97">
      <c r="A97" s="3">
        <f>IFERROR(__xludf.DUMMYFUNCTION("""COMPUTED_VALUE"""),96.0)</f>
        <v>96</v>
      </c>
      <c r="B97" s="3" t="str">
        <f>IFERROR(__xludf.DUMMYFUNCTION("""COMPUTED_VALUE"""),"Omi Oh My AI")</f>
        <v>Omi Oh My AI</v>
      </c>
      <c r="C97" s="3" t="str">
        <f>IFERROR(__xludf.DUMMYFUNCTION("""COMPUTED_VALUE"""),"Jan 28, 2026")</f>
        <v>Jan 28, 2026</v>
      </c>
      <c r="D97" s="3" t="str">
        <f>IFERROR(__xludf.DUMMYFUNCTION("""COMPUTED_VALUE"""),"$9.99")</f>
        <v>$9.99</v>
      </c>
      <c r="E97" s="3" t="str">
        <f>IFERROR(__xludf.DUMMYFUNCTION("""COMPUTED_VALUE"""),"N/A (N/A)")</f>
        <v>N/A (N/A)</v>
      </c>
      <c r="F97" s="3" t="str">
        <f>IFERROR(__xludf.DUMMYFUNCTION("""COMPUTED_VALUE"""),"0 .. 20,000")</f>
        <v>0 .. 20,000</v>
      </c>
      <c r="G97" s="3" t="str">
        <f>IFERROR(__xludf.DUMMYFUNCTION("""COMPUTED_VALUE"""),"00:00 (00:00)")</f>
        <v>00:00 (00:00)</v>
      </c>
      <c r="H97" s="34"/>
      <c r="O97" s="34"/>
      <c r="P97" s="3" t="str">
        <f>IFERROR(__xludf.DUMMYFUNCTION("""COMPUTED_VALUE"""),"Val-d'Oise")</f>
        <v>Val-d'Oise</v>
      </c>
      <c r="Q97" s="37">
        <f>IFERROR(__xludf.DUMMYFUNCTION("""COMPUTED_VALUE"""),0.052)</f>
        <v>0.052</v>
      </c>
      <c r="R97" s="34"/>
    </row>
    <row r="98">
      <c r="A98" s="3">
        <f>IFERROR(__xludf.DUMMYFUNCTION("""COMPUTED_VALUE"""),97.0)</f>
        <v>97</v>
      </c>
      <c r="B98" s="3" t="str">
        <f>IFERROR(__xludf.DUMMYFUNCTION("""COMPUTED_VALUE"""),"Fighties 2")</f>
        <v>Fighties 2</v>
      </c>
      <c r="C98" s="3" t="str">
        <f>IFERROR(__xludf.DUMMYFUNCTION("""COMPUTED_VALUE"""),"Jan 28, 2026")</f>
        <v>Jan 28, 2026</v>
      </c>
      <c r="D98" s="3" t="str">
        <f>IFERROR(__xludf.DUMMYFUNCTION("""COMPUTED_VALUE"""),"$10.79")</f>
        <v>$10.79</v>
      </c>
      <c r="E98" s="3" t="str">
        <f>IFERROR(__xludf.DUMMYFUNCTION("""COMPUTED_VALUE"""),"N/A (N/A)")</f>
        <v>N/A (N/A)</v>
      </c>
      <c r="F98" s="3" t="str">
        <f>IFERROR(__xludf.DUMMYFUNCTION("""COMPUTED_VALUE"""),"0 .. 20,000")</f>
        <v>0 .. 20,000</v>
      </c>
      <c r="G98" s="3" t="str">
        <f>IFERROR(__xludf.DUMMYFUNCTION("""COMPUTED_VALUE"""),"00:00 (00:00)")</f>
        <v>00:00 (00:00)</v>
      </c>
      <c r="H98" s="34"/>
      <c r="O98" s="34"/>
      <c r="P98" s="3" t="str">
        <f>IFERROR(__xludf.DUMMYFUNCTION("""COMPUTED_VALUE"""),"Guadeloupe")</f>
        <v>Guadeloupe</v>
      </c>
      <c r="Q98" s="37">
        <f>IFERROR(__xludf.DUMMYFUNCTION("""COMPUTED_VALUE"""),0.114)</f>
        <v>0.114</v>
      </c>
      <c r="R98" s="34"/>
    </row>
    <row r="99">
      <c r="A99" s="3">
        <f>IFERROR(__xludf.DUMMYFUNCTION("""COMPUTED_VALUE"""),98.0)</f>
        <v>98</v>
      </c>
      <c r="B99" s="3" t="str">
        <f>IFERROR(__xludf.DUMMYFUNCTION("""COMPUTED_VALUE"""),"Project: Gorgon")</f>
        <v>Project: Gorgon</v>
      </c>
      <c r="C99" s="3" t="str">
        <f>IFERROR(__xludf.DUMMYFUNCTION("""COMPUTED_VALUE"""),"Jan 28, 2026")</f>
        <v>Jan 28, 2026</v>
      </c>
      <c r="D99" s="3" t="str">
        <f>IFERROR(__xludf.DUMMYFUNCTION("""COMPUTED_VALUE"""),"$24.99")</f>
        <v>$24.99</v>
      </c>
      <c r="E99" s="3" t="str">
        <f>IFERROR(__xludf.DUMMYFUNCTION("""COMPUTED_VALUE"""),"N/A (N/A)")</f>
        <v>N/A (N/A)</v>
      </c>
      <c r="F99" s="3" t="str">
        <f>IFERROR(__xludf.DUMMYFUNCTION("""COMPUTED_VALUE"""),"20,000 .. 50,000")</f>
        <v>20,000 .. 50,000</v>
      </c>
      <c r="G99" s="3" t="str">
        <f>IFERROR(__xludf.DUMMYFUNCTION("""COMPUTED_VALUE"""),"01:30 (02:13)")</f>
        <v>01:30 (02:13)</v>
      </c>
      <c r="H99" s="34"/>
      <c r="O99" s="34"/>
      <c r="P99" s="3" t="str">
        <f>IFERROR(__xludf.DUMMYFUNCTION("""COMPUTED_VALUE"""),"Martinique")</f>
        <v>Martinique</v>
      </c>
      <c r="Q99" s="37">
        <f>IFERROR(__xludf.DUMMYFUNCTION("""COMPUTED_VALUE"""),0.072)</f>
        <v>0.072</v>
      </c>
      <c r="R99" s="34"/>
    </row>
    <row r="100">
      <c r="A100" s="3">
        <f>IFERROR(__xludf.DUMMYFUNCTION("""COMPUTED_VALUE"""),99.0)</f>
        <v>99</v>
      </c>
      <c r="B100" s="3" t="str">
        <f>IFERROR(__xludf.DUMMYFUNCTION("""COMPUTED_VALUE"""),"Climbing Is Hard")</f>
        <v>Climbing Is Hard</v>
      </c>
      <c r="C100" s="3" t="str">
        <f>IFERROR(__xludf.DUMMYFUNCTION("""COMPUTED_VALUE"""),"Jan 27, 2026")</f>
        <v>Jan 27, 2026</v>
      </c>
      <c r="D100" s="3" t="str">
        <f>IFERROR(__xludf.DUMMYFUNCTION("""COMPUTED_VALUE"""),"$4.99")</f>
        <v>$4.99</v>
      </c>
      <c r="E100" s="3" t="str">
        <f>IFERROR(__xludf.DUMMYFUNCTION("""COMPUTED_VALUE"""),"N/A (N/A)")</f>
        <v>N/A (N/A)</v>
      </c>
      <c r="F100" s="3" t="str">
        <f>IFERROR(__xludf.DUMMYFUNCTION("""COMPUTED_VALUE"""),"0 .. 20,000")</f>
        <v>0 .. 20,000</v>
      </c>
      <c r="G100" s="3" t="str">
        <f>IFERROR(__xludf.DUMMYFUNCTION("""COMPUTED_VALUE"""),"00:00 (00:00)")</f>
        <v>00:00 (00:00)</v>
      </c>
      <c r="H100" s="34"/>
      <c r="O100" s="34"/>
      <c r="P100" s="3" t="str">
        <f>IFERROR(__xludf.DUMMYFUNCTION("""COMPUTED_VALUE"""),"Guyane")</f>
        <v>Guyane</v>
      </c>
      <c r="Q100" s="37">
        <f>IFERROR(__xludf.DUMMYFUNCTION("""COMPUTED_VALUE"""),0.171)</f>
        <v>0.171</v>
      </c>
      <c r="R100" s="34"/>
    </row>
    <row r="101">
      <c r="A101" s="3">
        <f>IFERROR(__xludf.DUMMYFUNCTION("""COMPUTED_VALUE"""),100.0)</f>
        <v>100</v>
      </c>
      <c r="B101" s="3" t="str">
        <f>IFERROR(__xludf.DUMMYFUNCTION("""COMPUTED_VALUE"""),"Earth Must Die")</f>
        <v>Earth Must Die</v>
      </c>
      <c r="C101" s="3" t="str">
        <f>IFERROR(__xludf.DUMMYFUNCTION("""COMPUTED_VALUE"""),"Jan 27, 2026")</f>
        <v>Jan 27, 2026</v>
      </c>
      <c r="D101" s="3" t="str">
        <f>IFERROR(__xludf.DUMMYFUNCTION("""COMPUTED_VALUE"""),"$11.99")</f>
        <v>$11.99</v>
      </c>
      <c r="E101" s="3" t="str">
        <f>IFERROR(__xludf.DUMMYFUNCTION("""COMPUTED_VALUE"""),"N/A (N/A)")</f>
        <v>N/A (N/A)</v>
      </c>
      <c r="F101" s="3" t="str">
        <f>IFERROR(__xludf.DUMMYFUNCTION("""COMPUTED_VALUE"""),"0 .. 20,000")</f>
        <v>0 .. 20,000</v>
      </c>
      <c r="G101" s="3" t="str">
        <f>IFERROR(__xludf.DUMMYFUNCTION("""COMPUTED_VALUE"""),"00:00 (00:00)")</f>
        <v>00:00 (00:00)</v>
      </c>
      <c r="H101" s="34"/>
      <c r="O101" s="34"/>
      <c r="P101" s="3" t="str">
        <f>IFERROR(__xludf.DUMMYFUNCTION("""COMPUTED_VALUE"""),"La Réunion")</f>
        <v>La Réunion</v>
      </c>
      <c r="Q101" s="37">
        <f>IFERROR(__xludf.DUMMYFUNCTION("""COMPUTED_VALUE"""),0.082)</f>
        <v>0.082</v>
      </c>
      <c r="R101" s="34"/>
    </row>
    <row r="102">
      <c r="A102" s="3">
        <f>IFERROR(__xludf.DUMMYFUNCTION("""COMPUTED_VALUE"""),101.0)</f>
        <v>101</v>
      </c>
      <c r="B102" s="3" t="str">
        <f>IFERROR(__xludf.DUMMYFUNCTION("""COMPUTED_VALUE"""),"Millennium Dream")</f>
        <v>Millennium Dream</v>
      </c>
      <c r="C102" s="3" t="str">
        <f>IFERROR(__xludf.DUMMYFUNCTION("""COMPUTED_VALUE"""),"Jan 27, 2026")</f>
        <v>Jan 27, 2026</v>
      </c>
      <c r="D102" s="3" t="str">
        <f>IFERROR(__xludf.DUMMYFUNCTION("""COMPUTED_VALUE"""),"$7.99")</f>
        <v>$7.99</v>
      </c>
      <c r="E102" s="3" t="str">
        <f>IFERROR(__xludf.DUMMYFUNCTION("""COMPUTED_VALUE"""),"N/A (N/A)")</f>
        <v>N/A (N/A)</v>
      </c>
      <c r="F102" s="3" t="str">
        <f>IFERROR(__xludf.DUMMYFUNCTION("""COMPUTED_VALUE"""),"0 .. 20,000")</f>
        <v>0 .. 20,000</v>
      </c>
      <c r="G102" s="3" t="str">
        <f>IFERROR(__xludf.DUMMYFUNCTION("""COMPUTED_VALUE"""),"02:13 (01:52)")</f>
        <v>02:13 (01:52)</v>
      </c>
      <c r="H102" s="34"/>
      <c r="O102" s="34"/>
      <c r="P102" s="3" t="str">
        <f>IFERROR(__xludf.DUMMYFUNCTION("""COMPUTED_VALUE"""),"Mayotte")</f>
        <v>Mayotte</v>
      </c>
      <c r="Q102" s="37">
        <f>IFERROR(__xludf.DUMMYFUNCTION("""COMPUTED_VALUE"""),0.209)</f>
        <v>0.209</v>
      </c>
      <c r="R102" s="34"/>
    </row>
    <row r="103">
      <c r="A103" s="3">
        <f>IFERROR(__xludf.DUMMYFUNCTION("""COMPUTED_VALUE"""),102.0)</f>
        <v>102</v>
      </c>
      <c r="B103" s="3" t="str">
        <f>IFERROR(__xludf.DUMMYFUNCTION("""COMPUTED_VALUE"""),"Conquest Tactics : Realm of Sin")</f>
        <v>Conquest Tactics : Realm of Sin</v>
      </c>
      <c r="C103" s="3" t="str">
        <f>IFERROR(__xludf.DUMMYFUNCTION("""COMPUTED_VALUE"""),"Jan 27, 2026")</f>
        <v>Jan 27, 2026</v>
      </c>
      <c r="D103" s="3" t="str">
        <f>IFERROR(__xludf.DUMMYFUNCTION("""COMPUTED_VALUE"""),"$14.99")</f>
        <v>$14.99</v>
      </c>
      <c r="E103" s="3" t="str">
        <f>IFERROR(__xludf.DUMMYFUNCTION("""COMPUTED_VALUE"""),"N/A (N/A)")</f>
        <v>N/A (N/A)</v>
      </c>
      <c r="F103" s="3" t="str">
        <f>IFERROR(__xludf.DUMMYFUNCTION("""COMPUTED_VALUE"""),"0 .. 20,000")</f>
        <v>0 .. 20,000</v>
      </c>
      <c r="G103" s="3" t="str">
        <f>IFERROR(__xludf.DUMMYFUNCTION("""COMPUTED_VALUE"""),"00:00 (00:00)")</f>
        <v>00:00 (00:00)</v>
      </c>
      <c r="H103" s="34"/>
      <c r="O103" s="34"/>
      <c r="R103" s="34"/>
    </row>
    <row r="104">
      <c r="A104" s="3">
        <f>IFERROR(__xludf.DUMMYFUNCTION("""COMPUTED_VALUE"""),103.0)</f>
        <v>103</v>
      </c>
      <c r="B104" s="3" t="str">
        <f>IFERROR(__xludf.DUMMYFUNCTION("""COMPUTED_VALUE"""),"Dust &amp; Courage: Jake Bolton’s Journey")</f>
        <v>Dust &amp; Courage: Jake Bolton’s Journey</v>
      </c>
      <c r="C104" s="3" t="str">
        <f>IFERROR(__xludf.DUMMYFUNCTION("""COMPUTED_VALUE"""),"Jan 27, 2026")</f>
        <v>Jan 27, 2026</v>
      </c>
      <c r="D104" s="3" t="str">
        <f>IFERROR(__xludf.DUMMYFUNCTION("""COMPUTED_VALUE"""),"$7.99")</f>
        <v>$7.99</v>
      </c>
      <c r="E104" s="3" t="str">
        <f>IFERROR(__xludf.DUMMYFUNCTION("""COMPUTED_VALUE"""),"N/A (N/A)")</f>
        <v>N/A (N/A)</v>
      </c>
      <c r="F104" s="3" t="str">
        <f>IFERROR(__xludf.DUMMYFUNCTION("""COMPUTED_VALUE"""),"50,000 .. 100,000")</f>
        <v>50,000 .. 100,000</v>
      </c>
      <c r="G104" s="3" t="str">
        <f>IFERROR(__xludf.DUMMYFUNCTION("""COMPUTED_VALUE"""),"00:00 (00:00)")</f>
        <v>00:00 (00:00)</v>
      </c>
      <c r="H104" s="34"/>
      <c r="O104" s="34"/>
      <c r="R104" s="34"/>
    </row>
    <row r="105">
      <c r="A105" s="3">
        <f>IFERROR(__xludf.DUMMYFUNCTION("""COMPUTED_VALUE"""),104.0)</f>
        <v>104</v>
      </c>
      <c r="B105" s="3" t="str">
        <f>IFERROR(__xludf.DUMMYFUNCTION("""COMPUTED_VALUE"""),"Echoes of Elysium")</f>
        <v>Echoes of Elysium</v>
      </c>
      <c r="C105" s="3" t="str">
        <f>IFERROR(__xludf.DUMMYFUNCTION("""COMPUTED_VALUE"""),"Jan 27, 2026")</f>
        <v>Jan 27, 2026</v>
      </c>
      <c r="D105" s="3" t="str">
        <f>IFERROR(__xludf.DUMMYFUNCTION("""COMPUTED_VALUE"""),"$19.99")</f>
        <v>$19.99</v>
      </c>
      <c r="E105" s="3" t="str">
        <f>IFERROR(__xludf.DUMMYFUNCTION("""COMPUTED_VALUE"""),"N/A (N/A)")</f>
        <v>N/A (N/A)</v>
      </c>
      <c r="F105" s="3" t="str">
        <f>IFERROR(__xludf.DUMMYFUNCTION("""COMPUTED_VALUE"""),"0 .. 20,000")</f>
        <v>0 .. 20,000</v>
      </c>
      <c r="G105" s="3" t="str">
        <f>IFERROR(__xludf.DUMMYFUNCTION("""COMPUTED_VALUE"""),"19:26 (19:26)")</f>
        <v>19:26 (19:26)</v>
      </c>
      <c r="H105" s="34"/>
      <c r="O105" s="34"/>
      <c r="R105" s="34"/>
    </row>
    <row r="106">
      <c r="A106" s="3">
        <f>IFERROR(__xludf.DUMMYFUNCTION("""COMPUTED_VALUE"""),105.0)</f>
        <v>105</v>
      </c>
      <c r="B106" s="3" t="str">
        <f>IFERROR(__xludf.DUMMYFUNCTION("""COMPUTED_VALUE"""),"Roots Devour")</f>
        <v>Roots Devour</v>
      </c>
      <c r="C106" s="3" t="str">
        <f>IFERROR(__xludf.DUMMYFUNCTION("""COMPUTED_VALUE"""),"Jan 27, 2026")</f>
        <v>Jan 27, 2026</v>
      </c>
      <c r="D106" s="3" t="str">
        <f>IFERROR(__xludf.DUMMYFUNCTION("""COMPUTED_VALUE"""),"$13.49")</f>
        <v>$13.49</v>
      </c>
      <c r="E106" s="3" t="str">
        <f>IFERROR(__xludf.DUMMYFUNCTION("""COMPUTED_VALUE"""),"N/A (N/A)")</f>
        <v>N/A (N/A)</v>
      </c>
      <c r="F106" s="3" t="str">
        <f>IFERROR(__xludf.DUMMYFUNCTION("""COMPUTED_VALUE"""),"0 .. 20,000")</f>
        <v>0 .. 20,000</v>
      </c>
      <c r="G106" s="3" t="str">
        <f>IFERROR(__xludf.DUMMYFUNCTION("""COMPUTED_VALUE"""),"09:05 (11:52)")</f>
        <v>09:05 (11:52)</v>
      </c>
      <c r="H106" s="34"/>
      <c r="O106" s="34"/>
      <c r="R106" s="34"/>
    </row>
    <row r="107">
      <c r="A107" s="3">
        <f>IFERROR(__xludf.DUMMYFUNCTION("""COMPUTED_VALUE"""),106.0)</f>
        <v>106</v>
      </c>
      <c r="B107" s="3" t="str">
        <f>IFERROR(__xludf.DUMMYFUNCTION("""COMPUTED_VALUE"""),"Pirate Patrol")</f>
        <v>Pirate Patrol</v>
      </c>
      <c r="C107" s="3" t="str">
        <f>IFERROR(__xludf.DUMMYFUNCTION("""COMPUTED_VALUE"""),"Jan 27, 2026")</f>
        <v>Jan 27, 2026</v>
      </c>
      <c r="D107" s="3" t="str">
        <f>IFERROR(__xludf.DUMMYFUNCTION("""COMPUTED_VALUE"""),"$8.99")</f>
        <v>$8.99</v>
      </c>
      <c r="E107" s="3" t="str">
        <f>IFERROR(__xludf.DUMMYFUNCTION("""COMPUTED_VALUE"""),"N/A (N/A)")</f>
        <v>N/A (N/A)</v>
      </c>
      <c r="F107" s="3" t="str">
        <f>IFERROR(__xludf.DUMMYFUNCTION("""COMPUTED_VALUE"""),"0 .. 20,000")</f>
        <v>0 .. 20,000</v>
      </c>
      <c r="G107" s="3" t="str">
        <f>IFERROR(__xludf.DUMMYFUNCTION("""COMPUTED_VALUE"""),"00:00 (00:00)")</f>
        <v>00:00 (00:00)</v>
      </c>
      <c r="H107" s="34"/>
      <c r="O107" s="34"/>
      <c r="R107" s="34"/>
    </row>
    <row r="108">
      <c r="A108" s="3">
        <f>IFERROR(__xludf.DUMMYFUNCTION("""COMPUTED_VALUE"""),107.0)</f>
        <v>107</v>
      </c>
      <c r="B108" s="3" t="str">
        <f>IFERROR(__xludf.DUMMYFUNCTION("""COMPUTED_VALUE"""),"Rightfully, Beary Arms")</f>
        <v>Rightfully, Beary Arms</v>
      </c>
      <c r="C108" s="3" t="str">
        <f>IFERROR(__xludf.DUMMYFUNCTION("""COMPUTED_VALUE"""),"Jan 27, 2026")</f>
        <v>Jan 27, 2026</v>
      </c>
      <c r="D108" s="3" t="str">
        <f>IFERROR(__xludf.DUMMYFUNCTION("""COMPUTED_VALUE"""),"$5.99")</f>
        <v>$5.99</v>
      </c>
      <c r="E108" s="3" t="str">
        <f>IFERROR(__xludf.DUMMYFUNCTION("""COMPUTED_VALUE"""),"N/A (N/A)")</f>
        <v>N/A (N/A)</v>
      </c>
      <c r="F108" s="3" t="str">
        <f>IFERROR(__xludf.DUMMYFUNCTION("""COMPUTED_VALUE"""),"0 .. 20,000")</f>
        <v>0 .. 20,000</v>
      </c>
      <c r="G108" s="3" t="str">
        <f>IFERROR(__xludf.DUMMYFUNCTION("""COMPUTED_VALUE"""),"00:00 (00:00)")</f>
        <v>00:00 (00:00)</v>
      </c>
      <c r="H108" s="34"/>
      <c r="O108" s="34"/>
      <c r="R108" s="34"/>
    </row>
    <row r="109">
      <c r="A109" s="3">
        <f>IFERROR(__xludf.DUMMYFUNCTION("""COMPUTED_VALUE"""),108.0)</f>
        <v>108</v>
      </c>
      <c r="B109" s="3" t="str">
        <f>IFERROR(__xludf.DUMMYFUNCTION("""COMPUTED_VALUE"""),"Speedball")</f>
        <v>Speedball</v>
      </c>
      <c r="C109" s="3" t="str">
        <f>IFERROR(__xludf.DUMMYFUNCTION("""COMPUTED_VALUE"""),"Jan 27, 2026")</f>
        <v>Jan 27, 2026</v>
      </c>
      <c r="D109" s="3" t="str">
        <f>IFERROR(__xludf.DUMMYFUNCTION("""COMPUTED_VALUE"""),"$29.99")</f>
        <v>$29.99</v>
      </c>
      <c r="E109" s="3" t="str">
        <f>IFERROR(__xludf.DUMMYFUNCTION("""COMPUTED_VALUE"""),"N/A (N/A)")</f>
        <v>N/A (N/A)</v>
      </c>
      <c r="F109" s="3" t="str">
        <f>IFERROR(__xludf.DUMMYFUNCTION("""COMPUTED_VALUE"""),"0 .. 20,000")</f>
        <v>0 .. 20,000</v>
      </c>
      <c r="G109" s="3" t="str">
        <f>IFERROR(__xludf.DUMMYFUNCTION("""COMPUTED_VALUE"""),"00:00 (00:00)")</f>
        <v>00:00 (00:00)</v>
      </c>
      <c r="H109" s="34"/>
      <c r="O109" s="34"/>
      <c r="R109" s="34"/>
    </row>
    <row r="110">
      <c r="A110" s="3">
        <f>IFERROR(__xludf.DUMMYFUNCTION("""COMPUTED_VALUE"""),109.0)</f>
        <v>109</v>
      </c>
      <c r="B110" s="3" t="str">
        <f>IFERROR(__xludf.DUMMYFUNCTION("""COMPUTED_VALUE"""),"THE SPIRIT LIFT")</f>
        <v>THE SPIRIT LIFT</v>
      </c>
      <c r="C110" s="3" t="str">
        <f>IFERROR(__xludf.DUMMYFUNCTION("""COMPUTED_VALUE"""),"Jan 27, 2026")</f>
        <v>Jan 27, 2026</v>
      </c>
      <c r="D110" s="3" t="str">
        <f>IFERROR(__xludf.DUMMYFUNCTION("""COMPUTED_VALUE"""),"$17.99")</f>
        <v>$17.99</v>
      </c>
      <c r="E110" s="3" t="str">
        <f>IFERROR(__xludf.DUMMYFUNCTION("""COMPUTED_VALUE"""),"N/A (N/A)")</f>
        <v>N/A (N/A)</v>
      </c>
      <c r="F110" s="3" t="str">
        <f>IFERROR(__xludf.DUMMYFUNCTION("""COMPUTED_VALUE"""),"0 .. 20,000")</f>
        <v>0 .. 20,000</v>
      </c>
      <c r="G110" s="3" t="str">
        <f>IFERROR(__xludf.DUMMYFUNCTION("""COMPUTED_VALUE"""),"00:00 (00:00)")</f>
        <v>00:00 (00:00)</v>
      </c>
      <c r="H110" s="34"/>
      <c r="O110" s="34"/>
      <c r="R110" s="34"/>
    </row>
    <row r="111">
      <c r="A111" s="3">
        <f>IFERROR(__xludf.DUMMYFUNCTION("""COMPUTED_VALUE"""),110.0)</f>
        <v>110</v>
      </c>
      <c r="B111" s="3" t="str">
        <f>IFERROR(__xludf.DUMMYFUNCTION("""COMPUTED_VALUE"""),"Underground Garage")</f>
        <v>Underground Garage</v>
      </c>
      <c r="C111" s="3" t="str">
        <f>IFERROR(__xludf.DUMMYFUNCTION("""COMPUTED_VALUE"""),"Jan 27, 2026")</f>
        <v>Jan 27, 2026</v>
      </c>
      <c r="D111" s="3" t="str">
        <f>IFERROR(__xludf.DUMMYFUNCTION("""COMPUTED_VALUE"""),"$16.24")</f>
        <v>$16.24</v>
      </c>
      <c r="E111" s="3" t="str">
        <f>IFERROR(__xludf.DUMMYFUNCTION("""COMPUTED_VALUE"""),"N/A (N/A)")</f>
        <v>N/A (N/A)</v>
      </c>
      <c r="F111" s="3" t="str">
        <f>IFERROR(__xludf.DUMMYFUNCTION("""COMPUTED_VALUE"""),"0 .. 20,000")</f>
        <v>0 .. 20,000</v>
      </c>
      <c r="G111" s="3" t="str">
        <f>IFERROR(__xludf.DUMMYFUNCTION("""COMPUTED_VALUE"""),"01:13 (00:24)")</f>
        <v>01:13 (00:24)</v>
      </c>
      <c r="H111" s="34"/>
      <c r="O111" s="34"/>
      <c r="R111" s="34"/>
    </row>
    <row r="112">
      <c r="A112" s="3">
        <f>IFERROR(__xludf.DUMMYFUNCTION("""COMPUTED_VALUE"""),111.0)</f>
        <v>111</v>
      </c>
      <c r="B112" s="3" t="str">
        <f>IFERROR(__xludf.DUMMYFUNCTION("""COMPUTED_VALUE"""),"Task Force Admiral - Vol.1: American Carrier Battles")</f>
        <v>Task Force Admiral - Vol.1: American Carrier Battles</v>
      </c>
      <c r="C112" s="3" t="str">
        <f>IFERROR(__xludf.DUMMYFUNCTION("""COMPUTED_VALUE"""),"Jan 27, 2026")</f>
        <v>Jan 27, 2026</v>
      </c>
      <c r="D112" s="3" t="str">
        <f>IFERROR(__xludf.DUMMYFUNCTION("""COMPUTED_VALUE"""),"$35.99")</f>
        <v>$35.99</v>
      </c>
      <c r="E112" s="3" t="str">
        <f>IFERROR(__xludf.DUMMYFUNCTION("""COMPUTED_VALUE"""),"N/A (N/A)")</f>
        <v>N/A (N/A)</v>
      </c>
      <c r="F112" s="3" t="str">
        <f>IFERROR(__xludf.DUMMYFUNCTION("""COMPUTED_VALUE"""),"0 .. 20,000")</f>
        <v>0 .. 20,000</v>
      </c>
      <c r="G112" s="3" t="str">
        <f>IFERROR(__xludf.DUMMYFUNCTION("""COMPUTED_VALUE"""),"00:10 (00:05)")</f>
        <v>00:10 (00:05)</v>
      </c>
      <c r="H112" s="34"/>
      <c r="O112" s="34"/>
      <c r="R112" s="34"/>
    </row>
    <row r="113">
      <c r="A113" s="3">
        <f>IFERROR(__xludf.DUMMYFUNCTION("""COMPUTED_VALUE"""),112.0)</f>
        <v>112</v>
      </c>
      <c r="B113" s="3" t="str">
        <f>IFERROR(__xludf.DUMMYFUNCTION("""COMPUTED_VALUE"""),"Run TavernQuest")</f>
        <v>Run TavernQuest</v>
      </c>
      <c r="C113" s="3" t="str">
        <f>IFERROR(__xludf.DUMMYFUNCTION("""COMPUTED_VALUE"""),"Jan 27, 2026")</f>
        <v>Jan 27, 2026</v>
      </c>
      <c r="D113" s="3" t="str">
        <f>IFERROR(__xludf.DUMMYFUNCTION("""COMPUTED_VALUE"""),"$11.04")</f>
        <v>$11.04</v>
      </c>
      <c r="E113" s="3" t="str">
        <f>IFERROR(__xludf.DUMMYFUNCTION("""COMPUTED_VALUE"""),"N/A (N/A)")</f>
        <v>N/A (N/A)</v>
      </c>
      <c r="F113" s="3" t="str">
        <f>IFERROR(__xludf.DUMMYFUNCTION("""COMPUTED_VALUE"""),"0 .. 20,000")</f>
        <v>0 .. 20,000</v>
      </c>
      <c r="G113" s="3" t="str">
        <f>IFERROR(__xludf.DUMMYFUNCTION("""COMPUTED_VALUE"""),"00:00 (00:00)")</f>
        <v>00:00 (00:00)</v>
      </c>
      <c r="H113" s="34"/>
      <c r="O113" s="34"/>
      <c r="R113" s="34"/>
    </row>
    <row r="114">
      <c r="A114" s="3">
        <f>IFERROR(__xludf.DUMMYFUNCTION("""COMPUTED_VALUE"""),113.0)</f>
        <v>113</v>
      </c>
      <c r="B114" s="3" t="str">
        <f>IFERROR(__xludf.DUMMYFUNCTION("""COMPUTED_VALUE"""),"CALLUS")</f>
        <v>CALLUS</v>
      </c>
      <c r="C114" s="3" t="str">
        <f>IFERROR(__xludf.DUMMYFUNCTION("""COMPUTED_VALUE"""),"Jan 26, 2026")</f>
        <v>Jan 26, 2026</v>
      </c>
      <c r="D114" s="3" t="str">
        <f>IFERROR(__xludf.DUMMYFUNCTION("""COMPUTED_VALUE"""),"$5.94")</f>
        <v>$5.94</v>
      </c>
      <c r="E114" s="3" t="str">
        <f>IFERROR(__xludf.DUMMYFUNCTION("""COMPUTED_VALUE"""),"N/A (N/A)")</f>
        <v>N/A (N/A)</v>
      </c>
      <c r="F114" s="3" t="str">
        <f>IFERROR(__xludf.DUMMYFUNCTION("""COMPUTED_VALUE"""),"0 .. 20,000")</f>
        <v>0 .. 20,000</v>
      </c>
      <c r="G114" s="3" t="str">
        <f>IFERROR(__xludf.DUMMYFUNCTION("""COMPUTED_VALUE"""),"00:00 (00:00)")</f>
        <v>00:00 (00:00)</v>
      </c>
      <c r="H114" s="34"/>
      <c r="O114" s="34"/>
      <c r="R114" s="34"/>
    </row>
    <row r="115">
      <c r="A115" s="3">
        <f>IFERROR(__xludf.DUMMYFUNCTION("""COMPUTED_VALUE"""),114.0)</f>
        <v>114</v>
      </c>
      <c r="B115" s="3" t="str">
        <f>IFERROR(__xludf.DUMMYFUNCTION("""COMPUTED_VALUE"""),"OVER THE TOWER")</f>
        <v>OVER THE TOWER</v>
      </c>
      <c r="C115" s="3" t="str">
        <f>IFERROR(__xludf.DUMMYFUNCTION("""COMPUTED_VALUE"""),"Jan 26, 2026")</f>
        <v>Jan 26, 2026</v>
      </c>
      <c r="D115" s="3" t="str">
        <f>IFERROR(__xludf.DUMMYFUNCTION("""COMPUTED_VALUE"""),"$3.59")</f>
        <v>$3.59</v>
      </c>
      <c r="E115" s="3" t="str">
        <f>IFERROR(__xludf.DUMMYFUNCTION("""COMPUTED_VALUE"""),"N/A (N/A)")</f>
        <v>N/A (N/A)</v>
      </c>
      <c r="F115" s="3" t="str">
        <f>IFERROR(__xludf.DUMMYFUNCTION("""COMPUTED_VALUE"""),"0 .. 20,000")</f>
        <v>0 .. 20,000</v>
      </c>
      <c r="G115" s="3" t="str">
        <f>IFERROR(__xludf.DUMMYFUNCTION("""COMPUTED_VALUE"""),"00:00 (00:00)")</f>
        <v>00:00 (00:00)</v>
      </c>
      <c r="H115" s="34"/>
      <c r="O115" s="34"/>
      <c r="R115" s="34"/>
    </row>
    <row r="116">
      <c r="A116" s="3">
        <f>IFERROR(__xludf.DUMMYFUNCTION("""COMPUTED_VALUE"""),115.0)</f>
        <v>115</v>
      </c>
      <c r="B116" s="3" t="str">
        <f>IFERROR(__xludf.DUMMYFUNCTION("""COMPUTED_VALUE"""),"Hundred Doors")</f>
        <v>Hundred Doors</v>
      </c>
      <c r="C116" s="3" t="str">
        <f>IFERROR(__xludf.DUMMYFUNCTION("""COMPUTED_VALUE"""),"Jan 26, 2026")</f>
        <v>Jan 26, 2026</v>
      </c>
      <c r="D116" s="3" t="str">
        <f>IFERROR(__xludf.DUMMYFUNCTION("""COMPUTED_VALUE"""),"$4.99")</f>
        <v>$4.99</v>
      </c>
      <c r="E116" s="3" t="str">
        <f>IFERROR(__xludf.DUMMYFUNCTION("""COMPUTED_VALUE"""),"N/A (N/A)")</f>
        <v>N/A (N/A)</v>
      </c>
      <c r="F116" s="3" t="str">
        <f>IFERROR(__xludf.DUMMYFUNCTION("""COMPUTED_VALUE"""),"0 .. 20,000")</f>
        <v>0 .. 20,000</v>
      </c>
      <c r="G116" s="3" t="str">
        <f>IFERROR(__xludf.DUMMYFUNCTION("""COMPUTED_VALUE"""),"00:00 (00:00)")</f>
        <v>00:00 (00:00)</v>
      </c>
      <c r="H116" s="34"/>
      <c r="O116" s="34"/>
      <c r="R116" s="34"/>
    </row>
    <row r="117">
      <c r="A117" s="3">
        <f>IFERROR(__xludf.DUMMYFUNCTION("""COMPUTED_VALUE"""),116.0)</f>
        <v>116</v>
      </c>
      <c r="B117" s="3" t="str">
        <f>IFERROR(__xludf.DUMMYFUNCTION("""COMPUTED_VALUE"""),"Rebound Hell")</f>
        <v>Rebound Hell</v>
      </c>
      <c r="C117" s="3" t="str">
        <f>IFERROR(__xludf.DUMMYFUNCTION("""COMPUTED_VALUE"""),"Jan 26, 2026")</f>
        <v>Jan 26, 2026</v>
      </c>
      <c r="D117" s="3" t="str">
        <f>IFERROR(__xludf.DUMMYFUNCTION("""COMPUTED_VALUE"""),"$2.99")</f>
        <v>$2.99</v>
      </c>
      <c r="E117" s="3" t="str">
        <f>IFERROR(__xludf.DUMMYFUNCTION("""COMPUTED_VALUE"""),"N/A (N/A)")</f>
        <v>N/A (N/A)</v>
      </c>
      <c r="F117" s="3" t="str">
        <f>IFERROR(__xludf.DUMMYFUNCTION("""COMPUTED_VALUE"""),"0 .. 20,000")</f>
        <v>0 .. 20,000</v>
      </c>
      <c r="G117" s="3" t="str">
        <f>IFERROR(__xludf.DUMMYFUNCTION("""COMPUTED_VALUE"""),"00:00 (00:00)")</f>
        <v>00:00 (00:00)</v>
      </c>
      <c r="H117" s="34"/>
      <c r="O117" s="34"/>
      <c r="R117" s="34"/>
    </row>
    <row r="118">
      <c r="A118" s="3">
        <f>IFERROR(__xludf.DUMMYFUNCTION("""COMPUTED_VALUE"""),117.0)</f>
        <v>117</v>
      </c>
      <c r="B118" s="3" t="str">
        <f>IFERROR(__xludf.DUMMYFUNCTION("""COMPUTED_VALUE"""),"My Tiny Landscape")</f>
        <v>My Tiny Landscape</v>
      </c>
      <c r="C118" s="3" t="str">
        <f>IFERROR(__xludf.DUMMYFUNCTION("""COMPUTED_VALUE"""),"Jan 26, 2026")</f>
        <v>Jan 26, 2026</v>
      </c>
      <c r="D118" s="3" t="str">
        <f>IFERROR(__xludf.DUMMYFUNCTION("""COMPUTED_VALUE"""),"$3.99")</f>
        <v>$3.99</v>
      </c>
      <c r="E118" s="3" t="str">
        <f>IFERROR(__xludf.DUMMYFUNCTION("""COMPUTED_VALUE"""),"N/A (N/A)")</f>
        <v>N/A (N/A)</v>
      </c>
      <c r="F118" s="3" t="str">
        <f>IFERROR(__xludf.DUMMYFUNCTION("""COMPUTED_VALUE"""),"0 .. 20,000")</f>
        <v>0 .. 20,000</v>
      </c>
      <c r="G118" s="3" t="str">
        <f>IFERROR(__xludf.DUMMYFUNCTION("""COMPUTED_VALUE"""),"00:00 (00:00)")</f>
        <v>00:00 (00:00)</v>
      </c>
      <c r="H118" s="34"/>
      <c r="O118" s="34"/>
      <c r="R118" s="34"/>
    </row>
    <row r="119">
      <c r="A119" s="3">
        <f>IFERROR(__xludf.DUMMYFUNCTION("""COMPUTED_VALUE"""),118.0)</f>
        <v>118</v>
      </c>
      <c r="B119" s="3" t="str">
        <f>IFERROR(__xludf.DUMMYFUNCTION("""COMPUTED_VALUE"""),"The Way of Knight")</f>
        <v>The Way of Knight</v>
      </c>
      <c r="C119" s="3" t="str">
        <f>IFERROR(__xludf.DUMMYFUNCTION("""COMPUTED_VALUE"""),"Jan 26, 2026")</f>
        <v>Jan 26, 2026</v>
      </c>
      <c r="D119" s="3" t="str">
        <f>IFERROR(__xludf.DUMMYFUNCTION("""COMPUTED_VALUE"""),"$4.49")</f>
        <v>$4.49</v>
      </c>
      <c r="E119" s="3" t="str">
        <f>IFERROR(__xludf.DUMMYFUNCTION("""COMPUTED_VALUE"""),"N/A (N/A)")</f>
        <v>N/A (N/A)</v>
      </c>
      <c r="F119" s="3" t="str">
        <f>IFERROR(__xludf.DUMMYFUNCTION("""COMPUTED_VALUE"""),"0 .. 20,000")</f>
        <v>0 .. 20,000</v>
      </c>
      <c r="G119" s="3" t="str">
        <f>IFERROR(__xludf.DUMMYFUNCTION("""COMPUTED_VALUE"""),"00:00 (00:00)")</f>
        <v>00:00 (00:00)</v>
      </c>
      <c r="H119" s="34"/>
      <c r="O119" s="34"/>
      <c r="R119" s="34"/>
    </row>
    <row r="120">
      <c r="A120" s="3">
        <f>IFERROR(__xludf.DUMMYFUNCTION("""COMPUTED_VALUE"""),119.0)</f>
        <v>119</v>
      </c>
      <c r="B120" s="3" t="str">
        <f>IFERROR(__xludf.DUMMYFUNCTION("""COMPUTED_VALUE"""),"Forsaken Facilities")</f>
        <v>Forsaken Facilities</v>
      </c>
      <c r="C120" s="3" t="str">
        <f>IFERROR(__xludf.DUMMYFUNCTION("""COMPUTED_VALUE"""),"Jan 26, 2026")</f>
        <v>Jan 26, 2026</v>
      </c>
      <c r="D120" s="3" t="str">
        <f>IFERROR(__xludf.DUMMYFUNCTION("""COMPUTED_VALUE"""),"$0.99")</f>
        <v>$0.99</v>
      </c>
      <c r="E120" s="3" t="str">
        <f>IFERROR(__xludf.DUMMYFUNCTION("""COMPUTED_VALUE"""),"N/A (N/A)")</f>
        <v>N/A (N/A)</v>
      </c>
      <c r="F120" s="3" t="str">
        <f>IFERROR(__xludf.DUMMYFUNCTION("""COMPUTED_VALUE"""),"0 .. 20,000")</f>
        <v>0 .. 20,000</v>
      </c>
      <c r="G120" s="3" t="str">
        <f>IFERROR(__xludf.DUMMYFUNCTION("""COMPUTED_VALUE"""),"00:00 (00:00)")</f>
        <v>00:00 (00:00)</v>
      </c>
      <c r="H120" s="34"/>
      <c r="O120" s="34"/>
      <c r="R120" s="34"/>
    </row>
    <row r="121">
      <c r="A121" s="3">
        <f>IFERROR(__xludf.DUMMYFUNCTION("""COMPUTED_VALUE"""),120.0)</f>
        <v>120</v>
      </c>
      <c r="B121" s="3" t="str">
        <f>IFERROR(__xludf.DUMMYFUNCTION("""COMPUTED_VALUE"""),"HackHub - Ultimate Hacker Simulator")</f>
        <v>HackHub - Ultimate Hacker Simulator</v>
      </c>
      <c r="C121" s="3" t="str">
        <f>IFERROR(__xludf.DUMMYFUNCTION("""COMPUTED_VALUE"""),"Jan 26, 2026")</f>
        <v>Jan 26, 2026</v>
      </c>
      <c r="D121" s="3" t="str">
        <f>IFERROR(__xludf.DUMMYFUNCTION("""COMPUTED_VALUE"""),"$10.19")</f>
        <v>$10.19</v>
      </c>
      <c r="E121" s="3" t="str">
        <f>IFERROR(__xludf.DUMMYFUNCTION("""COMPUTED_VALUE"""),"N/A (N/A)")</f>
        <v>N/A (N/A)</v>
      </c>
      <c r="F121" s="3" t="str">
        <f>IFERROR(__xludf.DUMMYFUNCTION("""COMPUTED_VALUE"""),"0 .. 20,000")</f>
        <v>0 .. 20,000</v>
      </c>
      <c r="G121" s="3" t="str">
        <f>IFERROR(__xludf.DUMMYFUNCTION("""COMPUTED_VALUE"""),"12:42 (12:42)")</f>
        <v>12:42 (12:42)</v>
      </c>
      <c r="H121" s="34"/>
      <c r="O121" s="34"/>
      <c r="R121" s="34"/>
    </row>
    <row r="122">
      <c r="A122" s="3">
        <f>IFERROR(__xludf.DUMMYFUNCTION("""COMPUTED_VALUE"""),121.0)</f>
        <v>121</v>
      </c>
      <c r="B122" s="3" t="str">
        <f>IFERROR(__xludf.DUMMYFUNCTION("""COMPUTED_VALUE"""),"Soul's Chronicle: Immortal Slayer")</f>
        <v>Soul's Chronicle: Immortal Slayer</v>
      </c>
      <c r="C122" s="3" t="str">
        <f>IFERROR(__xludf.DUMMYFUNCTION("""COMPUTED_VALUE"""),"Jan 26, 2026")</f>
        <v>Jan 26, 2026</v>
      </c>
      <c r="D122" s="3" t="str">
        <f>IFERROR(__xludf.DUMMYFUNCTION("""COMPUTED_VALUE"""),"$11.99")</f>
        <v>$11.99</v>
      </c>
      <c r="E122" s="3" t="str">
        <f>IFERROR(__xludf.DUMMYFUNCTION("""COMPUTED_VALUE"""),"N/A (N/A)")</f>
        <v>N/A (N/A)</v>
      </c>
      <c r="F122" s="3" t="str">
        <f>IFERROR(__xludf.DUMMYFUNCTION("""COMPUTED_VALUE"""),"0 .. 20,000")</f>
        <v>0 .. 20,000</v>
      </c>
      <c r="G122" s="3" t="str">
        <f>IFERROR(__xludf.DUMMYFUNCTION("""COMPUTED_VALUE"""),"11:01 (05:30)")</f>
        <v>11:01 (05:30)</v>
      </c>
      <c r="H122" s="34"/>
      <c r="O122" s="34"/>
      <c r="R122" s="34"/>
    </row>
    <row r="123">
      <c r="A123" s="3">
        <f>IFERROR(__xludf.DUMMYFUNCTION("""COMPUTED_VALUE"""),122.0)</f>
        <v>122</v>
      </c>
      <c r="B123" s="3" t="str">
        <f>IFERROR(__xludf.DUMMYFUNCTION("""COMPUTED_VALUE"""),"Valkyrie Saga")</f>
        <v>Valkyrie Saga</v>
      </c>
      <c r="C123" s="3" t="str">
        <f>IFERROR(__xludf.DUMMYFUNCTION("""COMPUTED_VALUE"""),"Jan 26, 2026")</f>
        <v>Jan 26, 2026</v>
      </c>
      <c r="D123" s="3" t="str">
        <f>IFERROR(__xludf.DUMMYFUNCTION("""COMPUTED_VALUE"""),"$7.99")</f>
        <v>$7.99</v>
      </c>
      <c r="E123" s="3" t="str">
        <f>IFERROR(__xludf.DUMMYFUNCTION("""COMPUTED_VALUE"""),"N/A (N/A)")</f>
        <v>N/A (N/A)</v>
      </c>
      <c r="F123" s="3" t="str">
        <f>IFERROR(__xludf.DUMMYFUNCTION("""COMPUTED_VALUE"""),"0 .. 20,000")</f>
        <v>0 .. 20,000</v>
      </c>
      <c r="G123" s="3" t="str">
        <f>IFERROR(__xludf.DUMMYFUNCTION("""COMPUTED_VALUE"""),"02:15 (02:15)")</f>
        <v>02:15 (02:15)</v>
      </c>
      <c r="H123" s="34"/>
      <c r="O123" s="34"/>
      <c r="R123" s="34"/>
    </row>
    <row r="124">
      <c r="A124" s="3">
        <f>IFERROR(__xludf.DUMMYFUNCTION("""COMPUTED_VALUE"""),123.0)</f>
        <v>123</v>
      </c>
      <c r="B124" s="3" t="str">
        <f>IFERROR(__xludf.DUMMYFUNCTION("""COMPUTED_VALUE"""),"Along Came a Dragonfly")</f>
        <v>Along Came a Dragonfly</v>
      </c>
      <c r="C124" s="3" t="str">
        <f>IFERROR(__xludf.DUMMYFUNCTION("""COMPUTED_VALUE"""),"Jan 26, 2026")</f>
        <v>Jan 26, 2026</v>
      </c>
      <c r="D124" s="3" t="str">
        <f>IFERROR(__xludf.DUMMYFUNCTION("""COMPUTED_VALUE"""),"$9.99")</f>
        <v>$9.99</v>
      </c>
      <c r="E124" s="3" t="str">
        <f>IFERROR(__xludf.DUMMYFUNCTION("""COMPUTED_VALUE"""),"N/A (N/A)")</f>
        <v>N/A (N/A)</v>
      </c>
      <c r="F124" s="3" t="str">
        <f>IFERROR(__xludf.DUMMYFUNCTION("""COMPUTED_VALUE"""),"0 .. 20,000")</f>
        <v>0 .. 20,000</v>
      </c>
      <c r="G124" s="3" t="str">
        <f>IFERROR(__xludf.DUMMYFUNCTION("""COMPUTED_VALUE"""),"00:00 (00:00)")</f>
        <v>00:00 (00:00)</v>
      </c>
      <c r="H124" s="34"/>
      <c r="O124" s="34"/>
      <c r="R124" s="34"/>
    </row>
    <row r="125">
      <c r="A125" s="3">
        <f>IFERROR(__xludf.DUMMYFUNCTION("""COMPUTED_VALUE"""),124.0)</f>
        <v>124</v>
      </c>
      <c r="B125" s="3" t="str">
        <f>IFERROR(__xludf.DUMMYFUNCTION("""COMPUTED_VALUE"""),"Arcadium - Space Odyssey")</f>
        <v>Arcadium - Space Odyssey</v>
      </c>
      <c r="C125" s="3" t="str">
        <f>IFERROR(__xludf.DUMMYFUNCTION("""COMPUTED_VALUE"""),"Jan 26, 2026")</f>
        <v>Jan 26, 2026</v>
      </c>
      <c r="D125" s="3" t="str">
        <f>IFERROR(__xludf.DUMMYFUNCTION("""COMPUTED_VALUE"""),"$4.79")</f>
        <v>$4.79</v>
      </c>
      <c r="E125" s="3" t="str">
        <f>IFERROR(__xludf.DUMMYFUNCTION("""COMPUTED_VALUE"""),"N/A (N/A)")</f>
        <v>N/A (N/A)</v>
      </c>
      <c r="F125" s="3" t="str">
        <f>IFERROR(__xludf.DUMMYFUNCTION("""COMPUTED_VALUE"""),"0 .. 20,000")</f>
        <v>0 .. 20,000</v>
      </c>
      <c r="G125" s="3" t="str">
        <f>IFERROR(__xludf.DUMMYFUNCTION("""COMPUTED_VALUE"""),"00:00 (00:00)")</f>
        <v>00:00 (00:00)</v>
      </c>
      <c r="H125" s="34"/>
      <c r="O125" s="34"/>
      <c r="R125" s="34"/>
    </row>
    <row r="126">
      <c r="A126" s="3">
        <f>IFERROR(__xludf.DUMMYFUNCTION("""COMPUTED_VALUE"""),125.0)</f>
        <v>125</v>
      </c>
      <c r="B126" s="3" t="str">
        <f>IFERROR(__xludf.DUMMYFUNCTION("""COMPUTED_VALUE"""),"Winnie's Hole")</f>
        <v>Winnie's Hole</v>
      </c>
      <c r="C126" s="3" t="str">
        <f>IFERROR(__xludf.DUMMYFUNCTION("""COMPUTED_VALUE"""),"Jan 26, 2026")</f>
        <v>Jan 26, 2026</v>
      </c>
      <c r="D126" s="3" t="str">
        <f>IFERROR(__xludf.DUMMYFUNCTION("""COMPUTED_VALUE"""),"$12.74")</f>
        <v>$12.74</v>
      </c>
      <c r="E126" s="3" t="str">
        <f>IFERROR(__xludf.DUMMYFUNCTION("""COMPUTED_VALUE"""),"N/A (N/A)")</f>
        <v>N/A (N/A)</v>
      </c>
      <c r="F126" s="3" t="str">
        <f>IFERROR(__xludf.DUMMYFUNCTION("""COMPUTED_VALUE"""),"0 .. 20,000")</f>
        <v>0 .. 20,000</v>
      </c>
      <c r="G126" s="3" t="str">
        <f>IFERROR(__xludf.DUMMYFUNCTION("""COMPUTED_VALUE"""),"07:07 (10:11)")</f>
        <v>07:07 (10:11)</v>
      </c>
      <c r="H126" s="34"/>
      <c r="O126" s="34"/>
      <c r="R126" s="34"/>
    </row>
    <row r="127">
      <c r="A127" s="3">
        <f>IFERROR(__xludf.DUMMYFUNCTION("""COMPUTED_VALUE"""),126.0)</f>
        <v>126</v>
      </c>
      <c r="B127" s="3" t="str">
        <f>IFERROR(__xludf.DUMMYFUNCTION("""COMPUTED_VALUE"""),"R.I.P. - Reincarnation Insurance Program")</f>
        <v>R.I.P. - Reincarnation Insurance Program</v>
      </c>
      <c r="C127" s="3" t="str">
        <f>IFERROR(__xludf.DUMMYFUNCTION("""COMPUTED_VALUE"""),"Jan 25, 2026")</f>
        <v>Jan 25, 2026</v>
      </c>
      <c r="D127" s="3" t="str">
        <f>IFERROR(__xludf.DUMMYFUNCTION("""COMPUTED_VALUE"""),"$11.69")</f>
        <v>$11.69</v>
      </c>
      <c r="E127" s="3" t="str">
        <f>IFERROR(__xludf.DUMMYFUNCTION("""COMPUTED_VALUE"""),"N/A (N/A)")</f>
        <v>N/A (N/A)</v>
      </c>
      <c r="F127" s="3" t="str">
        <f>IFERROR(__xludf.DUMMYFUNCTION("""COMPUTED_VALUE"""),"0 .. 20,000")</f>
        <v>0 .. 20,000</v>
      </c>
      <c r="G127" s="3" t="str">
        <f>IFERROR(__xludf.DUMMYFUNCTION("""COMPUTED_VALUE"""),"06:22 (08:01)")</f>
        <v>06:22 (08:01)</v>
      </c>
      <c r="H127" s="34"/>
      <c r="O127" s="34"/>
      <c r="R127" s="34"/>
    </row>
    <row r="128">
      <c r="A128" s="3">
        <f>IFERROR(__xludf.DUMMYFUNCTION("""COMPUTED_VALUE"""),127.0)</f>
        <v>127</v>
      </c>
      <c r="B128" s="3" t="str">
        <f>IFERROR(__xludf.DUMMYFUNCTION("""COMPUTED_VALUE"""),"RogueDiceR")</f>
        <v>RogueDiceR</v>
      </c>
      <c r="C128" s="3" t="str">
        <f>IFERROR(__xludf.DUMMYFUNCTION("""COMPUTED_VALUE"""),"Jan 25, 2026")</f>
        <v>Jan 25, 2026</v>
      </c>
      <c r="D128" s="3" t="str">
        <f>IFERROR(__xludf.DUMMYFUNCTION("""COMPUTED_VALUE"""),"$14.99")</f>
        <v>$14.99</v>
      </c>
      <c r="E128" s="3" t="str">
        <f>IFERROR(__xludf.DUMMYFUNCTION("""COMPUTED_VALUE"""),"N/A (N/A)")</f>
        <v>N/A (N/A)</v>
      </c>
      <c r="F128" s="3" t="str">
        <f>IFERROR(__xludf.DUMMYFUNCTION("""COMPUTED_VALUE"""),"0 .. 20,000")</f>
        <v>0 .. 20,000</v>
      </c>
      <c r="G128" s="3" t="str">
        <f>IFERROR(__xludf.DUMMYFUNCTION("""COMPUTED_VALUE"""),"00:00 (00:00)")</f>
        <v>00:00 (00:00)</v>
      </c>
      <c r="H128" s="34"/>
      <c r="O128" s="34"/>
      <c r="R128" s="34"/>
    </row>
    <row r="129">
      <c r="A129" s="3">
        <f>IFERROR(__xludf.DUMMYFUNCTION("""COMPUTED_VALUE"""),128.0)</f>
        <v>128</v>
      </c>
      <c r="B129" s="3" t="str">
        <f>IFERROR(__xludf.DUMMYFUNCTION("""COMPUTED_VALUE"""),"Viractal: Will You Trust Your Party?")</f>
        <v>Viractal: Will You Trust Your Party?</v>
      </c>
      <c r="C129" s="3" t="str">
        <f>IFERROR(__xludf.DUMMYFUNCTION("""COMPUTED_VALUE"""),"Jan 25, 2026")</f>
        <v>Jan 25, 2026</v>
      </c>
      <c r="D129" s="3" t="str">
        <f>IFERROR(__xludf.DUMMYFUNCTION("""COMPUTED_VALUE"""),"$19.99")</f>
        <v>$19.99</v>
      </c>
      <c r="E129" s="3" t="str">
        <f>IFERROR(__xludf.DUMMYFUNCTION("""COMPUTED_VALUE"""),"N/A (N/A)")</f>
        <v>N/A (N/A)</v>
      </c>
      <c r="F129" s="3" t="str">
        <f>IFERROR(__xludf.DUMMYFUNCTION("""COMPUTED_VALUE"""),"0 .. 20,000")</f>
        <v>0 .. 20,000</v>
      </c>
      <c r="G129" s="3" t="str">
        <f>IFERROR(__xludf.DUMMYFUNCTION("""COMPUTED_VALUE"""),"01:41 (01:41)")</f>
        <v>01:41 (01:41)</v>
      </c>
      <c r="H129" s="34"/>
      <c r="O129" s="34"/>
      <c r="R129" s="34"/>
    </row>
    <row r="130">
      <c r="A130" s="3">
        <f>IFERROR(__xludf.DUMMYFUNCTION("""COMPUTED_VALUE"""),129.0)</f>
        <v>129</v>
      </c>
      <c r="B130" s="3" t="str">
        <f>IFERROR(__xludf.DUMMYFUNCTION("""COMPUTED_VALUE"""),"Deck of Destiny: Battleforge")</f>
        <v>Deck of Destiny: Battleforge</v>
      </c>
      <c r="C130" s="3" t="str">
        <f>IFERROR(__xludf.DUMMYFUNCTION("""COMPUTED_VALUE"""),"Jan 24, 2026")</f>
        <v>Jan 24, 2026</v>
      </c>
      <c r="D130" s="3" t="str">
        <f>IFERROR(__xludf.DUMMYFUNCTION("""COMPUTED_VALUE"""),"$2.99")</f>
        <v>$2.99</v>
      </c>
      <c r="E130" s="3" t="str">
        <f>IFERROR(__xludf.DUMMYFUNCTION("""COMPUTED_VALUE"""),"N/A (N/A)")</f>
        <v>N/A (N/A)</v>
      </c>
      <c r="F130" s="3" t="str">
        <f>IFERROR(__xludf.DUMMYFUNCTION("""COMPUTED_VALUE"""),"0 .. 20,000")</f>
        <v>0 .. 20,000</v>
      </c>
      <c r="G130" s="3" t="str">
        <f>IFERROR(__xludf.DUMMYFUNCTION("""COMPUTED_VALUE"""),"00:00 (00:00)")</f>
        <v>00:00 (00:00)</v>
      </c>
      <c r="H130" s="34"/>
      <c r="O130" s="34"/>
      <c r="R130" s="34"/>
    </row>
    <row r="131">
      <c r="A131" s="3">
        <f>IFERROR(__xludf.DUMMYFUNCTION("""COMPUTED_VALUE"""),130.0)</f>
        <v>130</v>
      </c>
      <c r="B131" s="3" t="str">
        <f>IFERROR(__xludf.DUMMYFUNCTION("""COMPUTED_VALUE"""),"Red Rampant: Chapter 1")</f>
        <v>Red Rampant: Chapter 1</v>
      </c>
      <c r="C131" s="3" t="str">
        <f>IFERROR(__xludf.DUMMYFUNCTION("""COMPUTED_VALUE"""),"Jan 24, 2026")</f>
        <v>Jan 24, 2026</v>
      </c>
      <c r="D131" s="3" t="str">
        <f>IFERROR(__xludf.DUMMYFUNCTION("""COMPUTED_VALUE"""),"$6.99")</f>
        <v>$6.99</v>
      </c>
      <c r="E131" s="3" t="str">
        <f>IFERROR(__xludf.DUMMYFUNCTION("""COMPUTED_VALUE"""),"N/A (N/A)")</f>
        <v>N/A (N/A)</v>
      </c>
      <c r="F131" s="3" t="str">
        <f>IFERROR(__xludf.DUMMYFUNCTION("""COMPUTED_VALUE"""),"0 .. 20,000")</f>
        <v>0 .. 20,000</v>
      </c>
      <c r="G131" s="3" t="str">
        <f>IFERROR(__xludf.DUMMYFUNCTION("""COMPUTED_VALUE"""),"00:00 (00:00)")</f>
        <v>00:00 (00:00)</v>
      </c>
      <c r="H131" s="34"/>
      <c r="O131" s="34"/>
      <c r="R131" s="34"/>
    </row>
    <row r="132">
      <c r="A132" s="3">
        <f>IFERROR(__xludf.DUMMYFUNCTION("""COMPUTED_VALUE"""),131.0)</f>
        <v>131</v>
      </c>
      <c r="B132" s="3" t="str">
        <f>IFERROR(__xludf.DUMMYFUNCTION("""COMPUTED_VALUE"""),"MeowGun: Hell Denizen")</f>
        <v>MeowGun: Hell Denizen</v>
      </c>
      <c r="C132" s="3" t="str">
        <f>IFERROR(__xludf.DUMMYFUNCTION("""COMPUTED_VALUE"""),"Jan 24, 2026")</f>
        <v>Jan 24, 2026</v>
      </c>
      <c r="D132" s="3" t="str">
        <f>IFERROR(__xludf.DUMMYFUNCTION("""COMPUTED_VALUE"""),"$9.87")</f>
        <v>$9.87</v>
      </c>
      <c r="E132" s="3" t="str">
        <f>IFERROR(__xludf.DUMMYFUNCTION("""COMPUTED_VALUE"""),"N/A (N/A)")</f>
        <v>N/A (N/A)</v>
      </c>
      <c r="F132" s="3" t="str">
        <f>IFERROR(__xludf.DUMMYFUNCTION("""COMPUTED_VALUE"""),"20,000 .. 50,000")</f>
        <v>20,000 .. 50,000</v>
      </c>
      <c r="G132" s="3" t="str">
        <f>IFERROR(__xludf.DUMMYFUNCTION("""COMPUTED_VALUE"""),"00:00 (00:00)")</f>
        <v>00:00 (00:00)</v>
      </c>
      <c r="H132" s="34"/>
      <c r="O132" s="34"/>
      <c r="R132" s="34"/>
    </row>
    <row r="133">
      <c r="A133" s="3">
        <f>IFERROR(__xludf.DUMMYFUNCTION("""COMPUTED_VALUE"""),132.0)</f>
        <v>132</v>
      </c>
      <c r="B133" s="3" t="str">
        <f>IFERROR(__xludf.DUMMYFUNCTION("""COMPUTED_VALUE"""),"Thief's Roulette")</f>
        <v>Thief's Roulette</v>
      </c>
      <c r="C133" s="3" t="str">
        <f>IFERROR(__xludf.DUMMYFUNCTION("""COMPUTED_VALUE"""),"Jan 24, 2026")</f>
        <v>Jan 24, 2026</v>
      </c>
      <c r="D133" s="3" t="str">
        <f>IFERROR(__xludf.DUMMYFUNCTION("""COMPUTED_VALUE"""),"$16.99")</f>
        <v>$16.99</v>
      </c>
      <c r="E133" s="3" t="str">
        <f>IFERROR(__xludf.DUMMYFUNCTION("""COMPUTED_VALUE"""),"N/A (N/A)")</f>
        <v>N/A (N/A)</v>
      </c>
      <c r="F133" s="3" t="str">
        <f>IFERROR(__xludf.DUMMYFUNCTION("""COMPUTED_VALUE"""),"0 .. 20,000")</f>
        <v>0 .. 20,000</v>
      </c>
      <c r="G133" s="3" t="str">
        <f>IFERROR(__xludf.DUMMYFUNCTION("""COMPUTED_VALUE"""),"00:00 (00:00)")</f>
        <v>00:00 (00:00)</v>
      </c>
      <c r="H133" s="34"/>
      <c r="O133" s="34"/>
      <c r="R133" s="34"/>
    </row>
    <row r="134">
      <c r="A134" s="3">
        <f>IFERROR(__xludf.DUMMYFUNCTION("""COMPUTED_VALUE"""),133.0)</f>
        <v>133</v>
      </c>
      <c r="B134" s="3" t="str">
        <f>IFERROR(__xludf.DUMMYFUNCTION("""COMPUTED_VALUE"""),"Flirting With Girls in Fantasy World")</f>
        <v>Flirting With Girls in Fantasy World</v>
      </c>
      <c r="C134" s="3" t="str">
        <f>IFERROR(__xludf.DUMMYFUNCTION("""COMPUTED_VALUE"""),"Jan 23, 2026")</f>
        <v>Jan 23, 2026</v>
      </c>
      <c r="D134" s="3" t="str">
        <f>IFERROR(__xludf.DUMMYFUNCTION("""COMPUTED_VALUE"""),"$10.39")</f>
        <v>$10.39</v>
      </c>
      <c r="E134" s="3" t="str">
        <f>IFERROR(__xludf.DUMMYFUNCTION("""COMPUTED_VALUE"""),"N/A (N/A)")</f>
        <v>N/A (N/A)</v>
      </c>
      <c r="F134" s="3" t="str">
        <f>IFERROR(__xludf.DUMMYFUNCTION("""COMPUTED_VALUE"""),"0 .. 20,000")</f>
        <v>0 .. 20,000</v>
      </c>
      <c r="G134" s="3" t="str">
        <f>IFERROR(__xludf.DUMMYFUNCTION("""COMPUTED_VALUE"""),"00:00 (00:00)")</f>
        <v>00:00 (00:00)</v>
      </c>
      <c r="H134" s="34"/>
      <c r="O134" s="34"/>
      <c r="R134" s="34"/>
    </row>
    <row r="135">
      <c r="A135" s="3">
        <f>IFERROR(__xludf.DUMMYFUNCTION("""COMPUTED_VALUE"""),134.0)</f>
        <v>134</v>
      </c>
      <c r="B135" s="3" t="str">
        <f>IFERROR(__xludf.DUMMYFUNCTION("""COMPUTED_VALUE"""),"Valiant Villagers")</f>
        <v>Valiant Villagers</v>
      </c>
      <c r="C135" s="3" t="str">
        <f>IFERROR(__xludf.DUMMYFUNCTION("""COMPUTED_VALUE"""),"Jan 23, 2026")</f>
        <v>Jan 23, 2026</v>
      </c>
      <c r="D135" s="3" t="str">
        <f>IFERROR(__xludf.DUMMYFUNCTION("""COMPUTED_VALUE"""),"$14.99")</f>
        <v>$14.99</v>
      </c>
      <c r="E135" s="3" t="str">
        <f>IFERROR(__xludf.DUMMYFUNCTION("""COMPUTED_VALUE"""),"N/A (N/A)")</f>
        <v>N/A (N/A)</v>
      </c>
      <c r="F135" s="3" t="str">
        <f>IFERROR(__xludf.DUMMYFUNCTION("""COMPUTED_VALUE"""),"0 .. 20,000")</f>
        <v>0 .. 20,000</v>
      </c>
      <c r="G135" s="3" t="str">
        <f>IFERROR(__xludf.DUMMYFUNCTION("""COMPUTED_VALUE"""),"00:00 (00:00)")</f>
        <v>00:00 (00:00)</v>
      </c>
      <c r="H135" s="34"/>
      <c r="O135" s="34"/>
      <c r="R135" s="34"/>
    </row>
    <row r="136">
      <c r="A136" s="3">
        <f>IFERROR(__xludf.DUMMYFUNCTION("""COMPUTED_VALUE"""),135.0)</f>
        <v>135</v>
      </c>
      <c r="B136" s="3" t="str">
        <f>IFERROR(__xludf.DUMMYFUNCTION("""COMPUTED_VALUE"""),"Fighting Force Collection")</f>
        <v>Fighting Force Collection</v>
      </c>
      <c r="C136" s="3" t="str">
        <f>IFERROR(__xludf.DUMMYFUNCTION("""COMPUTED_VALUE"""),"Jan 23, 2026")</f>
        <v>Jan 23, 2026</v>
      </c>
      <c r="D136" s="3" t="str">
        <f>IFERROR(__xludf.DUMMYFUNCTION("""COMPUTED_VALUE"""),"$19.99")</f>
        <v>$19.99</v>
      </c>
      <c r="E136" s="3" t="str">
        <f>IFERROR(__xludf.DUMMYFUNCTION("""COMPUTED_VALUE"""),"N/A (N/A)")</f>
        <v>N/A (N/A)</v>
      </c>
      <c r="F136" s="3" t="str">
        <f>IFERROR(__xludf.DUMMYFUNCTION("""COMPUTED_VALUE"""),"0 .. 20,000")</f>
        <v>0 .. 20,000</v>
      </c>
      <c r="G136" s="3" t="str">
        <f>IFERROR(__xludf.DUMMYFUNCTION("""COMPUTED_VALUE"""),"00:00 (00:00)")</f>
        <v>00:00 (00:00)</v>
      </c>
      <c r="H136" s="34"/>
      <c r="O136" s="34"/>
      <c r="R136" s="34"/>
    </row>
    <row r="137">
      <c r="A137" s="3">
        <f>IFERROR(__xludf.DUMMYFUNCTION("""COMPUTED_VALUE"""),136.0)</f>
        <v>136</v>
      </c>
      <c r="B137" s="3" t="str">
        <f>IFERROR(__xludf.DUMMYFUNCTION("""COMPUTED_VALUE"""),"A fascinating story 2")</f>
        <v>A fascinating story 2</v>
      </c>
      <c r="C137" s="3" t="str">
        <f>IFERROR(__xludf.DUMMYFUNCTION("""COMPUTED_VALUE"""),"Jan 23, 2026")</f>
        <v>Jan 23, 2026</v>
      </c>
      <c r="D137" s="3" t="str">
        <f>IFERROR(__xludf.DUMMYFUNCTION("""COMPUTED_VALUE"""),"$14.99")</f>
        <v>$14.99</v>
      </c>
      <c r="E137" s="3" t="str">
        <f>IFERROR(__xludf.DUMMYFUNCTION("""COMPUTED_VALUE"""),"N/A (N/A)")</f>
        <v>N/A (N/A)</v>
      </c>
      <c r="F137" s="3" t="str">
        <f>IFERROR(__xludf.DUMMYFUNCTION("""COMPUTED_VALUE"""),"0 .. 20,000")</f>
        <v>0 .. 20,000</v>
      </c>
      <c r="G137" s="3" t="str">
        <f>IFERROR(__xludf.DUMMYFUNCTION("""COMPUTED_VALUE"""),"00:00 (00:00)")</f>
        <v>00:00 (00:00)</v>
      </c>
      <c r="H137" s="34"/>
      <c r="O137" s="34"/>
      <c r="R137" s="34"/>
    </row>
    <row r="138">
      <c r="A138" s="3">
        <f>IFERROR(__xludf.DUMMYFUNCTION("""COMPUTED_VALUE"""),137.0)</f>
        <v>137</v>
      </c>
      <c r="B138" s="3" t="str">
        <f>IFERROR(__xludf.DUMMYFUNCTION("""COMPUTED_VALUE"""),"Sin Spire")</f>
        <v>Sin Spire</v>
      </c>
      <c r="C138" s="3" t="str">
        <f>IFERROR(__xludf.DUMMYFUNCTION("""COMPUTED_VALUE"""),"Jan 23, 2026")</f>
        <v>Jan 23, 2026</v>
      </c>
      <c r="D138" s="3" t="str">
        <f>IFERROR(__xludf.DUMMYFUNCTION("""COMPUTED_VALUE"""),"$9.99")</f>
        <v>$9.99</v>
      </c>
      <c r="E138" s="3" t="str">
        <f>IFERROR(__xludf.DUMMYFUNCTION("""COMPUTED_VALUE"""),"N/A (N/A)")</f>
        <v>N/A (N/A)</v>
      </c>
      <c r="F138" s="3" t="str">
        <f>IFERROR(__xludf.DUMMYFUNCTION("""COMPUTED_VALUE"""),"0 .. 20,000")</f>
        <v>0 .. 20,000</v>
      </c>
      <c r="G138" s="3" t="str">
        <f>IFERROR(__xludf.DUMMYFUNCTION("""COMPUTED_VALUE"""),"02:35 (02:35)")</f>
        <v>02:35 (02:35)</v>
      </c>
      <c r="H138" s="34"/>
      <c r="O138" s="34"/>
      <c r="R138" s="34"/>
    </row>
    <row r="139">
      <c r="A139" s="3">
        <f>IFERROR(__xludf.DUMMYFUNCTION("""COMPUTED_VALUE"""),138.0)</f>
        <v>138</v>
      </c>
      <c r="B139" s="3" t="str">
        <f>IFERROR(__xludf.DUMMYFUNCTION("""COMPUTED_VALUE"""),"Dreadway")</f>
        <v>Dreadway</v>
      </c>
      <c r="C139" s="3" t="str">
        <f>IFERROR(__xludf.DUMMYFUNCTION("""COMPUTED_VALUE"""),"Jan 23, 2026")</f>
        <v>Jan 23, 2026</v>
      </c>
      <c r="D139" s="3" t="str">
        <f>IFERROR(__xludf.DUMMYFUNCTION("""COMPUTED_VALUE"""),"$7.99")</f>
        <v>$7.99</v>
      </c>
      <c r="E139" s="3" t="str">
        <f>IFERROR(__xludf.DUMMYFUNCTION("""COMPUTED_VALUE"""),"N/A (N/A)")</f>
        <v>N/A (N/A)</v>
      </c>
      <c r="F139" s="3" t="str">
        <f>IFERROR(__xludf.DUMMYFUNCTION("""COMPUTED_VALUE"""),"0 .. 20,000")</f>
        <v>0 .. 20,000</v>
      </c>
      <c r="G139" s="3" t="str">
        <f>IFERROR(__xludf.DUMMYFUNCTION("""COMPUTED_VALUE"""),"00:00 (00:00)")</f>
        <v>00:00 (00:00)</v>
      </c>
      <c r="H139" s="34"/>
      <c r="O139" s="34"/>
      <c r="R139" s="34"/>
    </row>
    <row r="140">
      <c r="A140" s="3">
        <f>IFERROR(__xludf.DUMMYFUNCTION("""COMPUTED_VALUE"""),139.0)</f>
        <v>139</v>
      </c>
      <c r="B140" s="3" t="str">
        <f>IFERROR(__xludf.DUMMYFUNCTION("""COMPUTED_VALUE"""),"Swordia")</f>
        <v>Swordia</v>
      </c>
      <c r="C140" s="3" t="str">
        <f>IFERROR(__xludf.DUMMYFUNCTION("""COMPUTED_VALUE"""),"Jan 23, 2026")</f>
        <v>Jan 23, 2026</v>
      </c>
      <c r="D140" s="3" t="str">
        <f>IFERROR(__xludf.DUMMYFUNCTION("""COMPUTED_VALUE"""),"$4.99")</f>
        <v>$4.99</v>
      </c>
      <c r="E140" s="3" t="str">
        <f>IFERROR(__xludf.DUMMYFUNCTION("""COMPUTED_VALUE"""),"N/A (N/A)")</f>
        <v>N/A (N/A)</v>
      </c>
      <c r="F140" s="3" t="str">
        <f>IFERROR(__xludf.DUMMYFUNCTION("""COMPUTED_VALUE"""),"0 .. 20,000")</f>
        <v>0 .. 20,000</v>
      </c>
      <c r="G140" s="3" t="str">
        <f>IFERROR(__xludf.DUMMYFUNCTION("""COMPUTED_VALUE"""),"00:00 (00:00)")</f>
        <v>00:00 (00:00)</v>
      </c>
      <c r="H140" s="34"/>
      <c r="O140" s="34"/>
      <c r="R140" s="34"/>
    </row>
    <row r="141">
      <c r="A141" s="3">
        <f>IFERROR(__xludf.DUMMYFUNCTION("""COMPUTED_VALUE"""),140.0)</f>
        <v>140</v>
      </c>
      <c r="B141" s="3" t="str">
        <f>IFERROR(__xludf.DUMMYFUNCTION("""COMPUTED_VALUE"""),"Wicked Seed")</f>
        <v>Wicked Seed</v>
      </c>
      <c r="C141" s="3" t="str">
        <f>IFERROR(__xludf.DUMMYFUNCTION("""COMPUTED_VALUE"""),"Jan 23, 2026")</f>
        <v>Jan 23, 2026</v>
      </c>
      <c r="D141" s="3" t="str">
        <f>IFERROR(__xludf.DUMMYFUNCTION("""COMPUTED_VALUE"""),"$19.99")</f>
        <v>$19.99</v>
      </c>
      <c r="E141" s="3" t="str">
        <f>IFERROR(__xludf.DUMMYFUNCTION("""COMPUTED_VALUE"""),"N/A (N/A)")</f>
        <v>N/A (N/A)</v>
      </c>
      <c r="F141" s="3" t="str">
        <f>IFERROR(__xludf.DUMMYFUNCTION("""COMPUTED_VALUE"""),"0 .. 20,000")</f>
        <v>0 .. 20,000</v>
      </c>
      <c r="G141" s="3" t="str">
        <f>IFERROR(__xludf.DUMMYFUNCTION("""COMPUTED_VALUE"""),"21:36 (21:36)")</f>
        <v>21:36 (21:36)</v>
      </c>
      <c r="H141" s="34"/>
      <c r="O141" s="34"/>
      <c r="R141" s="34"/>
    </row>
    <row r="142">
      <c r="A142" s="3">
        <f>IFERROR(__xludf.DUMMYFUNCTION("""COMPUTED_VALUE"""),141.0)</f>
        <v>141</v>
      </c>
      <c r="B142" s="3" t="str">
        <f>IFERROR(__xludf.DUMMYFUNCTION("""COMPUTED_VALUE"""),"Sky Harvest")</f>
        <v>Sky Harvest</v>
      </c>
      <c r="C142" s="3" t="str">
        <f>IFERROR(__xludf.DUMMYFUNCTION("""COMPUTED_VALUE"""),"Jan 23, 2026")</f>
        <v>Jan 23, 2026</v>
      </c>
      <c r="D142" s="3" t="str">
        <f>IFERROR(__xludf.DUMMYFUNCTION("""COMPUTED_VALUE"""),"$7.19")</f>
        <v>$7.19</v>
      </c>
      <c r="E142" s="3" t="str">
        <f>IFERROR(__xludf.DUMMYFUNCTION("""COMPUTED_VALUE"""),"N/A (N/A)")</f>
        <v>N/A (N/A)</v>
      </c>
      <c r="F142" s="3" t="str">
        <f>IFERROR(__xludf.DUMMYFUNCTION("""COMPUTED_VALUE"""),"0 .. 20,000")</f>
        <v>0 .. 20,000</v>
      </c>
      <c r="G142" s="3" t="str">
        <f>IFERROR(__xludf.DUMMYFUNCTION("""COMPUTED_VALUE"""),"00:00 (00:00)")</f>
        <v>00:00 (00:00)</v>
      </c>
      <c r="H142" s="34"/>
      <c r="O142" s="34"/>
      <c r="R142" s="34"/>
    </row>
    <row r="143">
      <c r="A143" s="3">
        <f>IFERROR(__xludf.DUMMYFUNCTION("""COMPUTED_VALUE"""),142.0)</f>
        <v>142</v>
      </c>
      <c r="B143" s="3" t="str">
        <f>IFERROR(__xludf.DUMMYFUNCTION("""COMPUTED_VALUE"""),"Legends of Savvarah: Flowers and Scorpions")</f>
        <v>Legends of Savvarah: Flowers and Scorpions</v>
      </c>
      <c r="C143" s="3" t="str">
        <f>IFERROR(__xludf.DUMMYFUNCTION("""COMPUTED_VALUE"""),"Jan 23, 2026")</f>
        <v>Jan 23, 2026</v>
      </c>
      <c r="D143" s="3" t="str">
        <f>IFERROR(__xludf.DUMMYFUNCTION("""COMPUTED_VALUE"""),"$5.99")</f>
        <v>$5.99</v>
      </c>
      <c r="E143" s="3" t="str">
        <f>IFERROR(__xludf.DUMMYFUNCTION("""COMPUTED_VALUE"""),"N/A (N/A)")</f>
        <v>N/A (N/A)</v>
      </c>
      <c r="F143" s="3" t="str">
        <f>IFERROR(__xludf.DUMMYFUNCTION("""COMPUTED_VALUE"""),"0 .. 20,000")</f>
        <v>0 .. 20,000</v>
      </c>
      <c r="G143" s="3" t="str">
        <f>IFERROR(__xludf.DUMMYFUNCTION("""COMPUTED_VALUE"""),"00:00 (00:00)")</f>
        <v>00:00 (00:00)</v>
      </c>
      <c r="H143" s="34"/>
      <c r="O143" s="34"/>
      <c r="R143" s="34"/>
    </row>
    <row r="144">
      <c r="A144" s="3">
        <f>IFERROR(__xludf.DUMMYFUNCTION("""COMPUTED_VALUE"""),143.0)</f>
        <v>143</v>
      </c>
      <c r="B144" s="3" t="str">
        <f>IFERROR(__xludf.DUMMYFUNCTION("""COMPUTED_VALUE"""),"Escape from Ever After")</f>
        <v>Escape from Ever After</v>
      </c>
      <c r="C144" s="3" t="str">
        <f>IFERROR(__xludf.DUMMYFUNCTION("""COMPUTED_VALUE"""),"Jan 23, 2026")</f>
        <v>Jan 23, 2026</v>
      </c>
      <c r="D144" s="3" t="str">
        <f>IFERROR(__xludf.DUMMYFUNCTION("""COMPUTED_VALUE"""),"$19.99")</f>
        <v>$19.99</v>
      </c>
      <c r="E144" s="3" t="str">
        <f>IFERROR(__xludf.DUMMYFUNCTION("""COMPUTED_VALUE"""),"N/A (N/A/82%)")</f>
        <v>N/A (N/A/82%)</v>
      </c>
      <c r="F144" s="3" t="str">
        <f>IFERROR(__xludf.DUMMYFUNCTION("""COMPUTED_VALUE"""),"0 .. 20,000")</f>
        <v>0 .. 20,000</v>
      </c>
      <c r="G144" s="3" t="str">
        <f>IFERROR(__xludf.DUMMYFUNCTION("""COMPUTED_VALUE"""),"05:17 (02:34)")</f>
        <v>05:17 (02:34)</v>
      </c>
      <c r="H144" s="34"/>
      <c r="O144" s="34"/>
      <c r="R144" s="34"/>
    </row>
    <row r="145">
      <c r="A145" s="3">
        <f>IFERROR(__xludf.DUMMYFUNCTION("""COMPUTED_VALUE"""),144.0)</f>
        <v>144</v>
      </c>
      <c r="B145" s="3" t="str">
        <f>IFERROR(__xludf.DUMMYFUNCTION("""COMPUTED_VALUE"""),"After School Afterlife")</f>
        <v>After School Afterlife</v>
      </c>
      <c r="C145" s="3" t="str">
        <f>IFERROR(__xludf.DUMMYFUNCTION("""COMPUTED_VALUE"""),"Jan 23, 2026")</f>
        <v>Jan 23, 2026</v>
      </c>
      <c r="D145" s="3" t="str">
        <f>IFERROR(__xludf.DUMMYFUNCTION("""COMPUTED_VALUE"""),"$6.79")</f>
        <v>$6.79</v>
      </c>
      <c r="E145" s="3" t="str">
        <f>IFERROR(__xludf.DUMMYFUNCTION("""COMPUTED_VALUE"""),"N/A (N/A)")</f>
        <v>N/A (N/A)</v>
      </c>
      <c r="F145" s="3" t="str">
        <f>IFERROR(__xludf.DUMMYFUNCTION("""COMPUTED_VALUE"""),"0 .. 20,000")</f>
        <v>0 .. 20,000</v>
      </c>
      <c r="G145" s="3" t="str">
        <f>IFERROR(__xludf.DUMMYFUNCTION("""COMPUTED_VALUE"""),"00:00 (00:00)")</f>
        <v>00:00 (00:00)</v>
      </c>
      <c r="H145" s="34"/>
      <c r="O145" s="34"/>
      <c r="R145" s="34"/>
    </row>
    <row r="146">
      <c r="A146" s="3">
        <f>IFERROR(__xludf.DUMMYFUNCTION("""COMPUTED_VALUE"""),145.0)</f>
        <v>145</v>
      </c>
      <c r="B146" s="3" t="str">
        <f>IFERROR(__xludf.DUMMYFUNCTION("""COMPUTED_VALUE"""),"The Gold River Project")</f>
        <v>The Gold River Project</v>
      </c>
      <c r="C146" s="3" t="str">
        <f>IFERROR(__xludf.DUMMYFUNCTION("""COMPUTED_VALUE"""),"Jan 23, 2026")</f>
        <v>Jan 23, 2026</v>
      </c>
      <c r="D146" s="3" t="str">
        <f>IFERROR(__xludf.DUMMYFUNCTION("""COMPUTED_VALUE"""),"$24.99")</f>
        <v>$24.99</v>
      </c>
      <c r="E146" s="3" t="str">
        <f>IFERROR(__xludf.DUMMYFUNCTION("""COMPUTED_VALUE"""),"N/A (N/A)")</f>
        <v>N/A (N/A)</v>
      </c>
      <c r="F146" s="3" t="str">
        <f>IFERROR(__xludf.DUMMYFUNCTION("""COMPUTED_VALUE"""),"0 .. 20,000")</f>
        <v>0 .. 20,000</v>
      </c>
      <c r="G146" s="3" t="str">
        <f>IFERROR(__xludf.DUMMYFUNCTION("""COMPUTED_VALUE"""),"00:00 (00:00)")</f>
        <v>00:00 (00:00)</v>
      </c>
      <c r="H146" s="34"/>
      <c r="O146" s="34"/>
      <c r="R146" s="34"/>
    </row>
    <row r="147">
      <c r="A147" s="3">
        <f>IFERROR(__xludf.DUMMYFUNCTION("""COMPUTED_VALUE"""),146.0)</f>
        <v>146</v>
      </c>
      <c r="B147" s="3" t="str">
        <f>IFERROR(__xludf.DUMMYFUNCTION("""COMPUTED_VALUE"""),"Tennis Elbow 4")</f>
        <v>Tennis Elbow 4</v>
      </c>
      <c r="C147" s="3" t="str">
        <f>IFERROR(__xludf.DUMMYFUNCTION("""COMPUTED_VALUE"""),"Jan 23, 2026")</f>
        <v>Jan 23, 2026</v>
      </c>
      <c r="D147" s="3" t="str">
        <f>IFERROR(__xludf.DUMMYFUNCTION("""COMPUTED_VALUE"""),"$25.49")</f>
        <v>$25.49</v>
      </c>
      <c r="E147" s="3" t="str">
        <f>IFERROR(__xludf.DUMMYFUNCTION("""COMPUTED_VALUE"""),"N/A (N/A)")</f>
        <v>N/A (N/A)</v>
      </c>
      <c r="F147" s="3" t="str">
        <f>IFERROR(__xludf.DUMMYFUNCTION("""COMPUTED_VALUE"""),"20,000 .. 50,000")</f>
        <v>20,000 .. 50,000</v>
      </c>
      <c r="G147" s="3" t="str">
        <f>IFERROR(__xludf.DUMMYFUNCTION("""COMPUTED_VALUE"""),"21:08 (10:34)")</f>
        <v>21:08 (10:34)</v>
      </c>
      <c r="H147" s="34"/>
      <c r="O147" s="34"/>
      <c r="R147" s="34"/>
    </row>
    <row r="148">
      <c r="A148" s="3">
        <f>IFERROR(__xludf.DUMMYFUNCTION("""COMPUTED_VALUE"""),147.0)</f>
        <v>147</v>
      </c>
      <c r="B148" s="3" t="str">
        <f>IFERROR(__xludf.DUMMYFUNCTION("""COMPUTED_VALUE"""),"101 Dogs Hidden in Los Angeles")</f>
        <v>101 Dogs Hidden in Los Angeles</v>
      </c>
      <c r="C148" s="3" t="str">
        <f>IFERROR(__xludf.DUMMYFUNCTION("""COMPUTED_VALUE"""),"Jan 22, 2026")</f>
        <v>Jan 22, 2026</v>
      </c>
      <c r="D148" s="3" t="str">
        <f>IFERROR(__xludf.DUMMYFUNCTION("""COMPUTED_VALUE"""),"$0.99")</f>
        <v>$0.99</v>
      </c>
      <c r="E148" s="3" t="str">
        <f>IFERROR(__xludf.DUMMYFUNCTION("""COMPUTED_VALUE"""),"N/A (N/A)")</f>
        <v>N/A (N/A)</v>
      </c>
      <c r="F148" s="3" t="str">
        <f>IFERROR(__xludf.DUMMYFUNCTION("""COMPUTED_VALUE"""),"0 .. 20,000")</f>
        <v>0 .. 20,000</v>
      </c>
      <c r="G148" s="3" t="str">
        <f>IFERROR(__xludf.DUMMYFUNCTION("""COMPUTED_VALUE"""),"00:00 (00:00)")</f>
        <v>00:00 (00:00)</v>
      </c>
      <c r="H148" s="34"/>
      <c r="O148" s="34"/>
      <c r="R148" s="34"/>
    </row>
    <row r="149">
      <c r="A149" s="3">
        <f>IFERROR(__xludf.DUMMYFUNCTION("""COMPUTED_VALUE"""),148.0)</f>
        <v>148</v>
      </c>
      <c r="B149" s="3" t="str">
        <f>IFERROR(__xludf.DUMMYFUNCTION("""COMPUTED_VALUE"""),"Sweet OL")</f>
        <v>Sweet OL</v>
      </c>
      <c r="C149" s="3" t="str">
        <f>IFERROR(__xludf.DUMMYFUNCTION("""COMPUTED_VALUE"""),"Jan 22, 2026")</f>
        <v>Jan 22, 2026</v>
      </c>
      <c r="D149" s="3" t="str">
        <f>IFERROR(__xludf.DUMMYFUNCTION("""COMPUTED_VALUE"""),"$0.89")</f>
        <v>$0.89</v>
      </c>
      <c r="E149" s="3" t="str">
        <f>IFERROR(__xludf.DUMMYFUNCTION("""COMPUTED_VALUE"""),"N/A (N/A)")</f>
        <v>N/A (N/A)</v>
      </c>
      <c r="F149" s="3" t="str">
        <f>IFERROR(__xludf.DUMMYFUNCTION("""COMPUTED_VALUE"""),"0 .. 20,000")</f>
        <v>0 .. 20,000</v>
      </c>
      <c r="G149" s="3" t="str">
        <f>IFERROR(__xludf.DUMMYFUNCTION("""COMPUTED_VALUE"""),"00:00 (00:00)")</f>
        <v>00:00 (00:00)</v>
      </c>
      <c r="H149" s="34"/>
      <c r="O149" s="34"/>
      <c r="R149" s="34"/>
    </row>
    <row r="150">
      <c r="A150" s="3">
        <f>IFERROR(__xludf.DUMMYFUNCTION("""COMPUTED_VALUE"""),149.0)</f>
        <v>149</v>
      </c>
      <c r="B150" s="3" t="str">
        <f>IFERROR(__xludf.DUMMYFUNCTION("""COMPUTED_VALUE"""),"HH TRAP: Reality's Glitch")</f>
        <v>HH TRAP: Reality's Glitch</v>
      </c>
      <c r="C150" s="3" t="str">
        <f>IFERROR(__xludf.DUMMYFUNCTION("""COMPUTED_VALUE"""),"Jan 22, 2026")</f>
        <v>Jan 22, 2026</v>
      </c>
      <c r="D150" s="3" t="str">
        <f>IFERROR(__xludf.DUMMYFUNCTION("""COMPUTED_VALUE"""),"$4.99")</f>
        <v>$4.99</v>
      </c>
      <c r="E150" s="3" t="str">
        <f>IFERROR(__xludf.DUMMYFUNCTION("""COMPUTED_VALUE"""),"N/A (N/A)")</f>
        <v>N/A (N/A)</v>
      </c>
      <c r="F150" s="3" t="str">
        <f>IFERROR(__xludf.DUMMYFUNCTION("""COMPUTED_VALUE"""),"0 .. 20,000")</f>
        <v>0 .. 20,000</v>
      </c>
      <c r="G150" s="3" t="str">
        <f>IFERROR(__xludf.DUMMYFUNCTION("""COMPUTED_VALUE"""),"00:00 (00:00)")</f>
        <v>00:00 (00:00)</v>
      </c>
      <c r="H150" s="34"/>
      <c r="O150" s="34"/>
      <c r="R150" s="34"/>
    </row>
    <row r="151">
      <c r="A151" s="3">
        <f>IFERROR(__xludf.DUMMYFUNCTION("""COMPUTED_VALUE"""),150.0)</f>
        <v>150</v>
      </c>
      <c r="B151" s="3" t="str">
        <f>IFERROR(__xludf.DUMMYFUNCTION("""COMPUTED_VALUE"""),"Turnbound")</f>
        <v>Turnbound</v>
      </c>
      <c r="C151" s="3" t="str">
        <f>IFERROR(__xludf.DUMMYFUNCTION("""COMPUTED_VALUE"""),"Jan 22, 2026")</f>
        <v>Jan 22, 2026</v>
      </c>
      <c r="D151" s="3" t="str">
        <f>IFERROR(__xludf.DUMMYFUNCTION("""COMPUTED_VALUE"""),"$14.99")</f>
        <v>$14.99</v>
      </c>
      <c r="E151" s="3" t="str">
        <f>IFERROR(__xludf.DUMMYFUNCTION("""COMPUTED_VALUE"""),"N/A (N/A)")</f>
        <v>N/A (N/A)</v>
      </c>
      <c r="F151" s="3" t="str">
        <f>IFERROR(__xludf.DUMMYFUNCTION("""COMPUTED_VALUE"""),"0 .. 20,000")</f>
        <v>0 .. 20,000</v>
      </c>
      <c r="G151" s="3" t="str">
        <f>IFERROR(__xludf.DUMMYFUNCTION("""COMPUTED_VALUE"""),"05:47 (05:46)")</f>
        <v>05:47 (05:46)</v>
      </c>
      <c r="H151" s="34"/>
      <c r="O151" s="34"/>
      <c r="R151" s="34"/>
    </row>
    <row r="152">
      <c r="A152" s="3">
        <f>IFERROR(__xludf.DUMMYFUNCTION("""COMPUTED_VALUE"""),151.0)</f>
        <v>151</v>
      </c>
      <c r="B152" s="3" t="str">
        <f>IFERROR(__xludf.DUMMYFUNCTION("""COMPUTED_VALUE"""),"Sandwich Simulator")</f>
        <v>Sandwich Simulator</v>
      </c>
      <c r="C152" s="3" t="str">
        <f>IFERROR(__xludf.DUMMYFUNCTION("""COMPUTED_VALUE"""),"Jan 22, 2026")</f>
        <v>Jan 22, 2026</v>
      </c>
      <c r="D152" s="3" t="str">
        <f>IFERROR(__xludf.DUMMYFUNCTION("""COMPUTED_VALUE"""),"$4.99")</f>
        <v>$4.99</v>
      </c>
      <c r="E152" s="3" t="str">
        <f>IFERROR(__xludf.DUMMYFUNCTION("""COMPUTED_VALUE"""),"N/A (N/A)")</f>
        <v>N/A (N/A)</v>
      </c>
      <c r="F152" s="3" t="str">
        <f>IFERROR(__xludf.DUMMYFUNCTION("""COMPUTED_VALUE"""),"0 .. 20,000")</f>
        <v>0 .. 20,000</v>
      </c>
      <c r="G152" s="3" t="str">
        <f>IFERROR(__xludf.DUMMYFUNCTION("""COMPUTED_VALUE"""),"01:34 (00:31)")</f>
        <v>01:34 (00:31)</v>
      </c>
      <c r="H152" s="34"/>
      <c r="O152" s="34"/>
      <c r="R152" s="34"/>
    </row>
    <row r="153">
      <c r="A153" s="3">
        <f>IFERROR(__xludf.DUMMYFUNCTION("""COMPUTED_VALUE"""),152.0)</f>
        <v>152</v>
      </c>
      <c r="B153" s="3" t="str">
        <f>IFERROR(__xludf.DUMMYFUNCTION("""COMPUTED_VALUE"""),"Ella Stars")</f>
        <v>Ella Stars</v>
      </c>
      <c r="C153" s="3" t="str">
        <f>IFERROR(__xludf.DUMMYFUNCTION("""COMPUTED_VALUE"""),"Jan 22, 2026")</f>
        <v>Jan 22, 2026</v>
      </c>
      <c r="D153" s="3" t="str">
        <f>IFERROR(__xludf.DUMMYFUNCTION("""COMPUTED_VALUE"""),"$4.99")</f>
        <v>$4.99</v>
      </c>
      <c r="E153" s="3" t="str">
        <f>IFERROR(__xludf.DUMMYFUNCTION("""COMPUTED_VALUE"""),"N/A (N/A)")</f>
        <v>N/A (N/A)</v>
      </c>
      <c r="F153" s="3" t="str">
        <f>IFERROR(__xludf.DUMMYFUNCTION("""COMPUTED_VALUE"""),"0 .. 20,000")</f>
        <v>0 .. 20,000</v>
      </c>
      <c r="G153" s="3" t="str">
        <f>IFERROR(__xludf.DUMMYFUNCTION("""COMPUTED_VALUE"""),"00:00 (00:00)")</f>
        <v>00:00 (00:00)</v>
      </c>
      <c r="H153" s="34"/>
      <c r="O153" s="34"/>
      <c r="R153" s="34"/>
    </row>
    <row r="154">
      <c r="A154" s="3">
        <f>IFERROR(__xludf.DUMMYFUNCTION("""COMPUTED_VALUE"""),153.0)</f>
        <v>153</v>
      </c>
      <c r="B154" s="3" t="str">
        <f>IFERROR(__xludf.DUMMYFUNCTION("""COMPUTED_VALUE"""),"That Time I Got Reincarnated as a Demon Hand")</f>
        <v>That Time I Got Reincarnated as a Demon Hand</v>
      </c>
      <c r="C154" s="3" t="str">
        <f>IFERROR(__xludf.DUMMYFUNCTION("""COMPUTED_VALUE"""),"Jan 22, 2026")</f>
        <v>Jan 22, 2026</v>
      </c>
      <c r="D154" s="3" t="str">
        <f>IFERROR(__xludf.DUMMYFUNCTION("""COMPUTED_VALUE"""),"$9.99")</f>
        <v>$9.99</v>
      </c>
      <c r="E154" s="3" t="str">
        <f>IFERROR(__xludf.DUMMYFUNCTION("""COMPUTED_VALUE"""),"N/A (N/A)")</f>
        <v>N/A (N/A)</v>
      </c>
      <c r="F154" s="3" t="str">
        <f>IFERROR(__xludf.DUMMYFUNCTION("""COMPUTED_VALUE"""),"0 .. 20,000")</f>
        <v>0 .. 20,000</v>
      </c>
      <c r="G154" s="3" t="str">
        <f>IFERROR(__xludf.DUMMYFUNCTION("""COMPUTED_VALUE"""),"00:00 (00:00)")</f>
        <v>00:00 (00:00)</v>
      </c>
      <c r="H154" s="34"/>
      <c r="O154" s="34"/>
      <c r="R154" s="34"/>
    </row>
    <row r="155">
      <c r="A155" s="3">
        <f>IFERROR(__xludf.DUMMYFUNCTION("""COMPUTED_VALUE"""),154.0)</f>
        <v>154</v>
      </c>
      <c r="B155" s="3" t="str">
        <f>IFERROR(__xludf.DUMMYFUNCTION("""COMPUTED_VALUE"""),"You Can't Corrupt Me! ~Tale of a Naive Elven Swordswoman~")</f>
        <v>You Can't Corrupt Me! ~Tale of a Naive Elven Swordswoman~</v>
      </c>
      <c r="C155" s="3" t="str">
        <f>IFERROR(__xludf.DUMMYFUNCTION("""COMPUTED_VALUE"""),"Jan 22, 2026")</f>
        <v>Jan 22, 2026</v>
      </c>
      <c r="D155" s="3" t="str">
        <f>IFERROR(__xludf.DUMMYFUNCTION("""COMPUTED_VALUE"""),"$5.39")</f>
        <v>$5.39</v>
      </c>
      <c r="E155" s="3" t="str">
        <f>IFERROR(__xludf.DUMMYFUNCTION("""COMPUTED_VALUE"""),"N/A (N/A)")</f>
        <v>N/A (N/A)</v>
      </c>
      <c r="F155" s="3" t="str">
        <f>IFERROR(__xludf.DUMMYFUNCTION("""COMPUTED_VALUE"""),"0 .. 20,000")</f>
        <v>0 .. 20,000</v>
      </c>
      <c r="G155" s="3" t="str">
        <f>IFERROR(__xludf.DUMMYFUNCTION("""COMPUTED_VALUE"""),"00:00 (00:00)")</f>
        <v>00:00 (00:00)</v>
      </c>
      <c r="H155" s="34"/>
      <c r="O155" s="34"/>
      <c r="R155" s="34"/>
    </row>
    <row r="156">
      <c r="A156" s="3">
        <f>IFERROR(__xludf.DUMMYFUNCTION("""COMPUTED_VALUE"""),155.0)</f>
        <v>155</v>
      </c>
      <c r="B156" s="3" t="str">
        <f>IFERROR(__xludf.DUMMYFUNCTION("""COMPUTED_VALUE"""),"万象群侠传")</f>
        <v>万象群侠传</v>
      </c>
      <c r="C156" s="3" t="str">
        <f>IFERROR(__xludf.DUMMYFUNCTION("""COMPUTED_VALUE"""),"Jan 22, 2026")</f>
        <v>Jan 22, 2026</v>
      </c>
      <c r="D156" s="3" t="str">
        <f>IFERROR(__xludf.DUMMYFUNCTION("""COMPUTED_VALUE"""),"$8.99")</f>
        <v>$8.99</v>
      </c>
      <c r="E156" s="3" t="str">
        <f>IFERROR(__xludf.DUMMYFUNCTION("""COMPUTED_VALUE"""),"N/A (N/A)")</f>
        <v>N/A (N/A)</v>
      </c>
      <c r="F156" s="3" t="str">
        <f>IFERROR(__xludf.DUMMYFUNCTION("""COMPUTED_VALUE"""),"0 .. 20,000")</f>
        <v>0 .. 20,000</v>
      </c>
      <c r="G156" s="3" t="str">
        <f>IFERROR(__xludf.DUMMYFUNCTION("""COMPUTED_VALUE"""),"05:08 (06:18)")</f>
        <v>05:08 (06:18)</v>
      </c>
      <c r="H156" s="34"/>
      <c r="O156" s="34"/>
      <c r="R156" s="34"/>
    </row>
    <row r="157">
      <c r="A157" s="3">
        <f>IFERROR(__xludf.DUMMYFUNCTION("""COMPUTED_VALUE"""),156.0)</f>
        <v>156</v>
      </c>
      <c r="B157" s="3" t="str">
        <f>IFERROR(__xludf.DUMMYFUNCTION("""COMPUTED_VALUE"""),"Maze and Fairy tale")</f>
        <v>Maze and Fairy tale</v>
      </c>
      <c r="C157" s="3" t="str">
        <f>IFERROR(__xludf.DUMMYFUNCTION("""COMPUTED_VALUE"""),"Jan 22, 2026")</f>
        <v>Jan 22, 2026</v>
      </c>
      <c r="D157" s="3" t="str">
        <f>IFERROR(__xludf.DUMMYFUNCTION("""COMPUTED_VALUE"""),"$6.99")</f>
        <v>$6.99</v>
      </c>
      <c r="E157" s="3" t="str">
        <f>IFERROR(__xludf.DUMMYFUNCTION("""COMPUTED_VALUE"""),"N/A (N/A)")</f>
        <v>N/A (N/A)</v>
      </c>
      <c r="F157" s="3" t="str">
        <f>IFERROR(__xludf.DUMMYFUNCTION("""COMPUTED_VALUE"""),"0 .. 20,000")</f>
        <v>0 .. 20,000</v>
      </c>
      <c r="G157" s="3" t="str">
        <f>IFERROR(__xludf.DUMMYFUNCTION("""COMPUTED_VALUE"""),"00:00 (00:00)")</f>
        <v>00:00 (00:00)</v>
      </c>
      <c r="H157" s="34"/>
      <c r="O157" s="34"/>
      <c r="R157" s="34"/>
    </row>
    <row r="158">
      <c r="A158" s="3">
        <f>IFERROR(__xludf.DUMMYFUNCTION("""COMPUTED_VALUE"""),157.0)</f>
        <v>157</v>
      </c>
      <c r="B158" s="3" t="str">
        <f>IFERROR(__xludf.DUMMYFUNCTION("""COMPUTED_VALUE"""),"Highway Drifter: Hajwala Simulator")</f>
        <v>Highway Drifter: Hajwala Simulator</v>
      </c>
      <c r="C158" s="3" t="str">
        <f>IFERROR(__xludf.DUMMYFUNCTION("""COMPUTED_VALUE"""),"Jan 22, 2026")</f>
        <v>Jan 22, 2026</v>
      </c>
      <c r="D158" s="3" t="str">
        <f>IFERROR(__xludf.DUMMYFUNCTION("""COMPUTED_VALUE"""),"$6.99")</f>
        <v>$6.99</v>
      </c>
      <c r="E158" s="3" t="str">
        <f>IFERROR(__xludf.DUMMYFUNCTION("""COMPUTED_VALUE"""),"N/A (N/A)")</f>
        <v>N/A (N/A)</v>
      </c>
      <c r="F158" s="3" t="str">
        <f>IFERROR(__xludf.DUMMYFUNCTION("""COMPUTED_VALUE"""),"0 .. 20,000")</f>
        <v>0 .. 20,000</v>
      </c>
      <c r="G158" s="3" t="str">
        <f>IFERROR(__xludf.DUMMYFUNCTION("""COMPUTED_VALUE"""),"00:00 (00:00)")</f>
        <v>00:00 (00:00)</v>
      </c>
      <c r="H158" s="34"/>
      <c r="O158" s="34"/>
      <c r="R158" s="34"/>
    </row>
    <row r="159">
      <c r="A159" s="3">
        <f>IFERROR(__xludf.DUMMYFUNCTION("""COMPUTED_VALUE"""),158.0)</f>
        <v>158</v>
      </c>
      <c r="B159" s="3" t="str">
        <f>IFERROR(__xludf.DUMMYFUNCTION("""COMPUTED_VALUE"""),"Our Journey: The Silent Voice")</f>
        <v>Our Journey: The Silent Voice</v>
      </c>
      <c r="C159" s="3" t="str">
        <f>IFERROR(__xludf.DUMMYFUNCTION("""COMPUTED_VALUE"""),"Jan 22, 2026")</f>
        <v>Jan 22, 2026</v>
      </c>
      <c r="D159" s="3" t="str">
        <f>IFERROR(__xludf.DUMMYFUNCTION("""COMPUTED_VALUE"""),"$12.99")</f>
        <v>$12.99</v>
      </c>
      <c r="E159" s="3" t="str">
        <f>IFERROR(__xludf.DUMMYFUNCTION("""COMPUTED_VALUE"""),"N/A (N/A)")</f>
        <v>N/A (N/A)</v>
      </c>
      <c r="F159" s="3" t="str">
        <f>IFERROR(__xludf.DUMMYFUNCTION("""COMPUTED_VALUE"""),"0 .. 20,000")</f>
        <v>0 .. 20,000</v>
      </c>
      <c r="G159" s="3" t="str">
        <f>IFERROR(__xludf.DUMMYFUNCTION("""COMPUTED_VALUE"""),"00:00 (00:00)")</f>
        <v>00:00 (00:00)</v>
      </c>
      <c r="H159" s="34"/>
      <c r="O159" s="34"/>
      <c r="R159" s="34"/>
    </row>
    <row r="160">
      <c r="A160" s="3">
        <f>IFERROR(__xludf.DUMMYFUNCTION("""COMPUTED_VALUE"""),159.0)</f>
        <v>159</v>
      </c>
      <c r="B160" s="3" t="str">
        <f>IFERROR(__xludf.DUMMYFUNCTION("""COMPUTED_VALUE"""),"Weird RPG 2")</f>
        <v>Weird RPG 2</v>
      </c>
      <c r="C160" s="3" t="str">
        <f>IFERROR(__xludf.DUMMYFUNCTION("""COMPUTED_VALUE"""),"Jan 22, 2026")</f>
        <v>Jan 22, 2026</v>
      </c>
      <c r="D160" s="3" t="str">
        <f>IFERROR(__xludf.DUMMYFUNCTION("""COMPUTED_VALUE"""),"$8.49")</f>
        <v>$8.49</v>
      </c>
      <c r="E160" s="3" t="str">
        <f>IFERROR(__xludf.DUMMYFUNCTION("""COMPUTED_VALUE"""),"N/A (N/A)")</f>
        <v>N/A (N/A)</v>
      </c>
      <c r="F160" s="3" t="str">
        <f>IFERROR(__xludf.DUMMYFUNCTION("""COMPUTED_VALUE"""),"0 .. 20,000")</f>
        <v>0 .. 20,000</v>
      </c>
      <c r="G160" s="3" t="str">
        <f>IFERROR(__xludf.DUMMYFUNCTION("""COMPUTED_VALUE"""),"01:37 (01:37)")</f>
        <v>01:37 (01:37)</v>
      </c>
      <c r="H160" s="34"/>
      <c r="O160" s="34"/>
      <c r="R160" s="34"/>
    </row>
    <row r="161">
      <c r="A161" s="3">
        <f>IFERROR(__xludf.DUMMYFUNCTION("""COMPUTED_VALUE"""),160.0)</f>
        <v>160</v>
      </c>
      <c r="B161" s="3" t="str">
        <f>IFERROR(__xludf.DUMMYFUNCTION("""COMPUTED_VALUE"""),"FATAL FURY: City of the Wolves")</f>
        <v>FATAL FURY: City of the Wolves</v>
      </c>
      <c r="C161" s="3" t="str">
        <f>IFERROR(__xludf.DUMMYFUNCTION("""COMPUTED_VALUE"""),"Jan 22, 2026")</f>
        <v>Jan 22, 2026</v>
      </c>
      <c r="D161" s="3" t="str">
        <f>IFERROR(__xludf.DUMMYFUNCTION("""COMPUTED_VALUE"""),"$49.99")</f>
        <v>$49.99</v>
      </c>
      <c r="E161" s="3" t="str">
        <f>IFERROR(__xludf.DUMMYFUNCTION("""COMPUTED_VALUE"""),"N/A (N/A/80%)")</f>
        <v>N/A (N/A/80%)</v>
      </c>
      <c r="F161" s="3" t="str">
        <f>IFERROR(__xludf.DUMMYFUNCTION("""COMPUTED_VALUE"""),"50,000 .. 100,000")</f>
        <v>50,000 .. 100,000</v>
      </c>
      <c r="G161" s="3" t="str">
        <f>IFERROR(__xludf.DUMMYFUNCTION("""COMPUTED_VALUE"""),"02:49 (02:46)")</f>
        <v>02:49 (02:46)</v>
      </c>
      <c r="H161" s="34"/>
      <c r="O161" s="34"/>
      <c r="R161" s="34"/>
    </row>
    <row r="162">
      <c r="A162" s="3">
        <f>IFERROR(__xludf.DUMMYFUNCTION("""COMPUTED_VALUE"""),161.0)</f>
        <v>161</v>
      </c>
      <c r="B162" s="3" t="str">
        <f>IFERROR(__xludf.DUMMYFUNCTION("""COMPUTED_VALUE"""),"Bladesong")</f>
        <v>Bladesong</v>
      </c>
      <c r="C162" s="3" t="str">
        <f>IFERROR(__xludf.DUMMYFUNCTION("""COMPUTED_VALUE"""),"Jan 22, 2026")</f>
        <v>Jan 22, 2026</v>
      </c>
      <c r="D162" s="3" t="str">
        <f>IFERROR(__xludf.DUMMYFUNCTION("""COMPUTED_VALUE"""),"$19.99")</f>
        <v>$19.99</v>
      </c>
      <c r="E162" s="3" t="str">
        <f>IFERROR(__xludf.DUMMYFUNCTION("""COMPUTED_VALUE"""),"N/A (N/A)")</f>
        <v>N/A (N/A)</v>
      </c>
      <c r="F162" s="3" t="str">
        <f>IFERROR(__xludf.DUMMYFUNCTION("""COMPUTED_VALUE"""),"0 .. 20,000")</f>
        <v>0 .. 20,000</v>
      </c>
      <c r="G162" s="3" t="str">
        <f>IFERROR(__xludf.DUMMYFUNCTION("""COMPUTED_VALUE"""),"01:46 (01:57)")</f>
        <v>01:46 (01:57)</v>
      </c>
      <c r="H162" s="34"/>
      <c r="O162" s="34"/>
      <c r="R162" s="34"/>
    </row>
    <row r="163">
      <c r="A163" s="3">
        <f>IFERROR(__xludf.DUMMYFUNCTION("""COMPUTED_VALUE"""),162.0)</f>
        <v>162</v>
      </c>
      <c r="B163" s="3" t="str">
        <f>IFERROR(__xludf.DUMMYFUNCTION("""COMPUTED_VALUE"""),"Dwarves: Glory, Death and Loot")</f>
        <v>Dwarves: Glory, Death and Loot</v>
      </c>
      <c r="C163" s="3" t="str">
        <f>IFERROR(__xludf.DUMMYFUNCTION("""COMPUTED_VALUE"""),"Jan 22, 2026")</f>
        <v>Jan 22, 2026</v>
      </c>
      <c r="D163" s="3" t="str">
        <f>IFERROR(__xludf.DUMMYFUNCTION("""COMPUTED_VALUE"""),"$14.99")</f>
        <v>$14.99</v>
      </c>
      <c r="E163" s="3" t="str">
        <f>IFERROR(__xludf.DUMMYFUNCTION("""COMPUTED_VALUE"""),"N/A (N/A)")</f>
        <v>N/A (N/A)</v>
      </c>
      <c r="F163" s="3" t="str">
        <f>IFERROR(__xludf.DUMMYFUNCTION("""COMPUTED_VALUE"""),"100,000 .. 200,000")</f>
        <v>100,000 .. 200,000</v>
      </c>
      <c r="G163" s="3" t="str">
        <f>IFERROR(__xludf.DUMMYFUNCTION("""COMPUTED_VALUE"""),"06:23 (04:00)")</f>
        <v>06:23 (04:00)</v>
      </c>
      <c r="H163" s="34"/>
      <c r="O163" s="34"/>
      <c r="R163" s="34"/>
    </row>
    <row r="164">
      <c r="A164" s="3">
        <f>IFERROR(__xludf.DUMMYFUNCTION("""COMPUTED_VALUE"""),163.0)</f>
        <v>163</v>
      </c>
      <c r="B164" s="3" t="str">
        <f>IFERROR(__xludf.DUMMYFUNCTION("""COMPUTED_VALUE"""),"Rent A Car Simulator 24")</f>
        <v>Rent A Car Simulator 24</v>
      </c>
      <c r="C164" s="3" t="str">
        <f>IFERROR(__xludf.DUMMYFUNCTION("""COMPUTED_VALUE"""),"Jan 22, 2026")</f>
        <v>Jan 22, 2026</v>
      </c>
      <c r="D164" s="3" t="str">
        <f>IFERROR(__xludf.DUMMYFUNCTION("""COMPUTED_VALUE"""),"$12.99")</f>
        <v>$12.99</v>
      </c>
      <c r="E164" s="3" t="str">
        <f>IFERROR(__xludf.DUMMYFUNCTION("""COMPUTED_VALUE"""),"N/A (N/A)")</f>
        <v>N/A (N/A)</v>
      </c>
      <c r="F164" s="3" t="str">
        <f>IFERROR(__xludf.DUMMYFUNCTION("""COMPUTED_VALUE"""),"0 .. 20,000")</f>
        <v>0 .. 20,000</v>
      </c>
      <c r="G164" s="3" t="str">
        <f>IFERROR(__xludf.DUMMYFUNCTION("""COMPUTED_VALUE"""),"00:00 (00:00)")</f>
        <v>00:00 (00:00)</v>
      </c>
      <c r="H164" s="34"/>
      <c r="O164" s="34"/>
      <c r="R164" s="34"/>
    </row>
    <row r="165">
      <c r="A165" s="3">
        <f>IFERROR(__xludf.DUMMYFUNCTION("""COMPUTED_VALUE"""),164.0)</f>
        <v>164</v>
      </c>
      <c r="B165" s="3" t="str">
        <f>IFERROR(__xludf.DUMMYFUNCTION("""COMPUTED_VALUE"""),"Microcivilization")</f>
        <v>Microcivilization</v>
      </c>
      <c r="C165" s="3" t="str">
        <f>IFERROR(__xludf.DUMMYFUNCTION("""COMPUTED_VALUE"""),"Jan 22, 2026")</f>
        <v>Jan 22, 2026</v>
      </c>
      <c r="D165" s="3" t="str">
        <f>IFERROR(__xludf.DUMMYFUNCTION("""COMPUTED_VALUE"""),"$17.99")</f>
        <v>$17.99</v>
      </c>
      <c r="E165" s="3" t="str">
        <f>IFERROR(__xludf.DUMMYFUNCTION("""COMPUTED_VALUE"""),"N/A (N/A)")</f>
        <v>N/A (N/A)</v>
      </c>
      <c r="F165" s="3" t="str">
        <f>IFERROR(__xludf.DUMMYFUNCTION("""COMPUTED_VALUE"""),"50,000 .. 100,000")</f>
        <v>50,000 .. 100,000</v>
      </c>
      <c r="G165" s="3" t="str">
        <f>IFERROR(__xludf.DUMMYFUNCTION("""COMPUTED_VALUE"""),"06:26 (05:39)")</f>
        <v>06:26 (05:39)</v>
      </c>
      <c r="H165" s="34"/>
      <c r="O165" s="34"/>
      <c r="R165" s="34"/>
    </row>
    <row r="166">
      <c r="A166" s="3">
        <f>IFERROR(__xludf.DUMMYFUNCTION("""COMPUTED_VALUE"""),165.0)</f>
        <v>165</v>
      </c>
      <c r="B166" s="3" t="str">
        <f>IFERROR(__xludf.DUMMYFUNCTION("""COMPUTED_VALUE"""),"Out of Action")</f>
        <v>Out of Action</v>
      </c>
      <c r="C166" s="3" t="str">
        <f>IFERROR(__xludf.DUMMYFUNCTION("""COMPUTED_VALUE"""),"Jan 22, 2026")</f>
        <v>Jan 22, 2026</v>
      </c>
      <c r="D166" s="3" t="str">
        <f>IFERROR(__xludf.DUMMYFUNCTION("""COMPUTED_VALUE"""),"$19.99")</f>
        <v>$19.99</v>
      </c>
      <c r="E166" s="3" t="str">
        <f>IFERROR(__xludf.DUMMYFUNCTION("""COMPUTED_VALUE"""),"N/A (N/A)")</f>
        <v>N/A (N/A)</v>
      </c>
      <c r="F166" s="3" t="str">
        <f>IFERROR(__xludf.DUMMYFUNCTION("""COMPUTED_VALUE"""),"0 .. 20,000")</f>
        <v>0 .. 20,000</v>
      </c>
      <c r="G166" s="3" t="str">
        <f>IFERROR(__xludf.DUMMYFUNCTION("""COMPUTED_VALUE"""),"05:14 (05:14)")</f>
        <v>05:14 (05:14)</v>
      </c>
      <c r="H166" s="34"/>
      <c r="O166" s="34"/>
      <c r="R166" s="34"/>
    </row>
    <row r="167">
      <c r="A167" s="3">
        <f>IFERROR(__xludf.DUMMYFUNCTION("""COMPUTED_VALUE"""),166.0)</f>
        <v>166</v>
      </c>
      <c r="B167" s="3" t="str">
        <f>IFERROR(__xludf.DUMMYFUNCTION("""COMPUTED_VALUE"""),"Captain Hardcore")</f>
        <v>Captain Hardcore</v>
      </c>
      <c r="C167" s="3" t="str">
        <f>IFERROR(__xludf.DUMMYFUNCTION("""COMPUTED_VALUE"""),"Jan 22, 2026")</f>
        <v>Jan 22, 2026</v>
      </c>
      <c r="D167" s="3" t="str">
        <f>IFERROR(__xludf.DUMMYFUNCTION("""COMPUTED_VALUE"""),"$35.99")</f>
        <v>$35.99</v>
      </c>
      <c r="E167" s="3" t="str">
        <f>IFERROR(__xludf.DUMMYFUNCTION("""COMPUTED_VALUE"""),"N/A (N/A)")</f>
        <v>N/A (N/A)</v>
      </c>
      <c r="F167" s="3" t="str">
        <f>IFERROR(__xludf.DUMMYFUNCTION("""COMPUTED_VALUE"""),"0 .. 20,000")</f>
        <v>0 .. 20,000</v>
      </c>
      <c r="G167" s="3" t="str">
        <f>IFERROR(__xludf.DUMMYFUNCTION("""COMPUTED_VALUE"""),"00:00 (00:00)")</f>
        <v>00:00 (00:00)</v>
      </c>
      <c r="H167" s="34"/>
      <c r="O167" s="34"/>
      <c r="R167" s="34"/>
    </row>
    <row r="168">
      <c r="A168" s="3">
        <f>IFERROR(__xludf.DUMMYFUNCTION("""COMPUTED_VALUE"""),167.0)</f>
        <v>167</v>
      </c>
      <c r="B168" s="3" t="str">
        <f>IFERROR(__xludf.DUMMYFUNCTION("""COMPUTED_VALUE"""),"Dungeon Slayer: Tactics")</f>
        <v>Dungeon Slayer: Tactics</v>
      </c>
      <c r="C168" s="3" t="str">
        <f>IFERROR(__xludf.DUMMYFUNCTION("""COMPUTED_VALUE"""),"Jan 22, 2026")</f>
        <v>Jan 22, 2026</v>
      </c>
      <c r="D168" s="3" t="str">
        <f>IFERROR(__xludf.DUMMYFUNCTION("""COMPUTED_VALUE"""),"$7.99")</f>
        <v>$7.99</v>
      </c>
      <c r="E168" s="3" t="str">
        <f>IFERROR(__xludf.DUMMYFUNCTION("""COMPUTED_VALUE"""),"N/A (N/A)")</f>
        <v>N/A (N/A)</v>
      </c>
      <c r="F168" s="3" t="str">
        <f>IFERROR(__xludf.DUMMYFUNCTION("""COMPUTED_VALUE"""),"0 .. 20,000")</f>
        <v>0 .. 20,000</v>
      </c>
      <c r="G168" s="3" t="str">
        <f>IFERROR(__xludf.DUMMYFUNCTION("""COMPUTED_VALUE"""),"00:00 (00:00)")</f>
        <v>00:00 (00:00)</v>
      </c>
      <c r="H168" s="34"/>
      <c r="O168" s="34"/>
      <c r="R168" s="34"/>
    </row>
    <row r="169">
      <c r="A169" s="3">
        <f>IFERROR(__xludf.DUMMYFUNCTION("""COMPUTED_VALUE"""),168.0)</f>
        <v>168</v>
      </c>
      <c r="B169" s="3" t="str">
        <f>IFERROR(__xludf.DUMMYFUNCTION("""COMPUTED_VALUE"""),"Dove Days : Time Flies")</f>
        <v>Dove Days : Time Flies</v>
      </c>
      <c r="C169" s="3" t="str">
        <f>IFERROR(__xludf.DUMMYFUNCTION("""COMPUTED_VALUE"""),"Jan 21, 2026")</f>
        <v>Jan 21, 2026</v>
      </c>
      <c r="D169" s="3" t="str">
        <f>IFERROR(__xludf.DUMMYFUNCTION("""COMPUTED_VALUE"""),"$4.99")</f>
        <v>$4.99</v>
      </c>
      <c r="E169" s="3" t="str">
        <f>IFERROR(__xludf.DUMMYFUNCTION("""COMPUTED_VALUE"""),"N/A (N/A)")</f>
        <v>N/A (N/A)</v>
      </c>
      <c r="F169" s="3" t="str">
        <f>IFERROR(__xludf.DUMMYFUNCTION("""COMPUTED_VALUE"""),"0 .. 20,000")</f>
        <v>0 .. 20,000</v>
      </c>
      <c r="G169" s="3" t="str">
        <f>IFERROR(__xludf.DUMMYFUNCTION("""COMPUTED_VALUE"""),"00:00 (00:00)")</f>
        <v>00:00 (00:00)</v>
      </c>
      <c r="H169" s="34"/>
      <c r="O169" s="34"/>
      <c r="R169" s="34"/>
    </row>
    <row r="170">
      <c r="A170" s="3">
        <f>IFERROR(__xludf.DUMMYFUNCTION("""COMPUTED_VALUE"""),169.0)</f>
        <v>169</v>
      </c>
      <c r="B170" s="3" t="str">
        <f>IFERROR(__xludf.DUMMYFUNCTION("""COMPUTED_VALUE"""),"TR-49")</f>
        <v>TR-49</v>
      </c>
      <c r="C170" s="3" t="str">
        <f>IFERROR(__xludf.DUMMYFUNCTION("""COMPUTED_VALUE"""),"Jan 21, 2026")</f>
        <v>Jan 21, 2026</v>
      </c>
      <c r="D170" s="3" t="str">
        <f>IFERROR(__xludf.DUMMYFUNCTION("""COMPUTED_VALUE"""),"$6.99")</f>
        <v>$6.99</v>
      </c>
      <c r="E170" s="3" t="str">
        <f>IFERROR(__xludf.DUMMYFUNCTION("""COMPUTED_VALUE"""),"N/A (N/A/84%)")</f>
        <v>N/A (N/A/84%)</v>
      </c>
      <c r="F170" s="3" t="str">
        <f>IFERROR(__xludf.DUMMYFUNCTION("""COMPUTED_VALUE"""),"0 .. 20,000")</f>
        <v>0 .. 20,000</v>
      </c>
      <c r="G170" s="3" t="str">
        <f>IFERROR(__xludf.DUMMYFUNCTION("""COMPUTED_VALUE"""),"00:00 (00:00)")</f>
        <v>00:00 (00:00)</v>
      </c>
      <c r="H170" s="34"/>
      <c r="O170" s="34"/>
      <c r="R170" s="34"/>
    </row>
    <row r="171">
      <c r="A171" s="3">
        <f>IFERROR(__xludf.DUMMYFUNCTION("""COMPUTED_VALUE"""),170.0)</f>
        <v>170</v>
      </c>
      <c r="B171" s="3" t="str">
        <f>IFERROR(__xludf.DUMMYFUNCTION("""COMPUTED_VALUE"""),"Decollate Decoration")</f>
        <v>Decollate Decoration</v>
      </c>
      <c r="C171" s="3" t="str">
        <f>IFERROR(__xludf.DUMMYFUNCTION("""COMPUTED_VALUE"""),"Jan 21, 2026")</f>
        <v>Jan 21, 2026</v>
      </c>
      <c r="D171" s="3" t="str">
        <f>IFERROR(__xludf.DUMMYFUNCTION("""COMPUTED_VALUE"""),"$8.99")</f>
        <v>$8.99</v>
      </c>
      <c r="E171" s="3" t="str">
        <f>IFERROR(__xludf.DUMMYFUNCTION("""COMPUTED_VALUE"""),"N/A (N/A)")</f>
        <v>N/A (N/A)</v>
      </c>
      <c r="F171" s="3" t="str">
        <f>IFERROR(__xludf.DUMMYFUNCTION("""COMPUTED_VALUE"""),"0 .. 20,000")</f>
        <v>0 .. 20,000</v>
      </c>
      <c r="G171" s="3" t="str">
        <f>IFERROR(__xludf.DUMMYFUNCTION("""COMPUTED_VALUE"""),"00:00 (00:00)")</f>
        <v>00:00 (00:00)</v>
      </c>
      <c r="H171" s="34"/>
      <c r="O171" s="34"/>
      <c r="R171" s="34"/>
    </row>
    <row r="172">
      <c r="A172" s="3">
        <f>IFERROR(__xludf.DUMMYFUNCTION("""COMPUTED_VALUE"""),171.0)</f>
        <v>171</v>
      </c>
      <c r="B172" s="3" t="str">
        <f>IFERROR(__xludf.DUMMYFUNCTION("""COMPUTED_VALUE"""),"Hyperslice")</f>
        <v>Hyperslice</v>
      </c>
      <c r="C172" s="3" t="str">
        <f>IFERROR(__xludf.DUMMYFUNCTION("""COMPUTED_VALUE"""),"Jan 21, 2026")</f>
        <v>Jan 21, 2026</v>
      </c>
      <c r="D172" s="3" t="str">
        <f>IFERROR(__xludf.DUMMYFUNCTION("""COMPUTED_VALUE"""),"$6.99")</f>
        <v>$6.99</v>
      </c>
      <c r="E172" s="3" t="str">
        <f>IFERROR(__xludf.DUMMYFUNCTION("""COMPUTED_VALUE"""),"N/A (N/A)")</f>
        <v>N/A (N/A)</v>
      </c>
      <c r="F172" s="3" t="str">
        <f>IFERROR(__xludf.DUMMYFUNCTION("""COMPUTED_VALUE"""),"0 .. 20,000")</f>
        <v>0 .. 20,000</v>
      </c>
      <c r="G172" s="3" t="str">
        <f>IFERROR(__xludf.DUMMYFUNCTION("""COMPUTED_VALUE"""),"00:00 (00:00)")</f>
        <v>00:00 (00:00)</v>
      </c>
      <c r="H172" s="34"/>
      <c r="O172" s="34"/>
      <c r="R172" s="34"/>
    </row>
    <row r="173">
      <c r="A173" s="3">
        <f>IFERROR(__xludf.DUMMYFUNCTION("""COMPUTED_VALUE"""),172.0)</f>
        <v>172</v>
      </c>
      <c r="B173" s="3" t="str">
        <f>IFERROR(__xludf.DUMMYFUNCTION("""COMPUTED_VALUE"""),"LORT")</f>
        <v>LORT</v>
      </c>
      <c r="C173" s="3" t="str">
        <f>IFERROR(__xludf.DUMMYFUNCTION("""COMPUTED_VALUE"""),"Jan 21, 2026")</f>
        <v>Jan 21, 2026</v>
      </c>
      <c r="D173" s="3" t="str">
        <f>IFERROR(__xludf.DUMMYFUNCTION("""COMPUTED_VALUE"""),"$14.99")</f>
        <v>$14.99</v>
      </c>
      <c r="E173" s="3" t="str">
        <f>IFERROR(__xludf.DUMMYFUNCTION("""COMPUTED_VALUE"""),"N/A (N/A)")</f>
        <v>N/A (N/A)</v>
      </c>
      <c r="F173" s="3" t="str">
        <f>IFERROR(__xludf.DUMMYFUNCTION("""COMPUTED_VALUE"""),"0 .. 20,000")</f>
        <v>0 .. 20,000</v>
      </c>
      <c r="G173" s="3" t="str">
        <f>IFERROR(__xludf.DUMMYFUNCTION("""COMPUTED_VALUE"""),"04:48 (04:13)")</f>
        <v>04:48 (04:13)</v>
      </c>
      <c r="H173" s="34"/>
      <c r="O173" s="34"/>
      <c r="R173" s="34"/>
    </row>
    <row r="174">
      <c r="A174" s="3">
        <f>IFERROR(__xludf.DUMMYFUNCTION("""COMPUTED_VALUE"""),173.0)</f>
        <v>173</v>
      </c>
      <c r="B174" s="3" t="str">
        <f>IFERROR(__xludf.DUMMYFUNCTION("""COMPUTED_VALUE"""),"Tailside: Cozy Cafe Sim")</f>
        <v>Tailside: Cozy Cafe Sim</v>
      </c>
      <c r="C174" s="3" t="str">
        <f>IFERROR(__xludf.DUMMYFUNCTION("""COMPUTED_VALUE"""),"Jan 21, 2026")</f>
        <v>Jan 21, 2026</v>
      </c>
      <c r="D174" s="3" t="str">
        <f>IFERROR(__xludf.DUMMYFUNCTION("""COMPUTED_VALUE"""),"$10.99")</f>
        <v>$10.99</v>
      </c>
      <c r="E174" s="3" t="str">
        <f>IFERROR(__xludf.DUMMYFUNCTION("""COMPUTED_VALUE"""),"N/A (N/A)")</f>
        <v>N/A (N/A)</v>
      </c>
      <c r="F174" s="3" t="str">
        <f>IFERROR(__xludf.DUMMYFUNCTION("""COMPUTED_VALUE"""),"0 .. 20,000")</f>
        <v>0 .. 20,000</v>
      </c>
      <c r="G174" s="3" t="str">
        <f>IFERROR(__xludf.DUMMYFUNCTION("""COMPUTED_VALUE"""),"00:00 (00:00)")</f>
        <v>00:00 (00:00)</v>
      </c>
      <c r="H174" s="34"/>
      <c r="O174" s="34"/>
      <c r="R174" s="34"/>
    </row>
    <row r="175">
      <c r="A175" s="3">
        <f>IFERROR(__xludf.DUMMYFUNCTION("""COMPUTED_VALUE"""),174.0)</f>
        <v>174</v>
      </c>
      <c r="B175" s="3" t="str">
        <f>IFERROR(__xludf.DUMMYFUNCTION("""COMPUTED_VALUE"""),"Falling Stars... and other celestial objects")</f>
        <v>Falling Stars... and other celestial objects</v>
      </c>
      <c r="C175" s="3" t="str">
        <f>IFERROR(__xludf.DUMMYFUNCTION("""COMPUTED_VALUE"""),"Jan 21, 2026")</f>
        <v>Jan 21, 2026</v>
      </c>
      <c r="D175" s="3" t="str">
        <f>IFERROR(__xludf.DUMMYFUNCTION("""COMPUTED_VALUE"""),"$12.99")</f>
        <v>$12.99</v>
      </c>
      <c r="E175" s="3" t="str">
        <f>IFERROR(__xludf.DUMMYFUNCTION("""COMPUTED_VALUE"""),"N/A (N/A)")</f>
        <v>N/A (N/A)</v>
      </c>
      <c r="F175" s="3" t="str">
        <f>IFERROR(__xludf.DUMMYFUNCTION("""COMPUTED_VALUE"""),"0 .. 20,000")</f>
        <v>0 .. 20,000</v>
      </c>
      <c r="G175" s="3" t="str">
        <f>IFERROR(__xludf.DUMMYFUNCTION("""COMPUTED_VALUE"""),"00:00 (00:00)")</f>
        <v>00:00 (00:00)</v>
      </c>
      <c r="H175" s="34"/>
      <c r="O175" s="34"/>
      <c r="R175" s="34"/>
    </row>
    <row r="176">
      <c r="A176" s="3">
        <f>IFERROR(__xludf.DUMMYFUNCTION("""COMPUTED_VALUE"""),175.0)</f>
        <v>175</v>
      </c>
      <c r="B176" s="3" t="str">
        <f>IFERROR(__xludf.DUMMYFUNCTION("""COMPUTED_VALUE"""),"Linear Calamity")</f>
        <v>Linear Calamity</v>
      </c>
      <c r="C176" s="3" t="str">
        <f>IFERROR(__xludf.DUMMYFUNCTION("""COMPUTED_VALUE"""),"Jan 21, 2026")</f>
        <v>Jan 21, 2026</v>
      </c>
      <c r="D176" s="3" t="str">
        <f>IFERROR(__xludf.DUMMYFUNCTION("""COMPUTED_VALUE"""),"$10.99")</f>
        <v>$10.99</v>
      </c>
      <c r="E176" s="3" t="str">
        <f>IFERROR(__xludf.DUMMYFUNCTION("""COMPUTED_VALUE"""),"N/A (N/A)")</f>
        <v>N/A (N/A)</v>
      </c>
      <c r="F176" s="3" t="str">
        <f>IFERROR(__xludf.DUMMYFUNCTION("""COMPUTED_VALUE"""),"0 .. 20,000")</f>
        <v>0 .. 20,000</v>
      </c>
      <c r="G176" s="3" t="str">
        <f>IFERROR(__xludf.DUMMYFUNCTION("""COMPUTED_VALUE"""),"00:00 (00:00)")</f>
        <v>00:00 (00:00)</v>
      </c>
      <c r="H176" s="34"/>
      <c r="O176" s="34"/>
      <c r="R176" s="34"/>
    </row>
    <row r="177">
      <c r="A177" s="3">
        <f>IFERROR(__xludf.DUMMYFUNCTION("""COMPUTED_VALUE"""),176.0)</f>
        <v>176</v>
      </c>
      <c r="B177" s="3" t="str">
        <f>IFERROR(__xludf.DUMMYFUNCTION("""COMPUTED_VALUE"""),"Exotica 2: Pet Shop Simulator")</f>
        <v>Exotica 2: Pet Shop Simulator</v>
      </c>
      <c r="C177" s="3" t="str">
        <f>IFERROR(__xludf.DUMMYFUNCTION("""COMPUTED_VALUE"""),"Jan 21, 2026")</f>
        <v>Jan 21, 2026</v>
      </c>
      <c r="D177" s="3" t="str">
        <f>IFERROR(__xludf.DUMMYFUNCTION("""COMPUTED_VALUE"""),"$12.74")</f>
        <v>$12.74</v>
      </c>
      <c r="E177" s="3" t="str">
        <f>IFERROR(__xludf.DUMMYFUNCTION("""COMPUTED_VALUE"""),"N/A (N/A)")</f>
        <v>N/A (N/A)</v>
      </c>
      <c r="F177" s="3" t="str">
        <f>IFERROR(__xludf.DUMMYFUNCTION("""COMPUTED_VALUE"""),"0 .. 20,000")</f>
        <v>0 .. 20,000</v>
      </c>
      <c r="G177" s="3" t="str">
        <f>IFERROR(__xludf.DUMMYFUNCTION("""COMPUTED_VALUE"""),"00:00 (00:00)")</f>
        <v>00:00 (00:00)</v>
      </c>
      <c r="H177" s="34"/>
      <c r="O177" s="34"/>
      <c r="R177" s="34"/>
    </row>
    <row r="178">
      <c r="A178" s="3">
        <f>IFERROR(__xludf.DUMMYFUNCTION("""COMPUTED_VALUE"""),177.0)</f>
        <v>177</v>
      </c>
      <c r="B178" s="3" t="str">
        <f>IFERROR(__xludf.DUMMYFUNCTION("""COMPUTED_VALUE"""),"Smashed")</f>
        <v>Smashed</v>
      </c>
      <c r="C178" s="3" t="str">
        <f>IFERROR(__xludf.DUMMYFUNCTION("""COMPUTED_VALUE"""),"Jan 21, 2026")</f>
        <v>Jan 21, 2026</v>
      </c>
      <c r="D178" s="3" t="str">
        <f>IFERROR(__xludf.DUMMYFUNCTION("""COMPUTED_VALUE"""),"$3.99")</f>
        <v>$3.99</v>
      </c>
      <c r="E178" s="3" t="str">
        <f>IFERROR(__xludf.DUMMYFUNCTION("""COMPUTED_VALUE"""),"N/A (N/A)")</f>
        <v>N/A (N/A)</v>
      </c>
      <c r="F178" s="3" t="str">
        <f>IFERROR(__xludf.DUMMYFUNCTION("""COMPUTED_VALUE"""),"0 .. 20,000")</f>
        <v>0 .. 20,000</v>
      </c>
      <c r="G178" s="3" t="str">
        <f>IFERROR(__xludf.DUMMYFUNCTION("""COMPUTED_VALUE"""),"00:00 (00:00)")</f>
        <v>00:00 (00:00)</v>
      </c>
      <c r="H178" s="34"/>
      <c r="O178" s="34"/>
      <c r="R178" s="34"/>
    </row>
    <row r="179">
      <c r="A179" s="3">
        <f>IFERROR(__xludf.DUMMYFUNCTION("""COMPUTED_VALUE"""),178.0)</f>
        <v>178</v>
      </c>
      <c r="B179" s="3" t="str">
        <f>IFERROR(__xludf.DUMMYFUNCTION("""COMPUTED_VALUE"""),"Sex Novel - Swingers Yacht")</f>
        <v>Sex Novel - Swingers Yacht</v>
      </c>
      <c r="C179" s="3" t="str">
        <f>IFERROR(__xludf.DUMMYFUNCTION("""COMPUTED_VALUE"""),"Jan 21, 2026")</f>
        <v>Jan 21, 2026</v>
      </c>
      <c r="D179" s="3" t="str">
        <f>IFERROR(__xludf.DUMMYFUNCTION("""COMPUTED_VALUE"""),"$9.99")</f>
        <v>$9.99</v>
      </c>
      <c r="E179" s="3" t="str">
        <f>IFERROR(__xludf.DUMMYFUNCTION("""COMPUTED_VALUE"""),"N/A (N/A)")</f>
        <v>N/A (N/A)</v>
      </c>
      <c r="F179" s="3" t="str">
        <f>IFERROR(__xludf.DUMMYFUNCTION("""COMPUTED_VALUE"""),"0 .. 20,000")</f>
        <v>0 .. 20,000</v>
      </c>
      <c r="G179" s="3" t="str">
        <f>IFERROR(__xludf.DUMMYFUNCTION("""COMPUTED_VALUE"""),"00:00 (00:00)")</f>
        <v>00:00 (00:00)</v>
      </c>
      <c r="H179" s="34"/>
      <c r="O179" s="34"/>
      <c r="R179" s="34"/>
    </row>
    <row r="180">
      <c r="A180" s="3">
        <f>IFERROR(__xludf.DUMMYFUNCTION("""COMPUTED_VALUE"""),179.0)</f>
        <v>179</v>
      </c>
      <c r="B180" s="3" t="str">
        <f>IFERROR(__xludf.DUMMYFUNCTION("""COMPUTED_VALUE"""),"Eldegarde")</f>
        <v>Eldegarde</v>
      </c>
      <c r="C180" s="3" t="str">
        <f>IFERROR(__xludf.DUMMYFUNCTION("""COMPUTED_VALUE"""),"Jan 21, 2026")</f>
        <v>Jan 21, 2026</v>
      </c>
      <c r="D180" s="3" t="str">
        <f>IFERROR(__xludf.DUMMYFUNCTION("""COMPUTED_VALUE"""),"$24.99")</f>
        <v>$24.99</v>
      </c>
      <c r="E180" s="3" t="str">
        <f>IFERROR(__xludf.DUMMYFUNCTION("""COMPUTED_VALUE"""),"N/A (N/A)")</f>
        <v>N/A (N/A)</v>
      </c>
      <c r="F180" s="3" t="str">
        <f>IFERROR(__xludf.DUMMYFUNCTION("""COMPUTED_VALUE"""),"200,000 .. 500,000")</f>
        <v>200,000 .. 500,000</v>
      </c>
      <c r="G180" s="3" t="str">
        <f>IFERROR(__xludf.DUMMYFUNCTION("""COMPUTED_VALUE"""),"00:00 (00:00)")</f>
        <v>00:00 (00:00)</v>
      </c>
      <c r="H180" s="34"/>
      <c r="O180" s="34"/>
      <c r="R180" s="34"/>
    </row>
    <row r="181">
      <c r="A181" s="3">
        <f>IFERROR(__xludf.DUMMYFUNCTION("""COMPUTED_VALUE"""),180.0)</f>
        <v>180</v>
      </c>
      <c r="B181" s="3" t="str">
        <f>IFERROR(__xludf.DUMMYFUNCTION("""COMPUTED_VALUE"""),"Duel Corp.")</f>
        <v>Duel Corp.</v>
      </c>
      <c r="C181" s="3" t="str">
        <f>IFERROR(__xludf.DUMMYFUNCTION("""COMPUTED_VALUE"""),"Jan 21, 2026")</f>
        <v>Jan 21, 2026</v>
      </c>
      <c r="D181" s="3" t="str">
        <f>IFERROR(__xludf.DUMMYFUNCTION("""COMPUTED_VALUE"""),"$24.99")</f>
        <v>$24.99</v>
      </c>
      <c r="E181" s="3" t="str">
        <f>IFERROR(__xludf.DUMMYFUNCTION("""COMPUTED_VALUE"""),"N/A (N/A)")</f>
        <v>N/A (N/A)</v>
      </c>
      <c r="F181" s="3" t="str">
        <f>IFERROR(__xludf.DUMMYFUNCTION("""COMPUTED_VALUE"""),"0 .. 20,000")</f>
        <v>0 .. 20,000</v>
      </c>
      <c r="G181" s="3" t="str">
        <f>IFERROR(__xludf.DUMMYFUNCTION("""COMPUTED_VALUE"""),"06:44 (03:57)")</f>
        <v>06:44 (03:57)</v>
      </c>
      <c r="H181" s="34"/>
      <c r="O181" s="34"/>
      <c r="R181" s="34"/>
    </row>
    <row r="182">
      <c r="A182" s="3">
        <f>IFERROR(__xludf.DUMMYFUNCTION("""COMPUTED_VALUE"""),181.0)</f>
        <v>181</v>
      </c>
      <c r="B182" s="3" t="str">
        <f>IFERROR(__xludf.DUMMYFUNCTION("""COMPUTED_VALUE"""),"AutoParts Simulator")</f>
        <v>AutoParts Simulator</v>
      </c>
      <c r="C182" s="3" t="str">
        <f>IFERROR(__xludf.DUMMYFUNCTION("""COMPUTED_VALUE"""),"Jan 21, 2026")</f>
        <v>Jan 21, 2026</v>
      </c>
      <c r="D182" s="3" t="str">
        <f>IFERROR(__xludf.DUMMYFUNCTION("""COMPUTED_VALUE"""),"$2.99")</f>
        <v>$2.99</v>
      </c>
      <c r="E182" s="3" t="str">
        <f>IFERROR(__xludf.DUMMYFUNCTION("""COMPUTED_VALUE"""),"N/A (N/A)")</f>
        <v>N/A (N/A)</v>
      </c>
      <c r="F182" s="3" t="str">
        <f>IFERROR(__xludf.DUMMYFUNCTION("""COMPUTED_VALUE"""),"0 .. 20,000")</f>
        <v>0 .. 20,000</v>
      </c>
      <c r="G182" s="3" t="str">
        <f>IFERROR(__xludf.DUMMYFUNCTION("""COMPUTED_VALUE"""),"00:00 (00:00)")</f>
        <v>00:00 (00:00)</v>
      </c>
      <c r="H182" s="34"/>
      <c r="O182" s="34"/>
      <c r="R182" s="34"/>
    </row>
    <row r="183">
      <c r="A183" s="3">
        <f>IFERROR(__xludf.DUMMYFUNCTION("""COMPUTED_VALUE"""),182.0)</f>
        <v>182</v>
      </c>
      <c r="B183" s="3" t="str">
        <f>IFERROR(__xludf.DUMMYFUNCTION("""COMPUTED_VALUE"""),"Auto Snakes in Outer Space")</f>
        <v>Auto Snakes in Outer Space</v>
      </c>
      <c r="C183" s="3" t="str">
        <f>IFERROR(__xludf.DUMMYFUNCTION("""COMPUTED_VALUE"""),"Jan 20, 2026")</f>
        <v>Jan 20, 2026</v>
      </c>
      <c r="D183" s="3" t="str">
        <f>IFERROR(__xludf.DUMMYFUNCTION("""COMPUTED_VALUE"""),"$3.99")</f>
        <v>$3.99</v>
      </c>
      <c r="E183" s="3" t="str">
        <f>IFERROR(__xludf.DUMMYFUNCTION("""COMPUTED_VALUE"""),"N/A (N/A)")</f>
        <v>N/A (N/A)</v>
      </c>
      <c r="F183" s="3" t="str">
        <f>IFERROR(__xludf.DUMMYFUNCTION("""COMPUTED_VALUE"""),"0 .. 20,000")</f>
        <v>0 .. 20,000</v>
      </c>
      <c r="G183" s="3" t="str">
        <f>IFERROR(__xludf.DUMMYFUNCTION("""COMPUTED_VALUE"""),"00:00 (00:00)")</f>
        <v>00:00 (00:00)</v>
      </c>
      <c r="H183" s="34"/>
      <c r="O183" s="34"/>
      <c r="R183" s="34"/>
    </row>
    <row r="184">
      <c r="A184" s="3">
        <f>IFERROR(__xludf.DUMMYFUNCTION("""COMPUTED_VALUE"""),183.0)</f>
        <v>183</v>
      </c>
      <c r="B184" s="3" t="str">
        <f>IFERROR(__xludf.DUMMYFUNCTION("""COMPUTED_VALUE"""),"Rectifier: In Bloom")</f>
        <v>Rectifier: In Bloom</v>
      </c>
      <c r="C184" s="3" t="str">
        <f>IFERROR(__xludf.DUMMYFUNCTION("""COMPUTED_VALUE"""),"Jan 20, 2026")</f>
        <v>Jan 20, 2026</v>
      </c>
      <c r="D184" s="3" t="str">
        <f>IFERROR(__xludf.DUMMYFUNCTION("""COMPUTED_VALUE"""),"$5.99")</f>
        <v>$5.99</v>
      </c>
      <c r="E184" s="3" t="str">
        <f>IFERROR(__xludf.DUMMYFUNCTION("""COMPUTED_VALUE"""),"N/A (N/A)")</f>
        <v>N/A (N/A)</v>
      </c>
      <c r="F184" s="3" t="str">
        <f>IFERROR(__xludf.DUMMYFUNCTION("""COMPUTED_VALUE"""),"0 .. 20,000")</f>
        <v>0 .. 20,000</v>
      </c>
      <c r="G184" s="3" t="str">
        <f>IFERROR(__xludf.DUMMYFUNCTION("""COMPUTED_VALUE"""),"00:00 (00:00)")</f>
        <v>00:00 (00:00)</v>
      </c>
      <c r="H184" s="34"/>
      <c r="O184" s="34"/>
      <c r="R184" s="34"/>
    </row>
    <row r="185">
      <c r="A185" s="3">
        <f>IFERROR(__xludf.DUMMYFUNCTION("""COMPUTED_VALUE"""),184.0)</f>
        <v>184</v>
      </c>
      <c r="B185" s="3" t="str">
        <f>IFERROR(__xludf.DUMMYFUNCTION("""COMPUTED_VALUE"""),"Bite Night: Dine or Die")</f>
        <v>Bite Night: Dine or Die</v>
      </c>
      <c r="C185" s="3" t="str">
        <f>IFERROR(__xludf.DUMMYFUNCTION("""COMPUTED_VALUE"""),"Jan 20, 2026")</f>
        <v>Jan 20, 2026</v>
      </c>
      <c r="D185" s="3" t="str">
        <f>IFERROR(__xludf.DUMMYFUNCTION("""COMPUTED_VALUE"""),"$6.99")</f>
        <v>$6.99</v>
      </c>
      <c r="E185" s="3" t="str">
        <f>IFERROR(__xludf.DUMMYFUNCTION("""COMPUTED_VALUE"""),"N/A (N/A)")</f>
        <v>N/A (N/A)</v>
      </c>
      <c r="F185" s="3" t="str">
        <f>IFERROR(__xludf.DUMMYFUNCTION("""COMPUTED_VALUE"""),"0 .. 20,000")</f>
        <v>0 .. 20,000</v>
      </c>
      <c r="G185" s="3" t="str">
        <f>IFERROR(__xludf.DUMMYFUNCTION("""COMPUTED_VALUE"""),"00:00 (00:00)")</f>
        <v>00:00 (00:00)</v>
      </c>
      <c r="H185" s="34"/>
      <c r="O185" s="34"/>
      <c r="R185" s="34"/>
    </row>
    <row r="186">
      <c r="A186" s="3">
        <f>IFERROR(__xludf.DUMMYFUNCTION("""COMPUTED_VALUE"""),185.0)</f>
        <v>185</v>
      </c>
      <c r="B186" s="3" t="str">
        <f>IFERROR(__xludf.DUMMYFUNCTION("""COMPUTED_VALUE"""),"Find Cats 5 天使猫")</f>
        <v>Find Cats 5 天使猫</v>
      </c>
      <c r="C186" s="3" t="str">
        <f>IFERROR(__xludf.DUMMYFUNCTION("""COMPUTED_VALUE"""),"Jan 20, 2026")</f>
        <v>Jan 20, 2026</v>
      </c>
      <c r="D186" s="3" t="str">
        <f>IFERROR(__xludf.DUMMYFUNCTION("""COMPUTED_VALUE"""),"$0.99")</f>
        <v>$0.99</v>
      </c>
      <c r="E186" s="3" t="str">
        <f>IFERROR(__xludf.DUMMYFUNCTION("""COMPUTED_VALUE"""),"N/A (N/A)")</f>
        <v>N/A (N/A)</v>
      </c>
      <c r="F186" s="3" t="str">
        <f>IFERROR(__xludf.DUMMYFUNCTION("""COMPUTED_VALUE"""),"0 .. 20,000")</f>
        <v>0 .. 20,000</v>
      </c>
      <c r="G186" s="3" t="str">
        <f>IFERROR(__xludf.DUMMYFUNCTION("""COMPUTED_VALUE"""),"00:00 (00:00)")</f>
        <v>00:00 (00:00)</v>
      </c>
      <c r="H186" s="34"/>
      <c r="O186" s="34"/>
      <c r="R186" s="34"/>
    </row>
    <row r="187">
      <c r="A187" s="3">
        <f>IFERROR(__xludf.DUMMYFUNCTION("""COMPUTED_VALUE"""),186.0)</f>
        <v>186</v>
      </c>
      <c r="B187" s="3" t="str">
        <f>IFERROR(__xludf.DUMMYFUNCTION("""COMPUTED_VALUE"""),"Futanari★Coffee shop")</f>
        <v>Futanari★Coffee shop</v>
      </c>
      <c r="C187" s="3" t="str">
        <f>IFERROR(__xludf.DUMMYFUNCTION("""COMPUTED_VALUE"""),"Jan 20, 2026")</f>
        <v>Jan 20, 2026</v>
      </c>
      <c r="D187" s="3" t="str">
        <f>IFERROR(__xludf.DUMMYFUNCTION("""COMPUTED_VALUE"""),"$13.99")</f>
        <v>$13.99</v>
      </c>
      <c r="E187" s="3" t="str">
        <f>IFERROR(__xludf.DUMMYFUNCTION("""COMPUTED_VALUE"""),"N/A (N/A)")</f>
        <v>N/A (N/A)</v>
      </c>
      <c r="F187" s="3" t="str">
        <f>IFERROR(__xludf.DUMMYFUNCTION("""COMPUTED_VALUE"""),"0 .. 20,000")</f>
        <v>0 .. 20,000</v>
      </c>
      <c r="G187" s="3" t="str">
        <f>IFERROR(__xludf.DUMMYFUNCTION("""COMPUTED_VALUE"""),"00:00 (00:00)")</f>
        <v>00:00 (00:00)</v>
      </c>
      <c r="H187" s="34"/>
      <c r="O187" s="34"/>
      <c r="R187" s="34"/>
    </row>
    <row r="188">
      <c r="A188" s="3">
        <f>IFERROR(__xludf.DUMMYFUNCTION("""COMPUTED_VALUE"""),187.0)</f>
        <v>187</v>
      </c>
      <c r="B188" s="3" t="str">
        <f>IFERROR(__xludf.DUMMYFUNCTION("""COMPUTED_VALUE"""),"诡异迷域")</f>
        <v>诡异迷域</v>
      </c>
      <c r="C188" s="3" t="str">
        <f>IFERROR(__xludf.DUMMYFUNCTION("""COMPUTED_VALUE"""),"Jan 20, 2026")</f>
        <v>Jan 20, 2026</v>
      </c>
      <c r="D188" s="3" t="str">
        <f>IFERROR(__xludf.DUMMYFUNCTION("""COMPUTED_VALUE"""),"$5.99")</f>
        <v>$5.99</v>
      </c>
      <c r="E188" s="3" t="str">
        <f>IFERROR(__xludf.DUMMYFUNCTION("""COMPUTED_VALUE"""),"N/A (N/A)")</f>
        <v>N/A (N/A)</v>
      </c>
      <c r="F188" s="3" t="str">
        <f>IFERROR(__xludf.DUMMYFUNCTION("""COMPUTED_VALUE"""),"0 .. 20,000")</f>
        <v>0 .. 20,000</v>
      </c>
      <c r="G188" s="3" t="str">
        <f>IFERROR(__xludf.DUMMYFUNCTION("""COMPUTED_VALUE"""),"00:00 (00:00)")</f>
        <v>00:00 (00:00)</v>
      </c>
      <c r="H188" s="34"/>
      <c r="O188" s="34"/>
      <c r="R188" s="34"/>
    </row>
    <row r="189">
      <c r="A189" s="3">
        <f>IFERROR(__xludf.DUMMYFUNCTION("""COMPUTED_VALUE"""),188.0)</f>
        <v>188</v>
      </c>
      <c r="B189" s="3" t="str">
        <f>IFERROR(__xludf.DUMMYFUNCTION("""COMPUTED_VALUE"""),"Strategos")</f>
        <v>Strategos</v>
      </c>
      <c r="C189" s="3" t="str">
        <f>IFERROR(__xludf.DUMMYFUNCTION("""COMPUTED_VALUE"""),"Jan 20, 2026")</f>
        <v>Jan 20, 2026</v>
      </c>
      <c r="D189" s="3" t="str">
        <f>IFERROR(__xludf.DUMMYFUNCTION("""COMPUTED_VALUE"""),"$24.99")</f>
        <v>$24.99</v>
      </c>
      <c r="E189" s="3" t="str">
        <f>IFERROR(__xludf.DUMMYFUNCTION("""COMPUTED_VALUE"""),"N/A (N/A)")</f>
        <v>N/A (N/A)</v>
      </c>
      <c r="F189" s="3" t="str">
        <f>IFERROR(__xludf.DUMMYFUNCTION("""COMPUTED_VALUE"""),"0 .. 20,000")</f>
        <v>0 .. 20,000</v>
      </c>
      <c r="G189" s="3" t="str">
        <f>IFERROR(__xludf.DUMMYFUNCTION("""COMPUTED_VALUE"""),"00:00 (00:00)")</f>
        <v>00:00 (00:00)</v>
      </c>
      <c r="H189" s="34"/>
      <c r="O189" s="34"/>
      <c r="R189" s="34"/>
    </row>
    <row r="190">
      <c r="A190" s="3">
        <f>IFERROR(__xludf.DUMMYFUNCTION("""COMPUTED_VALUE"""),189.0)</f>
        <v>189</v>
      </c>
      <c r="B190" s="3" t="str">
        <f>IFERROR(__xludf.DUMMYFUNCTION("""COMPUTED_VALUE"""),"Blightstone")</f>
        <v>Blightstone</v>
      </c>
      <c r="C190" s="3" t="str">
        <f>IFERROR(__xludf.DUMMYFUNCTION("""COMPUTED_VALUE"""),"Jan 20, 2026")</f>
        <v>Jan 20, 2026</v>
      </c>
      <c r="D190" s="3" t="str">
        <f>IFERROR(__xludf.DUMMYFUNCTION("""COMPUTED_VALUE"""),"$15.99")</f>
        <v>$15.99</v>
      </c>
      <c r="E190" s="3" t="str">
        <f>IFERROR(__xludf.DUMMYFUNCTION("""COMPUTED_VALUE"""),"N/A (N/A)")</f>
        <v>N/A (N/A)</v>
      </c>
      <c r="F190" s="3" t="str">
        <f>IFERROR(__xludf.DUMMYFUNCTION("""COMPUTED_VALUE"""),"0 .. 20,000")</f>
        <v>0 .. 20,000</v>
      </c>
      <c r="G190" s="3" t="str">
        <f>IFERROR(__xludf.DUMMYFUNCTION("""COMPUTED_VALUE"""),"00:00 (00:00)")</f>
        <v>00:00 (00:00)</v>
      </c>
      <c r="H190" s="34"/>
      <c r="O190" s="34"/>
      <c r="R190" s="34"/>
    </row>
    <row r="191">
      <c r="A191" s="3">
        <f>IFERROR(__xludf.DUMMYFUNCTION("""COMPUTED_VALUE"""),190.0)</f>
        <v>190</v>
      </c>
      <c r="B191" s="3" t="str">
        <f>IFERROR(__xludf.DUMMYFUNCTION("""COMPUTED_VALUE"""),"Death's Web")</f>
        <v>Death's Web</v>
      </c>
      <c r="C191" s="3" t="str">
        <f>IFERROR(__xludf.DUMMYFUNCTION("""COMPUTED_VALUE"""),"Jan 20, 2026")</f>
        <v>Jan 20, 2026</v>
      </c>
      <c r="D191" s="3" t="str">
        <f>IFERROR(__xludf.DUMMYFUNCTION("""COMPUTED_VALUE"""),"$14.99")</f>
        <v>$14.99</v>
      </c>
      <c r="E191" s="3" t="str">
        <f>IFERROR(__xludf.DUMMYFUNCTION("""COMPUTED_VALUE"""),"N/A (N/A)")</f>
        <v>N/A (N/A)</v>
      </c>
      <c r="F191" s="3" t="str">
        <f>IFERROR(__xludf.DUMMYFUNCTION("""COMPUTED_VALUE"""),"0 .. 20,000")</f>
        <v>0 .. 20,000</v>
      </c>
      <c r="G191" s="3" t="str">
        <f>IFERROR(__xludf.DUMMYFUNCTION("""COMPUTED_VALUE"""),"00:00 (00:00)")</f>
        <v>00:00 (00:00)</v>
      </c>
      <c r="H191" s="34"/>
      <c r="O191" s="34"/>
      <c r="R191" s="34"/>
    </row>
    <row r="192">
      <c r="A192" s="3">
        <f>IFERROR(__xludf.DUMMYFUNCTION("""COMPUTED_VALUE"""),191.0)</f>
        <v>191</v>
      </c>
      <c r="B192" s="3" t="str">
        <f>IFERROR(__xludf.DUMMYFUNCTION("""COMPUTED_VALUE"""),"D-Day VR Museum")</f>
        <v>D-Day VR Museum</v>
      </c>
      <c r="C192" s="3" t="str">
        <f>IFERROR(__xludf.DUMMYFUNCTION("""COMPUTED_VALUE"""),"Jan 20, 2026")</f>
        <v>Jan 20, 2026</v>
      </c>
      <c r="D192" s="3" t="str">
        <f>IFERROR(__xludf.DUMMYFUNCTION("""COMPUTED_VALUE"""),"$14.99")</f>
        <v>$14.99</v>
      </c>
      <c r="E192" s="3" t="str">
        <f>IFERROR(__xludf.DUMMYFUNCTION("""COMPUTED_VALUE"""),"N/A (N/A)")</f>
        <v>N/A (N/A)</v>
      </c>
      <c r="F192" s="3" t="str">
        <f>IFERROR(__xludf.DUMMYFUNCTION("""COMPUTED_VALUE"""),"0 .. 20,000")</f>
        <v>0 .. 20,000</v>
      </c>
      <c r="G192" s="3" t="str">
        <f>IFERROR(__xludf.DUMMYFUNCTION("""COMPUTED_VALUE"""),"00:00 (00:00)")</f>
        <v>00:00 (00:00)</v>
      </c>
      <c r="H192" s="34"/>
      <c r="O192" s="34"/>
      <c r="R192" s="34"/>
    </row>
    <row r="193">
      <c r="A193" s="3">
        <f>IFERROR(__xludf.DUMMYFUNCTION("""COMPUTED_VALUE"""),192.0)</f>
        <v>192</v>
      </c>
      <c r="B193" s="3" t="str">
        <f>IFERROR(__xludf.DUMMYFUNCTION("""COMPUTED_VALUE"""),"MIO: Memories in Orbit")</f>
        <v>MIO: Memories in Orbit</v>
      </c>
      <c r="C193" s="3" t="str">
        <f>IFERROR(__xludf.DUMMYFUNCTION("""COMPUTED_VALUE"""),"Jan 20, 2026")</f>
        <v>Jan 20, 2026</v>
      </c>
      <c r="D193" s="3" t="str">
        <f>IFERROR(__xludf.DUMMYFUNCTION("""COMPUTED_VALUE"""),"$19.99")</f>
        <v>$19.99</v>
      </c>
      <c r="E193" s="3" t="str">
        <f>IFERROR(__xludf.DUMMYFUNCTION("""COMPUTED_VALUE"""),"N/A (N/A/83%)")</f>
        <v>N/A (N/A/83%)</v>
      </c>
      <c r="F193" s="3" t="str">
        <f>IFERROR(__xludf.DUMMYFUNCTION("""COMPUTED_VALUE"""),"0 .. 20,000")</f>
        <v>0 .. 20,000</v>
      </c>
      <c r="G193" s="3" t="str">
        <f>IFERROR(__xludf.DUMMYFUNCTION("""COMPUTED_VALUE"""),"18:55 (32:44)")</f>
        <v>18:55 (32:44)</v>
      </c>
      <c r="H193" s="34"/>
      <c r="O193" s="34"/>
      <c r="R193" s="34"/>
    </row>
    <row r="194">
      <c r="A194" s="3">
        <f>IFERROR(__xludf.DUMMYFUNCTION("""COMPUTED_VALUE"""),193.0)</f>
        <v>193</v>
      </c>
      <c r="B194" s="3" t="str">
        <f>IFERROR(__xludf.DUMMYFUNCTION("""COMPUTED_VALUE"""),"Whispers Beyond")</f>
        <v>Whispers Beyond</v>
      </c>
      <c r="C194" s="3" t="str">
        <f>IFERROR(__xludf.DUMMYFUNCTION("""COMPUTED_VALUE"""),"Jan 19, 2026")</f>
        <v>Jan 19, 2026</v>
      </c>
      <c r="D194" s="3" t="str">
        <f>IFERROR(__xludf.DUMMYFUNCTION("""COMPUTED_VALUE"""),"$9.99")</f>
        <v>$9.99</v>
      </c>
      <c r="E194" s="3" t="str">
        <f>IFERROR(__xludf.DUMMYFUNCTION("""COMPUTED_VALUE"""),"N/A (N/A)")</f>
        <v>N/A (N/A)</v>
      </c>
      <c r="F194" s="3" t="str">
        <f>IFERROR(__xludf.DUMMYFUNCTION("""COMPUTED_VALUE"""),"0 .. 20,000")</f>
        <v>0 .. 20,000</v>
      </c>
      <c r="G194" s="3" t="str">
        <f>IFERROR(__xludf.DUMMYFUNCTION("""COMPUTED_VALUE"""),"00:00 (00:00)")</f>
        <v>00:00 (00:00)</v>
      </c>
      <c r="H194" s="34"/>
      <c r="O194" s="34"/>
      <c r="R194" s="34"/>
    </row>
    <row r="195">
      <c r="A195" s="3">
        <f>IFERROR(__xludf.DUMMYFUNCTION("""COMPUTED_VALUE"""),194.0)</f>
        <v>194</v>
      </c>
      <c r="B195" s="3" t="str">
        <f>IFERROR(__xludf.DUMMYFUNCTION("""COMPUTED_VALUE"""),"On-Together: Virtual Co-Working")</f>
        <v>On-Together: Virtual Co-Working</v>
      </c>
      <c r="C195" s="3" t="str">
        <f>IFERROR(__xludf.DUMMYFUNCTION("""COMPUTED_VALUE"""),"Jan 19, 2026")</f>
        <v>Jan 19, 2026</v>
      </c>
      <c r="D195" s="3" t="str">
        <f>IFERROR(__xludf.DUMMYFUNCTION("""COMPUTED_VALUE"""),"$9.99")</f>
        <v>$9.99</v>
      </c>
      <c r="E195" s="3" t="str">
        <f>IFERROR(__xludf.DUMMYFUNCTION("""COMPUTED_VALUE"""),"N/A (N/A)")</f>
        <v>N/A (N/A)</v>
      </c>
      <c r="F195" s="3" t="str">
        <f>IFERROR(__xludf.DUMMYFUNCTION("""COMPUTED_VALUE"""),"0 .. 20,000")</f>
        <v>0 .. 20,000</v>
      </c>
      <c r="G195" s="3" t="str">
        <f>IFERROR(__xludf.DUMMYFUNCTION("""COMPUTED_VALUE"""),"10:38 (14:09)")</f>
        <v>10:38 (14:09)</v>
      </c>
      <c r="H195" s="34"/>
      <c r="O195" s="34"/>
      <c r="R195" s="34"/>
    </row>
    <row r="196">
      <c r="A196" s="3">
        <f>IFERROR(__xludf.DUMMYFUNCTION("""COMPUTED_VALUE"""),195.0)</f>
        <v>195</v>
      </c>
      <c r="B196" s="3" t="str">
        <f>IFERROR(__xludf.DUMMYFUNCTION("""COMPUTED_VALUE"""),"Factory Planner")</f>
        <v>Factory Planner</v>
      </c>
      <c r="C196" s="3" t="str">
        <f>IFERROR(__xludf.DUMMYFUNCTION("""COMPUTED_VALUE"""),"Jan 19, 2026")</f>
        <v>Jan 19, 2026</v>
      </c>
      <c r="D196" s="3" t="str">
        <f>IFERROR(__xludf.DUMMYFUNCTION("""COMPUTED_VALUE"""),"$7.99")</f>
        <v>$7.99</v>
      </c>
      <c r="E196" s="3" t="str">
        <f>IFERROR(__xludf.DUMMYFUNCTION("""COMPUTED_VALUE"""),"N/A (N/A)")</f>
        <v>N/A (N/A)</v>
      </c>
      <c r="F196" s="3" t="str">
        <f>IFERROR(__xludf.DUMMYFUNCTION("""COMPUTED_VALUE"""),"0 .. 20,000")</f>
        <v>0 .. 20,000</v>
      </c>
      <c r="G196" s="3" t="str">
        <f>IFERROR(__xludf.DUMMYFUNCTION("""COMPUTED_VALUE"""),"00:01 (00:00)")</f>
        <v>00:01 (00:00)</v>
      </c>
      <c r="H196" s="34"/>
      <c r="O196" s="34"/>
      <c r="R196" s="34"/>
    </row>
    <row r="197">
      <c r="A197" s="3">
        <f>IFERROR(__xludf.DUMMYFUNCTION("""COMPUTED_VALUE"""),196.0)</f>
        <v>196</v>
      </c>
      <c r="B197" s="3" t="str">
        <f>IFERROR(__xludf.DUMMYFUNCTION("""COMPUTED_VALUE"""),"Chess: Definitive Edition")</f>
        <v>Chess: Definitive Edition</v>
      </c>
      <c r="C197" s="3" t="str">
        <f>IFERROR(__xludf.DUMMYFUNCTION("""COMPUTED_VALUE"""),"Jan 19, 2026")</f>
        <v>Jan 19, 2026</v>
      </c>
      <c r="D197" s="3" t="str">
        <f>IFERROR(__xludf.DUMMYFUNCTION("""COMPUTED_VALUE"""),"$9.99")</f>
        <v>$9.99</v>
      </c>
      <c r="E197" s="3" t="str">
        <f>IFERROR(__xludf.DUMMYFUNCTION("""COMPUTED_VALUE"""),"N/A (N/A)")</f>
        <v>N/A (N/A)</v>
      </c>
      <c r="F197" s="3" t="str">
        <f>IFERROR(__xludf.DUMMYFUNCTION("""COMPUTED_VALUE"""),"0 .. 20,000")</f>
        <v>0 .. 20,000</v>
      </c>
      <c r="G197" s="3" t="str">
        <f>IFERROR(__xludf.DUMMYFUNCTION("""COMPUTED_VALUE"""),"00:00 (00:00)")</f>
        <v>00:00 (00:00)</v>
      </c>
      <c r="H197" s="34"/>
      <c r="O197" s="34"/>
      <c r="R197" s="34"/>
    </row>
    <row r="198">
      <c r="A198" s="3">
        <f>IFERROR(__xludf.DUMMYFUNCTION("""COMPUTED_VALUE"""),197.0)</f>
        <v>197</v>
      </c>
      <c r="B198" s="3" t="str">
        <f>IFERROR(__xludf.DUMMYFUNCTION("""COMPUTED_VALUE"""),"MOCHI-O")</f>
        <v>MOCHI-O</v>
      </c>
      <c r="C198" s="3" t="str">
        <f>IFERROR(__xludf.DUMMYFUNCTION("""COMPUTED_VALUE"""),"Jan 19, 2026")</f>
        <v>Jan 19, 2026</v>
      </c>
      <c r="D198" s="3" t="str">
        <f>IFERROR(__xludf.DUMMYFUNCTION("""COMPUTED_VALUE"""),"$3.99")</f>
        <v>$3.99</v>
      </c>
      <c r="E198" s="3" t="str">
        <f>IFERROR(__xludf.DUMMYFUNCTION("""COMPUTED_VALUE"""),"N/A (N/A)")</f>
        <v>N/A (N/A)</v>
      </c>
      <c r="F198" s="3" t="str">
        <f>IFERROR(__xludf.DUMMYFUNCTION("""COMPUTED_VALUE"""),"0 .. 20,000")</f>
        <v>0 .. 20,000</v>
      </c>
      <c r="G198" s="3" t="str">
        <f>IFERROR(__xludf.DUMMYFUNCTION("""COMPUTED_VALUE"""),"00:00 (00:00)")</f>
        <v>00:00 (00:00)</v>
      </c>
      <c r="H198" s="34"/>
      <c r="O198" s="34"/>
      <c r="R198" s="34"/>
    </row>
    <row r="199">
      <c r="A199" s="3">
        <f>IFERROR(__xludf.DUMMYFUNCTION("""COMPUTED_VALUE"""),198.0)</f>
        <v>198</v>
      </c>
      <c r="B199" s="3" t="str">
        <f>IFERROR(__xludf.DUMMYFUNCTION("""COMPUTED_VALUE"""),"Astronook")</f>
        <v>Astronook</v>
      </c>
      <c r="C199" s="3" t="str">
        <f>IFERROR(__xludf.DUMMYFUNCTION("""COMPUTED_VALUE"""),"Jan 19, 2026")</f>
        <v>Jan 19, 2026</v>
      </c>
      <c r="D199" s="3" t="str">
        <f>IFERROR(__xludf.DUMMYFUNCTION("""COMPUTED_VALUE"""),"$8.99")</f>
        <v>$8.99</v>
      </c>
      <c r="E199" s="3" t="str">
        <f>IFERROR(__xludf.DUMMYFUNCTION("""COMPUTED_VALUE"""),"N/A (N/A)")</f>
        <v>N/A (N/A)</v>
      </c>
      <c r="F199" s="3" t="str">
        <f>IFERROR(__xludf.DUMMYFUNCTION("""COMPUTED_VALUE"""),"0 .. 20,000")</f>
        <v>0 .. 20,000</v>
      </c>
      <c r="G199" s="3" t="str">
        <f>IFERROR(__xludf.DUMMYFUNCTION("""COMPUTED_VALUE"""),"00:00 (00:00)")</f>
        <v>00:00 (00:00)</v>
      </c>
      <c r="H199" s="34"/>
      <c r="O199" s="34"/>
      <c r="R199" s="34"/>
    </row>
    <row r="200">
      <c r="A200" s="3">
        <f>IFERROR(__xludf.DUMMYFUNCTION("""COMPUTED_VALUE"""),199.0)</f>
        <v>199</v>
      </c>
      <c r="B200" s="3" t="str">
        <f>IFERROR(__xludf.DUMMYFUNCTION("""COMPUTED_VALUE"""),"BroomSweeper")</f>
        <v>BroomSweeper</v>
      </c>
      <c r="C200" s="3" t="str">
        <f>IFERROR(__xludf.DUMMYFUNCTION("""COMPUTED_VALUE"""),"Jan 19, 2026")</f>
        <v>Jan 19, 2026</v>
      </c>
      <c r="D200" s="3" t="str">
        <f>IFERROR(__xludf.DUMMYFUNCTION("""COMPUTED_VALUE"""),"$24.99")</f>
        <v>$24.99</v>
      </c>
      <c r="E200" s="3" t="str">
        <f>IFERROR(__xludf.DUMMYFUNCTION("""COMPUTED_VALUE"""),"N/A (N/A)")</f>
        <v>N/A (N/A)</v>
      </c>
      <c r="F200" s="3" t="str">
        <f>IFERROR(__xludf.DUMMYFUNCTION("""COMPUTED_VALUE"""),"0 .. 20,000")</f>
        <v>0 .. 20,000</v>
      </c>
      <c r="G200" s="3" t="str">
        <f>IFERROR(__xludf.DUMMYFUNCTION("""COMPUTED_VALUE"""),"02:01 (02:01)")</f>
        <v>02:01 (02:01)</v>
      </c>
      <c r="H200" s="34"/>
      <c r="O200" s="34"/>
      <c r="R200" s="34"/>
    </row>
    <row r="201">
      <c r="A201" s="3">
        <f>IFERROR(__xludf.DUMMYFUNCTION("""COMPUTED_VALUE"""),200.0)</f>
        <v>200</v>
      </c>
      <c r="B201" s="3" t="str">
        <f>IFERROR(__xludf.DUMMYFUNCTION("""COMPUTED_VALUE"""),"Halcyon Days at Taoyuan")</f>
        <v>Halcyon Days at Taoyuan</v>
      </c>
      <c r="C201" s="3" t="str">
        <f>IFERROR(__xludf.DUMMYFUNCTION("""COMPUTED_VALUE"""),"Jan 19, 2026")</f>
        <v>Jan 19, 2026</v>
      </c>
      <c r="D201" s="3" t="str">
        <f>IFERROR(__xludf.DUMMYFUNCTION("""COMPUTED_VALUE"""),"$11.99")</f>
        <v>$11.99</v>
      </c>
      <c r="E201" s="3" t="str">
        <f>IFERROR(__xludf.DUMMYFUNCTION("""COMPUTED_VALUE"""),"N/A (N/A)")</f>
        <v>N/A (N/A)</v>
      </c>
      <c r="F201" s="3" t="str">
        <f>IFERROR(__xludf.DUMMYFUNCTION("""COMPUTED_VALUE"""),"0 .. 20,000")</f>
        <v>0 .. 20,000</v>
      </c>
      <c r="G201" s="3" t="str">
        <f>IFERROR(__xludf.DUMMYFUNCTION("""COMPUTED_VALUE"""),"12:35 (08:24)")</f>
        <v>12:35 (08:24)</v>
      </c>
      <c r="H201" s="34"/>
      <c r="O201" s="34"/>
      <c r="R201" s="34"/>
    </row>
    <row r="202">
      <c r="A202" s="3">
        <f>IFERROR(__xludf.DUMMYFUNCTION("""COMPUTED_VALUE"""),201.0)</f>
        <v>201</v>
      </c>
      <c r="B202" s="3" t="str">
        <f>IFERROR(__xludf.DUMMYFUNCTION("""COMPUTED_VALUE"""),"Gah!")</f>
        <v>Gah!</v>
      </c>
      <c r="C202" s="3" t="str">
        <f>IFERROR(__xludf.DUMMYFUNCTION("""COMPUTED_VALUE"""),"Jan 19, 2026")</f>
        <v>Jan 19, 2026</v>
      </c>
      <c r="D202" s="3" t="str">
        <f>IFERROR(__xludf.DUMMYFUNCTION("""COMPUTED_VALUE"""),"$7.99")</f>
        <v>$7.99</v>
      </c>
      <c r="E202" s="3" t="str">
        <f>IFERROR(__xludf.DUMMYFUNCTION("""COMPUTED_VALUE"""),"N/A (N/A)")</f>
        <v>N/A (N/A)</v>
      </c>
      <c r="F202" s="3" t="str">
        <f>IFERROR(__xludf.DUMMYFUNCTION("""COMPUTED_VALUE"""),"0 .. 20,000")</f>
        <v>0 .. 20,000</v>
      </c>
      <c r="G202" s="3" t="str">
        <f>IFERROR(__xludf.DUMMYFUNCTION("""COMPUTED_VALUE"""),"00:00 (00:00)")</f>
        <v>00:00 (00:00)</v>
      </c>
      <c r="H202" s="34"/>
      <c r="O202" s="34"/>
      <c r="R202" s="34"/>
    </row>
    <row r="203">
      <c r="A203" s="3">
        <f>IFERROR(__xludf.DUMMYFUNCTION("""COMPUTED_VALUE"""),202.0)</f>
        <v>202</v>
      </c>
      <c r="B203" s="3" t="str">
        <f>IFERROR(__xludf.DUMMYFUNCTION("""COMPUTED_VALUE"""),"Feather Party")</f>
        <v>Feather Party</v>
      </c>
      <c r="C203" s="3" t="str">
        <f>IFERROR(__xludf.DUMMYFUNCTION("""COMPUTED_VALUE"""),"Jan 19, 2026")</f>
        <v>Jan 19, 2026</v>
      </c>
      <c r="D203" s="3" t="str">
        <f>IFERROR(__xludf.DUMMYFUNCTION("""COMPUTED_VALUE"""),"$8.99")</f>
        <v>$8.99</v>
      </c>
      <c r="E203" s="3" t="str">
        <f>IFERROR(__xludf.DUMMYFUNCTION("""COMPUTED_VALUE"""),"N/A (N/A)")</f>
        <v>N/A (N/A)</v>
      </c>
      <c r="F203" s="3" t="str">
        <f>IFERROR(__xludf.DUMMYFUNCTION("""COMPUTED_VALUE"""),"0 .. 20,000")</f>
        <v>0 .. 20,000</v>
      </c>
      <c r="G203" s="3" t="str">
        <f>IFERROR(__xludf.DUMMYFUNCTION("""COMPUTED_VALUE"""),"01:12 (00:35)")</f>
        <v>01:12 (00:35)</v>
      </c>
      <c r="H203" s="34"/>
      <c r="O203" s="34"/>
      <c r="R203" s="34"/>
    </row>
    <row r="204">
      <c r="A204" s="3">
        <f>IFERROR(__xludf.DUMMYFUNCTION("""COMPUTED_VALUE"""),203.0)</f>
        <v>203</v>
      </c>
      <c r="B204" s="3" t="str">
        <f>IFERROR(__xludf.DUMMYFUNCTION("""COMPUTED_VALUE"""),"永生之庭")</f>
        <v>永生之庭</v>
      </c>
      <c r="C204" s="3" t="str">
        <f>IFERROR(__xludf.DUMMYFUNCTION("""COMPUTED_VALUE"""),"Jan 19, 2026")</f>
        <v>Jan 19, 2026</v>
      </c>
      <c r="D204" s="3" t="str">
        <f>IFERROR(__xludf.DUMMYFUNCTION("""COMPUTED_VALUE"""),"$7.99")</f>
        <v>$7.99</v>
      </c>
      <c r="E204" s="3" t="str">
        <f>IFERROR(__xludf.DUMMYFUNCTION("""COMPUTED_VALUE"""),"N/A (N/A)")</f>
        <v>N/A (N/A)</v>
      </c>
      <c r="F204" s="3" t="str">
        <f>IFERROR(__xludf.DUMMYFUNCTION("""COMPUTED_VALUE"""),"0 .. 20,000")</f>
        <v>0 .. 20,000</v>
      </c>
      <c r="G204" s="3" t="str">
        <f>IFERROR(__xludf.DUMMYFUNCTION("""COMPUTED_VALUE"""),"00:00 (00:00)")</f>
        <v>00:00 (00:00)</v>
      </c>
      <c r="H204" s="34"/>
      <c r="O204" s="34"/>
      <c r="R204" s="34"/>
    </row>
    <row r="205">
      <c r="A205" s="3">
        <f>IFERROR(__xludf.DUMMYFUNCTION("""COMPUTED_VALUE"""),204.0)</f>
        <v>204</v>
      </c>
      <c r="B205" s="3" t="str">
        <f>IFERROR(__xludf.DUMMYFUNCTION("""COMPUTED_VALUE"""),"Earth of Oryn")</f>
        <v>Earth of Oryn</v>
      </c>
      <c r="C205" s="3" t="str">
        <f>IFERROR(__xludf.DUMMYFUNCTION("""COMPUTED_VALUE"""),"Jan 19, 2026")</f>
        <v>Jan 19, 2026</v>
      </c>
      <c r="D205" s="3" t="str">
        <f>IFERROR(__xludf.DUMMYFUNCTION("""COMPUTED_VALUE"""),"$14.99")</f>
        <v>$14.99</v>
      </c>
      <c r="E205" s="3" t="str">
        <f>IFERROR(__xludf.DUMMYFUNCTION("""COMPUTED_VALUE"""),"N/A (N/A)")</f>
        <v>N/A (N/A)</v>
      </c>
      <c r="F205" s="3" t="str">
        <f>IFERROR(__xludf.DUMMYFUNCTION("""COMPUTED_VALUE"""),"0 .. 20,000")</f>
        <v>0 .. 20,000</v>
      </c>
      <c r="G205" s="3" t="str">
        <f>IFERROR(__xludf.DUMMYFUNCTION("""COMPUTED_VALUE"""),"00:00 (00:00)")</f>
        <v>00:00 (00:00)</v>
      </c>
      <c r="H205" s="34"/>
      <c r="O205" s="34"/>
      <c r="R205" s="34"/>
    </row>
    <row r="206">
      <c r="A206" s="3">
        <f>IFERROR(__xludf.DUMMYFUNCTION("""COMPUTED_VALUE"""),205.0)</f>
        <v>205</v>
      </c>
      <c r="B206" s="3" t="str">
        <f>IFERROR(__xludf.DUMMYFUNCTION("""COMPUTED_VALUE"""),"Solargene")</f>
        <v>Solargene</v>
      </c>
      <c r="C206" s="3" t="str">
        <f>IFERROR(__xludf.DUMMYFUNCTION("""COMPUTED_VALUE"""),"Jan 19, 2026")</f>
        <v>Jan 19, 2026</v>
      </c>
      <c r="D206" s="3" t="str">
        <f>IFERROR(__xludf.DUMMYFUNCTION("""COMPUTED_VALUE"""),"$34.99")</f>
        <v>$34.99</v>
      </c>
      <c r="E206" s="3" t="str">
        <f>IFERROR(__xludf.DUMMYFUNCTION("""COMPUTED_VALUE"""),"N/A (N/A)")</f>
        <v>N/A (N/A)</v>
      </c>
      <c r="F206" s="3" t="str">
        <f>IFERROR(__xludf.DUMMYFUNCTION("""COMPUTED_VALUE"""),"20,000 .. 50,000")</f>
        <v>20,000 .. 50,000</v>
      </c>
      <c r="G206" s="3" t="str">
        <f>IFERROR(__xludf.DUMMYFUNCTION("""COMPUTED_VALUE"""),"00:00 (00:00)")</f>
        <v>00:00 (00:00)</v>
      </c>
      <c r="H206" s="34"/>
      <c r="O206" s="34"/>
      <c r="R206" s="34"/>
    </row>
    <row r="207">
      <c r="A207" s="3">
        <f>IFERROR(__xludf.DUMMYFUNCTION("""COMPUTED_VALUE"""),206.0)</f>
        <v>206</v>
      </c>
      <c r="B207" s="3" t="str">
        <f>IFERROR(__xludf.DUMMYFUNCTION("""COMPUTED_VALUE"""),"Small War")</f>
        <v>Small War</v>
      </c>
      <c r="C207" s="3" t="str">
        <f>IFERROR(__xludf.DUMMYFUNCTION("""COMPUTED_VALUE"""),"Jan 19, 2026")</f>
        <v>Jan 19, 2026</v>
      </c>
      <c r="D207" s="3" t="str">
        <f>IFERROR(__xludf.DUMMYFUNCTION("""COMPUTED_VALUE"""),"$5.99")</f>
        <v>$5.99</v>
      </c>
      <c r="E207" s="3" t="str">
        <f>IFERROR(__xludf.DUMMYFUNCTION("""COMPUTED_VALUE"""),"N/A (N/A)")</f>
        <v>N/A (N/A)</v>
      </c>
      <c r="F207" s="3" t="str">
        <f>IFERROR(__xludf.DUMMYFUNCTION("""COMPUTED_VALUE"""),"0 .. 20,000")</f>
        <v>0 .. 20,000</v>
      </c>
      <c r="G207" s="3" t="str">
        <f>IFERROR(__xludf.DUMMYFUNCTION("""COMPUTED_VALUE"""),"00:00 (00:00)")</f>
        <v>00:00 (00:00)</v>
      </c>
      <c r="H207" s="34"/>
      <c r="O207" s="34"/>
      <c r="R207" s="34"/>
    </row>
    <row r="208">
      <c r="A208" s="3">
        <f>IFERROR(__xludf.DUMMYFUNCTION("""COMPUTED_VALUE"""),207.0)</f>
        <v>207</v>
      </c>
      <c r="B208" s="3" t="str">
        <f>IFERROR(__xludf.DUMMYFUNCTION("""COMPUTED_VALUE"""),"Holo vs Robo")</f>
        <v>Holo vs Robo</v>
      </c>
      <c r="C208" s="3" t="str">
        <f>IFERROR(__xludf.DUMMYFUNCTION("""COMPUTED_VALUE"""),"Jan 18, 2026")</f>
        <v>Jan 18, 2026</v>
      </c>
      <c r="D208" s="3" t="str">
        <f>IFERROR(__xludf.DUMMYFUNCTION("""COMPUTED_VALUE"""),"$6.99")</f>
        <v>$6.99</v>
      </c>
      <c r="E208" s="3" t="str">
        <f>IFERROR(__xludf.DUMMYFUNCTION("""COMPUTED_VALUE"""),"N/A (N/A)")</f>
        <v>N/A (N/A)</v>
      </c>
      <c r="F208" s="3" t="str">
        <f>IFERROR(__xludf.DUMMYFUNCTION("""COMPUTED_VALUE"""),"0 .. 20,000")</f>
        <v>0 .. 20,000</v>
      </c>
      <c r="G208" s="3" t="str">
        <f>IFERROR(__xludf.DUMMYFUNCTION("""COMPUTED_VALUE"""),"01:40 (01:39)")</f>
        <v>01:40 (01:39)</v>
      </c>
      <c r="H208" s="34"/>
      <c r="O208" s="34"/>
      <c r="R208" s="34"/>
    </row>
    <row r="209">
      <c r="A209" s="3">
        <f>IFERROR(__xludf.DUMMYFUNCTION("""COMPUTED_VALUE"""),208.0)</f>
        <v>208</v>
      </c>
      <c r="B209" s="3" t="str">
        <f>IFERROR(__xludf.DUMMYFUNCTION("""COMPUTED_VALUE"""),"The NOexistenceN of Morphean Paradox : The Forest of Silver Shallots")</f>
        <v>The NOexistenceN of Morphean Paradox : The Forest of Silver Shallots</v>
      </c>
      <c r="C209" s="3" t="str">
        <f>IFERROR(__xludf.DUMMYFUNCTION("""COMPUTED_VALUE"""),"Jan 18, 2026")</f>
        <v>Jan 18, 2026</v>
      </c>
      <c r="D209" s="3" t="str">
        <f>IFERROR(__xludf.DUMMYFUNCTION("""COMPUTED_VALUE"""),"$6.99")</f>
        <v>$6.99</v>
      </c>
      <c r="E209" s="3" t="str">
        <f>IFERROR(__xludf.DUMMYFUNCTION("""COMPUTED_VALUE"""),"N/A (N/A)")</f>
        <v>N/A (N/A)</v>
      </c>
      <c r="F209" s="3" t="str">
        <f>IFERROR(__xludf.DUMMYFUNCTION("""COMPUTED_VALUE"""),"0 .. 20,000")</f>
        <v>0 .. 20,000</v>
      </c>
      <c r="G209" s="3" t="str">
        <f>IFERROR(__xludf.DUMMYFUNCTION("""COMPUTED_VALUE"""),"01:26 (02:48)")</f>
        <v>01:26 (02:48)</v>
      </c>
      <c r="H209" s="34"/>
      <c r="O209" s="34"/>
      <c r="R209" s="34"/>
    </row>
    <row r="210">
      <c r="A210" s="3">
        <f>IFERROR(__xludf.DUMMYFUNCTION("""COMPUTED_VALUE"""),209.0)</f>
        <v>209</v>
      </c>
      <c r="B210" s="3" t="str">
        <f>IFERROR(__xludf.DUMMYFUNCTION("""COMPUTED_VALUE"""),"Growing Things Up - Season 1")</f>
        <v>Growing Things Up - Season 1</v>
      </c>
      <c r="C210" s="3" t="str">
        <f>IFERROR(__xludf.DUMMYFUNCTION("""COMPUTED_VALUE"""),"Jan 18, 2026")</f>
        <v>Jan 18, 2026</v>
      </c>
      <c r="D210" s="3" t="str">
        <f>IFERROR(__xludf.DUMMYFUNCTION("""COMPUTED_VALUE"""),"$12.99")</f>
        <v>$12.99</v>
      </c>
      <c r="E210" s="3" t="str">
        <f>IFERROR(__xludf.DUMMYFUNCTION("""COMPUTED_VALUE"""),"N/A (N/A)")</f>
        <v>N/A (N/A)</v>
      </c>
      <c r="F210" s="3" t="str">
        <f>IFERROR(__xludf.DUMMYFUNCTION("""COMPUTED_VALUE"""),"0 .. 20,000")</f>
        <v>0 .. 20,000</v>
      </c>
      <c r="G210" s="3" t="str">
        <f>IFERROR(__xludf.DUMMYFUNCTION("""COMPUTED_VALUE"""),"02:30 (02:30)")</f>
        <v>02:30 (02:30)</v>
      </c>
      <c r="H210" s="34"/>
      <c r="O210" s="34"/>
      <c r="R210" s="34"/>
    </row>
    <row r="211">
      <c r="A211" s="3">
        <f>IFERROR(__xludf.DUMMYFUNCTION("""COMPUTED_VALUE"""),210.0)</f>
        <v>210</v>
      </c>
      <c r="B211" s="3" t="str">
        <f>IFERROR(__xludf.DUMMYFUNCTION("""COMPUTED_VALUE"""),"Gifts, Please")</f>
        <v>Gifts, Please</v>
      </c>
      <c r="C211" s="3" t="str">
        <f>IFERROR(__xludf.DUMMYFUNCTION("""COMPUTED_VALUE"""),"Jan 18, 2026")</f>
        <v>Jan 18, 2026</v>
      </c>
      <c r="D211" s="3" t="str">
        <f>IFERROR(__xludf.DUMMYFUNCTION("""COMPUTED_VALUE"""),"$4.99")</f>
        <v>$4.99</v>
      </c>
      <c r="E211" s="3" t="str">
        <f>IFERROR(__xludf.DUMMYFUNCTION("""COMPUTED_VALUE"""),"N/A (N/A)")</f>
        <v>N/A (N/A)</v>
      </c>
      <c r="F211" s="3" t="str">
        <f>IFERROR(__xludf.DUMMYFUNCTION("""COMPUTED_VALUE"""),"0 .. 20,000")</f>
        <v>0 .. 20,000</v>
      </c>
      <c r="G211" s="3" t="str">
        <f>IFERROR(__xludf.DUMMYFUNCTION("""COMPUTED_VALUE"""),"00:00 (00:00)")</f>
        <v>00:00 (00:00)</v>
      </c>
      <c r="H211" s="34"/>
      <c r="O211" s="34"/>
      <c r="R211" s="34"/>
    </row>
    <row r="212">
      <c r="A212" s="3">
        <f>IFERROR(__xludf.DUMMYFUNCTION("""COMPUTED_VALUE"""),211.0)</f>
        <v>211</v>
      </c>
      <c r="B212" s="3" t="str">
        <f>IFERROR(__xludf.DUMMYFUNCTION("""COMPUTED_VALUE"""),"Who Is Ethan?")</f>
        <v>Who Is Ethan?</v>
      </c>
      <c r="C212" s="3" t="str">
        <f>IFERROR(__xludf.DUMMYFUNCTION("""COMPUTED_VALUE"""),"Jan 18, 2026")</f>
        <v>Jan 18, 2026</v>
      </c>
      <c r="D212" s="3" t="str">
        <f>IFERROR(__xludf.DUMMYFUNCTION("""COMPUTED_VALUE"""),"$0.99")</f>
        <v>$0.99</v>
      </c>
      <c r="E212" s="3" t="str">
        <f>IFERROR(__xludf.DUMMYFUNCTION("""COMPUTED_VALUE"""),"N/A (N/A)")</f>
        <v>N/A (N/A)</v>
      </c>
      <c r="F212" s="3" t="str">
        <f>IFERROR(__xludf.DUMMYFUNCTION("""COMPUTED_VALUE"""),"0 .. 20,000")</f>
        <v>0 .. 20,000</v>
      </c>
      <c r="G212" s="3" t="str">
        <f>IFERROR(__xludf.DUMMYFUNCTION("""COMPUTED_VALUE"""),"00:00 (00:00)")</f>
        <v>00:00 (00:00)</v>
      </c>
      <c r="H212" s="34"/>
      <c r="O212" s="34"/>
      <c r="R212" s="34"/>
    </row>
    <row r="213">
      <c r="A213" s="3">
        <f>IFERROR(__xludf.DUMMYFUNCTION("""COMPUTED_VALUE"""),212.0)</f>
        <v>212</v>
      </c>
      <c r="B213" s="3" t="str">
        <f>IFERROR(__xludf.DUMMYFUNCTION("""COMPUTED_VALUE"""),"INSTALLATION 19")</f>
        <v>INSTALLATION 19</v>
      </c>
      <c r="C213" s="3" t="str">
        <f>IFERROR(__xludf.DUMMYFUNCTION("""COMPUTED_VALUE"""),"Jan 18, 2026")</f>
        <v>Jan 18, 2026</v>
      </c>
      <c r="D213" s="3" t="str">
        <f>IFERROR(__xludf.DUMMYFUNCTION("""COMPUTED_VALUE"""),"N/A")</f>
        <v>N/A</v>
      </c>
      <c r="E213" s="3" t="str">
        <f>IFERROR(__xludf.DUMMYFUNCTION("""COMPUTED_VALUE"""),"N/A (N/A)")</f>
        <v>N/A (N/A)</v>
      </c>
      <c r="F213" s="3" t="str">
        <f>IFERROR(__xludf.DUMMYFUNCTION("""COMPUTED_VALUE"""),"0 .. 20,000")</f>
        <v>0 .. 20,000</v>
      </c>
      <c r="G213" s="3" t="str">
        <f>IFERROR(__xludf.DUMMYFUNCTION("""COMPUTED_VALUE"""),"00:00 (00:00)")</f>
        <v>00:00 (00:00)</v>
      </c>
      <c r="H213" s="34"/>
      <c r="O213" s="34"/>
      <c r="R213" s="34"/>
    </row>
    <row r="214">
      <c r="A214" s="3">
        <f>IFERROR(__xludf.DUMMYFUNCTION("""COMPUTED_VALUE"""),213.0)</f>
        <v>213</v>
      </c>
      <c r="B214" s="3" t="str">
        <f>IFERROR(__xludf.DUMMYFUNCTION("""COMPUTED_VALUE"""),"Super Chipflake Ü: Quest for the Uncooked Schnitzel")</f>
        <v>Super Chipflake Ü: Quest for the Uncooked Schnitzel</v>
      </c>
      <c r="C214" s="3" t="str">
        <f>IFERROR(__xludf.DUMMYFUNCTION("""COMPUTED_VALUE"""),"Jan 18, 2026")</f>
        <v>Jan 18, 2026</v>
      </c>
      <c r="D214" s="3" t="str">
        <f>IFERROR(__xludf.DUMMYFUNCTION("""COMPUTED_VALUE"""),"$19.99")</f>
        <v>$19.99</v>
      </c>
      <c r="E214" s="3" t="str">
        <f>IFERROR(__xludf.DUMMYFUNCTION("""COMPUTED_VALUE"""),"N/A (N/A)")</f>
        <v>N/A (N/A)</v>
      </c>
      <c r="F214" s="3" t="str">
        <f>IFERROR(__xludf.DUMMYFUNCTION("""COMPUTED_VALUE"""),"0 .. 20,000")</f>
        <v>0 .. 20,000</v>
      </c>
      <c r="G214" s="3" t="str">
        <f>IFERROR(__xludf.DUMMYFUNCTION("""COMPUTED_VALUE"""),"00:00 (00:00)")</f>
        <v>00:00 (00:00)</v>
      </c>
      <c r="H214" s="34"/>
      <c r="O214" s="34"/>
      <c r="R214" s="34"/>
    </row>
    <row r="215">
      <c r="A215" s="3">
        <f>IFERROR(__xludf.DUMMYFUNCTION("""COMPUTED_VALUE"""),214.0)</f>
        <v>214</v>
      </c>
      <c r="B215" s="3" t="str">
        <f>IFERROR(__xludf.DUMMYFUNCTION("""COMPUTED_VALUE"""),"Stress Ball")</f>
        <v>Stress Ball</v>
      </c>
      <c r="C215" s="3" t="str">
        <f>IFERROR(__xludf.DUMMYFUNCTION("""COMPUTED_VALUE"""),"Jan 18, 2026")</f>
        <v>Jan 18, 2026</v>
      </c>
      <c r="D215" s="3" t="str">
        <f>IFERROR(__xludf.DUMMYFUNCTION("""COMPUTED_VALUE"""),"$3.99")</f>
        <v>$3.99</v>
      </c>
      <c r="E215" s="3" t="str">
        <f>IFERROR(__xludf.DUMMYFUNCTION("""COMPUTED_VALUE"""),"N/A (N/A)")</f>
        <v>N/A (N/A)</v>
      </c>
      <c r="F215" s="3" t="str">
        <f>IFERROR(__xludf.DUMMYFUNCTION("""COMPUTED_VALUE"""),"0 .. 20,000")</f>
        <v>0 .. 20,000</v>
      </c>
      <c r="G215" s="3" t="str">
        <f>IFERROR(__xludf.DUMMYFUNCTION("""COMPUTED_VALUE"""),"00:00 (00:00)")</f>
        <v>00:00 (00:00)</v>
      </c>
      <c r="H215" s="34"/>
      <c r="O215" s="34"/>
      <c r="R215" s="34"/>
    </row>
    <row r="216">
      <c r="A216" s="3">
        <f>IFERROR(__xludf.DUMMYFUNCTION("""COMPUTED_VALUE"""),215.0)</f>
        <v>215</v>
      </c>
      <c r="B216" s="3" t="str">
        <f>IFERROR(__xludf.DUMMYFUNCTION("""COMPUTED_VALUE"""),"GOAL3")</f>
        <v>GOAL3</v>
      </c>
      <c r="C216" s="3" t="str">
        <f>IFERROR(__xludf.DUMMYFUNCTION("""COMPUTED_VALUE"""),"Jan 17, 2026")</f>
        <v>Jan 17, 2026</v>
      </c>
      <c r="D216" s="3" t="str">
        <f>IFERROR(__xludf.DUMMYFUNCTION("""COMPUTED_VALUE"""),"$8.99")</f>
        <v>$8.99</v>
      </c>
      <c r="E216" s="3" t="str">
        <f>IFERROR(__xludf.DUMMYFUNCTION("""COMPUTED_VALUE"""),"N/A (N/A)")</f>
        <v>N/A (N/A)</v>
      </c>
      <c r="F216" s="3" t="str">
        <f>IFERROR(__xludf.DUMMYFUNCTION("""COMPUTED_VALUE"""),"0 .. 20,000")</f>
        <v>0 .. 20,000</v>
      </c>
      <c r="G216" s="3" t="str">
        <f>IFERROR(__xludf.DUMMYFUNCTION("""COMPUTED_VALUE"""),"00:00 (00:00)")</f>
        <v>00:00 (00:00)</v>
      </c>
      <c r="H216" s="34"/>
      <c r="O216" s="34"/>
      <c r="R216" s="34"/>
    </row>
    <row r="217">
      <c r="A217" s="3">
        <f>IFERROR(__xludf.DUMMYFUNCTION("""COMPUTED_VALUE"""),216.0)</f>
        <v>216</v>
      </c>
      <c r="B217" s="3" t="str">
        <f>IFERROR(__xludf.DUMMYFUNCTION("""COMPUTED_VALUE"""),"BIG TITS")</f>
        <v>BIG TITS</v>
      </c>
      <c r="C217" s="3" t="str">
        <f>IFERROR(__xludf.DUMMYFUNCTION("""COMPUTED_VALUE"""),"Jan 16, 2026")</f>
        <v>Jan 16, 2026</v>
      </c>
      <c r="D217" s="3" t="str">
        <f>IFERROR(__xludf.DUMMYFUNCTION("""COMPUTED_VALUE"""),"$3.99")</f>
        <v>$3.99</v>
      </c>
      <c r="E217" s="3" t="str">
        <f>IFERROR(__xludf.DUMMYFUNCTION("""COMPUTED_VALUE"""),"N/A (N/A)")</f>
        <v>N/A (N/A)</v>
      </c>
      <c r="F217" s="3" t="str">
        <f>IFERROR(__xludf.DUMMYFUNCTION("""COMPUTED_VALUE"""),"0 .. 20,000")</f>
        <v>0 .. 20,000</v>
      </c>
      <c r="G217" s="3" t="str">
        <f>IFERROR(__xludf.DUMMYFUNCTION("""COMPUTED_VALUE"""),"00:00 (00:00)")</f>
        <v>00:00 (00:00)</v>
      </c>
      <c r="H217" s="34"/>
      <c r="O217" s="34"/>
      <c r="R217" s="34"/>
    </row>
    <row r="218">
      <c r="A218" s="3">
        <f>IFERROR(__xludf.DUMMYFUNCTION("""COMPUTED_VALUE"""),217.0)</f>
        <v>217</v>
      </c>
      <c r="B218" s="3" t="str">
        <f>IFERROR(__xludf.DUMMYFUNCTION("""COMPUTED_VALUE"""),"Mom Stolen in Space")</f>
        <v>Mom Stolen in Space</v>
      </c>
      <c r="C218" s="3" t="str">
        <f>IFERROR(__xludf.DUMMYFUNCTION("""COMPUTED_VALUE"""),"Jan 16, 2026")</f>
        <v>Jan 16, 2026</v>
      </c>
      <c r="D218" s="3" t="str">
        <f>IFERROR(__xludf.DUMMYFUNCTION("""COMPUTED_VALUE"""),"$9.99")</f>
        <v>$9.99</v>
      </c>
      <c r="E218" s="3" t="str">
        <f>IFERROR(__xludf.DUMMYFUNCTION("""COMPUTED_VALUE"""),"N/A (N/A)")</f>
        <v>N/A (N/A)</v>
      </c>
      <c r="F218" s="3" t="str">
        <f>IFERROR(__xludf.DUMMYFUNCTION("""COMPUTED_VALUE"""),"0 .. 20,000")</f>
        <v>0 .. 20,000</v>
      </c>
      <c r="G218" s="3" t="str">
        <f>IFERROR(__xludf.DUMMYFUNCTION("""COMPUTED_VALUE"""),"00:00 (00:00)")</f>
        <v>00:00 (00:00)</v>
      </c>
      <c r="H218" s="34"/>
      <c r="O218" s="34"/>
      <c r="R218" s="34"/>
    </row>
    <row r="219">
      <c r="A219" s="3">
        <f>IFERROR(__xludf.DUMMYFUNCTION("""COMPUTED_VALUE"""),218.0)</f>
        <v>218</v>
      </c>
      <c r="B219" s="3" t="str">
        <f>IFERROR(__xludf.DUMMYFUNCTION("""COMPUTED_VALUE"""),"Sexercise Club")</f>
        <v>Sexercise Club</v>
      </c>
      <c r="C219" s="3" t="str">
        <f>IFERROR(__xludf.DUMMYFUNCTION("""COMPUTED_VALUE"""),"Jan 16, 2026")</f>
        <v>Jan 16, 2026</v>
      </c>
      <c r="D219" s="3" t="str">
        <f>IFERROR(__xludf.DUMMYFUNCTION("""COMPUTED_VALUE"""),"$7.99")</f>
        <v>$7.99</v>
      </c>
      <c r="E219" s="3" t="str">
        <f>IFERROR(__xludf.DUMMYFUNCTION("""COMPUTED_VALUE"""),"N/A (N/A)")</f>
        <v>N/A (N/A)</v>
      </c>
      <c r="F219" s="3" t="str">
        <f>IFERROR(__xludf.DUMMYFUNCTION("""COMPUTED_VALUE"""),"0 .. 20,000")</f>
        <v>0 .. 20,000</v>
      </c>
      <c r="G219" s="3" t="str">
        <f>IFERROR(__xludf.DUMMYFUNCTION("""COMPUTED_VALUE"""),"00:00 (00:00)")</f>
        <v>00:00 (00:00)</v>
      </c>
      <c r="H219" s="34"/>
      <c r="O219" s="34"/>
      <c r="R219" s="34"/>
    </row>
    <row r="220">
      <c r="A220" s="3">
        <f>IFERROR(__xludf.DUMMYFUNCTION("""COMPUTED_VALUE"""),219.0)</f>
        <v>219</v>
      </c>
      <c r="B220" s="3" t="str">
        <f>IFERROR(__xludf.DUMMYFUNCTION("""COMPUTED_VALUE"""),"Parcel Frenzy: Get To Work!")</f>
        <v>Parcel Frenzy: Get To Work!</v>
      </c>
      <c r="C220" s="3" t="str">
        <f>IFERROR(__xludf.DUMMYFUNCTION("""COMPUTED_VALUE"""),"Jan 16, 2026")</f>
        <v>Jan 16, 2026</v>
      </c>
      <c r="D220" s="3" t="str">
        <f>IFERROR(__xludf.DUMMYFUNCTION("""COMPUTED_VALUE"""),"$4.99")</f>
        <v>$4.99</v>
      </c>
      <c r="E220" s="3" t="str">
        <f>IFERROR(__xludf.DUMMYFUNCTION("""COMPUTED_VALUE"""),"N/A (N/A)")</f>
        <v>N/A (N/A)</v>
      </c>
      <c r="F220" s="3" t="str">
        <f>IFERROR(__xludf.DUMMYFUNCTION("""COMPUTED_VALUE"""),"0 .. 20,000")</f>
        <v>0 .. 20,000</v>
      </c>
      <c r="G220" s="3" t="str">
        <f>IFERROR(__xludf.DUMMYFUNCTION("""COMPUTED_VALUE"""),"00:00 (00:00)")</f>
        <v>00:00 (00:00)</v>
      </c>
      <c r="H220" s="34"/>
      <c r="O220" s="34"/>
      <c r="R220" s="34"/>
    </row>
    <row r="221">
      <c r="A221" s="3">
        <f>IFERROR(__xludf.DUMMYFUNCTION("""COMPUTED_VALUE"""),220.0)</f>
        <v>220</v>
      </c>
      <c r="B221" s="3" t="str">
        <f>IFERROR(__xludf.DUMMYFUNCTION("""COMPUTED_VALUE"""),"Out of the Ocean")</f>
        <v>Out of the Ocean</v>
      </c>
      <c r="C221" s="3" t="str">
        <f>IFERROR(__xludf.DUMMYFUNCTION("""COMPUTED_VALUE"""),"Jan 16, 2026")</f>
        <v>Jan 16, 2026</v>
      </c>
      <c r="D221" s="3" t="str">
        <f>IFERROR(__xludf.DUMMYFUNCTION("""COMPUTED_VALUE"""),"$14.99")</f>
        <v>$14.99</v>
      </c>
      <c r="E221" s="3" t="str">
        <f>IFERROR(__xludf.DUMMYFUNCTION("""COMPUTED_VALUE"""),"N/A (N/A)")</f>
        <v>N/A (N/A)</v>
      </c>
      <c r="F221" s="3" t="str">
        <f>IFERROR(__xludf.DUMMYFUNCTION("""COMPUTED_VALUE"""),"0 .. 20,000")</f>
        <v>0 .. 20,000</v>
      </c>
      <c r="G221" s="3" t="str">
        <f>IFERROR(__xludf.DUMMYFUNCTION("""COMPUTED_VALUE"""),"00:00 (00:00)")</f>
        <v>00:00 (00:00)</v>
      </c>
      <c r="H221" s="34"/>
      <c r="O221" s="34"/>
      <c r="R221" s="34"/>
    </row>
    <row r="222">
      <c r="A222" s="3">
        <f>IFERROR(__xludf.DUMMYFUNCTION("""COMPUTED_VALUE"""),221.0)</f>
        <v>221</v>
      </c>
      <c r="B222" s="3" t="str">
        <f>IFERROR(__xludf.DUMMYFUNCTION("""COMPUTED_VALUE"""),"Paradise Lust 3")</f>
        <v>Paradise Lust 3</v>
      </c>
      <c r="C222" s="3" t="str">
        <f>IFERROR(__xludf.DUMMYFUNCTION("""COMPUTED_VALUE"""),"Jan 16, 2026")</f>
        <v>Jan 16, 2026</v>
      </c>
      <c r="D222" s="3" t="str">
        <f>IFERROR(__xludf.DUMMYFUNCTION("""COMPUTED_VALUE"""),"$14.99")</f>
        <v>$14.99</v>
      </c>
      <c r="E222" s="3" t="str">
        <f>IFERROR(__xludf.DUMMYFUNCTION("""COMPUTED_VALUE"""),"N/A (N/A)")</f>
        <v>N/A (N/A)</v>
      </c>
      <c r="F222" s="3" t="str">
        <f>IFERROR(__xludf.DUMMYFUNCTION("""COMPUTED_VALUE"""),"0 .. 20,000")</f>
        <v>0 .. 20,000</v>
      </c>
      <c r="G222" s="3" t="str">
        <f>IFERROR(__xludf.DUMMYFUNCTION("""COMPUTED_VALUE"""),"00:00 (00:00)")</f>
        <v>00:00 (00:00)</v>
      </c>
      <c r="H222" s="34"/>
      <c r="O222" s="34"/>
      <c r="R222" s="34"/>
    </row>
    <row r="223">
      <c r="A223" s="3">
        <f>IFERROR(__xludf.DUMMYFUNCTION("""COMPUTED_VALUE"""),222.0)</f>
        <v>222</v>
      </c>
      <c r="B223" s="3" t="str">
        <f>IFERROR(__xludf.DUMMYFUNCTION("""COMPUTED_VALUE"""),"春泥 Soil of Rebirth")</f>
        <v>春泥 Soil of Rebirth</v>
      </c>
      <c r="C223" s="3" t="str">
        <f>IFERROR(__xludf.DUMMYFUNCTION("""COMPUTED_VALUE"""),"Jan 16, 2026")</f>
        <v>Jan 16, 2026</v>
      </c>
      <c r="D223" s="3" t="str">
        <f>IFERROR(__xludf.DUMMYFUNCTION("""COMPUTED_VALUE"""),"$9.99")</f>
        <v>$9.99</v>
      </c>
      <c r="E223" s="3" t="str">
        <f>IFERROR(__xludf.DUMMYFUNCTION("""COMPUTED_VALUE"""),"N/A (N/A)")</f>
        <v>N/A (N/A)</v>
      </c>
      <c r="F223" s="3" t="str">
        <f>IFERROR(__xludf.DUMMYFUNCTION("""COMPUTED_VALUE"""),"0 .. 20,000")</f>
        <v>0 .. 20,000</v>
      </c>
      <c r="G223" s="3" t="str">
        <f>IFERROR(__xludf.DUMMYFUNCTION("""COMPUTED_VALUE"""),"00:00 (00:00)")</f>
        <v>00:00 (00:00)</v>
      </c>
      <c r="H223" s="34"/>
      <c r="O223" s="34"/>
      <c r="R223" s="34"/>
    </row>
    <row r="224">
      <c r="A224" s="3">
        <f>IFERROR(__xludf.DUMMYFUNCTION("""COMPUTED_VALUE"""),223.0)</f>
        <v>223</v>
      </c>
      <c r="B224" s="3" t="str">
        <f>IFERROR(__xludf.DUMMYFUNCTION("""COMPUTED_VALUE"""),"Find Oann")</f>
        <v>Find Oann</v>
      </c>
      <c r="C224" s="3" t="str">
        <f>IFERROR(__xludf.DUMMYFUNCTION("""COMPUTED_VALUE"""),"Jan 16, 2026")</f>
        <v>Jan 16, 2026</v>
      </c>
      <c r="D224" s="3" t="str">
        <f>IFERROR(__xludf.DUMMYFUNCTION("""COMPUTED_VALUE"""),"$9.99")</f>
        <v>$9.99</v>
      </c>
      <c r="E224" s="3" t="str">
        <f>IFERROR(__xludf.DUMMYFUNCTION("""COMPUTED_VALUE"""),"N/A (N/A)")</f>
        <v>N/A (N/A)</v>
      </c>
      <c r="F224" s="3" t="str">
        <f>IFERROR(__xludf.DUMMYFUNCTION("""COMPUTED_VALUE"""),"0 .. 20,000")</f>
        <v>0 .. 20,000</v>
      </c>
      <c r="G224" s="3" t="str">
        <f>IFERROR(__xludf.DUMMYFUNCTION("""COMPUTED_VALUE"""),"00:00 (00:00)")</f>
        <v>00:00 (00:00)</v>
      </c>
      <c r="H224" s="34"/>
      <c r="O224" s="34"/>
      <c r="R224" s="34"/>
    </row>
    <row r="225">
      <c r="A225" s="3">
        <f>IFERROR(__xludf.DUMMYFUNCTION("""COMPUTED_VALUE"""),224.0)</f>
        <v>224</v>
      </c>
      <c r="B225" s="3" t="str">
        <f>IFERROR(__xludf.DUMMYFUNCTION("""COMPUTED_VALUE"""),"Kin and Quarry")</f>
        <v>Kin and Quarry</v>
      </c>
      <c r="C225" s="3" t="str">
        <f>IFERROR(__xludf.DUMMYFUNCTION("""COMPUTED_VALUE"""),"Jan 16, 2026")</f>
        <v>Jan 16, 2026</v>
      </c>
      <c r="D225" s="3" t="str">
        <f>IFERROR(__xludf.DUMMYFUNCTION("""COMPUTED_VALUE"""),"$9.99")</f>
        <v>$9.99</v>
      </c>
      <c r="E225" s="3" t="str">
        <f>IFERROR(__xludf.DUMMYFUNCTION("""COMPUTED_VALUE"""),"N/A (N/A)")</f>
        <v>N/A (N/A)</v>
      </c>
      <c r="F225" s="3" t="str">
        <f>IFERROR(__xludf.DUMMYFUNCTION("""COMPUTED_VALUE"""),"0 .. 20,000")</f>
        <v>0 .. 20,000</v>
      </c>
      <c r="G225" s="3" t="str">
        <f>IFERROR(__xludf.DUMMYFUNCTION("""COMPUTED_VALUE"""),"03:37 (02:24)")</f>
        <v>03:37 (02:24)</v>
      </c>
      <c r="H225" s="34"/>
      <c r="O225" s="34"/>
      <c r="R225" s="34"/>
    </row>
    <row r="226">
      <c r="A226" s="3">
        <f>IFERROR(__xludf.DUMMYFUNCTION("""COMPUTED_VALUE"""),225.0)</f>
        <v>225</v>
      </c>
      <c r="B226" s="3" t="str">
        <f>IFERROR(__xludf.DUMMYFUNCTION("""COMPUTED_VALUE"""),"Fairground Online")</f>
        <v>Fairground Online</v>
      </c>
      <c r="C226" s="3" t="str">
        <f>IFERROR(__xludf.DUMMYFUNCTION("""COMPUTED_VALUE"""),"Jan 16, 2026")</f>
        <v>Jan 16, 2026</v>
      </c>
      <c r="D226" s="3" t="str">
        <f>IFERROR(__xludf.DUMMYFUNCTION("""COMPUTED_VALUE"""),"$29.99")</f>
        <v>$29.99</v>
      </c>
      <c r="E226" s="3" t="str">
        <f>IFERROR(__xludf.DUMMYFUNCTION("""COMPUTED_VALUE"""),"N/A (N/A)")</f>
        <v>N/A (N/A)</v>
      </c>
      <c r="F226" s="3" t="str">
        <f>IFERROR(__xludf.DUMMYFUNCTION("""COMPUTED_VALUE"""),"0 .. 20,000")</f>
        <v>0 .. 20,000</v>
      </c>
      <c r="G226" s="3" t="str">
        <f>IFERROR(__xludf.DUMMYFUNCTION("""COMPUTED_VALUE"""),"00:00 (00:00)")</f>
        <v>00:00 (00:00)</v>
      </c>
      <c r="H226" s="34"/>
      <c r="O226" s="34"/>
      <c r="R226" s="34"/>
    </row>
    <row r="227">
      <c r="A227" s="3">
        <f>IFERROR(__xludf.DUMMYFUNCTION("""COMPUTED_VALUE"""),226.0)</f>
        <v>226</v>
      </c>
      <c r="B227" s="3" t="str">
        <f>IFERROR(__xludf.DUMMYFUNCTION("""COMPUTED_VALUE"""),"Randy The Racoon")</f>
        <v>Randy The Racoon</v>
      </c>
      <c r="C227" s="3" t="str">
        <f>IFERROR(__xludf.DUMMYFUNCTION("""COMPUTED_VALUE"""),"Jan 16, 2026")</f>
        <v>Jan 16, 2026</v>
      </c>
      <c r="D227" s="3" t="str">
        <f>IFERROR(__xludf.DUMMYFUNCTION("""COMPUTED_VALUE"""),"$5.99")</f>
        <v>$5.99</v>
      </c>
      <c r="E227" s="3" t="str">
        <f>IFERROR(__xludf.DUMMYFUNCTION("""COMPUTED_VALUE"""),"N/A (N/A)")</f>
        <v>N/A (N/A)</v>
      </c>
      <c r="F227" s="3" t="str">
        <f>IFERROR(__xludf.DUMMYFUNCTION("""COMPUTED_VALUE"""),"0 .. 20,000")</f>
        <v>0 .. 20,000</v>
      </c>
      <c r="G227" s="3" t="str">
        <f>IFERROR(__xludf.DUMMYFUNCTION("""COMPUTED_VALUE"""),"00:00 (00:00)")</f>
        <v>00:00 (00:00)</v>
      </c>
      <c r="H227" s="34"/>
      <c r="O227" s="34"/>
      <c r="R227" s="34"/>
    </row>
    <row r="228">
      <c r="A228" s="3">
        <f>IFERROR(__xludf.DUMMYFUNCTION("""COMPUTED_VALUE"""),227.0)</f>
        <v>227</v>
      </c>
      <c r="B228" s="3" t="str">
        <f>IFERROR(__xludf.DUMMYFUNCTION("""COMPUTED_VALUE"""),"Ghetto Zombies: Graffiti Squad")</f>
        <v>Ghetto Zombies: Graffiti Squad</v>
      </c>
      <c r="C228" s="3" t="str">
        <f>IFERROR(__xludf.DUMMYFUNCTION("""COMPUTED_VALUE"""),"Jan 16, 2026")</f>
        <v>Jan 16, 2026</v>
      </c>
      <c r="D228" s="3" t="str">
        <f>IFERROR(__xludf.DUMMYFUNCTION("""COMPUTED_VALUE"""),"$9.99")</f>
        <v>$9.99</v>
      </c>
      <c r="E228" s="3" t="str">
        <f>IFERROR(__xludf.DUMMYFUNCTION("""COMPUTED_VALUE"""),"N/A (N/A)")</f>
        <v>N/A (N/A)</v>
      </c>
      <c r="F228" s="3" t="str">
        <f>IFERROR(__xludf.DUMMYFUNCTION("""COMPUTED_VALUE"""),"0 .. 20,000")</f>
        <v>0 .. 20,000</v>
      </c>
      <c r="G228" s="3" t="str">
        <f>IFERROR(__xludf.DUMMYFUNCTION("""COMPUTED_VALUE"""),"00:00 (00:00)")</f>
        <v>00:00 (00:00)</v>
      </c>
      <c r="H228" s="34"/>
      <c r="O228" s="34"/>
      <c r="R228" s="34"/>
    </row>
    <row r="229">
      <c r="A229" s="3">
        <f>IFERROR(__xludf.DUMMYFUNCTION("""COMPUTED_VALUE"""),228.0)</f>
        <v>228</v>
      </c>
      <c r="B229" s="3" t="str">
        <f>IFERROR(__xludf.DUMMYFUNCTION("""COMPUTED_VALUE"""),"Finch &amp; Archie")</f>
        <v>Finch &amp; Archie</v>
      </c>
      <c r="C229" s="3" t="str">
        <f>IFERROR(__xludf.DUMMYFUNCTION("""COMPUTED_VALUE"""),"Jan 16, 2026")</f>
        <v>Jan 16, 2026</v>
      </c>
      <c r="D229" s="3" t="str">
        <f>IFERROR(__xludf.DUMMYFUNCTION("""COMPUTED_VALUE"""),"$11.99")</f>
        <v>$11.99</v>
      </c>
      <c r="E229" s="3" t="str">
        <f>IFERROR(__xludf.DUMMYFUNCTION("""COMPUTED_VALUE"""),"N/A (N/A)")</f>
        <v>N/A (N/A)</v>
      </c>
      <c r="F229" s="3" t="str">
        <f>IFERROR(__xludf.DUMMYFUNCTION("""COMPUTED_VALUE"""),"0 .. 20,000")</f>
        <v>0 .. 20,000</v>
      </c>
      <c r="G229" s="3" t="str">
        <f>IFERROR(__xludf.DUMMYFUNCTION("""COMPUTED_VALUE"""),"00:00 (00:00)")</f>
        <v>00:00 (00:00)</v>
      </c>
      <c r="H229" s="34"/>
      <c r="O229" s="34"/>
      <c r="R229" s="34"/>
    </row>
    <row r="230">
      <c r="A230" s="3">
        <f>IFERROR(__xludf.DUMMYFUNCTION("""COMPUTED_VALUE"""),229.0)</f>
        <v>229</v>
      </c>
      <c r="B230" s="3" t="str">
        <f>IFERROR(__xludf.DUMMYFUNCTION("""COMPUTED_VALUE"""),"Life in Middle East")</f>
        <v>Life in Middle East</v>
      </c>
      <c r="C230" s="3" t="str">
        <f>IFERROR(__xludf.DUMMYFUNCTION("""COMPUTED_VALUE"""),"Jan 16, 2026")</f>
        <v>Jan 16, 2026</v>
      </c>
      <c r="D230" s="3" t="str">
        <f>IFERROR(__xludf.DUMMYFUNCTION("""COMPUTED_VALUE"""),"$12.99")</f>
        <v>$12.99</v>
      </c>
      <c r="E230" s="3" t="str">
        <f>IFERROR(__xludf.DUMMYFUNCTION("""COMPUTED_VALUE"""),"N/A (N/A)")</f>
        <v>N/A (N/A)</v>
      </c>
      <c r="F230" s="3" t="str">
        <f>IFERROR(__xludf.DUMMYFUNCTION("""COMPUTED_VALUE"""),"0 .. 20,000")</f>
        <v>0 .. 20,000</v>
      </c>
      <c r="G230" s="3" t="str">
        <f>IFERROR(__xludf.DUMMYFUNCTION("""COMPUTED_VALUE"""),"00:00 (00:00)")</f>
        <v>00:00 (00:00)</v>
      </c>
      <c r="H230" s="34"/>
      <c r="O230" s="34"/>
      <c r="R230" s="34"/>
    </row>
    <row r="231">
      <c r="A231" s="3">
        <f>IFERROR(__xludf.DUMMYFUNCTION("""COMPUTED_VALUE"""),230.0)</f>
        <v>230</v>
      </c>
      <c r="B231" s="3" t="str">
        <f>IFERROR(__xludf.DUMMYFUNCTION("""COMPUTED_VALUE"""),"Bail Force: Cyberpunk Bounty Hunters")</f>
        <v>Bail Force: Cyberpunk Bounty Hunters</v>
      </c>
      <c r="C231" s="3" t="str">
        <f>IFERROR(__xludf.DUMMYFUNCTION("""COMPUTED_VALUE"""),"Jan 16, 2026")</f>
        <v>Jan 16, 2026</v>
      </c>
      <c r="D231" s="3" t="str">
        <f>IFERROR(__xludf.DUMMYFUNCTION("""COMPUTED_VALUE"""),"$9.99")</f>
        <v>$9.99</v>
      </c>
      <c r="E231" s="3" t="str">
        <f>IFERROR(__xludf.DUMMYFUNCTION("""COMPUTED_VALUE"""),"N/A (N/A)")</f>
        <v>N/A (N/A)</v>
      </c>
      <c r="F231" s="3" t="str">
        <f>IFERROR(__xludf.DUMMYFUNCTION("""COMPUTED_VALUE"""),"0 .. 20,000")</f>
        <v>0 .. 20,000</v>
      </c>
      <c r="G231" s="3" t="str">
        <f>IFERROR(__xludf.DUMMYFUNCTION("""COMPUTED_VALUE"""),"00:00 (00:00)")</f>
        <v>00:00 (00:00)</v>
      </c>
      <c r="H231" s="34"/>
      <c r="O231" s="34"/>
      <c r="R231" s="34"/>
    </row>
    <row r="232">
      <c r="A232" s="3">
        <f>IFERROR(__xludf.DUMMYFUNCTION("""COMPUTED_VALUE"""),231.0)</f>
        <v>231</v>
      </c>
      <c r="B232" s="3" t="str">
        <f>IFERROR(__xludf.DUMMYFUNCTION("""COMPUTED_VALUE"""),"Geometry Arena 2")</f>
        <v>Geometry Arena 2</v>
      </c>
      <c r="C232" s="3" t="str">
        <f>IFERROR(__xludf.DUMMYFUNCTION("""COMPUTED_VALUE"""),"Jan 16, 2026")</f>
        <v>Jan 16, 2026</v>
      </c>
      <c r="D232" s="3" t="str">
        <f>IFERROR(__xludf.DUMMYFUNCTION("""COMPUTED_VALUE"""),"$5.99")</f>
        <v>$5.99</v>
      </c>
      <c r="E232" s="3" t="str">
        <f>IFERROR(__xludf.DUMMYFUNCTION("""COMPUTED_VALUE"""),"N/A (N/A)")</f>
        <v>N/A (N/A)</v>
      </c>
      <c r="F232" s="3" t="str">
        <f>IFERROR(__xludf.DUMMYFUNCTION("""COMPUTED_VALUE"""),"20,000 .. 50,000")</f>
        <v>20,000 .. 50,000</v>
      </c>
      <c r="G232" s="3" t="str">
        <f>IFERROR(__xludf.DUMMYFUNCTION("""COMPUTED_VALUE"""),"00:52 (00:26)")</f>
        <v>00:52 (00:26)</v>
      </c>
      <c r="H232" s="34"/>
      <c r="O232" s="34"/>
      <c r="R232" s="34"/>
    </row>
    <row r="233">
      <c r="A233" s="3">
        <f>IFERROR(__xludf.DUMMYFUNCTION("""COMPUTED_VALUE"""),232.0)</f>
        <v>232</v>
      </c>
      <c r="B233" s="3" t="str">
        <f>IFERROR(__xludf.DUMMYFUNCTION("""COMPUTED_VALUE"""),"Furry house")</f>
        <v>Furry house</v>
      </c>
      <c r="C233" s="3" t="str">
        <f>IFERROR(__xludf.DUMMYFUNCTION("""COMPUTED_VALUE"""),"Jan 16, 2026")</f>
        <v>Jan 16, 2026</v>
      </c>
      <c r="D233" s="3" t="str">
        <f>IFERROR(__xludf.DUMMYFUNCTION("""COMPUTED_VALUE"""),"$8.99")</f>
        <v>$8.99</v>
      </c>
      <c r="E233" s="3" t="str">
        <f>IFERROR(__xludf.DUMMYFUNCTION("""COMPUTED_VALUE"""),"N/A (N/A)")</f>
        <v>N/A (N/A)</v>
      </c>
      <c r="F233" s="3" t="str">
        <f>IFERROR(__xludf.DUMMYFUNCTION("""COMPUTED_VALUE"""),"0 .. 20,000")</f>
        <v>0 .. 20,000</v>
      </c>
      <c r="G233" s="3" t="str">
        <f>IFERROR(__xludf.DUMMYFUNCTION("""COMPUTED_VALUE"""),"00:00 (00:00)")</f>
        <v>00:00 (00:00)</v>
      </c>
      <c r="H233" s="34"/>
      <c r="O233" s="34"/>
      <c r="R233" s="34"/>
    </row>
    <row r="234">
      <c r="A234" s="3">
        <f>IFERROR(__xludf.DUMMYFUNCTION("""COMPUTED_VALUE"""),233.0)</f>
        <v>233</v>
      </c>
      <c r="B234" s="3" t="str">
        <f>IFERROR(__xludf.DUMMYFUNCTION("""COMPUTED_VALUE"""),"Hentai Saki")</f>
        <v>Hentai Saki</v>
      </c>
      <c r="C234" s="3" t="str">
        <f>IFERROR(__xludf.DUMMYFUNCTION("""COMPUTED_VALUE"""),"Jan 15, 2026")</f>
        <v>Jan 15, 2026</v>
      </c>
      <c r="D234" s="3" t="str">
        <f>IFERROR(__xludf.DUMMYFUNCTION("""COMPUTED_VALUE"""),"$0.99")</f>
        <v>$0.99</v>
      </c>
      <c r="E234" s="3" t="str">
        <f>IFERROR(__xludf.DUMMYFUNCTION("""COMPUTED_VALUE"""),"N/A (N/A)")</f>
        <v>N/A (N/A)</v>
      </c>
      <c r="F234" s="3" t="str">
        <f>IFERROR(__xludf.DUMMYFUNCTION("""COMPUTED_VALUE"""),"0 .. 20,000")</f>
        <v>0 .. 20,000</v>
      </c>
      <c r="G234" s="3" t="str">
        <f>IFERROR(__xludf.DUMMYFUNCTION("""COMPUTED_VALUE"""),"00:00 (00:00)")</f>
        <v>00:00 (00:00)</v>
      </c>
      <c r="H234" s="34"/>
      <c r="O234" s="34"/>
      <c r="R234" s="34"/>
    </row>
    <row r="235">
      <c r="A235" s="3">
        <f>IFERROR(__xludf.DUMMYFUNCTION("""COMPUTED_VALUE"""),234.0)</f>
        <v>234</v>
      </c>
      <c r="B235" s="3" t="str">
        <f>IFERROR(__xludf.DUMMYFUNCTION("""COMPUTED_VALUE"""),"OH DEMON! Fix my TV")</f>
        <v>OH DEMON! Fix my TV</v>
      </c>
      <c r="C235" s="3" t="str">
        <f>IFERROR(__xludf.DUMMYFUNCTION("""COMPUTED_VALUE"""),"Jan 15, 2026")</f>
        <v>Jan 15, 2026</v>
      </c>
      <c r="D235" s="3" t="str">
        <f>IFERROR(__xludf.DUMMYFUNCTION("""COMPUTED_VALUE"""),"$9.99")</f>
        <v>$9.99</v>
      </c>
      <c r="E235" s="3" t="str">
        <f>IFERROR(__xludf.DUMMYFUNCTION("""COMPUTED_VALUE"""),"N/A (N/A)")</f>
        <v>N/A (N/A)</v>
      </c>
      <c r="F235" s="3" t="str">
        <f>IFERROR(__xludf.DUMMYFUNCTION("""COMPUTED_VALUE"""),"0 .. 20,000")</f>
        <v>0 .. 20,000</v>
      </c>
      <c r="G235" s="3" t="str">
        <f>IFERROR(__xludf.DUMMYFUNCTION("""COMPUTED_VALUE"""),"00:40 (00:20)")</f>
        <v>00:40 (00:20)</v>
      </c>
      <c r="H235" s="34"/>
      <c r="O235" s="34"/>
      <c r="R235" s="34"/>
    </row>
    <row r="236">
      <c r="A236" s="3">
        <f>IFERROR(__xludf.DUMMYFUNCTION("""COMPUTED_VALUE"""),235.0)</f>
        <v>235</v>
      </c>
      <c r="B236" s="3" t="str">
        <f>IFERROR(__xludf.DUMMYFUNCTION("""COMPUTED_VALUE"""),"ASS: PRESS F!")</f>
        <v>ASS: PRESS F!</v>
      </c>
      <c r="C236" s="3" t="str">
        <f>IFERROR(__xludf.DUMMYFUNCTION("""COMPUTED_VALUE"""),"Jan 15, 2026")</f>
        <v>Jan 15, 2026</v>
      </c>
      <c r="D236" s="3" t="str">
        <f>IFERROR(__xludf.DUMMYFUNCTION("""COMPUTED_VALUE"""),"$2.99")</f>
        <v>$2.99</v>
      </c>
      <c r="E236" s="3" t="str">
        <f>IFERROR(__xludf.DUMMYFUNCTION("""COMPUTED_VALUE"""),"N/A (N/A)")</f>
        <v>N/A (N/A)</v>
      </c>
      <c r="F236" s="3" t="str">
        <f>IFERROR(__xludf.DUMMYFUNCTION("""COMPUTED_VALUE"""),"0 .. 20,000")</f>
        <v>0 .. 20,000</v>
      </c>
      <c r="G236" s="3" t="str">
        <f>IFERROR(__xludf.DUMMYFUNCTION("""COMPUTED_VALUE"""),"00:00 (00:00)")</f>
        <v>00:00 (00:00)</v>
      </c>
      <c r="H236" s="34"/>
      <c r="O236" s="34"/>
      <c r="R236" s="34"/>
    </row>
    <row r="237">
      <c r="A237" s="3">
        <f>IFERROR(__xludf.DUMMYFUNCTION("""COMPUTED_VALUE"""),236.0)</f>
        <v>236</v>
      </c>
      <c r="B237" s="3" t="str">
        <f>IFERROR(__xludf.DUMMYFUNCTION("""COMPUTED_VALUE"""),"Sweet Cheering")</f>
        <v>Sweet Cheering</v>
      </c>
      <c r="C237" s="3" t="str">
        <f>IFERROR(__xludf.DUMMYFUNCTION("""COMPUTED_VALUE"""),"Jan 15, 2026")</f>
        <v>Jan 15, 2026</v>
      </c>
      <c r="D237" s="3" t="str">
        <f>IFERROR(__xludf.DUMMYFUNCTION("""COMPUTED_VALUE"""),"$0.99")</f>
        <v>$0.99</v>
      </c>
      <c r="E237" s="3" t="str">
        <f>IFERROR(__xludf.DUMMYFUNCTION("""COMPUTED_VALUE"""),"N/A (N/A)")</f>
        <v>N/A (N/A)</v>
      </c>
      <c r="F237" s="3" t="str">
        <f>IFERROR(__xludf.DUMMYFUNCTION("""COMPUTED_VALUE"""),"0 .. 20,000")</f>
        <v>0 .. 20,000</v>
      </c>
      <c r="G237" s="3" t="str">
        <f>IFERROR(__xludf.DUMMYFUNCTION("""COMPUTED_VALUE"""),"00:00 (00:00)")</f>
        <v>00:00 (00:00)</v>
      </c>
      <c r="H237" s="34"/>
      <c r="O237" s="34"/>
      <c r="R237" s="34"/>
    </row>
    <row r="238">
      <c r="A238" s="3">
        <f>IFERROR(__xludf.DUMMYFUNCTION("""COMPUTED_VALUE"""),237.0)</f>
        <v>237</v>
      </c>
      <c r="B238" s="3" t="str">
        <f>IFERROR(__xludf.DUMMYFUNCTION("""COMPUTED_VALUE"""),"Speakeasy Simulator")</f>
        <v>Speakeasy Simulator</v>
      </c>
      <c r="C238" s="3" t="str">
        <f>IFERROR(__xludf.DUMMYFUNCTION("""COMPUTED_VALUE"""),"Jan 15, 2026")</f>
        <v>Jan 15, 2026</v>
      </c>
      <c r="D238" s="3" t="str">
        <f>IFERROR(__xludf.DUMMYFUNCTION("""COMPUTED_VALUE"""),"$11.99")</f>
        <v>$11.99</v>
      </c>
      <c r="E238" s="3" t="str">
        <f>IFERROR(__xludf.DUMMYFUNCTION("""COMPUTED_VALUE"""),"N/A (N/A)")</f>
        <v>N/A (N/A)</v>
      </c>
      <c r="F238" s="3" t="str">
        <f>IFERROR(__xludf.DUMMYFUNCTION("""COMPUTED_VALUE"""),"0 .. 20,000")</f>
        <v>0 .. 20,000</v>
      </c>
      <c r="G238" s="3" t="str">
        <f>IFERROR(__xludf.DUMMYFUNCTION("""COMPUTED_VALUE"""),"00:00 (00:00)")</f>
        <v>00:00 (00:00)</v>
      </c>
      <c r="H238" s="34"/>
      <c r="O238" s="34"/>
      <c r="R238" s="34"/>
    </row>
    <row r="239">
      <c r="A239" s="3">
        <f>IFERROR(__xludf.DUMMYFUNCTION("""COMPUTED_VALUE"""),238.0)</f>
        <v>238</v>
      </c>
      <c r="B239" s="3" t="str">
        <f>IFERROR(__xludf.DUMMYFUNCTION("""COMPUTED_VALUE"""),"Whimsy Bake＆Craft")</f>
        <v>Whimsy Bake＆Craft</v>
      </c>
      <c r="C239" s="3" t="str">
        <f>IFERROR(__xludf.DUMMYFUNCTION("""COMPUTED_VALUE"""),"Jan 15, 2026")</f>
        <v>Jan 15, 2026</v>
      </c>
      <c r="D239" s="3" t="str">
        <f>IFERROR(__xludf.DUMMYFUNCTION("""COMPUTED_VALUE"""),"$7.99")</f>
        <v>$7.99</v>
      </c>
      <c r="E239" s="3" t="str">
        <f>IFERROR(__xludf.DUMMYFUNCTION("""COMPUTED_VALUE"""),"N/A (N/A)")</f>
        <v>N/A (N/A)</v>
      </c>
      <c r="F239" s="3" t="str">
        <f>IFERROR(__xludf.DUMMYFUNCTION("""COMPUTED_VALUE"""),"0 .. 20,000")</f>
        <v>0 .. 20,000</v>
      </c>
      <c r="G239" s="3" t="str">
        <f>IFERROR(__xludf.DUMMYFUNCTION("""COMPUTED_VALUE"""),"65:01 (32:30)")</f>
        <v>65:01 (32:30)</v>
      </c>
      <c r="H239" s="34"/>
      <c r="O239" s="34"/>
      <c r="R239" s="34"/>
    </row>
    <row r="240">
      <c r="A240" s="3">
        <f>IFERROR(__xludf.DUMMYFUNCTION("""COMPUTED_VALUE"""),239.0)</f>
        <v>239</v>
      </c>
      <c r="B240" s="3" t="str">
        <f>IFERROR(__xludf.DUMMYFUNCTION("""COMPUTED_VALUE"""),"His Bet, Her Loss")</f>
        <v>His Bet, Her Loss</v>
      </c>
      <c r="C240" s="3" t="str">
        <f>IFERROR(__xludf.DUMMYFUNCTION("""COMPUTED_VALUE"""),"Jan 15, 2026")</f>
        <v>Jan 15, 2026</v>
      </c>
      <c r="D240" s="3" t="str">
        <f>IFERROR(__xludf.DUMMYFUNCTION("""COMPUTED_VALUE"""),"$6.99")</f>
        <v>$6.99</v>
      </c>
      <c r="E240" s="3" t="str">
        <f>IFERROR(__xludf.DUMMYFUNCTION("""COMPUTED_VALUE"""),"N/A (N/A)")</f>
        <v>N/A (N/A)</v>
      </c>
      <c r="F240" s="3" t="str">
        <f>IFERROR(__xludf.DUMMYFUNCTION("""COMPUTED_VALUE"""),"0 .. 20,000")</f>
        <v>0 .. 20,000</v>
      </c>
      <c r="G240" s="3" t="str">
        <f>IFERROR(__xludf.DUMMYFUNCTION("""COMPUTED_VALUE"""),"00:00 (00:00)")</f>
        <v>00:00 (00:00)</v>
      </c>
      <c r="H240" s="34"/>
      <c r="O240" s="34"/>
      <c r="R240" s="34"/>
    </row>
    <row r="241">
      <c r="A241" s="3">
        <f>IFERROR(__xludf.DUMMYFUNCTION("""COMPUTED_VALUE"""),240.0)</f>
        <v>240</v>
      </c>
      <c r="B241" s="3" t="str">
        <f>IFERROR(__xludf.DUMMYFUNCTION("""COMPUTED_VALUE"""),"BACKROOMS: We Were Not Alone")</f>
        <v>BACKROOMS: We Were Not Alone</v>
      </c>
      <c r="C241" s="3" t="str">
        <f>IFERROR(__xludf.DUMMYFUNCTION("""COMPUTED_VALUE"""),"Jan 15, 2026")</f>
        <v>Jan 15, 2026</v>
      </c>
      <c r="D241" s="3" t="str">
        <f>IFERROR(__xludf.DUMMYFUNCTION("""COMPUTED_VALUE"""),"$8.99")</f>
        <v>$8.99</v>
      </c>
      <c r="E241" s="3" t="str">
        <f>IFERROR(__xludf.DUMMYFUNCTION("""COMPUTED_VALUE"""),"N/A (N/A)")</f>
        <v>N/A (N/A)</v>
      </c>
      <c r="F241" s="3" t="str">
        <f>IFERROR(__xludf.DUMMYFUNCTION("""COMPUTED_VALUE"""),"0 .. 20,000")</f>
        <v>0 .. 20,000</v>
      </c>
      <c r="G241" s="3" t="str">
        <f>IFERROR(__xludf.DUMMYFUNCTION("""COMPUTED_VALUE"""),"00:00 (00:00)")</f>
        <v>00:00 (00:00)</v>
      </c>
      <c r="H241" s="34"/>
      <c r="O241" s="34"/>
      <c r="R241" s="34"/>
    </row>
    <row r="242">
      <c r="A242" s="3">
        <f>IFERROR(__xludf.DUMMYFUNCTION("""COMPUTED_VALUE"""),241.0)</f>
        <v>241</v>
      </c>
      <c r="B242" s="3" t="str">
        <f>IFERROR(__xludf.DUMMYFUNCTION("""COMPUTED_VALUE"""),"Dungeon with Girl")</f>
        <v>Dungeon with Girl</v>
      </c>
      <c r="C242" s="3" t="str">
        <f>IFERROR(__xludf.DUMMYFUNCTION("""COMPUTED_VALUE"""),"Jan 15, 2026")</f>
        <v>Jan 15, 2026</v>
      </c>
      <c r="D242" s="3" t="str">
        <f>IFERROR(__xludf.DUMMYFUNCTION("""COMPUTED_VALUE"""),"$13.99")</f>
        <v>$13.99</v>
      </c>
      <c r="E242" s="3" t="str">
        <f>IFERROR(__xludf.DUMMYFUNCTION("""COMPUTED_VALUE"""),"N/A (N/A)")</f>
        <v>N/A (N/A)</v>
      </c>
      <c r="F242" s="3" t="str">
        <f>IFERROR(__xludf.DUMMYFUNCTION("""COMPUTED_VALUE"""),"0 .. 20,000")</f>
        <v>0 .. 20,000</v>
      </c>
      <c r="G242" s="3" t="str">
        <f>IFERROR(__xludf.DUMMYFUNCTION("""COMPUTED_VALUE"""),"00:00 (00:00)")</f>
        <v>00:00 (00:00)</v>
      </c>
      <c r="H242" s="34"/>
      <c r="O242" s="34"/>
      <c r="R242" s="34"/>
    </row>
    <row r="243">
      <c r="A243" s="3">
        <f>IFERROR(__xludf.DUMMYFUNCTION("""COMPUTED_VALUE"""),242.0)</f>
        <v>242</v>
      </c>
      <c r="B243" s="3" t="str">
        <f>IFERROR(__xludf.DUMMYFUNCTION("""COMPUTED_VALUE"""),"Prepare The Past")</f>
        <v>Prepare The Past</v>
      </c>
      <c r="C243" s="3" t="str">
        <f>IFERROR(__xludf.DUMMYFUNCTION("""COMPUTED_VALUE"""),"Jan 15, 2026")</f>
        <v>Jan 15, 2026</v>
      </c>
      <c r="D243" s="3" t="str">
        <f>IFERROR(__xludf.DUMMYFUNCTION("""COMPUTED_VALUE"""),"$4.99")</f>
        <v>$4.99</v>
      </c>
      <c r="E243" s="3" t="str">
        <f>IFERROR(__xludf.DUMMYFUNCTION("""COMPUTED_VALUE"""),"N/A (N/A)")</f>
        <v>N/A (N/A)</v>
      </c>
      <c r="F243" s="3" t="str">
        <f>IFERROR(__xludf.DUMMYFUNCTION("""COMPUTED_VALUE"""),"0 .. 20,000")</f>
        <v>0 .. 20,000</v>
      </c>
      <c r="G243" s="3" t="str">
        <f>IFERROR(__xludf.DUMMYFUNCTION("""COMPUTED_VALUE"""),"00:00 (00:00)")</f>
        <v>00:00 (00:00)</v>
      </c>
      <c r="H243" s="34"/>
      <c r="O243" s="34"/>
      <c r="R243" s="34"/>
    </row>
    <row r="244">
      <c r="A244" s="3">
        <f>IFERROR(__xludf.DUMMYFUNCTION("""COMPUTED_VALUE"""),243.0)</f>
        <v>243</v>
      </c>
      <c r="B244" s="3" t="str">
        <f>IFERROR(__xludf.DUMMYFUNCTION("""COMPUTED_VALUE"""),"DeadCore Redux")</f>
        <v>DeadCore Redux</v>
      </c>
      <c r="C244" s="3" t="str">
        <f>IFERROR(__xludf.DUMMYFUNCTION("""COMPUTED_VALUE"""),"Jan 15, 2026")</f>
        <v>Jan 15, 2026</v>
      </c>
      <c r="D244" s="3" t="str">
        <f>IFERROR(__xludf.DUMMYFUNCTION("""COMPUTED_VALUE"""),"$14.99")</f>
        <v>$14.99</v>
      </c>
      <c r="E244" s="3" t="str">
        <f>IFERROR(__xludf.DUMMYFUNCTION("""COMPUTED_VALUE"""),"N/A (N/A)")</f>
        <v>N/A (N/A)</v>
      </c>
      <c r="F244" s="3" t="str">
        <f>IFERROR(__xludf.DUMMYFUNCTION("""COMPUTED_VALUE"""),"0 .. 20,000")</f>
        <v>0 .. 20,000</v>
      </c>
      <c r="G244" s="3" t="str">
        <f>IFERROR(__xludf.DUMMYFUNCTION("""COMPUTED_VALUE"""),"00:00 (00:00)")</f>
        <v>00:00 (00:00)</v>
      </c>
      <c r="H244" s="34"/>
      <c r="O244" s="34"/>
      <c r="R244" s="34"/>
    </row>
    <row r="245">
      <c r="A245" s="3">
        <f>IFERROR(__xludf.DUMMYFUNCTION("""COMPUTED_VALUE"""),244.0)</f>
        <v>244</v>
      </c>
      <c r="B245" s="3" t="str">
        <f>IFERROR(__xludf.DUMMYFUNCTION("""COMPUTED_VALUE"""),"Frontline Command")</f>
        <v>Frontline Command</v>
      </c>
      <c r="C245" s="3" t="str">
        <f>IFERROR(__xludf.DUMMYFUNCTION("""COMPUTED_VALUE"""),"Jan 15, 2026")</f>
        <v>Jan 15, 2026</v>
      </c>
      <c r="D245" s="3" t="str">
        <f>IFERROR(__xludf.DUMMYFUNCTION("""COMPUTED_VALUE"""),"$4.99")</f>
        <v>$4.99</v>
      </c>
      <c r="E245" s="3" t="str">
        <f>IFERROR(__xludf.DUMMYFUNCTION("""COMPUTED_VALUE"""),"N/A (N/A)")</f>
        <v>N/A (N/A)</v>
      </c>
      <c r="F245" s="3" t="str">
        <f>IFERROR(__xludf.DUMMYFUNCTION("""COMPUTED_VALUE"""),"0 .. 20,000")</f>
        <v>0 .. 20,000</v>
      </c>
      <c r="G245" s="3" t="str">
        <f>IFERROR(__xludf.DUMMYFUNCTION("""COMPUTED_VALUE"""),"00:00 (00:00)")</f>
        <v>00:00 (00:00)</v>
      </c>
      <c r="H245" s="34"/>
      <c r="O245" s="34"/>
      <c r="R245" s="34"/>
    </row>
    <row r="246">
      <c r="A246" s="3">
        <f>IFERROR(__xludf.DUMMYFUNCTION("""COMPUTED_VALUE"""),245.0)</f>
        <v>245</v>
      </c>
      <c r="B246" s="3" t="str">
        <f>IFERROR(__xludf.DUMMYFUNCTION("""COMPUTED_VALUE"""),"MilkTea Time")</f>
        <v>MilkTea Time</v>
      </c>
      <c r="C246" s="3" t="str">
        <f>IFERROR(__xludf.DUMMYFUNCTION("""COMPUTED_VALUE"""),"Jan 15, 2026")</f>
        <v>Jan 15, 2026</v>
      </c>
      <c r="D246" s="3" t="str">
        <f>IFERROR(__xludf.DUMMYFUNCTION("""COMPUTED_VALUE"""),"$11.99")</f>
        <v>$11.99</v>
      </c>
      <c r="E246" s="3" t="str">
        <f>IFERROR(__xludf.DUMMYFUNCTION("""COMPUTED_VALUE"""),"N/A (N/A)")</f>
        <v>N/A (N/A)</v>
      </c>
      <c r="F246" s="3" t="str">
        <f>IFERROR(__xludf.DUMMYFUNCTION("""COMPUTED_VALUE"""),"0 .. 20,000")</f>
        <v>0 .. 20,000</v>
      </c>
      <c r="G246" s="3" t="str">
        <f>IFERROR(__xludf.DUMMYFUNCTION("""COMPUTED_VALUE"""),"10:07 (05:03)")</f>
        <v>10:07 (05:03)</v>
      </c>
      <c r="H246" s="34"/>
      <c r="O246" s="34"/>
      <c r="R246" s="34"/>
    </row>
    <row r="247">
      <c r="A247" s="3">
        <f>IFERROR(__xludf.DUMMYFUNCTION("""COMPUTED_VALUE"""),246.0)</f>
        <v>246</v>
      </c>
      <c r="B247" s="3" t="str">
        <f>IFERROR(__xludf.DUMMYFUNCTION("""COMPUTED_VALUE"""),"The Legend of Heroes: Trails beyond the Horizon")</f>
        <v>The Legend of Heroes: Trails beyond the Horizon</v>
      </c>
      <c r="C247" s="3" t="str">
        <f>IFERROR(__xludf.DUMMYFUNCTION("""COMPUTED_VALUE"""),"Jan 15, 2026")</f>
        <v>Jan 15, 2026</v>
      </c>
      <c r="D247" s="3" t="str">
        <f>IFERROR(__xludf.DUMMYFUNCTION("""COMPUTED_VALUE"""),"$59.99")</f>
        <v>$59.99</v>
      </c>
      <c r="E247" s="3" t="str">
        <f>IFERROR(__xludf.DUMMYFUNCTION("""COMPUTED_VALUE"""),"N/A (N/A)")</f>
        <v>N/A (N/A)</v>
      </c>
      <c r="F247" s="3" t="str">
        <f>IFERROR(__xludf.DUMMYFUNCTION("""COMPUTED_VALUE"""),"0 .. 20,000")</f>
        <v>0 .. 20,000</v>
      </c>
      <c r="G247" s="3" t="str">
        <f>IFERROR(__xludf.DUMMYFUNCTION("""COMPUTED_VALUE"""),"05:26 (05:25)")</f>
        <v>05:26 (05:25)</v>
      </c>
      <c r="H247" s="34"/>
      <c r="O247" s="34"/>
      <c r="R247" s="34"/>
    </row>
    <row r="248">
      <c r="A248" s="3">
        <f>IFERROR(__xludf.DUMMYFUNCTION("""COMPUTED_VALUE"""),247.0)</f>
        <v>247</v>
      </c>
      <c r="B248" s="3" t="str">
        <f>IFERROR(__xludf.DUMMYFUNCTION("""COMPUTED_VALUE"""),"Super Woden: Rally Edge")</f>
        <v>Super Woden: Rally Edge</v>
      </c>
      <c r="C248" s="3" t="str">
        <f>IFERROR(__xludf.DUMMYFUNCTION("""COMPUTED_VALUE"""),"Jan 15, 2026")</f>
        <v>Jan 15, 2026</v>
      </c>
      <c r="D248" s="3" t="str">
        <f>IFERROR(__xludf.DUMMYFUNCTION("""COMPUTED_VALUE"""),"$12.99")</f>
        <v>$12.99</v>
      </c>
      <c r="E248" s="3" t="str">
        <f>IFERROR(__xludf.DUMMYFUNCTION("""COMPUTED_VALUE"""),"N/A (N/A)")</f>
        <v>N/A (N/A)</v>
      </c>
      <c r="F248" s="3" t="str">
        <f>IFERROR(__xludf.DUMMYFUNCTION("""COMPUTED_VALUE"""),"0 .. 20,000")</f>
        <v>0 .. 20,000</v>
      </c>
      <c r="G248" s="3" t="str">
        <f>IFERROR(__xludf.DUMMYFUNCTION("""COMPUTED_VALUE"""),"04:38 (04:37)")</f>
        <v>04:38 (04:37)</v>
      </c>
      <c r="H248" s="34"/>
      <c r="O248" s="34"/>
      <c r="R248" s="34"/>
    </row>
    <row r="249">
      <c r="A249" s="3">
        <f>IFERROR(__xludf.DUMMYFUNCTION("""COMPUTED_VALUE"""),248.0)</f>
        <v>248</v>
      </c>
      <c r="B249" s="3" t="str">
        <f>IFERROR(__xludf.DUMMYFUNCTION("""COMPUTED_VALUE"""),"Lydina and the Dungeon of Debauchery")</f>
        <v>Lydina and the Dungeon of Debauchery</v>
      </c>
      <c r="C249" s="3" t="str">
        <f>IFERROR(__xludf.DUMMYFUNCTION("""COMPUTED_VALUE"""),"Jan 15, 2026")</f>
        <v>Jan 15, 2026</v>
      </c>
      <c r="D249" s="3" t="str">
        <f>IFERROR(__xludf.DUMMYFUNCTION("""COMPUTED_VALUE"""),"$6.99")</f>
        <v>$6.99</v>
      </c>
      <c r="E249" s="3" t="str">
        <f>IFERROR(__xludf.DUMMYFUNCTION("""COMPUTED_VALUE"""),"N/A (N/A)")</f>
        <v>N/A (N/A)</v>
      </c>
      <c r="F249" s="3" t="str">
        <f>IFERROR(__xludf.DUMMYFUNCTION("""COMPUTED_VALUE"""),"0 .. 20,000")</f>
        <v>0 .. 20,000</v>
      </c>
      <c r="G249" s="3" t="str">
        <f>IFERROR(__xludf.DUMMYFUNCTION("""COMPUTED_VALUE"""),"00:00 (00:00)")</f>
        <v>00:00 (00:00)</v>
      </c>
      <c r="H249" s="34"/>
      <c r="O249" s="34"/>
      <c r="R249" s="34"/>
    </row>
    <row r="250">
      <c r="A250" s="3">
        <f>IFERROR(__xludf.DUMMYFUNCTION("""COMPUTED_VALUE"""),249.0)</f>
        <v>249</v>
      </c>
      <c r="B250" s="3" t="str">
        <f>IFERROR(__xludf.DUMMYFUNCTION("""COMPUTED_VALUE"""),"One Turn Kill")</f>
        <v>One Turn Kill</v>
      </c>
      <c r="C250" s="3" t="str">
        <f>IFERROR(__xludf.DUMMYFUNCTION("""COMPUTED_VALUE"""),"Jan 15, 2026")</f>
        <v>Jan 15, 2026</v>
      </c>
      <c r="D250" s="3" t="str">
        <f>IFERROR(__xludf.DUMMYFUNCTION("""COMPUTED_VALUE"""),"$7.99")</f>
        <v>$7.99</v>
      </c>
      <c r="E250" s="3" t="str">
        <f>IFERROR(__xludf.DUMMYFUNCTION("""COMPUTED_VALUE"""),"N/A (N/A)")</f>
        <v>N/A (N/A)</v>
      </c>
      <c r="F250" s="3" t="str">
        <f>IFERROR(__xludf.DUMMYFUNCTION("""COMPUTED_VALUE"""),"0 .. 20,000")</f>
        <v>0 .. 20,000</v>
      </c>
      <c r="G250" s="3" t="str">
        <f>IFERROR(__xludf.DUMMYFUNCTION("""COMPUTED_VALUE"""),"04:12 (02:53)")</f>
        <v>04:12 (02:53)</v>
      </c>
      <c r="H250" s="34"/>
      <c r="O250" s="34"/>
      <c r="R250" s="34"/>
    </row>
    <row r="251">
      <c r="A251" s="3">
        <f>IFERROR(__xludf.DUMMYFUNCTION("""COMPUTED_VALUE"""),250.0)</f>
        <v>250</v>
      </c>
      <c r="B251" s="3" t="str">
        <f>IFERROR(__xludf.DUMMYFUNCTION("""COMPUTED_VALUE"""),"Star Mountain")</f>
        <v>Star Mountain</v>
      </c>
      <c r="C251" s="3" t="str">
        <f>IFERROR(__xludf.DUMMYFUNCTION("""COMPUTED_VALUE"""),"Jan 15, 2026")</f>
        <v>Jan 15, 2026</v>
      </c>
      <c r="D251" s="3" t="str">
        <f>IFERROR(__xludf.DUMMYFUNCTION("""COMPUTED_VALUE"""),"$3.99")</f>
        <v>$3.99</v>
      </c>
      <c r="E251" s="3" t="str">
        <f>IFERROR(__xludf.DUMMYFUNCTION("""COMPUTED_VALUE"""),"N/A (N/A)")</f>
        <v>N/A (N/A)</v>
      </c>
      <c r="F251" s="3" t="str">
        <f>IFERROR(__xludf.DUMMYFUNCTION("""COMPUTED_VALUE"""),"0 .. 20,000")</f>
        <v>0 .. 20,000</v>
      </c>
      <c r="G251" s="3" t="str">
        <f>IFERROR(__xludf.DUMMYFUNCTION("""COMPUTED_VALUE"""),"00:00 (00:00)")</f>
        <v>00:00 (00:00)</v>
      </c>
      <c r="H251" s="34"/>
      <c r="O251" s="34"/>
      <c r="R251" s="34"/>
    </row>
    <row r="252">
      <c r="A252" s="3">
        <f>IFERROR(__xludf.DUMMYFUNCTION("""COMPUTED_VALUE"""),251.0)</f>
        <v>251</v>
      </c>
      <c r="B252" s="3" t="str">
        <f>IFERROR(__xludf.DUMMYFUNCTION("""COMPUTED_VALUE"""),"Moonripple Lake")</f>
        <v>Moonripple Lake</v>
      </c>
      <c r="C252" s="3" t="str">
        <f>IFERROR(__xludf.DUMMYFUNCTION("""COMPUTED_VALUE"""),"Jan 15, 2026")</f>
        <v>Jan 15, 2026</v>
      </c>
      <c r="D252" s="3" t="str">
        <f>IFERROR(__xludf.DUMMYFUNCTION("""COMPUTED_VALUE"""),"$14.99")</f>
        <v>$14.99</v>
      </c>
      <c r="E252" s="3" t="str">
        <f>IFERROR(__xludf.DUMMYFUNCTION("""COMPUTED_VALUE"""),"N/A (N/A)")</f>
        <v>N/A (N/A)</v>
      </c>
      <c r="F252" s="3" t="str">
        <f>IFERROR(__xludf.DUMMYFUNCTION("""COMPUTED_VALUE"""),"0 .. 20,000")</f>
        <v>0 .. 20,000</v>
      </c>
      <c r="G252" s="3" t="str">
        <f>IFERROR(__xludf.DUMMYFUNCTION("""COMPUTED_VALUE"""),"00:32 (00:32)")</f>
        <v>00:32 (00:32)</v>
      </c>
      <c r="H252" s="34"/>
      <c r="O252" s="34"/>
      <c r="R252" s="34"/>
    </row>
    <row r="253">
      <c r="A253" s="3">
        <f>IFERROR(__xludf.DUMMYFUNCTION("""COMPUTED_VALUE"""),252.0)</f>
        <v>252</v>
      </c>
      <c r="B253" s="3" t="str">
        <f>IFERROR(__xludf.DUMMYFUNCTION("""COMPUTED_VALUE"""),"WindStop Strategy")</f>
        <v>WindStop Strategy</v>
      </c>
      <c r="C253" s="3" t="str">
        <f>IFERROR(__xludf.DUMMYFUNCTION("""COMPUTED_VALUE"""),"Jan 15, 2026")</f>
        <v>Jan 15, 2026</v>
      </c>
      <c r="D253" s="3" t="str">
        <f>IFERROR(__xludf.DUMMYFUNCTION("""COMPUTED_VALUE"""),"$9.99")</f>
        <v>$9.99</v>
      </c>
      <c r="E253" s="3" t="str">
        <f>IFERROR(__xludf.DUMMYFUNCTION("""COMPUTED_VALUE"""),"N/A (N/A)")</f>
        <v>N/A (N/A)</v>
      </c>
      <c r="F253" s="3" t="str">
        <f>IFERROR(__xludf.DUMMYFUNCTION("""COMPUTED_VALUE"""),"0 .. 20,000")</f>
        <v>0 .. 20,000</v>
      </c>
      <c r="G253" s="3" t="str">
        <f>IFERROR(__xludf.DUMMYFUNCTION("""COMPUTED_VALUE"""),"27:11 (09:03)")</f>
        <v>27:11 (09:03)</v>
      </c>
      <c r="H253" s="34"/>
      <c r="O253" s="34"/>
      <c r="R253" s="34"/>
    </row>
    <row r="254">
      <c r="A254" s="3">
        <f>IFERROR(__xludf.DUMMYFUNCTION("""COMPUTED_VALUE"""),253.0)</f>
        <v>253</v>
      </c>
      <c r="B254" s="3" t="str">
        <f>IFERROR(__xludf.DUMMYFUNCTION("""COMPUTED_VALUE"""),"BrokenLore: UNFOLLOW")</f>
        <v>BrokenLore: UNFOLLOW</v>
      </c>
      <c r="C254" s="3" t="str">
        <f>IFERROR(__xludf.DUMMYFUNCTION("""COMPUTED_VALUE"""),"Jan 15, 2026")</f>
        <v>Jan 15, 2026</v>
      </c>
      <c r="D254" s="3" t="str">
        <f>IFERROR(__xludf.DUMMYFUNCTION("""COMPUTED_VALUE"""),"$19.99")</f>
        <v>$19.99</v>
      </c>
      <c r="E254" s="3" t="str">
        <f>IFERROR(__xludf.DUMMYFUNCTION("""COMPUTED_VALUE"""),"N/A (N/A)")</f>
        <v>N/A (N/A)</v>
      </c>
      <c r="F254" s="3" t="str">
        <f>IFERROR(__xludf.DUMMYFUNCTION("""COMPUTED_VALUE"""),"0 .. 20,000")</f>
        <v>0 .. 20,000</v>
      </c>
      <c r="G254" s="3" t="str">
        <f>IFERROR(__xludf.DUMMYFUNCTION("""COMPUTED_VALUE"""),"00:00 (00:00)")</f>
        <v>00:00 (00:00)</v>
      </c>
      <c r="H254" s="34"/>
      <c r="O254" s="34"/>
      <c r="R254" s="34"/>
    </row>
    <row r="255">
      <c r="A255" s="3">
        <f>IFERROR(__xludf.DUMMYFUNCTION("""COMPUTED_VALUE"""),254.0)</f>
        <v>254</v>
      </c>
      <c r="B255" s="3" t="str">
        <f>IFERROR(__xludf.DUMMYFUNCTION("""COMPUTED_VALUE"""),"Craftlings")</f>
        <v>Craftlings</v>
      </c>
      <c r="C255" s="3" t="str">
        <f>IFERROR(__xludf.DUMMYFUNCTION("""COMPUTED_VALUE"""),"Jan 15, 2026")</f>
        <v>Jan 15, 2026</v>
      </c>
      <c r="D255" s="3" t="str">
        <f>IFERROR(__xludf.DUMMYFUNCTION("""COMPUTED_VALUE"""),"$14.99")</f>
        <v>$14.99</v>
      </c>
      <c r="E255" s="3" t="str">
        <f>IFERROR(__xludf.DUMMYFUNCTION("""COMPUTED_VALUE"""),"N/A (N/A)")</f>
        <v>N/A (N/A)</v>
      </c>
      <c r="F255" s="3" t="str">
        <f>IFERROR(__xludf.DUMMYFUNCTION("""COMPUTED_VALUE"""),"0 .. 20,000")</f>
        <v>0 .. 20,000</v>
      </c>
      <c r="G255" s="3" t="str">
        <f>IFERROR(__xludf.DUMMYFUNCTION("""COMPUTED_VALUE"""),"00:00 (00:00)")</f>
        <v>00:00 (00:00)</v>
      </c>
      <c r="H255" s="34"/>
      <c r="O255" s="34"/>
      <c r="R255" s="34"/>
    </row>
    <row r="256">
      <c r="A256" s="3">
        <f>IFERROR(__xludf.DUMMYFUNCTION("""COMPUTED_VALUE"""),255.0)</f>
        <v>255</v>
      </c>
      <c r="B256" s="3" t="str">
        <f>IFERROR(__xludf.DUMMYFUNCTION("""COMPUTED_VALUE"""),"Pazing By")</f>
        <v>Pazing By</v>
      </c>
      <c r="C256" s="3" t="str">
        <f>IFERROR(__xludf.DUMMYFUNCTION("""COMPUTED_VALUE"""),"Jan 15, 2026")</f>
        <v>Jan 15, 2026</v>
      </c>
      <c r="D256" s="3" t="str">
        <f>IFERROR(__xludf.DUMMYFUNCTION("""COMPUTED_VALUE"""),"$7.99")</f>
        <v>$7.99</v>
      </c>
      <c r="E256" s="3" t="str">
        <f>IFERROR(__xludf.DUMMYFUNCTION("""COMPUTED_VALUE"""),"N/A (N/A)")</f>
        <v>N/A (N/A)</v>
      </c>
      <c r="F256" s="3" t="str">
        <f>IFERROR(__xludf.DUMMYFUNCTION("""COMPUTED_VALUE"""),"0 .. 20,000")</f>
        <v>0 .. 20,000</v>
      </c>
      <c r="G256" s="3" t="str">
        <f>IFERROR(__xludf.DUMMYFUNCTION("""COMPUTED_VALUE"""),"00:00 (00:00)")</f>
        <v>00:00 (00:00)</v>
      </c>
      <c r="H256" s="34"/>
      <c r="O256" s="34"/>
      <c r="R256" s="34"/>
    </row>
    <row r="257">
      <c r="A257" s="3">
        <f>IFERROR(__xludf.DUMMYFUNCTION("""COMPUTED_VALUE"""),256.0)</f>
        <v>256</v>
      </c>
      <c r="B257" s="3" t="str">
        <f>IFERROR(__xludf.DUMMYFUNCTION("""COMPUTED_VALUE"""),"Serial Lover")</f>
        <v>Serial Lover</v>
      </c>
      <c r="C257" s="3" t="str">
        <f>IFERROR(__xludf.DUMMYFUNCTION("""COMPUTED_VALUE"""),"Jan 15, 2026")</f>
        <v>Jan 15, 2026</v>
      </c>
      <c r="D257" s="3" t="str">
        <f>IFERROR(__xludf.DUMMYFUNCTION("""COMPUTED_VALUE"""),"$9.99")</f>
        <v>$9.99</v>
      </c>
      <c r="E257" s="3" t="str">
        <f>IFERROR(__xludf.DUMMYFUNCTION("""COMPUTED_VALUE"""),"N/A (N/A)")</f>
        <v>N/A (N/A)</v>
      </c>
      <c r="F257" s="3" t="str">
        <f>IFERROR(__xludf.DUMMYFUNCTION("""COMPUTED_VALUE"""),"0 .. 20,000")</f>
        <v>0 .. 20,000</v>
      </c>
      <c r="G257" s="3" t="str">
        <f>IFERROR(__xludf.DUMMYFUNCTION("""COMPUTED_VALUE"""),"00:28 (00:28)")</f>
        <v>00:28 (00:28)</v>
      </c>
      <c r="H257" s="34"/>
      <c r="O257" s="34"/>
      <c r="R257" s="34"/>
    </row>
    <row r="258">
      <c r="A258" s="3">
        <f>IFERROR(__xludf.DUMMYFUNCTION("""COMPUTED_VALUE"""),257.0)</f>
        <v>257</v>
      </c>
      <c r="B258" s="3" t="str">
        <f>IFERROR(__xludf.DUMMYFUNCTION("""COMPUTED_VALUE"""),"FrogCore")</f>
        <v>FrogCore</v>
      </c>
      <c r="C258" s="3" t="str">
        <f>IFERROR(__xludf.DUMMYFUNCTION("""COMPUTED_VALUE"""),"Jan 14, 2026")</f>
        <v>Jan 14, 2026</v>
      </c>
      <c r="D258" s="3" t="str">
        <f>IFERROR(__xludf.DUMMYFUNCTION("""COMPUTED_VALUE"""),"$7.99")</f>
        <v>$7.99</v>
      </c>
      <c r="E258" s="3" t="str">
        <f>IFERROR(__xludf.DUMMYFUNCTION("""COMPUTED_VALUE"""),"N/A (N/A)")</f>
        <v>N/A (N/A)</v>
      </c>
      <c r="F258" s="3" t="str">
        <f>IFERROR(__xludf.DUMMYFUNCTION("""COMPUTED_VALUE"""),"0 .. 20,000")</f>
        <v>0 .. 20,000</v>
      </c>
      <c r="G258" s="3" t="str">
        <f>IFERROR(__xludf.DUMMYFUNCTION("""COMPUTED_VALUE"""),"00:00 (00:00)")</f>
        <v>00:00 (00:00)</v>
      </c>
      <c r="H258" s="34"/>
      <c r="O258" s="34"/>
      <c r="R258" s="34"/>
    </row>
    <row r="259">
      <c r="A259" s="3">
        <f>IFERROR(__xludf.DUMMYFUNCTION("""COMPUTED_VALUE"""),258.0)</f>
        <v>258</v>
      </c>
      <c r="B259" s="3" t="str">
        <f>IFERROR(__xludf.DUMMYFUNCTION("""COMPUTED_VALUE"""),"Pomelo &amp; Friends: Sevilla")</f>
        <v>Pomelo &amp; Friends: Sevilla</v>
      </c>
      <c r="C259" s="3" t="str">
        <f>IFERROR(__xludf.DUMMYFUNCTION("""COMPUTED_VALUE"""),"Jan 14, 2026")</f>
        <v>Jan 14, 2026</v>
      </c>
      <c r="D259" s="3" t="str">
        <f>IFERROR(__xludf.DUMMYFUNCTION("""COMPUTED_VALUE"""),"$2.99")</f>
        <v>$2.99</v>
      </c>
      <c r="E259" s="3" t="str">
        <f>IFERROR(__xludf.DUMMYFUNCTION("""COMPUTED_VALUE"""),"N/A (N/A)")</f>
        <v>N/A (N/A)</v>
      </c>
      <c r="F259" s="3" t="str">
        <f>IFERROR(__xludf.DUMMYFUNCTION("""COMPUTED_VALUE"""),"0 .. 20,000")</f>
        <v>0 .. 20,000</v>
      </c>
      <c r="G259" s="3" t="str">
        <f>IFERROR(__xludf.DUMMYFUNCTION("""COMPUTED_VALUE"""),"00:00 (00:00)")</f>
        <v>00:00 (00:00)</v>
      </c>
      <c r="H259" s="34"/>
      <c r="O259" s="34"/>
      <c r="R259" s="34"/>
    </row>
    <row r="260">
      <c r="A260" s="3">
        <f>IFERROR(__xludf.DUMMYFUNCTION("""COMPUTED_VALUE"""),259.0)</f>
        <v>259</v>
      </c>
      <c r="B260" s="3" t="str">
        <f>IFERROR(__xludf.DUMMYFUNCTION("""COMPUTED_VALUE"""),"Glitch Hearts")</f>
        <v>Glitch Hearts</v>
      </c>
      <c r="C260" s="3" t="str">
        <f>IFERROR(__xludf.DUMMYFUNCTION("""COMPUTED_VALUE"""),"Jan 14, 2026")</f>
        <v>Jan 14, 2026</v>
      </c>
      <c r="D260" s="3" t="str">
        <f>IFERROR(__xludf.DUMMYFUNCTION("""COMPUTED_VALUE"""),"$2.99")</f>
        <v>$2.99</v>
      </c>
      <c r="E260" s="3" t="str">
        <f>IFERROR(__xludf.DUMMYFUNCTION("""COMPUTED_VALUE"""),"N/A (N/A)")</f>
        <v>N/A (N/A)</v>
      </c>
      <c r="F260" s="3" t="str">
        <f>IFERROR(__xludf.DUMMYFUNCTION("""COMPUTED_VALUE"""),"0 .. 20,000")</f>
        <v>0 .. 20,000</v>
      </c>
      <c r="G260" s="3" t="str">
        <f>IFERROR(__xludf.DUMMYFUNCTION("""COMPUTED_VALUE"""),"00:00 (00:00)")</f>
        <v>00:00 (00:00)</v>
      </c>
      <c r="H260" s="34"/>
      <c r="O260" s="34"/>
      <c r="R260" s="34"/>
    </row>
    <row r="261">
      <c r="A261" s="3">
        <f>IFERROR(__xludf.DUMMYFUNCTION("""COMPUTED_VALUE"""),260.0)</f>
        <v>260</v>
      </c>
      <c r="B261" s="3" t="str">
        <f>IFERROR(__xludf.DUMMYFUNCTION("""COMPUTED_VALUE"""),"Sins of Sinister: The Viscera-Eater")</f>
        <v>Sins of Sinister: The Viscera-Eater</v>
      </c>
      <c r="C261" s="3" t="str">
        <f>IFERROR(__xludf.DUMMYFUNCTION("""COMPUTED_VALUE"""),"Jan 14, 2026")</f>
        <v>Jan 14, 2026</v>
      </c>
      <c r="D261" s="3" t="str">
        <f>IFERROR(__xludf.DUMMYFUNCTION("""COMPUTED_VALUE"""),"$4.99")</f>
        <v>$4.99</v>
      </c>
      <c r="E261" s="3" t="str">
        <f>IFERROR(__xludf.DUMMYFUNCTION("""COMPUTED_VALUE"""),"N/A (N/A)")</f>
        <v>N/A (N/A)</v>
      </c>
      <c r="F261" s="3" t="str">
        <f>IFERROR(__xludf.DUMMYFUNCTION("""COMPUTED_VALUE"""),"0 .. 20,000")</f>
        <v>0 .. 20,000</v>
      </c>
      <c r="G261" s="3" t="str">
        <f>IFERROR(__xludf.DUMMYFUNCTION("""COMPUTED_VALUE"""),"00:00 (00:00)")</f>
        <v>00:00 (00:00)</v>
      </c>
      <c r="H261" s="34"/>
      <c r="O261" s="34"/>
      <c r="R261" s="34"/>
    </row>
    <row r="262">
      <c r="A262" s="3">
        <f>IFERROR(__xludf.DUMMYFUNCTION("""COMPUTED_VALUE"""),261.0)</f>
        <v>261</v>
      </c>
      <c r="B262" s="3" t="str">
        <f>IFERROR(__xludf.DUMMYFUNCTION("""COMPUTED_VALUE"""),"Kotama and Academy Citadel")</f>
        <v>Kotama and Academy Citadel</v>
      </c>
      <c r="C262" s="3" t="str">
        <f>IFERROR(__xludf.DUMMYFUNCTION("""COMPUTED_VALUE"""),"Jan 14, 2026")</f>
        <v>Jan 14, 2026</v>
      </c>
      <c r="D262" s="3" t="str">
        <f>IFERROR(__xludf.DUMMYFUNCTION("""COMPUTED_VALUE"""),"$19.99")</f>
        <v>$19.99</v>
      </c>
      <c r="E262" s="3" t="str">
        <f>IFERROR(__xludf.DUMMYFUNCTION("""COMPUTED_VALUE"""),"N/A (N/A/77%)")</f>
        <v>N/A (N/A/77%)</v>
      </c>
      <c r="F262" s="3" t="str">
        <f>IFERROR(__xludf.DUMMYFUNCTION("""COMPUTED_VALUE"""),"0 .. 20,000")</f>
        <v>0 .. 20,000</v>
      </c>
      <c r="G262" s="3" t="str">
        <f>IFERROR(__xludf.DUMMYFUNCTION("""COMPUTED_VALUE"""),"09:16 (14:42)")</f>
        <v>09:16 (14:42)</v>
      </c>
      <c r="H262" s="34"/>
      <c r="O262" s="34"/>
      <c r="R262" s="34"/>
    </row>
    <row r="263">
      <c r="A263" s="3">
        <f>IFERROR(__xludf.DUMMYFUNCTION("""COMPUTED_VALUE"""),262.0)</f>
        <v>262</v>
      </c>
      <c r="B263" s="3" t="str">
        <f>IFERROR(__xludf.DUMMYFUNCTION("""COMPUTED_VALUE"""),"Finger Party")</f>
        <v>Finger Party</v>
      </c>
      <c r="C263" s="3" t="str">
        <f>IFERROR(__xludf.DUMMYFUNCTION("""COMPUTED_VALUE"""),"Jan 14, 2026")</f>
        <v>Jan 14, 2026</v>
      </c>
      <c r="D263" s="3" t="str">
        <f>IFERROR(__xludf.DUMMYFUNCTION("""COMPUTED_VALUE"""),"$2.99")</f>
        <v>$2.99</v>
      </c>
      <c r="E263" s="3" t="str">
        <f>IFERROR(__xludf.DUMMYFUNCTION("""COMPUTED_VALUE"""),"N/A (N/A)")</f>
        <v>N/A (N/A)</v>
      </c>
      <c r="F263" s="3" t="str">
        <f>IFERROR(__xludf.DUMMYFUNCTION("""COMPUTED_VALUE"""),"0 .. 20,000")</f>
        <v>0 .. 20,000</v>
      </c>
      <c r="G263" s="3" t="str">
        <f>IFERROR(__xludf.DUMMYFUNCTION("""COMPUTED_VALUE"""),"00:00 (00:00)")</f>
        <v>00:00 (00:00)</v>
      </c>
      <c r="H263" s="34"/>
      <c r="O263" s="34"/>
      <c r="R263" s="34"/>
    </row>
    <row r="264">
      <c r="A264" s="3">
        <f>IFERROR(__xludf.DUMMYFUNCTION("""COMPUTED_VALUE"""),263.0)</f>
        <v>263</v>
      </c>
      <c r="B264" s="3" t="str">
        <f>IFERROR(__xludf.DUMMYFUNCTION("""COMPUTED_VALUE"""),"Battlewrights")</f>
        <v>Battlewrights</v>
      </c>
      <c r="C264" s="3" t="str">
        <f>IFERROR(__xludf.DUMMYFUNCTION("""COMPUTED_VALUE"""),"Jan 14, 2026")</f>
        <v>Jan 14, 2026</v>
      </c>
      <c r="D264" s="3" t="str">
        <f>IFERROR(__xludf.DUMMYFUNCTION("""COMPUTED_VALUE"""),"$5.99")</f>
        <v>$5.99</v>
      </c>
      <c r="E264" s="3" t="str">
        <f>IFERROR(__xludf.DUMMYFUNCTION("""COMPUTED_VALUE"""),"N/A (N/A)")</f>
        <v>N/A (N/A)</v>
      </c>
      <c r="F264" s="3" t="str">
        <f>IFERROR(__xludf.DUMMYFUNCTION("""COMPUTED_VALUE"""),"0 .. 20,000")</f>
        <v>0 .. 20,000</v>
      </c>
      <c r="G264" s="3" t="str">
        <f>IFERROR(__xludf.DUMMYFUNCTION("""COMPUTED_VALUE"""),"00:00 (00:00)")</f>
        <v>00:00 (00:00)</v>
      </c>
      <c r="H264" s="34"/>
      <c r="O264" s="34"/>
      <c r="R264" s="34"/>
    </row>
    <row r="265">
      <c r="A265" s="3">
        <f>IFERROR(__xludf.DUMMYFUNCTION("""COMPUTED_VALUE"""),264.0)</f>
        <v>264</v>
      </c>
      <c r="B265" s="3" t="str">
        <f>IFERROR(__xludf.DUMMYFUNCTION("""COMPUTED_VALUE"""),"Streetdog BMX")</f>
        <v>Streetdog BMX</v>
      </c>
      <c r="C265" s="3" t="str">
        <f>IFERROR(__xludf.DUMMYFUNCTION("""COMPUTED_VALUE"""),"Jan 14, 2026")</f>
        <v>Jan 14, 2026</v>
      </c>
      <c r="D265" s="3" t="str">
        <f>IFERROR(__xludf.DUMMYFUNCTION("""COMPUTED_VALUE"""),"$24.99")</f>
        <v>$24.99</v>
      </c>
      <c r="E265" s="3" t="str">
        <f>IFERROR(__xludf.DUMMYFUNCTION("""COMPUTED_VALUE"""),"N/A (N/A)")</f>
        <v>N/A (N/A)</v>
      </c>
      <c r="F265" s="3" t="str">
        <f>IFERROR(__xludf.DUMMYFUNCTION("""COMPUTED_VALUE"""),"0 .. 20,000")</f>
        <v>0 .. 20,000</v>
      </c>
      <c r="G265" s="3" t="str">
        <f>IFERROR(__xludf.DUMMYFUNCTION("""COMPUTED_VALUE"""),"00:00 (00:00)")</f>
        <v>00:00 (00:00)</v>
      </c>
      <c r="H265" s="34"/>
      <c r="O265" s="34"/>
      <c r="R265" s="34"/>
    </row>
    <row r="266">
      <c r="A266" s="3">
        <f>IFERROR(__xludf.DUMMYFUNCTION("""COMPUTED_VALUE"""),265.0)</f>
        <v>265</v>
      </c>
      <c r="B266" s="3" t="str">
        <f>IFERROR(__xludf.DUMMYFUNCTION("""COMPUTED_VALUE"""),"Philna Fantasy")</f>
        <v>Philna Fantasy</v>
      </c>
      <c r="C266" s="3" t="str">
        <f>IFERROR(__xludf.DUMMYFUNCTION("""COMPUTED_VALUE"""),"Jan 14, 2026")</f>
        <v>Jan 14, 2026</v>
      </c>
      <c r="D266" s="3" t="str">
        <f>IFERROR(__xludf.DUMMYFUNCTION("""COMPUTED_VALUE"""),"$14.99")</f>
        <v>$14.99</v>
      </c>
      <c r="E266" s="3" t="str">
        <f>IFERROR(__xludf.DUMMYFUNCTION("""COMPUTED_VALUE"""),"N/A (N/A)")</f>
        <v>N/A (N/A)</v>
      </c>
      <c r="F266" s="3" t="str">
        <f>IFERROR(__xludf.DUMMYFUNCTION("""COMPUTED_VALUE"""),"0 .. 20,000")</f>
        <v>0 .. 20,000</v>
      </c>
      <c r="G266" s="3" t="str">
        <f>IFERROR(__xludf.DUMMYFUNCTION("""COMPUTED_VALUE"""),"01:32 (00:46)")</f>
        <v>01:32 (00:46)</v>
      </c>
      <c r="H266" s="34"/>
      <c r="O266" s="34"/>
      <c r="R266" s="34"/>
    </row>
    <row r="267">
      <c r="A267" s="3">
        <f>IFERROR(__xludf.DUMMYFUNCTION("""COMPUTED_VALUE"""),266.0)</f>
        <v>266</v>
      </c>
      <c r="B267" s="3" t="str">
        <f>IFERROR(__xludf.DUMMYFUNCTION("""COMPUTED_VALUE"""),"三国仁义传 The Righteousness: SanGuo")</f>
        <v>三国仁义传 The Righteousness: SanGuo</v>
      </c>
      <c r="C267" s="3" t="str">
        <f>IFERROR(__xludf.DUMMYFUNCTION("""COMPUTED_VALUE"""),"Jan 14, 2026")</f>
        <v>Jan 14, 2026</v>
      </c>
      <c r="D267" s="3" t="str">
        <f>IFERROR(__xludf.DUMMYFUNCTION("""COMPUTED_VALUE"""),"$5.99")</f>
        <v>$5.99</v>
      </c>
      <c r="E267" s="3" t="str">
        <f>IFERROR(__xludf.DUMMYFUNCTION("""COMPUTED_VALUE"""),"N/A (N/A)")</f>
        <v>N/A (N/A)</v>
      </c>
      <c r="F267" s="3" t="str">
        <f>IFERROR(__xludf.DUMMYFUNCTION("""COMPUTED_VALUE"""),"0 .. 20,000")</f>
        <v>0 .. 20,000</v>
      </c>
      <c r="G267" s="3" t="str">
        <f>IFERROR(__xludf.DUMMYFUNCTION("""COMPUTED_VALUE"""),"00:00 (00:00)")</f>
        <v>00:00 (00:00)</v>
      </c>
      <c r="H267" s="34"/>
      <c r="O267" s="34"/>
      <c r="R267" s="34"/>
    </row>
    <row r="268">
      <c r="A268" s="3">
        <f>IFERROR(__xludf.DUMMYFUNCTION("""COMPUTED_VALUE"""),267.0)</f>
        <v>267</v>
      </c>
      <c r="B268" s="3" t="str">
        <f>IFERROR(__xludf.DUMMYFUNCTION("""COMPUTED_VALUE"""),"VELASTER")</f>
        <v>VELASTER</v>
      </c>
      <c r="C268" s="3" t="str">
        <f>IFERROR(__xludf.DUMMYFUNCTION("""COMPUTED_VALUE"""),"Jan 14, 2026")</f>
        <v>Jan 14, 2026</v>
      </c>
      <c r="D268" s="3" t="str">
        <f>IFERROR(__xludf.DUMMYFUNCTION("""COMPUTED_VALUE"""),"$10.99")</f>
        <v>$10.99</v>
      </c>
      <c r="E268" s="3" t="str">
        <f>IFERROR(__xludf.DUMMYFUNCTION("""COMPUTED_VALUE"""),"N/A (N/A)")</f>
        <v>N/A (N/A)</v>
      </c>
      <c r="F268" s="3" t="str">
        <f>IFERROR(__xludf.DUMMYFUNCTION("""COMPUTED_VALUE"""),"0 .. 20,000")</f>
        <v>0 .. 20,000</v>
      </c>
      <c r="G268" s="3" t="str">
        <f>IFERROR(__xludf.DUMMYFUNCTION("""COMPUTED_VALUE"""),"00:00 (00:00)")</f>
        <v>00:00 (00:00)</v>
      </c>
      <c r="H268" s="34"/>
      <c r="O268" s="34"/>
      <c r="R268" s="34"/>
    </row>
    <row r="269">
      <c r="A269" s="3">
        <f>IFERROR(__xludf.DUMMYFUNCTION("""COMPUTED_VALUE"""),268.0)</f>
        <v>268</v>
      </c>
      <c r="B269" s="3" t="str">
        <f>IFERROR(__xludf.DUMMYFUNCTION("""COMPUTED_VALUE"""),"Kejora")</f>
        <v>Kejora</v>
      </c>
      <c r="C269" s="3" t="str">
        <f>IFERROR(__xludf.DUMMYFUNCTION("""COMPUTED_VALUE"""),"Jan 14, 2026")</f>
        <v>Jan 14, 2026</v>
      </c>
      <c r="D269" s="3" t="str">
        <f>IFERROR(__xludf.DUMMYFUNCTION("""COMPUTED_VALUE"""),"$17.99")</f>
        <v>$17.99</v>
      </c>
      <c r="E269" s="3" t="str">
        <f>IFERROR(__xludf.DUMMYFUNCTION("""COMPUTED_VALUE"""),"N/A (N/A)")</f>
        <v>N/A (N/A)</v>
      </c>
      <c r="F269" s="3" t="str">
        <f>IFERROR(__xludf.DUMMYFUNCTION("""COMPUTED_VALUE"""),"0 .. 20,000")</f>
        <v>0 .. 20,000</v>
      </c>
      <c r="G269" s="3" t="str">
        <f>IFERROR(__xludf.DUMMYFUNCTION("""COMPUTED_VALUE"""),"00:00 (00:00)")</f>
        <v>00:00 (00:00)</v>
      </c>
      <c r="H269" s="34"/>
      <c r="O269" s="34"/>
      <c r="R269" s="34"/>
    </row>
    <row r="270">
      <c r="A270" s="3">
        <f>IFERROR(__xludf.DUMMYFUNCTION("""COMPUTED_VALUE"""),269.0)</f>
        <v>269</v>
      </c>
      <c r="B270" s="3" t="str">
        <f>IFERROR(__xludf.DUMMYFUNCTION("""COMPUTED_VALUE"""),"Cousin Catcher")</f>
        <v>Cousin Catcher</v>
      </c>
      <c r="C270" s="3" t="str">
        <f>IFERROR(__xludf.DUMMYFUNCTION("""COMPUTED_VALUE"""),"Jan 13, 2026")</f>
        <v>Jan 13, 2026</v>
      </c>
      <c r="D270" s="3" t="str">
        <f>IFERROR(__xludf.DUMMYFUNCTION("""COMPUTED_VALUE"""),"$2.99")</f>
        <v>$2.99</v>
      </c>
      <c r="E270" s="3" t="str">
        <f>IFERROR(__xludf.DUMMYFUNCTION("""COMPUTED_VALUE"""),"N/A (N/A)")</f>
        <v>N/A (N/A)</v>
      </c>
      <c r="F270" s="3" t="str">
        <f>IFERROR(__xludf.DUMMYFUNCTION("""COMPUTED_VALUE"""),"0 .. 20,000")</f>
        <v>0 .. 20,000</v>
      </c>
      <c r="G270" s="3" t="str">
        <f>IFERROR(__xludf.DUMMYFUNCTION("""COMPUTED_VALUE"""),"00:00 (00:00)")</f>
        <v>00:00 (00:00)</v>
      </c>
      <c r="H270" s="34"/>
      <c r="O270" s="34"/>
      <c r="R270" s="34"/>
    </row>
    <row r="271">
      <c r="A271" s="3">
        <f>IFERROR(__xludf.DUMMYFUNCTION("""COMPUTED_VALUE"""),270.0)</f>
        <v>270</v>
      </c>
      <c r="B271" s="3" t="str">
        <f>IFERROR(__xludf.DUMMYFUNCTION("""COMPUTED_VALUE"""),"The Watching Woods: The Louse")</f>
        <v>The Watching Woods: The Louse</v>
      </c>
      <c r="C271" s="3" t="str">
        <f>IFERROR(__xludf.DUMMYFUNCTION("""COMPUTED_VALUE"""),"Jan 13, 2026")</f>
        <v>Jan 13, 2026</v>
      </c>
      <c r="D271" s="3" t="str">
        <f>IFERROR(__xludf.DUMMYFUNCTION("""COMPUTED_VALUE"""),"$4.99")</f>
        <v>$4.99</v>
      </c>
      <c r="E271" s="3" t="str">
        <f>IFERROR(__xludf.DUMMYFUNCTION("""COMPUTED_VALUE"""),"N/A (N/A)")</f>
        <v>N/A (N/A)</v>
      </c>
      <c r="F271" s="3" t="str">
        <f>IFERROR(__xludf.DUMMYFUNCTION("""COMPUTED_VALUE"""),"0 .. 20,000")</f>
        <v>0 .. 20,000</v>
      </c>
      <c r="G271" s="3" t="str">
        <f>IFERROR(__xludf.DUMMYFUNCTION("""COMPUTED_VALUE"""),"00:00 (00:00)")</f>
        <v>00:00 (00:00)</v>
      </c>
      <c r="H271" s="34"/>
      <c r="O271" s="34"/>
      <c r="R271" s="34"/>
    </row>
    <row r="272">
      <c r="A272" s="3">
        <f>IFERROR(__xludf.DUMMYFUNCTION("""COMPUTED_VALUE"""),271.0)</f>
        <v>271</v>
      </c>
      <c r="B272" s="3" t="str">
        <f>IFERROR(__xludf.DUMMYFUNCTION("""COMPUTED_VALUE"""),"Mech Builder 3D")</f>
        <v>Mech Builder 3D</v>
      </c>
      <c r="C272" s="3" t="str">
        <f>IFERROR(__xludf.DUMMYFUNCTION("""COMPUTED_VALUE"""),"Jan 13, 2026")</f>
        <v>Jan 13, 2026</v>
      </c>
      <c r="D272" s="3" t="str">
        <f>IFERROR(__xludf.DUMMYFUNCTION("""COMPUTED_VALUE"""),"$14.99")</f>
        <v>$14.99</v>
      </c>
      <c r="E272" s="3" t="str">
        <f>IFERROR(__xludf.DUMMYFUNCTION("""COMPUTED_VALUE"""),"N/A (N/A)")</f>
        <v>N/A (N/A)</v>
      </c>
      <c r="F272" s="3" t="str">
        <f>IFERROR(__xludf.DUMMYFUNCTION("""COMPUTED_VALUE"""),"0 .. 20,000")</f>
        <v>0 .. 20,000</v>
      </c>
      <c r="G272" s="3" t="str">
        <f>IFERROR(__xludf.DUMMYFUNCTION("""COMPUTED_VALUE"""),"00:00 (00:00)")</f>
        <v>00:00 (00:00)</v>
      </c>
      <c r="H272" s="34"/>
      <c r="O272" s="34"/>
      <c r="R272" s="34"/>
    </row>
    <row r="273">
      <c r="A273" s="3">
        <f>IFERROR(__xludf.DUMMYFUNCTION("""COMPUTED_VALUE"""),272.0)</f>
        <v>272</v>
      </c>
      <c r="B273" s="3" t="str">
        <f>IFERROR(__xludf.DUMMYFUNCTION("""COMPUTED_VALUE"""),"Feast Valley")</f>
        <v>Feast Valley</v>
      </c>
      <c r="C273" s="3" t="str">
        <f>IFERROR(__xludf.DUMMYFUNCTION("""COMPUTED_VALUE"""),"Jan 13, 2026")</f>
        <v>Jan 13, 2026</v>
      </c>
      <c r="D273" s="3" t="str">
        <f>IFERROR(__xludf.DUMMYFUNCTION("""COMPUTED_VALUE"""),"$3.99")</f>
        <v>$3.99</v>
      </c>
      <c r="E273" s="3" t="str">
        <f>IFERROR(__xludf.DUMMYFUNCTION("""COMPUTED_VALUE"""),"N/A (N/A)")</f>
        <v>N/A (N/A)</v>
      </c>
      <c r="F273" s="3" t="str">
        <f>IFERROR(__xludf.DUMMYFUNCTION("""COMPUTED_VALUE"""),"0 .. 20,000")</f>
        <v>0 .. 20,000</v>
      </c>
      <c r="G273" s="3" t="str">
        <f>IFERROR(__xludf.DUMMYFUNCTION("""COMPUTED_VALUE"""),"00:00 (00:00)")</f>
        <v>00:00 (00:00)</v>
      </c>
      <c r="H273" s="34"/>
      <c r="O273" s="34"/>
      <c r="R273" s="34"/>
    </row>
    <row r="274">
      <c r="A274" s="3">
        <f>IFERROR(__xludf.DUMMYFUNCTION("""COMPUTED_VALUE"""),273.0)</f>
        <v>273</v>
      </c>
      <c r="B274" s="3" t="str">
        <f>IFERROR(__xludf.DUMMYFUNCTION("""COMPUTED_VALUE"""),"Magic Forge Tycoon")</f>
        <v>Magic Forge Tycoon</v>
      </c>
      <c r="C274" s="3" t="str">
        <f>IFERROR(__xludf.DUMMYFUNCTION("""COMPUTED_VALUE"""),"Jan 13, 2026")</f>
        <v>Jan 13, 2026</v>
      </c>
      <c r="D274" s="3" t="str">
        <f>IFERROR(__xludf.DUMMYFUNCTION("""COMPUTED_VALUE"""),"$11.99")</f>
        <v>$11.99</v>
      </c>
      <c r="E274" s="3" t="str">
        <f>IFERROR(__xludf.DUMMYFUNCTION("""COMPUTED_VALUE"""),"N/A (N/A)")</f>
        <v>N/A (N/A)</v>
      </c>
      <c r="F274" s="3" t="str">
        <f>IFERROR(__xludf.DUMMYFUNCTION("""COMPUTED_VALUE"""),"0 .. 20,000")</f>
        <v>0 .. 20,000</v>
      </c>
      <c r="G274" s="3" t="str">
        <f>IFERROR(__xludf.DUMMYFUNCTION("""COMPUTED_VALUE"""),"00:00 (00:00)")</f>
        <v>00:00 (00:00)</v>
      </c>
      <c r="H274" s="34"/>
      <c r="O274" s="34"/>
      <c r="R274" s="34"/>
    </row>
    <row r="275">
      <c r="A275" s="3">
        <f>IFERROR(__xludf.DUMMYFUNCTION("""COMPUTED_VALUE"""),274.0)</f>
        <v>274</v>
      </c>
      <c r="B275" s="3" t="str">
        <f>IFERROR(__xludf.DUMMYFUNCTION("""COMPUTED_VALUE"""),"The Real Face of a VTuber")</f>
        <v>The Real Face of a VTuber</v>
      </c>
      <c r="C275" s="3" t="str">
        <f>IFERROR(__xludf.DUMMYFUNCTION("""COMPUTED_VALUE"""),"Jan 13, 2026")</f>
        <v>Jan 13, 2026</v>
      </c>
      <c r="D275" s="3" t="str">
        <f>IFERROR(__xludf.DUMMYFUNCTION("""COMPUTED_VALUE"""),"$11.99")</f>
        <v>$11.99</v>
      </c>
      <c r="E275" s="3" t="str">
        <f>IFERROR(__xludf.DUMMYFUNCTION("""COMPUTED_VALUE"""),"N/A (N/A)")</f>
        <v>N/A (N/A)</v>
      </c>
      <c r="F275" s="3" t="str">
        <f>IFERROR(__xludf.DUMMYFUNCTION("""COMPUTED_VALUE"""),"0 .. 20,000")</f>
        <v>0 .. 20,000</v>
      </c>
      <c r="G275" s="3" t="str">
        <f>IFERROR(__xludf.DUMMYFUNCTION("""COMPUTED_VALUE"""),"07:08 (07:08)")</f>
        <v>07:08 (07:08)</v>
      </c>
      <c r="H275" s="34"/>
      <c r="O275" s="34"/>
      <c r="R275" s="34"/>
    </row>
    <row r="276">
      <c r="A276" s="3">
        <f>IFERROR(__xludf.DUMMYFUNCTION("""COMPUTED_VALUE"""),275.0)</f>
        <v>275</v>
      </c>
      <c r="B276" s="3" t="str">
        <f>IFERROR(__xludf.DUMMYFUNCTION("""COMPUTED_VALUE"""),"Sign Craft: Simulator")</f>
        <v>Sign Craft: Simulator</v>
      </c>
      <c r="C276" s="3" t="str">
        <f>IFERROR(__xludf.DUMMYFUNCTION("""COMPUTED_VALUE"""),"Jan 13, 2026")</f>
        <v>Jan 13, 2026</v>
      </c>
      <c r="D276" s="3" t="str">
        <f>IFERROR(__xludf.DUMMYFUNCTION("""COMPUTED_VALUE"""),"$1.99")</f>
        <v>$1.99</v>
      </c>
      <c r="E276" s="3" t="str">
        <f>IFERROR(__xludf.DUMMYFUNCTION("""COMPUTED_VALUE"""),"N/A (N/A)")</f>
        <v>N/A (N/A)</v>
      </c>
      <c r="F276" s="3" t="str">
        <f>IFERROR(__xludf.DUMMYFUNCTION("""COMPUTED_VALUE"""),"0 .. 20,000")</f>
        <v>0 .. 20,000</v>
      </c>
      <c r="G276" s="3" t="str">
        <f>IFERROR(__xludf.DUMMYFUNCTION("""COMPUTED_VALUE"""),"00:00 (00:00)")</f>
        <v>00:00 (00:00)</v>
      </c>
      <c r="H276" s="34"/>
      <c r="O276" s="34"/>
      <c r="R276" s="34"/>
    </row>
    <row r="277">
      <c r="A277" s="3">
        <f>IFERROR(__xludf.DUMMYFUNCTION("""COMPUTED_VALUE"""),276.0)</f>
        <v>276</v>
      </c>
      <c r="B277" s="3" t="str">
        <f>IFERROR(__xludf.DUMMYFUNCTION("""COMPUTED_VALUE"""),"Letifer")</f>
        <v>Letifer</v>
      </c>
      <c r="C277" s="3" t="str">
        <f>IFERROR(__xludf.DUMMYFUNCTION("""COMPUTED_VALUE"""),"Jan 13, 2026")</f>
        <v>Jan 13, 2026</v>
      </c>
      <c r="D277" s="3" t="str">
        <f>IFERROR(__xludf.DUMMYFUNCTION("""COMPUTED_VALUE"""),"$4.99")</f>
        <v>$4.99</v>
      </c>
      <c r="E277" s="3" t="str">
        <f>IFERROR(__xludf.DUMMYFUNCTION("""COMPUTED_VALUE"""),"N/A (N/A)")</f>
        <v>N/A (N/A)</v>
      </c>
      <c r="F277" s="3" t="str">
        <f>IFERROR(__xludf.DUMMYFUNCTION("""COMPUTED_VALUE"""),"0 .. 20,000")</f>
        <v>0 .. 20,000</v>
      </c>
      <c r="G277" s="3" t="str">
        <f>IFERROR(__xludf.DUMMYFUNCTION("""COMPUTED_VALUE"""),"00:00 (00:00)")</f>
        <v>00:00 (00:00)</v>
      </c>
      <c r="H277" s="34"/>
      <c r="O277" s="34"/>
      <c r="R277" s="34"/>
    </row>
    <row r="278">
      <c r="A278" s="3">
        <f>IFERROR(__xludf.DUMMYFUNCTION("""COMPUTED_VALUE"""),277.0)</f>
        <v>277</v>
      </c>
      <c r="B278" s="3" t="str">
        <f>IFERROR(__xludf.DUMMYFUNCTION("""COMPUTED_VALUE"""),"Hank: Drowning On Dry Land")</f>
        <v>Hank: Drowning On Dry Land</v>
      </c>
      <c r="C278" s="3" t="str">
        <f>IFERROR(__xludf.DUMMYFUNCTION("""COMPUTED_VALUE"""),"Jan 13, 2026")</f>
        <v>Jan 13, 2026</v>
      </c>
      <c r="D278" s="3" t="str">
        <f>IFERROR(__xludf.DUMMYFUNCTION("""COMPUTED_VALUE"""),"$2.99")</f>
        <v>$2.99</v>
      </c>
      <c r="E278" s="3" t="str">
        <f>IFERROR(__xludf.DUMMYFUNCTION("""COMPUTED_VALUE"""),"N/A (N/A)")</f>
        <v>N/A (N/A)</v>
      </c>
      <c r="F278" s="3" t="str">
        <f>IFERROR(__xludf.DUMMYFUNCTION("""COMPUTED_VALUE"""),"0 .. 20,000")</f>
        <v>0 .. 20,000</v>
      </c>
      <c r="G278" s="3" t="str">
        <f>IFERROR(__xludf.DUMMYFUNCTION("""COMPUTED_VALUE"""),"00:00 (00:00)")</f>
        <v>00:00 (00:00)</v>
      </c>
      <c r="H278" s="34"/>
      <c r="O278" s="34"/>
      <c r="R278" s="34"/>
    </row>
    <row r="279">
      <c r="A279" s="3">
        <f>IFERROR(__xludf.DUMMYFUNCTION("""COMPUTED_VALUE"""),278.0)</f>
        <v>278</v>
      </c>
      <c r="B279" s="3" t="str">
        <f>IFERROR(__xludf.DUMMYFUNCTION("""COMPUTED_VALUE"""),"After Dark")</f>
        <v>After Dark</v>
      </c>
      <c r="C279" s="3" t="str">
        <f>IFERROR(__xludf.DUMMYFUNCTION("""COMPUTED_VALUE"""),"Jan 12, 2026")</f>
        <v>Jan 12, 2026</v>
      </c>
      <c r="D279" s="3" t="str">
        <f>IFERROR(__xludf.DUMMYFUNCTION("""COMPUTED_VALUE"""),"$1.99")</f>
        <v>$1.99</v>
      </c>
      <c r="E279" s="3" t="str">
        <f>IFERROR(__xludf.DUMMYFUNCTION("""COMPUTED_VALUE"""),"N/A (N/A)")</f>
        <v>N/A (N/A)</v>
      </c>
      <c r="F279" s="3" t="str">
        <f>IFERROR(__xludf.DUMMYFUNCTION("""COMPUTED_VALUE"""),"0 .. 20,000")</f>
        <v>0 .. 20,000</v>
      </c>
      <c r="G279" s="3" t="str">
        <f>IFERROR(__xludf.DUMMYFUNCTION("""COMPUTED_VALUE"""),"00:00 (00:00)")</f>
        <v>00:00 (00:00)</v>
      </c>
      <c r="H279" s="34"/>
      <c r="O279" s="34"/>
      <c r="R279" s="34"/>
    </row>
    <row r="280">
      <c r="A280" s="3">
        <f>IFERROR(__xludf.DUMMYFUNCTION("""COMPUTED_VALUE"""),279.0)</f>
        <v>279</v>
      </c>
      <c r="B280" s="3" t="str">
        <f>IFERROR(__xludf.DUMMYFUNCTION("""COMPUTED_VALUE"""),"Kindred [High Tide]")</f>
        <v>Kindred [High Tide]</v>
      </c>
      <c r="C280" s="3" t="str">
        <f>IFERROR(__xludf.DUMMYFUNCTION("""COMPUTED_VALUE"""),"Jan 12, 2026")</f>
        <v>Jan 12, 2026</v>
      </c>
      <c r="D280" s="3" t="str">
        <f>IFERROR(__xludf.DUMMYFUNCTION("""COMPUTED_VALUE"""),"$4.99")</f>
        <v>$4.99</v>
      </c>
      <c r="E280" s="3" t="str">
        <f>IFERROR(__xludf.DUMMYFUNCTION("""COMPUTED_VALUE"""),"N/A (N/A)")</f>
        <v>N/A (N/A)</v>
      </c>
      <c r="F280" s="3" t="str">
        <f>IFERROR(__xludf.DUMMYFUNCTION("""COMPUTED_VALUE"""),"0 .. 20,000")</f>
        <v>0 .. 20,000</v>
      </c>
      <c r="G280" s="3" t="str">
        <f>IFERROR(__xludf.DUMMYFUNCTION("""COMPUTED_VALUE"""),"00:00 (00:00)")</f>
        <v>00:00 (00:00)</v>
      </c>
      <c r="H280" s="34"/>
      <c r="O280" s="34"/>
      <c r="R280" s="34"/>
    </row>
    <row r="281">
      <c r="A281" s="3">
        <f>IFERROR(__xludf.DUMMYFUNCTION("""COMPUTED_VALUE"""),280.0)</f>
        <v>280</v>
      </c>
      <c r="B281" s="3" t="str">
        <f>IFERROR(__xludf.DUMMYFUNCTION("""COMPUTED_VALUE"""),"Frostrain 2")</f>
        <v>Frostrain 2</v>
      </c>
      <c r="C281" s="3" t="str">
        <f>IFERROR(__xludf.DUMMYFUNCTION("""COMPUTED_VALUE"""),"Jan 12, 2026")</f>
        <v>Jan 12, 2026</v>
      </c>
      <c r="D281" s="3" t="str">
        <f>IFERROR(__xludf.DUMMYFUNCTION("""COMPUTED_VALUE"""),"$10.99")</f>
        <v>$10.99</v>
      </c>
      <c r="E281" s="3" t="str">
        <f>IFERROR(__xludf.DUMMYFUNCTION("""COMPUTED_VALUE"""),"N/A (N/A)")</f>
        <v>N/A (N/A)</v>
      </c>
      <c r="F281" s="3" t="str">
        <f>IFERROR(__xludf.DUMMYFUNCTION("""COMPUTED_VALUE"""),"0 .. 20,000")</f>
        <v>0 .. 20,000</v>
      </c>
      <c r="G281" s="3" t="str">
        <f>IFERROR(__xludf.DUMMYFUNCTION("""COMPUTED_VALUE"""),"00:00 (00:00)")</f>
        <v>00:00 (00:00)</v>
      </c>
      <c r="H281" s="34"/>
      <c r="O281" s="34"/>
      <c r="R281" s="34"/>
    </row>
    <row r="282">
      <c r="A282" s="3">
        <f>IFERROR(__xludf.DUMMYFUNCTION("""COMPUTED_VALUE"""),281.0)</f>
        <v>281</v>
      </c>
      <c r="B282" s="3" t="str">
        <f>IFERROR(__xludf.DUMMYFUNCTION("""COMPUTED_VALUE"""),"Isekai Adventurer Guild")</f>
        <v>Isekai Adventurer Guild</v>
      </c>
      <c r="C282" s="3" t="str">
        <f>IFERROR(__xludf.DUMMYFUNCTION("""COMPUTED_VALUE"""),"Jan 12, 2026")</f>
        <v>Jan 12, 2026</v>
      </c>
      <c r="D282" s="3" t="str">
        <f>IFERROR(__xludf.DUMMYFUNCTION("""COMPUTED_VALUE"""),"$13.99")</f>
        <v>$13.99</v>
      </c>
      <c r="E282" s="3" t="str">
        <f>IFERROR(__xludf.DUMMYFUNCTION("""COMPUTED_VALUE"""),"N/A (N/A)")</f>
        <v>N/A (N/A)</v>
      </c>
      <c r="F282" s="3" t="str">
        <f>IFERROR(__xludf.DUMMYFUNCTION("""COMPUTED_VALUE"""),"0 .. 20,000")</f>
        <v>0 .. 20,000</v>
      </c>
      <c r="G282" s="3" t="str">
        <f>IFERROR(__xludf.DUMMYFUNCTION("""COMPUTED_VALUE"""),"00:00 (00:00)")</f>
        <v>00:00 (00:00)</v>
      </c>
      <c r="H282" s="34"/>
      <c r="O282" s="34"/>
      <c r="R282" s="34"/>
    </row>
    <row r="283">
      <c r="A283" s="3">
        <f>IFERROR(__xludf.DUMMYFUNCTION("""COMPUTED_VALUE"""),282.0)</f>
        <v>282</v>
      </c>
      <c r="B283" s="3" t="str">
        <f>IFERROR(__xludf.DUMMYFUNCTION("""COMPUTED_VALUE"""),"KUUKIYOMI: Consider It World - Thailand Ver.")</f>
        <v>KUUKIYOMI: Consider It World - Thailand Ver.</v>
      </c>
      <c r="C283" s="3" t="str">
        <f>IFERROR(__xludf.DUMMYFUNCTION("""COMPUTED_VALUE"""),"Jan 12, 2026")</f>
        <v>Jan 12, 2026</v>
      </c>
      <c r="D283" s="3" t="str">
        <f>IFERROR(__xludf.DUMMYFUNCTION("""COMPUTED_VALUE"""),"$9.99")</f>
        <v>$9.99</v>
      </c>
      <c r="E283" s="3" t="str">
        <f>IFERROR(__xludf.DUMMYFUNCTION("""COMPUTED_VALUE"""),"N/A (N/A)")</f>
        <v>N/A (N/A)</v>
      </c>
      <c r="F283" s="3" t="str">
        <f>IFERROR(__xludf.DUMMYFUNCTION("""COMPUTED_VALUE"""),"0 .. 20,000")</f>
        <v>0 .. 20,000</v>
      </c>
      <c r="G283" s="3" t="str">
        <f>IFERROR(__xludf.DUMMYFUNCTION("""COMPUTED_VALUE"""),"00:00 (00:00)")</f>
        <v>00:00 (00:00)</v>
      </c>
      <c r="H283" s="34"/>
      <c r="O283" s="34"/>
      <c r="R283" s="34"/>
    </row>
    <row r="284">
      <c r="A284" s="3">
        <f>IFERROR(__xludf.DUMMYFUNCTION("""COMPUTED_VALUE"""),283.0)</f>
        <v>283</v>
      </c>
      <c r="B284" s="3" t="str">
        <f>IFERROR(__xludf.DUMMYFUNCTION("""COMPUTED_VALUE"""),"Gamer Stop Simulator")</f>
        <v>Gamer Stop Simulator</v>
      </c>
      <c r="C284" s="3" t="str">
        <f>IFERROR(__xludf.DUMMYFUNCTION("""COMPUTED_VALUE"""),"Jan 12, 2026")</f>
        <v>Jan 12, 2026</v>
      </c>
      <c r="D284" s="3" t="str">
        <f>IFERROR(__xludf.DUMMYFUNCTION("""COMPUTED_VALUE"""),"$12.99")</f>
        <v>$12.99</v>
      </c>
      <c r="E284" s="3" t="str">
        <f>IFERROR(__xludf.DUMMYFUNCTION("""COMPUTED_VALUE"""),"N/A (N/A)")</f>
        <v>N/A (N/A)</v>
      </c>
      <c r="F284" s="3" t="str">
        <f>IFERROR(__xludf.DUMMYFUNCTION("""COMPUTED_VALUE"""),"0 .. 20,000")</f>
        <v>0 .. 20,000</v>
      </c>
      <c r="G284" s="3" t="str">
        <f>IFERROR(__xludf.DUMMYFUNCTION("""COMPUTED_VALUE"""),"00:25 (00:12)")</f>
        <v>00:25 (00:12)</v>
      </c>
      <c r="H284" s="34"/>
      <c r="O284" s="34"/>
      <c r="R284" s="34"/>
    </row>
    <row r="285">
      <c r="A285" s="3">
        <f>IFERROR(__xludf.DUMMYFUNCTION("""COMPUTED_VALUE"""),284.0)</f>
        <v>284</v>
      </c>
      <c r="B285" s="3" t="str">
        <f>IFERROR(__xludf.DUMMYFUNCTION("""COMPUTED_VALUE"""),"Quarantine Zone: The Last Check")</f>
        <v>Quarantine Zone: The Last Check</v>
      </c>
      <c r="C285" s="3" t="str">
        <f>IFERROR(__xludf.DUMMYFUNCTION("""COMPUTED_VALUE"""),"Jan 12, 2026")</f>
        <v>Jan 12, 2026</v>
      </c>
      <c r="D285" s="3" t="str">
        <f>IFERROR(__xludf.DUMMYFUNCTION("""COMPUTED_VALUE"""),"$19.99")</f>
        <v>$19.99</v>
      </c>
      <c r="E285" s="3" t="str">
        <f>IFERROR(__xludf.DUMMYFUNCTION("""COMPUTED_VALUE"""),"N/A (N/A)")</f>
        <v>N/A (N/A)</v>
      </c>
      <c r="F285" s="3" t="str">
        <f>IFERROR(__xludf.DUMMYFUNCTION("""COMPUTED_VALUE"""),"0 .. 20,000")</f>
        <v>0 .. 20,000</v>
      </c>
      <c r="G285" s="3" t="str">
        <f>IFERROR(__xludf.DUMMYFUNCTION("""COMPUTED_VALUE"""),"04:01 (03:02)")</f>
        <v>04:01 (03:02)</v>
      </c>
      <c r="H285" s="34"/>
      <c r="O285" s="34"/>
      <c r="R285" s="34"/>
    </row>
    <row r="286">
      <c r="A286" s="3">
        <f>IFERROR(__xludf.DUMMYFUNCTION("""COMPUTED_VALUE"""),285.0)</f>
        <v>285</v>
      </c>
      <c r="B286" s="3" t="str">
        <f>IFERROR(__xludf.DUMMYFUNCTION("""COMPUTED_VALUE"""),"Kalnazar")</f>
        <v>Kalnazar</v>
      </c>
      <c r="C286" s="3" t="str">
        <f>IFERROR(__xludf.DUMMYFUNCTION("""COMPUTED_VALUE"""),"Jan 12, 2026")</f>
        <v>Jan 12, 2026</v>
      </c>
      <c r="D286" s="3" t="str">
        <f>IFERROR(__xludf.DUMMYFUNCTION("""COMPUTED_VALUE"""),"$9.99")</f>
        <v>$9.99</v>
      </c>
      <c r="E286" s="3" t="str">
        <f>IFERROR(__xludf.DUMMYFUNCTION("""COMPUTED_VALUE"""),"N/A (N/A)")</f>
        <v>N/A (N/A)</v>
      </c>
      <c r="F286" s="3" t="str">
        <f>IFERROR(__xludf.DUMMYFUNCTION("""COMPUTED_VALUE"""),"20,000 .. 50,000")</f>
        <v>20,000 .. 50,000</v>
      </c>
      <c r="G286" s="3" t="str">
        <f>IFERROR(__xludf.DUMMYFUNCTION("""COMPUTED_VALUE"""),"00:00 (00:00)")</f>
        <v>00:00 (00:00)</v>
      </c>
      <c r="H286" s="34"/>
      <c r="O286" s="34"/>
      <c r="R286" s="34"/>
    </row>
    <row r="287">
      <c r="A287" s="3">
        <f>IFERROR(__xludf.DUMMYFUNCTION("""COMPUTED_VALUE"""),286.0)</f>
        <v>286</v>
      </c>
      <c r="B287" s="3" t="str">
        <f>IFERROR(__xludf.DUMMYFUNCTION("""COMPUTED_VALUE"""),"Queendom")</f>
        <v>Queendom</v>
      </c>
      <c r="C287" s="3" t="str">
        <f>IFERROR(__xludf.DUMMYFUNCTION("""COMPUTED_VALUE"""),"Jan 12, 2026")</f>
        <v>Jan 12, 2026</v>
      </c>
      <c r="D287" s="3" t="str">
        <f>IFERROR(__xludf.DUMMYFUNCTION("""COMPUTED_VALUE"""),"$1.99")</f>
        <v>$1.99</v>
      </c>
      <c r="E287" s="3" t="str">
        <f>IFERROR(__xludf.DUMMYFUNCTION("""COMPUTED_VALUE"""),"N/A (N/A)")</f>
        <v>N/A (N/A)</v>
      </c>
      <c r="F287" s="3" t="str">
        <f>IFERROR(__xludf.DUMMYFUNCTION("""COMPUTED_VALUE"""),"0 .. 20,000")</f>
        <v>0 .. 20,000</v>
      </c>
      <c r="G287" s="3" t="str">
        <f>IFERROR(__xludf.DUMMYFUNCTION("""COMPUTED_VALUE"""),"00:00 (00:00)")</f>
        <v>00:00 (00:00)</v>
      </c>
      <c r="H287" s="34"/>
      <c r="O287" s="34"/>
      <c r="R287" s="34"/>
    </row>
    <row r="288">
      <c r="A288" s="3">
        <f>IFERROR(__xludf.DUMMYFUNCTION("""COMPUTED_VALUE"""),287.0)</f>
        <v>287</v>
      </c>
      <c r="B288" s="3" t="str">
        <f>IFERROR(__xludf.DUMMYFUNCTION("""COMPUTED_VALUE"""),"Spiritual Bond ～Breaking the curse, Intertwining fates～")</f>
        <v>Spiritual Bond ～Breaking the curse, Intertwining fates～</v>
      </c>
      <c r="C288" s="3" t="str">
        <f>IFERROR(__xludf.DUMMYFUNCTION("""COMPUTED_VALUE"""),"Jan 12, 2026")</f>
        <v>Jan 12, 2026</v>
      </c>
      <c r="D288" s="3" t="str">
        <f>IFERROR(__xludf.DUMMYFUNCTION("""COMPUTED_VALUE"""),"$5.99")</f>
        <v>$5.99</v>
      </c>
      <c r="E288" s="3" t="str">
        <f>IFERROR(__xludf.DUMMYFUNCTION("""COMPUTED_VALUE"""),"N/A (N/A)")</f>
        <v>N/A (N/A)</v>
      </c>
      <c r="F288" s="3" t="str">
        <f>IFERROR(__xludf.DUMMYFUNCTION("""COMPUTED_VALUE"""),"0 .. 20,000")</f>
        <v>0 .. 20,000</v>
      </c>
      <c r="G288" s="3" t="str">
        <f>IFERROR(__xludf.DUMMYFUNCTION("""COMPUTED_VALUE"""),"00:00 (00:00)")</f>
        <v>00:00 (00:00)</v>
      </c>
      <c r="H288" s="34"/>
      <c r="O288" s="34"/>
      <c r="R288" s="34"/>
    </row>
    <row r="289">
      <c r="A289" s="3">
        <f>IFERROR(__xludf.DUMMYFUNCTION("""COMPUTED_VALUE"""),288.0)</f>
        <v>288</v>
      </c>
      <c r="B289" s="3" t="str">
        <f>IFERROR(__xludf.DUMMYFUNCTION("""COMPUTED_VALUE"""),"Confidential Killings - A Detective Game")</f>
        <v>Confidential Killings - A Detective Game</v>
      </c>
      <c r="C289" s="3" t="str">
        <f>IFERROR(__xludf.DUMMYFUNCTION("""COMPUTED_VALUE"""),"Jan 12, 2026")</f>
        <v>Jan 12, 2026</v>
      </c>
      <c r="D289" s="3" t="str">
        <f>IFERROR(__xludf.DUMMYFUNCTION("""COMPUTED_VALUE"""),"$14.99")</f>
        <v>$14.99</v>
      </c>
      <c r="E289" s="3" t="str">
        <f>IFERROR(__xludf.DUMMYFUNCTION("""COMPUTED_VALUE"""),"N/A (N/A)")</f>
        <v>N/A (N/A)</v>
      </c>
      <c r="F289" s="3" t="str">
        <f>IFERROR(__xludf.DUMMYFUNCTION("""COMPUTED_VALUE"""),"0 .. 20,000")</f>
        <v>0 .. 20,000</v>
      </c>
      <c r="G289" s="3" t="str">
        <f>IFERROR(__xludf.DUMMYFUNCTION("""COMPUTED_VALUE"""),"00:00 (00:00)")</f>
        <v>00:00 (00:00)</v>
      </c>
      <c r="H289" s="34"/>
      <c r="O289" s="34"/>
      <c r="R289" s="34"/>
    </row>
    <row r="290">
      <c r="A290" s="3">
        <f>IFERROR(__xludf.DUMMYFUNCTION("""COMPUTED_VALUE"""),289.0)</f>
        <v>289</v>
      </c>
      <c r="B290" s="3" t="str">
        <f>IFERROR(__xludf.DUMMYFUNCTION("""COMPUTED_VALUE"""),"B.I.R.D.")</f>
        <v>B.I.R.D.</v>
      </c>
      <c r="C290" s="3" t="str">
        <f>IFERROR(__xludf.DUMMYFUNCTION("""COMPUTED_VALUE"""),"Jan 12, 2026")</f>
        <v>Jan 12, 2026</v>
      </c>
      <c r="D290" s="3" t="str">
        <f>IFERROR(__xludf.DUMMYFUNCTION("""COMPUTED_VALUE"""),"$9.99")</f>
        <v>$9.99</v>
      </c>
      <c r="E290" s="3" t="str">
        <f>IFERROR(__xludf.DUMMYFUNCTION("""COMPUTED_VALUE"""),"N/A (N/A)")</f>
        <v>N/A (N/A)</v>
      </c>
      <c r="F290" s="3" t="str">
        <f>IFERROR(__xludf.DUMMYFUNCTION("""COMPUTED_VALUE"""),"0 .. 20,000")</f>
        <v>0 .. 20,000</v>
      </c>
      <c r="G290" s="3" t="str">
        <f>IFERROR(__xludf.DUMMYFUNCTION("""COMPUTED_VALUE"""),"00:00 (00:00)")</f>
        <v>00:00 (00:00)</v>
      </c>
      <c r="H290" s="34"/>
      <c r="O290" s="34"/>
      <c r="R290" s="34"/>
    </row>
    <row r="291">
      <c r="A291" s="3">
        <f>IFERROR(__xludf.DUMMYFUNCTION("""COMPUTED_VALUE"""),290.0)</f>
        <v>290</v>
      </c>
      <c r="B291" s="3" t="str">
        <f>IFERROR(__xludf.DUMMYFUNCTION("""COMPUTED_VALUE"""),"Big Hops")</f>
        <v>Big Hops</v>
      </c>
      <c r="C291" s="3" t="str">
        <f>IFERROR(__xludf.DUMMYFUNCTION("""COMPUTED_VALUE"""),"Jan 12, 2026")</f>
        <v>Jan 12, 2026</v>
      </c>
      <c r="D291" s="3" t="str">
        <f>IFERROR(__xludf.DUMMYFUNCTION("""COMPUTED_VALUE"""),"$19.99")</f>
        <v>$19.99</v>
      </c>
      <c r="E291" s="3" t="str">
        <f>IFERROR(__xludf.DUMMYFUNCTION("""COMPUTED_VALUE"""),"N/A (N/A)")</f>
        <v>N/A (N/A)</v>
      </c>
      <c r="F291" s="3" t="str">
        <f>IFERROR(__xludf.DUMMYFUNCTION("""COMPUTED_VALUE"""),"0 .. 20,000")</f>
        <v>0 .. 20,000</v>
      </c>
      <c r="G291" s="3" t="str">
        <f>IFERROR(__xludf.DUMMYFUNCTION("""COMPUTED_VALUE"""),"00:00 (00:00)")</f>
        <v>00:00 (00:00)</v>
      </c>
      <c r="H291" s="34"/>
      <c r="O291" s="34"/>
      <c r="R291" s="34"/>
    </row>
    <row r="292">
      <c r="A292" s="3">
        <f>IFERROR(__xludf.DUMMYFUNCTION("""COMPUTED_VALUE"""),291.0)</f>
        <v>291</v>
      </c>
      <c r="B292" s="3" t="str">
        <f>IFERROR(__xludf.DUMMYFUNCTION("""COMPUTED_VALUE"""),"LOW VALUE JOB")</f>
        <v>LOW VALUE JOB</v>
      </c>
      <c r="C292" s="3" t="str">
        <f>IFERROR(__xludf.DUMMYFUNCTION("""COMPUTED_VALUE"""),"Jan 11, 2026")</f>
        <v>Jan 11, 2026</v>
      </c>
      <c r="D292" s="3" t="str">
        <f>IFERROR(__xludf.DUMMYFUNCTION("""COMPUTED_VALUE"""),"$3.99")</f>
        <v>$3.99</v>
      </c>
      <c r="E292" s="3" t="str">
        <f>IFERROR(__xludf.DUMMYFUNCTION("""COMPUTED_VALUE"""),"N/A (N/A)")</f>
        <v>N/A (N/A)</v>
      </c>
      <c r="F292" s="3" t="str">
        <f>IFERROR(__xludf.DUMMYFUNCTION("""COMPUTED_VALUE"""),"0 .. 20,000")</f>
        <v>0 .. 20,000</v>
      </c>
      <c r="G292" s="3" t="str">
        <f>IFERROR(__xludf.DUMMYFUNCTION("""COMPUTED_VALUE"""),"00:00 (00:00)")</f>
        <v>00:00 (00:00)</v>
      </c>
      <c r="H292" s="34"/>
      <c r="O292" s="34"/>
      <c r="R292" s="34"/>
    </row>
    <row r="293">
      <c r="A293" s="3">
        <f>IFERROR(__xludf.DUMMYFUNCTION("""COMPUTED_VALUE"""),292.0)</f>
        <v>292</v>
      </c>
      <c r="B293" s="3" t="str">
        <f>IFERROR(__xludf.DUMMYFUNCTION("""COMPUTED_VALUE"""),"GREXOVKA VILLAGE")</f>
        <v>GREXOVKA VILLAGE</v>
      </c>
      <c r="C293" s="3" t="str">
        <f>IFERROR(__xludf.DUMMYFUNCTION("""COMPUTED_VALUE"""),"Jan 11, 2026")</f>
        <v>Jan 11, 2026</v>
      </c>
      <c r="D293" s="3" t="str">
        <f>IFERROR(__xludf.DUMMYFUNCTION("""COMPUTED_VALUE"""),"$0.99")</f>
        <v>$0.99</v>
      </c>
      <c r="E293" s="3" t="str">
        <f>IFERROR(__xludf.DUMMYFUNCTION("""COMPUTED_VALUE"""),"N/A (N/A)")</f>
        <v>N/A (N/A)</v>
      </c>
      <c r="F293" s="3" t="str">
        <f>IFERROR(__xludf.DUMMYFUNCTION("""COMPUTED_VALUE"""),"0 .. 20,000")</f>
        <v>0 .. 20,000</v>
      </c>
      <c r="G293" s="3" t="str">
        <f>IFERROR(__xludf.DUMMYFUNCTION("""COMPUTED_VALUE"""),"00:00 (00:00)")</f>
        <v>00:00 (00:00)</v>
      </c>
      <c r="H293" s="34"/>
      <c r="O293" s="34"/>
      <c r="R293" s="34"/>
    </row>
    <row r="294">
      <c r="A294" s="3">
        <f>IFERROR(__xludf.DUMMYFUNCTION("""COMPUTED_VALUE"""),293.0)</f>
        <v>293</v>
      </c>
      <c r="B294" s="3" t="str">
        <f>IFERROR(__xludf.DUMMYFUNCTION("""COMPUTED_VALUE"""),"Gamblers Table")</f>
        <v>Gamblers Table</v>
      </c>
      <c r="C294" s="3" t="str">
        <f>IFERROR(__xludf.DUMMYFUNCTION("""COMPUTED_VALUE"""),"Jan 11, 2026")</f>
        <v>Jan 11, 2026</v>
      </c>
      <c r="D294" s="3" t="str">
        <f>IFERROR(__xludf.DUMMYFUNCTION("""COMPUTED_VALUE"""),"$6.99")</f>
        <v>$6.99</v>
      </c>
      <c r="E294" s="3" t="str">
        <f>IFERROR(__xludf.DUMMYFUNCTION("""COMPUTED_VALUE"""),"N/A (N/A)")</f>
        <v>N/A (N/A)</v>
      </c>
      <c r="F294" s="3" t="str">
        <f>IFERROR(__xludf.DUMMYFUNCTION("""COMPUTED_VALUE"""),"0 .. 20,000")</f>
        <v>0 .. 20,000</v>
      </c>
      <c r="G294" s="3" t="str">
        <f>IFERROR(__xludf.DUMMYFUNCTION("""COMPUTED_VALUE"""),"09:38 (12:01)")</f>
        <v>09:38 (12:01)</v>
      </c>
      <c r="H294" s="34"/>
      <c r="O294" s="34"/>
      <c r="R294" s="34"/>
    </row>
    <row r="295">
      <c r="A295" s="3">
        <f>IFERROR(__xludf.DUMMYFUNCTION("""COMPUTED_VALUE"""),294.0)</f>
        <v>294</v>
      </c>
      <c r="B295" s="3" t="str">
        <f>IFERROR(__xludf.DUMMYFUNCTION("""COMPUTED_VALUE"""),"TriMatch")</f>
        <v>TriMatch</v>
      </c>
      <c r="C295" s="3" t="str">
        <f>IFERROR(__xludf.DUMMYFUNCTION("""COMPUTED_VALUE"""),"Jan 11, 2026")</f>
        <v>Jan 11, 2026</v>
      </c>
      <c r="D295" s="3" t="str">
        <f>IFERROR(__xludf.DUMMYFUNCTION("""COMPUTED_VALUE"""),"$4.99")</f>
        <v>$4.99</v>
      </c>
      <c r="E295" s="3" t="str">
        <f>IFERROR(__xludf.DUMMYFUNCTION("""COMPUTED_VALUE"""),"N/A (N/A)")</f>
        <v>N/A (N/A)</v>
      </c>
      <c r="F295" s="3" t="str">
        <f>IFERROR(__xludf.DUMMYFUNCTION("""COMPUTED_VALUE"""),"0 .. 20,000")</f>
        <v>0 .. 20,000</v>
      </c>
      <c r="G295" s="3" t="str">
        <f>IFERROR(__xludf.DUMMYFUNCTION("""COMPUTED_VALUE"""),"00:00 (00:00)")</f>
        <v>00:00 (00:00)</v>
      </c>
      <c r="H295" s="34"/>
      <c r="O295" s="34"/>
      <c r="R295" s="34"/>
    </row>
    <row r="296">
      <c r="A296" s="3">
        <f>IFERROR(__xludf.DUMMYFUNCTION("""COMPUTED_VALUE"""),295.0)</f>
        <v>295</v>
      </c>
      <c r="B296" s="3" t="str">
        <f>IFERROR(__xludf.DUMMYFUNCTION("""COMPUTED_VALUE"""),"Dream of Corpse Lady")</f>
        <v>Dream of Corpse Lady</v>
      </c>
      <c r="C296" s="3" t="str">
        <f>IFERROR(__xludf.DUMMYFUNCTION("""COMPUTED_VALUE"""),"Jan 11, 2026")</f>
        <v>Jan 11, 2026</v>
      </c>
      <c r="D296" s="3" t="str">
        <f>IFERROR(__xludf.DUMMYFUNCTION("""COMPUTED_VALUE"""),"$9.99")</f>
        <v>$9.99</v>
      </c>
      <c r="E296" s="3" t="str">
        <f>IFERROR(__xludf.DUMMYFUNCTION("""COMPUTED_VALUE"""),"N/A (N/A)")</f>
        <v>N/A (N/A)</v>
      </c>
      <c r="F296" s="3" t="str">
        <f>IFERROR(__xludf.DUMMYFUNCTION("""COMPUTED_VALUE"""),"0 .. 20,000")</f>
        <v>0 .. 20,000</v>
      </c>
      <c r="G296" s="3" t="str">
        <f>IFERROR(__xludf.DUMMYFUNCTION("""COMPUTED_VALUE"""),"06:14 (09:09)")</f>
        <v>06:14 (09:09)</v>
      </c>
      <c r="H296" s="34"/>
      <c r="O296" s="34"/>
      <c r="R296" s="34"/>
    </row>
    <row r="297">
      <c r="A297" s="3">
        <f>IFERROR(__xludf.DUMMYFUNCTION("""COMPUTED_VALUE"""),296.0)</f>
        <v>296</v>
      </c>
      <c r="B297" s="3" t="str">
        <f>IFERROR(__xludf.DUMMYFUNCTION("""COMPUTED_VALUE"""),"Truth Seekers")</f>
        <v>Truth Seekers</v>
      </c>
      <c r="C297" s="3" t="str">
        <f>IFERROR(__xludf.DUMMYFUNCTION("""COMPUTED_VALUE"""),"Jan 11, 2026")</f>
        <v>Jan 11, 2026</v>
      </c>
      <c r="D297" s="3" t="str">
        <f>IFERROR(__xludf.DUMMYFUNCTION("""COMPUTED_VALUE"""),"$3.74")</f>
        <v>$3.74</v>
      </c>
      <c r="E297" s="3" t="str">
        <f>IFERROR(__xludf.DUMMYFUNCTION("""COMPUTED_VALUE"""),"N/A (N/A)")</f>
        <v>N/A (N/A)</v>
      </c>
      <c r="F297" s="3" t="str">
        <f>IFERROR(__xludf.DUMMYFUNCTION("""COMPUTED_VALUE"""),"0 .. 20,000")</f>
        <v>0 .. 20,000</v>
      </c>
      <c r="G297" s="3" t="str">
        <f>IFERROR(__xludf.DUMMYFUNCTION("""COMPUTED_VALUE"""),"00:00 (00:00)")</f>
        <v>00:00 (00:00)</v>
      </c>
      <c r="H297" s="34"/>
      <c r="O297" s="34"/>
      <c r="R297" s="34"/>
    </row>
    <row r="298">
      <c r="A298" s="3">
        <f>IFERROR(__xludf.DUMMYFUNCTION("""COMPUTED_VALUE"""),297.0)</f>
        <v>297</v>
      </c>
      <c r="B298" s="3" t="str">
        <f>IFERROR(__xludf.DUMMYFUNCTION("""COMPUTED_VALUE"""),"Eternal Hunt")</f>
        <v>Eternal Hunt</v>
      </c>
      <c r="C298" s="3" t="str">
        <f>IFERROR(__xludf.DUMMYFUNCTION("""COMPUTED_VALUE"""),"Jan 10, 2026")</f>
        <v>Jan 10, 2026</v>
      </c>
      <c r="D298" s="3" t="str">
        <f>IFERROR(__xludf.DUMMYFUNCTION("""COMPUTED_VALUE"""),"$3.99")</f>
        <v>$3.99</v>
      </c>
      <c r="E298" s="3" t="str">
        <f>IFERROR(__xludf.DUMMYFUNCTION("""COMPUTED_VALUE"""),"N/A (N/A)")</f>
        <v>N/A (N/A)</v>
      </c>
      <c r="F298" s="3" t="str">
        <f>IFERROR(__xludf.DUMMYFUNCTION("""COMPUTED_VALUE"""),"0 .. 20,000")</f>
        <v>0 .. 20,000</v>
      </c>
      <c r="G298" s="3" t="str">
        <f>IFERROR(__xludf.DUMMYFUNCTION("""COMPUTED_VALUE"""),"00:00 (00:00)")</f>
        <v>00:00 (00:00)</v>
      </c>
      <c r="H298" s="34"/>
      <c r="O298" s="34"/>
      <c r="R298" s="34"/>
    </row>
    <row r="299">
      <c r="A299" s="3">
        <f>IFERROR(__xludf.DUMMYFUNCTION("""COMPUTED_VALUE"""),298.0)</f>
        <v>298</v>
      </c>
      <c r="B299" s="3" t="str">
        <f>IFERROR(__xludf.DUMMYFUNCTION("""COMPUTED_VALUE"""),"Scam Line")</f>
        <v>Scam Line</v>
      </c>
      <c r="C299" s="3" t="str">
        <f>IFERROR(__xludf.DUMMYFUNCTION("""COMPUTED_VALUE"""),"Jan 10, 2026")</f>
        <v>Jan 10, 2026</v>
      </c>
      <c r="D299" s="3" t="str">
        <f>IFERROR(__xludf.DUMMYFUNCTION("""COMPUTED_VALUE"""),"$4.99")</f>
        <v>$4.99</v>
      </c>
      <c r="E299" s="3" t="str">
        <f>IFERROR(__xludf.DUMMYFUNCTION("""COMPUTED_VALUE"""),"N/A (N/A)")</f>
        <v>N/A (N/A)</v>
      </c>
      <c r="F299" s="3" t="str">
        <f>IFERROR(__xludf.DUMMYFUNCTION("""COMPUTED_VALUE"""),"0 .. 20,000")</f>
        <v>0 .. 20,000</v>
      </c>
      <c r="G299" s="3" t="str">
        <f>IFERROR(__xludf.DUMMYFUNCTION("""COMPUTED_VALUE"""),"01:25 (01:30)")</f>
        <v>01:25 (01:30)</v>
      </c>
      <c r="H299" s="34"/>
      <c r="O299" s="34"/>
      <c r="R299" s="34"/>
    </row>
    <row r="300">
      <c r="A300" s="3">
        <f>IFERROR(__xludf.DUMMYFUNCTION("""COMPUTED_VALUE"""),299.0)</f>
        <v>299</v>
      </c>
      <c r="B300" s="3" t="str">
        <f>IFERROR(__xludf.DUMMYFUNCTION("""COMPUTED_VALUE"""),"Femdom Wife Game - Zoe")</f>
        <v>Femdom Wife Game - Zoe</v>
      </c>
      <c r="C300" s="3" t="str">
        <f>IFERROR(__xludf.DUMMYFUNCTION("""COMPUTED_VALUE"""),"Jan 10, 2026")</f>
        <v>Jan 10, 2026</v>
      </c>
      <c r="D300" s="3" t="str">
        <f>IFERROR(__xludf.DUMMYFUNCTION("""COMPUTED_VALUE"""),"$19.99")</f>
        <v>$19.99</v>
      </c>
      <c r="E300" s="3" t="str">
        <f>IFERROR(__xludf.DUMMYFUNCTION("""COMPUTED_VALUE"""),"N/A (N/A)")</f>
        <v>N/A (N/A)</v>
      </c>
      <c r="F300" s="3" t="str">
        <f>IFERROR(__xludf.DUMMYFUNCTION("""COMPUTED_VALUE"""),"0 .. 20,000")</f>
        <v>0 .. 20,000</v>
      </c>
      <c r="G300" s="3" t="str">
        <f>IFERROR(__xludf.DUMMYFUNCTION("""COMPUTED_VALUE"""),"00:00 (00:00)")</f>
        <v>00:00 (00:00)</v>
      </c>
      <c r="H300" s="34"/>
      <c r="O300" s="34"/>
      <c r="R300" s="34"/>
    </row>
    <row r="301">
      <c r="A301" s="3">
        <f>IFERROR(__xludf.DUMMYFUNCTION("""COMPUTED_VALUE"""),300.0)</f>
        <v>300</v>
      </c>
      <c r="B301" s="3" t="str">
        <f>IFERROR(__xludf.DUMMYFUNCTION("""COMPUTED_VALUE"""),"Red Fox and the Four Seasons")</f>
        <v>Red Fox and the Four Seasons</v>
      </c>
      <c r="C301" s="3" t="str">
        <f>IFERROR(__xludf.DUMMYFUNCTION("""COMPUTED_VALUE"""),"Jan 10, 2026")</f>
        <v>Jan 10, 2026</v>
      </c>
      <c r="D301" s="3" t="str">
        <f>IFERROR(__xludf.DUMMYFUNCTION("""COMPUTED_VALUE"""),"$4.99")</f>
        <v>$4.99</v>
      </c>
      <c r="E301" s="3" t="str">
        <f>IFERROR(__xludf.DUMMYFUNCTION("""COMPUTED_VALUE"""),"N/A (N/A)")</f>
        <v>N/A (N/A)</v>
      </c>
      <c r="F301" s="3" t="str">
        <f>IFERROR(__xludf.DUMMYFUNCTION("""COMPUTED_VALUE"""),"20,000 .. 50,000")</f>
        <v>20,000 .. 50,000</v>
      </c>
      <c r="G301" s="3" t="str">
        <f>IFERROR(__xludf.DUMMYFUNCTION("""COMPUTED_VALUE"""),"00:00 (00:00)")</f>
        <v>00:00 (00:00)</v>
      </c>
      <c r="H301" s="34"/>
      <c r="O301" s="34"/>
      <c r="R301" s="34"/>
    </row>
    <row r="302">
      <c r="A302" s="3">
        <f>IFERROR(__xludf.DUMMYFUNCTION("""COMPUTED_VALUE"""),301.0)</f>
        <v>301</v>
      </c>
      <c r="B302" s="22" t="str">
        <f>IFERROR(__xludf.DUMMYFUNCTION("""COMPUTED_VALUE"""),"Log.in")</f>
        <v>Log.in</v>
      </c>
      <c r="C302" s="3" t="str">
        <f>IFERROR(__xludf.DUMMYFUNCTION("""COMPUTED_VALUE"""),"Jan 9, 2026")</f>
        <v>Jan 9, 2026</v>
      </c>
      <c r="D302" s="3" t="str">
        <f>IFERROR(__xludf.DUMMYFUNCTION("""COMPUTED_VALUE"""),"$5.99")</f>
        <v>$5.99</v>
      </c>
      <c r="E302" s="3" t="str">
        <f>IFERROR(__xludf.DUMMYFUNCTION("""COMPUTED_VALUE"""),"N/A (N/A)")</f>
        <v>N/A (N/A)</v>
      </c>
      <c r="F302" s="3" t="str">
        <f>IFERROR(__xludf.DUMMYFUNCTION("""COMPUTED_VALUE"""),"0 .. 20,000")</f>
        <v>0 .. 20,000</v>
      </c>
      <c r="G302" s="3" t="str">
        <f>IFERROR(__xludf.DUMMYFUNCTION("""COMPUTED_VALUE"""),"00:00 (00:00)")</f>
        <v>00:00 (00:00)</v>
      </c>
      <c r="H302" s="34"/>
      <c r="O302" s="34"/>
      <c r="R302" s="34"/>
    </row>
    <row r="303">
      <c r="A303" s="3">
        <f>IFERROR(__xludf.DUMMYFUNCTION("""COMPUTED_VALUE"""),302.0)</f>
        <v>302</v>
      </c>
      <c r="B303" s="3" t="str">
        <f>IFERROR(__xludf.DUMMYFUNCTION("""COMPUTED_VALUE"""),"MILFS 2025")</f>
        <v>MILFS 2025</v>
      </c>
      <c r="C303" s="3" t="str">
        <f>IFERROR(__xludf.DUMMYFUNCTION("""COMPUTED_VALUE"""),"Jan 9, 2026")</f>
        <v>Jan 9, 2026</v>
      </c>
      <c r="D303" s="3" t="str">
        <f>IFERROR(__xludf.DUMMYFUNCTION("""COMPUTED_VALUE"""),"$3.99")</f>
        <v>$3.99</v>
      </c>
      <c r="E303" s="3" t="str">
        <f>IFERROR(__xludf.DUMMYFUNCTION("""COMPUTED_VALUE"""),"N/A (N/A)")</f>
        <v>N/A (N/A)</v>
      </c>
      <c r="F303" s="3" t="str">
        <f>IFERROR(__xludf.DUMMYFUNCTION("""COMPUTED_VALUE"""),"0 .. 20,000")</f>
        <v>0 .. 20,000</v>
      </c>
      <c r="G303" s="3" t="str">
        <f>IFERROR(__xludf.DUMMYFUNCTION("""COMPUTED_VALUE"""),"00:00 (00:00)")</f>
        <v>00:00 (00:00)</v>
      </c>
      <c r="H303" s="34"/>
      <c r="O303" s="34"/>
      <c r="R303" s="34"/>
    </row>
    <row r="304">
      <c r="A304" s="3">
        <f>IFERROR(__xludf.DUMMYFUNCTION("""COMPUTED_VALUE"""),303.0)</f>
        <v>303</v>
      </c>
      <c r="B304" s="3" t="str">
        <f>IFERROR(__xludf.DUMMYFUNCTION("""COMPUTED_VALUE"""),"Forest Hustle")</f>
        <v>Forest Hustle</v>
      </c>
      <c r="C304" s="3" t="str">
        <f>IFERROR(__xludf.DUMMYFUNCTION("""COMPUTED_VALUE"""),"Jan 9, 2026")</f>
        <v>Jan 9, 2026</v>
      </c>
      <c r="D304" s="3" t="str">
        <f>IFERROR(__xludf.DUMMYFUNCTION("""COMPUTED_VALUE"""),"$4.99")</f>
        <v>$4.99</v>
      </c>
      <c r="E304" s="3" t="str">
        <f>IFERROR(__xludf.DUMMYFUNCTION("""COMPUTED_VALUE"""),"N/A (N/A)")</f>
        <v>N/A (N/A)</v>
      </c>
      <c r="F304" s="3" t="str">
        <f>IFERROR(__xludf.DUMMYFUNCTION("""COMPUTED_VALUE"""),"0 .. 20,000")</f>
        <v>0 .. 20,000</v>
      </c>
      <c r="G304" s="3" t="str">
        <f>IFERROR(__xludf.DUMMYFUNCTION("""COMPUTED_VALUE"""),"00:00 (00:00)")</f>
        <v>00:00 (00:00)</v>
      </c>
      <c r="H304" s="34"/>
      <c r="O304" s="34"/>
      <c r="R304" s="34"/>
    </row>
    <row r="305">
      <c r="A305" s="3">
        <f>IFERROR(__xludf.DUMMYFUNCTION("""COMPUTED_VALUE"""),304.0)</f>
        <v>304</v>
      </c>
      <c r="B305" s="3" t="str">
        <f>IFERROR(__xludf.DUMMYFUNCTION("""COMPUTED_VALUE"""),"Heartbeat House: Hong Kong")</f>
        <v>Heartbeat House: Hong Kong</v>
      </c>
      <c r="C305" s="3" t="str">
        <f>IFERROR(__xludf.DUMMYFUNCTION("""COMPUTED_VALUE"""),"Jan 9, 2026")</f>
        <v>Jan 9, 2026</v>
      </c>
      <c r="D305" s="3" t="str">
        <f>IFERROR(__xludf.DUMMYFUNCTION("""COMPUTED_VALUE"""),"$7.99")</f>
        <v>$7.99</v>
      </c>
      <c r="E305" s="3" t="str">
        <f>IFERROR(__xludf.DUMMYFUNCTION("""COMPUTED_VALUE"""),"N/A (N/A)")</f>
        <v>N/A (N/A)</v>
      </c>
      <c r="F305" s="3" t="str">
        <f>IFERROR(__xludf.DUMMYFUNCTION("""COMPUTED_VALUE"""),"0 .. 20,000")</f>
        <v>0 .. 20,000</v>
      </c>
      <c r="G305" s="3" t="str">
        <f>IFERROR(__xludf.DUMMYFUNCTION("""COMPUTED_VALUE"""),"00:00 (00:00)")</f>
        <v>00:00 (00:00)</v>
      </c>
      <c r="H305" s="34"/>
      <c r="O305" s="34"/>
      <c r="R305" s="34"/>
    </row>
    <row r="306">
      <c r="A306" s="3">
        <f>IFERROR(__xludf.DUMMYFUNCTION("""COMPUTED_VALUE"""),305.0)</f>
        <v>305</v>
      </c>
      <c r="B306" s="3" t="str">
        <f>IFERROR(__xludf.DUMMYFUNCTION("""COMPUTED_VALUE"""),"My Best Friend's Sister")</f>
        <v>My Best Friend's Sister</v>
      </c>
      <c r="C306" s="3" t="str">
        <f>IFERROR(__xludf.DUMMYFUNCTION("""COMPUTED_VALUE"""),"Jan 9, 2026")</f>
        <v>Jan 9, 2026</v>
      </c>
      <c r="D306" s="3" t="str">
        <f>IFERROR(__xludf.DUMMYFUNCTION("""COMPUTED_VALUE"""),"$12.99")</f>
        <v>$12.99</v>
      </c>
      <c r="E306" s="3" t="str">
        <f>IFERROR(__xludf.DUMMYFUNCTION("""COMPUTED_VALUE"""),"N/A (N/A)")</f>
        <v>N/A (N/A)</v>
      </c>
      <c r="F306" s="3" t="str">
        <f>IFERROR(__xludf.DUMMYFUNCTION("""COMPUTED_VALUE"""),"0 .. 20,000")</f>
        <v>0 .. 20,000</v>
      </c>
      <c r="G306" s="3" t="str">
        <f>IFERROR(__xludf.DUMMYFUNCTION("""COMPUTED_VALUE"""),"00:01 (00:01)")</f>
        <v>00:01 (00:01)</v>
      </c>
      <c r="H306" s="34"/>
      <c r="O306" s="34"/>
      <c r="R306" s="34"/>
    </row>
    <row r="307">
      <c r="A307" s="3">
        <f>IFERROR(__xludf.DUMMYFUNCTION("""COMPUTED_VALUE"""),306.0)</f>
        <v>306</v>
      </c>
      <c r="B307" s="3" t="str">
        <f>IFERROR(__xludf.DUMMYFUNCTION("""COMPUTED_VALUE"""),"There's No Differences: Cake")</f>
        <v>There's No Differences: Cake</v>
      </c>
      <c r="C307" s="3" t="str">
        <f>IFERROR(__xludf.DUMMYFUNCTION("""COMPUTED_VALUE"""),"Jan 9, 2026")</f>
        <v>Jan 9, 2026</v>
      </c>
      <c r="D307" s="3" t="str">
        <f>IFERROR(__xludf.DUMMYFUNCTION("""COMPUTED_VALUE"""),"$3.99")</f>
        <v>$3.99</v>
      </c>
      <c r="E307" s="3" t="str">
        <f>IFERROR(__xludf.DUMMYFUNCTION("""COMPUTED_VALUE"""),"N/A (N/A)")</f>
        <v>N/A (N/A)</v>
      </c>
      <c r="F307" s="3" t="str">
        <f>IFERROR(__xludf.DUMMYFUNCTION("""COMPUTED_VALUE"""),"0 .. 20,000")</f>
        <v>0 .. 20,000</v>
      </c>
      <c r="G307" s="3" t="str">
        <f>IFERROR(__xludf.DUMMYFUNCTION("""COMPUTED_VALUE"""),"00:00 (00:00)")</f>
        <v>00:00 (00:00)</v>
      </c>
      <c r="H307" s="34"/>
      <c r="O307" s="34"/>
      <c r="R307" s="34"/>
    </row>
    <row r="308">
      <c r="A308" s="3">
        <f>IFERROR(__xludf.DUMMYFUNCTION("""COMPUTED_VALUE"""),307.0)</f>
        <v>307</v>
      </c>
      <c r="B308" s="3" t="str">
        <f>IFERROR(__xludf.DUMMYFUNCTION("""COMPUTED_VALUE"""),"Shino's Insatiable Pursuit of Knowledge")</f>
        <v>Shino's Insatiable Pursuit of Knowledge</v>
      </c>
      <c r="C308" s="3" t="str">
        <f>IFERROR(__xludf.DUMMYFUNCTION("""COMPUTED_VALUE"""),"Jan 9, 2026")</f>
        <v>Jan 9, 2026</v>
      </c>
      <c r="D308" s="3" t="str">
        <f>IFERROR(__xludf.DUMMYFUNCTION("""COMPUTED_VALUE"""),"$12.99")</f>
        <v>$12.99</v>
      </c>
      <c r="E308" s="3" t="str">
        <f>IFERROR(__xludf.DUMMYFUNCTION("""COMPUTED_VALUE"""),"N/A (N/A)")</f>
        <v>N/A (N/A)</v>
      </c>
      <c r="F308" s="3" t="str">
        <f>IFERROR(__xludf.DUMMYFUNCTION("""COMPUTED_VALUE"""),"0 .. 20,000")</f>
        <v>0 .. 20,000</v>
      </c>
      <c r="G308" s="3" t="str">
        <f>IFERROR(__xludf.DUMMYFUNCTION("""COMPUTED_VALUE"""),"00:00 (00:00)")</f>
        <v>00:00 (00:00)</v>
      </c>
      <c r="H308" s="34"/>
      <c r="O308" s="34"/>
      <c r="R308" s="34"/>
    </row>
    <row r="309">
      <c r="A309" s="3">
        <f>IFERROR(__xludf.DUMMYFUNCTION("""COMPUTED_VALUE"""),308.0)</f>
        <v>308</v>
      </c>
      <c r="B309" s="3" t="str">
        <f>IFERROR(__xludf.DUMMYFUNCTION("""COMPUTED_VALUE"""),"Flappy Witch")</f>
        <v>Flappy Witch</v>
      </c>
      <c r="C309" s="3" t="str">
        <f>IFERROR(__xludf.DUMMYFUNCTION("""COMPUTED_VALUE"""),"Jan 9, 2026")</f>
        <v>Jan 9, 2026</v>
      </c>
      <c r="D309" s="3" t="str">
        <f>IFERROR(__xludf.DUMMYFUNCTION("""COMPUTED_VALUE"""),"$2.99")</f>
        <v>$2.99</v>
      </c>
      <c r="E309" s="3" t="str">
        <f>IFERROR(__xludf.DUMMYFUNCTION("""COMPUTED_VALUE"""),"N/A (N/A)")</f>
        <v>N/A (N/A)</v>
      </c>
      <c r="F309" s="3" t="str">
        <f>IFERROR(__xludf.DUMMYFUNCTION("""COMPUTED_VALUE"""),"0 .. 20,000")</f>
        <v>0 .. 20,000</v>
      </c>
      <c r="G309" s="3" t="str">
        <f>IFERROR(__xludf.DUMMYFUNCTION("""COMPUTED_VALUE"""),"00:00 (00:00)")</f>
        <v>00:00 (00:00)</v>
      </c>
      <c r="H309" s="34"/>
      <c r="O309" s="34"/>
      <c r="R309" s="34"/>
    </row>
    <row r="310">
      <c r="A310" s="3">
        <f>IFERROR(__xludf.DUMMYFUNCTION("""COMPUTED_VALUE"""),309.0)</f>
        <v>309</v>
      </c>
      <c r="B310" s="3" t="str">
        <f>IFERROR(__xludf.DUMMYFUNCTION("""COMPUTED_VALUE"""),"Love Love Mystery Club")</f>
        <v>Love Love Mystery Club</v>
      </c>
      <c r="C310" s="3" t="str">
        <f>IFERROR(__xludf.DUMMYFUNCTION("""COMPUTED_VALUE"""),"Jan 9, 2026")</f>
        <v>Jan 9, 2026</v>
      </c>
      <c r="D310" s="3" t="str">
        <f>IFERROR(__xludf.DUMMYFUNCTION("""COMPUTED_VALUE"""),"$19.99")</f>
        <v>$19.99</v>
      </c>
      <c r="E310" s="3" t="str">
        <f>IFERROR(__xludf.DUMMYFUNCTION("""COMPUTED_VALUE"""),"N/A (N/A)")</f>
        <v>N/A (N/A)</v>
      </c>
      <c r="F310" s="3" t="str">
        <f>IFERROR(__xludf.DUMMYFUNCTION("""COMPUTED_VALUE"""),"0 .. 20,000")</f>
        <v>0 .. 20,000</v>
      </c>
      <c r="G310" s="3" t="str">
        <f>IFERROR(__xludf.DUMMYFUNCTION("""COMPUTED_VALUE"""),"07:31 (07:31)")</f>
        <v>07:31 (07:31)</v>
      </c>
      <c r="H310" s="34"/>
      <c r="O310" s="34"/>
      <c r="R310" s="34"/>
    </row>
    <row r="311">
      <c r="A311" s="3">
        <f>IFERROR(__xludf.DUMMYFUNCTION("""COMPUTED_VALUE"""),310.0)</f>
        <v>310</v>
      </c>
      <c r="B311" s="3" t="str">
        <f>IFERROR(__xludf.DUMMYFUNCTION("""COMPUTED_VALUE"""),"Blood Money: Lethal Eden")</f>
        <v>Blood Money: Lethal Eden</v>
      </c>
      <c r="C311" s="3" t="str">
        <f>IFERROR(__xludf.DUMMYFUNCTION("""COMPUTED_VALUE"""),"Jan 9, 2026")</f>
        <v>Jan 9, 2026</v>
      </c>
      <c r="D311" s="3" t="str">
        <f>IFERROR(__xludf.DUMMYFUNCTION("""COMPUTED_VALUE"""),"$8.99")</f>
        <v>$8.99</v>
      </c>
      <c r="E311" s="3" t="str">
        <f>IFERROR(__xludf.DUMMYFUNCTION("""COMPUTED_VALUE"""),"N/A (N/A)")</f>
        <v>N/A (N/A)</v>
      </c>
      <c r="F311" s="3" t="str">
        <f>IFERROR(__xludf.DUMMYFUNCTION("""COMPUTED_VALUE"""),"0 .. 20,000")</f>
        <v>0 .. 20,000</v>
      </c>
      <c r="G311" s="3" t="str">
        <f>IFERROR(__xludf.DUMMYFUNCTION("""COMPUTED_VALUE"""),"00:00 (00:00)")</f>
        <v>00:00 (00:00)</v>
      </c>
      <c r="H311" s="34"/>
      <c r="O311" s="34"/>
      <c r="R311" s="34"/>
    </row>
    <row r="312">
      <c r="A312" s="3">
        <f>IFERROR(__xludf.DUMMYFUNCTION("""COMPUTED_VALUE"""),311.0)</f>
        <v>311</v>
      </c>
      <c r="B312" s="3" t="str">
        <f>IFERROR(__xludf.DUMMYFUNCTION("""COMPUTED_VALUE"""),"Snow Ash")</f>
        <v>Snow Ash</v>
      </c>
      <c r="C312" s="3" t="str">
        <f>IFERROR(__xludf.DUMMYFUNCTION("""COMPUTED_VALUE"""),"Jan 9, 2026")</f>
        <v>Jan 9, 2026</v>
      </c>
      <c r="D312" s="3" t="str">
        <f>IFERROR(__xludf.DUMMYFUNCTION("""COMPUTED_VALUE"""),"$14.99")</f>
        <v>$14.99</v>
      </c>
      <c r="E312" s="3" t="str">
        <f>IFERROR(__xludf.DUMMYFUNCTION("""COMPUTED_VALUE"""),"N/A (N/A)")</f>
        <v>N/A (N/A)</v>
      </c>
      <c r="F312" s="3" t="str">
        <f>IFERROR(__xludf.DUMMYFUNCTION("""COMPUTED_VALUE"""),"0 .. 20,000")</f>
        <v>0 .. 20,000</v>
      </c>
      <c r="G312" s="3" t="str">
        <f>IFERROR(__xludf.DUMMYFUNCTION("""COMPUTED_VALUE"""),"00:00 (00:00)")</f>
        <v>00:00 (00:00)</v>
      </c>
      <c r="H312" s="34"/>
      <c r="O312" s="34"/>
      <c r="R312" s="34"/>
    </row>
    <row r="313">
      <c r="A313" s="3">
        <f>IFERROR(__xludf.DUMMYFUNCTION("""COMPUTED_VALUE"""),312.0)</f>
        <v>312</v>
      </c>
      <c r="B313" s="3" t="str">
        <f>IFERROR(__xludf.DUMMYFUNCTION("""COMPUTED_VALUE"""),"Find My Buddy")</f>
        <v>Find My Buddy</v>
      </c>
      <c r="C313" s="3" t="str">
        <f>IFERROR(__xludf.DUMMYFUNCTION("""COMPUTED_VALUE"""),"Jan 9, 2026")</f>
        <v>Jan 9, 2026</v>
      </c>
      <c r="D313" s="3" t="str">
        <f>IFERROR(__xludf.DUMMYFUNCTION("""COMPUTED_VALUE"""),"$6.99")</f>
        <v>$6.99</v>
      </c>
      <c r="E313" s="3" t="str">
        <f>IFERROR(__xludf.DUMMYFUNCTION("""COMPUTED_VALUE"""),"N/A (N/A)")</f>
        <v>N/A (N/A)</v>
      </c>
      <c r="F313" s="3" t="str">
        <f>IFERROR(__xludf.DUMMYFUNCTION("""COMPUTED_VALUE"""),"0 .. 20,000")</f>
        <v>0 .. 20,000</v>
      </c>
      <c r="G313" s="3" t="str">
        <f>IFERROR(__xludf.DUMMYFUNCTION("""COMPUTED_VALUE"""),"00:00 (00:00)")</f>
        <v>00:00 (00:00)</v>
      </c>
      <c r="H313" s="34"/>
      <c r="O313" s="34"/>
      <c r="R313" s="34"/>
    </row>
    <row r="314">
      <c r="A314" s="3">
        <f>IFERROR(__xludf.DUMMYFUNCTION("""COMPUTED_VALUE"""),313.0)</f>
        <v>313</v>
      </c>
      <c r="B314" s="3" t="str">
        <f>IFERROR(__xludf.DUMMYFUNCTION("""COMPUTED_VALUE"""),"Sophie: The Girl From The Zone")</f>
        <v>Sophie: The Girl From The Zone</v>
      </c>
      <c r="C314" s="3" t="str">
        <f>IFERROR(__xludf.DUMMYFUNCTION("""COMPUTED_VALUE"""),"Jan 9, 2026")</f>
        <v>Jan 9, 2026</v>
      </c>
      <c r="D314" s="3" t="str">
        <f>IFERROR(__xludf.DUMMYFUNCTION("""COMPUTED_VALUE"""),"$14.99")</f>
        <v>$14.99</v>
      </c>
      <c r="E314" s="3" t="str">
        <f>IFERROR(__xludf.DUMMYFUNCTION("""COMPUTED_VALUE"""),"N/A (N/A)")</f>
        <v>N/A (N/A)</v>
      </c>
      <c r="F314" s="3" t="str">
        <f>IFERROR(__xludf.DUMMYFUNCTION("""COMPUTED_VALUE"""),"0 .. 20,000")</f>
        <v>0 .. 20,000</v>
      </c>
      <c r="G314" s="3" t="str">
        <f>IFERROR(__xludf.DUMMYFUNCTION("""COMPUTED_VALUE"""),"00:00 (00:00)")</f>
        <v>00:00 (00:00)</v>
      </c>
      <c r="H314" s="34"/>
      <c r="O314" s="34"/>
      <c r="R314" s="34"/>
    </row>
    <row r="315">
      <c r="A315" s="3">
        <f>IFERROR(__xludf.DUMMYFUNCTION("""COMPUTED_VALUE"""),314.0)</f>
        <v>314</v>
      </c>
      <c r="B315" s="3" t="str">
        <f>IFERROR(__xludf.DUMMYFUNCTION("""COMPUTED_VALUE"""),"Pathologic 3")</f>
        <v>Pathologic 3</v>
      </c>
      <c r="C315" s="3" t="str">
        <f>IFERROR(__xludf.DUMMYFUNCTION("""COMPUTED_VALUE"""),"Jan 9, 2026")</f>
        <v>Jan 9, 2026</v>
      </c>
      <c r="D315" s="3" t="str">
        <f>IFERROR(__xludf.DUMMYFUNCTION("""COMPUTED_VALUE"""),"$34.99")</f>
        <v>$34.99</v>
      </c>
      <c r="E315" s="3" t="str">
        <f>IFERROR(__xludf.DUMMYFUNCTION("""COMPUTED_VALUE"""),"N/A (N/A/83%)")</f>
        <v>N/A (N/A/83%)</v>
      </c>
      <c r="F315" s="3" t="str">
        <f>IFERROR(__xludf.DUMMYFUNCTION("""COMPUTED_VALUE"""),"0 .. 20,000")</f>
        <v>0 .. 20,000</v>
      </c>
      <c r="G315" s="3" t="str">
        <f>IFERROR(__xludf.DUMMYFUNCTION("""COMPUTED_VALUE"""),"01:23 (01:16)")</f>
        <v>01:23 (01:16)</v>
      </c>
      <c r="H315" s="34"/>
      <c r="O315" s="34"/>
      <c r="R315" s="34"/>
    </row>
    <row r="316">
      <c r="A316" s="3">
        <f>IFERROR(__xludf.DUMMYFUNCTION("""COMPUTED_VALUE"""),315.0)</f>
        <v>315</v>
      </c>
      <c r="B316" s="3" t="str">
        <f>IFERROR(__xludf.DUMMYFUNCTION("""COMPUTED_VALUE"""),"Alder Forge 2")</f>
        <v>Alder Forge 2</v>
      </c>
      <c r="C316" s="3" t="str">
        <f>IFERROR(__xludf.DUMMYFUNCTION("""COMPUTED_VALUE"""),"Jan 9, 2026")</f>
        <v>Jan 9, 2026</v>
      </c>
      <c r="D316" s="3" t="str">
        <f>IFERROR(__xludf.DUMMYFUNCTION("""COMPUTED_VALUE"""),"$12.99")</f>
        <v>$12.99</v>
      </c>
      <c r="E316" s="3" t="str">
        <f>IFERROR(__xludf.DUMMYFUNCTION("""COMPUTED_VALUE"""),"N/A (N/A)")</f>
        <v>N/A (N/A)</v>
      </c>
      <c r="F316" s="3" t="str">
        <f>IFERROR(__xludf.DUMMYFUNCTION("""COMPUTED_VALUE"""),"0 .. 20,000")</f>
        <v>0 .. 20,000</v>
      </c>
      <c r="G316" s="3" t="str">
        <f>IFERROR(__xludf.DUMMYFUNCTION("""COMPUTED_VALUE"""),"00:00 (00:00)")</f>
        <v>00:00 (00:00)</v>
      </c>
      <c r="H316" s="34"/>
      <c r="O316" s="34"/>
      <c r="R316" s="34"/>
    </row>
    <row r="317">
      <c r="A317" s="3">
        <f>IFERROR(__xludf.DUMMYFUNCTION("""COMPUTED_VALUE"""),316.0)</f>
        <v>316</v>
      </c>
      <c r="B317" s="3" t="str">
        <f>IFERROR(__xludf.DUMMYFUNCTION("""COMPUTED_VALUE"""),"DudeGo")</f>
        <v>DudeGo</v>
      </c>
      <c r="C317" s="3" t="str">
        <f>IFERROR(__xludf.DUMMYFUNCTION("""COMPUTED_VALUE"""),"Jan 9, 2026")</f>
        <v>Jan 9, 2026</v>
      </c>
      <c r="D317" s="3" t="str">
        <f>IFERROR(__xludf.DUMMYFUNCTION("""COMPUTED_VALUE"""),"$0.99")</f>
        <v>$0.99</v>
      </c>
      <c r="E317" s="3" t="str">
        <f>IFERROR(__xludf.DUMMYFUNCTION("""COMPUTED_VALUE"""),"N/A (N/A)")</f>
        <v>N/A (N/A)</v>
      </c>
      <c r="F317" s="3" t="str">
        <f>IFERROR(__xludf.DUMMYFUNCTION("""COMPUTED_VALUE"""),"0 .. 20,000")</f>
        <v>0 .. 20,000</v>
      </c>
      <c r="G317" s="3" t="str">
        <f>IFERROR(__xludf.DUMMYFUNCTION("""COMPUTED_VALUE"""),"00:00 (00:00)")</f>
        <v>00:00 (00:00)</v>
      </c>
      <c r="H317" s="34"/>
      <c r="O317" s="34"/>
      <c r="R317" s="34"/>
    </row>
    <row r="318">
      <c r="A318" s="3">
        <f>IFERROR(__xludf.DUMMYFUNCTION("""COMPUTED_VALUE"""),317.0)</f>
        <v>317</v>
      </c>
      <c r="B318" s="3" t="str">
        <f>IFERROR(__xludf.DUMMYFUNCTION("""COMPUTED_VALUE"""),"Transilio")</f>
        <v>Transilio</v>
      </c>
      <c r="C318" s="3" t="str">
        <f>IFERROR(__xludf.DUMMYFUNCTION("""COMPUTED_VALUE"""),"Jan 9, 2026")</f>
        <v>Jan 9, 2026</v>
      </c>
      <c r="D318" s="3" t="str">
        <f>IFERROR(__xludf.DUMMYFUNCTION("""COMPUTED_VALUE"""),"$4.99")</f>
        <v>$4.99</v>
      </c>
      <c r="E318" s="3" t="str">
        <f>IFERROR(__xludf.DUMMYFUNCTION("""COMPUTED_VALUE"""),"N/A (N/A)")</f>
        <v>N/A (N/A)</v>
      </c>
      <c r="F318" s="3" t="str">
        <f>IFERROR(__xludf.DUMMYFUNCTION("""COMPUTED_VALUE"""),"0 .. 20,000")</f>
        <v>0 .. 20,000</v>
      </c>
      <c r="G318" s="3" t="str">
        <f>IFERROR(__xludf.DUMMYFUNCTION("""COMPUTED_VALUE"""),"00:00 (00:00)")</f>
        <v>00:00 (00:00)</v>
      </c>
      <c r="H318" s="34"/>
      <c r="O318" s="34"/>
      <c r="R318" s="34"/>
    </row>
    <row r="319">
      <c r="A319" s="3">
        <f>IFERROR(__xludf.DUMMYFUNCTION("""COMPUTED_VALUE"""),318.0)</f>
        <v>318</v>
      </c>
      <c r="B319" s="3" t="str">
        <f>IFERROR(__xludf.DUMMYFUNCTION("""COMPUTED_VALUE"""),"Monster Path")</f>
        <v>Monster Path</v>
      </c>
      <c r="C319" s="3" t="str">
        <f>IFERROR(__xludf.DUMMYFUNCTION("""COMPUTED_VALUE"""),"Jan 9, 2026")</f>
        <v>Jan 9, 2026</v>
      </c>
      <c r="D319" s="3" t="str">
        <f>IFERROR(__xludf.DUMMYFUNCTION("""COMPUTED_VALUE"""),"$5.99")</f>
        <v>$5.99</v>
      </c>
      <c r="E319" s="3" t="str">
        <f>IFERROR(__xludf.DUMMYFUNCTION("""COMPUTED_VALUE"""),"N/A (N/A)")</f>
        <v>N/A (N/A)</v>
      </c>
      <c r="F319" s="3" t="str">
        <f>IFERROR(__xludf.DUMMYFUNCTION("""COMPUTED_VALUE"""),"0 .. 20,000")</f>
        <v>0 .. 20,000</v>
      </c>
      <c r="G319" s="3" t="str">
        <f>IFERROR(__xludf.DUMMYFUNCTION("""COMPUTED_VALUE"""),"00:00 (00:00)")</f>
        <v>00:00 (00:00)</v>
      </c>
      <c r="H319" s="34"/>
      <c r="O319" s="34"/>
      <c r="R319" s="34"/>
    </row>
    <row r="320">
      <c r="A320" s="3">
        <f>IFERROR(__xludf.DUMMYFUNCTION("""COMPUTED_VALUE"""),319.0)</f>
        <v>319</v>
      </c>
      <c r="B320" s="3" t="str">
        <f>IFERROR(__xludf.DUMMYFUNCTION("""COMPUTED_VALUE"""),"Rising Front")</f>
        <v>Rising Front</v>
      </c>
      <c r="C320" s="3" t="str">
        <f>IFERROR(__xludf.DUMMYFUNCTION("""COMPUTED_VALUE"""),"Jan 9, 2026")</f>
        <v>Jan 9, 2026</v>
      </c>
      <c r="D320" s="3" t="str">
        <f>IFERROR(__xludf.DUMMYFUNCTION("""COMPUTED_VALUE"""),"$14.99")</f>
        <v>$14.99</v>
      </c>
      <c r="E320" s="3" t="str">
        <f>IFERROR(__xludf.DUMMYFUNCTION("""COMPUTED_VALUE"""),"N/A (N/A)")</f>
        <v>N/A (N/A)</v>
      </c>
      <c r="F320" s="3" t="str">
        <f>IFERROR(__xludf.DUMMYFUNCTION("""COMPUTED_VALUE"""),"200,000 .. 500,000")</f>
        <v>200,000 .. 500,000</v>
      </c>
      <c r="G320" s="3" t="str">
        <f>IFERROR(__xludf.DUMMYFUNCTION("""COMPUTED_VALUE"""),"00:00 (00:00)")</f>
        <v>00:00 (00:00)</v>
      </c>
      <c r="H320" s="34"/>
      <c r="O320" s="34"/>
      <c r="R320" s="34"/>
    </row>
    <row r="321">
      <c r="A321" s="3">
        <f>IFERROR(__xludf.DUMMYFUNCTION("""COMPUTED_VALUE"""),320.0)</f>
        <v>320</v>
      </c>
      <c r="B321" s="3" t="str">
        <f>IFERROR(__xludf.DUMMYFUNCTION("""COMPUTED_VALUE"""),"MARKSMAN VR")</f>
        <v>MARKSMAN VR</v>
      </c>
      <c r="C321" s="3" t="str">
        <f>IFERROR(__xludf.DUMMYFUNCTION("""COMPUTED_VALUE"""),"Jan 8, 2026")</f>
        <v>Jan 8, 2026</v>
      </c>
      <c r="D321" s="3" t="str">
        <f>IFERROR(__xludf.DUMMYFUNCTION("""COMPUTED_VALUE"""),"$8.99")</f>
        <v>$8.99</v>
      </c>
      <c r="E321" s="3" t="str">
        <f>IFERROR(__xludf.DUMMYFUNCTION("""COMPUTED_VALUE"""),"N/A (N/A)")</f>
        <v>N/A (N/A)</v>
      </c>
      <c r="F321" s="3" t="str">
        <f>IFERROR(__xludf.DUMMYFUNCTION("""COMPUTED_VALUE"""),"0 .. 20,000")</f>
        <v>0 .. 20,000</v>
      </c>
      <c r="G321" s="3" t="str">
        <f>IFERROR(__xludf.DUMMYFUNCTION("""COMPUTED_VALUE"""),"00:00 (00:00)")</f>
        <v>00:00 (00:00)</v>
      </c>
      <c r="H321" s="34"/>
      <c r="O321" s="34"/>
      <c r="R321" s="34"/>
    </row>
    <row r="322">
      <c r="A322" s="3">
        <f>IFERROR(__xludf.DUMMYFUNCTION("""COMPUTED_VALUE"""),321.0)</f>
        <v>321</v>
      </c>
      <c r="B322" s="3" t="str">
        <f>IFERROR(__xludf.DUMMYFUNCTION("""COMPUTED_VALUE"""),"Kinsfolk")</f>
        <v>Kinsfolk</v>
      </c>
      <c r="C322" s="3" t="str">
        <f>IFERROR(__xludf.DUMMYFUNCTION("""COMPUTED_VALUE"""),"Jan 8, 2026")</f>
        <v>Jan 8, 2026</v>
      </c>
      <c r="D322" s="3" t="str">
        <f>IFERROR(__xludf.DUMMYFUNCTION("""COMPUTED_VALUE"""),"$4.99")</f>
        <v>$4.99</v>
      </c>
      <c r="E322" s="3" t="str">
        <f>IFERROR(__xludf.DUMMYFUNCTION("""COMPUTED_VALUE"""),"N/A (N/A)")</f>
        <v>N/A (N/A)</v>
      </c>
      <c r="F322" s="3" t="str">
        <f>IFERROR(__xludf.DUMMYFUNCTION("""COMPUTED_VALUE"""),"0 .. 20,000")</f>
        <v>0 .. 20,000</v>
      </c>
      <c r="G322" s="3" t="str">
        <f>IFERROR(__xludf.DUMMYFUNCTION("""COMPUTED_VALUE"""),"00:00 (00:00)")</f>
        <v>00:00 (00:00)</v>
      </c>
      <c r="H322" s="34"/>
      <c r="O322" s="34"/>
      <c r="R322" s="34"/>
    </row>
    <row r="323">
      <c r="A323" s="3">
        <f>IFERROR(__xludf.DUMMYFUNCTION("""COMPUTED_VALUE"""),322.0)</f>
        <v>322</v>
      </c>
      <c r="B323" s="3" t="str">
        <f>IFERROR(__xludf.DUMMYFUNCTION("""COMPUTED_VALUE"""),"Bots &amp; Mods")</f>
        <v>Bots &amp; Mods</v>
      </c>
      <c r="C323" s="3" t="str">
        <f>IFERROR(__xludf.DUMMYFUNCTION("""COMPUTED_VALUE"""),"Jan 8, 2026")</f>
        <v>Jan 8, 2026</v>
      </c>
      <c r="D323" s="3" t="str">
        <f>IFERROR(__xludf.DUMMYFUNCTION("""COMPUTED_VALUE"""),"$8.99")</f>
        <v>$8.99</v>
      </c>
      <c r="E323" s="3" t="str">
        <f>IFERROR(__xludf.DUMMYFUNCTION("""COMPUTED_VALUE"""),"N/A (N/A)")</f>
        <v>N/A (N/A)</v>
      </c>
      <c r="F323" s="3" t="str">
        <f>IFERROR(__xludf.DUMMYFUNCTION("""COMPUTED_VALUE"""),"0 .. 20,000")</f>
        <v>0 .. 20,000</v>
      </c>
      <c r="G323" s="3" t="str">
        <f>IFERROR(__xludf.DUMMYFUNCTION("""COMPUTED_VALUE"""),"00:00 (00:00)")</f>
        <v>00:00 (00:00)</v>
      </c>
      <c r="H323" s="34"/>
      <c r="O323" s="34"/>
      <c r="R323" s="34"/>
    </row>
    <row r="324">
      <c r="A324" s="3">
        <f>IFERROR(__xludf.DUMMYFUNCTION("""COMPUTED_VALUE"""),323.0)</f>
        <v>323</v>
      </c>
      <c r="B324" s="3" t="str">
        <f>IFERROR(__xludf.DUMMYFUNCTION("""COMPUTED_VALUE"""),"Zombie Death Day")</f>
        <v>Zombie Death Day</v>
      </c>
      <c r="C324" s="3" t="str">
        <f>IFERROR(__xludf.DUMMYFUNCTION("""COMPUTED_VALUE"""),"Jan 8, 2026")</f>
        <v>Jan 8, 2026</v>
      </c>
      <c r="D324" s="3" t="str">
        <f>IFERROR(__xludf.DUMMYFUNCTION("""COMPUTED_VALUE"""),"$11.99")</f>
        <v>$11.99</v>
      </c>
      <c r="E324" s="3" t="str">
        <f>IFERROR(__xludf.DUMMYFUNCTION("""COMPUTED_VALUE"""),"N/A (N/A)")</f>
        <v>N/A (N/A)</v>
      </c>
      <c r="F324" s="3" t="str">
        <f>IFERROR(__xludf.DUMMYFUNCTION("""COMPUTED_VALUE"""),"0 .. 20,000")</f>
        <v>0 .. 20,000</v>
      </c>
      <c r="G324" s="3" t="str">
        <f>IFERROR(__xludf.DUMMYFUNCTION("""COMPUTED_VALUE"""),"00:00 (00:00)")</f>
        <v>00:00 (00:00)</v>
      </c>
      <c r="H324" s="34"/>
      <c r="O324" s="34"/>
      <c r="R324" s="34"/>
    </row>
    <row r="325">
      <c r="A325" s="3">
        <f>IFERROR(__xludf.DUMMYFUNCTION("""COMPUTED_VALUE"""),324.0)</f>
        <v>324</v>
      </c>
      <c r="B325" s="3" t="str">
        <f>IFERROR(__xludf.DUMMYFUNCTION("""COMPUTED_VALUE"""),"ENTITY: THE BLACK DAY")</f>
        <v>ENTITY: THE BLACK DAY</v>
      </c>
      <c r="C325" s="3" t="str">
        <f>IFERROR(__xludf.DUMMYFUNCTION("""COMPUTED_VALUE"""),"Jan 8, 2026")</f>
        <v>Jan 8, 2026</v>
      </c>
      <c r="D325" s="3" t="str">
        <f>IFERROR(__xludf.DUMMYFUNCTION("""COMPUTED_VALUE"""),"$17.99")</f>
        <v>$17.99</v>
      </c>
      <c r="E325" s="3" t="str">
        <f>IFERROR(__xludf.DUMMYFUNCTION("""COMPUTED_VALUE"""),"N/A (N/A)")</f>
        <v>N/A (N/A)</v>
      </c>
      <c r="F325" s="3" t="str">
        <f>IFERROR(__xludf.DUMMYFUNCTION("""COMPUTED_VALUE"""),"0 .. 20,000")</f>
        <v>0 .. 20,000</v>
      </c>
      <c r="G325" s="3" t="str">
        <f>IFERROR(__xludf.DUMMYFUNCTION("""COMPUTED_VALUE"""),"00:00 (00:00)")</f>
        <v>00:00 (00:00)</v>
      </c>
      <c r="H325" s="34"/>
      <c r="O325" s="34"/>
      <c r="R325" s="34"/>
    </row>
    <row r="326">
      <c r="A326" s="3">
        <f>IFERROR(__xludf.DUMMYFUNCTION("""COMPUTED_VALUE"""),325.0)</f>
        <v>325</v>
      </c>
      <c r="B326" s="3" t="str">
        <f>IFERROR(__xludf.DUMMYFUNCTION("""COMPUTED_VALUE"""),"WATCH▷")</f>
        <v>WATCH▷</v>
      </c>
      <c r="C326" s="3" t="str">
        <f>IFERROR(__xludf.DUMMYFUNCTION("""COMPUTED_VALUE"""),"Jan 8, 2026")</f>
        <v>Jan 8, 2026</v>
      </c>
      <c r="D326" s="3" t="str">
        <f>IFERROR(__xludf.DUMMYFUNCTION("""COMPUTED_VALUE"""),"$3")</f>
        <v>$3</v>
      </c>
      <c r="E326" s="3" t="str">
        <f>IFERROR(__xludf.DUMMYFUNCTION("""COMPUTED_VALUE"""),"N/A (N/A)")</f>
        <v>N/A (N/A)</v>
      </c>
      <c r="F326" s="3" t="str">
        <f>IFERROR(__xludf.DUMMYFUNCTION("""COMPUTED_VALUE"""),"0 .. 20,000")</f>
        <v>0 .. 20,000</v>
      </c>
      <c r="G326" s="3" t="str">
        <f>IFERROR(__xludf.DUMMYFUNCTION("""COMPUTED_VALUE"""),"00:00 (00:00)")</f>
        <v>00:00 (00:00)</v>
      </c>
      <c r="H326" s="34"/>
      <c r="O326" s="34"/>
      <c r="R326" s="34"/>
    </row>
    <row r="327">
      <c r="A327" s="3">
        <f>IFERROR(__xludf.DUMMYFUNCTION("""COMPUTED_VALUE"""),326.0)</f>
        <v>326</v>
      </c>
      <c r="B327" s="3" t="str">
        <f>IFERROR(__xludf.DUMMYFUNCTION("""COMPUTED_VALUE"""),"Blasten!!")</f>
        <v>Blasten!!</v>
      </c>
      <c r="C327" s="3" t="str">
        <f>IFERROR(__xludf.DUMMYFUNCTION("""COMPUTED_VALUE"""),"Jan 8, 2026")</f>
        <v>Jan 8, 2026</v>
      </c>
      <c r="D327" s="3" t="str">
        <f>IFERROR(__xludf.DUMMYFUNCTION("""COMPUTED_VALUE"""),"$9.99")</f>
        <v>$9.99</v>
      </c>
      <c r="E327" s="3" t="str">
        <f>IFERROR(__xludf.DUMMYFUNCTION("""COMPUTED_VALUE"""),"N/A (N/A)")</f>
        <v>N/A (N/A)</v>
      </c>
      <c r="F327" s="3" t="str">
        <f>IFERROR(__xludf.DUMMYFUNCTION("""COMPUTED_VALUE"""),"0 .. 20,000")</f>
        <v>0 .. 20,000</v>
      </c>
      <c r="G327" s="3" t="str">
        <f>IFERROR(__xludf.DUMMYFUNCTION("""COMPUTED_VALUE"""),"00:00 (00:00)")</f>
        <v>00:00 (00:00)</v>
      </c>
      <c r="H327" s="34"/>
      <c r="O327" s="34"/>
      <c r="R327" s="34"/>
    </row>
    <row r="328">
      <c r="A328" s="3">
        <f>IFERROR(__xludf.DUMMYFUNCTION("""COMPUTED_VALUE"""),327.0)</f>
        <v>327</v>
      </c>
      <c r="B328" s="3" t="str">
        <f>IFERROR(__xludf.DUMMYFUNCTION("""COMPUTED_VALUE"""),"My Landlord Is a Sadistic MILF")</f>
        <v>My Landlord Is a Sadistic MILF</v>
      </c>
      <c r="C328" s="3" t="str">
        <f>IFERROR(__xludf.DUMMYFUNCTION("""COMPUTED_VALUE"""),"Jan 7, 2026")</f>
        <v>Jan 7, 2026</v>
      </c>
      <c r="D328" s="3" t="str">
        <f>IFERROR(__xludf.DUMMYFUNCTION("""COMPUTED_VALUE"""),"$0.99")</f>
        <v>$0.99</v>
      </c>
      <c r="E328" s="3" t="str">
        <f>IFERROR(__xludf.DUMMYFUNCTION("""COMPUTED_VALUE"""),"N/A (N/A)")</f>
        <v>N/A (N/A)</v>
      </c>
      <c r="F328" s="3" t="str">
        <f>IFERROR(__xludf.DUMMYFUNCTION("""COMPUTED_VALUE"""),"0 .. 20,000")</f>
        <v>0 .. 20,000</v>
      </c>
      <c r="G328" s="3" t="str">
        <f>IFERROR(__xludf.DUMMYFUNCTION("""COMPUTED_VALUE"""),"00:00 (00:00)")</f>
        <v>00:00 (00:00)</v>
      </c>
      <c r="H328" s="34"/>
      <c r="O328" s="34"/>
      <c r="R328" s="34"/>
    </row>
    <row r="329">
      <c r="A329" s="3">
        <f>IFERROR(__xludf.DUMMYFUNCTION("""COMPUTED_VALUE"""),328.0)</f>
        <v>328</v>
      </c>
      <c r="B329" s="3" t="str">
        <f>IFERROR(__xludf.DUMMYFUNCTION("""COMPUTED_VALUE"""),"Maya, Valentina, Naomi")</f>
        <v>Maya, Valentina, Naomi</v>
      </c>
      <c r="C329" s="3" t="str">
        <f>IFERROR(__xludf.DUMMYFUNCTION("""COMPUTED_VALUE"""),"Jan 7, 2026")</f>
        <v>Jan 7, 2026</v>
      </c>
      <c r="D329" s="3" t="str">
        <f>IFERROR(__xludf.DUMMYFUNCTION("""COMPUTED_VALUE"""),"$2.99")</f>
        <v>$2.99</v>
      </c>
      <c r="E329" s="3" t="str">
        <f>IFERROR(__xludf.DUMMYFUNCTION("""COMPUTED_VALUE"""),"N/A (N/A)")</f>
        <v>N/A (N/A)</v>
      </c>
      <c r="F329" s="3" t="str">
        <f>IFERROR(__xludf.DUMMYFUNCTION("""COMPUTED_VALUE"""),"0 .. 20,000")</f>
        <v>0 .. 20,000</v>
      </c>
      <c r="G329" s="3" t="str">
        <f>IFERROR(__xludf.DUMMYFUNCTION("""COMPUTED_VALUE"""),"00:00 (00:00)")</f>
        <v>00:00 (00:00)</v>
      </c>
      <c r="H329" s="34"/>
      <c r="O329" s="34"/>
      <c r="R329" s="34"/>
    </row>
    <row r="330">
      <c r="A330" s="3">
        <f>IFERROR(__xludf.DUMMYFUNCTION("""COMPUTED_VALUE"""),329.0)</f>
        <v>329</v>
      </c>
      <c r="B330" s="3" t="str">
        <f>IFERROR(__xludf.DUMMYFUNCTION("""COMPUTED_VALUE"""),"Marble's Marbles")</f>
        <v>Marble's Marbles</v>
      </c>
      <c r="C330" s="3" t="str">
        <f>IFERROR(__xludf.DUMMYFUNCTION("""COMPUTED_VALUE"""),"Jan 7, 2026")</f>
        <v>Jan 7, 2026</v>
      </c>
      <c r="D330" s="3" t="str">
        <f>IFERROR(__xludf.DUMMYFUNCTION("""COMPUTED_VALUE"""),"$7.99")</f>
        <v>$7.99</v>
      </c>
      <c r="E330" s="3" t="str">
        <f>IFERROR(__xludf.DUMMYFUNCTION("""COMPUTED_VALUE"""),"N/A (N/A)")</f>
        <v>N/A (N/A)</v>
      </c>
      <c r="F330" s="3" t="str">
        <f>IFERROR(__xludf.DUMMYFUNCTION("""COMPUTED_VALUE"""),"0 .. 20,000")</f>
        <v>0 .. 20,000</v>
      </c>
      <c r="G330" s="3" t="str">
        <f>IFERROR(__xludf.DUMMYFUNCTION("""COMPUTED_VALUE"""),"00:05 (00:02)")</f>
        <v>00:05 (00:02)</v>
      </c>
      <c r="H330" s="34"/>
      <c r="O330" s="34"/>
      <c r="R330" s="34"/>
    </row>
    <row r="331">
      <c r="A331" s="3">
        <f>IFERROR(__xludf.DUMMYFUNCTION("""COMPUTED_VALUE"""),330.0)</f>
        <v>330</v>
      </c>
      <c r="B331" s="3" t="str">
        <f>IFERROR(__xludf.DUMMYFUNCTION("""COMPUTED_VALUE"""),"Theft Runner")</f>
        <v>Theft Runner</v>
      </c>
      <c r="C331" s="3" t="str">
        <f>IFERROR(__xludf.DUMMYFUNCTION("""COMPUTED_VALUE"""),"Jan 7, 2026")</f>
        <v>Jan 7, 2026</v>
      </c>
      <c r="D331" s="3" t="str">
        <f>IFERROR(__xludf.DUMMYFUNCTION("""COMPUTED_VALUE"""),"$0.99")</f>
        <v>$0.99</v>
      </c>
      <c r="E331" s="3" t="str">
        <f>IFERROR(__xludf.DUMMYFUNCTION("""COMPUTED_VALUE"""),"N/A (N/A)")</f>
        <v>N/A (N/A)</v>
      </c>
      <c r="F331" s="3" t="str">
        <f>IFERROR(__xludf.DUMMYFUNCTION("""COMPUTED_VALUE"""),"0 .. 20,000")</f>
        <v>0 .. 20,000</v>
      </c>
      <c r="G331" s="3" t="str">
        <f>IFERROR(__xludf.DUMMYFUNCTION("""COMPUTED_VALUE"""),"00:00 (00:00)")</f>
        <v>00:00 (00:00)</v>
      </c>
      <c r="H331" s="34"/>
      <c r="O331" s="34"/>
      <c r="R331" s="34"/>
    </row>
    <row r="332">
      <c r="A332" s="3">
        <f>IFERROR(__xludf.DUMMYFUNCTION("""COMPUTED_VALUE"""),331.0)</f>
        <v>331</v>
      </c>
      <c r="B332" s="3" t="str">
        <f>IFERROR(__xludf.DUMMYFUNCTION("""COMPUTED_VALUE"""),"Fickle Card Legend")</f>
        <v>Fickle Card Legend</v>
      </c>
      <c r="C332" s="3" t="str">
        <f>IFERROR(__xludf.DUMMYFUNCTION("""COMPUTED_VALUE"""),"Jan 7, 2026")</f>
        <v>Jan 7, 2026</v>
      </c>
      <c r="D332" s="3" t="str">
        <f>IFERROR(__xludf.DUMMYFUNCTION("""COMPUTED_VALUE"""),"$7.99")</f>
        <v>$7.99</v>
      </c>
      <c r="E332" s="3" t="str">
        <f>IFERROR(__xludf.DUMMYFUNCTION("""COMPUTED_VALUE"""),"N/A (N/A)")</f>
        <v>N/A (N/A)</v>
      </c>
      <c r="F332" s="3" t="str">
        <f>IFERROR(__xludf.DUMMYFUNCTION("""COMPUTED_VALUE"""),"0 .. 20,000")</f>
        <v>0 .. 20,000</v>
      </c>
      <c r="G332" s="3" t="str">
        <f>IFERROR(__xludf.DUMMYFUNCTION("""COMPUTED_VALUE"""),"00:00 (00:00)")</f>
        <v>00:00 (00:00)</v>
      </c>
      <c r="H332" s="34"/>
      <c r="O332" s="34"/>
      <c r="R332" s="34"/>
    </row>
    <row r="333">
      <c r="A333" s="3">
        <f>IFERROR(__xludf.DUMMYFUNCTION("""COMPUTED_VALUE"""),332.0)</f>
        <v>332</v>
      </c>
      <c r="B333" s="3" t="str">
        <f>IFERROR(__xludf.DUMMYFUNCTION("""COMPUTED_VALUE"""),"Dungeon Antiqua 2")</f>
        <v>Dungeon Antiqua 2</v>
      </c>
      <c r="C333" s="3" t="str">
        <f>IFERROR(__xludf.DUMMYFUNCTION("""COMPUTED_VALUE"""),"Jan 7, 2026")</f>
        <v>Jan 7, 2026</v>
      </c>
      <c r="D333" s="3" t="str">
        <f>IFERROR(__xludf.DUMMYFUNCTION("""COMPUTED_VALUE"""),"$8.99")</f>
        <v>$8.99</v>
      </c>
      <c r="E333" s="3" t="str">
        <f>IFERROR(__xludf.DUMMYFUNCTION("""COMPUTED_VALUE"""),"N/A (N/A)")</f>
        <v>N/A (N/A)</v>
      </c>
      <c r="F333" s="3" t="str">
        <f>IFERROR(__xludf.DUMMYFUNCTION("""COMPUTED_VALUE"""),"0 .. 20,000")</f>
        <v>0 .. 20,000</v>
      </c>
      <c r="G333" s="3" t="str">
        <f>IFERROR(__xludf.DUMMYFUNCTION("""COMPUTED_VALUE"""),"00:00 (00:00)")</f>
        <v>00:00 (00:00)</v>
      </c>
      <c r="H333" s="34"/>
      <c r="O333" s="34"/>
      <c r="R333" s="34"/>
    </row>
    <row r="334">
      <c r="A334" s="3">
        <f>IFERROR(__xludf.DUMMYFUNCTION("""COMPUTED_VALUE"""),333.0)</f>
        <v>333</v>
      </c>
      <c r="B334" s="3" t="str">
        <f>IFERROR(__xludf.DUMMYFUNCTION("""COMPUTED_VALUE"""),"EvoCreo")</f>
        <v>EvoCreo</v>
      </c>
      <c r="C334" s="3" t="str">
        <f>IFERROR(__xludf.DUMMYFUNCTION("""COMPUTED_VALUE"""),"Jan 7, 2026")</f>
        <v>Jan 7, 2026</v>
      </c>
      <c r="D334" s="3" t="str">
        <f>IFERROR(__xludf.DUMMYFUNCTION("""COMPUTED_VALUE"""),"$9.99")</f>
        <v>$9.99</v>
      </c>
      <c r="E334" s="3" t="str">
        <f>IFERROR(__xludf.DUMMYFUNCTION("""COMPUTED_VALUE"""),"N/A (N/A)")</f>
        <v>N/A (N/A)</v>
      </c>
      <c r="F334" s="3" t="str">
        <f>IFERROR(__xludf.DUMMYFUNCTION("""COMPUTED_VALUE"""),"0 .. 20,000")</f>
        <v>0 .. 20,000</v>
      </c>
      <c r="G334" s="3" t="str">
        <f>IFERROR(__xludf.DUMMYFUNCTION("""COMPUTED_VALUE"""),"00:00 (00:00)")</f>
        <v>00:00 (00:00)</v>
      </c>
      <c r="H334" s="34"/>
      <c r="O334" s="34"/>
      <c r="R334" s="34"/>
    </row>
    <row r="335">
      <c r="A335" s="3">
        <f>IFERROR(__xludf.DUMMYFUNCTION("""COMPUTED_VALUE"""),334.0)</f>
        <v>334</v>
      </c>
      <c r="B335" s="3" t="str">
        <f>IFERROR(__xludf.DUMMYFUNCTION("""COMPUTED_VALUE"""),"Vital Shell")</f>
        <v>Vital Shell</v>
      </c>
      <c r="C335" s="3" t="str">
        <f>IFERROR(__xludf.DUMMYFUNCTION("""COMPUTED_VALUE"""),"Jan 7, 2026")</f>
        <v>Jan 7, 2026</v>
      </c>
      <c r="D335" s="3" t="str">
        <f>IFERROR(__xludf.DUMMYFUNCTION("""COMPUTED_VALUE"""),"$5.99")</f>
        <v>$5.99</v>
      </c>
      <c r="E335" s="3" t="str">
        <f>IFERROR(__xludf.DUMMYFUNCTION("""COMPUTED_VALUE"""),"N/A (N/A)")</f>
        <v>N/A (N/A)</v>
      </c>
      <c r="F335" s="3" t="str">
        <f>IFERROR(__xludf.DUMMYFUNCTION("""COMPUTED_VALUE"""),"0 .. 20,000")</f>
        <v>0 .. 20,000</v>
      </c>
      <c r="G335" s="3" t="str">
        <f>IFERROR(__xludf.DUMMYFUNCTION("""COMPUTED_VALUE"""),"04:29 (05:20)")</f>
        <v>04:29 (05:20)</v>
      </c>
      <c r="H335" s="34"/>
      <c r="O335" s="34"/>
      <c r="R335" s="34"/>
    </row>
    <row r="336">
      <c r="A336" s="3">
        <f>IFERROR(__xludf.DUMMYFUNCTION("""COMPUTED_VALUE"""),335.0)</f>
        <v>335</v>
      </c>
      <c r="B336" s="3" t="str">
        <f>IFERROR(__xludf.DUMMYFUNCTION("""COMPUTED_VALUE"""),"Hologuard")</f>
        <v>Hologuard</v>
      </c>
      <c r="C336" s="3" t="str">
        <f>IFERROR(__xludf.DUMMYFUNCTION("""COMPUTED_VALUE"""),"Jan 7, 2026")</f>
        <v>Jan 7, 2026</v>
      </c>
      <c r="D336" s="3" t="str">
        <f>IFERROR(__xludf.DUMMYFUNCTION("""COMPUTED_VALUE"""),"$4.99")</f>
        <v>$4.99</v>
      </c>
      <c r="E336" s="3" t="str">
        <f>IFERROR(__xludf.DUMMYFUNCTION("""COMPUTED_VALUE"""),"N/A (N/A)")</f>
        <v>N/A (N/A)</v>
      </c>
      <c r="F336" s="3" t="str">
        <f>IFERROR(__xludf.DUMMYFUNCTION("""COMPUTED_VALUE"""),"0 .. 20,000")</f>
        <v>0 .. 20,000</v>
      </c>
      <c r="G336" s="3" t="str">
        <f>IFERROR(__xludf.DUMMYFUNCTION("""COMPUTED_VALUE"""),"00:00 (00:00)")</f>
        <v>00:00 (00:00)</v>
      </c>
      <c r="H336" s="34"/>
      <c r="O336" s="34"/>
      <c r="R336" s="34"/>
    </row>
    <row r="337">
      <c r="A337" s="3">
        <f>IFERROR(__xludf.DUMMYFUNCTION("""COMPUTED_VALUE"""),336.0)</f>
        <v>336</v>
      </c>
      <c r="B337" s="3" t="str">
        <f>IFERROR(__xludf.DUMMYFUNCTION("""COMPUTED_VALUE"""),"Goo Go")</f>
        <v>Goo Go</v>
      </c>
      <c r="C337" s="3" t="str">
        <f>IFERROR(__xludf.DUMMYFUNCTION("""COMPUTED_VALUE"""),"Jan 7, 2026")</f>
        <v>Jan 7, 2026</v>
      </c>
      <c r="D337" s="3" t="str">
        <f>IFERROR(__xludf.DUMMYFUNCTION("""COMPUTED_VALUE"""),"$0.99")</f>
        <v>$0.99</v>
      </c>
      <c r="E337" s="3" t="str">
        <f>IFERROR(__xludf.DUMMYFUNCTION("""COMPUTED_VALUE"""),"N/A (N/A)")</f>
        <v>N/A (N/A)</v>
      </c>
      <c r="F337" s="3" t="str">
        <f>IFERROR(__xludf.DUMMYFUNCTION("""COMPUTED_VALUE"""),"0 .. 20,000")</f>
        <v>0 .. 20,000</v>
      </c>
      <c r="G337" s="3" t="str">
        <f>IFERROR(__xludf.DUMMYFUNCTION("""COMPUTED_VALUE"""),"00:00 (00:00)")</f>
        <v>00:00 (00:00)</v>
      </c>
      <c r="H337" s="34"/>
      <c r="O337" s="34"/>
      <c r="R337" s="34"/>
    </row>
    <row r="338">
      <c r="A338" s="3">
        <f>IFERROR(__xludf.DUMMYFUNCTION("""COMPUTED_VALUE"""),337.0)</f>
        <v>337</v>
      </c>
      <c r="B338" s="3" t="str">
        <f>IFERROR(__xludf.DUMMYFUNCTION("""COMPUTED_VALUE"""),"Get Up In The Night")</f>
        <v>Get Up In The Night</v>
      </c>
      <c r="C338" s="3" t="str">
        <f>IFERROR(__xludf.DUMMYFUNCTION("""COMPUTED_VALUE"""),"Jan 7, 2026")</f>
        <v>Jan 7, 2026</v>
      </c>
      <c r="D338" s="3" t="str">
        <f>IFERROR(__xludf.DUMMYFUNCTION("""COMPUTED_VALUE"""),"$6.99")</f>
        <v>$6.99</v>
      </c>
      <c r="E338" s="3" t="str">
        <f>IFERROR(__xludf.DUMMYFUNCTION("""COMPUTED_VALUE"""),"N/A (N/A)")</f>
        <v>N/A (N/A)</v>
      </c>
      <c r="F338" s="3" t="str">
        <f>IFERROR(__xludf.DUMMYFUNCTION("""COMPUTED_VALUE"""),"0 .. 20,000")</f>
        <v>0 .. 20,000</v>
      </c>
      <c r="G338" s="3" t="str">
        <f>IFERROR(__xludf.DUMMYFUNCTION("""COMPUTED_VALUE"""),"00:00 (00:00)")</f>
        <v>00:00 (00:00)</v>
      </c>
      <c r="H338" s="34"/>
      <c r="O338" s="34"/>
      <c r="R338" s="34"/>
    </row>
    <row r="339">
      <c r="A339" s="3">
        <f>IFERROR(__xludf.DUMMYFUNCTION("""COMPUTED_VALUE"""),338.0)</f>
        <v>338</v>
      </c>
      <c r="B339" s="3" t="str">
        <f>IFERROR(__xludf.DUMMYFUNCTION("""COMPUTED_VALUE"""),"ODDCORE")</f>
        <v>ODDCORE</v>
      </c>
      <c r="C339" s="3" t="str">
        <f>IFERROR(__xludf.DUMMYFUNCTION("""COMPUTED_VALUE"""),"Jan 7, 2026")</f>
        <v>Jan 7, 2026</v>
      </c>
      <c r="D339" s="3" t="str">
        <f>IFERROR(__xludf.DUMMYFUNCTION("""COMPUTED_VALUE"""),"$9.99")</f>
        <v>$9.99</v>
      </c>
      <c r="E339" s="3" t="str">
        <f>IFERROR(__xludf.DUMMYFUNCTION("""COMPUTED_VALUE"""),"N/A (N/A)")</f>
        <v>N/A (N/A)</v>
      </c>
      <c r="F339" s="3" t="str">
        <f>IFERROR(__xludf.DUMMYFUNCTION("""COMPUTED_VALUE"""),"0 .. 20,000")</f>
        <v>0 .. 20,000</v>
      </c>
      <c r="G339" s="3" t="str">
        <f>IFERROR(__xludf.DUMMYFUNCTION("""COMPUTED_VALUE"""),"00:09 (00:04)")</f>
        <v>00:09 (00:04)</v>
      </c>
      <c r="H339" s="34"/>
      <c r="O339" s="34"/>
      <c r="R339" s="34"/>
    </row>
    <row r="340">
      <c r="A340" s="3">
        <f>IFERROR(__xludf.DUMMYFUNCTION("""COMPUTED_VALUE"""),339.0)</f>
        <v>339</v>
      </c>
      <c r="B340" s="3" t="str">
        <f>IFERROR(__xludf.DUMMYFUNCTION("""COMPUTED_VALUE"""),"Cozy Caravan")</f>
        <v>Cozy Caravan</v>
      </c>
      <c r="C340" s="3" t="str">
        <f>IFERROR(__xludf.DUMMYFUNCTION("""COMPUTED_VALUE"""),"Jan 7, 2026")</f>
        <v>Jan 7, 2026</v>
      </c>
      <c r="D340" s="3" t="str">
        <f>IFERROR(__xludf.DUMMYFUNCTION("""COMPUTED_VALUE"""),"$19.99")</f>
        <v>$19.99</v>
      </c>
      <c r="E340" s="3" t="str">
        <f>IFERROR(__xludf.DUMMYFUNCTION("""COMPUTED_VALUE"""),"N/A (N/A)")</f>
        <v>N/A (N/A)</v>
      </c>
      <c r="F340" s="3" t="str">
        <f>IFERROR(__xludf.DUMMYFUNCTION("""COMPUTED_VALUE"""),"20,000 .. 50,000")</f>
        <v>20,000 .. 50,000</v>
      </c>
      <c r="G340" s="3" t="str">
        <f>IFERROR(__xludf.DUMMYFUNCTION("""COMPUTED_VALUE"""),"00:00 (00:00)")</f>
        <v>00:00 (00:00)</v>
      </c>
      <c r="H340" s="34"/>
      <c r="O340" s="34"/>
      <c r="R340" s="34"/>
    </row>
    <row r="341">
      <c r="A341" s="3">
        <f>IFERROR(__xludf.DUMMYFUNCTION("""COMPUTED_VALUE"""),340.0)</f>
        <v>340</v>
      </c>
      <c r="B341" s="3" t="str">
        <f>IFERROR(__xludf.DUMMYFUNCTION("""COMPUTED_VALUE"""),"Blocks and Bones")</f>
        <v>Blocks and Bones</v>
      </c>
      <c r="C341" s="3" t="str">
        <f>IFERROR(__xludf.DUMMYFUNCTION("""COMPUTED_VALUE"""),"Jan 7, 2026")</f>
        <v>Jan 7, 2026</v>
      </c>
      <c r="D341" s="3" t="str">
        <f>IFERROR(__xludf.DUMMYFUNCTION("""COMPUTED_VALUE"""),"$4.99")</f>
        <v>$4.99</v>
      </c>
      <c r="E341" s="3" t="str">
        <f>IFERROR(__xludf.DUMMYFUNCTION("""COMPUTED_VALUE"""),"N/A (N/A)")</f>
        <v>N/A (N/A)</v>
      </c>
      <c r="F341" s="3" t="str">
        <f>IFERROR(__xludf.DUMMYFUNCTION("""COMPUTED_VALUE"""),"0 .. 20,000")</f>
        <v>0 .. 20,000</v>
      </c>
      <c r="G341" s="3" t="str">
        <f>IFERROR(__xludf.DUMMYFUNCTION("""COMPUTED_VALUE"""),"00:00 (00:00)")</f>
        <v>00:00 (00:00)</v>
      </c>
      <c r="H341" s="34"/>
      <c r="O341" s="34"/>
      <c r="R341" s="34"/>
    </row>
    <row r="342">
      <c r="A342" s="3">
        <f>IFERROR(__xludf.DUMMYFUNCTION("""COMPUTED_VALUE"""),341.0)</f>
        <v>341</v>
      </c>
      <c r="B342" s="3" t="str">
        <f>IFERROR(__xludf.DUMMYFUNCTION("""COMPUTED_VALUE"""),"在赛博世界和100个道侣修仙")</f>
        <v>在赛博世界和100个道侣修仙</v>
      </c>
      <c r="C342" s="3" t="str">
        <f>IFERROR(__xludf.DUMMYFUNCTION("""COMPUTED_VALUE"""),"Jan 7, 2026")</f>
        <v>Jan 7, 2026</v>
      </c>
      <c r="D342" s="3" t="str">
        <f>IFERROR(__xludf.DUMMYFUNCTION("""COMPUTED_VALUE"""),"$17.99")</f>
        <v>$17.99</v>
      </c>
      <c r="E342" s="3" t="str">
        <f>IFERROR(__xludf.DUMMYFUNCTION("""COMPUTED_VALUE"""),"N/A (N/A)")</f>
        <v>N/A (N/A)</v>
      </c>
      <c r="F342" s="3" t="str">
        <f>IFERROR(__xludf.DUMMYFUNCTION("""COMPUTED_VALUE"""),"0 .. 20,000")</f>
        <v>0 .. 20,000</v>
      </c>
      <c r="G342" s="3" t="str">
        <f>IFERROR(__xludf.DUMMYFUNCTION("""COMPUTED_VALUE"""),"00:00 (00:00)")</f>
        <v>00:00 (00:00)</v>
      </c>
      <c r="H342" s="34"/>
      <c r="O342" s="34"/>
      <c r="R342" s="34"/>
    </row>
    <row r="343">
      <c r="A343" s="3">
        <f>IFERROR(__xludf.DUMMYFUNCTION("""COMPUTED_VALUE"""),342.0)</f>
        <v>342</v>
      </c>
      <c r="B343" s="3" t="str">
        <f>IFERROR(__xludf.DUMMYFUNCTION("""COMPUTED_VALUE"""),"FlipScapes")</f>
        <v>FlipScapes</v>
      </c>
      <c r="C343" s="3" t="str">
        <f>IFERROR(__xludf.DUMMYFUNCTION("""COMPUTED_VALUE"""),"Jan 7, 2026")</f>
        <v>Jan 7, 2026</v>
      </c>
      <c r="D343" s="3" t="str">
        <f>IFERROR(__xludf.DUMMYFUNCTION("""COMPUTED_VALUE"""),"$16.99")</f>
        <v>$16.99</v>
      </c>
      <c r="E343" s="3" t="str">
        <f>IFERROR(__xludf.DUMMYFUNCTION("""COMPUTED_VALUE"""),"N/A (N/A)")</f>
        <v>N/A (N/A)</v>
      </c>
      <c r="F343" s="3" t="str">
        <f>IFERROR(__xludf.DUMMYFUNCTION("""COMPUTED_VALUE"""),"0 .. 20,000")</f>
        <v>0 .. 20,000</v>
      </c>
      <c r="G343" s="3" t="str">
        <f>IFERROR(__xludf.DUMMYFUNCTION("""COMPUTED_VALUE"""),"00:00 (00:00)")</f>
        <v>00:00 (00:00)</v>
      </c>
      <c r="H343" s="34"/>
      <c r="O343" s="34"/>
      <c r="R343" s="34"/>
    </row>
    <row r="344">
      <c r="A344" s="3">
        <f>IFERROR(__xludf.DUMMYFUNCTION("""COMPUTED_VALUE"""),343.0)</f>
        <v>343</v>
      </c>
      <c r="B344" s="3" t="str">
        <f>IFERROR(__xludf.DUMMYFUNCTION("""COMPUTED_VALUE"""),"Kingdoms And Slaves")</f>
        <v>Kingdoms And Slaves</v>
      </c>
      <c r="C344" s="3" t="str">
        <f>IFERROR(__xludf.DUMMYFUNCTION("""COMPUTED_VALUE"""),"Jan 7, 2026")</f>
        <v>Jan 7, 2026</v>
      </c>
      <c r="D344" s="3" t="str">
        <f>IFERROR(__xludf.DUMMYFUNCTION("""COMPUTED_VALUE"""),"$6.99")</f>
        <v>$6.99</v>
      </c>
      <c r="E344" s="3" t="str">
        <f>IFERROR(__xludf.DUMMYFUNCTION("""COMPUTED_VALUE"""),"N/A (N/A)")</f>
        <v>N/A (N/A)</v>
      </c>
      <c r="F344" s="3" t="str">
        <f>IFERROR(__xludf.DUMMYFUNCTION("""COMPUTED_VALUE"""),"0 .. 20,000")</f>
        <v>0 .. 20,000</v>
      </c>
      <c r="G344" s="3" t="str">
        <f>IFERROR(__xludf.DUMMYFUNCTION("""COMPUTED_VALUE"""),"00:00 (00:00)")</f>
        <v>00:00 (00:00)</v>
      </c>
      <c r="H344" s="34"/>
      <c r="O344" s="34"/>
      <c r="R344" s="34"/>
    </row>
    <row r="345">
      <c r="A345" s="3">
        <f>IFERROR(__xludf.DUMMYFUNCTION("""COMPUTED_VALUE"""),344.0)</f>
        <v>344</v>
      </c>
      <c r="B345" s="3" t="str">
        <f>IFERROR(__xludf.DUMMYFUNCTION("""COMPUTED_VALUE"""),"Summer Beach")</f>
        <v>Summer Beach</v>
      </c>
      <c r="C345" s="3" t="str">
        <f>IFERROR(__xludf.DUMMYFUNCTION("""COMPUTED_VALUE"""),"Jan 7, 2026")</f>
        <v>Jan 7, 2026</v>
      </c>
      <c r="D345" s="3" t="str">
        <f>IFERROR(__xludf.DUMMYFUNCTION("""COMPUTED_VALUE"""),"$24.99")</f>
        <v>$24.99</v>
      </c>
      <c r="E345" s="3" t="str">
        <f>IFERROR(__xludf.DUMMYFUNCTION("""COMPUTED_VALUE"""),"N/A (N/A)")</f>
        <v>N/A (N/A)</v>
      </c>
      <c r="F345" s="3" t="str">
        <f>IFERROR(__xludf.DUMMYFUNCTION("""COMPUTED_VALUE"""),"0 .. 20,000")</f>
        <v>0 .. 20,000</v>
      </c>
      <c r="G345" s="3" t="str">
        <f>IFERROR(__xludf.DUMMYFUNCTION("""COMPUTED_VALUE"""),"00:00 (00:00)")</f>
        <v>00:00 (00:00)</v>
      </c>
      <c r="H345" s="34"/>
      <c r="O345" s="34"/>
      <c r="R345" s="34"/>
    </row>
    <row r="346">
      <c r="A346" s="3">
        <f>IFERROR(__xludf.DUMMYFUNCTION("""COMPUTED_VALUE"""),345.0)</f>
        <v>345</v>
      </c>
      <c r="B346" s="3" t="str">
        <f>IFERROR(__xludf.DUMMYFUNCTION("""COMPUTED_VALUE"""),"Ancient Farm")</f>
        <v>Ancient Farm</v>
      </c>
      <c r="C346" s="3" t="str">
        <f>IFERROR(__xludf.DUMMYFUNCTION("""COMPUTED_VALUE"""),"Jan 7, 2026")</f>
        <v>Jan 7, 2026</v>
      </c>
      <c r="D346" s="3" t="str">
        <f>IFERROR(__xludf.DUMMYFUNCTION("""COMPUTED_VALUE"""),"$14.99")</f>
        <v>$14.99</v>
      </c>
      <c r="E346" s="3" t="str">
        <f>IFERROR(__xludf.DUMMYFUNCTION("""COMPUTED_VALUE"""),"N/A (N/A)")</f>
        <v>N/A (N/A)</v>
      </c>
      <c r="F346" s="3" t="str">
        <f>IFERROR(__xludf.DUMMYFUNCTION("""COMPUTED_VALUE"""),"0 .. 20,000")</f>
        <v>0 .. 20,000</v>
      </c>
      <c r="G346" s="3" t="str">
        <f>IFERROR(__xludf.DUMMYFUNCTION("""COMPUTED_VALUE"""),"00:00 (00:00)")</f>
        <v>00:00 (00:00)</v>
      </c>
      <c r="H346" s="34"/>
      <c r="O346" s="34"/>
      <c r="R346" s="34"/>
    </row>
    <row r="347">
      <c r="A347" s="3">
        <f>IFERROR(__xludf.DUMMYFUNCTION("""COMPUTED_VALUE"""),346.0)</f>
        <v>346</v>
      </c>
      <c r="B347" s="3" t="str">
        <f>IFERROR(__xludf.DUMMYFUNCTION("""COMPUTED_VALUE"""),"Past Fate")</f>
        <v>Past Fate</v>
      </c>
      <c r="C347" s="3" t="str">
        <f>IFERROR(__xludf.DUMMYFUNCTION("""COMPUTED_VALUE"""),"Jan 7, 2026")</f>
        <v>Jan 7, 2026</v>
      </c>
      <c r="D347" s="3" t="str">
        <f>IFERROR(__xludf.DUMMYFUNCTION("""COMPUTED_VALUE"""),"$19.99")</f>
        <v>$19.99</v>
      </c>
      <c r="E347" s="3" t="str">
        <f>IFERROR(__xludf.DUMMYFUNCTION("""COMPUTED_VALUE"""),"N/A (N/A)")</f>
        <v>N/A (N/A)</v>
      </c>
      <c r="F347" s="3" t="str">
        <f>IFERROR(__xludf.DUMMYFUNCTION("""COMPUTED_VALUE"""),"0 .. 20,000")</f>
        <v>0 .. 20,000</v>
      </c>
      <c r="G347" s="3" t="str">
        <f>IFERROR(__xludf.DUMMYFUNCTION("""COMPUTED_VALUE"""),"00:00 (00:00)")</f>
        <v>00:00 (00:00)</v>
      </c>
      <c r="H347" s="34"/>
      <c r="O347" s="34"/>
      <c r="R347" s="34"/>
    </row>
    <row r="348">
      <c r="A348" s="3">
        <f>IFERROR(__xludf.DUMMYFUNCTION("""COMPUTED_VALUE"""),347.0)</f>
        <v>347</v>
      </c>
      <c r="B348" s="3" t="str">
        <f>IFERROR(__xludf.DUMMYFUNCTION("""COMPUTED_VALUE"""),"Toilet Femdom: Christmas Party")</f>
        <v>Toilet Femdom: Christmas Party</v>
      </c>
      <c r="C348" s="3" t="str">
        <f>IFERROR(__xludf.DUMMYFUNCTION("""COMPUTED_VALUE"""),"Jan 6, 2026")</f>
        <v>Jan 6, 2026</v>
      </c>
      <c r="D348" s="3" t="str">
        <f>IFERROR(__xludf.DUMMYFUNCTION("""COMPUTED_VALUE"""),"$0.99")</f>
        <v>$0.99</v>
      </c>
      <c r="E348" s="3" t="str">
        <f>IFERROR(__xludf.DUMMYFUNCTION("""COMPUTED_VALUE"""),"N/A (N/A)")</f>
        <v>N/A (N/A)</v>
      </c>
      <c r="F348" s="3" t="str">
        <f>IFERROR(__xludf.DUMMYFUNCTION("""COMPUTED_VALUE"""),"0 .. 20,000")</f>
        <v>0 .. 20,000</v>
      </c>
      <c r="G348" s="3" t="str">
        <f>IFERROR(__xludf.DUMMYFUNCTION("""COMPUTED_VALUE"""),"00:00 (00:00)")</f>
        <v>00:00 (00:00)</v>
      </c>
      <c r="H348" s="34"/>
      <c r="O348" s="34"/>
      <c r="R348" s="34"/>
    </row>
    <row r="349">
      <c r="A349" s="3">
        <f>IFERROR(__xludf.DUMMYFUNCTION("""COMPUTED_VALUE"""),348.0)</f>
        <v>348</v>
      </c>
      <c r="B349" s="3" t="str">
        <f>IFERROR(__xludf.DUMMYFUNCTION("""COMPUTED_VALUE"""),"Christmas Hentai Party")</f>
        <v>Christmas Hentai Party</v>
      </c>
      <c r="C349" s="3" t="str">
        <f>IFERROR(__xludf.DUMMYFUNCTION("""COMPUTED_VALUE"""),"Jan 6, 2026")</f>
        <v>Jan 6, 2026</v>
      </c>
      <c r="D349" s="3" t="str">
        <f>IFERROR(__xludf.DUMMYFUNCTION("""COMPUTED_VALUE"""),"$0.99")</f>
        <v>$0.99</v>
      </c>
      <c r="E349" s="3" t="str">
        <f>IFERROR(__xludf.DUMMYFUNCTION("""COMPUTED_VALUE"""),"N/A (N/A)")</f>
        <v>N/A (N/A)</v>
      </c>
      <c r="F349" s="3" t="str">
        <f>IFERROR(__xludf.DUMMYFUNCTION("""COMPUTED_VALUE"""),"0 .. 20,000")</f>
        <v>0 .. 20,000</v>
      </c>
      <c r="G349" s="3" t="str">
        <f>IFERROR(__xludf.DUMMYFUNCTION("""COMPUTED_VALUE"""),"00:00 (00:00)")</f>
        <v>00:00 (00:00)</v>
      </c>
      <c r="H349" s="34"/>
      <c r="O349" s="34"/>
      <c r="R349" s="34"/>
    </row>
    <row r="350">
      <c r="A350" s="3">
        <f>IFERROR(__xludf.DUMMYFUNCTION("""COMPUTED_VALUE"""),349.0)</f>
        <v>349</v>
      </c>
      <c r="B350" s="3" t="str">
        <f>IFERROR(__xludf.DUMMYFUNCTION("""COMPUTED_VALUE"""),"The Femdom Project 6")</f>
        <v>The Femdom Project 6</v>
      </c>
      <c r="C350" s="3" t="str">
        <f>IFERROR(__xludf.DUMMYFUNCTION("""COMPUTED_VALUE"""),"Jan 6, 2026")</f>
        <v>Jan 6, 2026</v>
      </c>
      <c r="D350" s="3" t="str">
        <f>IFERROR(__xludf.DUMMYFUNCTION("""COMPUTED_VALUE"""),"$0.99")</f>
        <v>$0.99</v>
      </c>
      <c r="E350" s="3" t="str">
        <f>IFERROR(__xludf.DUMMYFUNCTION("""COMPUTED_VALUE"""),"N/A (N/A)")</f>
        <v>N/A (N/A)</v>
      </c>
      <c r="F350" s="3" t="str">
        <f>IFERROR(__xludf.DUMMYFUNCTION("""COMPUTED_VALUE"""),"0 .. 20,000")</f>
        <v>0 .. 20,000</v>
      </c>
      <c r="G350" s="3" t="str">
        <f>IFERROR(__xludf.DUMMYFUNCTION("""COMPUTED_VALUE"""),"00:00 (00:00)")</f>
        <v>00:00 (00:00)</v>
      </c>
      <c r="H350" s="34"/>
      <c r="O350" s="34"/>
      <c r="R350" s="34"/>
    </row>
    <row r="351">
      <c r="A351" s="3">
        <f>IFERROR(__xludf.DUMMYFUNCTION("""COMPUTED_VALUE"""),350.0)</f>
        <v>350</v>
      </c>
      <c r="B351" s="3" t="str">
        <f>IFERROR(__xludf.DUMMYFUNCTION("""COMPUTED_VALUE"""),"The Femdom Project 5")</f>
        <v>The Femdom Project 5</v>
      </c>
      <c r="C351" s="3" t="str">
        <f>IFERROR(__xludf.DUMMYFUNCTION("""COMPUTED_VALUE"""),"Jan 6, 2026")</f>
        <v>Jan 6, 2026</v>
      </c>
      <c r="D351" s="3" t="str">
        <f>IFERROR(__xludf.DUMMYFUNCTION("""COMPUTED_VALUE"""),"$0.99")</f>
        <v>$0.99</v>
      </c>
      <c r="E351" s="3" t="str">
        <f>IFERROR(__xludf.DUMMYFUNCTION("""COMPUTED_VALUE"""),"N/A (N/A)")</f>
        <v>N/A (N/A)</v>
      </c>
      <c r="F351" s="3" t="str">
        <f>IFERROR(__xludf.DUMMYFUNCTION("""COMPUTED_VALUE"""),"0 .. 20,000")</f>
        <v>0 .. 20,000</v>
      </c>
      <c r="G351" s="3" t="str">
        <f>IFERROR(__xludf.DUMMYFUNCTION("""COMPUTED_VALUE"""),"00:00 (00:00)")</f>
        <v>00:00 (00:00)</v>
      </c>
      <c r="H351" s="34"/>
      <c r="O351" s="34"/>
      <c r="R351" s="34"/>
    </row>
    <row r="352">
      <c r="A352" s="3">
        <f>IFERROR(__xludf.DUMMYFUNCTION("""COMPUTED_VALUE"""),351.0)</f>
        <v>351</v>
      </c>
      <c r="B352" s="3" t="str">
        <f>IFERROR(__xludf.DUMMYFUNCTION("""COMPUTED_VALUE"""),"The Femdom Project 4")</f>
        <v>The Femdom Project 4</v>
      </c>
      <c r="C352" s="3" t="str">
        <f>IFERROR(__xludf.DUMMYFUNCTION("""COMPUTED_VALUE"""),"Jan 6, 2026")</f>
        <v>Jan 6, 2026</v>
      </c>
      <c r="D352" s="3" t="str">
        <f>IFERROR(__xludf.DUMMYFUNCTION("""COMPUTED_VALUE"""),"$0.99")</f>
        <v>$0.99</v>
      </c>
      <c r="E352" s="3" t="str">
        <f>IFERROR(__xludf.DUMMYFUNCTION("""COMPUTED_VALUE"""),"N/A (N/A)")</f>
        <v>N/A (N/A)</v>
      </c>
      <c r="F352" s="3" t="str">
        <f>IFERROR(__xludf.DUMMYFUNCTION("""COMPUTED_VALUE"""),"0 .. 20,000")</f>
        <v>0 .. 20,000</v>
      </c>
      <c r="G352" s="3" t="str">
        <f>IFERROR(__xludf.DUMMYFUNCTION("""COMPUTED_VALUE"""),"00:00 (00:00)")</f>
        <v>00:00 (00:00)</v>
      </c>
      <c r="H352" s="34"/>
      <c r="O352" s="34"/>
      <c r="R352" s="34"/>
    </row>
    <row r="353">
      <c r="A353" s="3">
        <f>IFERROR(__xludf.DUMMYFUNCTION("""COMPUTED_VALUE"""),352.0)</f>
        <v>352</v>
      </c>
      <c r="B353" s="3" t="str">
        <f>IFERROR(__xludf.DUMMYFUNCTION("""COMPUTED_VALUE"""),"The Femdom Project 3")</f>
        <v>The Femdom Project 3</v>
      </c>
      <c r="C353" s="3" t="str">
        <f>IFERROR(__xludf.DUMMYFUNCTION("""COMPUTED_VALUE"""),"Jan 6, 2026")</f>
        <v>Jan 6, 2026</v>
      </c>
      <c r="D353" s="3" t="str">
        <f>IFERROR(__xludf.DUMMYFUNCTION("""COMPUTED_VALUE"""),"$0.99")</f>
        <v>$0.99</v>
      </c>
      <c r="E353" s="3" t="str">
        <f>IFERROR(__xludf.DUMMYFUNCTION("""COMPUTED_VALUE"""),"N/A (N/A)")</f>
        <v>N/A (N/A)</v>
      </c>
      <c r="F353" s="3" t="str">
        <f>IFERROR(__xludf.DUMMYFUNCTION("""COMPUTED_VALUE"""),"0 .. 20,000")</f>
        <v>0 .. 20,000</v>
      </c>
      <c r="G353" s="3" t="str">
        <f>IFERROR(__xludf.DUMMYFUNCTION("""COMPUTED_VALUE"""),"00:00 (00:00)")</f>
        <v>00:00 (00:00)</v>
      </c>
      <c r="H353" s="34"/>
      <c r="O353" s="34"/>
      <c r="R353" s="34"/>
    </row>
    <row r="354">
      <c r="A354" s="3">
        <f>IFERROR(__xludf.DUMMYFUNCTION("""COMPUTED_VALUE"""),353.0)</f>
        <v>353</v>
      </c>
      <c r="B354" s="3" t="str">
        <f>IFERROR(__xludf.DUMMYFUNCTION("""COMPUTED_VALUE"""),"Neko-Neko Meow Club")</f>
        <v>Neko-Neko Meow Club</v>
      </c>
      <c r="C354" s="3" t="str">
        <f>IFERROR(__xludf.DUMMYFUNCTION("""COMPUTED_VALUE"""),"Jan 6, 2026")</f>
        <v>Jan 6, 2026</v>
      </c>
      <c r="D354" s="3" t="str">
        <f>IFERROR(__xludf.DUMMYFUNCTION("""COMPUTED_VALUE"""),"$0.99")</f>
        <v>$0.99</v>
      </c>
      <c r="E354" s="3" t="str">
        <f>IFERROR(__xludf.DUMMYFUNCTION("""COMPUTED_VALUE"""),"N/A (N/A)")</f>
        <v>N/A (N/A)</v>
      </c>
      <c r="F354" s="3" t="str">
        <f>IFERROR(__xludf.DUMMYFUNCTION("""COMPUTED_VALUE"""),"0 .. 20,000")</f>
        <v>0 .. 20,000</v>
      </c>
      <c r="G354" s="3" t="str">
        <f>IFERROR(__xludf.DUMMYFUNCTION("""COMPUTED_VALUE"""),"00:00 (00:00)")</f>
        <v>00:00 (00:00)</v>
      </c>
      <c r="H354" s="34"/>
      <c r="O354" s="34"/>
      <c r="R354" s="34"/>
    </row>
    <row r="355">
      <c r="A355" s="3">
        <f>IFERROR(__xludf.DUMMYFUNCTION("""COMPUTED_VALUE"""),354.0)</f>
        <v>354</v>
      </c>
      <c r="B355" s="3" t="str">
        <f>IFERROR(__xludf.DUMMYFUNCTION("""COMPUTED_VALUE"""),"Feed the Reactor")</f>
        <v>Feed the Reactor</v>
      </c>
      <c r="C355" s="3" t="str">
        <f>IFERROR(__xludf.DUMMYFUNCTION("""COMPUTED_VALUE"""),"Jan 6, 2026")</f>
        <v>Jan 6, 2026</v>
      </c>
      <c r="D355" s="3" t="str">
        <f>IFERROR(__xludf.DUMMYFUNCTION("""COMPUTED_VALUE"""),"$6.99")</f>
        <v>$6.99</v>
      </c>
      <c r="E355" s="3" t="str">
        <f>IFERROR(__xludf.DUMMYFUNCTION("""COMPUTED_VALUE"""),"N/A (N/A)")</f>
        <v>N/A (N/A)</v>
      </c>
      <c r="F355" s="3" t="str">
        <f>IFERROR(__xludf.DUMMYFUNCTION("""COMPUTED_VALUE"""),"0 .. 20,000")</f>
        <v>0 .. 20,000</v>
      </c>
      <c r="G355" s="3" t="str">
        <f>IFERROR(__xludf.DUMMYFUNCTION("""COMPUTED_VALUE"""),"00:18 (00:06)")</f>
        <v>00:18 (00:06)</v>
      </c>
      <c r="H355" s="34"/>
      <c r="O355" s="34"/>
      <c r="R355" s="34"/>
    </row>
    <row r="356">
      <c r="A356" s="3">
        <f>IFERROR(__xludf.DUMMYFUNCTION("""COMPUTED_VALUE"""),355.0)</f>
        <v>355</v>
      </c>
      <c r="B356" s="3" t="str">
        <f>IFERROR(__xludf.DUMMYFUNCTION("""COMPUTED_VALUE"""),"Deceived Of Joy")</f>
        <v>Deceived Of Joy</v>
      </c>
      <c r="C356" s="3" t="str">
        <f>IFERROR(__xludf.DUMMYFUNCTION("""COMPUTED_VALUE"""),"Jan 6, 2026")</f>
        <v>Jan 6, 2026</v>
      </c>
      <c r="D356" s="3" t="str">
        <f>IFERROR(__xludf.DUMMYFUNCTION("""COMPUTED_VALUE"""),"$2.99")</f>
        <v>$2.99</v>
      </c>
      <c r="E356" s="3" t="str">
        <f>IFERROR(__xludf.DUMMYFUNCTION("""COMPUTED_VALUE"""),"N/A (N/A)")</f>
        <v>N/A (N/A)</v>
      </c>
      <c r="F356" s="3" t="str">
        <f>IFERROR(__xludf.DUMMYFUNCTION("""COMPUTED_VALUE"""),"0 .. 20,000")</f>
        <v>0 .. 20,000</v>
      </c>
      <c r="G356" s="3" t="str">
        <f>IFERROR(__xludf.DUMMYFUNCTION("""COMPUTED_VALUE"""),"00:00 (00:00)")</f>
        <v>00:00 (00:00)</v>
      </c>
      <c r="H356" s="34"/>
      <c r="O356" s="34"/>
      <c r="R356" s="34"/>
    </row>
    <row r="357">
      <c r="A357" s="3">
        <f>IFERROR(__xludf.DUMMYFUNCTION("""COMPUTED_VALUE"""),356.0)</f>
        <v>356</v>
      </c>
      <c r="B357" s="3" t="str">
        <f>IFERROR(__xludf.DUMMYFUNCTION("""COMPUTED_VALUE"""),"Idol Forging")</f>
        <v>Idol Forging</v>
      </c>
      <c r="C357" s="3" t="str">
        <f>IFERROR(__xludf.DUMMYFUNCTION("""COMPUTED_VALUE"""),"Jan 6, 2026")</f>
        <v>Jan 6, 2026</v>
      </c>
      <c r="D357" s="3" t="str">
        <f>IFERROR(__xludf.DUMMYFUNCTION("""COMPUTED_VALUE"""),"$10.99")</f>
        <v>$10.99</v>
      </c>
      <c r="E357" s="3" t="str">
        <f>IFERROR(__xludf.DUMMYFUNCTION("""COMPUTED_VALUE"""),"N/A (N/A)")</f>
        <v>N/A (N/A)</v>
      </c>
      <c r="F357" s="3" t="str">
        <f>IFERROR(__xludf.DUMMYFUNCTION("""COMPUTED_VALUE"""),"0 .. 20,000")</f>
        <v>0 .. 20,000</v>
      </c>
      <c r="G357" s="3" t="str">
        <f>IFERROR(__xludf.DUMMYFUNCTION("""COMPUTED_VALUE"""),"00:01 (00:01)")</f>
        <v>00:01 (00:01)</v>
      </c>
      <c r="H357" s="34"/>
      <c r="O357" s="34"/>
      <c r="R357" s="34"/>
    </row>
    <row r="358">
      <c r="A358" s="3">
        <f>IFERROR(__xludf.DUMMYFUNCTION("""COMPUTED_VALUE"""),357.0)</f>
        <v>357</v>
      </c>
      <c r="B358" s="3" t="str">
        <f>IFERROR(__xludf.DUMMYFUNCTION("""COMPUTED_VALUE"""),"Love Blades and Run")</f>
        <v>Love Blades and Run</v>
      </c>
      <c r="C358" s="3" t="str">
        <f>IFERROR(__xludf.DUMMYFUNCTION("""COMPUTED_VALUE"""),"Jan 6, 2026")</f>
        <v>Jan 6, 2026</v>
      </c>
      <c r="D358" s="3" t="str">
        <f>IFERROR(__xludf.DUMMYFUNCTION("""COMPUTED_VALUE"""),"$6")</f>
        <v>$6</v>
      </c>
      <c r="E358" s="3" t="str">
        <f>IFERROR(__xludf.DUMMYFUNCTION("""COMPUTED_VALUE"""),"N/A (N/A)")</f>
        <v>N/A (N/A)</v>
      </c>
      <c r="F358" s="3" t="str">
        <f>IFERROR(__xludf.DUMMYFUNCTION("""COMPUTED_VALUE"""),"0 .. 20,000")</f>
        <v>0 .. 20,000</v>
      </c>
      <c r="G358" s="3" t="str">
        <f>IFERROR(__xludf.DUMMYFUNCTION("""COMPUTED_VALUE"""),"00:00 (00:00)")</f>
        <v>00:00 (00:00)</v>
      </c>
      <c r="H358" s="34"/>
      <c r="O358" s="34"/>
      <c r="R358" s="34"/>
    </row>
    <row r="359">
      <c r="A359" s="3">
        <f>IFERROR(__xludf.DUMMYFUNCTION("""COMPUTED_VALUE"""),358.0)</f>
        <v>358</v>
      </c>
      <c r="B359" s="3" t="str">
        <f>IFERROR(__xludf.DUMMYFUNCTION("""COMPUTED_VALUE"""),"Cosplayer's Quest")</f>
        <v>Cosplayer's Quest</v>
      </c>
      <c r="C359" s="3" t="str">
        <f>IFERROR(__xludf.DUMMYFUNCTION("""COMPUTED_VALUE"""),"Jan 6, 2026")</f>
        <v>Jan 6, 2026</v>
      </c>
      <c r="D359" s="3" t="str">
        <f>IFERROR(__xludf.DUMMYFUNCTION("""COMPUTED_VALUE"""),"$17.99")</f>
        <v>$17.99</v>
      </c>
      <c r="E359" s="3" t="str">
        <f>IFERROR(__xludf.DUMMYFUNCTION("""COMPUTED_VALUE"""),"N/A (N/A)")</f>
        <v>N/A (N/A)</v>
      </c>
      <c r="F359" s="3" t="str">
        <f>IFERROR(__xludf.DUMMYFUNCTION("""COMPUTED_VALUE"""),"0 .. 20,000")</f>
        <v>0 .. 20,000</v>
      </c>
      <c r="G359" s="3" t="str">
        <f>IFERROR(__xludf.DUMMYFUNCTION("""COMPUTED_VALUE"""),"00:00 (00:00)")</f>
        <v>00:00 (00:00)</v>
      </c>
      <c r="H359" s="34"/>
      <c r="O359" s="34"/>
      <c r="R359" s="34"/>
    </row>
    <row r="360">
      <c r="A360" s="3">
        <f>IFERROR(__xludf.DUMMYFUNCTION("""COMPUTED_VALUE"""),359.0)</f>
        <v>359</v>
      </c>
      <c r="B360" s="3" t="str">
        <f>IFERROR(__xludf.DUMMYFUNCTION("""COMPUTED_VALUE"""),"The Dunkers")</f>
        <v>The Dunkers</v>
      </c>
      <c r="C360" s="3" t="str">
        <f>IFERROR(__xludf.DUMMYFUNCTION("""COMPUTED_VALUE"""),"Jan 6, 2026")</f>
        <v>Jan 6, 2026</v>
      </c>
      <c r="D360" s="3" t="str">
        <f>IFERROR(__xludf.DUMMYFUNCTION("""COMPUTED_VALUE"""),"$6.99")</f>
        <v>$6.99</v>
      </c>
      <c r="E360" s="3" t="str">
        <f>IFERROR(__xludf.DUMMYFUNCTION("""COMPUTED_VALUE"""),"N/A (N/A)")</f>
        <v>N/A (N/A)</v>
      </c>
      <c r="F360" s="3" t="str">
        <f>IFERROR(__xludf.DUMMYFUNCTION("""COMPUTED_VALUE"""),"0 .. 20,000")</f>
        <v>0 .. 20,000</v>
      </c>
      <c r="G360" s="3" t="str">
        <f>IFERROR(__xludf.DUMMYFUNCTION("""COMPUTED_VALUE"""),"00:00 (00:00)")</f>
        <v>00:00 (00:00)</v>
      </c>
      <c r="H360" s="34"/>
      <c r="O360" s="34"/>
      <c r="R360" s="34"/>
    </row>
    <row r="361">
      <c r="A361" s="3">
        <f>IFERROR(__xludf.DUMMYFUNCTION("""COMPUTED_VALUE"""),360.0)</f>
        <v>360</v>
      </c>
      <c r="B361" s="3" t="str">
        <f>IFERROR(__xludf.DUMMYFUNCTION("""COMPUTED_VALUE"""),"SpyFall")</f>
        <v>SpyFall</v>
      </c>
      <c r="C361" s="3" t="str">
        <f>IFERROR(__xludf.DUMMYFUNCTION("""COMPUTED_VALUE"""),"Jan 6, 2026")</f>
        <v>Jan 6, 2026</v>
      </c>
      <c r="D361" s="3" t="str">
        <f>IFERROR(__xludf.DUMMYFUNCTION("""COMPUTED_VALUE"""),"$14.99")</f>
        <v>$14.99</v>
      </c>
      <c r="E361" s="3" t="str">
        <f>IFERROR(__xludf.DUMMYFUNCTION("""COMPUTED_VALUE"""),"N/A (N/A)")</f>
        <v>N/A (N/A)</v>
      </c>
      <c r="F361" s="3" t="str">
        <f>IFERROR(__xludf.DUMMYFUNCTION("""COMPUTED_VALUE"""),"0 .. 20,000")</f>
        <v>0 .. 20,000</v>
      </c>
      <c r="G361" s="3" t="str">
        <f>IFERROR(__xludf.DUMMYFUNCTION("""COMPUTED_VALUE"""),"00:00 (00:00)")</f>
        <v>00:00 (00:00)</v>
      </c>
      <c r="H361" s="34"/>
      <c r="O361" s="34"/>
      <c r="R361" s="34"/>
    </row>
    <row r="362">
      <c r="A362" s="3">
        <f>IFERROR(__xludf.DUMMYFUNCTION("""COMPUTED_VALUE"""),361.0)</f>
        <v>361</v>
      </c>
      <c r="B362" s="3" t="str">
        <f>IFERROR(__xludf.DUMMYFUNCTION("""COMPUTED_VALUE"""),"SIM SPORTS RAID")</f>
        <v>SIM SPORTS RAID</v>
      </c>
      <c r="C362" s="3" t="str">
        <f>IFERROR(__xludf.DUMMYFUNCTION("""COMPUTED_VALUE"""),"Jan 6, 2026")</f>
        <v>Jan 6, 2026</v>
      </c>
      <c r="D362" s="3" t="str">
        <f>IFERROR(__xludf.DUMMYFUNCTION("""COMPUTED_VALUE"""),"$6.99")</f>
        <v>$6.99</v>
      </c>
      <c r="E362" s="3" t="str">
        <f>IFERROR(__xludf.DUMMYFUNCTION("""COMPUTED_VALUE"""),"N/A (N/A)")</f>
        <v>N/A (N/A)</v>
      </c>
      <c r="F362" s="3" t="str">
        <f>IFERROR(__xludf.DUMMYFUNCTION("""COMPUTED_VALUE"""),"0 .. 20,000")</f>
        <v>0 .. 20,000</v>
      </c>
      <c r="G362" s="3" t="str">
        <f>IFERROR(__xludf.DUMMYFUNCTION("""COMPUTED_VALUE"""),"00:00 (00:00)")</f>
        <v>00:00 (00:00)</v>
      </c>
      <c r="H362" s="34"/>
      <c r="O362" s="34"/>
      <c r="R362" s="34"/>
    </row>
    <row r="363">
      <c r="A363" s="3">
        <f>IFERROR(__xludf.DUMMYFUNCTION("""COMPUTED_VALUE"""),362.0)</f>
        <v>362</v>
      </c>
      <c r="B363" s="3" t="str">
        <f>IFERROR(__xludf.DUMMYFUNCTION("""COMPUTED_VALUE"""),"Sales employee Takeru-Kun")</f>
        <v>Sales employee Takeru-Kun</v>
      </c>
      <c r="C363" s="3" t="str">
        <f>IFERROR(__xludf.DUMMYFUNCTION("""COMPUTED_VALUE"""),"Jan 6, 2026")</f>
        <v>Jan 6, 2026</v>
      </c>
      <c r="D363" s="3" t="str">
        <f>IFERROR(__xludf.DUMMYFUNCTION("""COMPUTED_VALUE"""),"$2.99")</f>
        <v>$2.99</v>
      </c>
      <c r="E363" s="3" t="str">
        <f>IFERROR(__xludf.DUMMYFUNCTION("""COMPUTED_VALUE"""),"N/A (N/A)")</f>
        <v>N/A (N/A)</v>
      </c>
      <c r="F363" s="3" t="str">
        <f>IFERROR(__xludf.DUMMYFUNCTION("""COMPUTED_VALUE"""),"0 .. 20,000")</f>
        <v>0 .. 20,000</v>
      </c>
      <c r="G363" s="3" t="str">
        <f>IFERROR(__xludf.DUMMYFUNCTION("""COMPUTED_VALUE"""),"00:00 (00:00)")</f>
        <v>00:00 (00:00)</v>
      </c>
      <c r="H363" s="34"/>
      <c r="O363" s="34"/>
      <c r="R363" s="34"/>
    </row>
    <row r="364">
      <c r="A364" s="3">
        <f>IFERROR(__xludf.DUMMYFUNCTION("""COMPUTED_VALUE"""),363.0)</f>
        <v>363</v>
      </c>
      <c r="B364" s="3" t="str">
        <f>IFERROR(__xludf.DUMMYFUNCTION("""COMPUTED_VALUE"""),"Death Machine")</f>
        <v>Death Machine</v>
      </c>
      <c r="C364" s="3" t="str">
        <f>IFERROR(__xludf.DUMMYFUNCTION("""COMPUTED_VALUE"""),"Jan 6, 2026")</f>
        <v>Jan 6, 2026</v>
      </c>
      <c r="D364" s="3" t="str">
        <f>IFERROR(__xludf.DUMMYFUNCTION("""COMPUTED_VALUE"""),"$14.99")</f>
        <v>$14.99</v>
      </c>
      <c r="E364" s="3" t="str">
        <f>IFERROR(__xludf.DUMMYFUNCTION("""COMPUTED_VALUE"""),"N/A (N/A)")</f>
        <v>N/A (N/A)</v>
      </c>
      <c r="F364" s="3" t="str">
        <f>IFERROR(__xludf.DUMMYFUNCTION("""COMPUTED_VALUE"""),"0 .. 20,000")</f>
        <v>0 .. 20,000</v>
      </c>
      <c r="G364" s="3" t="str">
        <f>IFERROR(__xludf.DUMMYFUNCTION("""COMPUTED_VALUE"""),"00:00 (00:00)")</f>
        <v>00:00 (00:00)</v>
      </c>
      <c r="H364" s="34"/>
      <c r="O364" s="34"/>
      <c r="R364" s="34"/>
    </row>
    <row r="365">
      <c r="A365" s="3">
        <f>IFERROR(__xludf.DUMMYFUNCTION("""COMPUTED_VALUE"""),364.0)</f>
        <v>364</v>
      </c>
      <c r="B365" s="3" t="str">
        <f>IFERROR(__xludf.DUMMYFUNCTION("""COMPUTED_VALUE"""),"DunHero")</f>
        <v>DunHero</v>
      </c>
      <c r="C365" s="3" t="str">
        <f>IFERROR(__xludf.DUMMYFUNCTION("""COMPUTED_VALUE"""),"Jan 6, 2026")</f>
        <v>Jan 6, 2026</v>
      </c>
      <c r="D365" s="3" t="str">
        <f>IFERROR(__xludf.DUMMYFUNCTION("""COMPUTED_VALUE"""),"$8.99")</f>
        <v>$8.99</v>
      </c>
      <c r="E365" s="3" t="str">
        <f>IFERROR(__xludf.DUMMYFUNCTION("""COMPUTED_VALUE"""),"N/A (N/A)")</f>
        <v>N/A (N/A)</v>
      </c>
      <c r="F365" s="3" t="str">
        <f>IFERROR(__xludf.DUMMYFUNCTION("""COMPUTED_VALUE"""),"20,000 .. 50,000")</f>
        <v>20,000 .. 50,000</v>
      </c>
      <c r="G365" s="3" t="str">
        <f>IFERROR(__xludf.DUMMYFUNCTION("""COMPUTED_VALUE"""),"00:00 (00:00)")</f>
        <v>00:00 (00:00)</v>
      </c>
      <c r="H365" s="34"/>
      <c r="O365" s="34"/>
      <c r="R365" s="34"/>
    </row>
    <row r="366">
      <c r="A366" s="3">
        <f>IFERROR(__xludf.DUMMYFUNCTION("""COMPUTED_VALUE"""),365.0)</f>
        <v>365</v>
      </c>
      <c r="B366" s="3" t="str">
        <f>IFERROR(__xludf.DUMMYFUNCTION("""COMPUTED_VALUE"""),"Number Wars")</f>
        <v>Number Wars</v>
      </c>
      <c r="C366" s="3" t="str">
        <f>IFERROR(__xludf.DUMMYFUNCTION("""COMPUTED_VALUE"""),"Jan 6, 2026")</f>
        <v>Jan 6, 2026</v>
      </c>
      <c r="D366" s="3" t="str">
        <f>IFERROR(__xludf.DUMMYFUNCTION("""COMPUTED_VALUE"""),"$0.99")</f>
        <v>$0.99</v>
      </c>
      <c r="E366" s="3" t="str">
        <f>IFERROR(__xludf.DUMMYFUNCTION("""COMPUTED_VALUE"""),"N/A (N/A)")</f>
        <v>N/A (N/A)</v>
      </c>
      <c r="F366" s="3" t="str">
        <f>IFERROR(__xludf.DUMMYFUNCTION("""COMPUTED_VALUE"""),"0 .. 20,000")</f>
        <v>0 .. 20,000</v>
      </c>
      <c r="G366" s="3" t="str">
        <f>IFERROR(__xludf.DUMMYFUNCTION("""COMPUTED_VALUE"""),"00:00 (00:00)")</f>
        <v>00:00 (00:00)</v>
      </c>
      <c r="H366" s="34"/>
      <c r="O366" s="34"/>
      <c r="R366" s="34"/>
    </row>
    <row r="367">
      <c r="A367" s="3">
        <f>IFERROR(__xludf.DUMMYFUNCTION("""COMPUTED_VALUE"""),366.0)</f>
        <v>366</v>
      </c>
      <c r="B367" s="3" t="str">
        <f>IFERROR(__xludf.DUMMYFUNCTION("""COMPUTED_VALUE"""),"StarRupture")</f>
        <v>StarRupture</v>
      </c>
      <c r="C367" s="3" t="str">
        <f>IFERROR(__xludf.DUMMYFUNCTION("""COMPUTED_VALUE"""),"Jan 6, 2026")</f>
        <v>Jan 6, 2026</v>
      </c>
      <c r="D367" s="3" t="str">
        <f>IFERROR(__xludf.DUMMYFUNCTION("""COMPUTED_VALUE"""),"$19.99")</f>
        <v>$19.99</v>
      </c>
      <c r="E367" s="3" t="str">
        <f>IFERROR(__xludf.DUMMYFUNCTION("""COMPUTED_VALUE"""),"N/A (N/A)")</f>
        <v>N/A (N/A)</v>
      </c>
      <c r="F367" s="3" t="str">
        <f>IFERROR(__xludf.DUMMYFUNCTION("""COMPUTED_VALUE"""),"0 .. 20,000")</f>
        <v>0 .. 20,000</v>
      </c>
      <c r="G367" s="3" t="str">
        <f>IFERROR(__xludf.DUMMYFUNCTION("""COMPUTED_VALUE"""),"09:19 (03:56)")</f>
        <v>09:19 (03:56)</v>
      </c>
      <c r="H367" s="34"/>
      <c r="O367" s="34"/>
      <c r="R367" s="34"/>
    </row>
    <row r="368">
      <c r="A368" s="3">
        <f>IFERROR(__xludf.DUMMYFUNCTION("""COMPUTED_VALUE"""),367.0)</f>
        <v>367</v>
      </c>
      <c r="B368" s="3" t="str">
        <f>IFERROR(__xludf.DUMMYFUNCTION("""COMPUTED_VALUE"""),"Mei Paranormies")</f>
        <v>Mei Paranormies</v>
      </c>
      <c r="C368" s="3" t="str">
        <f>IFERROR(__xludf.DUMMYFUNCTION("""COMPUTED_VALUE"""),"Jan 5, 2026")</f>
        <v>Jan 5, 2026</v>
      </c>
      <c r="D368" s="3" t="str">
        <f>IFERROR(__xludf.DUMMYFUNCTION("""COMPUTED_VALUE"""),"$3.99")</f>
        <v>$3.99</v>
      </c>
      <c r="E368" s="3" t="str">
        <f>IFERROR(__xludf.DUMMYFUNCTION("""COMPUTED_VALUE"""),"N/A (N/A)")</f>
        <v>N/A (N/A)</v>
      </c>
      <c r="F368" s="3" t="str">
        <f>IFERROR(__xludf.DUMMYFUNCTION("""COMPUTED_VALUE"""),"0 .. 20,000")</f>
        <v>0 .. 20,000</v>
      </c>
      <c r="G368" s="3" t="str">
        <f>IFERROR(__xludf.DUMMYFUNCTION("""COMPUTED_VALUE"""),"00:00 (00:00)")</f>
        <v>00:00 (00:00)</v>
      </c>
      <c r="H368" s="34"/>
      <c r="O368" s="34"/>
      <c r="R368" s="34"/>
    </row>
    <row r="369">
      <c r="A369" s="3">
        <f>IFERROR(__xludf.DUMMYFUNCTION("""COMPUTED_VALUE"""),368.0)</f>
        <v>368</v>
      </c>
      <c r="B369" s="3" t="str">
        <f>IFERROR(__xludf.DUMMYFUNCTION("""COMPUTED_VALUE"""),"NTR Fantasy")</f>
        <v>NTR Fantasy</v>
      </c>
      <c r="C369" s="3" t="str">
        <f>IFERROR(__xludf.DUMMYFUNCTION("""COMPUTED_VALUE"""),"Jan 5, 2026")</f>
        <v>Jan 5, 2026</v>
      </c>
      <c r="D369" s="3" t="str">
        <f>IFERROR(__xludf.DUMMYFUNCTION("""COMPUTED_VALUE"""),"$4.99")</f>
        <v>$4.99</v>
      </c>
      <c r="E369" s="3" t="str">
        <f>IFERROR(__xludf.DUMMYFUNCTION("""COMPUTED_VALUE"""),"N/A (N/A)")</f>
        <v>N/A (N/A)</v>
      </c>
      <c r="F369" s="3" t="str">
        <f>IFERROR(__xludf.DUMMYFUNCTION("""COMPUTED_VALUE"""),"0 .. 20,000")</f>
        <v>0 .. 20,000</v>
      </c>
      <c r="G369" s="3" t="str">
        <f>IFERROR(__xludf.DUMMYFUNCTION("""COMPUTED_VALUE"""),"00:00 (00:00)")</f>
        <v>00:00 (00:00)</v>
      </c>
      <c r="H369" s="34"/>
      <c r="O369" s="34"/>
      <c r="R369" s="34"/>
    </row>
    <row r="370">
      <c r="A370" s="3">
        <f>IFERROR(__xludf.DUMMYFUNCTION("""COMPUTED_VALUE"""),369.0)</f>
        <v>369</v>
      </c>
      <c r="B370" s="3" t="str">
        <f>IFERROR(__xludf.DUMMYFUNCTION("""COMPUTED_VALUE"""),"Help! I'm Turning Into A Mermaid!")</f>
        <v>Help! I'm Turning Into A Mermaid!</v>
      </c>
      <c r="C370" s="3" t="str">
        <f>IFERROR(__xludf.DUMMYFUNCTION("""COMPUTED_VALUE"""),"Jan 5, 2026")</f>
        <v>Jan 5, 2026</v>
      </c>
      <c r="D370" s="3" t="str">
        <f>IFERROR(__xludf.DUMMYFUNCTION("""COMPUTED_VALUE"""),"$29.99")</f>
        <v>$29.99</v>
      </c>
      <c r="E370" s="3" t="str">
        <f>IFERROR(__xludf.DUMMYFUNCTION("""COMPUTED_VALUE"""),"N/A (N/A)")</f>
        <v>N/A (N/A)</v>
      </c>
      <c r="F370" s="3" t="str">
        <f>IFERROR(__xludf.DUMMYFUNCTION("""COMPUTED_VALUE"""),"0 .. 20,000")</f>
        <v>0 .. 20,000</v>
      </c>
      <c r="G370" s="3" t="str">
        <f>IFERROR(__xludf.DUMMYFUNCTION("""COMPUTED_VALUE"""),"00:00 (00:00)")</f>
        <v>00:00 (00:00)</v>
      </c>
      <c r="H370" s="34"/>
      <c r="O370" s="34"/>
      <c r="R370" s="34"/>
    </row>
    <row r="371">
      <c r="A371" s="3">
        <f>IFERROR(__xludf.DUMMYFUNCTION("""COMPUTED_VALUE"""),370.0)</f>
        <v>370</v>
      </c>
      <c r="B371" s="3" t="str">
        <f>IFERROR(__xludf.DUMMYFUNCTION("""COMPUTED_VALUE"""),"BULT: Hunting simulator")</f>
        <v>BULT: Hunting simulator</v>
      </c>
      <c r="C371" s="3" t="str">
        <f>IFERROR(__xludf.DUMMYFUNCTION("""COMPUTED_VALUE"""),"Jan 5, 2026")</f>
        <v>Jan 5, 2026</v>
      </c>
      <c r="D371" s="3" t="str">
        <f>IFERROR(__xludf.DUMMYFUNCTION("""COMPUTED_VALUE"""),"$9.99")</f>
        <v>$9.99</v>
      </c>
      <c r="E371" s="3" t="str">
        <f>IFERROR(__xludf.DUMMYFUNCTION("""COMPUTED_VALUE"""),"N/A (N/A)")</f>
        <v>N/A (N/A)</v>
      </c>
      <c r="F371" s="3" t="str">
        <f>IFERROR(__xludf.DUMMYFUNCTION("""COMPUTED_VALUE"""),"0 .. 20,000")</f>
        <v>0 .. 20,000</v>
      </c>
      <c r="G371" s="3" t="str">
        <f>IFERROR(__xludf.DUMMYFUNCTION("""COMPUTED_VALUE"""),"00:00 (00:00)")</f>
        <v>00:00 (00:00)</v>
      </c>
      <c r="H371" s="34"/>
      <c r="O371" s="34"/>
      <c r="R371" s="34"/>
    </row>
    <row r="372">
      <c r="A372" s="3">
        <f>IFERROR(__xludf.DUMMYFUNCTION("""COMPUTED_VALUE"""),371.0)</f>
        <v>371</v>
      </c>
      <c r="B372" s="3" t="str">
        <f>IFERROR(__xludf.DUMMYFUNCTION("""COMPUTED_VALUE"""),"Lure Of Passion")</f>
        <v>Lure Of Passion</v>
      </c>
      <c r="C372" s="3" t="str">
        <f>IFERROR(__xludf.DUMMYFUNCTION("""COMPUTED_VALUE"""),"Jan 5, 2026")</f>
        <v>Jan 5, 2026</v>
      </c>
      <c r="D372" s="3" t="str">
        <f>IFERROR(__xludf.DUMMYFUNCTION("""COMPUTED_VALUE"""),"$5.99")</f>
        <v>$5.99</v>
      </c>
      <c r="E372" s="3" t="str">
        <f>IFERROR(__xludf.DUMMYFUNCTION("""COMPUTED_VALUE"""),"N/A (N/A)")</f>
        <v>N/A (N/A)</v>
      </c>
      <c r="F372" s="3" t="str">
        <f>IFERROR(__xludf.DUMMYFUNCTION("""COMPUTED_VALUE"""),"0 .. 20,000")</f>
        <v>0 .. 20,000</v>
      </c>
      <c r="G372" s="3" t="str">
        <f>IFERROR(__xludf.DUMMYFUNCTION("""COMPUTED_VALUE"""),"00:43 (00:43)")</f>
        <v>00:43 (00:43)</v>
      </c>
      <c r="H372" s="34"/>
      <c r="O372" s="34"/>
      <c r="R372" s="34"/>
    </row>
    <row r="373">
      <c r="A373" s="3">
        <f>IFERROR(__xludf.DUMMYFUNCTION("""COMPUTED_VALUE"""),372.0)</f>
        <v>372</v>
      </c>
      <c r="B373" s="3" t="str">
        <f>IFERROR(__xludf.DUMMYFUNCTION("""COMPUTED_VALUE"""),"City-Racing")</f>
        <v>City-Racing</v>
      </c>
      <c r="C373" s="3" t="str">
        <f>IFERROR(__xludf.DUMMYFUNCTION("""COMPUTED_VALUE"""),"Jan 5, 2026")</f>
        <v>Jan 5, 2026</v>
      </c>
      <c r="D373" s="3" t="str">
        <f>IFERROR(__xludf.DUMMYFUNCTION("""COMPUTED_VALUE"""),"$24.99")</f>
        <v>$24.99</v>
      </c>
      <c r="E373" s="3" t="str">
        <f>IFERROR(__xludf.DUMMYFUNCTION("""COMPUTED_VALUE"""),"N/A (N/A)")</f>
        <v>N/A (N/A)</v>
      </c>
      <c r="F373" s="3" t="str">
        <f>IFERROR(__xludf.DUMMYFUNCTION("""COMPUTED_VALUE"""),"0 .. 20,000")</f>
        <v>0 .. 20,000</v>
      </c>
      <c r="G373" s="3" t="str">
        <f>IFERROR(__xludf.DUMMYFUNCTION("""COMPUTED_VALUE"""),"00:00 (00:00)")</f>
        <v>00:00 (00:00)</v>
      </c>
      <c r="H373" s="34"/>
      <c r="O373" s="34"/>
      <c r="R373" s="34"/>
    </row>
    <row r="374">
      <c r="A374" s="3">
        <f>IFERROR(__xludf.DUMMYFUNCTION("""COMPUTED_VALUE"""),373.0)</f>
        <v>373</v>
      </c>
      <c r="B374" s="3" t="str">
        <f>IFERROR(__xludf.DUMMYFUNCTION("""COMPUTED_VALUE"""),"Sky traveler")</f>
        <v>Sky traveler</v>
      </c>
      <c r="C374" s="3" t="str">
        <f>IFERROR(__xludf.DUMMYFUNCTION("""COMPUTED_VALUE"""),"Jan 5, 2026")</f>
        <v>Jan 5, 2026</v>
      </c>
      <c r="D374" s="3" t="str">
        <f>IFERROR(__xludf.DUMMYFUNCTION("""COMPUTED_VALUE"""),"$1.99")</f>
        <v>$1.99</v>
      </c>
      <c r="E374" s="3" t="str">
        <f>IFERROR(__xludf.DUMMYFUNCTION("""COMPUTED_VALUE"""),"N/A (N/A)")</f>
        <v>N/A (N/A)</v>
      </c>
      <c r="F374" s="3" t="str">
        <f>IFERROR(__xludf.DUMMYFUNCTION("""COMPUTED_VALUE"""),"0 .. 20,000")</f>
        <v>0 .. 20,000</v>
      </c>
      <c r="G374" s="3" t="str">
        <f>IFERROR(__xludf.DUMMYFUNCTION("""COMPUTED_VALUE"""),"00:00 (00:00)")</f>
        <v>00:00 (00:00)</v>
      </c>
      <c r="H374" s="34"/>
      <c r="O374" s="34"/>
      <c r="R374" s="34"/>
    </row>
    <row r="375">
      <c r="A375" s="3">
        <f>IFERROR(__xludf.DUMMYFUNCTION("""COMPUTED_VALUE"""),374.0)</f>
        <v>374</v>
      </c>
      <c r="B375" s="3" t="str">
        <f>IFERROR(__xludf.DUMMYFUNCTION("""COMPUTED_VALUE"""),"DuneCrawl")</f>
        <v>DuneCrawl</v>
      </c>
      <c r="C375" s="3" t="str">
        <f>IFERROR(__xludf.DUMMYFUNCTION("""COMPUTED_VALUE"""),"Jan 5, 2026")</f>
        <v>Jan 5, 2026</v>
      </c>
      <c r="D375" s="3" t="str">
        <f>IFERROR(__xludf.DUMMYFUNCTION("""COMPUTED_VALUE"""),"$19.99")</f>
        <v>$19.99</v>
      </c>
      <c r="E375" s="3" t="str">
        <f>IFERROR(__xludf.DUMMYFUNCTION("""COMPUTED_VALUE"""),"N/A (N/A)")</f>
        <v>N/A (N/A)</v>
      </c>
      <c r="F375" s="3" t="str">
        <f>IFERROR(__xludf.DUMMYFUNCTION("""COMPUTED_VALUE"""),"0 .. 20,000")</f>
        <v>0 .. 20,000</v>
      </c>
      <c r="G375" s="3" t="str">
        <f>IFERROR(__xludf.DUMMYFUNCTION("""COMPUTED_VALUE"""),"00:34 (00:17)")</f>
        <v>00:34 (00:17)</v>
      </c>
      <c r="H375" s="34"/>
      <c r="O375" s="34"/>
      <c r="R375" s="34"/>
    </row>
    <row r="376">
      <c r="A376" s="3">
        <f>IFERROR(__xludf.DUMMYFUNCTION("""COMPUTED_VALUE"""),375.0)</f>
        <v>375</v>
      </c>
      <c r="B376" s="3" t="str">
        <f>IFERROR(__xludf.DUMMYFUNCTION("""COMPUTED_VALUE"""),"Terra Invicta")</f>
        <v>Terra Invicta</v>
      </c>
      <c r="C376" s="3" t="str">
        <f>IFERROR(__xludf.DUMMYFUNCTION("""COMPUTED_VALUE"""),"Jan 5, 2026")</f>
        <v>Jan 5, 2026</v>
      </c>
      <c r="D376" s="3" t="str">
        <f>IFERROR(__xludf.DUMMYFUNCTION("""COMPUTED_VALUE"""),"$39.99")</f>
        <v>$39.99</v>
      </c>
      <c r="E376" s="3" t="str">
        <f>IFERROR(__xludf.DUMMYFUNCTION("""COMPUTED_VALUE"""),"N/A (N/A/83%)")</f>
        <v>N/A (N/A/83%)</v>
      </c>
      <c r="F376" s="3" t="str">
        <f>IFERROR(__xludf.DUMMYFUNCTION("""COMPUTED_VALUE"""),"200,000 .. 500,000")</f>
        <v>200,000 .. 500,000</v>
      </c>
      <c r="G376" s="3" t="str">
        <f>IFERROR(__xludf.DUMMYFUNCTION("""COMPUTED_VALUE"""),"23:27 (28:30)")</f>
        <v>23:27 (28:30)</v>
      </c>
      <c r="H376" s="34"/>
      <c r="O376" s="34"/>
      <c r="R376" s="34"/>
    </row>
    <row r="377">
      <c r="A377" s="3">
        <f>IFERROR(__xludf.DUMMYFUNCTION("""COMPUTED_VALUE"""),376.0)</f>
        <v>376</v>
      </c>
      <c r="B377" s="3" t="str">
        <f>IFERROR(__xludf.DUMMYFUNCTION("""COMPUTED_VALUE"""),"my BEST life my PEST life")</f>
        <v>my BEST life my PEST life</v>
      </c>
      <c r="C377" s="3" t="str">
        <f>IFERROR(__xludf.DUMMYFUNCTION("""COMPUTED_VALUE"""),"Jan 3, 2026")</f>
        <v>Jan 3, 2026</v>
      </c>
      <c r="D377" s="3" t="str">
        <f>IFERROR(__xludf.DUMMYFUNCTION("""COMPUTED_VALUE"""),"$2.99")</f>
        <v>$2.99</v>
      </c>
      <c r="E377" s="3" t="str">
        <f>IFERROR(__xludf.DUMMYFUNCTION("""COMPUTED_VALUE"""),"N/A (N/A)")</f>
        <v>N/A (N/A)</v>
      </c>
      <c r="F377" s="3" t="str">
        <f>IFERROR(__xludf.DUMMYFUNCTION("""COMPUTED_VALUE"""),"0 .. 20,000")</f>
        <v>0 .. 20,000</v>
      </c>
      <c r="G377" s="3" t="str">
        <f>IFERROR(__xludf.DUMMYFUNCTION("""COMPUTED_VALUE"""),"00:00 (00:00)")</f>
        <v>00:00 (00:00)</v>
      </c>
      <c r="H377" s="34"/>
      <c r="O377" s="34"/>
      <c r="R377" s="34"/>
    </row>
    <row r="378">
      <c r="A378" s="3">
        <f>IFERROR(__xludf.DUMMYFUNCTION("""COMPUTED_VALUE"""),377.0)</f>
        <v>377</v>
      </c>
      <c r="B378" s="3" t="str">
        <f>IFERROR(__xludf.DUMMYFUNCTION("""COMPUTED_VALUE"""),"星夜往事录：彩蜃")</f>
        <v>星夜往事录：彩蜃</v>
      </c>
      <c r="C378" s="3" t="str">
        <f>IFERROR(__xludf.DUMMYFUNCTION("""COMPUTED_VALUE"""),"Jan 3, 2026")</f>
        <v>Jan 3, 2026</v>
      </c>
      <c r="D378" s="3" t="str">
        <f>IFERROR(__xludf.DUMMYFUNCTION("""COMPUTED_VALUE"""),"$6.99")</f>
        <v>$6.99</v>
      </c>
      <c r="E378" s="3" t="str">
        <f>IFERROR(__xludf.DUMMYFUNCTION("""COMPUTED_VALUE"""),"N/A (N/A)")</f>
        <v>N/A (N/A)</v>
      </c>
      <c r="F378" s="3" t="str">
        <f>IFERROR(__xludf.DUMMYFUNCTION("""COMPUTED_VALUE"""),"0 .. 20,000")</f>
        <v>0 .. 20,000</v>
      </c>
      <c r="G378" s="3" t="str">
        <f>IFERROR(__xludf.DUMMYFUNCTION("""COMPUTED_VALUE"""),"00:00 (00:00)")</f>
        <v>00:00 (00:00)</v>
      </c>
      <c r="H378" s="34"/>
      <c r="O378" s="34"/>
      <c r="R378" s="34"/>
    </row>
    <row r="379">
      <c r="A379" s="3">
        <f>IFERROR(__xludf.DUMMYFUNCTION("""COMPUTED_VALUE"""),378.0)</f>
        <v>378</v>
      </c>
      <c r="B379" s="3" t="str">
        <f>IFERROR(__xludf.DUMMYFUNCTION("""COMPUTED_VALUE"""),"Hungry")</f>
        <v>Hungry</v>
      </c>
      <c r="C379" s="3" t="str">
        <f>IFERROR(__xludf.DUMMYFUNCTION("""COMPUTED_VALUE"""),"Jan 2, 2026")</f>
        <v>Jan 2, 2026</v>
      </c>
      <c r="D379" s="3" t="str">
        <f>IFERROR(__xludf.DUMMYFUNCTION("""COMPUTED_VALUE"""),"$1.99")</f>
        <v>$1.99</v>
      </c>
      <c r="E379" s="3" t="str">
        <f>IFERROR(__xludf.DUMMYFUNCTION("""COMPUTED_VALUE"""),"N/A (N/A)")</f>
        <v>N/A (N/A)</v>
      </c>
      <c r="F379" s="3" t="str">
        <f>IFERROR(__xludf.DUMMYFUNCTION("""COMPUTED_VALUE"""),"0 .. 20,000")</f>
        <v>0 .. 20,000</v>
      </c>
      <c r="G379" s="3" t="str">
        <f>IFERROR(__xludf.DUMMYFUNCTION("""COMPUTED_VALUE"""),"00:00 (00:00)")</f>
        <v>00:00 (00:00)</v>
      </c>
      <c r="H379" s="34"/>
      <c r="O379" s="34"/>
      <c r="R379" s="34"/>
    </row>
    <row r="380">
      <c r="A380" s="3">
        <f>IFERROR(__xludf.DUMMYFUNCTION("""COMPUTED_VALUE"""),379.0)</f>
        <v>379</v>
      </c>
      <c r="B380" s="3" t="str">
        <f>IFERROR(__xludf.DUMMYFUNCTION("""COMPUTED_VALUE"""),"Triangle - Cursed Town")</f>
        <v>Triangle - Cursed Town</v>
      </c>
      <c r="C380" s="3" t="str">
        <f>IFERROR(__xludf.DUMMYFUNCTION("""COMPUTED_VALUE"""),"Jan 2, 2026")</f>
        <v>Jan 2, 2026</v>
      </c>
      <c r="D380" s="3" t="str">
        <f>IFERROR(__xludf.DUMMYFUNCTION("""COMPUTED_VALUE"""),"$9.99")</f>
        <v>$9.99</v>
      </c>
      <c r="E380" s="3" t="str">
        <f>IFERROR(__xludf.DUMMYFUNCTION("""COMPUTED_VALUE"""),"N/A (N/A)")</f>
        <v>N/A (N/A)</v>
      </c>
      <c r="F380" s="3" t="str">
        <f>IFERROR(__xludf.DUMMYFUNCTION("""COMPUTED_VALUE"""),"0 .. 20,000")</f>
        <v>0 .. 20,000</v>
      </c>
      <c r="G380" s="3" t="str">
        <f>IFERROR(__xludf.DUMMYFUNCTION("""COMPUTED_VALUE"""),"00:00 (00:00)")</f>
        <v>00:00 (00:00)</v>
      </c>
      <c r="H380" s="34"/>
      <c r="O380" s="34"/>
      <c r="R380" s="34"/>
    </row>
    <row r="381">
      <c r="A381" s="3">
        <f>IFERROR(__xludf.DUMMYFUNCTION("""COMPUTED_VALUE"""),380.0)</f>
        <v>380</v>
      </c>
      <c r="B381" s="3" t="str">
        <f>IFERROR(__xludf.DUMMYFUNCTION("""COMPUTED_VALUE"""),"Mistward")</f>
        <v>Mistward</v>
      </c>
      <c r="C381" s="3" t="str">
        <f>IFERROR(__xludf.DUMMYFUNCTION("""COMPUTED_VALUE"""),"Jan 2, 2026")</f>
        <v>Jan 2, 2026</v>
      </c>
      <c r="D381" s="3" t="str">
        <f>IFERROR(__xludf.DUMMYFUNCTION("""COMPUTED_VALUE"""),"$11.99")</f>
        <v>$11.99</v>
      </c>
      <c r="E381" s="3" t="str">
        <f>IFERROR(__xludf.DUMMYFUNCTION("""COMPUTED_VALUE"""),"N/A (N/A)")</f>
        <v>N/A (N/A)</v>
      </c>
      <c r="F381" s="3" t="str">
        <f>IFERROR(__xludf.DUMMYFUNCTION("""COMPUTED_VALUE"""),"20,000 .. 50,000")</f>
        <v>20,000 .. 50,000</v>
      </c>
      <c r="G381" s="3" t="str">
        <f>IFERROR(__xludf.DUMMYFUNCTION("""COMPUTED_VALUE"""),"00:00 (00:00)")</f>
        <v>00:00 (00:00)</v>
      </c>
      <c r="H381" s="34"/>
      <c r="O381" s="34"/>
      <c r="R381" s="34"/>
    </row>
    <row r="382">
      <c r="A382" s="3">
        <f>IFERROR(__xludf.DUMMYFUNCTION("""COMPUTED_VALUE"""),381.0)</f>
        <v>381</v>
      </c>
      <c r="B382" s="3" t="str">
        <f>IFERROR(__xludf.DUMMYFUNCTION("""COMPUTED_VALUE"""),"Journey Express")</f>
        <v>Journey Express</v>
      </c>
      <c r="C382" s="3" t="str">
        <f>IFERROR(__xludf.DUMMYFUNCTION("""COMPUTED_VALUE"""),"Jan 2, 2026")</f>
        <v>Jan 2, 2026</v>
      </c>
      <c r="D382" s="3" t="str">
        <f>IFERROR(__xludf.DUMMYFUNCTION("""COMPUTED_VALUE"""),"$5.99")</f>
        <v>$5.99</v>
      </c>
      <c r="E382" s="3" t="str">
        <f>IFERROR(__xludf.DUMMYFUNCTION("""COMPUTED_VALUE"""),"N/A (N/A)")</f>
        <v>N/A (N/A)</v>
      </c>
      <c r="F382" s="3" t="str">
        <f>IFERROR(__xludf.DUMMYFUNCTION("""COMPUTED_VALUE"""),"0 .. 20,000")</f>
        <v>0 .. 20,000</v>
      </c>
      <c r="G382" s="3" t="str">
        <f>IFERROR(__xludf.DUMMYFUNCTION("""COMPUTED_VALUE"""),"00:00 (00:00)")</f>
        <v>00:00 (00:00)</v>
      </c>
      <c r="H382" s="34"/>
      <c r="O382" s="34"/>
      <c r="R382" s="34"/>
    </row>
    <row r="383">
      <c r="A383" s="3">
        <f>IFERROR(__xludf.DUMMYFUNCTION("""COMPUTED_VALUE"""),382.0)</f>
        <v>382</v>
      </c>
      <c r="B383" s="3" t="str">
        <f>IFERROR(__xludf.DUMMYFUNCTION("""COMPUTED_VALUE"""),"The Dark Heart of Balor")</f>
        <v>The Dark Heart of Balor</v>
      </c>
      <c r="C383" s="3" t="str">
        <f>IFERROR(__xludf.DUMMYFUNCTION("""COMPUTED_VALUE"""),"Jan 2, 2026")</f>
        <v>Jan 2, 2026</v>
      </c>
      <c r="D383" s="3" t="str">
        <f>IFERROR(__xludf.DUMMYFUNCTION("""COMPUTED_VALUE"""),"$14.99")</f>
        <v>$14.99</v>
      </c>
      <c r="E383" s="3" t="str">
        <f>IFERROR(__xludf.DUMMYFUNCTION("""COMPUTED_VALUE"""),"N/A (N/A)")</f>
        <v>N/A (N/A)</v>
      </c>
      <c r="F383" s="3" t="str">
        <f>IFERROR(__xludf.DUMMYFUNCTION("""COMPUTED_VALUE"""),"20,000 .. 50,000")</f>
        <v>20,000 .. 50,000</v>
      </c>
      <c r="G383" s="3" t="str">
        <f>IFERROR(__xludf.DUMMYFUNCTION("""COMPUTED_VALUE"""),"00:00 (00:00)")</f>
        <v>00:00 (00:00)</v>
      </c>
      <c r="H383" s="34"/>
      <c r="O383" s="34"/>
      <c r="R383" s="34"/>
    </row>
    <row r="384">
      <c r="A384" s="3">
        <f>IFERROR(__xludf.DUMMYFUNCTION("""COMPUTED_VALUE"""),383.0)</f>
        <v>383</v>
      </c>
      <c r="B384" s="3" t="str">
        <f>IFERROR(__xludf.DUMMYFUNCTION("""COMPUTED_VALUE"""),"Hentai Tales: Fairy Princess Hypnosis - Icy Passion")</f>
        <v>Hentai Tales: Fairy Princess Hypnosis - Icy Passion</v>
      </c>
      <c r="C384" s="3" t="str">
        <f>IFERROR(__xludf.DUMMYFUNCTION("""COMPUTED_VALUE"""),"Jan 1, 2026")</f>
        <v>Jan 1, 2026</v>
      </c>
      <c r="D384" s="3" t="str">
        <f>IFERROR(__xludf.DUMMYFUNCTION("""COMPUTED_VALUE"""),"$0.99")</f>
        <v>$0.99</v>
      </c>
      <c r="E384" s="3" t="str">
        <f>IFERROR(__xludf.DUMMYFUNCTION("""COMPUTED_VALUE"""),"N/A (N/A)")</f>
        <v>N/A (N/A)</v>
      </c>
      <c r="F384" s="3" t="str">
        <f>IFERROR(__xludf.DUMMYFUNCTION("""COMPUTED_VALUE"""),"0 .. 20,000")</f>
        <v>0 .. 20,000</v>
      </c>
      <c r="G384" s="3" t="str">
        <f>IFERROR(__xludf.DUMMYFUNCTION("""COMPUTED_VALUE"""),"00:00 (00:00)")</f>
        <v>00:00 (00:00)</v>
      </c>
      <c r="H384" s="34"/>
      <c r="O384" s="34"/>
      <c r="R384" s="34"/>
    </row>
    <row r="385">
      <c r="A385" s="3">
        <f>IFERROR(__xludf.DUMMYFUNCTION("""COMPUTED_VALUE"""),384.0)</f>
        <v>384</v>
      </c>
      <c r="B385" s="3" t="str">
        <f>IFERROR(__xludf.DUMMYFUNCTION("""COMPUTED_VALUE"""),"Sweet Casino 2")</f>
        <v>Sweet Casino 2</v>
      </c>
      <c r="C385" s="3" t="str">
        <f>IFERROR(__xludf.DUMMYFUNCTION("""COMPUTED_VALUE"""),"Jan 1, 2026")</f>
        <v>Jan 1, 2026</v>
      </c>
      <c r="D385" s="3" t="str">
        <f>IFERROR(__xludf.DUMMYFUNCTION("""COMPUTED_VALUE"""),"$0.99")</f>
        <v>$0.99</v>
      </c>
      <c r="E385" s="3" t="str">
        <f>IFERROR(__xludf.DUMMYFUNCTION("""COMPUTED_VALUE"""),"N/A (N/A)")</f>
        <v>N/A (N/A)</v>
      </c>
      <c r="F385" s="3" t="str">
        <f>IFERROR(__xludf.DUMMYFUNCTION("""COMPUTED_VALUE"""),"0 .. 20,000")</f>
        <v>0 .. 20,000</v>
      </c>
      <c r="G385" s="3" t="str">
        <f>IFERROR(__xludf.DUMMYFUNCTION("""COMPUTED_VALUE"""),"00:00 (00:00)")</f>
        <v>00:00 (00:00)</v>
      </c>
      <c r="H385" s="34"/>
      <c r="O385" s="34"/>
      <c r="R385" s="34"/>
    </row>
    <row r="386">
      <c r="A386" s="3">
        <f>IFERROR(__xludf.DUMMYFUNCTION("""COMPUTED_VALUE"""),385.0)</f>
        <v>385</v>
      </c>
      <c r="B386" s="3" t="str">
        <f>IFERROR(__xludf.DUMMYFUNCTION("""COMPUTED_VALUE"""),"Dhadoom!")</f>
        <v>Dhadoom!</v>
      </c>
      <c r="C386" s="3" t="str">
        <f>IFERROR(__xludf.DUMMYFUNCTION("""COMPUTED_VALUE"""),"Jan 1, 2026")</f>
        <v>Jan 1, 2026</v>
      </c>
      <c r="D386" s="3" t="str">
        <f>IFERROR(__xludf.DUMMYFUNCTION("""COMPUTED_VALUE"""),"$9.99")</f>
        <v>$9.99</v>
      </c>
      <c r="E386" s="3" t="str">
        <f>IFERROR(__xludf.DUMMYFUNCTION("""COMPUTED_VALUE"""),"N/A (N/A)")</f>
        <v>N/A (N/A)</v>
      </c>
      <c r="F386" s="3" t="str">
        <f>IFERROR(__xludf.DUMMYFUNCTION("""COMPUTED_VALUE"""),"0 .. 20,000")</f>
        <v>0 .. 20,000</v>
      </c>
      <c r="G386" s="3" t="str">
        <f>IFERROR(__xludf.DUMMYFUNCTION("""COMPUTED_VALUE"""),"00:00 (00:00)")</f>
        <v>00:00 (00:00)</v>
      </c>
      <c r="H386" s="34"/>
      <c r="O386" s="34"/>
      <c r="R386" s="34"/>
    </row>
    <row r="387">
      <c r="A387" s="3">
        <f>IFERROR(__xludf.DUMMYFUNCTION("""COMPUTED_VALUE"""),386.0)</f>
        <v>386</v>
      </c>
      <c r="B387" s="3" t="str">
        <f>IFERROR(__xludf.DUMMYFUNCTION("""COMPUTED_VALUE"""),"Weapon Rearing")</f>
        <v>Weapon Rearing</v>
      </c>
      <c r="C387" s="3" t="str">
        <f>IFERROR(__xludf.DUMMYFUNCTION("""COMPUTED_VALUE"""),"Jan 1, 2026")</f>
        <v>Jan 1, 2026</v>
      </c>
      <c r="D387" s="3" t="str">
        <f>IFERROR(__xludf.DUMMYFUNCTION("""COMPUTED_VALUE"""),"$0.99")</f>
        <v>$0.99</v>
      </c>
      <c r="E387" s="3" t="str">
        <f>IFERROR(__xludf.DUMMYFUNCTION("""COMPUTED_VALUE"""),"N/A (N/A)")</f>
        <v>N/A (N/A)</v>
      </c>
      <c r="F387" s="3" t="str">
        <f>IFERROR(__xludf.DUMMYFUNCTION("""COMPUTED_VALUE"""),"0 .. 20,000")</f>
        <v>0 .. 20,000</v>
      </c>
      <c r="G387" s="3" t="str">
        <f>IFERROR(__xludf.DUMMYFUNCTION("""COMPUTED_VALUE"""),"00:00 (00:00)")</f>
        <v>00:00 (00:00)</v>
      </c>
      <c r="H387" s="34"/>
      <c r="O387" s="34"/>
      <c r="R387" s="34"/>
    </row>
    <row r="388">
      <c r="A388" s="3">
        <f>IFERROR(__xludf.DUMMYFUNCTION("""COMPUTED_VALUE"""),387.0)</f>
        <v>387</v>
      </c>
      <c r="B388" s="3" t="str">
        <f>IFERROR(__xludf.DUMMYFUNCTION("""COMPUTED_VALUE"""),"不安ごと")</f>
        <v>不安ごと</v>
      </c>
      <c r="C388" s="3" t="str">
        <f>IFERROR(__xludf.DUMMYFUNCTION("""COMPUTED_VALUE"""),"Jan 1, 2026")</f>
        <v>Jan 1, 2026</v>
      </c>
      <c r="D388" s="3" t="str">
        <f>IFERROR(__xludf.DUMMYFUNCTION("""COMPUTED_VALUE"""),"$6.99")</f>
        <v>$6.99</v>
      </c>
      <c r="E388" s="3" t="str">
        <f>IFERROR(__xludf.DUMMYFUNCTION("""COMPUTED_VALUE"""),"N/A (N/A)")</f>
        <v>N/A (N/A)</v>
      </c>
      <c r="F388" s="3" t="str">
        <f>IFERROR(__xludf.DUMMYFUNCTION("""COMPUTED_VALUE"""),"0 .. 20,000")</f>
        <v>0 .. 20,000</v>
      </c>
      <c r="G388" s="3" t="str">
        <f>IFERROR(__xludf.DUMMYFUNCTION("""COMPUTED_VALUE"""),"00:00 (00:00)")</f>
        <v>00:00 (00:00)</v>
      </c>
      <c r="H388" s="34"/>
      <c r="O388" s="34"/>
      <c r="R388" s="34"/>
    </row>
    <row r="389">
      <c r="A389" s="3">
        <f>IFERROR(__xludf.DUMMYFUNCTION("""COMPUTED_VALUE"""),388.0)</f>
        <v>388</v>
      </c>
      <c r="B389" s="3" t="str">
        <f>IFERROR(__xludf.DUMMYFUNCTION("""COMPUTED_VALUE"""),"Laundry Simulator 2026")</f>
        <v>Laundry Simulator 2026</v>
      </c>
      <c r="C389" s="3" t="str">
        <f>IFERROR(__xludf.DUMMYFUNCTION("""COMPUTED_VALUE"""),"January 2026")</f>
        <v>January 2026</v>
      </c>
      <c r="D389" s="3" t="str">
        <f>IFERROR(__xludf.DUMMYFUNCTION("""COMPUTED_VALUE"""),"N/A")</f>
        <v>N/A</v>
      </c>
      <c r="E389" s="3" t="str">
        <f>IFERROR(__xludf.DUMMYFUNCTION("""COMPUTED_VALUE"""),"N/A (N/A)")</f>
        <v>N/A (N/A)</v>
      </c>
      <c r="F389" s="3" t="str">
        <f>IFERROR(__xludf.DUMMYFUNCTION("""COMPUTED_VALUE"""),"0 .. 20,000")</f>
        <v>0 .. 20,000</v>
      </c>
      <c r="G389" s="3" t="str">
        <f>IFERROR(__xludf.DUMMYFUNCTION("""COMPUTED_VALUE"""),"00:00 (00:00)")</f>
        <v>00:00 (00:00)</v>
      </c>
      <c r="H389" s="34"/>
      <c r="O389" s="34"/>
      <c r="R389" s="34"/>
    </row>
    <row r="390">
      <c r="A390" s="3">
        <f>IFERROR(__xludf.DUMMYFUNCTION("""COMPUTED_VALUE"""),389.0)</f>
        <v>389</v>
      </c>
      <c r="B390" s="3" t="str">
        <f>IFERROR(__xludf.DUMMYFUNCTION("""COMPUTED_VALUE"""),"Roman Trail")</f>
        <v>Roman Trail</v>
      </c>
      <c r="C390" s="3" t="str">
        <f>IFERROR(__xludf.DUMMYFUNCTION("""COMPUTED_VALUE"""),"January 2026")</f>
        <v>January 2026</v>
      </c>
      <c r="D390" s="3" t="str">
        <f>IFERROR(__xludf.DUMMYFUNCTION("""COMPUTED_VALUE"""),"N/A")</f>
        <v>N/A</v>
      </c>
      <c r="E390" s="3" t="str">
        <f>IFERROR(__xludf.DUMMYFUNCTION("""COMPUTED_VALUE"""),"N/A (N/A)")</f>
        <v>N/A (N/A)</v>
      </c>
      <c r="F390" s="3" t="str">
        <f>IFERROR(__xludf.DUMMYFUNCTION("""COMPUTED_VALUE"""),"0 .. 20,000")</f>
        <v>0 .. 20,000</v>
      </c>
      <c r="G390" s="3" t="str">
        <f>IFERROR(__xludf.DUMMYFUNCTION("""COMPUTED_VALUE"""),"00:00 (00:00)")</f>
        <v>00:00 (00:00)</v>
      </c>
      <c r="H390" s="34"/>
      <c r="O390" s="34"/>
      <c r="R390" s="34"/>
    </row>
    <row r="391">
      <c r="A391" s="3">
        <f>IFERROR(__xludf.DUMMYFUNCTION("""COMPUTED_VALUE"""),390.0)</f>
        <v>390</v>
      </c>
      <c r="B391" s="3" t="str">
        <f>IFERROR(__xludf.DUMMYFUNCTION("""COMPUTED_VALUE"""),"Fujisan Nobori")</f>
        <v>Fujisan Nobori</v>
      </c>
      <c r="C391" s="3" t="str">
        <f>IFERROR(__xludf.DUMMYFUNCTION("""COMPUTED_VALUE"""),"Jan 1, 2026")</f>
        <v>Jan 1, 2026</v>
      </c>
      <c r="D391" s="3" t="str">
        <f>IFERROR(__xludf.DUMMYFUNCTION("""COMPUTED_VALUE"""),"$1.99")</f>
        <v>$1.99</v>
      </c>
      <c r="E391" s="3" t="str">
        <f>IFERROR(__xludf.DUMMYFUNCTION("""COMPUTED_VALUE"""),"N/A (N/A)")</f>
        <v>N/A (N/A)</v>
      </c>
      <c r="F391" s="3" t="str">
        <f>IFERROR(__xludf.DUMMYFUNCTION("""COMPUTED_VALUE"""),"20,000 .. 50,000")</f>
        <v>20,000 .. 50,000</v>
      </c>
      <c r="G391" s="3" t="str">
        <f>IFERROR(__xludf.DUMMYFUNCTION("""COMPUTED_VALUE"""),"00:00 (00:00)")</f>
        <v>00:00 (00:00)</v>
      </c>
      <c r="H391" s="34"/>
      <c r="O391" s="34"/>
      <c r="R391" s="34"/>
    </row>
    <row r="392">
      <c r="A392" s="3">
        <f>IFERROR(__xludf.DUMMYFUNCTION("""COMPUTED_VALUE"""),391.0)</f>
        <v>391</v>
      </c>
      <c r="B392" s="3" t="str">
        <f>IFERROR(__xludf.DUMMYFUNCTION("""COMPUTED_VALUE"""),"Descended")</f>
        <v>Descended</v>
      </c>
      <c r="C392" s="3" t="str">
        <f>IFERROR(__xludf.DUMMYFUNCTION("""COMPUTED_VALUE"""),"Jan 1, 2026")</f>
        <v>Jan 1, 2026</v>
      </c>
      <c r="D392" s="3" t="str">
        <f>IFERROR(__xludf.DUMMYFUNCTION("""COMPUTED_VALUE"""),"N/A")</f>
        <v>N/A</v>
      </c>
      <c r="E392" s="3" t="str">
        <f>IFERROR(__xludf.DUMMYFUNCTION("""COMPUTED_VALUE"""),"N/A (N/A)")</f>
        <v>N/A (N/A)</v>
      </c>
      <c r="F392" s="3" t="str">
        <f>IFERROR(__xludf.DUMMYFUNCTION("""COMPUTED_VALUE"""),"0 .. 20,000")</f>
        <v>0 .. 20,000</v>
      </c>
      <c r="G392" s="3" t="str">
        <f>IFERROR(__xludf.DUMMYFUNCTION("""COMPUTED_VALUE"""),"00:00 (00:00)")</f>
        <v>00:00 (00:00)</v>
      </c>
      <c r="H392" s="34"/>
      <c r="O392" s="34"/>
      <c r="R392" s="34"/>
    </row>
    <row r="393">
      <c r="A393" s="3">
        <f>IFERROR(__xludf.DUMMYFUNCTION("""COMPUTED_VALUE"""),392.0)</f>
        <v>392</v>
      </c>
      <c r="B393" s="3" t="str">
        <f>IFERROR(__xludf.DUMMYFUNCTION("""COMPUTED_VALUE"""),"Lurk And Rouse")</f>
        <v>Lurk And Rouse</v>
      </c>
      <c r="C393" s="3" t="str">
        <f>IFERROR(__xludf.DUMMYFUNCTION("""COMPUTED_VALUE"""),"January 2026")</f>
        <v>January 2026</v>
      </c>
      <c r="D393" s="3" t="str">
        <f>IFERROR(__xludf.DUMMYFUNCTION("""COMPUTED_VALUE"""),"N/A")</f>
        <v>N/A</v>
      </c>
      <c r="E393" s="3" t="str">
        <f>IFERROR(__xludf.DUMMYFUNCTION("""COMPUTED_VALUE"""),"N/A (N/A)")</f>
        <v>N/A (N/A)</v>
      </c>
      <c r="F393" s="3" t="str">
        <f>IFERROR(__xludf.DUMMYFUNCTION("""COMPUTED_VALUE"""),"0 .. 20,000")</f>
        <v>0 .. 20,000</v>
      </c>
      <c r="G393" s="3" t="str">
        <f>IFERROR(__xludf.DUMMYFUNCTION("""COMPUTED_VALUE"""),"00:00 (00:00)")</f>
        <v>00:00 (00:00)</v>
      </c>
      <c r="H393" s="34"/>
      <c r="O393" s="34"/>
      <c r="R393" s="34"/>
    </row>
    <row r="394">
      <c r="A394" s="3">
        <f>IFERROR(__xludf.DUMMYFUNCTION("""COMPUTED_VALUE"""),393.0)</f>
        <v>393</v>
      </c>
      <c r="B394" s="3" t="str">
        <f>IFERROR(__xludf.DUMMYFUNCTION("""COMPUTED_VALUE"""),"Miracle Warrior of Mountains and Seas")</f>
        <v>Miracle Warrior of Mountains and Seas</v>
      </c>
      <c r="C394" s="3" t="str">
        <f>IFERROR(__xludf.DUMMYFUNCTION("""COMPUTED_VALUE"""),"January 2026")</f>
        <v>January 2026</v>
      </c>
      <c r="D394" s="3" t="str">
        <f>IFERROR(__xludf.DUMMYFUNCTION("""COMPUTED_VALUE"""),"N/A")</f>
        <v>N/A</v>
      </c>
      <c r="E394" s="3" t="str">
        <f>IFERROR(__xludf.DUMMYFUNCTION("""COMPUTED_VALUE"""),"N/A (N/A)")</f>
        <v>N/A (N/A)</v>
      </c>
      <c r="F394" s="3" t="str">
        <f>IFERROR(__xludf.DUMMYFUNCTION("""COMPUTED_VALUE"""),"0 .. 20,000")</f>
        <v>0 .. 20,000</v>
      </c>
      <c r="G394" s="3" t="str">
        <f>IFERROR(__xludf.DUMMYFUNCTION("""COMPUTED_VALUE"""),"00:00 (00:00)")</f>
        <v>00:00 (00:00)</v>
      </c>
      <c r="H394" s="34"/>
      <c r="O394" s="34"/>
      <c r="R394" s="34"/>
    </row>
    <row r="395">
      <c r="A395" s="3">
        <f>IFERROR(__xludf.DUMMYFUNCTION("""COMPUTED_VALUE"""),394.0)</f>
        <v>394</v>
      </c>
      <c r="B395" s="3" t="str">
        <f>IFERROR(__xludf.DUMMYFUNCTION("""COMPUTED_VALUE"""),"Flee")</f>
        <v>Flee</v>
      </c>
      <c r="C395" s="3" t="str">
        <f>IFERROR(__xludf.DUMMYFUNCTION("""COMPUTED_VALUE"""),"January 2026")</f>
        <v>January 2026</v>
      </c>
      <c r="D395" s="3" t="str">
        <f>IFERROR(__xludf.DUMMYFUNCTION("""COMPUTED_VALUE"""),"N/A")</f>
        <v>N/A</v>
      </c>
      <c r="E395" s="3" t="str">
        <f>IFERROR(__xludf.DUMMYFUNCTION("""COMPUTED_VALUE"""),"N/A (N/A)")</f>
        <v>N/A (N/A)</v>
      </c>
      <c r="F395" s="3" t="str">
        <f>IFERROR(__xludf.DUMMYFUNCTION("""COMPUTED_VALUE"""),"0 .. 20,000")</f>
        <v>0 .. 20,000</v>
      </c>
      <c r="G395" s="3" t="str">
        <f>IFERROR(__xludf.DUMMYFUNCTION("""COMPUTED_VALUE"""),"00:00 (00:00)")</f>
        <v>00:00 (00:00)</v>
      </c>
      <c r="H395" s="34"/>
      <c r="O395" s="34"/>
      <c r="R395" s="34"/>
    </row>
    <row r="396">
      <c r="A396" s="3">
        <f>IFERROR(__xludf.DUMMYFUNCTION("""COMPUTED_VALUE"""),395.0)</f>
        <v>395</v>
      </c>
      <c r="B396" s="3" t="str">
        <f>IFERROR(__xludf.DUMMYFUNCTION("""COMPUTED_VALUE"""),"Extreme Stream Power")</f>
        <v>Extreme Stream Power</v>
      </c>
      <c r="C396" s="3" t="str">
        <f>IFERROR(__xludf.DUMMYFUNCTION("""COMPUTED_VALUE"""),"January 2026")</f>
        <v>January 2026</v>
      </c>
      <c r="D396" s="3" t="str">
        <f>IFERROR(__xludf.DUMMYFUNCTION("""COMPUTED_VALUE"""),"N/A")</f>
        <v>N/A</v>
      </c>
      <c r="E396" s="3" t="str">
        <f>IFERROR(__xludf.DUMMYFUNCTION("""COMPUTED_VALUE"""),"N/A (N/A)")</f>
        <v>N/A (N/A)</v>
      </c>
      <c r="F396" s="3" t="str">
        <f>IFERROR(__xludf.DUMMYFUNCTION("""COMPUTED_VALUE"""),"0 .. 20,000")</f>
        <v>0 .. 20,000</v>
      </c>
      <c r="G396" s="3" t="str">
        <f>IFERROR(__xludf.DUMMYFUNCTION("""COMPUTED_VALUE"""),"00:00 (00:00)")</f>
        <v>00:00 (00:00)</v>
      </c>
      <c r="H396" s="34"/>
      <c r="O396" s="34"/>
      <c r="R396" s="34"/>
    </row>
    <row r="397">
      <c r="A397" s="3">
        <f>IFERROR(__xludf.DUMMYFUNCTION("""COMPUTED_VALUE"""),396.0)</f>
        <v>396</v>
      </c>
      <c r="B397" s="3" t="str">
        <f>IFERROR(__xludf.DUMMYFUNCTION("""COMPUTED_VALUE"""),"Gray space")</f>
        <v>Gray space</v>
      </c>
      <c r="C397" s="3" t="str">
        <f>IFERROR(__xludf.DUMMYFUNCTION("""COMPUTED_VALUE"""),"January 2026")</f>
        <v>January 2026</v>
      </c>
      <c r="D397" s="3" t="str">
        <f>IFERROR(__xludf.DUMMYFUNCTION("""COMPUTED_VALUE"""),"N/A")</f>
        <v>N/A</v>
      </c>
      <c r="E397" s="3" t="str">
        <f>IFERROR(__xludf.DUMMYFUNCTION("""COMPUTED_VALUE"""),"N/A (N/A)")</f>
        <v>N/A (N/A)</v>
      </c>
      <c r="F397" s="3" t="str">
        <f>IFERROR(__xludf.DUMMYFUNCTION("""COMPUTED_VALUE"""),"0 .. 20,000")</f>
        <v>0 .. 20,000</v>
      </c>
      <c r="G397" s="3" t="str">
        <f>IFERROR(__xludf.DUMMYFUNCTION("""COMPUTED_VALUE"""),"00:00 (00:00)")</f>
        <v>00:00 (00:00)</v>
      </c>
      <c r="H397" s="34"/>
      <c r="O397" s="34"/>
      <c r="R397" s="34"/>
    </row>
    <row r="398">
      <c r="A398" s="3">
        <f>IFERROR(__xludf.DUMMYFUNCTION("""COMPUTED_VALUE"""),397.0)</f>
        <v>397</v>
      </c>
      <c r="B398" s="3" t="str">
        <f>IFERROR(__xludf.DUMMYFUNCTION("""COMPUTED_VALUE"""),"Sweeper")</f>
        <v>Sweeper</v>
      </c>
      <c r="C398" s="3" t="str">
        <f>IFERROR(__xludf.DUMMYFUNCTION("""COMPUTED_VALUE"""),"Dec 31, 2025")</f>
        <v>Dec 31, 2025</v>
      </c>
      <c r="D398" s="3" t="str">
        <f>IFERROR(__xludf.DUMMYFUNCTION("""COMPUTED_VALUE"""),"$1.49")</f>
        <v>$1.49</v>
      </c>
      <c r="E398" s="3" t="str">
        <f>IFERROR(__xludf.DUMMYFUNCTION("""COMPUTED_VALUE"""),"N/A (N/A)")</f>
        <v>N/A (N/A)</v>
      </c>
      <c r="F398" s="3" t="str">
        <f>IFERROR(__xludf.DUMMYFUNCTION("""COMPUTED_VALUE"""),"0 .. 20,000")</f>
        <v>0 .. 20,000</v>
      </c>
      <c r="G398" s="3" t="str">
        <f>IFERROR(__xludf.DUMMYFUNCTION("""COMPUTED_VALUE"""),"00:00 (00:00)")</f>
        <v>00:00 (00:00)</v>
      </c>
      <c r="H398" s="34"/>
      <c r="O398" s="34"/>
      <c r="R398" s="34"/>
    </row>
    <row r="399">
      <c r="A399" s="3">
        <f>IFERROR(__xludf.DUMMYFUNCTION("""COMPUTED_VALUE"""),398.0)</f>
        <v>398</v>
      </c>
      <c r="B399" s="3" t="str">
        <f>IFERROR(__xludf.DUMMYFUNCTION("""COMPUTED_VALUE"""),"Three Kingdoms: Shu-Han Chronicles")</f>
        <v>Three Kingdoms: Shu-Han Chronicles</v>
      </c>
      <c r="C399" s="3" t="str">
        <f>IFERROR(__xludf.DUMMYFUNCTION("""COMPUTED_VALUE"""),"Dec 31, 2025")</f>
        <v>Dec 31, 2025</v>
      </c>
      <c r="D399" s="3" t="str">
        <f>IFERROR(__xludf.DUMMYFUNCTION("""COMPUTED_VALUE"""),"N/A")</f>
        <v>N/A</v>
      </c>
      <c r="E399" s="3" t="str">
        <f>IFERROR(__xludf.DUMMYFUNCTION("""COMPUTED_VALUE"""),"N/A (N/A)")</f>
        <v>N/A (N/A)</v>
      </c>
      <c r="F399" s="3" t="str">
        <f>IFERROR(__xludf.DUMMYFUNCTION("""COMPUTED_VALUE"""),"0 .. 20,000")</f>
        <v>0 .. 20,000</v>
      </c>
      <c r="G399" s="3" t="str">
        <f>IFERROR(__xludf.DUMMYFUNCTION("""COMPUTED_VALUE"""),"00:00 (00:00)")</f>
        <v>00:00 (00:00)</v>
      </c>
      <c r="H399" s="34"/>
      <c r="O399" s="34"/>
      <c r="R399" s="34"/>
    </row>
    <row r="400">
      <c r="A400" s="3">
        <f>IFERROR(__xludf.DUMMYFUNCTION("""COMPUTED_VALUE"""),399.0)</f>
        <v>399</v>
      </c>
      <c r="B400" s="3" t="str">
        <f>IFERROR(__xludf.DUMMYFUNCTION("""COMPUTED_VALUE"""),"Monster Ops 14")</f>
        <v>Monster Ops 14</v>
      </c>
      <c r="C400" s="3" t="str">
        <f>IFERROR(__xludf.DUMMYFUNCTION("""COMPUTED_VALUE"""),"Dec 31, 2025")</f>
        <v>Dec 31, 2025</v>
      </c>
      <c r="D400" s="3" t="str">
        <f>IFERROR(__xludf.DUMMYFUNCTION("""COMPUTED_VALUE"""),"$4.99")</f>
        <v>$4.99</v>
      </c>
      <c r="E400" s="3" t="str">
        <f>IFERROR(__xludf.DUMMYFUNCTION("""COMPUTED_VALUE"""),"N/A (N/A)")</f>
        <v>N/A (N/A)</v>
      </c>
      <c r="F400" s="3" t="str">
        <f>IFERROR(__xludf.DUMMYFUNCTION("""COMPUTED_VALUE"""),"0 .. 20,000")</f>
        <v>0 .. 20,000</v>
      </c>
      <c r="G400" s="3" t="str">
        <f>IFERROR(__xludf.DUMMYFUNCTION("""COMPUTED_VALUE"""),"00:00 (00:00)")</f>
        <v>00:00 (00:00)</v>
      </c>
      <c r="H400" s="34"/>
      <c r="O400" s="34"/>
      <c r="R400" s="34"/>
    </row>
    <row r="401">
      <c r="A401" s="3">
        <f>IFERROR(__xludf.DUMMYFUNCTION("""COMPUTED_VALUE"""),400.0)</f>
        <v>400</v>
      </c>
      <c r="B401" s="3" t="str">
        <f>IFERROR(__xludf.DUMMYFUNCTION("""COMPUTED_VALUE"""),"Cultivation Magic World")</f>
        <v>Cultivation Magic World</v>
      </c>
      <c r="C401" s="3" t="str">
        <f>IFERROR(__xludf.DUMMYFUNCTION("""COMPUTED_VALUE"""),"Dec 31, 2025")</f>
        <v>Dec 31, 2025</v>
      </c>
      <c r="D401" s="3" t="str">
        <f>IFERROR(__xludf.DUMMYFUNCTION("""COMPUTED_VALUE"""),"$12.99")</f>
        <v>$12.99</v>
      </c>
      <c r="E401" s="3" t="str">
        <f>IFERROR(__xludf.DUMMYFUNCTION("""COMPUTED_VALUE"""),"N/A (N/A)")</f>
        <v>N/A (N/A)</v>
      </c>
      <c r="F401" s="3" t="str">
        <f>IFERROR(__xludf.DUMMYFUNCTION("""COMPUTED_VALUE"""),"0 .. 20,000")</f>
        <v>0 .. 20,000</v>
      </c>
      <c r="G401" s="3" t="str">
        <f>IFERROR(__xludf.DUMMYFUNCTION("""COMPUTED_VALUE"""),"00:00 (00:00)")</f>
        <v>00:00 (00:00)</v>
      </c>
      <c r="H401" s="34"/>
      <c r="O401" s="34"/>
      <c r="R401" s="34"/>
    </row>
    <row r="402">
      <c r="H402" s="34"/>
      <c r="O402" s="34"/>
      <c r="R402" s="34"/>
    </row>
    <row r="403">
      <c r="H403" s="34"/>
      <c r="O403" s="34"/>
      <c r="R403" s="34"/>
    </row>
    <row r="404">
      <c r="H404" s="34"/>
      <c r="O404" s="34"/>
      <c r="R404" s="34"/>
    </row>
    <row r="405">
      <c r="H405" s="34"/>
      <c r="O405" s="34"/>
      <c r="R405" s="34"/>
    </row>
    <row r="406">
      <c r="H406" s="34"/>
      <c r="O406" s="34"/>
      <c r="R406" s="34"/>
    </row>
    <row r="407">
      <c r="H407" s="34"/>
      <c r="O407" s="34"/>
      <c r="R407" s="34"/>
    </row>
    <row r="408">
      <c r="H408" s="34"/>
      <c r="O408" s="34"/>
      <c r="R408" s="34"/>
    </row>
    <row r="409">
      <c r="H409" s="34"/>
      <c r="O409" s="34"/>
      <c r="R409" s="34"/>
    </row>
    <row r="410">
      <c r="H410" s="34"/>
      <c r="O410" s="34"/>
      <c r="R410" s="34"/>
    </row>
    <row r="411">
      <c r="H411" s="34"/>
      <c r="O411" s="34"/>
      <c r="R411" s="34"/>
    </row>
    <row r="412">
      <c r="H412" s="34"/>
      <c r="O412" s="34"/>
      <c r="R412" s="34"/>
    </row>
    <row r="413">
      <c r="H413" s="34"/>
      <c r="O413" s="34"/>
      <c r="R413" s="34"/>
    </row>
    <row r="414">
      <c r="H414" s="34"/>
      <c r="O414" s="34"/>
      <c r="R414" s="34"/>
    </row>
    <row r="415">
      <c r="H415" s="34"/>
      <c r="O415" s="34"/>
      <c r="R415" s="34"/>
    </row>
    <row r="416">
      <c r="H416" s="34"/>
      <c r="O416" s="34"/>
      <c r="R416" s="34"/>
    </row>
    <row r="417">
      <c r="H417" s="34"/>
      <c r="O417" s="34"/>
      <c r="R417" s="34"/>
    </row>
    <row r="418">
      <c r="H418" s="34"/>
      <c r="O418" s="34"/>
      <c r="R418" s="34"/>
    </row>
    <row r="419">
      <c r="H419" s="34"/>
      <c r="O419" s="34"/>
      <c r="R419" s="34"/>
    </row>
    <row r="420">
      <c r="H420" s="34"/>
      <c r="O420" s="34"/>
      <c r="R420" s="34"/>
    </row>
    <row r="421">
      <c r="H421" s="34"/>
      <c r="O421" s="34"/>
      <c r="R421" s="34"/>
    </row>
    <row r="422">
      <c r="H422" s="34"/>
      <c r="O422" s="34"/>
      <c r="R422" s="34"/>
    </row>
    <row r="423">
      <c r="H423" s="34"/>
      <c r="O423" s="34"/>
      <c r="R423" s="34"/>
    </row>
    <row r="424">
      <c r="H424" s="34"/>
      <c r="O424" s="34"/>
      <c r="R424" s="34"/>
    </row>
    <row r="425">
      <c r="H425" s="34"/>
      <c r="O425" s="34"/>
      <c r="R425" s="34"/>
    </row>
    <row r="426">
      <c r="H426" s="34"/>
      <c r="O426" s="34"/>
      <c r="R426" s="34"/>
    </row>
    <row r="427">
      <c r="H427" s="34"/>
      <c r="O427" s="34"/>
      <c r="R427" s="34"/>
    </row>
    <row r="428">
      <c r="H428" s="34"/>
      <c r="O428" s="34"/>
      <c r="R428" s="34"/>
    </row>
    <row r="429">
      <c r="H429" s="34"/>
      <c r="O429" s="34"/>
      <c r="R429" s="34"/>
    </row>
    <row r="430">
      <c r="H430" s="34"/>
      <c r="O430" s="34"/>
      <c r="R430" s="34"/>
    </row>
    <row r="431">
      <c r="H431" s="34"/>
      <c r="O431" s="34"/>
      <c r="R431" s="34"/>
    </row>
    <row r="432">
      <c r="H432" s="34"/>
      <c r="O432" s="34"/>
      <c r="R432" s="34"/>
    </row>
    <row r="433">
      <c r="H433" s="34"/>
      <c r="O433" s="34"/>
      <c r="R433" s="34"/>
    </row>
    <row r="434">
      <c r="H434" s="34"/>
      <c r="O434" s="34"/>
      <c r="R434" s="34"/>
    </row>
    <row r="435">
      <c r="H435" s="34"/>
      <c r="O435" s="34"/>
      <c r="R435" s="34"/>
    </row>
    <row r="436">
      <c r="H436" s="34"/>
      <c r="O436" s="34"/>
      <c r="R436" s="34"/>
    </row>
    <row r="437">
      <c r="H437" s="34"/>
      <c r="O437" s="34"/>
      <c r="R437" s="34"/>
    </row>
    <row r="438">
      <c r="H438" s="34"/>
      <c r="O438" s="34"/>
      <c r="R438" s="34"/>
    </row>
    <row r="439">
      <c r="H439" s="34"/>
      <c r="O439" s="34"/>
      <c r="R439" s="34"/>
    </row>
    <row r="440">
      <c r="H440" s="34"/>
      <c r="O440" s="34"/>
      <c r="R440" s="34"/>
    </row>
    <row r="441">
      <c r="H441" s="34"/>
      <c r="O441" s="34"/>
      <c r="R441" s="34"/>
    </row>
    <row r="442">
      <c r="H442" s="34"/>
      <c r="O442" s="34"/>
      <c r="R442" s="34"/>
    </row>
    <row r="443">
      <c r="H443" s="34"/>
      <c r="O443" s="34"/>
      <c r="R443" s="34"/>
    </row>
    <row r="444">
      <c r="H444" s="34"/>
      <c r="O444" s="34"/>
      <c r="R444" s="34"/>
    </row>
    <row r="445">
      <c r="H445" s="34"/>
      <c r="O445" s="34"/>
      <c r="R445" s="34"/>
    </row>
    <row r="446">
      <c r="H446" s="34"/>
      <c r="O446" s="34"/>
      <c r="R446" s="34"/>
    </row>
    <row r="447">
      <c r="H447" s="34"/>
      <c r="O447" s="34"/>
      <c r="R447" s="34"/>
    </row>
    <row r="448">
      <c r="H448" s="34"/>
      <c r="O448" s="34"/>
      <c r="R448" s="34"/>
    </row>
    <row r="449">
      <c r="H449" s="34"/>
      <c r="O449" s="34"/>
      <c r="R449" s="34"/>
    </row>
    <row r="450">
      <c r="H450" s="34"/>
      <c r="O450" s="34"/>
      <c r="R450" s="34"/>
    </row>
    <row r="451">
      <c r="H451" s="34"/>
      <c r="O451" s="34"/>
      <c r="R451" s="34"/>
    </row>
    <row r="452">
      <c r="H452" s="34"/>
      <c r="O452" s="34"/>
      <c r="R452" s="34"/>
    </row>
    <row r="453">
      <c r="H453" s="34"/>
      <c r="O453" s="34"/>
      <c r="R453" s="34"/>
    </row>
    <row r="454">
      <c r="H454" s="34"/>
      <c r="O454" s="34"/>
      <c r="R454" s="34"/>
    </row>
    <row r="455">
      <c r="H455" s="34"/>
      <c r="O455" s="34"/>
      <c r="R455" s="34"/>
    </row>
    <row r="456">
      <c r="H456" s="34"/>
      <c r="O456" s="34"/>
      <c r="R456" s="34"/>
    </row>
    <row r="457">
      <c r="H457" s="34"/>
      <c r="O457" s="34"/>
      <c r="R457" s="34"/>
    </row>
    <row r="458">
      <c r="H458" s="34"/>
      <c r="O458" s="34"/>
      <c r="R458" s="34"/>
    </row>
    <row r="459">
      <c r="H459" s="34"/>
      <c r="O459" s="34"/>
      <c r="R459" s="34"/>
    </row>
    <row r="460">
      <c r="H460" s="34"/>
      <c r="O460" s="34"/>
      <c r="R460" s="34"/>
    </row>
    <row r="461">
      <c r="H461" s="34"/>
      <c r="O461" s="34"/>
      <c r="R461" s="34"/>
    </row>
    <row r="462">
      <c r="H462" s="34"/>
      <c r="O462" s="34"/>
      <c r="R462" s="34"/>
    </row>
    <row r="463">
      <c r="H463" s="34"/>
      <c r="O463" s="34"/>
      <c r="R463" s="34"/>
    </row>
    <row r="464">
      <c r="H464" s="34"/>
      <c r="O464" s="34"/>
      <c r="R464" s="34"/>
    </row>
    <row r="465">
      <c r="H465" s="34"/>
      <c r="O465" s="34"/>
      <c r="R465" s="34"/>
    </row>
    <row r="466">
      <c r="H466" s="34"/>
      <c r="O466" s="34"/>
      <c r="R466" s="34"/>
    </row>
    <row r="467">
      <c r="H467" s="34"/>
      <c r="O467" s="34"/>
      <c r="R467" s="34"/>
    </row>
    <row r="468">
      <c r="H468" s="34"/>
      <c r="O468" s="34"/>
      <c r="R468" s="34"/>
    </row>
    <row r="469">
      <c r="H469" s="34"/>
      <c r="O469" s="34"/>
      <c r="R469" s="34"/>
    </row>
    <row r="470">
      <c r="H470" s="34"/>
      <c r="O470" s="34"/>
      <c r="R470" s="34"/>
    </row>
    <row r="471">
      <c r="H471" s="34"/>
      <c r="O471" s="34"/>
      <c r="R471" s="34"/>
    </row>
    <row r="472">
      <c r="H472" s="34"/>
      <c r="O472" s="34"/>
      <c r="R472" s="34"/>
    </row>
    <row r="473">
      <c r="H473" s="34"/>
      <c r="O473" s="34"/>
      <c r="R473" s="34"/>
    </row>
    <row r="474">
      <c r="H474" s="34"/>
      <c r="O474" s="34"/>
      <c r="R474" s="34"/>
    </row>
    <row r="475">
      <c r="H475" s="34"/>
      <c r="O475" s="34"/>
      <c r="R475" s="34"/>
    </row>
    <row r="476">
      <c r="H476" s="34"/>
      <c r="O476" s="34"/>
      <c r="R476" s="34"/>
    </row>
    <row r="477">
      <c r="H477" s="34"/>
      <c r="O477" s="34"/>
      <c r="R477" s="34"/>
    </row>
    <row r="478">
      <c r="H478" s="34"/>
      <c r="O478" s="34"/>
      <c r="R478" s="34"/>
    </row>
    <row r="479">
      <c r="H479" s="34"/>
      <c r="O479" s="34"/>
      <c r="R479" s="34"/>
    </row>
    <row r="480">
      <c r="H480" s="34"/>
      <c r="O480" s="34"/>
      <c r="R480" s="34"/>
    </row>
    <row r="481">
      <c r="H481" s="34"/>
      <c r="O481" s="34"/>
      <c r="R481" s="34"/>
    </row>
    <row r="482">
      <c r="H482" s="34"/>
      <c r="O482" s="34"/>
      <c r="R482" s="34"/>
    </row>
    <row r="483">
      <c r="H483" s="34"/>
      <c r="O483" s="34"/>
      <c r="R483" s="34"/>
    </row>
    <row r="484">
      <c r="H484" s="34"/>
      <c r="O484" s="34"/>
      <c r="R484" s="34"/>
    </row>
    <row r="485">
      <c r="H485" s="34"/>
      <c r="O485" s="34"/>
      <c r="R485" s="34"/>
    </row>
    <row r="486">
      <c r="H486" s="34"/>
      <c r="O486" s="34"/>
      <c r="R486" s="34"/>
    </row>
    <row r="487">
      <c r="H487" s="34"/>
      <c r="O487" s="34"/>
      <c r="R487" s="34"/>
    </row>
    <row r="488">
      <c r="H488" s="34"/>
      <c r="O488" s="34"/>
      <c r="R488" s="34"/>
    </row>
    <row r="489">
      <c r="H489" s="34"/>
      <c r="O489" s="34"/>
      <c r="R489" s="34"/>
    </row>
    <row r="490">
      <c r="H490" s="34"/>
      <c r="O490" s="34"/>
      <c r="R490" s="34"/>
    </row>
    <row r="491">
      <c r="H491" s="34"/>
      <c r="O491" s="34"/>
      <c r="R491" s="34"/>
    </row>
    <row r="492">
      <c r="H492" s="34"/>
      <c r="O492" s="34"/>
      <c r="R492" s="34"/>
    </row>
    <row r="493">
      <c r="H493" s="34"/>
      <c r="O493" s="34"/>
      <c r="R493" s="34"/>
    </row>
    <row r="494">
      <c r="H494" s="34"/>
      <c r="O494" s="34"/>
      <c r="R494" s="34"/>
    </row>
    <row r="495">
      <c r="H495" s="34"/>
      <c r="O495" s="34"/>
      <c r="R495" s="34"/>
    </row>
    <row r="496">
      <c r="H496" s="34"/>
      <c r="O496" s="34"/>
      <c r="R496" s="34"/>
    </row>
    <row r="497">
      <c r="H497" s="34"/>
      <c r="O497" s="34"/>
      <c r="R497" s="34"/>
    </row>
    <row r="498">
      <c r="H498" s="34"/>
      <c r="O498" s="34"/>
      <c r="R498" s="34"/>
    </row>
    <row r="499">
      <c r="H499" s="34"/>
      <c r="O499" s="34"/>
      <c r="R499" s="34"/>
    </row>
    <row r="500">
      <c r="H500" s="34"/>
      <c r="O500" s="34"/>
      <c r="R500" s="34"/>
    </row>
    <row r="501">
      <c r="H501" s="34"/>
      <c r="O501" s="34"/>
      <c r="R501" s="34"/>
    </row>
    <row r="502">
      <c r="H502" s="34"/>
      <c r="O502" s="34"/>
      <c r="R502" s="34"/>
    </row>
    <row r="503">
      <c r="H503" s="34"/>
      <c r="O503" s="34"/>
      <c r="R503" s="34"/>
    </row>
    <row r="504">
      <c r="H504" s="34"/>
      <c r="O504" s="34"/>
      <c r="R504" s="34"/>
    </row>
    <row r="505">
      <c r="H505" s="34"/>
      <c r="O505" s="34"/>
      <c r="R505" s="34"/>
    </row>
    <row r="506">
      <c r="H506" s="34"/>
      <c r="O506" s="34"/>
      <c r="R506" s="34"/>
    </row>
    <row r="507">
      <c r="H507" s="34"/>
      <c r="O507" s="34"/>
      <c r="R507" s="34"/>
    </row>
    <row r="508">
      <c r="H508" s="34"/>
      <c r="O508" s="34"/>
      <c r="R508" s="34"/>
    </row>
    <row r="509">
      <c r="H509" s="34"/>
      <c r="O509" s="34"/>
      <c r="R509" s="34"/>
    </row>
    <row r="510">
      <c r="H510" s="34"/>
      <c r="O510" s="34"/>
      <c r="R510" s="34"/>
    </row>
    <row r="511">
      <c r="H511" s="34"/>
      <c r="O511" s="34"/>
      <c r="R511" s="34"/>
    </row>
    <row r="512">
      <c r="H512" s="34"/>
      <c r="O512" s="34"/>
      <c r="R512" s="34"/>
    </row>
    <row r="513">
      <c r="H513" s="34"/>
      <c r="O513" s="34"/>
      <c r="R513" s="34"/>
    </row>
    <row r="514">
      <c r="H514" s="34"/>
      <c r="O514" s="34"/>
      <c r="R514" s="34"/>
    </row>
    <row r="515">
      <c r="H515" s="34"/>
      <c r="O515" s="34"/>
      <c r="R515" s="34"/>
    </row>
    <row r="516">
      <c r="H516" s="34"/>
      <c r="O516" s="34"/>
      <c r="R516" s="34"/>
    </row>
    <row r="517">
      <c r="H517" s="34"/>
      <c r="O517" s="34"/>
      <c r="R517" s="34"/>
    </row>
    <row r="518">
      <c r="H518" s="34"/>
      <c r="O518" s="34"/>
      <c r="R518" s="34"/>
    </row>
    <row r="519">
      <c r="H519" s="34"/>
      <c r="O519" s="34"/>
      <c r="R519" s="34"/>
    </row>
    <row r="520">
      <c r="H520" s="34"/>
      <c r="O520" s="34"/>
      <c r="R520" s="34"/>
    </row>
    <row r="521">
      <c r="H521" s="34"/>
      <c r="O521" s="34"/>
      <c r="R521" s="34"/>
    </row>
    <row r="522">
      <c r="H522" s="34"/>
      <c r="O522" s="34"/>
      <c r="R522" s="34"/>
    </row>
    <row r="523">
      <c r="H523" s="34"/>
      <c r="O523" s="34"/>
      <c r="R523" s="34"/>
    </row>
    <row r="524">
      <c r="H524" s="34"/>
      <c r="O524" s="34"/>
      <c r="R524" s="34"/>
    </row>
    <row r="525">
      <c r="H525" s="34"/>
      <c r="O525" s="34"/>
      <c r="R525" s="34"/>
    </row>
    <row r="526">
      <c r="H526" s="34"/>
      <c r="O526" s="34"/>
      <c r="R526" s="34"/>
    </row>
    <row r="527">
      <c r="H527" s="34"/>
      <c r="O527" s="34"/>
      <c r="R527" s="34"/>
    </row>
    <row r="528">
      <c r="H528" s="34"/>
      <c r="O528" s="34"/>
      <c r="R528" s="34"/>
    </row>
    <row r="529">
      <c r="H529" s="34"/>
      <c r="O529" s="34"/>
      <c r="R529" s="34"/>
    </row>
    <row r="530">
      <c r="H530" s="34"/>
      <c r="O530" s="34"/>
      <c r="R530" s="34"/>
    </row>
    <row r="531">
      <c r="H531" s="34"/>
      <c r="O531" s="34"/>
      <c r="R531" s="34"/>
    </row>
    <row r="532">
      <c r="H532" s="34"/>
      <c r="O532" s="34"/>
      <c r="R532" s="34"/>
    </row>
    <row r="533">
      <c r="H533" s="34"/>
      <c r="O533" s="34"/>
      <c r="R533" s="34"/>
    </row>
    <row r="534">
      <c r="H534" s="34"/>
      <c r="O534" s="34"/>
      <c r="R534" s="34"/>
    </row>
    <row r="535">
      <c r="H535" s="34"/>
      <c r="O535" s="34"/>
      <c r="R535" s="34"/>
    </row>
    <row r="536">
      <c r="H536" s="34"/>
      <c r="O536" s="34"/>
      <c r="R536" s="34"/>
    </row>
    <row r="537">
      <c r="H537" s="34"/>
      <c r="O537" s="34"/>
      <c r="R537" s="34"/>
    </row>
    <row r="538">
      <c r="H538" s="34"/>
      <c r="O538" s="34"/>
      <c r="R538" s="34"/>
    </row>
    <row r="539">
      <c r="H539" s="34"/>
      <c r="O539" s="34"/>
      <c r="R539" s="34"/>
    </row>
    <row r="540">
      <c r="H540" s="34"/>
      <c r="O540" s="34"/>
      <c r="R540" s="34"/>
    </row>
    <row r="541">
      <c r="H541" s="34"/>
      <c r="O541" s="34"/>
      <c r="R541" s="34"/>
    </row>
    <row r="542">
      <c r="H542" s="34"/>
      <c r="O542" s="34"/>
      <c r="R542" s="34"/>
    </row>
    <row r="543">
      <c r="H543" s="34"/>
      <c r="O543" s="34"/>
      <c r="R543" s="34"/>
    </row>
    <row r="544">
      <c r="H544" s="34"/>
      <c r="O544" s="34"/>
      <c r="R544" s="34"/>
    </row>
    <row r="545">
      <c r="H545" s="34"/>
      <c r="O545" s="34"/>
      <c r="R545" s="34"/>
    </row>
    <row r="546">
      <c r="H546" s="34"/>
      <c r="O546" s="34"/>
      <c r="R546" s="34"/>
    </row>
    <row r="547">
      <c r="H547" s="34"/>
      <c r="O547" s="34"/>
      <c r="R547" s="34"/>
    </row>
    <row r="548">
      <c r="H548" s="34"/>
      <c r="O548" s="34"/>
      <c r="R548" s="34"/>
    </row>
    <row r="549">
      <c r="H549" s="34"/>
      <c r="O549" s="34"/>
      <c r="R549" s="34"/>
    </row>
    <row r="550">
      <c r="H550" s="34"/>
      <c r="O550" s="34"/>
      <c r="R550" s="34"/>
    </row>
    <row r="551">
      <c r="H551" s="34"/>
      <c r="O551" s="34"/>
      <c r="R551" s="34"/>
    </row>
    <row r="552">
      <c r="H552" s="34"/>
      <c r="O552" s="34"/>
      <c r="R552" s="34"/>
    </row>
    <row r="553">
      <c r="H553" s="34"/>
      <c r="O553" s="34"/>
      <c r="R553" s="34"/>
    </row>
    <row r="554">
      <c r="H554" s="34"/>
      <c r="O554" s="34"/>
      <c r="R554" s="34"/>
    </row>
    <row r="555">
      <c r="H555" s="34"/>
      <c r="O555" s="34"/>
      <c r="R555" s="34"/>
    </row>
    <row r="556">
      <c r="H556" s="34"/>
      <c r="O556" s="34"/>
      <c r="R556" s="34"/>
    </row>
    <row r="557">
      <c r="H557" s="34"/>
      <c r="O557" s="34"/>
      <c r="R557" s="34"/>
    </row>
    <row r="558">
      <c r="H558" s="34"/>
      <c r="O558" s="34"/>
      <c r="R558" s="34"/>
    </row>
    <row r="559">
      <c r="H559" s="34"/>
      <c r="O559" s="34"/>
      <c r="R559" s="34"/>
    </row>
    <row r="560">
      <c r="H560" s="34"/>
      <c r="O560" s="34"/>
      <c r="R560" s="34"/>
    </row>
    <row r="561">
      <c r="H561" s="34"/>
      <c r="O561" s="34"/>
      <c r="R561" s="34"/>
    </row>
    <row r="562">
      <c r="H562" s="34"/>
      <c r="O562" s="34"/>
      <c r="R562" s="34"/>
    </row>
    <row r="563">
      <c r="H563" s="34"/>
      <c r="O563" s="34"/>
      <c r="R563" s="34"/>
    </row>
    <row r="564">
      <c r="H564" s="34"/>
      <c r="O564" s="34"/>
      <c r="R564" s="34"/>
    </row>
    <row r="565">
      <c r="H565" s="34"/>
      <c r="O565" s="34"/>
      <c r="R565" s="34"/>
    </row>
    <row r="566">
      <c r="H566" s="34"/>
      <c r="O566" s="34"/>
      <c r="R566" s="34"/>
    </row>
    <row r="567">
      <c r="H567" s="34"/>
      <c r="O567" s="34"/>
      <c r="R567" s="34"/>
    </row>
    <row r="568">
      <c r="H568" s="34"/>
      <c r="O568" s="34"/>
      <c r="R568" s="34"/>
    </row>
    <row r="569">
      <c r="H569" s="34"/>
      <c r="O569" s="34"/>
      <c r="R569" s="34"/>
    </row>
    <row r="570">
      <c r="H570" s="34"/>
      <c r="O570" s="34"/>
      <c r="R570" s="34"/>
    </row>
    <row r="571">
      <c r="H571" s="34"/>
      <c r="O571" s="34"/>
      <c r="R571" s="34"/>
    </row>
    <row r="572">
      <c r="H572" s="34"/>
      <c r="O572" s="34"/>
      <c r="R572" s="34"/>
    </row>
    <row r="573">
      <c r="H573" s="34"/>
      <c r="O573" s="34"/>
      <c r="R573" s="34"/>
    </row>
    <row r="574">
      <c r="H574" s="34"/>
      <c r="O574" s="34"/>
      <c r="R574" s="34"/>
    </row>
    <row r="575">
      <c r="H575" s="34"/>
      <c r="O575" s="34"/>
      <c r="R575" s="34"/>
    </row>
    <row r="576">
      <c r="H576" s="34"/>
      <c r="O576" s="34"/>
      <c r="R576" s="34"/>
    </row>
    <row r="577">
      <c r="H577" s="34"/>
      <c r="O577" s="34"/>
      <c r="R577" s="34"/>
    </row>
    <row r="578">
      <c r="H578" s="34"/>
      <c r="O578" s="34"/>
      <c r="R578" s="34"/>
    </row>
    <row r="579">
      <c r="H579" s="34"/>
      <c r="O579" s="34"/>
      <c r="R579" s="34"/>
    </row>
    <row r="580">
      <c r="H580" s="34"/>
      <c r="O580" s="34"/>
      <c r="R580" s="34"/>
    </row>
    <row r="581">
      <c r="H581" s="34"/>
      <c r="O581" s="34"/>
      <c r="R581" s="34"/>
    </row>
    <row r="582">
      <c r="H582" s="34"/>
      <c r="O582" s="34"/>
      <c r="R582" s="34"/>
    </row>
    <row r="583">
      <c r="H583" s="34"/>
      <c r="O583" s="34"/>
      <c r="R583" s="34"/>
    </row>
    <row r="584">
      <c r="H584" s="34"/>
      <c r="O584" s="34"/>
      <c r="R584" s="34"/>
    </row>
    <row r="585">
      <c r="H585" s="34"/>
      <c r="O585" s="34"/>
      <c r="R585" s="34"/>
    </row>
    <row r="586">
      <c r="H586" s="34"/>
      <c r="O586" s="34"/>
      <c r="R586" s="34"/>
    </row>
    <row r="587">
      <c r="H587" s="34"/>
      <c r="O587" s="34"/>
      <c r="R587" s="34"/>
    </row>
    <row r="588">
      <c r="H588" s="34"/>
      <c r="O588" s="34"/>
      <c r="R588" s="34"/>
    </row>
    <row r="589">
      <c r="H589" s="34"/>
      <c r="O589" s="34"/>
      <c r="R589" s="34"/>
    </row>
    <row r="590">
      <c r="H590" s="34"/>
      <c r="O590" s="34"/>
      <c r="R590" s="34"/>
    </row>
    <row r="591">
      <c r="H591" s="34"/>
      <c r="O591" s="34"/>
      <c r="R591" s="34"/>
    </row>
    <row r="592">
      <c r="H592" s="34"/>
      <c r="O592" s="34"/>
      <c r="R592" s="34"/>
    </row>
    <row r="593">
      <c r="H593" s="34"/>
      <c r="O593" s="34"/>
      <c r="R593" s="34"/>
    </row>
    <row r="594">
      <c r="H594" s="34"/>
      <c r="O594" s="34"/>
      <c r="R594" s="34"/>
    </row>
    <row r="595">
      <c r="H595" s="34"/>
      <c r="O595" s="34"/>
      <c r="R595" s="34"/>
    </row>
    <row r="596">
      <c r="H596" s="34"/>
      <c r="O596" s="34"/>
      <c r="R596" s="34"/>
    </row>
    <row r="597">
      <c r="H597" s="34"/>
      <c r="O597" s="34"/>
      <c r="R597" s="34"/>
    </row>
    <row r="598">
      <c r="H598" s="34"/>
      <c r="O598" s="34"/>
      <c r="R598" s="34"/>
    </row>
    <row r="599">
      <c r="H599" s="34"/>
      <c r="O599" s="34"/>
      <c r="R599" s="34"/>
    </row>
    <row r="600">
      <c r="H600" s="34"/>
      <c r="O600" s="34"/>
      <c r="R600" s="34"/>
    </row>
    <row r="601">
      <c r="H601" s="34"/>
      <c r="O601" s="34"/>
      <c r="R601" s="34"/>
    </row>
    <row r="602">
      <c r="H602" s="34"/>
      <c r="O602" s="34"/>
      <c r="R602" s="34"/>
    </row>
    <row r="603">
      <c r="H603" s="34"/>
      <c r="O603" s="34"/>
      <c r="R603" s="34"/>
    </row>
    <row r="604">
      <c r="H604" s="34"/>
      <c r="O604" s="34"/>
      <c r="R604" s="34"/>
    </row>
    <row r="605">
      <c r="H605" s="34"/>
      <c r="O605" s="34"/>
      <c r="R605" s="34"/>
    </row>
    <row r="606">
      <c r="H606" s="34"/>
      <c r="O606" s="34"/>
      <c r="R606" s="34"/>
    </row>
    <row r="607">
      <c r="H607" s="34"/>
      <c r="O607" s="34"/>
      <c r="R607" s="34"/>
    </row>
    <row r="608">
      <c r="H608" s="34"/>
      <c r="O608" s="34"/>
      <c r="R608" s="34"/>
    </row>
    <row r="609">
      <c r="H609" s="34"/>
      <c r="O609" s="34"/>
      <c r="R609" s="34"/>
    </row>
    <row r="610">
      <c r="H610" s="34"/>
      <c r="O610" s="34"/>
      <c r="R610" s="34"/>
    </row>
    <row r="611">
      <c r="H611" s="34"/>
      <c r="O611" s="34"/>
      <c r="R611" s="34"/>
    </row>
    <row r="612">
      <c r="H612" s="34"/>
      <c r="O612" s="34"/>
      <c r="R612" s="34"/>
    </row>
    <row r="613">
      <c r="H613" s="34"/>
      <c r="O613" s="34"/>
      <c r="R613" s="34"/>
    </row>
    <row r="614">
      <c r="H614" s="34"/>
      <c r="O614" s="34"/>
      <c r="R614" s="34"/>
    </row>
    <row r="615">
      <c r="H615" s="34"/>
      <c r="O615" s="34"/>
      <c r="R615" s="34"/>
    </row>
    <row r="616">
      <c r="H616" s="34"/>
      <c r="O616" s="34"/>
      <c r="R616" s="34"/>
    </row>
    <row r="617">
      <c r="H617" s="34"/>
      <c r="O617" s="34"/>
      <c r="R617" s="34"/>
    </row>
    <row r="618">
      <c r="H618" s="34"/>
      <c r="O618" s="34"/>
      <c r="R618" s="34"/>
    </row>
    <row r="619">
      <c r="H619" s="34"/>
      <c r="O619" s="34"/>
      <c r="R619" s="34"/>
    </row>
    <row r="620">
      <c r="H620" s="34"/>
      <c r="O620" s="34"/>
      <c r="R620" s="34"/>
    </row>
    <row r="621">
      <c r="H621" s="34"/>
      <c r="O621" s="34"/>
      <c r="R621" s="34"/>
    </row>
    <row r="622">
      <c r="H622" s="34"/>
      <c r="O622" s="34"/>
      <c r="R622" s="34"/>
    </row>
    <row r="623">
      <c r="H623" s="34"/>
      <c r="O623" s="34"/>
      <c r="R623" s="34"/>
    </row>
    <row r="624">
      <c r="H624" s="34"/>
      <c r="O624" s="34"/>
      <c r="R624" s="34"/>
    </row>
    <row r="625">
      <c r="H625" s="34"/>
      <c r="O625" s="34"/>
      <c r="R625" s="34"/>
    </row>
    <row r="626">
      <c r="H626" s="34"/>
      <c r="O626" s="34"/>
      <c r="R626" s="34"/>
    </row>
    <row r="627">
      <c r="H627" s="34"/>
      <c r="O627" s="34"/>
      <c r="R627" s="34"/>
    </row>
    <row r="628">
      <c r="H628" s="34"/>
      <c r="O628" s="34"/>
      <c r="R628" s="34"/>
    </row>
    <row r="629">
      <c r="H629" s="34"/>
      <c r="O629" s="34"/>
      <c r="R629" s="34"/>
    </row>
    <row r="630">
      <c r="H630" s="34"/>
      <c r="O630" s="34"/>
      <c r="R630" s="34"/>
    </row>
    <row r="631">
      <c r="H631" s="34"/>
      <c r="O631" s="34"/>
      <c r="R631" s="34"/>
    </row>
    <row r="632">
      <c r="H632" s="34"/>
      <c r="O632" s="34"/>
      <c r="R632" s="34"/>
    </row>
    <row r="633">
      <c r="H633" s="34"/>
      <c r="O633" s="34"/>
      <c r="R633" s="34"/>
    </row>
    <row r="634">
      <c r="H634" s="34"/>
      <c r="O634" s="34"/>
      <c r="R634" s="34"/>
    </row>
    <row r="635">
      <c r="H635" s="34"/>
      <c r="O635" s="34"/>
      <c r="R635" s="34"/>
    </row>
    <row r="636">
      <c r="H636" s="34"/>
      <c r="O636" s="34"/>
      <c r="R636" s="34"/>
    </row>
    <row r="637">
      <c r="H637" s="34"/>
      <c r="O637" s="34"/>
      <c r="R637" s="34"/>
    </row>
    <row r="638">
      <c r="H638" s="34"/>
      <c r="O638" s="34"/>
      <c r="R638" s="34"/>
    </row>
    <row r="639">
      <c r="H639" s="34"/>
      <c r="O639" s="34"/>
      <c r="R639" s="34"/>
    </row>
    <row r="640">
      <c r="H640" s="34"/>
      <c r="O640" s="34"/>
      <c r="R640" s="34"/>
    </row>
    <row r="641">
      <c r="H641" s="34"/>
      <c r="O641" s="34"/>
      <c r="R641" s="34"/>
    </row>
    <row r="642">
      <c r="H642" s="34"/>
      <c r="O642" s="34"/>
      <c r="R642" s="34"/>
    </row>
    <row r="643">
      <c r="H643" s="34"/>
      <c r="O643" s="34"/>
      <c r="R643" s="34"/>
    </row>
    <row r="644">
      <c r="H644" s="34"/>
      <c r="O644" s="34"/>
      <c r="R644" s="34"/>
    </row>
    <row r="645">
      <c r="H645" s="34"/>
      <c r="O645" s="34"/>
      <c r="R645" s="34"/>
    </row>
    <row r="646">
      <c r="H646" s="34"/>
      <c r="O646" s="34"/>
      <c r="R646" s="34"/>
    </row>
    <row r="647">
      <c r="H647" s="34"/>
      <c r="O647" s="34"/>
      <c r="R647" s="34"/>
    </row>
    <row r="648">
      <c r="H648" s="34"/>
      <c r="O648" s="34"/>
      <c r="R648" s="34"/>
    </row>
    <row r="649">
      <c r="H649" s="34"/>
      <c r="O649" s="34"/>
      <c r="R649" s="34"/>
    </row>
    <row r="650">
      <c r="H650" s="34"/>
      <c r="O650" s="34"/>
      <c r="R650" s="34"/>
    </row>
    <row r="651">
      <c r="H651" s="34"/>
      <c r="O651" s="34"/>
      <c r="R651" s="34"/>
    </row>
    <row r="652">
      <c r="H652" s="34"/>
      <c r="O652" s="34"/>
      <c r="R652" s="34"/>
    </row>
    <row r="653">
      <c r="H653" s="34"/>
      <c r="O653" s="34"/>
      <c r="R653" s="34"/>
    </row>
    <row r="654">
      <c r="H654" s="34"/>
      <c r="O654" s="34"/>
      <c r="R654" s="34"/>
    </row>
    <row r="655">
      <c r="H655" s="34"/>
      <c r="O655" s="34"/>
      <c r="R655" s="34"/>
    </row>
    <row r="656">
      <c r="H656" s="34"/>
      <c r="O656" s="34"/>
      <c r="R656" s="34"/>
    </row>
    <row r="657">
      <c r="H657" s="34"/>
      <c r="O657" s="34"/>
      <c r="R657" s="34"/>
    </row>
    <row r="658">
      <c r="H658" s="34"/>
      <c r="O658" s="34"/>
      <c r="R658" s="34"/>
    </row>
    <row r="659">
      <c r="H659" s="34"/>
      <c r="O659" s="34"/>
      <c r="R659" s="34"/>
    </row>
    <row r="660">
      <c r="H660" s="34"/>
      <c r="O660" s="34"/>
      <c r="R660" s="34"/>
    </row>
    <row r="661">
      <c r="H661" s="34"/>
      <c r="O661" s="34"/>
      <c r="R661" s="34"/>
    </row>
    <row r="662">
      <c r="H662" s="34"/>
      <c r="O662" s="34"/>
      <c r="R662" s="34"/>
    </row>
    <row r="663">
      <c r="H663" s="34"/>
      <c r="O663" s="34"/>
      <c r="R663" s="34"/>
    </row>
    <row r="664">
      <c r="H664" s="34"/>
      <c r="O664" s="34"/>
      <c r="R664" s="34"/>
    </row>
    <row r="665">
      <c r="H665" s="34"/>
      <c r="O665" s="34"/>
      <c r="R665" s="34"/>
    </row>
    <row r="666">
      <c r="H666" s="34"/>
      <c r="O666" s="34"/>
      <c r="R666" s="34"/>
    </row>
    <row r="667">
      <c r="H667" s="34"/>
      <c r="O667" s="34"/>
      <c r="R667" s="34"/>
    </row>
    <row r="668">
      <c r="H668" s="34"/>
      <c r="O668" s="34"/>
      <c r="R668" s="34"/>
    </row>
    <row r="669">
      <c r="H669" s="34"/>
      <c r="O669" s="34"/>
      <c r="R669" s="34"/>
    </row>
    <row r="670">
      <c r="H670" s="34"/>
      <c r="O670" s="34"/>
      <c r="R670" s="34"/>
    </row>
    <row r="671">
      <c r="H671" s="34"/>
      <c r="O671" s="34"/>
      <c r="R671" s="34"/>
    </row>
    <row r="672">
      <c r="H672" s="34"/>
      <c r="O672" s="34"/>
      <c r="R672" s="34"/>
    </row>
    <row r="673">
      <c r="H673" s="34"/>
      <c r="O673" s="34"/>
      <c r="R673" s="34"/>
    </row>
    <row r="674">
      <c r="H674" s="34"/>
      <c r="O674" s="34"/>
      <c r="R674" s="34"/>
    </row>
    <row r="675">
      <c r="H675" s="34"/>
      <c r="O675" s="34"/>
      <c r="R675" s="34"/>
    </row>
    <row r="676">
      <c r="H676" s="34"/>
      <c r="O676" s="34"/>
      <c r="R676" s="34"/>
    </row>
    <row r="677">
      <c r="H677" s="34"/>
      <c r="O677" s="34"/>
      <c r="R677" s="34"/>
    </row>
    <row r="678">
      <c r="H678" s="34"/>
      <c r="O678" s="34"/>
      <c r="R678" s="34"/>
    </row>
    <row r="679">
      <c r="H679" s="34"/>
      <c r="O679" s="34"/>
      <c r="R679" s="34"/>
    </row>
    <row r="680">
      <c r="H680" s="34"/>
      <c r="O680" s="34"/>
      <c r="R680" s="34"/>
    </row>
    <row r="681">
      <c r="H681" s="34"/>
      <c r="O681" s="34"/>
      <c r="R681" s="34"/>
    </row>
    <row r="682">
      <c r="H682" s="34"/>
      <c r="O682" s="34"/>
      <c r="R682" s="34"/>
    </row>
    <row r="683">
      <c r="H683" s="34"/>
      <c r="O683" s="34"/>
      <c r="R683" s="34"/>
    </row>
    <row r="684">
      <c r="H684" s="34"/>
      <c r="O684" s="34"/>
      <c r="R684" s="34"/>
    </row>
    <row r="685">
      <c r="H685" s="34"/>
      <c r="O685" s="34"/>
      <c r="R685" s="34"/>
    </row>
    <row r="686">
      <c r="H686" s="34"/>
      <c r="O686" s="34"/>
      <c r="R686" s="34"/>
    </row>
    <row r="687">
      <c r="H687" s="34"/>
      <c r="O687" s="34"/>
      <c r="R687" s="34"/>
    </row>
    <row r="688">
      <c r="H688" s="34"/>
      <c r="O688" s="34"/>
      <c r="R688" s="34"/>
    </row>
    <row r="689">
      <c r="H689" s="34"/>
      <c r="O689" s="34"/>
      <c r="R689" s="34"/>
    </row>
    <row r="690">
      <c r="H690" s="34"/>
      <c r="O690" s="34"/>
      <c r="R690" s="34"/>
    </row>
    <row r="691">
      <c r="H691" s="34"/>
      <c r="O691" s="34"/>
      <c r="R691" s="34"/>
    </row>
    <row r="692">
      <c r="H692" s="34"/>
      <c r="O692" s="34"/>
      <c r="R692" s="34"/>
    </row>
    <row r="693">
      <c r="H693" s="34"/>
      <c r="O693" s="34"/>
      <c r="R693" s="34"/>
    </row>
    <row r="694">
      <c r="H694" s="34"/>
      <c r="O694" s="34"/>
      <c r="R694" s="34"/>
    </row>
    <row r="695">
      <c r="H695" s="34"/>
      <c r="O695" s="34"/>
      <c r="R695" s="34"/>
    </row>
    <row r="696">
      <c r="H696" s="34"/>
      <c r="O696" s="34"/>
      <c r="R696" s="34"/>
    </row>
    <row r="697">
      <c r="H697" s="34"/>
      <c r="O697" s="34"/>
      <c r="R697" s="34"/>
    </row>
    <row r="698">
      <c r="H698" s="34"/>
      <c r="O698" s="34"/>
      <c r="R698" s="34"/>
    </row>
    <row r="699">
      <c r="H699" s="34"/>
      <c r="O699" s="34"/>
      <c r="R699" s="34"/>
    </row>
    <row r="700">
      <c r="H700" s="34"/>
      <c r="O700" s="34"/>
      <c r="R700" s="34"/>
    </row>
    <row r="701">
      <c r="H701" s="34"/>
      <c r="O701" s="34"/>
      <c r="R701" s="34"/>
    </row>
    <row r="702">
      <c r="H702" s="34"/>
      <c r="O702" s="34"/>
      <c r="R702" s="34"/>
    </row>
    <row r="703">
      <c r="H703" s="34"/>
      <c r="O703" s="34"/>
      <c r="R703" s="34"/>
    </row>
    <row r="704">
      <c r="H704" s="34"/>
      <c r="O704" s="34"/>
      <c r="R704" s="34"/>
    </row>
    <row r="705">
      <c r="H705" s="34"/>
      <c r="O705" s="34"/>
      <c r="R705" s="34"/>
    </row>
    <row r="706">
      <c r="H706" s="34"/>
      <c r="O706" s="34"/>
      <c r="R706" s="34"/>
    </row>
    <row r="707">
      <c r="H707" s="34"/>
      <c r="O707" s="34"/>
      <c r="R707" s="34"/>
    </row>
    <row r="708">
      <c r="H708" s="34"/>
      <c r="O708" s="34"/>
      <c r="R708" s="34"/>
    </row>
    <row r="709">
      <c r="H709" s="34"/>
      <c r="O709" s="34"/>
      <c r="R709" s="34"/>
    </row>
    <row r="710">
      <c r="H710" s="34"/>
      <c r="O710" s="34"/>
      <c r="R710" s="34"/>
    </row>
    <row r="711">
      <c r="H711" s="34"/>
      <c r="O711" s="34"/>
      <c r="R711" s="34"/>
    </row>
    <row r="712">
      <c r="H712" s="34"/>
      <c r="O712" s="34"/>
      <c r="R712" s="34"/>
    </row>
    <row r="713">
      <c r="H713" s="34"/>
      <c r="O713" s="34"/>
      <c r="R713" s="34"/>
    </row>
    <row r="714">
      <c r="H714" s="34"/>
      <c r="O714" s="34"/>
      <c r="R714" s="34"/>
    </row>
    <row r="715">
      <c r="H715" s="34"/>
      <c r="O715" s="34"/>
      <c r="R715" s="34"/>
    </row>
    <row r="716">
      <c r="H716" s="34"/>
      <c r="O716" s="34"/>
      <c r="R716" s="34"/>
    </row>
    <row r="717">
      <c r="H717" s="34"/>
      <c r="O717" s="34"/>
      <c r="R717" s="34"/>
    </row>
    <row r="718">
      <c r="H718" s="34"/>
      <c r="O718" s="34"/>
      <c r="R718" s="34"/>
    </row>
    <row r="719">
      <c r="H719" s="34"/>
      <c r="O719" s="34"/>
      <c r="R719" s="34"/>
    </row>
    <row r="720">
      <c r="H720" s="34"/>
      <c r="O720" s="34"/>
      <c r="R720" s="34"/>
    </row>
    <row r="721">
      <c r="H721" s="34"/>
      <c r="O721" s="34"/>
      <c r="R721" s="34"/>
    </row>
    <row r="722">
      <c r="H722" s="34"/>
      <c r="O722" s="34"/>
      <c r="R722" s="34"/>
    </row>
    <row r="723">
      <c r="H723" s="34"/>
      <c r="O723" s="34"/>
      <c r="R723" s="34"/>
    </row>
    <row r="724">
      <c r="H724" s="34"/>
      <c r="O724" s="34"/>
      <c r="R724" s="34"/>
    </row>
    <row r="725">
      <c r="H725" s="34"/>
      <c r="O725" s="34"/>
      <c r="R725" s="34"/>
    </row>
    <row r="726">
      <c r="H726" s="34"/>
      <c r="O726" s="34"/>
      <c r="R726" s="34"/>
    </row>
    <row r="727">
      <c r="H727" s="34"/>
      <c r="O727" s="34"/>
      <c r="R727" s="34"/>
    </row>
    <row r="728">
      <c r="H728" s="34"/>
      <c r="O728" s="34"/>
      <c r="R728" s="34"/>
    </row>
    <row r="729">
      <c r="H729" s="34"/>
      <c r="O729" s="34"/>
      <c r="R729" s="34"/>
    </row>
    <row r="730">
      <c r="H730" s="34"/>
      <c r="O730" s="34"/>
      <c r="R730" s="34"/>
    </row>
    <row r="731">
      <c r="H731" s="34"/>
      <c r="O731" s="34"/>
      <c r="R731" s="34"/>
    </row>
    <row r="732">
      <c r="H732" s="34"/>
      <c r="O732" s="34"/>
      <c r="R732" s="34"/>
    </row>
    <row r="733">
      <c r="H733" s="34"/>
      <c r="O733" s="34"/>
      <c r="R733" s="34"/>
    </row>
    <row r="734">
      <c r="H734" s="34"/>
      <c r="O734" s="34"/>
      <c r="R734" s="34"/>
    </row>
    <row r="735">
      <c r="H735" s="34"/>
      <c r="O735" s="34"/>
      <c r="R735" s="34"/>
    </row>
    <row r="736">
      <c r="H736" s="34"/>
      <c r="O736" s="34"/>
      <c r="R736" s="34"/>
    </row>
    <row r="737">
      <c r="H737" s="34"/>
      <c r="O737" s="34"/>
      <c r="R737" s="34"/>
    </row>
    <row r="738">
      <c r="H738" s="34"/>
      <c r="O738" s="34"/>
      <c r="R738" s="34"/>
    </row>
    <row r="739">
      <c r="H739" s="34"/>
      <c r="O739" s="34"/>
      <c r="R739" s="34"/>
    </row>
    <row r="740">
      <c r="H740" s="34"/>
      <c r="O740" s="34"/>
      <c r="R740" s="34"/>
    </row>
    <row r="741">
      <c r="H741" s="34"/>
      <c r="O741" s="34"/>
      <c r="R741" s="34"/>
    </row>
    <row r="742">
      <c r="H742" s="34"/>
      <c r="O742" s="34"/>
      <c r="R742" s="34"/>
    </row>
    <row r="743">
      <c r="H743" s="34"/>
      <c r="O743" s="34"/>
      <c r="R743" s="34"/>
    </row>
    <row r="744">
      <c r="H744" s="34"/>
      <c r="O744" s="34"/>
      <c r="R744" s="34"/>
    </row>
    <row r="745">
      <c r="H745" s="34"/>
      <c r="O745" s="34"/>
      <c r="R745" s="34"/>
    </row>
    <row r="746">
      <c r="H746" s="34"/>
      <c r="O746" s="34"/>
      <c r="R746" s="34"/>
    </row>
    <row r="747">
      <c r="H747" s="34"/>
      <c r="O747" s="34"/>
      <c r="R747" s="34"/>
    </row>
    <row r="748">
      <c r="H748" s="34"/>
      <c r="O748" s="34"/>
      <c r="R748" s="34"/>
    </row>
    <row r="749">
      <c r="H749" s="34"/>
      <c r="O749" s="34"/>
      <c r="R749" s="34"/>
    </row>
    <row r="750">
      <c r="H750" s="34"/>
      <c r="O750" s="34"/>
      <c r="R750" s="34"/>
    </row>
    <row r="751">
      <c r="H751" s="34"/>
      <c r="O751" s="34"/>
      <c r="R751" s="34"/>
    </row>
    <row r="752">
      <c r="H752" s="34"/>
      <c r="O752" s="34"/>
      <c r="R752" s="34"/>
    </row>
    <row r="753">
      <c r="H753" s="34"/>
      <c r="O753" s="34"/>
      <c r="R753" s="34"/>
    </row>
    <row r="754">
      <c r="H754" s="34"/>
      <c r="O754" s="34"/>
      <c r="R754" s="34"/>
    </row>
    <row r="755">
      <c r="H755" s="34"/>
      <c r="O755" s="34"/>
      <c r="R755" s="34"/>
    </row>
    <row r="756">
      <c r="H756" s="34"/>
      <c r="O756" s="34"/>
      <c r="R756" s="34"/>
    </row>
    <row r="757">
      <c r="H757" s="34"/>
      <c r="O757" s="34"/>
      <c r="R757" s="34"/>
    </row>
    <row r="758">
      <c r="H758" s="34"/>
      <c r="O758" s="34"/>
      <c r="R758" s="34"/>
    </row>
    <row r="759">
      <c r="H759" s="34"/>
      <c r="O759" s="34"/>
      <c r="R759" s="34"/>
    </row>
    <row r="760">
      <c r="H760" s="34"/>
      <c r="O760" s="34"/>
      <c r="R760" s="34"/>
    </row>
    <row r="761">
      <c r="H761" s="34"/>
      <c r="O761" s="34"/>
      <c r="R761" s="34"/>
    </row>
    <row r="762">
      <c r="H762" s="34"/>
      <c r="O762" s="34"/>
      <c r="R762" s="34"/>
    </row>
    <row r="763">
      <c r="H763" s="34"/>
      <c r="O763" s="34"/>
      <c r="R763" s="34"/>
    </row>
    <row r="764">
      <c r="H764" s="34"/>
      <c r="O764" s="34"/>
      <c r="R764" s="34"/>
    </row>
    <row r="765">
      <c r="H765" s="34"/>
      <c r="O765" s="34"/>
      <c r="R765" s="34"/>
    </row>
    <row r="766">
      <c r="H766" s="34"/>
      <c r="O766" s="34"/>
      <c r="R766" s="34"/>
    </row>
    <row r="767">
      <c r="H767" s="34"/>
      <c r="O767" s="34"/>
      <c r="R767" s="34"/>
    </row>
    <row r="768">
      <c r="H768" s="34"/>
      <c r="O768" s="34"/>
      <c r="R768" s="34"/>
    </row>
    <row r="769">
      <c r="H769" s="34"/>
      <c r="O769" s="34"/>
      <c r="R769" s="34"/>
    </row>
    <row r="770">
      <c r="H770" s="34"/>
      <c r="O770" s="34"/>
      <c r="R770" s="34"/>
    </row>
    <row r="771">
      <c r="H771" s="34"/>
      <c r="O771" s="34"/>
      <c r="R771" s="34"/>
    </row>
    <row r="772">
      <c r="H772" s="34"/>
      <c r="O772" s="34"/>
      <c r="R772" s="34"/>
    </row>
    <row r="773">
      <c r="H773" s="34"/>
      <c r="O773" s="34"/>
      <c r="R773" s="34"/>
    </row>
    <row r="774">
      <c r="H774" s="34"/>
      <c r="O774" s="34"/>
      <c r="R774" s="34"/>
    </row>
    <row r="775">
      <c r="H775" s="34"/>
      <c r="O775" s="34"/>
      <c r="R775" s="34"/>
    </row>
    <row r="776">
      <c r="H776" s="34"/>
      <c r="O776" s="34"/>
      <c r="R776" s="34"/>
    </row>
    <row r="777">
      <c r="H777" s="34"/>
      <c r="O777" s="34"/>
      <c r="R777" s="34"/>
    </row>
    <row r="778">
      <c r="H778" s="34"/>
      <c r="O778" s="34"/>
      <c r="R778" s="34"/>
    </row>
    <row r="779">
      <c r="H779" s="34"/>
      <c r="O779" s="34"/>
      <c r="R779" s="34"/>
    </row>
    <row r="780">
      <c r="H780" s="34"/>
      <c r="O780" s="34"/>
      <c r="R780" s="34"/>
    </row>
    <row r="781">
      <c r="H781" s="34"/>
      <c r="O781" s="34"/>
      <c r="R781" s="34"/>
    </row>
    <row r="782">
      <c r="H782" s="34"/>
      <c r="O782" s="34"/>
      <c r="R782" s="34"/>
    </row>
    <row r="783">
      <c r="H783" s="34"/>
      <c r="O783" s="34"/>
      <c r="R783" s="34"/>
    </row>
    <row r="784">
      <c r="H784" s="34"/>
      <c r="O784" s="34"/>
      <c r="R784" s="34"/>
    </row>
    <row r="785">
      <c r="H785" s="34"/>
      <c r="O785" s="34"/>
      <c r="R785" s="34"/>
    </row>
    <row r="786">
      <c r="H786" s="34"/>
      <c r="O786" s="34"/>
      <c r="R786" s="34"/>
    </row>
    <row r="787">
      <c r="H787" s="34"/>
      <c r="O787" s="34"/>
      <c r="R787" s="34"/>
    </row>
    <row r="788">
      <c r="H788" s="34"/>
      <c r="O788" s="34"/>
      <c r="R788" s="34"/>
    </row>
    <row r="789">
      <c r="H789" s="34"/>
      <c r="O789" s="34"/>
      <c r="R789" s="34"/>
    </row>
    <row r="790">
      <c r="H790" s="34"/>
      <c r="O790" s="34"/>
      <c r="R790" s="34"/>
    </row>
    <row r="791">
      <c r="H791" s="34"/>
      <c r="O791" s="34"/>
      <c r="R791" s="34"/>
    </row>
    <row r="792">
      <c r="H792" s="34"/>
      <c r="O792" s="34"/>
      <c r="R792" s="34"/>
    </row>
    <row r="793">
      <c r="H793" s="34"/>
      <c r="O793" s="34"/>
      <c r="R793" s="34"/>
    </row>
    <row r="794">
      <c r="H794" s="34"/>
      <c r="O794" s="34"/>
      <c r="R794" s="34"/>
    </row>
    <row r="795">
      <c r="H795" s="34"/>
      <c r="O795" s="34"/>
      <c r="R795" s="34"/>
    </row>
    <row r="796">
      <c r="H796" s="34"/>
      <c r="O796" s="34"/>
      <c r="R796" s="34"/>
    </row>
    <row r="797">
      <c r="H797" s="34"/>
      <c r="O797" s="34"/>
      <c r="R797" s="34"/>
    </row>
    <row r="798">
      <c r="H798" s="34"/>
      <c r="O798" s="34"/>
      <c r="R798" s="34"/>
    </row>
    <row r="799">
      <c r="H799" s="34"/>
      <c r="O799" s="34"/>
      <c r="R799" s="34"/>
    </row>
    <row r="800">
      <c r="H800" s="34"/>
      <c r="O800" s="34"/>
      <c r="R800" s="34"/>
    </row>
    <row r="801">
      <c r="H801" s="34"/>
      <c r="O801" s="34"/>
      <c r="R801" s="34"/>
    </row>
    <row r="802">
      <c r="H802" s="34"/>
      <c r="O802" s="34"/>
      <c r="R802" s="34"/>
    </row>
    <row r="803">
      <c r="H803" s="34"/>
      <c r="O803" s="34"/>
      <c r="R803" s="34"/>
    </row>
    <row r="804">
      <c r="H804" s="34"/>
      <c r="O804" s="34"/>
      <c r="R804" s="34"/>
    </row>
    <row r="805">
      <c r="H805" s="34"/>
      <c r="O805" s="34"/>
      <c r="R805" s="34"/>
    </row>
    <row r="806">
      <c r="H806" s="34"/>
      <c r="O806" s="34"/>
      <c r="R806" s="34"/>
    </row>
    <row r="807">
      <c r="H807" s="34"/>
      <c r="O807" s="34"/>
      <c r="R807" s="34"/>
    </row>
    <row r="808">
      <c r="H808" s="34"/>
      <c r="O808" s="34"/>
      <c r="R808" s="34"/>
    </row>
    <row r="809">
      <c r="H809" s="34"/>
      <c r="O809" s="34"/>
      <c r="R809" s="34"/>
    </row>
    <row r="810">
      <c r="H810" s="34"/>
      <c r="O810" s="34"/>
      <c r="R810" s="34"/>
    </row>
    <row r="811">
      <c r="H811" s="34"/>
      <c r="O811" s="34"/>
      <c r="R811" s="34"/>
    </row>
    <row r="812">
      <c r="H812" s="34"/>
      <c r="O812" s="34"/>
      <c r="R812" s="34"/>
    </row>
    <row r="813">
      <c r="H813" s="34"/>
      <c r="O813" s="34"/>
      <c r="R813" s="34"/>
    </row>
    <row r="814">
      <c r="H814" s="34"/>
      <c r="O814" s="34"/>
      <c r="R814" s="34"/>
    </row>
    <row r="815">
      <c r="H815" s="34"/>
      <c r="O815" s="34"/>
      <c r="R815" s="34"/>
    </row>
    <row r="816">
      <c r="H816" s="34"/>
      <c r="O816" s="34"/>
      <c r="R816" s="34"/>
    </row>
    <row r="817">
      <c r="H817" s="34"/>
      <c r="O817" s="34"/>
      <c r="R817" s="34"/>
    </row>
    <row r="818">
      <c r="H818" s="34"/>
      <c r="O818" s="34"/>
      <c r="R818" s="34"/>
    </row>
    <row r="819">
      <c r="H819" s="34"/>
      <c r="O819" s="34"/>
      <c r="R819" s="34"/>
    </row>
    <row r="820">
      <c r="H820" s="34"/>
      <c r="O820" s="34"/>
      <c r="R820" s="34"/>
    </row>
    <row r="821">
      <c r="H821" s="34"/>
      <c r="O821" s="34"/>
      <c r="R821" s="34"/>
    </row>
    <row r="822">
      <c r="H822" s="34"/>
      <c r="O822" s="34"/>
      <c r="R822" s="34"/>
    </row>
    <row r="823">
      <c r="H823" s="34"/>
      <c r="O823" s="34"/>
      <c r="R823" s="34"/>
    </row>
    <row r="824">
      <c r="H824" s="34"/>
      <c r="O824" s="34"/>
      <c r="R824" s="34"/>
    </row>
    <row r="825">
      <c r="H825" s="34"/>
      <c r="O825" s="34"/>
      <c r="R825" s="34"/>
    </row>
    <row r="826">
      <c r="H826" s="34"/>
      <c r="O826" s="34"/>
      <c r="R826" s="34"/>
    </row>
    <row r="827">
      <c r="H827" s="34"/>
      <c r="O827" s="34"/>
      <c r="R827" s="34"/>
    </row>
    <row r="828">
      <c r="H828" s="34"/>
      <c r="O828" s="34"/>
      <c r="R828" s="34"/>
    </row>
    <row r="829">
      <c r="H829" s="34"/>
      <c r="O829" s="34"/>
      <c r="R829" s="34"/>
    </row>
    <row r="830">
      <c r="H830" s="34"/>
      <c r="O830" s="34"/>
      <c r="R830" s="34"/>
    </row>
    <row r="831">
      <c r="H831" s="34"/>
      <c r="O831" s="34"/>
      <c r="R831" s="34"/>
    </row>
    <row r="832">
      <c r="H832" s="34"/>
      <c r="O832" s="34"/>
      <c r="R832" s="34"/>
    </row>
    <row r="833">
      <c r="H833" s="34"/>
      <c r="O833" s="34"/>
      <c r="R833" s="34"/>
    </row>
    <row r="834">
      <c r="H834" s="34"/>
      <c r="O834" s="34"/>
      <c r="R834" s="34"/>
    </row>
    <row r="835">
      <c r="H835" s="34"/>
      <c r="O835" s="34"/>
      <c r="R835" s="34"/>
    </row>
    <row r="836">
      <c r="H836" s="34"/>
      <c r="O836" s="34"/>
      <c r="R836" s="34"/>
    </row>
    <row r="837">
      <c r="H837" s="34"/>
      <c r="O837" s="34"/>
      <c r="R837" s="34"/>
    </row>
    <row r="838">
      <c r="H838" s="34"/>
      <c r="O838" s="34"/>
      <c r="R838" s="34"/>
    </row>
    <row r="839">
      <c r="H839" s="34"/>
      <c r="O839" s="34"/>
      <c r="R839" s="34"/>
    </row>
    <row r="840">
      <c r="H840" s="34"/>
      <c r="O840" s="34"/>
      <c r="R840" s="34"/>
    </row>
    <row r="841">
      <c r="H841" s="34"/>
      <c r="O841" s="34"/>
      <c r="R841" s="34"/>
    </row>
    <row r="842">
      <c r="H842" s="34"/>
      <c r="O842" s="34"/>
      <c r="R842" s="34"/>
    </row>
    <row r="843">
      <c r="H843" s="34"/>
      <c r="O843" s="34"/>
      <c r="R843" s="34"/>
    </row>
    <row r="844">
      <c r="H844" s="34"/>
      <c r="O844" s="34"/>
      <c r="R844" s="34"/>
    </row>
    <row r="845">
      <c r="H845" s="34"/>
      <c r="O845" s="34"/>
      <c r="R845" s="34"/>
    </row>
    <row r="846">
      <c r="H846" s="34"/>
      <c r="O846" s="34"/>
      <c r="R846" s="34"/>
    </row>
    <row r="847">
      <c r="H847" s="34"/>
      <c r="O847" s="34"/>
      <c r="R847" s="34"/>
    </row>
    <row r="848">
      <c r="H848" s="34"/>
      <c r="O848" s="34"/>
      <c r="R848" s="34"/>
    </row>
    <row r="849">
      <c r="H849" s="34"/>
      <c r="O849" s="34"/>
      <c r="R849" s="34"/>
    </row>
    <row r="850">
      <c r="H850" s="34"/>
      <c r="O850" s="34"/>
      <c r="R850" s="34"/>
    </row>
    <row r="851">
      <c r="H851" s="34"/>
      <c r="O851" s="34"/>
      <c r="R851" s="34"/>
    </row>
    <row r="852">
      <c r="H852" s="34"/>
      <c r="O852" s="34"/>
      <c r="R852" s="34"/>
    </row>
    <row r="853">
      <c r="H853" s="34"/>
      <c r="O853" s="34"/>
      <c r="R853" s="34"/>
    </row>
    <row r="854">
      <c r="H854" s="34"/>
      <c r="O854" s="34"/>
      <c r="R854" s="34"/>
    </row>
    <row r="855">
      <c r="H855" s="34"/>
      <c r="O855" s="34"/>
      <c r="R855" s="34"/>
    </row>
    <row r="856">
      <c r="H856" s="34"/>
      <c r="O856" s="34"/>
      <c r="R856" s="34"/>
    </row>
    <row r="857">
      <c r="H857" s="34"/>
      <c r="O857" s="34"/>
      <c r="R857" s="34"/>
    </row>
    <row r="858">
      <c r="H858" s="34"/>
      <c r="O858" s="34"/>
      <c r="R858" s="34"/>
    </row>
    <row r="859">
      <c r="H859" s="34"/>
      <c r="O859" s="34"/>
      <c r="R859" s="34"/>
    </row>
    <row r="860">
      <c r="H860" s="34"/>
      <c r="O860" s="34"/>
      <c r="R860" s="34"/>
    </row>
    <row r="861">
      <c r="H861" s="34"/>
      <c r="O861" s="34"/>
      <c r="R861" s="34"/>
    </row>
    <row r="862">
      <c r="H862" s="34"/>
      <c r="O862" s="34"/>
      <c r="R862" s="34"/>
    </row>
    <row r="863">
      <c r="H863" s="34"/>
      <c r="O863" s="34"/>
      <c r="R863" s="34"/>
    </row>
    <row r="864">
      <c r="H864" s="34"/>
      <c r="O864" s="34"/>
      <c r="R864" s="34"/>
    </row>
    <row r="865">
      <c r="H865" s="34"/>
      <c r="O865" s="34"/>
      <c r="R865" s="34"/>
    </row>
    <row r="866">
      <c r="H866" s="34"/>
      <c r="O866" s="34"/>
      <c r="R866" s="34"/>
    </row>
    <row r="867">
      <c r="H867" s="34"/>
      <c r="O867" s="34"/>
      <c r="R867" s="34"/>
    </row>
    <row r="868">
      <c r="H868" s="34"/>
      <c r="O868" s="34"/>
      <c r="R868" s="34"/>
    </row>
    <row r="869">
      <c r="H869" s="34"/>
      <c r="O869" s="34"/>
      <c r="R869" s="34"/>
    </row>
    <row r="870">
      <c r="H870" s="34"/>
      <c r="O870" s="34"/>
      <c r="R870" s="34"/>
    </row>
    <row r="871">
      <c r="H871" s="34"/>
      <c r="O871" s="34"/>
      <c r="R871" s="34"/>
    </row>
    <row r="872">
      <c r="H872" s="34"/>
      <c r="O872" s="34"/>
      <c r="R872" s="34"/>
    </row>
    <row r="873">
      <c r="H873" s="34"/>
      <c r="O873" s="34"/>
      <c r="R873" s="34"/>
    </row>
    <row r="874">
      <c r="H874" s="34"/>
      <c r="O874" s="34"/>
      <c r="R874" s="34"/>
    </row>
    <row r="875">
      <c r="H875" s="34"/>
      <c r="O875" s="34"/>
      <c r="R875" s="34"/>
    </row>
    <row r="876">
      <c r="H876" s="34"/>
      <c r="O876" s="34"/>
      <c r="R876" s="34"/>
    </row>
    <row r="877">
      <c r="H877" s="34"/>
      <c r="O877" s="34"/>
      <c r="R877" s="34"/>
    </row>
    <row r="878">
      <c r="H878" s="34"/>
      <c r="O878" s="34"/>
      <c r="R878" s="34"/>
    </row>
    <row r="879">
      <c r="H879" s="34"/>
      <c r="O879" s="34"/>
      <c r="R879" s="34"/>
    </row>
    <row r="880">
      <c r="H880" s="34"/>
      <c r="O880" s="34"/>
      <c r="R880" s="34"/>
    </row>
    <row r="881">
      <c r="H881" s="34"/>
      <c r="O881" s="34"/>
      <c r="R881" s="34"/>
    </row>
    <row r="882">
      <c r="H882" s="34"/>
      <c r="O882" s="34"/>
      <c r="R882" s="34"/>
    </row>
    <row r="883">
      <c r="H883" s="34"/>
      <c r="O883" s="34"/>
      <c r="R883" s="34"/>
    </row>
    <row r="884">
      <c r="H884" s="34"/>
      <c r="O884" s="34"/>
      <c r="R884" s="34"/>
    </row>
    <row r="885">
      <c r="H885" s="34"/>
      <c r="O885" s="34"/>
      <c r="R885" s="34"/>
    </row>
    <row r="886">
      <c r="H886" s="34"/>
      <c r="O886" s="34"/>
      <c r="R886" s="34"/>
    </row>
    <row r="887">
      <c r="H887" s="34"/>
      <c r="O887" s="34"/>
      <c r="R887" s="34"/>
    </row>
    <row r="888">
      <c r="H888" s="34"/>
      <c r="O888" s="34"/>
      <c r="R888" s="34"/>
    </row>
    <row r="889">
      <c r="H889" s="34"/>
      <c r="O889" s="34"/>
      <c r="R889" s="34"/>
    </row>
    <row r="890">
      <c r="H890" s="34"/>
      <c r="O890" s="34"/>
      <c r="R890" s="34"/>
    </row>
    <row r="891">
      <c r="H891" s="34"/>
      <c r="O891" s="34"/>
      <c r="R891" s="34"/>
    </row>
    <row r="892">
      <c r="H892" s="34"/>
      <c r="O892" s="34"/>
      <c r="R892" s="34"/>
    </row>
    <row r="893">
      <c r="H893" s="34"/>
      <c r="O893" s="34"/>
      <c r="R893" s="34"/>
    </row>
    <row r="894">
      <c r="H894" s="34"/>
      <c r="O894" s="34"/>
      <c r="R894" s="34"/>
    </row>
    <row r="895">
      <c r="H895" s="34"/>
      <c r="O895" s="34"/>
      <c r="R895" s="34"/>
    </row>
    <row r="896">
      <c r="H896" s="34"/>
      <c r="O896" s="34"/>
      <c r="R896" s="34"/>
    </row>
    <row r="897">
      <c r="H897" s="34"/>
      <c r="O897" s="34"/>
      <c r="R897" s="34"/>
    </row>
    <row r="898">
      <c r="H898" s="34"/>
      <c r="O898" s="34"/>
      <c r="R898" s="34"/>
    </row>
    <row r="899">
      <c r="H899" s="34"/>
      <c r="O899" s="34"/>
      <c r="R899" s="34"/>
    </row>
    <row r="900">
      <c r="H900" s="34"/>
      <c r="O900" s="34"/>
      <c r="R900" s="34"/>
    </row>
    <row r="901">
      <c r="H901" s="34"/>
      <c r="O901" s="34"/>
      <c r="R901" s="34"/>
    </row>
    <row r="902">
      <c r="H902" s="34"/>
      <c r="O902" s="34"/>
      <c r="R902" s="34"/>
    </row>
    <row r="903">
      <c r="H903" s="34"/>
      <c r="O903" s="34"/>
      <c r="R903" s="34"/>
    </row>
    <row r="904">
      <c r="H904" s="34"/>
      <c r="O904" s="34"/>
      <c r="R904" s="34"/>
    </row>
    <row r="905">
      <c r="H905" s="34"/>
      <c r="O905" s="34"/>
      <c r="R905" s="34"/>
    </row>
    <row r="906">
      <c r="H906" s="34"/>
      <c r="O906" s="34"/>
      <c r="R906" s="34"/>
    </row>
    <row r="907">
      <c r="H907" s="34"/>
      <c r="O907" s="34"/>
      <c r="R907" s="34"/>
    </row>
    <row r="908">
      <c r="H908" s="34"/>
      <c r="O908" s="34"/>
      <c r="R908" s="34"/>
    </row>
    <row r="909">
      <c r="H909" s="34"/>
      <c r="O909" s="34"/>
      <c r="R909" s="34"/>
    </row>
    <row r="910">
      <c r="H910" s="34"/>
      <c r="O910" s="34"/>
      <c r="R910" s="34"/>
    </row>
    <row r="911">
      <c r="H911" s="34"/>
      <c r="O911" s="34"/>
      <c r="R911" s="34"/>
    </row>
    <row r="912">
      <c r="H912" s="34"/>
      <c r="O912" s="34"/>
      <c r="R912" s="34"/>
    </row>
    <row r="913">
      <c r="H913" s="34"/>
      <c r="O913" s="34"/>
      <c r="R913" s="34"/>
    </row>
    <row r="914">
      <c r="H914" s="34"/>
      <c r="O914" s="34"/>
      <c r="R914" s="34"/>
    </row>
    <row r="915">
      <c r="H915" s="34"/>
      <c r="O915" s="34"/>
      <c r="R915" s="34"/>
    </row>
    <row r="916">
      <c r="H916" s="34"/>
      <c r="O916" s="34"/>
      <c r="R916" s="34"/>
    </row>
    <row r="917">
      <c r="H917" s="34"/>
      <c r="O917" s="34"/>
      <c r="R917" s="34"/>
    </row>
    <row r="918">
      <c r="H918" s="34"/>
      <c r="O918" s="34"/>
      <c r="R918" s="34"/>
    </row>
    <row r="919">
      <c r="H919" s="34"/>
      <c r="O919" s="34"/>
      <c r="R919" s="34"/>
    </row>
    <row r="920">
      <c r="H920" s="34"/>
      <c r="O920" s="34"/>
      <c r="R920" s="34"/>
    </row>
    <row r="921">
      <c r="H921" s="34"/>
      <c r="O921" s="34"/>
      <c r="R921" s="34"/>
    </row>
    <row r="922">
      <c r="H922" s="34"/>
      <c r="O922" s="34"/>
      <c r="R922" s="34"/>
    </row>
    <row r="923">
      <c r="H923" s="34"/>
      <c r="O923" s="34"/>
      <c r="R923" s="34"/>
    </row>
    <row r="924">
      <c r="H924" s="34"/>
      <c r="O924" s="34"/>
      <c r="R924" s="34"/>
    </row>
    <row r="925">
      <c r="H925" s="34"/>
      <c r="O925" s="34"/>
      <c r="R925" s="34"/>
    </row>
    <row r="926">
      <c r="H926" s="34"/>
      <c r="O926" s="34"/>
      <c r="R926" s="34"/>
    </row>
    <row r="927">
      <c r="H927" s="34"/>
      <c r="O927" s="34"/>
      <c r="R927" s="34"/>
    </row>
    <row r="928">
      <c r="H928" s="34"/>
      <c r="O928" s="34"/>
      <c r="R928" s="34"/>
    </row>
    <row r="929">
      <c r="H929" s="34"/>
      <c r="O929" s="34"/>
      <c r="R929" s="34"/>
    </row>
    <row r="930">
      <c r="H930" s="34"/>
      <c r="O930" s="34"/>
      <c r="R930" s="34"/>
    </row>
    <row r="931">
      <c r="H931" s="34"/>
      <c r="O931" s="34"/>
      <c r="R931" s="34"/>
    </row>
    <row r="932">
      <c r="H932" s="34"/>
      <c r="O932" s="34"/>
      <c r="R932" s="34"/>
    </row>
    <row r="933">
      <c r="H933" s="34"/>
      <c r="O933" s="34"/>
      <c r="R933" s="34"/>
    </row>
    <row r="934">
      <c r="H934" s="34"/>
      <c r="O934" s="34"/>
      <c r="R934" s="34"/>
    </row>
    <row r="935">
      <c r="H935" s="34"/>
      <c r="O935" s="34"/>
      <c r="R935" s="34"/>
    </row>
    <row r="936">
      <c r="H936" s="34"/>
      <c r="O936" s="34"/>
      <c r="R936" s="34"/>
    </row>
    <row r="937">
      <c r="H937" s="34"/>
      <c r="O937" s="34"/>
      <c r="R937" s="34"/>
    </row>
    <row r="938">
      <c r="H938" s="34"/>
      <c r="O938" s="34"/>
      <c r="R938" s="34"/>
    </row>
    <row r="939">
      <c r="H939" s="34"/>
      <c r="O939" s="34"/>
      <c r="R939" s="34"/>
    </row>
    <row r="940">
      <c r="H940" s="34"/>
      <c r="O940" s="34"/>
      <c r="R940" s="34"/>
    </row>
    <row r="941">
      <c r="H941" s="34"/>
      <c r="O941" s="34"/>
      <c r="R941" s="34"/>
    </row>
    <row r="942">
      <c r="H942" s="34"/>
      <c r="O942" s="34"/>
      <c r="R942" s="34"/>
    </row>
    <row r="943">
      <c r="H943" s="34"/>
      <c r="O943" s="34"/>
      <c r="R943" s="34"/>
    </row>
    <row r="944">
      <c r="H944" s="34"/>
      <c r="O944" s="34"/>
      <c r="R944" s="34"/>
    </row>
    <row r="945">
      <c r="H945" s="34"/>
      <c r="O945" s="34"/>
      <c r="R945" s="34"/>
    </row>
    <row r="946">
      <c r="H946" s="34"/>
      <c r="O946" s="34"/>
      <c r="R946" s="34"/>
    </row>
    <row r="947">
      <c r="H947" s="34"/>
      <c r="O947" s="34"/>
      <c r="R947" s="34"/>
    </row>
    <row r="948">
      <c r="H948" s="34"/>
      <c r="O948" s="34"/>
      <c r="R948" s="34"/>
    </row>
    <row r="949">
      <c r="H949" s="34"/>
      <c r="O949" s="34"/>
      <c r="R949" s="34"/>
    </row>
    <row r="950">
      <c r="H950" s="34"/>
      <c r="O950" s="34"/>
      <c r="R950" s="34"/>
    </row>
    <row r="951">
      <c r="H951" s="34"/>
      <c r="O951" s="34"/>
      <c r="R951" s="34"/>
    </row>
    <row r="952">
      <c r="H952" s="34"/>
      <c r="O952" s="34"/>
      <c r="R952" s="34"/>
    </row>
    <row r="953">
      <c r="H953" s="34"/>
      <c r="O953" s="34"/>
      <c r="R953" s="34"/>
    </row>
    <row r="954">
      <c r="H954" s="34"/>
      <c r="O954" s="34"/>
      <c r="R954" s="34"/>
    </row>
    <row r="955">
      <c r="H955" s="34"/>
      <c r="O955" s="34"/>
      <c r="R955" s="34"/>
    </row>
    <row r="956">
      <c r="H956" s="34"/>
      <c r="O956" s="34"/>
      <c r="R956" s="34"/>
    </row>
    <row r="957">
      <c r="H957" s="34"/>
      <c r="O957" s="34"/>
      <c r="R957" s="34"/>
    </row>
    <row r="958">
      <c r="H958" s="34"/>
      <c r="O958" s="34"/>
      <c r="R958" s="34"/>
    </row>
    <row r="959">
      <c r="H959" s="34"/>
      <c r="O959" s="34"/>
      <c r="R959" s="34"/>
    </row>
    <row r="960">
      <c r="H960" s="34"/>
      <c r="O960" s="34"/>
      <c r="R960" s="34"/>
    </row>
    <row r="961">
      <c r="H961" s="34"/>
      <c r="O961" s="34"/>
      <c r="R961" s="34"/>
    </row>
    <row r="962">
      <c r="H962" s="34"/>
      <c r="O962" s="34"/>
      <c r="R962" s="34"/>
    </row>
    <row r="963">
      <c r="H963" s="34"/>
      <c r="O963" s="34"/>
      <c r="R963" s="34"/>
    </row>
    <row r="964">
      <c r="H964" s="34"/>
      <c r="O964" s="34"/>
      <c r="R964" s="34"/>
    </row>
    <row r="965">
      <c r="H965" s="34"/>
      <c r="O965" s="34"/>
      <c r="R965" s="34"/>
    </row>
    <row r="966">
      <c r="H966" s="34"/>
      <c r="O966" s="34"/>
      <c r="R966" s="34"/>
    </row>
    <row r="967">
      <c r="H967" s="34"/>
      <c r="O967" s="34"/>
      <c r="R967" s="34"/>
    </row>
    <row r="968">
      <c r="H968" s="34"/>
      <c r="O968" s="34"/>
      <c r="R968" s="34"/>
    </row>
    <row r="969">
      <c r="H969" s="34"/>
      <c r="O969" s="34"/>
      <c r="R969" s="34"/>
    </row>
    <row r="970">
      <c r="H970" s="34"/>
      <c r="O970" s="34"/>
      <c r="R970" s="34"/>
    </row>
    <row r="971">
      <c r="H971" s="34"/>
      <c r="O971" s="34"/>
      <c r="R971" s="34"/>
    </row>
    <row r="972">
      <c r="H972" s="34"/>
      <c r="O972" s="34"/>
      <c r="R972" s="34"/>
    </row>
    <row r="973">
      <c r="H973" s="34"/>
      <c r="O973" s="34"/>
      <c r="R973" s="34"/>
    </row>
    <row r="974">
      <c r="H974" s="34"/>
      <c r="O974" s="34"/>
      <c r="R974" s="34"/>
    </row>
    <row r="975">
      <c r="H975" s="34"/>
      <c r="O975" s="34"/>
      <c r="R975" s="34"/>
    </row>
    <row r="976">
      <c r="H976" s="34"/>
      <c r="O976" s="34"/>
      <c r="R976" s="34"/>
    </row>
    <row r="977">
      <c r="H977" s="34"/>
      <c r="O977" s="34"/>
      <c r="R977" s="34"/>
    </row>
    <row r="978">
      <c r="H978" s="34"/>
      <c r="O978" s="34"/>
      <c r="R978" s="34"/>
    </row>
    <row r="979">
      <c r="H979" s="34"/>
      <c r="O979" s="34"/>
      <c r="R979" s="34"/>
    </row>
    <row r="980">
      <c r="H980" s="34"/>
      <c r="O980" s="34"/>
      <c r="R980" s="34"/>
    </row>
    <row r="981">
      <c r="H981" s="34"/>
      <c r="O981" s="34"/>
      <c r="R981" s="34"/>
    </row>
    <row r="982">
      <c r="H982" s="34"/>
      <c r="O982" s="34"/>
      <c r="R982" s="34"/>
    </row>
    <row r="983">
      <c r="H983" s="34"/>
      <c r="O983" s="34"/>
      <c r="R983" s="34"/>
    </row>
    <row r="984">
      <c r="H984" s="34"/>
      <c r="O984" s="34"/>
      <c r="R984" s="34"/>
    </row>
    <row r="985">
      <c r="H985" s="34"/>
      <c r="O985" s="34"/>
      <c r="R985" s="34"/>
    </row>
    <row r="986">
      <c r="H986" s="34"/>
      <c r="O986" s="34"/>
      <c r="R986" s="34"/>
    </row>
    <row r="987">
      <c r="H987" s="34"/>
      <c r="O987" s="34"/>
      <c r="R987" s="34"/>
    </row>
    <row r="988">
      <c r="H988" s="34"/>
      <c r="O988" s="34"/>
      <c r="R988" s="34"/>
    </row>
    <row r="989">
      <c r="H989" s="34"/>
      <c r="O989" s="34"/>
      <c r="R989" s="34"/>
    </row>
    <row r="990">
      <c r="H990" s="34"/>
      <c r="O990" s="34"/>
      <c r="R990" s="34"/>
    </row>
    <row r="991">
      <c r="H991" s="34"/>
      <c r="O991" s="34"/>
      <c r="R991" s="34"/>
    </row>
    <row r="992">
      <c r="H992" s="34"/>
      <c r="O992" s="34"/>
      <c r="R992" s="34"/>
    </row>
    <row r="993">
      <c r="H993" s="34"/>
      <c r="O993" s="34"/>
      <c r="R993" s="34"/>
    </row>
    <row r="994">
      <c r="H994" s="34"/>
      <c r="O994" s="34"/>
      <c r="R994" s="34"/>
    </row>
    <row r="995">
      <c r="H995" s="34"/>
      <c r="O995" s="34"/>
      <c r="R995" s="34"/>
    </row>
    <row r="996">
      <c r="H996" s="34"/>
      <c r="O996" s="34"/>
      <c r="R996" s="34"/>
    </row>
    <row r="997">
      <c r="H997" s="34"/>
      <c r="O997" s="34"/>
      <c r="R997" s="34"/>
    </row>
    <row r="998">
      <c r="H998" s="34"/>
      <c r="O998" s="34"/>
      <c r="R998" s="34"/>
    </row>
    <row r="999">
      <c r="H999" s="34"/>
      <c r="O999" s="34"/>
      <c r="R999" s="34"/>
    </row>
    <row r="1000">
      <c r="H1000" s="34"/>
      <c r="O1000" s="34"/>
      <c r="R1000" s="34"/>
    </row>
  </sheetData>
  <hyperlinks>
    <hyperlink r:id="rId1" ref="B302"/>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IFERROR(__xludf.DUMMYFUNCTION("IMPORTHTML(""https://fr.wikipedia.org/wiki/Tableau_périodique_des_éléments"",""table"",4)"),"")</f>
        <v/>
      </c>
      <c r="B1" s="3">
        <f>IFERROR(__xludf.DUMMYFUNCTION("""COMPUTED_VALUE"""),1.0)</f>
        <v>1</v>
      </c>
      <c r="C1" s="3">
        <f>IFERROR(__xludf.DUMMYFUNCTION("""COMPUTED_VALUE"""),2.0)</f>
        <v>2</v>
      </c>
      <c r="D1" s="3"/>
      <c r="E1" s="3">
        <f>IFERROR(__xludf.DUMMYFUNCTION("""COMPUTED_VALUE"""),3.0)</f>
        <v>3</v>
      </c>
      <c r="F1" s="3">
        <f>IFERROR(__xludf.DUMMYFUNCTION("""COMPUTED_VALUE"""),4.0)</f>
        <v>4</v>
      </c>
      <c r="G1" s="3">
        <f>IFERROR(__xludf.DUMMYFUNCTION("""COMPUTED_VALUE"""),5.0)</f>
        <v>5</v>
      </c>
      <c r="H1" s="3">
        <f>IFERROR(__xludf.DUMMYFUNCTION("""COMPUTED_VALUE"""),6.0)</f>
        <v>6</v>
      </c>
      <c r="I1" s="3">
        <f>IFERROR(__xludf.DUMMYFUNCTION("""COMPUTED_VALUE"""),7.0)</f>
        <v>7</v>
      </c>
      <c r="J1" s="3">
        <f>IFERROR(__xludf.DUMMYFUNCTION("""COMPUTED_VALUE"""),8.0)</f>
        <v>8</v>
      </c>
      <c r="K1" s="3">
        <f>IFERROR(__xludf.DUMMYFUNCTION("""COMPUTED_VALUE"""),9.0)</f>
        <v>9</v>
      </c>
      <c r="L1" s="3">
        <f>IFERROR(__xludf.DUMMYFUNCTION("""COMPUTED_VALUE"""),10.0)</f>
        <v>10</v>
      </c>
      <c r="M1" s="3">
        <f>IFERROR(__xludf.DUMMYFUNCTION("""COMPUTED_VALUE"""),11.0)</f>
        <v>11</v>
      </c>
      <c r="N1" s="3">
        <f>IFERROR(__xludf.DUMMYFUNCTION("""COMPUTED_VALUE"""),12.0)</f>
        <v>12</v>
      </c>
      <c r="O1" s="3">
        <f>IFERROR(__xludf.DUMMYFUNCTION("""COMPUTED_VALUE"""),13.0)</f>
        <v>13</v>
      </c>
      <c r="P1" s="3">
        <f>IFERROR(__xludf.DUMMYFUNCTION("""COMPUTED_VALUE"""),14.0)</f>
        <v>14</v>
      </c>
      <c r="Q1" s="3">
        <f>IFERROR(__xludf.DUMMYFUNCTION("""COMPUTED_VALUE"""),15.0)</f>
        <v>15</v>
      </c>
      <c r="R1" s="3">
        <f>IFERROR(__xludf.DUMMYFUNCTION("""COMPUTED_VALUE"""),16.0)</f>
        <v>16</v>
      </c>
      <c r="S1" s="3">
        <f>IFERROR(__xludf.DUMMYFUNCTION("""COMPUTED_VALUE"""),17.0)</f>
        <v>17</v>
      </c>
      <c r="T1" s="3">
        <f>IFERROR(__xludf.DUMMYFUNCTION("""COMPUTED_VALUE"""),18.0)</f>
        <v>18</v>
      </c>
    </row>
    <row r="2">
      <c r="A2" s="3">
        <f>IFERROR(__xludf.DUMMYFUNCTION("""COMPUTED_VALUE"""),1.0)</f>
        <v>1</v>
      </c>
      <c r="B2" s="3" t="str">
        <f>IFERROR(__xludf.DUMMYFUNCTION("""COMPUTED_VALUE"""),"H")</f>
        <v>H</v>
      </c>
      <c r="C2" s="3"/>
      <c r="D2" s="3"/>
      <c r="E2" s="3"/>
      <c r="F2" s="3"/>
      <c r="G2" s="3"/>
      <c r="H2" s="3"/>
      <c r="I2" s="3"/>
      <c r="J2" s="3"/>
      <c r="K2" s="3"/>
      <c r="L2" s="3"/>
      <c r="M2" s="3"/>
      <c r="N2" s="3"/>
      <c r="O2" s="3"/>
      <c r="P2" s="3"/>
      <c r="Q2" s="3"/>
      <c r="R2" s="3"/>
      <c r="S2" s="3"/>
      <c r="T2" s="3" t="str">
        <f>IFERROR(__xludf.DUMMYFUNCTION("""COMPUTED_VALUE"""),"He")</f>
        <v>He</v>
      </c>
    </row>
    <row r="3">
      <c r="A3" s="3">
        <f>IFERROR(__xludf.DUMMYFUNCTION("""COMPUTED_VALUE"""),2.0)</f>
        <v>2</v>
      </c>
      <c r="B3" s="3" t="str">
        <f>IFERROR(__xludf.DUMMYFUNCTION("""COMPUTED_VALUE"""),"Li")</f>
        <v>Li</v>
      </c>
      <c r="C3" s="3" t="str">
        <f>IFERROR(__xludf.DUMMYFUNCTION("""COMPUTED_VALUE"""),"Be")</f>
        <v>Be</v>
      </c>
      <c r="D3" s="3"/>
      <c r="E3" s="3"/>
      <c r="F3" s="3"/>
      <c r="G3" s="3"/>
      <c r="H3" s="3"/>
      <c r="I3" s="3"/>
      <c r="J3" s="3"/>
      <c r="K3" s="3"/>
      <c r="L3" s="3"/>
      <c r="M3" s="3"/>
      <c r="N3" s="3"/>
      <c r="O3" s="3" t="str">
        <f>IFERROR(__xludf.DUMMYFUNCTION("""COMPUTED_VALUE"""),"B")</f>
        <v>B</v>
      </c>
      <c r="P3" s="3" t="str">
        <f>IFERROR(__xludf.DUMMYFUNCTION("""COMPUTED_VALUE"""),"C")</f>
        <v>C</v>
      </c>
      <c r="Q3" s="3" t="str">
        <f>IFERROR(__xludf.DUMMYFUNCTION("""COMPUTED_VALUE"""),"N")</f>
        <v>N</v>
      </c>
      <c r="R3" s="3" t="str">
        <f>IFERROR(__xludf.DUMMYFUNCTION("""COMPUTED_VALUE"""),"O")</f>
        <v>O</v>
      </c>
      <c r="S3" s="3" t="str">
        <f>IFERROR(__xludf.DUMMYFUNCTION("""COMPUTED_VALUE"""),"F")</f>
        <v>F</v>
      </c>
      <c r="T3" s="3" t="str">
        <f>IFERROR(__xludf.DUMMYFUNCTION("""COMPUTED_VALUE"""),"Ne")</f>
        <v>Ne</v>
      </c>
    </row>
    <row r="4">
      <c r="A4" s="3">
        <f>IFERROR(__xludf.DUMMYFUNCTION("""COMPUTED_VALUE"""),3.0)</f>
        <v>3</v>
      </c>
      <c r="B4" s="3" t="str">
        <f>IFERROR(__xludf.DUMMYFUNCTION("""COMPUTED_VALUE"""),"Na")</f>
        <v>Na</v>
      </c>
      <c r="C4" s="3" t="str">
        <f>IFERROR(__xludf.DUMMYFUNCTION("""COMPUTED_VALUE"""),"Mg")</f>
        <v>Mg</v>
      </c>
      <c r="D4" s="3"/>
      <c r="E4" s="3"/>
      <c r="F4" s="3"/>
      <c r="G4" s="3"/>
      <c r="H4" s="3"/>
      <c r="I4" s="3"/>
      <c r="J4" s="3"/>
      <c r="K4" s="3"/>
      <c r="L4" s="3"/>
      <c r="M4" s="3"/>
      <c r="N4" s="3"/>
      <c r="O4" s="3" t="str">
        <f>IFERROR(__xludf.DUMMYFUNCTION("""COMPUTED_VALUE"""),"Al")</f>
        <v>Al</v>
      </c>
      <c r="P4" s="3" t="str">
        <f>IFERROR(__xludf.DUMMYFUNCTION("""COMPUTED_VALUE"""),"Si")</f>
        <v>Si</v>
      </c>
      <c r="Q4" s="3" t="str">
        <f>IFERROR(__xludf.DUMMYFUNCTION("""COMPUTED_VALUE"""),"P")</f>
        <v>P</v>
      </c>
      <c r="R4" s="3" t="str">
        <f>IFERROR(__xludf.DUMMYFUNCTION("""COMPUTED_VALUE"""),"S")</f>
        <v>S</v>
      </c>
      <c r="S4" s="3" t="str">
        <f>IFERROR(__xludf.DUMMYFUNCTION("""COMPUTED_VALUE"""),"Cl")</f>
        <v>Cl</v>
      </c>
      <c r="T4" s="3" t="str">
        <f>IFERROR(__xludf.DUMMYFUNCTION("""COMPUTED_VALUE"""),"Ar")</f>
        <v>Ar</v>
      </c>
    </row>
    <row r="5">
      <c r="A5" s="3">
        <f>IFERROR(__xludf.DUMMYFUNCTION("""COMPUTED_VALUE"""),4.0)</f>
        <v>4</v>
      </c>
      <c r="B5" s="3" t="str">
        <f>IFERROR(__xludf.DUMMYFUNCTION("""COMPUTED_VALUE"""),"K")</f>
        <v>K</v>
      </c>
      <c r="C5" s="3" t="str">
        <f>IFERROR(__xludf.DUMMYFUNCTION("""COMPUTED_VALUE"""),"Ca")</f>
        <v>Ca</v>
      </c>
      <c r="D5" s="3"/>
      <c r="E5" s="3" t="str">
        <f>IFERROR(__xludf.DUMMYFUNCTION("""COMPUTED_VALUE"""),"Sc")</f>
        <v>Sc</v>
      </c>
      <c r="F5" s="3" t="str">
        <f>IFERROR(__xludf.DUMMYFUNCTION("""COMPUTED_VALUE"""),"Ti")</f>
        <v>Ti</v>
      </c>
      <c r="G5" s="3" t="str">
        <f>IFERROR(__xludf.DUMMYFUNCTION("""COMPUTED_VALUE"""),"V")</f>
        <v>V</v>
      </c>
      <c r="H5" s="3" t="str">
        <f>IFERROR(__xludf.DUMMYFUNCTION("""COMPUTED_VALUE"""),"Cr")</f>
        <v>Cr</v>
      </c>
      <c r="I5" s="3" t="str">
        <f>IFERROR(__xludf.DUMMYFUNCTION("""COMPUTED_VALUE"""),"Mn")</f>
        <v>Mn</v>
      </c>
      <c r="J5" s="3" t="str">
        <f>IFERROR(__xludf.DUMMYFUNCTION("""COMPUTED_VALUE"""),"Fe")</f>
        <v>Fe</v>
      </c>
      <c r="K5" s="3" t="str">
        <f>IFERROR(__xludf.DUMMYFUNCTION("""COMPUTED_VALUE"""),"Co")</f>
        <v>Co</v>
      </c>
      <c r="L5" s="3" t="str">
        <f>IFERROR(__xludf.DUMMYFUNCTION("""COMPUTED_VALUE"""),"Ni")</f>
        <v>Ni</v>
      </c>
      <c r="M5" s="3" t="str">
        <f>IFERROR(__xludf.DUMMYFUNCTION("""COMPUTED_VALUE"""),"Cu")</f>
        <v>Cu</v>
      </c>
      <c r="N5" s="3" t="str">
        <f>IFERROR(__xludf.DUMMYFUNCTION("""COMPUTED_VALUE"""),"Zn")</f>
        <v>Zn</v>
      </c>
      <c r="O5" s="3" t="str">
        <f>IFERROR(__xludf.DUMMYFUNCTION("""COMPUTED_VALUE"""),"Ga")</f>
        <v>Ga</v>
      </c>
      <c r="P5" s="3" t="str">
        <f>IFERROR(__xludf.DUMMYFUNCTION("""COMPUTED_VALUE"""),"Ge")</f>
        <v>Ge</v>
      </c>
      <c r="Q5" s="3" t="str">
        <f>IFERROR(__xludf.DUMMYFUNCTION("""COMPUTED_VALUE"""),"As")</f>
        <v>As</v>
      </c>
      <c r="R5" s="3" t="str">
        <f>IFERROR(__xludf.DUMMYFUNCTION("""COMPUTED_VALUE"""),"Se")</f>
        <v>Se</v>
      </c>
      <c r="S5" s="3" t="str">
        <f>IFERROR(__xludf.DUMMYFUNCTION("""COMPUTED_VALUE"""),"Br")</f>
        <v>Br</v>
      </c>
      <c r="T5" s="3" t="str">
        <f>IFERROR(__xludf.DUMMYFUNCTION("""COMPUTED_VALUE"""),"Kr")</f>
        <v>Kr</v>
      </c>
    </row>
    <row r="6">
      <c r="A6" s="3">
        <f>IFERROR(__xludf.DUMMYFUNCTION("""COMPUTED_VALUE"""),5.0)</f>
        <v>5</v>
      </c>
      <c r="B6" s="3" t="str">
        <f>IFERROR(__xludf.DUMMYFUNCTION("""COMPUTED_VALUE"""),"Rb")</f>
        <v>Rb</v>
      </c>
      <c r="C6" s="3" t="str">
        <f>IFERROR(__xludf.DUMMYFUNCTION("""COMPUTED_VALUE"""),"Sr")</f>
        <v>Sr</v>
      </c>
      <c r="D6" s="3"/>
      <c r="E6" s="3" t="str">
        <f>IFERROR(__xludf.DUMMYFUNCTION("""COMPUTED_VALUE"""),"Y")</f>
        <v>Y</v>
      </c>
      <c r="F6" s="3" t="str">
        <f>IFERROR(__xludf.DUMMYFUNCTION("""COMPUTED_VALUE"""),"Zr")</f>
        <v>Zr</v>
      </c>
      <c r="G6" s="3" t="str">
        <f>IFERROR(__xludf.DUMMYFUNCTION("""COMPUTED_VALUE"""),"Nb")</f>
        <v>Nb</v>
      </c>
      <c r="H6" s="3" t="str">
        <f>IFERROR(__xludf.DUMMYFUNCTION("""COMPUTED_VALUE"""),"Mo")</f>
        <v>Mo</v>
      </c>
      <c r="I6" s="3" t="str">
        <f>IFERROR(__xludf.DUMMYFUNCTION("""COMPUTED_VALUE"""),"Tc")</f>
        <v>Tc</v>
      </c>
      <c r="J6" s="3" t="str">
        <f>IFERROR(__xludf.DUMMYFUNCTION("""COMPUTED_VALUE"""),"Ru")</f>
        <v>Ru</v>
      </c>
      <c r="K6" s="3" t="str">
        <f>IFERROR(__xludf.DUMMYFUNCTION("""COMPUTED_VALUE"""),"Rh")</f>
        <v>Rh</v>
      </c>
      <c r="L6" s="3" t="str">
        <f>IFERROR(__xludf.DUMMYFUNCTION("""COMPUTED_VALUE"""),"Pd")</f>
        <v>Pd</v>
      </c>
      <c r="M6" s="3" t="str">
        <f>IFERROR(__xludf.DUMMYFUNCTION("""COMPUTED_VALUE"""),"Ag")</f>
        <v>Ag</v>
      </c>
      <c r="N6" s="3" t="str">
        <f>IFERROR(__xludf.DUMMYFUNCTION("""COMPUTED_VALUE"""),"Cd")</f>
        <v>Cd</v>
      </c>
      <c r="O6" s="3" t="str">
        <f>IFERROR(__xludf.DUMMYFUNCTION("""COMPUTED_VALUE"""),"In")</f>
        <v>In</v>
      </c>
      <c r="P6" s="3" t="str">
        <f>IFERROR(__xludf.DUMMYFUNCTION("""COMPUTED_VALUE"""),"Sn")</f>
        <v>Sn</v>
      </c>
      <c r="Q6" s="3" t="str">
        <f>IFERROR(__xludf.DUMMYFUNCTION("""COMPUTED_VALUE"""),"Sb")</f>
        <v>Sb</v>
      </c>
      <c r="R6" s="3" t="str">
        <f>IFERROR(__xludf.DUMMYFUNCTION("""COMPUTED_VALUE"""),"Te")</f>
        <v>Te</v>
      </c>
      <c r="S6" s="3" t="str">
        <f>IFERROR(__xludf.DUMMYFUNCTION("""COMPUTED_VALUE"""),"I")</f>
        <v>I</v>
      </c>
      <c r="T6" s="3" t="str">
        <f>IFERROR(__xludf.DUMMYFUNCTION("""COMPUTED_VALUE"""),"Xe")</f>
        <v>Xe</v>
      </c>
    </row>
    <row r="7">
      <c r="A7" s="3">
        <f>IFERROR(__xludf.DUMMYFUNCTION("""COMPUTED_VALUE"""),6.0)</f>
        <v>6</v>
      </c>
      <c r="B7" s="3" t="str">
        <f>IFERROR(__xludf.DUMMYFUNCTION("""COMPUTED_VALUE"""),"Cs")</f>
        <v>Cs</v>
      </c>
      <c r="C7" s="3" t="str">
        <f>IFERROR(__xludf.DUMMYFUNCTION("""COMPUTED_VALUE"""),"Ba")</f>
        <v>Ba</v>
      </c>
      <c r="D7" s="3" t="str">
        <f>IFERROR(__xludf.DUMMYFUNCTION("""COMPUTED_VALUE"""),"*")</f>
        <v>*</v>
      </c>
      <c r="E7" s="3" t="str">
        <f>IFERROR(__xludf.DUMMYFUNCTION("""COMPUTED_VALUE"""),"Lu")</f>
        <v>Lu</v>
      </c>
      <c r="F7" s="3" t="str">
        <f>IFERROR(__xludf.DUMMYFUNCTION("""COMPUTED_VALUE"""),"Hf")</f>
        <v>Hf</v>
      </c>
      <c r="G7" s="3" t="str">
        <f>IFERROR(__xludf.DUMMYFUNCTION("""COMPUTED_VALUE"""),"Ta")</f>
        <v>Ta</v>
      </c>
      <c r="H7" s="3" t="str">
        <f>IFERROR(__xludf.DUMMYFUNCTION("""COMPUTED_VALUE"""),"W")</f>
        <v>W</v>
      </c>
      <c r="I7" s="3" t="str">
        <f>IFERROR(__xludf.DUMMYFUNCTION("""COMPUTED_VALUE"""),"Re")</f>
        <v>Re</v>
      </c>
      <c r="J7" s="3" t="str">
        <f>IFERROR(__xludf.DUMMYFUNCTION("""COMPUTED_VALUE"""),"Os")</f>
        <v>Os</v>
      </c>
      <c r="K7" s="3" t="str">
        <f>IFERROR(__xludf.DUMMYFUNCTION("""COMPUTED_VALUE"""),"Ir")</f>
        <v>Ir</v>
      </c>
      <c r="L7" s="3" t="str">
        <f>IFERROR(__xludf.DUMMYFUNCTION("""COMPUTED_VALUE"""),"Pt")</f>
        <v>Pt</v>
      </c>
      <c r="M7" s="3" t="str">
        <f>IFERROR(__xludf.DUMMYFUNCTION("""COMPUTED_VALUE"""),"Au")</f>
        <v>Au</v>
      </c>
      <c r="N7" s="3" t="str">
        <f>IFERROR(__xludf.DUMMYFUNCTION("""COMPUTED_VALUE"""),"Hg")</f>
        <v>Hg</v>
      </c>
      <c r="O7" s="3" t="str">
        <f>IFERROR(__xludf.DUMMYFUNCTION("""COMPUTED_VALUE"""),"Tl")</f>
        <v>Tl</v>
      </c>
      <c r="P7" s="3" t="str">
        <f>IFERROR(__xludf.DUMMYFUNCTION("""COMPUTED_VALUE"""),"Pb")</f>
        <v>Pb</v>
      </c>
      <c r="Q7" s="3" t="str">
        <f>IFERROR(__xludf.DUMMYFUNCTION("""COMPUTED_VALUE"""),"Bi")</f>
        <v>Bi</v>
      </c>
      <c r="R7" s="3" t="str">
        <f>IFERROR(__xludf.DUMMYFUNCTION("""COMPUTED_VALUE"""),"Po")</f>
        <v>Po</v>
      </c>
      <c r="S7" s="3" t="str">
        <f>IFERROR(__xludf.DUMMYFUNCTION("""COMPUTED_VALUE"""),"At")</f>
        <v>At</v>
      </c>
      <c r="T7" s="3" t="str">
        <f>IFERROR(__xludf.DUMMYFUNCTION("""COMPUTED_VALUE"""),"Rn")</f>
        <v>Rn</v>
      </c>
    </row>
    <row r="8">
      <c r="A8" s="3">
        <f>IFERROR(__xludf.DUMMYFUNCTION("""COMPUTED_VALUE"""),7.0)</f>
        <v>7</v>
      </c>
      <c r="B8" s="3" t="str">
        <f>IFERROR(__xludf.DUMMYFUNCTION("""COMPUTED_VALUE"""),"Fr")</f>
        <v>Fr</v>
      </c>
      <c r="C8" s="3" t="str">
        <f>IFERROR(__xludf.DUMMYFUNCTION("""COMPUTED_VALUE"""),"Ra")</f>
        <v>Ra</v>
      </c>
      <c r="D8" s="3" t="str">
        <f>IFERROR(__xludf.DUMMYFUNCTION("""COMPUTED_VALUE"""),"*
*")</f>
        <v>*
*</v>
      </c>
      <c r="E8" s="3" t="str">
        <f>IFERROR(__xludf.DUMMYFUNCTION("""COMPUTED_VALUE"""),"Lr")</f>
        <v>Lr</v>
      </c>
      <c r="F8" s="3" t="str">
        <f>IFERROR(__xludf.DUMMYFUNCTION("""COMPUTED_VALUE"""),"Rf")</f>
        <v>Rf</v>
      </c>
      <c r="G8" s="3" t="str">
        <f>IFERROR(__xludf.DUMMYFUNCTION("""COMPUTED_VALUE"""),"Db")</f>
        <v>Db</v>
      </c>
      <c r="H8" s="3" t="str">
        <f>IFERROR(__xludf.DUMMYFUNCTION("""COMPUTED_VALUE"""),"Sg")</f>
        <v>Sg</v>
      </c>
      <c r="I8" s="3" t="str">
        <f>IFERROR(__xludf.DUMMYFUNCTION("""COMPUTED_VALUE"""),"Bh")</f>
        <v>Bh</v>
      </c>
      <c r="J8" s="3" t="str">
        <f>IFERROR(__xludf.DUMMYFUNCTION("""COMPUTED_VALUE"""),"Hs")</f>
        <v>Hs</v>
      </c>
      <c r="K8" s="3" t="str">
        <f>IFERROR(__xludf.DUMMYFUNCTION("""COMPUTED_VALUE"""),"Mt")</f>
        <v>Mt</v>
      </c>
      <c r="L8" s="3" t="str">
        <f>IFERROR(__xludf.DUMMYFUNCTION("""COMPUTED_VALUE"""),"Ds")</f>
        <v>Ds</v>
      </c>
      <c r="M8" s="3" t="str">
        <f>IFERROR(__xludf.DUMMYFUNCTION("""COMPUTED_VALUE"""),"Rg")</f>
        <v>Rg</v>
      </c>
      <c r="N8" s="3" t="str">
        <f>IFERROR(__xludf.DUMMYFUNCTION("""COMPUTED_VALUE"""),"Cn")</f>
        <v>Cn</v>
      </c>
      <c r="O8" s="3" t="str">
        <f>IFERROR(__xludf.DUMMYFUNCTION("""COMPUTED_VALUE"""),"Nh")</f>
        <v>Nh</v>
      </c>
      <c r="P8" s="3" t="str">
        <f>IFERROR(__xludf.DUMMYFUNCTION("""COMPUTED_VALUE"""),"Fl")</f>
        <v>Fl</v>
      </c>
      <c r="Q8" s="3" t="str">
        <f>IFERROR(__xludf.DUMMYFUNCTION("""COMPUTED_VALUE"""),"Mc")</f>
        <v>Mc</v>
      </c>
      <c r="R8" s="3" t="str">
        <f>IFERROR(__xludf.DUMMYFUNCTION("""COMPUTED_VALUE"""),"Lv")</f>
        <v>Lv</v>
      </c>
      <c r="S8" s="3" t="str">
        <f>IFERROR(__xludf.DUMMYFUNCTION("""COMPUTED_VALUE"""),"Ts")</f>
        <v>Ts</v>
      </c>
      <c r="T8" s="3" t="str">
        <f>IFERROR(__xludf.DUMMYFUNCTION("""COMPUTED_VALUE"""),"Og")</f>
        <v>Og</v>
      </c>
    </row>
    <row r="9">
      <c r="A9" s="3"/>
      <c r="B9" s="3"/>
      <c r="C9" s="3"/>
      <c r="D9" s="3" t="str">
        <f>IFERROR(__xludf.DUMMYFUNCTION("""COMPUTED_VALUE"""),"↓")</f>
        <v>↓</v>
      </c>
      <c r="E9" s="3"/>
      <c r="F9" s="3"/>
      <c r="G9" s="3"/>
      <c r="H9" s="3"/>
      <c r="I9" s="3"/>
      <c r="J9" s="3"/>
      <c r="K9" s="3"/>
      <c r="L9" s="3"/>
      <c r="M9" s="3"/>
      <c r="N9" s="3"/>
      <c r="O9" s="3"/>
      <c r="P9" s="3"/>
      <c r="Q9" s="3"/>
      <c r="R9" s="3"/>
      <c r="S9" s="3"/>
      <c r="T9" s="3"/>
    </row>
    <row r="10">
      <c r="A10" s="3"/>
      <c r="B10" s="3"/>
      <c r="C10" s="3"/>
      <c r="D10" s="3" t="str">
        <f>IFERROR(__xludf.DUMMYFUNCTION("""COMPUTED_VALUE"""),"*")</f>
        <v>*</v>
      </c>
      <c r="E10" s="3" t="str">
        <f>IFERROR(__xludf.DUMMYFUNCTION("""COMPUTED_VALUE"""),"La")</f>
        <v>La</v>
      </c>
      <c r="F10" s="3" t="str">
        <f>IFERROR(__xludf.DUMMYFUNCTION("""COMPUTED_VALUE"""),"Ce")</f>
        <v>Ce</v>
      </c>
      <c r="G10" s="3" t="str">
        <f>IFERROR(__xludf.DUMMYFUNCTION("""COMPUTED_VALUE"""),"Pr")</f>
        <v>Pr</v>
      </c>
      <c r="H10" s="3" t="str">
        <f>IFERROR(__xludf.DUMMYFUNCTION("""COMPUTED_VALUE"""),"Nd")</f>
        <v>Nd</v>
      </c>
      <c r="I10" s="3" t="str">
        <f>IFERROR(__xludf.DUMMYFUNCTION("""COMPUTED_VALUE"""),"Pm")</f>
        <v>Pm</v>
      </c>
      <c r="J10" s="3" t="str">
        <f>IFERROR(__xludf.DUMMYFUNCTION("""COMPUTED_VALUE"""),"Sm")</f>
        <v>Sm</v>
      </c>
      <c r="K10" s="3" t="str">
        <f>IFERROR(__xludf.DUMMYFUNCTION("""COMPUTED_VALUE"""),"Eu")</f>
        <v>Eu</v>
      </c>
      <c r="L10" s="3" t="str">
        <f>IFERROR(__xludf.DUMMYFUNCTION("""COMPUTED_VALUE"""),"Gd")</f>
        <v>Gd</v>
      </c>
      <c r="M10" s="3" t="str">
        <f>IFERROR(__xludf.DUMMYFUNCTION("""COMPUTED_VALUE"""),"Tb")</f>
        <v>Tb</v>
      </c>
      <c r="N10" s="3" t="str">
        <f>IFERROR(__xludf.DUMMYFUNCTION("""COMPUTED_VALUE"""),"Dy")</f>
        <v>Dy</v>
      </c>
      <c r="O10" s="3" t="str">
        <f>IFERROR(__xludf.DUMMYFUNCTION("""COMPUTED_VALUE"""),"Ho")</f>
        <v>Ho</v>
      </c>
      <c r="P10" s="3" t="str">
        <f>IFERROR(__xludf.DUMMYFUNCTION("""COMPUTED_VALUE"""),"Er")</f>
        <v>Er</v>
      </c>
      <c r="Q10" s="3" t="str">
        <f>IFERROR(__xludf.DUMMYFUNCTION("""COMPUTED_VALUE"""),"Tm")</f>
        <v>Tm</v>
      </c>
      <c r="R10" s="3" t="str">
        <f>IFERROR(__xludf.DUMMYFUNCTION("""COMPUTED_VALUE"""),"Yb")</f>
        <v>Yb</v>
      </c>
      <c r="S10" s="3"/>
      <c r="T10" s="3"/>
    </row>
    <row r="11">
      <c r="A11" s="3"/>
      <c r="B11" s="3"/>
      <c r="C11" s="3"/>
      <c r="D11" s="3" t="str">
        <f>IFERROR(__xludf.DUMMYFUNCTION("""COMPUTED_VALUE"""),"*
*")</f>
        <v>*
*</v>
      </c>
      <c r="E11" s="3" t="str">
        <f>IFERROR(__xludf.DUMMYFUNCTION("""COMPUTED_VALUE"""),"Ac")</f>
        <v>Ac</v>
      </c>
      <c r="F11" s="3" t="str">
        <f>IFERROR(__xludf.DUMMYFUNCTION("""COMPUTED_VALUE"""),"Th")</f>
        <v>Th</v>
      </c>
      <c r="G11" s="3" t="str">
        <f>IFERROR(__xludf.DUMMYFUNCTION("""COMPUTED_VALUE"""),"Pa")</f>
        <v>Pa</v>
      </c>
      <c r="H11" s="3" t="str">
        <f>IFERROR(__xludf.DUMMYFUNCTION("""COMPUTED_VALUE"""),"U")</f>
        <v>U</v>
      </c>
      <c r="I11" s="3" t="str">
        <f>IFERROR(__xludf.DUMMYFUNCTION("""COMPUTED_VALUE"""),"Np")</f>
        <v>Np</v>
      </c>
      <c r="J11" s="3" t="str">
        <f>IFERROR(__xludf.DUMMYFUNCTION("""COMPUTED_VALUE"""),"Pu")</f>
        <v>Pu</v>
      </c>
      <c r="K11" s="3" t="str">
        <f>IFERROR(__xludf.DUMMYFUNCTION("""COMPUTED_VALUE"""),"Am")</f>
        <v>Am</v>
      </c>
      <c r="L11" s="3" t="str">
        <f>IFERROR(__xludf.DUMMYFUNCTION("""COMPUTED_VALUE"""),"Cm")</f>
        <v>Cm</v>
      </c>
      <c r="M11" s="3" t="str">
        <f>IFERROR(__xludf.DUMMYFUNCTION("""COMPUTED_VALUE"""),"Bk")</f>
        <v>Bk</v>
      </c>
      <c r="N11" s="3" t="str">
        <f>IFERROR(__xludf.DUMMYFUNCTION("""COMPUTED_VALUE"""),"Cf")</f>
        <v>Cf</v>
      </c>
      <c r="O11" s="3" t="str">
        <f>IFERROR(__xludf.DUMMYFUNCTION("""COMPUTED_VALUE"""),"Es")</f>
        <v>Es</v>
      </c>
      <c r="P11" s="3" t="str">
        <f>IFERROR(__xludf.DUMMYFUNCTION("""COMPUTED_VALUE"""),"Fm")</f>
        <v>Fm</v>
      </c>
      <c r="Q11" s="3" t="str">
        <f>IFERROR(__xludf.DUMMYFUNCTION("""COMPUTED_VALUE"""),"Md")</f>
        <v>Md</v>
      </c>
      <c r="R11" s="3" t="str">
        <f>IFERROR(__xludf.DUMMYFUNCTION("""COMPUTED_VALUE"""),"No")</f>
        <v>No</v>
      </c>
      <c r="S11" s="3"/>
      <c r="T11" s="3"/>
    </row>
    <row r="12">
      <c r="A12" s="3"/>
      <c r="B12" s="3"/>
      <c r="C12" s="3"/>
      <c r="D12" s="3"/>
      <c r="E12" s="3"/>
      <c r="F12" s="3"/>
      <c r="G12" s="3"/>
      <c r="H12" s="3"/>
      <c r="I12" s="3"/>
      <c r="J12" s="3"/>
      <c r="K12" s="3"/>
      <c r="L12" s="3"/>
      <c r="M12" s="3"/>
      <c r="N12" s="3"/>
      <c r="O12" s="3"/>
      <c r="P12" s="3"/>
      <c r="Q12" s="3"/>
      <c r="R12" s="3"/>
      <c r="S12" s="3"/>
      <c r="T12" s="3"/>
    </row>
    <row r="13">
      <c r="A13" s="3"/>
      <c r="B13" s="3"/>
      <c r="C13" s="3"/>
      <c r="D13" s="3" t="str">
        <f>IFERROR(__xludf.DUMMYFUNCTION("""COMPUTED_VALUE"""),"Bloc s")</f>
        <v>Bloc s</v>
      </c>
      <c r="E13" s="3"/>
      <c r="F13" s="3"/>
      <c r="G13" s="3"/>
      <c r="H13" s="3" t="str">
        <f>IFERROR(__xludf.DUMMYFUNCTION("""COMPUTED_VALUE"""),"Bloc f")</f>
        <v>Bloc f</v>
      </c>
      <c r="I13" s="3"/>
      <c r="J13" s="3"/>
      <c r="K13" s="3"/>
      <c r="L13" s="3" t="str">
        <f>IFERROR(__xludf.DUMMYFUNCTION("""COMPUTED_VALUE"""),"Bloc d")</f>
        <v>Bloc d</v>
      </c>
      <c r="M13" s="3"/>
      <c r="N13" s="3"/>
      <c r="O13" s="3"/>
      <c r="P13" s="3" t="str">
        <f>IFERROR(__xludf.DUMMYFUNCTION("""COMPUTED_VALUE"""),"Bloc p")</f>
        <v>Bloc p</v>
      </c>
      <c r="Q13" s="3"/>
      <c r="R13" s="3"/>
      <c r="S13" s="3"/>
      <c r="T13" s="3"/>
    </row>
    <row r="14">
      <c r="A14" s="3"/>
      <c r="B14" s="3"/>
      <c r="C14" s="3"/>
      <c r="D14" s="3" t="str">
        <f>IFERROR(__xludf.DUMMYFUNCTION("""COMPUTED_VALUE"""),"Blocs du tableau périodique")</f>
        <v>Blocs du tableau périodique</v>
      </c>
      <c r="E14" s="3"/>
      <c r="F14" s="3"/>
      <c r="G14" s="3"/>
      <c r="H14" s="3"/>
      <c r="I14" s="3"/>
      <c r="J14" s="3"/>
      <c r="K14" s="3"/>
      <c r="L14" s="3"/>
      <c r="M14" s="3"/>
      <c r="N14" s="3"/>
      <c r="O14" s="3"/>
      <c r="P14" s="3"/>
      <c r="Q14" s="3"/>
      <c r="R14" s="3"/>
      <c r="S14" s="3"/>
      <c r="T14" s="3"/>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6.75"/>
    <col customWidth="1" min="6" max="6" width="67.13"/>
    <col customWidth="1" min="10" max="10" width="30.88"/>
  </cols>
  <sheetData>
    <row r="1">
      <c r="A1" s="23" t="s">
        <v>90</v>
      </c>
      <c r="B1" s="38" t="s">
        <v>91</v>
      </c>
      <c r="C1" s="23" t="s">
        <v>92</v>
      </c>
      <c r="D1" s="23" t="s">
        <v>93</v>
      </c>
      <c r="E1" s="23" t="s">
        <v>94</v>
      </c>
      <c r="F1" s="23" t="s">
        <v>95</v>
      </c>
      <c r="G1" s="23" t="s">
        <v>96</v>
      </c>
      <c r="H1" s="23" t="s">
        <v>97</v>
      </c>
      <c r="I1" s="23" t="s">
        <v>98</v>
      </c>
      <c r="J1" s="23" t="s">
        <v>99</v>
      </c>
      <c r="K1" s="4"/>
      <c r="L1" s="4"/>
      <c r="M1" s="4"/>
      <c r="N1" s="4"/>
      <c r="O1" s="4"/>
      <c r="P1" s="4"/>
      <c r="Q1" s="4"/>
      <c r="R1" s="4"/>
      <c r="S1" s="4"/>
      <c r="T1" s="4"/>
      <c r="U1" s="4"/>
      <c r="V1" s="4"/>
      <c r="W1" s="4"/>
      <c r="X1" s="4"/>
      <c r="Y1" s="4"/>
      <c r="Z1" s="4"/>
    </row>
    <row r="2">
      <c r="A2" s="23" t="s">
        <v>100</v>
      </c>
      <c r="B2" s="39" t="s">
        <v>101</v>
      </c>
      <c r="C2" s="40">
        <v>45272.0</v>
      </c>
      <c r="D2" s="4"/>
      <c r="E2" s="4"/>
      <c r="F2" s="4"/>
      <c r="G2" s="4"/>
      <c r="H2" s="4"/>
      <c r="I2" s="4"/>
      <c r="J2" s="4"/>
      <c r="K2" s="4"/>
      <c r="L2" s="4"/>
      <c r="M2" s="4"/>
      <c r="N2" s="4"/>
      <c r="O2" s="4"/>
      <c r="P2" s="4"/>
      <c r="Q2" s="4"/>
      <c r="R2" s="4"/>
      <c r="S2" s="4"/>
      <c r="T2" s="4"/>
      <c r="U2" s="4"/>
      <c r="V2" s="4"/>
      <c r="W2" s="4"/>
      <c r="X2" s="4"/>
      <c r="Y2" s="4"/>
      <c r="Z2" s="4"/>
    </row>
    <row r="3">
      <c r="A3" s="23" t="s">
        <v>102</v>
      </c>
      <c r="B3" s="39" t="s">
        <v>101</v>
      </c>
      <c r="C3" s="41">
        <v>45237.0</v>
      </c>
      <c r="D3" s="4"/>
      <c r="E3" s="4"/>
      <c r="F3" s="4"/>
      <c r="G3" s="4"/>
      <c r="H3" s="4"/>
      <c r="I3" s="4"/>
      <c r="J3" s="4"/>
      <c r="K3" s="4"/>
      <c r="L3" s="4"/>
      <c r="M3" s="4"/>
      <c r="N3" s="4"/>
      <c r="O3" s="4"/>
      <c r="P3" s="4"/>
      <c r="Q3" s="4"/>
      <c r="R3" s="4"/>
      <c r="S3" s="4"/>
      <c r="T3" s="4"/>
      <c r="U3" s="4"/>
      <c r="V3" s="4"/>
      <c r="W3" s="4"/>
      <c r="X3" s="4"/>
      <c r="Y3" s="4"/>
      <c r="Z3" s="4"/>
    </row>
    <row r="4">
      <c r="A4" s="23" t="s">
        <v>103</v>
      </c>
      <c r="B4" s="39" t="s">
        <v>101</v>
      </c>
      <c r="C4" s="41">
        <v>45202.0</v>
      </c>
      <c r="D4" s="4"/>
      <c r="E4" s="4"/>
      <c r="F4" s="4"/>
      <c r="G4" s="4"/>
      <c r="H4" s="4"/>
      <c r="I4" s="4"/>
      <c r="J4" s="4"/>
      <c r="K4" s="4"/>
      <c r="L4" s="4"/>
      <c r="M4" s="4"/>
      <c r="N4" s="4"/>
      <c r="O4" s="4"/>
      <c r="P4" s="4"/>
      <c r="Q4" s="4"/>
      <c r="R4" s="4"/>
      <c r="S4" s="4"/>
      <c r="T4" s="4"/>
      <c r="U4" s="4"/>
      <c r="V4" s="4"/>
      <c r="W4" s="4"/>
      <c r="X4" s="4"/>
      <c r="Y4" s="4"/>
      <c r="Z4" s="4"/>
    </row>
    <row r="5">
      <c r="A5" s="23" t="s">
        <v>104</v>
      </c>
      <c r="B5" s="39" t="s">
        <v>101</v>
      </c>
      <c r="C5" s="41">
        <v>45118.0</v>
      </c>
      <c r="D5" s="4"/>
      <c r="E5" s="4"/>
      <c r="F5" s="4"/>
      <c r="G5" s="4"/>
      <c r="H5" s="4"/>
      <c r="I5" s="4"/>
      <c r="J5" s="4"/>
      <c r="K5" s="4"/>
      <c r="L5" s="4"/>
      <c r="M5" s="4"/>
      <c r="N5" s="4"/>
      <c r="O5" s="4"/>
      <c r="P5" s="4"/>
      <c r="Q5" s="4"/>
      <c r="R5" s="4"/>
      <c r="S5" s="4"/>
      <c r="T5" s="4"/>
      <c r="U5" s="4"/>
      <c r="V5" s="4"/>
      <c r="W5" s="4"/>
      <c r="X5" s="4"/>
      <c r="Y5" s="4"/>
      <c r="Z5" s="4"/>
    </row>
    <row r="6">
      <c r="A6" s="23" t="s">
        <v>105</v>
      </c>
      <c r="B6" s="39" t="s">
        <v>101</v>
      </c>
      <c r="C6" s="41">
        <v>45083.0</v>
      </c>
      <c r="D6" s="4"/>
      <c r="E6" s="4"/>
      <c r="F6" s="4"/>
      <c r="G6" s="4"/>
      <c r="H6" s="4"/>
      <c r="I6" s="4"/>
      <c r="J6" s="4"/>
      <c r="K6" s="4"/>
      <c r="L6" s="4"/>
      <c r="M6" s="4"/>
      <c r="N6" s="4"/>
      <c r="O6" s="4"/>
      <c r="P6" s="4"/>
      <c r="Q6" s="4"/>
      <c r="R6" s="4"/>
      <c r="S6" s="4"/>
      <c r="T6" s="4"/>
      <c r="U6" s="4"/>
      <c r="V6" s="4"/>
      <c r="W6" s="4"/>
      <c r="X6" s="4"/>
      <c r="Y6" s="4"/>
      <c r="Z6" s="4"/>
    </row>
    <row r="7">
      <c r="A7" s="23" t="s">
        <v>106</v>
      </c>
      <c r="B7" s="39" t="s">
        <v>101</v>
      </c>
      <c r="C7" s="41">
        <v>45020.0</v>
      </c>
      <c r="D7" s="4"/>
      <c r="E7" s="4"/>
      <c r="F7" s="4"/>
      <c r="G7" s="4"/>
      <c r="H7" s="4"/>
      <c r="I7" s="4"/>
      <c r="J7" s="4"/>
      <c r="K7" s="4"/>
      <c r="L7" s="4"/>
      <c r="M7" s="4"/>
      <c r="N7" s="4"/>
      <c r="O7" s="4"/>
      <c r="P7" s="4"/>
      <c r="Q7" s="4"/>
      <c r="R7" s="4"/>
      <c r="S7" s="4"/>
      <c r="T7" s="4"/>
      <c r="U7" s="4"/>
      <c r="V7" s="4"/>
      <c r="W7" s="4"/>
      <c r="X7" s="4"/>
      <c r="Y7" s="4"/>
      <c r="Z7" s="4"/>
    </row>
    <row r="8">
      <c r="A8" s="23" t="s">
        <v>107</v>
      </c>
      <c r="B8" s="39" t="s">
        <v>101</v>
      </c>
      <c r="C8" s="41">
        <v>44993.0</v>
      </c>
      <c r="D8" s="4"/>
      <c r="E8" s="4"/>
      <c r="F8" s="4"/>
      <c r="G8" s="4"/>
      <c r="H8" s="4"/>
      <c r="I8" s="4"/>
      <c r="J8" s="4"/>
      <c r="K8" s="4"/>
      <c r="L8" s="4"/>
      <c r="M8" s="4"/>
      <c r="N8" s="4"/>
      <c r="O8" s="4"/>
      <c r="P8" s="4"/>
      <c r="Q8" s="4"/>
      <c r="R8" s="4"/>
      <c r="S8" s="4"/>
      <c r="T8" s="4"/>
      <c r="U8" s="4"/>
      <c r="V8" s="4"/>
      <c r="W8" s="4"/>
      <c r="X8" s="4"/>
      <c r="Y8" s="4"/>
      <c r="Z8" s="4"/>
    </row>
    <row r="9">
      <c r="A9" s="23" t="s">
        <v>108</v>
      </c>
      <c r="B9" s="39" t="s">
        <v>101</v>
      </c>
      <c r="C9" s="41">
        <v>44957.0</v>
      </c>
      <c r="D9" s="4"/>
      <c r="E9" s="4"/>
      <c r="F9" s="4"/>
      <c r="G9" s="4"/>
      <c r="H9" s="4"/>
      <c r="I9" s="4"/>
      <c r="J9" s="4"/>
      <c r="K9" s="4"/>
      <c r="L9" s="4"/>
      <c r="M9" s="4"/>
      <c r="N9" s="4"/>
      <c r="O9" s="4"/>
      <c r="P9" s="4"/>
      <c r="Q9" s="4"/>
      <c r="R9" s="4"/>
      <c r="S9" s="4"/>
      <c r="T9" s="4"/>
      <c r="U9" s="4"/>
      <c r="V9" s="4"/>
      <c r="W9" s="4"/>
      <c r="X9" s="4"/>
      <c r="Y9" s="4"/>
      <c r="Z9" s="4"/>
    </row>
    <row r="10">
      <c r="A10" s="23" t="s">
        <v>109</v>
      </c>
      <c r="B10" s="39" t="s">
        <v>101</v>
      </c>
      <c r="C10" s="4"/>
      <c r="D10" s="4"/>
      <c r="E10" s="4"/>
      <c r="F10" s="4"/>
      <c r="G10" s="4"/>
      <c r="H10" s="4"/>
      <c r="I10" s="23" t="s">
        <v>110</v>
      </c>
      <c r="J10" s="42" t="s">
        <v>111</v>
      </c>
      <c r="K10" s="4"/>
      <c r="L10" s="4"/>
      <c r="M10" s="4"/>
      <c r="N10" s="4"/>
      <c r="O10" s="4"/>
      <c r="P10" s="4"/>
      <c r="Q10" s="4"/>
      <c r="R10" s="4"/>
      <c r="S10" s="4"/>
      <c r="T10" s="4"/>
      <c r="U10" s="4"/>
      <c r="V10" s="4"/>
      <c r="W10" s="4"/>
      <c r="X10" s="4"/>
      <c r="Y10" s="4"/>
      <c r="Z10" s="4"/>
    </row>
    <row r="11">
      <c r="A11" s="23" t="s">
        <v>112</v>
      </c>
      <c r="B11" s="39" t="s">
        <v>101</v>
      </c>
      <c r="C11" s="4"/>
      <c r="D11" s="4"/>
      <c r="E11" s="4"/>
      <c r="F11" s="4"/>
      <c r="G11" s="4"/>
      <c r="H11" s="4"/>
      <c r="I11" s="23" t="s">
        <v>110</v>
      </c>
      <c r="J11" s="42" t="s">
        <v>113</v>
      </c>
      <c r="K11" s="4"/>
      <c r="L11" s="4"/>
      <c r="M11" s="4"/>
      <c r="N11" s="4"/>
      <c r="O11" s="4"/>
      <c r="P11" s="4"/>
      <c r="Q11" s="4"/>
      <c r="R11" s="4"/>
      <c r="S11" s="4"/>
      <c r="T11" s="4"/>
      <c r="U11" s="4"/>
      <c r="V11" s="4"/>
      <c r="W11" s="4"/>
      <c r="X11" s="4"/>
      <c r="Y11" s="4"/>
      <c r="Z11" s="4"/>
    </row>
    <row r="12">
      <c r="A12" s="23" t="s">
        <v>114</v>
      </c>
      <c r="B12" s="39" t="s">
        <v>101</v>
      </c>
      <c r="C12" s="4"/>
      <c r="D12" s="4"/>
      <c r="E12" s="4"/>
      <c r="F12" s="4"/>
      <c r="G12" s="4"/>
      <c r="H12" s="4"/>
      <c r="I12" s="23" t="s">
        <v>110</v>
      </c>
      <c r="J12" s="42" t="s">
        <v>115</v>
      </c>
      <c r="K12" s="4"/>
      <c r="L12" s="4"/>
      <c r="M12" s="4"/>
      <c r="N12" s="4"/>
      <c r="O12" s="4"/>
      <c r="P12" s="4"/>
      <c r="Q12" s="4"/>
      <c r="R12" s="4"/>
      <c r="S12" s="4"/>
      <c r="T12" s="4"/>
      <c r="U12" s="4"/>
      <c r="V12" s="4"/>
      <c r="W12" s="4"/>
      <c r="X12" s="4"/>
      <c r="Y12" s="4"/>
      <c r="Z12" s="4"/>
    </row>
    <row r="13">
      <c r="A13" s="23" t="s">
        <v>116</v>
      </c>
      <c r="B13" s="39" t="s">
        <v>101</v>
      </c>
      <c r="C13" s="4"/>
      <c r="D13" s="4"/>
      <c r="E13" s="4"/>
      <c r="F13" s="4"/>
      <c r="G13" s="4"/>
      <c r="H13" s="4"/>
      <c r="I13" s="23" t="s">
        <v>110</v>
      </c>
      <c r="J13" s="42" t="s">
        <v>117</v>
      </c>
      <c r="K13" s="4"/>
      <c r="L13" s="4"/>
      <c r="M13" s="4"/>
      <c r="N13" s="4"/>
      <c r="O13" s="4"/>
      <c r="P13" s="4"/>
      <c r="Q13" s="4"/>
      <c r="R13" s="4"/>
      <c r="S13" s="4"/>
      <c r="T13" s="4"/>
      <c r="U13" s="4"/>
      <c r="V13" s="4"/>
      <c r="W13" s="4"/>
      <c r="X13" s="4"/>
      <c r="Y13" s="4"/>
      <c r="Z13" s="4"/>
    </row>
    <row r="14">
      <c r="A14" s="23" t="s">
        <v>118</v>
      </c>
      <c r="B14" s="39" t="s">
        <v>101</v>
      </c>
      <c r="C14" s="4"/>
      <c r="D14" s="4"/>
      <c r="E14" s="4"/>
      <c r="F14" s="4"/>
      <c r="G14" s="4"/>
      <c r="H14" s="4"/>
      <c r="I14" s="23" t="s">
        <v>110</v>
      </c>
      <c r="J14" s="42" t="s">
        <v>119</v>
      </c>
      <c r="K14" s="4"/>
      <c r="L14" s="4"/>
      <c r="M14" s="4"/>
      <c r="N14" s="4"/>
      <c r="O14" s="4"/>
      <c r="P14" s="4"/>
      <c r="Q14" s="4"/>
      <c r="R14" s="4"/>
      <c r="S14" s="4"/>
      <c r="T14" s="4"/>
      <c r="U14" s="4"/>
      <c r="V14" s="4"/>
      <c r="W14" s="4"/>
      <c r="X14" s="4"/>
      <c r="Y14" s="4"/>
      <c r="Z14" s="4"/>
    </row>
    <row r="15">
      <c r="A15" s="23" t="s">
        <v>120</v>
      </c>
      <c r="B15" s="39" t="s">
        <v>101</v>
      </c>
      <c r="C15" s="4"/>
      <c r="D15" s="4"/>
      <c r="E15" s="4"/>
      <c r="F15" s="4"/>
      <c r="G15" s="4"/>
      <c r="H15" s="4"/>
      <c r="I15" s="23" t="s">
        <v>110</v>
      </c>
      <c r="J15" s="42" t="s">
        <v>121</v>
      </c>
      <c r="K15" s="4"/>
      <c r="L15" s="4"/>
      <c r="M15" s="4"/>
      <c r="N15" s="4"/>
      <c r="O15" s="4"/>
      <c r="P15" s="4"/>
      <c r="Q15" s="4"/>
      <c r="R15" s="4"/>
      <c r="S15" s="4"/>
      <c r="T15" s="4"/>
      <c r="U15" s="4"/>
      <c r="V15" s="4"/>
      <c r="W15" s="4"/>
      <c r="X15" s="4"/>
      <c r="Y15" s="4"/>
      <c r="Z15" s="4"/>
    </row>
    <row r="16">
      <c r="A16" s="23" t="s">
        <v>122</v>
      </c>
      <c r="B16" s="39" t="s">
        <v>101</v>
      </c>
      <c r="C16" s="4"/>
      <c r="D16" s="4"/>
      <c r="E16" s="4"/>
      <c r="F16" s="4"/>
      <c r="G16" s="4"/>
      <c r="H16" s="4"/>
      <c r="I16" s="23" t="s">
        <v>110</v>
      </c>
      <c r="J16" s="42" t="s">
        <v>123</v>
      </c>
      <c r="K16" s="4"/>
      <c r="L16" s="4"/>
      <c r="M16" s="4"/>
      <c r="N16" s="4"/>
      <c r="O16" s="4"/>
      <c r="P16" s="4"/>
      <c r="Q16" s="4"/>
      <c r="R16" s="4"/>
      <c r="S16" s="4"/>
      <c r="T16" s="4"/>
      <c r="U16" s="4"/>
      <c r="V16" s="4"/>
      <c r="W16" s="4"/>
      <c r="X16" s="4"/>
      <c r="Y16" s="4"/>
      <c r="Z16" s="4"/>
    </row>
    <row r="17">
      <c r="A17" s="23" t="s">
        <v>124</v>
      </c>
      <c r="B17" s="39" t="s">
        <v>101</v>
      </c>
      <c r="C17" s="4"/>
      <c r="D17" s="23" t="s">
        <v>125</v>
      </c>
      <c r="E17" s="42" t="s">
        <v>126</v>
      </c>
      <c r="F17" s="23" t="s">
        <v>127</v>
      </c>
      <c r="G17" s="23" t="s">
        <v>128</v>
      </c>
      <c r="H17" s="23" t="s">
        <v>129</v>
      </c>
      <c r="I17" s="4"/>
      <c r="J17" s="4"/>
      <c r="K17" s="4"/>
      <c r="L17" s="4"/>
      <c r="M17" s="4"/>
      <c r="N17" s="4"/>
      <c r="O17" s="4"/>
      <c r="P17" s="4"/>
      <c r="Q17" s="4"/>
      <c r="R17" s="4"/>
      <c r="S17" s="4"/>
      <c r="T17" s="4"/>
      <c r="U17" s="4"/>
      <c r="V17" s="4"/>
      <c r="W17" s="4"/>
      <c r="X17" s="4"/>
      <c r="Y17" s="4"/>
      <c r="Z17" s="4"/>
    </row>
    <row r="18">
      <c r="A18" s="23" t="s">
        <v>130</v>
      </c>
      <c r="B18" s="39" t="s">
        <v>101</v>
      </c>
      <c r="C18" s="4"/>
      <c r="D18" s="23" t="s">
        <v>125</v>
      </c>
      <c r="E18" s="42" t="s">
        <v>126</v>
      </c>
      <c r="F18" s="23" t="s">
        <v>127</v>
      </c>
      <c r="G18" s="23" t="s">
        <v>128</v>
      </c>
      <c r="H18" s="23" t="s">
        <v>131</v>
      </c>
      <c r="I18" s="4"/>
      <c r="J18" s="4"/>
      <c r="K18" s="4"/>
      <c r="L18" s="4"/>
      <c r="M18" s="4"/>
      <c r="N18" s="4"/>
      <c r="O18" s="4"/>
      <c r="P18" s="4"/>
      <c r="Q18" s="4"/>
      <c r="R18" s="4"/>
      <c r="S18" s="4"/>
      <c r="T18" s="4"/>
      <c r="U18" s="4"/>
      <c r="V18" s="4"/>
      <c r="W18" s="4"/>
      <c r="X18" s="4"/>
      <c r="Y18" s="4"/>
      <c r="Z18" s="4"/>
    </row>
    <row r="19">
      <c r="A19" s="23" t="s">
        <v>132</v>
      </c>
      <c r="B19" s="39" t="s">
        <v>101</v>
      </c>
      <c r="C19" s="4"/>
      <c r="D19" s="23" t="s">
        <v>125</v>
      </c>
      <c r="E19" s="42" t="s">
        <v>126</v>
      </c>
      <c r="F19" s="23" t="s">
        <v>127</v>
      </c>
      <c r="G19" s="23" t="s">
        <v>128</v>
      </c>
      <c r="H19" s="23" t="s">
        <v>133</v>
      </c>
      <c r="I19" s="4"/>
      <c r="J19" s="4"/>
      <c r="K19" s="4"/>
      <c r="L19" s="4"/>
      <c r="M19" s="4"/>
      <c r="N19" s="4"/>
      <c r="O19" s="4"/>
      <c r="P19" s="4"/>
      <c r="Q19" s="4"/>
      <c r="R19" s="4"/>
      <c r="S19" s="4"/>
      <c r="T19" s="4"/>
      <c r="U19" s="4"/>
      <c r="V19" s="4"/>
      <c r="W19" s="4"/>
      <c r="X19" s="4"/>
      <c r="Y19" s="4"/>
      <c r="Z19" s="4"/>
    </row>
    <row r="20">
      <c r="A20" s="23" t="s">
        <v>134</v>
      </c>
      <c r="B20" s="39" t="s">
        <v>101</v>
      </c>
      <c r="C20" s="4"/>
      <c r="D20" s="23" t="s">
        <v>125</v>
      </c>
      <c r="E20" s="42" t="s">
        <v>126</v>
      </c>
      <c r="F20" s="23" t="s">
        <v>127</v>
      </c>
      <c r="G20" s="23" t="s">
        <v>128</v>
      </c>
      <c r="H20" s="23" t="s">
        <v>135</v>
      </c>
      <c r="I20" s="4"/>
      <c r="J20" s="4"/>
      <c r="K20" s="4"/>
      <c r="L20" s="4"/>
      <c r="M20" s="4"/>
      <c r="N20" s="4"/>
      <c r="O20" s="4"/>
      <c r="P20" s="4"/>
      <c r="Q20" s="4"/>
      <c r="R20" s="4"/>
      <c r="S20" s="4"/>
      <c r="T20" s="4"/>
      <c r="U20" s="4"/>
      <c r="V20" s="4"/>
      <c r="W20" s="4"/>
      <c r="X20" s="4"/>
      <c r="Y20" s="4"/>
      <c r="Z20" s="4"/>
    </row>
    <row r="21">
      <c r="A21" s="23" t="s">
        <v>136</v>
      </c>
      <c r="B21" s="39" t="s">
        <v>101</v>
      </c>
      <c r="C21" s="4"/>
      <c r="D21" s="23" t="s">
        <v>125</v>
      </c>
      <c r="E21" s="42" t="s">
        <v>126</v>
      </c>
      <c r="F21" s="23" t="s">
        <v>127</v>
      </c>
      <c r="G21" s="23" t="s">
        <v>128</v>
      </c>
      <c r="H21" s="23" t="s">
        <v>137</v>
      </c>
      <c r="I21" s="4"/>
      <c r="J21" s="4"/>
      <c r="K21" s="4"/>
      <c r="L21" s="4"/>
      <c r="M21" s="4"/>
      <c r="N21" s="4"/>
      <c r="O21" s="4"/>
      <c r="P21" s="4"/>
      <c r="Q21" s="4"/>
      <c r="R21" s="4"/>
      <c r="S21" s="4"/>
      <c r="T21" s="4"/>
      <c r="U21" s="4"/>
      <c r="V21" s="4"/>
      <c r="W21" s="4"/>
      <c r="X21" s="4"/>
      <c r="Y21" s="4"/>
      <c r="Z21" s="4"/>
    </row>
    <row r="22">
      <c r="A22" s="23" t="s">
        <v>138</v>
      </c>
      <c r="B22" s="39" t="s">
        <v>101</v>
      </c>
      <c r="C22" s="4"/>
      <c r="D22" s="23" t="s">
        <v>125</v>
      </c>
      <c r="E22" s="42" t="s">
        <v>126</v>
      </c>
      <c r="F22" s="23" t="s">
        <v>127</v>
      </c>
      <c r="G22" s="23" t="s">
        <v>128</v>
      </c>
      <c r="H22" s="23" t="s">
        <v>139</v>
      </c>
      <c r="I22" s="4"/>
      <c r="J22" s="4"/>
      <c r="K22" s="4"/>
      <c r="L22" s="4"/>
      <c r="M22" s="4"/>
      <c r="N22" s="4"/>
      <c r="O22" s="4"/>
      <c r="P22" s="4"/>
      <c r="Q22" s="4"/>
      <c r="R22" s="4"/>
      <c r="S22" s="4"/>
      <c r="T22" s="4"/>
      <c r="U22" s="4"/>
      <c r="V22" s="4"/>
      <c r="W22" s="4"/>
      <c r="X22" s="4"/>
      <c r="Y22" s="4"/>
      <c r="Z22" s="4"/>
    </row>
    <row r="23">
      <c r="A23" s="23" t="s">
        <v>140</v>
      </c>
      <c r="B23" s="39" t="s">
        <v>101</v>
      </c>
      <c r="C23" s="4"/>
      <c r="D23" s="23" t="s">
        <v>125</v>
      </c>
      <c r="E23" s="42" t="s">
        <v>126</v>
      </c>
      <c r="F23" s="23" t="s">
        <v>127</v>
      </c>
      <c r="G23" s="23" t="s">
        <v>128</v>
      </c>
      <c r="H23" s="23" t="s">
        <v>141</v>
      </c>
      <c r="I23" s="4"/>
      <c r="J23" s="4"/>
      <c r="K23" s="4"/>
      <c r="L23" s="4"/>
      <c r="M23" s="4"/>
      <c r="N23" s="4"/>
      <c r="O23" s="4"/>
      <c r="P23" s="4"/>
      <c r="Q23" s="4"/>
      <c r="R23" s="4"/>
      <c r="S23" s="4"/>
      <c r="T23" s="4"/>
      <c r="U23" s="4"/>
      <c r="V23" s="4"/>
      <c r="W23" s="4"/>
      <c r="X23" s="4"/>
      <c r="Y23" s="4"/>
      <c r="Z23" s="4"/>
    </row>
    <row r="24">
      <c r="A24" s="23" t="s">
        <v>142</v>
      </c>
      <c r="B24" s="39" t="s">
        <v>101</v>
      </c>
      <c r="C24" s="4"/>
      <c r="D24" s="23" t="s">
        <v>125</v>
      </c>
      <c r="E24" s="42" t="s">
        <v>126</v>
      </c>
      <c r="F24" s="23" t="s">
        <v>127</v>
      </c>
      <c r="G24" s="23" t="s">
        <v>128</v>
      </c>
      <c r="H24" s="23" t="s">
        <v>143</v>
      </c>
      <c r="I24" s="4"/>
      <c r="J24" s="4"/>
      <c r="K24" s="4"/>
      <c r="L24" s="4"/>
      <c r="M24" s="4"/>
      <c r="N24" s="4"/>
      <c r="O24" s="4"/>
      <c r="P24" s="4"/>
      <c r="Q24" s="4"/>
      <c r="R24" s="4"/>
      <c r="S24" s="4"/>
      <c r="T24" s="4"/>
      <c r="U24" s="4"/>
      <c r="V24" s="4"/>
      <c r="W24" s="4"/>
      <c r="X24" s="4"/>
      <c r="Y24" s="4"/>
      <c r="Z24" s="4"/>
    </row>
    <row r="25">
      <c r="A25" s="23" t="s">
        <v>144</v>
      </c>
      <c r="B25" s="39" t="s">
        <v>101</v>
      </c>
      <c r="C25" s="4"/>
      <c r="D25" s="23" t="s">
        <v>125</v>
      </c>
      <c r="E25" s="42" t="s">
        <v>126</v>
      </c>
      <c r="F25" s="23" t="s">
        <v>127</v>
      </c>
      <c r="G25" s="23" t="s">
        <v>128</v>
      </c>
      <c r="H25" s="23" t="s">
        <v>145</v>
      </c>
      <c r="I25" s="4"/>
      <c r="J25" s="4"/>
      <c r="K25" s="4"/>
      <c r="L25" s="4"/>
      <c r="M25" s="4"/>
      <c r="N25" s="4"/>
      <c r="O25" s="4"/>
      <c r="P25" s="4"/>
      <c r="Q25" s="4"/>
      <c r="R25" s="4"/>
      <c r="S25" s="4"/>
      <c r="T25" s="4"/>
      <c r="U25" s="4"/>
      <c r="V25" s="4"/>
      <c r="W25" s="4"/>
      <c r="X25" s="4"/>
      <c r="Y25" s="4"/>
      <c r="Z25" s="4"/>
    </row>
    <row r="26">
      <c r="A26" s="23" t="s">
        <v>146</v>
      </c>
      <c r="B26" s="39" t="s">
        <v>101</v>
      </c>
      <c r="C26" s="4"/>
      <c r="D26" s="23" t="s">
        <v>125</v>
      </c>
      <c r="E26" s="42" t="s">
        <v>126</v>
      </c>
      <c r="F26" s="23" t="s">
        <v>127</v>
      </c>
      <c r="G26" s="23" t="s">
        <v>128</v>
      </c>
      <c r="H26" s="23" t="s">
        <v>147</v>
      </c>
      <c r="I26" s="4"/>
      <c r="J26" s="4"/>
      <c r="K26" s="4"/>
      <c r="L26" s="4"/>
      <c r="M26" s="4"/>
      <c r="N26" s="4"/>
      <c r="O26" s="4"/>
      <c r="P26" s="4"/>
      <c r="Q26" s="4"/>
      <c r="R26" s="4"/>
      <c r="S26" s="4"/>
      <c r="T26" s="4"/>
      <c r="U26" s="4"/>
      <c r="V26" s="4"/>
      <c r="W26" s="4"/>
      <c r="X26" s="4"/>
      <c r="Y26" s="4"/>
      <c r="Z26" s="4"/>
    </row>
    <row r="27">
      <c r="A27" s="23" t="s">
        <v>148</v>
      </c>
      <c r="B27" s="39" t="s">
        <v>101</v>
      </c>
      <c r="C27" s="4"/>
      <c r="D27" s="23" t="s">
        <v>125</v>
      </c>
      <c r="E27" s="42" t="s">
        <v>126</v>
      </c>
      <c r="F27" s="23" t="s">
        <v>127</v>
      </c>
      <c r="G27" s="23" t="s">
        <v>128</v>
      </c>
      <c r="H27" s="23" t="s">
        <v>149</v>
      </c>
      <c r="I27" s="4"/>
      <c r="J27" s="4"/>
      <c r="K27" s="4"/>
      <c r="L27" s="4"/>
      <c r="M27" s="4"/>
      <c r="N27" s="4"/>
      <c r="O27" s="4"/>
      <c r="P27" s="4"/>
      <c r="Q27" s="4"/>
      <c r="R27" s="4"/>
      <c r="S27" s="4"/>
      <c r="T27" s="4"/>
      <c r="U27" s="4"/>
      <c r="V27" s="4"/>
      <c r="W27" s="4"/>
      <c r="X27" s="4"/>
      <c r="Y27" s="4"/>
      <c r="Z27" s="4"/>
    </row>
    <row r="28">
      <c r="A28" s="23" t="s">
        <v>150</v>
      </c>
      <c r="B28" s="39" t="s">
        <v>101</v>
      </c>
      <c r="C28" s="4"/>
      <c r="D28" s="23" t="s">
        <v>125</v>
      </c>
      <c r="E28" s="42" t="s">
        <v>126</v>
      </c>
      <c r="F28" s="23" t="s">
        <v>127</v>
      </c>
      <c r="G28" s="23" t="s">
        <v>128</v>
      </c>
      <c r="H28" s="23" t="s">
        <v>151</v>
      </c>
      <c r="I28" s="4"/>
      <c r="J28" s="4"/>
      <c r="K28" s="4"/>
      <c r="L28" s="4"/>
      <c r="M28" s="4"/>
      <c r="N28" s="4"/>
      <c r="O28" s="4"/>
      <c r="P28" s="4"/>
      <c r="Q28" s="4"/>
      <c r="R28" s="4"/>
      <c r="S28" s="4"/>
      <c r="T28" s="4"/>
      <c r="U28" s="4"/>
      <c r="V28" s="4"/>
      <c r="W28" s="4"/>
      <c r="X28" s="4"/>
      <c r="Y28" s="4"/>
      <c r="Z28" s="4"/>
    </row>
    <row r="29">
      <c r="A29" s="23" t="s">
        <v>152</v>
      </c>
      <c r="B29" s="39" t="s">
        <v>101</v>
      </c>
      <c r="C29" s="4"/>
      <c r="D29" s="23" t="s">
        <v>125</v>
      </c>
      <c r="E29" s="42" t="s">
        <v>126</v>
      </c>
      <c r="F29" s="23" t="s">
        <v>127</v>
      </c>
      <c r="G29" s="23" t="s">
        <v>128</v>
      </c>
      <c r="H29" s="23" t="s">
        <v>153</v>
      </c>
      <c r="I29" s="4"/>
      <c r="J29" s="4"/>
      <c r="K29" s="4"/>
      <c r="L29" s="4"/>
      <c r="M29" s="4"/>
      <c r="N29" s="4"/>
      <c r="O29" s="4"/>
      <c r="P29" s="4"/>
      <c r="Q29" s="4"/>
      <c r="R29" s="4"/>
      <c r="S29" s="4"/>
      <c r="T29" s="4"/>
      <c r="U29" s="4"/>
      <c r="V29" s="4"/>
      <c r="W29" s="4"/>
      <c r="X29" s="4"/>
      <c r="Y29" s="4"/>
      <c r="Z29" s="4"/>
    </row>
    <row r="30">
      <c r="A30" s="23" t="s">
        <v>154</v>
      </c>
      <c r="B30" s="39" t="s">
        <v>101</v>
      </c>
      <c r="C30" s="4"/>
      <c r="D30" s="23" t="s">
        <v>125</v>
      </c>
      <c r="E30" s="42" t="s">
        <v>126</v>
      </c>
      <c r="F30" s="23" t="s">
        <v>127</v>
      </c>
      <c r="G30" s="23" t="s">
        <v>128</v>
      </c>
      <c r="H30" s="23" t="s">
        <v>155</v>
      </c>
      <c r="I30" s="4"/>
      <c r="J30" s="4"/>
      <c r="K30" s="4"/>
      <c r="L30" s="4"/>
      <c r="M30" s="4"/>
      <c r="N30" s="4"/>
      <c r="O30" s="4"/>
      <c r="P30" s="4"/>
      <c r="Q30" s="4"/>
      <c r="R30" s="4"/>
      <c r="S30" s="4"/>
      <c r="T30" s="4"/>
      <c r="U30" s="4"/>
      <c r="V30" s="4"/>
      <c r="W30" s="4"/>
      <c r="X30" s="4"/>
      <c r="Y30" s="4"/>
      <c r="Z30" s="4"/>
    </row>
    <row r="31">
      <c r="A31" s="23" t="s">
        <v>156</v>
      </c>
      <c r="B31" s="39" t="s">
        <v>101</v>
      </c>
      <c r="C31" s="4"/>
      <c r="D31" s="23" t="s">
        <v>125</v>
      </c>
      <c r="E31" s="42" t="s">
        <v>126</v>
      </c>
      <c r="F31" s="23" t="s">
        <v>127</v>
      </c>
      <c r="G31" s="23" t="s">
        <v>128</v>
      </c>
      <c r="H31" s="23" t="s">
        <v>157</v>
      </c>
      <c r="I31" s="4"/>
      <c r="J31" s="4"/>
      <c r="K31" s="4"/>
      <c r="L31" s="4"/>
      <c r="M31" s="4"/>
      <c r="N31" s="4"/>
      <c r="O31" s="4"/>
      <c r="P31" s="4"/>
      <c r="Q31" s="4"/>
      <c r="R31" s="4"/>
      <c r="S31" s="4"/>
      <c r="T31" s="4"/>
      <c r="U31" s="4"/>
      <c r="V31" s="4"/>
      <c r="W31" s="4"/>
      <c r="X31" s="4"/>
      <c r="Y31" s="4"/>
      <c r="Z31" s="4"/>
    </row>
    <row r="32">
      <c r="A32" s="23" t="s">
        <v>158</v>
      </c>
      <c r="B32" s="39" t="s">
        <v>101</v>
      </c>
      <c r="C32" s="4"/>
      <c r="D32" s="23" t="s">
        <v>125</v>
      </c>
      <c r="E32" s="42" t="s">
        <v>126</v>
      </c>
      <c r="F32" s="23" t="s">
        <v>127</v>
      </c>
      <c r="G32" s="23" t="s">
        <v>128</v>
      </c>
      <c r="H32" s="23" t="s">
        <v>159</v>
      </c>
      <c r="I32" s="4"/>
      <c r="J32" s="4"/>
      <c r="K32" s="4"/>
      <c r="L32" s="4"/>
      <c r="M32" s="4"/>
      <c r="N32" s="4"/>
      <c r="O32" s="4"/>
      <c r="P32" s="4"/>
      <c r="Q32" s="4"/>
      <c r="R32" s="4"/>
      <c r="S32" s="4"/>
      <c r="T32" s="4"/>
      <c r="U32" s="4"/>
      <c r="V32" s="4"/>
      <c r="W32" s="4"/>
      <c r="X32" s="4"/>
      <c r="Y32" s="4"/>
      <c r="Z32" s="4"/>
    </row>
    <row r="33">
      <c r="A33" s="23" t="s">
        <v>160</v>
      </c>
      <c r="B33" s="39" t="s">
        <v>101</v>
      </c>
      <c r="C33" s="4"/>
      <c r="D33" s="23" t="s">
        <v>125</v>
      </c>
      <c r="E33" s="42" t="s">
        <v>126</v>
      </c>
      <c r="F33" s="23" t="s">
        <v>127</v>
      </c>
      <c r="G33" s="23" t="s">
        <v>128</v>
      </c>
      <c r="H33" s="23" t="s">
        <v>161</v>
      </c>
      <c r="I33" s="4"/>
      <c r="J33" s="4"/>
      <c r="K33" s="4"/>
      <c r="L33" s="4"/>
      <c r="M33" s="4"/>
      <c r="N33" s="4"/>
      <c r="O33" s="4"/>
      <c r="P33" s="4"/>
      <c r="Q33" s="4"/>
      <c r="R33" s="4"/>
      <c r="S33" s="4"/>
      <c r="T33" s="4"/>
      <c r="U33" s="4"/>
      <c r="V33" s="4"/>
      <c r="W33" s="4"/>
      <c r="X33" s="4"/>
      <c r="Y33" s="4"/>
      <c r="Z33" s="4"/>
    </row>
    <row r="34">
      <c r="A34" s="23" t="s">
        <v>162</v>
      </c>
      <c r="B34" s="39" t="s">
        <v>101</v>
      </c>
      <c r="C34" s="4"/>
      <c r="D34" s="23" t="s">
        <v>125</v>
      </c>
      <c r="E34" s="42" t="s">
        <v>126</v>
      </c>
      <c r="F34" s="23" t="s">
        <v>127</v>
      </c>
      <c r="G34" s="23" t="s">
        <v>128</v>
      </c>
      <c r="H34" s="23" t="s">
        <v>163</v>
      </c>
      <c r="I34" s="4"/>
      <c r="J34" s="4"/>
      <c r="K34" s="4"/>
      <c r="L34" s="4"/>
      <c r="M34" s="4"/>
      <c r="N34" s="4"/>
      <c r="O34" s="4"/>
      <c r="P34" s="4"/>
      <c r="Q34" s="4"/>
      <c r="R34" s="4"/>
      <c r="S34" s="4"/>
      <c r="T34" s="4"/>
      <c r="U34" s="4"/>
      <c r="V34" s="4"/>
      <c r="W34" s="4"/>
      <c r="X34" s="4"/>
      <c r="Y34" s="4"/>
      <c r="Z34" s="4"/>
    </row>
    <row r="35">
      <c r="A35" s="23" t="s">
        <v>164</v>
      </c>
      <c r="B35" s="39" t="s">
        <v>101</v>
      </c>
      <c r="C35" s="4"/>
      <c r="D35" s="23" t="s">
        <v>125</v>
      </c>
      <c r="E35" s="42" t="s">
        <v>126</v>
      </c>
      <c r="F35" s="23" t="s">
        <v>127</v>
      </c>
      <c r="G35" s="23" t="s">
        <v>128</v>
      </c>
      <c r="H35" s="23" t="s">
        <v>165</v>
      </c>
      <c r="I35" s="4"/>
      <c r="J35" s="4"/>
      <c r="K35" s="4"/>
      <c r="L35" s="4"/>
      <c r="M35" s="4"/>
      <c r="N35" s="4"/>
      <c r="O35" s="4"/>
      <c r="P35" s="4"/>
      <c r="Q35" s="4"/>
      <c r="R35" s="4"/>
      <c r="S35" s="4"/>
      <c r="T35" s="4"/>
      <c r="U35" s="4"/>
      <c r="V35" s="4"/>
      <c r="W35" s="4"/>
      <c r="X35" s="4"/>
      <c r="Y35" s="4"/>
      <c r="Z35" s="4"/>
    </row>
    <row r="36">
      <c r="A36" s="23" t="s">
        <v>166</v>
      </c>
      <c r="B36" s="39" t="s">
        <v>101</v>
      </c>
      <c r="C36" s="4"/>
      <c r="D36" s="23" t="s">
        <v>125</v>
      </c>
      <c r="E36" s="42" t="s">
        <v>126</v>
      </c>
      <c r="F36" s="23" t="s">
        <v>127</v>
      </c>
      <c r="G36" s="23" t="s">
        <v>128</v>
      </c>
      <c r="H36" s="23" t="s">
        <v>167</v>
      </c>
      <c r="I36" s="4"/>
      <c r="J36" s="4"/>
      <c r="K36" s="4"/>
      <c r="L36" s="4"/>
      <c r="M36" s="4"/>
      <c r="N36" s="4"/>
      <c r="O36" s="4"/>
      <c r="P36" s="4"/>
      <c r="Q36" s="4"/>
      <c r="R36" s="4"/>
      <c r="S36" s="4"/>
      <c r="T36" s="4"/>
      <c r="U36" s="4"/>
      <c r="V36" s="4"/>
      <c r="W36" s="4"/>
      <c r="X36" s="4"/>
      <c r="Y36" s="4"/>
      <c r="Z36" s="4"/>
    </row>
    <row r="37">
      <c r="A37" s="23" t="s">
        <v>168</v>
      </c>
      <c r="B37" s="39" t="s">
        <v>101</v>
      </c>
      <c r="C37" s="4"/>
      <c r="D37" s="23" t="s">
        <v>125</v>
      </c>
      <c r="E37" s="42" t="s">
        <v>169</v>
      </c>
      <c r="F37" s="23" t="s">
        <v>170</v>
      </c>
      <c r="G37" s="23" t="s">
        <v>171</v>
      </c>
      <c r="H37" s="23" t="s">
        <v>172</v>
      </c>
      <c r="I37" s="4"/>
      <c r="J37" s="4"/>
      <c r="K37" s="4"/>
      <c r="L37" s="4"/>
      <c r="M37" s="4"/>
      <c r="N37" s="4"/>
      <c r="O37" s="4"/>
      <c r="P37" s="4"/>
      <c r="Q37" s="4"/>
      <c r="R37" s="4"/>
      <c r="S37" s="4"/>
      <c r="T37" s="4"/>
      <c r="U37" s="4"/>
      <c r="V37" s="4"/>
      <c r="W37" s="4"/>
      <c r="X37" s="4"/>
      <c r="Y37" s="4"/>
      <c r="Z37" s="4"/>
    </row>
    <row r="38">
      <c r="A38" s="23" t="s">
        <v>173</v>
      </c>
      <c r="B38" s="39" t="s">
        <v>101</v>
      </c>
      <c r="C38" s="4"/>
      <c r="D38" s="23" t="s">
        <v>125</v>
      </c>
      <c r="E38" s="42" t="s">
        <v>169</v>
      </c>
      <c r="F38" s="23" t="s">
        <v>170</v>
      </c>
      <c r="G38" s="23" t="s">
        <v>171</v>
      </c>
      <c r="H38" s="23" t="s">
        <v>174</v>
      </c>
      <c r="I38" s="4"/>
      <c r="J38" s="4"/>
      <c r="K38" s="4"/>
      <c r="L38" s="4"/>
      <c r="M38" s="4"/>
      <c r="N38" s="4"/>
      <c r="O38" s="4"/>
      <c r="P38" s="4"/>
      <c r="Q38" s="4"/>
      <c r="R38" s="4"/>
      <c r="S38" s="4"/>
      <c r="T38" s="4"/>
      <c r="U38" s="4"/>
      <c r="V38" s="4"/>
      <c r="W38" s="4"/>
      <c r="X38" s="4"/>
      <c r="Y38" s="4"/>
      <c r="Z38" s="4"/>
    </row>
    <row r="39">
      <c r="A39" s="23" t="s">
        <v>175</v>
      </c>
      <c r="B39" s="39" t="s">
        <v>101</v>
      </c>
      <c r="C39" s="4"/>
      <c r="D39" s="23" t="s">
        <v>125</v>
      </c>
      <c r="E39" s="42" t="s">
        <v>169</v>
      </c>
      <c r="F39" s="23" t="s">
        <v>170</v>
      </c>
      <c r="G39" s="23" t="s">
        <v>171</v>
      </c>
      <c r="H39" s="23" t="s">
        <v>176</v>
      </c>
      <c r="I39" s="4"/>
      <c r="J39" s="4"/>
      <c r="K39" s="4"/>
      <c r="L39" s="4"/>
      <c r="M39" s="4"/>
      <c r="N39" s="4"/>
      <c r="O39" s="4"/>
      <c r="P39" s="4"/>
      <c r="Q39" s="4"/>
      <c r="R39" s="4"/>
      <c r="S39" s="4"/>
      <c r="T39" s="4"/>
      <c r="U39" s="4"/>
      <c r="V39" s="4"/>
      <c r="W39" s="4"/>
      <c r="X39" s="4"/>
      <c r="Y39" s="4"/>
      <c r="Z39" s="4"/>
    </row>
    <row r="40">
      <c r="A40" s="23" t="s">
        <v>177</v>
      </c>
      <c r="B40" s="39" t="s">
        <v>101</v>
      </c>
      <c r="C40" s="4"/>
      <c r="D40" s="23" t="s">
        <v>125</v>
      </c>
      <c r="E40" s="42" t="s">
        <v>169</v>
      </c>
      <c r="F40" s="23" t="s">
        <v>170</v>
      </c>
      <c r="G40" s="23" t="s">
        <v>171</v>
      </c>
      <c r="H40" s="23" t="s">
        <v>178</v>
      </c>
      <c r="I40" s="4"/>
      <c r="J40" s="4"/>
      <c r="K40" s="4"/>
      <c r="L40" s="4"/>
      <c r="M40" s="4"/>
      <c r="N40" s="4"/>
      <c r="O40" s="4"/>
      <c r="P40" s="4"/>
      <c r="Q40" s="4"/>
      <c r="R40" s="4"/>
      <c r="S40" s="4"/>
      <c r="T40" s="4"/>
      <c r="U40" s="4"/>
      <c r="V40" s="4"/>
      <c r="W40" s="4"/>
      <c r="X40" s="4"/>
      <c r="Y40" s="4"/>
      <c r="Z40" s="4"/>
    </row>
    <row r="41">
      <c r="A41" s="23" t="s">
        <v>179</v>
      </c>
      <c r="B41" s="39" t="s">
        <v>101</v>
      </c>
      <c r="C41" s="4"/>
      <c r="D41" s="23" t="s">
        <v>125</v>
      </c>
      <c r="E41" s="42" t="s">
        <v>169</v>
      </c>
      <c r="F41" s="23" t="s">
        <v>170</v>
      </c>
      <c r="G41" s="23" t="s">
        <v>171</v>
      </c>
      <c r="H41" s="23" t="s">
        <v>180</v>
      </c>
      <c r="I41" s="4"/>
      <c r="J41" s="4"/>
      <c r="K41" s="4"/>
      <c r="L41" s="4"/>
      <c r="M41" s="4"/>
      <c r="N41" s="4"/>
      <c r="O41" s="4"/>
      <c r="P41" s="4"/>
      <c r="Q41" s="4"/>
      <c r="R41" s="4"/>
      <c r="S41" s="4"/>
      <c r="T41" s="4"/>
      <c r="U41" s="4"/>
      <c r="V41" s="4"/>
      <c r="W41" s="4"/>
      <c r="X41" s="4"/>
      <c r="Y41" s="4"/>
      <c r="Z41" s="4"/>
    </row>
    <row r="42">
      <c r="A42" s="23" t="s">
        <v>181</v>
      </c>
      <c r="B42" s="39" t="s">
        <v>101</v>
      </c>
      <c r="C42" s="4"/>
      <c r="D42" s="23" t="s">
        <v>125</v>
      </c>
      <c r="E42" s="42" t="s">
        <v>169</v>
      </c>
      <c r="F42" s="23" t="s">
        <v>170</v>
      </c>
      <c r="G42" s="23" t="s">
        <v>171</v>
      </c>
      <c r="H42" s="23" t="s">
        <v>182</v>
      </c>
      <c r="I42" s="4"/>
      <c r="J42" s="4"/>
      <c r="K42" s="4"/>
      <c r="L42" s="4"/>
      <c r="M42" s="4"/>
      <c r="N42" s="4"/>
      <c r="O42" s="4"/>
      <c r="P42" s="4"/>
      <c r="Q42" s="4"/>
      <c r="R42" s="4"/>
      <c r="S42" s="4"/>
      <c r="T42" s="4"/>
      <c r="U42" s="4"/>
      <c r="V42" s="4"/>
      <c r="W42" s="4"/>
      <c r="X42" s="4"/>
      <c r="Y42" s="4"/>
      <c r="Z42" s="4"/>
    </row>
    <row r="43">
      <c r="A43" s="23" t="s">
        <v>183</v>
      </c>
      <c r="B43" s="39" t="s">
        <v>101</v>
      </c>
      <c r="C43" s="4"/>
      <c r="D43" s="23" t="s">
        <v>125</v>
      </c>
      <c r="E43" s="42" t="s">
        <v>169</v>
      </c>
      <c r="F43" s="23" t="s">
        <v>170</v>
      </c>
      <c r="G43" s="23" t="s">
        <v>171</v>
      </c>
      <c r="H43" s="23" t="s">
        <v>184</v>
      </c>
      <c r="I43" s="4"/>
      <c r="J43" s="4"/>
      <c r="K43" s="4"/>
      <c r="L43" s="4"/>
      <c r="M43" s="4"/>
      <c r="N43" s="4"/>
      <c r="O43" s="4"/>
      <c r="P43" s="4"/>
      <c r="Q43" s="4"/>
      <c r="R43" s="4"/>
      <c r="S43" s="4"/>
      <c r="T43" s="4"/>
      <c r="U43" s="4"/>
      <c r="V43" s="4"/>
      <c r="W43" s="4"/>
      <c r="X43" s="4"/>
      <c r="Y43" s="4"/>
      <c r="Z43" s="4"/>
    </row>
    <row r="44">
      <c r="A44" s="23" t="s">
        <v>185</v>
      </c>
      <c r="B44" s="39" t="s">
        <v>101</v>
      </c>
      <c r="C44" s="4"/>
      <c r="D44" s="23" t="s">
        <v>125</v>
      </c>
      <c r="E44" s="42" t="s">
        <v>169</v>
      </c>
      <c r="F44" s="23" t="s">
        <v>170</v>
      </c>
      <c r="G44" s="23" t="s">
        <v>171</v>
      </c>
      <c r="H44" s="23" t="s">
        <v>186</v>
      </c>
      <c r="I44" s="4"/>
      <c r="J44" s="4"/>
      <c r="K44" s="4"/>
      <c r="L44" s="4"/>
      <c r="M44" s="4"/>
      <c r="N44" s="4"/>
      <c r="O44" s="4"/>
      <c r="P44" s="4"/>
      <c r="Q44" s="4"/>
      <c r="R44" s="4"/>
      <c r="S44" s="4"/>
      <c r="T44" s="4"/>
      <c r="U44" s="4"/>
      <c r="V44" s="4"/>
      <c r="W44" s="4"/>
      <c r="X44" s="4"/>
      <c r="Y44" s="4"/>
      <c r="Z44" s="4"/>
    </row>
    <row r="45">
      <c r="A45" s="23" t="s">
        <v>187</v>
      </c>
      <c r="B45" s="39" t="s">
        <v>101</v>
      </c>
      <c r="C45" s="4"/>
      <c r="D45" s="23" t="s">
        <v>125</v>
      </c>
      <c r="E45" s="42" t="s">
        <v>169</v>
      </c>
      <c r="F45" s="23" t="s">
        <v>170</v>
      </c>
      <c r="G45" s="23" t="s">
        <v>171</v>
      </c>
      <c r="H45" s="23" t="s">
        <v>139</v>
      </c>
      <c r="I45" s="4"/>
      <c r="J45" s="4"/>
      <c r="K45" s="4"/>
      <c r="L45" s="4"/>
      <c r="M45" s="4"/>
      <c r="N45" s="4"/>
      <c r="O45" s="4"/>
      <c r="P45" s="4"/>
      <c r="Q45" s="4"/>
      <c r="R45" s="4"/>
      <c r="S45" s="4"/>
      <c r="T45" s="4"/>
      <c r="U45" s="4"/>
      <c r="V45" s="4"/>
      <c r="W45" s="4"/>
      <c r="X45" s="4"/>
      <c r="Y45" s="4"/>
      <c r="Z45" s="4"/>
    </row>
    <row r="46">
      <c r="A46" s="23" t="s">
        <v>188</v>
      </c>
      <c r="B46" s="39" t="s">
        <v>101</v>
      </c>
      <c r="C46" s="4"/>
      <c r="D46" s="23" t="s">
        <v>125</v>
      </c>
      <c r="E46" s="42" t="s">
        <v>169</v>
      </c>
      <c r="F46" s="23" t="s">
        <v>170</v>
      </c>
      <c r="G46" s="23" t="s">
        <v>171</v>
      </c>
      <c r="H46" s="23" t="s">
        <v>189</v>
      </c>
      <c r="I46" s="4"/>
      <c r="J46" s="4"/>
      <c r="K46" s="4"/>
      <c r="L46" s="4"/>
      <c r="M46" s="4"/>
      <c r="N46" s="4"/>
      <c r="O46" s="4"/>
      <c r="P46" s="4"/>
      <c r="Q46" s="4"/>
      <c r="R46" s="4"/>
      <c r="S46" s="4"/>
      <c r="T46" s="4"/>
      <c r="U46" s="4"/>
      <c r="V46" s="4"/>
      <c r="W46" s="4"/>
      <c r="X46" s="4"/>
      <c r="Y46" s="4"/>
      <c r="Z46" s="4"/>
    </row>
    <row r="47">
      <c r="A47" s="23" t="s">
        <v>190</v>
      </c>
      <c r="B47" s="39" t="s">
        <v>101</v>
      </c>
      <c r="C47" s="4"/>
      <c r="D47" s="23" t="s">
        <v>125</v>
      </c>
      <c r="E47" s="42" t="s">
        <v>169</v>
      </c>
      <c r="F47" s="23" t="s">
        <v>170</v>
      </c>
      <c r="G47" s="23" t="s">
        <v>171</v>
      </c>
      <c r="H47" s="23" t="s">
        <v>191</v>
      </c>
      <c r="I47" s="4"/>
      <c r="J47" s="4"/>
      <c r="K47" s="4"/>
      <c r="L47" s="4"/>
      <c r="M47" s="4"/>
      <c r="N47" s="4"/>
      <c r="O47" s="4"/>
      <c r="P47" s="4"/>
      <c r="Q47" s="4"/>
      <c r="R47" s="4"/>
      <c r="S47" s="4"/>
      <c r="T47" s="4"/>
      <c r="U47" s="4"/>
      <c r="V47" s="4"/>
      <c r="W47" s="4"/>
      <c r="X47" s="4"/>
      <c r="Y47" s="4"/>
      <c r="Z47" s="4"/>
    </row>
    <row r="48">
      <c r="A48" s="23" t="s">
        <v>192</v>
      </c>
      <c r="B48" s="39" t="s">
        <v>101</v>
      </c>
      <c r="C48" s="4"/>
      <c r="D48" s="23" t="s">
        <v>125</v>
      </c>
      <c r="E48" s="42" t="s">
        <v>169</v>
      </c>
      <c r="F48" s="23" t="s">
        <v>170</v>
      </c>
      <c r="G48" s="23" t="s">
        <v>171</v>
      </c>
      <c r="H48" s="23" t="s">
        <v>145</v>
      </c>
      <c r="I48" s="4"/>
      <c r="J48" s="4"/>
      <c r="K48" s="4"/>
      <c r="L48" s="4"/>
      <c r="M48" s="4"/>
      <c r="N48" s="4"/>
      <c r="O48" s="4"/>
      <c r="P48" s="4"/>
      <c r="Q48" s="4"/>
      <c r="R48" s="4"/>
      <c r="S48" s="4"/>
      <c r="T48" s="4"/>
      <c r="U48" s="4"/>
      <c r="V48" s="4"/>
      <c r="W48" s="4"/>
      <c r="X48" s="4"/>
      <c r="Y48" s="4"/>
      <c r="Z48" s="4"/>
    </row>
    <row r="49">
      <c r="A49" s="23" t="s">
        <v>193</v>
      </c>
      <c r="B49" s="39" t="s">
        <v>101</v>
      </c>
      <c r="C49" s="4"/>
      <c r="D49" s="23" t="s">
        <v>125</v>
      </c>
      <c r="E49" s="42" t="s">
        <v>169</v>
      </c>
      <c r="F49" s="23" t="s">
        <v>170</v>
      </c>
      <c r="G49" s="23" t="s">
        <v>171</v>
      </c>
      <c r="H49" s="23" t="s">
        <v>194</v>
      </c>
      <c r="I49" s="4"/>
      <c r="J49" s="4"/>
      <c r="K49" s="4"/>
      <c r="L49" s="4"/>
      <c r="M49" s="4"/>
      <c r="N49" s="4"/>
      <c r="O49" s="4"/>
      <c r="P49" s="4"/>
      <c r="Q49" s="4"/>
      <c r="R49" s="4"/>
      <c r="S49" s="4"/>
      <c r="T49" s="4"/>
      <c r="U49" s="4"/>
      <c r="V49" s="4"/>
      <c r="W49" s="4"/>
      <c r="X49" s="4"/>
      <c r="Y49" s="4"/>
      <c r="Z49" s="4"/>
    </row>
    <row r="50">
      <c r="A50" s="23" t="s">
        <v>195</v>
      </c>
      <c r="B50" s="39" t="s">
        <v>101</v>
      </c>
      <c r="C50" s="4"/>
      <c r="D50" s="23" t="s">
        <v>125</v>
      </c>
      <c r="E50" s="42" t="s">
        <v>169</v>
      </c>
      <c r="F50" s="23" t="s">
        <v>170</v>
      </c>
      <c r="G50" s="23" t="s">
        <v>171</v>
      </c>
      <c r="H50" s="23" t="s">
        <v>196</v>
      </c>
      <c r="I50" s="4"/>
      <c r="J50" s="4"/>
      <c r="K50" s="4"/>
      <c r="L50" s="4"/>
      <c r="M50" s="4"/>
      <c r="N50" s="4"/>
      <c r="O50" s="4"/>
      <c r="P50" s="4"/>
      <c r="Q50" s="4"/>
      <c r="R50" s="4"/>
      <c r="S50" s="4"/>
      <c r="T50" s="4"/>
      <c r="U50" s="4"/>
      <c r="V50" s="4"/>
      <c r="W50" s="4"/>
      <c r="X50" s="4"/>
      <c r="Y50" s="4"/>
      <c r="Z50" s="4"/>
    </row>
    <row r="51">
      <c r="A51" s="23" t="s">
        <v>197</v>
      </c>
      <c r="B51" s="39" t="s">
        <v>101</v>
      </c>
      <c r="C51" s="4"/>
      <c r="D51" s="23" t="s">
        <v>125</v>
      </c>
      <c r="E51" s="42" t="s">
        <v>169</v>
      </c>
      <c r="F51" s="23" t="s">
        <v>170</v>
      </c>
      <c r="G51" s="23" t="s">
        <v>171</v>
      </c>
      <c r="H51" s="23" t="s">
        <v>198</v>
      </c>
      <c r="I51" s="4"/>
      <c r="J51" s="4"/>
      <c r="K51" s="4"/>
      <c r="L51" s="4"/>
      <c r="M51" s="4"/>
      <c r="N51" s="4"/>
      <c r="O51" s="4"/>
      <c r="P51" s="4"/>
      <c r="Q51" s="4"/>
      <c r="R51" s="4"/>
      <c r="S51" s="4"/>
      <c r="T51" s="4"/>
      <c r="U51" s="4"/>
      <c r="V51" s="4"/>
      <c r="W51" s="4"/>
      <c r="X51" s="4"/>
      <c r="Y51" s="4"/>
      <c r="Z51" s="4"/>
    </row>
    <row r="52">
      <c r="A52" s="23" t="s">
        <v>199</v>
      </c>
      <c r="B52" s="39" t="s">
        <v>101</v>
      </c>
      <c r="C52" s="4"/>
      <c r="D52" s="23" t="s">
        <v>125</v>
      </c>
      <c r="E52" s="42" t="s">
        <v>169</v>
      </c>
      <c r="F52" s="23" t="s">
        <v>170</v>
      </c>
      <c r="G52" s="23" t="s">
        <v>171</v>
      </c>
      <c r="H52" s="23" t="s">
        <v>200</v>
      </c>
      <c r="I52" s="4"/>
      <c r="J52" s="4"/>
      <c r="K52" s="4"/>
      <c r="L52" s="4"/>
      <c r="M52" s="4"/>
      <c r="N52" s="4"/>
      <c r="O52" s="4"/>
      <c r="P52" s="4"/>
      <c r="Q52" s="4"/>
      <c r="R52" s="4"/>
      <c r="S52" s="4"/>
      <c r="T52" s="4"/>
      <c r="U52" s="4"/>
      <c r="V52" s="4"/>
      <c r="W52" s="4"/>
      <c r="X52" s="4"/>
      <c r="Y52" s="4"/>
      <c r="Z52" s="4"/>
    </row>
    <row r="53">
      <c r="A53" s="23" t="s">
        <v>201</v>
      </c>
      <c r="B53" s="39" t="s">
        <v>101</v>
      </c>
      <c r="C53" s="4"/>
      <c r="D53" s="23" t="s">
        <v>125</v>
      </c>
      <c r="E53" s="42" t="s">
        <v>169</v>
      </c>
      <c r="F53" s="23" t="s">
        <v>170</v>
      </c>
      <c r="G53" s="23" t="s">
        <v>171</v>
      </c>
      <c r="H53" s="23" t="s">
        <v>202</v>
      </c>
      <c r="I53" s="4"/>
      <c r="J53" s="4"/>
      <c r="K53" s="4"/>
      <c r="L53" s="4"/>
      <c r="M53" s="4"/>
      <c r="N53" s="4"/>
      <c r="O53" s="4"/>
      <c r="P53" s="4"/>
      <c r="Q53" s="4"/>
      <c r="R53" s="4"/>
      <c r="S53" s="4"/>
      <c r="T53" s="4"/>
      <c r="U53" s="4"/>
      <c r="V53" s="4"/>
      <c r="W53" s="4"/>
      <c r="X53" s="4"/>
      <c r="Y53" s="4"/>
      <c r="Z53" s="4"/>
    </row>
    <row r="54">
      <c r="A54" s="23" t="s">
        <v>203</v>
      </c>
      <c r="B54" s="39" t="s">
        <v>101</v>
      </c>
      <c r="C54" s="4"/>
      <c r="D54" s="23" t="s">
        <v>125</v>
      </c>
      <c r="E54" s="42" t="s">
        <v>169</v>
      </c>
      <c r="F54" s="23" t="s">
        <v>170</v>
      </c>
      <c r="G54" s="23" t="s">
        <v>171</v>
      </c>
      <c r="H54" s="23" t="s">
        <v>204</v>
      </c>
      <c r="I54" s="4"/>
      <c r="J54" s="4"/>
      <c r="K54" s="4"/>
      <c r="L54" s="4"/>
      <c r="M54" s="4"/>
      <c r="N54" s="4"/>
      <c r="O54" s="4"/>
      <c r="P54" s="4"/>
      <c r="Q54" s="4"/>
      <c r="R54" s="4"/>
      <c r="S54" s="4"/>
      <c r="T54" s="4"/>
      <c r="U54" s="4"/>
      <c r="V54" s="4"/>
      <c r="W54" s="4"/>
      <c r="X54" s="4"/>
      <c r="Y54" s="4"/>
      <c r="Z54" s="4"/>
    </row>
    <row r="55">
      <c r="A55" s="23" t="s">
        <v>205</v>
      </c>
      <c r="B55" s="39" t="s">
        <v>101</v>
      </c>
      <c r="C55" s="4"/>
      <c r="D55" s="23" t="s">
        <v>125</v>
      </c>
      <c r="E55" s="42" t="s">
        <v>169</v>
      </c>
      <c r="F55" s="23" t="s">
        <v>170</v>
      </c>
      <c r="G55" s="23" t="s">
        <v>171</v>
      </c>
      <c r="H55" s="23" t="s">
        <v>206</v>
      </c>
      <c r="I55" s="4"/>
      <c r="J55" s="4"/>
      <c r="K55" s="4"/>
      <c r="L55" s="4"/>
      <c r="M55" s="4"/>
      <c r="N55" s="4"/>
      <c r="O55" s="4"/>
      <c r="P55" s="4"/>
      <c r="Q55" s="4"/>
      <c r="R55" s="4"/>
      <c r="S55" s="4"/>
      <c r="T55" s="4"/>
      <c r="U55" s="4"/>
      <c r="V55" s="4"/>
      <c r="W55" s="4"/>
      <c r="X55" s="4"/>
      <c r="Y55" s="4"/>
      <c r="Z55" s="4"/>
    </row>
    <row r="56">
      <c r="A56" s="23" t="s">
        <v>207</v>
      </c>
      <c r="B56" s="39" t="s">
        <v>101</v>
      </c>
      <c r="C56" s="4"/>
      <c r="D56" s="23" t="s">
        <v>125</v>
      </c>
      <c r="E56" s="42" t="s">
        <v>169</v>
      </c>
      <c r="F56" s="23" t="s">
        <v>170</v>
      </c>
      <c r="G56" s="23" t="s">
        <v>171</v>
      </c>
      <c r="H56" s="23" t="s">
        <v>208</v>
      </c>
      <c r="I56" s="4"/>
      <c r="J56" s="4"/>
      <c r="K56" s="4"/>
      <c r="L56" s="4"/>
      <c r="M56" s="4"/>
      <c r="N56" s="4"/>
      <c r="O56" s="4"/>
      <c r="P56" s="4"/>
      <c r="Q56" s="4"/>
      <c r="R56" s="4"/>
      <c r="S56" s="4"/>
      <c r="T56" s="4"/>
      <c r="U56" s="4"/>
      <c r="V56" s="4"/>
      <c r="W56" s="4"/>
      <c r="X56" s="4"/>
      <c r="Y56" s="4"/>
      <c r="Z56" s="4"/>
    </row>
    <row r="57">
      <c r="A57" s="23" t="s">
        <v>209</v>
      </c>
      <c r="B57" s="39" t="s">
        <v>101</v>
      </c>
      <c r="C57" s="4"/>
      <c r="D57" s="23" t="s">
        <v>125</v>
      </c>
      <c r="E57" s="42" t="s">
        <v>210</v>
      </c>
      <c r="F57" s="23" t="s">
        <v>211</v>
      </c>
      <c r="G57" s="23" t="s">
        <v>212</v>
      </c>
      <c r="H57" s="23" t="s">
        <v>213</v>
      </c>
      <c r="I57" s="4"/>
      <c r="J57" s="4"/>
      <c r="K57" s="4"/>
      <c r="L57" s="4"/>
      <c r="M57" s="4"/>
      <c r="N57" s="4"/>
      <c r="O57" s="4"/>
      <c r="P57" s="4"/>
      <c r="Q57" s="4"/>
      <c r="R57" s="4"/>
      <c r="S57" s="4"/>
      <c r="T57" s="4"/>
      <c r="U57" s="4"/>
      <c r="V57" s="4"/>
      <c r="W57" s="4"/>
      <c r="X57" s="4"/>
      <c r="Y57" s="4"/>
      <c r="Z57" s="4"/>
    </row>
    <row r="58">
      <c r="A58" s="23" t="s">
        <v>214</v>
      </c>
      <c r="B58" s="39" t="s">
        <v>101</v>
      </c>
      <c r="C58" s="4"/>
      <c r="D58" s="23" t="s">
        <v>125</v>
      </c>
      <c r="E58" s="42" t="s">
        <v>210</v>
      </c>
      <c r="F58" s="23" t="s">
        <v>211</v>
      </c>
      <c r="G58" s="23" t="s">
        <v>212</v>
      </c>
      <c r="H58" s="23" t="s">
        <v>215</v>
      </c>
      <c r="I58" s="4"/>
      <c r="J58" s="4"/>
      <c r="K58" s="4"/>
      <c r="L58" s="4"/>
      <c r="M58" s="4"/>
      <c r="N58" s="4"/>
      <c r="O58" s="4"/>
      <c r="P58" s="4"/>
      <c r="Q58" s="4"/>
      <c r="R58" s="4"/>
      <c r="S58" s="4"/>
      <c r="T58" s="4"/>
      <c r="U58" s="4"/>
      <c r="V58" s="4"/>
      <c r="W58" s="4"/>
      <c r="X58" s="4"/>
      <c r="Y58" s="4"/>
      <c r="Z58" s="4"/>
    </row>
    <row r="59">
      <c r="A59" s="23" t="s">
        <v>216</v>
      </c>
      <c r="B59" s="39" t="s">
        <v>101</v>
      </c>
      <c r="C59" s="4"/>
      <c r="D59" s="23" t="s">
        <v>125</v>
      </c>
      <c r="E59" s="42" t="s">
        <v>210</v>
      </c>
      <c r="F59" s="23" t="s">
        <v>211</v>
      </c>
      <c r="G59" s="23" t="s">
        <v>212</v>
      </c>
      <c r="H59" s="23" t="s">
        <v>217</v>
      </c>
      <c r="I59" s="4"/>
      <c r="J59" s="4"/>
      <c r="K59" s="4"/>
      <c r="L59" s="4"/>
      <c r="M59" s="4"/>
      <c r="N59" s="4"/>
      <c r="O59" s="4"/>
      <c r="P59" s="4"/>
      <c r="Q59" s="4"/>
      <c r="R59" s="4"/>
      <c r="S59" s="4"/>
      <c r="T59" s="4"/>
      <c r="U59" s="4"/>
      <c r="V59" s="4"/>
      <c r="W59" s="4"/>
      <c r="X59" s="4"/>
      <c r="Y59" s="4"/>
      <c r="Z59" s="4"/>
    </row>
    <row r="60">
      <c r="A60" s="23" t="s">
        <v>218</v>
      </c>
      <c r="B60" s="39" t="s">
        <v>101</v>
      </c>
      <c r="C60" s="4"/>
      <c r="D60" s="23" t="s">
        <v>125</v>
      </c>
      <c r="E60" s="42" t="s">
        <v>210</v>
      </c>
      <c r="F60" s="23" t="s">
        <v>211</v>
      </c>
      <c r="G60" s="23" t="s">
        <v>212</v>
      </c>
      <c r="H60" s="23" t="s">
        <v>219</v>
      </c>
      <c r="I60" s="4"/>
      <c r="J60" s="4"/>
      <c r="K60" s="4"/>
      <c r="L60" s="4"/>
      <c r="M60" s="4"/>
      <c r="N60" s="4"/>
      <c r="O60" s="4"/>
      <c r="P60" s="4"/>
      <c r="Q60" s="4"/>
      <c r="R60" s="4"/>
      <c r="S60" s="4"/>
      <c r="T60" s="4"/>
      <c r="U60" s="4"/>
      <c r="V60" s="4"/>
      <c r="W60" s="4"/>
      <c r="X60" s="4"/>
      <c r="Y60" s="4"/>
      <c r="Z60" s="4"/>
    </row>
    <row r="61">
      <c r="A61" s="23" t="s">
        <v>220</v>
      </c>
      <c r="B61" s="39" t="s">
        <v>101</v>
      </c>
      <c r="C61" s="4"/>
      <c r="D61" s="23" t="s">
        <v>125</v>
      </c>
      <c r="E61" s="42" t="s">
        <v>210</v>
      </c>
      <c r="F61" s="23" t="s">
        <v>211</v>
      </c>
      <c r="G61" s="23" t="s">
        <v>212</v>
      </c>
      <c r="H61" s="23" t="s">
        <v>221</v>
      </c>
      <c r="I61" s="4"/>
      <c r="J61" s="4"/>
      <c r="K61" s="4"/>
      <c r="L61" s="4"/>
      <c r="M61" s="4"/>
      <c r="N61" s="4"/>
      <c r="O61" s="4"/>
      <c r="P61" s="4"/>
      <c r="Q61" s="4"/>
      <c r="R61" s="4"/>
      <c r="S61" s="4"/>
      <c r="T61" s="4"/>
      <c r="U61" s="4"/>
      <c r="V61" s="4"/>
      <c r="W61" s="4"/>
      <c r="X61" s="4"/>
      <c r="Y61" s="4"/>
      <c r="Z61" s="4"/>
    </row>
    <row r="62">
      <c r="A62" s="23" t="s">
        <v>222</v>
      </c>
      <c r="B62" s="39" t="s">
        <v>101</v>
      </c>
      <c r="C62" s="4"/>
      <c r="D62" s="23" t="s">
        <v>125</v>
      </c>
      <c r="E62" s="42" t="s">
        <v>210</v>
      </c>
      <c r="F62" s="23" t="s">
        <v>211</v>
      </c>
      <c r="G62" s="23" t="s">
        <v>212</v>
      </c>
      <c r="H62" s="23" t="s">
        <v>223</v>
      </c>
      <c r="I62" s="4"/>
      <c r="J62" s="4"/>
      <c r="K62" s="4"/>
      <c r="L62" s="4"/>
      <c r="M62" s="4"/>
      <c r="N62" s="4"/>
      <c r="O62" s="4"/>
      <c r="P62" s="4"/>
      <c r="Q62" s="4"/>
      <c r="R62" s="4"/>
      <c r="S62" s="4"/>
      <c r="T62" s="4"/>
      <c r="U62" s="4"/>
      <c r="V62" s="4"/>
      <c r="W62" s="4"/>
      <c r="X62" s="4"/>
      <c r="Y62" s="4"/>
      <c r="Z62" s="4"/>
    </row>
    <row r="63">
      <c r="A63" s="23" t="s">
        <v>224</v>
      </c>
      <c r="B63" s="39" t="s">
        <v>101</v>
      </c>
      <c r="C63" s="4"/>
      <c r="D63" s="23" t="s">
        <v>125</v>
      </c>
      <c r="E63" s="42" t="s">
        <v>210</v>
      </c>
      <c r="F63" s="23" t="s">
        <v>211</v>
      </c>
      <c r="G63" s="23" t="s">
        <v>212</v>
      </c>
      <c r="H63" s="23" t="s">
        <v>225</v>
      </c>
      <c r="I63" s="4"/>
      <c r="J63" s="4"/>
      <c r="K63" s="4"/>
      <c r="L63" s="4"/>
      <c r="M63" s="4"/>
      <c r="N63" s="4"/>
      <c r="O63" s="4"/>
      <c r="P63" s="4"/>
      <c r="Q63" s="4"/>
      <c r="R63" s="4"/>
      <c r="S63" s="4"/>
      <c r="T63" s="4"/>
      <c r="U63" s="4"/>
      <c r="V63" s="4"/>
      <c r="W63" s="4"/>
      <c r="X63" s="4"/>
      <c r="Y63" s="4"/>
      <c r="Z63" s="4"/>
    </row>
    <row r="64">
      <c r="A64" s="23" t="s">
        <v>226</v>
      </c>
      <c r="B64" s="39" t="s">
        <v>101</v>
      </c>
      <c r="C64" s="4"/>
      <c r="D64" s="23" t="s">
        <v>125</v>
      </c>
      <c r="E64" s="42" t="s">
        <v>210</v>
      </c>
      <c r="F64" s="23" t="s">
        <v>211</v>
      </c>
      <c r="G64" s="23" t="s">
        <v>212</v>
      </c>
      <c r="H64" s="23" t="s">
        <v>139</v>
      </c>
      <c r="I64" s="4"/>
      <c r="J64" s="4"/>
      <c r="K64" s="4"/>
      <c r="L64" s="4"/>
      <c r="M64" s="4"/>
      <c r="N64" s="4"/>
      <c r="O64" s="4"/>
      <c r="P64" s="4"/>
      <c r="Q64" s="4"/>
      <c r="R64" s="4"/>
      <c r="S64" s="4"/>
      <c r="T64" s="4"/>
      <c r="U64" s="4"/>
      <c r="V64" s="4"/>
      <c r="W64" s="4"/>
      <c r="X64" s="4"/>
      <c r="Y64" s="4"/>
      <c r="Z64" s="4"/>
    </row>
    <row r="65">
      <c r="A65" s="23" t="s">
        <v>227</v>
      </c>
      <c r="B65" s="39" t="s">
        <v>101</v>
      </c>
      <c r="C65" s="4"/>
      <c r="D65" s="23" t="s">
        <v>125</v>
      </c>
      <c r="E65" s="42" t="s">
        <v>210</v>
      </c>
      <c r="F65" s="23" t="s">
        <v>211</v>
      </c>
      <c r="G65" s="23" t="s">
        <v>212</v>
      </c>
      <c r="H65" s="23" t="s">
        <v>228</v>
      </c>
      <c r="I65" s="4"/>
      <c r="J65" s="4"/>
      <c r="K65" s="4"/>
      <c r="L65" s="4"/>
      <c r="M65" s="4"/>
      <c r="N65" s="4"/>
      <c r="O65" s="4"/>
      <c r="P65" s="4"/>
      <c r="Q65" s="4"/>
      <c r="R65" s="4"/>
      <c r="S65" s="4"/>
      <c r="T65" s="4"/>
      <c r="U65" s="4"/>
      <c r="V65" s="4"/>
      <c r="W65" s="4"/>
      <c r="X65" s="4"/>
      <c r="Y65" s="4"/>
      <c r="Z65" s="4"/>
    </row>
    <row r="66">
      <c r="A66" s="23" t="s">
        <v>229</v>
      </c>
      <c r="B66" s="39" t="s">
        <v>101</v>
      </c>
      <c r="C66" s="4"/>
      <c r="D66" s="23" t="s">
        <v>125</v>
      </c>
      <c r="E66" s="42" t="s">
        <v>210</v>
      </c>
      <c r="F66" s="23" t="s">
        <v>211</v>
      </c>
      <c r="G66" s="23" t="s">
        <v>212</v>
      </c>
      <c r="H66" s="23" t="s">
        <v>230</v>
      </c>
      <c r="I66" s="4"/>
      <c r="J66" s="4"/>
      <c r="K66" s="4"/>
      <c r="L66" s="4"/>
      <c r="M66" s="4"/>
      <c r="N66" s="4"/>
      <c r="O66" s="4"/>
      <c r="P66" s="4"/>
      <c r="Q66" s="4"/>
      <c r="R66" s="4"/>
      <c r="S66" s="4"/>
      <c r="T66" s="4"/>
      <c r="U66" s="4"/>
      <c r="V66" s="4"/>
      <c r="W66" s="4"/>
      <c r="X66" s="4"/>
      <c r="Y66" s="4"/>
      <c r="Z66" s="4"/>
    </row>
    <row r="67">
      <c r="A67" s="23" t="s">
        <v>231</v>
      </c>
      <c r="B67" s="39" t="s">
        <v>101</v>
      </c>
      <c r="C67" s="4"/>
      <c r="D67" s="23" t="s">
        <v>125</v>
      </c>
      <c r="E67" s="42" t="s">
        <v>210</v>
      </c>
      <c r="F67" s="23" t="s">
        <v>211</v>
      </c>
      <c r="G67" s="23" t="s">
        <v>212</v>
      </c>
      <c r="H67" s="23" t="s">
        <v>232</v>
      </c>
      <c r="I67" s="4"/>
      <c r="J67" s="4"/>
      <c r="K67" s="4"/>
      <c r="L67" s="4"/>
      <c r="M67" s="4"/>
      <c r="N67" s="4"/>
      <c r="O67" s="4"/>
      <c r="P67" s="4"/>
      <c r="Q67" s="4"/>
      <c r="R67" s="4"/>
      <c r="S67" s="4"/>
      <c r="T67" s="4"/>
      <c r="U67" s="4"/>
      <c r="V67" s="4"/>
      <c r="W67" s="4"/>
      <c r="X67" s="4"/>
      <c r="Y67" s="4"/>
      <c r="Z67" s="4"/>
    </row>
    <row r="68">
      <c r="A68" s="23" t="s">
        <v>233</v>
      </c>
      <c r="B68" s="39" t="s">
        <v>101</v>
      </c>
      <c r="C68" s="4"/>
      <c r="D68" s="23" t="s">
        <v>125</v>
      </c>
      <c r="E68" s="42" t="s">
        <v>210</v>
      </c>
      <c r="F68" s="23" t="s">
        <v>211</v>
      </c>
      <c r="G68" s="23" t="s">
        <v>212</v>
      </c>
      <c r="H68" s="23" t="s">
        <v>234</v>
      </c>
      <c r="I68" s="4"/>
      <c r="J68" s="4"/>
      <c r="K68" s="4"/>
      <c r="L68" s="4"/>
      <c r="M68" s="4"/>
      <c r="N68" s="4"/>
      <c r="O68" s="4"/>
      <c r="P68" s="4"/>
      <c r="Q68" s="4"/>
      <c r="R68" s="4"/>
      <c r="S68" s="4"/>
      <c r="T68" s="4"/>
      <c r="U68" s="4"/>
      <c r="V68" s="4"/>
      <c r="W68" s="4"/>
      <c r="X68" s="4"/>
      <c r="Y68" s="4"/>
      <c r="Z68" s="4"/>
    </row>
    <row r="69">
      <c r="A69" s="23" t="s">
        <v>235</v>
      </c>
      <c r="B69" s="39" t="s">
        <v>101</v>
      </c>
      <c r="C69" s="4"/>
      <c r="D69" s="23" t="s">
        <v>125</v>
      </c>
      <c r="E69" s="42" t="s">
        <v>210</v>
      </c>
      <c r="F69" s="23" t="s">
        <v>211</v>
      </c>
      <c r="G69" s="23" t="s">
        <v>212</v>
      </c>
      <c r="H69" s="23" t="s">
        <v>236</v>
      </c>
      <c r="I69" s="4"/>
      <c r="J69" s="4"/>
      <c r="K69" s="4"/>
      <c r="L69" s="4"/>
      <c r="M69" s="4"/>
      <c r="N69" s="4"/>
      <c r="O69" s="4"/>
      <c r="P69" s="4"/>
      <c r="Q69" s="4"/>
      <c r="R69" s="4"/>
      <c r="S69" s="4"/>
      <c r="T69" s="4"/>
      <c r="U69" s="4"/>
      <c r="V69" s="4"/>
      <c r="W69" s="4"/>
      <c r="X69" s="4"/>
      <c r="Y69" s="4"/>
      <c r="Z69" s="4"/>
    </row>
    <row r="70">
      <c r="A70" s="23" t="s">
        <v>237</v>
      </c>
      <c r="B70" s="39" t="s">
        <v>101</v>
      </c>
      <c r="C70" s="4"/>
      <c r="D70" s="23" t="s">
        <v>125</v>
      </c>
      <c r="E70" s="42" t="s">
        <v>210</v>
      </c>
      <c r="F70" s="23" t="s">
        <v>211</v>
      </c>
      <c r="G70" s="23" t="s">
        <v>212</v>
      </c>
      <c r="H70" s="23" t="s">
        <v>238</v>
      </c>
      <c r="I70" s="4"/>
      <c r="J70" s="4"/>
      <c r="K70" s="4"/>
      <c r="L70" s="4"/>
      <c r="M70" s="4"/>
      <c r="N70" s="4"/>
      <c r="O70" s="4"/>
      <c r="P70" s="4"/>
      <c r="Q70" s="4"/>
      <c r="R70" s="4"/>
      <c r="S70" s="4"/>
      <c r="T70" s="4"/>
      <c r="U70" s="4"/>
      <c r="V70" s="4"/>
      <c r="W70" s="4"/>
      <c r="X70" s="4"/>
      <c r="Y70" s="4"/>
      <c r="Z70" s="4"/>
    </row>
    <row r="71">
      <c r="A71" s="23" t="s">
        <v>239</v>
      </c>
      <c r="B71" s="39" t="s">
        <v>101</v>
      </c>
      <c r="C71" s="4"/>
      <c r="D71" s="23" t="s">
        <v>125</v>
      </c>
      <c r="E71" s="42" t="s">
        <v>210</v>
      </c>
      <c r="F71" s="23" t="s">
        <v>211</v>
      </c>
      <c r="G71" s="23" t="s">
        <v>212</v>
      </c>
      <c r="H71" s="23" t="s">
        <v>240</v>
      </c>
      <c r="I71" s="4"/>
      <c r="J71" s="4"/>
      <c r="K71" s="4"/>
      <c r="L71" s="4"/>
      <c r="M71" s="4"/>
      <c r="N71" s="4"/>
      <c r="O71" s="4"/>
      <c r="P71" s="4"/>
      <c r="Q71" s="4"/>
      <c r="R71" s="4"/>
      <c r="S71" s="4"/>
      <c r="T71" s="4"/>
      <c r="U71" s="4"/>
      <c r="V71" s="4"/>
      <c r="W71" s="4"/>
      <c r="X71" s="4"/>
      <c r="Y71" s="4"/>
      <c r="Z71" s="4"/>
    </row>
    <row r="72">
      <c r="A72" s="23" t="s">
        <v>241</v>
      </c>
      <c r="B72" s="39" t="s">
        <v>101</v>
      </c>
      <c r="C72" s="4"/>
      <c r="D72" s="23" t="s">
        <v>125</v>
      </c>
      <c r="E72" s="42" t="s">
        <v>210</v>
      </c>
      <c r="F72" s="23" t="s">
        <v>211</v>
      </c>
      <c r="G72" s="23" t="s">
        <v>212</v>
      </c>
      <c r="H72" s="23" t="s">
        <v>242</v>
      </c>
      <c r="I72" s="4"/>
      <c r="J72" s="4"/>
      <c r="K72" s="4"/>
      <c r="L72" s="4"/>
      <c r="M72" s="4"/>
      <c r="N72" s="4"/>
      <c r="O72" s="4"/>
      <c r="P72" s="4"/>
      <c r="Q72" s="4"/>
      <c r="R72" s="4"/>
      <c r="S72" s="4"/>
      <c r="T72" s="4"/>
      <c r="U72" s="4"/>
      <c r="V72" s="4"/>
      <c r="W72" s="4"/>
      <c r="X72" s="4"/>
      <c r="Y72" s="4"/>
      <c r="Z72" s="4"/>
    </row>
    <row r="73">
      <c r="A73" s="23" t="s">
        <v>243</v>
      </c>
      <c r="B73" s="39" t="s">
        <v>101</v>
      </c>
      <c r="C73" s="4"/>
      <c r="D73" s="23" t="s">
        <v>125</v>
      </c>
      <c r="E73" s="42" t="s">
        <v>210</v>
      </c>
      <c r="F73" s="23" t="s">
        <v>211</v>
      </c>
      <c r="G73" s="23" t="s">
        <v>212</v>
      </c>
      <c r="H73" s="23" t="s">
        <v>244</v>
      </c>
      <c r="I73" s="4"/>
      <c r="J73" s="4"/>
      <c r="K73" s="4"/>
      <c r="L73" s="4"/>
      <c r="M73" s="4"/>
      <c r="N73" s="4"/>
      <c r="O73" s="4"/>
      <c r="P73" s="4"/>
      <c r="Q73" s="4"/>
      <c r="R73" s="4"/>
      <c r="S73" s="4"/>
      <c r="T73" s="4"/>
      <c r="U73" s="4"/>
      <c r="V73" s="4"/>
      <c r="W73" s="4"/>
      <c r="X73" s="4"/>
      <c r="Y73" s="4"/>
      <c r="Z73" s="4"/>
    </row>
    <row r="74">
      <c r="A74" s="23" t="s">
        <v>245</v>
      </c>
      <c r="B74" s="39" t="s">
        <v>101</v>
      </c>
      <c r="C74" s="4"/>
      <c r="D74" s="23" t="s">
        <v>125</v>
      </c>
      <c r="E74" s="42" t="s">
        <v>210</v>
      </c>
      <c r="F74" s="23" t="s">
        <v>211</v>
      </c>
      <c r="G74" s="23" t="s">
        <v>212</v>
      </c>
      <c r="H74" s="23" t="s">
        <v>246</v>
      </c>
      <c r="I74" s="4"/>
      <c r="J74" s="4"/>
      <c r="K74" s="4"/>
      <c r="L74" s="4"/>
      <c r="M74" s="4"/>
      <c r="N74" s="4"/>
      <c r="O74" s="4"/>
      <c r="P74" s="4"/>
      <c r="Q74" s="4"/>
      <c r="R74" s="4"/>
      <c r="S74" s="4"/>
      <c r="T74" s="4"/>
      <c r="U74" s="4"/>
      <c r="V74" s="4"/>
      <c r="W74" s="4"/>
      <c r="X74" s="4"/>
      <c r="Y74" s="4"/>
      <c r="Z74" s="4"/>
    </row>
    <row r="75">
      <c r="A75" s="23" t="s">
        <v>247</v>
      </c>
      <c r="B75" s="39" t="s">
        <v>101</v>
      </c>
      <c r="C75" s="4"/>
      <c r="D75" s="23" t="s">
        <v>125</v>
      </c>
      <c r="E75" s="42" t="s">
        <v>210</v>
      </c>
      <c r="F75" s="23" t="s">
        <v>211</v>
      </c>
      <c r="G75" s="23" t="s">
        <v>212</v>
      </c>
      <c r="H75" s="23" t="s">
        <v>248</v>
      </c>
      <c r="I75" s="4"/>
      <c r="J75" s="4"/>
      <c r="K75" s="4"/>
      <c r="L75" s="4"/>
      <c r="M75" s="4"/>
      <c r="N75" s="4"/>
      <c r="O75" s="4"/>
      <c r="P75" s="4"/>
      <c r="Q75" s="4"/>
      <c r="R75" s="4"/>
      <c r="S75" s="4"/>
      <c r="T75" s="4"/>
      <c r="U75" s="4"/>
      <c r="V75" s="4"/>
      <c r="W75" s="4"/>
      <c r="X75" s="4"/>
      <c r="Y75" s="4"/>
      <c r="Z75" s="4"/>
    </row>
    <row r="76">
      <c r="A76" s="23" t="s">
        <v>249</v>
      </c>
      <c r="B76" s="39" t="s">
        <v>101</v>
      </c>
      <c r="C76" s="4"/>
      <c r="D76" s="23" t="s">
        <v>125</v>
      </c>
      <c r="E76" s="42" t="s">
        <v>210</v>
      </c>
      <c r="F76" s="23" t="s">
        <v>211</v>
      </c>
      <c r="G76" s="23" t="s">
        <v>212</v>
      </c>
      <c r="H76" s="23" t="s">
        <v>250</v>
      </c>
      <c r="I76" s="4"/>
      <c r="J76" s="4"/>
      <c r="K76" s="4"/>
      <c r="L76" s="4"/>
      <c r="M76" s="4"/>
      <c r="N76" s="4"/>
      <c r="O76" s="4"/>
      <c r="P76" s="4"/>
      <c r="Q76" s="4"/>
      <c r="R76" s="4"/>
      <c r="S76" s="4"/>
      <c r="T76" s="4"/>
      <c r="U76" s="4"/>
      <c r="V76" s="4"/>
      <c r="W76" s="4"/>
      <c r="X76" s="4"/>
      <c r="Y76" s="4"/>
      <c r="Z76" s="4"/>
    </row>
    <row r="77">
      <c r="A77" s="23" t="s">
        <v>251</v>
      </c>
      <c r="B77" s="39" t="s">
        <v>101</v>
      </c>
      <c r="C77" s="4"/>
      <c r="D77" s="23" t="s">
        <v>125</v>
      </c>
      <c r="E77" s="42" t="s">
        <v>252</v>
      </c>
      <c r="F77" s="23" t="s">
        <v>253</v>
      </c>
      <c r="G77" s="23" t="s">
        <v>254</v>
      </c>
      <c r="H77" s="23" t="s">
        <v>255</v>
      </c>
      <c r="I77" s="4"/>
      <c r="J77" s="4"/>
      <c r="K77" s="4"/>
      <c r="L77" s="4"/>
      <c r="M77" s="4"/>
      <c r="N77" s="4"/>
      <c r="O77" s="4"/>
      <c r="P77" s="4"/>
      <c r="Q77" s="4"/>
      <c r="R77" s="4"/>
      <c r="S77" s="4"/>
      <c r="T77" s="4"/>
      <c r="U77" s="4"/>
      <c r="V77" s="4"/>
      <c r="W77" s="4"/>
      <c r="X77" s="4"/>
      <c r="Y77" s="4"/>
      <c r="Z77" s="4"/>
    </row>
    <row r="78">
      <c r="A78" s="23" t="s">
        <v>256</v>
      </c>
      <c r="B78" s="39" t="s">
        <v>101</v>
      </c>
      <c r="C78" s="4"/>
      <c r="D78" s="23" t="s">
        <v>125</v>
      </c>
      <c r="E78" s="42" t="s">
        <v>252</v>
      </c>
      <c r="F78" s="23" t="s">
        <v>253</v>
      </c>
      <c r="G78" s="23" t="s">
        <v>254</v>
      </c>
      <c r="H78" s="23" t="s">
        <v>257</v>
      </c>
      <c r="I78" s="4"/>
      <c r="J78" s="4"/>
      <c r="K78" s="4"/>
      <c r="L78" s="4"/>
      <c r="M78" s="4"/>
      <c r="N78" s="4"/>
      <c r="O78" s="4"/>
      <c r="P78" s="4"/>
      <c r="Q78" s="4"/>
      <c r="R78" s="4"/>
      <c r="S78" s="4"/>
      <c r="T78" s="4"/>
      <c r="U78" s="4"/>
      <c r="V78" s="4"/>
      <c r="W78" s="4"/>
      <c r="X78" s="4"/>
      <c r="Y78" s="4"/>
      <c r="Z78" s="4"/>
    </row>
    <row r="79">
      <c r="A79" s="23" t="s">
        <v>258</v>
      </c>
      <c r="B79" s="39" t="s">
        <v>101</v>
      </c>
      <c r="C79" s="4"/>
      <c r="D79" s="23" t="s">
        <v>125</v>
      </c>
      <c r="E79" s="42" t="s">
        <v>252</v>
      </c>
      <c r="F79" s="23" t="s">
        <v>253</v>
      </c>
      <c r="G79" s="23" t="s">
        <v>254</v>
      </c>
      <c r="H79" s="23" t="s">
        <v>259</v>
      </c>
      <c r="I79" s="4"/>
      <c r="J79" s="4"/>
      <c r="K79" s="4"/>
      <c r="L79" s="4"/>
      <c r="M79" s="4"/>
      <c r="N79" s="4"/>
      <c r="O79" s="4"/>
      <c r="P79" s="4"/>
      <c r="Q79" s="4"/>
      <c r="R79" s="4"/>
      <c r="S79" s="4"/>
      <c r="T79" s="4"/>
      <c r="U79" s="4"/>
      <c r="V79" s="4"/>
      <c r="W79" s="4"/>
      <c r="X79" s="4"/>
      <c r="Y79" s="4"/>
      <c r="Z79" s="4"/>
    </row>
    <row r="80">
      <c r="A80" s="23" t="s">
        <v>260</v>
      </c>
      <c r="B80" s="39" t="s">
        <v>101</v>
      </c>
      <c r="C80" s="4"/>
      <c r="D80" s="23" t="s">
        <v>125</v>
      </c>
      <c r="E80" s="42" t="s">
        <v>252</v>
      </c>
      <c r="F80" s="23" t="s">
        <v>253</v>
      </c>
      <c r="G80" s="23" t="s">
        <v>254</v>
      </c>
      <c r="H80" s="23" t="s">
        <v>261</v>
      </c>
      <c r="I80" s="4"/>
      <c r="J80" s="4"/>
      <c r="K80" s="4"/>
      <c r="L80" s="4"/>
      <c r="M80" s="4"/>
      <c r="N80" s="4"/>
      <c r="O80" s="4"/>
      <c r="P80" s="4"/>
      <c r="Q80" s="4"/>
      <c r="R80" s="4"/>
      <c r="S80" s="4"/>
      <c r="T80" s="4"/>
      <c r="U80" s="4"/>
      <c r="V80" s="4"/>
      <c r="W80" s="4"/>
      <c r="X80" s="4"/>
      <c r="Y80" s="4"/>
      <c r="Z80" s="4"/>
    </row>
    <row r="81">
      <c r="A81" s="23" t="s">
        <v>262</v>
      </c>
      <c r="B81" s="39" t="s">
        <v>101</v>
      </c>
      <c r="C81" s="4"/>
      <c r="D81" s="23" t="s">
        <v>125</v>
      </c>
      <c r="E81" s="42" t="s">
        <v>252</v>
      </c>
      <c r="F81" s="23" t="s">
        <v>253</v>
      </c>
      <c r="G81" s="23" t="s">
        <v>254</v>
      </c>
      <c r="H81" s="23" t="s">
        <v>263</v>
      </c>
      <c r="I81" s="4"/>
      <c r="J81" s="4"/>
      <c r="K81" s="4"/>
      <c r="L81" s="4"/>
      <c r="M81" s="4"/>
      <c r="N81" s="4"/>
      <c r="O81" s="4"/>
      <c r="P81" s="4"/>
      <c r="Q81" s="4"/>
      <c r="R81" s="4"/>
      <c r="S81" s="4"/>
      <c r="T81" s="4"/>
      <c r="U81" s="4"/>
      <c r="V81" s="4"/>
      <c r="W81" s="4"/>
      <c r="X81" s="4"/>
      <c r="Y81" s="4"/>
      <c r="Z81" s="4"/>
    </row>
    <row r="82">
      <c r="A82" s="23" t="s">
        <v>264</v>
      </c>
      <c r="B82" s="39" t="s">
        <v>101</v>
      </c>
      <c r="C82" s="4"/>
      <c r="D82" s="23" t="s">
        <v>125</v>
      </c>
      <c r="E82" s="42" t="s">
        <v>252</v>
      </c>
      <c r="F82" s="23" t="s">
        <v>253</v>
      </c>
      <c r="G82" s="23" t="s">
        <v>254</v>
      </c>
      <c r="H82" s="23" t="s">
        <v>265</v>
      </c>
      <c r="I82" s="4"/>
      <c r="J82" s="4"/>
      <c r="K82" s="4"/>
      <c r="L82" s="4"/>
      <c r="M82" s="4"/>
      <c r="N82" s="4"/>
      <c r="O82" s="4"/>
      <c r="P82" s="4"/>
      <c r="Q82" s="4"/>
      <c r="R82" s="4"/>
      <c r="S82" s="4"/>
      <c r="T82" s="4"/>
      <c r="U82" s="4"/>
      <c r="V82" s="4"/>
      <c r="W82" s="4"/>
      <c r="X82" s="4"/>
      <c r="Y82" s="4"/>
      <c r="Z82" s="4"/>
    </row>
    <row r="83">
      <c r="A83" s="23" t="s">
        <v>266</v>
      </c>
      <c r="B83" s="39" t="s">
        <v>101</v>
      </c>
      <c r="C83" s="4"/>
      <c r="D83" s="23" t="s">
        <v>125</v>
      </c>
      <c r="E83" s="42" t="s">
        <v>252</v>
      </c>
      <c r="F83" s="23" t="s">
        <v>253</v>
      </c>
      <c r="G83" s="23" t="s">
        <v>254</v>
      </c>
      <c r="H83" s="23" t="s">
        <v>139</v>
      </c>
      <c r="I83" s="4"/>
      <c r="J83" s="4"/>
      <c r="K83" s="4"/>
      <c r="L83" s="4"/>
      <c r="M83" s="4"/>
      <c r="N83" s="4"/>
      <c r="O83" s="4"/>
      <c r="P83" s="4"/>
      <c r="Q83" s="4"/>
      <c r="R83" s="4"/>
      <c r="S83" s="4"/>
      <c r="T83" s="4"/>
      <c r="U83" s="4"/>
      <c r="V83" s="4"/>
      <c r="W83" s="4"/>
      <c r="X83" s="4"/>
      <c r="Y83" s="4"/>
      <c r="Z83" s="4"/>
    </row>
    <row r="84">
      <c r="A84" s="23" t="s">
        <v>267</v>
      </c>
      <c r="B84" s="39" t="s">
        <v>101</v>
      </c>
      <c r="C84" s="4"/>
      <c r="D84" s="23" t="s">
        <v>125</v>
      </c>
      <c r="E84" s="42" t="s">
        <v>252</v>
      </c>
      <c r="F84" s="23" t="s">
        <v>253</v>
      </c>
      <c r="G84" s="23" t="s">
        <v>254</v>
      </c>
      <c r="H84" s="23" t="s">
        <v>268</v>
      </c>
      <c r="I84" s="4"/>
      <c r="J84" s="4"/>
      <c r="K84" s="4"/>
      <c r="L84" s="4"/>
      <c r="M84" s="4"/>
      <c r="N84" s="4"/>
      <c r="O84" s="4"/>
      <c r="P84" s="4"/>
      <c r="Q84" s="4"/>
      <c r="R84" s="4"/>
      <c r="S84" s="4"/>
      <c r="T84" s="4"/>
      <c r="U84" s="4"/>
      <c r="V84" s="4"/>
      <c r="W84" s="4"/>
      <c r="X84" s="4"/>
      <c r="Y84" s="4"/>
      <c r="Z84" s="4"/>
    </row>
    <row r="85">
      <c r="A85" s="23" t="s">
        <v>269</v>
      </c>
      <c r="B85" s="39" t="s">
        <v>101</v>
      </c>
      <c r="C85" s="4"/>
      <c r="D85" s="23" t="s">
        <v>125</v>
      </c>
      <c r="E85" s="42" t="s">
        <v>252</v>
      </c>
      <c r="F85" s="23" t="s">
        <v>253</v>
      </c>
      <c r="G85" s="23" t="s">
        <v>254</v>
      </c>
      <c r="H85" s="23" t="s">
        <v>270</v>
      </c>
      <c r="I85" s="4"/>
      <c r="J85" s="4"/>
      <c r="K85" s="4"/>
      <c r="L85" s="4"/>
      <c r="M85" s="4"/>
      <c r="N85" s="4"/>
      <c r="O85" s="4"/>
      <c r="P85" s="4"/>
      <c r="Q85" s="4"/>
      <c r="R85" s="4"/>
      <c r="S85" s="4"/>
      <c r="T85" s="4"/>
      <c r="U85" s="4"/>
      <c r="V85" s="4"/>
      <c r="W85" s="4"/>
      <c r="X85" s="4"/>
      <c r="Y85" s="4"/>
      <c r="Z85" s="4"/>
    </row>
    <row r="86">
      <c r="A86" s="23" t="s">
        <v>271</v>
      </c>
      <c r="B86" s="39" t="s">
        <v>101</v>
      </c>
      <c r="C86" s="4"/>
      <c r="D86" s="23" t="s">
        <v>125</v>
      </c>
      <c r="E86" s="42" t="s">
        <v>252</v>
      </c>
      <c r="F86" s="23" t="s">
        <v>253</v>
      </c>
      <c r="G86" s="23" t="s">
        <v>254</v>
      </c>
      <c r="H86" s="23" t="s">
        <v>272</v>
      </c>
      <c r="I86" s="4"/>
      <c r="J86" s="4"/>
      <c r="K86" s="4"/>
      <c r="L86" s="4"/>
      <c r="M86" s="4"/>
      <c r="N86" s="4"/>
      <c r="O86" s="4"/>
      <c r="P86" s="4"/>
      <c r="Q86" s="4"/>
      <c r="R86" s="4"/>
      <c r="S86" s="4"/>
      <c r="T86" s="4"/>
      <c r="U86" s="4"/>
      <c r="V86" s="4"/>
      <c r="W86" s="4"/>
      <c r="X86" s="4"/>
      <c r="Y86" s="4"/>
      <c r="Z86" s="4"/>
    </row>
    <row r="87">
      <c r="A87" s="23" t="s">
        <v>273</v>
      </c>
      <c r="B87" s="39" t="s">
        <v>101</v>
      </c>
      <c r="C87" s="4"/>
      <c r="D87" s="23" t="s">
        <v>125</v>
      </c>
      <c r="E87" s="42" t="s">
        <v>252</v>
      </c>
      <c r="F87" s="23" t="s">
        <v>253</v>
      </c>
      <c r="G87" s="23" t="s">
        <v>254</v>
      </c>
      <c r="H87" s="23" t="s">
        <v>274</v>
      </c>
      <c r="I87" s="4"/>
      <c r="J87" s="4"/>
      <c r="K87" s="4"/>
      <c r="L87" s="4"/>
      <c r="M87" s="4"/>
      <c r="N87" s="4"/>
      <c r="O87" s="4"/>
      <c r="P87" s="4"/>
      <c r="Q87" s="4"/>
      <c r="R87" s="4"/>
      <c r="S87" s="4"/>
      <c r="T87" s="4"/>
      <c r="U87" s="4"/>
      <c r="V87" s="4"/>
      <c r="W87" s="4"/>
      <c r="X87" s="4"/>
      <c r="Y87" s="4"/>
      <c r="Z87" s="4"/>
    </row>
    <row r="88">
      <c r="A88" s="23" t="s">
        <v>275</v>
      </c>
      <c r="B88" s="39" t="s">
        <v>101</v>
      </c>
      <c r="C88" s="4"/>
      <c r="D88" s="23" t="s">
        <v>125</v>
      </c>
      <c r="E88" s="42" t="s">
        <v>252</v>
      </c>
      <c r="F88" s="23" t="s">
        <v>253</v>
      </c>
      <c r="G88" s="23" t="s">
        <v>254</v>
      </c>
      <c r="H88" s="23" t="s">
        <v>276</v>
      </c>
      <c r="I88" s="4"/>
      <c r="J88" s="4"/>
      <c r="K88" s="4"/>
      <c r="L88" s="4"/>
      <c r="M88" s="4"/>
      <c r="N88" s="4"/>
      <c r="O88" s="4"/>
      <c r="P88" s="4"/>
      <c r="Q88" s="4"/>
      <c r="R88" s="4"/>
      <c r="S88" s="4"/>
      <c r="T88" s="4"/>
      <c r="U88" s="4"/>
      <c r="V88" s="4"/>
      <c r="W88" s="4"/>
      <c r="X88" s="4"/>
      <c r="Y88" s="4"/>
      <c r="Z88" s="4"/>
    </row>
    <row r="89">
      <c r="A89" s="23" t="s">
        <v>277</v>
      </c>
      <c r="B89" s="39" t="s">
        <v>101</v>
      </c>
      <c r="C89" s="4"/>
      <c r="D89" s="23" t="s">
        <v>125</v>
      </c>
      <c r="E89" s="42" t="s">
        <v>252</v>
      </c>
      <c r="F89" s="23" t="s">
        <v>253</v>
      </c>
      <c r="G89" s="23" t="s">
        <v>254</v>
      </c>
      <c r="H89" s="23" t="s">
        <v>278</v>
      </c>
      <c r="I89" s="4"/>
      <c r="J89" s="4"/>
      <c r="K89" s="4"/>
      <c r="L89" s="4"/>
      <c r="M89" s="4"/>
      <c r="N89" s="4"/>
      <c r="O89" s="4"/>
      <c r="P89" s="4"/>
      <c r="Q89" s="4"/>
      <c r="R89" s="4"/>
      <c r="S89" s="4"/>
      <c r="T89" s="4"/>
      <c r="U89" s="4"/>
      <c r="V89" s="4"/>
      <c r="W89" s="4"/>
      <c r="X89" s="4"/>
      <c r="Y89" s="4"/>
      <c r="Z89" s="4"/>
    </row>
    <row r="90">
      <c r="A90" s="23" t="s">
        <v>279</v>
      </c>
      <c r="B90" s="39" t="s">
        <v>101</v>
      </c>
      <c r="C90" s="4"/>
      <c r="D90" s="23" t="s">
        <v>125</v>
      </c>
      <c r="E90" s="42" t="s">
        <v>252</v>
      </c>
      <c r="F90" s="23" t="s">
        <v>253</v>
      </c>
      <c r="G90" s="23" t="s">
        <v>254</v>
      </c>
      <c r="H90" s="23" t="s">
        <v>280</v>
      </c>
      <c r="I90" s="4"/>
      <c r="J90" s="4"/>
      <c r="K90" s="4"/>
      <c r="L90" s="4"/>
      <c r="M90" s="4"/>
      <c r="N90" s="4"/>
      <c r="O90" s="4"/>
      <c r="P90" s="4"/>
      <c r="Q90" s="4"/>
      <c r="R90" s="4"/>
      <c r="S90" s="4"/>
      <c r="T90" s="4"/>
      <c r="U90" s="4"/>
      <c r="V90" s="4"/>
      <c r="W90" s="4"/>
      <c r="X90" s="4"/>
      <c r="Y90" s="4"/>
      <c r="Z90" s="4"/>
    </row>
    <row r="91">
      <c r="A91" s="23" t="s">
        <v>281</v>
      </c>
      <c r="B91" s="39" t="s">
        <v>101</v>
      </c>
      <c r="C91" s="4"/>
      <c r="D91" s="23" t="s">
        <v>125</v>
      </c>
      <c r="E91" s="42" t="s">
        <v>252</v>
      </c>
      <c r="F91" s="23" t="s">
        <v>253</v>
      </c>
      <c r="G91" s="23" t="s">
        <v>254</v>
      </c>
      <c r="H91" s="23" t="s">
        <v>282</v>
      </c>
      <c r="I91" s="4"/>
      <c r="J91" s="4"/>
      <c r="K91" s="4"/>
      <c r="L91" s="4"/>
      <c r="M91" s="4"/>
      <c r="N91" s="4"/>
      <c r="O91" s="4"/>
      <c r="P91" s="4"/>
      <c r="Q91" s="4"/>
      <c r="R91" s="4"/>
      <c r="S91" s="4"/>
      <c r="T91" s="4"/>
      <c r="U91" s="4"/>
      <c r="V91" s="4"/>
      <c r="W91" s="4"/>
      <c r="X91" s="4"/>
      <c r="Y91" s="4"/>
      <c r="Z91" s="4"/>
    </row>
    <row r="92">
      <c r="A92" s="23" t="s">
        <v>283</v>
      </c>
      <c r="B92" s="39" t="s">
        <v>101</v>
      </c>
      <c r="C92" s="4"/>
      <c r="D92" s="23" t="s">
        <v>125</v>
      </c>
      <c r="E92" s="42" t="s">
        <v>252</v>
      </c>
      <c r="F92" s="23" t="s">
        <v>253</v>
      </c>
      <c r="G92" s="23" t="s">
        <v>254</v>
      </c>
      <c r="H92" s="23" t="s">
        <v>284</v>
      </c>
      <c r="I92" s="4"/>
      <c r="J92" s="4"/>
      <c r="K92" s="4"/>
      <c r="L92" s="4"/>
      <c r="M92" s="4"/>
      <c r="N92" s="4"/>
      <c r="O92" s="4"/>
      <c r="P92" s="4"/>
      <c r="Q92" s="4"/>
      <c r="R92" s="4"/>
      <c r="S92" s="4"/>
      <c r="T92" s="4"/>
      <c r="U92" s="4"/>
      <c r="V92" s="4"/>
      <c r="W92" s="4"/>
      <c r="X92" s="4"/>
      <c r="Y92" s="4"/>
      <c r="Z92" s="4"/>
    </row>
    <row r="93">
      <c r="A93" s="23" t="s">
        <v>285</v>
      </c>
      <c r="B93" s="39" t="s">
        <v>101</v>
      </c>
      <c r="C93" s="4"/>
      <c r="D93" s="23" t="s">
        <v>125</v>
      </c>
      <c r="E93" s="42" t="s">
        <v>252</v>
      </c>
      <c r="F93" s="23" t="s">
        <v>253</v>
      </c>
      <c r="G93" s="23" t="s">
        <v>254</v>
      </c>
      <c r="H93" s="23" t="s">
        <v>238</v>
      </c>
      <c r="I93" s="4"/>
      <c r="J93" s="4"/>
      <c r="K93" s="4"/>
      <c r="L93" s="4"/>
      <c r="M93" s="4"/>
      <c r="N93" s="4"/>
      <c r="O93" s="4"/>
      <c r="P93" s="4"/>
      <c r="Q93" s="4"/>
      <c r="R93" s="4"/>
      <c r="S93" s="4"/>
      <c r="T93" s="4"/>
      <c r="U93" s="4"/>
      <c r="V93" s="4"/>
      <c r="W93" s="4"/>
      <c r="X93" s="4"/>
      <c r="Y93" s="4"/>
      <c r="Z93" s="4"/>
    </row>
    <row r="94">
      <c r="A94" s="23" t="s">
        <v>286</v>
      </c>
      <c r="B94" s="39" t="s">
        <v>101</v>
      </c>
      <c r="C94" s="4"/>
      <c r="D94" s="23" t="s">
        <v>125</v>
      </c>
      <c r="E94" s="42" t="s">
        <v>252</v>
      </c>
      <c r="F94" s="23" t="s">
        <v>253</v>
      </c>
      <c r="G94" s="23" t="s">
        <v>254</v>
      </c>
      <c r="H94" s="23" t="s">
        <v>287</v>
      </c>
      <c r="I94" s="4"/>
      <c r="J94" s="4"/>
      <c r="K94" s="4"/>
      <c r="L94" s="4"/>
      <c r="M94" s="4"/>
      <c r="N94" s="4"/>
      <c r="O94" s="4"/>
      <c r="P94" s="4"/>
      <c r="Q94" s="4"/>
      <c r="R94" s="4"/>
      <c r="S94" s="4"/>
      <c r="T94" s="4"/>
      <c r="U94" s="4"/>
      <c r="V94" s="4"/>
      <c r="W94" s="4"/>
      <c r="X94" s="4"/>
      <c r="Y94" s="4"/>
      <c r="Z94" s="4"/>
    </row>
    <row r="95">
      <c r="A95" s="23" t="s">
        <v>288</v>
      </c>
      <c r="B95" s="39" t="s">
        <v>101</v>
      </c>
      <c r="C95" s="4"/>
      <c r="D95" s="23" t="s">
        <v>125</v>
      </c>
      <c r="E95" s="42" t="s">
        <v>252</v>
      </c>
      <c r="F95" s="23" t="s">
        <v>253</v>
      </c>
      <c r="G95" s="23" t="s">
        <v>254</v>
      </c>
      <c r="H95" s="23" t="s">
        <v>289</v>
      </c>
      <c r="I95" s="4"/>
      <c r="J95" s="4"/>
      <c r="K95" s="4"/>
      <c r="L95" s="4"/>
      <c r="M95" s="4"/>
      <c r="N95" s="4"/>
      <c r="O95" s="4"/>
      <c r="P95" s="4"/>
      <c r="Q95" s="4"/>
      <c r="R95" s="4"/>
      <c r="S95" s="4"/>
      <c r="T95" s="4"/>
      <c r="U95" s="4"/>
      <c r="V95" s="4"/>
      <c r="W95" s="4"/>
      <c r="X95" s="4"/>
      <c r="Y95" s="4"/>
      <c r="Z95" s="4"/>
    </row>
    <row r="96">
      <c r="A96" s="23" t="s">
        <v>290</v>
      </c>
      <c r="B96" s="39" t="s">
        <v>101</v>
      </c>
      <c r="C96" s="4"/>
      <c r="D96" s="23" t="s">
        <v>125</v>
      </c>
      <c r="E96" s="42" t="s">
        <v>252</v>
      </c>
      <c r="F96" s="23" t="s">
        <v>253</v>
      </c>
      <c r="G96" s="23" t="s">
        <v>254</v>
      </c>
      <c r="H96" s="23" t="s">
        <v>291</v>
      </c>
      <c r="I96" s="4"/>
      <c r="J96" s="4"/>
      <c r="K96" s="4"/>
      <c r="L96" s="4"/>
      <c r="M96" s="4"/>
      <c r="N96" s="4"/>
      <c r="O96" s="4"/>
      <c r="P96" s="4"/>
      <c r="Q96" s="4"/>
      <c r="R96" s="4"/>
      <c r="S96" s="4"/>
      <c r="T96" s="4"/>
      <c r="U96" s="4"/>
      <c r="V96" s="4"/>
      <c r="W96" s="4"/>
      <c r="X96" s="4"/>
      <c r="Y96" s="4"/>
      <c r="Z96" s="4"/>
    </row>
    <row r="97">
      <c r="A97" s="23" t="s">
        <v>292</v>
      </c>
      <c r="B97" s="39" t="s">
        <v>101</v>
      </c>
      <c r="C97" s="4"/>
      <c r="D97" s="23" t="s">
        <v>125</v>
      </c>
      <c r="E97" s="42" t="s">
        <v>293</v>
      </c>
      <c r="F97" s="23" t="s">
        <v>294</v>
      </c>
      <c r="G97" s="23" t="s">
        <v>295</v>
      </c>
      <c r="H97" s="23" t="s">
        <v>296</v>
      </c>
      <c r="I97" s="4"/>
      <c r="J97" s="4"/>
      <c r="K97" s="4"/>
      <c r="L97" s="4"/>
      <c r="M97" s="4"/>
      <c r="N97" s="4"/>
      <c r="O97" s="4"/>
      <c r="P97" s="4"/>
      <c r="Q97" s="4"/>
      <c r="R97" s="4"/>
      <c r="S97" s="4"/>
      <c r="T97" s="4"/>
      <c r="U97" s="4"/>
      <c r="V97" s="4"/>
      <c r="W97" s="4"/>
      <c r="X97" s="4"/>
      <c r="Y97" s="4"/>
      <c r="Z97" s="4"/>
    </row>
    <row r="98">
      <c r="A98" s="23" t="s">
        <v>297</v>
      </c>
      <c r="B98" s="39" t="s">
        <v>101</v>
      </c>
      <c r="C98" s="4"/>
      <c r="D98" s="23" t="s">
        <v>125</v>
      </c>
      <c r="E98" s="42" t="s">
        <v>293</v>
      </c>
      <c r="F98" s="23" t="s">
        <v>294</v>
      </c>
      <c r="G98" s="23" t="s">
        <v>295</v>
      </c>
      <c r="H98" s="23" t="s">
        <v>298</v>
      </c>
      <c r="I98" s="4"/>
      <c r="J98" s="4"/>
      <c r="K98" s="4"/>
      <c r="L98" s="4"/>
      <c r="M98" s="4"/>
      <c r="N98" s="4"/>
      <c r="O98" s="4"/>
      <c r="P98" s="4"/>
      <c r="Q98" s="4"/>
      <c r="R98" s="4"/>
      <c r="S98" s="4"/>
      <c r="T98" s="4"/>
      <c r="U98" s="4"/>
      <c r="V98" s="4"/>
      <c r="W98" s="4"/>
      <c r="X98" s="4"/>
      <c r="Y98" s="4"/>
      <c r="Z98" s="4"/>
    </row>
    <row r="99">
      <c r="A99" s="23" t="s">
        <v>299</v>
      </c>
      <c r="B99" s="39" t="s">
        <v>101</v>
      </c>
      <c r="C99" s="4"/>
      <c r="D99" s="23" t="s">
        <v>125</v>
      </c>
      <c r="E99" s="42" t="s">
        <v>293</v>
      </c>
      <c r="F99" s="23" t="s">
        <v>294</v>
      </c>
      <c r="G99" s="23" t="s">
        <v>295</v>
      </c>
      <c r="H99" s="23" t="s">
        <v>300</v>
      </c>
      <c r="I99" s="4"/>
      <c r="J99" s="4"/>
      <c r="K99" s="4"/>
      <c r="L99" s="4"/>
      <c r="M99" s="4"/>
      <c r="N99" s="4"/>
      <c r="O99" s="4"/>
      <c r="P99" s="4"/>
      <c r="Q99" s="4"/>
      <c r="R99" s="4"/>
      <c r="S99" s="4"/>
      <c r="T99" s="4"/>
      <c r="U99" s="4"/>
      <c r="V99" s="4"/>
      <c r="W99" s="4"/>
      <c r="X99" s="4"/>
      <c r="Y99" s="4"/>
      <c r="Z99" s="4"/>
    </row>
    <row r="100">
      <c r="A100" s="23" t="s">
        <v>301</v>
      </c>
      <c r="B100" s="39" t="s">
        <v>101</v>
      </c>
      <c r="C100" s="4"/>
      <c r="D100" s="23" t="s">
        <v>125</v>
      </c>
      <c r="E100" s="42" t="s">
        <v>293</v>
      </c>
      <c r="F100" s="23" t="s">
        <v>294</v>
      </c>
      <c r="G100" s="23" t="s">
        <v>295</v>
      </c>
      <c r="H100" s="23" t="s">
        <v>302</v>
      </c>
      <c r="I100" s="4"/>
      <c r="J100" s="4"/>
      <c r="K100" s="4"/>
      <c r="L100" s="4"/>
      <c r="M100" s="4"/>
      <c r="N100" s="4"/>
      <c r="O100" s="4"/>
      <c r="P100" s="4"/>
      <c r="Q100" s="4"/>
      <c r="R100" s="4"/>
      <c r="S100" s="4"/>
      <c r="T100" s="4"/>
      <c r="U100" s="4"/>
      <c r="V100" s="4"/>
      <c r="W100" s="4"/>
      <c r="X100" s="4"/>
      <c r="Y100" s="4"/>
      <c r="Z100" s="4"/>
    </row>
    <row r="101">
      <c r="A101" s="23" t="s">
        <v>303</v>
      </c>
      <c r="B101" s="39" t="s">
        <v>101</v>
      </c>
      <c r="C101" s="4"/>
      <c r="D101" s="23" t="s">
        <v>125</v>
      </c>
      <c r="E101" s="42" t="s">
        <v>293</v>
      </c>
      <c r="F101" s="23" t="s">
        <v>294</v>
      </c>
      <c r="G101" s="23" t="s">
        <v>295</v>
      </c>
      <c r="H101" s="23" t="s">
        <v>304</v>
      </c>
      <c r="I101" s="4"/>
      <c r="J101" s="4"/>
      <c r="K101" s="4"/>
      <c r="L101" s="4"/>
      <c r="M101" s="4"/>
      <c r="N101" s="4"/>
      <c r="O101" s="4"/>
      <c r="P101" s="4"/>
      <c r="Q101" s="4"/>
      <c r="R101" s="4"/>
      <c r="S101" s="4"/>
      <c r="T101" s="4"/>
      <c r="U101" s="4"/>
      <c r="V101" s="4"/>
      <c r="W101" s="4"/>
      <c r="X101" s="4"/>
      <c r="Y101" s="4"/>
      <c r="Z101" s="4"/>
    </row>
    <row r="102">
      <c r="A102" s="23" t="s">
        <v>305</v>
      </c>
      <c r="B102" s="39" t="s">
        <v>101</v>
      </c>
      <c r="C102" s="4"/>
      <c r="D102" s="23" t="s">
        <v>125</v>
      </c>
      <c r="E102" s="42" t="s">
        <v>293</v>
      </c>
      <c r="F102" s="23" t="s">
        <v>294</v>
      </c>
      <c r="G102" s="23" t="s">
        <v>295</v>
      </c>
      <c r="H102" s="23" t="s">
        <v>139</v>
      </c>
      <c r="I102" s="4"/>
      <c r="J102" s="4"/>
      <c r="K102" s="4"/>
      <c r="L102" s="4"/>
      <c r="M102" s="4"/>
      <c r="N102" s="4"/>
      <c r="O102" s="4"/>
      <c r="P102" s="4"/>
      <c r="Q102" s="4"/>
      <c r="R102" s="4"/>
      <c r="S102" s="4"/>
      <c r="T102" s="4"/>
      <c r="U102" s="4"/>
      <c r="V102" s="4"/>
      <c r="W102" s="4"/>
      <c r="X102" s="4"/>
      <c r="Y102" s="4"/>
      <c r="Z102" s="4"/>
    </row>
    <row r="103">
      <c r="A103" s="23" t="s">
        <v>306</v>
      </c>
      <c r="B103" s="39" t="s">
        <v>101</v>
      </c>
      <c r="C103" s="4"/>
      <c r="D103" s="23" t="s">
        <v>125</v>
      </c>
      <c r="E103" s="42" t="s">
        <v>293</v>
      </c>
      <c r="F103" s="23" t="s">
        <v>294</v>
      </c>
      <c r="G103" s="23" t="s">
        <v>295</v>
      </c>
      <c r="H103" s="23" t="s">
        <v>307</v>
      </c>
      <c r="I103" s="4"/>
      <c r="J103" s="4"/>
      <c r="K103" s="4"/>
      <c r="L103" s="4"/>
      <c r="M103" s="4"/>
      <c r="N103" s="4"/>
      <c r="O103" s="4"/>
      <c r="P103" s="4"/>
      <c r="Q103" s="4"/>
      <c r="R103" s="4"/>
      <c r="S103" s="4"/>
      <c r="T103" s="4"/>
      <c r="U103" s="4"/>
      <c r="V103" s="4"/>
      <c r="W103" s="4"/>
      <c r="X103" s="4"/>
      <c r="Y103" s="4"/>
      <c r="Z103" s="4"/>
    </row>
    <row r="104">
      <c r="A104" s="23" t="s">
        <v>308</v>
      </c>
      <c r="B104" s="39" t="s">
        <v>101</v>
      </c>
      <c r="C104" s="4"/>
      <c r="D104" s="23" t="s">
        <v>125</v>
      </c>
      <c r="E104" s="42" t="s">
        <v>293</v>
      </c>
      <c r="F104" s="23" t="s">
        <v>294</v>
      </c>
      <c r="G104" s="23" t="s">
        <v>295</v>
      </c>
      <c r="H104" s="23" t="s">
        <v>309</v>
      </c>
      <c r="I104" s="4"/>
      <c r="J104" s="4"/>
      <c r="K104" s="4"/>
      <c r="L104" s="4"/>
      <c r="M104" s="4"/>
      <c r="N104" s="4"/>
      <c r="O104" s="4"/>
      <c r="P104" s="4"/>
      <c r="Q104" s="4"/>
      <c r="R104" s="4"/>
      <c r="S104" s="4"/>
      <c r="T104" s="4"/>
      <c r="U104" s="4"/>
      <c r="V104" s="4"/>
      <c r="W104" s="4"/>
      <c r="X104" s="4"/>
      <c r="Y104" s="4"/>
      <c r="Z104" s="4"/>
    </row>
    <row r="105">
      <c r="A105" s="23" t="s">
        <v>310</v>
      </c>
      <c r="B105" s="39" t="s">
        <v>101</v>
      </c>
      <c r="C105" s="4"/>
      <c r="D105" s="23" t="s">
        <v>125</v>
      </c>
      <c r="E105" s="42" t="s">
        <v>293</v>
      </c>
      <c r="F105" s="23" t="s">
        <v>294</v>
      </c>
      <c r="G105" s="23" t="s">
        <v>295</v>
      </c>
      <c r="H105" s="23" t="s">
        <v>311</v>
      </c>
      <c r="I105" s="4"/>
      <c r="J105" s="4"/>
      <c r="K105" s="4"/>
      <c r="L105" s="4"/>
      <c r="M105" s="4"/>
      <c r="N105" s="4"/>
      <c r="O105" s="4"/>
      <c r="P105" s="4"/>
      <c r="Q105" s="4"/>
      <c r="R105" s="4"/>
      <c r="S105" s="4"/>
      <c r="T105" s="4"/>
      <c r="U105" s="4"/>
      <c r="V105" s="4"/>
      <c r="W105" s="4"/>
      <c r="X105" s="4"/>
      <c r="Y105" s="4"/>
      <c r="Z105" s="4"/>
    </row>
    <row r="106">
      <c r="A106" s="23" t="s">
        <v>312</v>
      </c>
      <c r="B106" s="39" t="s">
        <v>101</v>
      </c>
      <c r="C106" s="4"/>
      <c r="D106" s="23" t="s">
        <v>125</v>
      </c>
      <c r="E106" s="42" t="s">
        <v>293</v>
      </c>
      <c r="F106" s="23" t="s">
        <v>294</v>
      </c>
      <c r="G106" s="23" t="s">
        <v>295</v>
      </c>
      <c r="H106" s="23" t="s">
        <v>313</v>
      </c>
      <c r="I106" s="4"/>
      <c r="J106" s="4"/>
      <c r="K106" s="4"/>
      <c r="L106" s="4"/>
      <c r="M106" s="4"/>
      <c r="N106" s="4"/>
      <c r="O106" s="4"/>
      <c r="P106" s="4"/>
      <c r="Q106" s="4"/>
      <c r="R106" s="4"/>
      <c r="S106" s="4"/>
      <c r="T106" s="4"/>
      <c r="U106" s="4"/>
      <c r="V106" s="4"/>
      <c r="W106" s="4"/>
      <c r="X106" s="4"/>
      <c r="Y106" s="4"/>
      <c r="Z106" s="4"/>
    </row>
    <row r="107">
      <c r="A107" s="23" t="s">
        <v>314</v>
      </c>
      <c r="B107" s="39" t="s">
        <v>101</v>
      </c>
      <c r="C107" s="4"/>
      <c r="D107" s="23" t="s">
        <v>125</v>
      </c>
      <c r="E107" s="42" t="s">
        <v>293</v>
      </c>
      <c r="F107" s="23" t="s">
        <v>294</v>
      </c>
      <c r="G107" s="23" t="s">
        <v>295</v>
      </c>
      <c r="H107" s="23" t="s">
        <v>315</v>
      </c>
      <c r="I107" s="4"/>
      <c r="J107" s="4"/>
      <c r="K107" s="4"/>
      <c r="L107" s="4"/>
      <c r="M107" s="4"/>
      <c r="N107" s="4"/>
      <c r="O107" s="4"/>
      <c r="P107" s="4"/>
      <c r="Q107" s="4"/>
      <c r="R107" s="4"/>
      <c r="S107" s="4"/>
      <c r="T107" s="4"/>
      <c r="U107" s="4"/>
      <c r="V107" s="4"/>
      <c r="W107" s="4"/>
      <c r="X107" s="4"/>
      <c r="Y107" s="4"/>
      <c r="Z107" s="4"/>
    </row>
    <row r="108">
      <c r="A108" s="23" t="s">
        <v>316</v>
      </c>
      <c r="B108" s="39" t="s">
        <v>101</v>
      </c>
      <c r="C108" s="4"/>
      <c r="D108" s="23" t="s">
        <v>125</v>
      </c>
      <c r="E108" s="42" t="s">
        <v>293</v>
      </c>
      <c r="F108" s="23" t="s">
        <v>294</v>
      </c>
      <c r="G108" s="23" t="s">
        <v>295</v>
      </c>
      <c r="H108" s="23" t="s">
        <v>317</v>
      </c>
      <c r="I108" s="4"/>
      <c r="J108" s="4"/>
      <c r="K108" s="4"/>
      <c r="L108" s="4"/>
      <c r="M108" s="4"/>
      <c r="N108" s="4"/>
      <c r="O108" s="4"/>
      <c r="P108" s="4"/>
      <c r="Q108" s="4"/>
      <c r="R108" s="4"/>
      <c r="S108" s="4"/>
      <c r="T108" s="4"/>
      <c r="U108" s="4"/>
      <c r="V108" s="4"/>
      <c r="W108" s="4"/>
      <c r="X108" s="4"/>
      <c r="Y108" s="4"/>
      <c r="Z108" s="4"/>
    </row>
    <row r="109">
      <c r="A109" s="23" t="s">
        <v>318</v>
      </c>
      <c r="B109" s="39" t="s">
        <v>101</v>
      </c>
      <c r="C109" s="4"/>
      <c r="D109" s="23" t="s">
        <v>125</v>
      </c>
      <c r="E109" s="42" t="s">
        <v>293</v>
      </c>
      <c r="F109" s="23" t="s">
        <v>294</v>
      </c>
      <c r="G109" s="23" t="s">
        <v>295</v>
      </c>
      <c r="H109" s="23" t="s">
        <v>319</v>
      </c>
      <c r="I109" s="4"/>
      <c r="J109" s="4"/>
      <c r="K109" s="4"/>
      <c r="L109" s="4"/>
      <c r="M109" s="4"/>
      <c r="N109" s="4"/>
      <c r="O109" s="4"/>
      <c r="P109" s="4"/>
      <c r="Q109" s="4"/>
      <c r="R109" s="4"/>
      <c r="S109" s="4"/>
      <c r="T109" s="4"/>
      <c r="U109" s="4"/>
      <c r="V109" s="4"/>
      <c r="W109" s="4"/>
      <c r="X109" s="4"/>
      <c r="Y109" s="4"/>
      <c r="Z109" s="4"/>
    </row>
    <row r="110">
      <c r="A110" s="23" t="s">
        <v>320</v>
      </c>
      <c r="B110" s="39" t="s">
        <v>101</v>
      </c>
      <c r="C110" s="4"/>
      <c r="D110" s="23" t="s">
        <v>125</v>
      </c>
      <c r="E110" s="42" t="s">
        <v>293</v>
      </c>
      <c r="F110" s="23" t="s">
        <v>294</v>
      </c>
      <c r="G110" s="23" t="s">
        <v>295</v>
      </c>
      <c r="H110" s="23" t="s">
        <v>321</v>
      </c>
      <c r="I110" s="4"/>
      <c r="J110" s="4"/>
      <c r="K110" s="4"/>
      <c r="L110" s="4"/>
      <c r="M110" s="4"/>
      <c r="N110" s="4"/>
      <c r="O110" s="4"/>
      <c r="P110" s="4"/>
      <c r="Q110" s="4"/>
      <c r="R110" s="4"/>
      <c r="S110" s="4"/>
      <c r="T110" s="4"/>
      <c r="U110" s="4"/>
      <c r="V110" s="4"/>
      <c r="W110" s="4"/>
      <c r="X110" s="4"/>
      <c r="Y110" s="4"/>
      <c r="Z110" s="4"/>
    </row>
    <row r="111">
      <c r="A111" s="23" t="s">
        <v>322</v>
      </c>
      <c r="B111" s="39" t="s">
        <v>101</v>
      </c>
      <c r="C111" s="4"/>
      <c r="D111" s="23" t="s">
        <v>125</v>
      </c>
      <c r="E111" s="42" t="s">
        <v>293</v>
      </c>
      <c r="F111" s="23" t="s">
        <v>294</v>
      </c>
      <c r="G111" s="23" t="s">
        <v>295</v>
      </c>
      <c r="H111" s="23" t="s">
        <v>323</v>
      </c>
      <c r="I111" s="4"/>
      <c r="J111" s="4"/>
      <c r="K111" s="4"/>
      <c r="L111" s="4"/>
      <c r="M111" s="4"/>
      <c r="N111" s="4"/>
      <c r="O111" s="4"/>
      <c r="P111" s="4"/>
      <c r="Q111" s="4"/>
      <c r="R111" s="4"/>
      <c r="S111" s="4"/>
      <c r="T111" s="4"/>
      <c r="U111" s="4"/>
      <c r="V111" s="4"/>
      <c r="W111" s="4"/>
      <c r="X111" s="4"/>
      <c r="Y111" s="4"/>
      <c r="Z111" s="4"/>
    </row>
    <row r="112">
      <c r="A112" s="23" t="s">
        <v>324</v>
      </c>
      <c r="B112" s="39" t="s">
        <v>101</v>
      </c>
      <c r="C112" s="4"/>
      <c r="D112" s="23" t="s">
        <v>125</v>
      </c>
      <c r="E112" s="42" t="s">
        <v>293</v>
      </c>
      <c r="F112" s="23" t="s">
        <v>294</v>
      </c>
      <c r="G112" s="23" t="s">
        <v>295</v>
      </c>
      <c r="H112" s="23" t="s">
        <v>325</v>
      </c>
      <c r="I112" s="4"/>
      <c r="J112" s="4"/>
      <c r="K112" s="4"/>
      <c r="L112" s="4"/>
      <c r="M112" s="4"/>
      <c r="N112" s="4"/>
      <c r="O112" s="4"/>
      <c r="P112" s="4"/>
      <c r="Q112" s="4"/>
      <c r="R112" s="4"/>
      <c r="S112" s="4"/>
      <c r="T112" s="4"/>
      <c r="U112" s="4"/>
      <c r="V112" s="4"/>
      <c r="W112" s="4"/>
      <c r="X112" s="4"/>
      <c r="Y112" s="4"/>
      <c r="Z112" s="4"/>
    </row>
    <row r="113">
      <c r="A113" s="23" t="s">
        <v>326</v>
      </c>
      <c r="B113" s="39" t="s">
        <v>101</v>
      </c>
      <c r="C113" s="4"/>
      <c r="D113" s="23" t="s">
        <v>125</v>
      </c>
      <c r="E113" s="42" t="s">
        <v>293</v>
      </c>
      <c r="F113" s="23" t="s">
        <v>294</v>
      </c>
      <c r="G113" s="23" t="s">
        <v>295</v>
      </c>
      <c r="H113" s="23" t="s">
        <v>327</v>
      </c>
      <c r="I113" s="4"/>
      <c r="J113" s="4"/>
      <c r="K113" s="4"/>
      <c r="L113" s="4"/>
      <c r="M113" s="4"/>
      <c r="N113" s="4"/>
      <c r="O113" s="4"/>
      <c r="P113" s="4"/>
      <c r="Q113" s="4"/>
      <c r="R113" s="4"/>
      <c r="S113" s="4"/>
      <c r="T113" s="4"/>
      <c r="U113" s="4"/>
      <c r="V113" s="4"/>
      <c r="W113" s="4"/>
      <c r="X113" s="4"/>
      <c r="Y113" s="4"/>
      <c r="Z113" s="4"/>
    </row>
    <row r="114">
      <c r="A114" s="23" t="s">
        <v>328</v>
      </c>
      <c r="B114" s="39" t="s">
        <v>101</v>
      </c>
      <c r="C114" s="4"/>
      <c r="D114" s="23" t="s">
        <v>125</v>
      </c>
      <c r="E114" s="42" t="s">
        <v>293</v>
      </c>
      <c r="F114" s="23" t="s">
        <v>294</v>
      </c>
      <c r="G114" s="23" t="s">
        <v>295</v>
      </c>
      <c r="H114" s="23" t="s">
        <v>238</v>
      </c>
      <c r="I114" s="4"/>
      <c r="J114" s="4"/>
      <c r="K114" s="4"/>
      <c r="L114" s="4"/>
      <c r="M114" s="4"/>
      <c r="N114" s="4"/>
      <c r="O114" s="4"/>
      <c r="P114" s="4"/>
      <c r="Q114" s="4"/>
      <c r="R114" s="4"/>
      <c r="S114" s="4"/>
      <c r="T114" s="4"/>
      <c r="U114" s="4"/>
      <c r="V114" s="4"/>
      <c r="W114" s="4"/>
      <c r="X114" s="4"/>
      <c r="Y114" s="4"/>
      <c r="Z114" s="4"/>
    </row>
    <row r="115">
      <c r="A115" s="23" t="s">
        <v>329</v>
      </c>
      <c r="B115" s="39" t="s">
        <v>101</v>
      </c>
      <c r="C115" s="4"/>
      <c r="D115" s="23" t="s">
        <v>125</v>
      </c>
      <c r="E115" s="42" t="s">
        <v>293</v>
      </c>
      <c r="F115" s="23" t="s">
        <v>294</v>
      </c>
      <c r="G115" s="23" t="s">
        <v>295</v>
      </c>
      <c r="H115" s="23" t="s">
        <v>330</v>
      </c>
      <c r="I115" s="4"/>
      <c r="J115" s="4"/>
      <c r="K115" s="4"/>
      <c r="L115" s="4"/>
      <c r="M115" s="4"/>
      <c r="N115" s="4"/>
      <c r="O115" s="4"/>
      <c r="P115" s="4"/>
      <c r="Q115" s="4"/>
      <c r="R115" s="4"/>
      <c r="S115" s="4"/>
      <c r="T115" s="4"/>
      <c r="U115" s="4"/>
      <c r="V115" s="4"/>
      <c r="W115" s="4"/>
      <c r="X115" s="4"/>
      <c r="Y115" s="4"/>
      <c r="Z115" s="4"/>
    </row>
    <row r="116">
      <c r="A116" s="23" t="s">
        <v>331</v>
      </c>
      <c r="B116" s="39" t="s">
        <v>101</v>
      </c>
      <c r="C116" s="4"/>
      <c r="D116" s="23" t="s">
        <v>125</v>
      </c>
      <c r="E116" s="42" t="s">
        <v>293</v>
      </c>
      <c r="F116" s="23" t="s">
        <v>294</v>
      </c>
      <c r="G116" s="23" t="s">
        <v>295</v>
      </c>
      <c r="H116" s="23" t="s">
        <v>332</v>
      </c>
      <c r="I116" s="4"/>
      <c r="J116" s="4"/>
      <c r="K116" s="4"/>
      <c r="L116" s="4"/>
      <c r="M116" s="4"/>
      <c r="N116" s="4"/>
      <c r="O116" s="4"/>
      <c r="P116" s="4"/>
      <c r="Q116" s="4"/>
      <c r="R116" s="4"/>
      <c r="S116" s="4"/>
      <c r="T116" s="4"/>
      <c r="U116" s="4"/>
      <c r="V116" s="4"/>
      <c r="W116" s="4"/>
      <c r="X116" s="4"/>
      <c r="Y116" s="4"/>
      <c r="Z116" s="4"/>
    </row>
    <row r="117">
      <c r="A117" s="23" t="s">
        <v>333</v>
      </c>
      <c r="B117" s="39" t="s">
        <v>101</v>
      </c>
      <c r="C117" s="4"/>
      <c r="D117" s="23" t="s">
        <v>125</v>
      </c>
      <c r="E117" s="42" t="s">
        <v>334</v>
      </c>
      <c r="F117" s="23" t="s">
        <v>335</v>
      </c>
      <c r="G117" s="23" t="s">
        <v>336</v>
      </c>
      <c r="H117" s="23" t="s">
        <v>337</v>
      </c>
      <c r="I117" s="4"/>
      <c r="J117" s="4"/>
      <c r="K117" s="4"/>
      <c r="L117" s="4"/>
      <c r="M117" s="4"/>
      <c r="N117" s="4"/>
      <c r="O117" s="4"/>
      <c r="P117" s="4"/>
      <c r="Q117" s="4"/>
      <c r="R117" s="4"/>
      <c r="S117" s="4"/>
      <c r="T117" s="4"/>
      <c r="U117" s="4"/>
      <c r="V117" s="4"/>
      <c r="W117" s="4"/>
      <c r="X117" s="4"/>
      <c r="Y117" s="4"/>
      <c r="Z117" s="4"/>
    </row>
    <row r="118">
      <c r="A118" s="23" t="s">
        <v>338</v>
      </c>
      <c r="B118" s="39" t="s">
        <v>101</v>
      </c>
      <c r="C118" s="4"/>
      <c r="D118" s="23" t="s">
        <v>125</v>
      </c>
      <c r="E118" s="42" t="s">
        <v>334</v>
      </c>
      <c r="F118" s="23" t="s">
        <v>335</v>
      </c>
      <c r="G118" s="23" t="s">
        <v>336</v>
      </c>
      <c r="H118" s="23" t="s">
        <v>339</v>
      </c>
      <c r="I118" s="4"/>
      <c r="J118" s="4"/>
      <c r="K118" s="4"/>
      <c r="L118" s="4"/>
      <c r="M118" s="4"/>
      <c r="N118" s="4"/>
      <c r="O118" s="4"/>
      <c r="P118" s="4"/>
      <c r="Q118" s="4"/>
      <c r="R118" s="4"/>
      <c r="S118" s="4"/>
      <c r="T118" s="4"/>
      <c r="U118" s="4"/>
      <c r="V118" s="4"/>
      <c r="W118" s="4"/>
      <c r="X118" s="4"/>
      <c r="Y118" s="4"/>
      <c r="Z118" s="4"/>
    </row>
    <row r="119">
      <c r="A119" s="23" t="s">
        <v>340</v>
      </c>
      <c r="B119" s="39" t="s">
        <v>101</v>
      </c>
      <c r="C119" s="4"/>
      <c r="D119" s="23" t="s">
        <v>125</v>
      </c>
      <c r="E119" s="42" t="s">
        <v>334</v>
      </c>
      <c r="F119" s="23" t="s">
        <v>335</v>
      </c>
      <c r="G119" s="23" t="s">
        <v>336</v>
      </c>
      <c r="H119" s="23" t="s">
        <v>341</v>
      </c>
      <c r="I119" s="4"/>
      <c r="J119" s="4"/>
      <c r="K119" s="4"/>
      <c r="L119" s="4"/>
      <c r="M119" s="4"/>
      <c r="N119" s="4"/>
      <c r="O119" s="4"/>
      <c r="P119" s="4"/>
      <c r="Q119" s="4"/>
      <c r="R119" s="4"/>
      <c r="S119" s="4"/>
      <c r="T119" s="4"/>
      <c r="U119" s="4"/>
      <c r="V119" s="4"/>
      <c r="W119" s="4"/>
      <c r="X119" s="4"/>
      <c r="Y119" s="4"/>
      <c r="Z119" s="4"/>
    </row>
    <row r="120">
      <c r="A120" s="23" t="s">
        <v>342</v>
      </c>
      <c r="B120" s="39" t="s">
        <v>101</v>
      </c>
      <c r="C120" s="4"/>
      <c r="D120" s="23" t="s">
        <v>125</v>
      </c>
      <c r="E120" s="42" t="s">
        <v>334</v>
      </c>
      <c r="F120" s="23" t="s">
        <v>335</v>
      </c>
      <c r="G120" s="23" t="s">
        <v>336</v>
      </c>
      <c r="H120" s="23" t="s">
        <v>343</v>
      </c>
      <c r="I120" s="4"/>
      <c r="J120" s="4"/>
      <c r="K120" s="4"/>
      <c r="L120" s="4"/>
      <c r="M120" s="4"/>
      <c r="N120" s="4"/>
      <c r="O120" s="4"/>
      <c r="P120" s="4"/>
      <c r="Q120" s="4"/>
      <c r="R120" s="4"/>
      <c r="S120" s="4"/>
      <c r="T120" s="4"/>
      <c r="U120" s="4"/>
      <c r="V120" s="4"/>
      <c r="W120" s="4"/>
      <c r="X120" s="4"/>
      <c r="Y120" s="4"/>
      <c r="Z120" s="4"/>
    </row>
    <row r="121">
      <c r="A121" s="23" t="s">
        <v>344</v>
      </c>
      <c r="B121" s="39" t="s">
        <v>101</v>
      </c>
      <c r="C121" s="4"/>
      <c r="D121" s="23" t="s">
        <v>125</v>
      </c>
      <c r="E121" s="42" t="s">
        <v>334</v>
      </c>
      <c r="F121" s="23" t="s">
        <v>335</v>
      </c>
      <c r="G121" s="23" t="s">
        <v>336</v>
      </c>
      <c r="H121" s="23" t="s">
        <v>345</v>
      </c>
      <c r="I121" s="4"/>
      <c r="J121" s="4"/>
      <c r="K121" s="4"/>
      <c r="L121" s="4"/>
      <c r="M121" s="4"/>
      <c r="N121" s="4"/>
      <c r="O121" s="4"/>
      <c r="P121" s="4"/>
      <c r="Q121" s="4"/>
      <c r="R121" s="4"/>
      <c r="S121" s="4"/>
      <c r="T121" s="4"/>
      <c r="U121" s="4"/>
      <c r="V121" s="4"/>
      <c r="W121" s="4"/>
      <c r="X121" s="4"/>
      <c r="Y121" s="4"/>
      <c r="Z121" s="4"/>
    </row>
    <row r="122">
      <c r="A122" s="23" t="s">
        <v>346</v>
      </c>
      <c r="B122" s="39" t="s">
        <v>101</v>
      </c>
      <c r="C122" s="4"/>
      <c r="D122" s="23" t="s">
        <v>125</v>
      </c>
      <c r="E122" s="42" t="s">
        <v>334</v>
      </c>
      <c r="F122" s="23" t="s">
        <v>335</v>
      </c>
      <c r="G122" s="23" t="s">
        <v>336</v>
      </c>
      <c r="H122" s="23" t="s">
        <v>347</v>
      </c>
      <c r="I122" s="4"/>
      <c r="J122" s="4"/>
      <c r="K122" s="4"/>
      <c r="L122" s="4"/>
      <c r="M122" s="4"/>
      <c r="N122" s="4"/>
      <c r="O122" s="4"/>
      <c r="P122" s="4"/>
      <c r="Q122" s="4"/>
      <c r="R122" s="4"/>
      <c r="S122" s="4"/>
      <c r="T122" s="4"/>
      <c r="U122" s="4"/>
      <c r="V122" s="4"/>
      <c r="W122" s="4"/>
      <c r="X122" s="4"/>
      <c r="Y122" s="4"/>
      <c r="Z122" s="4"/>
    </row>
    <row r="123">
      <c r="A123" s="23" t="s">
        <v>348</v>
      </c>
      <c r="B123" s="39" t="s">
        <v>101</v>
      </c>
      <c r="C123" s="4"/>
      <c r="D123" s="23" t="s">
        <v>125</v>
      </c>
      <c r="E123" s="42" t="s">
        <v>334</v>
      </c>
      <c r="F123" s="23" t="s">
        <v>335</v>
      </c>
      <c r="G123" s="23" t="s">
        <v>336</v>
      </c>
      <c r="H123" s="23" t="s">
        <v>349</v>
      </c>
      <c r="I123" s="4"/>
      <c r="J123" s="4"/>
      <c r="K123" s="4"/>
      <c r="L123" s="4"/>
      <c r="M123" s="4"/>
      <c r="N123" s="4"/>
      <c r="O123" s="4"/>
      <c r="P123" s="4"/>
      <c r="Q123" s="4"/>
      <c r="R123" s="4"/>
      <c r="S123" s="4"/>
      <c r="T123" s="4"/>
      <c r="U123" s="4"/>
      <c r="V123" s="4"/>
      <c r="W123" s="4"/>
      <c r="X123" s="4"/>
      <c r="Y123" s="4"/>
      <c r="Z123" s="4"/>
    </row>
    <row r="124">
      <c r="A124" s="23" t="s">
        <v>350</v>
      </c>
      <c r="B124" s="39" t="s">
        <v>101</v>
      </c>
      <c r="C124" s="4"/>
      <c r="D124" s="23" t="s">
        <v>125</v>
      </c>
      <c r="E124" s="42" t="s">
        <v>334</v>
      </c>
      <c r="F124" s="23" t="s">
        <v>335</v>
      </c>
      <c r="G124" s="23" t="s">
        <v>336</v>
      </c>
      <c r="H124" s="23" t="s">
        <v>272</v>
      </c>
      <c r="I124" s="4"/>
      <c r="J124" s="4"/>
      <c r="K124" s="4"/>
      <c r="L124" s="4"/>
      <c r="M124" s="4"/>
      <c r="N124" s="4"/>
      <c r="O124" s="4"/>
      <c r="P124" s="4"/>
      <c r="Q124" s="4"/>
      <c r="R124" s="4"/>
      <c r="S124" s="4"/>
      <c r="T124" s="4"/>
      <c r="U124" s="4"/>
      <c r="V124" s="4"/>
      <c r="W124" s="4"/>
      <c r="X124" s="4"/>
      <c r="Y124" s="4"/>
      <c r="Z124" s="4"/>
    </row>
    <row r="125">
      <c r="A125" s="23" t="s">
        <v>351</v>
      </c>
      <c r="B125" s="39" t="s">
        <v>101</v>
      </c>
      <c r="C125" s="4"/>
      <c r="D125" s="23" t="s">
        <v>125</v>
      </c>
      <c r="E125" s="42" t="s">
        <v>334</v>
      </c>
      <c r="F125" s="23" t="s">
        <v>335</v>
      </c>
      <c r="G125" s="23" t="s">
        <v>336</v>
      </c>
      <c r="H125" s="23" t="s">
        <v>352</v>
      </c>
      <c r="I125" s="4"/>
      <c r="J125" s="4"/>
      <c r="K125" s="4"/>
      <c r="L125" s="4"/>
      <c r="M125" s="4"/>
      <c r="N125" s="4"/>
      <c r="O125" s="4"/>
      <c r="P125" s="4"/>
      <c r="Q125" s="4"/>
      <c r="R125" s="4"/>
      <c r="S125" s="4"/>
      <c r="T125" s="4"/>
      <c r="U125" s="4"/>
      <c r="V125" s="4"/>
      <c r="W125" s="4"/>
      <c r="X125" s="4"/>
      <c r="Y125" s="4"/>
      <c r="Z125" s="4"/>
    </row>
    <row r="126">
      <c r="A126" s="23" t="s">
        <v>353</v>
      </c>
      <c r="B126" s="39" t="s">
        <v>101</v>
      </c>
      <c r="C126" s="4"/>
      <c r="D126" s="23" t="s">
        <v>125</v>
      </c>
      <c r="E126" s="42" t="s">
        <v>334</v>
      </c>
      <c r="F126" s="23" t="s">
        <v>335</v>
      </c>
      <c r="G126" s="23" t="s">
        <v>336</v>
      </c>
      <c r="H126" s="23" t="s">
        <v>354</v>
      </c>
      <c r="I126" s="4"/>
      <c r="J126" s="4"/>
      <c r="K126" s="4"/>
      <c r="L126" s="4"/>
      <c r="M126" s="4"/>
      <c r="N126" s="4"/>
      <c r="O126" s="4"/>
      <c r="P126" s="4"/>
      <c r="Q126" s="4"/>
      <c r="R126" s="4"/>
      <c r="S126" s="4"/>
      <c r="T126" s="4"/>
      <c r="U126" s="4"/>
      <c r="V126" s="4"/>
      <c r="W126" s="4"/>
      <c r="X126" s="4"/>
      <c r="Y126" s="4"/>
      <c r="Z126" s="4"/>
    </row>
    <row r="127">
      <c r="A127" s="23" t="s">
        <v>355</v>
      </c>
      <c r="B127" s="39" t="s">
        <v>101</v>
      </c>
      <c r="C127" s="4"/>
      <c r="D127" s="23" t="s">
        <v>125</v>
      </c>
      <c r="E127" s="42" t="s">
        <v>334</v>
      </c>
      <c r="F127" s="23" t="s">
        <v>335</v>
      </c>
      <c r="G127" s="23" t="s">
        <v>336</v>
      </c>
      <c r="H127" s="23" t="s">
        <v>145</v>
      </c>
      <c r="I127" s="4"/>
      <c r="J127" s="4"/>
      <c r="K127" s="4"/>
      <c r="L127" s="4"/>
      <c r="M127" s="4"/>
      <c r="N127" s="4"/>
      <c r="O127" s="4"/>
      <c r="P127" s="4"/>
      <c r="Q127" s="4"/>
      <c r="R127" s="4"/>
      <c r="S127" s="4"/>
      <c r="T127" s="4"/>
      <c r="U127" s="4"/>
      <c r="V127" s="4"/>
      <c r="W127" s="4"/>
      <c r="X127" s="4"/>
      <c r="Y127" s="4"/>
      <c r="Z127" s="4"/>
    </row>
    <row r="128">
      <c r="A128" s="23" t="s">
        <v>356</v>
      </c>
      <c r="B128" s="39" t="s">
        <v>101</v>
      </c>
      <c r="C128" s="4"/>
      <c r="D128" s="23" t="s">
        <v>125</v>
      </c>
      <c r="E128" s="42" t="s">
        <v>334</v>
      </c>
      <c r="F128" s="23" t="s">
        <v>335</v>
      </c>
      <c r="G128" s="23" t="s">
        <v>336</v>
      </c>
      <c r="H128" s="23" t="s">
        <v>357</v>
      </c>
      <c r="I128" s="4"/>
      <c r="J128" s="4"/>
      <c r="K128" s="4"/>
      <c r="L128" s="4"/>
      <c r="M128" s="4"/>
      <c r="N128" s="4"/>
      <c r="O128" s="4"/>
      <c r="P128" s="4"/>
      <c r="Q128" s="4"/>
      <c r="R128" s="4"/>
      <c r="S128" s="4"/>
      <c r="T128" s="4"/>
      <c r="U128" s="4"/>
      <c r="V128" s="4"/>
      <c r="W128" s="4"/>
      <c r="X128" s="4"/>
      <c r="Y128" s="4"/>
      <c r="Z128" s="4"/>
    </row>
    <row r="129">
      <c r="A129" s="23" t="s">
        <v>358</v>
      </c>
      <c r="B129" s="39" t="s">
        <v>101</v>
      </c>
      <c r="C129" s="4"/>
      <c r="D129" s="23" t="s">
        <v>125</v>
      </c>
      <c r="E129" s="42" t="s">
        <v>334</v>
      </c>
      <c r="F129" s="23" t="s">
        <v>335</v>
      </c>
      <c r="G129" s="23" t="s">
        <v>336</v>
      </c>
      <c r="H129" s="23" t="s">
        <v>359</v>
      </c>
      <c r="I129" s="4"/>
      <c r="J129" s="4"/>
      <c r="K129" s="4"/>
      <c r="L129" s="4"/>
      <c r="M129" s="4"/>
      <c r="N129" s="4"/>
      <c r="O129" s="4"/>
      <c r="P129" s="4"/>
      <c r="Q129" s="4"/>
      <c r="R129" s="4"/>
      <c r="S129" s="4"/>
      <c r="T129" s="4"/>
      <c r="U129" s="4"/>
      <c r="V129" s="4"/>
      <c r="W129" s="4"/>
      <c r="X129" s="4"/>
      <c r="Y129" s="4"/>
      <c r="Z129" s="4"/>
    </row>
    <row r="130">
      <c r="A130" s="23" t="s">
        <v>360</v>
      </c>
      <c r="B130" s="39" t="s">
        <v>101</v>
      </c>
      <c r="C130" s="4"/>
      <c r="D130" s="23" t="s">
        <v>125</v>
      </c>
      <c r="E130" s="42" t="s">
        <v>334</v>
      </c>
      <c r="F130" s="23" t="s">
        <v>335</v>
      </c>
      <c r="G130" s="23" t="s">
        <v>336</v>
      </c>
      <c r="H130" s="23" t="s">
        <v>361</v>
      </c>
      <c r="I130" s="4"/>
      <c r="J130" s="4"/>
      <c r="K130" s="4"/>
      <c r="L130" s="4"/>
      <c r="M130" s="4"/>
      <c r="N130" s="4"/>
      <c r="O130" s="4"/>
      <c r="P130" s="4"/>
      <c r="Q130" s="4"/>
      <c r="R130" s="4"/>
      <c r="S130" s="4"/>
      <c r="T130" s="4"/>
      <c r="U130" s="4"/>
      <c r="V130" s="4"/>
      <c r="W130" s="4"/>
      <c r="X130" s="4"/>
      <c r="Y130" s="4"/>
      <c r="Z130" s="4"/>
    </row>
    <row r="131">
      <c r="A131" s="23" t="s">
        <v>362</v>
      </c>
      <c r="B131" s="39" t="s">
        <v>101</v>
      </c>
      <c r="C131" s="4"/>
      <c r="D131" s="23" t="s">
        <v>125</v>
      </c>
      <c r="E131" s="42" t="s">
        <v>334</v>
      </c>
      <c r="F131" s="23" t="s">
        <v>335</v>
      </c>
      <c r="G131" s="23" t="s">
        <v>336</v>
      </c>
      <c r="H131" s="23" t="s">
        <v>363</v>
      </c>
      <c r="I131" s="4"/>
      <c r="J131" s="4"/>
      <c r="K131" s="4"/>
      <c r="L131" s="4"/>
      <c r="M131" s="4"/>
      <c r="N131" s="4"/>
      <c r="O131" s="4"/>
      <c r="P131" s="4"/>
      <c r="Q131" s="4"/>
      <c r="R131" s="4"/>
      <c r="S131" s="4"/>
      <c r="T131" s="4"/>
      <c r="U131" s="4"/>
      <c r="V131" s="4"/>
      <c r="W131" s="4"/>
      <c r="X131" s="4"/>
      <c r="Y131" s="4"/>
      <c r="Z131" s="4"/>
    </row>
    <row r="132">
      <c r="A132" s="23" t="s">
        <v>364</v>
      </c>
      <c r="B132" s="39" t="s">
        <v>101</v>
      </c>
      <c r="C132" s="4"/>
      <c r="D132" s="23" t="s">
        <v>125</v>
      </c>
      <c r="E132" s="42" t="s">
        <v>334</v>
      </c>
      <c r="F132" s="23" t="s">
        <v>335</v>
      </c>
      <c r="G132" s="23" t="s">
        <v>336</v>
      </c>
      <c r="H132" s="23" t="s">
        <v>238</v>
      </c>
      <c r="I132" s="4"/>
      <c r="J132" s="4"/>
      <c r="K132" s="4"/>
      <c r="L132" s="4"/>
      <c r="M132" s="4"/>
      <c r="N132" s="4"/>
      <c r="O132" s="4"/>
      <c r="P132" s="4"/>
      <c r="Q132" s="4"/>
      <c r="R132" s="4"/>
      <c r="S132" s="4"/>
      <c r="T132" s="4"/>
      <c r="U132" s="4"/>
      <c r="V132" s="4"/>
      <c r="W132" s="4"/>
      <c r="X132" s="4"/>
      <c r="Y132" s="4"/>
      <c r="Z132" s="4"/>
    </row>
    <row r="133">
      <c r="A133" s="23" t="s">
        <v>365</v>
      </c>
      <c r="B133" s="39" t="s">
        <v>101</v>
      </c>
      <c r="C133" s="4"/>
      <c r="D133" s="23" t="s">
        <v>125</v>
      </c>
      <c r="E133" s="42" t="s">
        <v>334</v>
      </c>
      <c r="F133" s="23" t="s">
        <v>335</v>
      </c>
      <c r="G133" s="23" t="s">
        <v>336</v>
      </c>
      <c r="H133" s="23" t="s">
        <v>366</v>
      </c>
      <c r="I133" s="4"/>
      <c r="J133" s="4"/>
      <c r="K133" s="4"/>
      <c r="L133" s="4"/>
      <c r="M133" s="4"/>
      <c r="N133" s="4"/>
      <c r="O133" s="4"/>
      <c r="P133" s="4"/>
      <c r="Q133" s="4"/>
      <c r="R133" s="4"/>
      <c r="S133" s="4"/>
      <c r="T133" s="4"/>
      <c r="U133" s="4"/>
      <c r="V133" s="4"/>
      <c r="W133" s="4"/>
      <c r="X133" s="4"/>
      <c r="Y133" s="4"/>
      <c r="Z133" s="4"/>
    </row>
    <row r="134">
      <c r="A134" s="23" t="s">
        <v>367</v>
      </c>
      <c r="B134" s="39" t="s">
        <v>101</v>
      </c>
      <c r="C134" s="4"/>
      <c r="D134" s="23" t="s">
        <v>125</v>
      </c>
      <c r="E134" s="42" t="s">
        <v>334</v>
      </c>
      <c r="F134" s="23" t="s">
        <v>335</v>
      </c>
      <c r="G134" s="23" t="s">
        <v>336</v>
      </c>
      <c r="H134" s="23" t="s">
        <v>368</v>
      </c>
      <c r="I134" s="4"/>
      <c r="J134" s="4"/>
      <c r="K134" s="4"/>
      <c r="L134" s="4"/>
      <c r="M134" s="4"/>
      <c r="N134" s="4"/>
      <c r="O134" s="4"/>
      <c r="P134" s="4"/>
      <c r="Q134" s="4"/>
      <c r="R134" s="4"/>
      <c r="S134" s="4"/>
      <c r="T134" s="4"/>
      <c r="U134" s="4"/>
      <c r="V134" s="4"/>
      <c r="W134" s="4"/>
      <c r="X134" s="4"/>
      <c r="Y134" s="4"/>
      <c r="Z134" s="4"/>
    </row>
    <row r="135">
      <c r="A135" s="23" t="s">
        <v>369</v>
      </c>
      <c r="B135" s="39" t="s">
        <v>101</v>
      </c>
      <c r="C135" s="4"/>
      <c r="D135" s="23" t="s">
        <v>125</v>
      </c>
      <c r="E135" s="42" t="s">
        <v>334</v>
      </c>
      <c r="F135" s="23" t="s">
        <v>335</v>
      </c>
      <c r="G135" s="23" t="s">
        <v>336</v>
      </c>
      <c r="H135" s="23" t="s">
        <v>370</v>
      </c>
      <c r="I135" s="4"/>
      <c r="J135" s="4"/>
      <c r="K135" s="4"/>
      <c r="L135" s="4"/>
      <c r="M135" s="4"/>
      <c r="N135" s="4"/>
      <c r="O135" s="4"/>
      <c r="P135" s="4"/>
      <c r="Q135" s="4"/>
      <c r="R135" s="4"/>
      <c r="S135" s="4"/>
      <c r="T135" s="4"/>
      <c r="U135" s="4"/>
      <c r="V135" s="4"/>
      <c r="W135" s="4"/>
      <c r="X135" s="4"/>
      <c r="Y135" s="4"/>
      <c r="Z135" s="4"/>
    </row>
    <row r="136">
      <c r="A136" s="23" t="s">
        <v>371</v>
      </c>
      <c r="B136" s="39" t="s">
        <v>101</v>
      </c>
      <c r="C136" s="4"/>
      <c r="D136" s="23" t="s">
        <v>125</v>
      </c>
      <c r="E136" s="42" t="s">
        <v>334</v>
      </c>
      <c r="F136" s="23" t="s">
        <v>335</v>
      </c>
      <c r="G136" s="23" t="s">
        <v>336</v>
      </c>
      <c r="H136" s="23" t="s">
        <v>372</v>
      </c>
      <c r="I136" s="4"/>
      <c r="J136" s="4"/>
      <c r="K136" s="4"/>
      <c r="L136" s="4"/>
      <c r="M136" s="4"/>
      <c r="N136" s="4"/>
      <c r="O136" s="4"/>
      <c r="P136" s="4"/>
      <c r="Q136" s="4"/>
      <c r="R136" s="4"/>
      <c r="S136" s="4"/>
      <c r="T136" s="4"/>
      <c r="U136" s="4"/>
      <c r="V136" s="4"/>
      <c r="W136" s="4"/>
      <c r="X136" s="4"/>
      <c r="Y136" s="4"/>
      <c r="Z136" s="4"/>
    </row>
    <row r="137">
      <c r="A137" s="23" t="s">
        <v>373</v>
      </c>
      <c r="B137" s="39" t="s">
        <v>101</v>
      </c>
      <c r="C137" s="4"/>
      <c r="D137" s="23" t="s">
        <v>125</v>
      </c>
      <c r="E137" s="42" t="s">
        <v>374</v>
      </c>
      <c r="F137" s="23" t="s">
        <v>375</v>
      </c>
      <c r="G137" s="23" t="s">
        <v>376</v>
      </c>
      <c r="H137" s="23" t="s">
        <v>377</v>
      </c>
      <c r="I137" s="4"/>
      <c r="J137" s="4"/>
      <c r="K137" s="4"/>
      <c r="L137" s="4"/>
      <c r="M137" s="4"/>
      <c r="N137" s="4"/>
      <c r="O137" s="4"/>
      <c r="P137" s="4"/>
      <c r="Q137" s="4"/>
      <c r="R137" s="4"/>
      <c r="S137" s="4"/>
      <c r="T137" s="4"/>
      <c r="U137" s="4"/>
      <c r="V137" s="4"/>
      <c r="W137" s="4"/>
      <c r="X137" s="4"/>
      <c r="Y137" s="4"/>
      <c r="Z137" s="4"/>
    </row>
    <row r="138">
      <c r="A138" s="23" t="s">
        <v>378</v>
      </c>
      <c r="B138" s="39" t="s">
        <v>101</v>
      </c>
      <c r="C138" s="4"/>
      <c r="D138" s="23" t="s">
        <v>125</v>
      </c>
      <c r="E138" s="42" t="s">
        <v>374</v>
      </c>
      <c r="F138" s="23" t="s">
        <v>375</v>
      </c>
      <c r="G138" s="23" t="s">
        <v>376</v>
      </c>
      <c r="H138" s="23" t="s">
        <v>379</v>
      </c>
      <c r="I138" s="4"/>
      <c r="J138" s="4"/>
      <c r="K138" s="4"/>
      <c r="L138" s="4"/>
      <c r="M138" s="4"/>
      <c r="N138" s="4"/>
      <c r="O138" s="4"/>
      <c r="P138" s="4"/>
      <c r="Q138" s="4"/>
      <c r="R138" s="4"/>
      <c r="S138" s="4"/>
      <c r="T138" s="4"/>
      <c r="U138" s="4"/>
      <c r="V138" s="4"/>
      <c r="W138" s="4"/>
      <c r="X138" s="4"/>
      <c r="Y138" s="4"/>
      <c r="Z138" s="4"/>
    </row>
    <row r="139">
      <c r="A139" s="23" t="s">
        <v>380</v>
      </c>
      <c r="B139" s="39" t="s">
        <v>101</v>
      </c>
      <c r="C139" s="4"/>
      <c r="D139" s="23" t="s">
        <v>125</v>
      </c>
      <c r="E139" s="42" t="s">
        <v>374</v>
      </c>
      <c r="F139" s="23" t="s">
        <v>375</v>
      </c>
      <c r="G139" s="23" t="s">
        <v>376</v>
      </c>
      <c r="H139" s="23" t="s">
        <v>381</v>
      </c>
      <c r="I139" s="4"/>
      <c r="J139" s="4"/>
      <c r="K139" s="4"/>
      <c r="L139" s="4"/>
      <c r="M139" s="4"/>
      <c r="N139" s="4"/>
      <c r="O139" s="4"/>
      <c r="P139" s="4"/>
      <c r="Q139" s="4"/>
      <c r="R139" s="4"/>
      <c r="S139" s="4"/>
      <c r="T139" s="4"/>
      <c r="U139" s="4"/>
      <c r="V139" s="4"/>
      <c r="W139" s="4"/>
      <c r="X139" s="4"/>
      <c r="Y139" s="4"/>
      <c r="Z139" s="4"/>
    </row>
    <row r="140">
      <c r="A140" s="23" t="s">
        <v>382</v>
      </c>
      <c r="B140" s="39" t="s">
        <v>101</v>
      </c>
      <c r="C140" s="4"/>
      <c r="D140" s="23" t="s">
        <v>125</v>
      </c>
      <c r="E140" s="42" t="s">
        <v>374</v>
      </c>
      <c r="F140" s="23" t="s">
        <v>375</v>
      </c>
      <c r="G140" s="23" t="s">
        <v>376</v>
      </c>
      <c r="H140" s="23" t="s">
        <v>383</v>
      </c>
      <c r="I140" s="4"/>
      <c r="J140" s="4"/>
      <c r="K140" s="4"/>
      <c r="L140" s="4"/>
      <c r="M140" s="4"/>
      <c r="N140" s="4"/>
      <c r="O140" s="4"/>
      <c r="P140" s="4"/>
      <c r="Q140" s="4"/>
      <c r="R140" s="4"/>
      <c r="S140" s="4"/>
      <c r="T140" s="4"/>
      <c r="U140" s="4"/>
      <c r="V140" s="4"/>
      <c r="W140" s="4"/>
      <c r="X140" s="4"/>
      <c r="Y140" s="4"/>
      <c r="Z140" s="4"/>
    </row>
    <row r="141">
      <c r="A141" s="23" t="s">
        <v>384</v>
      </c>
      <c r="B141" s="39" t="s">
        <v>101</v>
      </c>
      <c r="C141" s="4"/>
      <c r="D141" s="23" t="s">
        <v>125</v>
      </c>
      <c r="E141" s="42" t="s">
        <v>374</v>
      </c>
      <c r="F141" s="23" t="s">
        <v>375</v>
      </c>
      <c r="G141" s="23" t="s">
        <v>376</v>
      </c>
      <c r="H141" s="23" t="s">
        <v>385</v>
      </c>
      <c r="I141" s="4"/>
      <c r="J141" s="4"/>
      <c r="K141" s="4"/>
      <c r="L141" s="4"/>
      <c r="M141" s="4"/>
      <c r="N141" s="4"/>
      <c r="O141" s="4"/>
      <c r="P141" s="4"/>
      <c r="Q141" s="4"/>
      <c r="R141" s="4"/>
      <c r="S141" s="4"/>
      <c r="T141" s="4"/>
      <c r="U141" s="4"/>
      <c r="V141" s="4"/>
      <c r="W141" s="4"/>
      <c r="X141" s="4"/>
      <c r="Y141" s="4"/>
      <c r="Z141" s="4"/>
    </row>
    <row r="142">
      <c r="A142" s="23" t="s">
        <v>386</v>
      </c>
      <c r="B142" s="39" t="s">
        <v>101</v>
      </c>
      <c r="C142" s="4"/>
      <c r="D142" s="23" t="s">
        <v>125</v>
      </c>
      <c r="E142" s="42" t="s">
        <v>374</v>
      </c>
      <c r="F142" s="23" t="s">
        <v>375</v>
      </c>
      <c r="G142" s="23" t="s">
        <v>376</v>
      </c>
      <c r="H142" s="23" t="s">
        <v>387</v>
      </c>
      <c r="I142" s="4"/>
      <c r="J142" s="4"/>
      <c r="K142" s="4"/>
      <c r="L142" s="4"/>
      <c r="M142" s="4"/>
      <c r="N142" s="4"/>
      <c r="O142" s="4"/>
      <c r="P142" s="4"/>
      <c r="Q142" s="4"/>
      <c r="R142" s="4"/>
      <c r="S142" s="4"/>
      <c r="T142" s="4"/>
      <c r="U142" s="4"/>
      <c r="V142" s="4"/>
      <c r="W142" s="4"/>
      <c r="X142" s="4"/>
      <c r="Y142" s="4"/>
      <c r="Z142" s="4"/>
    </row>
    <row r="143">
      <c r="A143" s="23" t="s">
        <v>388</v>
      </c>
      <c r="B143" s="39" t="s">
        <v>101</v>
      </c>
      <c r="C143" s="4"/>
      <c r="D143" s="23" t="s">
        <v>125</v>
      </c>
      <c r="E143" s="42" t="s">
        <v>374</v>
      </c>
      <c r="F143" s="23" t="s">
        <v>375</v>
      </c>
      <c r="G143" s="23" t="s">
        <v>376</v>
      </c>
      <c r="H143" s="23" t="s">
        <v>389</v>
      </c>
      <c r="I143" s="4"/>
      <c r="J143" s="4"/>
      <c r="K143" s="4"/>
      <c r="L143" s="4"/>
      <c r="M143" s="4"/>
      <c r="N143" s="4"/>
      <c r="O143" s="4"/>
      <c r="P143" s="4"/>
      <c r="Q143" s="4"/>
      <c r="R143" s="4"/>
      <c r="S143" s="4"/>
      <c r="T143" s="4"/>
      <c r="U143" s="4"/>
      <c r="V143" s="4"/>
      <c r="W143" s="4"/>
      <c r="X143" s="4"/>
      <c r="Y143" s="4"/>
      <c r="Z143" s="4"/>
    </row>
    <row r="144">
      <c r="A144" s="23" t="s">
        <v>390</v>
      </c>
      <c r="B144" s="39" t="s">
        <v>101</v>
      </c>
      <c r="C144" s="4"/>
      <c r="D144" s="23" t="s">
        <v>125</v>
      </c>
      <c r="E144" s="42" t="s">
        <v>374</v>
      </c>
      <c r="F144" s="23" t="s">
        <v>375</v>
      </c>
      <c r="G144" s="23" t="s">
        <v>376</v>
      </c>
      <c r="H144" s="23" t="s">
        <v>347</v>
      </c>
      <c r="I144" s="4"/>
      <c r="J144" s="4"/>
      <c r="K144" s="4"/>
      <c r="L144" s="4"/>
      <c r="M144" s="4"/>
      <c r="N144" s="4"/>
      <c r="O144" s="4"/>
      <c r="P144" s="4"/>
      <c r="Q144" s="4"/>
      <c r="R144" s="4"/>
      <c r="S144" s="4"/>
      <c r="T144" s="4"/>
      <c r="U144" s="4"/>
      <c r="V144" s="4"/>
      <c r="W144" s="4"/>
      <c r="X144" s="4"/>
      <c r="Y144" s="4"/>
      <c r="Z144" s="4"/>
    </row>
    <row r="145">
      <c r="A145" s="23" t="s">
        <v>391</v>
      </c>
      <c r="B145" s="39" t="s">
        <v>101</v>
      </c>
      <c r="C145" s="4"/>
      <c r="D145" s="23" t="s">
        <v>125</v>
      </c>
      <c r="E145" s="42" t="s">
        <v>374</v>
      </c>
      <c r="F145" s="23" t="s">
        <v>375</v>
      </c>
      <c r="G145" s="23" t="s">
        <v>376</v>
      </c>
      <c r="H145" s="23" t="s">
        <v>392</v>
      </c>
      <c r="I145" s="4"/>
      <c r="J145" s="4"/>
      <c r="K145" s="4"/>
      <c r="L145" s="4"/>
      <c r="M145" s="4"/>
      <c r="N145" s="4"/>
      <c r="O145" s="4"/>
      <c r="P145" s="4"/>
      <c r="Q145" s="4"/>
      <c r="R145" s="4"/>
      <c r="S145" s="4"/>
      <c r="T145" s="4"/>
      <c r="U145" s="4"/>
      <c r="V145" s="4"/>
      <c r="W145" s="4"/>
      <c r="X145" s="4"/>
      <c r="Y145" s="4"/>
      <c r="Z145" s="4"/>
    </row>
    <row r="146">
      <c r="A146" s="23" t="s">
        <v>393</v>
      </c>
      <c r="B146" s="39" t="s">
        <v>101</v>
      </c>
      <c r="C146" s="4"/>
      <c r="D146" s="23" t="s">
        <v>125</v>
      </c>
      <c r="E146" s="42" t="s">
        <v>374</v>
      </c>
      <c r="F146" s="23" t="s">
        <v>375</v>
      </c>
      <c r="G146" s="23" t="s">
        <v>376</v>
      </c>
      <c r="H146" s="23" t="s">
        <v>394</v>
      </c>
      <c r="I146" s="4"/>
      <c r="J146" s="4"/>
      <c r="K146" s="4"/>
      <c r="L146" s="4"/>
      <c r="M146" s="4"/>
      <c r="N146" s="4"/>
      <c r="O146" s="4"/>
      <c r="P146" s="4"/>
      <c r="Q146" s="4"/>
      <c r="R146" s="4"/>
      <c r="S146" s="4"/>
      <c r="T146" s="4"/>
      <c r="U146" s="4"/>
      <c r="V146" s="4"/>
      <c r="W146" s="4"/>
      <c r="X146" s="4"/>
      <c r="Y146" s="4"/>
      <c r="Z146" s="4"/>
    </row>
    <row r="147">
      <c r="A147" s="23" t="s">
        <v>395</v>
      </c>
      <c r="B147" s="39" t="s">
        <v>101</v>
      </c>
      <c r="C147" s="4"/>
      <c r="D147" s="23" t="s">
        <v>125</v>
      </c>
      <c r="E147" s="42" t="s">
        <v>374</v>
      </c>
      <c r="F147" s="23" t="s">
        <v>375</v>
      </c>
      <c r="G147" s="23" t="s">
        <v>376</v>
      </c>
      <c r="H147" s="23" t="s">
        <v>396</v>
      </c>
      <c r="I147" s="4"/>
      <c r="J147" s="4"/>
      <c r="K147" s="4"/>
      <c r="L147" s="4"/>
      <c r="M147" s="4"/>
      <c r="N147" s="4"/>
      <c r="O147" s="4"/>
      <c r="P147" s="4"/>
      <c r="Q147" s="4"/>
      <c r="R147" s="4"/>
      <c r="S147" s="4"/>
      <c r="T147" s="4"/>
      <c r="U147" s="4"/>
      <c r="V147" s="4"/>
      <c r="W147" s="4"/>
      <c r="X147" s="4"/>
      <c r="Y147" s="4"/>
      <c r="Z147" s="4"/>
    </row>
    <row r="148">
      <c r="A148" s="23" t="s">
        <v>397</v>
      </c>
      <c r="B148" s="39" t="s">
        <v>101</v>
      </c>
      <c r="C148" s="4"/>
      <c r="D148" s="23" t="s">
        <v>125</v>
      </c>
      <c r="E148" s="42" t="s">
        <v>374</v>
      </c>
      <c r="F148" s="23" t="s">
        <v>375</v>
      </c>
      <c r="G148" s="23" t="s">
        <v>376</v>
      </c>
      <c r="H148" s="23" t="s">
        <v>398</v>
      </c>
      <c r="I148" s="4"/>
      <c r="J148" s="4"/>
      <c r="K148" s="4"/>
      <c r="L148" s="4"/>
      <c r="M148" s="4"/>
      <c r="N148" s="4"/>
      <c r="O148" s="4"/>
      <c r="P148" s="4"/>
      <c r="Q148" s="4"/>
      <c r="R148" s="4"/>
      <c r="S148" s="4"/>
      <c r="T148" s="4"/>
      <c r="U148" s="4"/>
      <c r="V148" s="4"/>
      <c r="W148" s="4"/>
      <c r="X148" s="4"/>
      <c r="Y148" s="4"/>
      <c r="Z148" s="4"/>
    </row>
    <row r="149">
      <c r="A149" s="23" t="s">
        <v>399</v>
      </c>
      <c r="B149" s="39" t="s">
        <v>101</v>
      </c>
      <c r="C149" s="4"/>
      <c r="D149" s="23" t="s">
        <v>125</v>
      </c>
      <c r="E149" s="42" t="s">
        <v>374</v>
      </c>
      <c r="F149" s="23" t="s">
        <v>375</v>
      </c>
      <c r="G149" s="23" t="s">
        <v>376</v>
      </c>
      <c r="H149" s="23" t="s">
        <v>400</v>
      </c>
      <c r="I149" s="4"/>
      <c r="J149" s="4"/>
      <c r="K149" s="4"/>
      <c r="L149" s="4"/>
      <c r="M149" s="4"/>
      <c r="N149" s="4"/>
      <c r="O149" s="4"/>
      <c r="P149" s="4"/>
      <c r="Q149" s="4"/>
      <c r="R149" s="4"/>
      <c r="S149" s="4"/>
      <c r="T149" s="4"/>
      <c r="U149" s="4"/>
      <c r="V149" s="4"/>
      <c r="W149" s="4"/>
      <c r="X149" s="4"/>
      <c r="Y149" s="4"/>
      <c r="Z149" s="4"/>
    </row>
    <row r="150">
      <c r="A150" s="23" t="s">
        <v>401</v>
      </c>
      <c r="B150" s="39" t="s">
        <v>101</v>
      </c>
      <c r="C150" s="4"/>
      <c r="D150" s="23" t="s">
        <v>125</v>
      </c>
      <c r="E150" s="42" t="s">
        <v>374</v>
      </c>
      <c r="F150" s="23" t="s">
        <v>375</v>
      </c>
      <c r="G150" s="23" t="s">
        <v>376</v>
      </c>
      <c r="H150" s="23" t="s">
        <v>402</v>
      </c>
      <c r="I150" s="4"/>
      <c r="J150" s="4"/>
      <c r="K150" s="4"/>
      <c r="L150" s="4"/>
      <c r="M150" s="4"/>
      <c r="N150" s="4"/>
      <c r="O150" s="4"/>
      <c r="P150" s="4"/>
      <c r="Q150" s="4"/>
      <c r="R150" s="4"/>
      <c r="S150" s="4"/>
      <c r="T150" s="4"/>
      <c r="U150" s="4"/>
      <c r="V150" s="4"/>
      <c r="W150" s="4"/>
      <c r="X150" s="4"/>
      <c r="Y150" s="4"/>
      <c r="Z150" s="4"/>
    </row>
    <row r="151">
      <c r="A151" s="23" t="s">
        <v>403</v>
      </c>
      <c r="B151" s="39" t="s">
        <v>101</v>
      </c>
      <c r="C151" s="4"/>
      <c r="D151" s="23" t="s">
        <v>125</v>
      </c>
      <c r="E151" s="42" t="s">
        <v>374</v>
      </c>
      <c r="F151" s="23" t="s">
        <v>375</v>
      </c>
      <c r="G151" s="23" t="s">
        <v>376</v>
      </c>
      <c r="H151" s="23" t="s">
        <v>404</v>
      </c>
      <c r="I151" s="4"/>
      <c r="J151" s="4"/>
      <c r="K151" s="4"/>
      <c r="L151" s="4"/>
      <c r="M151" s="4"/>
      <c r="N151" s="4"/>
      <c r="O151" s="4"/>
      <c r="P151" s="4"/>
      <c r="Q151" s="4"/>
      <c r="R151" s="4"/>
      <c r="S151" s="4"/>
      <c r="T151" s="4"/>
      <c r="U151" s="4"/>
      <c r="V151" s="4"/>
      <c r="W151" s="4"/>
      <c r="X151" s="4"/>
      <c r="Y151" s="4"/>
      <c r="Z151" s="4"/>
    </row>
    <row r="152">
      <c r="A152" s="23" t="s">
        <v>405</v>
      </c>
      <c r="B152" s="39" t="s">
        <v>101</v>
      </c>
      <c r="C152" s="4"/>
      <c r="D152" s="23" t="s">
        <v>125</v>
      </c>
      <c r="E152" s="42" t="s">
        <v>374</v>
      </c>
      <c r="F152" s="23" t="s">
        <v>375</v>
      </c>
      <c r="G152" s="23" t="s">
        <v>376</v>
      </c>
      <c r="H152" s="23" t="s">
        <v>406</v>
      </c>
      <c r="I152" s="4"/>
      <c r="J152" s="4"/>
      <c r="K152" s="4"/>
      <c r="L152" s="4"/>
      <c r="M152" s="4"/>
      <c r="N152" s="4"/>
      <c r="O152" s="4"/>
      <c r="P152" s="4"/>
      <c r="Q152" s="4"/>
      <c r="R152" s="4"/>
      <c r="S152" s="4"/>
      <c r="T152" s="4"/>
      <c r="U152" s="4"/>
      <c r="V152" s="4"/>
      <c r="W152" s="4"/>
      <c r="X152" s="4"/>
      <c r="Y152" s="4"/>
      <c r="Z152" s="4"/>
    </row>
    <row r="153">
      <c r="A153" s="23" t="s">
        <v>407</v>
      </c>
      <c r="B153" s="39" t="s">
        <v>101</v>
      </c>
      <c r="C153" s="4"/>
      <c r="D153" s="23" t="s">
        <v>125</v>
      </c>
      <c r="E153" s="42" t="s">
        <v>374</v>
      </c>
      <c r="F153" s="23" t="s">
        <v>375</v>
      </c>
      <c r="G153" s="23" t="s">
        <v>376</v>
      </c>
      <c r="H153" s="23" t="s">
        <v>408</v>
      </c>
      <c r="I153" s="4"/>
      <c r="J153" s="4"/>
      <c r="K153" s="4"/>
      <c r="L153" s="4"/>
      <c r="M153" s="4"/>
      <c r="N153" s="4"/>
      <c r="O153" s="4"/>
      <c r="P153" s="4"/>
      <c r="Q153" s="4"/>
      <c r="R153" s="4"/>
      <c r="S153" s="4"/>
      <c r="T153" s="4"/>
      <c r="U153" s="4"/>
      <c r="V153" s="4"/>
      <c r="W153" s="4"/>
      <c r="X153" s="4"/>
      <c r="Y153" s="4"/>
      <c r="Z153" s="4"/>
    </row>
    <row r="154">
      <c r="A154" s="23" t="s">
        <v>409</v>
      </c>
      <c r="B154" s="39" t="s">
        <v>101</v>
      </c>
      <c r="C154" s="4"/>
      <c r="D154" s="23" t="s">
        <v>125</v>
      </c>
      <c r="E154" s="42" t="s">
        <v>374</v>
      </c>
      <c r="F154" s="23" t="s">
        <v>375</v>
      </c>
      <c r="G154" s="23" t="s">
        <v>376</v>
      </c>
      <c r="H154" s="23" t="s">
        <v>410</v>
      </c>
      <c r="I154" s="4"/>
      <c r="J154" s="4"/>
      <c r="K154" s="4"/>
      <c r="L154" s="4"/>
      <c r="M154" s="4"/>
      <c r="N154" s="4"/>
      <c r="O154" s="4"/>
      <c r="P154" s="4"/>
      <c r="Q154" s="4"/>
      <c r="R154" s="4"/>
      <c r="S154" s="4"/>
      <c r="T154" s="4"/>
      <c r="U154" s="4"/>
      <c r="V154" s="4"/>
      <c r="W154" s="4"/>
      <c r="X154" s="4"/>
      <c r="Y154" s="4"/>
      <c r="Z154" s="4"/>
    </row>
    <row r="155">
      <c r="A155" s="23" t="s">
        <v>411</v>
      </c>
      <c r="B155" s="39" t="s">
        <v>101</v>
      </c>
      <c r="C155" s="4"/>
      <c r="D155" s="23" t="s">
        <v>125</v>
      </c>
      <c r="E155" s="42" t="s">
        <v>374</v>
      </c>
      <c r="F155" s="23" t="s">
        <v>375</v>
      </c>
      <c r="G155" s="23" t="s">
        <v>376</v>
      </c>
      <c r="H155" s="23" t="s">
        <v>412</v>
      </c>
      <c r="I155" s="4"/>
      <c r="J155" s="4"/>
      <c r="K155" s="4"/>
      <c r="L155" s="4"/>
      <c r="M155" s="4"/>
      <c r="N155" s="4"/>
      <c r="O155" s="4"/>
      <c r="P155" s="4"/>
      <c r="Q155" s="4"/>
      <c r="R155" s="4"/>
      <c r="S155" s="4"/>
      <c r="T155" s="4"/>
      <c r="U155" s="4"/>
      <c r="V155" s="4"/>
      <c r="W155" s="4"/>
      <c r="X155" s="4"/>
      <c r="Y155" s="4"/>
      <c r="Z155" s="4"/>
    </row>
    <row r="156">
      <c r="A156" s="23" t="s">
        <v>413</v>
      </c>
      <c r="B156" s="39" t="s">
        <v>101</v>
      </c>
      <c r="C156" s="4"/>
      <c r="D156" s="23" t="s">
        <v>125</v>
      </c>
      <c r="E156" s="42" t="s">
        <v>374</v>
      </c>
      <c r="F156" s="23" t="s">
        <v>375</v>
      </c>
      <c r="G156" s="23" t="s">
        <v>376</v>
      </c>
      <c r="H156" s="23" t="s">
        <v>414</v>
      </c>
      <c r="I156" s="4"/>
      <c r="J156" s="4"/>
      <c r="K156" s="4"/>
      <c r="L156" s="4"/>
      <c r="M156" s="4"/>
      <c r="N156" s="4"/>
      <c r="O156" s="4"/>
      <c r="P156" s="4"/>
      <c r="Q156" s="4"/>
      <c r="R156" s="4"/>
      <c r="S156" s="4"/>
      <c r="T156" s="4"/>
      <c r="U156" s="4"/>
      <c r="V156" s="4"/>
      <c r="W156" s="4"/>
      <c r="X156" s="4"/>
      <c r="Y156" s="4"/>
      <c r="Z156" s="4"/>
    </row>
    <row r="157">
      <c r="A157" s="23" t="s">
        <v>415</v>
      </c>
      <c r="B157" s="39" t="s">
        <v>101</v>
      </c>
      <c r="C157" s="4"/>
      <c r="D157" s="23" t="s">
        <v>125</v>
      </c>
      <c r="E157" s="42" t="s">
        <v>416</v>
      </c>
      <c r="F157" s="23" t="s">
        <v>417</v>
      </c>
      <c r="G157" s="23" t="s">
        <v>418</v>
      </c>
      <c r="H157" s="23" t="s">
        <v>419</v>
      </c>
      <c r="I157" s="4"/>
      <c r="J157" s="4"/>
      <c r="K157" s="4"/>
      <c r="L157" s="4"/>
      <c r="M157" s="4"/>
      <c r="N157" s="4"/>
      <c r="O157" s="4"/>
      <c r="P157" s="4"/>
      <c r="Q157" s="4"/>
      <c r="R157" s="4"/>
      <c r="S157" s="4"/>
      <c r="T157" s="4"/>
      <c r="U157" s="4"/>
      <c r="V157" s="4"/>
      <c r="W157" s="4"/>
      <c r="X157" s="4"/>
      <c r="Y157" s="4"/>
      <c r="Z157" s="4"/>
    </row>
    <row r="158">
      <c r="A158" s="23" t="s">
        <v>420</v>
      </c>
      <c r="B158" s="39" t="s">
        <v>101</v>
      </c>
      <c r="C158" s="4"/>
      <c r="D158" s="23" t="s">
        <v>125</v>
      </c>
      <c r="E158" s="42" t="s">
        <v>416</v>
      </c>
      <c r="F158" s="23" t="s">
        <v>417</v>
      </c>
      <c r="G158" s="23" t="s">
        <v>418</v>
      </c>
      <c r="H158" s="23" t="s">
        <v>421</v>
      </c>
      <c r="I158" s="4"/>
      <c r="J158" s="4"/>
      <c r="K158" s="4"/>
      <c r="L158" s="4"/>
      <c r="M158" s="4"/>
      <c r="N158" s="4"/>
      <c r="O158" s="4"/>
      <c r="P158" s="4"/>
      <c r="Q158" s="4"/>
      <c r="R158" s="4"/>
      <c r="S158" s="4"/>
      <c r="T158" s="4"/>
      <c r="U158" s="4"/>
      <c r="V158" s="4"/>
      <c r="W158" s="4"/>
      <c r="X158" s="4"/>
      <c r="Y158" s="4"/>
      <c r="Z158" s="4"/>
    </row>
    <row r="159">
      <c r="A159" s="23" t="s">
        <v>422</v>
      </c>
      <c r="B159" s="39" t="s">
        <v>101</v>
      </c>
      <c r="C159" s="4"/>
      <c r="D159" s="23" t="s">
        <v>125</v>
      </c>
      <c r="E159" s="42" t="s">
        <v>416</v>
      </c>
      <c r="F159" s="23" t="s">
        <v>417</v>
      </c>
      <c r="G159" s="23" t="s">
        <v>418</v>
      </c>
      <c r="H159" s="23" t="s">
        <v>423</v>
      </c>
      <c r="I159" s="4"/>
      <c r="J159" s="4"/>
      <c r="K159" s="4"/>
      <c r="L159" s="4"/>
      <c r="M159" s="4"/>
      <c r="N159" s="4"/>
      <c r="O159" s="4"/>
      <c r="P159" s="4"/>
      <c r="Q159" s="4"/>
      <c r="R159" s="4"/>
      <c r="S159" s="4"/>
      <c r="T159" s="4"/>
      <c r="U159" s="4"/>
      <c r="V159" s="4"/>
      <c r="W159" s="4"/>
      <c r="X159" s="4"/>
      <c r="Y159" s="4"/>
      <c r="Z159" s="4"/>
    </row>
    <row r="160">
      <c r="A160" s="23" t="s">
        <v>424</v>
      </c>
      <c r="B160" s="39" t="s">
        <v>101</v>
      </c>
      <c r="C160" s="4"/>
      <c r="D160" s="23" t="s">
        <v>125</v>
      </c>
      <c r="E160" s="42" t="s">
        <v>416</v>
      </c>
      <c r="F160" s="23" t="s">
        <v>417</v>
      </c>
      <c r="G160" s="23" t="s">
        <v>418</v>
      </c>
      <c r="H160" s="23" t="s">
        <v>425</v>
      </c>
      <c r="I160" s="4"/>
      <c r="J160" s="4"/>
      <c r="K160" s="4"/>
      <c r="L160" s="4"/>
      <c r="M160" s="4"/>
      <c r="N160" s="4"/>
      <c r="O160" s="4"/>
      <c r="P160" s="4"/>
      <c r="Q160" s="4"/>
      <c r="R160" s="4"/>
      <c r="S160" s="4"/>
      <c r="T160" s="4"/>
      <c r="U160" s="4"/>
      <c r="V160" s="4"/>
      <c r="W160" s="4"/>
      <c r="X160" s="4"/>
      <c r="Y160" s="4"/>
      <c r="Z160" s="4"/>
    </row>
    <row r="161">
      <c r="A161" s="23" t="s">
        <v>426</v>
      </c>
      <c r="B161" s="39" t="s">
        <v>101</v>
      </c>
      <c r="C161" s="4"/>
      <c r="D161" s="23" t="s">
        <v>125</v>
      </c>
      <c r="E161" s="42" t="s">
        <v>416</v>
      </c>
      <c r="F161" s="23" t="s">
        <v>417</v>
      </c>
      <c r="G161" s="23" t="s">
        <v>418</v>
      </c>
      <c r="H161" s="23" t="s">
        <v>427</v>
      </c>
      <c r="I161" s="4"/>
      <c r="J161" s="4"/>
      <c r="K161" s="4"/>
      <c r="L161" s="4"/>
      <c r="M161" s="4"/>
      <c r="N161" s="4"/>
      <c r="O161" s="4"/>
      <c r="P161" s="4"/>
      <c r="Q161" s="4"/>
      <c r="R161" s="4"/>
      <c r="S161" s="4"/>
      <c r="T161" s="4"/>
      <c r="U161" s="4"/>
      <c r="V161" s="4"/>
      <c r="W161" s="4"/>
      <c r="X161" s="4"/>
      <c r="Y161" s="4"/>
      <c r="Z161" s="4"/>
    </row>
    <row r="162">
      <c r="A162" s="23" t="s">
        <v>428</v>
      </c>
      <c r="B162" s="39" t="s">
        <v>101</v>
      </c>
      <c r="C162" s="4"/>
      <c r="D162" s="23" t="s">
        <v>125</v>
      </c>
      <c r="E162" s="42" t="s">
        <v>416</v>
      </c>
      <c r="F162" s="23" t="s">
        <v>417</v>
      </c>
      <c r="G162" s="23" t="s">
        <v>418</v>
      </c>
      <c r="H162" s="23" t="s">
        <v>429</v>
      </c>
      <c r="I162" s="4"/>
      <c r="J162" s="4"/>
      <c r="K162" s="4"/>
      <c r="L162" s="4"/>
      <c r="M162" s="4"/>
      <c r="N162" s="4"/>
      <c r="O162" s="4"/>
      <c r="P162" s="4"/>
      <c r="Q162" s="4"/>
      <c r="R162" s="4"/>
      <c r="S162" s="4"/>
      <c r="T162" s="4"/>
      <c r="U162" s="4"/>
      <c r="V162" s="4"/>
      <c r="W162" s="4"/>
      <c r="X162" s="4"/>
      <c r="Y162" s="4"/>
      <c r="Z162" s="4"/>
    </row>
    <row r="163">
      <c r="A163" s="23" t="s">
        <v>430</v>
      </c>
      <c r="B163" s="39" t="s">
        <v>101</v>
      </c>
      <c r="C163" s="4"/>
      <c r="D163" s="23" t="s">
        <v>125</v>
      </c>
      <c r="E163" s="42" t="s">
        <v>416</v>
      </c>
      <c r="F163" s="23" t="s">
        <v>417</v>
      </c>
      <c r="G163" s="23" t="s">
        <v>418</v>
      </c>
      <c r="H163" s="23" t="s">
        <v>139</v>
      </c>
      <c r="I163" s="4"/>
      <c r="J163" s="4"/>
      <c r="K163" s="4"/>
      <c r="L163" s="4"/>
      <c r="M163" s="4"/>
      <c r="N163" s="4"/>
      <c r="O163" s="4"/>
      <c r="P163" s="4"/>
      <c r="Q163" s="4"/>
      <c r="R163" s="4"/>
      <c r="S163" s="4"/>
      <c r="T163" s="4"/>
      <c r="U163" s="4"/>
      <c r="V163" s="4"/>
      <c r="W163" s="4"/>
      <c r="X163" s="4"/>
      <c r="Y163" s="4"/>
      <c r="Z163" s="4"/>
    </row>
    <row r="164">
      <c r="A164" s="23" t="s">
        <v>431</v>
      </c>
      <c r="B164" s="39" t="s">
        <v>101</v>
      </c>
      <c r="C164" s="4"/>
      <c r="D164" s="23" t="s">
        <v>125</v>
      </c>
      <c r="E164" s="42" t="s">
        <v>416</v>
      </c>
      <c r="F164" s="23" t="s">
        <v>417</v>
      </c>
      <c r="G164" s="23" t="s">
        <v>418</v>
      </c>
      <c r="H164" s="23" t="s">
        <v>432</v>
      </c>
      <c r="I164" s="4"/>
      <c r="J164" s="4"/>
      <c r="K164" s="4"/>
      <c r="L164" s="4"/>
      <c r="M164" s="4"/>
      <c r="N164" s="4"/>
      <c r="O164" s="4"/>
      <c r="P164" s="4"/>
      <c r="Q164" s="4"/>
      <c r="R164" s="4"/>
      <c r="S164" s="4"/>
      <c r="T164" s="4"/>
      <c r="U164" s="4"/>
      <c r="V164" s="4"/>
      <c r="W164" s="4"/>
      <c r="X164" s="4"/>
      <c r="Y164" s="4"/>
      <c r="Z164" s="4"/>
    </row>
    <row r="165">
      <c r="A165" s="23" t="s">
        <v>433</v>
      </c>
      <c r="B165" s="39" t="s">
        <v>101</v>
      </c>
      <c r="C165" s="4"/>
      <c r="D165" s="23" t="s">
        <v>125</v>
      </c>
      <c r="E165" s="42" t="s">
        <v>416</v>
      </c>
      <c r="F165" s="23" t="s">
        <v>417</v>
      </c>
      <c r="G165" s="23" t="s">
        <v>418</v>
      </c>
      <c r="H165" s="23" t="s">
        <v>434</v>
      </c>
      <c r="I165" s="4"/>
      <c r="J165" s="4"/>
      <c r="K165" s="4"/>
      <c r="L165" s="4"/>
      <c r="M165" s="4"/>
      <c r="N165" s="4"/>
      <c r="O165" s="4"/>
      <c r="P165" s="4"/>
      <c r="Q165" s="4"/>
      <c r="R165" s="4"/>
      <c r="S165" s="4"/>
      <c r="T165" s="4"/>
      <c r="U165" s="4"/>
      <c r="V165" s="4"/>
      <c r="W165" s="4"/>
      <c r="X165" s="4"/>
      <c r="Y165" s="4"/>
      <c r="Z165" s="4"/>
    </row>
    <row r="166">
      <c r="A166" s="23" t="s">
        <v>435</v>
      </c>
      <c r="B166" s="39" t="s">
        <v>101</v>
      </c>
      <c r="C166" s="4"/>
      <c r="D166" s="23" t="s">
        <v>125</v>
      </c>
      <c r="E166" s="42" t="s">
        <v>416</v>
      </c>
      <c r="F166" s="23" t="s">
        <v>417</v>
      </c>
      <c r="G166" s="23" t="s">
        <v>418</v>
      </c>
      <c r="H166" s="23" t="s">
        <v>145</v>
      </c>
      <c r="I166" s="4"/>
      <c r="J166" s="4"/>
      <c r="K166" s="4"/>
      <c r="L166" s="4"/>
      <c r="M166" s="4"/>
      <c r="N166" s="4"/>
      <c r="O166" s="4"/>
      <c r="P166" s="4"/>
      <c r="Q166" s="4"/>
      <c r="R166" s="4"/>
      <c r="S166" s="4"/>
      <c r="T166" s="4"/>
      <c r="U166" s="4"/>
      <c r="V166" s="4"/>
      <c r="W166" s="4"/>
      <c r="X166" s="4"/>
      <c r="Y166" s="4"/>
      <c r="Z166" s="4"/>
    </row>
    <row r="167">
      <c r="A167" s="23" t="s">
        <v>436</v>
      </c>
      <c r="B167" s="39" t="s">
        <v>101</v>
      </c>
      <c r="C167" s="4"/>
      <c r="D167" s="23" t="s">
        <v>125</v>
      </c>
      <c r="E167" s="42" t="s">
        <v>416</v>
      </c>
      <c r="F167" s="23" t="s">
        <v>417</v>
      </c>
      <c r="G167" s="23" t="s">
        <v>418</v>
      </c>
      <c r="H167" s="23" t="s">
        <v>284</v>
      </c>
      <c r="I167" s="4"/>
      <c r="J167" s="4"/>
      <c r="K167" s="4"/>
      <c r="L167" s="4"/>
      <c r="M167" s="4"/>
      <c r="N167" s="4"/>
      <c r="O167" s="4"/>
      <c r="P167" s="4"/>
      <c r="Q167" s="4"/>
      <c r="R167" s="4"/>
      <c r="S167" s="4"/>
      <c r="T167" s="4"/>
      <c r="U167" s="4"/>
      <c r="V167" s="4"/>
      <c r="W167" s="4"/>
      <c r="X167" s="4"/>
      <c r="Y167" s="4"/>
      <c r="Z167" s="4"/>
    </row>
    <row r="168">
      <c r="A168" s="23" t="s">
        <v>437</v>
      </c>
      <c r="B168" s="39" t="s">
        <v>101</v>
      </c>
      <c r="C168" s="4"/>
      <c r="D168" s="23" t="s">
        <v>125</v>
      </c>
      <c r="E168" s="42" t="s">
        <v>416</v>
      </c>
      <c r="F168" s="23" t="s">
        <v>417</v>
      </c>
      <c r="G168" s="23" t="s">
        <v>418</v>
      </c>
      <c r="H168" s="23" t="s">
        <v>438</v>
      </c>
      <c r="I168" s="4"/>
      <c r="J168" s="4"/>
      <c r="K168" s="4"/>
      <c r="L168" s="4"/>
      <c r="M168" s="4"/>
      <c r="N168" s="4"/>
      <c r="O168" s="4"/>
      <c r="P168" s="4"/>
      <c r="Q168" s="4"/>
      <c r="R168" s="4"/>
      <c r="S168" s="4"/>
      <c r="T168" s="4"/>
      <c r="U168" s="4"/>
      <c r="V168" s="4"/>
      <c r="W168" s="4"/>
      <c r="X168" s="4"/>
      <c r="Y168" s="4"/>
      <c r="Z168" s="4"/>
    </row>
    <row r="169">
      <c r="A169" s="23" t="s">
        <v>439</v>
      </c>
      <c r="B169" s="39" t="s">
        <v>101</v>
      </c>
      <c r="C169" s="4"/>
      <c r="D169" s="23" t="s">
        <v>125</v>
      </c>
      <c r="E169" s="42" t="s">
        <v>416</v>
      </c>
      <c r="F169" s="23" t="s">
        <v>417</v>
      </c>
      <c r="G169" s="23" t="s">
        <v>418</v>
      </c>
      <c r="H169" s="23" t="s">
        <v>440</v>
      </c>
      <c r="I169" s="4"/>
      <c r="J169" s="4"/>
      <c r="K169" s="4"/>
      <c r="L169" s="4"/>
      <c r="M169" s="4"/>
      <c r="N169" s="4"/>
      <c r="O169" s="4"/>
      <c r="P169" s="4"/>
      <c r="Q169" s="4"/>
      <c r="R169" s="4"/>
      <c r="S169" s="4"/>
      <c r="T169" s="4"/>
      <c r="U169" s="4"/>
      <c r="V169" s="4"/>
      <c r="W169" s="4"/>
      <c r="X169" s="4"/>
      <c r="Y169" s="4"/>
      <c r="Z169" s="4"/>
    </row>
    <row r="170">
      <c r="A170" s="23" t="s">
        <v>441</v>
      </c>
      <c r="B170" s="39" t="s">
        <v>101</v>
      </c>
      <c r="C170" s="4"/>
      <c r="D170" s="23" t="s">
        <v>125</v>
      </c>
      <c r="E170" s="42" t="s">
        <v>416</v>
      </c>
      <c r="F170" s="23" t="s">
        <v>417</v>
      </c>
      <c r="G170" s="23" t="s">
        <v>418</v>
      </c>
      <c r="H170" s="23" t="s">
        <v>442</v>
      </c>
      <c r="I170" s="4"/>
      <c r="J170" s="4"/>
      <c r="K170" s="4"/>
      <c r="L170" s="4"/>
      <c r="M170" s="4"/>
      <c r="N170" s="4"/>
      <c r="O170" s="4"/>
      <c r="P170" s="4"/>
      <c r="Q170" s="4"/>
      <c r="R170" s="4"/>
      <c r="S170" s="4"/>
      <c r="T170" s="4"/>
      <c r="U170" s="4"/>
      <c r="V170" s="4"/>
      <c r="W170" s="4"/>
      <c r="X170" s="4"/>
      <c r="Y170" s="4"/>
      <c r="Z170" s="4"/>
    </row>
    <row r="171">
      <c r="A171" s="23" t="s">
        <v>443</v>
      </c>
      <c r="B171" s="39" t="s">
        <v>101</v>
      </c>
      <c r="C171" s="4"/>
      <c r="D171" s="23" t="s">
        <v>125</v>
      </c>
      <c r="E171" s="42" t="s">
        <v>416</v>
      </c>
      <c r="F171" s="23" t="s">
        <v>417</v>
      </c>
      <c r="G171" s="23" t="s">
        <v>418</v>
      </c>
      <c r="H171" s="23" t="s">
        <v>444</v>
      </c>
      <c r="I171" s="4"/>
      <c r="J171" s="4"/>
      <c r="K171" s="4"/>
      <c r="L171" s="4"/>
      <c r="M171" s="4"/>
      <c r="N171" s="4"/>
      <c r="O171" s="4"/>
      <c r="P171" s="4"/>
      <c r="Q171" s="4"/>
      <c r="R171" s="4"/>
      <c r="S171" s="4"/>
      <c r="T171" s="4"/>
      <c r="U171" s="4"/>
      <c r="V171" s="4"/>
      <c r="W171" s="4"/>
      <c r="X171" s="4"/>
      <c r="Y171" s="4"/>
      <c r="Z171" s="4"/>
    </row>
    <row r="172">
      <c r="A172" s="23" t="s">
        <v>445</v>
      </c>
      <c r="B172" s="39" t="s">
        <v>101</v>
      </c>
      <c r="C172" s="4"/>
      <c r="D172" s="23" t="s">
        <v>125</v>
      </c>
      <c r="E172" s="42" t="s">
        <v>416</v>
      </c>
      <c r="F172" s="23" t="s">
        <v>417</v>
      </c>
      <c r="G172" s="23" t="s">
        <v>418</v>
      </c>
      <c r="H172" s="23" t="s">
        <v>446</v>
      </c>
      <c r="I172" s="4"/>
      <c r="J172" s="4"/>
      <c r="K172" s="4"/>
      <c r="L172" s="4"/>
      <c r="M172" s="4"/>
      <c r="N172" s="4"/>
      <c r="O172" s="4"/>
      <c r="P172" s="4"/>
      <c r="Q172" s="4"/>
      <c r="R172" s="4"/>
      <c r="S172" s="4"/>
      <c r="T172" s="4"/>
      <c r="U172" s="4"/>
      <c r="V172" s="4"/>
      <c r="W172" s="4"/>
      <c r="X172" s="4"/>
      <c r="Y172" s="4"/>
      <c r="Z172" s="4"/>
    </row>
    <row r="173">
      <c r="A173" s="23" t="s">
        <v>447</v>
      </c>
      <c r="B173" s="39" t="s">
        <v>101</v>
      </c>
      <c r="C173" s="4"/>
      <c r="D173" s="23" t="s">
        <v>125</v>
      </c>
      <c r="E173" s="42" t="s">
        <v>416</v>
      </c>
      <c r="F173" s="23" t="s">
        <v>417</v>
      </c>
      <c r="G173" s="23" t="s">
        <v>418</v>
      </c>
      <c r="H173" s="23" t="s">
        <v>448</v>
      </c>
      <c r="I173" s="4"/>
      <c r="J173" s="4"/>
      <c r="K173" s="4"/>
      <c r="L173" s="4"/>
      <c r="M173" s="4"/>
      <c r="N173" s="4"/>
      <c r="O173" s="4"/>
      <c r="P173" s="4"/>
      <c r="Q173" s="4"/>
      <c r="R173" s="4"/>
      <c r="S173" s="4"/>
      <c r="T173" s="4"/>
      <c r="U173" s="4"/>
      <c r="V173" s="4"/>
      <c r="W173" s="4"/>
      <c r="X173" s="4"/>
      <c r="Y173" s="4"/>
      <c r="Z173" s="4"/>
    </row>
    <row r="174">
      <c r="A174" s="23" t="s">
        <v>449</v>
      </c>
      <c r="B174" s="39" t="s">
        <v>101</v>
      </c>
      <c r="C174" s="4"/>
      <c r="D174" s="23" t="s">
        <v>125</v>
      </c>
      <c r="E174" s="42" t="s">
        <v>416</v>
      </c>
      <c r="F174" s="23" t="s">
        <v>417</v>
      </c>
      <c r="G174" s="23" t="s">
        <v>418</v>
      </c>
      <c r="H174" s="23" t="s">
        <v>450</v>
      </c>
      <c r="I174" s="4"/>
      <c r="J174" s="4"/>
      <c r="K174" s="4"/>
      <c r="L174" s="4"/>
      <c r="M174" s="4"/>
      <c r="N174" s="4"/>
      <c r="O174" s="4"/>
      <c r="P174" s="4"/>
      <c r="Q174" s="4"/>
      <c r="R174" s="4"/>
      <c r="S174" s="4"/>
      <c r="T174" s="4"/>
      <c r="U174" s="4"/>
      <c r="V174" s="4"/>
      <c r="W174" s="4"/>
      <c r="X174" s="4"/>
      <c r="Y174" s="4"/>
      <c r="Z174" s="4"/>
    </row>
    <row r="175">
      <c r="A175" s="23" t="s">
        <v>451</v>
      </c>
      <c r="B175" s="39" t="s">
        <v>101</v>
      </c>
      <c r="C175" s="4"/>
      <c r="D175" s="23" t="s">
        <v>125</v>
      </c>
      <c r="E175" s="42" t="s">
        <v>416</v>
      </c>
      <c r="F175" s="23" t="s">
        <v>417</v>
      </c>
      <c r="G175" s="23" t="s">
        <v>418</v>
      </c>
      <c r="H175" s="23" t="s">
        <v>452</v>
      </c>
      <c r="I175" s="4"/>
      <c r="J175" s="4"/>
      <c r="K175" s="4"/>
      <c r="L175" s="4"/>
      <c r="M175" s="4"/>
      <c r="N175" s="4"/>
      <c r="O175" s="4"/>
      <c r="P175" s="4"/>
      <c r="Q175" s="4"/>
      <c r="R175" s="4"/>
      <c r="S175" s="4"/>
      <c r="T175" s="4"/>
      <c r="U175" s="4"/>
      <c r="V175" s="4"/>
      <c r="W175" s="4"/>
      <c r="X175" s="4"/>
      <c r="Y175" s="4"/>
      <c r="Z175" s="4"/>
    </row>
    <row r="176">
      <c r="A176" s="23" t="s">
        <v>453</v>
      </c>
      <c r="B176" s="39" t="s">
        <v>101</v>
      </c>
      <c r="C176" s="4"/>
      <c r="D176" s="23" t="s">
        <v>125</v>
      </c>
      <c r="E176" s="42" t="s">
        <v>416</v>
      </c>
      <c r="F176" s="23" t="s">
        <v>417</v>
      </c>
      <c r="G176" s="23" t="s">
        <v>418</v>
      </c>
      <c r="H176" s="23" t="s">
        <v>454</v>
      </c>
      <c r="I176" s="4"/>
      <c r="J176" s="4"/>
      <c r="K176" s="4"/>
      <c r="L176" s="4"/>
      <c r="M176" s="4"/>
      <c r="N176" s="4"/>
      <c r="O176" s="4"/>
      <c r="P176" s="4"/>
      <c r="Q176" s="4"/>
      <c r="R176" s="4"/>
      <c r="S176" s="4"/>
      <c r="T176" s="4"/>
      <c r="U176" s="4"/>
      <c r="V176" s="4"/>
      <c r="W176" s="4"/>
      <c r="X176" s="4"/>
      <c r="Y176" s="4"/>
      <c r="Z176" s="4"/>
    </row>
    <row r="177">
      <c r="A177" s="4"/>
      <c r="B177" s="1"/>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1"/>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1"/>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1"/>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1"/>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1"/>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1"/>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1"/>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1"/>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1"/>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1"/>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1"/>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1"/>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1"/>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1"/>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1"/>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1"/>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1"/>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1"/>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1"/>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1"/>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1"/>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1"/>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1"/>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1"/>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1"/>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1"/>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1"/>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1"/>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1"/>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1"/>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1"/>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1"/>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1"/>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1"/>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1"/>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1"/>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1"/>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1"/>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1"/>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1"/>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1"/>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1"/>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1"/>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1"/>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1"/>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1"/>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1"/>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1"/>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1"/>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1"/>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1"/>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1"/>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1"/>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1"/>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1"/>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1"/>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1"/>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1"/>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1"/>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1"/>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1"/>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1"/>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1"/>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1"/>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1"/>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1"/>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1"/>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1"/>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1"/>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1"/>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1"/>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1"/>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1"/>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1"/>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1"/>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1"/>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1"/>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1"/>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1"/>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1"/>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1"/>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1"/>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1"/>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1"/>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1"/>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1"/>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1"/>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1"/>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1"/>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1"/>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1"/>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1"/>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1"/>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1"/>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1"/>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1"/>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1"/>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1"/>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1"/>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1"/>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1"/>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1"/>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1"/>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1"/>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1"/>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1"/>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1"/>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1"/>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1"/>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1"/>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1"/>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1"/>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1"/>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1"/>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1"/>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1"/>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1"/>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1"/>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1"/>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1"/>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1"/>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1"/>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1"/>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1"/>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1"/>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1"/>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1"/>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1"/>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1"/>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1"/>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1"/>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1"/>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1"/>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1"/>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1"/>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1"/>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1"/>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1"/>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1"/>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1"/>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1"/>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1"/>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1"/>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1"/>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1"/>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1"/>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1"/>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1"/>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1"/>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1"/>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1"/>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1"/>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1"/>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1"/>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1"/>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1"/>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1"/>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1"/>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1"/>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1"/>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1"/>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1"/>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1"/>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1"/>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1"/>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1"/>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1"/>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1"/>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1"/>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1"/>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1"/>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1"/>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1"/>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1"/>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1"/>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1"/>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1"/>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1"/>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1"/>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1"/>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1"/>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1"/>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1"/>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1"/>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1"/>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1"/>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1"/>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1"/>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1"/>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1"/>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1"/>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1"/>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1"/>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1"/>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1"/>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1"/>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1"/>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1"/>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1"/>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1"/>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1"/>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1"/>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1"/>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1"/>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1"/>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1"/>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1"/>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1"/>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1"/>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1"/>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1"/>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1"/>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1"/>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1"/>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1"/>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1"/>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1"/>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1"/>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1"/>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1"/>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1"/>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1"/>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1"/>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1"/>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1"/>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1"/>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1"/>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1"/>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1"/>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1"/>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1"/>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1"/>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1"/>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1"/>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1"/>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1"/>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1"/>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1"/>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1"/>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1"/>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1"/>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1"/>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1"/>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1"/>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1"/>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1"/>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1"/>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1"/>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1"/>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1"/>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1"/>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1"/>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1"/>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1"/>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1"/>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1"/>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1"/>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1"/>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1"/>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1"/>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1"/>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1"/>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1"/>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1"/>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1"/>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1"/>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1"/>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1"/>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1"/>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1"/>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1"/>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1"/>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1"/>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1"/>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1"/>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1"/>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1"/>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1"/>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1"/>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1"/>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1"/>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1"/>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1"/>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1"/>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1"/>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1"/>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1"/>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1"/>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1"/>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1"/>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1"/>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1"/>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1"/>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1"/>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1"/>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1"/>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1"/>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1"/>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1"/>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1"/>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1"/>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1"/>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1"/>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1"/>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1"/>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1"/>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1"/>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1"/>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1"/>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1"/>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1"/>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1"/>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1"/>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1"/>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1"/>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1"/>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1"/>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1"/>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1"/>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1"/>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1"/>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1"/>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1"/>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1"/>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1"/>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1"/>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1"/>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1"/>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1"/>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1"/>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1"/>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1"/>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1"/>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1"/>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1"/>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1"/>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1"/>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1"/>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1"/>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1"/>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1"/>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1"/>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1"/>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1"/>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1"/>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1"/>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1"/>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1"/>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1"/>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1"/>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1"/>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1"/>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1"/>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1"/>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1"/>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1"/>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1"/>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1"/>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1"/>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1"/>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1"/>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1"/>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1"/>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1"/>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1"/>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1"/>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1"/>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1"/>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1"/>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1"/>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1"/>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1"/>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1"/>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1"/>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1"/>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1"/>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1"/>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1"/>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1"/>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1"/>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1"/>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1"/>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1"/>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1"/>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1"/>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1"/>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1"/>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1"/>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1"/>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1"/>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1"/>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1"/>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1"/>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1"/>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1"/>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1"/>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1"/>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1"/>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1"/>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1"/>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1"/>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1"/>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1"/>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B2"/>
    <hyperlink r:id="rId2" ref="B3"/>
    <hyperlink r:id="rId3" ref="B4"/>
    <hyperlink r:id="rId4" ref="B5"/>
    <hyperlink r:id="rId5" ref="B6"/>
    <hyperlink r:id="rId6" ref="B7"/>
    <hyperlink r:id="rId7" ref="B8"/>
    <hyperlink r:id="rId8" ref="B9"/>
    <hyperlink r:id="rId9" ref="B10"/>
    <hyperlink r:id="rId10" ref="J10"/>
    <hyperlink r:id="rId11" ref="B11"/>
    <hyperlink r:id="rId12" ref="J11"/>
    <hyperlink r:id="rId13" ref="B12"/>
    <hyperlink r:id="rId14" ref="J12"/>
    <hyperlink r:id="rId15" ref="B13"/>
    <hyperlink r:id="rId16" ref="J13"/>
    <hyperlink r:id="rId17" ref="B14"/>
    <hyperlink r:id="rId18" ref="J14"/>
    <hyperlink r:id="rId19" ref="B15"/>
    <hyperlink r:id="rId20" ref="J15"/>
    <hyperlink r:id="rId21" ref="B16"/>
    <hyperlink r:id="rId22" ref="J16"/>
    <hyperlink r:id="rId23" ref="B17"/>
    <hyperlink r:id="rId24" ref="E17"/>
    <hyperlink r:id="rId25" ref="B18"/>
    <hyperlink r:id="rId26" ref="E18"/>
    <hyperlink r:id="rId27" ref="B19"/>
    <hyperlink r:id="rId28" ref="E19"/>
    <hyperlink r:id="rId29" ref="B20"/>
    <hyperlink r:id="rId30" ref="E20"/>
    <hyperlink r:id="rId31" ref="B21"/>
    <hyperlink r:id="rId32" ref="E21"/>
    <hyperlink r:id="rId33" ref="B22"/>
    <hyperlink r:id="rId34" ref="E22"/>
    <hyperlink r:id="rId35" ref="B23"/>
    <hyperlink r:id="rId36" ref="E23"/>
    <hyperlink r:id="rId37" ref="B24"/>
    <hyperlink r:id="rId38" ref="E24"/>
    <hyperlink r:id="rId39" ref="B25"/>
    <hyperlink r:id="rId40" ref="E25"/>
    <hyperlink r:id="rId41" ref="B26"/>
    <hyperlink r:id="rId42" ref="E26"/>
    <hyperlink r:id="rId43" ref="B27"/>
    <hyperlink r:id="rId44" ref="E27"/>
    <hyperlink r:id="rId45" ref="B28"/>
    <hyperlink r:id="rId46" ref="E28"/>
    <hyperlink r:id="rId47" ref="B29"/>
    <hyperlink r:id="rId48" ref="E29"/>
    <hyperlink r:id="rId49" ref="B30"/>
    <hyperlink r:id="rId50" ref="E30"/>
    <hyperlink r:id="rId51" ref="B31"/>
    <hyperlink r:id="rId52" ref="E31"/>
    <hyperlink r:id="rId53" ref="B32"/>
    <hyperlink r:id="rId54" ref="E32"/>
    <hyperlink r:id="rId55" ref="B33"/>
    <hyperlink r:id="rId56" ref="E33"/>
    <hyperlink r:id="rId57" ref="B34"/>
    <hyperlink r:id="rId58" ref="E34"/>
    <hyperlink r:id="rId59" ref="B35"/>
    <hyperlink r:id="rId60" ref="E35"/>
    <hyperlink r:id="rId61" ref="B36"/>
    <hyperlink r:id="rId62" ref="E36"/>
    <hyperlink r:id="rId63" ref="B37"/>
    <hyperlink r:id="rId64" ref="E37"/>
    <hyperlink r:id="rId65" ref="B38"/>
    <hyperlink r:id="rId66" ref="E38"/>
    <hyperlink r:id="rId67" ref="B39"/>
    <hyperlink r:id="rId68" ref="E39"/>
    <hyperlink r:id="rId69" ref="B40"/>
    <hyperlink r:id="rId70" ref="E40"/>
    <hyperlink r:id="rId71" ref="B41"/>
    <hyperlink r:id="rId72" ref="E41"/>
    <hyperlink r:id="rId73" ref="B42"/>
    <hyperlink r:id="rId74" ref="E42"/>
    <hyperlink r:id="rId75" ref="B43"/>
    <hyperlink r:id="rId76" ref="E43"/>
    <hyperlink r:id="rId77" ref="B44"/>
    <hyperlink r:id="rId78" ref="E44"/>
    <hyperlink r:id="rId79" ref="B45"/>
    <hyperlink r:id="rId80" ref="E45"/>
    <hyperlink r:id="rId81" ref="B46"/>
    <hyperlink r:id="rId82" ref="E46"/>
    <hyperlink r:id="rId83" ref="B47"/>
    <hyperlink r:id="rId84" ref="E47"/>
    <hyperlink r:id="rId85" ref="B48"/>
    <hyperlink r:id="rId86" ref="E48"/>
    <hyperlink r:id="rId87" ref="B49"/>
    <hyperlink r:id="rId88" ref="E49"/>
    <hyperlink r:id="rId89" ref="B50"/>
    <hyperlink r:id="rId90" ref="E50"/>
    <hyperlink r:id="rId91" ref="B51"/>
    <hyperlink r:id="rId92" ref="E51"/>
    <hyperlink r:id="rId93" ref="B52"/>
    <hyperlink r:id="rId94" ref="E52"/>
    <hyperlink r:id="rId95" ref="B53"/>
    <hyperlink r:id="rId96" ref="E53"/>
    <hyperlink r:id="rId97" ref="B54"/>
    <hyperlink r:id="rId98" ref="E54"/>
    <hyperlink r:id="rId99" ref="B55"/>
    <hyperlink r:id="rId100" ref="E55"/>
    <hyperlink r:id="rId101" ref="B56"/>
    <hyperlink r:id="rId102" ref="E56"/>
    <hyperlink r:id="rId103" ref="B57"/>
    <hyperlink r:id="rId104" ref="E57"/>
    <hyperlink r:id="rId105" ref="B58"/>
    <hyperlink r:id="rId106" ref="E58"/>
    <hyperlink r:id="rId107" ref="B59"/>
    <hyperlink r:id="rId108" ref="E59"/>
    <hyperlink r:id="rId109" ref="B60"/>
    <hyperlink r:id="rId110" ref="E60"/>
    <hyperlink r:id="rId111" ref="B61"/>
    <hyperlink r:id="rId112" ref="E61"/>
    <hyperlink r:id="rId113" ref="B62"/>
    <hyperlink r:id="rId114" ref="E62"/>
    <hyperlink r:id="rId115" ref="B63"/>
    <hyperlink r:id="rId116" ref="E63"/>
    <hyperlink r:id="rId117" ref="B64"/>
    <hyperlink r:id="rId118" ref="E64"/>
    <hyperlink r:id="rId119" ref="B65"/>
    <hyperlink r:id="rId120" ref="E65"/>
    <hyperlink r:id="rId121" ref="B66"/>
    <hyperlink r:id="rId122" ref="E66"/>
    <hyperlink r:id="rId123" ref="B67"/>
    <hyperlink r:id="rId124" ref="E67"/>
    <hyperlink r:id="rId125" ref="B68"/>
    <hyperlink r:id="rId126" ref="E68"/>
    <hyperlink r:id="rId127" ref="B69"/>
    <hyperlink r:id="rId128" ref="E69"/>
    <hyperlink r:id="rId129" ref="B70"/>
    <hyperlink r:id="rId130" ref="E70"/>
    <hyperlink r:id="rId131" ref="B71"/>
    <hyperlink r:id="rId132" ref="E71"/>
    <hyperlink r:id="rId133" ref="B72"/>
    <hyperlink r:id="rId134" ref="E72"/>
    <hyperlink r:id="rId135" ref="B73"/>
    <hyperlink r:id="rId136" ref="E73"/>
    <hyperlink r:id="rId137" ref="B74"/>
    <hyperlink r:id="rId138" ref="E74"/>
    <hyperlink r:id="rId139" ref="B75"/>
    <hyperlink r:id="rId140" ref="E75"/>
    <hyperlink r:id="rId141" ref="B76"/>
    <hyperlink r:id="rId142" ref="E76"/>
    <hyperlink r:id="rId143" ref="B77"/>
    <hyperlink r:id="rId144" ref="E77"/>
    <hyperlink r:id="rId145" ref="B78"/>
    <hyperlink r:id="rId146" ref="E78"/>
    <hyperlink r:id="rId147" ref="B79"/>
    <hyperlink r:id="rId148" ref="E79"/>
    <hyperlink r:id="rId149" ref="B80"/>
    <hyperlink r:id="rId150" ref="E80"/>
    <hyperlink r:id="rId151" ref="B81"/>
    <hyperlink r:id="rId152" ref="E81"/>
    <hyperlink r:id="rId153" ref="B82"/>
    <hyperlink r:id="rId154" ref="E82"/>
    <hyperlink r:id="rId155" ref="B83"/>
    <hyperlink r:id="rId156" ref="E83"/>
    <hyperlink r:id="rId157" ref="B84"/>
    <hyperlink r:id="rId158" ref="E84"/>
    <hyperlink r:id="rId159" ref="B85"/>
    <hyperlink r:id="rId160" ref="E85"/>
    <hyperlink r:id="rId161" ref="B86"/>
    <hyperlink r:id="rId162" ref="E86"/>
    <hyperlink r:id="rId163" ref="B87"/>
    <hyperlink r:id="rId164" ref="E87"/>
    <hyperlink r:id="rId165" ref="B88"/>
    <hyperlink r:id="rId166" ref="E88"/>
    <hyperlink r:id="rId167" ref="B89"/>
    <hyperlink r:id="rId168" ref="E89"/>
    <hyperlink r:id="rId169" ref="B90"/>
    <hyperlink r:id="rId170" ref="E90"/>
    <hyperlink r:id="rId171" ref="B91"/>
    <hyperlink r:id="rId172" ref="E91"/>
    <hyperlink r:id="rId173" ref="B92"/>
    <hyperlink r:id="rId174" ref="E92"/>
    <hyperlink r:id="rId175" ref="B93"/>
    <hyperlink r:id="rId176" ref="E93"/>
    <hyperlink r:id="rId177" ref="B94"/>
    <hyperlink r:id="rId178" ref="E94"/>
    <hyperlink r:id="rId179" ref="B95"/>
    <hyperlink r:id="rId180" ref="E95"/>
    <hyperlink r:id="rId181" ref="B96"/>
    <hyperlink r:id="rId182" ref="E96"/>
    <hyperlink r:id="rId183" ref="B97"/>
    <hyperlink r:id="rId184" ref="E97"/>
    <hyperlink r:id="rId185" ref="B98"/>
    <hyperlink r:id="rId186" ref="E98"/>
    <hyperlink r:id="rId187" ref="B99"/>
    <hyperlink r:id="rId188" ref="E99"/>
    <hyperlink r:id="rId189" ref="B100"/>
    <hyperlink r:id="rId190" ref="E100"/>
    <hyperlink r:id="rId191" ref="B101"/>
    <hyperlink r:id="rId192" ref="E101"/>
    <hyperlink r:id="rId193" ref="B102"/>
    <hyperlink r:id="rId194" ref="E102"/>
    <hyperlink r:id="rId195" ref="B103"/>
    <hyperlink r:id="rId196" ref="E103"/>
    <hyperlink r:id="rId197" ref="B104"/>
    <hyperlink r:id="rId198" ref="E104"/>
    <hyperlink r:id="rId199" ref="B105"/>
    <hyperlink r:id="rId200" ref="E105"/>
    <hyperlink r:id="rId201" ref="B106"/>
    <hyperlink r:id="rId202" ref="E106"/>
    <hyperlink r:id="rId203" ref="B107"/>
    <hyperlink r:id="rId204" ref="E107"/>
    <hyperlink r:id="rId205" ref="B108"/>
    <hyperlink r:id="rId206" ref="E108"/>
    <hyperlink r:id="rId207" ref="B109"/>
    <hyperlink r:id="rId208" ref="E109"/>
    <hyperlink r:id="rId209" ref="B110"/>
    <hyperlink r:id="rId210" ref="E110"/>
    <hyperlink r:id="rId211" ref="B111"/>
    <hyperlink r:id="rId212" ref="E111"/>
    <hyperlink r:id="rId213" ref="B112"/>
    <hyperlink r:id="rId214" ref="E112"/>
    <hyperlink r:id="rId215" ref="B113"/>
    <hyperlink r:id="rId216" ref="E113"/>
    <hyperlink r:id="rId217" ref="B114"/>
    <hyperlink r:id="rId218" ref="E114"/>
    <hyperlink r:id="rId219" ref="B115"/>
    <hyperlink r:id="rId220" ref="E115"/>
    <hyperlink r:id="rId221" ref="B116"/>
    <hyperlink r:id="rId222" ref="E116"/>
    <hyperlink r:id="rId223" ref="B117"/>
    <hyperlink r:id="rId224" ref="E117"/>
    <hyperlink r:id="rId225" ref="B118"/>
    <hyperlink r:id="rId226" ref="E118"/>
    <hyperlink r:id="rId227" ref="B119"/>
    <hyperlink r:id="rId228" ref="E119"/>
    <hyperlink r:id="rId229" ref="B120"/>
    <hyperlink r:id="rId230" ref="E120"/>
    <hyperlink r:id="rId231" ref="B121"/>
    <hyperlink r:id="rId232" ref="E121"/>
    <hyperlink r:id="rId233" ref="B122"/>
    <hyperlink r:id="rId234" ref="E122"/>
    <hyperlink r:id="rId235" ref="B123"/>
    <hyperlink r:id="rId236" ref="E123"/>
    <hyperlink r:id="rId237" ref="B124"/>
    <hyperlink r:id="rId238" ref="E124"/>
    <hyperlink r:id="rId239" ref="B125"/>
    <hyperlink r:id="rId240" ref="E125"/>
    <hyperlink r:id="rId241" ref="B126"/>
    <hyperlink r:id="rId242" ref="E126"/>
    <hyperlink r:id="rId243" ref="B127"/>
    <hyperlink r:id="rId244" ref="E127"/>
    <hyperlink r:id="rId245" ref="B128"/>
    <hyperlink r:id="rId246" ref="E128"/>
    <hyperlink r:id="rId247" ref="B129"/>
    <hyperlink r:id="rId248" ref="E129"/>
    <hyperlink r:id="rId249" ref="B130"/>
    <hyperlink r:id="rId250" ref="E130"/>
    <hyperlink r:id="rId251" ref="B131"/>
    <hyperlink r:id="rId252" ref="E131"/>
    <hyperlink r:id="rId253" ref="B132"/>
    <hyperlink r:id="rId254" ref="E132"/>
    <hyperlink r:id="rId255" ref="B133"/>
    <hyperlink r:id="rId256" ref="E133"/>
    <hyperlink r:id="rId257" ref="B134"/>
    <hyperlink r:id="rId258" ref="E134"/>
    <hyperlink r:id="rId259" ref="B135"/>
    <hyperlink r:id="rId260" ref="E135"/>
    <hyperlink r:id="rId261" ref="B136"/>
    <hyperlink r:id="rId262" ref="E136"/>
    <hyperlink r:id="rId263" ref="B137"/>
    <hyperlink r:id="rId264" ref="E137"/>
    <hyperlink r:id="rId265" ref="B138"/>
    <hyperlink r:id="rId266" ref="E138"/>
    <hyperlink r:id="rId267" ref="B139"/>
    <hyperlink r:id="rId268" ref="E139"/>
    <hyperlink r:id="rId269" ref="B140"/>
    <hyperlink r:id="rId270" ref="E140"/>
    <hyperlink r:id="rId271" ref="B141"/>
    <hyperlink r:id="rId272" ref="E141"/>
    <hyperlink r:id="rId273" ref="B142"/>
    <hyperlink r:id="rId274" ref="E142"/>
    <hyperlink r:id="rId275" ref="B143"/>
    <hyperlink r:id="rId276" ref="E143"/>
    <hyperlink r:id="rId277" ref="B144"/>
    <hyperlink r:id="rId278" ref="E144"/>
    <hyperlink r:id="rId279" ref="B145"/>
    <hyperlink r:id="rId280" ref="E145"/>
    <hyperlink r:id="rId281" ref="B146"/>
    <hyperlink r:id="rId282" ref="E146"/>
    <hyperlink r:id="rId283" ref="B147"/>
    <hyperlink r:id="rId284" ref="E147"/>
    <hyperlink r:id="rId285" ref="B148"/>
    <hyperlink r:id="rId286" ref="E148"/>
    <hyperlink r:id="rId287" ref="B149"/>
    <hyperlink r:id="rId288" ref="E149"/>
    <hyperlink r:id="rId289" ref="B150"/>
    <hyperlink r:id="rId290" ref="E150"/>
    <hyperlink r:id="rId291" ref="B151"/>
    <hyperlink r:id="rId292" ref="E151"/>
    <hyperlink r:id="rId293" ref="B152"/>
    <hyperlink r:id="rId294" ref="E152"/>
    <hyperlink r:id="rId295" ref="B153"/>
    <hyperlink r:id="rId296" ref="E153"/>
    <hyperlink r:id="rId297" ref="B154"/>
    <hyperlink r:id="rId298" ref="E154"/>
    <hyperlink r:id="rId299" ref="B155"/>
    <hyperlink r:id="rId300" ref="E155"/>
    <hyperlink r:id="rId301" ref="B156"/>
    <hyperlink r:id="rId302" ref="E156"/>
    <hyperlink r:id="rId303" ref="B157"/>
    <hyperlink r:id="rId304" ref="E157"/>
    <hyperlink r:id="rId305" ref="B158"/>
    <hyperlink r:id="rId306" ref="E158"/>
    <hyperlink r:id="rId307" ref="B159"/>
    <hyperlink r:id="rId308" ref="E159"/>
    <hyperlink r:id="rId309" ref="B160"/>
    <hyperlink r:id="rId310" ref="E160"/>
    <hyperlink r:id="rId311" ref="B161"/>
    <hyperlink r:id="rId312" ref="E161"/>
    <hyperlink r:id="rId313" ref="B162"/>
    <hyperlink r:id="rId314" ref="E162"/>
    <hyperlink r:id="rId315" ref="B163"/>
    <hyperlink r:id="rId316" ref="E163"/>
    <hyperlink r:id="rId317" ref="B164"/>
    <hyperlink r:id="rId318" ref="E164"/>
    <hyperlink r:id="rId319" ref="B165"/>
    <hyperlink r:id="rId320" ref="E165"/>
    <hyperlink r:id="rId321" ref="B166"/>
    <hyperlink r:id="rId322" ref="E166"/>
    <hyperlink r:id="rId323" ref="B167"/>
    <hyperlink r:id="rId324" ref="E167"/>
    <hyperlink r:id="rId325" ref="B168"/>
    <hyperlink r:id="rId326" ref="E168"/>
    <hyperlink r:id="rId327" ref="B169"/>
    <hyperlink r:id="rId328" ref="E169"/>
    <hyperlink r:id="rId329" ref="B170"/>
    <hyperlink r:id="rId330" ref="E170"/>
    <hyperlink r:id="rId331" ref="B171"/>
    <hyperlink r:id="rId332" ref="E171"/>
    <hyperlink r:id="rId333" ref="B172"/>
    <hyperlink r:id="rId334" ref="E172"/>
    <hyperlink r:id="rId335" ref="B173"/>
    <hyperlink r:id="rId336" ref="E173"/>
    <hyperlink r:id="rId337" ref="B174"/>
    <hyperlink r:id="rId338" ref="E174"/>
    <hyperlink r:id="rId339" ref="B175"/>
    <hyperlink r:id="rId340" ref="E175"/>
    <hyperlink r:id="rId341" ref="B176"/>
    <hyperlink r:id="rId342" ref="E176"/>
  </hyperlinks>
  <drawing r:id="rId343"/>
</worksheet>
</file>
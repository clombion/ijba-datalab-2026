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la" sheetId="1" r:id="rId4"/>
    <sheet state="visible" name="Copie Océane" sheetId="2" r:id="rId5"/>
    <sheet state="visible" name="tabula-1 - 2016_aides_nature go" sheetId="3" r:id="rId6"/>
    <sheet state="visible" name="Copie de tabula-1  T.O" sheetId="4" r:id="rId7"/>
    <sheet state="visible" name="tabubu raf" sheetId="5" r:id="rId8"/>
    <sheet state="visible" name="Copie de Copie de tabula-1 - 20" sheetId="6" r:id="rId9"/>
    <sheet state="visible" name="Copie Nicolas" sheetId="7" r:id="rId10"/>
    <sheet state="visible" name="Copie Tom" sheetId="8" r:id="rId11"/>
  </sheets>
  <definedNames/>
  <calcPr/>
</workbook>
</file>

<file path=xl/sharedStrings.xml><?xml version="1.0" encoding="utf-8"?>
<sst xmlns="http://schemas.openxmlformats.org/spreadsheetml/2006/main" count="17122" uniqueCount="2371">
  <si>
    <t>VALORISATION DES AIDES EN NATURE ACCORDEES AUX ASSOCIATIONS EN 2016;</t>
  </si>
  <si>
    <t>;PRESTATIONS EN</t>
  </si>
  <si>
    <t>NOM DES BENEFICIAIRES;</t>
  </si>
  <si>
    <t>;NATURE CHIFFREES</t>
  </si>
  <si>
    <t>"BAMBINO BERTHELOT" ASSOCIATION DE PARENTS D'ELEVES DE L'ECOLE MATERNELLE BERTHELOT A BORDEAUX;56</t>
  </si>
  <si>
    <t>1001 JEUNES BORDELAIS;4 359</t>
  </si>
  <si>
    <t>2AA;34</t>
  </si>
  <si>
    <t>2SI2LA;675</t>
  </si>
  <si>
    <t>4 CATS;400</t>
  </si>
  <si>
    <t>9-33;20 632</t>
  </si>
  <si>
    <t>A TRAVERS CHANT;2 791</t>
  </si>
  <si>
    <t>A2RUNNING;631</t>
  </si>
  <si>
    <t>ABALONE CHASSE BORDEAUX;14 561</t>
  </si>
  <si>
    <t>ABEILLES BORDELAISES;15 042</t>
  </si>
  <si>
    <t>ACADEMIE BUSHIKAI KARATE DO;3 888</t>
  </si>
  <si>
    <t>ACADEMIE DES SCIENCES</t>
  </si>
  <si>
    <t>BELLES LETTRES ET ARTS DE BORDEAUX;228 670</t>
  </si>
  <si>
    <t>ACADEMIE PROSPECTIVE NOUVELLES TECHNOLOGIES;124</t>
  </si>
  <si>
    <t>ACADEMIE YOUNUS;31 971</t>
  </si>
  <si>
    <t>ACCOMPAGNEMENT ET RECHERCHE PSYCHO-SOCIO EDUCATIFS POUR LES JEUNES (ARPEJE);74</t>
  </si>
  <si>
    <t>ACCOMPAGNER CONDUIRE TRANSMETTRE - ACT;1 517</t>
  </si>
  <si>
    <t>ACCORDERIE BORDEAUX SUD;4 146</t>
  </si>
  <si>
    <t>ACHATS GROUPES ASSOCIATIF POUR L'ECONOMIE SOLIDAIRE DE BORDEAUX - AGAPES;27</t>
  </si>
  <si>
    <t>ACIDD</t>
  </si>
  <si>
    <t>ASSOCIATION COMMUNICATION ET INFORMATION POUR LE DEVELOPPEMENT DURABLE;12 532</t>
  </si>
  <si>
    <t>ACTA GIRONDE - AGIR CONTRE LA TORTURE DES ANIMAUX;663</t>
  </si>
  <si>
    <t>ACTION CONTRE LA FAIM;214</t>
  </si>
  <si>
    <t>ACTION INTERNATIONALE POUR LA PAIX ET LE DEVELOPPEMENT;24</t>
  </si>
  <si>
    <t>AD LUCEM THEATRE;339</t>
  </si>
  <si>
    <t>ADORA - ASSOCIATION POUR LE DEVELOPPEMENT ET L'ACCOMPAGNEMENT</t>
  </si>
  <si>
    <t>EN AQUITAINE</t>
  </si>
  <si>
    <t>DE L'ORIENTATION PERSONNELLE ET;</t>
  </si>
  <si>
    <t>;200</t>
  </si>
  <si>
    <t>PROFESSIONNELLE</t>
  </si>
  <si>
    <t>TOUT AU LONG DE LA VIE;</t>
  </si>
  <si>
    <t>AEP SAINT PROJET;185</t>
  </si>
  <si>
    <t>AGENCE LOCALE DE L'ENERGIE ET DU CLIMAT (ALEC);56</t>
  </si>
  <si>
    <t>AGENCE REGIONALE DE SANTE NOUVELLE AQUITAINE;796</t>
  </si>
  <si>
    <t>AGORA DES ARTS;3 848</t>
  </si>
  <si>
    <t>AIGUILLES ET CALAME;1 478</t>
  </si>
  <si>
    <t>AIKIDO BORDEAUX BASTIDE;5 391</t>
  </si>
  <si>
    <t>AIR ROLLER (ATTENTION INERTIE RENOUVELABLE);13 988</t>
  </si>
  <si>
    <t>ALAM AMIS DU LIVRE ANCIEN ET MODERNE;4 305</t>
  </si>
  <si>
    <t>ALGERIENS DE L'AQUITAINE;564</t>
  </si>
  <si>
    <t>ALLIANCE DEPARTEMENT 33</t>
  </si>
  <si>
    <t>JUSQU'AU BOUT ACCOMPAGNER LA VIE...;12 605</t>
  </si>
  <si>
    <t>ALLIANCE FRANCAISE DE BORDEAUX AQUITAINE;332</t>
  </si>
  <si>
    <t>ALPTIS;299</t>
  </si>
  <si>
    <t>ALTER INSERTION;118</t>
  </si>
  <si>
    <t>AMEPI;106</t>
  </si>
  <si>
    <t>AMICALE BORDELAISE TRACTION AVANT CITROEN;340</t>
  </si>
  <si>
    <t>AMICALE COMORIENNE DE BORDEAUX;102</t>
  </si>
  <si>
    <t>AMICALE DE LA RESIDENCE DU LAC;178</t>
  </si>
  <si>
    <t>AMICALE DES ANCIENS DE MARIE-BRIZARD - AAMB;170</t>
  </si>
  <si>
    <t>AMICALE DES ANCIENS DES NOUVELLES GALERIES DE BORDEAUX;356</t>
  </si>
  <si>
    <t>AMICALE DES ANCIENS GUERILLEROS ESPAGNOLS EN FRANCE-FFI - SECTION DE LA GIRONDE;34</t>
  </si>
  <si>
    <t>AMICALE DES AVEYRONNAIS DE BORDEAUX ET GIRONDE;621</t>
  </si>
  <si>
    <t>AMICALE DES ETABLISSEMENTS SCOLAIRES LAIQUES DE BACALAN - ALB;4 482</t>
  </si>
  <si>
    <t>AMICALE DES PHILIPPEVILLOIS</t>
  </si>
  <si>
    <t>CONSTANTINOIS ET LEURS AMIS - APCA;265</t>
  </si>
  <si>
    <t>AMICALE DES RETRAITES U.G.R.R. - I.S.I.C.A. DE BORDEAUX;7 722</t>
  </si>
  <si>
    <t>AMICALE DU PATRONAGE LAIQUE ET DU CONSEIL DE PARENTS D'ELEVES DU GROUPE SCOLAIRE NUYENS;1 432</t>
  </si>
  <si>
    <t>AMICALE LAIQUE BORDEAUX CENTRE;17 008</t>
  </si>
  <si>
    <t>AMICALE LAIQUE DAVID JOHNSTON LAGRANGE ALBERT BARRAUD NAUJAC;72</t>
  </si>
  <si>
    <t>AMICALE LAIQUE DU GROUPE SCOLAIRE LEONARD-LENOIR - MONTAUD - NUITS;5 715</t>
  </si>
  <si>
    <t>AMICALE LAIQUE LEONARD LENOIR;178</t>
  </si>
  <si>
    <t>AMICALE NATIONALE DES RETRAITES DE L'AUDIOVISUEL;265</t>
  </si>
  <si>
    <t>AMIS D'ARS ET FIDES BORDEAUX;5 105</t>
  </si>
  <si>
    <t>AMIS D'ICI ET D'AILLEURS;587</t>
  </si>
  <si>
    <t>AMIS DU CAPC MUSEE;239</t>
  </si>
  <si>
    <t>AMITIES FRANCAISES;670</t>
  </si>
  <si>
    <t>AMITIES GENEALOGIQUES BORDELAISES;5 920</t>
  </si>
  <si>
    <t>AMNESTY INTERNATIONAL GROUPE 234 DE BORDEAUX CENTRE;5 951</t>
  </si>
  <si>
    <t>AMOR DEL TANGO;442</t>
  </si>
  <si>
    <t>ANCIENS BASTIDIENS-CLUB;7 446</t>
  </si>
  <si>
    <t>ANIMATIONS VILLAGE SAINT-SEURIN;3 573</t>
  </si>
  <si>
    <t>ANPAA - ASSOCIATION NATIONALE DE PREVENTION EN ALCOOLOGIE ET EN ADDICTOLOGIE;92</t>
  </si>
  <si>
    <t>APNEE 33;7 404</t>
  </si>
  <si>
    <t>APPEL DES CENT POUR LA PAIX COLLECTIF BORDELAIS;476</t>
  </si>
  <si>
    <t>APPRENDRE AVEC MONTESSORI AUJOURD'HUI;884</t>
  </si>
  <si>
    <t>APPRENTIS D'AUTEUIL - DELEGATION AQUITAINE;3 858</t>
  </si>
  <si>
    <t>AQUATIC BORDEAUX CAUDERAN CLUB - AB2C;12 974</t>
  </si>
  <si>
    <t>AQUINUM - ASSOCIATION DES PROFESSIONNELS DU NUMERIQUE EN AQUITAINE;1 640</t>
  </si>
  <si>
    <t>AQUITAINE PLONGEE SPORT NAUTIQUE APSN;3 251</t>
  </si>
  <si>
    <t>AQUITAINE PREFI-CRESS;56</t>
  </si>
  <si>
    <t>AQUITEC;1 117</t>
  </si>
  <si>
    <t>ARC EN REVE;32 738</t>
  </si>
  <si>
    <t>ARC'ANGECIEL VOYAGES;1 219</t>
  </si>
  <si>
    <t>ARCHIMUSE - BORDEAUX;193</t>
  </si>
  <si>
    <t>AREPT;34</t>
  </si>
  <si>
    <t>ART EN ACTION - TIC-TAC THEATRE;443</t>
  </si>
  <si>
    <t>ART EN PRODUCTION;320</t>
  </si>
  <si>
    <t>ART MEDIUM EN SCENES;774</t>
  </si>
  <si>
    <t>ART PASTEL;1 413</t>
  </si>
  <si>
    <t>ARTISANS DU MONDE BORDEAUX;425</t>
  </si>
  <si>
    <t>ARTS CROISES;34</t>
  </si>
  <si>
    <t>ARTS ET COMMUNICATION DU MONDE - ACM;4 462</t>
  </si>
  <si>
    <t>ARTS ET LETTRES DE FRANCE ASSOCIATION CULTURELLE INTERNATIONALE;1 056</t>
  </si>
  <si>
    <t>ARTS ET SCIENCES;374</t>
  </si>
  <si>
    <t>ARTS MARTIAUX ET BIEN ETRE;1 770</t>
  </si>
  <si>
    <t>ARTS MARTIAUX SHAOLIN BORDEAUX;6 939</t>
  </si>
  <si>
    <t>ARTS MARTIAUX TRADITIONNELS BORDELAIS;7 947</t>
  </si>
  <si>
    <t>ASAD DE BORDEAUX</t>
  </si>
  <si>
    <t>ASSOCIATION SERVICES D’AIDE A DOMICILE DE BORDEAUX;206</t>
  </si>
  <si>
    <t>ASC BNP PARIBAS BX TT;7 848</t>
  </si>
  <si>
    <t>ASPER 33;34</t>
  </si>
  <si>
    <t>ASSOCIATION "LA BOULANGERIE";610</t>
  </si>
  <si>
    <t>ASSOCIATION AFRICAN SOLIDARITE FRANCE (AASF);212</t>
  </si>
  <si>
    <t>ASSOCIATION AMITIE LAO MEKONG DE LA GIRONDE;442</t>
  </si>
  <si>
    <t>ASSOCIATION AQUITAINE DE QUILLES FINLANDAISES (QUIF);24</t>
  </si>
  <si>
    <t>ASSOCIATION ARTS &amp; RENCONTRES;459</t>
  </si>
  <si>
    <t>ASSOCIATION AUTONOME DES PARENTS D'ELEVES DE BORDEAUX : ECOLES JEAN COCTEAU;530</t>
  </si>
  <si>
    <t>ASSOCIATION BI-IZARRAK (LES DEUX ETOILES);1 286</t>
  </si>
  <si>
    <t>ASSOCIATION BORDEAUX - USA;2 546</t>
  </si>
  <si>
    <t>ASSOCIATION BORDEAUX CULTURE GRAPPLING (ABC GRAPPLING);4 680</t>
  </si>
  <si>
    <t>ASSOCIATION BORDEAUX QUINCONCES;16 603</t>
  </si>
  <si>
    <t>ASSOCIATION BORDEAUX-COMPOSTELLE HOSPITALITE SAINT-JACQUES;556</t>
  </si>
  <si>
    <t>ASSOCIATION BORDEAUX-TANESSE;7</t>
  </si>
  <si>
    <t>ASSOCIATION BORDELAISE DE TAEKWONDO INTERNATIONAL ATLANTICA;4 014</t>
  </si>
  <si>
    <t>ASSOCIATION BULGARE CULTURELLE - ABC;9 349</t>
  </si>
  <si>
    <t>ASSOCIATION COEXISTER;540</t>
  </si>
  <si>
    <t>ASSOCIATION COMUNIDAD;790</t>
  </si>
  <si>
    <t>ASSOCIATION CONTRE LA TUBERCULOSE ET LES MALADIES ENDEMIQUES - ACTUME;1 857</t>
  </si>
  <si>
    <t>ASSOCIATION COOPERATIVE DE L'INSTITUT UNIVERSITAIRE DE TECHNOLOGIE;286</t>
  </si>
  <si>
    <t>ASSOCIATION CREMATISTE DE LA GIRONDE;120</t>
  </si>
  <si>
    <t>ASSOCIATION CULTURE ET MUSIQUE DE L'ESTUAIRE - ACME;40</t>
  </si>
  <si>
    <t>ASSOCIATION CULTURELLE DES ALEVIS DE GIRONDE;852</t>
  </si>
  <si>
    <t>ASSOCIATION CULTURELLE DES ELEVES DU LYCEE MONTESQUIEU - ACELM;587</t>
  </si>
  <si>
    <t>ASSOCIATION CULTURELLE DES KABYLES DE BORDEAUX (ACKB);166</t>
  </si>
  <si>
    <t>ASSOCIATION CULTURELLE DU MARCHE DES CHARTRONS;1 231</t>
  </si>
  <si>
    <t>ASSOCIATION D'AQUITAINE DES AMIS D'ALGERIANIE;265</t>
  </si>
  <si>
    <t>ASSOCIATION DAVID ET JONATHAN;24</t>
  </si>
  <si>
    <t>ASSOCIATION DE CARDIOLOGIE D'AQUITAINE;2 593</t>
  </si>
  <si>
    <t>ASSOCIATION DE DEFENSE DES INTERETS DU QUARTIER DE BACALAN - ADIQ;880</t>
  </si>
  <si>
    <t>ASSOCIATION DE DEFENSE DES MUSIQUES ALTERNATIVES EN AQUITAINE - ADMAA (ALLEZ LES FILLES);52 753</t>
  </si>
  <si>
    <t>ASSOCIATION DE DEFENSE DES RESIDENTS DE LA GALERIE (ADREGA);58</t>
  </si>
  <si>
    <t>ASSOCIATION DE DEVELOPPEMENT NATUREL (A.D.N.);2 501</t>
  </si>
  <si>
    <t>ASSOCIATION DE FAMILLES DE TRAUMATISES CRANIENS AVENIR - AFTC AVENIR;6 879</t>
  </si>
  <si>
    <t>ASSOCIATION DE GESTION DES CENTRES PSYCHANALYTIQUES DE CONSULTATIONS ET DE TRAITEMENT (CPCT) D'AQUITAINE;68</t>
  </si>
  <si>
    <t>ASSOCIATION DE LA FONDATION ETUDIANTE POUR LA VILLE - AFEV;61</t>
  </si>
  <si>
    <t>ASSOCIATION DE LA RUE NOTRE DAME DES CHARTRONS;1 403</t>
  </si>
  <si>
    <t>ASSOCIATION DE L'AIDE FAMILIALE POPULAIRE - U.D.C.S.F.;102</t>
  </si>
  <si>
    <t>ASSOCIATION DE L'ECOLE COREENNE DE BORDEAUX - AECB;1 064</t>
  </si>
  <si>
    <t>ASSOCIATION DE LOCATAIRES SEM-LM;34</t>
  </si>
  <si>
    <t>ASSOCIATION DE MEDECINE PHYSIQUE ET READAPTATION D'AQUITAINE (AMPRA);135</t>
  </si>
  <si>
    <t>ASSOCIATION DE PARENTS D'ELEVES DE L'ENSEIGNEMENT LIBRE SAINT-MICHEL/SAINT-GENES (APEL SAINT-MICHEL/SAINT-GENES);459</t>
  </si>
  <si>
    <t>ASSOCIATION DE PATIENTS POUR LA PREVENTION LE TRAITEMENT ET LA LUTTE CONTRE LA MALADIE CHRONIQUE DE L'OBESITE;</t>
  </si>
  <si>
    <t>;580</t>
  </si>
  <si>
    <t>(ALOA);</t>
  </si>
  <si>
    <t>ASSOCIATION DE PREFIGURATION D’UNE PLATEFORME D’AQUITAINE POUR LE COMMERCE EQUITABLE (LA PLACE);2 630</t>
  </si>
  <si>
    <t>ASSOCIATION DE PREFIGURATION DE LA COOPERATIVE DE PRESTATAIRES RESPONSABLES SUD-OUEST;3 455</t>
  </si>
  <si>
    <t>ASSOCIATION DE RIVERAINS BASTIDE-ID;476</t>
  </si>
  <si>
    <t>ASSOCIATION DE SOLIDARITE AVEC TOUS LES IMMIGRES - BORDEAUX (ASTI BORDEAUX);790</t>
  </si>
  <si>
    <t>ASSOCIATION DE SOLIDARITE BORDEAUX;111</t>
  </si>
  <si>
    <t>ASSOCIATION DE SOPHROLOGIE EXISTENTIELLE DE BORDEAUX;96</t>
  </si>
  <si>
    <t>ASSOCIATION DE SOUTIEN AUX INVENTIONS LIBRES (ASIL);11 301</t>
  </si>
  <si>
    <t>ASSOCIATION DEPARTEMENTALE APAJH DE LA GIRONDE;46</t>
  </si>
  <si>
    <t>ASSOCIATION DEPARTEMENTALE DE L'OFFICE CENTRAL DE LA COOPERATION A L'ECOLE DE LA GIRONDE - AD-OCCE;16 000</t>
  </si>
  <si>
    <t>ASSOCIATION DEPARTEMENTALE DES AMIS ET PARENTS DE PERSONNES HANDICAPEES MENTALES DE LA GIRONDE - LES;</t>
  </si>
  <si>
    <t>;406</t>
  </si>
  <si>
    <t>PAPILLONS BLANCS (ADAPEI);</t>
  </si>
  <si>
    <t>ASSOCIATION DEPARTEMENTALE DES CONJOINTS SURVIVANTS ET PARENTS D'ORPHELINS DE LA GIRONDE - FAVEC 33;1 600</t>
  </si>
  <si>
    <t>ASSOCIATION DEPARTEMENTALE DES PARENTS D'ELEVES DE L'ENSEIGNEMENT PUBLIC DE LA GIRONDE - PEEP AD 33;4 000</t>
  </si>
  <si>
    <t>ASSOCIATION DES AMIS D'ELIANE LAVAIL;356</t>
  </si>
  <si>
    <t>ASSOCIATION DES AUDITEURS DE L'INSTITUT DES HAUTES ETUDES DE DEFENSE NATIONALE REGION AQUITAINE - AQUI IHEDN;444</t>
  </si>
  <si>
    <t>ASSOCIATION DES BROCANTEURS DES CHARTRONS - ABC;186</t>
  </si>
  <si>
    <t>ASSOCIATION DES CENTRES D'ANIMATION DE QUARTIERS DE BORDEAUX - ACAQB;913 125</t>
  </si>
  <si>
    <t>ASSOCIATION DES CITES DU SECOURS CATHOLIQUE - DELEGATION BORDEAUX;80</t>
  </si>
  <si>
    <t>ASSOCIATION DES COMMERCANTS BORDEAUX RIVE DROITE (BRD);34</t>
  </si>
  <si>
    <t>ASSOCIATION DES COMMERCANTS CAUDERAN CENTRE;6 904</t>
  </si>
  <si>
    <t>ASSOCIATION DES COMMERCANTS DE LA BARRIERE JUDAIQUE;2 691</t>
  </si>
  <si>
    <t>ASSOCIATION DES COMMERCANTS DE LA RUE SAINT-SERNIN;2 180</t>
  </si>
  <si>
    <t>ASSOCIATION DES COMMERCANTS DE SAINT-AUGUSTIN;4 985</t>
  </si>
  <si>
    <t>ASSOCIATION DES COMMERCANTS DU GRAND PARC;847</t>
  </si>
  <si>
    <t>ASSOCIATION DES COMMERCANTS ET ARTISANS DU QUARTIER SAINT MICHEL;3 928</t>
  </si>
  <si>
    <t>ASSOCIATION DES COMMERCANTS ET ARTISANS DU QUARTIER STEHELIN;1 390</t>
  </si>
  <si>
    <t>ASSOCIATION DES COMMERCANTS ET ARTISANS LES BERGES DU LAC;396</t>
  </si>
  <si>
    <t>ASSOCIATION DES COMMERCANTS ET PROFESSIONNELS DE L'ART DE LA RUE BOUFFARD;208</t>
  </si>
  <si>
    <t>ASSOCIATION DES COMMERCANTS ET RIVERAINS DU QUARTIER VICTOIRE;2 205</t>
  </si>
  <si>
    <t>ASSOCIATION DES COMMERCANTS ORNANO - GAVINIES - St VICTOR;4 752</t>
  </si>
  <si>
    <t>ASSOCIATION DES COREENS DE BORDEAUX (ACB);1 757</t>
  </si>
  <si>
    <t>ASSOCIATION DES DAMES DU CALVAIRE DE BORDEAUX - MAISON DE SANTE MARIE GALENE;663</t>
  </si>
  <si>
    <t>ASSOCIATION DES DONNEURS DE VOIX;4 480</t>
  </si>
  <si>
    <t>ASSOCIATION DES ECLAIREUSES ET ECLAIREURS DE FRANCE - REGION AQUITAINE;97</t>
  </si>
  <si>
    <t>ASSOCIATION DES ELEVES AVOCATS ALIENOR 2015 - ADEAA;24</t>
  </si>
  <si>
    <t>ASSOCIATION DES ELEVES INGENIEURS DE L'ECOLE NATIONALE SUPERIEURE DES ARTS ET METIERS CENTRE REGIONAL DE;</t>
  </si>
  <si>
    <t>;3 573</t>
  </si>
  <si>
    <t>TALENCE - AE ENSAM;</t>
  </si>
  <si>
    <t>ASSOCIATION DES ELEVES-AVOCATS ALIENOR 2016;888</t>
  </si>
  <si>
    <t>ASSOCIATION DES ETUDIANTS EN PSYCHOLOGIE DU TRAVAIL ET ERGONOMIE DES SYSTEMES;178</t>
  </si>
  <si>
    <t>ASSOCIATION DES ETUDIANTS REUNIONNAIS A BORDEAUX - AERB;34</t>
  </si>
  <si>
    <t>ASSOCIATION DES FAMILLES D'ENFANTS DE LA POSTE ET D'ORANGE - AFEH;72</t>
  </si>
  <si>
    <t>ASSOCIATION DES GROUPES BIBLIQUES ET UNIVERSITAIRES DE FRANCE - AGBUF-GBU;255</t>
  </si>
  <si>
    <t>ASSOCIATION DES GUIDES INTERPRETES ET CONFERENCIERS D'AQUITAINE - AGICA;24</t>
  </si>
  <si>
    <t>ASSOCIATION DES MAIRES DE LA GIRONDE;1 367</t>
  </si>
  <si>
    <t>ASSOCIATION DES MUSULMANS DE BORDEAUX NORD (A.M.B.N.);184</t>
  </si>
  <si>
    <t>ASSOCIATION DES MUSULMANS DE LA GIRONDE;3 025</t>
  </si>
  <si>
    <t>ASSOCIATION DES ŒUVRES GIRONDINES DE PROTECTION DE L'ENFANCE;178</t>
  </si>
  <si>
    <t>ASSOCIATION DES PARALYSES DE FRANCE - APF;3 784</t>
  </si>
  <si>
    <t>ASSOCIATION DES PARENTS D'ELEVES DE L'ENSEIGNEMENT PUBLIC DU LYCEE CAMILLE JULLIAN;106</t>
  </si>
  <si>
    <t>ASSOCIATION DES PROFESSIONNELS AQUITAINS DE LA COMMUNICATION (APACOM);903</t>
  </si>
  <si>
    <t>ASSOCIATION DES PSYCHOLOGUES ETUDIANTS (APE);166</t>
  </si>
  <si>
    <t>ASSOCIATION DES PSYCHOMOTRICIENS DE LA GIRONDE;201</t>
  </si>
  <si>
    <t>ASSOCIATION DES RESIDENCES DE L'ILOT BONNAC;202</t>
  </si>
  <si>
    <t>ASSOCIATION DES RETRAITES IRSEA D'AQUITAINE (A.R.I.A.).;992</t>
  </si>
  <si>
    <t>ASSOCIATION DES RIVERAINS DE LA PLACE MITCHELL;222</t>
  </si>
  <si>
    <t>ASSOCIATION DES RIVERAINS DU QUARTIER ORNANO-GAVINIES;1 206</t>
  </si>
  <si>
    <t>ASSOCIATION DES STAGIAIRES ET ETUDIANTS CAMEROUNAIS DE BORDEAUX (ASECB);774</t>
  </si>
  <si>
    <t>ASSOCIATION DU COMITE DES OEUVRES SOCIALES DES MUNICIPAUX DE BORDEAUX - ACOSMB;3 586</t>
  </si>
  <si>
    <t>ASSOCIATION DU LIEN INTERCULTUREL FAMILIAL ET SOCIAL - ALIFS;9 209</t>
  </si>
  <si>
    <t>ASSOCIATION DU PERSONNEL DE L'OPERA NATIONAL DE BORDEAUX;3 187</t>
  </si>
  <si>
    <t>ASSOCIATION DU SOUVENIR DES FUSILLES DE SOUGE;1 905</t>
  </si>
  <si>
    <t>ASSOCIATION DU VELO TOUTES VIGNES (AVTV);902</t>
  </si>
  <si>
    <t>ASSOCIATION ECOPOLES;126</t>
  </si>
  <si>
    <t>ASSOCIATION EDUCATIVE D'INSERTION SOCIALE (AEIS);1 329</t>
  </si>
  <si>
    <t>ASSOCIATION EMMAUS AQUITAINE BORDEAUX FONDATEUR ABBE PIERRE;24 196</t>
  </si>
  <si>
    <t>ASSOCIATION EMMAUS GIRONDE;461</t>
  </si>
  <si>
    <t>ASSOCIATION ETUDIANTE CULTURELLE BOIS DE ROSE;4 814</t>
  </si>
  <si>
    <t>ASSOCIATION FAMILIALE CATHOLIQUE BORDEAUX SAINTE-EULALIE VICTOIRE;240</t>
  </si>
  <si>
    <t>ASSOCIATION FAMILIALE LAIQUE DE BORDEAUX NORD - AFL;2 909</t>
  </si>
  <si>
    <t>ASSOCIATION FORMATION ET EDUCATION PERMANENTE DE TIVOLI - AFEPT;996</t>
  </si>
  <si>
    <t>ASSOCIATION FRANCAISE DE PERSONNES SOUFFRANT DE TROUBLES OBSESSIONNELS COMPULSIFS AFTOC;170</t>
  </si>
  <si>
    <t>ASSOCIATION FRANCAISE DES FUNDRAISERS - GROUPE AQUITAINE;1 284</t>
  </si>
  <si>
    <t>ASSOCIATION France - UKRAINE;248</t>
  </si>
  <si>
    <t>ASSOCIATION FRANCO-BRESILIENNE POUR LA RECHERCHE DE L'EQUILIBRE - AFBRE;4 797</t>
  </si>
  <si>
    <t>ASSOCIATION FRANCO-KURDE;610</t>
  </si>
  <si>
    <t>ASSOCIATION GENERALE DES INTERVENANTS RETRAITES POUR DES ACTIONS BENEVOLES DE COOPERATION ET DEVELOPPEMENT;</t>
  </si>
  <si>
    <t>;2 564</t>
  </si>
  <si>
    <t>- AGIRabcd;</t>
  </si>
  <si>
    <t>ASSOCIATION GENERALE DES LOCATAIRES;34</t>
  </si>
  <si>
    <t>ASSOCIATION GENERATION DUPATY;4 144</t>
  </si>
  <si>
    <t>ASSOCIATION GIRONDINE D'EDUCATION SPECIALISEE ET DE PREVENTION SOCIALE - AGEP;663</t>
  </si>
  <si>
    <t>ASSOCIATION GIRONDINE DES ACTIVITES PROTEGEES - SPORT - LOISIRS (AGAP - SPORT - LOISIRS);9 699</t>
  </si>
  <si>
    <t>ASSOCIATION GOLF D'ENTREPRISES INTER-ENTREPRISES GOLF DE BORDEAUX - IEGB;34</t>
  </si>
  <si>
    <t>ASSOCIATION INTERNATIONALE POUR LA CULTURE</t>
  </si>
  <si>
    <t>LE DEVELOPPEMENT ET LA PAIX (AICDP);1 440</t>
  </si>
  <si>
    <t>ASSOCIATION INTERPROFESSIONNELLE BIO REGIONALE (AQUITAINE/LIMOUSIN/POITOU-CHARENTES OU EQUIVALENT);983</t>
  </si>
  <si>
    <t>ASSOCIATION JEUNESSE FUTSAL (A.J.F.);4 950</t>
  </si>
  <si>
    <t>ASSOCIATION LE MERLE MOQUEUR;2 237</t>
  </si>
  <si>
    <t>ASSOCIATION LE VILLAGE BORDEAUX SUD;2 783</t>
  </si>
  <si>
    <t>ASSOCIATION LEA - UNIVERSITE BORDEAUX MONTAIGNE;443</t>
  </si>
  <si>
    <t>ASSOCIATION LES CREANTS;7 217</t>
  </si>
  <si>
    <t>ASSOCIATION MALADIE CHRONIQUE SPORT BIEN ETRE;34</t>
  </si>
  <si>
    <t>ASSOCIATION MALINE;750</t>
  </si>
  <si>
    <t>ASSOCIATION MARIE DE LUZE;1 420</t>
  </si>
  <si>
    <t>ASSOCIATION MUSICALARUE;1 236</t>
  </si>
  <si>
    <t>ASSOCIATION NATIONALE DES AMIS DE JEAN MOULIN;1 500</t>
  </si>
  <si>
    <t>ASSOCIATION NATIONALE DES ANCIENS ET AMIS DE L'INDOCHINE ET DU SOUVENIR INDOCHINOIS;178</t>
  </si>
  <si>
    <t>ASSOCIATION NATIONALE DES MEMBRES DE L'ORDRE NATIONAL DU MERITE - SECTION DEPARTEMENTALE DE LA GIRONDE;178</t>
  </si>
  <si>
    <t>ASSOCIATION NATIONALE DES RETRAITES DE LA POSTE ET DE France TELECOM;108</t>
  </si>
  <si>
    <t>ASSOCIATION NATIONALE DES RETRAITES HOSPITALIERS;56</t>
  </si>
  <si>
    <t>ASSOCIATION NATIONALE DES VISITEURS DE PRISON - ANVP;12</t>
  </si>
  <si>
    <t>ASSOCIATION NATIONALE LE REFUGE;442</t>
  </si>
  <si>
    <t>ASSOCIATION NATIONALE POUR LES ENFANTS INTELLECTUELLEMENT PRECOCES DE L'AQUITAINE - ANPEIP;1 116</t>
  </si>
  <si>
    <t>ASSOCIATION OXYGENE;9 564</t>
  </si>
  <si>
    <t>ASSOCIATION PALLIA PLUS;1 081</t>
  </si>
  <si>
    <t>ASSOCIATION PAROLE BEGAIEMENT - APB - DELEGATION DEPARTEMENTALE;56</t>
  </si>
  <si>
    <t>ASSOCIATION PETITE ENFANCE ENFANCE ET FAMILLE - APEEF;106 281</t>
  </si>
  <si>
    <t>ASSOCIATION PITCHOUN;178</t>
  </si>
  <si>
    <t>ASSOCIATION POUR LA DEFENSE DE LA FAMILLE ET DE L'INDIVIDU (ADFI);2 240</t>
  </si>
  <si>
    <t>ASSOCIATION POUR LA JEUNESSE</t>
  </si>
  <si>
    <t>LES INITIATIVES ET LE RESEAU DE L'ENGAGEMENT - AJIRE;102</t>
  </si>
  <si>
    <t>ASSOCIATION POUR LA PROMOTION DES ARTISTES ET CULTURES DU MONDE APAC;1 175</t>
  </si>
  <si>
    <t>ASSOCIATION POUR LA READAPTATION ET L'INTEGRATION - ARI;2 044</t>
  </si>
  <si>
    <t>ASSOCIATION POUR LA RECHERCHE CLINIQUE DE BORDEAUX NORD - ARCBN;265</t>
  </si>
  <si>
    <t>ASSOCIATION POUR LA SURVEILLANCE DE LA QUALITE DE L'AIR EN AQUITAINE - AIRAQ;1 500</t>
  </si>
  <si>
    <t>ASSOCIATION POUR LA VALORISATION EN RELATION AVEC LES PROFESSIONNELS REGION AQUITAINE;558</t>
  </si>
  <si>
    <t>ASSOCIATION POUR L'ANIMATION ET LES LOISIRS DES PERSONNES AGEES - APALPA;735</t>
  </si>
  <si>
    <t>ASSOCIATION POUR LE DEVELOPPEMENT DES ACTIVITES PHYSIQUES ADAPTEES - ADAPA;755</t>
  </si>
  <si>
    <t>ASSOCIATION POUR LE DEVELOPPEMENT L'INSERTION ET L'ACCOMPAGNEMENT DES PERSONNES HANDICAPEES - ADIAPH;886</t>
  </si>
  <si>
    <t>ASSOCIATION POUR LE DON DE SANG BENEVOLE DE BORDEAUX ET ENVIRONS;505</t>
  </si>
  <si>
    <t>ASSOCIATION POUR LE DROIT A L'INITIATIVE ECONOMIQUE - ADIE;3 570</t>
  </si>
  <si>
    <t>ASSOCIATION POUR L'ENTRAIDE CONTRE LA RECHUTE DE DEPRESSION - AERD;34</t>
  </si>
  <si>
    <t>ASSOCIATION POUR L'ENVIRONNEMENT ET LA SECURITE EN AQUITAINE - APESA;21</t>
  </si>
  <si>
    <t>ASSOCIATION POUR LES FOUILLES ARCHEOLOGIQUES NATIONALES - AFAN;15 000</t>
  </si>
  <si>
    <t>ASSOCIATION POUR L'UNIFICATION DU DROIT DES AFFAIRES EN EUROPE (AUDE);944</t>
  </si>
  <si>
    <t>ASSOCIATION PRENDRE SOIN DU LIEN - APSL;908</t>
  </si>
  <si>
    <t>ASSOCIATION PROMOTION INSERTION SPORT EN AQUITAINE - APIS;28 224</t>
  </si>
  <si>
    <t>ASSOCIATION PSYCHANALYTIQUE DES THERAPEUTES FAMILIAUX D'AQUITAINE - APSYFA;368</t>
  </si>
  <si>
    <t>ASSOCIATION REGIONALE DES DIPLOMES D'UNIVERSITE D'AQUITAINE - ARDUA;80</t>
  </si>
  <si>
    <t>ASSOCIATION RENAISSANCE DES CITES D'EUROPE;234</t>
  </si>
  <si>
    <t>ASSOCIATION RENOVATION;5 110</t>
  </si>
  <si>
    <t>ASSOCIATION REPUBLICAINE DES ANCIENS COMBATTANTS ET VICTIMES DE LA GUERRE - ARAC;5 067</t>
  </si>
  <si>
    <t>ASSOCIATION RUN FEMINA TOUR;1 290</t>
  </si>
  <si>
    <t>ASSOCIATION SOCIALE POUR L'EMPLOI - ASPE;8 800</t>
  </si>
  <si>
    <t>ASSOCIATION SOCIO CULTURELLE DE L'ECOLE DE REEDUCATION PROFESSIONNELLE - ASCERP;84</t>
  </si>
  <si>
    <t>ASSOCIATION SOCIO CULTURELLE LE TAYTA;265</t>
  </si>
  <si>
    <t>ASSOCIATION SOLIDARTE EMPLOI (ASE) - ADELPHE;244</t>
  </si>
  <si>
    <t>ASSOCIATION SPORTIVE BANQUE POPULAIRE DU SUD-OUEST;935</t>
  </si>
  <si>
    <t>ASSOCIATION SPORTIVE COLBERT ASC;88</t>
  </si>
  <si>
    <t>ASSOCIATION SPORTIVE DE LA POLICE JUDICIAIRE DE BORDEAUX;1 284</t>
  </si>
  <si>
    <t>ASSOCIATION SPORTIVE DES ANCIENS ET AMIS DE L'ECOLE NORMALE D'INSTITUTEURS (ASAAENI);429</t>
  </si>
  <si>
    <t>ASSOCIATION SPORTIVE DES SOURDS DE BORDEAUX - ASSB 33;1 863</t>
  </si>
  <si>
    <t>ASSOCIATION SPORTIVE DU BARREAU DE BORDEAUX;2 558</t>
  </si>
  <si>
    <t>ASSOCIATION SPORTIVE DU GOLF DE BORDEAUX LAC;1 465</t>
  </si>
  <si>
    <t>ASSOCIATION SPORTIVE ET CULTURELLE DE MAYOTTE;3 769</t>
  </si>
  <si>
    <t>ASSOCIATION SPORTIVE FC PORTO DE BORDEAUX;2 048</t>
  </si>
  <si>
    <t>ASSOCIATION SPORTIVE KASHIRA AIKIDO;2 781</t>
  </si>
  <si>
    <t>ASSOCIATION SPORTIVE KUNG-FU WUSHU DE BACALAN;3 829</t>
  </si>
  <si>
    <t>ASSOCIATION SPORTIVE LOVENTA AUTOMATIQUE;330</t>
  </si>
  <si>
    <t>ASSOCIATION SPORTIVE SALINIERES;709</t>
  </si>
  <si>
    <t>ASSOCIATION TERRITOIRES ET INNOVATION SOCIALE (ATIS);3 552</t>
  </si>
  <si>
    <t>ASSOCIATION THEATR'ACTIF;748</t>
  </si>
  <si>
    <t>ASSOCIATION UNION BORDEAUX BEGLES;960</t>
  </si>
  <si>
    <t>ASSOCIATION UNION NATIONALE DES COMBATTANTS DE BORDEAUX-CENTRE;1 211</t>
  </si>
  <si>
    <t>ASSOCIATION VENEZUELA A BORDEAUX;34</t>
  </si>
  <si>
    <t>ASSOENCORE;2 143</t>
  </si>
  <si>
    <t>ASSOPOURQUOIPAS33;24 699</t>
  </si>
  <si>
    <t>ASTROLABE;19 221</t>
  </si>
  <si>
    <t>ATELIER 14 CENTRE DE PRATIQUES ARTISTIQUES ET DE RECHERCHES CHOREGRAPHIQUES - CIE ISABELLE CHEVEAU - VINCENT;</t>
  </si>
  <si>
    <t>;567</t>
  </si>
  <si>
    <t>HARISDO;</t>
  </si>
  <si>
    <t>ATELIER D’ASTROLOGIE D’AQUITAINE;1 015</t>
  </si>
  <si>
    <t>ATELIER D'ECO SOLIDAIRE;1 036</t>
  </si>
  <si>
    <t>ATELIER GRAPHITE;1 020</t>
  </si>
  <si>
    <t>ATELIER VOCAL D'AQUITAINE;265</t>
  </si>
  <si>
    <t>ATELIERS LIBRES D'AQUITAINE;12 900</t>
  </si>
  <si>
    <t>ATELIERS TLC;265</t>
  </si>
  <si>
    <t>ATLANTIC OLDTIMER.COM;3 735</t>
  </si>
  <si>
    <t>AU-DELA DES DUNES;332</t>
  </si>
  <si>
    <t>AUDITION ET ECOUTE 33 - ASSOCIATION DES PERSONNES ATTEINTES DE PATHOLOGIE AUDITIVE DE LA GIRONDE;530</t>
  </si>
  <si>
    <t>AUDITION SOLIDAIRE FRANCE SENEGAL;886</t>
  </si>
  <si>
    <t>AVANT GARDE ET JEANNE D'ARC DE BORDEAUX CAUDERAN - AGJA BORDEAUX CAUDERAN;250 746</t>
  </si>
  <si>
    <t>BACALAN TENNIS CLUB - BTC;5 064</t>
  </si>
  <si>
    <t>BADMINTON CLUB BARBEY;22 277</t>
  </si>
  <si>
    <t>BANQUE ALIMENTAIRE DE BORDEAUX ET DE LA GIRONDE;17 086</t>
  </si>
  <si>
    <t>BASTIDE BENAUGE FUTSAL;2 574</t>
  </si>
  <si>
    <t>BASTIDE EN SCENES;1 610</t>
  </si>
  <si>
    <t>BELLIBULLE;122</t>
  </si>
  <si>
    <t>BENEVOLES EN ACTION;24</t>
  </si>
  <si>
    <t>BIBLIOTHECA;8 280</t>
  </si>
  <si>
    <t>BIEN-ETRE &amp; BONHEUR DE VIVRE - BBV;942</t>
  </si>
  <si>
    <t>BIO D'AQUITAINE;197</t>
  </si>
  <si>
    <t>BIO'GUSTIN;5 772</t>
  </si>
  <si>
    <t>BOK DIEUF;168</t>
  </si>
  <si>
    <t>BORDEAUX 5 DE COEUR;655</t>
  </si>
  <si>
    <t>BORDEAUX ACCUEILLE;1 421</t>
  </si>
  <si>
    <t>BORDEAUX AQUITAINE AERONAUTIQUE ET SPATIAL;663</t>
  </si>
  <si>
    <t>BORDEAUX ATHLETIC CLUB;20 584</t>
  </si>
  <si>
    <t>BORDEAUX BACKGAMMON CLUB;554</t>
  </si>
  <si>
    <t>BORDEAUX BASTIDE BASKET;48 049</t>
  </si>
  <si>
    <t>BORDEAUX CAUDERAN BRIDGE CLUB (BCBC);22 173</t>
  </si>
  <si>
    <t>BORDEAUX CHANSON;2 880</t>
  </si>
  <si>
    <t>BORDEAUX CITE TANGO BCT;5 207</t>
  </si>
  <si>
    <t>BORDEAUX CRITERIUM CYCLISTE INTERNATIONAL - BCCI;7 362</t>
  </si>
  <si>
    <t>BORDEAUX DANCE'IN CLUB;22 396</t>
  </si>
  <si>
    <t>BORDEAUX DEMAIN;1 070</t>
  </si>
  <si>
    <t>BORDEAUX ENTREPRENEURS;820</t>
  </si>
  <si>
    <t>BORDEAUX ETUDIANTS CLUB - BEC;248 842</t>
  </si>
  <si>
    <t>BORDEAUX FOOTBALL AMERICAIN - LES LIONS DE BORDEAUX;4 334</t>
  </si>
  <si>
    <t>BORDEAUX FUTSAL CLUB;24</t>
  </si>
  <si>
    <t>BORDEAUX GIRONDE INVESTISSEMENT;767</t>
  </si>
  <si>
    <t>BORDEAUX GRANDS EVENEMENTS (BGE);93 511</t>
  </si>
  <si>
    <t>BORDEAUX INTER CHALLENGE - BIC;610</t>
  </si>
  <si>
    <t>BORD'EAUX LOISIR PECHE;251</t>
  </si>
  <si>
    <t>BORDEAUX MARITIME SAUVETAGE &amp; SECOURISME - BM2S;12 765</t>
  </si>
  <si>
    <t>BORDEAUX MAYOTTE 101;4 086</t>
  </si>
  <si>
    <t>BORDEAUX MERIGNAC VOLLEY;14 661</t>
  </si>
  <si>
    <t>BORDEAUX NIHONGO HOSHU JUGYOKO (ECOLE COMPLEMENTAIRE JAPONAISE DE BORDEAUX);806</t>
  </si>
  <si>
    <t>BORDEAUX OPEN AIR;4 909</t>
  </si>
  <si>
    <t>BORDEAUX ROCK;17 448</t>
  </si>
  <si>
    <t>BORDEAUX ROLLERBLADING ASSOCIATION - BRA;444</t>
  </si>
  <si>
    <t>BORDEAUX SPORTS;27 402</t>
  </si>
  <si>
    <t>BORDEAUX SPORTS DE GLACE;56</t>
  </si>
  <si>
    <t>BORDEAUX TEATRO ITALIANO BTI;8 831</t>
  </si>
  <si>
    <t>BORDEAUX WOMEN'S CLUB;527</t>
  </si>
  <si>
    <t>BORDEAUX Y NOV CAMPUS;2 052</t>
  </si>
  <si>
    <t>BORDEAUX YOUNG BUSINESS CLUB - BYBC;476</t>
  </si>
  <si>
    <t>BORDEAUX-BASTIDE-ESCRIME;10 780</t>
  </si>
  <si>
    <t>BORDEAUX-GIRONDE-QUEBEC;332</t>
  </si>
  <si>
    <t>BORDELAIS ASSOCIATIFS FALUCHARDS;626</t>
  </si>
  <si>
    <t>BOULEVARD DES POTES;4 374</t>
  </si>
  <si>
    <t>BOXING CLUB BACALANAIS;18 132</t>
  </si>
  <si>
    <t>BOXING CLUB BORDELAIS;16 308</t>
  </si>
  <si>
    <t>BRASS BAND BORGIAQ;1 055</t>
  </si>
  <si>
    <t>BREV’ART;8 210</t>
  </si>
  <si>
    <t>BRUIT DU FRIGO;267</t>
  </si>
  <si>
    <t>BURDIGALA CORPORATION;919</t>
  </si>
  <si>
    <t>BURDIGALA PHOTOS CLUB;7 710</t>
  </si>
  <si>
    <t>BURDIGALA SAVATE-CLUB;6 867</t>
  </si>
  <si>
    <t>C.F.A. - CENTRE DE FORMATION ADAGE;745</t>
  </si>
  <si>
    <t>C.O.D. FORMATION (FORMASUP CAMPUS);1 249</t>
  </si>
  <si>
    <t>CAC33;181</t>
  </si>
  <si>
    <t>CAHIERS D'ARCHIVES;578</t>
  </si>
  <si>
    <t>CALICONTE;46</t>
  </si>
  <si>
    <t>CALK - COMITE D'ANIMATION LAFONTAINE KLEBER;4 561</t>
  </si>
  <si>
    <t>CANCER SUPPORT FRANCE BORDEAUX &amp; REGION (CSF BORDEAUX &amp; REGION);46</t>
  </si>
  <si>
    <t>CAP AND CO;276</t>
  </si>
  <si>
    <t>CAP CARREIRE : CULTURES</t>
  </si>
  <si>
    <t>ANIMATIONS ET PARTAGES;97</t>
  </si>
  <si>
    <t>CAP DE VIE;185</t>
  </si>
  <si>
    <t>CARABINS DE BORDEAUX;1 640</t>
  </si>
  <si>
    <t>CATHEDRA;7 419</t>
  </si>
  <si>
    <t>CDANSLABOITE;3 440</t>
  </si>
  <si>
    <t>CDISCOUNT@SPORT;1 000</t>
  </si>
  <si>
    <t>CENTRE ATLANTIC;265</t>
  </si>
  <si>
    <t>CENTRE CULTUREL TURC DE BORDEAUX ET SES ENVIRONS;210</t>
  </si>
  <si>
    <t>CENTRE D'ACCUEIL D'INFORMATION ET D'ORIENTATION - CAIO;92</t>
  </si>
  <si>
    <t>CENTRE D'ACTION ET DE PREVENTION CONTRE LA RADICALISATION LIEE A L'ISLAMISME (CAPRI);1 267</t>
  </si>
  <si>
    <t>CENTRE DE LIAISON DES EQUIPES DE RECHERCHE</t>
  </si>
  <si>
    <t>CLER AMOUR ET FAMILLES;3 200</t>
  </si>
  <si>
    <t>CENTRE DE MUSICOTHERAPIE DE LA GIRONDE;21</t>
  </si>
  <si>
    <t>CENTRE DE PREVENTION ET DE LOISIRS DES JEUNES DE BORDEAUX - CPLJ Bordeaux;712</t>
  </si>
  <si>
    <t>CENTRE DE RECHERCHE ET D'INFORMATION POUR LE DEVELOPPEMENT - CRID;316</t>
  </si>
  <si>
    <t>CENTRE DE RESSOURCES D'ECOLOGIE PEDAGOGIQUE D'AQUITAINE  - CREPAQ;745</t>
  </si>
  <si>
    <t>CENTRE DE SOPHROLOGIE DYNAMIQUE DE BORDEAUX;170</t>
  </si>
  <si>
    <t>CENTRE DE VOILE DE BORDEAUX-LAC;81 440</t>
  </si>
  <si>
    <t>CENTRE DES ETUDES DE LA REPUBLIQUE DEMOCRATIQUE;102</t>
  </si>
  <si>
    <t>CENTRE DES FESTIVALS FRANCE-RUSSIE;364</t>
  </si>
  <si>
    <t>CENTRE D'ETUDES DE L'AUTO CONNAISSANCE;782</t>
  </si>
  <si>
    <t>CENTRE D'INFORMATION JEUNESSE AQUITAINE - CIJA;97 430</t>
  </si>
  <si>
    <t>CENTRE D'INFORMATION METAPSYCHIQUE - CDIM;442</t>
  </si>
  <si>
    <t>CENTRE ENTREPRISE COMMUNICATION AVANCEE - CECA;1 182</t>
  </si>
  <si>
    <t>CENTRE JEAN VIGO EVENEMENTS;12 046</t>
  </si>
  <si>
    <t>CENTRE REGIONAL D'AQUITAINE D'ETUDES ET D'ACTIONS SUR LES HANDICAPS ET LES INADAPTATIONS - CREAHI;1 163</t>
  </si>
  <si>
    <t>CENTRE REGIONAL D'ECO-ENERGETIQUE D'AQUITAINE - CREAQ;551</t>
  </si>
  <si>
    <t>CENTRE SOCIAL ET FAMILIAL BORDEAUX NORD;47 045</t>
  </si>
  <si>
    <t>CERCLE BORDELAIS DE SANTE (C.B.S.);238</t>
  </si>
  <si>
    <t>CERCLE D'AIDE A LA VIE PAR LA VOIE SPIRITUELLE-FRANCE;240</t>
  </si>
  <si>
    <t>CERCLE DES COIFFEURS CREATEURS;554</t>
  </si>
  <si>
    <t>CERCLE DES ESCRIMEURS BORDELAIS (CEB);332</t>
  </si>
  <si>
    <t>CERCLE D'ETUDES ET DE CULTURE FRANÇAISES (CECF);14 480</t>
  </si>
  <si>
    <t>CERCLE D'ETUDES RUSSES;1 361</t>
  </si>
  <si>
    <t>CERCLE JEAN BAPTISTE LYNCH;1 138</t>
  </si>
  <si>
    <t>CERCLE OENOPHILE AQUITAIN;477</t>
  </si>
  <si>
    <t>CERCLE PHILATELIQUE BORDEAUX AQUITAINE;858</t>
  </si>
  <si>
    <t>CERCLE POLITEIA;17</t>
  </si>
  <si>
    <t>CERCLE POLITZER;356</t>
  </si>
  <si>
    <t>C'EST PAR ISIC (INSTIUT DES SCIENCES DE L'INFORMATION ET DE LA COMMUNICATION);665</t>
  </si>
  <si>
    <t>CHAHUTS;27 056</t>
  </si>
  <si>
    <t>CHAMBRE PROFESSIONNELLE DES AGENTS COMMERCIAUX DU SUD-OUEST;53</t>
  </si>
  <si>
    <t>CHANT LIBRE;3 593</t>
  </si>
  <si>
    <t>CHEMIN DES ETOILES - CDE;1 999</t>
  </si>
  <si>
    <t>CHEMINS DE VIES;468</t>
  </si>
  <si>
    <t>CHEVRE FOOTBALL CLUB - CFC;676</t>
  </si>
  <si>
    <t>CIMADE - SERVICE OECUMENIQUE D'ENTRAIDE;1 387</t>
  </si>
  <si>
    <t>CINERESEAUX;72</t>
  </si>
  <si>
    <t>CLAC;401</t>
  </si>
  <si>
    <t>CLAIR-OBSCUR;270</t>
  </si>
  <si>
    <t>CLUB « BON GOUT D'AQUITAINE »;12 250</t>
  </si>
  <si>
    <t>CLUB 41 FRANCAIS BORDEAUX N° 110;443</t>
  </si>
  <si>
    <t>CLUB 89;306</t>
  </si>
  <si>
    <t>CLUB AFRIQUE EN PERSPECTIVES;342</t>
  </si>
  <si>
    <t>CLUB ALPIN FRANCAIS DE BORDEAUX;322</t>
  </si>
  <si>
    <t>CLUB AMICAL CHAUFFOUR;9 733</t>
  </si>
  <si>
    <t>CLUB ATHLETIQUE DU PORT AUTONOME DE BORDEAUX;1 754</t>
  </si>
  <si>
    <t>CLUB ATHLETIQUE MUNICIPAL DE BORDEAUX - CAM;418 156</t>
  </si>
  <si>
    <t>CLUB BORDEAUX-CAMEROUN-FRANCE;1 067</t>
  </si>
  <si>
    <t>CLUB BORDELAIS DU CHOCOLAT "CHOCO PASSION";530</t>
  </si>
  <si>
    <t>CLUB BOULISTE ALBERT 1er;8 762</t>
  </si>
  <si>
    <t>CLUB DE CANNE ET BATON D'AQUITAINE;4 698</t>
  </si>
  <si>
    <t>CLUB DE LA PRESSE DE BORDEAUX;26 050</t>
  </si>
  <si>
    <t>CLUB D'ENTREPRISES BORDEAUX EURATLANTIQUE;1 088</t>
  </si>
  <si>
    <t>CLUB DES ENTREPRISES DE BORDEAUX;138</t>
  </si>
  <si>
    <t>CLUB DES RANDONNEURS DU PYLA ET DU BASSIN D'ARCACHON;246</t>
  </si>
  <si>
    <t>CLUB D'EXPLORATION SOUS MARINE D'AQUITAINE - CESMA;16 545</t>
  </si>
  <si>
    <t>CLUB D'ULTIMATE DE BORDEAUX - 33 TOURS;286</t>
  </si>
  <si>
    <t>CLUB ERASMUS ET MUNDUS;34</t>
  </si>
  <si>
    <t>CLUB INDEPENDANT BORDELAIS;390</t>
  </si>
  <si>
    <t>CLUB PETANQUE GRAND PARC;4 274</t>
  </si>
  <si>
    <t>CLUB PHILOSOPHIQUE PENSEE ET AVENIR;102</t>
  </si>
  <si>
    <t>CLUB PYRENEES AQUITAINE</t>
  </si>
  <si>
    <t>ASSOCIATION SPORTIVE</t>
  </si>
  <si>
    <t>EDUCATIVE ET CULTURELLE;166 142</t>
  </si>
  <si>
    <t>COJEP BORDEAUX - CONSEIL POUR LA JUSTICE</t>
  </si>
  <si>
    <t>L'EGALITE ET LA PAIX;810</t>
  </si>
  <si>
    <t>COLIBRI 33;2 592</t>
  </si>
  <si>
    <t>COLLECTIF 33 : LA SANTE UN DROIT POUR TOUS;68</t>
  </si>
  <si>
    <t>COLLECTIF BORDEAUX-MARINOPOLE;48</t>
  </si>
  <si>
    <t>COLLECTIF DE RESSOURCES BORDEAUX-NORD;96</t>
  </si>
  <si>
    <t>COLLECTIF DES ASSOCIATIONS D'OUTRE-MER EN AQUITAINE DIT C.A.O.M.A.;2 900</t>
  </si>
  <si>
    <t>COLLECTIF DES ORGANISATIONS DE SOLIDARITE INTERNATIONALE ISSUES DES MIGRATIONS EN AQUITAINE (COSIM AQUITAINE);1 204</t>
  </si>
  <si>
    <t>COLLECTIF FETE DU JEU DE BORDEAUX;1 644</t>
  </si>
  <si>
    <t>COLLECTIF GIRONDIN DES ASSOCIATIONS AUTOUR DE L'AUTISME (CG3A);136</t>
  </si>
  <si>
    <t>COLLECTIF MIXERATUM ERGO SUM;2 161</t>
  </si>
  <si>
    <t>COLORS INC;183</t>
  </si>
  <si>
    <t>COMENFRANCE;1 588</t>
  </si>
  <si>
    <t>COMITE ACTION PALESTINE;524</t>
  </si>
  <si>
    <t>COMITE AQUITAIN DE L'ASSOCIATION FRANCAISE DES HEMOPHILES;443</t>
  </si>
  <si>
    <t>COMITE BORDEAUX BRISTOL;352</t>
  </si>
  <si>
    <t>COMITE BORDEAUX SUD;911</t>
  </si>
  <si>
    <t>COMITE D'ANIMATION</t>
  </si>
  <si>
    <t>DE BIENFAISANCE ET DE DEFENSE DES INTERETS DU QUARTIER NANSOUTY;19 733</t>
  </si>
  <si>
    <t>COMITE DE BIENFAISANCE ET DE DEFENSE DES INTERETS DU QUARTIER CAUDERAN-SUD;1 600</t>
  </si>
  <si>
    <t>COMITE DE DEFENSE DES INTERETS DES HABITANTS DU LOTISSEMENT JASMIN ET ANNEXES;126</t>
  </si>
  <si>
    <t>COMITE DE DEFENSE DES TAXIS DE LA GIRONDE;34</t>
  </si>
  <si>
    <t>COMITE DE L'ACCOMPAGNEMENT DE L'URBANISME</t>
  </si>
  <si>
    <t>DE DEFENSE DE L'ENVIRONNEMENT ET DU RESPECT DE LA SECURITE -;</t>
  </si>
  <si>
    <t>;958</t>
  </si>
  <si>
    <t>CAUDERES;</t>
  </si>
  <si>
    <t>COMITE DE LIAISON DES ACTEURS DE LA PROMOTION DANS LE SUD-OUEST - CLAP SUD-OUEST;444</t>
  </si>
  <si>
    <t>COMITE DE QUARTIER DE CAUDERAN - CQC;12 928</t>
  </si>
  <si>
    <t>COMITE DE QUARTIER MARECHAUX/POINCARE;1 155</t>
  </si>
  <si>
    <t>COMITE DEPARTEMENTAL DE CYCLISME;2 414</t>
  </si>
  <si>
    <t>COMITE DEPARTEMENTAL DE L'UNION FRANÇAISE DES OEUVRES LAIQUES D'EDUCATION PHYSIQUE - UFOLEP;955</t>
  </si>
  <si>
    <t>COMITE DEPARTEMENTAL DE L'UNION SPORTIVE DE L'ENSEIGNEMENT DU PREMIER DEGRE DE LA GIRONDE - USEP 33;2 422</t>
  </si>
  <si>
    <t>COMITE DEPARTEMENTAL DE NATATION DE LA GIRONDE;295</t>
  </si>
  <si>
    <t>COMITE DEPARTEMENTAL DU SPORT ADAPTE DE LA GIRONDE (CDSA 33);1 863</t>
  </si>
  <si>
    <t>COMITE DEPARTEMENTAL OLYMPIQUE ET SPORTIF DE LA GIRONDE;2 512</t>
  </si>
  <si>
    <t>COMITE DES FETES DE BACALAN</t>
  </si>
  <si>
    <t>BLANQUI ET CLAVEAU;7 410</t>
  </si>
  <si>
    <t>COMITE D'ETUDE ET D'INFORMATION SUR LA DROGUE (PREVENTION ET TRAITEMENT DES TOXICOMANIES ET AUTRES ADDICTIONS)</t>
  </si>
  <si>
    <t>;</t>
  </si>
  <si>
    <t>;2 008</t>
  </si>
  <si>
    <t>CEID-ADDICTIONS;</t>
  </si>
  <si>
    <t>COMITE FEMININ GIRONDE POUR LA PREVENTION ET LE DEPISTAGE DES CANCERS;3 350</t>
  </si>
  <si>
    <t>COMITE GIRONDIN DE COURSE D'ORIENTATION;739</t>
  </si>
  <si>
    <t>COMITE MIRABEAU BORDELAIS 2017;1 046</t>
  </si>
  <si>
    <t>COMITE PALESTINE 33;1 606</t>
  </si>
  <si>
    <t>COMITE REGIONAL DES ASSOCIATIONS DE JEUNESSE ET D'EDUCATION POPULAIRE D'AQUITAINE (CRAJEP AQUITAINE);34</t>
  </si>
  <si>
    <t>COMITE REGIONAL HANDISPORT D'AQUITAINE;16 720</t>
  </si>
  <si>
    <t>COMITE REPRESENTATIF DES IDENTITES SOURDES;2 757</t>
  </si>
  <si>
    <t>COMMANDERIE DU BONTEMPS MEDOC ET GRAVES - SAUTERNES ET BARSAC;2 675</t>
  </si>
  <si>
    <t>COMMUNAUTE CAMEROUNAISE DE BORDEAUX (CCB);1 928</t>
  </si>
  <si>
    <t>COMMUNIC'ARTE;918</t>
  </si>
  <si>
    <t>COMPAGNIE DES MARCHES DE L'ETE;22 016</t>
  </si>
  <si>
    <t>COMPAGNIE DONC Y CHOCS;2 712</t>
  </si>
  <si>
    <t>COMPAGNIE ELVIRE 40;10 200</t>
  </si>
  <si>
    <t>COMPAGNIE EN APARTE;587</t>
  </si>
  <si>
    <t>COMPAGNIE INDIRA;1 394</t>
  </si>
  <si>
    <t>COMPAGNIE JEUNE TALENT;332</t>
  </si>
  <si>
    <t>COMPAGNIE LEITMOTIV;1 026</t>
  </si>
  <si>
    <t>COMPAGNIE PRESENCE MICHEL CAHUZAC;9 037</t>
  </si>
  <si>
    <t>COMPAGNIE REVOLUTION;8 000</t>
  </si>
  <si>
    <t>COMPETENCES EN TEMPS PARTAGE GUYENNE - CTP GUYENNE;4 688</t>
  </si>
  <si>
    <t>COMPTOIR DE LA CULTURE BRESILIENNE;564</t>
  </si>
  <si>
    <t>CONGRES ET EXPOSITIONS DE BORDEAUX;57 169</t>
  </si>
  <si>
    <t>CONSEIL DEPARTEMENTAL DE LA GIRONDE;3 591</t>
  </si>
  <si>
    <t>CONSEIL DEPARTEMENTAL DES ASSOCIATIONS FAMILIALES LAIQUES DE LA GIRONDE - CDAFAL 33;9 360</t>
  </si>
  <si>
    <t>CONSEIL DEPARTEMENTAL DES PARENTS D'ELEVES DES ECOLES PUBLIQUES DE LA GIRONDE;442</t>
  </si>
  <si>
    <t>CONVENTION DE LA DIASPORA GABONAISE;91</t>
  </si>
  <si>
    <t>COORDINATION POUR PROMOUVOIR LES COMPETENCES ET LE VOLONTARIAT AQUITAINE - CPCV AQUITAINE;1 279</t>
  </si>
  <si>
    <t>CORP'ART FRANCE;2 056</t>
  </si>
  <si>
    <t>COS VILLA PIA - EHPAD LES DAMES DE LA FOI;4 146</t>
  </si>
  <si>
    <t>COULEUR COREE;922</t>
  </si>
  <si>
    <t>COUP DE POUCE AVENIR;499</t>
  </si>
  <si>
    <t>CREASSEMBLE;34</t>
  </si>
  <si>
    <t>CRESUS GIRONDE;16</t>
  </si>
  <si>
    <t>CRISTINAREY;334</t>
  </si>
  <si>
    <t>CROISSANT FERTILE;1 089</t>
  </si>
  <si>
    <t>CROIX ROUGE FRANÇAISE - DELEGATION LOCALE;482</t>
  </si>
  <si>
    <t>CTE ETS SEXTANT AVIONIQUE;3 370</t>
  </si>
  <si>
    <t>CULTIV'ACTIONS;3 144</t>
  </si>
  <si>
    <t>CULTURE ET BIBLIOTHEQUES POUR TOUS;14 535</t>
  </si>
  <si>
    <t>CULTURE-S;3 028</t>
  </si>
  <si>
    <t>CULTURES DES ARTS CREOLES ET DU MONDE 33 (CACM33);1 012</t>
  </si>
  <si>
    <t>DANSE AVEC NOUS;68 700</t>
  </si>
  <si>
    <t>DE VOLTES ET D'ASSAUTS;4 520</t>
  </si>
  <si>
    <t>DEALERS DE SCIENCE;459</t>
  </si>
  <si>
    <t>DEFENSE DE LA LANGUE FRANCAISE</t>
  </si>
  <si>
    <t>ASSOCIATION DE BORDEAUX;232</t>
  </si>
  <si>
    <t>DES JARDINS</t>
  </si>
  <si>
    <t>DES VOISINS;359</t>
  </si>
  <si>
    <t>DHAGPO BORDEAUX;2 350</t>
  </si>
  <si>
    <t>DIACONAT DE BORDEAUX;39 219</t>
  </si>
  <si>
    <t>DISCO SOUPE;3 059</t>
  </si>
  <si>
    <t>DISPARATE;10 448</t>
  </si>
  <si>
    <t>DIVAN D'OUEST;970</t>
  </si>
  <si>
    <t>DIVERSCITES;1 825</t>
  </si>
  <si>
    <t>DLIBERETS;1 857</t>
  </si>
  <si>
    <t>DOJO;4 281</t>
  </si>
  <si>
    <t>DOULEURS SANS FRONTIERES - DSF;941</t>
  </si>
  <si>
    <t>DRAG RACING TEAM - DRT;897</t>
  </si>
  <si>
    <t>DROLE DE SCENE;575</t>
  </si>
  <si>
    <t>DROP DE BETON;560</t>
  </si>
  <si>
    <t>D'SIGN;1 370</t>
  </si>
  <si>
    <t>DU CHIEN DANS LES DENTS;560</t>
  </si>
  <si>
    <t>DU SOLEIL DANS LES PIEDS;1 293</t>
  </si>
  <si>
    <t>DULCENE;15 648</t>
  </si>
  <si>
    <t>DV2G (THEATRE VICTOIRE);604</t>
  </si>
  <si>
    <t>ECHIQUIER BORDELAIS;186</t>
  </si>
  <si>
    <t>ECLATS;663</t>
  </si>
  <si>
    <t>ECOLE CHINOISE DE BORDEAUX;564</t>
  </si>
  <si>
    <t>ECOLE DE CIRQUE DE BORDEAUX</t>
  </si>
  <si>
    <t>CENTRE CULTUREL DES ARTS DU CIRQUE;35 834</t>
  </si>
  <si>
    <t>ECOLE DES GRANDS-PARENTS EUROPEENS BORDEAUX-GIRONDE - EGPE BORDEAUX-GIRONDE;322</t>
  </si>
  <si>
    <t>ECOLE ESSENTIALISTE;516</t>
  </si>
  <si>
    <t>ECOLE MUNICIPALE DE NATATION;167 973</t>
  </si>
  <si>
    <t>ECOUTE S'IL PLEUT;645</t>
  </si>
  <si>
    <t>ECOUTER SON CORPS;4 710</t>
  </si>
  <si>
    <t>EINAI;639</t>
  </si>
  <si>
    <t>EINSTEIN ON THE BEACH;3 418</t>
  </si>
  <si>
    <t>ELLES CONNECT;48</t>
  </si>
  <si>
    <t>EMULATION NAUTIQUE DE BORDEAUX;244 366</t>
  </si>
  <si>
    <t>EN MARCHE;2 764</t>
  </si>
  <si>
    <t>ENDOFRANCE;136</t>
  </si>
  <si>
    <t>ENFANCE ET FAMILLES D'ADOPTION DE LA GIRONDE - ASSOCIATION DES FOYERS ADOPTIFS DE LA GIRONDE (EFA 33);3 550</t>
  </si>
  <si>
    <t>ENSEMBLE ORCHESTRAL MOLTO ASSAI;5 841</t>
  </si>
  <si>
    <t>ENSEMBLE OSKAR ALBERTO;102</t>
  </si>
  <si>
    <t>ENSEMBLE UN;552</t>
  </si>
  <si>
    <t>ENSEMBLE VOCAL JUBILATE;160</t>
  </si>
  <si>
    <t>ENTENTE DES GENERATIONS POUR L’EMPLOI ET L’ENTREPRISE - EGEE;2 640</t>
  </si>
  <si>
    <t>ENTRAIDE SCOLAIRE AMICALE (ESA);360</t>
  </si>
  <si>
    <t>ENTREPRISE INTERMEDIAIRE DE PRODUCTION ET DE FORMATION - EIPF;13 092</t>
  </si>
  <si>
    <t>ENVOL D'AQUITAINE;24 464</t>
  </si>
  <si>
    <t>ESCALES LITTERAIRES BORDEAUX AQUITAINE;80 140</t>
  </si>
  <si>
    <t>ESCAPADES 33;34</t>
  </si>
  <si>
    <t>ESKUALDUNEN BILTZARRA - BORDELEKO ESKUAL ETXEA ou MAISON BASQUE DE BORDEAUX;797</t>
  </si>
  <si>
    <t>ESPACE DECOUVERTE MADAGASCAR;952</t>
  </si>
  <si>
    <t>ESPACE INTER HANDICAP EUROPEEN A HAUTEUR D'HOMME;106</t>
  </si>
  <si>
    <t>ESPACES MARX AQUITAINE BORDEAUX GIRONDE EXPLORER CONFRONTER INNOVER;392</t>
  </si>
  <si>
    <t>ESPOIR 33;286</t>
  </si>
  <si>
    <t>ESPRIT DE QUARTIER;3 241</t>
  </si>
  <si>
    <t>ESPRIT ETUDIANT-MONTESQUIEU;1 289</t>
  </si>
  <si>
    <t>ESSPLICITE;3 923</t>
  </si>
  <si>
    <t>ETUDIANTS MAROCAINS DE BORDEAUX - EMB;1 252</t>
  </si>
  <si>
    <t>ETUDIANTS MUSULMANS DE FRANCE BORDEAUX - EMF BORDEAUX;665</t>
  </si>
  <si>
    <t>EUROPEAN MENTORING &amp; COACHING COUNCIL</t>
  </si>
  <si>
    <t>L'ASSOCIATION EUROPEENNE DE COACHING;14</t>
  </si>
  <si>
    <t>EURROM;984</t>
  </si>
  <si>
    <t>EXPLORER LE SENTIR;1 496</t>
  </si>
  <si>
    <t>FAIS UN VOEU MAKE-A -WISH ® FRANCE;24</t>
  </si>
  <si>
    <t>FAIT DE CI DE SOI;58</t>
  </si>
  <si>
    <t>FAMILLES EN GIRONDE - FEDERATION DE LA GIRONDE;1 312</t>
  </si>
  <si>
    <t>FC CARTES ET SERVICES;1 102</t>
  </si>
  <si>
    <t>FEDERATION ADDICTION;1 502</t>
  </si>
  <si>
    <t>FEDERATION ADMR GIRONDE;2 658</t>
  </si>
  <si>
    <t>FEDERATION DE LA GIRONDE POUR LA PECHE ET LA PROTECTION DU MILIEU AQUATIQUE (FDAAPPMA DE LA GIRONDE);774</t>
  </si>
  <si>
    <t>FEDERATION DE PSYCHANALYSE CONTEMPORAINE - FPC;178</t>
  </si>
  <si>
    <t>FEDERATION DEPARTEMENTALE DU SECOURS POPULAIRE FRANCAIS;17 748</t>
  </si>
  <si>
    <t>FEDERATION DES ASSOCIATIONS FAMILIALES CATHOLIQUES - AFC;555</t>
  </si>
  <si>
    <t>FEDERATION DES DESIGNERS EN AQUITAINE (FDA);34</t>
  </si>
  <si>
    <t>FEDERATION DES MANDATAIRES JUDICIAIRES INDEPENDANTS A LA PROTECTION DES MAJEURS AQUITAINE (FMJI AQUITAINE);23</t>
  </si>
  <si>
    <t>FEDERATION DES RADIOS ASSOCIATIVES DE LA GIRONDE - FEDERA 33;1 089</t>
  </si>
  <si>
    <t>FEDERATION DES SOCIETES CARNAVALESQUES DE L'AGGLOMERATION BORDELAISE;753</t>
  </si>
  <si>
    <t>FEDERATION FRANCAISE DE NATATION;241</t>
  </si>
  <si>
    <t>FEDERATION FRANCAISE DES PSYCHOLOGUES ET DE PSYCHOLOGIE - FFPP;48</t>
  </si>
  <si>
    <t>FEDERATION GIRONDINE DE GENEALOGIE - FGG;663</t>
  </si>
  <si>
    <t>FEDERATION MUSULMANE DE LA GIRONDE;1 714</t>
  </si>
  <si>
    <t>FEDERATION NATIONALE D'AIDE AUX INSUFFISANTS RENAUX D'AQUITAINE - FNAIR AQUITANE;48</t>
  </si>
  <si>
    <t>FEDERATION NATIONALE DES SERVICES SOCIAUX SPECIALISES DE PROTECTION DE L'ENFANCE - FN3S;286</t>
  </si>
  <si>
    <t>FEDERATION POUR LA RECHERCHE SUR LE CERVEAU - CAMPAGNE DU NEURODON 2004;24</t>
  </si>
  <si>
    <t>FEDERATION REGIONALE DES DECORES DU TRAVAIL NOUVELLE-AQUITAINE (FRDT);2 217</t>
  </si>
  <si>
    <t>FEDERATION SOS RACISME GIRONDE-AQUITAINE;738</t>
  </si>
  <si>
    <t>FEDERATION SYNDICALE UNITAIRE 33 - FSU 33;507</t>
  </si>
  <si>
    <t>FEMMES INTERNATIONALES MURS BRISES;2 071</t>
  </si>
  <si>
    <t>FENETRE SUR RUE;427</t>
  </si>
  <si>
    <t>FESTIVAL DES ARTS DE BORDEAUX;78 310</t>
  </si>
  <si>
    <t>FISH AND SHOES;42 499</t>
  </si>
  <si>
    <t>FITNESS FREESTYLE;4 551</t>
  </si>
  <si>
    <t>FOIRE AUX PLAISIRS DE BORDEAUX;868</t>
  </si>
  <si>
    <t>FONDA SUD-OUEST;223</t>
  </si>
  <si>
    <t>FONDATION D'AUTEUIL AQUITAINE;444</t>
  </si>
  <si>
    <t>FONDATION DU PATRIMOINE - DELEGATION AQUITAINE;2 192</t>
  </si>
  <si>
    <t>FONDATION MAISON DE LA GENDARMERIE;7 026</t>
  </si>
  <si>
    <t>FONDS REGIONAL D'ART CONTEMPORAIN - COLLECTION AQUITAINE;16 264</t>
  </si>
  <si>
    <t>FOOT BALL CLUB BORDEAUX AQUITAINE 33;588</t>
  </si>
  <si>
    <t>FOOT LOISIRS DOCKERS DE BORDEAUX;1 990</t>
  </si>
  <si>
    <t>FOOTBALL CLUB DE LA PRESSE BORDELAISE;220</t>
  </si>
  <si>
    <t>FOOTBALL CLUB DES GIRONDINS DE BORDEAUX - FCGB;95</t>
  </si>
  <si>
    <t>FOOTBALL-CLUB BORDEAUX OCEAN;2 170</t>
  </si>
  <si>
    <t>FOOTBALL-CLUB ROUGE;254</t>
  </si>
  <si>
    <t>FORCE FEMMES;4 024</t>
  </si>
  <si>
    <t>FORRO BORDEAUX;585</t>
  </si>
  <si>
    <t>FORUM DES CULTURES ET DES TRADITIONS;332</t>
  </si>
  <si>
    <t>FOYER FRATERNEL;623</t>
  </si>
  <si>
    <t>FOYER SOCIO-EDUCATIF DU COLLEGE ALAIN FOURNIER;178</t>
  </si>
  <si>
    <t>FRANCE ALZHEIMER GIRONDE;178</t>
  </si>
  <si>
    <t>FRANCE AMERIQUE LATINE COMITE BORDEAUX GIRONDE;1 103</t>
  </si>
  <si>
    <t>FRANCE BENEVOLAT BORDEAUX GIRONDE;12 084</t>
  </si>
  <si>
    <t>France PARKINSON;700</t>
  </si>
  <si>
    <t>FRANCE PLUS GIRONDE;2 880</t>
  </si>
  <si>
    <t>FRANCE PSORIASIS;72</t>
  </si>
  <si>
    <t>GABON</t>
  </si>
  <si>
    <t>SOLIDARITE ET PAIX;265</t>
  </si>
  <si>
    <t>GARGANTUA;5 600</t>
  </si>
  <si>
    <t>GASP'ART;2 257</t>
  </si>
  <si>
    <t>GAZELLISSIMES;597</t>
  </si>
  <si>
    <t>GEAR LOCKER;52</t>
  </si>
  <si>
    <t>GEM "LES NEUROFESTIFS 33";587</t>
  </si>
  <si>
    <t>GENERATIONS TAUZIN;166</t>
  </si>
  <si>
    <t>GIRONDE ROUMANIE ECHANGES ET CULTURE;184</t>
  </si>
  <si>
    <t>GIRONDINS DE BORDEAUX BASTIDE HANDBALL CLUB;115 329</t>
  </si>
  <si>
    <t>GIRONDINS DE BORDEAUX TIR;880</t>
  </si>
  <si>
    <t>GLOB THEATRE;1 588</t>
  </si>
  <si>
    <t>GP INTENCITE CENTRE SOCIAL ET CULTUREL DU GRAND PARC;3 366</t>
  </si>
  <si>
    <t>GRAIN DE SABLE;24</t>
  </si>
  <si>
    <t>GRAINES DE SOLIDARITE;1 058</t>
  </si>
  <si>
    <t>GRANDIR ENSEMBLE;2 286</t>
  </si>
  <si>
    <t>GROUPE ATTAC 33;444</t>
  </si>
  <si>
    <t>GROUPE D'ETUDE POUR L'INSERTION SOCIALE DES PERSONNES PORTEUSES D'UNE TRISOMIE 21 - GEIST 21;231</t>
  </si>
  <si>
    <t>GROUPE LOCAL ACTION DES CHRETIENS POUR L'ABOLITION DE LA TORTURE DE BORDEAUX;34</t>
  </si>
  <si>
    <t>GROUPE PASSERELLE;5 040</t>
  </si>
  <si>
    <t>GROUPE VOCAL ARPEGE DE BORDEAUX;2 163</t>
  </si>
  <si>
    <t>GROUPEMENT DES RETRAITES EDUCATEURS SANS FRONTIERES - GREF;172</t>
  </si>
  <si>
    <t>GROUPEMENT POUR L'INSERTION DES HANDICAPES PHYSIQUES D'AQUITAINE - GIHP AQUITAINE;178</t>
  </si>
  <si>
    <t>GUYENNE HANDI-NAGES;11 761</t>
  </si>
  <si>
    <t>GYMNASTIQUE VOLONTAIRE BORDEAUX BASTIDE;4 000</t>
  </si>
  <si>
    <t>GYMNASTIQUE VOLONTAIRE BORDEAUX LOUCHEUR;1 215</t>
  </si>
  <si>
    <t>GYMNASTIQUE VOLONTAIRE CHAUFFOUR;1 548</t>
  </si>
  <si>
    <t>GYMNASTIQUE VOLONTAIRE LESCURE;7 938</t>
  </si>
  <si>
    <t>GYMNASTIQUE VOLONTAIRE PERGOLA STEHELIN;7 642</t>
  </si>
  <si>
    <t>GYMNASTIQUE VOLONTAIRE QUARTIER ST NICOLAS;1 905</t>
  </si>
  <si>
    <t>H NORD ECOQUARTIER DE BORDEAUX - H NORD;273</t>
  </si>
  <si>
    <t>HABAD LOUBAVITCH BORDEAUX;711</t>
  </si>
  <si>
    <t>HABITAT ET HUMANISME GIRONDE - HH33;68</t>
  </si>
  <si>
    <t>HABITATS JEUNES SIMONE NOAILLES;577</t>
  </si>
  <si>
    <t>HAITI EN VIE;34</t>
  </si>
  <si>
    <t>HALEIWA;676</t>
  </si>
  <si>
    <t>HANDICAP INTERNATIONAL;598</t>
  </si>
  <si>
    <t>HANDISPORT 33 AMICALE SPORTIVE DES HANDICAPES PHYSIQUES D'AQUITAINE - ASHPA;10 720</t>
  </si>
  <si>
    <t>HARMONIE STRETCH ET DETENTE;2 592</t>
  </si>
  <si>
    <t>HISTOIRE(S) DE LA BASTIDE;34</t>
  </si>
  <si>
    <t>HOCKEY GARONNE SPORT;11 052</t>
  </si>
  <si>
    <t>HORS BORD;1 463</t>
  </si>
  <si>
    <t>ICRONOS;486</t>
  </si>
  <si>
    <t>IDEH - INITIATIVES POUR LE DEVELOPPEMENT HUMAIN;170</t>
  </si>
  <si>
    <t>ILOT DES MOTS;3 600</t>
  </si>
  <si>
    <t>IMAGINA MUSIC;2 155</t>
  </si>
  <si>
    <t>IMPACTS AQUITAINE;43 566</t>
  </si>
  <si>
    <t>INNER WHEEL CLUB DE BORDEAUX MEDOC;708</t>
  </si>
  <si>
    <t>INSTANCE REGIONALE D'EDUCATION ET DE PROMOTION DE LA SANTE NOUVELLE-AQUITAINE (IREPS NOUVELLE-AQUITAINE);588</t>
  </si>
  <si>
    <t>INSTANTS BORDELAIS;529</t>
  </si>
  <si>
    <t>INSTITUT BERGONIE;1 013</t>
  </si>
  <si>
    <t>INSTITUT DE FORMATION ET D'APPUI AUX INITIATIVES DE DEVELOPPEMENT - IFAID AQUITAINE;1 705</t>
  </si>
  <si>
    <t>INSTITUT DE JOURNALISME BORDEAUX AQUITAINE;1 932</t>
  </si>
  <si>
    <t>INSTITUT DES CONDUITES ALIMENTAIRES (ICAL);847</t>
  </si>
  <si>
    <t>INSTITUT MACONNIQUE D'AQUITAINE;444</t>
  </si>
  <si>
    <t>INSTITUT MEDICO-PEDAGOGIQUE SAINT JOSEPH;495</t>
  </si>
  <si>
    <t>INSTITUT REGIONAL DES SOURDS ET DES AVEUGLES - IRSA;126</t>
  </si>
  <si>
    <t>INTERLUDE;72 621</t>
  </si>
  <si>
    <t>INTERNATIONAL CLUB OF BORDEAUX (ICB);34</t>
  </si>
  <si>
    <t>IPPO (INFORMATION</t>
  </si>
  <si>
    <t>PREVENTION</t>
  </si>
  <si>
    <t>PROXIMITE</t>
  </si>
  <si>
    <t>ORIENTATION);141</t>
  </si>
  <si>
    <t>IRON SPORT BORDEAUX;3 573</t>
  </si>
  <si>
    <t>ITAL'ICI;526</t>
  </si>
  <si>
    <t>ITINERAIRES DES PHOTOGRAPHES VOYAGEURS;25 882</t>
  </si>
  <si>
    <t>JARDIN ET ECOTOURISME;745</t>
  </si>
  <si>
    <t>JE CHERCHE UN JOB;789</t>
  </si>
  <si>
    <t>JETER L'ENCRE;48</t>
  </si>
  <si>
    <t>JEUNE ACADEMIE VOCALE D'AQUITAINE;1 583</t>
  </si>
  <si>
    <t>JEUNE BALLET D AQUITAINE;4 926</t>
  </si>
  <si>
    <t>JEUNES MUSULMANS DE LA GIRONDE - JMG;4 486</t>
  </si>
  <si>
    <t>JEUNES SCIENCE BORDEAUX;36 770</t>
  </si>
  <si>
    <t>JUDO CLUB BACALANAIS;21 440</t>
  </si>
  <si>
    <t>JUDO-CLUB GIRONDIN OMNISPORTS;5 706</t>
  </si>
  <si>
    <t>KALINA'GO;1 008</t>
  </si>
  <si>
    <t>KAN-KRA TEAM;20 880</t>
  </si>
  <si>
    <t>KARAVAN BORDELAISE;443</t>
  </si>
  <si>
    <t>KAZ ANANDA;198</t>
  </si>
  <si>
    <t>KEEP A BREAST EUROPE FOUNDATION;27</t>
  </si>
  <si>
    <t>KI E KI;200</t>
  </si>
  <si>
    <t>KILOMBO KINTWADI;1 360</t>
  </si>
  <si>
    <t>KINO SESSION;1 598</t>
  </si>
  <si>
    <t>KPOP DANCE MOVE BORDEAUX - KDM BORDEAUX;332</t>
  </si>
  <si>
    <t>KUNG-FU WUSHU ACADEMIE (KFWA);3 996</t>
  </si>
  <si>
    <t>L’ASSOCIATION POUR LE MAINTIEN DE L’AGRICULTURE PAYSANNE DITE "L’AMAP CAUDERANAISE";356</t>
  </si>
  <si>
    <t>LA BELLE ESTAMPE;3 809</t>
  </si>
  <si>
    <t>LA CABANE A GRATTER;42</t>
  </si>
  <si>
    <t>LA CHAMBRE BLEUE;180</t>
  </si>
  <si>
    <t>LA CIGOGNE;277</t>
  </si>
  <si>
    <t>LA CLE DU QUAI;1 548</t>
  </si>
  <si>
    <t>LA COMPAGNIE "LES FOUS DE LA RAMPE";4 209</t>
  </si>
  <si>
    <t>LA COMPAGNIE CHRONIQUE;105</t>
  </si>
  <si>
    <t>LA COMPAGNIE DES FIGURES;400</t>
  </si>
  <si>
    <t>LA COMPAGNIE DES PETITES SECOUSSES;1 143</t>
  </si>
  <si>
    <t>LA COMPAGNIE GARONOTES;597</t>
  </si>
  <si>
    <t>L'A COSMOPOLITAINE « COSMODANCE »;1 229</t>
  </si>
  <si>
    <t>LA COUR DES ENFANTS;58</t>
  </si>
  <si>
    <t>LA DAME A LA LICORNE;696</t>
  </si>
  <si>
    <t>LA FABRIQUE POLA;111 001</t>
  </si>
  <si>
    <t>LA FLECHE DE BORDEAUX;79 590</t>
  </si>
  <si>
    <t>LA GALERIE EPHEMERE;842</t>
  </si>
  <si>
    <t>LA GYM SUEDOISE BORDEAUX;4 473</t>
  </si>
  <si>
    <t>LA HALLE DES DOUVES;29 255</t>
  </si>
  <si>
    <t>LA HOULETTE;396</t>
  </si>
  <si>
    <t>LA MAIN A L’OREILLE;611</t>
  </si>
  <si>
    <t>LA MAISON DE MARIE;581</t>
  </si>
  <si>
    <t>LA MAISON DES FAMILLES DE BORDEAUX;637</t>
  </si>
  <si>
    <t>LA MANIF POUR TOUS 33;56</t>
  </si>
  <si>
    <t>LA MANNE EUROPE;3 902</t>
  </si>
  <si>
    <t>LA MANUFACTURE ATLANTIQUE;16 317</t>
  </si>
  <si>
    <t>LA MARGE ROUSSE;749</t>
  </si>
  <si>
    <t>LA MARMAILLE;7 654</t>
  </si>
  <si>
    <t>LA MEMOIRE DE BORDEAUX METROPOLE;4 329</t>
  </si>
  <si>
    <t>LA MOBYLETTE;400</t>
  </si>
  <si>
    <t>LA NUIT VENUE;344</t>
  </si>
  <si>
    <t>LA PARENTELE;259</t>
  </si>
  <si>
    <t>LA PLUME ET L'OREILLE;610</t>
  </si>
  <si>
    <t>LA PORTE OUVERTE DE BORDEAUX;663</t>
  </si>
  <si>
    <t>LA PREVENTION ROUTIERE;56 096</t>
  </si>
  <si>
    <t>LA REVERB';1 647</t>
  </si>
  <si>
    <t>LA RONDE DES QUARTIERS DE BORDEAUX;61 174</t>
  </si>
  <si>
    <t>LA ROUTE DES VINS - ECOLE DE COMMERCE EUROPEENNE;1 008</t>
  </si>
  <si>
    <t>LA TRIBALE DEMARCHE;760</t>
  </si>
  <si>
    <t>LABE'ART;2 118</t>
  </si>
  <si>
    <t>LACLE - LA MAISON DES PARENTS ET DES MINEURS;1 768</t>
  </si>
  <si>
    <t>LADAPT LIGUE ADAPTATION DIMINUES PHYSIQUE AU TRAVAIL;3 927</t>
  </si>
  <si>
    <t>LADIES' CIRCLE BORDEAUX 20;523</t>
  </si>
  <si>
    <t>LAFEDERATION 33;126</t>
  </si>
  <si>
    <t>L'AGENCE CREATIVE;7 484</t>
  </si>
  <si>
    <t>L'AGENCE DE GEOGRAPHIE AFFECTIVE;68</t>
  </si>
  <si>
    <t>L'AMICALE DES CHINOIS DU SUD-OUEST (ADCSO);1 369</t>
  </si>
  <si>
    <t>L'ASSOCIATION DES BISSAU-GUINEENS;238</t>
  </si>
  <si>
    <t>L'ASSOCIATION SLAVE;1 164</t>
  </si>
  <si>
    <t>L'ASSOS DIET;884</t>
  </si>
  <si>
    <t>L'ATELIER BUDGETAIRE;24</t>
  </si>
  <si>
    <t>L'ATELIER CHOREGRAPHIQUE;774</t>
  </si>
  <si>
    <t>L'ATELIER REMUMENAGE;1 103</t>
  </si>
  <si>
    <t>L'ATELIER VIDEO PIRATE;615</t>
  </si>
  <si>
    <t>L'ATEUL;506</t>
  </si>
  <si>
    <t>LATINO MEX BORDEAUX;1 293</t>
  </si>
  <si>
    <t>L'AUTRE - ASSOCIATION DES ETUDIANTS EN ANTHROPOLOGIE SOCIALE ET CULTURELLE;313</t>
  </si>
  <si>
    <t>LAXMI GIRONDE;464</t>
  </si>
  <si>
    <t>LE 4 DE BORDEAUX;14 452</t>
  </si>
  <si>
    <t>LE CANNELE D'ADRESSES;2 960</t>
  </si>
  <si>
    <t>LE CHAINON MANQUANT;359</t>
  </si>
  <si>
    <t>LE CHOEUR DES ECLUSES;1 216</t>
  </si>
  <si>
    <t>LE CHOEUR VOYAGEUR;554</t>
  </si>
  <si>
    <t>LE FESTIN;8 238</t>
  </si>
  <si>
    <t>LE GIROFARD;7 781</t>
  </si>
  <si>
    <t>LE KFE DES FAMILLES;3 451</t>
  </si>
  <si>
    <t>LE KIOSQUE CULTURE;3 150</t>
  </si>
  <si>
    <t>LE LABO DES HISTOIRES section Sud-Atlantique;4 880</t>
  </si>
  <si>
    <t>LE LABO DES LETTRES;21</t>
  </si>
  <si>
    <t>LE LABO</t>
  </si>
  <si>
    <t>REVELATEUR D'IMAGES;626</t>
  </si>
  <si>
    <t>LE LYS ET LE LEOPARD;4 440</t>
  </si>
  <si>
    <t>LE PETIT INSTITUT DE CHINE : ECOLE D'ARTS MARTIAUX ET CULTURE CHINOISE;4 980</t>
  </si>
  <si>
    <t>LE POQUELIN THEATRE;2 284</t>
  </si>
  <si>
    <t>LE P'TIT BOUT DE QUARTIER;655</t>
  </si>
  <si>
    <t>LE RELAIS GIRONDE;1 239</t>
  </si>
  <si>
    <t>LE SPORTING-CLUB DE LA BASTIDIENNE;50 177</t>
  </si>
  <si>
    <t>LE THEATRE DES EGREGORES;7 298</t>
  </si>
  <si>
    <t>LEGATO CIE;1 031</t>
  </si>
  <si>
    <t>LEO CLUB BORDEAUX INTERNATIONAL - LBI;408</t>
  </si>
  <si>
    <t>L'EPICERIE;1 020</t>
  </si>
  <si>
    <t>L'ERE H;286</t>
  </si>
  <si>
    <t>LES AMIS AQUITAINS DES SEMAINES SOCIALES DE France;112</t>
  </si>
  <si>
    <t>LES AMIS DE BORDEAUX-SUD;27</t>
  </si>
  <si>
    <t>LES AMIS DE LA RUE KLEBER;24</t>
  </si>
  <si>
    <t>LES AMIS DE LA TERRE GIRONDE;521</t>
  </si>
  <si>
    <t>LES AMIS DE SAINTE GENEVIEVE (ASG);927</t>
  </si>
  <si>
    <t>LES AMIS DE SUPERCOOP;89</t>
  </si>
  <si>
    <t>LES AMIS DU GRAND THEATRE - OPERA DE BORDEAUX;11 641</t>
  </si>
  <si>
    <t>LES ANCIENS DE BACALAN CLAVEAU;3 080</t>
  </si>
  <si>
    <t>LES ANNALES DE L'ESPRIT;102</t>
  </si>
  <si>
    <t>LES ARCHERS DE GUYENNE;2 928</t>
  </si>
  <si>
    <t>LES BORDELUCHES;2 997</t>
  </si>
  <si>
    <t>LES BRUITS DE LA RUE;1 189</t>
  </si>
  <si>
    <t>LES CLOWNS STETHOSCOPES;1 365</t>
  </si>
  <si>
    <t>LES COLCHIQUES DE CONDORCET;34</t>
  </si>
  <si>
    <t>LES COQS ROUGES;41 646</t>
  </si>
  <si>
    <t>LES COQUELICOTS;265</t>
  </si>
  <si>
    <t>LES COUCOUS;51</t>
  </si>
  <si>
    <t>LES DOSSIERS D'AQUITAINE ET D'AILLEURS;407</t>
  </si>
  <si>
    <t>LES ENTREPRENEURS ET DIRIGEANTS CHRETIENS;444</t>
  </si>
  <si>
    <t>LES FEES REIKI;56</t>
  </si>
  <si>
    <t>LES FEES RUE;14</t>
  </si>
  <si>
    <t>LES FILLES D'A COTE;2 501</t>
  </si>
  <si>
    <t>LES GIRONDINS DE BORDEAUX;335 279</t>
  </si>
  <si>
    <t>LES GOUPILS;3 441</t>
  </si>
  <si>
    <t>LES HABITANTS ET RIVERAINS DU QUARTIER SAINT-GENES-BOURSE DU TRAVAIL - COSTEDOAT;1 313</t>
  </si>
  <si>
    <t>LES IMPROVISATEURS ANONYMES;530</t>
  </si>
  <si>
    <t>LES INDEPENDANTS PLASTICIENS DE BORDEAUX;966</t>
  </si>
  <si>
    <t>LES INSTRUMENTS ANCIENS DE BORDEAUX;24</t>
  </si>
  <si>
    <t>LES JARDINS D'AUJOURD'HUI;115 874</t>
  </si>
  <si>
    <t>LES JEUNES DE SAINT AUGUSTIN - JSA;388 767</t>
  </si>
  <si>
    <t>LES JOIES HUMAINES;191</t>
  </si>
  <si>
    <t>LES LEOPARDS DE GUYENNE;9 054</t>
  </si>
  <si>
    <t>LES MORPHOGENISTES;300</t>
  </si>
  <si>
    <t>LES MUSCLES BORDELAIS;98</t>
  </si>
  <si>
    <t>LES PETITS DEBROUILLARDS AQUITAINE;2 687</t>
  </si>
  <si>
    <t>LES PETITS FRERES DES PAUVRES DE BORDEAUX;126</t>
  </si>
  <si>
    <t>LES PETITS TRETEAUX;160</t>
  </si>
  <si>
    <t>LES PINSONS;366</t>
  </si>
  <si>
    <t>LES PRODUCTIONS DE L'ANGE;487</t>
  </si>
  <si>
    <t>LES P'TITS GRATTEURS;9 174</t>
  </si>
  <si>
    <t>LES RIVERAINS DU STADE PROMIS;68</t>
  </si>
  <si>
    <t>LES ROSES DE DAMAS;1 268</t>
  </si>
  <si>
    <t>LES SURPRISES;640</t>
  </si>
  <si>
    <t>LES VAILLANTS DE SAINT SEURIN;182</t>
  </si>
  <si>
    <t>LES VIVRES DE L'ART;12 445</t>
  </si>
  <si>
    <t>LES Z'ARPETES;366</t>
  </si>
  <si>
    <t>LESBIAN &amp; GAY PRIDE BORDEAUX DITE AUSSI LGP BORDEAUX;1 818</t>
  </si>
  <si>
    <t>L'ESPRIT DU PIANO;4 825</t>
  </si>
  <si>
    <t>L'ESTEY;783</t>
  </si>
  <si>
    <t>LETTRES DU MONDE;23 407</t>
  </si>
  <si>
    <t>LIBRE PENSEE;68</t>
  </si>
  <si>
    <t>LICHORE;46</t>
  </si>
  <si>
    <t>LIGUE CONTRE LE CANCER;2 389</t>
  </si>
  <si>
    <t>LIGUE D'AQUITAINE DE HANDBALL;2 342</t>
  </si>
  <si>
    <t>LIGUE D'AQUITAINE DE VOLLEY BALL;1 522</t>
  </si>
  <si>
    <t>LIGUE DE L'ENSEIGNEMENT;2 355</t>
  </si>
  <si>
    <t>LIGUE FRANÇAISE POUR LA DEFENSE DES DROITS DE L'HOMME ET DU CITOYEN (LDH) ET LIGUE DES DROITS DE L'HOMME;1 915</t>
  </si>
  <si>
    <t>LIGUE INTERNATIONALE CONTRE LE RACISME ET L'ANTISEMITISME - SECTION BORDEAUX &amp; GIRONDE - LICRA;730</t>
  </si>
  <si>
    <t>LIGUE NATIONAL DE RUGBY;40</t>
  </si>
  <si>
    <t>L'INSTITUT BORDELAIS DE STYLISME MODELISME;331</t>
  </si>
  <si>
    <t>LIONS BORDEAUX SAINT AUGUSTIN;7 606</t>
  </si>
  <si>
    <t>LIONS CLUB BORDEAUX - EUROPE - DISTRICT 103 SUD-OUEST;1 089</t>
  </si>
  <si>
    <t>LIONS CLUB BORDEAUX LE BOUSCAT;265</t>
  </si>
  <si>
    <t>LIONS CLUB BORDEAUX RIVE-GAUCHE;317</t>
  </si>
  <si>
    <t>LIONS CLUB BORDEAUX TOURNY;802</t>
  </si>
  <si>
    <t>LIONS CLUB DE BORDEAUX LA FAYETTE;912</t>
  </si>
  <si>
    <t>LIONS-CLUB DE BORDEAUX CAUDERAN;488</t>
  </si>
  <si>
    <t>L'OLYMPIQUE-CLUB BORDELAIS - OCB;288</t>
  </si>
  <si>
    <t>L'ORANGEADE;166</t>
  </si>
  <si>
    <t>LOS TREINTA Y TRES;485</t>
  </si>
  <si>
    <t>L'OSTAU OCCITAN;1 329</t>
  </si>
  <si>
    <t>L'OUMIGMAG;1 272</t>
  </si>
  <si>
    <t>LOUONS L'ETERNEL;2 877</t>
  </si>
  <si>
    <t>LUDOLUDIK;3 006</t>
  </si>
  <si>
    <t>LUNA D'AIGA;3 382</t>
  </si>
  <si>
    <t>LUPUS DE FRANCE;265</t>
  </si>
  <si>
    <t>MACCABI SPORTS DE BORDEAUX;892</t>
  </si>
  <si>
    <t>MADE IN MOVEMENT;9 458</t>
  </si>
  <si>
    <t>MAGNETOGRAMMES ASSOCIATION;7 298</t>
  </si>
  <si>
    <t>MAISON D'ALGERIE EN AQUITAINE;1 016</t>
  </si>
  <si>
    <t>MAISON DE LA NATURE ET DE L'ENVIRONNEMENT;33 185</t>
  </si>
  <si>
    <t>MAISON DE L'EUROPE BORDEAUX-AQUITAINE (MEBA);42 924</t>
  </si>
  <si>
    <t>MAISON DE L'INITIATIVE ET DE L'ENTREPRENEURIAT - MIE;117</t>
  </si>
  <si>
    <t>MAISON DES ADOLESCENTS DE LA GIRONDE;7 981</t>
  </si>
  <si>
    <t>MAISON DES FEMMES DE BORDEAUX;1 978</t>
  </si>
  <si>
    <t>MAISON DES JEUNES ET DE LA CULTURE CENTRE DE LOISIRS DES DEUX VILLES - MJC CL2V;178</t>
  </si>
  <si>
    <t>MAISON DES METIERS DE L'IMPRIMERIE;26 136</t>
  </si>
  <si>
    <t>MAISON DES SOURDS DE LA GIRONDE - MS 33;6 406</t>
  </si>
  <si>
    <t>MAISON DUPEUX;117</t>
  </si>
  <si>
    <t>MAJ;984</t>
  </si>
  <si>
    <t>MAM'OURS;120</t>
  </si>
  <si>
    <t>MANA;1 939</t>
  </si>
  <si>
    <t>MANDORA;8 192</t>
  </si>
  <si>
    <t>MANTA PLONGEE;5 581</t>
  </si>
  <si>
    <t>MARATHON JOB EUROPA;777</t>
  </si>
  <si>
    <t>MAROC</t>
  </si>
  <si>
    <t>DEVOIRS ET DROITS;594</t>
  </si>
  <si>
    <t>MASCARETS;13 872</t>
  </si>
  <si>
    <t>MAWA DE GIRONDE;587</t>
  </si>
  <si>
    <t>MBOLO ASSOCIATION DES GABONAIS DE LA GIRONDE;491</t>
  </si>
  <si>
    <t>MEDECINS DU MONDE;2 684</t>
  </si>
  <si>
    <t>MELTING SIGNES;420</t>
  </si>
  <si>
    <t>MENSA AQUITAINE;587</t>
  </si>
  <si>
    <t>MERCI GERTRUDE;2 432</t>
  </si>
  <si>
    <t>MHIGE INSEEC - MISSION INTER GRANDES ECOLES DE L'INSEEC;11</t>
  </si>
  <si>
    <t>MIGRATIONS CULTURELLES AQUITAINE - AFRIQUES (MC2A);35 680</t>
  </si>
  <si>
    <t>MINE DE RIEN;17 441</t>
  </si>
  <si>
    <t>MIRAIL INFORMATIQUE;365</t>
  </si>
  <si>
    <t>MISSION LOCALE BORDEAUX AVENIR JEUNES;75 165</t>
  </si>
  <si>
    <t>MOI NON PLUS;7 654</t>
  </si>
  <si>
    <t>MONTS ET MERVEILLES;265</t>
  </si>
  <si>
    <t>MOTO CLUB HEXAGON BORDEAUX;9 920</t>
  </si>
  <si>
    <t>MOTS ET MATIERES(S);80</t>
  </si>
  <si>
    <t>MOUVEMENT ATD QUART MONDE;21 846</t>
  </si>
  <si>
    <t>MOUVEMENT ETUDIANT REPUBLICAIN POUR LE DEBAT ET L'ENGAGEMENT;396</t>
  </si>
  <si>
    <t>MOUVEMENT EUROPEEN FRANCE-GIRONDE;265</t>
  </si>
  <si>
    <t>MOUVEMENT FRANCAIS POUR LE PLANNING FAMILIAL - ASSOCIATION DEPARTEMENTALE DE LA GIRONDE;111</t>
  </si>
  <si>
    <t>MUSICA IN CATHEDRA;34</t>
  </si>
  <si>
    <t>MUSIC'S COOL;9 650</t>
  </si>
  <si>
    <t>MUSIQUE MUNICIPALE;1 845</t>
  </si>
  <si>
    <t>MUSIQUES DE NUIT - DIFFUSION;18 557</t>
  </si>
  <si>
    <t>MUSIQUES EN ROUTE;1 560</t>
  </si>
  <si>
    <t>MY KARTEL;1 288</t>
  </si>
  <si>
    <t>NACAO PALMARES CAPOEIRA DE BORDEAUX;1 539</t>
  </si>
  <si>
    <t>NEW BASKET ATTITUDE;50 148</t>
  </si>
  <si>
    <t>NIRE LAGUNA THOMAS;4 200</t>
  </si>
  <si>
    <t>NOTRE DAME DE BARRAILS;37 520</t>
  </si>
  <si>
    <t>NOTRE ITALIE;410</t>
  </si>
  <si>
    <t>NOUS CITOYENS;468</t>
  </si>
  <si>
    <t>NOUS VOULONS LIRE !;11 081</t>
  </si>
  <si>
    <t>NOUVEAU COMITE FOIRE AUX PLAISIRS;27 180</t>
  </si>
  <si>
    <t>NOUVELLE DONNE;2 158</t>
  </si>
  <si>
    <t>NUAGE BLEU;195</t>
  </si>
  <si>
    <t>Ô PLAFOND;692</t>
  </si>
  <si>
    <t>OCCS;444</t>
  </si>
  <si>
    <t>OCTANDRE;1 205</t>
  </si>
  <si>
    <t>OFFICE AQUITAIN DE RECHERCHES</t>
  </si>
  <si>
    <t>D’ETUDES</t>
  </si>
  <si>
    <t>D’INFORMATION ET DE LIAISON SUR LES PROBLEMES DES PERSONNES AGEES -;</t>
  </si>
  <si>
    <t>;43 712</t>
  </si>
  <si>
    <t>OAREIL;</t>
  </si>
  <si>
    <t>OFFICE ARTISTIQUE DE REGION AQUITAINE;1 200</t>
  </si>
  <si>
    <t>OFFICIERS DE RESERVE;450</t>
  </si>
  <si>
    <t>OKIWI;367</t>
  </si>
  <si>
    <t>ONG QUISHUAR;477</t>
  </si>
  <si>
    <t>OPERA BASTIDE;970</t>
  </si>
  <si>
    <t>OPUS 33;7 826</t>
  </si>
  <si>
    <t>ORGAN PHANTOM;6 549</t>
  </si>
  <si>
    <t>ORGANISATION SOCIO-CULTURELLE DE BORDEAUX IV OSB IV;696</t>
  </si>
  <si>
    <t>OSEZ LE FEMINISME 33 !;24</t>
  </si>
  <si>
    <t>OSONS</t>
  </si>
  <si>
    <t>ICI ET MAINTENANT (OIM);6 850</t>
  </si>
  <si>
    <t>OUI A LA VIE;444</t>
  </si>
  <si>
    <t>PALLIAQUITAINE;811</t>
  </si>
  <si>
    <t>PARALLELES ATTITUDES DIFFUSION - ROCKSCHOOL;7 867</t>
  </si>
  <si>
    <t>PARRAINAGE 33;2 009</t>
  </si>
  <si>
    <t>PARTI OUVRIER INDEPENDANT DEMOCRATIQUE DE LA GIRONDE - POID33;116</t>
  </si>
  <si>
    <t>PASSERELLES ET COMPETENCES;568</t>
  </si>
  <si>
    <t>PAUSE-CAFE;889</t>
  </si>
  <si>
    <t>PENA FLAMENCA COPAS Y COMPAS;587</t>
  </si>
  <si>
    <t>PENA MADRIDISTA DE BORDEAUX;676</t>
  </si>
  <si>
    <t>PENSION DE FAMILLE;160</t>
  </si>
  <si>
    <t>PERCEPTA - TAI CHI CHUAN ET DEVELOPPEMENT PERSONNEL;2 088</t>
  </si>
  <si>
    <t>PERES &amp; FILS RUGBY 33;2 721</t>
  </si>
  <si>
    <t>PERMANENCES DE LA LITTERATURE;19 632</t>
  </si>
  <si>
    <t>PETANQUE BACALANAISE;10 495</t>
  </si>
  <si>
    <t>PETANQUE CLUB EMILE COMBES;3 789</t>
  </si>
  <si>
    <t>PETANQUE-CLUB DES TROIS;1 494</t>
  </si>
  <si>
    <t>PETITES SOEURS DES PAUVRES;1 379</t>
  </si>
  <si>
    <t>PEUPLES SOLIDAIRES;48</t>
  </si>
  <si>
    <t>PHENIX DE BELCIER;17 975</t>
  </si>
  <si>
    <t>PHENIX ECOUTE ET PAROLES;5 040</t>
  </si>
  <si>
    <t>PHILOSPHERES;576</t>
  </si>
  <si>
    <t>PHOTO CLUB DE BORDEAUX;2 674</t>
  </si>
  <si>
    <t>PICTUR'ART;1 258</t>
  </si>
  <si>
    <t>PLAN INTERNATIONAL FRANCE - PLAN FRANCE;34</t>
  </si>
  <si>
    <t>PLANETE BORDEAUX;198</t>
  </si>
  <si>
    <t>PLENI'OM;1 640</t>
  </si>
  <si>
    <t>POINT DE FUITE;216</t>
  </si>
  <si>
    <t>POINT RENCONTRE DE BORDEAUX;1 031</t>
  </si>
  <si>
    <t>POLAR EN CABANES - LES AMIS DE CHESTER HIMES EN AQUITAINE</t>
  </si>
  <si>
    <t>A ARCACHON ET SUR LE BASSIN (ACHAAB);4 132</t>
  </si>
  <si>
    <t>POLE D'ENSEIGNEMENT SUPERIEUR DE LA MUSIQUE ET DE LA DANSE DE BORDEAUX AQUITAINE - PESMD;34</t>
  </si>
  <si>
    <t>POLE MAGNETIC;4 461</t>
  </si>
  <si>
    <t>POLIFONIA ELIANE LAVAIL;1 001</t>
  </si>
  <si>
    <t>POLSKIE BORDEAUX;111</t>
  </si>
  <si>
    <t>POLYCAP 33;774</t>
  </si>
  <si>
    <t>POUR UN COMMERCE ETHIQUE DE L'ART</t>
  </si>
  <si>
    <t>RENCONTRES</t>
  </si>
  <si>
    <t>TOURISME - PUCEART;1 404</t>
  </si>
  <si>
    <t>POUR UN SOURIRE D'ENFANT AQUITAINE;444</t>
  </si>
  <si>
    <t>PRISME;6 825</t>
  </si>
  <si>
    <t>PROF'APA;342</t>
  </si>
  <si>
    <t>PROJETS HORS LES MURS - PHM;204</t>
  </si>
  <si>
    <t>PROMETHEE;61</t>
  </si>
  <si>
    <t>PROMO-FEMMES SAINT MICHEL;22 507</t>
  </si>
  <si>
    <t>P'TIT BOUT'CHOU;129</t>
  </si>
  <si>
    <t>QUATUORS A BORDEAUX;9 317</t>
  </si>
  <si>
    <t>QUETZALCOATL;2 852</t>
  </si>
  <si>
    <t>RACING CLUB DE BORDEAUX METROPOLE;24 734</t>
  </si>
  <si>
    <t>RADIO CHU;178</t>
  </si>
  <si>
    <t>RASSEMBLEMENT DU PEUPLE SOUVERAIN POUR UNE FRANCE INDEPENDANTE ET UNE REPUBLIQUE SOCIALE;444</t>
  </si>
  <si>
    <t>REBATIR LA FRANCE;444</t>
  </si>
  <si>
    <t>RECUP'R;702</t>
  </si>
  <si>
    <t>REG'ARTS D'AILLEURS;224</t>
  </si>
  <si>
    <t>REGGAE SUN SKA;9 843</t>
  </si>
  <si>
    <t>REGIE DE QUARTIER HABITER BACALAN;1 216</t>
  </si>
  <si>
    <t>RELAIS AMICAL MALAKOFF MEDERIC BORDEAUX AQUITAINE;1 355</t>
  </si>
  <si>
    <t>RENAISSANCE DE L'ORGUE A BORDEAUX;8 442</t>
  </si>
  <si>
    <t>RESEAU AQUITAIN DES MUSIQUES ACTUELLES - RAMA;587</t>
  </si>
  <si>
    <t>RESEAU ENTREPRENDRE AQUITAINE;1 287</t>
  </si>
  <si>
    <t>RESEAU FRANCAIS SUR L’ENTENTE DE VOIX (REV FRANCE);314</t>
  </si>
  <si>
    <t>RESEAUX ADOS GIRONDE;34</t>
  </si>
  <si>
    <t>RESTAURANTS DU COEUR - RELAIS DU COEUR DE LA GIRONDE;24 342</t>
  </si>
  <si>
    <t>RESTONS CALMES ! (DANS LA DIGNITE);13 714</t>
  </si>
  <si>
    <t>RICOCHET SONORE;1 118</t>
  </si>
  <si>
    <t>RIVE DROITE 2000;97</t>
  </si>
  <si>
    <t>ROLLER DERBY BORDEAUX CLUB;46</t>
  </si>
  <si>
    <t>ROSE ATTITUDE BORDEAUX;963</t>
  </si>
  <si>
    <t>ROTARY CLUB DE BORDEAUX-OUEST;135</t>
  </si>
  <si>
    <t>ROTARY-CLUB DE BORDEAUX-SUD;3 049</t>
  </si>
  <si>
    <t>RUELLE (RELAIS URBAIN D'ECHANGES ET DE LUTTE CONTRE L'EXPLOITATION);238</t>
  </si>
  <si>
    <t>RUGBYTOTS;1 944</t>
  </si>
  <si>
    <t>SAAPERLIPOPETTE;12 655</t>
  </si>
  <si>
    <t>SAINT AUGUSTIN 2015;4 927</t>
  </si>
  <si>
    <t>SAINT MARTIN BORDEAUX CULTURAL CONNECTIONS;443</t>
  </si>
  <si>
    <t>SALAM;2 934</t>
  </si>
  <si>
    <t>SASP FOOTBALL CLUB DES GIRONDINS DE BORDEAUX;6 499</t>
  </si>
  <si>
    <t>SASP JSA BORDEAUX METROPOLE;334</t>
  </si>
  <si>
    <t>SASP UNION BORDEAUX BEGLES;3 073</t>
  </si>
  <si>
    <t>SAVATE BOXE FRANÇAISE DE BORDEAUX - SBFB;9 801</t>
  </si>
  <si>
    <t>SCOUTS ET GUIDES DE FRANCE - Section de Tarbes;609</t>
  </si>
  <si>
    <t>SE CANTO BASTIDE;1 530</t>
  </si>
  <si>
    <t>SECOURS CATHOLIQUE-CARITAS FRANCE (DELEGATION DE LA GIRONDE);10 043</t>
  </si>
  <si>
    <t>SECUCAF BORDEAUX FOOTBALL D'ENTREPRISE;3 053</t>
  </si>
  <si>
    <t>SEMER LE DOUTE;91 175</t>
  </si>
  <si>
    <t>SERVICE DEPARTEMENTAL D'INCENDIE ET DE SECOURS DE LA GIRONDE;135</t>
  </si>
  <si>
    <t>SERVICE UNIVERSITAIRE DES ACTIVITES PHYSIQUES ET SPORTIVES (SUAPS);27 153</t>
  </si>
  <si>
    <t>SEW &amp; LAINE;4 695</t>
  </si>
  <si>
    <t>SIDACTION;7 500</t>
  </si>
  <si>
    <t>SMART COMPAGNIE;136</t>
  </si>
  <si>
    <t>SOCIETE ARCHEOLOGIQUE DE BORDEAUX;2 062</t>
  </si>
  <si>
    <t>SOCIETE BORDELAISE D'AQUARELLE;1 814</t>
  </si>
  <si>
    <t>SOCIETE DE GEOGRAPHIE DE BORDEAUX;8 196</t>
  </si>
  <si>
    <t>SOCIETE DE SAINT-VINCENT-DE-PAUL - CONSEIL DEPARTEMENTAL DE LA GIRONDE;10 568</t>
  </si>
  <si>
    <t>SOCIETE D'ENTRAIDE DES MEMBRES DE LA LEGION D'HONNEUR COMITE DE BORDEAUX SECTEUR CAUDERAN;72</t>
  </si>
  <si>
    <t>SOCIETE DES AMIS DU MUSEE DES BEAUX-ARTS DE BORDEAUX;11 592</t>
  </si>
  <si>
    <t>SOCIETE DES BIBLIOPHILES DE GUYENNE;6 640</t>
  </si>
  <si>
    <t>SOCIETE DES COMPAGNONS DU TOUR DE France DU DEVOIR EGALITAIRE - CHAMBRE COMPAGNONALE DE BORDEAUX;76 160</t>
  </si>
  <si>
    <t>SOCIETE DES FETES CAUDERANAISES;265</t>
  </si>
  <si>
    <t>SOCIETE DES NEUROSCIENCES;444</t>
  </si>
  <si>
    <t>SOCIETE D'HISTOIRE DE BORDEAUX;1 500</t>
  </si>
  <si>
    <t>SOCIETE D'HORTICULTURE</t>
  </si>
  <si>
    <t>D'ARBORICULTURE ET DE VITICULTURE DE CAUDERAN;146 500</t>
  </si>
  <si>
    <t>SOCIETE PHILOMATHIQUE DE BORDEAUX;527 900</t>
  </si>
  <si>
    <t>SOCIETE SYMPHONIQUE DE BORDEAUX-CAUDERAN;7 308</t>
  </si>
  <si>
    <t>SOLIDARITE ANAIS JEROME EVENEMENTIEL - SAJE;2 685</t>
  </si>
  <si>
    <t>SOLIDARITE-LOGEMENT BORDEAUX-BOULEVARDS;6 376</t>
  </si>
  <si>
    <t>SOLIHA</t>
  </si>
  <si>
    <t>SOLIDAIRES POUR L'HABITAT</t>
  </si>
  <si>
    <t>GIRONDE;459</t>
  </si>
  <si>
    <t>SOMATO-PSYCHO-PEDAGOGIE EN AQUITAINE;56</t>
  </si>
  <si>
    <t>SONG LONG BORDEAUX;5 364</t>
  </si>
  <si>
    <t>SOS AMITIE - REGION DE BORDEAUX AQUITAINE;621</t>
  </si>
  <si>
    <t>SOS PLACE GAMBETTA;114</t>
  </si>
  <si>
    <t>SOUTIEN</t>
  </si>
  <si>
    <t>CULTURE ET LOISIRS DES MAGHREBINS ET ALGERIENS EN AQUITAINE - SCELMAA;1 626</t>
  </si>
  <si>
    <t>SPECIAL OLYMPICS FRANCE (SOF);1 140</t>
  </si>
  <si>
    <t>SPHERE CPP BORDEAUX;92</t>
  </si>
  <si>
    <t>SPORTING CHANTECLER BORDEAUX NORD LE LAC;268 643</t>
  </si>
  <si>
    <t>STADE BASTIDE BORDEAUX BENAUGE - S3B;88 450</t>
  </si>
  <si>
    <t>STADE BORDELAIS ASPTT;496 229</t>
  </si>
  <si>
    <t>STELLA MONTIS;185</t>
  </si>
  <si>
    <t>STOP AND GO DANCE 33;2 313</t>
  </si>
  <si>
    <t>SUKHALI - AIDE AU DEVELOPPEMENT LOCAL PAR LES FEMMES AU SENEGAL;24</t>
  </si>
  <si>
    <t>SURVIE GIRONDE;34</t>
  </si>
  <si>
    <t>SWINGTIME BORDEAUX;2 477</t>
  </si>
  <si>
    <t>SYNDICAT DES QUARTIERS BELCIER</t>
  </si>
  <si>
    <t>CARLE VERNET;145</t>
  </si>
  <si>
    <t>T.E.A. TIME - TALENTUEUX EMOTIFS ANONYMES;1 261</t>
  </si>
  <si>
    <t>TANGO BORDEAUX;5 908</t>
  </si>
  <si>
    <t>TANGO HOY;1 372</t>
  </si>
  <si>
    <t>TANGO MILONGUERO BORDEAUX;111</t>
  </si>
  <si>
    <t>TANGO NOMADE;6 365</t>
  </si>
  <si>
    <t>TASHI DELEK BORDEAUX ASSOCIATION GIRONDINE POUR LE TIBET;1 432</t>
  </si>
  <si>
    <t>TATHATA- VRINDHAM AQUITAINE;34</t>
  </si>
  <si>
    <t>TCHERNOBLAYE;444</t>
  </si>
  <si>
    <t>TEMPS DE PAROLE ASSOCIATION SANTE ET SECURITE PROFESSIONNELLES;98</t>
  </si>
  <si>
    <t>TENNIS CLUB BORDEAUX BASTIDE;54 406</t>
  </si>
  <si>
    <t>TENNIS CLUB DE BORDEAUX;12 998</t>
  </si>
  <si>
    <t>TERANGA;277</t>
  </si>
  <si>
    <t>TERANUI TAHITI;12</t>
  </si>
  <si>
    <t>TERIYA;2 501</t>
  </si>
  <si>
    <t>TERRA FEES;437</t>
  </si>
  <si>
    <t>TERRE ET OCEAN;6 458</t>
  </si>
  <si>
    <t>THEATR'ACTION;1 939</t>
  </si>
  <si>
    <t>THEATRE DE L'ESCALE;242</t>
  </si>
  <si>
    <t>THEATRE DES TAFURS;6 240</t>
  </si>
  <si>
    <t>THEATRE FEMINA;100</t>
  </si>
  <si>
    <t>THEATRE NATIONAL DE BORDEAUX EN AQUITAINE - TNBA;8 414</t>
  </si>
  <si>
    <t>THEATRE POPULAIRE JOB;515</t>
  </si>
  <si>
    <t>THEATRE-EDUCATION-AQUITAINE;56</t>
  </si>
  <si>
    <t>THEATRIUM;443</t>
  </si>
  <si>
    <t>THIANT GUI;1 224</t>
  </si>
  <si>
    <t>THOTH CIVILISATION SANS FRONTIERES;646</t>
  </si>
  <si>
    <t>TIMELESS BALLET;5 000</t>
  </si>
  <si>
    <t>TOOBORDO;153</t>
  </si>
  <si>
    <t>TOURING PEDESTRE BORDELAIS;412</t>
  </si>
  <si>
    <t>TOUT ART FAIRE;1 980</t>
  </si>
  <si>
    <t>TRACE UNE DIAGONALE;1 332</t>
  </si>
  <si>
    <t>TRADOBORDELEAU;21</t>
  </si>
  <si>
    <t>TRANSFERT;13 962</t>
  </si>
  <si>
    <t>TRANZIT KREOL;754</t>
  </si>
  <si>
    <t>TRAUMATISES CRANIENS ASSISTANCE;550</t>
  </si>
  <si>
    <t>TREMPLIN UTC;40</t>
  </si>
  <si>
    <t>ULCR;60</t>
  </si>
  <si>
    <t>ULTRAS BB;34</t>
  </si>
  <si>
    <t>UNICEF;19 440</t>
  </si>
  <si>
    <t>UNION ALCOOLIQUES ANONYMES;1 008</t>
  </si>
  <si>
    <t>UNION AU DEVELOPPEMENT AFRICAIN - UDA;114</t>
  </si>
  <si>
    <t>UNION BORDEAUX METROPOLE - UBM;13 141</t>
  </si>
  <si>
    <t>UNION COOP DE LA PAGE BLANCHE;660</t>
  </si>
  <si>
    <t>UNION DEPARTEMENTALE CFDT DE LA GIRONDE;444</t>
  </si>
  <si>
    <t>UNION DEPARTEMENTALE DES ASSOCIATIONS FAMILIALES - UDAF;400</t>
  </si>
  <si>
    <t>UNION DES AVEUGLES ET DEFICIENTS VISUELS;2 534</t>
  </si>
  <si>
    <t>UNION DES TRAVAILLEURS IVOIRIENS DE FRANCE - UTIF;302</t>
  </si>
  <si>
    <t>UNION GENERALE SPORTIVE DE L'ENSEIGNEMENT LIBRE DE LA GIRONDE;7 304</t>
  </si>
  <si>
    <t>UNION GIRONDINE DES RETRAITES MILITAIRES</t>
  </si>
  <si>
    <t>ANCIENS MILITAIRES ET DE LEURS CONJOINTS (URM 33);340</t>
  </si>
  <si>
    <t>UNION NATIONALE DES AMIS ET FAMILLES DE MALADES PSYCHIQUES - UNAFAM;2 160</t>
  </si>
  <si>
    <t>UNION NATIONALE DES COMBATTANTS DE BORDEAUX RIVE-DROITE - UNC;259</t>
  </si>
  <si>
    <t>UNION NATIONALE DES COMBATTANTS DE BORDEAUX-CAUDERAN-LE BOUSCAT (UNC);496</t>
  </si>
  <si>
    <t>UNION NATIONALE DU SPORT SCOLAIRE - DIRECTION REGIONALE;10 888</t>
  </si>
  <si>
    <t>UNION REGIONALE D'AQUITAINE DE L'UNION EUROPEENNE FEMININE SECTION FRANÇAISE;58</t>
  </si>
  <si>
    <t>UNION REGIONALE DES INGENIEURS ET DES SCIENTIFIQUES D'AQUITAINE - URISA;265</t>
  </si>
  <si>
    <t>UNION REGIONALE PACT HABITAT ET DEVELOPPEMENT DE LA REGION AQUITAINE;236</t>
  </si>
  <si>
    <t>UNION SAINT JEAN - MAISON DE QUARTIER;80 138</t>
  </si>
  <si>
    <t>UNION SAINT-BRUNO;739 980</t>
  </si>
  <si>
    <t>UNION SPORTIVE JEUNES DE SAINT-AUGUSTIN - CLUB PYRENEES-AQUITAINE (US JSA-CPA);789</t>
  </si>
  <si>
    <t>UNION SPORTIVE LES CHARTRONS;180 543</t>
  </si>
  <si>
    <t>UNIS CITE;2 882</t>
  </si>
  <si>
    <t>UNIVERSEUL;18</t>
  </si>
  <si>
    <t>UNIVERSITE BORDEAUX MONTAIGNE BORDEAUX III - BIBLIOTHEQUE FRANCO-ALLEMANDE (BIFA);251</t>
  </si>
  <si>
    <t>UNIVERSITE DE BORDEAUX;17 411</t>
  </si>
  <si>
    <t>UNIVERSITE POPULAIRE DE BORDEAUX - UPB;657</t>
  </si>
  <si>
    <t>URBAN VIBRATIONS SCHOOL;511</t>
  </si>
  <si>
    <t>URPS - AQUITAINE;774</t>
  </si>
  <si>
    <t>UTOPIA;24</t>
  </si>
  <si>
    <t>VA K BAND;645</t>
  </si>
  <si>
    <t>VACANCES ANIMATION LOISIRS TOURISME DE LA GIRONDE;281</t>
  </si>
  <si>
    <t>VACANCES TOURISME FAMILLES - VTF;178</t>
  </si>
  <si>
    <t>VAHINE ORA;774</t>
  </si>
  <si>
    <t>VARIANCE MELODIE;10 455</t>
  </si>
  <si>
    <t>VELO CITE;1 683</t>
  </si>
  <si>
    <t>VIE ET TRAVAIL A BORDEAUX BACALAN;2 186</t>
  </si>
  <si>
    <t>VIE LIBRE;1 128</t>
  </si>
  <si>
    <t>VILLA 88;710</t>
  </si>
  <si>
    <t>VILLA PRIMROSE;58 390</t>
  </si>
  <si>
    <t>VILLAGE D'AUDEGE;259</t>
  </si>
  <si>
    <t>VILLAGE DE LA GROSSE CLOCHE;8 377</t>
  </si>
  <si>
    <t>V'INSEEC BORDEAUX</t>
  </si>
  <si>
    <t>VINS ET SPIRITUEUX;2 448</t>
  </si>
  <si>
    <t>VISIONS CROISEES;120</t>
  </si>
  <si>
    <t>VISIONS PARTAGEES;768</t>
  </si>
  <si>
    <t>VISITE DES MALADES DANS LES ETABLISSEMENTS HOSPITALIERS DU DEPARTEMENT DE LA GIRONDE - VMEH;1 820</t>
  </si>
  <si>
    <t>VIVONS LA BASTIDE;1 172</t>
  </si>
  <si>
    <t>VIVRE A CAUDERAN;17 985</t>
  </si>
  <si>
    <t>VIVRE AVEC - SOLIDARITES INTERGENERATIONNELLES;3 681</t>
  </si>
  <si>
    <t>VIVRE COMME AVANT;24</t>
  </si>
  <si>
    <t>VOCATION SOCIOLOGUE;888</t>
  </si>
  <si>
    <t>VOVINAM VIET VO DAO-CLUB DE BORDEAUX;3 024</t>
  </si>
  <si>
    <t>WEJOB;421</t>
  </si>
  <si>
    <t>WISE;2 152</t>
  </si>
  <si>
    <t>WOUXIA CLAN;1 188</t>
  </si>
  <si>
    <t>YA DLA JOIE ET DL'EMPLOI (YDLJE);24</t>
  </si>
  <si>
    <t>YAKAFAUCON;1 656</t>
  </si>
  <si>
    <t>YAWATA ASSOCIATION DES ECHANGES DE PROCEDES ARTISTIQUES;134</t>
  </si>
  <si>
    <t>YOBALEMA;11 156</t>
  </si>
  <si>
    <t>YOGA ET YOGA;1 173</t>
  </si>
  <si>
    <t>YOGALBEDO;379</t>
  </si>
  <si>
    <t>YOGHINY;4 266</t>
  </si>
  <si>
    <t>ZANSHIN CLUB;14 625</t>
  </si>
  <si>
    <t>ZEBRA 3;2 200</t>
  </si>
  <si>
    <t xml:space="preserve">ASSOCIATION POUR L'UNIFICATION DU DROIT DES AFFAIRES EN EUROPE (AUDE);944 </t>
  </si>
  <si>
    <t>VALORISATION DES AIDES EN NATURE ACCORDEES AUX ASSOCIATIONS EN 2016</t>
  </si>
  <si>
    <t>NOM DES BENEFICIAIRES</t>
  </si>
  <si>
    <t>PRESTATIONS EN ;NATURE CHIFFREES</t>
  </si>
  <si>
    <t>PRESTATIONS EN</t>
  </si>
  <si>
    <t>NATURE CHIFFREES</t>
  </si>
  <si>
    <t>"BAMBINO BERTHELOT" ASSOCIATION DE PARENTS D'ELEVES DE L'ECOLE MATERNELLE BERTHELOT A BORDEAUX</t>
  </si>
  <si>
    <t>1001 JEUNES BORDELAIS</t>
  </si>
  <si>
    <t>2AA</t>
  </si>
  <si>
    <t>2SI2LA</t>
  </si>
  <si>
    <t>4 CATS</t>
  </si>
  <si>
    <t>9-33</t>
  </si>
  <si>
    <t>A TRAVERS CHANT</t>
  </si>
  <si>
    <t>A2RUNNING</t>
  </si>
  <si>
    <t>ABALONE CHASSE BORDEAUX</t>
  </si>
  <si>
    <t>ABEILLES BORDELAISES</t>
  </si>
  <si>
    <t>ACADEMIE BUSHIKAI KARATE DO</t>
  </si>
  <si>
    <t>ACADEMIE DES SCIENCES, BELLES LETTRES ET ARTS DE BORDEAUX</t>
  </si>
  <si>
    <t>ACADEMIE PROSPECTIVE NOUVELLES TECHNOLOGIES</t>
  </si>
  <si>
    <t>ACADEMIE YOUNUS</t>
  </si>
  <si>
    <t>ACCOMPAGNEMENT ET RECHERCHE PSYCHO-SOCIO EDUCATIFS POUR LES JEUNES (ARPEJE)</t>
  </si>
  <si>
    <t>ACCOMPAGNER CONDUIRE TRANSMETTRE - ACT</t>
  </si>
  <si>
    <t>ACCORDERIE BORDEAUX SUD</t>
  </si>
  <si>
    <t>ACHATS GROUPES ASSOCIATIF POUR L'ECONOMIE SOLIDAIRE DE BORDEAUX - AGAPES</t>
  </si>
  <si>
    <t>ACIDD, ASSOCIATION COMMUNICATION ET INFORMATION POUR LE DEVELOPPEMENT DURABLE</t>
  </si>
  <si>
    <t>ACTA GIRONDE - AGIR CONTRE LA TORTURE DES ANIMAUX</t>
  </si>
  <si>
    <t>ACTION CONTRE LA FAIM</t>
  </si>
  <si>
    <t>ACTION INTERNATIONALE POUR LA PAIX ET LE DEVELOPPEMENT</t>
  </si>
  <si>
    <t>AD LUCEM THEATRE</t>
  </si>
  <si>
    <t>ADORA - ASSOCIATION POUR LE DEVELOPPEMENT ET L'ACCOMPAGNEMENT, EN AQUITAINE, DE L'ORIENTATION PERSONNELLE ET PROFESSIONNELLE, TOUT AU LONG DE LA VIE</t>
  </si>
  <si>
    <t>AEP SAINT PROJET</t>
  </si>
  <si>
    <t>AGENCE LOCALE DE L'ENERGIE ET DU CLIMAT (ALEC)</t>
  </si>
  <si>
    <t>AGENCE REGIONALE DE SANTE NOUVELLE AQUITAINE</t>
  </si>
  <si>
    <t>AGORA DES ARTS</t>
  </si>
  <si>
    <t>AIGUILLES ET CALAME</t>
  </si>
  <si>
    <t>AIKIDO BORDEAUX BASTIDE</t>
  </si>
  <si>
    <t>AIR ROLLER (ATTENTION INERTIE RENOUVELABLE)</t>
  </si>
  <si>
    <t>ALAM AMIS DU LIVRE ANCIEN ET MODERNE</t>
  </si>
  <si>
    <t>ALGERIENS DE L'AQUITAINE</t>
  </si>
  <si>
    <t>ALLIANCE DEPARTEMENT 33, JUSQU'AU BOUT ACCOMPAGNER LA VIE...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</si>
  <si>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</si>
  <si>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</si>
  <si>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</si>
  <si>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</si>
  <si>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</si>
  <si>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</si>
  <si>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</si>
  <si>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</si>
  <si>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</si>
  <si>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</si>
  <si>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</si>
  <si>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ETABLISSEMENTS SCOLAIRES LAIQUES DE BACALAN - ALB</t>
  </si>
  <si>
    <t>AMICALE DES PHILIPPEVILLOIS, CONSTANTINOIS ET LEURS AMIS - APCA</t>
  </si>
  <si>
    <t>AMICALE DES RETRAITES U.G.R.R. - I.S.I.C.A. DE BORDEAUX</t>
  </si>
  <si>
    <t>AMICALE DU PATRONAGE LAIQUE ET DU CONSEIL DE PARENTS D'ELEVES DU GROUPE SCOLAIRE NUYENS</t>
  </si>
  <si>
    <t>AMICALE LAIQUE BORDEAUX CENTRE</t>
  </si>
  <si>
    <t>AMICALE LAIQUE DAVID JOHNSTON LAGRANGE ALBERT BARRAUD NAUJAC</t>
  </si>
  <si>
    <t>AMICALE LAIQUE DU GROUPE SCOLAIRE LEONARD-LENOIR - MONTAUD - NUITS</t>
  </si>
  <si>
    <t>AMICALE LAIQUE LEONARD LENOIR</t>
  </si>
  <si>
    <t>AMICALE NATIONALE DES RETRAITES DE L'AUDIOVISUEL</t>
  </si>
  <si>
    <t>AMIS D'ARS ET FIDES BORDEAUX</t>
  </si>
  <si>
    <t>AMIS D'ICI ET D'AILLEURS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</si>
  <si>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</si>
  <si>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</si>
  <si>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</si>
  <si>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</si>
  <si>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</si>
  <si>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</si>
  <si>
    <t>ANIMATIONS VILLAGE SAINT-SEURIN</t>
  </si>
  <si>
    <t>ANPAA - ASSOCIATION NATIONALE DE PREVENTION EN ALCOOLOGIE ET EN ADDICTOLOGIE</t>
  </si>
  <si>
    <t>APNEE 33</t>
  </si>
  <si>
    <t>APPEL DES CENT POUR LA PAIX COLLECTIF BORDELAIS</t>
  </si>
  <si>
    <t>APPRENDRE AVEC MONTESSORI AUJOURD'HUI</t>
  </si>
  <si>
    <t>APPRENTIS D'AUTEUIL - DELEGATION AQUITAINE</t>
  </si>
  <si>
    <t>AQUATIC BORDEAUX CAUDERAN CLUB - AB2C</t>
  </si>
  <si>
    <t>AQUINUM - ASSOCIATION DES PROFESSIONNELS DU NUMERIQUE EN AQUITAINE</t>
  </si>
  <si>
    <t>AQUITAINE PLONGEE SPORT NAUTIQUE APSN</t>
  </si>
  <si>
    <t>AQUITAINE PREFI-CRESS</t>
  </si>
  <si>
    <t>AQUITEC</t>
  </si>
  <si>
    <t>ARC EN REVE</t>
  </si>
  <si>
    <t>ARC'ANGECIEL VOYAGES</t>
  </si>
  <si>
    <t>ARCHIMUSE - BORDEAUX</t>
  </si>
  <si>
    <t>AREPT</t>
  </si>
  <si>
    <t>ART EN ACTION - TIC-TAC THEATRE</t>
  </si>
  <si>
    <t>ART EN PRODUCTION</t>
  </si>
  <si>
    <t>ART MEDIUM EN SCENES</t>
  </si>
  <si>
    <t>ART PASTEL</t>
  </si>
  <si>
    <t>ARTISANS DU MONDE BORDEAUX</t>
  </si>
  <si>
    <t>ARTS CROISES</t>
  </si>
  <si>
    <t>ARTS ET COMMUNICATION DU MONDE - ACM</t>
  </si>
  <si>
    <t>ARTS ET LETTRES DE FRANCE ASSOCIATION CULTURELLE INTERNATIONALE</t>
  </si>
  <si>
    <t>ARTS ET SCIENCES</t>
  </si>
  <si>
    <t>ARTS MARTIAUX ET BIEN ETRE</t>
  </si>
  <si>
    <t>ARTS MARTIAUX SHAOLIN BORDEAUX</t>
  </si>
  <si>
    <t>ARTS MARTIAUX TRADITIONNELS BORDELAIS</t>
  </si>
  <si>
    <t>ASAD DE BORDEAUX, ASSOCIATION SERVICES D’AIDE A DOMICILE DE BORDEAUX</t>
  </si>
  <si>
    <t>ASC BNP PARIBAS BX TT</t>
  </si>
  <si>
    <t>ASPER 33</t>
  </si>
  <si>
    <t>ASSOCIATION "LA BOULANGERIE"</t>
  </si>
  <si>
    <t>ASSOCIATION AFRICAN SOLIDARITE FRANCE (AASF)</t>
  </si>
  <si>
    <t>ASSOCIATION AMITIE LAO MEKONG DE LA GIRONDE</t>
  </si>
  <si>
    <t>ASSOCIATION AQUITAINE DE QUILLES FINLANDAISES (QUIF)</t>
  </si>
  <si>
    <t>ASSOCIATION ARTS &amp; RENCONTRES</t>
  </si>
  <si>
    <t>ASSOCIATION AUTONOME DES PARENTS D'ELEVES DE BORDEAUX : ECOLES JEAN COCTEAU</t>
  </si>
  <si>
    <t>ASSOCIATION BI-IZARRAK (LES DEUX ETOILES)</t>
  </si>
  <si>
    <t>ASSOCIATION BORDEAUX - USA</t>
  </si>
  <si>
    <t>ASSOCIATION BORDEAUX CULTURE GRAPPLING (ABC GRAPPLING)</t>
  </si>
  <si>
    <t>ASSOCIATION BORDEAUX QUINCONCES</t>
  </si>
  <si>
    <t>ASSOCIATION BORDEAUX-COMPOSTELLE HOSPITALITE SAINT-JACQUES</t>
  </si>
  <si>
    <t>ASSOCIATION BORDEAUX-TANESSE</t>
  </si>
  <si>
    <t>ASSOCIATION BORDELAISE DE TAEKWONDO INTERNATIONAL ATLANTICA</t>
  </si>
  <si>
    <t>ASSOCIATION BULGARE CULTURELLE - ABC</t>
  </si>
  <si>
    <t>ASSOCIATION COEXISTER</t>
  </si>
  <si>
    <t>ASSOCIATION COMUNIDAD</t>
  </si>
  <si>
    <t>ASSOCIATION CONTRE LA TUBERCULOSE ET LES MALADIES ENDEMIQUES - ACTUME</t>
  </si>
  <si>
    <t>ASSOCIATION COOPERATIVE DE L'INSTITUT UNIVERSITAIRE DE TECHNOLOGIE</t>
  </si>
  <si>
    <t>ASSOCIATION CREMATISTE DE LA GIRONDE</t>
  </si>
  <si>
    <t>ASSOCIATION CULTURE ET MUSIQUE DE L'ESTUAIRE - ACME</t>
  </si>
  <si>
    <t>ASSOCIATION CULTURELLE DES ALEVIS DE GIRONDE</t>
  </si>
  <si>
    <t>ASSOCIATION CULTURELLE DES ELEVES DU LYCEE MONTESQUIEU - ACELM</t>
  </si>
  <si>
    <t>ASSOCIATION CULTURELLE DES KABYLES DE BORDEAUX (ACKB)</t>
  </si>
  <si>
    <t>ASSOCIATION CULTURELLE DU MARCHE DES CHARTRONS</t>
  </si>
  <si>
    <t>ASSOCIATION D'AQUITAINE DES AMIS D'ALGERIANIE</t>
  </si>
  <si>
    <t>ASSOCIATION DAVID ET JONATHAN</t>
  </si>
  <si>
    <t>ASSOCIATION DE CARDIOLOGIE D'AQUITAINE</t>
  </si>
  <si>
    <t>ASSOCIATION DE DEFENSE DES INTERETS DU QUARTIER DE BACALAN - ADIQ</t>
  </si>
  <si>
    <t>ASSOCIATION DE DEFENSE DES MUSIQUES ALTERNATIVES EN AQUITAINE - ADMAA (ALLEZ LES FILLES)</t>
  </si>
  <si>
    <t>ASSOCIATION DE DEFENSE DES RESIDENTS DE LA GALERIE (ADREGA)</t>
  </si>
  <si>
    <t>ASSOCIATION DE DEVELOPPEMENT NATUREL (A.D.N.)</t>
  </si>
  <si>
    <t>ASSOCIATION DE FAMILLES DE TRAUMATISES CRANIENS AVENIR - AFTC AVENIR</t>
  </si>
  <si>
    <t>ASSOCIATION DE GESTION DES CENTRES PSYCHANALYTIQUES DE CONSULTATIONS ET DE TRAITEMENT (CPCT) D'AQUITAINE</t>
  </si>
  <si>
    <t>ASSOCIATION DE LA FONDATION ETUDIANTE POUR LA VILLE - AFEV</t>
  </si>
  <si>
    <t>ASSOCIATION DE LA RUE NOTRE DAME DES CHARTRONS</t>
  </si>
  <si>
    <t>ASSOCIATION DE L'AIDE FAMILIALE POPULAIRE - U.D.C.S.F.</t>
  </si>
  <si>
    <t>ASSOCIATION DE L'ECOLE COREENNE DE BORDEAUX - AECB</t>
  </si>
  <si>
    <t>ASSOCIATION DE LOCATAIRES SEM-LM</t>
  </si>
  <si>
    <t>ASSOCIATION DE MEDECINE PHYSIQUE ET READAPTATION D'AQUITAINE (AMPRA)</t>
  </si>
  <si>
    <t>ASSOCIATION DE PARENTS D'ELEVES DE L'ENSEIGNEMENT LIBRE SAINT-MICHEL/SAINT-GENES (APEL SAINT-MICHEL/SAINT-GENES)</t>
  </si>
  <si>
    <t>ASSOCIATION DE PATIENTS POUR LA PREVENTION LE TRAITEMENT ET LA LUTTE CONTRE LA MALADIE CHRONIQUE DE L'OBESITE ALOA)</t>
  </si>
  <si>
    <t>ASSOCIATION DE PREFIGURATION D’UNE PLATEFORME D’AQUITAINE POUR LE COMMERCE EQUITABLE (LA PLACE)</t>
  </si>
  <si>
    <t>ASSOCIATION DE PREFIGURATION DE LA COOPERATIVE DE PRESTATAIRES RESPONSABLES SUD-OUEST</t>
  </si>
  <si>
    <t>ASSOCIATION DE RIVERAINS BASTIDE-ID</t>
  </si>
  <si>
    <t>ASSOCIATION DE SOLIDARITE AVEC TOUS LES IMMIGRES - BORDEAUX (ASTI BORDEAUX)</t>
  </si>
  <si>
    <t>ASSOCIATION DE SOLIDARITE BORDEAUX</t>
  </si>
  <si>
    <t>ASSOCIATION DE SOPHROLOGIE EXISTENTIELLE DE BORDEAUX</t>
  </si>
  <si>
    <t>ASSOCIATION DE SOUTIEN AUX INVENTIONS LIBRES (ASIL)</t>
  </si>
  <si>
    <t>ASSOCIATION DEPARTEMENTALE APAJH DE LA GIRONDE</t>
  </si>
  <si>
    <t>ASSOCIATION DEPARTEMENTALE DE L'OFFICE CENTRAL DE LA COOPERATION A L'ECOLE DE LA GIRONDE - AD-OCCE</t>
  </si>
  <si>
    <t>ASSOCIATION DEPARTEMENTALE DES AMIS ET PARENTS DE PERSONNES HANDICAPEES MENTALES DE LA GIRONDE - LES PAPILLONS BLANCS (ADAPEI)</t>
  </si>
  <si>
    <t>ASSOCIATION DEPARTEMENTALE DES CONJOINTS SURVIVANTS ET PARENTS D'ORPHELINS DE LA GIRONDE - FAVEC 33</t>
  </si>
  <si>
    <t>ASSOCIATION DEPARTEMENTALE DES PARENTS D'ELEVES DE L'ENSEIGNEMENT PUBLIC DE LA GIRONDE - PEEP AD 33</t>
  </si>
  <si>
    <t>ASSOCIATION DES AMIS D'ELIANE LAVAIL</t>
  </si>
  <si>
    <t>ASSOCIATION DES AUDITEURS DE L'INSTITUT DES HAUTES ETUDES DE DEFENSE NATIONALE REGION AQUITAINE - AQUI IHEDN</t>
  </si>
  <si>
    <t>ASSOCIATION DES BROCANTEURS DES CHARTRONS - ABC</t>
  </si>
  <si>
    <t>ASSOCIATION DES CENTRES D'ANIMATION DE QUARTIERS DE BORDEAUX - ACAQB</t>
  </si>
  <si>
    <t>ASSOCIATION DES CITES DU SECOURS CATHOLIQUE - DELEGATION BORDEAUX</t>
  </si>
  <si>
    <t>ASSOCIATION DES COMMERCANTS BORDEAUX RIVE DROITE (BRD)</t>
  </si>
  <si>
    <t>ASSOCIATION DES COMMERCANTS CAUDERAN CENTRE</t>
  </si>
  <si>
    <t>ASSOCIATION DES COMMERCANTS DE LA BARRIERE JUDAIQUE</t>
  </si>
  <si>
    <t>ASSOCIATION DES COMMERCANTS DE LA RUE SAINT-SERNIN</t>
  </si>
  <si>
    <t>ASSOCIATION DES COMMERCANTS DE SAINT-AUGUSTIN</t>
  </si>
  <si>
    <t>ASSOCIATION DES COMMERCANTS DU GRAND PARC</t>
  </si>
  <si>
    <t>ASSOCIATION DES COMMERCANTS ET ARTISANS DU QUARTIER SAINT MICHEL</t>
  </si>
  <si>
    <t>ASSOCIATION DES COMMERCANTS ET ARTISANS DU QUARTIER STEHELIN</t>
  </si>
  <si>
    <t>ASSOCIATION DES COMMERCANTS ET ARTISANS LES BERGES DU LAC</t>
  </si>
  <si>
    <t>ASSOCIATION DES COMMERCANTS ET PROFESSIONNELS DE L'ART DE LA RUE BOUFFARD</t>
  </si>
  <si>
    <t>ASSOCIATION DES COMMERCANTS ET RIVERAINS DU QUARTIER VICTOIRE</t>
  </si>
  <si>
    <t>ASSOCIATION DES COMMERCANTS ORNANO - GAVINIES - St VICTOR</t>
  </si>
  <si>
    <t>ASSOCIATION DES COREENS DE BORDEAUX (ACB)</t>
  </si>
  <si>
    <t>ASSOCIATION DES DAMES DU CALVAIRE DE BORDEAUX - MAISON DE SANTE MARIE GALENE</t>
  </si>
  <si>
    <t>ASSOCIATION DES DONNEURS DE VOIX</t>
  </si>
  <si>
    <t>ASSOCIATION DES ECLAIREUSES ET ECLAIREURS DE FRANCE - REGION AQUITAINE</t>
  </si>
  <si>
    <t>ASSOCIATION DES ELEVES AVOCATS ALIENOR 2015 - ADEAA</t>
  </si>
  <si>
    <t>ASSOCIATION DES ELEVES INGENIEURS DE L'ECOLE NATIONALE SUPERIEURE DES ARTS ET METIERS CENTRE REGIONAL DE TALENCE - AE ENSAM</t>
  </si>
  <si>
    <t>ASSOCIATION DES ELEVES-AVOCATS ALIENOR 2016</t>
  </si>
  <si>
    <t>ASSOCIATION DES ETUDIANTS EN PSYCHOLOGIE DU TRAVAIL ET ERGONOMIE DES SYSTEMES</t>
  </si>
  <si>
    <t>ASSOCIATION DES ETUDIANTS REUNIONNAIS A BORDEAUX - AERB</t>
  </si>
  <si>
    <t>ASSOCIATION DES FAMILLES D'ENFANTS DE LA POSTE ET D'ORANGE - AFEH</t>
  </si>
  <si>
    <t>ASSOCIATION DES GROUPES BIBLIQUES ET UNIVERSITAIRES DE FRANCE - AGBUF-GBU</t>
  </si>
  <si>
    <t>ASSOCIATION DES GUIDES INTERPRETES ET CONFERENCIERS D'AQUITAINE - AGICA</t>
  </si>
  <si>
    <t>ASSOCIATION DES MAIRES DE LA GIRONDE</t>
  </si>
  <si>
    <t>ASSOCIATION DES MUSULMANS DE BORDEAUX NORD (A.M.B.N.)</t>
  </si>
  <si>
    <t>ASSOCIATION DES MUSULMANS DE LA GIRONDE</t>
  </si>
  <si>
    <t>ASSOCIATION DES ŒUVRES GIRONDINES DE PROTECTION DE L'ENFANCE</t>
  </si>
  <si>
    <t>ASSOCIATION DES PARALYSES DE FRANCE - APF</t>
  </si>
  <si>
    <t>ASSOCIATION DES PARENTS D'ELEVES DE L'ENSEIGNEMENT PUBLIC DU LYCEE CAMILLE JULLIAN</t>
  </si>
  <si>
    <t>ASSOCIATION DES PROFESSIONNELS AQUITAINS DE LA COMMUNICATION (APACOM)</t>
  </si>
  <si>
    <t>ASSOCIATION DES PSYCHOLOGUES ETUDIANTS (APE)</t>
  </si>
  <si>
    <t>ASSOCIATION DES PSYCHOMOTRICIENS DE LA GIRONDE</t>
  </si>
  <si>
    <t>ASSOCIATION DES RESIDENCES DE L'ILOT BONNAC</t>
  </si>
  <si>
    <t>ASSOCIATION DES RETRAITES IRSEA D'AQUITAINE (A.R.I.A.).</t>
  </si>
  <si>
    <t>ASSOCIATION DES RIVERAINS DE LA PLACE MITCHELL</t>
  </si>
  <si>
    <t>ASSOCIATION DES RIVERAINS DU QUARTIER ORNANO-GAVINIES</t>
  </si>
  <si>
    <t>ASSOCIATION DES STAGIAIRES ET ETUDIANTS CAMEROUNAIS DE BORDEAUX (ASECB)</t>
  </si>
  <si>
    <t>ASSOCIATION DU COMITE DES OEUVRES SOCIALES DES MUNICIPAUX DE BORDEAUX - ACOSMB</t>
  </si>
  <si>
    <t>ASSOCIATION DU LIEN INTERCULTUREL FAMILIAL ET SOCIAL - ALIFS</t>
  </si>
  <si>
    <t>ASSOCIATION DU PERSONNEL DE L'OPERA NATIONAL DE BORDEAUX</t>
  </si>
  <si>
    <t>ASSOCIATION DU SOUVENIR DES FUSILLES DE SOUGE</t>
  </si>
  <si>
    <t>ASSOCIATION DU VELO TOUTES VIGNES (AVTV)</t>
  </si>
  <si>
    <t>ASSOCIATION ECOPOLES</t>
  </si>
  <si>
    <t>ASSOCIATION EDUCATIVE D'INSERTION SOCIALE (AEIS)</t>
  </si>
  <si>
    <t>ASSOCIATION EMMAUS AQUITAINE BORDEAUX FONDATEUR ABBE PIERRE</t>
  </si>
  <si>
    <t>ASSOCIATION EMMAUS GIRONDE</t>
  </si>
  <si>
    <t>ASSOCIATION ETUDIANTE CULTURELLE BOIS DE ROSE</t>
  </si>
  <si>
    <t>ASSOCIATION FAMILIALE CATHOLIQUE BORDEAUX SAINTE-EULALIE VICTOIRE</t>
  </si>
  <si>
    <t>ASSOCIATION FAMILIALE LAIQUE DE BORDEAUX NORD - AFL</t>
  </si>
  <si>
    <t>ASSOCIATION FORMATION ET EDUCATION PERMANENTE DE TIVOLI - AFEPT</t>
  </si>
  <si>
    <t>ASSOCIATION FRANCAISE DE PERSONNES SOUFFRANT DE TROUBLES OBSESSIONNELS COMPULSIFS AFTOC</t>
  </si>
  <si>
    <t>ASSOCIATION FRANCAISE DES FUNDRAISERS - GROUPE AQUITAINE</t>
  </si>
  <si>
    <t>ASSOCIATION France - UKRAINE</t>
  </si>
  <si>
    <t>ASSOCIATION FRANCO-BRESILIENNE POUR LA RECHERCHE DE L'EQUILIBRE - AFBRE</t>
  </si>
  <si>
    <t>ASSOCIATION FRANCO-KURDE</t>
  </si>
  <si>
    <t>ASSOCIATION GENERALE DES INTERVENANTS RETRAITES POUR DES ACTIONS BENEVOLES DE COOPERATION ET DEVELOPPEMENT - AGIRabcd</t>
  </si>
  <si>
    <t>ASSOCIATION GENERALE DES LOCATAIRES</t>
  </si>
  <si>
    <t>ASSOCIATION GENERATION DUPATY</t>
  </si>
  <si>
    <t>ASSOCIATION GIRONDINE D'EDUCATION SPECIALISEE ET DE PREVENTION SOCIALE - AGEP</t>
  </si>
  <si>
    <t>ASSOCIATION GIRONDINE DES ACTIVITES PROTEGEES - SPORT - LOISIRS (AGAP - SPORT - LOISIRS)</t>
  </si>
  <si>
    <t>ASSOCIATION GOLF D'ENTREPRISES INTER-ENTREPRISES GOLF DE BORDEAUX - IEGB</t>
  </si>
  <si>
    <t>ASSOCIATION INTERNATIONALE POUR LA CULTURE, LE DEVELOPPEMENT ET LA PAIX (AICDP)</t>
  </si>
  <si>
    <t>ASSOCIATION INTERPROFESSIONNELLE BIO REGIONALE (AQUITAINE/LIMOUSIN/POITOU-CHARENTES OU EQUIVALENT)</t>
  </si>
  <si>
    <t>ASSOCIATION JEUNESSE FUTSAL (A.J.F.)</t>
  </si>
  <si>
    <t>ASSOCIATION LE MERLE MOQUEUR</t>
  </si>
  <si>
    <t>ASSOCIATION LE VILLAGE BORDEAUX SUD</t>
  </si>
  <si>
    <t>ASSOCIATION LEA - UNIVERSITE BORDEAUX MONTAIGNE</t>
  </si>
  <si>
    <t>ASSOCIATION LES CREANTS</t>
  </si>
  <si>
    <t>ASSOCIATION MALADIE CHRONIQUE SPORT BIEN ETRE</t>
  </si>
  <si>
    <t>ASSOCIATION MALINE</t>
  </si>
  <si>
    <t>ASSOCIATION MARIE DE LUZE</t>
  </si>
  <si>
    <t>ASSOCIATION MUSICALARUE</t>
  </si>
  <si>
    <t>ASSOCIATION NATIONALE DES AMIS DE JEAN MOULIN</t>
  </si>
  <si>
    <t>ASSOCIATION NATIONALE DES ANCIENS ET AMIS DE L'INDOCHINE ET DU SOUVENIR INDOCHINOIS</t>
  </si>
  <si>
    <t>ASSOCIATION NATIONALE DES MEMBRES DE L'ORDRE NATIONAL DU MERITE - SECTION DEPARTEMENTALE DE LA GIRONDE</t>
  </si>
  <si>
    <t>ASSOCIATION NATIONALE DES RETRAITES DE LA POSTE ET DE France TELECOM</t>
  </si>
  <si>
    <t>ASSOCIATION NATIONALE DES RETRAITES HOSPITALIERS</t>
  </si>
  <si>
    <t>ASSOCIATION NATIONALE DES VISITEURS DE PRISON - ANVP</t>
  </si>
  <si>
    <t>ASSOCIATION NATIONALE LE REFUGE</t>
  </si>
  <si>
    <t>ASSOCIATION NATIONALE POUR LES ENFANTS INTELLECTUELLEMENT PRECOCES DE L'AQUITAINE - ANPEIP</t>
  </si>
  <si>
    <t>ASSOCIATION OXYGENE</t>
  </si>
  <si>
    <t>ASSOCIATION PALLIA PLUS</t>
  </si>
  <si>
    <t>ASSOCIATION PAROLE BEGAIEMENT - APB - DELEGATION DEPARTEMENTALE</t>
  </si>
  <si>
    <t>ASSOCIATION PETITE ENFANCE ENFANCE ET FAMILLE - APEEF</t>
  </si>
  <si>
    <t>ASSOCIATION PITCHOUN</t>
  </si>
  <si>
    <t>ASSOCIATION POUR LA DEFENSE DE LA FAMILLE ET DE L'INDIVIDU (ADFI)</t>
  </si>
  <si>
    <t>ASSOCIATION POUR LA JEUNESSE, LES INITIATIVES ET LE RESEAU DE L'ENGAGEMENT - AJIRE</t>
  </si>
  <si>
    <t>ASSOCIATION POUR LA PROMOTION DES ARTISTES ET CULTURES DU MONDE APAC</t>
  </si>
  <si>
    <t>ASSOCIATION POUR LA READAPTATION ET L'INTEGRATION - ARI</t>
  </si>
  <si>
    <t>ASSOCIATION POUR LA RECHERCHE CLINIQUE DE BORDEAUX NORD - ARCBN</t>
  </si>
  <si>
    <t>ASSOCIATION POUR LA SURVEILLANCE DE LA QUALITE DE L'AIR EN AQUITAINE - AIRAQ</t>
  </si>
  <si>
    <t>ASSOCIATION POUR LA VALORISATION EN RELATION AVEC LES PROFESSIONNELS REGION AQUITAINE</t>
  </si>
  <si>
    <t>ASSOCIATION POUR L'ANIMATION ET LES LOISIRS DES PERSONNES AGEES - APALPA</t>
  </si>
  <si>
    <t>ASSOCIATION POUR LE DEVELOPPEMENT DES ACTIVITES PHYSIQUES ADAPTEES - ADAPA</t>
  </si>
  <si>
    <t>ASSOCIATION POUR LE DEVELOPPEMENT L'INSERTION ET L'ACCOMPAGNEMENT DES PERSONNES HANDICAPEES - ADIAPH</t>
  </si>
  <si>
    <t>ASSOCIATION POUR LE DON DE SANG BENEVOLE DE BORDEAUX ET ENVIRONS</t>
  </si>
  <si>
    <t>ASSOCIATION POUR LE DROIT A L'INITIATIVE ECONOMIQUE - ADIE</t>
  </si>
  <si>
    <t>ASSOCIATION POUR L'ENTRAIDE CONTRE LA RECHUTE DE DEPRESSION - AERD</t>
  </si>
  <si>
    <t>ASSOCIATION POUR L'ENVIRONNEMENT ET LA SECURITE EN AQUITAINE - APESA</t>
  </si>
  <si>
    <t>ASSOCIATION POUR LES FOUILLES ARCHEOLOGIQUES NATIONALES - AFAN</t>
  </si>
  <si>
    <t>ASSOCIATION POUR L'UNIFICATION DU DROIT DES AFFAIRES EN EUROPE (AUDE)</t>
  </si>
  <si>
    <t>ASSOCIATION PRENDRE SOIN DU LIEN - APSL</t>
  </si>
  <si>
    <t>ASSOCIATION PROMOTION INSERTION SPORT EN AQUITAINE - APIS</t>
  </si>
  <si>
    <t>ASSOCIATION PSYCHANALYTIQUE DES THERAPEUTES FAMILIAUX D'AQUITAINE - APSYFA</t>
  </si>
  <si>
    <t>ASSOCIATION REGIONALE DES DIPLOMES D'UNIVERSITE D'AQUITAINE - ARDUA</t>
  </si>
  <si>
    <t>ASSOCIATION RENAISSANCE DES CITES D'EUROPE</t>
  </si>
  <si>
    <t>ASSOCIATION RENOVATION</t>
  </si>
  <si>
    <t>ASSOCIATION REPUBLICAINE DES ANCIENS COMBATTANTS ET VICTIMES DE LA GUERRE - ARAC</t>
  </si>
  <si>
    <t>ASSOCIATION RUN FEMINA TOUR</t>
  </si>
  <si>
    <t>ASSOCIATION SOCIALE POUR L'EMPLOI - ASPE</t>
  </si>
  <si>
    <t>ASSOCIATION SOCIO CULTURELLE DE L'ECOLE DE REEDUCATION PROFESSIONNELLE - ASCERP</t>
  </si>
  <si>
    <t>ASSOCIATION SOCIO CULTURELLE LE TAYTA</t>
  </si>
  <si>
    <t>ASSOCIATION SOLIDARTE EMPLOI (ASE) - ADELPHE</t>
  </si>
  <si>
    <t>ASSOCIATION SPORTIVE BANQUE POPULAIRE DU SUD-OUEST</t>
  </si>
  <si>
    <t>ASSOCIATION SPORTIVE COLBERT ASC</t>
  </si>
  <si>
    <t>ASSOCIATION SPORTIVE CULTURELLE DU GAN (ASC GAN)</t>
  </si>
  <si>
    <t>ASSOCIATION SPORTIVE DE LA POLICE JUDICIAIRE DE BORDEAUX</t>
  </si>
  <si>
    <t>ASSOCIATION SPORTIVE DES ANCIENS ET AMIS DE L'ECOLE NORMALE D'INSTITUTEURS (ASAAENI)</t>
  </si>
  <si>
    <t>ASSOCIATION SPORTIVE DES SOURDS DE BORDEAUX - ASSB 33</t>
  </si>
  <si>
    <t>ASSOCIATION SPORTIVE DU BARREAU DE BORDEAUX</t>
  </si>
  <si>
    <t>ASSOCIATION SPORTIVE DU GOLF DE BORDEAUX LAC</t>
  </si>
  <si>
    <t>ASSOCIATION SPORTIVE ET CULTURELLE DE MAYOTTE</t>
  </si>
  <si>
    <t>ASSOCIATION SPORTIVE FC PORTO DE BORDEAUX</t>
  </si>
  <si>
    <t>ASSOCIATION SPORTIVE KASHIRA AIKIDO</t>
  </si>
  <si>
    <t>ASSOCIATION SPORTIVE KUNG-FU WUSHU DE BACALAN</t>
  </si>
  <si>
    <t>ASSOCIATION SPORTIVE LOVENTA AUTOMATIQUE</t>
  </si>
  <si>
    <t>ASSOCIATION SPORTIVE SALINIERES</t>
  </si>
  <si>
    <t>ASSOCIATION TERRITOIRES ET INNOVATION SOCIALE (ATIS)</t>
  </si>
  <si>
    <t>ASSOCIATION THEATR'ACTIF</t>
  </si>
  <si>
    <t>ASSOCIATION UNION BORDEAUX BEGLES</t>
  </si>
  <si>
    <t>ASSOCIATION UNION NATIONALE DES COMBATTANTS DE BORDEAUX-CENTRE</t>
  </si>
  <si>
    <t>ASSOCIATION VENEZUELA A BORDEAUX</t>
  </si>
  <si>
    <t>ASSOENCORE</t>
  </si>
  <si>
    <t>ASSOPOURQUOIPAS33</t>
  </si>
  <si>
    <t>ASTROLABE</t>
  </si>
  <si>
    <t>ATELIER 14 CENTRE DE PRATIQUES ARTISTIQUES ET DE RECHERCHES CHOREGRAPHIQUES - CIE ISABELLE CHEVEAU - VINCENT HARISDO</t>
  </si>
  <si>
    <t>ATELIER D’ASTROLOGIE D’AQUITAINE</t>
  </si>
  <si>
    <t>ATELIER D'ECO SOLIDAIRE</t>
  </si>
  <si>
    <t>ATELIER GRAPHITE</t>
  </si>
  <si>
    <t>ATELIER VOCAL D'AQUITAINE</t>
  </si>
  <si>
    <t>ATELIERS LIBRES D'AQUITAINE</t>
  </si>
  <si>
    <t>ATELIERS TLC</t>
  </si>
  <si>
    <t>ATLANTIC OLDTIMER.COM</t>
  </si>
  <si>
    <t>AU-DELA DES DUNES</t>
  </si>
  <si>
    <t>AUDITION ET ECOUTE 33 - ASSOCIATION DES PERSONNES ATTEINTES DE PATHOLOGIE AUDITIVE DE LA GIRONDE</t>
  </si>
  <si>
    <t>AUDITION SOLIDAIRE FRANCE SENEGAL</t>
  </si>
  <si>
    <t>AVANT GARDE ET JEANNE D'ARC DE BORDEAUX CAUDERAN - AGJA BORDEAUX CAUDERAN</t>
  </si>
  <si>
    <t>BACALAN TENNIS CLUB - BTC</t>
  </si>
  <si>
    <t>BADMINTON CLUB BARBEY</t>
  </si>
  <si>
    <t>BANQUE ALIMENTAIRE DE BORDEAUX ET DE LA GIRONDE</t>
  </si>
  <si>
    <t>BASTIDE BENAUGE FUTSAL</t>
  </si>
  <si>
    <t>BASTIDE EN SCENES</t>
  </si>
  <si>
    <t>BELLIBULLE</t>
  </si>
  <si>
    <t>BENEVOLES EN ACTION</t>
  </si>
  <si>
    <t>BIBLIOTHECA</t>
  </si>
  <si>
    <t>BIEN-ETRE &amp; BONHEUR DE VIVRE - BBV</t>
  </si>
  <si>
    <t>BIO D'AQUITAINE</t>
  </si>
  <si>
    <t>BIO'GUSTIN</t>
  </si>
  <si>
    <t>BOK DIEUF</t>
  </si>
  <si>
    <t>BORDEAUX 5 DE COEUR</t>
  </si>
  <si>
    <t>BORDEAUX ACCUEILLE</t>
  </si>
  <si>
    <t>BORDEAUX AQUITAINE AERONAUTIQUE ET SPATIAL</t>
  </si>
  <si>
    <t>BORDEAUX ATHLETIC CLUB</t>
  </si>
  <si>
    <t>BORDEAUX BACKGAMMON CLUB</t>
  </si>
  <si>
    <t>BORDEAUX BASTIDE BASKET</t>
  </si>
  <si>
    <t>BORDEAUX CAUDERAN BRIDGE CLUB (BCBC)</t>
  </si>
  <si>
    <t>BORDEAUX CHANSON</t>
  </si>
  <si>
    <t>BORDEAUX CITE TANGO BCT</t>
  </si>
  <si>
    <t>BORDEAUX CRITERIUM CYCLISTE INTERNATIONAL - BCCI</t>
  </si>
  <si>
    <t>BORDEAUX DANCE'IN CLUB</t>
  </si>
  <si>
    <t>BORDEAUX DEMAIN</t>
  </si>
  <si>
    <t>BORDEAUX ENTREPRENEURS</t>
  </si>
  <si>
    <t>BORDEAUX ETUDIANTS CLUB - BEC</t>
  </si>
  <si>
    <t>BORDEAUX FOOTBALL AMERICAIN - LES LIONS DE BORDEAUX</t>
  </si>
  <si>
    <t>BORDEAUX FUTSAL CLUB</t>
  </si>
  <si>
    <t>BORDEAUX GIRONDE INVESTISSEMENT</t>
  </si>
  <si>
    <t>BORDEAUX GRANDS EVENEMENTS (BGE)</t>
  </si>
  <si>
    <t>BORDEAUX INTER CHALLENGE - BIC</t>
  </si>
  <si>
    <t>BORD'EAUX LOISIR PECHE</t>
  </si>
  <si>
    <t>BORDEAUX MARITIME SAUVETAGE &amp; SECOURISME - BM2S</t>
  </si>
  <si>
    <t>BORDEAUX MAYOTTE 101</t>
  </si>
  <si>
    <t>BORDEAUX MERIGNAC VOLLEY</t>
  </si>
  <si>
    <t>BORDEAUX NIHONGO HOSHU JUGYOKO (ECOLE COMPLEMENTAIRE JAPONAISE DE BORDEAUX)</t>
  </si>
  <si>
    <t>BORDEAUX OPEN AIR</t>
  </si>
  <si>
    <t>BORDEAUX PALMES AVENTURE</t>
  </si>
  <si>
    <t>BORDEAUX ROCK</t>
  </si>
  <si>
    <t>BORDEAUX ROLLERBLADING ASSOCIATION - BRA</t>
  </si>
  <si>
    <t>BORDEAUX SPORTS</t>
  </si>
  <si>
    <t>BORDEAUX SPORTS DE GLACE</t>
  </si>
  <si>
    <t>BORDEAUX TEATRO ITALIANO BTI</t>
  </si>
  <si>
    <t>BORDEAUX WOMEN'S CLUB</t>
  </si>
  <si>
    <t>BORDEAUX Y NOV CAMPUS</t>
  </si>
  <si>
    <t>BORDEAUX YOUNG BUSINESS CLUB - BYBC</t>
  </si>
  <si>
    <t>BORDEAUX-BASTIDE-ESCRIME</t>
  </si>
  <si>
    <t>BORDEAUX-GIRONDE-QUEBEC</t>
  </si>
  <si>
    <t>BORDELAIS ASSOCIATIFS FALUCHARDS</t>
  </si>
  <si>
    <t>BOULEVARD DES POTES</t>
  </si>
  <si>
    <t>BOXING CLUB BACALANAIS</t>
  </si>
  <si>
    <t>BOXING CLUB BORDELAIS</t>
  </si>
  <si>
    <t>BRASS BAND BORGIAQ</t>
  </si>
  <si>
    <t>BREV’ART</t>
  </si>
  <si>
    <t>BRUIT DU FRIGO</t>
  </si>
  <si>
    <t>BURDIGALA CORPORATION</t>
  </si>
  <si>
    <t>BURDIGALA PHOTOS CLUB</t>
  </si>
  <si>
    <t>BURDIGALA SAVATE-CLUB</t>
  </si>
  <si>
    <t>C.F.A. - CENTRE DE FORMATION ADAGE</t>
  </si>
  <si>
    <t>C.O.D. FORMATION (FORMASUP CAMPUS)</t>
  </si>
  <si>
    <t>CAC33</t>
  </si>
  <si>
    <t>CAHIERS D'ARCHIVES</t>
  </si>
  <si>
    <t>CALICONTE</t>
  </si>
  <si>
    <t>CALK - COMITE D'ANIMATION LAFONTAINE KLEBER</t>
  </si>
  <si>
    <t>CANCER SUPPORT FRANCE BORDEAUX &amp; REGION (CSF BORDEAUX &amp; REGION)</t>
  </si>
  <si>
    <t>CAP AND CO</t>
  </si>
  <si>
    <t>CAP CARREIRE : CULTURES, ANIMATIONS ET PARTAGES</t>
  </si>
  <si>
    <t>CAP DE VIE</t>
  </si>
  <si>
    <t>CARABINS DE BORDEAUX</t>
  </si>
  <si>
    <t>CATHEDRA</t>
  </si>
  <si>
    <t>CDANSLABOITE</t>
  </si>
  <si>
    <t>CDISCOUNT@SPORT</t>
  </si>
  <si>
    <t>CENTRE ATLANTIC</t>
  </si>
  <si>
    <t>CENTRE CULTUREL TURC DE BORDEAUX ET SES ENVIRONS</t>
  </si>
  <si>
    <t>CENTRE D'ACCUEIL D'INFORMATION ET D'ORIENTATION - CAIO</t>
  </si>
  <si>
    <t>CENTRE D'ACTION ET DE PREVENTION CONTRE LA RADICALISATION LIEE A L'ISLAMISME (CAPRI)</t>
  </si>
  <si>
    <t>CENTRE DE LIAISON DES EQUIPES DE RECHERCHE, CLER AMOUR ET FAMILLES</t>
  </si>
  <si>
    <t>CENTRE DE MUSICOTHERAPIE DE LA GIRONDE</t>
  </si>
  <si>
    <t>CENTRE DE PREVENTION ET DE LOISIRS DES JEUNES DE BORDEAUX - CPLJ Bordeaux</t>
  </si>
  <si>
    <t>CENTRE DE RECHERCHE ET D'INFORMATION POUR LE DEVELOPPEMENT - CRID</t>
  </si>
  <si>
    <t>CENTRE DE RESSOURCES D'ECOLOGIE PEDAGOGIQUE D'AQUITAINE  - CREPAQ</t>
  </si>
  <si>
    <t>CENTRE DE SOPHROLOGIE DYNAMIQUE DE BORDEAUX</t>
  </si>
  <si>
    <t>CENTRE DE VOILE DE BORDEAUX-LAC</t>
  </si>
  <si>
    <t>CENTRE DES ETUDES DE LA REPUBLIQUE DEMOCRATIQUE</t>
  </si>
  <si>
    <t>CENTRE DES FESTIVALS FRANCE-RUSSIE</t>
  </si>
  <si>
    <t>CENTRE D'ETUDES DE L'AUTO CONNAISSANCE</t>
  </si>
  <si>
    <t>CENTRE D'INFORMATION JEUNESSE AQUITAINE - CIJA</t>
  </si>
  <si>
    <t>CENTRE D'INFORMATION METAPSYCHIQUE - CDIM</t>
  </si>
  <si>
    <t>CENTRE ENTREPRISE COMMUNICATION AVANCEE - CECA</t>
  </si>
  <si>
    <t>CENTRE JEAN VIGO EVENEMENTS</t>
  </si>
  <si>
    <t>CENTRE REGIONAL D'AQUITAINE D'ETUDES ET D'ACTIONS SUR LES HANDICAPS ET LES INADAPTATIONS - CREAHI</t>
  </si>
  <si>
    <t>CENTRE REGIONAL D'ECO-ENERGETIQUE D'AQUITAINE - CREAQ</t>
  </si>
  <si>
    <t>CENTRE SOCIAL ET FAMILIAL BORDEAUX NORD</t>
  </si>
  <si>
    <t>CERCLE BORDELAIS DE SANTE (C.B.S.)</t>
  </si>
  <si>
    <t>CERCLE D'AIDE A LA VIE PAR LA VOIE SPIRITUELLE-FRANCE</t>
  </si>
  <si>
    <t>CERCLE DES COIFFEURS CREATEURS</t>
  </si>
  <si>
    <t>CERCLE DES ESCRIMEURS BORDELAIS (CEB)</t>
  </si>
  <si>
    <t>CERCLE D'ETUDES ET DE CULTURE FRANÇAISES (CECF)</t>
  </si>
  <si>
    <t>CERCLE D'ETUDES RUSSES</t>
  </si>
  <si>
    <t>CERCLE JEAN BAPTISTE LYNCH</t>
  </si>
  <si>
    <t>CERCLE OENOPHILE AQUITAIN</t>
  </si>
  <si>
    <t>CERCLE PHILATELIQUE BORDEAUX AQUITAINE</t>
  </si>
  <si>
    <t>CERCLE POLITEIA</t>
  </si>
  <si>
    <t>CERCLE POLITZER</t>
  </si>
  <si>
    <t>C'EST PAR ISIC (INSTIUT DES SCIENCES DE L'INFORMATION ET DE LA COMMUNICATION)</t>
  </si>
  <si>
    <t>CHAHUTS</t>
  </si>
  <si>
    <t>CHAMBRE PROFESSIONNELLE DES AGENTS COMMERCIAUX DU SUD-OUEST</t>
  </si>
  <si>
    <t>CHANT LIBRE</t>
  </si>
  <si>
    <t>CHEMIN DES ETOILES - CDE</t>
  </si>
  <si>
    <t>CHEMINS DE VIES</t>
  </si>
  <si>
    <t>CHEVRE FOOTBALL CLUB - CFC</t>
  </si>
  <si>
    <t>CIMADE - SERVICE OECUMENIQUE D'ENTRAIDE</t>
  </si>
  <si>
    <t>CINERESEAUX</t>
  </si>
  <si>
    <t>CLAC</t>
  </si>
  <si>
    <t>CLAIR-OBSCUR</t>
  </si>
  <si>
    <t>CLUB « BON GOUT D'AQUITAINE »</t>
  </si>
  <si>
    <t>CLUB 41 FRANCAIS BORDEAUX N° 110</t>
  </si>
  <si>
    <t>CLUB 89</t>
  </si>
  <si>
    <t>CLUB AFRIQUE EN PERSPECTIVES</t>
  </si>
  <si>
    <t>CLUB ALPIN FRANCAIS DE BORDEAUX</t>
  </si>
  <si>
    <t>CLUB AMICAL CHAUFFOUR</t>
  </si>
  <si>
    <t>CLUB ATHLETIQUE DU PORT AUTONOME DE BORDEAUX</t>
  </si>
  <si>
    <t>CLUB ATHLETIQUE MUNICIPAL DE BORDEAUX - CAM</t>
  </si>
  <si>
    <t>CLUB BORDEAUX-CAMEROUN-FRANCE</t>
  </si>
  <si>
    <t>CLUB BORDELAIS DU CHOCOLAT "CHOCO PASSION"</t>
  </si>
  <si>
    <t>CLUB BOULISTE ALBERT 1er</t>
  </si>
  <si>
    <t>CLUB DE CANNE ET BATON D'AQUITAINE</t>
  </si>
  <si>
    <t>CLUB DE LA PRESSE DE BORDEAUX</t>
  </si>
  <si>
    <t>CLUB D'ENTREPRISES BORDEAUX EURATLANTIQUE</t>
  </si>
  <si>
    <t>CLUB DES ENTREPRISES DE BORDEAUX</t>
  </si>
  <si>
    <t>CLUB DES RANDONNEURS DU PYLA ET DU BASSIN D'ARCACHON</t>
  </si>
  <si>
    <t>CLUB D'EXPLORATION SOUS MARINE D'AQUITAINE - CESMA</t>
  </si>
  <si>
    <t>CLUB D'ULTIMATE DE BORDEAUX - 33 TOURS</t>
  </si>
  <si>
    <t>CLUB ERASMUS ET MUNDUS</t>
  </si>
  <si>
    <t>CLUB INDEPENDANT BORDELAIS</t>
  </si>
  <si>
    <t>CLUB PETANQUE GRAND PARC</t>
  </si>
  <si>
    <t>CLUB PHILOSOPHIQUE PENSEE ET AVENIR</t>
  </si>
  <si>
    <t>CLUB PYRENEES AQUITAINE, ASSOCIATION SPORTIVE, EDUCATIVE ET CULTURELLE</t>
  </si>
  <si>
    <t>COJEP BORDEAUX - CONSEIL POUR LA JUSTICE, L'EGALITE ET LA PAIX</t>
  </si>
  <si>
    <t>COLIBRI 33</t>
  </si>
  <si>
    <t>COLLECTIF 33 : LA SANTE UN DROIT POUR TOUS</t>
  </si>
  <si>
    <t>COLLECTIF BORDEAUX-MARINOPOLE</t>
  </si>
  <si>
    <t>COLLECTIF DE RESSOURCES BORDEAUX-NORD</t>
  </si>
  <si>
    <t>COLLECTIF DES ASSOCIATIONS D'OUTRE-MER EN AQUITAINE DIT C.A.O.M.A.</t>
  </si>
  <si>
    <t>COLLECTIF DES ORGANISATIONS DE SOLIDARITE INTERNATIONALE ISSUES DES MIGRATIONS EN AQUITAINE (COSIM AQUITAINE)</t>
  </si>
  <si>
    <t>COLLECTIF FETE DU JEU DE BORDEAUX</t>
  </si>
  <si>
    <t>COLLECTIF GIRONDIN DES ASSOCIATIONS AUTOUR DE L'AUTISME (CG3A)</t>
  </si>
  <si>
    <t>COLLECTIF MIXERATUM ERGO SUM</t>
  </si>
  <si>
    <t>COLORS INC</t>
  </si>
  <si>
    <t>COMENFRANCE</t>
  </si>
  <si>
    <t>COMITE ACTION PALESTINE</t>
  </si>
  <si>
    <t>COMITE AQUITAIN DE L'ASSOCIATION FRANCAISE DES HEMOPHILES</t>
  </si>
  <si>
    <t>COMITE BORDEAUX BRISTOL</t>
  </si>
  <si>
    <t>COMITE BORDEAUX SUD</t>
  </si>
  <si>
    <t>COMITE D'ANIMATION, DE BIENFAISANCE ET DE DEFENSE DES INTERETS DU QUARTIER NANSOUTY</t>
  </si>
  <si>
    <t>COMITE DE BIENFAISANCE ET DE DEFENSE DES INTERETS DU QUARTIER CAUDERAN-SUD</t>
  </si>
  <si>
    <t>COMITE DE DEFENSE DES INTERETS DES HABITANTS DU LOTISSEMENT JASMIN ET ANNEXES</t>
  </si>
  <si>
    <t>COMITE DE DEFENSE DES TAXIS DE LA GIRONDE</t>
  </si>
  <si>
    <t>COMITE DE L'ACCOMPAGNEMENT DE L'URBANISME, DE DEFENSE DE L'ENVIRONNEMENT ET DU RESPECT DE LA SECURITE - CAUDERES</t>
  </si>
  <si>
    <t>COMITE DE LIAISON DES ACTEURS DE LA PROMOTION DANS LE SUD-OUEST - CLAP SUD-OUEST</t>
  </si>
  <si>
    <t>COMITE DE QUARTIER DE CAUDERAN - CQC</t>
  </si>
  <si>
    <t>COMITE DE QUARTIER MARECHAUX/POINCARE</t>
  </si>
  <si>
    <t>COMITE DEPARTEMENTAL DE CYCLISME</t>
  </si>
  <si>
    <t>COMITE DEPARTEMENTAL DE L'UNION FRANÇAISE DES OEUVRES LAIQUES D'EDUCATION PHYSIQUE - UFOLEP</t>
  </si>
  <si>
    <t>COMITE DEPARTEMENTAL DE L'UNION SPORTIVE DE L'ENSEIGNEMENT DU PREMIER DEGRE DE LA GIRONDE - USEP 33</t>
  </si>
  <si>
    <t>COMITE DEPARTEMENTAL DE NATATION DE LA GIRONDE</t>
  </si>
  <si>
    <t>COMITE DEPARTEMENTAL DU SPORT ADAPTE DE LA GIRONDE (CDSA 33)</t>
  </si>
  <si>
    <t>COMITE DEPARTEMENTAL OLYMPIQUE ET SPORTIF DE LA GIRONDE</t>
  </si>
  <si>
    <t>COMITE DES FETES DE BACALAN, BLANQUI ET CLAVEAU</t>
  </si>
  <si>
    <t>COMITE D'ETUDE ET D'INFORMATION SUR LA DROGUE (PREVENTION ET TRAITEMENT DES TOXICOMANIES ET AUTRES ADDICTIONS),CEID-ADDICTIONS</t>
  </si>
  <si>
    <t>COMITE FEMININ GIRONDE POUR LA PREVENTION ET LE DEPISTAGE DES CANCERS</t>
  </si>
  <si>
    <t>COMITE GIRONDIN DE COURSE D'ORIENTATION</t>
  </si>
  <si>
    <t>COMITE MIRABEAU BORDELAIS 2017</t>
  </si>
  <si>
    <t>COMITE PALESTINE 33</t>
  </si>
  <si>
    <t>COMITE REGIONAL DES ASSOCIATIONS DE JEUNESSE ET D'EDUCATION POPULAIRE D'AQUITAINE (CRAJEP AQUITAINE)</t>
  </si>
  <si>
    <t>COMITE REGIONAL HANDISPORT D'AQUITAINE</t>
  </si>
  <si>
    <t>COMITE REPRESENTATIF DES IDENTITES SOURDES</t>
  </si>
  <si>
    <t>COMMANDERIE DU BONTEMPS MEDOC ET GRAVES - SAUTERNES ET BARSAC</t>
  </si>
  <si>
    <t>COMMUNAUTE CAMEROUNAISE DE BORDEAUX (CCB)</t>
  </si>
  <si>
    <t>COMMUNIC'ARTE</t>
  </si>
  <si>
    <t>COMPAGNIE DES MARCHES DE L'ETE</t>
  </si>
  <si>
    <t>COMPAGNIE DONC Y CHOCS</t>
  </si>
  <si>
    <t>COMPAGNIE ELVIRE 40</t>
  </si>
  <si>
    <t>COMPAGNIE EN APARTE</t>
  </si>
  <si>
    <t>COMPAGNIE INDIRA</t>
  </si>
  <si>
    <t>COMPAGNIE JEUNE TALENT</t>
  </si>
  <si>
    <t>COMPAGNIE LEITMOTIV</t>
  </si>
  <si>
    <t>COMPAGNIE PRESENCE MICHEL CAHUZAC</t>
  </si>
  <si>
    <t>COMPAGNIE REVOLUTION</t>
  </si>
  <si>
    <t>COMPETENCES EN TEMPS PARTAGE GUYENNE - CTP GUYENNE</t>
  </si>
  <si>
    <t>COMPTOIR DE LA CULTURE BRESILIENNE</t>
  </si>
  <si>
    <t>CONGRES ET EXPOSITIONS DE BORDEAUX</t>
  </si>
  <si>
    <t>CONSEIL DEPARTEMENTAL DE LA GIRONDE</t>
  </si>
  <si>
    <t>CONSEIL DEPARTEMENTAL DES ASSOCIATIONS FAMILIALES LAIQUES DE LA GIRONDE - CDAFAL 33</t>
  </si>
  <si>
    <t>CONSEIL DEPARTEMENTAL DES PARENTS D'ELEVES DES ECOLES PUBLIQUES DE LA GIRONDE</t>
  </si>
  <si>
    <t>CONVENTION DE LA DIASPORA GABONAISE</t>
  </si>
  <si>
    <t>COORDINATION POUR PROMOUVOIR LES COMPETENCES ET LE VOLONTARIAT AQUITAINE - CPCV AQUITAINE</t>
  </si>
  <si>
    <t>CORP'ART FRANCE</t>
  </si>
  <si>
    <t>COS VILLA PIA - EHPAD LES DAMES DE LA FOI</t>
  </si>
  <si>
    <t>COULEUR COREE</t>
  </si>
  <si>
    <t>COUP DE POUCE AVENIR</t>
  </si>
  <si>
    <t>CREASSEMBLE</t>
  </si>
  <si>
    <t>CRESUS GIRONDE</t>
  </si>
  <si>
    <t>CRISTINAREY</t>
  </si>
  <si>
    <t>CROISSANT FERTILE</t>
  </si>
  <si>
    <t>CROIX ROUGE FRANÇAISE - DELEGATION LOCALE</t>
  </si>
  <si>
    <t>CTE ETS SEXTANT AVIONIQUE</t>
  </si>
  <si>
    <t>CULTIV'ACTIONS</t>
  </si>
  <si>
    <t>CULTURE ET BIBLIOTHEQUES POUR TOUS</t>
  </si>
  <si>
    <t>CULTURE-S</t>
  </si>
  <si>
    <t>CULTURES DES ARTS CREOLES ET DU MONDE 33 (CACM33)</t>
  </si>
  <si>
    <t>DANSE AVEC NOUS</t>
  </si>
  <si>
    <t>DE VOLTES ET D'ASSAUTS</t>
  </si>
  <si>
    <t>DEALERS DE SCIENCE</t>
  </si>
  <si>
    <t>DEFENSE DE LA LANGUE FRANCAISE, ASSOCIATION DE BORDEAUX</t>
  </si>
  <si>
    <t>DES JARDINS, DES VOISINS</t>
  </si>
  <si>
    <t>DHAGPO BORDEAUX</t>
  </si>
  <si>
    <t>DIACONAT DE BORDEAUX</t>
  </si>
  <si>
    <t>DISCO SOUPE</t>
  </si>
  <si>
    <t>DISPARATE</t>
  </si>
  <si>
    <t>DIVAN D'OUEST</t>
  </si>
  <si>
    <t>DIVERSCITES</t>
  </si>
  <si>
    <t>DLIBERETS</t>
  </si>
  <si>
    <t>DOJO</t>
  </si>
  <si>
    <t>DOULEURS SANS FRONTIERES - DSF</t>
  </si>
  <si>
    <t>DRAG RACING TEAM - DRT</t>
  </si>
  <si>
    <t>DROLE DE SCENE</t>
  </si>
  <si>
    <t>DROP DE BETON</t>
  </si>
  <si>
    <t>D'SIGN</t>
  </si>
  <si>
    <t>DU CHIEN DANS LES DENTS</t>
  </si>
  <si>
    <t>DU SOLEIL DANS LES PIEDS</t>
  </si>
  <si>
    <t>DULCENE</t>
  </si>
  <si>
    <t>DV2G (THEATRE VICTOIRE)</t>
  </si>
  <si>
    <t>ECHIQUIER BORDELAIS</t>
  </si>
  <si>
    <t>ECLATS</t>
  </si>
  <si>
    <t>ECOLE CHINOISE DE BORDEAUX</t>
  </si>
  <si>
    <t>ECOLE DE CIRQUE DE BORDEAUX, CENTRE CULTUREL DES ARTS DU CIRQUE</t>
  </si>
  <si>
    <t>ECOLE DES GRANDS-PARENTS EUROPEENS BORDEAUX-GIRONDE - EGPE BORDEAUX-GIRONDE</t>
  </si>
  <si>
    <t>ECOLE ESSENTIALISTE</t>
  </si>
  <si>
    <t>ECOLE MUNICIPALE DE NATATION</t>
  </si>
  <si>
    <t>ECOUTE S'IL PLEUT</t>
  </si>
  <si>
    <t>ECOUTER SON CORPS</t>
  </si>
  <si>
    <t>EINAI</t>
  </si>
  <si>
    <t>EINSTEIN ON THE BEACH</t>
  </si>
  <si>
    <t>ELLES CONNECT</t>
  </si>
  <si>
    <t>EMULATION NAUTIQUE DE BORDEAUX</t>
  </si>
  <si>
    <t>EN MARCHE</t>
  </si>
  <si>
    <t>ENDOFRANCE</t>
  </si>
  <si>
    <t>ENFANCE ET FAMILLES D'ADOPTION DE LA GIRONDE - ASSOCIATION DES FOYERS ADOPTIFS DE LA GIRONDE (EFA 33)</t>
  </si>
  <si>
    <t>ENSEMBLE ORCHESTRAL MOLTO ASSAI</t>
  </si>
  <si>
    <t>ENSEMBLE OSKAR ALBERTO</t>
  </si>
  <si>
    <t>ENSEMBLE UN</t>
  </si>
  <si>
    <t>ENSEMBLE VOCAL JUBILATE</t>
  </si>
  <si>
    <t>ENTENTE DES GENERATIONS POUR L’EMPLOI ET L’ENTREPRISE - EGEE</t>
  </si>
  <si>
    <t>ENTRAIDE SCOLAIRE AMICALE (ESA)</t>
  </si>
  <si>
    <t>ENTREPRISE INTERMEDIAIRE DE PRODUCTION ET DE FORMATION - EIPF</t>
  </si>
  <si>
    <t>ENVOL D'AQUITAINE</t>
  </si>
  <si>
    <t>ESCALES LITTERAIRES BORDEAUX AQUITAINE</t>
  </si>
  <si>
    <t>ESCAPADES 33</t>
  </si>
  <si>
    <t>ESKUALDUNEN BILTZARRA - BORDELEKO ESKUAL ETXEA ou MAISON BASQUE DE BORDEAUX</t>
  </si>
  <si>
    <t>ESPACE DECOUVERTE MADAGASCAR</t>
  </si>
  <si>
    <t>ESPACE INTER HANDICAP EUROPEEN A HAUTEUR D'HOMME</t>
  </si>
  <si>
    <t>ESPACES MARX AQUITAINE BORDEAUX GIRONDE EXPLORER CONFRONTER INNOVER</t>
  </si>
  <si>
    <t>ESPOIR 33</t>
  </si>
  <si>
    <t>ESPRIT DE QUARTIER</t>
  </si>
  <si>
    <t>ESPRIT ETUDIANT-MONTESQUIEU</t>
  </si>
  <si>
    <t>ESSPLICITE</t>
  </si>
  <si>
    <t>ETUDIANTS MAROCAINS DE BORDEAUX - EMB</t>
  </si>
  <si>
    <t>ETUDIANTS MUSULMANS DE FRANCE BORDEAUX - EMF BORDEAUX</t>
  </si>
  <si>
    <t>EUROPEAN MENTORING &amp; COACHING COUNCIL, L'ASSOCIATION EUROPEENNE DE COACHING</t>
  </si>
  <si>
    <t>EURROM</t>
  </si>
  <si>
    <t>EXPLORER LE SENTIR</t>
  </si>
  <si>
    <t>FAIS UN VOEU MAKE-A -WISH ® FRANCE</t>
  </si>
  <si>
    <t>FAIT DE CI DE SOI</t>
  </si>
  <si>
    <t>FAMILLES EN GIRONDE - FEDERATION DE LA GIRONDE</t>
  </si>
  <si>
    <t>FC CARTES ET SERVICES</t>
  </si>
  <si>
    <t>FEDERATION ADDICTION</t>
  </si>
  <si>
    <t>FEDERATION ADMR GIRONDE</t>
  </si>
  <si>
    <t>FEDERATION DE LA GIRONDE POUR LA PECHE ET LA PROTECTION DU MILIEU AQUATIQUE (FDAAPPMA DE LA GIRONDE)</t>
  </si>
  <si>
    <t>FEDERATION DE PSYCHANALYSE CONTEMPORAINE - FPC</t>
  </si>
  <si>
    <t>FEDERATION DEPARTEMENTALE DU SECOURS POPULAIRE FRANCAIS</t>
  </si>
  <si>
    <t>FEDERATION DES ASSOCIATIONS FAMILIALES CATHOLIQUES - AFC</t>
  </si>
  <si>
    <t>FEDERATION DES DESIGNERS EN AQUITAINE (FDA)</t>
  </si>
  <si>
    <t>FEDERATION DES MANDATAIRES JUDICIAIRES INDEPENDANTS A LA PROTECTION DES MAJEURS AQUITAINE (FMJI AQUITAINE)</t>
  </si>
  <si>
    <t>FEDERATION DES RADIOS ASSOCIATIVES DE LA GIRONDE - FEDERA 33</t>
  </si>
  <si>
    <t>FEDERATION DES SOCIETES CARNAVALESQUES DE L'AGGLOMERATION BORDELAISE</t>
  </si>
  <si>
    <t>FEDERATION FRANCAISE DE NATATION</t>
  </si>
  <si>
    <t>FEDERATION FRANCAISE DES PSYCHOLOGUES ET DE PSYCHOLOGIE - FFPP</t>
  </si>
  <si>
    <t>FEDERATION GIRONDINE DE GENEALOGIE - FGG</t>
  </si>
  <si>
    <t>FEDERATION MUSULMANE DE LA GIRONDE</t>
  </si>
  <si>
    <t>FEDERATION NATIONALE D'AIDE AUX INSUFFISANTS RENAUX D'AQUITAINE - FNAIR AQUITANE</t>
  </si>
  <si>
    <t>FEDERATION NATIONALE DES SERVICES SOCIAUX SPECIALISES DE PROTECTION DE L'ENFANCE - FN3S</t>
  </si>
  <si>
    <t>FEDERATION POUR LA RECHERCHE SUR LE CERVEAU - CAMPAGNE DU NEURODON 2004</t>
  </si>
  <si>
    <t>FEDERATION REGIONALE DES DECORES DU TRAVAIL NOUVELLE-AQUITAINE (FRDT)</t>
  </si>
  <si>
    <t>FEDERATION SOS RACISME GIRONDE-AQUITAINE</t>
  </si>
  <si>
    <t>FEDERATION SYNDICALE UNITAIRE 33 - FSU 33</t>
  </si>
  <si>
    <t>FEMMES INTERNATIONALES MURS BRISES</t>
  </si>
  <si>
    <t>FENETRE SUR RUE</t>
  </si>
  <si>
    <t>FESTIVAL DES ARTS DE BORDEAUX</t>
  </si>
  <si>
    <t>FISH AND SHOES</t>
  </si>
  <si>
    <t>FITNESS FREESTYLE</t>
  </si>
  <si>
    <t>FOIRE AUX PLAISIRS DE BORDEAUX</t>
  </si>
  <si>
    <t>FONDA SUD-OUEST</t>
  </si>
  <si>
    <t>FONDATION D'AUTEUIL AQUITAINE</t>
  </si>
  <si>
    <t>FONDATION DU PATRIMOINE - DELEGATION AQUITAINE</t>
  </si>
  <si>
    <t>FONDATION MAISON DE LA GENDARMERIE</t>
  </si>
  <si>
    <t>FONDS REGIONAL D'ART CONTEMPORAIN - COLLECTION AQUITAINE</t>
  </si>
  <si>
    <t>FOOT BALL CLUB BORDEAUX AQUITAINE 33</t>
  </si>
  <si>
    <t>FOOT LOISIRS DOCKERS DE BORDEAUX</t>
  </si>
  <si>
    <t>FOOTBALL CLUB DE LA PRESSE BORDELAISE</t>
  </si>
  <si>
    <t>FOOTBALL CLUB DES GIRONDINS DE BORDEAUX - FCGB</t>
  </si>
  <si>
    <t>FOOTBALL-CLUB BORDEAUX OCEAN</t>
  </si>
  <si>
    <t>FOOTBALL-CLUB ROUGE</t>
  </si>
  <si>
    <t>FORCE FEMMES</t>
  </si>
  <si>
    <t>FORRO BORDEAUX</t>
  </si>
  <si>
    <t>FORUM DES CULTURES ET DES TRADITIONS</t>
  </si>
  <si>
    <t>FOYER FRATERNEL</t>
  </si>
  <si>
    <t>FOYER SOCIO-EDUCATIF DU COLLEGE ALAIN FOURNIER</t>
  </si>
  <si>
    <t>FRANCE ALZHEIMER GIRONDE</t>
  </si>
  <si>
    <t>FRANCE AMERIQUE LATINE COMITE BORDEAUX GIRONDE</t>
  </si>
  <si>
    <t>FRANCE BENEVOLAT BORDEAUX GIRONDE</t>
  </si>
  <si>
    <t>France PARKINSON</t>
  </si>
  <si>
    <t>FRANCE PLUS GIRONDE</t>
  </si>
  <si>
    <t>FRANCE PSORIASIS</t>
  </si>
  <si>
    <t>GABON, SOLIDARITE ET PAIX</t>
  </si>
  <si>
    <t>GARGANTUA</t>
  </si>
  <si>
    <t>GASP'ART</t>
  </si>
  <si>
    <t>GAZELLISSIMES</t>
  </si>
  <si>
    <t>GEAR LOCKER</t>
  </si>
  <si>
    <t>GEM "LES NEUROFESTIFS 33"</t>
  </si>
  <si>
    <t>GENERATIONS TAUZIN</t>
  </si>
  <si>
    <t>GIRONDE ROUMANIE ECHANGES ET CULTURE</t>
  </si>
  <si>
    <t>GIRONDINS DE BORDEAUX BASTIDE HANDBALL CLUB</t>
  </si>
  <si>
    <t>GIRONDINS DE BORDEAUX TIR</t>
  </si>
  <si>
    <t>GLOB THEATRE</t>
  </si>
  <si>
    <t>GP INTENCITE CENTRE SOCIAL ET CULTUREL DU GRAND PARC</t>
  </si>
  <si>
    <t>GRAIN DE SABLE</t>
  </si>
  <si>
    <t>GRAINES DE SOLIDARITE</t>
  </si>
  <si>
    <t>GRANDIR ENSEMBLE</t>
  </si>
  <si>
    <t>GROUPE ATTAC 33</t>
  </si>
  <si>
    <t>GROUPE D'ETUDE POUR L'INSERTION SOCIALE DES PERSONNES PORTEUSES D'UNE TRISOMIE 21 - GEIST 21</t>
  </si>
  <si>
    <t>GROUPE LOCAL ACTION DES CHRETIENS POUR L'ABOLITION DE LA TORTURE DE BORDEAUX</t>
  </si>
  <si>
    <t>GROUPE PASSERELLE</t>
  </si>
  <si>
    <t>GROUPE VOCAL ARPEGE DE BORDEAUX</t>
  </si>
  <si>
    <t>GROUPEMENT DES RETRAITES EDUCATEURS SANS FRONTIERES - GREF</t>
  </si>
  <si>
    <t>GROUPEMENT POUR L'INSERTION DES HANDICAPES PHYSIQUES D'AQUITAINE - GIHP AQUITAINE</t>
  </si>
  <si>
    <t>GUYENNE HANDI-NAGES</t>
  </si>
  <si>
    <t>GYMNASTIQUE VOLONTAIRE BORDEAUX BASTIDE</t>
  </si>
  <si>
    <t>GYMNASTIQUE VOLONTAIRE BORDEAUX LOUCHEUR</t>
  </si>
  <si>
    <t>GYMNASTIQUE VOLONTAIRE CHAUFFOUR</t>
  </si>
  <si>
    <t>GYMNASTIQUE VOLONTAIRE LESCURE</t>
  </si>
  <si>
    <t>GYMNASTIQUE VOLONTAIRE PERGOLA STEHELIN</t>
  </si>
  <si>
    <t>GYMNASTIQUE VOLONTAIRE QUARTIER ST NICOLAS</t>
  </si>
  <si>
    <t>H NORD ECOQUARTIER DE BORDEAUX - H NORD</t>
  </si>
  <si>
    <t>HABAD LOUBAVITCH BORDEAUX</t>
  </si>
  <si>
    <t>HABITAT ET HUMANISME GIRONDE - HH33</t>
  </si>
  <si>
    <t>HABITATS JEUNES SIMONE NOAILLES</t>
  </si>
  <si>
    <t>HAITI EN VIE</t>
  </si>
  <si>
    <t>HALEIWA</t>
  </si>
  <si>
    <t>HANDICAP INTERNATIONAL</t>
  </si>
  <si>
    <t>HANDISPORT 33 AMICALE SPORTIVE DES HANDICAPES PHYSIQUES D'AQUITAINE - ASHPA</t>
  </si>
  <si>
    <t>HARMONIE STRETCH ET DETENTE</t>
  </si>
  <si>
    <t>HISTOIRE(S) DE LA BASTIDE</t>
  </si>
  <si>
    <t>HOCKEY GARONNE SPORT</t>
  </si>
  <si>
    <t>HORS BORD</t>
  </si>
  <si>
    <t>ICRONOS</t>
  </si>
  <si>
    <t>IDEH - INITIATIVES POUR LE DEVELOPPEMENT HUMAIN</t>
  </si>
  <si>
    <t>ILOT DES MOTS</t>
  </si>
  <si>
    <t>IMAGINA MUSIC</t>
  </si>
  <si>
    <t>IMPACTS AQUITAINE</t>
  </si>
  <si>
    <t>INNER WHEEL CLUB DE BORDEAUX MEDOC</t>
  </si>
  <si>
    <t>INSTANCE REGIONALE D'EDUCATION ET DE PROMOTION DE LA SANTE NOUVELLE-AQUITAINE (IREPS NOUVELLE-AQUITAINE)</t>
  </si>
  <si>
    <t>INSTANTS BORDELAIS</t>
  </si>
  <si>
    <t>INSTITUT BERGONIE</t>
  </si>
  <si>
    <t>INSTITUT DE FORMATION ET D'APPUI AUX INITIATIVES DE DEVELOPPEMENT - IFAID AQUITAINE</t>
  </si>
  <si>
    <t>INSTITUT DE JOURNALISME BORDEAUX AQUITAINE</t>
  </si>
  <si>
    <t>INSTITUT DES CONDUITES ALIMENTAIRES (ICAL)</t>
  </si>
  <si>
    <t>INSTITUT MACONNIQUE D'AQUITAINE</t>
  </si>
  <si>
    <t>INSTITUT MEDICO-PEDAGOGIQUE SAINT JOSEPH</t>
  </si>
  <si>
    <t>INSTITUT REGIONAL DES SOURDS ET DES AVEUGLES - IRSA</t>
  </si>
  <si>
    <t>INTERLUDE</t>
  </si>
  <si>
    <t>INTERNATIONAL CLUB OF BORDEAUX (ICB)</t>
  </si>
  <si>
    <t>IPPO (INFORMATION, PREVENTION, PROXIMITE, ORIENTATION)</t>
  </si>
  <si>
    <t>IRON SPORT BORDEAUX</t>
  </si>
  <si>
    <t>ITAL'ICI</t>
  </si>
  <si>
    <t>ITINERAIRES DES PHOTOGRAPHES VOYAGEURS</t>
  </si>
  <si>
    <t>JARDIN ET ECOTOURISME</t>
  </si>
  <si>
    <t>JE CHERCHE UN JOB</t>
  </si>
  <si>
    <t>JETER L'ENCRE</t>
  </si>
  <si>
    <t>JEUNE ACADEMIE VOCALE D'AQUITAINE</t>
  </si>
  <si>
    <t>JEUNE BALLET D AQUITAINE</t>
  </si>
  <si>
    <t>JEUNES MUSULMANS DE LA GIRONDE - JMG</t>
  </si>
  <si>
    <t>JEUNES SCIENCE BORDEAUX</t>
  </si>
  <si>
    <t>JUDO CLUB BACALANAIS</t>
  </si>
  <si>
    <t>JUDO-CLUB GIRONDIN OMNISPORTS</t>
  </si>
  <si>
    <t>KALINA'GO</t>
  </si>
  <si>
    <t>KAN-KRA TEAM</t>
  </si>
  <si>
    <t>KARAVAN BORDELAISE</t>
  </si>
  <si>
    <t>KAZ ANANDA</t>
  </si>
  <si>
    <t>KEEP A BREAST EUROPE FOUNDATION</t>
  </si>
  <si>
    <t>KI E KI</t>
  </si>
  <si>
    <t>KILOMBO KINTWADI</t>
  </si>
  <si>
    <t>KINO SESSION</t>
  </si>
  <si>
    <t>KPOP DANCE MOVE BORDEAUX - KDM BORDEAUX</t>
  </si>
  <si>
    <t>KUNG-FU WUSHU ACADEMIE (KFWA)</t>
  </si>
  <si>
    <t>L’ASSOCIATION POUR LE MAINTIEN DE L’AGRICULTURE PAYSANNE DITE "L’AMAP CAUDERANAISE"</t>
  </si>
  <si>
    <t>LA BELLE ESTAMPE</t>
  </si>
  <si>
    <t>LA CABANE A GRATTER</t>
  </si>
  <si>
    <t>LA CHAMBRE BLEUE</t>
  </si>
  <si>
    <t>LA CIGOGNE</t>
  </si>
  <si>
    <t>LA CLE DU QUAI</t>
  </si>
  <si>
    <t>LA COMPAGNIE "LES FOUS DE LA RAMPE"</t>
  </si>
  <si>
    <t>LA COMPAGNIE CHRONIQUE</t>
  </si>
  <si>
    <t>LA COMPAGNIE DES FIGURES</t>
  </si>
  <si>
    <t>LA COMPAGNIE DES PETITES SECOUSSES</t>
  </si>
  <si>
    <t>LA COMPAGNIE GARONOTES</t>
  </si>
  <si>
    <t>L'A COSMOPOLITAINE « COSMODANCE »</t>
  </si>
  <si>
    <t>LA COUR DES ENFANTS</t>
  </si>
  <si>
    <t>LA DAME A LA LICORNE</t>
  </si>
  <si>
    <t>LA FABRIQUE POLA</t>
  </si>
  <si>
    <t>LA FLECHE DE BORDEAUX</t>
  </si>
  <si>
    <t>LA GALERIE EPHEMERE</t>
  </si>
  <si>
    <t>LA GYM SUEDOISE BORDEAUX</t>
  </si>
  <si>
    <t>LA HALLE DES DOUVES</t>
  </si>
  <si>
    <t>LA HOULETTE</t>
  </si>
  <si>
    <t>LA MAIN A L’OREILLE</t>
  </si>
  <si>
    <t>LA MAISON DE MARIE</t>
  </si>
  <si>
    <t>LA MAISON DES FAMILLES DE BORDEAUX</t>
  </si>
  <si>
    <t>LA MANIF POUR TOUS 33</t>
  </si>
  <si>
    <t>LA MANNE EUROPE</t>
  </si>
  <si>
    <t>LA MANUFACTURE ATLANTIQUE</t>
  </si>
  <si>
    <t>LA MARGE ROUSSE</t>
  </si>
  <si>
    <t>LA MARMAILLE</t>
  </si>
  <si>
    <t>LA MEMOIRE DE BORDEAUX METROPOLE</t>
  </si>
  <si>
    <t>LA MOBYLETTE</t>
  </si>
  <si>
    <t>LA NUIT VENUE</t>
  </si>
  <si>
    <t>LA PARENTELE</t>
  </si>
  <si>
    <t>LA PLUME ET L'OREILLE</t>
  </si>
  <si>
    <t>LA PORTE OUVERTE DE BORDEAUX</t>
  </si>
  <si>
    <t>LA PREVENTION ROUTIERE</t>
  </si>
  <si>
    <t>LA REVERB'</t>
  </si>
  <si>
    <t>LA RONDE DES QUARTIERS DE BORDEAUX</t>
  </si>
  <si>
    <t>LA ROUTE DES VINS - ECOLE DE COMMERCE EUROPEENNE</t>
  </si>
  <si>
    <t>LA TRIBALE DEMARCHE</t>
  </si>
  <si>
    <t>LABE'ART</t>
  </si>
  <si>
    <t>LACLE - LA MAISON DES PARENTS ET DES MINEURS</t>
  </si>
  <si>
    <t>LADAPT LIGUE ADAPTATION DIMINUES PHYSIQUE AU TRAVAIL</t>
  </si>
  <si>
    <t>LADIES' CIRCLE BORDEAUX 20</t>
  </si>
  <si>
    <t>LAFEDERATION 33</t>
  </si>
  <si>
    <t>L'AGENCE CREATIVE</t>
  </si>
  <si>
    <t>L'AGENCE DE GEOGRAPHIE AFFECTIVE</t>
  </si>
  <si>
    <t>L'AMICALE DES CHINOIS DU SUD-OUEST (ADCSO)</t>
  </si>
  <si>
    <t>L'ASSOCIATION DES BISSAU-GUINEENS</t>
  </si>
  <si>
    <t>L'ASSOCIATION SLAVE</t>
  </si>
  <si>
    <t>L'ASSOS DIET</t>
  </si>
  <si>
    <t>L'ATELIER BUDGETAIRE</t>
  </si>
  <si>
    <t>L'ATELIER CHOREGRAPHIQUE</t>
  </si>
  <si>
    <t>L'ATELIER REMUMENAGE</t>
  </si>
  <si>
    <t>L'ATELIER VIDEO PIRATE</t>
  </si>
  <si>
    <t>L'ATEUL</t>
  </si>
  <si>
    <t>LATINO MEX BORDEAUX</t>
  </si>
  <si>
    <t>L'AUTRE - ASSOCIATION DES ETUDIANTS EN ANTHROPOLOGIE SOCIALE ET CULTURELLE</t>
  </si>
  <si>
    <t>LAXMI GIRONDE</t>
  </si>
  <si>
    <t>LE 4 DE BORDEAUX</t>
  </si>
  <si>
    <t>LE CANNELE D'ADRESSES</t>
  </si>
  <si>
    <t>LE CHAINON MANQUANT</t>
  </si>
  <si>
    <t>LE CHOEUR DES ECLUSES</t>
  </si>
  <si>
    <t>LE CHOEUR VOYAGEUR</t>
  </si>
  <si>
    <t>LE FESTIN</t>
  </si>
  <si>
    <t>LE GIROFARD</t>
  </si>
  <si>
    <t>LE KFE DES FAMILLES</t>
  </si>
  <si>
    <t>LE KIOSQUE CULTURE</t>
  </si>
  <si>
    <t>LE LABO DES HISTOIRES section Sud-Atlantique</t>
  </si>
  <si>
    <t>LE LABO DES LETTRES</t>
  </si>
  <si>
    <t>LE LABO, REVELATEUR D'IMAGES</t>
  </si>
  <si>
    <t>LE LYS ET LE LEOPARD</t>
  </si>
  <si>
    <t>LE PETIT INSTITUT DE CHINE : ECOLE D'ARTS MARTIAUX ET CULTURE CHINOISE</t>
  </si>
  <si>
    <t>LE POQUELIN THEATRE</t>
  </si>
  <si>
    <t>LE P'TIT BOUT DE QUARTIER</t>
  </si>
  <si>
    <t>LE RELAIS GIRONDE</t>
  </si>
  <si>
    <t>LE SPORTING-CLUB DE LA BASTIDIENNE</t>
  </si>
  <si>
    <t>LE THEATRE DES EGREGORES</t>
  </si>
  <si>
    <t>LEGATO CIE</t>
  </si>
  <si>
    <t>LEO CLUB BORDEAUX INTERNATIONAL - LBI</t>
  </si>
  <si>
    <t>L'EPICERIE</t>
  </si>
  <si>
    <t>L'ERE H</t>
  </si>
  <si>
    <t>LES AMIS AQUITAINS DES SEMAINES SOCIALES DE France</t>
  </si>
  <si>
    <t>LES AMIS DE BORDEAUX-SUD</t>
  </si>
  <si>
    <t>LES AMIS DE LA RUE KLEBER</t>
  </si>
  <si>
    <t>LES AMIS DE LA TERRE GIRONDE</t>
  </si>
  <si>
    <t>LES AMIS DE SAINTE GENEVIEVE (ASG)</t>
  </si>
  <si>
    <t>LES AMIS DE SUPERCOOP</t>
  </si>
  <si>
    <t>LES AMIS DU GRAND THEATRE - OPERA DE BORDEAUX</t>
  </si>
  <si>
    <t>LES ANCIENS DE BACALAN CLAVEAU</t>
  </si>
  <si>
    <t>LES ANNALES DE L'ESPRIT</t>
  </si>
  <si>
    <t>LES ARCHERS DE GUYENNE</t>
  </si>
  <si>
    <t>LES BORDELUCHES</t>
  </si>
  <si>
    <t>LES BRUITS DE LA RUE</t>
  </si>
  <si>
    <t>LES CLOWNS STETHOSCOPES</t>
  </si>
  <si>
    <t>LES COLCHIQUES DE CONDORCET</t>
  </si>
  <si>
    <t>LES COQS ROUGES</t>
  </si>
  <si>
    <t>LES COQUELICOTS</t>
  </si>
  <si>
    <t>LES COUCOUS</t>
  </si>
  <si>
    <t>LES DOSSIERS D'AQUITAINE ET D'AILLEURS</t>
  </si>
  <si>
    <t>LES ENTREPRENEURS ET DIRIGEANTS CHRETIENS</t>
  </si>
  <si>
    <t>LES FEES REIKI</t>
  </si>
  <si>
    <t>LES FEES RUE</t>
  </si>
  <si>
    <t>LES FILLES D'A COTE</t>
  </si>
  <si>
    <t>LES GIRONDINS DE BORDEAUX</t>
  </si>
  <si>
    <t>LES GOUPILS</t>
  </si>
  <si>
    <t>LES HABITANTS ET RIVERAINS DU QUARTIER SAINT-GENES-BOURSE DU TRAVAIL - COSTEDOAT</t>
  </si>
  <si>
    <t>LES IMPROVISATEURS ANONYMES</t>
  </si>
  <si>
    <t>LES INDEPENDANTS PLASTICIENS DE BORDEAUX</t>
  </si>
  <si>
    <t>LES INSTRUMENTS ANCIENS DE BORDEAUX</t>
  </si>
  <si>
    <t>LES JARDINS D'AUJOURD'HUI</t>
  </si>
  <si>
    <t>LES JEUNES DE SAINT AUGUSTIN - JSA</t>
  </si>
  <si>
    <t>LES JOIES HUMAINES</t>
  </si>
  <si>
    <t>LES LEOPARDS DE GUYENNE</t>
  </si>
  <si>
    <t>LES MORPHOGENISTES</t>
  </si>
  <si>
    <t>LES MUSCLES BORDELAIS</t>
  </si>
  <si>
    <t>LES PETITS DEBROUILLARDS AQUITAINE</t>
  </si>
  <si>
    <t>LES PETITS FRERES DES PAUVRES DE BORDEAUX</t>
  </si>
  <si>
    <t>LES PETITS TRETEAUX</t>
  </si>
  <si>
    <t>LES PINSONS</t>
  </si>
  <si>
    <t>LES PRODUCTIONS DE L'ANGE</t>
  </si>
  <si>
    <t>LES P'TITS GRATTEURS</t>
  </si>
  <si>
    <t>LES RIVERAINS DU STADE PROMIS</t>
  </si>
  <si>
    <t>LES ROSES DE DAMAS</t>
  </si>
  <si>
    <t>LES SURPRISES</t>
  </si>
  <si>
    <t>LES VAILLANTS DE SAINT SEURIN</t>
  </si>
  <si>
    <t>LES VIVRES DE L'ART</t>
  </si>
  <si>
    <t>LES Z'ARPETES</t>
  </si>
  <si>
    <t>LESBIAN &amp; GAY PRIDE BORDEAUX DITE AUSSI LGP BORDEAUX</t>
  </si>
  <si>
    <t>L'ESPRIT DU PIANO</t>
  </si>
  <si>
    <t>L'ESTEY</t>
  </si>
  <si>
    <t>LETTRES DU MONDE</t>
  </si>
  <si>
    <t>LIBRE PENSEE</t>
  </si>
  <si>
    <t>LICHORE</t>
  </si>
  <si>
    <t>LIGUE CONTRE LE CANCER</t>
  </si>
  <si>
    <t>LIGUE D'AQUITAINE DE HANDBALL</t>
  </si>
  <si>
    <t>LIGUE D'AQUITAINE DE VOLLEY BALL</t>
  </si>
  <si>
    <t>LIGUE DE L'ENSEIGNEMENT</t>
  </si>
  <si>
    <t>LIGUE FRANÇAISE POUR LA DEFENSE DES DROITS DE L'HOMME ET DU CITOYEN (LDH) ET LIGUE DES DROITS DE L'HOMME</t>
  </si>
  <si>
    <t>LIGUE INTERNATIONALE CONTRE LE RACISME ET L'ANTISEMITISME - SECTION BORDEAUX &amp; GIRONDE - LICRA</t>
  </si>
  <si>
    <t>LIGUE NATIONAL DE RUGBY</t>
  </si>
  <si>
    <t>L'INSTITUT BORDELAIS DE STYLISME MODELISME</t>
  </si>
  <si>
    <t>LIONS BORDEAUX SAINT AUGUSTIN</t>
  </si>
  <si>
    <t>LIONS CLUB BORDEAUX - EUROPE - DISTRICT 103 SUD-OUEST</t>
  </si>
  <si>
    <t>LIONS CLUB BORDEAUX LE BOUSCAT</t>
  </si>
  <si>
    <t>LIONS CLUB BORDEAUX RIVE-GAUCHE</t>
  </si>
  <si>
    <t>LIONS CLUB BORDEAUX TOURNY</t>
  </si>
  <si>
    <t>LIONS CLUB DE BORDEAUX LA FAYETTE</t>
  </si>
  <si>
    <t>LIONS-CLUB DE BORDEAUX CAUDERAN</t>
  </si>
  <si>
    <t>L'OLYMPIQUE-CLUB BORDELAIS - OCB</t>
  </si>
  <si>
    <t>L'ORANGEADE</t>
  </si>
  <si>
    <t>LOS TREINTA Y TRES</t>
  </si>
  <si>
    <t>L'OSTAU OCCITAN</t>
  </si>
  <si>
    <t>L'OUMIGMAG</t>
  </si>
  <si>
    <t>LOUONS L'ETERNEL</t>
  </si>
  <si>
    <t>LUDOLUDIK</t>
  </si>
  <si>
    <t>LUNA D'AIGA</t>
  </si>
  <si>
    <t>LUPUS DE FRANCE</t>
  </si>
  <si>
    <t>MACCABI SPORTS DE BORDEAUX</t>
  </si>
  <si>
    <t>MADE IN MOVEMENT</t>
  </si>
  <si>
    <t>MAGNETOGRAMMES ASSOCIATION</t>
  </si>
  <si>
    <t>MAISON D'ALGERIE EN AQUITAINE</t>
  </si>
  <si>
    <t>MAISON DE LA NATURE ET DE L'ENVIRONNEMENT</t>
  </si>
  <si>
    <t>MAISON DE L'EUROPE BORDEAUX-AQUITAINE (MEBA)</t>
  </si>
  <si>
    <t>MAISON DE L'INITIATIVE ET DE L'ENTREPRENEURIAT - MIE</t>
  </si>
  <si>
    <t>MAISON DES ADOLESCENTS DE LA GIRONDE</t>
  </si>
  <si>
    <t>MAISON DES FEMMES DE BORDEAUX</t>
  </si>
  <si>
    <t>MAISON DES JEUNES ET DE LA CULTURE CENTRE DE LOISIRS DES DEUX VILLES - MJC CL2V</t>
  </si>
  <si>
    <t>MAISON DES METIERS DE L'IMPRIMERIE</t>
  </si>
  <si>
    <t>MAISON DES SOURDS DE LA GIRONDE - MS 33</t>
  </si>
  <si>
    <t>MAISON DUPEUX</t>
  </si>
  <si>
    <t>MAJ</t>
  </si>
  <si>
    <t>MAM'OURS</t>
  </si>
  <si>
    <t>MANA</t>
  </si>
  <si>
    <t>MANDORA</t>
  </si>
  <si>
    <t>MANTA PLONGEE</t>
  </si>
  <si>
    <t>MARATHON JOB EUROPA</t>
  </si>
  <si>
    <t>MAROC, DEVOIRS ET DROITS</t>
  </si>
  <si>
    <t>MASCARETS</t>
  </si>
  <si>
    <t>MAWA DE GIRONDE</t>
  </si>
  <si>
    <t>MBOLO ASSOCIATION DES GABONAIS DE LA GIRONDE</t>
  </si>
  <si>
    <t>MEDECINS DU MONDE</t>
  </si>
  <si>
    <t>MELTING SIGNES</t>
  </si>
  <si>
    <t>MENSA AQUITAINE</t>
  </si>
  <si>
    <t>MERCI GERTRUDE</t>
  </si>
  <si>
    <t>MHIGE INSEEC - MISSION INTER GRANDES ECOLES DE L'INSEEC</t>
  </si>
  <si>
    <t>MIGRATIONS CULTURELLES AQUITAINE - AFRIQUES (MC2A)</t>
  </si>
  <si>
    <t>MINE DE RIEN</t>
  </si>
  <si>
    <t>MIRAIL INFORMATIQUE</t>
  </si>
  <si>
    <t>MISSION LOCALE BORDEAUX AVENIR JEUNES</t>
  </si>
  <si>
    <t>MOI NON PLUS</t>
  </si>
  <si>
    <t>MONTS ET MERVEILLES</t>
  </si>
  <si>
    <t>MOTO CLUB HEXAGON BORDEAUX</t>
  </si>
  <si>
    <t>MOTS ET MATIERES(S)</t>
  </si>
  <si>
    <t>MOUVEMENT ATD QUART MONDE</t>
  </si>
  <si>
    <t>MOUVEMENT ETUDIANT REPUBLICAIN POUR LE DEBAT ET L'ENGAGEMENT</t>
  </si>
  <si>
    <t>MOUVEMENT EUROPEEN FRANCE-GIRONDE</t>
  </si>
  <si>
    <t>MOUVEMENT FRANCAIS POUR LE PLANNING FAMILIAL - ASSOCIATION DEPARTEMENTALE DE LA GIRONDE</t>
  </si>
  <si>
    <t>MUSICA IN CATHEDRA</t>
  </si>
  <si>
    <t>MUSIC'S COOL</t>
  </si>
  <si>
    <t>MUSIQUE MUNICIPALE</t>
  </si>
  <si>
    <t>MUSIQUES DE NUIT - DIFFUSION</t>
  </si>
  <si>
    <t>MUSIQUES EN ROUTE</t>
  </si>
  <si>
    <t>MY KARTEL</t>
  </si>
  <si>
    <t>NACAO PALMARES CAPOEIRA DE BORDEAUX</t>
  </si>
  <si>
    <t>NEW BASKET ATTITUDE</t>
  </si>
  <si>
    <t>NIRE LAGUNA THOMAS</t>
  </si>
  <si>
    <t>NOTRE DAME DE BARRAILS</t>
  </si>
  <si>
    <t>NOTRE ITALIE</t>
  </si>
  <si>
    <t>NOUS CITOYENS</t>
  </si>
  <si>
    <t>NOUS VOULONS LIRE !</t>
  </si>
  <si>
    <t>NOUVEAU COMITE FOIRE AUX PLAISIRS</t>
  </si>
  <si>
    <t>NOUVELLE DONNE</t>
  </si>
  <si>
    <t>NUAGE BLEU</t>
  </si>
  <si>
    <t>Ô PLAFOND</t>
  </si>
  <si>
    <t>OCCS</t>
  </si>
  <si>
    <t>OCTANDRE</t>
  </si>
  <si>
    <t>OFFICE AQUITAIN DE RECHERCHES, D’ETUDES, D’INFORMATION ET DE LIAISON SUR LES PROBLEMES DES PERSONNES AGEES - OAREIL</t>
  </si>
  <si>
    <t>OFFICE ARTISTIQUE DE REGION AQUITAINE</t>
  </si>
  <si>
    <t>OFFICIERS DE RESERVE</t>
  </si>
  <si>
    <t>OKIWI</t>
  </si>
  <si>
    <t>ONG QUISHUAR</t>
  </si>
  <si>
    <t>OPERA BASTIDE</t>
  </si>
  <si>
    <t>OPUS 33</t>
  </si>
  <si>
    <t>ORGAN PHANTOM</t>
  </si>
  <si>
    <t>ORGANISATION SOCIO-CULTURELLE DE BORDEAUX IV OSB IV</t>
  </si>
  <si>
    <t>OSEZ LE FEMINISME 33 !</t>
  </si>
  <si>
    <t>OSONS, ICI ET MAINTENANT (OIM)</t>
  </si>
  <si>
    <t>OUI A LA VIE</t>
  </si>
  <si>
    <t>PALLIAQUITAINE</t>
  </si>
  <si>
    <t>PARALLELES ATTITUDES DIFFUSION - ROCKSCHOOL</t>
  </si>
  <si>
    <t>PARRAINAGE 33</t>
  </si>
  <si>
    <t>PARTI OUVRIER INDEPENDANT DEMOCRATIQUE DE LA GIRONDE - POID33</t>
  </si>
  <si>
    <t>PASSERELLES ET COMPETENCES</t>
  </si>
  <si>
    <t>PAUSE-CAFE</t>
  </si>
  <si>
    <t>PENA FLAMENCA COPAS Y COMPAS</t>
  </si>
  <si>
    <t>PENA MADRIDISTA DE BORDEAUX</t>
  </si>
  <si>
    <t>PENSION DE FAMILLE</t>
  </si>
  <si>
    <t>PERCEPTA - TAI CHI CHUAN ET DEVELOPPEMENT PERSONNEL</t>
  </si>
  <si>
    <t>PERES &amp; FILS RUGBY 33</t>
  </si>
  <si>
    <t>PERMANENCES DE LA LITTERATURE</t>
  </si>
  <si>
    <t>PETANQUE BACALANAISE</t>
  </si>
  <si>
    <t>PETANQUE CLUB EMILE COMBES</t>
  </si>
  <si>
    <t>PETANQUE-CLUB DES TROIS</t>
  </si>
  <si>
    <t>PETITES SOEURS DES PAUVRES</t>
  </si>
  <si>
    <t>PEUPLES SOLIDAIRES</t>
  </si>
  <si>
    <t>PHENIX DE BELCIER</t>
  </si>
  <si>
    <t>PHENIX ECOUTE ET PAROLES</t>
  </si>
  <si>
    <t>PHILOSPHERES</t>
  </si>
  <si>
    <t>PHOTO CLUB DE BORDEAUX</t>
  </si>
  <si>
    <t>PICTUR'ART</t>
  </si>
  <si>
    <t>PLAN INTERNATIONAL FRANCE - PLAN FRANCE</t>
  </si>
  <si>
    <t>PLANETE BORDEAUX</t>
  </si>
  <si>
    <t>PLATEFORME AQUITAINE DE COMMERCE EQUITABLE - PLACE</t>
  </si>
  <si>
    <t>PLENI'OM</t>
  </si>
  <si>
    <t>POINT DE FUITE</t>
  </si>
  <si>
    <t>POINT RENCONTRE DE BORDEAUX</t>
  </si>
  <si>
    <t>POLAR EN CABANES - LES AMIS DE CHESTER HIMES EN AQUITAINE, A ARCACHON ET SUR LE BASSIN (ACHAAB)</t>
  </si>
  <si>
    <t>POLE D'ENSEIGNEMENT SUPERIEUR DE LA MUSIQUE ET DE LA DANSE DE BORDEAUX AQUITAINE - PESMD</t>
  </si>
  <si>
    <t>POLE MAGNETIC</t>
  </si>
  <si>
    <t>POLIFONIA ELIANE LAVAIL</t>
  </si>
  <si>
    <t>POLSKIE BORDEAUX</t>
  </si>
  <si>
    <t>POLYCAP 33</t>
  </si>
  <si>
    <t>POUR UN COMMERCE ETHIQUE DE L'ART, RENCONTRES, TOURISME - PUCEART</t>
  </si>
  <si>
    <t>POUR UN SOURIRE D'ENFANT AQUITAINE</t>
  </si>
  <si>
    <t>PRISME</t>
  </si>
  <si>
    <t>PROF'APA</t>
  </si>
  <si>
    <t>PROJETS HORS LES MURS - PHM</t>
  </si>
  <si>
    <t>PROMETHEE</t>
  </si>
  <si>
    <t>PROMO-FEMMES SAINT MICHEL</t>
  </si>
  <si>
    <t>P'TIT BOUT'CHOU</t>
  </si>
  <si>
    <t>QUATUORS A BORDEAUX</t>
  </si>
  <si>
    <t>QUETZALCOATL</t>
  </si>
  <si>
    <t>RACING CLUB DE BORDEAUX METROPOLE</t>
  </si>
  <si>
    <t>RADIO CHU</t>
  </si>
  <si>
    <t>RASSEMBLEMENT DU PEUPLE SOUVERAIN POUR UNE FRANCE INDEPENDANTE ET UNE REPUBLIQUE SOCIALE</t>
  </si>
  <si>
    <t>REBATIR LA FRANCE</t>
  </si>
  <si>
    <t>RECUP'R</t>
  </si>
  <si>
    <t>REG'ARTS D'AILLEURS</t>
  </si>
  <si>
    <t>REGGAE SUN SKA</t>
  </si>
  <si>
    <t>REGIE DE QUARTIER HABITER BACALAN</t>
  </si>
  <si>
    <t>RELAIS AMICAL MALAKOFF MEDERIC BORDEAUX AQUITAINE</t>
  </si>
  <si>
    <t>RENAISSANCE DE L'ORGUE A BORDEAUX</t>
  </si>
  <si>
    <t>RESEAU AQUITAIN DES MUSIQUES ACTUELLES - RAMA</t>
  </si>
  <si>
    <t>RESEAU ENTREPRENDRE AQUITAINE</t>
  </si>
  <si>
    <t>RESEAU FRANCAIS SUR L’ENTENTE DE VOIX (REV FRANCE)</t>
  </si>
  <si>
    <t>RESEAUX ADOS GIRONDE</t>
  </si>
  <si>
    <t>RESTAURANTS DU COEUR - RELAIS DU COEUR DE LA GIRONDE</t>
  </si>
  <si>
    <t>RESTONS CALMES ! (DANS LA DIGNITE)</t>
  </si>
  <si>
    <t>RICOCHET SONORE</t>
  </si>
  <si>
    <t>RIVE DROITE 2000</t>
  </si>
  <si>
    <t>ROLLER DERBY BORDEAUX CLUB</t>
  </si>
  <si>
    <t>ROSE ATTITUDE BORDEAUX</t>
  </si>
  <si>
    <t>ROTARY CLUB DE BORDEAUX-OUEST</t>
  </si>
  <si>
    <t>ROTARY-CLUB DE BORDEAUX-SUD</t>
  </si>
  <si>
    <t>RUELLE (RELAIS URBAIN D'ECHANGES ET DE LUTTE CONTRE L'EXPLOITATION)</t>
  </si>
  <si>
    <t>RUGBYTOTS</t>
  </si>
  <si>
    <t>SAAPERLIPOPETTE</t>
  </si>
  <si>
    <t>SAINT AUGUSTIN 2015</t>
  </si>
  <si>
    <t>SAINT MARTIN BORDEAUX CULTURAL CONNECTIONS</t>
  </si>
  <si>
    <t>SALAM</t>
  </si>
  <si>
    <t>SASP FOOTBALL CLUB DES GIRONDINS DE BORDEAUX</t>
  </si>
  <si>
    <t>SASP JSA BORDEAUX METROPOLE</t>
  </si>
  <si>
    <t>SASP UNION BORDEAUX BEGLES</t>
  </si>
  <si>
    <t>SAVATE BOXE FRANÇAISE DE BORDEAUX - SBFB</t>
  </si>
  <si>
    <t>SCOUTS ET GUIDES DE FRANCE - Section de Tarbes</t>
  </si>
  <si>
    <t>SE CANTO BASTIDE</t>
  </si>
  <si>
    <t>SECOURS CATHOLIQUE-CARITAS FRANCE (DELEGATION DE LA GIRONDE)</t>
  </si>
  <si>
    <t>SECUCAF BORDEAUX FOOTBALL D'ENTREPRISE</t>
  </si>
  <si>
    <t>SEMER LE DOUTE</t>
  </si>
  <si>
    <t>SERVICE DEPARTEMENTAL D'INCENDIE ET DE SECOURS DE LA GIRONDE</t>
  </si>
  <si>
    <t>SERVICE UNIVERSITAIRE DES ACTIVITES PHYSIQUES ET SPORTIVES (SUAPS)</t>
  </si>
  <si>
    <t>SEW &amp; LAINE</t>
  </si>
  <si>
    <t>SIDACTION</t>
  </si>
  <si>
    <t>SMART COMPAGNIE</t>
  </si>
  <si>
    <t>SOCIETE ARCHEOLOGIQUE DE BORDEAUX</t>
  </si>
  <si>
    <t>SOCIETE BORDELAISE D'AQUARELLE</t>
  </si>
  <si>
    <t>SOCIETE DE GEOGRAPHIE DE BORDEAUX</t>
  </si>
  <si>
    <t>SOCIETE DE SAINT-VINCENT-DE-PAUL - CONSEIL DEPARTEMENTAL DE LA GIRONDE</t>
  </si>
  <si>
    <t>SOCIETE D'ENTRAIDE DES MEMBRES DE LA LEGION D'HONNEUR COMITE DE BORDEAUX SECTEUR CAUDERAN</t>
  </si>
  <si>
    <t>SOCIETE DES AMIS DU MUSEE DES BEAUX-ARTS DE BORDEAUX</t>
  </si>
  <si>
    <t>SOCIETE DES BIBLIOPHILES DE GUYENNE</t>
  </si>
  <si>
    <t>SOCIETE DES COMPAGNONS DU TOUR DE France DU DEVOIR EGALITAIRE - CHAMBRE COMPAGNONALE DE BORDEAUX</t>
  </si>
  <si>
    <t>SOCIETE DES FETES CAUDERANAISES</t>
  </si>
  <si>
    <t>SOCIETE DES NEUROSCIENCES</t>
  </si>
  <si>
    <t>SOCIETE D'HISTOIRE DE BORDEAUX</t>
  </si>
  <si>
    <t>SOCIETE D'HORTICULTURE, D'ARBORICULTURE ET DE VITICULTURE DE CAUDERAN</t>
  </si>
  <si>
    <t>SOCIETE PHILOMATHIQUE DE BORDEAUX</t>
  </si>
  <si>
    <t>SOCIETE SYMPHONIQUE DE BORDEAUX-CAUDERAN</t>
  </si>
  <si>
    <t>SOLIDARITE ANAIS JEROME EVENEMENTIEL - SAJE</t>
  </si>
  <si>
    <t>SOLIDARITE-LOGEMENT BORDEAUX-BOULEVARDS</t>
  </si>
  <si>
    <t>SOLIHA, SOLIDAIRES POUR L'HABITAT, GIRONDE</t>
  </si>
  <si>
    <t>SOMATO-PSYCHO-PEDAGOGIE EN AQUITAINE</t>
  </si>
  <si>
    <t>SONG LONG BORDEAUX</t>
  </si>
  <si>
    <t>SOS AMITIE - REGION DE BORDEAUX AQUITAINE</t>
  </si>
  <si>
    <t>SOS PLACE GAMBETTA</t>
  </si>
  <si>
    <t>SOUTIEN, CULTURE ET LOISIRS DES MAGHREBINS ET ALGERIENS EN AQUITAINE - SCELMAA</t>
  </si>
  <si>
    <t>SPECIAL OLYMPICS FRANCE (SOF)</t>
  </si>
  <si>
    <t>SPHERE CPP BORDEAUX</t>
  </si>
  <si>
    <t>SPORTING CHANTECLER BORDEAUX NORD LE LAC</t>
  </si>
  <si>
    <t>STADE BASTIDE BORDEAUX BENAUGE - S3B</t>
  </si>
  <si>
    <t>STADE BORDELAIS ASPTT</t>
  </si>
  <si>
    <t>STELLA MONTIS</t>
  </si>
  <si>
    <t>STOP AND GO DANCE 33</t>
  </si>
  <si>
    <t>SUKHALI - AIDE AU DEVELOPPEMENT LOCAL PAR LES FEMMES AU SENEGAL</t>
  </si>
  <si>
    <t>SURVIE GIRONDE</t>
  </si>
  <si>
    <t>SWINGTIME BORDEAUX</t>
  </si>
  <si>
    <t>SYNDICAT DES QUARTIERS BELCIER, CARLE VERNET</t>
  </si>
  <si>
    <t>T.E.A. TIME - TALENTUEUX EMOTIFS ANONYMES</t>
  </si>
  <si>
    <t>TANGO BORDEAUX</t>
  </si>
  <si>
    <t>TANGO HOY</t>
  </si>
  <si>
    <t>TANGO MILONGUERO BORDEAUX</t>
  </si>
  <si>
    <t>TANGO NOMADE</t>
  </si>
  <si>
    <t>TASHI DELEK BORDEAUX ASSOCIATION GIRONDINE POUR LE TIBET</t>
  </si>
  <si>
    <t>TATHATA- VRINDHAM AQUITAINE</t>
  </si>
  <si>
    <t>TCHERNOBLAYE</t>
  </si>
  <si>
    <t>TEMPS DE PAROLE ASSOCIATION SANTE ET SECURITE PROFESSIONNELLES</t>
  </si>
  <si>
    <t>TENNIS CLUB BORDEAUX BASTIDE</t>
  </si>
  <si>
    <t>TENNIS CLUB DE BORDEAUX</t>
  </si>
  <si>
    <t>TERANGA</t>
  </si>
  <si>
    <t>TERANUI TAHITI</t>
  </si>
  <si>
    <t>TERIYA</t>
  </si>
  <si>
    <t>TERRA FEES</t>
  </si>
  <si>
    <t>TERRE ET OCEAN</t>
  </si>
  <si>
    <t>THEATR'ACTION</t>
  </si>
  <si>
    <t>THEATRE DE L'ESCALE</t>
  </si>
  <si>
    <t>THEATRE DES TAFURS</t>
  </si>
  <si>
    <t>THEATRE FEMINA</t>
  </si>
  <si>
    <t>THEATRE NATIONAL DE BORDEAUX EN AQUITAINE - TNBA</t>
  </si>
  <si>
    <t>THEATRE POPULAIRE JOB</t>
  </si>
  <si>
    <t>THEATRE-EDUCATION-AQUITAINE</t>
  </si>
  <si>
    <t>THEATRIUM</t>
  </si>
  <si>
    <t>THIANT GUI</t>
  </si>
  <si>
    <t>THOTH CIVILISATION SANS FRONTIERES</t>
  </si>
  <si>
    <t>TIMELESS BALLET</t>
  </si>
  <si>
    <t>TOOBORDO</t>
  </si>
  <si>
    <t>TOURING PEDESTRE BORDELAIS</t>
  </si>
  <si>
    <t>TOUT ART FAIRE</t>
  </si>
  <si>
    <t>TRACE UNE DIAGONALE</t>
  </si>
  <si>
    <t>TRADOBORDELEAU</t>
  </si>
  <si>
    <t>TRANSFERT</t>
  </si>
  <si>
    <t>TRANZIT KREOL</t>
  </si>
  <si>
    <t>TRAUMATISES CRANIENS ASSISTANCE</t>
  </si>
  <si>
    <t>TREMPLIN UTC</t>
  </si>
  <si>
    <t>ULCR</t>
  </si>
  <si>
    <t>ULTRAS BB</t>
  </si>
  <si>
    <t>UNICEF</t>
  </si>
  <si>
    <t>UNION ALCOOLIQUES ANONYMES</t>
  </si>
  <si>
    <t>UNION AU DEVELOPPEMENT AFRICAIN - UDA</t>
  </si>
  <si>
    <t>UNION BORDEAUX METROPOLE - UBM</t>
  </si>
  <si>
    <t>UNION COOP DE LA PAGE BLANCHE</t>
  </si>
  <si>
    <t>UNION DEPARTEMENTALE CFDT DE LA GIRONDE</t>
  </si>
  <si>
    <t>UNION DEPARTEMENTALE DES ASSOCIATIONS FAMILIALES - UDAF</t>
  </si>
  <si>
    <t>UNION DES AVEUGLES ET DEFICIENTS VISUELS</t>
  </si>
  <si>
    <t>UNION DES TRAVAILLEURS IVOIRIENS DE FRANCE - UTIF</t>
  </si>
  <si>
    <t>UNION GENERALE SPORTIVE DE L'ENSEIGNEMENT LIBRE DE LA GIRONDE</t>
  </si>
  <si>
    <t>UNION GIRONDINE DES RETRAITES MILITAIRES, ANCIENS MILITAIRES ET DE LEURS CONJOINTS (URM 33)</t>
  </si>
  <si>
    <t>UNION NATIONALE DES AMIS ET FAMILLES DE MALADES PSYCHIQUES - UNAFAM</t>
  </si>
  <si>
    <t>UNION NATIONALE DES COMBATTANTS DE BORDEAUX RIVE-DROITE - UNC</t>
  </si>
  <si>
    <t>UNION NATIONALE DES COMBATTANTS DE BORDEAUX-CAUDERAN-LE BOUSCAT (UNC)</t>
  </si>
  <si>
    <t>UNION NATIONALE DU SPORT SCOLAIRE - DIRECTION REGIONALE</t>
  </si>
  <si>
    <t>UNION REGIONALE D'AQUITAINE DE L'UNION EUROPEENNE FEMININE SECTION FRANÇAISE</t>
  </si>
  <si>
    <t>UNION REGIONALE DES INGENIEURS ET DES SCIENTIFIQUES D'AQUITAINE - URISA</t>
  </si>
  <si>
    <t>UNION REGIONALE PACT HABITAT ET DEVELOPPEMENT DE LA REGION AQUITAINE</t>
  </si>
  <si>
    <t>UNION SAINT JEAN - MAISON DE QUARTIER</t>
  </si>
  <si>
    <t>UNION SAINT-BRUNO</t>
  </si>
  <si>
    <t>UNION SPORTIVE JEUNES DE SAINT-AUGUSTIN - CLUB PYRENEES-AQUITAINE (US JSA-CPA)</t>
  </si>
  <si>
    <t>UNION SPORTIVE LES CHARTRONS</t>
  </si>
  <si>
    <t>UNIS CITE</t>
  </si>
  <si>
    <t>UNIVERSEUL</t>
  </si>
  <si>
    <t>UNIVERSITE BORDEAUX MONTAIGNE BORDEAUX III - BIBLIOTHEQUE FRANCO-ALLEMANDE (BIFA)</t>
  </si>
  <si>
    <t>UNIVERSITE DE BORDEAUX</t>
  </si>
  <si>
    <t>UNIVERSITE POPULAIRE DE BORDEAUX - UPB</t>
  </si>
  <si>
    <t>URBAN VIBRATIONS SCHOOL</t>
  </si>
  <si>
    <t>URPS - AQUITAINE</t>
  </si>
  <si>
    <t>UTOPIA</t>
  </si>
  <si>
    <t>VA K BAND</t>
  </si>
  <si>
    <t>VACANCES ANIMATION LOISIRS TOURISME DE LA GIRONDE</t>
  </si>
  <si>
    <t>VACANCES TOURISME FAMILLES - VTF</t>
  </si>
  <si>
    <t>VAHINE ORA</t>
  </si>
  <si>
    <t>VARIANCE MELODIE</t>
  </si>
  <si>
    <t>VELO CITE</t>
  </si>
  <si>
    <t>VIE ET TRAVAIL A BORDEAUX BACALAN</t>
  </si>
  <si>
    <t>VIE LIBRE</t>
  </si>
  <si>
    <t>VILLA 88</t>
  </si>
  <si>
    <t>VILLA PRIMROSE</t>
  </si>
  <si>
    <t>VILLAGE D'AUDEGE</t>
  </si>
  <si>
    <t>VILLAGE DE LA GROSSE CLOCHE</t>
  </si>
  <si>
    <t>V'INSEEC BORDEAUX, VINS ET SPIRITUEUX</t>
  </si>
  <si>
    <t>VISIONS CROISEES</t>
  </si>
  <si>
    <t>VISIONS PARTAGEES</t>
  </si>
  <si>
    <t>VISITE DES MALADES DANS LES ETABLISSEMENTS HOSPITALIERS DU DEPARTEMENT DE LA GIRONDE - VMEH</t>
  </si>
  <si>
    <t>VIVONS LA BASTIDE</t>
  </si>
  <si>
    <t>VIVRE A CAUDERAN</t>
  </si>
  <si>
    <t>VIVRE AVEC - SOLIDARITES INTERGENERATIONNELLES</t>
  </si>
  <si>
    <t>VIVRE COMME AVANT</t>
  </si>
  <si>
    <t>VOCATION SOCIOLOGUE</t>
  </si>
  <si>
    <t>VOVINAM VIET VO DAO-CLUB DE BORDEAUX</t>
  </si>
  <si>
    <t>WEJOB</t>
  </si>
  <si>
    <t>WISE</t>
  </si>
  <si>
    <t>WOUXIA CLAN</t>
  </si>
  <si>
    <t>YA DLA JOIE ET DL'EMPLOI (YDLJE)</t>
  </si>
  <si>
    <t>YAKAFAUCON</t>
  </si>
  <si>
    <t>YAWATA ASSOCIATION DES ECHANGES DE PROCEDES ARTISTIQUES</t>
  </si>
  <si>
    <t>YOBALEMA</t>
  </si>
  <si>
    <t>YOGA ET YOGA</t>
  </si>
  <si>
    <t>YOGALBEDO</t>
  </si>
  <si>
    <t>YOGHINY</t>
  </si>
  <si>
    <t>ZANSHIN CLUB</t>
  </si>
  <si>
    <t>ZEBRA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</si>
</sst>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25"/>
    <col customWidth="1" min="2" max="4" width="3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</row>
    <row r="3">
      <c r="A3" s="1" t="s">
        <v>2</v>
      </c>
      <c r="B3" s="2" t="str">
        <f>SUMIF(A6:A19)</f>
        <v>#N/A</v>
      </c>
      <c r="C3" s="2"/>
      <c r="D3" s="2"/>
      <c r="E3" s="2"/>
      <c r="F3" s="2"/>
      <c r="G3" s="2"/>
      <c r="H3" s="2"/>
      <c r="I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</row>
    <row r="5">
      <c r="A5" s="1" t="s">
        <v>4</v>
      </c>
      <c r="B5" s="1"/>
      <c r="C5" s="1"/>
      <c r="D5" s="1">
        <v>0.0</v>
      </c>
      <c r="E5" s="2"/>
      <c r="F5" s="2"/>
      <c r="G5" s="2"/>
      <c r="H5" s="2"/>
      <c r="I5" s="2"/>
    </row>
    <row r="6">
      <c r="A6" s="1" t="s">
        <v>5</v>
      </c>
      <c r="B6" s="1"/>
      <c r="C6" s="1"/>
      <c r="D6" s="1">
        <v>52.0</v>
      </c>
      <c r="E6" s="2"/>
      <c r="F6" s="2"/>
      <c r="G6" s="2"/>
      <c r="H6" s="2"/>
      <c r="I6" s="2"/>
    </row>
    <row r="7">
      <c r="A7" s="1" t="s">
        <v>6</v>
      </c>
      <c r="B7" s="1"/>
      <c r="C7" s="1"/>
      <c r="D7" s="1">
        <v>0.0</v>
      </c>
      <c r="E7" s="2"/>
      <c r="F7" s="2"/>
      <c r="G7" s="2"/>
      <c r="H7" s="2"/>
      <c r="I7" s="2"/>
    </row>
    <row r="8">
      <c r="A8" s="1" t="s">
        <v>7</v>
      </c>
      <c r="B8" s="1"/>
      <c r="C8" s="1"/>
      <c r="D8" s="1">
        <v>0.0</v>
      </c>
      <c r="E8" s="2"/>
      <c r="F8" s="2"/>
      <c r="G8" s="2"/>
      <c r="H8" s="2"/>
      <c r="I8" s="2"/>
    </row>
    <row r="9">
      <c r="A9" s="1" t="s">
        <v>8</v>
      </c>
      <c r="B9" s="1"/>
      <c r="C9" s="1"/>
      <c r="D9" s="1">
        <v>0.0</v>
      </c>
      <c r="E9" s="2"/>
      <c r="F9" s="2"/>
      <c r="G9" s="2"/>
      <c r="H9" s="2"/>
      <c r="I9" s="2"/>
    </row>
    <row r="10">
      <c r="A10" s="1" t="s">
        <v>9</v>
      </c>
      <c r="B10" s="1"/>
      <c r="C10" s="1"/>
      <c r="D10" s="1">
        <v>0.0</v>
      </c>
      <c r="E10" s="2"/>
      <c r="F10" s="2"/>
      <c r="G10" s="2"/>
      <c r="H10" s="2"/>
      <c r="I10" s="2"/>
    </row>
    <row r="11">
      <c r="A11" s="1" t="s">
        <v>10</v>
      </c>
      <c r="B11" s="1"/>
      <c r="C11" s="1"/>
      <c r="D11" s="1">
        <v>0.0</v>
      </c>
      <c r="E11" s="2"/>
      <c r="F11" s="2"/>
      <c r="G11" s="2"/>
      <c r="H11" s="2"/>
      <c r="I11" s="2"/>
    </row>
    <row r="12">
      <c r="A12" s="1" t="s">
        <v>11</v>
      </c>
      <c r="B12" s="1"/>
      <c r="C12" s="1"/>
      <c r="D12" s="1">
        <v>0.0</v>
      </c>
      <c r="E12" s="2"/>
      <c r="F12" s="2"/>
      <c r="G12" s="2"/>
      <c r="H12" s="2"/>
      <c r="I12" s="2"/>
    </row>
    <row r="13">
      <c r="A13" s="1" t="s">
        <v>12</v>
      </c>
      <c r="B13" s="1"/>
      <c r="C13" s="1"/>
      <c r="D13" s="1">
        <v>67.0</v>
      </c>
      <c r="E13" s="2"/>
      <c r="F13" s="2"/>
      <c r="G13" s="2"/>
      <c r="H13" s="2"/>
      <c r="I13" s="2"/>
    </row>
    <row r="14">
      <c r="A14" s="1" t="s">
        <v>13</v>
      </c>
      <c r="B14" s="1"/>
      <c r="C14" s="1"/>
      <c r="D14" s="1">
        <v>0.0</v>
      </c>
      <c r="E14" s="2"/>
      <c r="F14" s="2"/>
      <c r="G14" s="2"/>
      <c r="H14" s="2"/>
      <c r="I14" s="2"/>
    </row>
    <row r="15">
      <c r="A15" s="1" t="s">
        <v>14</v>
      </c>
      <c r="B15" s="1"/>
      <c r="C15" s="1"/>
      <c r="D15" s="1">
        <v>0.0</v>
      </c>
      <c r="E15" s="2"/>
      <c r="F15" s="2"/>
      <c r="G15" s="2"/>
      <c r="H15" s="2"/>
      <c r="I15" s="2"/>
    </row>
    <row r="16">
      <c r="A16" s="1" t="s">
        <v>15</v>
      </c>
      <c r="B16" s="1"/>
      <c r="C16" s="1"/>
      <c r="D16" s="1" t="s">
        <v>16</v>
      </c>
      <c r="E16" s="1">
        <v>97.0</v>
      </c>
      <c r="F16" s="2"/>
      <c r="G16" s="2"/>
      <c r="H16" s="2"/>
      <c r="I16" s="2"/>
    </row>
    <row r="17">
      <c r="A17" s="1" t="s">
        <v>17</v>
      </c>
      <c r="B17" s="1"/>
      <c r="C17" s="1"/>
      <c r="D17" s="1">
        <v>0.0</v>
      </c>
      <c r="E17" s="2"/>
      <c r="F17" s="2"/>
      <c r="G17" s="2"/>
      <c r="H17" s="2"/>
      <c r="I17" s="2"/>
    </row>
    <row r="18">
      <c r="A18" s="1" t="s">
        <v>18</v>
      </c>
      <c r="B18" s="1"/>
      <c r="C18" s="1"/>
      <c r="D18" s="1">
        <v>23.0</v>
      </c>
      <c r="E18" s="2"/>
      <c r="F18" s="2"/>
      <c r="G18" s="2"/>
      <c r="H18" s="2"/>
      <c r="I18" s="2"/>
    </row>
    <row r="19">
      <c r="A19" s="1" t="s">
        <v>19</v>
      </c>
      <c r="B19" s="1"/>
      <c r="C19" s="1"/>
      <c r="D19" s="1">
        <v>0.0</v>
      </c>
      <c r="E19" s="2"/>
      <c r="F19" s="2"/>
      <c r="G19" s="2"/>
      <c r="H19" s="2"/>
      <c r="I19" s="2"/>
    </row>
    <row r="20">
      <c r="A20" s="1" t="s">
        <v>20</v>
      </c>
      <c r="B20" s="1"/>
      <c r="C20" s="1"/>
      <c r="D20" s="1">
        <v>0.0</v>
      </c>
      <c r="E20" s="2"/>
      <c r="F20" s="2"/>
      <c r="G20" s="2"/>
      <c r="H20" s="2"/>
      <c r="I20" s="2"/>
    </row>
    <row r="21">
      <c r="A21" s="1" t="s">
        <v>21</v>
      </c>
      <c r="B21" s="1"/>
      <c r="C21" s="1"/>
      <c r="D21" s="1">
        <v>0.0</v>
      </c>
      <c r="E21" s="2"/>
      <c r="F21" s="2"/>
      <c r="G21" s="2"/>
      <c r="H21" s="2"/>
      <c r="I21" s="2"/>
    </row>
    <row r="22">
      <c r="A22" s="1" t="s">
        <v>22</v>
      </c>
      <c r="B22" s="1"/>
      <c r="C22" s="1"/>
      <c r="D22" s="1">
        <v>0.0</v>
      </c>
      <c r="E22" s="2"/>
      <c r="F22" s="2"/>
      <c r="G22" s="2"/>
      <c r="H22" s="2"/>
      <c r="I22" s="2"/>
    </row>
    <row r="23">
      <c r="A23" s="1" t="s">
        <v>23</v>
      </c>
      <c r="B23" s="1"/>
      <c r="C23" s="1"/>
      <c r="D23" s="1" t="s">
        <v>24</v>
      </c>
      <c r="E23" s="1">
        <v>0.0</v>
      </c>
      <c r="F23" s="2"/>
      <c r="G23" s="2"/>
      <c r="H23" s="2"/>
      <c r="I23" s="2"/>
    </row>
    <row r="24">
      <c r="A24" s="1" t="s">
        <v>25</v>
      </c>
      <c r="B24" s="1"/>
      <c r="C24" s="1"/>
      <c r="D24" s="1">
        <v>0.0</v>
      </c>
      <c r="E24" s="2"/>
      <c r="F24" s="2"/>
      <c r="G24" s="2"/>
      <c r="H24" s="2"/>
      <c r="I24" s="2"/>
    </row>
    <row r="25">
      <c r="A25" s="1" t="s">
        <v>26</v>
      </c>
      <c r="B25" s="1"/>
      <c r="C25" s="1"/>
      <c r="D25" s="1">
        <v>0.0</v>
      </c>
      <c r="E25" s="2"/>
      <c r="F25" s="2"/>
      <c r="G25" s="2"/>
      <c r="H25" s="2"/>
      <c r="I25" s="2"/>
    </row>
    <row r="26">
      <c r="A26" s="1" t="s">
        <v>27</v>
      </c>
      <c r="B26" s="1"/>
      <c r="C26" s="1"/>
      <c r="D26" s="1">
        <v>0.0</v>
      </c>
      <c r="E26" s="2"/>
      <c r="F26" s="2"/>
      <c r="G26" s="2"/>
      <c r="H26" s="2"/>
      <c r="I26" s="2"/>
    </row>
    <row r="27">
      <c r="A27" s="1" t="s">
        <v>28</v>
      </c>
      <c r="B27" s="1"/>
      <c r="C27" s="1"/>
      <c r="D27" s="1">
        <v>0.0</v>
      </c>
      <c r="E27" s="2"/>
      <c r="F27" s="2"/>
      <c r="G27" s="2"/>
      <c r="H27" s="2"/>
      <c r="I27" s="2"/>
    </row>
    <row r="28">
      <c r="A28" s="1" t="s">
        <v>29</v>
      </c>
      <c r="B28" s="1"/>
      <c r="C28" s="1"/>
      <c r="D28" s="1" t="s">
        <v>30</v>
      </c>
      <c r="E28" s="1" t="s">
        <v>31</v>
      </c>
      <c r="F28" s="2"/>
      <c r="G28" s="2"/>
      <c r="H28" s="2"/>
      <c r="I28" s="2"/>
    </row>
    <row r="29">
      <c r="A29" s="1" t="s">
        <v>32</v>
      </c>
      <c r="B29" s="1"/>
      <c r="C29" s="1"/>
      <c r="D29" s="1">
        <v>0.0</v>
      </c>
      <c r="E29" s="2"/>
      <c r="F29" s="2"/>
      <c r="G29" s="2"/>
      <c r="H29" s="2"/>
      <c r="I29" s="2"/>
    </row>
    <row r="30">
      <c r="A30" s="1" t="s">
        <v>33</v>
      </c>
      <c r="B30" s="1"/>
      <c r="C30" s="1"/>
      <c r="D30" s="1" t="s">
        <v>34</v>
      </c>
      <c r="E30" s="2"/>
      <c r="F30" s="2"/>
      <c r="G30" s="2"/>
      <c r="H30" s="2"/>
      <c r="I30" s="2"/>
    </row>
    <row r="31">
      <c r="A31" s="1" t="s">
        <v>35</v>
      </c>
      <c r="B31" s="1"/>
      <c r="C31" s="1"/>
      <c r="D31" s="1">
        <v>10.0</v>
      </c>
      <c r="E31" s="2"/>
      <c r="F31" s="2"/>
      <c r="G31" s="2"/>
      <c r="H31" s="2"/>
      <c r="I31" s="2"/>
    </row>
    <row r="32">
      <c r="A32" s="1" t="s">
        <v>36</v>
      </c>
      <c r="B32" s="1" t="str">
        <f>IFERROR(__xludf.DUMMYFUNCTION("SPLIT(A32,"";"")"),"AGENCE LOCALE DE L'ENERGIE ET DU CLIMAT (ALEC)")</f>
        <v>AGENCE LOCALE DE L'ENERGIE ET DU CLIMAT (ALEC)</v>
      </c>
      <c r="C32" s="1">
        <f>IFERROR(__xludf.DUMMYFUNCTION("""COMPUTED_VALUE"""),56.0)</f>
        <v>56</v>
      </c>
      <c r="D32" s="1">
        <v>0.0</v>
      </c>
      <c r="E32" s="2"/>
      <c r="F32" s="2"/>
      <c r="G32" s="2"/>
      <c r="H32" s="2"/>
      <c r="I32" s="2"/>
    </row>
    <row r="33">
      <c r="A33" s="1" t="s">
        <v>37</v>
      </c>
      <c r="B33" s="1" t="str">
        <f>IFERROR(__xludf.DUMMYFUNCTION("SPLIT(A33,"";"")"),"AGENCE REGIONALE DE SANTE NOUVELLE AQUITAINE")</f>
        <v>AGENCE REGIONALE DE SANTE NOUVELLE AQUITAINE</v>
      </c>
      <c r="C33" s="1">
        <f>IFERROR(__xludf.DUMMYFUNCTION("""COMPUTED_VALUE"""),796.0)</f>
        <v>796</v>
      </c>
      <c r="D33" s="1">
        <v>5.0</v>
      </c>
      <c r="E33" s="2"/>
      <c r="F33" s="2"/>
      <c r="G33" s="2"/>
      <c r="H33" s="2"/>
      <c r="I33" s="2"/>
    </row>
    <row r="34">
      <c r="A34" s="1" t="s">
        <v>38</v>
      </c>
      <c r="B34" s="1" t="str">
        <f>IFERROR(__xludf.DUMMYFUNCTION("SPLIT(A34,"";"")"),"AGORA DES ARTS")</f>
        <v>AGORA DES ARTS</v>
      </c>
      <c r="C34" s="3">
        <f>IFERROR(__xludf.DUMMYFUNCTION("""COMPUTED_VALUE"""),3848.0)</f>
        <v>3848</v>
      </c>
      <c r="D34" s="1">
        <v>86.0</v>
      </c>
      <c r="E34" s="2"/>
      <c r="F34" s="2"/>
      <c r="G34" s="2"/>
      <c r="H34" s="2"/>
      <c r="I34" s="2"/>
    </row>
    <row r="35">
      <c r="A35" s="1" t="s">
        <v>39</v>
      </c>
      <c r="B35" s="1" t="str">
        <f>IFERROR(__xludf.DUMMYFUNCTION("SPLIT(A35,"";"")"),"AIGUILLES ET CALAME")</f>
        <v>AIGUILLES ET CALAME</v>
      </c>
      <c r="C35" s="3">
        <f>IFERROR(__xludf.DUMMYFUNCTION("""COMPUTED_VALUE"""),1478.0)</f>
        <v>1478</v>
      </c>
      <c r="D35" s="1">
        <v>0.0</v>
      </c>
      <c r="E35" s="2"/>
      <c r="F35" s="2"/>
      <c r="G35" s="2"/>
      <c r="H35" s="2"/>
      <c r="I35" s="2"/>
    </row>
    <row r="36">
      <c r="A36" s="1" t="s">
        <v>40</v>
      </c>
      <c r="B36" s="1" t="str">
        <f>IFERROR(__xludf.DUMMYFUNCTION("SPLIT(A36,"";"")"),"AIKIDO BORDEAUX BASTIDE")</f>
        <v>AIKIDO BORDEAUX BASTIDE</v>
      </c>
      <c r="C36" s="3">
        <f>IFERROR(__xludf.DUMMYFUNCTION("""COMPUTED_VALUE"""),5391.0)</f>
        <v>5391</v>
      </c>
      <c r="D36" s="1">
        <v>0.0</v>
      </c>
      <c r="E36" s="2"/>
      <c r="F36" s="2"/>
      <c r="G36" s="2"/>
      <c r="H36" s="2"/>
      <c r="I36" s="2"/>
    </row>
    <row r="37">
      <c r="A37" s="1" t="s">
        <v>41</v>
      </c>
      <c r="B37" s="1" t="str">
        <f>IFERROR(__xludf.DUMMYFUNCTION("SPLIT(A37,"";"")"),"AIR ROLLER (ATTENTION INERTIE RENOUVELABLE)")</f>
        <v>AIR ROLLER (ATTENTION INERTIE RENOUVELABLE)</v>
      </c>
      <c r="C37" s="3">
        <f>IFERROR(__xludf.DUMMYFUNCTION("""COMPUTED_VALUE"""),13988.0)</f>
        <v>13988</v>
      </c>
      <c r="D37" s="1">
        <v>0.0</v>
      </c>
      <c r="E37" s="2"/>
      <c r="F37" s="2"/>
      <c r="G37" s="2"/>
      <c r="H37" s="2"/>
      <c r="I37" s="2"/>
    </row>
    <row r="38">
      <c r="A38" s="1" t="s">
        <v>42</v>
      </c>
      <c r="B38" s="1" t="str">
        <f>IFERROR(__xludf.DUMMYFUNCTION("SPLIT(A38,"";"")"),"ALAM AMIS DU LIVRE ANCIEN ET MODERNE")</f>
        <v>ALAM AMIS DU LIVRE ANCIEN ET MODERNE</v>
      </c>
      <c r="C38" s="3">
        <f>IFERROR(__xludf.DUMMYFUNCTION("""COMPUTED_VALUE"""),4305.0)</f>
        <v>4305</v>
      </c>
      <c r="D38" s="1">
        <v>18.0</v>
      </c>
      <c r="E38" s="2"/>
      <c r="F38" s="2"/>
      <c r="G38" s="2"/>
      <c r="H38" s="2"/>
      <c r="I38" s="2"/>
    </row>
    <row r="39">
      <c r="A39" s="1" t="s">
        <v>43</v>
      </c>
      <c r="B39" s="1" t="str">
        <f>IFERROR(__xludf.DUMMYFUNCTION("SPLIT(A39,"";"")"),"ALGERIENS DE L'AQUITAINE")</f>
        <v>ALGERIENS DE L'AQUITAINE</v>
      </c>
      <c r="C39" s="1">
        <f>IFERROR(__xludf.DUMMYFUNCTION("""COMPUTED_VALUE"""),564.0)</f>
        <v>564</v>
      </c>
      <c r="D39" s="1">
        <v>0.0</v>
      </c>
      <c r="E39" s="2"/>
      <c r="F39" s="2"/>
      <c r="G39" s="2"/>
      <c r="H39" s="2"/>
      <c r="I39" s="2"/>
    </row>
    <row r="40">
      <c r="A40" s="1" t="s">
        <v>44</v>
      </c>
      <c r="B40" s="1" t="str">
        <f>IFERROR(__xludf.DUMMYFUNCTION("SPLIT(A40,"";"")"),"ALLIANCE DEPARTEMENT 33")</f>
        <v>ALLIANCE DEPARTEMENT 33</v>
      </c>
      <c r="C40" s="1"/>
      <c r="D40" s="1" t="s">
        <v>45</v>
      </c>
      <c r="E40" s="1">
        <v>0.0</v>
      </c>
      <c r="F40" s="2"/>
      <c r="G40" s="2"/>
      <c r="H40" s="2"/>
      <c r="I40" s="2"/>
    </row>
    <row r="41">
      <c r="A41" s="1" t="s">
        <v>46</v>
      </c>
      <c r="B41" s="1" t="str">
        <f>IFERROR(__xludf.DUMMYFUNCTION("SPLIT(A41,"";"")"),"ALLIANCE FRANCAISE DE BORDEAUX AQUITAINE")</f>
        <v>ALLIANCE FRANCAISE DE BORDEAUX AQUITAINE</v>
      </c>
      <c r="C41" s="1">
        <f>IFERROR(__xludf.DUMMYFUNCTION("""COMPUTED_VALUE"""),332.0)</f>
        <v>332</v>
      </c>
      <c r="D41" s="1">
        <v>0.0</v>
      </c>
      <c r="E41" s="2"/>
      <c r="F41" s="2"/>
      <c r="G41" s="2"/>
      <c r="H41" s="2"/>
      <c r="I41" s="2"/>
    </row>
    <row r="42">
      <c r="A42" s="1" t="s">
        <v>47</v>
      </c>
      <c r="B42" s="1" t="str">
        <f>IFERROR(__xludf.DUMMYFUNCTION("SPLIT(A42,"";"")"),"ALPTIS")</f>
        <v>ALPTIS</v>
      </c>
      <c r="C42" s="1">
        <f>IFERROR(__xludf.DUMMYFUNCTION("""COMPUTED_VALUE"""),299.0)</f>
        <v>299</v>
      </c>
      <c r="D42" s="1">
        <v>0.0</v>
      </c>
      <c r="E42" s="2"/>
      <c r="F42" s="2"/>
      <c r="G42" s="2"/>
      <c r="H42" s="2"/>
      <c r="I42" s="2"/>
    </row>
    <row r="43">
      <c r="A43" s="1" t="s">
        <v>48</v>
      </c>
      <c r="B43" s="1" t="str">
        <f>IFERROR(__xludf.DUMMYFUNCTION("SPLIT(A43,"";"")"),"ALTER INSERTION")</f>
        <v>ALTER INSERTION</v>
      </c>
      <c r="C43" s="1">
        <f>IFERROR(__xludf.DUMMYFUNCTION("""COMPUTED_VALUE"""),118.0)</f>
        <v>118</v>
      </c>
      <c r="D43" s="1">
        <v>67.0</v>
      </c>
      <c r="E43" s="2"/>
      <c r="F43" s="2"/>
      <c r="G43" s="2"/>
      <c r="H43" s="2"/>
      <c r="I43" s="2"/>
    </row>
    <row r="44">
      <c r="A44" s="1" t="s">
        <v>49</v>
      </c>
      <c r="B44" s="1" t="str">
        <f>IFERROR(__xludf.DUMMYFUNCTION("SPLIT(A44,"";"")"),"AMEPI")</f>
        <v>AMEPI</v>
      </c>
      <c r="C44" s="1">
        <f>IFERROR(__xludf.DUMMYFUNCTION("""COMPUTED_VALUE"""),106.0)</f>
        <v>106</v>
      </c>
      <c r="D44" s="1">
        <v>0.0</v>
      </c>
      <c r="E44" s="2"/>
      <c r="F44" s="2"/>
      <c r="G44" s="2"/>
      <c r="H44" s="2"/>
      <c r="I44" s="2"/>
    </row>
    <row r="45">
      <c r="A45" s="1" t="s">
        <v>50</v>
      </c>
      <c r="B45" s="1" t="str">
        <f>IFERROR(__xludf.DUMMYFUNCTION("SPLIT(A45,"";"")"),"AMICALE BORDELAISE TRACTION AVANT CITROEN")</f>
        <v>AMICALE BORDELAISE TRACTION AVANT CITROEN</v>
      </c>
      <c r="C45" s="1">
        <f>IFERROR(__xludf.DUMMYFUNCTION("""COMPUTED_VALUE"""),340.0)</f>
        <v>340</v>
      </c>
      <c r="D45" s="1">
        <v>0.0</v>
      </c>
      <c r="E45" s="2"/>
      <c r="F45" s="2"/>
      <c r="G45" s="2"/>
      <c r="H45" s="2"/>
      <c r="I45" s="2"/>
    </row>
    <row r="46">
      <c r="A46" s="1" t="s">
        <v>51</v>
      </c>
      <c r="B46" s="1" t="str">
        <f>IFERROR(__xludf.DUMMYFUNCTION("SPLIT(A46,"";"")"),"AMICALE COMORIENNE DE BORDEAUX")</f>
        <v>AMICALE COMORIENNE DE BORDEAUX</v>
      </c>
      <c r="C46" s="1">
        <f>IFERROR(__xludf.DUMMYFUNCTION("""COMPUTED_VALUE"""),102.0)</f>
        <v>102</v>
      </c>
      <c r="D46" s="1">
        <v>0.0</v>
      </c>
      <c r="E46" s="2"/>
      <c r="F46" s="2"/>
      <c r="G46" s="2"/>
      <c r="H46" s="2"/>
      <c r="I46" s="2"/>
    </row>
    <row r="47">
      <c r="A47" s="1" t="s">
        <v>52</v>
      </c>
      <c r="B47" s="1" t="str">
        <f>IFERROR(__xludf.DUMMYFUNCTION("SPLIT(A47,"";"")"),"AMICALE DE LA RESIDENCE DU LAC")</f>
        <v>AMICALE DE LA RESIDENCE DU LAC</v>
      </c>
      <c r="C47" s="1">
        <f>IFERROR(__xludf.DUMMYFUNCTION("""COMPUTED_VALUE"""),178.0)</f>
        <v>178</v>
      </c>
      <c r="D47" s="1">
        <v>0.0</v>
      </c>
      <c r="E47" s="2"/>
      <c r="F47" s="2"/>
      <c r="G47" s="2"/>
      <c r="H47" s="2"/>
      <c r="I47" s="2"/>
    </row>
    <row r="48">
      <c r="A48" s="1" t="s">
        <v>53</v>
      </c>
      <c r="B48" s="1" t="str">
        <f>IFERROR(__xludf.DUMMYFUNCTION("SPLIT(A48,"";"")"),"AMICALE DES ANCIENS DE MARIE-BRIZARD - AAMB")</f>
        <v>AMICALE DES ANCIENS DE MARIE-BRIZARD - AAMB</v>
      </c>
      <c r="C48" s="1">
        <f>IFERROR(__xludf.DUMMYFUNCTION("""COMPUTED_VALUE"""),170.0)</f>
        <v>170</v>
      </c>
      <c r="D48" s="1">
        <v>0.0</v>
      </c>
      <c r="E48" s="2"/>
      <c r="F48" s="2"/>
      <c r="G48" s="2"/>
      <c r="H48" s="2"/>
      <c r="I48" s="2"/>
    </row>
    <row r="49">
      <c r="A49" s="1" t="s">
        <v>54</v>
      </c>
      <c r="B49" s="1" t="str">
        <f>IFERROR(__xludf.DUMMYFUNCTION("SPLIT(A49,"";"")"),"AMICALE DES ANCIENS DES NOUVELLES GALERIES DE BORDEAUX")</f>
        <v>AMICALE DES ANCIENS DES NOUVELLES GALERIES DE BORDEAUX</v>
      </c>
      <c r="C49" s="1">
        <f>IFERROR(__xludf.DUMMYFUNCTION("""COMPUTED_VALUE"""),356.0)</f>
        <v>356</v>
      </c>
      <c r="D49" s="1">
        <v>0.0</v>
      </c>
      <c r="E49" s="2"/>
      <c r="F49" s="2"/>
      <c r="G49" s="2"/>
      <c r="H49" s="2"/>
      <c r="I49" s="2"/>
    </row>
    <row r="50">
      <c r="A50" s="1" t="s">
        <v>55</v>
      </c>
      <c r="B50" s="1" t="str">
        <f>IFERROR(__xludf.DUMMYFUNCTION("SPLIT(A50,"";"")"),"AMICALE DES ANCIENS GUERILLEROS ESPAGNOLS EN FRANCE-FFI - SECTION DE LA GIRONDE")</f>
        <v>AMICALE DES ANCIENS GUERILLEROS ESPAGNOLS EN FRANCE-FFI - SECTION DE LA GIRONDE</v>
      </c>
      <c r="C50" s="1">
        <f>IFERROR(__xludf.DUMMYFUNCTION("""COMPUTED_VALUE"""),34.0)</f>
        <v>34</v>
      </c>
      <c r="D50" s="1">
        <v>0.0</v>
      </c>
      <c r="E50" s="2"/>
      <c r="F50" s="2"/>
      <c r="G50" s="2"/>
      <c r="H50" s="2"/>
      <c r="I50" s="2"/>
    </row>
    <row r="51">
      <c r="A51" s="1" t="s">
        <v>56</v>
      </c>
      <c r="B51" s="1" t="str">
        <f>IFERROR(__xludf.DUMMYFUNCTION("SPLIT(A51,"";"")"),"AMICALE DES AVEYRONNAIS DE BORDEAUX ET GIRONDE")</f>
        <v>AMICALE DES AVEYRONNAIS DE BORDEAUX ET GIRONDE</v>
      </c>
      <c r="C51" s="1">
        <f>IFERROR(__xludf.DUMMYFUNCTION("""COMPUTED_VALUE"""),621.0)</f>
        <v>621</v>
      </c>
      <c r="D51" s="1">
        <v>0.0</v>
      </c>
      <c r="E51" s="2"/>
      <c r="F51" s="2"/>
      <c r="G51" s="2"/>
      <c r="H51" s="2"/>
      <c r="I51" s="2"/>
    </row>
    <row r="52">
      <c r="A52" s="1" t="s">
        <v>57</v>
      </c>
      <c r="B52" s="1" t="str">
        <f>IFERROR(__xludf.DUMMYFUNCTION("SPLIT(A52,"";"")"),"AMICALE DES ETABLISSEMENTS SCOLAIRES LAIQUES DE BACALAN - ALB")</f>
        <v>AMICALE DES ETABLISSEMENTS SCOLAIRES LAIQUES DE BACALAN - ALB</v>
      </c>
      <c r="C52" s="3">
        <f>IFERROR(__xludf.DUMMYFUNCTION("""COMPUTED_VALUE"""),4482.0)</f>
        <v>4482</v>
      </c>
      <c r="D52" s="1">
        <v>14.0</v>
      </c>
      <c r="E52" s="2"/>
      <c r="F52" s="2"/>
      <c r="G52" s="2"/>
      <c r="H52" s="2"/>
      <c r="I52" s="2"/>
    </row>
    <row r="53">
      <c r="A53" s="1" t="s">
        <v>58</v>
      </c>
      <c r="B53" s="1" t="str">
        <f>IFERROR(__xludf.DUMMYFUNCTION("SPLIT(A53,"";"")"),"AMICALE DES PHILIPPEVILLOIS")</f>
        <v>AMICALE DES PHILIPPEVILLOIS</v>
      </c>
      <c r="C53" s="1"/>
      <c r="D53" s="1" t="s">
        <v>59</v>
      </c>
      <c r="E53" s="1">
        <v>0.0</v>
      </c>
      <c r="F53" s="2"/>
      <c r="G53" s="2"/>
      <c r="H53" s="2"/>
      <c r="I53" s="2"/>
    </row>
    <row r="54">
      <c r="A54" s="1" t="s">
        <v>60</v>
      </c>
      <c r="B54" s="1" t="str">
        <f>IFERROR(__xludf.DUMMYFUNCTION("SPLIT(A54,"";"")"),"AMICALE DES RETRAITES U.G.R.R. - I.S.I.C.A. DE BORDEAUX")</f>
        <v>AMICALE DES RETRAITES U.G.R.R. - I.S.I.C.A. DE BORDEAUX</v>
      </c>
      <c r="C54" s="3">
        <f>IFERROR(__xludf.DUMMYFUNCTION("""COMPUTED_VALUE"""),7722.0)</f>
        <v>7722</v>
      </c>
      <c r="D54" s="1">
        <v>0.0</v>
      </c>
      <c r="E54" s="2"/>
      <c r="F54" s="2"/>
      <c r="G54" s="2"/>
      <c r="H54" s="2"/>
      <c r="I54" s="2"/>
    </row>
    <row r="55">
      <c r="A55" s="1" t="s">
        <v>61</v>
      </c>
      <c r="B55" s="1" t="str">
        <f>IFERROR(__xludf.DUMMYFUNCTION("SPLIT(A55,"";"")"),"AMICALE DU PATRONAGE LAIQUE ET DU CONSEIL DE PARENTS D'ELEVES DU GROUPE SCOLAIRE NUYENS")</f>
        <v>AMICALE DU PATRONAGE LAIQUE ET DU CONSEIL DE PARENTS D'ELEVES DU GROUPE SCOLAIRE NUYENS</v>
      </c>
      <c r="C55" s="3">
        <f>IFERROR(__xludf.DUMMYFUNCTION("""COMPUTED_VALUE"""),1432.0)</f>
        <v>1432</v>
      </c>
      <c r="D55" s="1">
        <v>26.0</v>
      </c>
      <c r="E55" s="2"/>
      <c r="F55" s="2"/>
      <c r="G55" s="2"/>
      <c r="H55" s="2"/>
      <c r="I55" s="2"/>
    </row>
    <row r="56">
      <c r="A56" s="1" t="s">
        <v>62</v>
      </c>
      <c r="B56" s="1" t="str">
        <f>IFERROR(__xludf.DUMMYFUNCTION("SPLIT(A56,"";"")"),"AMICALE LAIQUE BORDEAUX CENTRE")</f>
        <v>AMICALE LAIQUE BORDEAUX CENTRE</v>
      </c>
      <c r="C56" s="3">
        <f>IFERROR(__xludf.DUMMYFUNCTION("""COMPUTED_VALUE"""),17008.0)</f>
        <v>17008</v>
      </c>
      <c r="D56" s="1">
        <v>5.0</v>
      </c>
      <c r="E56" s="2"/>
      <c r="F56" s="2"/>
      <c r="G56" s="2"/>
      <c r="H56" s="2"/>
      <c r="I56" s="2"/>
    </row>
    <row r="57">
      <c r="A57" s="1" t="s">
        <v>63</v>
      </c>
      <c r="B57" s="1" t="str">
        <f>IFERROR(__xludf.DUMMYFUNCTION("SPLIT(A57,"";"")"),"AMICALE LAIQUE DAVID JOHNSTON LAGRANGE ALBERT BARRAUD NAUJAC")</f>
        <v>AMICALE LAIQUE DAVID JOHNSTON LAGRANGE ALBERT BARRAUD NAUJAC</v>
      </c>
      <c r="C57" s="1">
        <f>IFERROR(__xludf.DUMMYFUNCTION("""COMPUTED_VALUE"""),72.0)</f>
        <v>72</v>
      </c>
      <c r="D57" s="1">
        <v>0.0</v>
      </c>
      <c r="E57" s="2"/>
      <c r="F57" s="2"/>
      <c r="G57" s="2"/>
      <c r="H57" s="2"/>
      <c r="I57" s="2"/>
    </row>
    <row r="58">
      <c r="A58" s="1" t="s">
        <v>64</v>
      </c>
      <c r="B58" s="1" t="str">
        <f>IFERROR(__xludf.DUMMYFUNCTION("SPLIT(A58,"";"")"),"AMICALE LAIQUE DU GROUPE SCOLAIRE LEONARD-LENOIR - MONTAUD - NUITS")</f>
        <v>AMICALE LAIQUE DU GROUPE SCOLAIRE LEONARD-LENOIR - MONTAUD - NUITS</v>
      </c>
      <c r="C58" s="3">
        <f>IFERROR(__xludf.DUMMYFUNCTION("""COMPUTED_VALUE"""),5715.0)</f>
        <v>5715</v>
      </c>
      <c r="D58" s="1">
        <v>0.0</v>
      </c>
      <c r="E58" s="2"/>
      <c r="F58" s="2"/>
      <c r="G58" s="2"/>
      <c r="H58" s="2"/>
      <c r="I58" s="2"/>
    </row>
    <row r="59">
      <c r="A59" s="1" t="s">
        <v>65</v>
      </c>
      <c r="B59" s="1" t="str">
        <f>IFERROR(__xludf.DUMMYFUNCTION("SPLIT(A59,"";"")"),"AMICALE LAIQUE LEONARD LENOIR")</f>
        <v>AMICALE LAIQUE LEONARD LENOIR</v>
      </c>
      <c r="C59" s="1">
        <f>IFERROR(__xludf.DUMMYFUNCTION("""COMPUTED_VALUE"""),178.0)</f>
        <v>178</v>
      </c>
      <c r="D59" s="1">
        <v>0.0</v>
      </c>
      <c r="E59" s="2"/>
      <c r="F59" s="2"/>
      <c r="G59" s="2"/>
      <c r="H59" s="2"/>
      <c r="I59" s="2"/>
    </row>
    <row r="60">
      <c r="A60" s="1" t="s">
        <v>66</v>
      </c>
      <c r="B60" s="1" t="str">
        <f>IFERROR(__xludf.DUMMYFUNCTION("SPLIT(A60,"";"")"),"AMICALE NATIONALE DES RETRAITES DE L'AUDIOVISUEL")</f>
        <v>AMICALE NATIONALE DES RETRAITES DE L'AUDIOVISUEL</v>
      </c>
      <c r="C60" s="1">
        <f>IFERROR(__xludf.DUMMYFUNCTION("""COMPUTED_VALUE"""),265.0)</f>
        <v>265</v>
      </c>
      <c r="D60" s="1">
        <v>0.0</v>
      </c>
      <c r="E60" s="2"/>
      <c r="F60" s="2"/>
      <c r="G60" s="2"/>
      <c r="H60" s="2"/>
      <c r="I60" s="2"/>
    </row>
    <row r="61">
      <c r="A61" s="1" t="s">
        <v>67</v>
      </c>
      <c r="B61" s="1" t="str">
        <f>IFERROR(__xludf.DUMMYFUNCTION("SPLIT(A61,"";"")"),"AMIS D'ARS ET FIDES BORDEAUX")</f>
        <v>AMIS D'ARS ET FIDES BORDEAUX</v>
      </c>
      <c r="C61" s="3">
        <f>IFERROR(__xludf.DUMMYFUNCTION("""COMPUTED_VALUE"""),5105.0)</f>
        <v>5105</v>
      </c>
      <c r="D61" s="1">
        <v>0.0</v>
      </c>
      <c r="E61" s="2"/>
      <c r="F61" s="2"/>
      <c r="G61" s="2"/>
      <c r="H61" s="2"/>
      <c r="I61" s="2"/>
    </row>
    <row r="62">
      <c r="A62" s="1" t="s">
        <v>68</v>
      </c>
      <c r="B62" s="1" t="str">
        <f>IFERROR(__xludf.DUMMYFUNCTION("SPLIT(A62,"";"")"),"AMIS D'ICI ET D'AILLEURS")</f>
        <v>AMIS D'ICI ET D'AILLEURS</v>
      </c>
      <c r="C62" s="1">
        <f>IFERROR(__xludf.DUMMYFUNCTION("""COMPUTED_VALUE"""),587.0)</f>
        <v>587</v>
      </c>
      <c r="D62" s="1">
        <v>0.0</v>
      </c>
      <c r="E62" s="2"/>
      <c r="F62" s="2"/>
      <c r="G62" s="2"/>
      <c r="H62" s="2"/>
      <c r="I62" s="2"/>
    </row>
    <row r="63">
      <c r="A63" s="1" t="s">
        <v>69</v>
      </c>
      <c r="B63" s="1" t="str">
        <f>IFERROR(__xludf.DUMMYFUNCTION("SPLIT(A63,"";"")"),"AMIS DU CAPC MUSEE")</f>
        <v>AMIS DU CAPC MUSEE</v>
      </c>
      <c r="C63" s="1">
        <f>IFERROR(__xludf.DUMMYFUNCTION("""COMPUTED_VALUE"""),239.0)</f>
        <v>239</v>
      </c>
      <c r="D63" s="1">
        <v>40.0</v>
      </c>
      <c r="E63" s="2"/>
      <c r="F63" s="2"/>
      <c r="G63" s="2"/>
      <c r="H63" s="2"/>
      <c r="I63" s="2"/>
    </row>
    <row r="64">
      <c r="A64" s="1" t="s">
        <v>70</v>
      </c>
      <c r="B64" s="1" t="str">
        <f>IFERROR(__xludf.DUMMYFUNCTION("SPLIT(A64,"";"")"),"AMITIES FRANCAISES")</f>
        <v>AMITIES FRANCAISES</v>
      </c>
      <c r="C64" s="1">
        <f>IFERROR(__xludf.DUMMYFUNCTION("""COMPUTED_VALUE"""),670.0)</f>
        <v>670</v>
      </c>
      <c r="D64" s="1">
        <v>0.0</v>
      </c>
      <c r="E64" s="2"/>
      <c r="F64" s="2"/>
      <c r="G64" s="2"/>
      <c r="H64" s="2"/>
      <c r="I64" s="2"/>
    </row>
    <row r="65">
      <c r="A65" s="1" t="s">
        <v>71</v>
      </c>
      <c r="B65" s="1" t="str">
        <f>IFERROR(__xludf.DUMMYFUNCTION("SPLIT(A65,"";"")"),"AMITIES GENEALOGIQUES BORDELAISES")</f>
        <v>AMITIES GENEALOGIQUES BORDELAISES</v>
      </c>
      <c r="C65" s="3">
        <f>IFERROR(__xludf.DUMMYFUNCTION("""COMPUTED_VALUE"""),5920.0)</f>
        <v>5920</v>
      </c>
      <c r="D65" s="1">
        <v>0.0</v>
      </c>
      <c r="E65" s="2"/>
      <c r="F65" s="2"/>
      <c r="G65" s="2"/>
      <c r="H65" s="2"/>
      <c r="I65" s="2"/>
    </row>
    <row r="66">
      <c r="A66" s="1" t="s">
        <v>72</v>
      </c>
      <c r="B66" s="1" t="str">
        <f>IFERROR(__xludf.DUMMYFUNCTION("SPLIT(A66,"";"")"),"AMNESTY INTERNATIONAL GROUPE 234 DE BORDEAUX CENTRE")</f>
        <v>AMNESTY INTERNATIONAL GROUPE 234 DE BORDEAUX CENTRE</v>
      </c>
      <c r="C66" s="3">
        <f>IFERROR(__xludf.DUMMYFUNCTION("""COMPUTED_VALUE"""),5951.0)</f>
        <v>5951</v>
      </c>
      <c r="D66" s="1">
        <v>68.0</v>
      </c>
      <c r="E66" s="2"/>
      <c r="F66" s="2"/>
      <c r="G66" s="2"/>
      <c r="H66" s="2"/>
      <c r="I66" s="2"/>
    </row>
    <row r="67">
      <c r="A67" s="1" t="s">
        <v>73</v>
      </c>
      <c r="B67" s="1" t="str">
        <f>IFERROR(__xludf.DUMMYFUNCTION("SPLIT(A67,"";"")"),"AMOR DEL TANGO")</f>
        <v>AMOR DEL TANGO</v>
      </c>
      <c r="C67" s="1">
        <f>IFERROR(__xludf.DUMMYFUNCTION("""COMPUTED_VALUE"""),442.0)</f>
        <v>442</v>
      </c>
      <c r="D67" s="1">
        <v>0.0</v>
      </c>
      <c r="E67" s="2"/>
      <c r="F67" s="2"/>
      <c r="G67" s="2"/>
      <c r="H67" s="2"/>
      <c r="I67" s="2"/>
    </row>
    <row r="68">
      <c r="A68" s="1" t="s">
        <v>74</v>
      </c>
      <c r="B68" s="1" t="str">
        <f>IFERROR(__xludf.DUMMYFUNCTION("SPLIT(A68,"";"")"),"ANCIENS BASTIDIENS-CLUB")</f>
        <v>ANCIENS BASTIDIENS-CLUB</v>
      </c>
      <c r="C68" s="3">
        <f>IFERROR(__xludf.DUMMYFUNCTION("""COMPUTED_VALUE"""),7446.0)</f>
        <v>7446</v>
      </c>
      <c r="D68" s="1">
        <v>13.0</v>
      </c>
      <c r="E68" s="2"/>
      <c r="F68" s="2"/>
      <c r="G68" s="2"/>
      <c r="H68" s="2"/>
      <c r="I68" s="2"/>
    </row>
    <row r="69">
      <c r="A69" s="1" t="s">
        <v>75</v>
      </c>
      <c r="B69" s="1" t="str">
        <f>IFERROR(__xludf.DUMMYFUNCTION("SPLIT(A69,"";"")"),"ANIMATIONS VILLAGE SAINT-SEURIN")</f>
        <v>ANIMATIONS VILLAGE SAINT-SEURIN</v>
      </c>
      <c r="C69" s="3">
        <f>IFERROR(__xludf.DUMMYFUNCTION("""COMPUTED_VALUE"""),3573.0)</f>
        <v>3573</v>
      </c>
      <c r="D69" s="1">
        <v>29.0</v>
      </c>
      <c r="E69" s="2"/>
      <c r="F69" s="2"/>
      <c r="G69" s="2"/>
      <c r="H69" s="2"/>
      <c r="I69" s="2"/>
    </row>
    <row r="70">
      <c r="A70" s="1" t="s">
        <v>76</v>
      </c>
      <c r="B70" s="1" t="str">
        <f>IFERROR(__xludf.DUMMYFUNCTION("SPLIT(A70,"";"")"),"ANPAA - ASSOCIATION NATIONALE DE PREVENTION EN ALCOOLOGIE ET EN ADDICTOLOGIE")</f>
        <v>ANPAA - ASSOCIATION NATIONALE DE PREVENTION EN ALCOOLOGIE ET EN ADDICTOLOGIE</v>
      </c>
      <c r="C70" s="1">
        <f>IFERROR(__xludf.DUMMYFUNCTION("""COMPUTED_VALUE"""),92.0)</f>
        <v>92</v>
      </c>
      <c r="D70" s="1">
        <v>0.0</v>
      </c>
      <c r="E70" s="2"/>
      <c r="F70" s="2"/>
      <c r="G70" s="2"/>
      <c r="H70" s="2"/>
      <c r="I70" s="2"/>
    </row>
    <row r="71">
      <c r="A71" s="1" t="s">
        <v>77</v>
      </c>
      <c r="B71" s="1" t="str">
        <f>IFERROR(__xludf.DUMMYFUNCTION("SPLIT(A71,"";"")"),"APNEE 33")</f>
        <v>APNEE 33</v>
      </c>
      <c r="C71" s="3">
        <f>IFERROR(__xludf.DUMMYFUNCTION("""COMPUTED_VALUE"""),7404.0)</f>
        <v>7404</v>
      </c>
      <c r="D71" s="1">
        <v>84.0</v>
      </c>
      <c r="E71" s="2"/>
      <c r="F71" s="2"/>
      <c r="G71" s="2"/>
      <c r="H71" s="2"/>
      <c r="I71" s="2"/>
    </row>
    <row r="72">
      <c r="A72" s="1" t="s">
        <v>78</v>
      </c>
      <c r="B72" s="1" t="str">
        <f>IFERROR(__xludf.DUMMYFUNCTION("SPLIT(A72,"";"")"),"APPEL DES CENT POUR LA PAIX COLLECTIF BORDELAIS")</f>
        <v>APPEL DES CENT POUR LA PAIX COLLECTIF BORDELAIS</v>
      </c>
      <c r="C72" s="1">
        <f>IFERROR(__xludf.DUMMYFUNCTION("""COMPUTED_VALUE"""),476.0)</f>
        <v>476</v>
      </c>
      <c r="D72" s="1">
        <v>58.0</v>
      </c>
      <c r="E72" s="2"/>
      <c r="F72" s="2"/>
      <c r="G72" s="2"/>
      <c r="H72" s="2"/>
      <c r="I72" s="2"/>
    </row>
    <row r="73">
      <c r="A73" s="1" t="s">
        <v>79</v>
      </c>
      <c r="B73" s="1" t="str">
        <f>IFERROR(__xludf.DUMMYFUNCTION("SPLIT(A73,"";"")"),"APPRENDRE AVEC MONTESSORI AUJOURD'HUI")</f>
        <v>APPRENDRE AVEC MONTESSORI AUJOURD'HUI</v>
      </c>
      <c r="C73" s="1">
        <f>IFERROR(__xludf.DUMMYFUNCTION("""COMPUTED_VALUE"""),884.0)</f>
        <v>884</v>
      </c>
      <c r="D73" s="1">
        <v>0.0</v>
      </c>
      <c r="E73" s="2"/>
      <c r="F73" s="2"/>
      <c r="G73" s="2"/>
      <c r="H73" s="2"/>
      <c r="I73" s="2"/>
    </row>
    <row r="74">
      <c r="A74" s="1" t="s">
        <v>80</v>
      </c>
      <c r="B74" s="1" t="str">
        <f>IFERROR(__xludf.DUMMYFUNCTION("SPLIT(A74,"";"")"),"APPRENTIS D'AUTEUIL - DELEGATION AQUITAINE")</f>
        <v>APPRENTIS D'AUTEUIL - DELEGATION AQUITAINE</v>
      </c>
      <c r="C74" s="3">
        <f>IFERROR(__xludf.DUMMYFUNCTION("""COMPUTED_VALUE"""),3858.0)</f>
        <v>3858</v>
      </c>
      <c r="D74" s="1">
        <v>12.0</v>
      </c>
      <c r="E74" s="2"/>
      <c r="F74" s="2"/>
      <c r="G74" s="2"/>
      <c r="H74" s="2"/>
      <c r="I74" s="2"/>
    </row>
    <row r="75">
      <c r="A75" s="1" t="s">
        <v>81</v>
      </c>
      <c r="B75" s="1" t="str">
        <f>IFERROR(__xludf.DUMMYFUNCTION("SPLIT(A75,"";"")"),"AQUATIC BORDEAUX CAUDERAN CLUB - AB2C")</f>
        <v>AQUATIC BORDEAUX CAUDERAN CLUB - AB2C</v>
      </c>
      <c r="C75" s="3">
        <f>IFERROR(__xludf.DUMMYFUNCTION("""COMPUTED_VALUE"""),12974.0)</f>
        <v>12974</v>
      </c>
      <c r="D75" s="1">
        <v>5.0</v>
      </c>
      <c r="E75" s="2"/>
      <c r="F75" s="2"/>
      <c r="G75" s="2"/>
      <c r="H75" s="2"/>
      <c r="I75" s="2"/>
    </row>
    <row r="76">
      <c r="A76" s="1" t="s">
        <v>82</v>
      </c>
      <c r="B76" s="1" t="str">
        <f>IFERROR(__xludf.DUMMYFUNCTION("SPLIT(A76,"";"")"),"AQUINUM - ASSOCIATION DES PROFESSIONNELS DU NUMERIQUE EN AQUITAINE")</f>
        <v>AQUINUM - ASSOCIATION DES PROFESSIONNELS DU NUMERIQUE EN AQUITAINE</v>
      </c>
      <c r="C76" s="3">
        <f>IFERROR(__xludf.DUMMYFUNCTION("""COMPUTED_VALUE"""),1640.0)</f>
        <v>1640</v>
      </c>
      <c r="D76" s="1">
        <v>70.0</v>
      </c>
      <c r="E76" s="2"/>
      <c r="F76" s="2"/>
      <c r="G76" s="2"/>
      <c r="H76" s="2"/>
      <c r="I76" s="2"/>
    </row>
    <row r="77">
      <c r="A77" s="1" t="s">
        <v>83</v>
      </c>
      <c r="B77" s="1" t="str">
        <f>IFERROR(__xludf.DUMMYFUNCTION("SPLIT(A77,"";"")"),"AQUITAINE PLONGEE SPORT NAUTIQUE APSN")</f>
        <v>AQUITAINE PLONGEE SPORT NAUTIQUE APSN</v>
      </c>
      <c r="C77" s="3">
        <f>IFERROR(__xludf.DUMMYFUNCTION("""COMPUTED_VALUE"""),3251.0)</f>
        <v>3251</v>
      </c>
      <c r="D77" s="1">
        <v>13.0</v>
      </c>
      <c r="E77" s="2"/>
      <c r="F77" s="2"/>
      <c r="G77" s="2"/>
      <c r="H77" s="2"/>
      <c r="I77" s="2"/>
    </row>
    <row r="78">
      <c r="A78" s="1" t="s">
        <v>84</v>
      </c>
      <c r="B78" s="1" t="str">
        <f>IFERROR(__xludf.DUMMYFUNCTION("SPLIT(A78,"";"")"),"AQUITAINE PREFI-CRESS")</f>
        <v>AQUITAINE PREFI-CRESS</v>
      </c>
      <c r="C78" s="1">
        <f>IFERROR(__xludf.DUMMYFUNCTION("""COMPUTED_VALUE"""),56.0)</f>
        <v>56</v>
      </c>
      <c r="D78" s="1">
        <v>0.0</v>
      </c>
      <c r="E78" s="2"/>
      <c r="F78" s="2"/>
      <c r="G78" s="2"/>
      <c r="H78" s="2"/>
      <c r="I78" s="2"/>
    </row>
    <row r="79">
      <c r="A79" s="1" t="s">
        <v>85</v>
      </c>
      <c r="B79" s="1" t="str">
        <f>IFERROR(__xludf.DUMMYFUNCTION("SPLIT(A79,"";"")"),"AQUITEC")</f>
        <v>AQUITEC</v>
      </c>
      <c r="C79" s="3">
        <f>IFERROR(__xludf.DUMMYFUNCTION("""COMPUTED_VALUE"""),1117.0)</f>
        <v>1117</v>
      </c>
      <c r="D79" s="1">
        <v>94.0</v>
      </c>
      <c r="E79" s="2"/>
      <c r="F79" s="2"/>
      <c r="G79" s="2"/>
      <c r="H79" s="2"/>
      <c r="I79" s="2"/>
    </row>
    <row r="80">
      <c r="A80" s="1" t="s">
        <v>86</v>
      </c>
      <c r="B80" s="1" t="str">
        <f>IFERROR(__xludf.DUMMYFUNCTION("SPLIT(A80,"";"")"),"ARC EN REVE")</f>
        <v>ARC EN REVE</v>
      </c>
      <c r="C80" s="3">
        <f>IFERROR(__xludf.DUMMYFUNCTION("""COMPUTED_VALUE"""),32738.0)</f>
        <v>32738</v>
      </c>
      <c r="D80" s="1">
        <v>36.0</v>
      </c>
      <c r="E80" s="2"/>
      <c r="F80" s="2"/>
      <c r="G80" s="2"/>
      <c r="H80" s="2"/>
      <c r="I80" s="2"/>
    </row>
    <row r="81">
      <c r="A81" s="1" t="s">
        <v>87</v>
      </c>
      <c r="B81" s="1" t="str">
        <f>IFERROR(__xludf.DUMMYFUNCTION("SPLIT(A81,"";"")"),"ARC'ANGECIEL VOYAGES")</f>
        <v>ARC'ANGECIEL VOYAGES</v>
      </c>
      <c r="C81" s="3">
        <f>IFERROR(__xludf.DUMMYFUNCTION("""COMPUTED_VALUE"""),1219.0)</f>
        <v>1219</v>
      </c>
      <c r="D81" s="1">
        <v>0.0</v>
      </c>
      <c r="E81" s="2"/>
      <c r="F81" s="2"/>
      <c r="G81" s="2"/>
      <c r="H81" s="2"/>
      <c r="I81" s="2"/>
    </row>
    <row r="82">
      <c r="A82" s="1" t="s">
        <v>88</v>
      </c>
      <c r="B82" s="1" t="str">
        <f>IFERROR(__xludf.DUMMYFUNCTION("SPLIT(A82,"";"")"),"ARCHIMUSE - BORDEAUX")</f>
        <v>ARCHIMUSE - BORDEAUX</v>
      </c>
      <c r="C82" s="1">
        <f>IFERROR(__xludf.DUMMYFUNCTION("""COMPUTED_VALUE"""),193.0)</f>
        <v>193</v>
      </c>
      <c r="D82" s="1">
        <v>50.0</v>
      </c>
      <c r="E82" s="2"/>
      <c r="F82" s="2"/>
      <c r="G82" s="2"/>
      <c r="H82" s="2"/>
      <c r="I82" s="2"/>
    </row>
    <row r="83">
      <c r="A83" s="1" t="s">
        <v>89</v>
      </c>
      <c r="B83" s="1" t="str">
        <f>IFERROR(__xludf.DUMMYFUNCTION("SPLIT(A83,"";"")"),"AREPT")</f>
        <v>AREPT</v>
      </c>
      <c r="C83" s="1">
        <f>IFERROR(__xludf.DUMMYFUNCTION("""COMPUTED_VALUE"""),34.0)</f>
        <v>34</v>
      </c>
      <c r="D83" s="1">
        <v>0.0</v>
      </c>
      <c r="E83" s="2"/>
      <c r="F83" s="2"/>
      <c r="G83" s="2"/>
      <c r="H83" s="2"/>
      <c r="I83" s="2"/>
    </row>
    <row r="84">
      <c r="A84" s="1" t="s">
        <v>90</v>
      </c>
      <c r="B84" s="1" t="str">
        <f>IFERROR(__xludf.DUMMYFUNCTION("SPLIT(A84,"";"")"),"ART EN ACTION - TIC-TAC THEATRE")</f>
        <v>ART EN ACTION - TIC-TAC THEATRE</v>
      </c>
      <c r="C84" s="1">
        <f>IFERROR(__xludf.DUMMYFUNCTION("""COMPUTED_VALUE"""),443.0)</f>
        <v>443</v>
      </c>
      <c r="D84" s="1">
        <v>0.0</v>
      </c>
      <c r="E84" s="2"/>
      <c r="F84" s="2"/>
      <c r="G84" s="2"/>
      <c r="H84" s="2"/>
      <c r="I84" s="2"/>
    </row>
    <row r="85">
      <c r="A85" s="1" t="s">
        <v>91</v>
      </c>
      <c r="B85" s="1" t="str">
        <f>IFERROR(__xludf.DUMMYFUNCTION("SPLIT(A85,"";"")"),"ART EN PRODUCTION")</f>
        <v>ART EN PRODUCTION</v>
      </c>
      <c r="C85" s="1">
        <f>IFERROR(__xludf.DUMMYFUNCTION("""COMPUTED_VALUE"""),320.0)</f>
        <v>320</v>
      </c>
      <c r="D85" s="1">
        <v>0.0</v>
      </c>
      <c r="E85" s="2"/>
      <c r="F85" s="2"/>
      <c r="G85" s="2"/>
      <c r="H85" s="2"/>
      <c r="I85" s="2"/>
    </row>
    <row r="86">
      <c r="A86" s="1" t="s">
        <v>92</v>
      </c>
      <c r="B86" s="1" t="str">
        <f>IFERROR(__xludf.DUMMYFUNCTION("SPLIT(A86,"";"")"),"ART MEDIUM EN SCENES")</f>
        <v>ART MEDIUM EN SCENES</v>
      </c>
      <c r="C86" s="1">
        <f>IFERROR(__xludf.DUMMYFUNCTION("""COMPUTED_VALUE"""),774.0)</f>
        <v>774</v>
      </c>
      <c r="D86" s="1">
        <v>0.0</v>
      </c>
      <c r="E86" s="2"/>
      <c r="F86" s="2"/>
      <c r="G86" s="2"/>
      <c r="H86" s="2"/>
      <c r="I86" s="2"/>
    </row>
    <row r="87">
      <c r="A87" s="1" t="s">
        <v>93</v>
      </c>
      <c r="B87" s="1" t="str">
        <f>IFERROR(__xludf.DUMMYFUNCTION("SPLIT(A87,"";"")"),"ART PASTEL")</f>
        <v>ART PASTEL</v>
      </c>
      <c r="C87" s="3">
        <f>IFERROR(__xludf.DUMMYFUNCTION("""COMPUTED_VALUE"""),1413.0)</f>
        <v>1413</v>
      </c>
      <c r="D87" s="1">
        <v>68.0</v>
      </c>
      <c r="E87" s="2"/>
      <c r="F87" s="2"/>
      <c r="G87" s="2"/>
      <c r="H87" s="2"/>
      <c r="I87" s="2"/>
    </row>
    <row r="88">
      <c r="A88" s="1" t="s">
        <v>94</v>
      </c>
      <c r="B88" s="1" t="str">
        <f>IFERROR(__xludf.DUMMYFUNCTION("SPLIT(A88,"";"")"),"ARTISANS DU MONDE BORDEAUX")</f>
        <v>ARTISANS DU MONDE BORDEAUX</v>
      </c>
      <c r="C88" s="1">
        <f>IFERROR(__xludf.DUMMYFUNCTION("""COMPUTED_VALUE"""),425.0)</f>
        <v>425</v>
      </c>
      <c r="D88" s="1">
        <v>34.0</v>
      </c>
      <c r="E88" s="2"/>
      <c r="F88" s="2"/>
      <c r="G88" s="2"/>
      <c r="H88" s="2"/>
      <c r="I88" s="2"/>
    </row>
    <row r="89">
      <c r="A89" s="1" t="s">
        <v>95</v>
      </c>
      <c r="B89" s="1" t="str">
        <f>IFERROR(__xludf.DUMMYFUNCTION("SPLIT(A89,"";"")"),"ARTS CROISES")</f>
        <v>ARTS CROISES</v>
      </c>
      <c r="C89" s="1">
        <f>IFERROR(__xludf.DUMMYFUNCTION("""COMPUTED_VALUE"""),34.0)</f>
        <v>34</v>
      </c>
      <c r="D89" s="1">
        <v>0.0</v>
      </c>
      <c r="E89" s="2"/>
      <c r="F89" s="2"/>
      <c r="G89" s="2"/>
      <c r="H89" s="2"/>
      <c r="I89" s="2"/>
    </row>
    <row r="90">
      <c r="A90" s="1" t="s">
        <v>96</v>
      </c>
      <c r="B90" s="1" t="str">
        <f>IFERROR(__xludf.DUMMYFUNCTION("SPLIT(A90,"";"")"),"ARTS ET COMMUNICATION DU MONDE - ACM")</f>
        <v>ARTS ET COMMUNICATION DU MONDE - ACM</v>
      </c>
      <c r="C90" s="3">
        <f>IFERROR(__xludf.DUMMYFUNCTION("""COMPUTED_VALUE"""),4462.0)</f>
        <v>4462</v>
      </c>
      <c r="D90" s="1">
        <v>72.0</v>
      </c>
      <c r="E90" s="2"/>
      <c r="F90" s="2"/>
      <c r="G90" s="2"/>
      <c r="H90" s="2"/>
      <c r="I90" s="2"/>
    </row>
    <row r="91">
      <c r="A91" s="1" t="s">
        <v>97</v>
      </c>
      <c r="B91" s="1" t="str">
        <f>IFERROR(__xludf.DUMMYFUNCTION("SPLIT(A91,"";"")"),"ARTS ET LETTRES DE FRANCE ASSOCIATION CULTURELLE INTERNATIONALE")</f>
        <v>ARTS ET LETTRES DE FRANCE ASSOCIATION CULTURELLE INTERNATIONALE</v>
      </c>
      <c r="C91" s="3">
        <f>IFERROR(__xludf.DUMMYFUNCTION("""COMPUTED_VALUE"""),1056.0)</f>
        <v>1056</v>
      </c>
      <c r="D91" s="1">
        <v>0.0</v>
      </c>
      <c r="E91" s="2"/>
      <c r="F91" s="2"/>
      <c r="G91" s="2"/>
      <c r="H91" s="2"/>
      <c r="I91" s="2"/>
    </row>
    <row r="92">
      <c r="A92" s="1" t="s">
        <v>98</v>
      </c>
      <c r="B92" s="1" t="str">
        <f>IFERROR(__xludf.DUMMYFUNCTION("SPLIT(A92,"";"")"),"ARTS ET SCIENCES")</f>
        <v>ARTS ET SCIENCES</v>
      </c>
      <c r="C92" s="1">
        <f>IFERROR(__xludf.DUMMYFUNCTION("""COMPUTED_VALUE"""),374.0)</f>
        <v>374</v>
      </c>
      <c r="D92" s="1">
        <v>0.0</v>
      </c>
      <c r="E92" s="2"/>
      <c r="F92" s="2"/>
      <c r="G92" s="2"/>
      <c r="H92" s="2"/>
      <c r="I92" s="2"/>
    </row>
    <row r="93">
      <c r="A93" s="1" t="s">
        <v>99</v>
      </c>
      <c r="B93" s="1" t="str">
        <f>IFERROR(__xludf.DUMMYFUNCTION("SPLIT(A93,"";"")"),"ARTS MARTIAUX ET BIEN ETRE")</f>
        <v>ARTS MARTIAUX ET BIEN ETRE</v>
      </c>
      <c r="C93" s="3">
        <f>IFERROR(__xludf.DUMMYFUNCTION("""COMPUTED_VALUE"""),1770.0)</f>
        <v>1770</v>
      </c>
      <c r="D93" s="1">
        <v>0.0</v>
      </c>
      <c r="E93" s="2"/>
      <c r="F93" s="2"/>
      <c r="G93" s="2"/>
      <c r="H93" s="2"/>
      <c r="I93" s="2"/>
    </row>
    <row r="94">
      <c r="A94" s="1" t="s">
        <v>100</v>
      </c>
      <c r="B94" s="1" t="str">
        <f>IFERROR(__xludf.DUMMYFUNCTION("SPLIT(A94,"";"")"),"ARTS MARTIAUX SHAOLIN BORDEAUX")</f>
        <v>ARTS MARTIAUX SHAOLIN BORDEAUX</v>
      </c>
      <c r="C94" s="3">
        <f>IFERROR(__xludf.DUMMYFUNCTION("""COMPUTED_VALUE"""),6939.0)</f>
        <v>6939</v>
      </c>
      <c r="D94" s="1">
        <v>0.0</v>
      </c>
      <c r="E94" s="2"/>
      <c r="F94" s="2"/>
      <c r="G94" s="2"/>
      <c r="H94" s="2"/>
      <c r="I94" s="2"/>
    </row>
    <row r="95">
      <c r="A95" s="1" t="s">
        <v>101</v>
      </c>
      <c r="B95" s="1" t="str">
        <f>IFERROR(__xludf.DUMMYFUNCTION("SPLIT(A95,"";"")"),"ARTS MARTIAUX TRADITIONNELS BORDELAIS")</f>
        <v>ARTS MARTIAUX TRADITIONNELS BORDELAIS</v>
      </c>
      <c r="C95" s="3">
        <f>IFERROR(__xludf.DUMMYFUNCTION("""COMPUTED_VALUE"""),7947.0)</f>
        <v>7947</v>
      </c>
      <c r="D95" s="1">
        <v>0.0</v>
      </c>
      <c r="E95" s="2"/>
      <c r="F95" s="2"/>
      <c r="G95" s="2"/>
      <c r="H95" s="2"/>
      <c r="I95" s="2"/>
    </row>
    <row r="96">
      <c r="A96" s="1" t="s">
        <v>102</v>
      </c>
      <c r="B96" s="1" t="str">
        <f>IFERROR(__xludf.DUMMYFUNCTION("SPLIT(A96,"";"")"),"ASAD DE BORDEAUX")</f>
        <v>ASAD DE BORDEAUX</v>
      </c>
      <c r="C96" s="1"/>
      <c r="D96" s="1" t="s">
        <v>103</v>
      </c>
      <c r="E96" s="1">
        <v>0.0</v>
      </c>
      <c r="F96" s="2"/>
      <c r="G96" s="2"/>
      <c r="H96" s="2"/>
      <c r="I96" s="2"/>
    </row>
    <row r="97">
      <c r="A97" s="1" t="s">
        <v>104</v>
      </c>
      <c r="B97" s="1" t="str">
        <f>IFERROR(__xludf.DUMMYFUNCTION("SPLIT(A97,"";"")"),"ASC BNP PARIBAS BX TT")</f>
        <v>ASC BNP PARIBAS BX TT</v>
      </c>
      <c r="C97" s="3">
        <f>IFERROR(__xludf.DUMMYFUNCTION("""COMPUTED_VALUE"""),7848.0)</f>
        <v>7848</v>
      </c>
      <c r="D97" s="1">
        <v>0.0</v>
      </c>
      <c r="E97" s="2"/>
      <c r="F97" s="2"/>
      <c r="G97" s="2"/>
      <c r="H97" s="2"/>
      <c r="I97" s="2"/>
    </row>
    <row r="98">
      <c r="A98" s="1" t="s">
        <v>105</v>
      </c>
      <c r="B98" s="1" t="str">
        <f>IFERROR(__xludf.DUMMYFUNCTION("SPLIT(A98,"";"")"),"ASPER 33")</f>
        <v>ASPER 33</v>
      </c>
      <c r="C98" s="1">
        <f>IFERROR(__xludf.DUMMYFUNCTION("""COMPUTED_VALUE"""),34.0)</f>
        <v>34</v>
      </c>
      <c r="D98" s="1">
        <v>0.0</v>
      </c>
      <c r="E98" s="2"/>
      <c r="F98" s="2"/>
      <c r="G98" s="2"/>
      <c r="H98" s="2"/>
      <c r="I98" s="2"/>
    </row>
    <row r="99">
      <c r="A99" s="1" t="s">
        <v>106</v>
      </c>
      <c r="B99" s="1" t="str">
        <f>IFERROR(__xludf.DUMMYFUNCTION("SPLIT(A99,"";"")"),"ASSOCIATION ""LA BOULANGERIE""")</f>
        <v>ASSOCIATION "LA BOULANGERIE"</v>
      </c>
      <c r="C99" s="1">
        <f>IFERROR(__xludf.DUMMYFUNCTION("""COMPUTED_VALUE"""),610.0)</f>
        <v>610</v>
      </c>
      <c r="D99" s="1">
        <v>0.0</v>
      </c>
      <c r="E99" s="2"/>
      <c r="F99" s="2"/>
      <c r="G99" s="2"/>
      <c r="H99" s="2"/>
      <c r="I99" s="2"/>
    </row>
    <row r="100">
      <c r="A100" s="1" t="s">
        <v>107</v>
      </c>
      <c r="B100" s="1" t="str">
        <f>IFERROR(__xludf.DUMMYFUNCTION("SPLIT(A100,"";"")"),"ASSOCIATION AFRICAN SOLIDARITE FRANCE (AASF)")</f>
        <v>ASSOCIATION AFRICAN SOLIDARITE FRANCE (AASF)</v>
      </c>
      <c r="C100" s="1">
        <f>IFERROR(__xludf.DUMMYFUNCTION("""COMPUTED_VALUE"""),212.0)</f>
        <v>212</v>
      </c>
      <c r="D100" s="1">
        <v>0.0</v>
      </c>
      <c r="E100" s="2"/>
      <c r="F100" s="2"/>
      <c r="G100" s="2"/>
      <c r="H100" s="2"/>
      <c r="I100" s="2"/>
    </row>
    <row r="101">
      <c r="A101" s="1" t="s">
        <v>108</v>
      </c>
      <c r="B101" s="1" t="str">
        <f>IFERROR(__xludf.DUMMYFUNCTION("SPLIT(A101,"";"")"),"ASSOCIATION AMITIE LAO MEKONG DE LA GIRONDE")</f>
        <v>ASSOCIATION AMITIE LAO MEKONG DE LA GIRONDE</v>
      </c>
      <c r="C101" s="1">
        <f>IFERROR(__xludf.DUMMYFUNCTION("""COMPUTED_VALUE"""),442.0)</f>
        <v>442</v>
      </c>
      <c r="D101" s="1">
        <v>0.0</v>
      </c>
      <c r="E101" s="2"/>
      <c r="F101" s="2"/>
      <c r="G101" s="2"/>
      <c r="H101" s="2"/>
      <c r="I101" s="2"/>
    </row>
    <row r="102">
      <c r="A102" s="1" t="s">
        <v>109</v>
      </c>
      <c r="B102" s="1" t="str">
        <f>IFERROR(__xludf.DUMMYFUNCTION("SPLIT(A102,"";"")"),"ASSOCIATION AQUITAINE DE QUILLES FINLANDAISES (QUIF)")</f>
        <v>ASSOCIATION AQUITAINE DE QUILLES FINLANDAISES (QUIF)</v>
      </c>
      <c r="C102" s="1">
        <f>IFERROR(__xludf.DUMMYFUNCTION("""COMPUTED_VALUE"""),24.0)</f>
        <v>24</v>
      </c>
      <c r="D102" s="1">
        <v>0.0</v>
      </c>
      <c r="E102" s="2"/>
      <c r="F102" s="2"/>
      <c r="G102" s="2"/>
      <c r="H102" s="2"/>
      <c r="I102" s="2"/>
    </row>
    <row r="103">
      <c r="A103" s="1" t="s">
        <v>110</v>
      </c>
      <c r="B103" s="1" t="str">
        <f>IFERROR(__xludf.DUMMYFUNCTION("SPLIT(A103,"";"")"),"ASSOCIATION ARTS &amp; RENCONTRES")</f>
        <v>ASSOCIATION ARTS &amp; RENCONTRES</v>
      </c>
      <c r="C103" s="1">
        <f>IFERROR(__xludf.DUMMYFUNCTION("""COMPUTED_VALUE"""),459.0)</f>
        <v>459</v>
      </c>
      <c r="D103" s="1">
        <v>0.0</v>
      </c>
      <c r="E103" s="2"/>
      <c r="F103" s="2"/>
      <c r="G103" s="2"/>
      <c r="H103" s="2"/>
      <c r="I103" s="2"/>
    </row>
    <row r="104">
      <c r="A104" s="1" t="s">
        <v>111</v>
      </c>
      <c r="B104" s="1" t="str">
        <f>IFERROR(__xludf.DUMMYFUNCTION("SPLIT(A104,"";"")"),"ASSOCIATION AUTONOME DES PARENTS D'ELEVES DE BORDEAUX : ECOLES JEAN COCTEAU")</f>
        <v>ASSOCIATION AUTONOME DES PARENTS D'ELEVES DE BORDEAUX : ECOLES JEAN COCTEAU</v>
      </c>
      <c r="C104" s="1">
        <f>IFERROR(__xludf.DUMMYFUNCTION("""COMPUTED_VALUE"""),530.0)</f>
        <v>530</v>
      </c>
      <c r="D104" s="1">
        <v>0.0</v>
      </c>
      <c r="E104" s="2"/>
      <c r="F104" s="2"/>
      <c r="G104" s="2"/>
      <c r="H104" s="2"/>
      <c r="I104" s="2"/>
    </row>
    <row r="105">
      <c r="A105" s="1" t="s">
        <v>112</v>
      </c>
      <c r="B105" s="1" t="str">
        <f>IFERROR(__xludf.DUMMYFUNCTION("SPLIT(A105,"";"")"),"ASSOCIATION BI-IZARRAK (LES DEUX ETOILES)")</f>
        <v>ASSOCIATION BI-IZARRAK (LES DEUX ETOILES)</v>
      </c>
      <c r="C105" s="3">
        <f>IFERROR(__xludf.DUMMYFUNCTION("""COMPUTED_VALUE"""),1286.0)</f>
        <v>1286</v>
      </c>
      <c r="D105" s="1">
        <v>7.0</v>
      </c>
      <c r="E105" s="2"/>
      <c r="F105" s="2"/>
      <c r="G105" s="2"/>
      <c r="H105" s="2"/>
      <c r="I105" s="2"/>
    </row>
    <row r="106">
      <c r="A106" s="1" t="s">
        <v>113</v>
      </c>
      <c r="B106" s="1" t="str">
        <f>IFERROR(__xludf.DUMMYFUNCTION("SPLIT(A106,"";"")"),"ASSOCIATION BORDEAUX - USA")</f>
        <v>ASSOCIATION BORDEAUX - USA</v>
      </c>
      <c r="C106" s="3">
        <f>IFERROR(__xludf.DUMMYFUNCTION("""COMPUTED_VALUE"""),2546.0)</f>
        <v>2546</v>
      </c>
      <c r="D106" s="1">
        <v>77.0</v>
      </c>
      <c r="E106" s="2"/>
      <c r="F106" s="2"/>
      <c r="G106" s="2"/>
      <c r="H106" s="2"/>
      <c r="I106" s="2"/>
    </row>
    <row r="107">
      <c r="A107" s="1" t="s">
        <v>114</v>
      </c>
      <c r="B107" s="1" t="str">
        <f>IFERROR(__xludf.DUMMYFUNCTION("SPLIT(A107,"";"")"),"ASSOCIATION BORDEAUX CULTURE GRAPPLING (ABC GRAPPLING)")</f>
        <v>ASSOCIATION BORDEAUX CULTURE GRAPPLING (ABC GRAPPLING)</v>
      </c>
      <c r="C107" s="3">
        <f>IFERROR(__xludf.DUMMYFUNCTION("""COMPUTED_VALUE"""),4680.0)</f>
        <v>4680</v>
      </c>
      <c r="D107" s="1">
        <v>0.0</v>
      </c>
      <c r="E107" s="2"/>
      <c r="F107" s="2"/>
      <c r="G107" s="2"/>
      <c r="H107" s="2"/>
      <c r="I107" s="2"/>
    </row>
    <row r="108">
      <c r="A108" s="1" t="s">
        <v>115</v>
      </c>
      <c r="B108" s="1" t="str">
        <f>IFERROR(__xludf.DUMMYFUNCTION("SPLIT(A108,"";"")"),"ASSOCIATION BORDEAUX QUINCONCES")</f>
        <v>ASSOCIATION BORDEAUX QUINCONCES</v>
      </c>
      <c r="C108" s="3">
        <f>IFERROR(__xludf.DUMMYFUNCTION("""COMPUTED_VALUE"""),16603.0)</f>
        <v>16603</v>
      </c>
      <c r="D108" s="1">
        <v>14.0</v>
      </c>
      <c r="E108" s="2"/>
      <c r="F108" s="2"/>
      <c r="G108" s="2"/>
      <c r="H108" s="2"/>
      <c r="I108" s="2"/>
    </row>
    <row r="109">
      <c r="A109" s="1" t="s">
        <v>116</v>
      </c>
      <c r="B109" s="1" t="str">
        <f>IFERROR(__xludf.DUMMYFUNCTION("SPLIT(A109,"";"")"),"ASSOCIATION BORDEAUX-COMPOSTELLE HOSPITALITE SAINT-JACQUES")</f>
        <v>ASSOCIATION BORDEAUX-COMPOSTELLE HOSPITALITE SAINT-JACQUES</v>
      </c>
      <c r="C109" s="1">
        <f>IFERROR(__xludf.DUMMYFUNCTION("""COMPUTED_VALUE"""),556.0)</f>
        <v>556</v>
      </c>
      <c r="D109" s="1">
        <v>0.0</v>
      </c>
      <c r="E109" s="2"/>
      <c r="F109" s="2"/>
      <c r="G109" s="2"/>
      <c r="H109" s="2"/>
      <c r="I109" s="2"/>
    </row>
    <row r="110">
      <c r="A110" s="1" t="s">
        <v>117</v>
      </c>
      <c r="B110" s="1" t="str">
        <f>IFERROR(__xludf.DUMMYFUNCTION("SPLIT(A110,"";"")"),"ASSOCIATION BORDEAUX-TANESSE")</f>
        <v>ASSOCIATION BORDEAUX-TANESSE</v>
      </c>
      <c r="C110" s="1">
        <f>IFERROR(__xludf.DUMMYFUNCTION("""COMPUTED_VALUE"""),7.0)</f>
        <v>7</v>
      </c>
      <c r="D110" s="1">
        <v>42.0</v>
      </c>
      <c r="E110" s="2"/>
      <c r="F110" s="2"/>
      <c r="G110" s="2"/>
      <c r="H110" s="2"/>
      <c r="I110" s="2"/>
    </row>
    <row r="111">
      <c r="A111" s="1" t="s">
        <v>118</v>
      </c>
      <c r="B111" s="1" t="str">
        <f>IFERROR(__xludf.DUMMYFUNCTION("SPLIT(A111,"";"")"),"ASSOCIATION BORDELAISE DE TAEKWONDO INTERNATIONAL ATLANTICA")</f>
        <v>ASSOCIATION BORDELAISE DE TAEKWONDO INTERNATIONAL ATLANTICA</v>
      </c>
      <c r="C111" s="3">
        <f>IFERROR(__xludf.DUMMYFUNCTION("""COMPUTED_VALUE"""),4014.0)</f>
        <v>4014</v>
      </c>
      <c r="D111" s="1">
        <v>0.0</v>
      </c>
      <c r="E111" s="2"/>
      <c r="F111" s="2"/>
      <c r="G111" s="2"/>
      <c r="H111" s="2"/>
      <c r="I111" s="2"/>
    </row>
    <row r="112">
      <c r="A112" s="1" t="s">
        <v>119</v>
      </c>
      <c r="B112" s="1" t="str">
        <f>IFERROR(__xludf.DUMMYFUNCTION("SPLIT(A112,"";"")"),"ASSOCIATION BULGARE CULTURELLE - ABC")</f>
        <v>ASSOCIATION BULGARE CULTURELLE - ABC</v>
      </c>
      <c r="C112" s="3">
        <f>IFERROR(__xludf.DUMMYFUNCTION("""COMPUTED_VALUE"""),9349.0)</f>
        <v>9349</v>
      </c>
      <c r="D112" s="1">
        <v>0.0</v>
      </c>
      <c r="E112" s="2"/>
      <c r="F112" s="2"/>
      <c r="G112" s="2"/>
      <c r="H112" s="2"/>
      <c r="I112" s="2"/>
    </row>
    <row r="113">
      <c r="A113" s="1" t="s">
        <v>120</v>
      </c>
      <c r="B113" s="1" t="str">
        <f>IFERROR(__xludf.DUMMYFUNCTION("SPLIT(A113,"";"")"),"ASSOCIATION COEXISTER")</f>
        <v>ASSOCIATION COEXISTER</v>
      </c>
      <c r="C113" s="1">
        <f>IFERROR(__xludf.DUMMYFUNCTION("""COMPUTED_VALUE"""),540.0)</f>
        <v>540</v>
      </c>
      <c r="D113" s="1">
        <v>0.0</v>
      </c>
      <c r="E113" s="2"/>
      <c r="F113" s="2"/>
      <c r="G113" s="2"/>
      <c r="H113" s="2"/>
      <c r="I113" s="2"/>
    </row>
    <row r="114">
      <c r="A114" s="1" t="s">
        <v>121</v>
      </c>
      <c r="B114" s="1" t="str">
        <f>IFERROR(__xludf.DUMMYFUNCTION("SPLIT(A114,"";"")"),"ASSOCIATION COMUNIDAD")</f>
        <v>ASSOCIATION COMUNIDAD</v>
      </c>
      <c r="C114" s="1">
        <f>IFERROR(__xludf.DUMMYFUNCTION("""COMPUTED_VALUE"""),790.0)</f>
        <v>790</v>
      </c>
      <c r="D114" s="1">
        <v>0.0</v>
      </c>
      <c r="E114" s="2"/>
      <c r="F114" s="2"/>
      <c r="G114" s="2"/>
      <c r="H114" s="2"/>
      <c r="I114" s="2"/>
    </row>
    <row r="115">
      <c r="A115" s="1" t="s">
        <v>122</v>
      </c>
      <c r="B115" s="1" t="str">
        <f>IFERROR(__xludf.DUMMYFUNCTION("SPLIT(A115,"";"")"),"ASSOCIATION CONTRE LA TUBERCULOSE ET LES MALADIES ENDEMIQUES - ACTUME")</f>
        <v>ASSOCIATION CONTRE LA TUBERCULOSE ET LES MALADIES ENDEMIQUES - ACTUME</v>
      </c>
      <c r="C115" s="3">
        <f>IFERROR(__xludf.DUMMYFUNCTION("""COMPUTED_VALUE"""),1857.0)</f>
        <v>1857</v>
      </c>
      <c r="D115" s="1">
        <v>14.0</v>
      </c>
      <c r="E115" s="2"/>
      <c r="F115" s="2"/>
      <c r="G115" s="2"/>
      <c r="H115" s="2"/>
      <c r="I115" s="2"/>
    </row>
    <row r="116">
      <c r="A116" s="1" t="s">
        <v>123</v>
      </c>
      <c r="B116" s="1" t="str">
        <f>IFERROR(__xludf.DUMMYFUNCTION("SPLIT(A116,"";"")"),"ASSOCIATION COOPERATIVE DE L'INSTITUT UNIVERSITAIRE DE TECHNOLOGIE")</f>
        <v>ASSOCIATION COOPERATIVE DE L'INSTITUT UNIVERSITAIRE DE TECHNOLOGIE</v>
      </c>
      <c r="C116" s="1">
        <f>IFERROR(__xludf.DUMMYFUNCTION("""COMPUTED_VALUE"""),286.0)</f>
        <v>286</v>
      </c>
      <c r="D116" s="1">
        <v>0.0</v>
      </c>
      <c r="E116" s="2"/>
      <c r="F116" s="2"/>
      <c r="G116" s="2"/>
      <c r="H116" s="2"/>
      <c r="I116" s="2"/>
    </row>
    <row r="117">
      <c r="A117" s="1" t="s">
        <v>124</v>
      </c>
      <c r="B117" s="1" t="str">
        <f>IFERROR(__xludf.DUMMYFUNCTION("SPLIT(A117,"";"")"),"ASSOCIATION CREMATISTE DE LA GIRONDE")</f>
        <v>ASSOCIATION CREMATISTE DE LA GIRONDE</v>
      </c>
      <c r="C117" s="1">
        <f>IFERROR(__xludf.DUMMYFUNCTION("""COMPUTED_VALUE"""),120.0)</f>
        <v>120</v>
      </c>
      <c r="D117" s="1">
        <v>42.0</v>
      </c>
      <c r="E117" s="2"/>
      <c r="F117" s="2"/>
      <c r="G117" s="2"/>
      <c r="H117" s="2"/>
      <c r="I117" s="2"/>
    </row>
    <row r="118">
      <c r="A118" s="1" t="s">
        <v>125</v>
      </c>
      <c r="B118" s="1" t="str">
        <f>IFERROR(__xludf.DUMMYFUNCTION("SPLIT(A118,"";"")"),"ASSOCIATION CULTURE ET MUSIQUE DE L'ESTUAIRE - ACME")</f>
        <v>ASSOCIATION CULTURE ET MUSIQUE DE L'ESTUAIRE - ACME</v>
      </c>
      <c r="C118" s="1">
        <f>IFERROR(__xludf.DUMMYFUNCTION("""COMPUTED_VALUE"""),40.0)</f>
        <v>40</v>
      </c>
      <c r="D118" s="1">
        <v>80.0</v>
      </c>
      <c r="E118" s="2"/>
      <c r="F118" s="2"/>
      <c r="G118" s="2"/>
      <c r="H118" s="2"/>
      <c r="I118" s="2"/>
    </row>
    <row r="119">
      <c r="A119" s="1" t="s">
        <v>126</v>
      </c>
      <c r="B119" s="1" t="str">
        <f>IFERROR(__xludf.DUMMYFUNCTION("SPLIT(A119,"";"")"),"ASSOCIATION CULTURELLE DES ALEVIS DE GIRONDE")</f>
        <v>ASSOCIATION CULTURELLE DES ALEVIS DE GIRONDE</v>
      </c>
      <c r="C119" s="1">
        <f>IFERROR(__xludf.DUMMYFUNCTION("""COMPUTED_VALUE"""),852.0)</f>
        <v>852</v>
      </c>
      <c r="D119" s="1">
        <v>0.0</v>
      </c>
      <c r="E119" s="2"/>
      <c r="F119" s="2"/>
      <c r="G119" s="2"/>
      <c r="H119" s="2"/>
      <c r="I119" s="2"/>
    </row>
    <row r="120">
      <c r="A120" s="1" t="s">
        <v>127</v>
      </c>
      <c r="B120" s="1" t="str">
        <f>IFERROR(__xludf.DUMMYFUNCTION("SPLIT(A120,"";"")"),"ASSOCIATION CULTURELLE DES ELEVES DU LYCEE MONTESQUIEU - ACELM")</f>
        <v>ASSOCIATION CULTURELLE DES ELEVES DU LYCEE MONTESQUIEU - ACELM</v>
      </c>
      <c r="C120" s="1">
        <f>IFERROR(__xludf.DUMMYFUNCTION("""COMPUTED_VALUE"""),587.0)</f>
        <v>587</v>
      </c>
      <c r="D120" s="1">
        <v>0.0</v>
      </c>
      <c r="E120" s="2"/>
      <c r="F120" s="2"/>
      <c r="G120" s="2"/>
      <c r="H120" s="2"/>
      <c r="I120" s="2"/>
    </row>
    <row r="121">
      <c r="A121" s="1" t="s">
        <v>128</v>
      </c>
      <c r="B121" s="1" t="str">
        <f>IFERROR(__xludf.DUMMYFUNCTION("SPLIT(A121,"";"")"),"ASSOCIATION CULTURELLE DES KABYLES DE BORDEAUX (ACKB)")</f>
        <v>ASSOCIATION CULTURELLE DES KABYLES DE BORDEAUX (ACKB)</v>
      </c>
      <c r="C121" s="1">
        <f>IFERROR(__xludf.DUMMYFUNCTION("""COMPUTED_VALUE"""),166.0)</f>
        <v>166</v>
      </c>
      <c r="D121" s="1">
        <v>0.0</v>
      </c>
      <c r="E121" s="2"/>
      <c r="F121" s="2"/>
      <c r="G121" s="2"/>
      <c r="H121" s="2"/>
      <c r="I121" s="2"/>
    </row>
    <row r="122">
      <c r="A122" s="1" t="s">
        <v>129</v>
      </c>
      <c r="B122" s="1" t="str">
        <f>IFERROR(__xludf.DUMMYFUNCTION("SPLIT(A122,"";"")"),"ASSOCIATION CULTURELLE DU MARCHE DES CHARTRONS")</f>
        <v>ASSOCIATION CULTURELLE DU MARCHE DES CHARTRONS</v>
      </c>
      <c r="C122" s="3">
        <f>IFERROR(__xludf.DUMMYFUNCTION("""COMPUTED_VALUE"""),1231.0)</f>
        <v>1231</v>
      </c>
      <c r="D122" s="1">
        <v>0.0</v>
      </c>
      <c r="E122" s="2"/>
      <c r="F122" s="2"/>
      <c r="G122" s="2"/>
      <c r="H122" s="2"/>
      <c r="I122" s="2"/>
    </row>
    <row r="123">
      <c r="A123" s="1" t="s">
        <v>130</v>
      </c>
      <c r="B123" s="1" t="str">
        <f>IFERROR(__xludf.DUMMYFUNCTION("SPLIT(A123,"";"")"),"ASSOCIATION D'AQUITAINE DES AMIS D'ALGERIANIE")</f>
        <v>ASSOCIATION D'AQUITAINE DES AMIS D'ALGERIANIE</v>
      </c>
      <c r="C123" s="1">
        <f>IFERROR(__xludf.DUMMYFUNCTION("""COMPUTED_VALUE"""),265.0)</f>
        <v>265</v>
      </c>
      <c r="D123" s="1">
        <v>0.0</v>
      </c>
      <c r="E123" s="2"/>
      <c r="F123" s="2"/>
      <c r="G123" s="2"/>
      <c r="H123" s="2"/>
      <c r="I123" s="2"/>
    </row>
    <row r="124">
      <c r="A124" s="1" t="s">
        <v>131</v>
      </c>
      <c r="B124" s="1" t="str">
        <f>IFERROR(__xludf.DUMMYFUNCTION("SPLIT(A124,"";"")"),"ASSOCIATION DAVID ET JONATHAN")</f>
        <v>ASSOCIATION DAVID ET JONATHAN</v>
      </c>
      <c r="C124" s="1">
        <f>IFERROR(__xludf.DUMMYFUNCTION("""COMPUTED_VALUE"""),24.0)</f>
        <v>24</v>
      </c>
      <c r="D124" s="1">
        <v>0.0</v>
      </c>
      <c r="E124" s="2"/>
      <c r="F124" s="2"/>
      <c r="G124" s="2"/>
      <c r="H124" s="2"/>
      <c r="I124" s="2"/>
    </row>
    <row r="125">
      <c r="A125" s="1" t="s">
        <v>132</v>
      </c>
      <c r="B125" s="1" t="str">
        <f>IFERROR(__xludf.DUMMYFUNCTION("SPLIT(A125,"";"")"),"ASSOCIATION DE CARDIOLOGIE D'AQUITAINE")</f>
        <v>ASSOCIATION DE CARDIOLOGIE D'AQUITAINE</v>
      </c>
      <c r="C125" s="3">
        <f>IFERROR(__xludf.DUMMYFUNCTION("""COMPUTED_VALUE"""),2593.0)</f>
        <v>2593</v>
      </c>
      <c r="D125" s="1">
        <v>84.0</v>
      </c>
      <c r="E125" s="2"/>
      <c r="F125" s="2"/>
      <c r="G125" s="2"/>
      <c r="H125" s="2"/>
      <c r="I125" s="2"/>
    </row>
    <row r="126">
      <c r="A126" s="1" t="s">
        <v>133</v>
      </c>
      <c r="B126" s="1" t="str">
        <f>IFERROR(__xludf.DUMMYFUNCTION("SPLIT(A126,"";"")"),"ASSOCIATION DE DEFENSE DES INTERETS DU QUARTIER DE BACALAN - ADIQ")</f>
        <v>ASSOCIATION DE DEFENSE DES INTERETS DU QUARTIER DE BACALAN - ADIQ</v>
      </c>
      <c r="C126" s="1">
        <f>IFERROR(__xludf.DUMMYFUNCTION("""COMPUTED_VALUE"""),880.0)</f>
        <v>880</v>
      </c>
      <c r="D126" s="1">
        <v>0.0</v>
      </c>
      <c r="E126" s="2"/>
      <c r="F126" s="2"/>
      <c r="G126" s="2"/>
      <c r="H126" s="2"/>
      <c r="I126" s="2"/>
    </row>
    <row r="127">
      <c r="A127" s="1" t="s">
        <v>134</v>
      </c>
      <c r="B127" s="1" t="str">
        <f>IFERROR(__xludf.DUMMYFUNCTION("SPLIT(A127,"";"")"),"ASSOCIATION DE DEFENSE DES MUSIQUES ALTERNATIVES EN AQUITAINE - ADMAA (ALLEZ LES FILLES)")</f>
        <v>ASSOCIATION DE DEFENSE DES MUSIQUES ALTERNATIVES EN AQUITAINE - ADMAA (ALLEZ LES FILLES)</v>
      </c>
      <c r="C127" s="3">
        <f>IFERROR(__xludf.DUMMYFUNCTION("""COMPUTED_VALUE"""),52753.0)</f>
        <v>52753</v>
      </c>
      <c r="D127" s="1">
        <v>65.0</v>
      </c>
      <c r="E127" s="2"/>
      <c r="F127" s="2"/>
      <c r="G127" s="2"/>
      <c r="H127" s="2"/>
      <c r="I127" s="2"/>
    </row>
    <row r="128">
      <c r="A128" s="1" t="s">
        <v>135</v>
      </c>
      <c r="B128" s="1" t="str">
        <f>IFERROR(__xludf.DUMMYFUNCTION("SPLIT(A128,"";"")"),"ASSOCIATION DE DEFENSE DES RESIDENTS DE LA GALERIE (ADREGA)")</f>
        <v>ASSOCIATION DE DEFENSE DES RESIDENTS DE LA GALERIE (ADREGA)</v>
      </c>
      <c r="C128" s="1">
        <f>IFERROR(__xludf.DUMMYFUNCTION("""COMPUTED_VALUE"""),58.0)</f>
        <v>58</v>
      </c>
      <c r="D128" s="1">
        <v>0.0</v>
      </c>
      <c r="E128" s="2"/>
      <c r="F128" s="2"/>
      <c r="G128" s="2"/>
      <c r="H128" s="2"/>
      <c r="I128" s="2"/>
    </row>
    <row r="129">
      <c r="A129" s="1" t="s">
        <v>136</v>
      </c>
      <c r="B129" s="1" t="str">
        <f>IFERROR(__xludf.DUMMYFUNCTION("SPLIT(A129,"";"")"),"ASSOCIATION DE DEVELOPPEMENT NATUREL (A.D.N.)")</f>
        <v>ASSOCIATION DE DEVELOPPEMENT NATUREL (A.D.N.)</v>
      </c>
      <c r="C129" s="3">
        <f>IFERROR(__xludf.DUMMYFUNCTION("""COMPUTED_VALUE"""),2501.0)</f>
        <v>2501</v>
      </c>
      <c r="D129" s="1">
        <v>0.0</v>
      </c>
      <c r="E129" s="2"/>
      <c r="F129" s="2"/>
      <c r="G129" s="2"/>
      <c r="H129" s="2"/>
      <c r="I129" s="2"/>
    </row>
    <row r="130">
      <c r="A130" s="1" t="s">
        <v>137</v>
      </c>
      <c r="B130" s="1" t="str">
        <f>IFERROR(__xludf.DUMMYFUNCTION("SPLIT(A130,"";"")"),"ASSOCIATION DE FAMILLES DE TRAUMATISES CRANIENS AVENIR - AFTC AVENIR")</f>
        <v>ASSOCIATION DE FAMILLES DE TRAUMATISES CRANIENS AVENIR - AFTC AVENIR</v>
      </c>
      <c r="C130" s="3">
        <f>IFERROR(__xludf.DUMMYFUNCTION("""COMPUTED_VALUE"""),6879.0)</f>
        <v>6879</v>
      </c>
      <c r="D130" s="1">
        <v>42.0</v>
      </c>
      <c r="E130" s="2"/>
      <c r="F130" s="2"/>
      <c r="G130" s="2"/>
      <c r="H130" s="2"/>
      <c r="I130" s="2"/>
    </row>
    <row r="131">
      <c r="A131" s="1" t="s">
        <v>138</v>
      </c>
      <c r="B131" s="1" t="str">
        <f>IFERROR(__xludf.DUMMYFUNCTION("SPLIT(A131,"";"")"),"ASSOCIATION DE GESTION DES CENTRES PSYCHANALYTIQUES DE CONSULTATIONS ET DE TRAITEMENT (CPCT) D'AQUITAINE")</f>
        <v>ASSOCIATION DE GESTION DES CENTRES PSYCHANALYTIQUES DE CONSULTATIONS ET DE TRAITEMENT (CPCT) D'AQUITAINE</v>
      </c>
      <c r="C131" s="1">
        <f>IFERROR(__xludf.DUMMYFUNCTION("""COMPUTED_VALUE"""),68.0)</f>
        <v>68</v>
      </c>
      <c r="D131" s="1">
        <v>0.0</v>
      </c>
      <c r="E131" s="2"/>
      <c r="F131" s="2"/>
      <c r="G131" s="2"/>
      <c r="H131" s="2"/>
      <c r="I131" s="2"/>
    </row>
    <row r="132">
      <c r="A132" s="1" t="s">
        <v>139</v>
      </c>
      <c r="B132" s="1" t="str">
        <f>IFERROR(__xludf.DUMMYFUNCTION("SPLIT(A132,"";"")"),"ASSOCIATION DE LA FONDATION ETUDIANTE POUR LA VILLE - AFEV")</f>
        <v>ASSOCIATION DE LA FONDATION ETUDIANTE POUR LA VILLE - AFEV</v>
      </c>
      <c r="C132" s="1">
        <f>IFERROR(__xludf.DUMMYFUNCTION("""COMPUTED_VALUE"""),61.0)</f>
        <v>61</v>
      </c>
      <c r="D132" s="1">
        <v>0.0</v>
      </c>
      <c r="E132" s="2"/>
      <c r="F132" s="2"/>
      <c r="G132" s="2"/>
      <c r="H132" s="2"/>
      <c r="I132" s="2"/>
    </row>
    <row r="133">
      <c r="A133" s="1" t="s">
        <v>140</v>
      </c>
      <c r="B133" s="1" t="str">
        <f>IFERROR(__xludf.DUMMYFUNCTION("SPLIT(A133,"";"")"),"ASSOCIATION DE LA RUE NOTRE DAME DES CHARTRONS")</f>
        <v>ASSOCIATION DE LA RUE NOTRE DAME DES CHARTRONS</v>
      </c>
      <c r="C133" s="3">
        <f>IFERROR(__xludf.DUMMYFUNCTION("""COMPUTED_VALUE"""),1403.0)</f>
        <v>1403</v>
      </c>
      <c r="D133" s="1">
        <v>82.0</v>
      </c>
      <c r="E133" s="2"/>
      <c r="F133" s="2"/>
      <c r="G133" s="2"/>
      <c r="H133" s="2"/>
      <c r="I133" s="2"/>
    </row>
    <row r="134">
      <c r="A134" s="1" t="s">
        <v>141</v>
      </c>
      <c r="B134" s="1" t="str">
        <f>IFERROR(__xludf.DUMMYFUNCTION("SPLIT(A134,"";"")"),"ASSOCIATION DE L'AIDE FAMILIALE POPULAIRE - U.D.C.S.F.")</f>
        <v>ASSOCIATION DE L'AIDE FAMILIALE POPULAIRE - U.D.C.S.F.</v>
      </c>
      <c r="C134" s="1">
        <f>IFERROR(__xludf.DUMMYFUNCTION("""COMPUTED_VALUE"""),102.0)</f>
        <v>102</v>
      </c>
      <c r="D134" s="1">
        <v>0.0</v>
      </c>
      <c r="E134" s="2"/>
      <c r="F134" s="2"/>
      <c r="G134" s="2"/>
      <c r="H134" s="2"/>
      <c r="I134" s="2"/>
    </row>
    <row r="135">
      <c r="A135" s="1" t="s">
        <v>142</v>
      </c>
      <c r="B135" s="1" t="str">
        <f>IFERROR(__xludf.DUMMYFUNCTION("SPLIT(A135,"";"")"),"ASSOCIATION DE L'ECOLE COREENNE DE BORDEAUX - AECB")</f>
        <v>ASSOCIATION DE L'ECOLE COREENNE DE BORDEAUX - AECB</v>
      </c>
      <c r="C135" s="3">
        <f>IFERROR(__xludf.DUMMYFUNCTION("""COMPUTED_VALUE"""),1064.0)</f>
        <v>1064</v>
      </c>
      <c r="D135" s="1">
        <v>0.0</v>
      </c>
      <c r="E135" s="2"/>
      <c r="F135" s="2"/>
      <c r="G135" s="2"/>
      <c r="H135" s="2"/>
      <c r="I135" s="2"/>
    </row>
    <row r="136">
      <c r="A136" s="1" t="s">
        <v>143</v>
      </c>
      <c r="B136" s="1" t="str">
        <f>IFERROR(__xludf.DUMMYFUNCTION("SPLIT(A136,"";"")"),"ASSOCIATION DE LOCATAIRES SEM-LM")</f>
        <v>ASSOCIATION DE LOCATAIRES SEM-LM</v>
      </c>
      <c r="C136" s="1">
        <f>IFERROR(__xludf.DUMMYFUNCTION("""COMPUTED_VALUE"""),34.0)</f>
        <v>34</v>
      </c>
      <c r="D136" s="1">
        <v>0.0</v>
      </c>
      <c r="E136" s="2"/>
      <c r="F136" s="2"/>
      <c r="G136" s="2"/>
      <c r="H136" s="2"/>
      <c r="I136" s="2"/>
    </row>
    <row r="137">
      <c r="A137" s="1" t="s">
        <v>144</v>
      </c>
      <c r="B137" s="1" t="str">
        <f>IFERROR(__xludf.DUMMYFUNCTION("SPLIT(A137,"";"")"),"ASSOCIATION DE MEDECINE PHYSIQUE ET READAPTATION D'AQUITAINE (AMPRA)")</f>
        <v>ASSOCIATION DE MEDECINE PHYSIQUE ET READAPTATION D'AQUITAINE (AMPRA)</v>
      </c>
      <c r="C137" s="1">
        <f>IFERROR(__xludf.DUMMYFUNCTION("""COMPUTED_VALUE"""),135.0)</f>
        <v>135</v>
      </c>
      <c r="D137" s="1">
        <v>0.0</v>
      </c>
      <c r="E137" s="2"/>
      <c r="F137" s="2"/>
      <c r="G137" s="2"/>
      <c r="H137" s="2"/>
      <c r="I137" s="2"/>
    </row>
    <row r="138">
      <c r="A138" s="1" t="s">
        <v>145</v>
      </c>
      <c r="B138" s="1" t="str">
        <f>IFERROR(__xludf.DUMMYFUNCTION("SPLIT(A138,"";"")"),"ASSOCIATION DE PARENTS D'ELEVES DE L'ENSEIGNEMENT LIBRE SAINT-MICHEL/SAINT-GENES (APEL SAINT-MICHEL/SAINT-GENES)")</f>
        <v>ASSOCIATION DE PARENTS D'ELEVES DE L'ENSEIGNEMENT LIBRE SAINT-MICHEL/SAINT-GENES (APEL SAINT-MICHEL/SAINT-GENES)</v>
      </c>
      <c r="C138" s="1">
        <f>IFERROR(__xludf.DUMMYFUNCTION("""COMPUTED_VALUE"""),459.0)</f>
        <v>459</v>
      </c>
      <c r="D138" s="1">
        <v>0.0</v>
      </c>
      <c r="E138" s="2"/>
      <c r="F138" s="2"/>
      <c r="G138" s="2"/>
      <c r="H138" s="2"/>
      <c r="I138" s="2"/>
    </row>
    <row r="139">
      <c r="A139" s="1" t="s">
        <v>146</v>
      </c>
      <c r="B139" s="1" t="str">
        <f>IFERROR(__xludf.DUMMYFUNCTION("SPLIT(A139,"";"")"),"ASSOCIATION DE PATIENTS POUR LA PREVENTION LE TRAITEMENT ET LA LUTTE CONTRE LA MALADIE CHRONIQUE DE L'OBESITE")</f>
        <v>ASSOCIATION DE PATIENTS POUR LA PREVENTION LE TRAITEMENT ET LA LUTTE CONTRE LA MALADIE CHRONIQUE DE L'OBESITE</v>
      </c>
      <c r="C139" s="2"/>
      <c r="D139" s="2"/>
      <c r="E139" s="2"/>
      <c r="F139" s="2"/>
      <c r="G139" s="2"/>
      <c r="H139" s="2"/>
      <c r="I139" s="2"/>
    </row>
    <row r="140">
      <c r="A140" s="1" t="s">
        <v>147</v>
      </c>
      <c r="B140" s="1">
        <f>IFERROR(__xludf.DUMMYFUNCTION("SPLIT(A140,"";"")"),580.0)</f>
        <v>580</v>
      </c>
      <c r="C140" s="1"/>
      <c r="D140" s="1">
        <v>0.0</v>
      </c>
      <c r="E140" s="2"/>
      <c r="F140" s="2"/>
      <c r="G140" s="2"/>
      <c r="H140" s="2"/>
      <c r="I140" s="2"/>
    </row>
    <row r="141">
      <c r="A141" s="1" t="s">
        <v>148</v>
      </c>
      <c r="B141" s="1" t="str">
        <f>IFERROR(__xludf.DUMMYFUNCTION("SPLIT(A141,"";"")"),"(ALOA)")</f>
        <v>(ALOA)</v>
      </c>
      <c r="C141" s="2"/>
      <c r="D141" s="2"/>
      <c r="E141" s="2"/>
      <c r="F141" s="2"/>
      <c r="G141" s="2"/>
      <c r="H141" s="2"/>
      <c r="I141" s="2"/>
    </row>
    <row r="142">
      <c r="A142" s="1" t="s">
        <v>149</v>
      </c>
      <c r="B142" s="1" t="str">
        <f>IFERROR(__xludf.DUMMYFUNCTION("SPLIT(A142,"";"")"),"ASSOCIATION DE PREFIGURATION D’UNE PLATEFORME D’AQUITAINE POUR LE COMMERCE EQUITABLE (LA PLACE)")</f>
        <v>ASSOCIATION DE PREFIGURATION D’UNE PLATEFORME D’AQUITAINE POUR LE COMMERCE EQUITABLE (LA PLACE)</v>
      </c>
      <c r="C142" s="3">
        <f>IFERROR(__xludf.DUMMYFUNCTION("""COMPUTED_VALUE"""),2630.0)</f>
        <v>2630</v>
      </c>
      <c r="D142" s="1">
        <v>0.0</v>
      </c>
      <c r="E142" s="2"/>
      <c r="F142" s="2"/>
      <c r="G142" s="2"/>
      <c r="H142" s="2"/>
      <c r="I142" s="2"/>
    </row>
    <row r="143">
      <c r="A143" s="1" t="s">
        <v>150</v>
      </c>
      <c r="B143" s="1" t="str">
        <f>IFERROR(__xludf.DUMMYFUNCTION("SPLIT(A143,"";"")"),"ASSOCIATION DE PREFIGURATION DE LA COOPERATIVE DE PRESTATAIRES RESPONSABLES SUD-OUEST")</f>
        <v>ASSOCIATION DE PREFIGURATION DE LA COOPERATIVE DE PRESTATAIRES RESPONSABLES SUD-OUEST</v>
      </c>
      <c r="C143" s="3">
        <f>IFERROR(__xludf.DUMMYFUNCTION("""COMPUTED_VALUE"""),3455.0)</f>
        <v>3455</v>
      </c>
      <c r="D143" s="1">
        <v>0.0</v>
      </c>
      <c r="E143" s="2"/>
      <c r="F143" s="2"/>
      <c r="G143" s="2"/>
      <c r="H143" s="2"/>
      <c r="I143" s="2"/>
    </row>
    <row r="144">
      <c r="A144" s="1" t="s">
        <v>151</v>
      </c>
      <c r="B144" s="1" t="str">
        <f>IFERROR(__xludf.DUMMYFUNCTION("SPLIT(A144,"";"")"),"ASSOCIATION DE RIVERAINS BASTIDE-ID")</f>
        <v>ASSOCIATION DE RIVERAINS BASTIDE-ID</v>
      </c>
      <c r="C144" s="1">
        <f>IFERROR(__xludf.DUMMYFUNCTION("""COMPUTED_VALUE"""),476.0)</f>
        <v>476</v>
      </c>
      <c r="D144" s="1">
        <v>0.0</v>
      </c>
      <c r="E144" s="2"/>
      <c r="F144" s="2"/>
      <c r="G144" s="2"/>
      <c r="H144" s="2"/>
      <c r="I144" s="2"/>
    </row>
    <row r="145">
      <c r="A145" s="1" t="s">
        <v>152</v>
      </c>
      <c r="B145" s="1" t="str">
        <f>IFERROR(__xludf.DUMMYFUNCTION("SPLIT(A145,"";"")"),"ASSOCIATION DE SOLIDARITE AVEC TOUS LES IMMIGRES - BORDEAUX (ASTI BORDEAUX)")</f>
        <v>ASSOCIATION DE SOLIDARITE AVEC TOUS LES IMMIGRES - BORDEAUX (ASTI BORDEAUX)</v>
      </c>
      <c r="C145" s="1">
        <f>IFERROR(__xludf.DUMMYFUNCTION("""COMPUTED_VALUE"""),790.0)</f>
        <v>790</v>
      </c>
      <c r="D145" s="1">
        <v>0.0</v>
      </c>
      <c r="E145" s="2"/>
      <c r="F145" s="2"/>
      <c r="G145" s="2"/>
      <c r="H145" s="2"/>
      <c r="I145" s="2"/>
    </row>
    <row r="146">
      <c r="A146" s="1" t="s">
        <v>153</v>
      </c>
      <c r="B146" s="1" t="str">
        <f>IFERROR(__xludf.DUMMYFUNCTION("SPLIT(A146,"";"")"),"ASSOCIATION DE SOLIDARITE BORDEAUX")</f>
        <v>ASSOCIATION DE SOLIDARITE BORDEAUX</v>
      </c>
      <c r="C146" s="1">
        <f>IFERROR(__xludf.DUMMYFUNCTION("""COMPUTED_VALUE"""),111.0)</f>
        <v>111</v>
      </c>
      <c r="D146" s="1">
        <v>0.0</v>
      </c>
      <c r="E146" s="2"/>
      <c r="F146" s="2"/>
      <c r="G146" s="2"/>
      <c r="H146" s="2"/>
      <c r="I146" s="2"/>
    </row>
    <row r="147">
      <c r="A147" s="1" t="s">
        <v>154</v>
      </c>
      <c r="B147" s="1" t="str">
        <f>IFERROR(__xludf.DUMMYFUNCTION("SPLIT(A147,"";"")"),"ASSOCIATION DE SOPHROLOGIE EXISTENTIELLE DE BORDEAUX")</f>
        <v>ASSOCIATION DE SOPHROLOGIE EXISTENTIELLE DE BORDEAUX</v>
      </c>
      <c r="C147" s="1">
        <f>IFERROR(__xludf.DUMMYFUNCTION("""COMPUTED_VALUE"""),96.0)</f>
        <v>96</v>
      </c>
      <c r="D147" s="1">
        <v>0.0</v>
      </c>
      <c r="E147" s="2"/>
      <c r="F147" s="2"/>
      <c r="G147" s="2"/>
      <c r="H147" s="2"/>
      <c r="I147" s="2"/>
    </row>
    <row r="148">
      <c r="A148" s="1" t="s">
        <v>155</v>
      </c>
      <c r="B148" s="1" t="str">
        <f>IFERROR(__xludf.DUMMYFUNCTION("SPLIT(A148,"";"")"),"ASSOCIATION DE SOUTIEN AUX INVENTIONS LIBRES (ASIL)")</f>
        <v>ASSOCIATION DE SOUTIEN AUX INVENTIONS LIBRES (ASIL)</v>
      </c>
      <c r="C148" s="3">
        <f>IFERROR(__xludf.DUMMYFUNCTION("""COMPUTED_VALUE"""),11301.0)</f>
        <v>11301</v>
      </c>
      <c r="D148" s="1">
        <v>26.0</v>
      </c>
      <c r="E148" s="2"/>
      <c r="F148" s="2"/>
      <c r="G148" s="2"/>
      <c r="H148" s="2"/>
      <c r="I148" s="2"/>
    </row>
    <row r="149">
      <c r="A149" s="1" t="s">
        <v>156</v>
      </c>
      <c r="B149" s="1" t="str">
        <f>IFERROR(__xludf.DUMMYFUNCTION("SPLIT(A149,"";"")"),"ASSOCIATION DEPARTEMENTALE APAJH DE LA GIRONDE")</f>
        <v>ASSOCIATION DEPARTEMENTALE APAJH DE LA GIRONDE</v>
      </c>
      <c r="C149" s="1">
        <f>IFERROR(__xludf.DUMMYFUNCTION("""COMPUTED_VALUE"""),46.0)</f>
        <v>46</v>
      </c>
      <c r="D149" s="1">
        <v>0.0</v>
      </c>
      <c r="E149" s="2"/>
      <c r="F149" s="2"/>
      <c r="G149" s="2"/>
      <c r="H149" s="2"/>
      <c r="I149" s="2"/>
    </row>
    <row r="150">
      <c r="A150" s="1" t="s">
        <v>157</v>
      </c>
      <c r="B150" s="1" t="str">
        <f>IFERROR(__xludf.DUMMYFUNCTION("SPLIT(A150,"";"")"),"ASSOCIATION DEPARTEMENTALE DE L'OFFICE CENTRAL DE LA COOPERATION A L'ECOLE DE LA GIRONDE - AD-OCCE")</f>
        <v>ASSOCIATION DEPARTEMENTALE DE L'OFFICE CENTRAL DE LA COOPERATION A L'ECOLE DE LA GIRONDE - AD-OCCE</v>
      </c>
      <c r="C150" s="3">
        <f>IFERROR(__xludf.DUMMYFUNCTION("""COMPUTED_VALUE"""),16000.0)</f>
        <v>16000</v>
      </c>
      <c r="D150" s="1">
        <v>0.0</v>
      </c>
      <c r="E150" s="2"/>
      <c r="F150" s="2"/>
      <c r="G150" s="2"/>
      <c r="H150" s="2"/>
      <c r="I150" s="2"/>
    </row>
    <row r="151">
      <c r="A151" s="1" t="s">
        <v>158</v>
      </c>
      <c r="B151" s="1" t="str">
        <f>IFERROR(__xludf.DUMMYFUNCTION("SPLIT(A151,"";"")"),"ASSOCIATION DEPARTEMENTALE DES AMIS ET PARENTS DE PERSONNES HANDICAPEES MENTALES DE LA GIRONDE - LES")</f>
        <v>ASSOCIATION DEPARTEMENTALE DES AMIS ET PARENTS DE PERSONNES HANDICAPEES MENTALES DE LA GIRONDE - LES</v>
      </c>
      <c r="C151" s="2"/>
      <c r="D151" s="2"/>
      <c r="E151" s="2"/>
      <c r="F151" s="2"/>
      <c r="G151" s="2"/>
      <c r="H151" s="2"/>
      <c r="I151" s="2"/>
    </row>
    <row r="152">
      <c r="A152" s="1" t="s">
        <v>159</v>
      </c>
      <c r="B152" s="1">
        <f>IFERROR(__xludf.DUMMYFUNCTION("SPLIT(A152,"";"")"),406.0)</f>
        <v>406</v>
      </c>
      <c r="C152" s="1"/>
      <c r="D152" s="1">
        <v>6.0</v>
      </c>
      <c r="E152" s="2"/>
      <c r="F152" s="2"/>
      <c r="G152" s="2"/>
      <c r="H152" s="2"/>
      <c r="I152" s="2"/>
    </row>
    <row r="153">
      <c r="A153" s="1" t="s">
        <v>160</v>
      </c>
      <c r="B153" s="1" t="str">
        <f>IFERROR(__xludf.DUMMYFUNCTION("SPLIT(A153,"";"")"),"PAPILLONS BLANCS (ADAPEI)")</f>
        <v>PAPILLONS BLANCS (ADAPEI)</v>
      </c>
      <c r="C153" s="2"/>
      <c r="D153" s="2"/>
      <c r="E153" s="2"/>
      <c r="F153" s="2"/>
      <c r="G153" s="2"/>
      <c r="H153" s="2"/>
      <c r="I153" s="2"/>
    </row>
    <row r="154">
      <c r="A154" s="1" t="s">
        <v>161</v>
      </c>
      <c r="B154" s="1" t="str">
        <f>IFERROR(__xludf.DUMMYFUNCTION("SPLIT(A154,"";"")"),"ASSOCIATION DEPARTEMENTALE DES CONJOINTS SURVIVANTS ET PARENTS D'ORPHELINS DE LA GIRONDE - FAVEC 33")</f>
        <v>ASSOCIATION DEPARTEMENTALE DES CONJOINTS SURVIVANTS ET PARENTS D'ORPHELINS DE LA GIRONDE - FAVEC 33</v>
      </c>
      <c r="C154" s="3">
        <f>IFERROR(__xludf.DUMMYFUNCTION("""COMPUTED_VALUE"""),1600.0)</f>
        <v>1600</v>
      </c>
      <c r="D154" s="1">
        <v>0.0</v>
      </c>
      <c r="E154" s="2"/>
      <c r="F154" s="2"/>
      <c r="G154" s="2"/>
      <c r="H154" s="2"/>
      <c r="I154" s="2"/>
    </row>
    <row r="155">
      <c r="A155" s="1" t="s">
        <v>162</v>
      </c>
      <c r="B155" s="1" t="str">
        <f>IFERROR(__xludf.DUMMYFUNCTION("SPLIT(A155,"";"")"),"ASSOCIATION DEPARTEMENTALE DES PARENTS D'ELEVES DE L'ENSEIGNEMENT PUBLIC DE LA GIRONDE - PEEP AD 33")</f>
        <v>ASSOCIATION DEPARTEMENTALE DES PARENTS D'ELEVES DE L'ENSEIGNEMENT PUBLIC DE LA GIRONDE - PEEP AD 33</v>
      </c>
      <c r="C155" s="3">
        <f>IFERROR(__xludf.DUMMYFUNCTION("""COMPUTED_VALUE"""),4000.0)</f>
        <v>4000</v>
      </c>
      <c r="D155" s="1">
        <v>0.0</v>
      </c>
      <c r="E155" s="2"/>
      <c r="F155" s="2"/>
      <c r="G155" s="2"/>
      <c r="H155" s="2"/>
      <c r="I155" s="2"/>
    </row>
    <row r="156">
      <c r="A156" s="1" t="s">
        <v>163</v>
      </c>
      <c r="B156" s="1" t="str">
        <f>IFERROR(__xludf.DUMMYFUNCTION("SPLIT(A156,"";"")"),"ASSOCIATION DES AMIS D'ELIANE LAVAIL")</f>
        <v>ASSOCIATION DES AMIS D'ELIANE LAVAIL</v>
      </c>
      <c r="C156" s="1">
        <f>IFERROR(__xludf.DUMMYFUNCTION("""COMPUTED_VALUE"""),356.0)</f>
        <v>356</v>
      </c>
      <c r="D156" s="1">
        <v>0.0</v>
      </c>
      <c r="E156" s="2"/>
      <c r="F156" s="2"/>
      <c r="G156" s="2"/>
      <c r="H156" s="2"/>
      <c r="I156" s="2"/>
    </row>
    <row r="157">
      <c r="A157" s="1" t="s">
        <v>164</v>
      </c>
      <c r="B157" s="1" t="str">
        <f>IFERROR(__xludf.DUMMYFUNCTION("SPLIT(A157,"";"")"),"ASSOCIATION DES AUDITEURS DE L'INSTITUT DES HAUTES ETUDES DE DEFENSE NATIONALE REGION AQUITAINE - AQUI IHEDN")</f>
        <v>ASSOCIATION DES AUDITEURS DE L'INSTITUT DES HAUTES ETUDES DE DEFENSE NATIONALE REGION AQUITAINE - AQUI IHEDN</v>
      </c>
      <c r="C157" s="1">
        <f>IFERROR(__xludf.DUMMYFUNCTION("""COMPUTED_VALUE"""),444.0)</f>
        <v>444</v>
      </c>
      <c r="D157" s="1">
        <v>0.0</v>
      </c>
      <c r="E157" s="2"/>
      <c r="F157" s="2"/>
      <c r="G157" s="2"/>
      <c r="H157" s="2"/>
      <c r="I157" s="2"/>
    </row>
    <row r="158">
      <c r="A158" s="1" t="s">
        <v>165</v>
      </c>
      <c r="B158" s="1" t="str">
        <f>IFERROR(__xludf.DUMMYFUNCTION("SPLIT(A158,"";"")"),"ASSOCIATION DES BROCANTEURS DES CHARTRONS - ABC")</f>
        <v>ASSOCIATION DES BROCANTEURS DES CHARTRONS - ABC</v>
      </c>
      <c r="C158" s="1">
        <f>IFERROR(__xludf.DUMMYFUNCTION("""COMPUTED_VALUE"""),186.0)</f>
        <v>186</v>
      </c>
      <c r="D158" s="1">
        <v>24.0</v>
      </c>
      <c r="E158" s="2"/>
      <c r="F158" s="2"/>
      <c r="G158" s="2"/>
      <c r="H158" s="2"/>
      <c r="I158" s="2"/>
    </row>
    <row r="159">
      <c r="A159" s="1" t="s">
        <v>166</v>
      </c>
      <c r="B159" s="1" t="str">
        <f>IFERROR(__xludf.DUMMYFUNCTION("SPLIT(A159,"";"")"),"ASSOCIATION DES CENTRES D'ANIMATION DE QUARTIERS DE BORDEAUX - ACAQB")</f>
        <v>ASSOCIATION DES CENTRES D'ANIMATION DE QUARTIERS DE BORDEAUX - ACAQB</v>
      </c>
      <c r="C159" s="3">
        <f>IFERROR(__xludf.DUMMYFUNCTION("""COMPUTED_VALUE"""),913125.0)</f>
        <v>913125</v>
      </c>
      <c r="D159" s="1">
        <v>17.0</v>
      </c>
      <c r="E159" s="2"/>
      <c r="F159" s="2"/>
      <c r="G159" s="2"/>
      <c r="H159" s="2"/>
      <c r="I159" s="2"/>
    </row>
    <row r="160">
      <c r="A160" s="1" t="s">
        <v>167</v>
      </c>
      <c r="B160" s="1" t="str">
        <f>IFERROR(__xludf.DUMMYFUNCTION("SPLIT(A160,"";"")"),"ASSOCIATION DES CITES DU SECOURS CATHOLIQUE - DELEGATION BORDEAUX")</f>
        <v>ASSOCIATION DES CITES DU SECOURS CATHOLIQUE - DELEGATION BORDEAUX</v>
      </c>
      <c r="C160" s="1">
        <f>IFERROR(__xludf.DUMMYFUNCTION("""COMPUTED_VALUE"""),80.0)</f>
        <v>80</v>
      </c>
      <c r="D160" s="1">
        <v>0.0</v>
      </c>
      <c r="E160" s="2"/>
      <c r="F160" s="2"/>
      <c r="G160" s="2"/>
      <c r="H160" s="2"/>
      <c r="I160" s="2"/>
    </row>
    <row r="161">
      <c r="A161" s="1" t="s">
        <v>168</v>
      </c>
      <c r="B161" s="1" t="str">
        <f>IFERROR(__xludf.DUMMYFUNCTION("SPLIT(A161,"";"")"),"ASSOCIATION DES COMMERCANTS BORDEAUX RIVE DROITE (BRD)")</f>
        <v>ASSOCIATION DES COMMERCANTS BORDEAUX RIVE DROITE (BRD)</v>
      </c>
      <c r="C161" s="1">
        <f>IFERROR(__xludf.DUMMYFUNCTION("""COMPUTED_VALUE"""),34.0)</f>
        <v>34</v>
      </c>
      <c r="D161" s="1">
        <v>0.0</v>
      </c>
      <c r="E161" s="2"/>
      <c r="F161" s="2"/>
      <c r="G161" s="2"/>
      <c r="H161" s="2"/>
      <c r="I161" s="2"/>
    </row>
    <row r="162">
      <c r="A162" s="1" t="s">
        <v>169</v>
      </c>
      <c r="B162" s="1" t="str">
        <f>IFERROR(__xludf.DUMMYFUNCTION("SPLIT(A162,"";"")"),"ASSOCIATION DES COMMERCANTS CAUDERAN CENTRE")</f>
        <v>ASSOCIATION DES COMMERCANTS CAUDERAN CENTRE</v>
      </c>
      <c r="C162" s="3">
        <f>IFERROR(__xludf.DUMMYFUNCTION("""COMPUTED_VALUE"""),6904.0)</f>
        <v>6904</v>
      </c>
      <c r="D162" s="1">
        <v>23.0</v>
      </c>
      <c r="E162" s="2"/>
      <c r="F162" s="2"/>
      <c r="G162" s="2"/>
      <c r="H162" s="2"/>
      <c r="I162" s="2"/>
    </row>
    <row r="163">
      <c r="A163" s="1" t="s">
        <v>170</v>
      </c>
      <c r="B163" s="1" t="str">
        <f>IFERROR(__xludf.DUMMYFUNCTION("SPLIT(A163,"";"")"),"ASSOCIATION DES COMMERCANTS DE LA BARRIERE JUDAIQUE")</f>
        <v>ASSOCIATION DES COMMERCANTS DE LA BARRIERE JUDAIQUE</v>
      </c>
      <c r="C163" s="3">
        <f>IFERROR(__xludf.DUMMYFUNCTION("""COMPUTED_VALUE"""),2691.0)</f>
        <v>2691</v>
      </c>
      <c r="D163" s="1">
        <v>6.0</v>
      </c>
      <c r="E163" s="2"/>
      <c r="F163" s="2"/>
      <c r="G163" s="2"/>
      <c r="H163" s="2"/>
      <c r="I163" s="2"/>
    </row>
    <row r="164">
      <c r="A164" s="1" t="s">
        <v>171</v>
      </c>
      <c r="B164" s="1" t="str">
        <f>IFERROR(__xludf.DUMMYFUNCTION("SPLIT(A164,"";"")"),"ASSOCIATION DES COMMERCANTS DE LA RUE SAINT-SERNIN")</f>
        <v>ASSOCIATION DES COMMERCANTS DE LA RUE SAINT-SERNIN</v>
      </c>
      <c r="C164" s="3">
        <f>IFERROR(__xludf.DUMMYFUNCTION("""COMPUTED_VALUE"""),2180.0)</f>
        <v>2180</v>
      </c>
      <c r="D164" s="1">
        <v>92.0</v>
      </c>
      <c r="E164" s="2"/>
      <c r="F164" s="2"/>
      <c r="G164" s="2"/>
      <c r="H164" s="2"/>
      <c r="I164" s="2"/>
    </row>
    <row r="165">
      <c r="A165" s="1" t="s">
        <v>172</v>
      </c>
      <c r="B165" s="1" t="str">
        <f>IFERROR(__xludf.DUMMYFUNCTION("SPLIT(A165,"";"")"),"ASSOCIATION DES COMMERCANTS DE SAINT-AUGUSTIN")</f>
        <v>ASSOCIATION DES COMMERCANTS DE SAINT-AUGUSTIN</v>
      </c>
      <c r="C165" s="3">
        <f>IFERROR(__xludf.DUMMYFUNCTION("""COMPUTED_VALUE"""),4985.0)</f>
        <v>4985</v>
      </c>
      <c r="D165" s="1">
        <v>77.0</v>
      </c>
      <c r="E165" s="2"/>
      <c r="F165" s="2"/>
      <c r="G165" s="2"/>
      <c r="H165" s="2"/>
      <c r="I165" s="2"/>
    </row>
    <row r="166">
      <c r="A166" s="1" t="s">
        <v>173</v>
      </c>
      <c r="B166" s="1" t="str">
        <f>IFERROR(__xludf.DUMMYFUNCTION("SPLIT(A166,"";"")"),"ASSOCIATION DES COMMERCANTS DU GRAND PARC")</f>
        <v>ASSOCIATION DES COMMERCANTS DU GRAND PARC</v>
      </c>
      <c r="C166" s="1">
        <f>IFERROR(__xludf.DUMMYFUNCTION("""COMPUTED_VALUE"""),847.0)</f>
        <v>847</v>
      </c>
      <c r="D166" s="1">
        <v>34.0</v>
      </c>
      <c r="E166" s="2"/>
      <c r="F166" s="2"/>
      <c r="G166" s="2"/>
      <c r="H166" s="2"/>
      <c r="I166" s="2"/>
    </row>
    <row r="167">
      <c r="A167" s="1" t="s">
        <v>174</v>
      </c>
      <c r="B167" s="1" t="str">
        <f>IFERROR(__xludf.DUMMYFUNCTION("SPLIT(A167,"";"")"),"ASSOCIATION DES COMMERCANTS ET ARTISANS DU QUARTIER SAINT MICHEL")</f>
        <v>ASSOCIATION DES COMMERCANTS ET ARTISANS DU QUARTIER SAINT MICHEL</v>
      </c>
      <c r="C167" s="3">
        <f>IFERROR(__xludf.DUMMYFUNCTION("""COMPUTED_VALUE"""),3928.0)</f>
        <v>3928</v>
      </c>
      <c r="D167" s="1">
        <v>42.0</v>
      </c>
      <c r="E167" s="2"/>
      <c r="F167" s="2"/>
      <c r="G167" s="2"/>
      <c r="H167" s="2"/>
      <c r="I167" s="2"/>
    </row>
    <row r="168">
      <c r="A168" s="1" t="s">
        <v>175</v>
      </c>
      <c r="B168" s="1" t="str">
        <f>IFERROR(__xludf.DUMMYFUNCTION("SPLIT(A168,"";"")"),"ASSOCIATION DES COMMERCANTS ET ARTISANS DU QUARTIER STEHELIN")</f>
        <v>ASSOCIATION DES COMMERCANTS ET ARTISANS DU QUARTIER STEHELIN</v>
      </c>
      <c r="C168" s="3">
        <f>IFERROR(__xludf.DUMMYFUNCTION("""COMPUTED_VALUE"""),1390.0)</f>
        <v>1390</v>
      </c>
      <c r="D168" s="1">
        <v>72.0</v>
      </c>
      <c r="E168" s="2"/>
      <c r="F168" s="2"/>
      <c r="G168" s="2"/>
      <c r="H168" s="2"/>
      <c r="I168" s="2"/>
    </row>
    <row r="169">
      <c r="A169" s="1" t="s">
        <v>176</v>
      </c>
      <c r="B169" s="1" t="str">
        <f>IFERROR(__xludf.DUMMYFUNCTION("SPLIT(A169,"";"")"),"ASSOCIATION DES COMMERCANTS ET ARTISANS LES BERGES DU LAC")</f>
        <v>ASSOCIATION DES COMMERCANTS ET ARTISANS LES BERGES DU LAC</v>
      </c>
      <c r="C169" s="1">
        <f>IFERROR(__xludf.DUMMYFUNCTION("""COMPUTED_VALUE"""),396.0)</f>
        <v>396</v>
      </c>
      <c r="D169" s="1">
        <v>11.0</v>
      </c>
      <c r="E169" s="2"/>
      <c r="F169" s="2"/>
      <c r="G169" s="2"/>
      <c r="H169" s="2"/>
      <c r="I169" s="2"/>
    </row>
    <row r="170">
      <c r="A170" s="1" t="s">
        <v>177</v>
      </c>
      <c r="B170" s="1" t="str">
        <f>IFERROR(__xludf.DUMMYFUNCTION("SPLIT(A170,"";"")"),"ASSOCIATION DES COMMERCANTS ET PROFESSIONNELS DE L'ART DE LA RUE BOUFFARD")</f>
        <v>ASSOCIATION DES COMMERCANTS ET PROFESSIONNELS DE L'ART DE LA RUE BOUFFARD</v>
      </c>
      <c r="C170" s="1">
        <f>IFERROR(__xludf.DUMMYFUNCTION("""COMPUTED_VALUE"""),208.0)</f>
        <v>208</v>
      </c>
      <c r="D170" s="1">
        <v>31.0</v>
      </c>
      <c r="E170" s="2"/>
      <c r="F170" s="2"/>
      <c r="G170" s="2"/>
      <c r="H170" s="2"/>
      <c r="I170" s="2"/>
    </row>
    <row r="171">
      <c r="A171" s="1" t="s">
        <v>178</v>
      </c>
      <c r="B171" s="1" t="str">
        <f>IFERROR(__xludf.DUMMYFUNCTION("SPLIT(A171,"";"")"),"ASSOCIATION DES COMMERCANTS ET RIVERAINS DU QUARTIER VICTOIRE")</f>
        <v>ASSOCIATION DES COMMERCANTS ET RIVERAINS DU QUARTIER VICTOIRE</v>
      </c>
      <c r="C171" s="3">
        <f>IFERROR(__xludf.DUMMYFUNCTION("""COMPUTED_VALUE"""),2205.0)</f>
        <v>2205</v>
      </c>
      <c r="D171" s="1">
        <v>53.0</v>
      </c>
      <c r="E171" s="2"/>
      <c r="F171" s="2"/>
      <c r="G171" s="2"/>
      <c r="H171" s="2"/>
      <c r="I171" s="2"/>
    </row>
    <row r="172">
      <c r="A172" s="1" t="s">
        <v>179</v>
      </c>
      <c r="B172" s="1" t="str">
        <f>IFERROR(__xludf.DUMMYFUNCTION("SPLIT(A172,"";"")"),"ASSOCIATION DES COMMERCANTS ORNANO - GAVINIES - St VICTOR")</f>
        <v>ASSOCIATION DES COMMERCANTS ORNANO - GAVINIES - St VICTOR</v>
      </c>
      <c r="C172" s="3">
        <f>IFERROR(__xludf.DUMMYFUNCTION("""COMPUTED_VALUE"""),4752.0)</f>
        <v>4752</v>
      </c>
      <c r="D172" s="1">
        <v>8.0</v>
      </c>
      <c r="E172" s="2"/>
      <c r="F172" s="2"/>
      <c r="G172" s="2"/>
      <c r="H172" s="2"/>
      <c r="I172" s="2"/>
    </row>
    <row r="173">
      <c r="A173" s="1" t="s">
        <v>180</v>
      </c>
      <c r="B173" s="1" t="str">
        <f>IFERROR(__xludf.DUMMYFUNCTION("SPLIT(A173,"";"")"),"ASSOCIATION DES COREENS DE BORDEAUX (ACB)")</f>
        <v>ASSOCIATION DES COREENS DE BORDEAUX (ACB)</v>
      </c>
      <c r="C173" s="3">
        <f>IFERROR(__xludf.DUMMYFUNCTION("""COMPUTED_VALUE"""),1757.0)</f>
        <v>1757</v>
      </c>
      <c r="D173" s="1">
        <v>54.0</v>
      </c>
      <c r="E173" s="2"/>
      <c r="F173" s="2"/>
      <c r="G173" s="2"/>
      <c r="H173" s="2"/>
      <c r="I173" s="2"/>
    </row>
    <row r="174">
      <c r="A174" s="1" t="s">
        <v>181</v>
      </c>
      <c r="B174" s="1" t="str">
        <f>IFERROR(__xludf.DUMMYFUNCTION("SPLIT(A174,"";"")"),"ASSOCIATION DES DAMES DU CALVAIRE DE BORDEAUX - MAISON DE SANTE MARIE GALENE")</f>
        <v>ASSOCIATION DES DAMES DU CALVAIRE DE BORDEAUX - MAISON DE SANTE MARIE GALENE</v>
      </c>
      <c r="C174" s="1">
        <f>IFERROR(__xludf.DUMMYFUNCTION("""COMPUTED_VALUE"""),663.0)</f>
        <v>663</v>
      </c>
      <c r="D174" s="1">
        <v>0.0</v>
      </c>
      <c r="E174" s="2"/>
      <c r="F174" s="2"/>
      <c r="G174" s="2"/>
      <c r="H174" s="2"/>
      <c r="I174" s="2"/>
    </row>
    <row r="175">
      <c r="A175" s="1" t="s">
        <v>182</v>
      </c>
      <c r="B175" s="1" t="str">
        <f>IFERROR(__xludf.DUMMYFUNCTION("SPLIT(A175,"";"")"),"ASSOCIATION DES DONNEURS DE VOIX")</f>
        <v>ASSOCIATION DES DONNEURS DE VOIX</v>
      </c>
      <c r="C175" s="3">
        <f>IFERROR(__xludf.DUMMYFUNCTION("""COMPUTED_VALUE"""),4480.0)</f>
        <v>4480</v>
      </c>
      <c r="D175" s="1">
        <v>0.0</v>
      </c>
      <c r="E175" s="2"/>
      <c r="F175" s="2"/>
      <c r="G175" s="2"/>
      <c r="H175" s="2"/>
      <c r="I175" s="2"/>
    </row>
    <row r="176">
      <c r="A176" s="1" t="s">
        <v>183</v>
      </c>
      <c r="B176" s="1" t="str">
        <f>IFERROR(__xludf.DUMMYFUNCTION("SPLIT(A176,"";"")"),"ASSOCIATION DES ECLAIREUSES ET ECLAIREURS DE FRANCE - REGION AQUITAINE")</f>
        <v>ASSOCIATION DES ECLAIREUSES ET ECLAIREURS DE FRANCE - REGION AQUITAINE</v>
      </c>
      <c r="C176" s="1">
        <f>IFERROR(__xludf.DUMMYFUNCTION("""COMPUTED_VALUE"""),97.0)</f>
        <v>97</v>
      </c>
      <c r="D176" s="1">
        <v>37.0</v>
      </c>
      <c r="E176" s="2"/>
      <c r="F176" s="2"/>
      <c r="G176" s="2"/>
      <c r="H176" s="2"/>
      <c r="I176" s="2"/>
    </row>
    <row r="177">
      <c r="A177" s="1" t="s">
        <v>184</v>
      </c>
      <c r="B177" s="1" t="str">
        <f>IFERROR(__xludf.DUMMYFUNCTION("SPLIT(A177,"";"")"),"ASSOCIATION DES ELEVES AVOCATS ALIENOR 2015 - ADEAA")</f>
        <v>ASSOCIATION DES ELEVES AVOCATS ALIENOR 2015 - ADEAA</v>
      </c>
      <c r="C177" s="1">
        <f>IFERROR(__xludf.DUMMYFUNCTION("""COMPUTED_VALUE"""),24.0)</f>
        <v>24</v>
      </c>
      <c r="D177" s="1">
        <v>0.0</v>
      </c>
      <c r="E177" s="2"/>
      <c r="F177" s="2"/>
      <c r="G177" s="2"/>
      <c r="H177" s="2"/>
      <c r="I177" s="2"/>
    </row>
    <row r="178">
      <c r="A178" s="1" t="s">
        <v>185</v>
      </c>
      <c r="B178" s="1" t="str">
        <f>IFERROR(__xludf.DUMMYFUNCTION("SPLIT(A178,"";"")"),"ASSOCIATION DES ELEVES INGENIEURS DE L'ECOLE NATIONALE SUPERIEURE DES ARTS ET METIERS CENTRE REGIONAL DE")</f>
        <v>ASSOCIATION DES ELEVES INGENIEURS DE L'ECOLE NATIONALE SUPERIEURE DES ARTS ET METIERS CENTRE REGIONAL DE</v>
      </c>
      <c r="C178" s="2"/>
      <c r="D178" s="2"/>
      <c r="E178" s="2"/>
      <c r="F178" s="2"/>
      <c r="G178" s="2"/>
      <c r="H178" s="2"/>
      <c r="I178" s="2"/>
    </row>
    <row r="179">
      <c r="A179" s="1" t="s">
        <v>186</v>
      </c>
      <c r="B179" s="3">
        <f>IFERROR(__xludf.DUMMYFUNCTION("SPLIT(A179,"";"")"),3573.0)</f>
        <v>3573</v>
      </c>
      <c r="C179" s="1"/>
      <c r="D179" s="1">
        <v>29.0</v>
      </c>
      <c r="E179" s="2"/>
      <c r="F179" s="2"/>
      <c r="G179" s="2"/>
      <c r="H179" s="2"/>
      <c r="I179" s="2"/>
    </row>
    <row r="180">
      <c r="A180" s="1" t="s">
        <v>187</v>
      </c>
      <c r="B180" s="1" t="str">
        <f>IFERROR(__xludf.DUMMYFUNCTION("SPLIT(A180,"";"")"),"TALENCE - AE ENSAM")</f>
        <v>TALENCE - AE ENSAM</v>
      </c>
      <c r="C180" s="2"/>
      <c r="D180" s="2"/>
      <c r="E180" s="2"/>
      <c r="F180" s="2"/>
      <c r="G180" s="2"/>
      <c r="H180" s="2"/>
      <c r="I180" s="2"/>
    </row>
    <row r="181">
      <c r="A181" s="1" t="s">
        <v>188</v>
      </c>
      <c r="B181" s="1" t="str">
        <f>IFERROR(__xludf.DUMMYFUNCTION("SPLIT(A181,"";"")"),"ASSOCIATION DES ELEVES-AVOCATS ALIENOR 2016")</f>
        <v>ASSOCIATION DES ELEVES-AVOCATS ALIENOR 2016</v>
      </c>
      <c r="C181" s="1">
        <f>IFERROR(__xludf.DUMMYFUNCTION("""COMPUTED_VALUE"""),888.0)</f>
        <v>888</v>
      </c>
      <c r="D181" s="1">
        <v>0.0</v>
      </c>
      <c r="E181" s="2"/>
      <c r="F181" s="2"/>
      <c r="G181" s="2"/>
      <c r="H181" s="2"/>
      <c r="I181" s="2"/>
    </row>
    <row r="182">
      <c r="A182" s="1" t="s">
        <v>189</v>
      </c>
      <c r="B182" s="1" t="str">
        <f>IFERROR(__xludf.DUMMYFUNCTION("SPLIT(A182,"";"")"),"ASSOCIATION DES ETUDIANTS EN PSYCHOLOGIE DU TRAVAIL ET ERGONOMIE DES SYSTEMES")</f>
        <v>ASSOCIATION DES ETUDIANTS EN PSYCHOLOGIE DU TRAVAIL ET ERGONOMIE DES SYSTEMES</v>
      </c>
      <c r="C182" s="1">
        <f>IFERROR(__xludf.DUMMYFUNCTION("""COMPUTED_VALUE"""),178.0)</f>
        <v>178</v>
      </c>
      <c r="D182" s="1">
        <v>0.0</v>
      </c>
      <c r="E182" s="2"/>
      <c r="F182" s="2"/>
      <c r="G182" s="2"/>
      <c r="H182" s="2"/>
      <c r="I182" s="2"/>
    </row>
    <row r="183">
      <c r="A183" s="1" t="s">
        <v>190</v>
      </c>
      <c r="B183" s="1" t="str">
        <f>IFERROR(__xludf.DUMMYFUNCTION("SPLIT(A183,"";"")"),"ASSOCIATION DES ETUDIANTS REUNIONNAIS A BORDEAUX - AERB")</f>
        <v>ASSOCIATION DES ETUDIANTS REUNIONNAIS A BORDEAUX - AERB</v>
      </c>
      <c r="C183" s="1">
        <f>IFERROR(__xludf.DUMMYFUNCTION("""COMPUTED_VALUE"""),34.0)</f>
        <v>34</v>
      </c>
      <c r="D183" s="1">
        <v>0.0</v>
      </c>
      <c r="E183" s="2"/>
      <c r="F183" s="2"/>
      <c r="G183" s="2"/>
      <c r="H183" s="2"/>
      <c r="I183" s="2"/>
    </row>
    <row r="184">
      <c r="A184" s="1" t="s">
        <v>191</v>
      </c>
      <c r="B184" s="1" t="str">
        <f>IFERROR(__xludf.DUMMYFUNCTION("SPLIT(A184,"";"")"),"ASSOCIATION DES FAMILLES D'ENFANTS DE LA POSTE ET D'ORANGE - AFEH")</f>
        <v>ASSOCIATION DES FAMILLES D'ENFANTS DE LA POSTE ET D'ORANGE - AFEH</v>
      </c>
      <c r="C184" s="1">
        <f>IFERROR(__xludf.DUMMYFUNCTION("""COMPUTED_VALUE"""),72.0)</f>
        <v>72</v>
      </c>
      <c r="D184" s="1">
        <v>0.0</v>
      </c>
      <c r="E184" s="2"/>
      <c r="F184" s="2"/>
      <c r="G184" s="2"/>
      <c r="H184" s="2"/>
      <c r="I184" s="2"/>
    </row>
    <row r="185">
      <c r="A185" s="1" t="s">
        <v>192</v>
      </c>
      <c r="B185" s="1" t="str">
        <f>IFERROR(__xludf.DUMMYFUNCTION("SPLIT(A185,"";"")"),"ASSOCIATION DES GROUPES BIBLIQUES ET UNIVERSITAIRES DE FRANCE - AGBUF-GBU")</f>
        <v>ASSOCIATION DES GROUPES BIBLIQUES ET UNIVERSITAIRES DE FRANCE - AGBUF-GBU</v>
      </c>
      <c r="C185" s="1">
        <f>IFERROR(__xludf.DUMMYFUNCTION("""COMPUTED_VALUE"""),255.0)</f>
        <v>255</v>
      </c>
      <c r="D185" s="1">
        <v>0.0</v>
      </c>
      <c r="E185" s="2"/>
      <c r="F185" s="2"/>
      <c r="G185" s="2"/>
      <c r="H185" s="2"/>
      <c r="I185" s="2"/>
    </row>
    <row r="186">
      <c r="A186" s="1" t="s">
        <v>193</v>
      </c>
      <c r="B186" s="1" t="str">
        <f>IFERROR(__xludf.DUMMYFUNCTION("SPLIT(A186,"";"")"),"ASSOCIATION DES GUIDES INTERPRETES ET CONFERENCIERS D'AQUITAINE - AGICA")</f>
        <v>ASSOCIATION DES GUIDES INTERPRETES ET CONFERENCIERS D'AQUITAINE - AGICA</v>
      </c>
      <c r="C186" s="1">
        <f>IFERROR(__xludf.DUMMYFUNCTION("""COMPUTED_VALUE"""),24.0)</f>
        <v>24</v>
      </c>
      <c r="D186" s="1">
        <v>0.0</v>
      </c>
      <c r="E186" s="2"/>
      <c r="F186" s="2"/>
      <c r="G186" s="2"/>
      <c r="H186" s="2"/>
      <c r="I186" s="2"/>
    </row>
    <row r="187">
      <c r="A187" s="1" t="s">
        <v>194</v>
      </c>
      <c r="B187" s="1" t="str">
        <f>IFERROR(__xludf.DUMMYFUNCTION("SPLIT(A187,"";"")"),"ASSOCIATION DES MAIRES DE LA GIRONDE")</f>
        <v>ASSOCIATION DES MAIRES DE LA GIRONDE</v>
      </c>
      <c r="C187" s="3">
        <f>IFERROR(__xludf.DUMMYFUNCTION("""COMPUTED_VALUE"""),1367.0)</f>
        <v>1367</v>
      </c>
      <c r="D187" s="1">
        <v>28.0</v>
      </c>
      <c r="E187" s="2"/>
      <c r="F187" s="2"/>
      <c r="G187" s="2"/>
      <c r="H187" s="2"/>
      <c r="I187" s="2"/>
    </row>
    <row r="188">
      <c r="A188" s="1" t="s">
        <v>195</v>
      </c>
      <c r="B188" s="1" t="str">
        <f>IFERROR(__xludf.DUMMYFUNCTION("SPLIT(A188,"";"")"),"ASSOCIATION DES MUSULMANS DE BORDEAUX NORD (A.M.B.N.)")</f>
        <v>ASSOCIATION DES MUSULMANS DE BORDEAUX NORD (A.M.B.N.)</v>
      </c>
      <c r="C188" s="1">
        <f>IFERROR(__xludf.DUMMYFUNCTION("""COMPUTED_VALUE"""),184.0)</f>
        <v>184</v>
      </c>
      <c r="D188" s="1">
        <v>80.0</v>
      </c>
      <c r="E188" s="2"/>
      <c r="F188" s="2"/>
      <c r="G188" s="2"/>
      <c r="H188" s="2"/>
      <c r="I188" s="2"/>
    </row>
    <row r="189">
      <c r="A189" s="1" t="s">
        <v>196</v>
      </c>
      <c r="B189" s="1" t="str">
        <f>IFERROR(__xludf.DUMMYFUNCTION("SPLIT(A189,"";"")"),"ASSOCIATION DES MUSULMANS DE LA GIRONDE")</f>
        <v>ASSOCIATION DES MUSULMANS DE LA GIRONDE</v>
      </c>
      <c r="C189" s="3">
        <f>IFERROR(__xludf.DUMMYFUNCTION("""COMPUTED_VALUE"""),3025.0)</f>
        <v>3025</v>
      </c>
      <c r="D189" s="1">
        <v>0.0</v>
      </c>
      <c r="E189" s="2"/>
      <c r="F189" s="2"/>
      <c r="G189" s="2"/>
      <c r="H189" s="2"/>
      <c r="I189" s="2"/>
    </row>
    <row r="190">
      <c r="A190" s="1" t="s">
        <v>197</v>
      </c>
      <c r="B190" s="1" t="str">
        <f>IFERROR(__xludf.DUMMYFUNCTION("SPLIT(A190,"";"")"),"ASSOCIATION DES ŒUVRES GIRONDINES DE PROTECTION DE L'ENFANCE")</f>
        <v>ASSOCIATION DES ŒUVRES GIRONDINES DE PROTECTION DE L'ENFANCE</v>
      </c>
      <c r="C190" s="1">
        <f>IFERROR(__xludf.DUMMYFUNCTION("""COMPUTED_VALUE"""),178.0)</f>
        <v>178</v>
      </c>
      <c r="D190" s="1">
        <v>0.0</v>
      </c>
      <c r="E190" s="2"/>
      <c r="F190" s="2"/>
      <c r="G190" s="2"/>
      <c r="H190" s="2"/>
      <c r="I190" s="2"/>
    </row>
    <row r="191">
      <c r="A191" s="1" t="s">
        <v>198</v>
      </c>
      <c r="B191" s="1" t="str">
        <f>IFERROR(__xludf.DUMMYFUNCTION("SPLIT(A191,"";"")"),"ASSOCIATION DES PARALYSES DE FRANCE - APF")</f>
        <v>ASSOCIATION DES PARALYSES DE FRANCE - APF</v>
      </c>
      <c r="C191" s="3">
        <f>IFERROR(__xludf.DUMMYFUNCTION("""COMPUTED_VALUE"""),3784.0)</f>
        <v>3784</v>
      </c>
      <c r="D191" s="1">
        <v>84.0</v>
      </c>
      <c r="E191" s="2"/>
      <c r="F191" s="2"/>
      <c r="G191" s="2"/>
      <c r="H191" s="2"/>
      <c r="I191" s="2"/>
    </row>
    <row r="192">
      <c r="A192" s="1" t="s">
        <v>199</v>
      </c>
      <c r="B192" s="1" t="str">
        <f>IFERROR(__xludf.DUMMYFUNCTION("SPLIT(A192,"";"")"),"ASSOCIATION DES PARENTS D'ELEVES DE L'ENSEIGNEMENT PUBLIC DU LYCEE CAMILLE JULLIAN")</f>
        <v>ASSOCIATION DES PARENTS D'ELEVES DE L'ENSEIGNEMENT PUBLIC DU LYCEE CAMILLE JULLIAN</v>
      </c>
      <c r="C192" s="1">
        <f>IFERROR(__xludf.DUMMYFUNCTION("""COMPUTED_VALUE"""),106.0)</f>
        <v>106</v>
      </c>
      <c r="D192" s="1">
        <v>0.0</v>
      </c>
      <c r="E192" s="2"/>
      <c r="F192" s="2"/>
      <c r="G192" s="2"/>
      <c r="H192" s="2"/>
      <c r="I192" s="2"/>
    </row>
    <row r="193">
      <c r="A193" s="1" t="s">
        <v>200</v>
      </c>
      <c r="B193" s="1" t="str">
        <f>IFERROR(__xludf.DUMMYFUNCTION("SPLIT(A193,"";"")"),"ASSOCIATION DES PROFESSIONNELS AQUITAINS DE LA COMMUNICATION (APACOM)")</f>
        <v>ASSOCIATION DES PROFESSIONNELS AQUITAINS DE LA COMMUNICATION (APACOM)</v>
      </c>
      <c r="C193" s="1">
        <f>IFERROR(__xludf.DUMMYFUNCTION("""COMPUTED_VALUE"""),903.0)</f>
        <v>903</v>
      </c>
      <c r="D193" s="1">
        <v>0.0</v>
      </c>
      <c r="E193" s="2"/>
      <c r="F193" s="2"/>
      <c r="G193" s="2"/>
      <c r="H193" s="2"/>
      <c r="I193" s="2"/>
    </row>
    <row r="194">
      <c r="A194" s="1" t="s">
        <v>201</v>
      </c>
      <c r="B194" s="1" t="str">
        <f>IFERROR(__xludf.DUMMYFUNCTION("SPLIT(A194,"";"")"),"ASSOCIATION DES PSYCHOLOGUES ETUDIANTS (APE)")</f>
        <v>ASSOCIATION DES PSYCHOLOGUES ETUDIANTS (APE)</v>
      </c>
      <c r="C194" s="1">
        <f>IFERROR(__xludf.DUMMYFUNCTION("""COMPUTED_VALUE"""),166.0)</f>
        <v>166</v>
      </c>
      <c r="D194" s="1">
        <v>86.0</v>
      </c>
      <c r="E194" s="2"/>
      <c r="F194" s="2"/>
      <c r="G194" s="2"/>
      <c r="H194" s="2"/>
      <c r="I194" s="2"/>
    </row>
    <row r="195">
      <c r="A195" s="1" t="s">
        <v>202</v>
      </c>
      <c r="B195" s="1" t="str">
        <f>IFERROR(__xludf.DUMMYFUNCTION("SPLIT(A195,"";"")"),"ASSOCIATION DES PSYCHOMOTRICIENS DE LA GIRONDE")</f>
        <v>ASSOCIATION DES PSYCHOMOTRICIENS DE LA GIRONDE</v>
      </c>
      <c r="C195" s="1">
        <f>IFERROR(__xludf.DUMMYFUNCTION("""COMPUTED_VALUE"""),201.0)</f>
        <v>201</v>
      </c>
      <c r="D195" s="1">
        <v>0.0</v>
      </c>
      <c r="E195" s="2"/>
      <c r="F195" s="2"/>
      <c r="G195" s="2"/>
      <c r="H195" s="2"/>
      <c r="I195" s="2"/>
    </row>
    <row r="196">
      <c r="A196" s="1" t="s">
        <v>203</v>
      </c>
      <c r="B196" s="1" t="str">
        <f>IFERROR(__xludf.DUMMYFUNCTION("SPLIT(A196,"";"")"),"ASSOCIATION DES RESIDENCES DE L'ILOT BONNAC")</f>
        <v>ASSOCIATION DES RESIDENCES DE L'ILOT BONNAC</v>
      </c>
      <c r="C196" s="1">
        <f>IFERROR(__xludf.DUMMYFUNCTION("""COMPUTED_VALUE"""),202.0)</f>
        <v>202</v>
      </c>
      <c r="D196" s="1">
        <v>0.0</v>
      </c>
      <c r="E196" s="2"/>
      <c r="F196" s="2"/>
      <c r="G196" s="2"/>
      <c r="H196" s="2"/>
      <c r="I196" s="2"/>
    </row>
    <row r="197">
      <c r="A197" s="1" t="s">
        <v>204</v>
      </c>
      <c r="B197" s="1" t="str">
        <f>IFERROR(__xludf.DUMMYFUNCTION("SPLIT(A197,"";"")"),"ASSOCIATION DES RETRAITES IRSEA D'AQUITAINE (A.R.I.A.).")</f>
        <v>ASSOCIATION DES RETRAITES IRSEA D'AQUITAINE (A.R.I.A.).</v>
      </c>
      <c r="C197" s="1">
        <f>IFERROR(__xludf.DUMMYFUNCTION("""COMPUTED_VALUE"""),992.0)</f>
        <v>992</v>
      </c>
      <c r="D197" s="1">
        <v>14.0</v>
      </c>
      <c r="E197" s="2"/>
      <c r="F197" s="2"/>
      <c r="G197" s="2"/>
      <c r="H197" s="2"/>
      <c r="I197" s="2"/>
    </row>
    <row r="198">
      <c r="A198" s="1" t="s">
        <v>205</v>
      </c>
      <c r="B198" s="1" t="str">
        <f>IFERROR(__xludf.DUMMYFUNCTION("SPLIT(A198,"";"")"),"ASSOCIATION DES RIVERAINS DE LA PLACE MITCHELL")</f>
        <v>ASSOCIATION DES RIVERAINS DE LA PLACE MITCHELL</v>
      </c>
      <c r="C198" s="1">
        <f>IFERROR(__xludf.DUMMYFUNCTION("""COMPUTED_VALUE"""),222.0)</f>
        <v>222</v>
      </c>
      <c r="D198" s="1">
        <v>54.0</v>
      </c>
      <c r="E198" s="2"/>
      <c r="F198" s="2"/>
      <c r="G198" s="2"/>
      <c r="H198" s="2"/>
      <c r="I198" s="2"/>
    </row>
    <row r="199">
      <c r="A199" s="1" t="s">
        <v>206</v>
      </c>
      <c r="B199" s="1" t="str">
        <f>IFERROR(__xludf.DUMMYFUNCTION("SPLIT(A199,"";"")"),"ASSOCIATION DES RIVERAINS DU QUARTIER ORNANO-GAVINIES")</f>
        <v>ASSOCIATION DES RIVERAINS DU QUARTIER ORNANO-GAVINIES</v>
      </c>
      <c r="C199" s="3">
        <f>IFERROR(__xludf.DUMMYFUNCTION("""COMPUTED_VALUE"""),1206.0)</f>
        <v>1206</v>
      </c>
      <c r="D199" s="1">
        <v>71.0</v>
      </c>
      <c r="E199" s="2"/>
      <c r="F199" s="2"/>
      <c r="G199" s="2"/>
      <c r="H199" s="2"/>
      <c r="I199" s="2"/>
    </row>
    <row r="200">
      <c r="A200" s="1" t="s">
        <v>207</v>
      </c>
      <c r="B200" s="1" t="str">
        <f>IFERROR(__xludf.DUMMYFUNCTION("SPLIT(A200,"";"")"),"ASSOCIATION DES STAGIAIRES ET ETUDIANTS CAMEROUNAIS DE BORDEAUX (ASECB)")</f>
        <v>ASSOCIATION DES STAGIAIRES ET ETUDIANTS CAMEROUNAIS DE BORDEAUX (ASECB)</v>
      </c>
      <c r="C200" s="1">
        <f>IFERROR(__xludf.DUMMYFUNCTION("""COMPUTED_VALUE"""),774.0)</f>
        <v>774</v>
      </c>
      <c r="D200" s="1">
        <v>0.0</v>
      </c>
      <c r="E200" s="2"/>
      <c r="F200" s="2"/>
      <c r="G200" s="2"/>
      <c r="H200" s="2"/>
      <c r="I200" s="2"/>
    </row>
    <row r="201">
      <c r="A201" s="1" t="s">
        <v>208</v>
      </c>
      <c r="B201" s="1" t="str">
        <f>IFERROR(__xludf.DUMMYFUNCTION("SPLIT(A201,"";"")"),"ASSOCIATION DU COMITE DES OEUVRES SOCIALES DES MUNICIPAUX DE BORDEAUX - ACOSMB")</f>
        <v>ASSOCIATION DU COMITE DES OEUVRES SOCIALES DES MUNICIPAUX DE BORDEAUX - ACOSMB</v>
      </c>
      <c r="C201" s="3">
        <f>IFERROR(__xludf.DUMMYFUNCTION("""COMPUTED_VALUE"""),3586.0)</f>
        <v>3586</v>
      </c>
      <c r="D201" s="1">
        <v>40.0</v>
      </c>
      <c r="E201" s="2"/>
      <c r="F201" s="2"/>
      <c r="G201" s="2"/>
      <c r="H201" s="2"/>
      <c r="I201" s="2"/>
    </row>
    <row r="202">
      <c r="A202" s="1" t="s">
        <v>209</v>
      </c>
      <c r="B202" s="1" t="str">
        <f>IFERROR(__xludf.DUMMYFUNCTION("SPLIT(A202,"";"")"),"ASSOCIATION DU LIEN INTERCULTUREL FAMILIAL ET SOCIAL - ALIFS")</f>
        <v>ASSOCIATION DU LIEN INTERCULTUREL FAMILIAL ET SOCIAL - ALIFS</v>
      </c>
      <c r="C202" s="3">
        <f>IFERROR(__xludf.DUMMYFUNCTION("""COMPUTED_VALUE"""),9209.0)</f>
        <v>9209</v>
      </c>
      <c r="D202" s="1">
        <v>34.0</v>
      </c>
      <c r="E202" s="2"/>
      <c r="F202" s="2"/>
      <c r="G202" s="2"/>
      <c r="H202" s="2"/>
      <c r="I202" s="2"/>
    </row>
    <row r="203">
      <c r="A203" s="1" t="s">
        <v>210</v>
      </c>
      <c r="B203" s="1" t="str">
        <f>IFERROR(__xludf.DUMMYFUNCTION("SPLIT(A203,"";"")"),"ASSOCIATION DU PERSONNEL DE L'OPERA NATIONAL DE BORDEAUX")</f>
        <v>ASSOCIATION DU PERSONNEL DE L'OPERA NATIONAL DE BORDEAUX</v>
      </c>
      <c r="C203" s="3">
        <f>IFERROR(__xludf.DUMMYFUNCTION("""COMPUTED_VALUE"""),3187.0)</f>
        <v>3187</v>
      </c>
      <c r="D203" s="1">
        <v>0.0</v>
      </c>
      <c r="E203" s="2"/>
      <c r="F203" s="2"/>
      <c r="G203" s="2"/>
      <c r="H203" s="2"/>
      <c r="I203" s="2"/>
    </row>
    <row r="204">
      <c r="A204" s="1" t="s">
        <v>211</v>
      </c>
      <c r="B204" s="1" t="str">
        <f>IFERROR(__xludf.DUMMYFUNCTION("SPLIT(A204,"";"")"),"ASSOCIATION DU SOUVENIR DES FUSILLES DE SOUGE")</f>
        <v>ASSOCIATION DU SOUVENIR DES FUSILLES DE SOUGE</v>
      </c>
      <c r="C204" s="3">
        <f>IFERROR(__xludf.DUMMYFUNCTION("""COMPUTED_VALUE"""),1905.0)</f>
        <v>1905</v>
      </c>
      <c r="D204" s="1">
        <v>62.0</v>
      </c>
      <c r="E204" s="2"/>
      <c r="F204" s="2"/>
      <c r="G204" s="2"/>
      <c r="H204" s="2"/>
      <c r="I204" s="2"/>
    </row>
    <row r="205">
      <c r="A205" s="1" t="s">
        <v>212</v>
      </c>
      <c r="B205" s="1" t="str">
        <f>IFERROR(__xludf.DUMMYFUNCTION("SPLIT(A205,"";"")"),"ASSOCIATION DU VELO TOUTES VIGNES (AVTV)")</f>
        <v>ASSOCIATION DU VELO TOUTES VIGNES (AVTV)</v>
      </c>
      <c r="C205" s="1">
        <f>IFERROR(__xludf.DUMMYFUNCTION("""COMPUTED_VALUE"""),902.0)</f>
        <v>902</v>
      </c>
      <c r="D205" s="1">
        <v>40.0</v>
      </c>
      <c r="E205" s="2"/>
      <c r="F205" s="2"/>
      <c r="G205" s="2"/>
      <c r="H205" s="2"/>
      <c r="I205" s="2"/>
    </row>
    <row r="206">
      <c r="A206" s="1" t="s">
        <v>213</v>
      </c>
      <c r="B206" s="1" t="str">
        <f>IFERROR(__xludf.DUMMYFUNCTION("SPLIT(A206,"";"")"),"ASSOCIATION ECOPOLES")</f>
        <v>ASSOCIATION ECOPOLES</v>
      </c>
      <c r="C206" s="1">
        <f>IFERROR(__xludf.DUMMYFUNCTION("""COMPUTED_VALUE"""),126.0)</f>
        <v>126</v>
      </c>
      <c r="D206" s="1">
        <v>0.0</v>
      </c>
      <c r="E206" s="2"/>
      <c r="F206" s="2"/>
      <c r="G206" s="2"/>
      <c r="H206" s="2"/>
      <c r="I206" s="2"/>
    </row>
    <row r="207">
      <c r="A207" s="1" t="s">
        <v>214</v>
      </c>
      <c r="B207" s="1" t="str">
        <f>IFERROR(__xludf.DUMMYFUNCTION("SPLIT(A207,"";"")"),"ASSOCIATION EDUCATIVE D'INSERTION SOCIALE (AEIS)")</f>
        <v>ASSOCIATION EDUCATIVE D'INSERTION SOCIALE (AEIS)</v>
      </c>
      <c r="C207" s="3">
        <f>IFERROR(__xludf.DUMMYFUNCTION("""COMPUTED_VALUE"""),1329.0)</f>
        <v>1329</v>
      </c>
      <c r="D207" s="1">
        <v>0.0</v>
      </c>
      <c r="E207" s="2"/>
      <c r="F207" s="2"/>
      <c r="G207" s="2"/>
      <c r="H207" s="2"/>
      <c r="I207" s="2"/>
    </row>
    <row r="208">
      <c r="A208" s="1" t="s">
        <v>215</v>
      </c>
      <c r="B208" s="1" t="str">
        <f>IFERROR(__xludf.DUMMYFUNCTION("SPLIT(A208,"";"")"),"ASSOCIATION EMMAUS AQUITAINE BORDEAUX FONDATEUR ABBE PIERRE")</f>
        <v>ASSOCIATION EMMAUS AQUITAINE BORDEAUX FONDATEUR ABBE PIERRE</v>
      </c>
      <c r="C208" s="3">
        <f>IFERROR(__xludf.DUMMYFUNCTION("""COMPUTED_VALUE"""),24196.0)</f>
        <v>24196</v>
      </c>
      <c r="D208" s="1">
        <v>0.0</v>
      </c>
      <c r="E208" s="2"/>
      <c r="F208" s="2"/>
      <c r="G208" s="2"/>
      <c r="H208" s="2"/>
      <c r="I208" s="2"/>
    </row>
    <row r="209">
      <c r="A209" s="1" t="s">
        <v>216</v>
      </c>
      <c r="B209" s="1" t="str">
        <f>IFERROR(__xludf.DUMMYFUNCTION("SPLIT(A209,"";"")"),"ASSOCIATION EMMAUS GIRONDE")</f>
        <v>ASSOCIATION EMMAUS GIRONDE</v>
      </c>
      <c r="C209" s="1">
        <f>IFERROR(__xludf.DUMMYFUNCTION("""COMPUTED_VALUE"""),461.0)</f>
        <v>461</v>
      </c>
      <c r="D209" s="1">
        <v>4.0</v>
      </c>
      <c r="E209" s="2"/>
      <c r="F209" s="2"/>
      <c r="G209" s="2"/>
      <c r="H209" s="2"/>
      <c r="I209" s="2"/>
    </row>
    <row r="210">
      <c r="A210" s="1" t="s">
        <v>217</v>
      </c>
      <c r="B210" s="1" t="str">
        <f>IFERROR(__xludf.DUMMYFUNCTION("SPLIT(A210,"";"")"),"ASSOCIATION ETUDIANTE CULTURELLE BOIS DE ROSE")</f>
        <v>ASSOCIATION ETUDIANTE CULTURELLE BOIS DE ROSE</v>
      </c>
      <c r="C210" s="3">
        <f>IFERROR(__xludf.DUMMYFUNCTION("""COMPUTED_VALUE"""),4814.0)</f>
        <v>4814</v>
      </c>
      <c r="D210" s="1">
        <v>0.0</v>
      </c>
      <c r="E210" s="2"/>
      <c r="F210" s="2"/>
      <c r="G210" s="2"/>
      <c r="H210" s="2"/>
      <c r="I210" s="2"/>
    </row>
    <row r="211">
      <c r="A211" s="1" t="s">
        <v>145</v>
      </c>
      <c r="B211" s="1" t="str">
        <f>IFERROR(__xludf.DUMMYFUNCTION("SPLIT(A211,"";"")"),"ASSOCIATION DE PARENTS D'ELEVES DE L'ENSEIGNEMENT LIBRE SAINT-MICHEL/SAINT-GENES (APEL SAINT-MICHEL/SAINT-GENES)")</f>
        <v>ASSOCIATION DE PARENTS D'ELEVES DE L'ENSEIGNEMENT LIBRE SAINT-MICHEL/SAINT-GENES (APEL SAINT-MICHEL/SAINT-GENES)</v>
      </c>
      <c r="C211" s="1">
        <f>IFERROR(__xludf.DUMMYFUNCTION("""COMPUTED_VALUE"""),459.0)</f>
        <v>459</v>
      </c>
      <c r="D211" s="1">
        <v>0.0</v>
      </c>
      <c r="E211" s="2"/>
      <c r="F211" s="2"/>
      <c r="G211" s="2"/>
      <c r="H211" s="2"/>
      <c r="I211" s="2"/>
    </row>
    <row r="212">
      <c r="A212" s="1" t="s">
        <v>146</v>
      </c>
      <c r="B212" s="1" t="str">
        <f>IFERROR(__xludf.DUMMYFUNCTION("SPLIT(A212,"";"")"),"ASSOCIATION DE PATIENTS POUR LA PREVENTION LE TRAITEMENT ET LA LUTTE CONTRE LA MALADIE CHRONIQUE DE L'OBESITE")</f>
        <v>ASSOCIATION DE PATIENTS POUR LA PREVENTION LE TRAITEMENT ET LA LUTTE CONTRE LA MALADIE CHRONIQUE DE L'OBESITE</v>
      </c>
      <c r="C212" s="2"/>
      <c r="D212" s="2"/>
      <c r="E212" s="2"/>
      <c r="F212" s="2"/>
      <c r="G212" s="2"/>
      <c r="H212" s="2"/>
      <c r="I212" s="2"/>
    </row>
    <row r="213">
      <c r="A213" s="1" t="s">
        <v>147</v>
      </c>
      <c r="B213" s="1">
        <f>IFERROR(__xludf.DUMMYFUNCTION("SPLIT(A213,"";"")"),580.0)</f>
        <v>580</v>
      </c>
      <c r="C213" s="1"/>
      <c r="D213" s="1">
        <v>0.0</v>
      </c>
      <c r="E213" s="2"/>
      <c r="F213" s="2"/>
      <c r="G213" s="2"/>
      <c r="H213" s="2"/>
      <c r="I213" s="2"/>
    </row>
    <row r="214">
      <c r="A214" s="1" t="s">
        <v>148</v>
      </c>
      <c r="B214" s="1" t="str">
        <f>IFERROR(__xludf.DUMMYFUNCTION("SPLIT(A214,"";"")"),"(ALOA)")</f>
        <v>(ALOA)</v>
      </c>
      <c r="C214" s="2"/>
      <c r="D214" s="2"/>
      <c r="E214" s="2"/>
      <c r="F214" s="2"/>
      <c r="G214" s="2"/>
      <c r="H214" s="2"/>
      <c r="I214" s="2"/>
    </row>
    <row r="215">
      <c r="A215" s="1" t="s">
        <v>149</v>
      </c>
      <c r="B215" s="1" t="str">
        <f>IFERROR(__xludf.DUMMYFUNCTION("SPLIT(A215,"";"")"),"ASSOCIATION DE PREFIGURATION D’UNE PLATEFORME D’AQUITAINE POUR LE COMMERCE EQUITABLE (LA PLACE)")</f>
        <v>ASSOCIATION DE PREFIGURATION D’UNE PLATEFORME D’AQUITAINE POUR LE COMMERCE EQUITABLE (LA PLACE)</v>
      </c>
      <c r="C215" s="3">
        <f>IFERROR(__xludf.DUMMYFUNCTION("""COMPUTED_VALUE"""),2630.0)</f>
        <v>2630</v>
      </c>
      <c r="D215" s="1">
        <v>0.0</v>
      </c>
      <c r="E215" s="2"/>
      <c r="F215" s="2"/>
      <c r="G215" s="2"/>
      <c r="H215" s="2"/>
      <c r="I215" s="2"/>
    </row>
    <row r="216">
      <c r="A216" s="1" t="s">
        <v>150</v>
      </c>
      <c r="B216" s="1" t="str">
        <f>IFERROR(__xludf.DUMMYFUNCTION("SPLIT(A216,"";"")"),"ASSOCIATION DE PREFIGURATION DE LA COOPERATIVE DE PRESTATAIRES RESPONSABLES SUD-OUEST")</f>
        <v>ASSOCIATION DE PREFIGURATION DE LA COOPERATIVE DE PRESTATAIRES RESPONSABLES SUD-OUEST</v>
      </c>
      <c r="C216" s="3">
        <f>IFERROR(__xludf.DUMMYFUNCTION("""COMPUTED_VALUE"""),3455.0)</f>
        <v>3455</v>
      </c>
      <c r="D216" s="1">
        <v>0.0</v>
      </c>
      <c r="E216" s="2"/>
      <c r="F216" s="2"/>
      <c r="G216" s="2"/>
      <c r="H216" s="2"/>
      <c r="I216" s="2"/>
    </row>
    <row r="217">
      <c r="A217" s="1" t="s">
        <v>151</v>
      </c>
      <c r="B217" s="1" t="str">
        <f>IFERROR(__xludf.DUMMYFUNCTION("SPLIT(A217,"";"")"),"ASSOCIATION DE RIVERAINS BASTIDE-ID")</f>
        <v>ASSOCIATION DE RIVERAINS BASTIDE-ID</v>
      </c>
      <c r="C217" s="1">
        <f>IFERROR(__xludf.DUMMYFUNCTION("""COMPUTED_VALUE"""),476.0)</f>
        <v>476</v>
      </c>
      <c r="D217" s="1">
        <v>0.0</v>
      </c>
      <c r="E217" s="2"/>
      <c r="F217" s="2"/>
      <c r="G217" s="2"/>
      <c r="H217" s="2"/>
      <c r="I217" s="2"/>
    </row>
    <row r="218">
      <c r="A218" s="1" t="s">
        <v>152</v>
      </c>
      <c r="B218" s="1" t="str">
        <f>IFERROR(__xludf.DUMMYFUNCTION("SPLIT(A218,"";"")"),"ASSOCIATION DE SOLIDARITE AVEC TOUS LES IMMIGRES - BORDEAUX (ASTI BORDEAUX)")</f>
        <v>ASSOCIATION DE SOLIDARITE AVEC TOUS LES IMMIGRES - BORDEAUX (ASTI BORDEAUX)</v>
      </c>
      <c r="C218" s="1">
        <f>IFERROR(__xludf.DUMMYFUNCTION("""COMPUTED_VALUE"""),790.0)</f>
        <v>790</v>
      </c>
      <c r="D218" s="1">
        <v>0.0</v>
      </c>
      <c r="E218" s="2"/>
      <c r="F218" s="2"/>
      <c r="G218" s="2"/>
      <c r="H218" s="2"/>
      <c r="I218" s="2"/>
    </row>
    <row r="219">
      <c r="A219" s="1" t="s">
        <v>153</v>
      </c>
      <c r="B219" s="1" t="str">
        <f>IFERROR(__xludf.DUMMYFUNCTION("SPLIT(A219,"";"")"),"ASSOCIATION DE SOLIDARITE BORDEAUX")</f>
        <v>ASSOCIATION DE SOLIDARITE BORDEAUX</v>
      </c>
      <c r="C219" s="1">
        <f>IFERROR(__xludf.DUMMYFUNCTION("""COMPUTED_VALUE"""),111.0)</f>
        <v>111</v>
      </c>
      <c r="D219" s="1">
        <v>0.0</v>
      </c>
      <c r="E219" s="2"/>
      <c r="F219" s="2"/>
      <c r="G219" s="2"/>
      <c r="H219" s="2"/>
      <c r="I219" s="2"/>
    </row>
    <row r="220">
      <c r="A220" s="1" t="s">
        <v>154</v>
      </c>
      <c r="B220" s="1" t="str">
        <f>IFERROR(__xludf.DUMMYFUNCTION("SPLIT(A220,"";"")"),"ASSOCIATION DE SOPHROLOGIE EXISTENTIELLE DE BORDEAUX")</f>
        <v>ASSOCIATION DE SOPHROLOGIE EXISTENTIELLE DE BORDEAUX</v>
      </c>
      <c r="C220" s="1">
        <f>IFERROR(__xludf.DUMMYFUNCTION("""COMPUTED_VALUE"""),96.0)</f>
        <v>96</v>
      </c>
      <c r="D220" s="1">
        <v>0.0</v>
      </c>
      <c r="E220" s="2"/>
      <c r="F220" s="2"/>
      <c r="G220" s="2"/>
      <c r="H220" s="2"/>
      <c r="I220" s="2"/>
    </row>
    <row r="221">
      <c r="A221" s="1" t="s">
        <v>155</v>
      </c>
      <c r="B221" s="1" t="str">
        <f>IFERROR(__xludf.DUMMYFUNCTION("SPLIT(A221,"";"")"),"ASSOCIATION DE SOUTIEN AUX INVENTIONS LIBRES (ASIL)")</f>
        <v>ASSOCIATION DE SOUTIEN AUX INVENTIONS LIBRES (ASIL)</v>
      </c>
      <c r="C221" s="3">
        <f>IFERROR(__xludf.DUMMYFUNCTION("""COMPUTED_VALUE"""),11301.0)</f>
        <v>11301</v>
      </c>
      <c r="D221" s="1">
        <v>26.0</v>
      </c>
      <c r="E221" s="2"/>
      <c r="F221" s="2"/>
      <c r="G221" s="2"/>
      <c r="H221" s="2"/>
      <c r="I221" s="2"/>
    </row>
    <row r="222">
      <c r="A222" s="1" t="s">
        <v>156</v>
      </c>
      <c r="B222" s="1" t="str">
        <f>IFERROR(__xludf.DUMMYFUNCTION("SPLIT(A222,"";"")"),"ASSOCIATION DEPARTEMENTALE APAJH DE LA GIRONDE")</f>
        <v>ASSOCIATION DEPARTEMENTALE APAJH DE LA GIRONDE</v>
      </c>
      <c r="C222" s="1">
        <f>IFERROR(__xludf.DUMMYFUNCTION("""COMPUTED_VALUE"""),46.0)</f>
        <v>46</v>
      </c>
      <c r="D222" s="1">
        <v>0.0</v>
      </c>
      <c r="E222" s="2"/>
      <c r="F222" s="2"/>
      <c r="G222" s="2"/>
      <c r="H222" s="2"/>
      <c r="I222" s="2"/>
    </row>
    <row r="223">
      <c r="A223" s="1" t="s">
        <v>157</v>
      </c>
      <c r="B223" s="1" t="str">
        <f>IFERROR(__xludf.DUMMYFUNCTION("SPLIT(A223,"";"")"),"ASSOCIATION DEPARTEMENTALE DE L'OFFICE CENTRAL DE LA COOPERATION A L'ECOLE DE LA GIRONDE - AD-OCCE")</f>
        <v>ASSOCIATION DEPARTEMENTALE DE L'OFFICE CENTRAL DE LA COOPERATION A L'ECOLE DE LA GIRONDE - AD-OCCE</v>
      </c>
      <c r="C223" s="3">
        <f>IFERROR(__xludf.DUMMYFUNCTION("""COMPUTED_VALUE"""),16000.0)</f>
        <v>16000</v>
      </c>
      <c r="D223" s="1">
        <v>0.0</v>
      </c>
      <c r="E223" s="2"/>
      <c r="F223" s="2"/>
      <c r="G223" s="2"/>
      <c r="H223" s="2"/>
      <c r="I223" s="2"/>
    </row>
    <row r="224">
      <c r="A224" s="1" t="s">
        <v>158</v>
      </c>
      <c r="B224" s="1" t="str">
        <f>IFERROR(__xludf.DUMMYFUNCTION("SPLIT(A224,"";"")"),"ASSOCIATION DEPARTEMENTALE DES AMIS ET PARENTS DE PERSONNES HANDICAPEES MENTALES DE LA GIRONDE - LES")</f>
        <v>ASSOCIATION DEPARTEMENTALE DES AMIS ET PARENTS DE PERSONNES HANDICAPEES MENTALES DE LA GIRONDE - LES</v>
      </c>
      <c r="C224" s="2"/>
      <c r="D224" s="2"/>
      <c r="E224" s="2"/>
      <c r="F224" s="2"/>
      <c r="G224" s="2"/>
      <c r="H224" s="2"/>
      <c r="I224" s="2"/>
    </row>
    <row r="225">
      <c r="A225" s="1" t="s">
        <v>159</v>
      </c>
      <c r="B225" s="1">
        <f>IFERROR(__xludf.DUMMYFUNCTION("SPLIT(A225,"";"")"),406.0)</f>
        <v>406</v>
      </c>
      <c r="C225" s="1"/>
      <c r="D225" s="1">
        <v>6.0</v>
      </c>
      <c r="E225" s="2"/>
      <c r="F225" s="2"/>
      <c r="G225" s="2"/>
      <c r="H225" s="2"/>
      <c r="I225" s="2"/>
    </row>
    <row r="226">
      <c r="A226" s="1" t="s">
        <v>160</v>
      </c>
      <c r="B226" s="1" t="str">
        <f>IFERROR(__xludf.DUMMYFUNCTION("SPLIT(A226,"";"")"),"PAPILLONS BLANCS (ADAPEI)")</f>
        <v>PAPILLONS BLANCS (ADAPEI)</v>
      </c>
      <c r="C226" s="2"/>
      <c r="D226" s="2"/>
      <c r="E226" s="2"/>
      <c r="F226" s="2"/>
      <c r="G226" s="2"/>
      <c r="H226" s="2"/>
      <c r="I226" s="2"/>
    </row>
    <row r="227">
      <c r="A227" s="1" t="s">
        <v>161</v>
      </c>
      <c r="B227" s="1" t="str">
        <f>IFERROR(__xludf.DUMMYFUNCTION("SPLIT(A227,"";"")"),"ASSOCIATION DEPARTEMENTALE DES CONJOINTS SURVIVANTS ET PARENTS D'ORPHELINS DE LA GIRONDE - FAVEC 33")</f>
        <v>ASSOCIATION DEPARTEMENTALE DES CONJOINTS SURVIVANTS ET PARENTS D'ORPHELINS DE LA GIRONDE - FAVEC 33</v>
      </c>
      <c r="C227" s="3">
        <f>IFERROR(__xludf.DUMMYFUNCTION("""COMPUTED_VALUE"""),1600.0)</f>
        <v>1600</v>
      </c>
      <c r="D227" s="1">
        <v>0.0</v>
      </c>
      <c r="E227" s="2"/>
      <c r="F227" s="2"/>
      <c r="G227" s="2"/>
      <c r="H227" s="2"/>
      <c r="I227" s="2"/>
    </row>
    <row r="228">
      <c r="A228" s="1" t="s">
        <v>162</v>
      </c>
      <c r="B228" s="1" t="str">
        <f>IFERROR(__xludf.DUMMYFUNCTION("SPLIT(A228,"";"")"),"ASSOCIATION DEPARTEMENTALE DES PARENTS D'ELEVES DE L'ENSEIGNEMENT PUBLIC DE LA GIRONDE - PEEP AD 33")</f>
        <v>ASSOCIATION DEPARTEMENTALE DES PARENTS D'ELEVES DE L'ENSEIGNEMENT PUBLIC DE LA GIRONDE - PEEP AD 33</v>
      </c>
      <c r="C228" s="3">
        <f>IFERROR(__xludf.DUMMYFUNCTION("""COMPUTED_VALUE"""),4000.0)</f>
        <v>4000</v>
      </c>
      <c r="D228" s="1">
        <v>0.0</v>
      </c>
      <c r="E228" s="2"/>
      <c r="F228" s="2"/>
      <c r="G228" s="2"/>
      <c r="H228" s="2"/>
      <c r="I228" s="2"/>
    </row>
    <row r="229">
      <c r="A229" s="1" t="s">
        <v>163</v>
      </c>
      <c r="B229" s="1" t="str">
        <f>IFERROR(__xludf.DUMMYFUNCTION("SPLIT(A229,"";"")"),"ASSOCIATION DES AMIS D'ELIANE LAVAIL")</f>
        <v>ASSOCIATION DES AMIS D'ELIANE LAVAIL</v>
      </c>
      <c r="C229" s="1">
        <f>IFERROR(__xludf.DUMMYFUNCTION("""COMPUTED_VALUE"""),356.0)</f>
        <v>356</v>
      </c>
      <c r="D229" s="1">
        <v>0.0</v>
      </c>
      <c r="E229" s="2"/>
      <c r="F229" s="2"/>
      <c r="G229" s="2"/>
      <c r="H229" s="2"/>
      <c r="I229" s="2"/>
    </row>
    <row r="230">
      <c r="A230" s="1" t="s">
        <v>164</v>
      </c>
      <c r="B230" s="1" t="str">
        <f>IFERROR(__xludf.DUMMYFUNCTION("SPLIT(A230,"";"")"),"ASSOCIATION DES AUDITEURS DE L'INSTITUT DES HAUTES ETUDES DE DEFENSE NATIONALE REGION AQUITAINE - AQUI IHEDN")</f>
        <v>ASSOCIATION DES AUDITEURS DE L'INSTITUT DES HAUTES ETUDES DE DEFENSE NATIONALE REGION AQUITAINE - AQUI IHEDN</v>
      </c>
      <c r="C230" s="1">
        <f>IFERROR(__xludf.DUMMYFUNCTION("""COMPUTED_VALUE"""),444.0)</f>
        <v>444</v>
      </c>
      <c r="D230" s="1">
        <v>0.0</v>
      </c>
      <c r="E230" s="2"/>
      <c r="F230" s="2"/>
      <c r="G230" s="2"/>
      <c r="H230" s="2"/>
      <c r="I230" s="2"/>
    </row>
    <row r="231">
      <c r="A231" s="1" t="s">
        <v>165</v>
      </c>
      <c r="B231" s="1" t="str">
        <f>IFERROR(__xludf.DUMMYFUNCTION("SPLIT(A231,"";"")"),"ASSOCIATION DES BROCANTEURS DES CHARTRONS - ABC")</f>
        <v>ASSOCIATION DES BROCANTEURS DES CHARTRONS - ABC</v>
      </c>
      <c r="C231" s="1">
        <f>IFERROR(__xludf.DUMMYFUNCTION("""COMPUTED_VALUE"""),186.0)</f>
        <v>186</v>
      </c>
      <c r="D231" s="1">
        <v>24.0</v>
      </c>
      <c r="E231" s="2"/>
      <c r="F231" s="2"/>
      <c r="G231" s="2"/>
      <c r="H231" s="2"/>
      <c r="I231" s="2"/>
    </row>
    <row r="232">
      <c r="A232" s="1" t="s">
        <v>166</v>
      </c>
      <c r="B232" s="1" t="str">
        <f>IFERROR(__xludf.DUMMYFUNCTION("SPLIT(A232,"";"")"),"ASSOCIATION DES CENTRES D'ANIMATION DE QUARTIERS DE BORDEAUX - ACAQB")</f>
        <v>ASSOCIATION DES CENTRES D'ANIMATION DE QUARTIERS DE BORDEAUX - ACAQB</v>
      </c>
      <c r="C232" s="3">
        <f>IFERROR(__xludf.DUMMYFUNCTION("""COMPUTED_VALUE"""),913125.0)</f>
        <v>913125</v>
      </c>
      <c r="D232" s="1">
        <v>17.0</v>
      </c>
      <c r="E232" s="2"/>
      <c r="F232" s="2"/>
      <c r="G232" s="2"/>
      <c r="H232" s="2"/>
      <c r="I232" s="2"/>
    </row>
    <row r="233">
      <c r="A233" s="1" t="s">
        <v>167</v>
      </c>
      <c r="B233" s="1" t="str">
        <f>IFERROR(__xludf.DUMMYFUNCTION("SPLIT(A233,"";"")"),"ASSOCIATION DES CITES DU SECOURS CATHOLIQUE - DELEGATION BORDEAUX")</f>
        <v>ASSOCIATION DES CITES DU SECOURS CATHOLIQUE - DELEGATION BORDEAUX</v>
      </c>
      <c r="C233" s="1">
        <f>IFERROR(__xludf.DUMMYFUNCTION("""COMPUTED_VALUE"""),80.0)</f>
        <v>80</v>
      </c>
      <c r="D233" s="1">
        <v>0.0</v>
      </c>
      <c r="E233" s="2"/>
      <c r="F233" s="2"/>
      <c r="G233" s="2"/>
      <c r="H233" s="2"/>
      <c r="I233" s="2"/>
    </row>
    <row r="234">
      <c r="A234" s="1" t="s">
        <v>168</v>
      </c>
      <c r="B234" s="1" t="str">
        <f>IFERROR(__xludf.DUMMYFUNCTION("SPLIT(A234,"";"")"),"ASSOCIATION DES COMMERCANTS BORDEAUX RIVE DROITE (BRD)")</f>
        <v>ASSOCIATION DES COMMERCANTS BORDEAUX RIVE DROITE (BRD)</v>
      </c>
      <c r="C234" s="1">
        <f>IFERROR(__xludf.DUMMYFUNCTION("""COMPUTED_VALUE"""),34.0)</f>
        <v>34</v>
      </c>
      <c r="D234" s="1">
        <v>0.0</v>
      </c>
      <c r="E234" s="2"/>
      <c r="F234" s="2"/>
      <c r="G234" s="2"/>
      <c r="H234" s="2"/>
      <c r="I234" s="2"/>
    </row>
    <row r="235">
      <c r="A235" s="1" t="s">
        <v>169</v>
      </c>
      <c r="B235" s="1" t="str">
        <f>IFERROR(__xludf.DUMMYFUNCTION("SPLIT(A235,"";"")"),"ASSOCIATION DES COMMERCANTS CAUDERAN CENTRE")</f>
        <v>ASSOCIATION DES COMMERCANTS CAUDERAN CENTRE</v>
      </c>
      <c r="C235" s="3">
        <f>IFERROR(__xludf.DUMMYFUNCTION("""COMPUTED_VALUE"""),6904.0)</f>
        <v>6904</v>
      </c>
      <c r="D235" s="1">
        <v>23.0</v>
      </c>
      <c r="E235" s="2"/>
      <c r="F235" s="2"/>
      <c r="G235" s="2"/>
      <c r="H235" s="2"/>
      <c r="I235" s="2"/>
    </row>
    <row r="236">
      <c r="A236" s="1" t="s">
        <v>170</v>
      </c>
      <c r="B236" s="1" t="str">
        <f>IFERROR(__xludf.DUMMYFUNCTION("SPLIT(A236,"";"")"),"ASSOCIATION DES COMMERCANTS DE LA BARRIERE JUDAIQUE")</f>
        <v>ASSOCIATION DES COMMERCANTS DE LA BARRIERE JUDAIQUE</v>
      </c>
      <c r="C236" s="3">
        <f>IFERROR(__xludf.DUMMYFUNCTION("""COMPUTED_VALUE"""),2691.0)</f>
        <v>2691</v>
      </c>
      <c r="D236" s="1">
        <v>6.0</v>
      </c>
      <c r="E236" s="2"/>
      <c r="F236" s="2"/>
      <c r="G236" s="2"/>
      <c r="H236" s="2"/>
      <c r="I236" s="2"/>
    </row>
    <row r="237">
      <c r="A237" s="1" t="s">
        <v>171</v>
      </c>
      <c r="B237" s="1" t="str">
        <f>IFERROR(__xludf.DUMMYFUNCTION("SPLIT(A237,"";"")"),"ASSOCIATION DES COMMERCANTS DE LA RUE SAINT-SERNIN")</f>
        <v>ASSOCIATION DES COMMERCANTS DE LA RUE SAINT-SERNIN</v>
      </c>
      <c r="C237" s="3">
        <f>IFERROR(__xludf.DUMMYFUNCTION("""COMPUTED_VALUE"""),2180.0)</f>
        <v>2180</v>
      </c>
      <c r="D237" s="1">
        <v>92.0</v>
      </c>
      <c r="E237" s="2"/>
      <c r="F237" s="2"/>
      <c r="G237" s="2"/>
      <c r="H237" s="2"/>
      <c r="I237" s="2"/>
    </row>
    <row r="238">
      <c r="A238" s="1" t="s">
        <v>172</v>
      </c>
      <c r="B238" s="1" t="str">
        <f>IFERROR(__xludf.DUMMYFUNCTION("SPLIT(A238,"";"")"),"ASSOCIATION DES COMMERCANTS DE SAINT-AUGUSTIN")</f>
        <v>ASSOCIATION DES COMMERCANTS DE SAINT-AUGUSTIN</v>
      </c>
      <c r="C238" s="3">
        <f>IFERROR(__xludf.DUMMYFUNCTION("""COMPUTED_VALUE"""),4985.0)</f>
        <v>4985</v>
      </c>
      <c r="D238" s="1">
        <v>77.0</v>
      </c>
      <c r="E238" s="2"/>
      <c r="F238" s="2"/>
      <c r="G238" s="2"/>
      <c r="H238" s="2"/>
      <c r="I238" s="2"/>
    </row>
    <row r="239">
      <c r="A239" s="1" t="s">
        <v>173</v>
      </c>
      <c r="B239" s="1" t="str">
        <f>IFERROR(__xludf.DUMMYFUNCTION("SPLIT(A239,"";"")"),"ASSOCIATION DES COMMERCANTS DU GRAND PARC")</f>
        <v>ASSOCIATION DES COMMERCANTS DU GRAND PARC</v>
      </c>
      <c r="C239" s="1">
        <f>IFERROR(__xludf.DUMMYFUNCTION("""COMPUTED_VALUE"""),847.0)</f>
        <v>847</v>
      </c>
      <c r="D239" s="1">
        <v>34.0</v>
      </c>
      <c r="E239" s="2"/>
      <c r="F239" s="2"/>
      <c r="G239" s="2"/>
      <c r="H239" s="2"/>
      <c r="I239" s="2"/>
    </row>
    <row r="240">
      <c r="A240" s="1" t="s">
        <v>174</v>
      </c>
      <c r="B240" s="1" t="str">
        <f>IFERROR(__xludf.DUMMYFUNCTION("SPLIT(A240,"";"")"),"ASSOCIATION DES COMMERCANTS ET ARTISANS DU QUARTIER SAINT MICHEL")</f>
        <v>ASSOCIATION DES COMMERCANTS ET ARTISANS DU QUARTIER SAINT MICHEL</v>
      </c>
      <c r="C240" s="3">
        <f>IFERROR(__xludf.DUMMYFUNCTION("""COMPUTED_VALUE"""),3928.0)</f>
        <v>3928</v>
      </c>
      <c r="D240" s="1">
        <v>42.0</v>
      </c>
      <c r="E240" s="2"/>
      <c r="F240" s="2"/>
      <c r="G240" s="2"/>
      <c r="H240" s="2"/>
      <c r="I240" s="2"/>
    </row>
    <row r="241">
      <c r="A241" s="1" t="s">
        <v>175</v>
      </c>
      <c r="B241" s="1" t="str">
        <f>IFERROR(__xludf.DUMMYFUNCTION("SPLIT(A241,"";"")"),"ASSOCIATION DES COMMERCANTS ET ARTISANS DU QUARTIER STEHELIN")</f>
        <v>ASSOCIATION DES COMMERCANTS ET ARTISANS DU QUARTIER STEHELIN</v>
      </c>
      <c r="C241" s="3">
        <f>IFERROR(__xludf.DUMMYFUNCTION("""COMPUTED_VALUE"""),1390.0)</f>
        <v>1390</v>
      </c>
      <c r="D241" s="1">
        <v>72.0</v>
      </c>
      <c r="E241" s="2"/>
      <c r="F241" s="2"/>
      <c r="G241" s="2"/>
      <c r="H241" s="2"/>
      <c r="I241" s="2"/>
    </row>
    <row r="242">
      <c r="A242" s="1" t="s">
        <v>176</v>
      </c>
      <c r="B242" s="1" t="str">
        <f>IFERROR(__xludf.DUMMYFUNCTION("SPLIT(A242,"";"")"),"ASSOCIATION DES COMMERCANTS ET ARTISANS LES BERGES DU LAC")</f>
        <v>ASSOCIATION DES COMMERCANTS ET ARTISANS LES BERGES DU LAC</v>
      </c>
      <c r="C242" s="1">
        <f>IFERROR(__xludf.DUMMYFUNCTION("""COMPUTED_VALUE"""),396.0)</f>
        <v>396</v>
      </c>
      <c r="D242" s="1">
        <v>11.0</v>
      </c>
      <c r="E242" s="2"/>
      <c r="F242" s="2"/>
      <c r="G242" s="2"/>
      <c r="H242" s="2"/>
      <c r="I242" s="2"/>
    </row>
    <row r="243">
      <c r="A243" s="1" t="s">
        <v>177</v>
      </c>
      <c r="B243" s="1" t="str">
        <f>IFERROR(__xludf.DUMMYFUNCTION("SPLIT(A243,"";"")"),"ASSOCIATION DES COMMERCANTS ET PROFESSIONNELS DE L'ART DE LA RUE BOUFFARD")</f>
        <v>ASSOCIATION DES COMMERCANTS ET PROFESSIONNELS DE L'ART DE LA RUE BOUFFARD</v>
      </c>
      <c r="C243" s="1">
        <f>IFERROR(__xludf.DUMMYFUNCTION("""COMPUTED_VALUE"""),208.0)</f>
        <v>208</v>
      </c>
      <c r="D243" s="1">
        <v>31.0</v>
      </c>
      <c r="E243" s="2"/>
      <c r="F243" s="2"/>
      <c r="G243" s="2"/>
      <c r="H243" s="2"/>
      <c r="I243" s="2"/>
    </row>
    <row r="244">
      <c r="A244" s="1" t="s">
        <v>178</v>
      </c>
      <c r="B244" s="1" t="str">
        <f>IFERROR(__xludf.DUMMYFUNCTION("SPLIT(A244,"";"")"),"ASSOCIATION DES COMMERCANTS ET RIVERAINS DU QUARTIER VICTOIRE")</f>
        <v>ASSOCIATION DES COMMERCANTS ET RIVERAINS DU QUARTIER VICTOIRE</v>
      </c>
      <c r="C244" s="3">
        <f>IFERROR(__xludf.DUMMYFUNCTION("""COMPUTED_VALUE"""),2205.0)</f>
        <v>2205</v>
      </c>
      <c r="D244" s="1">
        <v>53.0</v>
      </c>
      <c r="E244" s="2"/>
      <c r="F244" s="2"/>
      <c r="G244" s="2"/>
      <c r="H244" s="2"/>
      <c r="I244" s="2"/>
    </row>
    <row r="245">
      <c r="A245" s="1" t="s">
        <v>179</v>
      </c>
      <c r="B245" s="1" t="str">
        <f>IFERROR(__xludf.DUMMYFUNCTION("SPLIT(A245,"";"")"),"ASSOCIATION DES COMMERCANTS ORNANO - GAVINIES - St VICTOR")</f>
        <v>ASSOCIATION DES COMMERCANTS ORNANO - GAVINIES - St VICTOR</v>
      </c>
      <c r="C245" s="3">
        <f>IFERROR(__xludf.DUMMYFUNCTION("""COMPUTED_VALUE"""),4752.0)</f>
        <v>4752</v>
      </c>
      <c r="D245" s="1">
        <v>8.0</v>
      </c>
      <c r="E245" s="2"/>
      <c r="F245" s="2"/>
      <c r="G245" s="2"/>
      <c r="H245" s="2"/>
      <c r="I245" s="2"/>
    </row>
    <row r="246">
      <c r="A246" s="1" t="s">
        <v>180</v>
      </c>
      <c r="B246" s="1" t="str">
        <f>IFERROR(__xludf.DUMMYFUNCTION("SPLIT(A246,"";"")"),"ASSOCIATION DES COREENS DE BORDEAUX (ACB)")</f>
        <v>ASSOCIATION DES COREENS DE BORDEAUX (ACB)</v>
      </c>
      <c r="C246" s="3">
        <f>IFERROR(__xludf.DUMMYFUNCTION("""COMPUTED_VALUE"""),1757.0)</f>
        <v>1757</v>
      </c>
      <c r="D246" s="1">
        <v>54.0</v>
      </c>
      <c r="E246" s="2"/>
      <c r="F246" s="2"/>
      <c r="G246" s="2"/>
      <c r="H246" s="2"/>
      <c r="I246" s="2"/>
    </row>
    <row r="247">
      <c r="A247" s="1" t="s">
        <v>181</v>
      </c>
      <c r="B247" s="1" t="str">
        <f>IFERROR(__xludf.DUMMYFUNCTION("SPLIT(A247,"";"")"),"ASSOCIATION DES DAMES DU CALVAIRE DE BORDEAUX - MAISON DE SANTE MARIE GALENE")</f>
        <v>ASSOCIATION DES DAMES DU CALVAIRE DE BORDEAUX - MAISON DE SANTE MARIE GALENE</v>
      </c>
      <c r="C247" s="1">
        <f>IFERROR(__xludf.DUMMYFUNCTION("""COMPUTED_VALUE"""),663.0)</f>
        <v>663</v>
      </c>
      <c r="D247" s="1">
        <v>0.0</v>
      </c>
      <c r="E247" s="2"/>
      <c r="F247" s="2"/>
      <c r="G247" s="2"/>
      <c r="H247" s="2"/>
      <c r="I247" s="2"/>
    </row>
    <row r="248">
      <c r="A248" s="1" t="s">
        <v>182</v>
      </c>
      <c r="B248" s="1" t="str">
        <f>IFERROR(__xludf.DUMMYFUNCTION("SPLIT(A248,"";"")"),"ASSOCIATION DES DONNEURS DE VOIX")</f>
        <v>ASSOCIATION DES DONNEURS DE VOIX</v>
      </c>
      <c r="C248" s="3">
        <f>IFERROR(__xludf.DUMMYFUNCTION("""COMPUTED_VALUE"""),4480.0)</f>
        <v>4480</v>
      </c>
      <c r="D248" s="1">
        <v>0.0</v>
      </c>
      <c r="E248" s="2"/>
      <c r="F248" s="2"/>
      <c r="G248" s="2"/>
      <c r="H248" s="2"/>
      <c r="I248" s="2"/>
    </row>
    <row r="249">
      <c r="A249" s="1" t="s">
        <v>183</v>
      </c>
      <c r="B249" s="1" t="str">
        <f>IFERROR(__xludf.DUMMYFUNCTION("SPLIT(A249,"";"")"),"ASSOCIATION DES ECLAIREUSES ET ECLAIREURS DE FRANCE - REGION AQUITAINE")</f>
        <v>ASSOCIATION DES ECLAIREUSES ET ECLAIREURS DE FRANCE - REGION AQUITAINE</v>
      </c>
      <c r="C249" s="1">
        <f>IFERROR(__xludf.DUMMYFUNCTION("""COMPUTED_VALUE"""),97.0)</f>
        <v>97</v>
      </c>
      <c r="D249" s="1">
        <v>37.0</v>
      </c>
      <c r="E249" s="2"/>
      <c r="F249" s="2"/>
      <c r="G249" s="2"/>
      <c r="H249" s="2"/>
      <c r="I249" s="2"/>
    </row>
    <row r="250">
      <c r="A250" s="1" t="s">
        <v>184</v>
      </c>
      <c r="B250" s="1" t="str">
        <f>IFERROR(__xludf.DUMMYFUNCTION("SPLIT(A250,"";"")"),"ASSOCIATION DES ELEVES AVOCATS ALIENOR 2015 - ADEAA")</f>
        <v>ASSOCIATION DES ELEVES AVOCATS ALIENOR 2015 - ADEAA</v>
      </c>
      <c r="C250" s="1">
        <f>IFERROR(__xludf.DUMMYFUNCTION("""COMPUTED_VALUE"""),24.0)</f>
        <v>24</v>
      </c>
      <c r="D250" s="1">
        <v>0.0</v>
      </c>
      <c r="E250" s="2"/>
      <c r="F250" s="2"/>
      <c r="G250" s="2"/>
      <c r="H250" s="2"/>
      <c r="I250" s="2"/>
    </row>
    <row r="251">
      <c r="A251" s="1" t="s">
        <v>185</v>
      </c>
      <c r="B251" s="1" t="str">
        <f>IFERROR(__xludf.DUMMYFUNCTION("SPLIT(A251,"";"")"),"ASSOCIATION DES ELEVES INGENIEURS DE L'ECOLE NATIONALE SUPERIEURE DES ARTS ET METIERS CENTRE REGIONAL DE")</f>
        <v>ASSOCIATION DES ELEVES INGENIEURS DE L'ECOLE NATIONALE SUPERIEURE DES ARTS ET METIERS CENTRE REGIONAL DE</v>
      </c>
      <c r="C251" s="2"/>
      <c r="D251" s="2"/>
      <c r="E251" s="2"/>
      <c r="F251" s="2"/>
      <c r="G251" s="2"/>
      <c r="H251" s="2"/>
      <c r="I251" s="2"/>
    </row>
    <row r="252">
      <c r="A252" s="1" t="s">
        <v>186</v>
      </c>
      <c r="B252" s="3">
        <f>IFERROR(__xludf.DUMMYFUNCTION("SPLIT(A252,"";"")"),3573.0)</f>
        <v>3573</v>
      </c>
      <c r="C252" s="1"/>
      <c r="D252" s="1">
        <v>29.0</v>
      </c>
      <c r="E252" s="2"/>
      <c r="F252" s="2"/>
      <c r="G252" s="2"/>
      <c r="H252" s="2"/>
      <c r="I252" s="2"/>
    </row>
    <row r="253">
      <c r="A253" s="1" t="s">
        <v>187</v>
      </c>
      <c r="B253" s="1" t="str">
        <f>IFERROR(__xludf.DUMMYFUNCTION("SPLIT(A253,"";"")"),"TALENCE - AE ENSAM")</f>
        <v>TALENCE - AE ENSAM</v>
      </c>
      <c r="C253" s="2"/>
      <c r="D253" s="2"/>
      <c r="E253" s="2"/>
      <c r="F253" s="2"/>
      <c r="G253" s="2"/>
      <c r="H253" s="2"/>
      <c r="I253" s="2"/>
    </row>
    <row r="254">
      <c r="A254" s="1" t="s">
        <v>188</v>
      </c>
      <c r="B254" s="1" t="str">
        <f>IFERROR(__xludf.DUMMYFUNCTION("SPLIT(A254,"";"")"),"ASSOCIATION DES ELEVES-AVOCATS ALIENOR 2016")</f>
        <v>ASSOCIATION DES ELEVES-AVOCATS ALIENOR 2016</v>
      </c>
      <c r="C254" s="1">
        <f>IFERROR(__xludf.DUMMYFUNCTION("""COMPUTED_VALUE"""),888.0)</f>
        <v>888</v>
      </c>
      <c r="D254" s="1">
        <v>0.0</v>
      </c>
      <c r="E254" s="2"/>
      <c r="F254" s="2"/>
      <c r="G254" s="2"/>
      <c r="H254" s="2"/>
      <c r="I254" s="2"/>
    </row>
    <row r="255">
      <c r="A255" s="1" t="s">
        <v>189</v>
      </c>
      <c r="B255" s="1" t="str">
        <f>IFERROR(__xludf.DUMMYFUNCTION("SPLIT(A255,"";"")"),"ASSOCIATION DES ETUDIANTS EN PSYCHOLOGIE DU TRAVAIL ET ERGONOMIE DES SYSTEMES")</f>
        <v>ASSOCIATION DES ETUDIANTS EN PSYCHOLOGIE DU TRAVAIL ET ERGONOMIE DES SYSTEMES</v>
      </c>
      <c r="C255" s="1">
        <f>IFERROR(__xludf.DUMMYFUNCTION("""COMPUTED_VALUE"""),178.0)</f>
        <v>178</v>
      </c>
      <c r="D255" s="1">
        <v>0.0</v>
      </c>
      <c r="E255" s="2"/>
      <c r="F255" s="2"/>
      <c r="G255" s="2"/>
      <c r="H255" s="2"/>
      <c r="I255" s="2"/>
    </row>
    <row r="256">
      <c r="A256" s="1" t="s">
        <v>190</v>
      </c>
      <c r="B256" s="1" t="str">
        <f>IFERROR(__xludf.DUMMYFUNCTION("SPLIT(A256,"";"")"),"ASSOCIATION DES ETUDIANTS REUNIONNAIS A BORDEAUX - AERB")</f>
        <v>ASSOCIATION DES ETUDIANTS REUNIONNAIS A BORDEAUX - AERB</v>
      </c>
      <c r="C256" s="1">
        <f>IFERROR(__xludf.DUMMYFUNCTION("""COMPUTED_VALUE"""),34.0)</f>
        <v>34</v>
      </c>
      <c r="D256" s="1">
        <v>0.0</v>
      </c>
      <c r="E256" s="2"/>
      <c r="F256" s="2"/>
      <c r="G256" s="2"/>
      <c r="H256" s="2"/>
      <c r="I256" s="2"/>
    </row>
    <row r="257">
      <c r="A257" s="1" t="s">
        <v>191</v>
      </c>
      <c r="B257" s="1" t="str">
        <f>IFERROR(__xludf.DUMMYFUNCTION("SPLIT(A257,"";"")"),"ASSOCIATION DES FAMILLES D'ENFANTS DE LA POSTE ET D'ORANGE - AFEH")</f>
        <v>ASSOCIATION DES FAMILLES D'ENFANTS DE LA POSTE ET D'ORANGE - AFEH</v>
      </c>
      <c r="C257" s="1">
        <f>IFERROR(__xludf.DUMMYFUNCTION("""COMPUTED_VALUE"""),72.0)</f>
        <v>72</v>
      </c>
      <c r="D257" s="1">
        <v>0.0</v>
      </c>
      <c r="E257" s="2"/>
      <c r="F257" s="2"/>
      <c r="G257" s="2"/>
      <c r="H257" s="2"/>
      <c r="I257" s="2"/>
    </row>
    <row r="258">
      <c r="A258" s="1" t="s">
        <v>192</v>
      </c>
      <c r="B258" s="1" t="str">
        <f>IFERROR(__xludf.DUMMYFUNCTION("SPLIT(A258,"";"")"),"ASSOCIATION DES GROUPES BIBLIQUES ET UNIVERSITAIRES DE FRANCE - AGBUF-GBU")</f>
        <v>ASSOCIATION DES GROUPES BIBLIQUES ET UNIVERSITAIRES DE FRANCE - AGBUF-GBU</v>
      </c>
      <c r="C258" s="1">
        <f>IFERROR(__xludf.DUMMYFUNCTION("""COMPUTED_VALUE"""),255.0)</f>
        <v>255</v>
      </c>
      <c r="D258" s="1">
        <v>0.0</v>
      </c>
      <c r="E258" s="2"/>
      <c r="F258" s="2"/>
      <c r="G258" s="2"/>
      <c r="H258" s="2"/>
      <c r="I258" s="2"/>
    </row>
    <row r="259">
      <c r="A259" s="1" t="s">
        <v>193</v>
      </c>
      <c r="B259" s="1" t="str">
        <f>IFERROR(__xludf.DUMMYFUNCTION("SPLIT(A259,"";"")"),"ASSOCIATION DES GUIDES INTERPRETES ET CONFERENCIERS D'AQUITAINE - AGICA")</f>
        <v>ASSOCIATION DES GUIDES INTERPRETES ET CONFERENCIERS D'AQUITAINE - AGICA</v>
      </c>
      <c r="C259" s="1">
        <f>IFERROR(__xludf.DUMMYFUNCTION("""COMPUTED_VALUE"""),24.0)</f>
        <v>24</v>
      </c>
      <c r="D259" s="1">
        <v>0.0</v>
      </c>
      <c r="E259" s="2"/>
      <c r="F259" s="2"/>
      <c r="G259" s="2"/>
      <c r="H259" s="2"/>
      <c r="I259" s="2"/>
    </row>
    <row r="260">
      <c r="A260" s="1" t="s">
        <v>194</v>
      </c>
      <c r="B260" s="1" t="str">
        <f>IFERROR(__xludf.DUMMYFUNCTION("SPLIT(A260,"";"")"),"ASSOCIATION DES MAIRES DE LA GIRONDE")</f>
        <v>ASSOCIATION DES MAIRES DE LA GIRONDE</v>
      </c>
      <c r="C260" s="3">
        <f>IFERROR(__xludf.DUMMYFUNCTION("""COMPUTED_VALUE"""),1367.0)</f>
        <v>1367</v>
      </c>
      <c r="D260" s="1">
        <v>28.0</v>
      </c>
      <c r="E260" s="2"/>
      <c r="F260" s="2"/>
      <c r="G260" s="2"/>
      <c r="H260" s="2"/>
      <c r="I260" s="2"/>
    </row>
    <row r="261">
      <c r="A261" s="1" t="s">
        <v>195</v>
      </c>
      <c r="B261" s="1" t="str">
        <f>IFERROR(__xludf.DUMMYFUNCTION("SPLIT(A261,"";"")"),"ASSOCIATION DES MUSULMANS DE BORDEAUX NORD (A.M.B.N.)")</f>
        <v>ASSOCIATION DES MUSULMANS DE BORDEAUX NORD (A.M.B.N.)</v>
      </c>
      <c r="C261" s="1">
        <f>IFERROR(__xludf.DUMMYFUNCTION("""COMPUTED_VALUE"""),184.0)</f>
        <v>184</v>
      </c>
      <c r="D261" s="1">
        <v>80.0</v>
      </c>
      <c r="E261" s="2"/>
      <c r="F261" s="2"/>
      <c r="G261" s="2"/>
      <c r="H261" s="2"/>
      <c r="I261" s="2"/>
    </row>
    <row r="262">
      <c r="A262" s="1" t="s">
        <v>196</v>
      </c>
      <c r="B262" s="1" t="str">
        <f>IFERROR(__xludf.DUMMYFUNCTION("SPLIT(A262,"";"")"),"ASSOCIATION DES MUSULMANS DE LA GIRONDE")</f>
        <v>ASSOCIATION DES MUSULMANS DE LA GIRONDE</v>
      </c>
      <c r="C262" s="3">
        <f>IFERROR(__xludf.DUMMYFUNCTION("""COMPUTED_VALUE"""),3025.0)</f>
        <v>3025</v>
      </c>
      <c r="D262" s="1">
        <v>0.0</v>
      </c>
      <c r="E262" s="2"/>
      <c r="F262" s="2"/>
      <c r="G262" s="2"/>
      <c r="H262" s="2"/>
      <c r="I262" s="2"/>
    </row>
    <row r="263">
      <c r="A263" s="1" t="s">
        <v>197</v>
      </c>
      <c r="B263" s="1" t="str">
        <f>IFERROR(__xludf.DUMMYFUNCTION("SPLIT(A263,"";"")"),"ASSOCIATION DES ŒUVRES GIRONDINES DE PROTECTION DE L'ENFANCE")</f>
        <v>ASSOCIATION DES ŒUVRES GIRONDINES DE PROTECTION DE L'ENFANCE</v>
      </c>
      <c r="C263" s="1">
        <f>IFERROR(__xludf.DUMMYFUNCTION("""COMPUTED_VALUE"""),178.0)</f>
        <v>178</v>
      </c>
      <c r="D263" s="1">
        <v>0.0</v>
      </c>
      <c r="E263" s="2"/>
      <c r="F263" s="2"/>
      <c r="G263" s="2"/>
      <c r="H263" s="2"/>
      <c r="I263" s="2"/>
    </row>
    <row r="264">
      <c r="A264" s="1" t="s">
        <v>198</v>
      </c>
      <c r="B264" s="1" t="str">
        <f>IFERROR(__xludf.DUMMYFUNCTION("SPLIT(A264,"";"")"),"ASSOCIATION DES PARALYSES DE FRANCE - APF")</f>
        <v>ASSOCIATION DES PARALYSES DE FRANCE - APF</v>
      </c>
      <c r="C264" s="3">
        <f>IFERROR(__xludf.DUMMYFUNCTION("""COMPUTED_VALUE"""),3784.0)</f>
        <v>3784</v>
      </c>
      <c r="D264" s="1">
        <v>84.0</v>
      </c>
      <c r="E264" s="2"/>
      <c r="F264" s="2"/>
      <c r="G264" s="2"/>
      <c r="H264" s="2"/>
      <c r="I264" s="2"/>
    </row>
    <row r="265">
      <c r="A265" s="1" t="s">
        <v>199</v>
      </c>
      <c r="B265" s="1" t="str">
        <f>IFERROR(__xludf.DUMMYFUNCTION("SPLIT(A265,"";"")"),"ASSOCIATION DES PARENTS D'ELEVES DE L'ENSEIGNEMENT PUBLIC DU LYCEE CAMILLE JULLIAN")</f>
        <v>ASSOCIATION DES PARENTS D'ELEVES DE L'ENSEIGNEMENT PUBLIC DU LYCEE CAMILLE JULLIAN</v>
      </c>
      <c r="C265" s="1">
        <f>IFERROR(__xludf.DUMMYFUNCTION("""COMPUTED_VALUE"""),106.0)</f>
        <v>106</v>
      </c>
      <c r="D265" s="1">
        <v>0.0</v>
      </c>
      <c r="E265" s="2"/>
      <c r="F265" s="2"/>
      <c r="G265" s="2"/>
      <c r="H265" s="2"/>
      <c r="I265" s="2"/>
    </row>
    <row r="266">
      <c r="A266" s="1" t="s">
        <v>200</v>
      </c>
      <c r="B266" s="1" t="str">
        <f>IFERROR(__xludf.DUMMYFUNCTION("SPLIT(A266,"";"")"),"ASSOCIATION DES PROFESSIONNELS AQUITAINS DE LA COMMUNICATION (APACOM)")</f>
        <v>ASSOCIATION DES PROFESSIONNELS AQUITAINS DE LA COMMUNICATION (APACOM)</v>
      </c>
      <c r="C266" s="1">
        <f>IFERROR(__xludf.DUMMYFUNCTION("""COMPUTED_VALUE"""),903.0)</f>
        <v>903</v>
      </c>
      <c r="D266" s="1">
        <v>0.0</v>
      </c>
      <c r="E266" s="2"/>
      <c r="F266" s="2"/>
      <c r="G266" s="2"/>
      <c r="H266" s="2"/>
      <c r="I266" s="2"/>
    </row>
    <row r="267">
      <c r="A267" s="1" t="s">
        <v>201</v>
      </c>
      <c r="B267" s="1" t="str">
        <f>IFERROR(__xludf.DUMMYFUNCTION("SPLIT(A267,"";"")"),"ASSOCIATION DES PSYCHOLOGUES ETUDIANTS (APE)")</f>
        <v>ASSOCIATION DES PSYCHOLOGUES ETUDIANTS (APE)</v>
      </c>
      <c r="C267" s="1">
        <f>IFERROR(__xludf.DUMMYFUNCTION("""COMPUTED_VALUE"""),166.0)</f>
        <v>166</v>
      </c>
      <c r="D267" s="1">
        <v>86.0</v>
      </c>
      <c r="E267" s="2"/>
      <c r="F267" s="2"/>
      <c r="G267" s="2"/>
      <c r="H267" s="2"/>
      <c r="I267" s="2"/>
    </row>
    <row r="268">
      <c r="A268" s="1" t="s">
        <v>202</v>
      </c>
      <c r="B268" s="1" t="str">
        <f>IFERROR(__xludf.DUMMYFUNCTION("SPLIT(A268,"";"")"),"ASSOCIATION DES PSYCHOMOTRICIENS DE LA GIRONDE")</f>
        <v>ASSOCIATION DES PSYCHOMOTRICIENS DE LA GIRONDE</v>
      </c>
      <c r="C268" s="1">
        <f>IFERROR(__xludf.DUMMYFUNCTION("""COMPUTED_VALUE"""),201.0)</f>
        <v>201</v>
      </c>
      <c r="D268" s="1">
        <v>0.0</v>
      </c>
      <c r="E268" s="2"/>
      <c r="F268" s="2"/>
      <c r="G268" s="2"/>
      <c r="H268" s="2"/>
      <c r="I268" s="2"/>
    </row>
    <row r="269">
      <c r="A269" s="1" t="s">
        <v>203</v>
      </c>
      <c r="B269" s="1" t="str">
        <f>IFERROR(__xludf.DUMMYFUNCTION("SPLIT(A269,"";"")"),"ASSOCIATION DES RESIDENCES DE L'ILOT BONNAC")</f>
        <v>ASSOCIATION DES RESIDENCES DE L'ILOT BONNAC</v>
      </c>
      <c r="C269" s="1">
        <f>IFERROR(__xludf.DUMMYFUNCTION("""COMPUTED_VALUE"""),202.0)</f>
        <v>202</v>
      </c>
      <c r="D269" s="1">
        <v>0.0</v>
      </c>
      <c r="E269" s="2"/>
      <c r="F269" s="2"/>
      <c r="G269" s="2"/>
      <c r="H269" s="2"/>
      <c r="I269" s="2"/>
    </row>
    <row r="270">
      <c r="A270" s="1" t="s">
        <v>204</v>
      </c>
      <c r="B270" s="1" t="str">
        <f>IFERROR(__xludf.DUMMYFUNCTION("SPLIT(A270,"";"")"),"ASSOCIATION DES RETRAITES IRSEA D'AQUITAINE (A.R.I.A.).")</f>
        <v>ASSOCIATION DES RETRAITES IRSEA D'AQUITAINE (A.R.I.A.).</v>
      </c>
      <c r="C270" s="1">
        <f>IFERROR(__xludf.DUMMYFUNCTION("""COMPUTED_VALUE"""),992.0)</f>
        <v>992</v>
      </c>
      <c r="D270" s="1">
        <v>14.0</v>
      </c>
      <c r="E270" s="2"/>
      <c r="F270" s="2"/>
      <c r="G270" s="2"/>
      <c r="H270" s="2"/>
      <c r="I270" s="2"/>
    </row>
    <row r="271">
      <c r="A271" s="1" t="s">
        <v>205</v>
      </c>
      <c r="B271" s="1" t="str">
        <f>IFERROR(__xludf.DUMMYFUNCTION("SPLIT(A271,"";"")"),"ASSOCIATION DES RIVERAINS DE LA PLACE MITCHELL")</f>
        <v>ASSOCIATION DES RIVERAINS DE LA PLACE MITCHELL</v>
      </c>
      <c r="C271" s="1">
        <f>IFERROR(__xludf.DUMMYFUNCTION("""COMPUTED_VALUE"""),222.0)</f>
        <v>222</v>
      </c>
      <c r="D271" s="1">
        <v>54.0</v>
      </c>
      <c r="E271" s="2"/>
      <c r="F271" s="2"/>
      <c r="G271" s="2"/>
      <c r="H271" s="2"/>
      <c r="I271" s="2"/>
    </row>
    <row r="272">
      <c r="A272" s="1" t="s">
        <v>206</v>
      </c>
      <c r="B272" s="1" t="str">
        <f>IFERROR(__xludf.DUMMYFUNCTION("SPLIT(A272,"";"")"),"ASSOCIATION DES RIVERAINS DU QUARTIER ORNANO-GAVINIES")</f>
        <v>ASSOCIATION DES RIVERAINS DU QUARTIER ORNANO-GAVINIES</v>
      </c>
      <c r="C272" s="3">
        <f>IFERROR(__xludf.DUMMYFUNCTION("""COMPUTED_VALUE"""),1206.0)</f>
        <v>1206</v>
      </c>
      <c r="D272" s="1">
        <v>71.0</v>
      </c>
      <c r="E272" s="2"/>
      <c r="F272" s="2"/>
      <c r="G272" s="2"/>
      <c r="H272" s="2"/>
      <c r="I272" s="2"/>
    </row>
    <row r="273">
      <c r="A273" s="1" t="s">
        <v>207</v>
      </c>
      <c r="B273" s="1" t="str">
        <f>IFERROR(__xludf.DUMMYFUNCTION("SPLIT(A273,"";"")"),"ASSOCIATION DES STAGIAIRES ET ETUDIANTS CAMEROUNAIS DE BORDEAUX (ASECB)")</f>
        <v>ASSOCIATION DES STAGIAIRES ET ETUDIANTS CAMEROUNAIS DE BORDEAUX (ASECB)</v>
      </c>
      <c r="C273" s="1">
        <f>IFERROR(__xludf.DUMMYFUNCTION("""COMPUTED_VALUE"""),774.0)</f>
        <v>774</v>
      </c>
      <c r="D273" s="1">
        <v>0.0</v>
      </c>
      <c r="E273" s="2"/>
      <c r="F273" s="2"/>
      <c r="G273" s="2"/>
      <c r="H273" s="2"/>
      <c r="I273" s="2"/>
    </row>
    <row r="274">
      <c r="A274" s="1" t="s">
        <v>208</v>
      </c>
      <c r="B274" s="1" t="str">
        <f>IFERROR(__xludf.DUMMYFUNCTION("SPLIT(A274,"";"")"),"ASSOCIATION DU COMITE DES OEUVRES SOCIALES DES MUNICIPAUX DE BORDEAUX - ACOSMB")</f>
        <v>ASSOCIATION DU COMITE DES OEUVRES SOCIALES DES MUNICIPAUX DE BORDEAUX - ACOSMB</v>
      </c>
      <c r="C274" s="3">
        <f>IFERROR(__xludf.DUMMYFUNCTION("""COMPUTED_VALUE"""),3586.0)</f>
        <v>3586</v>
      </c>
      <c r="D274" s="1">
        <v>40.0</v>
      </c>
      <c r="E274" s="2"/>
      <c r="F274" s="2"/>
      <c r="G274" s="2"/>
      <c r="H274" s="2"/>
      <c r="I274" s="2"/>
    </row>
    <row r="275">
      <c r="A275" s="1" t="s">
        <v>209</v>
      </c>
      <c r="B275" s="1" t="str">
        <f>IFERROR(__xludf.DUMMYFUNCTION("SPLIT(A275,"";"")"),"ASSOCIATION DU LIEN INTERCULTUREL FAMILIAL ET SOCIAL - ALIFS")</f>
        <v>ASSOCIATION DU LIEN INTERCULTUREL FAMILIAL ET SOCIAL - ALIFS</v>
      </c>
      <c r="C275" s="3">
        <f>IFERROR(__xludf.DUMMYFUNCTION("""COMPUTED_VALUE"""),9209.0)</f>
        <v>9209</v>
      </c>
      <c r="D275" s="1">
        <v>34.0</v>
      </c>
      <c r="E275" s="2"/>
      <c r="F275" s="2"/>
      <c r="G275" s="2"/>
      <c r="H275" s="2"/>
      <c r="I275" s="2"/>
    </row>
    <row r="276">
      <c r="A276" s="1" t="s">
        <v>210</v>
      </c>
      <c r="B276" s="1" t="str">
        <f>IFERROR(__xludf.DUMMYFUNCTION("SPLIT(A276,"";"")"),"ASSOCIATION DU PERSONNEL DE L'OPERA NATIONAL DE BORDEAUX")</f>
        <v>ASSOCIATION DU PERSONNEL DE L'OPERA NATIONAL DE BORDEAUX</v>
      </c>
      <c r="C276" s="3">
        <f>IFERROR(__xludf.DUMMYFUNCTION("""COMPUTED_VALUE"""),3187.0)</f>
        <v>3187</v>
      </c>
      <c r="D276" s="1">
        <v>0.0</v>
      </c>
      <c r="E276" s="2"/>
      <c r="F276" s="2"/>
      <c r="G276" s="2"/>
      <c r="H276" s="2"/>
      <c r="I276" s="2"/>
    </row>
    <row r="277">
      <c r="A277" s="1" t="s">
        <v>211</v>
      </c>
      <c r="B277" s="1" t="str">
        <f>IFERROR(__xludf.DUMMYFUNCTION("SPLIT(A277,"";"")"),"ASSOCIATION DU SOUVENIR DES FUSILLES DE SOUGE")</f>
        <v>ASSOCIATION DU SOUVENIR DES FUSILLES DE SOUGE</v>
      </c>
      <c r="C277" s="3">
        <f>IFERROR(__xludf.DUMMYFUNCTION("""COMPUTED_VALUE"""),1905.0)</f>
        <v>1905</v>
      </c>
      <c r="D277" s="1">
        <v>62.0</v>
      </c>
      <c r="E277" s="2"/>
      <c r="F277" s="2"/>
      <c r="G277" s="2"/>
      <c r="H277" s="2"/>
      <c r="I277" s="2"/>
    </row>
    <row r="278">
      <c r="A278" s="1" t="s">
        <v>212</v>
      </c>
      <c r="B278" s="1" t="str">
        <f>IFERROR(__xludf.DUMMYFUNCTION("SPLIT(A278,"";"")"),"ASSOCIATION DU VELO TOUTES VIGNES (AVTV)")</f>
        <v>ASSOCIATION DU VELO TOUTES VIGNES (AVTV)</v>
      </c>
      <c r="C278" s="1">
        <f>IFERROR(__xludf.DUMMYFUNCTION("""COMPUTED_VALUE"""),902.0)</f>
        <v>902</v>
      </c>
      <c r="D278" s="1">
        <v>40.0</v>
      </c>
      <c r="E278" s="2"/>
      <c r="F278" s="2"/>
      <c r="G278" s="2"/>
      <c r="H278" s="2"/>
      <c r="I278" s="2"/>
    </row>
    <row r="279">
      <c r="A279" s="1" t="s">
        <v>213</v>
      </c>
      <c r="B279" s="1" t="str">
        <f>IFERROR(__xludf.DUMMYFUNCTION("SPLIT(A279,"";"")"),"ASSOCIATION ECOPOLES")</f>
        <v>ASSOCIATION ECOPOLES</v>
      </c>
      <c r="C279" s="1">
        <f>IFERROR(__xludf.DUMMYFUNCTION("""COMPUTED_VALUE"""),126.0)</f>
        <v>126</v>
      </c>
      <c r="D279" s="1">
        <v>0.0</v>
      </c>
      <c r="E279" s="2"/>
      <c r="F279" s="2"/>
      <c r="G279" s="2"/>
      <c r="H279" s="2"/>
      <c r="I279" s="2"/>
    </row>
    <row r="280">
      <c r="A280" s="1" t="s">
        <v>214</v>
      </c>
      <c r="B280" s="1" t="str">
        <f>IFERROR(__xludf.DUMMYFUNCTION("SPLIT(A280,"";"")"),"ASSOCIATION EDUCATIVE D'INSERTION SOCIALE (AEIS)")</f>
        <v>ASSOCIATION EDUCATIVE D'INSERTION SOCIALE (AEIS)</v>
      </c>
      <c r="C280" s="3">
        <f>IFERROR(__xludf.DUMMYFUNCTION("""COMPUTED_VALUE"""),1329.0)</f>
        <v>1329</v>
      </c>
      <c r="D280" s="1">
        <v>0.0</v>
      </c>
      <c r="E280" s="2"/>
      <c r="F280" s="2"/>
      <c r="G280" s="2"/>
      <c r="H280" s="2"/>
      <c r="I280" s="2"/>
    </row>
    <row r="281">
      <c r="A281" s="1" t="s">
        <v>215</v>
      </c>
      <c r="B281" s="1" t="str">
        <f>IFERROR(__xludf.DUMMYFUNCTION("SPLIT(A281,"";"")"),"ASSOCIATION EMMAUS AQUITAINE BORDEAUX FONDATEUR ABBE PIERRE")</f>
        <v>ASSOCIATION EMMAUS AQUITAINE BORDEAUX FONDATEUR ABBE PIERRE</v>
      </c>
      <c r="C281" s="3">
        <f>IFERROR(__xludf.DUMMYFUNCTION("""COMPUTED_VALUE"""),24196.0)</f>
        <v>24196</v>
      </c>
      <c r="D281" s="1">
        <v>0.0</v>
      </c>
      <c r="E281" s="2"/>
      <c r="F281" s="2"/>
      <c r="G281" s="2"/>
      <c r="H281" s="2"/>
      <c r="I281" s="2"/>
    </row>
    <row r="282">
      <c r="A282" s="1" t="s">
        <v>216</v>
      </c>
      <c r="B282" s="1" t="str">
        <f>IFERROR(__xludf.DUMMYFUNCTION("SPLIT(A282,"";"")"),"ASSOCIATION EMMAUS GIRONDE")</f>
        <v>ASSOCIATION EMMAUS GIRONDE</v>
      </c>
      <c r="C282" s="1">
        <f>IFERROR(__xludf.DUMMYFUNCTION("""COMPUTED_VALUE"""),461.0)</f>
        <v>461</v>
      </c>
      <c r="D282" s="1">
        <v>4.0</v>
      </c>
      <c r="E282" s="2"/>
      <c r="F282" s="2"/>
      <c r="G282" s="2"/>
      <c r="H282" s="2"/>
      <c r="I282" s="2"/>
    </row>
    <row r="283">
      <c r="A283" s="1" t="s">
        <v>217</v>
      </c>
      <c r="B283" s="1" t="str">
        <f>IFERROR(__xludf.DUMMYFUNCTION("SPLIT(A283,"";"")"),"ASSOCIATION ETUDIANTE CULTURELLE BOIS DE ROSE")</f>
        <v>ASSOCIATION ETUDIANTE CULTURELLE BOIS DE ROSE</v>
      </c>
      <c r="C283" s="3">
        <f>IFERROR(__xludf.DUMMYFUNCTION("""COMPUTED_VALUE"""),4814.0)</f>
        <v>4814</v>
      </c>
      <c r="D283" s="1">
        <v>0.0</v>
      </c>
      <c r="E283" s="2"/>
      <c r="F283" s="2"/>
      <c r="G283" s="2"/>
      <c r="H283" s="2"/>
      <c r="I283" s="2"/>
    </row>
    <row r="284">
      <c r="A284" s="1" t="s">
        <v>218</v>
      </c>
      <c r="B284" s="1" t="str">
        <f>IFERROR(__xludf.DUMMYFUNCTION("SPLIT(A284,"";"")"),"ASSOCIATION FAMILIALE CATHOLIQUE BORDEAUX SAINTE-EULALIE VICTOIRE")</f>
        <v>ASSOCIATION FAMILIALE CATHOLIQUE BORDEAUX SAINTE-EULALIE VICTOIRE</v>
      </c>
      <c r="C284" s="1">
        <f>IFERROR(__xludf.DUMMYFUNCTION("""COMPUTED_VALUE"""),240.0)</f>
        <v>240</v>
      </c>
      <c r="D284" s="1">
        <v>0.0</v>
      </c>
      <c r="E284" s="2"/>
      <c r="F284" s="2"/>
      <c r="G284" s="2"/>
      <c r="H284" s="2"/>
      <c r="I284" s="2"/>
    </row>
    <row r="285">
      <c r="A285" s="1" t="s">
        <v>219</v>
      </c>
      <c r="B285" s="1" t="str">
        <f>IFERROR(__xludf.DUMMYFUNCTION("SPLIT(A285,"";"")"),"ASSOCIATION FAMILIALE LAIQUE DE BORDEAUX NORD - AFL")</f>
        <v>ASSOCIATION FAMILIALE LAIQUE DE BORDEAUX NORD - AFL</v>
      </c>
      <c r="C285" s="3">
        <f>IFERROR(__xludf.DUMMYFUNCTION("""COMPUTED_VALUE"""),2909.0)</f>
        <v>2909</v>
      </c>
      <c r="D285" s="1">
        <v>13.0</v>
      </c>
      <c r="E285" s="2"/>
      <c r="F285" s="2"/>
      <c r="G285" s="2"/>
      <c r="H285" s="2"/>
      <c r="I285" s="2"/>
    </row>
    <row r="286">
      <c r="A286" s="1" t="s">
        <v>220</v>
      </c>
      <c r="B286" s="1" t="str">
        <f>IFERROR(__xludf.DUMMYFUNCTION("SPLIT(A286,"";"")"),"ASSOCIATION FORMATION ET EDUCATION PERMANENTE DE TIVOLI - AFEPT")</f>
        <v>ASSOCIATION FORMATION ET EDUCATION PERMANENTE DE TIVOLI - AFEPT</v>
      </c>
      <c r="C286" s="1">
        <f>IFERROR(__xludf.DUMMYFUNCTION("""COMPUTED_VALUE"""),996.0)</f>
        <v>996</v>
      </c>
      <c r="D286" s="1">
        <v>0.0</v>
      </c>
      <c r="E286" s="2"/>
      <c r="F286" s="2"/>
      <c r="G286" s="2"/>
      <c r="H286" s="2"/>
      <c r="I286" s="2"/>
    </row>
    <row r="287">
      <c r="A287" s="1" t="s">
        <v>221</v>
      </c>
      <c r="B287" s="1" t="str">
        <f>IFERROR(__xludf.DUMMYFUNCTION("SPLIT(A287,"";"")"),"ASSOCIATION FRANCAISE DE PERSONNES SOUFFRANT DE TROUBLES OBSESSIONNELS COMPULSIFS AFTOC")</f>
        <v>ASSOCIATION FRANCAISE DE PERSONNES SOUFFRANT DE TROUBLES OBSESSIONNELS COMPULSIFS AFTOC</v>
      </c>
      <c r="C287" s="1">
        <f>IFERROR(__xludf.DUMMYFUNCTION("""COMPUTED_VALUE"""),170.0)</f>
        <v>170</v>
      </c>
      <c r="D287" s="1">
        <v>0.0</v>
      </c>
      <c r="E287" s="2"/>
      <c r="F287" s="2"/>
      <c r="G287" s="2"/>
      <c r="H287" s="2"/>
      <c r="I287" s="2"/>
    </row>
    <row r="288">
      <c r="A288" s="1" t="s">
        <v>222</v>
      </c>
      <c r="B288" s="1" t="str">
        <f>IFERROR(__xludf.DUMMYFUNCTION("SPLIT(A288,"";"")"),"ASSOCIATION FRANCAISE DES FUNDRAISERS - GROUPE AQUITAINE")</f>
        <v>ASSOCIATION FRANCAISE DES FUNDRAISERS - GROUPE AQUITAINE</v>
      </c>
      <c r="C288" s="3">
        <f>IFERROR(__xludf.DUMMYFUNCTION("""COMPUTED_VALUE"""),1284.0)</f>
        <v>1284</v>
      </c>
      <c r="D288" s="1">
        <v>0.0</v>
      </c>
      <c r="E288" s="2"/>
      <c r="F288" s="2"/>
      <c r="G288" s="2"/>
      <c r="H288" s="2"/>
      <c r="I288" s="2"/>
    </row>
    <row r="289">
      <c r="A289" s="1" t="s">
        <v>223</v>
      </c>
      <c r="B289" s="1" t="str">
        <f>IFERROR(__xludf.DUMMYFUNCTION("SPLIT(A289,"";"")"),"ASSOCIATION France - UKRAINE")</f>
        <v>ASSOCIATION France - UKRAINE</v>
      </c>
      <c r="C289" s="1">
        <f>IFERROR(__xludf.DUMMYFUNCTION("""COMPUTED_VALUE"""),248.0)</f>
        <v>248</v>
      </c>
      <c r="D289" s="1">
        <v>0.0</v>
      </c>
      <c r="E289" s="2"/>
      <c r="F289" s="2"/>
      <c r="G289" s="2"/>
      <c r="H289" s="2"/>
      <c r="I289" s="2"/>
    </row>
    <row r="290">
      <c r="A290" s="1" t="s">
        <v>224</v>
      </c>
      <c r="B290" s="1" t="str">
        <f>IFERROR(__xludf.DUMMYFUNCTION("SPLIT(A290,"";"")"),"ASSOCIATION FRANCO-BRESILIENNE POUR LA RECHERCHE DE L'EQUILIBRE - AFBRE")</f>
        <v>ASSOCIATION FRANCO-BRESILIENNE POUR LA RECHERCHE DE L'EQUILIBRE - AFBRE</v>
      </c>
      <c r="C290" s="3">
        <f>IFERROR(__xludf.DUMMYFUNCTION("""COMPUTED_VALUE"""),4797.0)</f>
        <v>4797</v>
      </c>
      <c r="D290" s="1">
        <v>0.0</v>
      </c>
      <c r="E290" s="2"/>
      <c r="F290" s="2"/>
      <c r="G290" s="2"/>
      <c r="H290" s="2"/>
      <c r="I290" s="2"/>
    </row>
    <row r="291">
      <c r="A291" s="1" t="s">
        <v>225</v>
      </c>
      <c r="B291" s="1" t="str">
        <f>IFERROR(__xludf.DUMMYFUNCTION("SPLIT(A291,"";"")"),"ASSOCIATION FRANCO-KURDE")</f>
        <v>ASSOCIATION FRANCO-KURDE</v>
      </c>
      <c r="C291" s="1">
        <f>IFERROR(__xludf.DUMMYFUNCTION("""COMPUTED_VALUE"""),610.0)</f>
        <v>610</v>
      </c>
      <c r="D291" s="1">
        <v>0.0</v>
      </c>
      <c r="E291" s="2"/>
      <c r="F291" s="2"/>
      <c r="G291" s="2"/>
      <c r="H291" s="2"/>
      <c r="I291" s="2"/>
    </row>
    <row r="292">
      <c r="A292" s="1" t="s">
        <v>226</v>
      </c>
      <c r="B292" s="1" t="str">
        <f>IFERROR(__xludf.DUMMYFUNCTION("SPLIT(A292,"";"")"),"ASSOCIATION GENERALE DES INTERVENANTS RETRAITES POUR DES ACTIONS BENEVOLES DE COOPERATION ET DEVELOPPEMENT")</f>
        <v>ASSOCIATION GENERALE DES INTERVENANTS RETRAITES POUR DES ACTIONS BENEVOLES DE COOPERATION ET DEVELOPPEMENT</v>
      </c>
      <c r="C292" s="2"/>
      <c r="D292" s="2"/>
      <c r="E292" s="2"/>
      <c r="F292" s="2"/>
      <c r="G292" s="2"/>
      <c r="H292" s="2"/>
      <c r="I292" s="2"/>
    </row>
    <row r="293">
      <c r="A293" s="1" t="s">
        <v>227</v>
      </c>
      <c r="B293" s="3">
        <f>IFERROR(__xludf.DUMMYFUNCTION("SPLIT(A293,"";"")"),2564.0)</f>
        <v>2564</v>
      </c>
      <c r="C293" s="1"/>
      <c r="D293" s="1">
        <v>0.0</v>
      </c>
      <c r="E293" s="2"/>
      <c r="F293" s="2"/>
      <c r="G293" s="2"/>
      <c r="H293" s="2"/>
      <c r="I293" s="2"/>
    </row>
    <row r="294">
      <c r="A294" s="1" t="s">
        <v>228</v>
      </c>
      <c r="B294" s="1" t="str">
        <f>IFERROR(__xludf.DUMMYFUNCTION("SPLIT(A294,"";"")"),"- AGIRabcd")</f>
        <v>- AGIRabcd</v>
      </c>
      <c r="C294" s="2"/>
      <c r="D294" s="2"/>
      <c r="E294" s="2"/>
      <c r="F294" s="2"/>
      <c r="G294" s="2"/>
      <c r="H294" s="2"/>
      <c r="I294" s="2"/>
    </row>
    <row r="295">
      <c r="A295" s="1" t="s">
        <v>229</v>
      </c>
      <c r="B295" s="1" t="str">
        <f>IFERROR(__xludf.DUMMYFUNCTION("SPLIT(A295,"";"")"),"ASSOCIATION GENERALE DES LOCATAIRES")</f>
        <v>ASSOCIATION GENERALE DES LOCATAIRES</v>
      </c>
      <c r="C295" s="1">
        <f>IFERROR(__xludf.DUMMYFUNCTION("""COMPUTED_VALUE"""),34.0)</f>
        <v>34</v>
      </c>
      <c r="D295" s="1">
        <v>0.0</v>
      </c>
      <c r="E295" s="2"/>
      <c r="F295" s="2"/>
      <c r="G295" s="2"/>
      <c r="H295" s="2"/>
      <c r="I295" s="2"/>
    </row>
    <row r="296">
      <c r="A296" s="1" t="s">
        <v>230</v>
      </c>
      <c r="B296" s="1" t="str">
        <f>IFERROR(__xludf.DUMMYFUNCTION("SPLIT(A296,"";"")"),"ASSOCIATION GENERATION DUPATY")</f>
        <v>ASSOCIATION GENERATION DUPATY</v>
      </c>
      <c r="C296" s="3">
        <f>IFERROR(__xludf.DUMMYFUNCTION("""COMPUTED_VALUE"""),4144.0)</f>
        <v>4144</v>
      </c>
      <c r="D296" s="1">
        <v>50.0</v>
      </c>
      <c r="E296" s="2"/>
      <c r="F296" s="2"/>
      <c r="G296" s="2"/>
      <c r="H296" s="2"/>
      <c r="I296" s="2"/>
    </row>
    <row r="297">
      <c r="A297" s="1" t="s">
        <v>231</v>
      </c>
      <c r="B297" s="1" t="str">
        <f>IFERROR(__xludf.DUMMYFUNCTION("SPLIT(A297,"";"")"),"ASSOCIATION GIRONDINE D'EDUCATION SPECIALISEE ET DE PREVENTION SOCIALE - AGEP")</f>
        <v>ASSOCIATION GIRONDINE D'EDUCATION SPECIALISEE ET DE PREVENTION SOCIALE - AGEP</v>
      </c>
      <c r="C297" s="1">
        <f>IFERROR(__xludf.DUMMYFUNCTION("""COMPUTED_VALUE"""),663.0)</f>
        <v>663</v>
      </c>
      <c r="D297" s="1">
        <v>0.0</v>
      </c>
      <c r="E297" s="2"/>
      <c r="F297" s="2"/>
      <c r="G297" s="2"/>
      <c r="H297" s="2"/>
      <c r="I297" s="2"/>
    </row>
    <row r="298">
      <c r="A298" s="1" t="s">
        <v>232</v>
      </c>
      <c r="B298" s="1" t="str">
        <f>IFERROR(__xludf.DUMMYFUNCTION("SPLIT(A298,"";"")"),"ASSOCIATION GIRONDINE DES ACTIVITES PROTEGEES - SPORT - LOISIRS (AGAP - SPORT - LOISIRS)")</f>
        <v>ASSOCIATION GIRONDINE DES ACTIVITES PROTEGEES - SPORT - LOISIRS (AGAP - SPORT - LOISIRS)</v>
      </c>
      <c r="C298" s="3">
        <f>IFERROR(__xludf.DUMMYFUNCTION("""COMPUTED_VALUE"""),9699.0)</f>
        <v>9699</v>
      </c>
      <c r="D298" s="1">
        <v>0.0</v>
      </c>
      <c r="E298" s="2"/>
      <c r="F298" s="2"/>
      <c r="G298" s="2"/>
      <c r="H298" s="2"/>
      <c r="I298" s="2"/>
    </row>
    <row r="299">
      <c r="A299" s="1" t="s">
        <v>233</v>
      </c>
      <c r="B299" s="1" t="str">
        <f>IFERROR(__xludf.DUMMYFUNCTION("SPLIT(A299,"";"")"),"ASSOCIATION GOLF D'ENTREPRISES INTER-ENTREPRISES GOLF DE BORDEAUX - IEGB")</f>
        <v>ASSOCIATION GOLF D'ENTREPRISES INTER-ENTREPRISES GOLF DE BORDEAUX - IEGB</v>
      </c>
      <c r="C299" s="1">
        <f>IFERROR(__xludf.DUMMYFUNCTION("""COMPUTED_VALUE"""),34.0)</f>
        <v>34</v>
      </c>
      <c r="D299" s="1">
        <v>0.0</v>
      </c>
      <c r="E299" s="2"/>
      <c r="F299" s="2"/>
      <c r="G299" s="2"/>
      <c r="H299" s="2"/>
      <c r="I299" s="2"/>
    </row>
    <row r="300">
      <c r="A300" s="1" t="s">
        <v>234</v>
      </c>
      <c r="B300" s="1" t="str">
        <f>IFERROR(__xludf.DUMMYFUNCTION("SPLIT(A300,"";"")"),"ASSOCIATION INTERNATIONALE POUR LA CULTURE")</f>
        <v>ASSOCIATION INTERNATIONALE POUR LA CULTURE</v>
      </c>
      <c r="C300" s="1"/>
      <c r="D300" s="1" t="s">
        <v>235</v>
      </c>
      <c r="E300" s="1">
        <v>0.0</v>
      </c>
      <c r="F300" s="2"/>
      <c r="G300" s="2"/>
      <c r="H300" s="2"/>
      <c r="I300" s="2"/>
    </row>
    <row r="301">
      <c r="A301" s="1" t="s">
        <v>236</v>
      </c>
      <c r="B301" s="1" t="str">
        <f>IFERROR(__xludf.DUMMYFUNCTION("SPLIT(A301,"";"")"),"ASSOCIATION INTERPROFESSIONNELLE BIO REGIONALE (AQUITAINE/LIMOUSIN/POITOU-CHARENTES OU EQUIVALENT)")</f>
        <v>ASSOCIATION INTERPROFESSIONNELLE BIO REGIONALE (AQUITAINE/LIMOUSIN/POITOU-CHARENTES OU EQUIVALENT)</v>
      </c>
      <c r="C301" s="1">
        <f>IFERROR(__xludf.DUMMYFUNCTION("""COMPUTED_VALUE"""),983.0)</f>
        <v>983</v>
      </c>
      <c r="D301" s="1">
        <v>59.0</v>
      </c>
      <c r="E301" s="2"/>
      <c r="F301" s="2"/>
      <c r="G301" s="2"/>
      <c r="H301" s="2"/>
      <c r="I301" s="2"/>
    </row>
    <row r="302">
      <c r="A302" s="1" t="s">
        <v>237</v>
      </c>
      <c r="B302" s="1" t="str">
        <f>IFERROR(__xludf.DUMMYFUNCTION("SPLIT(A302,"";"")"),"ASSOCIATION JEUNESSE FUTSAL (A.J.F.)")</f>
        <v>ASSOCIATION JEUNESSE FUTSAL (A.J.F.)</v>
      </c>
      <c r="C302" s="3">
        <f>IFERROR(__xludf.DUMMYFUNCTION("""COMPUTED_VALUE"""),4950.0)</f>
        <v>4950</v>
      </c>
      <c r="D302" s="1">
        <v>0.0</v>
      </c>
      <c r="E302" s="2"/>
      <c r="F302" s="2"/>
      <c r="G302" s="2"/>
      <c r="H302" s="2"/>
      <c r="I302" s="2"/>
    </row>
    <row r="303">
      <c r="A303" s="1" t="s">
        <v>238</v>
      </c>
      <c r="B303" s="1" t="str">
        <f>IFERROR(__xludf.DUMMYFUNCTION("SPLIT(A303,"";"")"),"ASSOCIATION LE MERLE MOQUEUR")</f>
        <v>ASSOCIATION LE MERLE MOQUEUR</v>
      </c>
      <c r="C303" s="3">
        <f>IFERROR(__xludf.DUMMYFUNCTION("""COMPUTED_VALUE"""),2237.0)</f>
        <v>2237</v>
      </c>
      <c r="D303" s="1">
        <v>80.0</v>
      </c>
      <c r="E303" s="2"/>
      <c r="F303" s="2"/>
      <c r="G303" s="2"/>
      <c r="H303" s="2"/>
      <c r="I303" s="2"/>
    </row>
    <row r="304">
      <c r="A304" s="1" t="s">
        <v>239</v>
      </c>
      <c r="B304" s="1" t="str">
        <f>IFERROR(__xludf.DUMMYFUNCTION("SPLIT(A304,"";"")"),"ASSOCIATION LE VILLAGE BORDEAUX SUD")</f>
        <v>ASSOCIATION LE VILLAGE BORDEAUX SUD</v>
      </c>
      <c r="C304" s="3">
        <f>IFERROR(__xludf.DUMMYFUNCTION("""COMPUTED_VALUE"""),2783.0)</f>
        <v>2783</v>
      </c>
      <c r="D304" s="1">
        <v>50.0</v>
      </c>
      <c r="E304" s="2"/>
      <c r="F304" s="2"/>
      <c r="G304" s="2"/>
      <c r="H304" s="2"/>
      <c r="I304" s="2"/>
    </row>
    <row r="305">
      <c r="A305" s="1" t="s">
        <v>240</v>
      </c>
      <c r="B305" s="1" t="str">
        <f>IFERROR(__xludf.DUMMYFUNCTION("SPLIT(A305,"";"")"),"ASSOCIATION LEA - UNIVERSITE BORDEAUX MONTAIGNE")</f>
        <v>ASSOCIATION LEA - UNIVERSITE BORDEAUX MONTAIGNE</v>
      </c>
      <c r="C305" s="1">
        <f>IFERROR(__xludf.DUMMYFUNCTION("""COMPUTED_VALUE"""),443.0)</f>
        <v>443</v>
      </c>
      <c r="D305" s="1">
        <v>0.0</v>
      </c>
      <c r="E305" s="2"/>
      <c r="F305" s="2"/>
      <c r="G305" s="2"/>
      <c r="H305" s="2"/>
      <c r="I305" s="2"/>
    </row>
    <row r="306">
      <c r="A306" s="1" t="s">
        <v>241</v>
      </c>
      <c r="B306" s="1" t="str">
        <f>IFERROR(__xludf.DUMMYFUNCTION("SPLIT(A306,"";"")"),"ASSOCIATION LES CREANTS")</f>
        <v>ASSOCIATION LES CREANTS</v>
      </c>
      <c r="C306" s="3">
        <f>IFERROR(__xludf.DUMMYFUNCTION("""COMPUTED_VALUE"""),7217.0)</f>
        <v>7217</v>
      </c>
      <c r="D306" s="1">
        <v>0.0</v>
      </c>
      <c r="E306" s="2"/>
      <c r="F306" s="2"/>
      <c r="G306" s="2"/>
      <c r="H306" s="2"/>
      <c r="I306" s="2"/>
    </row>
    <row r="307">
      <c r="A307" s="1" t="s">
        <v>242</v>
      </c>
      <c r="B307" s="1" t="str">
        <f>IFERROR(__xludf.DUMMYFUNCTION("SPLIT(A307,"";"")"),"ASSOCIATION MALADIE CHRONIQUE SPORT BIEN ETRE")</f>
        <v>ASSOCIATION MALADIE CHRONIQUE SPORT BIEN ETRE</v>
      </c>
      <c r="C307" s="1">
        <f>IFERROR(__xludf.DUMMYFUNCTION("""COMPUTED_VALUE"""),34.0)</f>
        <v>34</v>
      </c>
      <c r="D307" s="1">
        <v>0.0</v>
      </c>
      <c r="E307" s="2"/>
      <c r="F307" s="2"/>
      <c r="G307" s="2"/>
      <c r="H307" s="2"/>
      <c r="I307" s="2"/>
    </row>
    <row r="308">
      <c r="A308" s="1" t="s">
        <v>243</v>
      </c>
      <c r="B308" s="1" t="str">
        <f>IFERROR(__xludf.DUMMYFUNCTION("SPLIT(A308,"";"")"),"ASSOCIATION MALINE")</f>
        <v>ASSOCIATION MALINE</v>
      </c>
      <c r="C308" s="1">
        <f>IFERROR(__xludf.DUMMYFUNCTION("""COMPUTED_VALUE"""),750.0)</f>
        <v>750</v>
      </c>
      <c r="D308" s="1">
        <v>0.0</v>
      </c>
      <c r="E308" s="2"/>
      <c r="F308" s="2"/>
      <c r="G308" s="2"/>
      <c r="H308" s="2"/>
      <c r="I308" s="2"/>
    </row>
    <row r="309">
      <c r="A309" s="1" t="s">
        <v>244</v>
      </c>
      <c r="B309" s="1" t="str">
        <f>IFERROR(__xludf.DUMMYFUNCTION("SPLIT(A309,"";"")"),"ASSOCIATION MARIE DE LUZE")</f>
        <v>ASSOCIATION MARIE DE LUZE</v>
      </c>
      <c r="C309" s="3">
        <f>IFERROR(__xludf.DUMMYFUNCTION("""COMPUTED_VALUE"""),1420.0)</f>
        <v>1420</v>
      </c>
      <c r="D309" s="1">
        <v>0.0</v>
      </c>
      <c r="E309" s="2"/>
      <c r="F309" s="2"/>
      <c r="G309" s="2"/>
      <c r="H309" s="2"/>
      <c r="I309" s="2"/>
    </row>
    <row r="310">
      <c r="A310" s="1" t="s">
        <v>245</v>
      </c>
      <c r="B310" s="1" t="str">
        <f>IFERROR(__xludf.DUMMYFUNCTION("SPLIT(A310,"";"")"),"ASSOCIATION MUSICALARUE")</f>
        <v>ASSOCIATION MUSICALARUE</v>
      </c>
      <c r="C310" s="3">
        <f>IFERROR(__xludf.DUMMYFUNCTION("""COMPUTED_VALUE"""),1236.0)</f>
        <v>1236</v>
      </c>
      <c r="D310" s="1">
        <v>0.0</v>
      </c>
      <c r="E310" s="2"/>
      <c r="F310" s="2"/>
      <c r="G310" s="2"/>
      <c r="H310" s="2"/>
      <c r="I310" s="2"/>
    </row>
    <row r="311">
      <c r="A311" s="1" t="s">
        <v>246</v>
      </c>
      <c r="B311" s="1" t="str">
        <f>IFERROR(__xludf.DUMMYFUNCTION("SPLIT(A311,"";"")"),"ASSOCIATION NATIONALE DES AMIS DE JEAN MOULIN")</f>
        <v>ASSOCIATION NATIONALE DES AMIS DE JEAN MOULIN</v>
      </c>
      <c r="C311" s="3">
        <f>IFERROR(__xludf.DUMMYFUNCTION("""COMPUTED_VALUE"""),1500.0)</f>
        <v>1500</v>
      </c>
      <c r="D311" s="1">
        <v>0.0</v>
      </c>
      <c r="E311" s="2"/>
      <c r="F311" s="2"/>
      <c r="G311" s="2"/>
      <c r="H311" s="2"/>
      <c r="I311" s="2"/>
    </row>
    <row r="312">
      <c r="A312" s="1" t="s">
        <v>247</v>
      </c>
      <c r="B312" s="1" t="str">
        <f>IFERROR(__xludf.DUMMYFUNCTION("SPLIT(A312,"";"")"),"ASSOCIATION NATIONALE DES ANCIENS ET AMIS DE L'INDOCHINE ET DU SOUVENIR INDOCHINOIS")</f>
        <v>ASSOCIATION NATIONALE DES ANCIENS ET AMIS DE L'INDOCHINE ET DU SOUVENIR INDOCHINOIS</v>
      </c>
      <c r="C312" s="1">
        <f>IFERROR(__xludf.DUMMYFUNCTION("""COMPUTED_VALUE"""),178.0)</f>
        <v>178</v>
      </c>
      <c r="D312" s="1">
        <v>0.0</v>
      </c>
      <c r="E312" s="2"/>
      <c r="F312" s="2"/>
      <c r="G312" s="2"/>
      <c r="H312" s="2"/>
      <c r="I312" s="2"/>
    </row>
    <row r="313">
      <c r="A313" s="1" t="s">
        <v>248</v>
      </c>
      <c r="B313" s="1" t="str">
        <f>IFERROR(__xludf.DUMMYFUNCTION("SPLIT(A313,"";"")"),"ASSOCIATION NATIONALE DES MEMBRES DE L'ORDRE NATIONAL DU MERITE - SECTION DEPARTEMENTALE DE LA GIRONDE")</f>
        <v>ASSOCIATION NATIONALE DES MEMBRES DE L'ORDRE NATIONAL DU MERITE - SECTION DEPARTEMENTALE DE LA GIRONDE</v>
      </c>
      <c r="C313" s="1">
        <f>IFERROR(__xludf.DUMMYFUNCTION("""COMPUTED_VALUE"""),178.0)</f>
        <v>178</v>
      </c>
      <c r="D313" s="1">
        <v>0.0</v>
      </c>
      <c r="E313" s="2"/>
      <c r="F313" s="2"/>
      <c r="G313" s="2"/>
      <c r="H313" s="2"/>
      <c r="I313" s="2"/>
    </row>
    <row r="314">
      <c r="A314" s="1" t="s">
        <v>249</v>
      </c>
      <c r="B314" s="1" t="str">
        <f>IFERROR(__xludf.DUMMYFUNCTION("SPLIT(A314,"";"")"),"ASSOCIATION NATIONALE DES RETRAITES DE LA POSTE ET DE France TELECOM")</f>
        <v>ASSOCIATION NATIONALE DES RETRAITES DE LA POSTE ET DE France TELECOM</v>
      </c>
      <c r="C314" s="1">
        <f>IFERROR(__xludf.DUMMYFUNCTION("""COMPUTED_VALUE"""),108.0)</f>
        <v>108</v>
      </c>
      <c r="D314" s="1">
        <v>0.0</v>
      </c>
      <c r="E314" s="2"/>
      <c r="F314" s="2"/>
      <c r="G314" s="2"/>
      <c r="H314" s="2"/>
      <c r="I314" s="2"/>
    </row>
    <row r="315">
      <c r="A315" s="1" t="s">
        <v>250</v>
      </c>
      <c r="B315" s="1" t="str">
        <f>IFERROR(__xludf.DUMMYFUNCTION("SPLIT(A315,"";"")"),"ASSOCIATION NATIONALE DES RETRAITES HOSPITALIERS")</f>
        <v>ASSOCIATION NATIONALE DES RETRAITES HOSPITALIERS</v>
      </c>
      <c r="C315" s="1">
        <f>IFERROR(__xludf.DUMMYFUNCTION("""COMPUTED_VALUE"""),56.0)</f>
        <v>56</v>
      </c>
      <c r="D315" s="1">
        <v>0.0</v>
      </c>
      <c r="E315" s="2"/>
      <c r="F315" s="2"/>
      <c r="G315" s="2"/>
      <c r="H315" s="2"/>
      <c r="I315" s="2"/>
    </row>
    <row r="316">
      <c r="A316" s="1" t="s">
        <v>251</v>
      </c>
      <c r="B316" s="1" t="str">
        <f>IFERROR(__xludf.DUMMYFUNCTION("SPLIT(A316,"";"")"),"ASSOCIATION NATIONALE DES VISITEURS DE PRISON - ANVP")</f>
        <v>ASSOCIATION NATIONALE DES VISITEURS DE PRISON - ANVP</v>
      </c>
      <c r="C316" s="1">
        <f>IFERROR(__xludf.DUMMYFUNCTION("""COMPUTED_VALUE"""),12.0)</f>
        <v>12</v>
      </c>
      <c r="D316" s="1">
        <v>0.0</v>
      </c>
      <c r="E316" s="2"/>
      <c r="F316" s="2"/>
      <c r="G316" s="2"/>
      <c r="H316" s="2"/>
      <c r="I316" s="2"/>
    </row>
    <row r="317">
      <c r="A317" s="1" t="s">
        <v>252</v>
      </c>
      <c r="B317" s="1" t="str">
        <f>IFERROR(__xludf.DUMMYFUNCTION("SPLIT(A317,"";"")"),"ASSOCIATION NATIONALE LE REFUGE")</f>
        <v>ASSOCIATION NATIONALE LE REFUGE</v>
      </c>
      <c r="C317" s="1">
        <f>IFERROR(__xludf.DUMMYFUNCTION("""COMPUTED_VALUE"""),442.0)</f>
        <v>442</v>
      </c>
      <c r="D317" s="1">
        <v>0.0</v>
      </c>
      <c r="E317" s="2"/>
      <c r="F317" s="2"/>
      <c r="G317" s="2"/>
      <c r="H317" s="2"/>
      <c r="I317" s="2"/>
    </row>
    <row r="318">
      <c r="A318" s="1" t="s">
        <v>253</v>
      </c>
      <c r="B318" s="1" t="str">
        <f>IFERROR(__xludf.DUMMYFUNCTION("SPLIT(A318,"";"")"),"ASSOCIATION NATIONALE POUR LES ENFANTS INTELLECTUELLEMENT PRECOCES DE L'AQUITAINE - ANPEIP")</f>
        <v>ASSOCIATION NATIONALE POUR LES ENFANTS INTELLECTUELLEMENT PRECOCES DE L'AQUITAINE - ANPEIP</v>
      </c>
      <c r="C318" s="3">
        <f>IFERROR(__xludf.DUMMYFUNCTION("""COMPUTED_VALUE"""),1116.0)</f>
        <v>1116</v>
      </c>
      <c r="D318" s="1">
        <v>0.0</v>
      </c>
      <c r="E318" s="2"/>
      <c r="F318" s="2"/>
      <c r="G318" s="2"/>
      <c r="H318" s="2"/>
      <c r="I318" s="2"/>
    </row>
    <row r="319">
      <c r="A319" s="1" t="s">
        <v>254</v>
      </c>
      <c r="B319" s="1" t="str">
        <f>IFERROR(__xludf.DUMMYFUNCTION("SPLIT(A319,"";"")"),"ASSOCIATION OXYGENE")</f>
        <v>ASSOCIATION OXYGENE</v>
      </c>
      <c r="C319" s="3">
        <f>IFERROR(__xludf.DUMMYFUNCTION("""COMPUTED_VALUE"""),9564.0)</f>
        <v>9564</v>
      </c>
      <c r="D319" s="1">
        <v>66.0</v>
      </c>
      <c r="E319" s="2"/>
      <c r="F319" s="2"/>
      <c r="G319" s="2"/>
      <c r="H319" s="2"/>
      <c r="I319" s="2"/>
    </row>
    <row r="320">
      <c r="A320" s="1" t="s">
        <v>255</v>
      </c>
      <c r="B320" s="1" t="str">
        <f>IFERROR(__xludf.DUMMYFUNCTION("SPLIT(A320,"";"")"),"ASSOCIATION PALLIA PLUS")</f>
        <v>ASSOCIATION PALLIA PLUS</v>
      </c>
      <c r="C320" s="3">
        <f>IFERROR(__xludf.DUMMYFUNCTION("""COMPUTED_VALUE"""),1081.0)</f>
        <v>1081</v>
      </c>
      <c r="D320" s="1">
        <v>0.0</v>
      </c>
      <c r="E320" s="2"/>
      <c r="F320" s="2"/>
      <c r="G320" s="2"/>
      <c r="H320" s="2"/>
      <c r="I320" s="2"/>
    </row>
    <row r="321">
      <c r="A321" s="1" t="s">
        <v>256</v>
      </c>
      <c r="B321" s="1" t="str">
        <f>IFERROR(__xludf.DUMMYFUNCTION("SPLIT(A321,"";"")"),"ASSOCIATION PAROLE BEGAIEMENT - APB - DELEGATION DEPARTEMENTALE")</f>
        <v>ASSOCIATION PAROLE BEGAIEMENT - APB - DELEGATION DEPARTEMENTALE</v>
      </c>
      <c r="C321" s="1">
        <f>IFERROR(__xludf.DUMMYFUNCTION("""COMPUTED_VALUE"""),56.0)</f>
        <v>56</v>
      </c>
      <c r="D321" s="1">
        <v>0.0</v>
      </c>
      <c r="E321" s="2"/>
      <c r="F321" s="2"/>
      <c r="G321" s="2"/>
      <c r="H321" s="2"/>
      <c r="I321" s="2"/>
    </row>
    <row r="322">
      <c r="A322" s="1" t="s">
        <v>257</v>
      </c>
      <c r="B322" s="1" t="str">
        <f>IFERROR(__xludf.DUMMYFUNCTION("SPLIT(A322,"";"")"),"ASSOCIATION PETITE ENFANCE ENFANCE ET FAMILLE - APEEF")</f>
        <v>ASSOCIATION PETITE ENFANCE ENFANCE ET FAMILLE - APEEF</v>
      </c>
      <c r="C322" s="3">
        <f>IFERROR(__xludf.DUMMYFUNCTION("""COMPUTED_VALUE"""),106281.0)</f>
        <v>106281</v>
      </c>
      <c r="D322" s="1">
        <v>23.0</v>
      </c>
      <c r="E322" s="2"/>
      <c r="F322" s="2"/>
      <c r="G322" s="2"/>
      <c r="H322" s="2"/>
      <c r="I322" s="2"/>
    </row>
    <row r="323">
      <c r="A323" s="1" t="s">
        <v>258</v>
      </c>
      <c r="B323" s="1" t="str">
        <f>IFERROR(__xludf.DUMMYFUNCTION("SPLIT(A323,"";"")"),"ASSOCIATION PITCHOUN")</f>
        <v>ASSOCIATION PITCHOUN</v>
      </c>
      <c r="C323" s="1">
        <f>IFERROR(__xludf.DUMMYFUNCTION("""COMPUTED_VALUE"""),178.0)</f>
        <v>178</v>
      </c>
      <c r="D323" s="1">
        <v>0.0</v>
      </c>
      <c r="E323" s="2"/>
      <c r="F323" s="2"/>
      <c r="G323" s="2"/>
      <c r="H323" s="2"/>
      <c r="I323" s="2"/>
    </row>
    <row r="324">
      <c r="A324" s="1" t="s">
        <v>259</v>
      </c>
      <c r="B324" s="1" t="str">
        <f>IFERROR(__xludf.DUMMYFUNCTION("SPLIT(A324,"";"")"),"ASSOCIATION POUR LA DEFENSE DE LA FAMILLE ET DE L'INDIVIDU (ADFI)")</f>
        <v>ASSOCIATION POUR LA DEFENSE DE LA FAMILLE ET DE L'INDIVIDU (ADFI)</v>
      </c>
      <c r="C324" s="3">
        <f>IFERROR(__xludf.DUMMYFUNCTION("""COMPUTED_VALUE"""),2240.0)</f>
        <v>2240</v>
      </c>
      <c r="D324" s="1">
        <v>0.0</v>
      </c>
      <c r="E324" s="2"/>
      <c r="F324" s="2"/>
      <c r="G324" s="2"/>
      <c r="H324" s="2"/>
      <c r="I324" s="2"/>
    </row>
    <row r="325">
      <c r="A325" s="1" t="s">
        <v>260</v>
      </c>
      <c r="B325" s="1" t="str">
        <f>IFERROR(__xludf.DUMMYFUNCTION("SPLIT(A325,"";"")"),"ASSOCIATION POUR LA JEUNESSE")</f>
        <v>ASSOCIATION POUR LA JEUNESSE</v>
      </c>
      <c r="C325" s="1"/>
      <c r="D325" s="1" t="s">
        <v>261</v>
      </c>
      <c r="E325" s="1">
        <v>0.0</v>
      </c>
      <c r="F325" s="2"/>
      <c r="G325" s="2"/>
      <c r="H325" s="2"/>
      <c r="I325" s="2"/>
    </row>
    <row r="326">
      <c r="A326" s="1" t="s">
        <v>262</v>
      </c>
      <c r="B326" s="1" t="str">
        <f>IFERROR(__xludf.DUMMYFUNCTION("SPLIT(A326,"";"")"),"ASSOCIATION POUR LA PROMOTION DES ARTISTES ET CULTURES DU MONDE APAC")</f>
        <v>ASSOCIATION POUR LA PROMOTION DES ARTISTES ET CULTURES DU MONDE APAC</v>
      </c>
      <c r="C326" s="3">
        <f>IFERROR(__xludf.DUMMYFUNCTION("""COMPUTED_VALUE"""),1175.0)</f>
        <v>1175</v>
      </c>
      <c r="D326" s="1">
        <v>39.0</v>
      </c>
      <c r="E326" s="2"/>
      <c r="F326" s="2"/>
      <c r="G326" s="2"/>
      <c r="H326" s="2"/>
      <c r="I326" s="2"/>
    </row>
    <row r="327">
      <c r="A327" s="1" t="s">
        <v>263</v>
      </c>
      <c r="B327" s="1" t="str">
        <f>IFERROR(__xludf.DUMMYFUNCTION("SPLIT(A327,"";"")"),"ASSOCIATION POUR LA READAPTATION ET L'INTEGRATION - ARI")</f>
        <v>ASSOCIATION POUR LA READAPTATION ET L'INTEGRATION - ARI</v>
      </c>
      <c r="C327" s="3">
        <f>IFERROR(__xludf.DUMMYFUNCTION("""COMPUTED_VALUE"""),2044.0)</f>
        <v>2044</v>
      </c>
      <c r="D327" s="1">
        <v>0.0</v>
      </c>
      <c r="E327" s="2"/>
      <c r="F327" s="2"/>
      <c r="G327" s="2"/>
      <c r="H327" s="2"/>
      <c r="I327" s="2"/>
    </row>
    <row r="328">
      <c r="A328" s="1" t="s">
        <v>264</v>
      </c>
      <c r="B328" s="1" t="str">
        <f>IFERROR(__xludf.DUMMYFUNCTION("SPLIT(A328,"";"")"),"ASSOCIATION POUR LA RECHERCHE CLINIQUE DE BORDEAUX NORD - ARCBN")</f>
        <v>ASSOCIATION POUR LA RECHERCHE CLINIQUE DE BORDEAUX NORD - ARCBN</v>
      </c>
      <c r="C328" s="1">
        <f>IFERROR(__xludf.DUMMYFUNCTION("""COMPUTED_VALUE"""),265.0)</f>
        <v>265</v>
      </c>
      <c r="D328" s="1">
        <v>0.0</v>
      </c>
      <c r="E328" s="2"/>
      <c r="F328" s="2"/>
      <c r="G328" s="2"/>
      <c r="H328" s="2"/>
      <c r="I328" s="2"/>
    </row>
    <row r="329">
      <c r="A329" s="1" t="s">
        <v>265</v>
      </c>
      <c r="B329" s="1" t="str">
        <f>IFERROR(__xludf.DUMMYFUNCTION("SPLIT(A329,"";"")"),"ASSOCIATION POUR LA SURVEILLANCE DE LA QUALITE DE L'AIR EN AQUITAINE - AIRAQ")</f>
        <v>ASSOCIATION POUR LA SURVEILLANCE DE LA QUALITE DE L'AIR EN AQUITAINE - AIRAQ</v>
      </c>
      <c r="C329" s="3">
        <f>IFERROR(__xludf.DUMMYFUNCTION("""COMPUTED_VALUE"""),1500.0)</f>
        <v>1500</v>
      </c>
      <c r="D329" s="1">
        <v>0.0</v>
      </c>
      <c r="E329" s="2"/>
      <c r="F329" s="2"/>
      <c r="G329" s="2"/>
      <c r="H329" s="2"/>
      <c r="I329" s="2"/>
    </row>
    <row r="330">
      <c r="A330" s="1" t="s">
        <v>266</v>
      </c>
      <c r="B330" s="1" t="str">
        <f>IFERROR(__xludf.DUMMYFUNCTION("SPLIT(A330,"";"")"),"ASSOCIATION POUR LA VALORISATION EN RELATION AVEC LES PROFESSIONNELS REGION AQUITAINE")</f>
        <v>ASSOCIATION POUR LA VALORISATION EN RELATION AVEC LES PROFESSIONNELS REGION AQUITAINE</v>
      </c>
      <c r="C330" s="1">
        <f>IFERROR(__xludf.DUMMYFUNCTION("""COMPUTED_VALUE"""),558.0)</f>
        <v>558</v>
      </c>
      <c r="D330" s="1">
        <v>0.0</v>
      </c>
      <c r="E330" s="2"/>
      <c r="F330" s="2"/>
      <c r="G330" s="2"/>
      <c r="H330" s="2"/>
      <c r="I330" s="2"/>
    </row>
    <row r="331">
      <c r="A331" s="1" t="s">
        <v>267</v>
      </c>
      <c r="B331" s="1" t="str">
        <f>IFERROR(__xludf.DUMMYFUNCTION("SPLIT(A331,"";"")"),"ASSOCIATION POUR L'ANIMATION ET LES LOISIRS DES PERSONNES AGEES - APALPA")</f>
        <v>ASSOCIATION POUR L'ANIMATION ET LES LOISIRS DES PERSONNES AGEES - APALPA</v>
      </c>
      <c r="C331" s="1">
        <f>IFERROR(__xludf.DUMMYFUNCTION("""COMPUTED_VALUE"""),735.0)</f>
        <v>735</v>
      </c>
      <c r="D331" s="1">
        <v>30.0</v>
      </c>
      <c r="E331" s="2"/>
      <c r="F331" s="2"/>
      <c r="G331" s="2"/>
      <c r="H331" s="2"/>
      <c r="I331" s="2"/>
    </row>
    <row r="332">
      <c r="A332" s="1" t="s">
        <v>268</v>
      </c>
      <c r="B332" s="1" t="str">
        <f>IFERROR(__xludf.DUMMYFUNCTION("SPLIT(A332,"";"")"),"ASSOCIATION POUR LE DEVELOPPEMENT DES ACTIVITES PHYSIQUES ADAPTEES - ADAPA")</f>
        <v>ASSOCIATION POUR LE DEVELOPPEMENT DES ACTIVITES PHYSIQUES ADAPTEES - ADAPA</v>
      </c>
      <c r="C332" s="1">
        <f>IFERROR(__xludf.DUMMYFUNCTION("""COMPUTED_VALUE"""),755.0)</f>
        <v>755</v>
      </c>
      <c r="D332" s="1">
        <v>3.0</v>
      </c>
      <c r="E332" s="2"/>
      <c r="F332" s="2"/>
      <c r="G332" s="2"/>
      <c r="H332" s="2"/>
      <c r="I332" s="2"/>
    </row>
    <row r="333">
      <c r="A333" s="1" t="s">
        <v>269</v>
      </c>
      <c r="B333" s="1" t="str">
        <f>IFERROR(__xludf.DUMMYFUNCTION("SPLIT(A333,"";"")"),"ASSOCIATION POUR LE DEVELOPPEMENT L'INSERTION ET L'ACCOMPAGNEMENT DES PERSONNES HANDICAPEES - ADIAPH")</f>
        <v>ASSOCIATION POUR LE DEVELOPPEMENT L'INSERTION ET L'ACCOMPAGNEMENT DES PERSONNES HANDICAPEES - ADIAPH</v>
      </c>
      <c r="C333" s="1">
        <f>IFERROR(__xludf.DUMMYFUNCTION("""COMPUTED_VALUE"""),886.0)</f>
        <v>886</v>
      </c>
      <c r="D333" s="1">
        <v>0.0</v>
      </c>
      <c r="E333" s="2"/>
      <c r="F333" s="2"/>
      <c r="G333" s="2"/>
      <c r="H333" s="2"/>
      <c r="I333" s="2"/>
    </row>
    <row r="334">
      <c r="A334" s="1" t="s">
        <v>270</v>
      </c>
      <c r="B334" s="1" t="str">
        <f>IFERROR(__xludf.DUMMYFUNCTION("SPLIT(A334,"";"")"),"ASSOCIATION POUR LE DON DE SANG BENEVOLE DE BORDEAUX ET ENVIRONS")</f>
        <v>ASSOCIATION POUR LE DON DE SANG BENEVOLE DE BORDEAUX ET ENVIRONS</v>
      </c>
      <c r="C334" s="1">
        <f>IFERROR(__xludf.DUMMYFUNCTION("""COMPUTED_VALUE"""),505.0)</f>
        <v>505</v>
      </c>
      <c r="D334" s="1">
        <v>0.0</v>
      </c>
      <c r="E334" s="2"/>
      <c r="F334" s="2"/>
      <c r="G334" s="2"/>
      <c r="H334" s="2"/>
      <c r="I334" s="2"/>
    </row>
    <row r="335">
      <c r="A335" s="1" t="s">
        <v>271</v>
      </c>
      <c r="B335" s="1" t="str">
        <f>IFERROR(__xludf.DUMMYFUNCTION("SPLIT(A335,"";"")"),"ASSOCIATION POUR LE DROIT A L'INITIATIVE ECONOMIQUE - ADIE")</f>
        <v>ASSOCIATION POUR LE DROIT A L'INITIATIVE ECONOMIQUE - ADIE</v>
      </c>
      <c r="C335" s="3">
        <f>IFERROR(__xludf.DUMMYFUNCTION("""COMPUTED_VALUE"""),3570.0)</f>
        <v>3570</v>
      </c>
      <c r="D335" s="1">
        <v>66.0</v>
      </c>
      <c r="E335" s="2"/>
      <c r="F335" s="2"/>
      <c r="G335" s="2"/>
      <c r="H335" s="2"/>
      <c r="I335" s="2"/>
    </row>
    <row r="336">
      <c r="A336" s="1" t="s">
        <v>272</v>
      </c>
      <c r="B336" s="1" t="str">
        <f>IFERROR(__xludf.DUMMYFUNCTION("SPLIT(A336,"";"")"),"ASSOCIATION POUR L'ENTRAIDE CONTRE LA RECHUTE DE DEPRESSION - AERD")</f>
        <v>ASSOCIATION POUR L'ENTRAIDE CONTRE LA RECHUTE DE DEPRESSION - AERD</v>
      </c>
      <c r="C336" s="1">
        <f>IFERROR(__xludf.DUMMYFUNCTION("""COMPUTED_VALUE"""),34.0)</f>
        <v>34</v>
      </c>
      <c r="D336" s="1">
        <v>0.0</v>
      </c>
      <c r="E336" s="2"/>
      <c r="F336" s="2"/>
      <c r="G336" s="2"/>
      <c r="H336" s="2"/>
      <c r="I336" s="2"/>
    </row>
    <row r="337">
      <c r="A337" s="1" t="s">
        <v>273</v>
      </c>
      <c r="B337" s="1" t="str">
        <f>IFERROR(__xludf.DUMMYFUNCTION("SPLIT(A337,"";"")"),"ASSOCIATION POUR L'ENVIRONNEMENT ET LA SECURITE EN AQUITAINE - APESA")</f>
        <v>ASSOCIATION POUR L'ENVIRONNEMENT ET LA SECURITE EN AQUITAINE - APESA</v>
      </c>
      <c r="C337" s="1">
        <f>IFERROR(__xludf.DUMMYFUNCTION("""COMPUTED_VALUE"""),21.0)</f>
        <v>21</v>
      </c>
      <c r="D337" s="1">
        <v>0.0</v>
      </c>
      <c r="E337" s="2"/>
      <c r="F337" s="2"/>
      <c r="G337" s="2"/>
      <c r="H337" s="2"/>
      <c r="I337" s="2"/>
    </row>
    <row r="338">
      <c r="A338" s="1" t="s">
        <v>274</v>
      </c>
      <c r="B338" s="1" t="str">
        <f>IFERROR(__xludf.DUMMYFUNCTION("SPLIT(A338,"";"")"),"ASSOCIATION POUR LES FOUILLES ARCHEOLOGIQUES NATIONALES - AFAN")</f>
        <v>ASSOCIATION POUR LES FOUILLES ARCHEOLOGIQUES NATIONALES - AFAN</v>
      </c>
      <c r="C338" s="3">
        <f>IFERROR(__xludf.DUMMYFUNCTION("""COMPUTED_VALUE"""),15000.0)</f>
        <v>15000</v>
      </c>
      <c r="D338" s="1">
        <v>0.0</v>
      </c>
      <c r="E338" s="2"/>
      <c r="F338" s="2"/>
      <c r="G338" s="2"/>
      <c r="H338" s="2"/>
      <c r="I338" s="2"/>
    </row>
    <row r="339">
      <c r="A339" s="1" t="s">
        <v>275</v>
      </c>
      <c r="B339" s="1" t="str">
        <f>IFERROR(__xludf.DUMMYFUNCTION("SPLIT(A339,"";"")"),"ASSOCIATION POUR L'UNIFICATION DU DROIT DES AFFAIRES EN EUROPE (AUDE)")</f>
        <v>ASSOCIATION POUR L'UNIFICATION DU DROIT DES AFFAIRES EN EUROPE (AUDE)</v>
      </c>
      <c r="C339" s="1">
        <f>IFERROR(__xludf.DUMMYFUNCTION("""COMPUTED_VALUE"""),944.0)</f>
        <v>944</v>
      </c>
      <c r="D339" s="1">
        <v>0.0</v>
      </c>
      <c r="E339" s="2"/>
      <c r="F339" s="2"/>
      <c r="G339" s="2"/>
      <c r="H339" s="2"/>
      <c r="I339" s="2"/>
    </row>
    <row r="340">
      <c r="A340" s="1" t="s">
        <v>276</v>
      </c>
      <c r="B340" s="1" t="str">
        <f>IFERROR(__xludf.DUMMYFUNCTION("SPLIT(A340,"";"")"),"ASSOCIATION PRENDRE SOIN DU LIEN - APSL")</f>
        <v>ASSOCIATION PRENDRE SOIN DU LIEN - APSL</v>
      </c>
      <c r="C340" s="1">
        <f>IFERROR(__xludf.DUMMYFUNCTION("""COMPUTED_VALUE"""),908.0)</f>
        <v>908</v>
      </c>
      <c r="D340" s="1">
        <v>58.0</v>
      </c>
      <c r="E340" s="2"/>
      <c r="F340" s="2"/>
      <c r="G340" s="2"/>
      <c r="H340" s="2"/>
      <c r="I340" s="2"/>
    </row>
    <row r="341">
      <c r="A341" s="1" t="s">
        <v>277</v>
      </c>
      <c r="B341" s="1" t="str">
        <f>IFERROR(__xludf.DUMMYFUNCTION("SPLIT(A341,"";"")"),"ASSOCIATION PROMOTION INSERTION SPORT EN AQUITAINE - APIS")</f>
        <v>ASSOCIATION PROMOTION INSERTION SPORT EN AQUITAINE - APIS</v>
      </c>
      <c r="C341" s="3">
        <f>IFERROR(__xludf.DUMMYFUNCTION("""COMPUTED_VALUE"""),28224.0)</f>
        <v>28224</v>
      </c>
      <c r="D341" s="1">
        <v>99.0</v>
      </c>
      <c r="E341" s="2"/>
      <c r="F341" s="2"/>
      <c r="G341" s="2"/>
      <c r="H341" s="2"/>
      <c r="I341" s="2"/>
    </row>
    <row r="342">
      <c r="A342" s="1" t="s">
        <v>278</v>
      </c>
      <c r="B342" s="1" t="str">
        <f>IFERROR(__xludf.DUMMYFUNCTION("SPLIT(A342,"";"")"),"ASSOCIATION PSYCHANALYTIQUE DES THERAPEUTES FAMILIAUX D'AQUITAINE - APSYFA")</f>
        <v>ASSOCIATION PSYCHANALYTIQUE DES THERAPEUTES FAMILIAUX D'AQUITAINE - APSYFA</v>
      </c>
      <c r="C342" s="1">
        <f>IFERROR(__xludf.DUMMYFUNCTION("""COMPUTED_VALUE"""),368.0)</f>
        <v>368</v>
      </c>
      <c r="D342" s="1">
        <v>0.0</v>
      </c>
      <c r="E342" s="2"/>
      <c r="F342" s="2"/>
      <c r="G342" s="2"/>
      <c r="H342" s="2"/>
      <c r="I342" s="2"/>
    </row>
    <row r="343">
      <c r="A343" s="1" t="s">
        <v>279</v>
      </c>
      <c r="B343" s="1" t="str">
        <f>IFERROR(__xludf.DUMMYFUNCTION("SPLIT(A343,"";"")"),"ASSOCIATION REGIONALE DES DIPLOMES D'UNIVERSITE D'AQUITAINE - ARDUA")</f>
        <v>ASSOCIATION REGIONALE DES DIPLOMES D'UNIVERSITE D'AQUITAINE - ARDUA</v>
      </c>
      <c r="C343" s="1">
        <f>IFERROR(__xludf.DUMMYFUNCTION("""COMPUTED_VALUE"""),80.0)</f>
        <v>80</v>
      </c>
      <c r="D343" s="1">
        <v>0.0</v>
      </c>
      <c r="E343" s="2"/>
      <c r="F343" s="2"/>
      <c r="G343" s="2"/>
      <c r="H343" s="2"/>
      <c r="I343" s="2"/>
    </row>
    <row r="344">
      <c r="A344" s="1" t="s">
        <v>280</v>
      </c>
      <c r="B344" s="1" t="str">
        <f>IFERROR(__xludf.DUMMYFUNCTION("SPLIT(A344,"";"")"),"ASSOCIATION RENAISSANCE DES CITES D'EUROPE")</f>
        <v>ASSOCIATION RENAISSANCE DES CITES D'EUROPE</v>
      </c>
      <c r="C344" s="1">
        <f>IFERROR(__xludf.DUMMYFUNCTION("""COMPUTED_VALUE"""),234.0)</f>
        <v>234</v>
      </c>
      <c r="D344" s="1">
        <v>0.0</v>
      </c>
      <c r="E344" s="2"/>
      <c r="F344" s="2"/>
      <c r="G344" s="2"/>
      <c r="H344" s="2"/>
      <c r="I344" s="2"/>
    </row>
    <row r="345">
      <c r="A345" s="1" t="s">
        <v>281</v>
      </c>
      <c r="B345" s="1" t="str">
        <f>IFERROR(__xludf.DUMMYFUNCTION("SPLIT(A345,"";"")"),"ASSOCIATION RENOVATION")</f>
        <v>ASSOCIATION RENOVATION</v>
      </c>
      <c r="C345" s="3">
        <f>IFERROR(__xludf.DUMMYFUNCTION("""COMPUTED_VALUE"""),5110.0)</f>
        <v>5110</v>
      </c>
      <c r="D345" s="1">
        <v>0.0</v>
      </c>
      <c r="E345" s="2"/>
      <c r="F345" s="2"/>
      <c r="G345" s="2"/>
      <c r="H345" s="2"/>
      <c r="I345" s="2"/>
    </row>
    <row r="346">
      <c r="A346" s="1" t="s">
        <v>282</v>
      </c>
      <c r="B346" s="1" t="str">
        <f>IFERROR(__xludf.DUMMYFUNCTION("SPLIT(A346,"";"")"),"ASSOCIATION REPUBLICAINE DES ANCIENS COMBATTANTS ET VICTIMES DE LA GUERRE - ARAC")</f>
        <v>ASSOCIATION REPUBLICAINE DES ANCIENS COMBATTANTS ET VICTIMES DE LA GUERRE - ARAC</v>
      </c>
      <c r="C346" s="3">
        <f>IFERROR(__xludf.DUMMYFUNCTION("""COMPUTED_VALUE"""),5067.0)</f>
        <v>5067</v>
      </c>
      <c r="D346" s="1">
        <v>5.0</v>
      </c>
      <c r="E346" s="2"/>
      <c r="F346" s="2"/>
      <c r="G346" s="2"/>
      <c r="H346" s="2"/>
      <c r="I346" s="2"/>
    </row>
    <row r="347">
      <c r="A347" s="1" t="s">
        <v>283</v>
      </c>
      <c r="B347" s="1" t="str">
        <f>IFERROR(__xludf.DUMMYFUNCTION("SPLIT(A347,"";"")"),"ASSOCIATION RUN FEMINA TOUR")</f>
        <v>ASSOCIATION RUN FEMINA TOUR</v>
      </c>
      <c r="C347" s="3">
        <f>IFERROR(__xludf.DUMMYFUNCTION("""COMPUTED_VALUE"""),1290.0)</f>
        <v>1290</v>
      </c>
      <c r="D347" s="1">
        <v>48.0</v>
      </c>
      <c r="E347" s="2"/>
      <c r="F347" s="2"/>
      <c r="G347" s="2"/>
      <c r="H347" s="2"/>
      <c r="I347" s="2"/>
    </row>
    <row r="348">
      <c r="A348" s="1" t="s">
        <v>284</v>
      </c>
      <c r="B348" s="1" t="str">
        <f>IFERROR(__xludf.DUMMYFUNCTION("SPLIT(A348,"";"")"),"ASSOCIATION SOCIALE POUR L'EMPLOI - ASPE")</f>
        <v>ASSOCIATION SOCIALE POUR L'EMPLOI - ASPE</v>
      </c>
      <c r="C348" s="3">
        <f>IFERROR(__xludf.DUMMYFUNCTION("""COMPUTED_VALUE"""),8800.0)</f>
        <v>8800</v>
      </c>
      <c r="D348" s="1">
        <v>0.0</v>
      </c>
      <c r="E348" s="2"/>
      <c r="F348" s="2"/>
      <c r="G348" s="2"/>
      <c r="H348" s="2"/>
      <c r="I348" s="2"/>
    </row>
    <row r="349">
      <c r="A349" s="1" t="s">
        <v>285</v>
      </c>
      <c r="B349" s="1" t="str">
        <f>IFERROR(__xludf.DUMMYFUNCTION("SPLIT(A349,"";"")"),"ASSOCIATION SOCIO CULTURELLE DE L'ECOLE DE REEDUCATION PROFESSIONNELLE - ASCERP")</f>
        <v>ASSOCIATION SOCIO CULTURELLE DE L'ECOLE DE REEDUCATION PROFESSIONNELLE - ASCERP</v>
      </c>
      <c r="C349" s="1">
        <f>IFERROR(__xludf.DUMMYFUNCTION("""COMPUTED_VALUE"""),84.0)</f>
        <v>84</v>
      </c>
      <c r="D349" s="1">
        <v>0.0</v>
      </c>
      <c r="E349" s="2"/>
      <c r="F349" s="2"/>
      <c r="G349" s="2"/>
      <c r="H349" s="2"/>
      <c r="I349" s="2"/>
    </row>
    <row r="350">
      <c r="A350" s="1" t="s">
        <v>286</v>
      </c>
      <c r="B350" s="1" t="str">
        <f>IFERROR(__xludf.DUMMYFUNCTION("SPLIT(A350,"";"")"),"ASSOCIATION SOCIO CULTURELLE LE TAYTA")</f>
        <v>ASSOCIATION SOCIO CULTURELLE LE TAYTA</v>
      </c>
      <c r="C350" s="1">
        <f>IFERROR(__xludf.DUMMYFUNCTION("""COMPUTED_VALUE"""),265.0)</f>
        <v>265</v>
      </c>
      <c r="D350" s="1">
        <v>0.0</v>
      </c>
      <c r="E350" s="2"/>
      <c r="F350" s="2"/>
      <c r="G350" s="2"/>
      <c r="H350" s="2"/>
      <c r="I350" s="2"/>
    </row>
    <row r="351">
      <c r="A351" s="1" t="s">
        <v>287</v>
      </c>
      <c r="B351" s="1" t="str">
        <f>IFERROR(__xludf.DUMMYFUNCTION("SPLIT(A351,"";"")"),"ASSOCIATION SOLIDARTE EMPLOI (ASE) - ADELPHE")</f>
        <v>ASSOCIATION SOLIDARTE EMPLOI (ASE) - ADELPHE</v>
      </c>
      <c r="C351" s="1">
        <f>IFERROR(__xludf.DUMMYFUNCTION("""COMPUTED_VALUE"""),244.0)</f>
        <v>244</v>
      </c>
      <c r="D351" s="1">
        <v>0.0</v>
      </c>
      <c r="E351" s="2"/>
      <c r="F351" s="2"/>
      <c r="G351" s="2"/>
      <c r="H351" s="2"/>
      <c r="I351" s="2"/>
    </row>
    <row r="352">
      <c r="A352" s="1" t="s">
        <v>288</v>
      </c>
      <c r="B352" s="1" t="str">
        <f>IFERROR(__xludf.DUMMYFUNCTION("SPLIT(A352,"";"")"),"ASSOCIATION SPORTIVE BANQUE POPULAIRE DU SUD-OUEST")</f>
        <v>ASSOCIATION SPORTIVE BANQUE POPULAIRE DU SUD-OUEST</v>
      </c>
      <c r="C352" s="1">
        <f>IFERROR(__xludf.DUMMYFUNCTION("""COMPUTED_VALUE"""),935.0)</f>
        <v>935</v>
      </c>
      <c r="D352" s="1">
        <v>0.0</v>
      </c>
      <c r="E352" s="2"/>
      <c r="F352" s="2"/>
      <c r="G352" s="2"/>
      <c r="H352" s="2"/>
      <c r="I352" s="2"/>
    </row>
    <row r="353">
      <c r="A353" s="1" t="s">
        <v>289</v>
      </c>
      <c r="B353" s="1" t="str">
        <f>IFERROR(__xludf.DUMMYFUNCTION("SPLIT(A353,"";"")"),"ASSOCIATION SPORTIVE COLBERT ASC")</f>
        <v>ASSOCIATION SPORTIVE COLBERT ASC</v>
      </c>
      <c r="C353" s="1">
        <f>IFERROR(__xludf.DUMMYFUNCTION("""COMPUTED_VALUE"""),88.0)</f>
        <v>88</v>
      </c>
      <c r="D353" s="1">
        <v>0.0</v>
      </c>
      <c r="E353" s="2"/>
      <c r="F353" s="2"/>
      <c r="G353" s="2"/>
      <c r="H353" s="2"/>
      <c r="I353" s="2"/>
    </row>
    <row r="354">
      <c r="A354" s="1" t="s">
        <v>218</v>
      </c>
      <c r="B354" s="1" t="str">
        <f>IFERROR(__xludf.DUMMYFUNCTION("SPLIT(A354,"";"")"),"ASSOCIATION FAMILIALE CATHOLIQUE BORDEAUX SAINTE-EULALIE VICTOIRE")</f>
        <v>ASSOCIATION FAMILIALE CATHOLIQUE BORDEAUX SAINTE-EULALIE VICTOIRE</v>
      </c>
      <c r="C354" s="1">
        <f>IFERROR(__xludf.DUMMYFUNCTION("""COMPUTED_VALUE"""),240.0)</f>
        <v>240</v>
      </c>
      <c r="D354" s="1">
        <v>0.0</v>
      </c>
      <c r="E354" s="2"/>
      <c r="F354" s="2"/>
      <c r="G354" s="2"/>
      <c r="H354" s="2"/>
      <c r="I354" s="2"/>
    </row>
    <row r="355">
      <c r="A355" s="1" t="s">
        <v>219</v>
      </c>
      <c r="B355" s="1" t="str">
        <f>IFERROR(__xludf.DUMMYFUNCTION("SPLIT(A355,"";"")"),"ASSOCIATION FAMILIALE LAIQUE DE BORDEAUX NORD - AFL")</f>
        <v>ASSOCIATION FAMILIALE LAIQUE DE BORDEAUX NORD - AFL</v>
      </c>
      <c r="C355" s="3">
        <f>IFERROR(__xludf.DUMMYFUNCTION("""COMPUTED_VALUE"""),2909.0)</f>
        <v>2909</v>
      </c>
      <c r="D355" s="1">
        <v>13.0</v>
      </c>
      <c r="E355" s="2"/>
      <c r="F355" s="2"/>
      <c r="G355" s="2"/>
      <c r="H355" s="2"/>
      <c r="I355" s="2"/>
    </row>
    <row r="356">
      <c r="A356" s="1" t="s">
        <v>220</v>
      </c>
      <c r="B356" s="1" t="str">
        <f>IFERROR(__xludf.DUMMYFUNCTION("SPLIT(A356,"";"")"),"ASSOCIATION FORMATION ET EDUCATION PERMANENTE DE TIVOLI - AFEPT")</f>
        <v>ASSOCIATION FORMATION ET EDUCATION PERMANENTE DE TIVOLI - AFEPT</v>
      </c>
      <c r="C356" s="1">
        <f>IFERROR(__xludf.DUMMYFUNCTION("""COMPUTED_VALUE"""),996.0)</f>
        <v>996</v>
      </c>
      <c r="D356" s="1">
        <v>0.0</v>
      </c>
      <c r="E356" s="2"/>
      <c r="F356" s="2"/>
      <c r="G356" s="2"/>
      <c r="H356" s="2"/>
      <c r="I356" s="2"/>
    </row>
    <row r="357">
      <c r="A357" s="1" t="s">
        <v>221</v>
      </c>
      <c r="B357" s="1" t="str">
        <f>IFERROR(__xludf.DUMMYFUNCTION("SPLIT(A357,"";"")"),"ASSOCIATION FRANCAISE DE PERSONNES SOUFFRANT DE TROUBLES OBSESSIONNELS COMPULSIFS AFTOC")</f>
        <v>ASSOCIATION FRANCAISE DE PERSONNES SOUFFRANT DE TROUBLES OBSESSIONNELS COMPULSIFS AFTOC</v>
      </c>
      <c r="C357" s="1">
        <f>IFERROR(__xludf.DUMMYFUNCTION("""COMPUTED_VALUE"""),170.0)</f>
        <v>170</v>
      </c>
      <c r="D357" s="1">
        <v>0.0</v>
      </c>
      <c r="E357" s="2"/>
      <c r="F357" s="2"/>
      <c r="G357" s="2"/>
      <c r="H357" s="2"/>
      <c r="I357" s="2"/>
    </row>
    <row r="358">
      <c r="A358" s="1" t="s">
        <v>222</v>
      </c>
      <c r="B358" s="1" t="str">
        <f>IFERROR(__xludf.DUMMYFUNCTION("SPLIT(A358,"";"")"),"ASSOCIATION FRANCAISE DES FUNDRAISERS - GROUPE AQUITAINE")</f>
        <v>ASSOCIATION FRANCAISE DES FUNDRAISERS - GROUPE AQUITAINE</v>
      </c>
      <c r="C358" s="3">
        <f>IFERROR(__xludf.DUMMYFUNCTION("""COMPUTED_VALUE"""),1284.0)</f>
        <v>1284</v>
      </c>
      <c r="D358" s="1">
        <v>0.0</v>
      </c>
      <c r="E358" s="2"/>
      <c r="F358" s="2"/>
      <c r="G358" s="2"/>
      <c r="H358" s="2"/>
      <c r="I358" s="2"/>
    </row>
    <row r="359">
      <c r="A359" s="1" t="s">
        <v>223</v>
      </c>
      <c r="B359" s="1" t="str">
        <f>IFERROR(__xludf.DUMMYFUNCTION("SPLIT(A359,"";"")"),"ASSOCIATION France - UKRAINE")</f>
        <v>ASSOCIATION France - UKRAINE</v>
      </c>
      <c r="C359" s="1">
        <f>IFERROR(__xludf.DUMMYFUNCTION("""COMPUTED_VALUE"""),248.0)</f>
        <v>248</v>
      </c>
      <c r="D359" s="1">
        <v>0.0</v>
      </c>
      <c r="E359" s="2"/>
      <c r="F359" s="2"/>
      <c r="G359" s="2"/>
      <c r="H359" s="2"/>
      <c r="I359" s="2"/>
    </row>
    <row r="360">
      <c r="A360" s="1" t="s">
        <v>224</v>
      </c>
      <c r="B360" s="1" t="str">
        <f>IFERROR(__xludf.DUMMYFUNCTION("SPLIT(A360,"";"")"),"ASSOCIATION FRANCO-BRESILIENNE POUR LA RECHERCHE DE L'EQUILIBRE - AFBRE")</f>
        <v>ASSOCIATION FRANCO-BRESILIENNE POUR LA RECHERCHE DE L'EQUILIBRE - AFBRE</v>
      </c>
      <c r="C360" s="3">
        <f>IFERROR(__xludf.DUMMYFUNCTION("""COMPUTED_VALUE"""),4797.0)</f>
        <v>4797</v>
      </c>
      <c r="D360" s="1">
        <v>0.0</v>
      </c>
      <c r="E360" s="2"/>
      <c r="F360" s="2"/>
      <c r="G360" s="2"/>
      <c r="H360" s="2"/>
      <c r="I360" s="2"/>
    </row>
    <row r="361">
      <c r="A361" s="1" t="s">
        <v>225</v>
      </c>
      <c r="B361" s="1" t="str">
        <f>IFERROR(__xludf.DUMMYFUNCTION("SPLIT(A361,"";"")"),"ASSOCIATION FRANCO-KURDE")</f>
        <v>ASSOCIATION FRANCO-KURDE</v>
      </c>
      <c r="C361" s="1">
        <f>IFERROR(__xludf.DUMMYFUNCTION("""COMPUTED_VALUE"""),610.0)</f>
        <v>610</v>
      </c>
      <c r="D361" s="1">
        <v>0.0</v>
      </c>
      <c r="E361" s="2"/>
      <c r="F361" s="2"/>
      <c r="G361" s="2"/>
      <c r="H361" s="2"/>
      <c r="I361" s="2"/>
    </row>
    <row r="362">
      <c r="A362" s="1" t="s">
        <v>226</v>
      </c>
      <c r="B362" s="1" t="str">
        <f>IFERROR(__xludf.DUMMYFUNCTION("SPLIT(A362,"";"")"),"ASSOCIATION GENERALE DES INTERVENANTS RETRAITES POUR DES ACTIONS BENEVOLES DE COOPERATION ET DEVELOPPEMENT")</f>
        <v>ASSOCIATION GENERALE DES INTERVENANTS RETRAITES POUR DES ACTIONS BENEVOLES DE COOPERATION ET DEVELOPPEMENT</v>
      </c>
      <c r="C362" s="2"/>
      <c r="D362" s="2"/>
      <c r="E362" s="2"/>
      <c r="F362" s="2"/>
      <c r="G362" s="2"/>
      <c r="H362" s="2"/>
      <c r="I362" s="2"/>
    </row>
    <row r="363">
      <c r="A363" s="1" t="s">
        <v>227</v>
      </c>
      <c r="B363" s="3">
        <f>IFERROR(__xludf.DUMMYFUNCTION("SPLIT(A363,"";"")"),2564.0)</f>
        <v>2564</v>
      </c>
      <c r="C363" s="1"/>
      <c r="D363" s="1">
        <v>0.0</v>
      </c>
      <c r="E363" s="2"/>
      <c r="F363" s="2"/>
      <c r="G363" s="2"/>
      <c r="H363" s="2"/>
      <c r="I363" s="2"/>
    </row>
    <row r="364">
      <c r="A364" s="1" t="s">
        <v>228</v>
      </c>
      <c r="B364" s="1" t="str">
        <f>IFERROR(__xludf.DUMMYFUNCTION("SPLIT(A364,"";"")"),"- AGIRabcd")</f>
        <v>- AGIRabcd</v>
      </c>
      <c r="C364" s="2"/>
      <c r="D364" s="2"/>
      <c r="E364" s="2"/>
      <c r="F364" s="2"/>
      <c r="G364" s="2"/>
      <c r="H364" s="2"/>
      <c r="I364" s="2"/>
    </row>
    <row r="365">
      <c r="A365" s="1" t="s">
        <v>229</v>
      </c>
      <c r="B365" s="1" t="str">
        <f>IFERROR(__xludf.DUMMYFUNCTION("SPLIT(A365,"";"")"),"ASSOCIATION GENERALE DES LOCATAIRES")</f>
        <v>ASSOCIATION GENERALE DES LOCATAIRES</v>
      </c>
      <c r="C365" s="1">
        <f>IFERROR(__xludf.DUMMYFUNCTION("""COMPUTED_VALUE"""),34.0)</f>
        <v>34</v>
      </c>
      <c r="D365" s="1">
        <v>0.0</v>
      </c>
      <c r="E365" s="2"/>
      <c r="F365" s="2"/>
      <c r="G365" s="2"/>
      <c r="H365" s="2"/>
      <c r="I365" s="2"/>
    </row>
    <row r="366">
      <c r="A366" s="1" t="s">
        <v>230</v>
      </c>
      <c r="B366" s="1" t="str">
        <f>IFERROR(__xludf.DUMMYFUNCTION("SPLIT(A366,"";"")"),"ASSOCIATION GENERATION DUPATY")</f>
        <v>ASSOCIATION GENERATION DUPATY</v>
      </c>
      <c r="C366" s="3">
        <f>IFERROR(__xludf.DUMMYFUNCTION("""COMPUTED_VALUE"""),4144.0)</f>
        <v>4144</v>
      </c>
      <c r="D366" s="1">
        <v>50.0</v>
      </c>
      <c r="E366" s="2"/>
      <c r="F366" s="2"/>
      <c r="G366" s="2"/>
      <c r="H366" s="2"/>
      <c r="I366" s="2"/>
    </row>
    <row r="367">
      <c r="A367" s="1" t="s">
        <v>231</v>
      </c>
      <c r="B367" s="1" t="str">
        <f>IFERROR(__xludf.DUMMYFUNCTION("SPLIT(A367,"";"")"),"ASSOCIATION GIRONDINE D'EDUCATION SPECIALISEE ET DE PREVENTION SOCIALE - AGEP")</f>
        <v>ASSOCIATION GIRONDINE D'EDUCATION SPECIALISEE ET DE PREVENTION SOCIALE - AGEP</v>
      </c>
      <c r="C367" s="1">
        <f>IFERROR(__xludf.DUMMYFUNCTION("""COMPUTED_VALUE"""),663.0)</f>
        <v>663</v>
      </c>
      <c r="D367" s="1">
        <v>0.0</v>
      </c>
      <c r="E367" s="2"/>
      <c r="F367" s="2"/>
      <c r="G367" s="2"/>
      <c r="H367" s="2"/>
      <c r="I367" s="2"/>
    </row>
    <row r="368">
      <c r="A368" s="1" t="s">
        <v>232</v>
      </c>
      <c r="B368" s="1" t="str">
        <f>IFERROR(__xludf.DUMMYFUNCTION("SPLIT(A368,"";"")"),"ASSOCIATION GIRONDINE DES ACTIVITES PROTEGEES - SPORT - LOISIRS (AGAP - SPORT - LOISIRS)")</f>
        <v>ASSOCIATION GIRONDINE DES ACTIVITES PROTEGEES - SPORT - LOISIRS (AGAP - SPORT - LOISIRS)</v>
      </c>
      <c r="C368" s="3">
        <f>IFERROR(__xludf.DUMMYFUNCTION("""COMPUTED_VALUE"""),9699.0)</f>
        <v>9699</v>
      </c>
      <c r="D368" s="1">
        <v>0.0</v>
      </c>
      <c r="E368" s="2"/>
      <c r="F368" s="2"/>
      <c r="G368" s="2"/>
      <c r="H368" s="2"/>
      <c r="I368" s="2"/>
    </row>
    <row r="369">
      <c r="A369" s="1" t="s">
        <v>233</v>
      </c>
      <c r="B369" s="1" t="str">
        <f>IFERROR(__xludf.DUMMYFUNCTION("SPLIT(A369,"";"")"),"ASSOCIATION GOLF D'ENTREPRISES INTER-ENTREPRISES GOLF DE BORDEAUX - IEGB")</f>
        <v>ASSOCIATION GOLF D'ENTREPRISES INTER-ENTREPRISES GOLF DE BORDEAUX - IEGB</v>
      </c>
      <c r="C369" s="1">
        <f>IFERROR(__xludf.DUMMYFUNCTION("""COMPUTED_VALUE"""),34.0)</f>
        <v>34</v>
      </c>
      <c r="D369" s="1">
        <v>0.0</v>
      </c>
      <c r="E369" s="2"/>
      <c r="F369" s="2"/>
      <c r="G369" s="2"/>
      <c r="H369" s="2"/>
      <c r="I369" s="2"/>
    </row>
    <row r="370">
      <c r="A370" s="1" t="s">
        <v>234</v>
      </c>
      <c r="B370" s="1" t="str">
        <f>IFERROR(__xludf.DUMMYFUNCTION("SPLIT(A370,"";"")"),"ASSOCIATION INTERNATIONALE POUR LA CULTURE")</f>
        <v>ASSOCIATION INTERNATIONALE POUR LA CULTURE</v>
      </c>
      <c r="C370" s="1"/>
      <c r="D370" s="1" t="s">
        <v>235</v>
      </c>
      <c r="E370" s="1">
        <v>0.0</v>
      </c>
      <c r="F370" s="2"/>
      <c r="G370" s="2"/>
      <c r="H370" s="2"/>
      <c r="I370" s="2"/>
    </row>
    <row r="371">
      <c r="A371" s="1" t="s">
        <v>236</v>
      </c>
      <c r="B371" s="1" t="str">
        <f>IFERROR(__xludf.DUMMYFUNCTION("SPLIT(A371,"";"")"),"ASSOCIATION INTERPROFESSIONNELLE BIO REGIONALE (AQUITAINE/LIMOUSIN/POITOU-CHARENTES OU EQUIVALENT)")</f>
        <v>ASSOCIATION INTERPROFESSIONNELLE BIO REGIONALE (AQUITAINE/LIMOUSIN/POITOU-CHARENTES OU EQUIVALENT)</v>
      </c>
      <c r="C371" s="1">
        <f>IFERROR(__xludf.DUMMYFUNCTION("""COMPUTED_VALUE"""),983.0)</f>
        <v>983</v>
      </c>
      <c r="D371" s="1">
        <v>59.0</v>
      </c>
      <c r="E371" s="2"/>
      <c r="F371" s="2"/>
      <c r="G371" s="2"/>
      <c r="H371" s="2"/>
      <c r="I371" s="2"/>
    </row>
    <row r="372">
      <c r="A372" s="1" t="s">
        <v>237</v>
      </c>
      <c r="B372" s="1" t="str">
        <f>IFERROR(__xludf.DUMMYFUNCTION("SPLIT(A372,"";"")"),"ASSOCIATION JEUNESSE FUTSAL (A.J.F.)")</f>
        <v>ASSOCIATION JEUNESSE FUTSAL (A.J.F.)</v>
      </c>
      <c r="C372" s="3">
        <f>IFERROR(__xludf.DUMMYFUNCTION("""COMPUTED_VALUE"""),4950.0)</f>
        <v>4950</v>
      </c>
      <c r="D372" s="1">
        <v>0.0</v>
      </c>
      <c r="E372" s="2"/>
      <c r="F372" s="2"/>
      <c r="G372" s="2"/>
      <c r="H372" s="2"/>
      <c r="I372" s="2"/>
    </row>
    <row r="373">
      <c r="A373" s="1" t="s">
        <v>238</v>
      </c>
      <c r="B373" s="1" t="str">
        <f>IFERROR(__xludf.DUMMYFUNCTION("SPLIT(A373,"";"")"),"ASSOCIATION LE MERLE MOQUEUR")</f>
        <v>ASSOCIATION LE MERLE MOQUEUR</v>
      </c>
      <c r="C373" s="3">
        <f>IFERROR(__xludf.DUMMYFUNCTION("""COMPUTED_VALUE"""),2237.0)</f>
        <v>2237</v>
      </c>
      <c r="D373" s="1">
        <v>80.0</v>
      </c>
      <c r="E373" s="2"/>
      <c r="F373" s="2"/>
      <c r="G373" s="2"/>
      <c r="H373" s="2"/>
      <c r="I373" s="2"/>
    </row>
    <row r="374">
      <c r="A374" s="1" t="s">
        <v>239</v>
      </c>
      <c r="B374" s="1" t="str">
        <f>IFERROR(__xludf.DUMMYFUNCTION("SPLIT(A374,"";"")"),"ASSOCIATION LE VILLAGE BORDEAUX SUD")</f>
        <v>ASSOCIATION LE VILLAGE BORDEAUX SUD</v>
      </c>
      <c r="C374" s="3">
        <f>IFERROR(__xludf.DUMMYFUNCTION("""COMPUTED_VALUE"""),2783.0)</f>
        <v>2783</v>
      </c>
      <c r="D374" s="1">
        <v>50.0</v>
      </c>
      <c r="E374" s="2"/>
      <c r="F374" s="2"/>
      <c r="G374" s="2"/>
      <c r="H374" s="2"/>
      <c r="I374" s="2"/>
    </row>
    <row r="375">
      <c r="A375" s="1" t="s">
        <v>240</v>
      </c>
      <c r="B375" s="1" t="str">
        <f>IFERROR(__xludf.DUMMYFUNCTION("SPLIT(A375,"";"")"),"ASSOCIATION LEA - UNIVERSITE BORDEAUX MONTAIGNE")</f>
        <v>ASSOCIATION LEA - UNIVERSITE BORDEAUX MONTAIGNE</v>
      </c>
      <c r="C375" s="1">
        <f>IFERROR(__xludf.DUMMYFUNCTION("""COMPUTED_VALUE"""),443.0)</f>
        <v>443</v>
      </c>
      <c r="D375" s="1">
        <v>0.0</v>
      </c>
      <c r="E375" s="2"/>
      <c r="F375" s="2"/>
      <c r="G375" s="2"/>
      <c r="H375" s="2"/>
      <c r="I375" s="2"/>
    </row>
    <row r="376">
      <c r="A376" s="1" t="s">
        <v>241</v>
      </c>
      <c r="B376" s="1" t="str">
        <f>IFERROR(__xludf.DUMMYFUNCTION("SPLIT(A376,"";"")"),"ASSOCIATION LES CREANTS")</f>
        <v>ASSOCIATION LES CREANTS</v>
      </c>
      <c r="C376" s="3">
        <f>IFERROR(__xludf.DUMMYFUNCTION("""COMPUTED_VALUE"""),7217.0)</f>
        <v>7217</v>
      </c>
      <c r="D376" s="1">
        <v>0.0</v>
      </c>
      <c r="E376" s="2"/>
      <c r="F376" s="2"/>
      <c r="G376" s="2"/>
      <c r="H376" s="2"/>
      <c r="I376" s="2"/>
    </row>
    <row r="377">
      <c r="A377" s="1" t="s">
        <v>242</v>
      </c>
      <c r="B377" s="1" t="str">
        <f>IFERROR(__xludf.DUMMYFUNCTION("SPLIT(A377,"";"")"),"ASSOCIATION MALADIE CHRONIQUE SPORT BIEN ETRE")</f>
        <v>ASSOCIATION MALADIE CHRONIQUE SPORT BIEN ETRE</v>
      </c>
      <c r="C377" s="1">
        <f>IFERROR(__xludf.DUMMYFUNCTION("""COMPUTED_VALUE"""),34.0)</f>
        <v>34</v>
      </c>
      <c r="D377" s="1">
        <v>0.0</v>
      </c>
      <c r="E377" s="2"/>
      <c r="F377" s="2"/>
      <c r="G377" s="2"/>
      <c r="H377" s="2"/>
      <c r="I377" s="2"/>
    </row>
    <row r="378">
      <c r="A378" s="1" t="s">
        <v>243</v>
      </c>
      <c r="B378" s="1" t="str">
        <f>IFERROR(__xludf.DUMMYFUNCTION("SPLIT(A378,"";"")"),"ASSOCIATION MALINE")</f>
        <v>ASSOCIATION MALINE</v>
      </c>
      <c r="C378" s="1">
        <f>IFERROR(__xludf.DUMMYFUNCTION("""COMPUTED_VALUE"""),750.0)</f>
        <v>750</v>
      </c>
      <c r="D378" s="1">
        <v>0.0</v>
      </c>
      <c r="E378" s="2"/>
      <c r="F378" s="2"/>
      <c r="G378" s="2"/>
      <c r="H378" s="2"/>
      <c r="I378" s="2"/>
    </row>
    <row r="379">
      <c r="A379" s="1" t="s">
        <v>244</v>
      </c>
      <c r="B379" s="1" t="str">
        <f>IFERROR(__xludf.DUMMYFUNCTION("SPLIT(A379,"";"")"),"ASSOCIATION MARIE DE LUZE")</f>
        <v>ASSOCIATION MARIE DE LUZE</v>
      </c>
      <c r="C379" s="3">
        <f>IFERROR(__xludf.DUMMYFUNCTION("""COMPUTED_VALUE"""),1420.0)</f>
        <v>1420</v>
      </c>
      <c r="D379" s="1">
        <v>0.0</v>
      </c>
      <c r="E379" s="2"/>
      <c r="F379" s="2"/>
      <c r="G379" s="2"/>
      <c r="H379" s="2"/>
      <c r="I379" s="2"/>
    </row>
    <row r="380">
      <c r="A380" s="1" t="s">
        <v>245</v>
      </c>
      <c r="B380" s="1" t="str">
        <f>IFERROR(__xludf.DUMMYFUNCTION("SPLIT(A380,"";"")"),"ASSOCIATION MUSICALARUE")</f>
        <v>ASSOCIATION MUSICALARUE</v>
      </c>
      <c r="C380" s="3">
        <f>IFERROR(__xludf.DUMMYFUNCTION("""COMPUTED_VALUE"""),1236.0)</f>
        <v>1236</v>
      </c>
      <c r="D380" s="1">
        <v>0.0</v>
      </c>
      <c r="E380" s="2"/>
      <c r="F380" s="2"/>
      <c r="G380" s="2"/>
      <c r="H380" s="2"/>
      <c r="I380" s="2"/>
    </row>
    <row r="381">
      <c r="A381" s="1" t="s">
        <v>246</v>
      </c>
      <c r="B381" s="1" t="str">
        <f>IFERROR(__xludf.DUMMYFUNCTION("SPLIT(A381,"";"")"),"ASSOCIATION NATIONALE DES AMIS DE JEAN MOULIN")</f>
        <v>ASSOCIATION NATIONALE DES AMIS DE JEAN MOULIN</v>
      </c>
      <c r="C381" s="3">
        <f>IFERROR(__xludf.DUMMYFUNCTION("""COMPUTED_VALUE"""),1500.0)</f>
        <v>1500</v>
      </c>
      <c r="D381" s="1">
        <v>0.0</v>
      </c>
      <c r="E381" s="2"/>
      <c r="F381" s="2"/>
      <c r="G381" s="2"/>
      <c r="H381" s="2"/>
      <c r="I381" s="2"/>
    </row>
    <row r="382">
      <c r="A382" s="1" t="s">
        <v>247</v>
      </c>
      <c r="B382" s="1" t="str">
        <f>IFERROR(__xludf.DUMMYFUNCTION("SPLIT(A382,"";"")"),"ASSOCIATION NATIONALE DES ANCIENS ET AMIS DE L'INDOCHINE ET DU SOUVENIR INDOCHINOIS")</f>
        <v>ASSOCIATION NATIONALE DES ANCIENS ET AMIS DE L'INDOCHINE ET DU SOUVENIR INDOCHINOIS</v>
      </c>
      <c r="C382" s="1">
        <f>IFERROR(__xludf.DUMMYFUNCTION("""COMPUTED_VALUE"""),178.0)</f>
        <v>178</v>
      </c>
      <c r="D382" s="1">
        <v>0.0</v>
      </c>
      <c r="E382" s="2"/>
      <c r="F382" s="2"/>
      <c r="G382" s="2"/>
      <c r="H382" s="2"/>
      <c r="I382" s="2"/>
    </row>
    <row r="383">
      <c r="A383" s="1" t="s">
        <v>248</v>
      </c>
      <c r="B383" s="1" t="str">
        <f>IFERROR(__xludf.DUMMYFUNCTION("SPLIT(A383,"";"")"),"ASSOCIATION NATIONALE DES MEMBRES DE L'ORDRE NATIONAL DU MERITE - SECTION DEPARTEMENTALE DE LA GIRONDE")</f>
        <v>ASSOCIATION NATIONALE DES MEMBRES DE L'ORDRE NATIONAL DU MERITE - SECTION DEPARTEMENTALE DE LA GIRONDE</v>
      </c>
      <c r="C383" s="1">
        <f>IFERROR(__xludf.DUMMYFUNCTION("""COMPUTED_VALUE"""),178.0)</f>
        <v>178</v>
      </c>
      <c r="D383" s="1">
        <v>0.0</v>
      </c>
      <c r="E383" s="2"/>
      <c r="F383" s="2"/>
      <c r="G383" s="2"/>
      <c r="H383" s="2"/>
      <c r="I383" s="2"/>
    </row>
    <row r="384">
      <c r="A384" s="1" t="s">
        <v>249</v>
      </c>
      <c r="B384" s="1" t="str">
        <f>IFERROR(__xludf.DUMMYFUNCTION("SPLIT(A384,"";"")"),"ASSOCIATION NATIONALE DES RETRAITES DE LA POSTE ET DE France TELECOM")</f>
        <v>ASSOCIATION NATIONALE DES RETRAITES DE LA POSTE ET DE France TELECOM</v>
      </c>
      <c r="C384" s="1">
        <f>IFERROR(__xludf.DUMMYFUNCTION("""COMPUTED_VALUE"""),108.0)</f>
        <v>108</v>
      </c>
      <c r="D384" s="1">
        <v>0.0</v>
      </c>
      <c r="E384" s="2"/>
      <c r="F384" s="2"/>
      <c r="G384" s="2"/>
      <c r="H384" s="2"/>
      <c r="I384" s="2"/>
    </row>
    <row r="385">
      <c r="A385" s="1" t="s">
        <v>250</v>
      </c>
      <c r="B385" s="1" t="str">
        <f>IFERROR(__xludf.DUMMYFUNCTION("SPLIT(A385,"";"")"),"ASSOCIATION NATIONALE DES RETRAITES HOSPITALIERS")</f>
        <v>ASSOCIATION NATIONALE DES RETRAITES HOSPITALIERS</v>
      </c>
      <c r="C385" s="1">
        <f>IFERROR(__xludf.DUMMYFUNCTION("""COMPUTED_VALUE"""),56.0)</f>
        <v>56</v>
      </c>
      <c r="D385" s="1">
        <v>0.0</v>
      </c>
      <c r="E385" s="2"/>
      <c r="F385" s="2"/>
      <c r="G385" s="2"/>
      <c r="H385" s="2"/>
      <c r="I385" s="2"/>
    </row>
    <row r="386">
      <c r="A386" s="1" t="s">
        <v>251</v>
      </c>
      <c r="B386" s="1" t="str">
        <f>IFERROR(__xludf.DUMMYFUNCTION("SPLIT(A386,"";"")"),"ASSOCIATION NATIONALE DES VISITEURS DE PRISON - ANVP")</f>
        <v>ASSOCIATION NATIONALE DES VISITEURS DE PRISON - ANVP</v>
      </c>
      <c r="C386" s="1">
        <f>IFERROR(__xludf.DUMMYFUNCTION("""COMPUTED_VALUE"""),12.0)</f>
        <v>12</v>
      </c>
      <c r="D386" s="1">
        <v>0.0</v>
      </c>
      <c r="E386" s="2"/>
      <c r="F386" s="2"/>
      <c r="G386" s="2"/>
      <c r="H386" s="2"/>
      <c r="I386" s="2"/>
    </row>
    <row r="387">
      <c r="A387" s="1" t="s">
        <v>252</v>
      </c>
      <c r="B387" s="1" t="str">
        <f>IFERROR(__xludf.DUMMYFUNCTION("SPLIT(A387,"";"")"),"ASSOCIATION NATIONALE LE REFUGE")</f>
        <v>ASSOCIATION NATIONALE LE REFUGE</v>
      </c>
      <c r="C387" s="1">
        <f>IFERROR(__xludf.DUMMYFUNCTION("""COMPUTED_VALUE"""),442.0)</f>
        <v>442</v>
      </c>
      <c r="D387" s="1">
        <v>0.0</v>
      </c>
      <c r="E387" s="2"/>
      <c r="F387" s="2"/>
      <c r="G387" s="2"/>
      <c r="H387" s="2"/>
      <c r="I387" s="2"/>
    </row>
    <row r="388">
      <c r="A388" s="1" t="s">
        <v>253</v>
      </c>
      <c r="B388" s="1" t="str">
        <f>IFERROR(__xludf.DUMMYFUNCTION("SPLIT(A388,"";"")"),"ASSOCIATION NATIONALE POUR LES ENFANTS INTELLECTUELLEMENT PRECOCES DE L'AQUITAINE - ANPEIP")</f>
        <v>ASSOCIATION NATIONALE POUR LES ENFANTS INTELLECTUELLEMENT PRECOCES DE L'AQUITAINE - ANPEIP</v>
      </c>
      <c r="C388" s="3">
        <f>IFERROR(__xludf.DUMMYFUNCTION("""COMPUTED_VALUE"""),1116.0)</f>
        <v>1116</v>
      </c>
      <c r="D388" s="1">
        <v>0.0</v>
      </c>
      <c r="E388" s="2"/>
      <c r="F388" s="2"/>
      <c r="G388" s="2"/>
      <c r="H388" s="2"/>
      <c r="I388" s="2"/>
    </row>
    <row r="389">
      <c r="A389" s="1" t="s">
        <v>254</v>
      </c>
      <c r="B389" s="1" t="str">
        <f>IFERROR(__xludf.DUMMYFUNCTION("SPLIT(A389,"";"")"),"ASSOCIATION OXYGENE")</f>
        <v>ASSOCIATION OXYGENE</v>
      </c>
      <c r="C389" s="3">
        <f>IFERROR(__xludf.DUMMYFUNCTION("""COMPUTED_VALUE"""),9564.0)</f>
        <v>9564</v>
      </c>
      <c r="D389" s="1">
        <v>66.0</v>
      </c>
      <c r="E389" s="2"/>
      <c r="F389" s="2"/>
      <c r="G389" s="2"/>
      <c r="H389" s="2"/>
      <c r="I389" s="2"/>
    </row>
    <row r="390">
      <c r="A390" s="1" t="s">
        <v>255</v>
      </c>
      <c r="B390" s="1" t="str">
        <f>IFERROR(__xludf.DUMMYFUNCTION("SPLIT(A390,"";"")"),"ASSOCIATION PALLIA PLUS")</f>
        <v>ASSOCIATION PALLIA PLUS</v>
      </c>
      <c r="C390" s="3">
        <f>IFERROR(__xludf.DUMMYFUNCTION("""COMPUTED_VALUE"""),1081.0)</f>
        <v>1081</v>
      </c>
      <c r="D390" s="1">
        <v>0.0</v>
      </c>
      <c r="E390" s="2"/>
      <c r="F390" s="2"/>
      <c r="G390" s="2"/>
      <c r="H390" s="2"/>
      <c r="I390" s="2"/>
    </row>
    <row r="391">
      <c r="A391" s="1" t="s">
        <v>256</v>
      </c>
      <c r="B391" s="1" t="str">
        <f>IFERROR(__xludf.DUMMYFUNCTION("SPLIT(A391,"";"")"),"ASSOCIATION PAROLE BEGAIEMENT - APB - DELEGATION DEPARTEMENTALE")</f>
        <v>ASSOCIATION PAROLE BEGAIEMENT - APB - DELEGATION DEPARTEMENTALE</v>
      </c>
      <c r="C391" s="1">
        <f>IFERROR(__xludf.DUMMYFUNCTION("""COMPUTED_VALUE"""),56.0)</f>
        <v>56</v>
      </c>
      <c r="D391" s="1">
        <v>0.0</v>
      </c>
      <c r="E391" s="2"/>
      <c r="F391" s="2"/>
      <c r="G391" s="2"/>
      <c r="H391" s="2"/>
      <c r="I391" s="2"/>
    </row>
    <row r="392">
      <c r="A392" s="1" t="s">
        <v>257</v>
      </c>
      <c r="B392" s="1" t="str">
        <f>IFERROR(__xludf.DUMMYFUNCTION("SPLIT(A392,"";"")"),"ASSOCIATION PETITE ENFANCE ENFANCE ET FAMILLE - APEEF")</f>
        <v>ASSOCIATION PETITE ENFANCE ENFANCE ET FAMILLE - APEEF</v>
      </c>
      <c r="C392" s="3">
        <f>IFERROR(__xludf.DUMMYFUNCTION("""COMPUTED_VALUE"""),106281.0)</f>
        <v>106281</v>
      </c>
      <c r="D392" s="1">
        <v>23.0</v>
      </c>
      <c r="E392" s="2"/>
      <c r="F392" s="2"/>
      <c r="G392" s="2"/>
      <c r="H392" s="2"/>
      <c r="I392" s="2"/>
    </row>
    <row r="393">
      <c r="A393" s="1" t="s">
        <v>258</v>
      </c>
      <c r="B393" s="1" t="str">
        <f>IFERROR(__xludf.DUMMYFUNCTION("SPLIT(A393,"";"")"),"ASSOCIATION PITCHOUN")</f>
        <v>ASSOCIATION PITCHOUN</v>
      </c>
      <c r="C393" s="1">
        <f>IFERROR(__xludf.DUMMYFUNCTION("""COMPUTED_VALUE"""),178.0)</f>
        <v>178</v>
      </c>
      <c r="D393" s="1">
        <v>0.0</v>
      </c>
      <c r="E393" s="2"/>
      <c r="F393" s="2"/>
      <c r="G393" s="2"/>
      <c r="H393" s="2"/>
      <c r="I393" s="2"/>
    </row>
    <row r="394">
      <c r="A394" s="1" t="s">
        <v>259</v>
      </c>
      <c r="B394" s="1" t="str">
        <f>IFERROR(__xludf.DUMMYFUNCTION("SPLIT(A394,"";"")"),"ASSOCIATION POUR LA DEFENSE DE LA FAMILLE ET DE L'INDIVIDU (ADFI)")</f>
        <v>ASSOCIATION POUR LA DEFENSE DE LA FAMILLE ET DE L'INDIVIDU (ADFI)</v>
      </c>
      <c r="C394" s="3">
        <f>IFERROR(__xludf.DUMMYFUNCTION("""COMPUTED_VALUE"""),2240.0)</f>
        <v>2240</v>
      </c>
      <c r="D394" s="1">
        <v>0.0</v>
      </c>
      <c r="E394" s="2"/>
      <c r="F394" s="2"/>
      <c r="G394" s="2"/>
      <c r="H394" s="2"/>
      <c r="I394" s="2"/>
    </row>
    <row r="395">
      <c r="A395" s="1" t="s">
        <v>260</v>
      </c>
      <c r="B395" s="1" t="str">
        <f>IFERROR(__xludf.DUMMYFUNCTION("SPLIT(A395,"";"")"),"ASSOCIATION POUR LA JEUNESSE")</f>
        <v>ASSOCIATION POUR LA JEUNESSE</v>
      </c>
      <c r="C395" s="1"/>
      <c r="D395" s="1" t="s">
        <v>261</v>
      </c>
      <c r="E395" s="1">
        <v>0.0</v>
      </c>
      <c r="F395" s="2"/>
      <c r="G395" s="2"/>
      <c r="H395" s="2"/>
      <c r="I395" s="2"/>
    </row>
    <row r="396">
      <c r="A396" s="1" t="s">
        <v>262</v>
      </c>
      <c r="B396" s="1" t="str">
        <f>IFERROR(__xludf.DUMMYFUNCTION("SPLIT(A396,"";"")"),"ASSOCIATION POUR LA PROMOTION DES ARTISTES ET CULTURES DU MONDE APAC")</f>
        <v>ASSOCIATION POUR LA PROMOTION DES ARTISTES ET CULTURES DU MONDE APAC</v>
      </c>
      <c r="C396" s="3">
        <f>IFERROR(__xludf.DUMMYFUNCTION("""COMPUTED_VALUE"""),1175.0)</f>
        <v>1175</v>
      </c>
      <c r="D396" s="1">
        <v>39.0</v>
      </c>
      <c r="E396" s="2"/>
      <c r="F396" s="2"/>
      <c r="G396" s="2"/>
      <c r="H396" s="2"/>
      <c r="I396" s="2"/>
    </row>
    <row r="397">
      <c r="A397" s="1" t="s">
        <v>263</v>
      </c>
      <c r="B397" s="1" t="str">
        <f>IFERROR(__xludf.DUMMYFUNCTION("SPLIT(A397,"";"")"),"ASSOCIATION POUR LA READAPTATION ET L'INTEGRATION - ARI")</f>
        <v>ASSOCIATION POUR LA READAPTATION ET L'INTEGRATION - ARI</v>
      </c>
      <c r="C397" s="3">
        <f>IFERROR(__xludf.DUMMYFUNCTION("""COMPUTED_VALUE"""),2044.0)</f>
        <v>2044</v>
      </c>
      <c r="D397" s="1">
        <v>0.0</v>
      </c>
      <c r="E397" s="2"/>
      <c r="F397" s="2"/>
      <c r="G397" s="2"/>
      <c r="H397" s="2"/>
      <c r="I397" s="2"/>
    </row>
    <row r="398">
      <c r="A398" s="1" t="s">
        <v>264</v>
      </c>
      <c r="B398" s="1" t="str">
        <f>IFERROR(__xludf.DUMMYFUNCTION("SPLIT(A398,"";"")"),"ASSOCIATION POUR LA RECHERCHE CLINIQUE DE BORDEAUX NORD - ARCBN")</f>
        <v>ASSOCIATION POUR LA RECHERCHE CLINIQUE DE BORDEAUX NORD - ARCBN</v>
      </c>
      <c r="C398" s="1">
        <f>IFERROR(__xludf.DUMMYFUNCTION("""COMPUTED_VALUE"""),265.0)</f>
        <v>265</v>
      </c>
      <c r="D398" s="1">
        <v>0.0</v>
      </c>
      <c r="E398" s="2"/>
      <c r="F398" s="2"/>
      <c r="G398" s="2"/>
      <c r="H398" s="2"/>
      <c r="I398" s="2"/>
    </row>
    <row r="399">
      <c r="A399" s="1" t="s">
        <v>265</v>
      </c>
      <c r="B399" s="1" t="str">
        <f>IFERROR(__xludf.DUMMYFUNCTION("SPLIT(A399,"";"")"),"ASSOCIATION POUR LA SURVEILLANCE DE LA QUALITE DE L'AIR EN AQUITAINE - AIRAQ")</f>
        <v>ASSOCIATION POUR LA SURVEILLANCE DE LA QUALITE DE L'AIR EN AQUITAINE - AIRAQ</v>
      </c>
      <c r="C399" s="3">
        <f>IFERROR(__xludf.DUMMYFUNCTION("""COMPUTED_VALUE"""),1500.0)</f>
        <v>1500</v>
      </c>
      <c r="D399" s="1">
        <v>0.0</v>
      </c>
      <c r="E399" s="2"/>
      <c r="F399" s="2"/>
      <c r="G399" s="2"/>
      <c r="H399" s="2"/>
      <c r="I399" s="2"/>
    </row>
    <row r="400">
      <c r="A400" s="1" t="s">
        <v>266</v>
      </c>
      <c r="B400" s="1" t="str">
        <f>IFERROR(__xludf.DUMMYFUNCTION("SPLIT(A400,"";"")"),"ASSOCIATION POUR LA VALORISATION EN RELATION AVEC LES PROFESSIONNELS REGION AQUITAINE")</f>
        <v>ASSOCIATION POUR LA VALORISATION EN RELATION AVEC LES PROFESSIONNELS REGION AQUITAINE</v>
      </c>
      <c r="C400" s="1">
        <f>IFERROR(__xludf.DUMMYFUNCTION("""COMPUTED_VALUE"""),558.0)</f>
        <v>558</v>
      </c>
      <c r="D400" s="1">
        <v>0.0</v>
      </c>
      <c r="E400" s="2"/>
      <c r="F400" s="2"/>
      <c r="G400" s="2"/>
      <c r="H400" s="2"/>
      <c r="I400" s="2"/>
    </row>
    <row r="401">
      <c r="A401" s="1" t="s">
        <v>267</v>
      </c>
      <c r="B401" s="1" t="str">
        <f>IFERROR(__xludf.DUMMYFUNCTION("SPLIT(A401,"";"")"),"ASSOCIATION POUR L'ANIMATION ET LES LOISIRS DES PERSONNES AGEES - APALPA")</f>
        <v>ASSOCIATION POUR L'ANIMATION ET LES LOISIRS DES PERSONNES AGEES - APALPA</v>
      </c>
      <c r="C401" s="1">
        <f>IFERROR(__xludf.DUMMYFUNCTION("""COMPUTED_VALUE"""),735.0)</f>
        <v>735</v>
      </c>
      <c r="D401" s="1">
        <v>30.0</v>
      </c>
      <c r="E401" s="2"/>
      <c r="F401" s="2"/>
      <c r="G401" s="2"/>
      <c r="H401" s="2"/>
      <c r="I401" s="2"/>
    </row>
    <row r="402">
      <c r="A402" s="1" t="s">
        <v>268</v>
      </c>
      <c r="B402" s="1" t="str">
        <f>IFERROR(__xludf.DUMMYFUNCTION("SPLIT(A402,"";"")"),"ASSOCIATION POUR LE DEVELOPPEMENT DES ACTIVITES PHYSIQUES ADAPTEES - ADAPA")</f>
        <v>ASSOCIATION POUR LE DEVELOPPEMENT DES ACTIVITES PHYSIQUES ADAPTEES - ADAPA</v>
      </c>
      <c r="C402" s="1">
        <f>IFERROR(__xludf.DUMMYFUNCTION("""COMPUTED_VALUE"""),755.0)</f>
        <v>755</v>
      </c>
      <c r="D402" s="1">
        <v>3.0</v>
      </c>
      <c r="E402" s="2"/>
      <c r="F402" s="2"/>
      <c r="G402" s="2"/>
      <c r="H402" s="2"/>
      <c r="I402" s="2"/>
    </row>
    <row r="403">
      <c r="A403" s="1" t="s">
        <v>269</v>
      </c>
      <c r="B403" s="1" t="str">
        <f>IFERROR(__xludf.DUMMYFUNCTION("SPLIT(A403,"";"")"),"ASSOCIATION POUR LE DEVELOPPEMENT L'INSERTION ET L'ACCOMPAGNEMENT DES PERSONNES HANDICAPEES - ADIAPH")</f>
        <v>ASSOCIATION POUR LE DEVELOPPEMENT L'INSERTION ET L'ACCOMPAGNEMENT DES PERSONNES HANDICAPEES - ADIAPH</v>
      </c>
      <c r="C403" s="1">
        <f>IFERROR(__xludf.DUMMYFUNCTION("""COMPUTED_VALUE"""),886.0)</f>
        <v>886</v>
      </c>
      <c r="D403" s="1">
        <v>0.0</v>
      </c>
      <c r="E403" s="2"/>
      <c r="F403" s="2"/>
      <c r="G403" s="2"/>
      <c r="H403" s="2"/>
      <c r="I403" s="2"/>
    </row>
    <row r="404">
      <c r="A404" s="1" t="s">
        <v>270</v>
      </c>
      <c r="B404" s="1" t="str">
        <f>IFERROR(__xludf.DUMMYFUNCTION("SPLIT(A404,"";"")"),"ASSOCIATION POUR LE DON DE SANG BENEVOLE DE BORDEAUX ET ENVIRONS")</f>
        <v>ASSOCIATION POUR LE DON DE SANG BENEVOLE DE BORDEAUX ET ENVIRONS</v>
      </c>
      <c r="C404" s="1">
        <f>IFERROR(__xludf.DUMMYFUNCTION("""COMPUTED_VALUE"""),505.0)</f>
        <v>505</v>
      </c>
      <c r="D404" s="1">
        <v>0.0</v>
      </c>
      <c r="E404" s="2"/>
      <c r="F404" s="2"/>
      <c r="G404" s="2"/>
      <c r="H404" s="2"/>
      <c r="I404" s="2"/>
    </row>
    <row r="405">
      <c r="A405" s="1" t="s">
        <v>271</v>
      </c>
      <c r="B405" s="1" t="str">
        <f>IFERROR(__xludf.DUMMYFUNCTION("SPLIT(A405,"";"")"),"ASSOCIATION POUR LE DROIT A L'INITIATIVE ECONOMIQUE - ADIE")</f>
        <v>ASSOCIATION POUR LE DROIT A L'INITIATIVE ECONOMIQUE - ADIE</v>
      </c>
      <c r="C405" s="3">
        <f>IFERROR(__xludf.DUMMYFUNCTION("""COMPUTED_VALUE"""),3570.0)</f>
        <v>3570</v>
      </c>
      <c r="D405" s="1">
        <v>66.0</v>
      </c>
      <c r="E405" s="2"/>
      <c r="F405" s="2"/>
      <c r="G405" s="2"/>
      <c r="H405" s="2"/>
      <c r="I405" s="2"/>
    </row>
    <row r="406">
      <c r="A406" s="1" t="s">
        <v>272</v>
      </c>
      <c r="B406" s="1" t="str">
        <f>IFERROR(__xludf.DUMMYFUNCTION("SPLIT(A406,"";"")"),"ASSOCIATION POUR L'ENTRAIDE CONTRE LA RECHUTE DE DEPRESSION - AERD")</f>
        <v>ASSOCIATION POUR L'ENTRAIDE CONTRE LA RECHUTE DE DEPRESSION - AERD</v>
      </c>
      <c r="C406" s="1">
        <f>IFERROR(__xludf.DUMMYFUNCTION("""COMPUTED_VALUE"""),34.0)</f>
        <v>34</v>
      </c>
      <c r="D406" s="1">
        <v>0.0</v>
      </c>
      <c r="E406" s="2"/>
      <c r="F406" s="2"/>
      <c r="G406" s="2"/>
      <c r="H406" s="2"/>
      <c r="I406" s="2"/>
    </row>
    <row r="407">
      <c r="A407" s="1" t="s">
        <v>273</v>
      </c>
      <c r="B407" s="1" t="str">
        <f>IFERROR(__xludf.DUMMYFUNCTION("SPLIT(A407,"";"")"),"ASSOCIATION POUR L'ENVIRONNEMENT ET LA SECURITE EN AQUITAINE - APESA")</f>
        <v>ASSOCIATION POUR L'ENVIRONNEMENT ET LA SECURITE EN AQUITAINE - APESA</v>
      </c>
      <c r="C407" s="1">
        <f>IFERROR(__xludf.DUMMYFUNCTION("""COMPUTED_VALUE"""),21.0)</f>
        <v>21</v>
      </c>
      <c r="D407" s="1">
        <v>0.0</v>
      </c>
      <c r="E407" s="2"/>
      <c r="F407" s="2"/>
      <c r="G407" s="2"/>
      <c r="H407" s="2"/>
      <c r="I407" s="2"/>
    </row>
    <row r="408">
      <c r="A408" s="1" t="s">
        <v>274</v>
      </c>
      <c r="B408" s="1" t="str">
        <f>IFERROR(__xludf.DUMMYFUNCTION("SPLIT(A408,"";"")"),"ASSOCIATION POUR LES FOUILLES ARCHEOLOGIQUES NATIONALES - AFAN")</f>
        <v>ASSOCIATION POUR LES FOUILLES ARCHEOLOGIQUES NATIONALES - AFAN</v>
      </c>
      <c r="C408" s="3">
        <f>IFERROR(__xludf.DUMMYFUNCTION("""COMPUTED_VALUE"""),15000.0)</f>
        <v>15000</v>
      </c>
      <c r="D408" s="1">
        <v>0.0</v>
      </c>
      <c r="E408" s="2"/>
      <c r="F408" s="2"/>
      <c r="G408" s="2"/>
      <c r="H408" s="2"/>
      <c r="I408" s="2"/>
    </row>
    <row r="409">
      <c r="A409" s="1" t="s">
        <v>275</v>
      </c>
      <c r="B409" s="1" t="str">
        <f>IFERROR(__xludf.DUMMYFUNCTION("SPLIT(A409,"";"")"),"ASSOCIATION POUR L'UNIFICATION DU DROIT DES AFFAIRES EN EUROPE (AUDE)")</f>
        <v>ASSOCIATION POUR L'UNIFICATION DU DROIT DES AFFAIRES EN EUROPE (AUDE)</v>
      </c>
      <c r="C409" s="1">
        <f>IFERROR(__xludf.DUMMYFUNCTION("""COMPUTED_VALUE"""),944.0)</f>
        <v>944</v>
      </c>
      <c r="D409" s="1">
        <v>0.0</v>
      </c>
      <c r="E409" s="2"/>
      <c r="F409" s="2"/>
      <c r="G409" s="2"/>
      <c r="H409" s="2"/>
      <c r="I409" s="2"/>
    </row>
    <row r="410">
      <c r="A410" s="1" t="s">
        <v>276</v>
      </c>
      <c r="B410" s="1" t="str">
        <f>IFERROR(__xludf.DUMMYFUNCTION("SPLIT(A410,"";"")"),"ASSOCIATION PRENDRE SOIN DU LIEN - APSL")</f>
        <v>ASSOCIATION PRENDRE SOIN DU LIEN - APSL</v>
      </c>
      <c r="C410" s="1">
        <f>IFERROR(__xludf.DUMMYFUNCTION("""COMPUTED_VALUE"""),908.0)</f>
        <v>908</v>
      </c>
      <c r="D410" s="1">
        <v>58.0</v>
      </c>
      <c r="E410" s="2"/>
      <c r="F410" s="2"/>
      <c r="G410" s="2"/>
      <c r="H410" s="2"/>
      <c r="I410" s="2"/>
    </row>
    <row r="411">
      <c r="A411" s="1" t="s">
        <v>277</v>
      </c>
      <c r="B411" s="1" t="str">
        <f>IFERROR(__xludf.DUMMYFUNCTION("SPLIT(A411,"";"")"),"ASSOCIATION PROMOTION INSERTION SPORT EN AQUITAINE - APIS")</f>
        <v>ASSOCIATION PROMOTION INSERTION SPORT EN AQUITAINE - APIS</v>
      </c>
      <c r="C411" s="3">
        <f>IFERROR(__xludf.DUMMYFUNCTION("""COMPUTED_VALUE"""),28224.0)</f>
        <v>28224</v>
      </c>
      <c r="D411" s="1">
        <v>99.0</v>
      </c>
      <c r="E411" s="2"/>
      <c r="F411" s="2"/>
      <c r="G411" s="2"/>
      <c r="H411" s="2"/>
      <c r="I411" s="2"/>
    </row>
    <row r="412">
      <c r="A412" s="1" t="s">
        <v>278</v>
      </c>
      <c r="B412" s="1" t="str">
        <f>IFERROR(__xludf.DUMMYFUNCTION("SPLIT(A412,"";"")"),"ASSOCIATION PSYCHANALYTIQUE DES THERAPEUTES FAMILIAUX D'AQUITAINE - APSYFA")</f>
        <v>ASSOCIATION PSYCHANALYTIQUE DES THERAPEUTES FAMILIAUX D'AQUITAINE - APSYFA</v>
      </c>
      <c r="C412" s="1">
        <f>IFERROR(__xludf.DUMMYFUNCTION("""COMPUTED_VALUE"""),368.0)</f>
        <v>368</v>
      </c>
      <c r="D412" s="1">
        <v>0.0</v>
      </c>
      <c r="E412" s="2"/>
      <c r="F412" s="2"/>
      <c r="G412" s="2"/>
      <c r="H412" s="2"/>
      <c r="I412" s="2"/>
    </row>
    <row r="413">
      <c r="A413" s="1" t="s">
        <v>279</v>
      </c>
      <c r="B413" s="1" t="str">
        <f>IFERROR(__xludf.DUMMYFUNCTION("SPLIT(A413,"";"")"),"ASSOCIATION REGIONALE DES DIPLOMES D'UNIVERSITE D'AQUITAINE - ARDUA")</f>
        <v>ASSOCIATION REGIONALE DES DIPLOMES D'UNIVERSITE D'AQUITAINE - ARDUA</v>
      </c>
      <c r="C413" s="1">
        <f>IFERROR(__xludf.DUMMYFUNCTION("""COMPUTED_VALUE"""),80.0)</f>
        <v>80</v>
      </c>
      <c r="D413" s="1">
        <v>0.0</v>
      </c>
      <c r="E413" s="2"/>
      <c r="F413" s="2"/>
      <c r="G413" s="2"/>
      <c r="H413" s="2"/>
      <c r="I413" s="2"/>
    </row>
    <row r="414">
      <c r="A414" s="1" t="s">
        <v>280</v>
      </c>
      <c r="B414" s="1" t="str">
        <f>IFERROR(__xludf.DUMMYFUNCTION("SPLIT(A414,"";"")"),"ASSOCIATION RENAISSANCE DES CITES D'EUROPE")</f>
        <v>ASSOCIATION RENAISSANCE DES CITES D'EUROPE</v>
      </c>
      <c r="C414" s="1">
        <f>IFERROR(__xludf.DUMMYFUNCTION("""COMPUTED_VALUE"""),234.0)</f>
        <v>234</v>
      </c>
      <c r="D414" s="1">
        <v>0.0</v>
      </c>
      <c r="E414" s="2"/>
      <c r="F414" s="2"/>
      <c r="G414" s="2"/>
      <c r="H414" s="2"/>
      <c r="I414" s="2"/>
    </row>
    <row r="415">
      <c r="A415" s="1" t="s">
        <v>281</v>
      </c>
      <c r="B415" s="1" t="str">
        <f>IFERROR(__xludf.DUMMYFUNCTION("SPLIT(A415,"";"")"),"ASSOCIATION RENOVATION")</f>
        <v>ASSOCIATION RENOVATION</v>
      </c>
      <c r="C415" s="3">
        <f>IFERROR(__xludf.DUMMYFUNCTION("""COMPUTED_VALUE"""),5110.0)</f>
        <v>5110</v>
      </c>
      <c r="D415" s="1">
        <v>0.0</v>
      </c>
      <c r="E415" s="2"/>
      <c r="F415" s="2"/>
      <c r="G415" s="2"/>
      <c r="H415" s="2"/>
      <c r="I415" s="2"/>
    </row>
    <row r="416">
      <c r="A416" s="1" t="s">
        <v>282</v>
      </c>
      <c r="B416" s="1" t="str">
        <f>IFERROR(__xludf.DUMMYFUNCTION("SPLIT(A416,"";"")"),"ASSOCIATION REPUBLICAINE DES ANCIENS COMBATTANTS ET VICTIMES DE LA GUERRE - ARAC")</f>
        <v>ASSOCIATION REPUBLICAINE DES ANCIENS COMBATTANTS ET VICTIMES DE LA GUERRE - ARAC</v>
      </c>
      <c r="C416" s="3">
        <f>IFERROR(__xludf.DUMMYFUNCTION("""COMPUTED_VALUE"""),5067.0)</f>
        <v>5067</v>
      </c>
      <c r="D416" s="1">
        <v>5.0</v>
      </c>
      <c r="E416" s="2"/>
      <c r="F416" s="2"/>
      <c r="G416" s="2"/>
      <c r="H416" s="2"/>
      <c r="I416" s="2"/>
    </row>
    <row r="417">
      <c r="A417" s="1" t="s">
        <v>283</v>
      </c>
      <c r="B417" s="1" t="str">
        <f>IFERROR(__xludf.DUMMYFUNCTION("SPLIT(A417,"";"")"),"ASSOCIATION RUN FEMINA TOUR")</f>
        <v>ASSOCIATION RUN FEMINA TOUR</v>
      </c>
      <c r="C417" s="3">
        <f>IFERROR(__xludf.DUMMYFUNCTION("""COMPUTED_VALUE"""),1290.0)</f>
        <v>1290</v>
      </c>
      <c r="D417" s="1">
        <v>48.0</v>
      </c>
      <c r="E417" s="2"/>
      <c r="F417" s="2"/>
      <c r="G417" s="2"/>
      <c r="H417" s="2"/>
      <c r="I417" s="2"/>
    </row>
    <row r="418">
      <c r="A418" s="1" t="s">
        <v>284</v>
      </c>
      <c r="B418" s="1" t="str">
        <f>IFERROR(__xludf.DUMMYFUNCTION("SPLIT(A418,"";"")"),"ASSOCIATION SOCIALE POUR L'EMPLOI - ASPE")</f>
        <v>ASSOCIATION SOCIALE POUR L'EMPLOI - ASPE</v>
      </c>
      <c r="C418" s="3">
        <f>IFERROR(__xludf.DUMMYFUNCTION("""COMPUTED_VALUE"""),8800.0)</f>
        <v>8800</v>
      </c>
      <c r="D418" s="1">
        <v>0.0</v>
      </c>
      <c r="E418" s="2"/>
      <c r="F418" s="2"/>
      <c r="G418" s="2"/>
      <c r="H418" s="2"/>
      <c r="I418" s="2"/>
    </row>
    <row r="419">
      <c r="A419" s="1" t="s">
        <v>285</v>
      </c>
      <c r="B419" s="1" t="str">
        <f>IFERROR(__xludf.DUMMYFUNCTION("SPLIT(A419,"";"")"),"ASSOCIATION SOCIO CULTURELLE DE L'ECOLE DE REEDUCATION PROFESSIONNELLE - ASCERP")</f>
        <v>ASSOCIATION SOCIO CULTURELLE DE L'ECOLE DE REEDUCATION PROFESSIONNELLE - ASCERP</v>
      </c>
      <c r="C419" s="1">
        <f>IFERROR(__xludf.DUMMYFUNCTION("""COMPUTED_VALUE"""),84.0)</f>
        <v>84</v>
      </c>
      <c r="D419" s="1">
        <v>0.0</v>
      </c>
      <c r="E419" s="2"/>
      <c r="F419" s="2"/>
      <c r="G419" s="2"/>
      <c r="H419" s="2"/>
      <c r="I419" s="2"/>
    </row>
    <row r="420">
      <c r="A420" s="1" t="s">
        <v>286</v>
      </c>
      <c r="B420" s="1" t="str">
        <f>IFERROR(__xludf.DUMMYFUNCTION("SPLIT(A420,"";"")"),"ASSOCIATION SOCIO CULTURELLE LE TAYTA")</f>
        <v>ASSOCIATION SOCIO CULTURELLE LE TAYTA</v>
      </c>
      <c r="C420" s="1">
        <f>IFERROR(__xludf.DUMMYFUNCTION("""COMPUTED_VALUE"""),265.0)</f>
        <v>265</v>
      </c>
      <c r="D420" s="1">
        <v>0.0</v>
      </c>
      <c r="E420" s="2"/>
      <c r="F420" s="2"/>
      <c r="G420" s="2"/>
      <c r="H420" s="2"/>
      <c r="I420" s="2"/>
    </row>
    <row r="421">
      <c r="A421" s="1" t="s">
        <v>287</v>
      </c>
      <c r="B421" s="1" t="str">
        <f>IFERROR(__xludf.DUMMYFUNCTION("SPLIT(A421,"";"")"),"ASSOCIATION SOLIDARTE EMPLOI (ASE) - ADELPHE")</f>
        <v>ASSOCIATION SOLIDARTE EMPLOI (ASE) - ADELPHE</v>
      </c>
      <c r="C421" s="1">
        <f>IFERROR(__xludf.DUMMYFUNCTION("""COMPUTED_VALUE"""),244.0)</f>
        <v>244</v>
      </c>
      <c r="D421" s="1">
        <v>0.0</v>
      </c>
      <c r="E421" s="2"/>
      <c r="F421" s="2"/>
      <c r="G421" s="2"/>
      <c r="H421" s="2"/>
      <c r="I421" s="2"/>
    </row>
    <row r="422">
      <c r="A422" s="1" t="s">
        <v>288</v>
      </c>
      <c r="B422" s="1" t="str">
        <f>IFERROR(__xludf.DUMMYFUNCTION("SPLIT(A422,"";"")"),"ASSOCIATION SPORTIVE BANQUE POPULAIRE DU SUD-OUEST")</f>
        <v>ASSOCIATION SPORTIVE BANQUE POPULAIRE DU SUD-OUEST</v>
      </c>
      <c r="C422" s="1">
        <f>IFERROR(__xludf.DUMMYFUNCTION("""COMPUTED_VALUE"""),935.0)</f>
        <v>935</v>
      </c>
      <c r="D422" s="1">
        <v>0.0</v>
      </c>
      <c r="E422" s="2"/>
      <c r="F422" s="2"/>
      <c r="G422" s="2"/>
      <c r="H422" s="2"/>
      <c r="I422" s="2"/>
    </row>
    <row r="423">
      <c r="A423" s="1" t="s">
        <v>289</v>
      </c>
      <c r="B423" s="1" t="str">
        <f>IFERROR(__xludf.DUMMYFUNCTION("SPLIT(A423,"";"")"),"ASSOCIATION SPORTIVE COLBERT ASC")</f>
        <v>ASSOCIATION SPORTIVE COLBERT ASC</v>
      </c>
      <c r="C423" s="1">
        <f>IFERROR(__xludf.DUMMYFUNCTION("""COMPUTED_VALUE"""),88.0)</f>
        <v>88</v>
      </c>
      <c r="D423" s="1">
        <v>0.0</v>
      </c>
      <c r="E423" s="2"/>
      <c r="F423" s="2"/>
      <c r="G423" s="2"/>
      <c r="H423" s="2"/>
      <c r="I423" s="2"/>
    </row>
    <row r="424">
      <c r="A424" s="1" t="s">
        <v>290</v>
      </c>
      <c r="B424" s="1" t="str">
        <f>IFERROR(__xludf.DUMMYFUNCTION("SPLIT(A424,"";"")"),"ASSOCIATION SPORTIVE DE LA POLICE JUDICIAIRE DE BORDEAUX")</f>
        <v>ASSOCIATION SPORTIVE DE LA POLICE JUDICIAIRE DE BORDEAUX</v>
      </c>
      <c r="C424" s="3">
        <f>IFERROR(__xludf.DUMMYFUNCTION("""COMPUTED_VALUE"""),1284.0)</f>
        <v>1284</v>
      </c>
      <c r="D424" s="1">
        <v>75.0</v>
      </c>
      <c r="E424" s="2"/>
      <c r="F424" s="2"/>
      <c r="G424" s="2"/>
      <c r="H424" s="2"/>
      <c r="I424" s="2"/>
    </row>
    <row r="425">
      <c r="A425" s="1" t="s">
        <v>291</v>
      </c>
      <c r="B425" s="1" t="str">
        <f>IFERROR(__xludf.DUMMYFUNCTION("SPLIT(A425,"";"")"),"ASSOCIATION SPORTIVE DES ANCIENS ET AMIS DE L'ECOLE NORMALE D'INSTITUTEURS (ASAAENI)")</f>
        <v>ASSOCIATION SPORTIVE DES ANCIENS ET AMIS DE L'ECOLE NORMALE D'INSTITUTEURS (ASAAENI)</v>
      </c>
      <c r="C425" s="1">
        <f>IFERROR(__xludf.DUMMYFUNCTION("""COMPUTED_VALUE"""),429.0)</f>
        <v>429</v>
      </c>
      <c r="D425" s="1">
        <v>0.0</v>
      </c>
      <c r="E425" s="2"/>
      <c r="F425" s="2"/>
      <c r="G425" s="2"/>
      <c r="H425" s="2"/>
      <c r="I425" s="2"/>
    </row>
    <row r="426">
      <c r="A426" s="1" t="s">
        <v>292</v>
      </c>
      <c r="B426" s="1" t="str">
        <f>IFERROR(__xludf.DUMMYFUNCTION("SPLIT(A426,"";"")"),"ASSOCIATION SPORTIVE DES SOURDS DE BORDEAUX - ASSB 33")</f>
        <v>ASSOCIATION SPORTIVE DES SOURDS DE BORDEAUX - ASSB 33</v>
      </c>
      <c r="C426" s="3">
        <f>IFERROR(__xludf.DUMMYFUNCTION("""COMPUTED_VALUE"""),1863.0)</f>
        <v>1863</v>
      </c>
      <c r="D426" s="1">
        <v>0.0</v>
      </c>
      <c r="E426" s="2"/>
      <c r="F426" s="2"/>
      <c r="G426" s="2"/>
      <c r="H426" s="2"/>
      <c r="I426" s="2"/>
    </row>
    <row r="427">
      <c r="A427" s="1" t="s">
        <v>293</v>
      </c>
      <c r="B427" s="1" t="str">
        <f>IFERROR(__xludf.DUMMYFUNCTION("SPLIT(A427,"";"")"),"ASSOCIATION SPORTIVE DU BARREAU DE BORDEAUX")</f>
        <v>ASSOCIATION SPORTIVE DU BARREAU DE BORDEAUX</v>
      </c>
      <c r="C427" s="3">
        <f>IFERROR(__xludf.DUMMYFUNCTION("""COMPUTED_VALUE"""),2558.0)</f>
        <v>2558</v>
      </c>
      <c r="D427" s="1">
        <v>30.0</v>
      </c>
      <c r="E427" s="2"/>
      <c r="F427" s="2"/>
      <c r="G427" s="2"/>
      <c r="H427" s="2"/>
      <c r="I427" s="2"/>
    </row>
    <row r="428">
      <c r="A428" s="1" t="s">
        <v>294</v>
      </c>
      <c r="B428" s="1" t="str">
        <f>IFERROR(__xludf.DUMMYFUNCTION("SPLIT(A428,"";"")"),"ASSOCIATION SPORTIVE DU GOLF DE BORDEAUX LAC")</f>
        <v>ASSOCIATION SPORTIVE DU GOLF DE BORDEAUX LAC</v>
      </c>
      <c r="C428" s="3">
        <f>IFERROR(__xludf.DUMMYFUNCTION("""COMPUTED_VALUE"""),1465.0)</f>
        <v>1465</v>
      </c>
      <c r="D428" s="1">
        <v>39.0</v>
      </c>
      <c r="E428" s="2"/>
      <c r="F428" s="2"/>
      <c r="G428" s="2"/>
      <c r="H428" s="2"/>
      <c r="I428" s="2"/>
    </row>
    <row r="429">
      <c r="A429" s="1" t="s">
        <v>295</v>
      </c>
      <c r="B429" s="1" t="str">
        <f>IFERROR(__xludf.DUMMYFUNCTION("SPLIT(A429,"";"")"),"ASSOCIATION SPORTIVE ET CULTURELLE DE MAYOTTE")</f>
        <v>ASSOCIATION SPORTIVE ET CULTURELLE DE MAYOTTE</v>
      </c>
      <c r="C429" s="3">
        <f>IFERROR(__xludf.DUMMYFUNCTION("""COMPUTED_VALUE"""),3769.0)</f>
        <v>3769</v>
      </c>
      <c r="D429" s="1">
        <v>50.0</v>
      </c>
      <c r="E429" s="2"/>
      <c r="F429" s="2"/>
      <c r="G429" s="2"/>
      <c r="H429" s="2"/>
      <c r="I429" s="2"/>
    </row>
    <row r="430">
      <c r="A430" s="1" t="s">
        <v>296</v>
      </c>
      <c r="B430" s="1" t="str">
        <f>IFERROR(__xludf.DUMMYFUNCTION("SPLIT(A430,"";"")"),"ASSOCIATION SPORTIVE FC PORTO DE BORDEAUX")</f>
        <v>ASSOCIATION SPORTIVE FC PORTO DE BORDEAUX</v>
      </c>
      <c r="C430" s="3">
        <f>IFERROR(__xludf.DUMMYFUNCTION("""COMPUTED_VALUE"""),2048.0)</f>
        <v>2048</v>
      </c>
      <c r="D430" s="1">
        <v>0.0</v>
      </c>
      <c r="E430" s="2"/>
      <c r="F430" s="2"/>
      <c r="G430" s="2"/>
      <c r="H430" s="2"/>
      <c r="I430" s="2"/>
    </row>
    <row r="431">
      <c r="A431" s="1" t="s">
        <v>297</v>
      </c>
      <c r="B431" s="1" t="str">
        <f>IFERROR(__xludf.DUMMYFUNCTION("SPLIT(A431,"";"")"),"ASSOCIATION SPORTIVE KASHIRA AIKIDO")</f>
        <v>ASSOCIATION SPORTIVE KASHIRA AIKIDO</v>
      </c>
      <c r="C431" s="3">
        <f>IFERROR(__xludf.DUMMYFUNCTION("""COMPUTED_VALUE"""),2781.0)</f>
        <v>2781</v>
      </c>
      <c r="D431" s="1">
        <v>0.0</v>
      </c>
      <c r="E431" s="2"/>
      <c r="F431" s="2"/>
      <c r="G431" s="2"/>
      <c r="H431" s="2"/>
      <c r="I431" s="2"/>
    </row>
    <row r="432">
      <c r="A432" s="1" t="s">
        <v>298</v>
      </c>
      <c r="B432" s="1" t="str">
        <f>IFERROR(__xludf.DUMMYFUNCTION("SPLIT(A432,"";"")"),"ASSOCIATION SPORTIVE KUNG-FU WUSHU DE BACALAN")</f>
        <v>ASSOCIATION SPORTIVE KUNG-FU WUSHU DE BACALAN</v>
      </c>
      <c r="C432" s="3">
        <f>IFERROR(__xludf.DUMMYFUNCTION("""COMPUTED_VALUE"""),3829.0)</f>
        <v>3829</v>
      </c>
      <c r="D432" s="1">
        <v>62.0</v>
      </c>
      <c r="E432" s="2"/>
      <c r="F432" s="2"/>
      <c r="G432" s="2"/>
      <c r="H432" s="2"/>
      <c r="I432" s="2"/>
    </row>
    <row r="433">
      <c r="A433" s="1" t="s">
        <v>299</v>
      </c>
      <c r="B433" s="1" t="str">
        <f>IFERROR(__xludf.DUMMYFUNCTION("SPLIT(A433,"";"")"),"ASSOCIATION SPORTIVE LOVENTA AUTOMATIQUE")</f>
        <v>ASSOCIATION SPORTIVE LOVENTA AUTOMATIQUE</v>
      </c>
      <c r="C433" s="1">
        <f>IFERROR(__xludf.DUMMYFUNCTION("""COMPUTED_VALUE"""),330.0)</f>
        <v>330</v>
      </c>
      <c r="D433" s="1">
        <v>0.0</v>
      </c>
      <c r="E433" s="2"/>
      <c r="F433" s="2"/>
      <c r="G433" s="2"/>
      <c r="H433" s="2"/>
      <c r="I433" s="2"/>
    </row>
    <row r="434">
      <c r="A434" s="1" t="s">
        <v>300</v>
      </c>
      <c r="B434" s="1" t="str">
        <f>IFERROR(__xludf.DUMMYFUNCTION("SPLIT(A434,"";"")"),"ASSOCIATION SPORTIVE SALINIERES")</f>
        <v>ASSOCIATION SPORTIVE SALINIERES</v>
      </c>
      <c r="C434" s="1">
        <f>IFERROR(__xludf.DUMMYFUNCTION("""COMPUTED_VALUE"""),709.0)</f>
        <v>709</v>
      </c>
      <c r="D434" s="1">
        <v>50.0</v>
      </c>
      <c r="E434" s="2"/>
      <c r="F434" s="2"/>
      <c r="G434" s="2"/>
      <c r="H434" s="2"/>
      <c r="I434" s="2"/>
    </row>
    <row r="435">
      <c r="A435" s="1" t="s">
        <v>301</v>
      </c>
      <c r="B435" s="1" t="str">
        <f>IFERROR(__xludf.DUMMYFUNCTION("SPLIT(A435,"";"")"),"ASSOCIATION TERRITOIRES ET INNOVATION SOCIALE (ATIS)")</f>
        <v>ASSOCIATION TERRITOIRES ET INNOVATION SOCIALE (ATIS)</v>
      </c>
      <c r="C435" s="3">
        <f>IFERROR(__xludf.DUMMYFUNCTION("""COMPUTED_VALUE"""),3552.0)</f>
        <v>3552</v>
      </c>
      <c r="D435" s="1">
        <v>0.0</v>
      </c>
      <c r="E435" s="2"/>
      <c r="F435" s="2"/>
      <c r="G435" s="2"/>
      <c r="H435" s="2"/>
      <c r="I435" s="2"/>
    </row>
    <row r="436">
      <c r="A436" s="1" t="s">
        <v>302</v>
      </c>
      <c r="B436" s="1" t="str">
        <f>IFERROR(__xludf.DUMMYFUNCTION("SPLIT(A436,"";"")"),"ASSOCIATION THEATR'ACTIF")</f>
        <v>ASSOCIATION THEATR'ACTIF</v>
      </c>
      <c r="C436" s="1">
        <f>IFERROR(__xludf.DUMMYFUNCTION("""COMPUTED_VALUE"""),748.0)</f>
        <v>748</v>
      </c>
      <c r="D436" s="1">
        <v>0.0</v>
      </c>
      <c r="E436" s="2"/>
      <c r="F436" s="2"/>
      <c r="G436" s="2"/>
      <c r="H436" s="2"/>
      <c r="I436" s="2"/>
    </row>
    <row r="437">
      <c r="A437" s="1" t="s">
        <v>303</v>
      </c>
      <c r="B437" s="1" t="str">
        <f>IFERROR(__xludf.DUMMYFUNCTION("SPLIT(A437,"";"")"),"ASSOCIATION UNION BORDEAUX BEGLES")</f>
        <v>ASSOCIATION UNION BORDEAUX BEGLES</v>
      </c>
      <c r="C437" s="1">
        <f>IFERROR(__xludf.DUMMYFUNCTION("""COMPUTED_VALUE"""),960.0)</f>
        <v>960</v>
      </c>
      <c r="D437" s="1">
        <v>96.0</v>
      </c>
      <c r="E437" s="2"/>
      <c r="F437" s="2"/>
      <c r="G437" s="2"/>
      <c r="H437" s="2"/>
      <c r="I437" s="2"/>
    </row>
    <row r="438">
      <c r="A438" s="1" t="s">
        <v>304</v>
      </c>
      <c r="B438" s="1" t="str">
        <f>IFERROR(__xludf.DUMMYFUNCTION("SPLIT(A438,"";"")"),"ASSOCIATION UNION NATIONALE DES COMBATTANTS DE BORDEAUX-CENTRE")</f>
        <v>ASSOCIATION UNION NATIONALE DES COMBATTANTS DE BORDEAUX-CENTRE</v>
      </c>
      <c r="C438" s="3">
        <f>IFERROR(__xludf.DUMMYFUNCTION("""COMPUTED_VALUE"""),1211.0)</f>
        <v>1211</v>
      </c>
      <c r="D438" s="1">
        <v>57.0</v>
      </c>
      <c r="E438" s="2"/>
      <c r="F438" s="2"/>
      <c r="G438" s="2"/>
      <c r="H438" s="2"/>
      <c r="I438" s="2"/>
    </row>
    <row r="439">
      <c r="A439" s="1" t="s">
        <v>305</v>
      </c>
      <c r="B439" s="1" t="str">
        <f>IFERROR(__xludf.DUMMYFUNCTION("SPLIT(A439,"";"")"),"ASSOCIATION VENEZUELA A BORDEAUX")</f>
        <v>ASSOCIATION VENEZUELA A BORDEAUX</v>
      </c>
      <c r="C439" s="1">
        <f>IFERROR(__xludf.DUMMYFUNCTION("""COMPUTED_VALUE"""),34.0)</f>
        <v>34</v>
      </c>
      <c r="D439" s="1">
        <v>0.0</v>
      </c>
      <c r="E439" s="2"/>
      <c r="F439" s="2"/>
      <c r="G439" s="2"/>
      <c r="H439" s="2"/>
      <c r="I439" s="2"/>
    </row>
    <row r="440">
      <c r="A440" s="1" t="s">
        <v>306</v>
      </c>
      <c r="B440" s="1" t="str">
        <f>IFERROR(__xludf.DUMMYFUNCTION("SPLIT(A440,"";"")"),"ASSOENCORE")</f>
        <v>ASSOENCORE</v>
      </c>
      <c r="C440" s="3">
        <f>IFERROR(__xludf.DUMMYFUNCTION("""COMPUTED_VALUE"""),2143.0)</f>
        <v>2143</v>
      </c>
      <c r="D440" s="1">
        <v>34.0</v>
      </c>
      <c r="E440" s="2"/>
      <c r="F440" s="2"/>
      <c r="G440" s="2"/>
      <c r="H440" s="2"/>
      <c r="I440" s="2"/>
    </row>
    <row r="441">
      <c r="A441" s="1" t="s">
        <v>307</v>
      </c>
      <c r="B441" s="1" t="str">
        <f>IFERROR(__xludf.DUMMYFUNCTION("SPLIT(A441,"";"")"),"ASSOPOURQUOIPAS33")</f>
        <v>ASSOPOURQUOIPAS33</v>
      </c>
      <c r="C441" s="3">
        <f>IFERROR(__xludf.DUMMYFUNCTION("""COMPUTED_VALUE"""),24699.0)</f>
        <v>24699</v>
      </c>
      <c r="D441" s="1">
        <v>68.0</v>
      </c>
      <c r="E441" s="2"/>
      <c r="F441" s="2"/>
      <c r="G441" s="2"/>
      <c r="H441" s="2"/>
      <c r="I441" s="2"/>
    </row>
    <row r="442">
      <c r="A442" s="1" t="s">
        <v>308</v>
      </c>
      <c r="B442" s="1" t="str">
        <f>IFERROR(__xludf.DUMMYFUNCTION("SPLIT(A442,"";"")"),"ASTROLABE")</f>
        <v>ASTROLABE</v>
      </c>
      <c r="C442" s="3">
        <f>IFERROR(__xludf.DUMMYFUNCTION("""COMPUTED_VALUE"""),19221.0)</f>
        <v>19221</v>
      </c>
      <c r="D442" s="1">
        <v>78.0</v>
      </c>
      <c r="E442" s="2"/>
      <c r="F442" s="2"/>
      <c r="G442" s="2"/>
      <c r="H442" s="2"/>
      <c r="I442" s="2"/>
    </row>
    <row r="443">
      <c r="A443" s="1" t="s">
        <v>309</v>
      </c>
      <c r="B443" s="1" t="str">
        <f>IFERROR(__xludf.DUMMYFUNCTION("SPLIT(A443,"";"")"),"ATELIER 14 CENTRE DE PRATIQUES ARTISTIQUES ET DE RECHERCHES CHOREGRAPHIQUES - CIE ISABELLE CHEVEAU - VINCENT")</f>
        <v>ATELIER 14 CENTRE DE PRATIQUES ARTISTIQUES ET DE RECHERCHES CHOREGRAPHIQUES - CIE ISABELLE CHEVEAU - VINCENT</v>
      </c>
      <c r="C443" s="2"/>
      <c r="D443" s="2"/>
      <c r="E443" s="2"/>
      <c r="F443" s="2"/>
      <c r="G443" s="2"/>
      <c r="H443" s="2"/>
      <c r="I443" s="2"/>
    </row>
    <row r="444">
      <c r="A444" s="1" t="s">
        <v>310</v>
      </c>
      <c r="B444" s="1">
        <f>IFERROR(__xludf.DUMMYFUNCTION("SPLIT(A444,"";"")"),567.0)</f>
        <v>567</v>
      </c>
      <c r="C444" s="1"/>
      <c r="D444" s="1">
        <v>12.0</v>
      </c>
      <c r="E444" s="2"/>
      <c r="F444" s="2"/>
      <c r="G444" s="2"/>
      <c r="H444" s="2"/>
      <c r="I444" s="2"/>
    </row>
    <row r="445">
      <c r="A445" s="1" t="s">
        <v>311</v>
      </c>
      <c r="B445" s="1" t="str">
        <f>IFERROR(__xludf.DUMMYFUNCTION("SPLIT(A445,"";"")"),"HARISDO")</f>
        <v>HARISDO</v>
      </c>
      <c r="C445" s="2"/>
      <c r="D445" s="2"/>
      <c r="E445" s="2"/>
      <c r="F445" s="2"/>
      <c r="G445" s="2"/>
      <c r="H445" s="2"/>
      <c r="I445" s="2"/>
    </row>
    <row r="446">
      <c r="A446" s="1" t="s">
        <v>312</v>
      </c>
      <c r="B446" s="1" t="str">
        <f>IFERROR(__xludf.DUMMYFUNCTION("SPLIT(A446,"";"")"),"ATELIER D’ASTROLOGIE D’AQUITAINE")</f>
        <v>ATELIER D’ASTROLOGIE D’AQUITAINE</v>
      </c>
      <c r="C446" s="3">
        <f>IFERROR(__xludf.DUMMYFUNCTION("""COMPUTED_VALUE"""),1015.0)</f>
        <v>1015</v>
      </c>
      <c r="D446" s="1">
        <v>0.0</v>
      </c>
      <c r="E446" s="2"/>
      <c r="F446" s="2"/>
      <c r="G446" s="2"/>
      <c r="H446" s="2"/>
      <c r="I446" s="2"/>
    </row>
    <row r="447">
      <c r="A447" s="1" t="s">
        <v>313</v>
      </c>
      <c r="B447" s="1" t="str">
        <f>IFERROR(__xludf.DUMMYFUNCTION("SPLIT(A447,"";"")"),"ATELIER D'ECO SOLIDAIRE")</f>
        <v>ATELIER D'ECO SOLIDAIRE</v>
      </c>
      <c r="C447" s="3">
        <f>IFERROR(__xludf.DUMMYFUNCTION("""COMPUTED_VALUE"""),1036.0)</f>
        <v>1036</v>
      </c>
      <c r="D447" s="1">
        <v>82.0</v>
      </c>
      <c r="E447" s="2"/>
      <c r="F447" s="2"/>
      <c r="G447" s="2"/>
      <c r="H447" s="2"/>
      <c r="I447" s="2"/>
    </row>
    <row r="448">
      <c r="A448" s="1" t="s">
        <v>314</v>
      </c>
      <c r="B448" s="1" t="str">
        <f>IFERROR(__xludf.DUMMYFUNCTION("SPLIT(A448,"";"")"),"ATELIER GRAPHITE")</f>
        <v>ATELIER GRAPHITE</v>
      </c>
      <c r="C448" s="3">
        <f>IFERROR(__xludf.DUMMYFUNCTION("""COMPUTED_VALUE"""),1020.0)</f>
        <v>1020</v>
      </c>
      <c r="D448" s="1">
        <v>0.0</v>
      </c>
      <c r="E448" s="2"/>
      <c r="F448" s="2"/>
      <c r="G448" s="2"/>
      <c r="H448" s="2"/>
      <c r="I448" s="2"/>
    </row>
    <row r="449">
      <c r="A449" s="1" t="s">
        <v>315</v>
      </c>
      <c r="B449" s="1" t="str">
        <f>IFERROR(__xludf.DUMMYFUNCTION("SPLIT(A449,"";"")"),"ATELIER VOCAL D'AQUITAINE")</f>
        <v>ATELIER VOCAL D'AQUITAINE</v>
      </c>
      <c r="C449" s="1">
        <f>IFERROR(__xludf.DUMMYFUNCTION("""COMPUTED_VALUE"""),265.0)</f>
        <v>265</v>
      </c>
      <c r="D449" s="1">
        <v>0.0</v>
      </c>
      <c r="E449" s="2"/>
      <c r="F449" s="2"/>
      <c r="G449" s="2"/>
      <c r="H449" s="2"/>
      <c r="I449" s="2"/>
    </row>
    <row r="450">
      <c r="A450" s="1" t="s">
        <v>316</v>
      </c>
      <c r="B450" s="1" t="str">
        <f>IFERROR(__xludf.DUMMYFUNCTION("SPLIT(A450,"";"")"),"ATELIERS LIBRES D'AQUITAINE")</f>
        <v>ATELIERS LIBRES D'AQUITAINE</v>
      </c>
      <c r="C450" s="3">
        <f>IFERROR(__xludf.DUMMYFUNCTION("""COMPUTED_VALUE"""),12900.0)</f>
        <v>12900</v>
      </c>
      <c r="D450" s="1">
        <v>0.0</v>
      </c>
      <c r="E450" s="2"/>
      <c r="F450" s="2"/>
      <c r="G450" s="2"/>
      <c r="H450" s="2"/>
      <c r="I450" s="2"/>
    </row>
    <row r="451">
      <c r="A451" s="1" t="s">
        <v>317</v>
      </c>
      <c r="B451" s="1" t="str">
        <f>IFERROR(__xludf.DUMMYFUNCTION("SPLIT(A451,"";"")"),"ATELIERS TLC")</f>
        <v>ATELIERS TLC</v>
      </c>
      <c r="C451" s="1">
        <f>IFERROR(__xludf.DUMMYFUNCTION("""COMPUTED_VALUE"""),265.0)</f>
        <v>265</v>
      </c>
      <c r="D451" s="1">
        <v>0.0</v>
      </c>
      <c r="E451" s="2"/>
      <c r="F451" s="2"/>
      <c r="G451" s="2"/>
      <c r="H451" s="2"/>
      <c r="I451" s="2"/>
    </row>
    <row r="452">
      <c r="A452" s="1" t="s">
        <v>318</v>
      </c>
      <c r="B452" s="1" t="str">
        <f>IFERROR(__xludf.DUMMYFUNCTION("SPLIT(A452,"";"")"),"ATLANTIC OLDTIMER.COM")</f>
        <v>ATLANTIC OLDTIMER.COM</v>
      </c>
      <c r="C452" s="3">
        <f>IFERROR(__xludf.DUMMYFUNCTION("""COMPUTED_VALUE"""),3735.0)</f>
        <v>3735</v>
      </c>
      <c r="D452" s="1">
        <v>8.0</v>
      </c>
      <c r="E452" s="2"/>
      <c r="F452" s="2"/>
      <c r="G452" s="2"/>
      <c r="H452" s="2"/>
      <c r="I452" s="2"/>
    </row>
    <row r="453">
      <c r="A453" s="1" t="s">
        <v>319</v>
      </c>
      <c r="B453" s="1" t="str">
        <f>IFERROR(__xludf.DUMMYFUNCTION("SPLIT(A453,"";"")"),"AU-DELA DES DUNES")</f>
        <v>AU-DELA DES DUNES</v>
      </c>
      <c r="C453" s="1">
        <f>IFERROR(__xludf.DUMMYFUNCTION("""COMPUTED_VALUE"""),332.0)</f>
        <v>332</v>
      </c>
      <c r="D453" s="1">
        <v>0.0</v>
      </c>
      <c r="E453" s="2"/>
      <c r="F453" s="2"/>
      <c r="G453" s="2"/>
      <c r="H453" s="2"/>
      <c r="I453" s="2"/>
    </row>
    <row r="454">
      <c r="A454" s="1" t="s">
        <v>320</v>
      </c>
      <c r="B454" s="1" t="str">
        <f>IFERROR(__xludf.DUMMYFUNCTION("SPLIT(A454,"";"")"),"AUDITION ET ECOUTE 33 - ASSOCIATION DES PERSONNES ATTEINTES DE PATHOLOGIE AUDITIVE DE LA GIRONDE")</f>
        <v>AUDITION ET ECOUTE 33 - ASSOCIATION DES PERSONNES ATTEINTES DE PATHOLOGIE AUDITIVE DE LA GIRONDE</v>
      </c>
      <c r="C454" s="1">
        <f>IFERROR(__xludf.DUMMYFUNCTION("""COMPUTED_VALUE"""),530.0)</f>
        <v>530</v>
      </c>
      <c r="D454" s="1">
        <v>0.0</v>
      </c>
      <c r="E454" s="2"/>
      <c r="F454" s="2"/>
      <c r="G454" s="2"/>
      <c r="H454" s="2"/>
      <c r="I454" s="2"/>
    </row>
    <row r="455">
      <c r="A455" s="1" t="s">
        <v>321</v>
      </c>
      <c r="B455" s="1" t="str">
        <f>IFERROR(__xludf.DUMMYFUNCTION("SPLIT(A455,"";"")"),"AUDITION SOLIDAIRE FRANCE SENEGAL")</f>
        <v>AUDITION SOLIDAIRE FRANCE SENEGAL</v>
      </c>
      <c r="C455" s="1">
        <f>IFERROR(__xludf.DUMMYFUNCTION("""COMPUTED_VALUE"""),886.0)</f>
        <v>886</v>
      </c>
      <c r="D455" s="1">
        <v>0.0</v>
      </c>
      <c r="E455" s="2"/>
      <c r="F455" s="2"/>
      <c r="G455" s="2"/>
      <c r="H455" s="2"/>
      <c r="I455" s="2"/>
    </row>
    <row r="456">
      <c r="A456" s="1" t="s">
        <v>322</v>
      </c>
      <c r="B456" s="1" t="str">
        <f>IFERROR(__xludf.DUMMYFUNCTION("SPLIT(A456,"";"")"),"AVANT GARDE ET JEANNE D'ARC DE BORDEAUX CAUDERAN - AGJA BORDEAUX CAUDERAN")</f>
        <v>AVANT GARDE ET JEANNE D'ARC DE BORDEAUX CAUDERAN - AGJA BORDEAUX CAUDERAN</v>
      </c>
      <c r="C456" s="3">
        <f>IFERROR(__xludf.DUMMYFUNCTION("""COMPUTED_VALUE"""),250746.0)</f>
        <v>250746</v>
      </c>
      <c r="D456" s="1">
        <v>14.0</v>
      </c>
      <c r="E456" s="2"/>
      <c r="F456" s="2"/>
      <c r="G456" s="2"/>
      <c r="H456" s="2"/>
      <c r="I456" s="2"/>
    </row>
    <row r="457">
      <c r="A457" s="1" t="s">
        <v>323</v>
      </c>
      <c r="B457" s="1" t="str">
        <f>IFERROR(__xludf.DUMMYFUNCTION("SPLIT(A457,"";"")"),"BACALAN TENNIS CLUB - BTC")</f>
        <v>BACALAN TENNIS CLUB - BTC</v>
      </c>
      <c r="C457" s="3">
        <f>IFERROR(__xludf.DUMMYFUNCTION("""COMPUTED_VALUE"""),5064.0)</f>
        <v>5064</v>
      </c>
      <c r="D457" s="1">
        <v>0.0</v>
      </c>
      <c r="E457" s="2"/>
      <c r="F457" s="2"/>
      <c r="G457" s="2"/>
      <c r="H457" s="2"/>
      <c r="I457" s="2"/>
    </row>
    <row r="458">
      <c r="A458" s="1" t="s">
        <v>324</v>
      </c>
      <c r="B458" s="1" t="str">
        <f>IFERROR(__xludf.DUMMYFUNCTION("SPLIT(A458,"";"")"),"BADMINTON CLUB BARBEY")</f>
        <v>BADMINTON CLUB BARBEY</v>
      </c>
      <c r="C458" s="3">
        <f>IFERROR(__xludf.DUMMYFUNCTION("""COMPUTED_VALUE"""),22277.0)</f>
        <v>22277</v>
      </c>
      <c r="D458" s="1">
        <v>86.0</v>
      </c>
      <c r="E458" s="2"/>
      <c r="F458" s="2"/>
      <c r="G458" s="2"/>
      <c r="H458" s="2"/>
      <c r="I458" s="2"/>
    </row>
    <row r="459">
      <c r="A459" s="1" t="s">
        <v>325</v>
      </c>
      <c r="B459" s="1" t="str">
        <f>IFERROR(__xludf.DUMMYFUNCTION("SPLIT(A459,"";"")"),"BANQUE ALIMENTAIRE DE BORDEAUX ET DE LA GIRONDE")</f>
        <v>BANQUE ALIMENTAIRE DE BORDEAUX ET DE LA GIRONDE</v>
      </c>
      <c r="C459" s="3">
        <f>IFERROR(__xludf.DUMMYFUNCTION("""COMPUTED_VALUE"""),17086.0)</f>
        <v>17086</v>
      </c>
      <c r="D459" s="1">
        <v>66.0</v>
      </c>
      <c r="E459" s="2"/>
      <c r="F459" s="2"/>
      <c r="G459" s="2"/>
      <c r="H459" s="2"/>
      <c r="I459" s="2"/>
    </row>
    <row r="460">
      <c r="A460" s="1" t="s">
        <v>326</v>
      </c>
      <c r="B460" s="1" t="str">
        <f>IFERROR(__xludf.DUMMYFUNCTION("SPLIT(A460,"";"")"),"BASTIDE BENAUGE FUTSAL")</f>
        <v>BASTIDE BENAUGE FUTSAL</v>
      </c>
      <c r="C460" s="3">
        <f>IFERROR(__xludf.DUMMYFUNCTION("""COMPUTED_VALUE"""),2574.0)</f>
        <v>2574</v>
      </c>
      <c r="D460" s="1">
        <v>0.0</v>
      </c>
      <c r="E460" s="2"/>
      <c r="F460" s="2"/>
      <c r="G460" s="2"/>
      <c r="H460" s="2"/>
      <c r="I460" s="2"/>
    </row>
    <row r="461">
      <c r="A461" s="1" t="s">
        <v>327</v>
      </c>
      <c r="B461" s="1" t="str">
        <f>IFERROR(__xludf.DUMMYFUNCTION("SPLIT(A461,"";"")"),"BASTIDE EN SCENES")</f>
        <v>BASTIDE EN SCENES</v>
      </c>
      <c r="C461" s="3">
        <f>IFERROR(__xludf.DUMMYFUNCTION("""COMPUTED_VALUE"""),1610.0)</f>
        <v>1610</v>
      </c>
      <c r="D461" s="1">
        <v>94.0</v>
      </c>
      <c r="E461" s="2"/>
      <c r="F461" s="2"/>
      <c r="G461" s="2"/>
      <c r="H461" s="2"/>
      <c r="I461" s="2"/>
    </row>
    <row r="462">
      <c r="A462" s="1" t="s">
        <v>328</v>
      </c>
      <c r="B462" s="1" t="str">
        <f>IFERROR(__xludf.DUMMYFUNCTION("SPLIT(A462,"";"")"),"BELLIBULLE")</f>
        <v>BELLIBULLE</v>
      </c>
      <c r="C462" s="1">
        <f>IFERROR(__xludf.DUMMYFUNCTION("""COMPUTED_VALUE"""),122.0)</f>
        <v>122</v>
      </c>
      <c r="D462" s="1">
        <v>36.0</v>
      </c>
      <c r="E462" s="2"/>
      <c r="F462" s="2"/>
      <c r="G462" s="2"/>
      <c r="H462" s="2"/>
      <c r="I462" s="2"/>
    </row>
    <row r="463">
      <c r="A463" s="1" t="s">
        <v>329</v>
      </c>
      <c r="B463" s="1" t="str">
        <f>IFERROR(__xludf.DUMMYFUNCTION("SPLIT(A463,"";"")"),"BENEVOLES EN ACTION")</f>
        <v>BENEVOLES EN ACTION</v>
      </c>
      <c r="C463" s="1">
        <f>IFERROR(__xludf.DUMMYFUNCTION("""COMPUTED_VALUE"""),24.0)</f>
        <v>24</v>
      </c>
      <c r="D463" s="1">
        <v>0.0</v>
      </c>
      <c r="E463" s="2"/>
      <c r="F463" s="2"/>
      <c r="G463" s="2"/>
      <c r="H463" s="2"/>
      <c r="I463" s="2"/>
    </row>
    <row r="464">
      <c r="A464" s="1" t="s">
        <v>330</v>
      </c>
      <c r="B464" s="1" t="str">
        <f>IFERROR(__xludf.DUMMYFUNCTION("SPLIT(A464,"";"")"),"BIBLIOTHECA")</f>
        <v>BIBLIOTHECA</v>
      </c>
      <c r="C464" s="3">
        <f>IFERROR(__xludf.DUMMYFUNCTION("""COMPUTED_VALUE"""),8280.0)</f>
        <v>8280</v>
      </c>
      <c r="D464" s="1">
        <v>0.0</v>
      </c>
      <c r="E464" s="2"/>
      <c r="F464" s="2"/>
      <c r="G464" s="2"/>
      <c r="H464" s="2"/>
      <c r="I464" s="2"/>
    </row>
    <row r="465">
      <c r="A465" s="1" t="s">
        <v>331</v>
      </c>
      <c r="B465" s="1" t="str">
        <f>IFERROR(__xludf.DUMMYFUNCTION("SPLIT(A465,"";"")"),"BIEN-ETRE &amp; BONHEUR DE VIVRE - BBV")</f>
        <v>BIEN-ETRE &amp; BONHEUR DE VIVRE - BBV</v>
      </c>
      <c r="C465" s="1">
        <f>IFERROR(__xludf.DUMMYFUNCTION("""COMPUTED_VALUE"""),942.0)</f>
        <v>942</v>
      </c>
      <c r="D465" s="1">
        <v>0.0</v>
      </c>
      <c r="E465" s="2"/>
      <c r="F465" s="2"/>
      <c r="G465" s="2"/>
      <c r="H465" s="2"/>
      <c r="I465" s="2"/>
    </row>
    <row r="466">
      <c r="A466" s="1" t="s">
        <v>332</v>
      </c>
      <c r="B466" s="1" t="str">
        <f>IFERROR(__xludf.DUMMYFUNCTION("SPLIT(A466,"";"")"),"BIO D'AQUITAINE")</f>
        <v>BIO D'AQUITAINE</v>
      </c>
      <c r="C466" s="1">
        <f>IFERROR(__xludf.DUMMYFUNCTION("""COMPUTED_VALUE"""),197.0)</f>
        <v>197</v>
      </c>
      <c r="D466" s="1">
        <v>0.0</v>
      </c>
      <c r="E466" s="2"/>
      <c r="F466" s="2"/>
      <c r="G466" s="2"/>
      <c r="H466" s="2"/>
      <c r="I466" s="2"/>
    </row>
    <row r="467">
      <c r="A467" s="1" t="s">
        <v>333</v>
      </c>
      <c r="B467" s="1" t="str">
        <f>IFERROR(__xludf.DUMMYFUNCTION("SPLIT(A467,"";"")"),"BIO'GUSTIN")</f>
        <v>BIO'GUSTIN</v>
      </c>
      <c r="C467" s="3">
        <f>IFERROR(__xludf.DUMMYFUNCTION("""COMPUTED_VALUE"""),5772.0)</f>
        <v>5772</v>
      </c>
      <c r="D467" s="1">
        <v>0.0</v>
      </c>
      <c r="E467" s="2"/>
      <c r="F467" s="2"/>
      <c r="G467" s="2"/>
      <c r="H467" s="2"/>
      <c r="I467" s="2"/>
    </row>
    <row r="468">
      <c r="A468" s="1" t="s">
        <v>334</v>
      </c>
      <c r="B468" s="1" t="str">
        <f>IFERROR(__xludf.DUMMYFUNCTION("SPLIT(A468,"";"")"),"BOK DIEUF")</f>
        <v>BOK DIEUF</v>
      </c>
      <c r="C468" s="1">
        <f>IFERROR(__xludf.DUMMYFUNCTION("""COMPUTED_VALUE"""),168.0)</f>
        <v>168</v>
      </c>
      <c r="D468" s="1">
        <v>0.0</v>
      </c>
      <c r="E468" s="2"/>
      <c r="F468" s="2"/>
      <c r="G468" s="2"/>
      <c r="H468" s="2"/>
      <c r="I468" s="2"/>
    </row>
    <row r="469">
      <c r="A469" s="1" t="s">
        <v>335</v>
      </c>
      <c r="B469" s="1" t="str">
        <f>IFERROR(__xludf.DUMMYFUNCTION("SPLIT(A469,"";"")"),"BORDEAUX 5 DE COEUR")</f>
        <v>BORDEAUX 5 DE COEUR</v>
      </c>
      <c r="C469" s="1">
        <f>IFERROR(__xludf.DUMMYFUNCTION("""COMPUTED_VALUE"""),655.0)</f>
        <v>655</v>
      </c>
      <c r="D469" s="1">
        <v>14.0</v>
      </c>
      <c r="E469" s="2"/>
      <c r="F469" s="2"/>
      <c r="G469" s="2"/>
      <c r="H469" s="2"/>
      <c r="I469" s="2"/>
    </row>
    <row r="470">
      <c r="A470" s="1" t="s">
        <v>336</v>
      </c>
      <c r="B470" s="1" t="str">
        <f>IFERROR(__xludf.DUMMYFUNCTION("SPLIT(A470,"";"")"),"BORDEAUX ACCUEILLE")</f>
        <v>BORDEAUX ACCUEILLE</v>
      </c>
      <c r="C470" s="3">
        <f>IFERROR(__xludf.DUMMYFUNCTION("""COMPUTED_VALUE"""),1421.0)</f>
        <v>1421</v>
      </c>
      <c r="D470" s="1">
        <v>14.0</v>
      </c>
      <c r="E470" s="2"/>
      <c r="F470" s="2"/>
      <c r="G470" s="2"/>
      <c r="H470" s="2"/>
      <c r="I470" s="2"/>
    </row>
    <row r="471">
      <c r="A471" s="1" t="s">
        <v>337</v>
      </c>
      <c r="B471" s="1" t="str">
        <f>IFERROR(__xludf.DUMMYFUNCTION("SPLIT(A471,"";"")"),"BORDEAUX AQUITAINE AERONAUTIQUE ET SPATIAL")</f>
        <v>BORDEAUX AQUITAINE AERONAUTIQUE ET SPATIAL</v>
      </c>
      <c r="C471" s="1">
        <f>IFERROR(__xludf.DUMMYFUNCTION("""COMPUTED_VALUE"""),663.0)</f>
        <v>663</v>
      </c>
      <c r="D471" s="1">
        <v>0.0</v>
      </c>
      <c r="E471" s="2"/>
      <c r="F471" s="2"/>
      <c r="G471" s="2"/>
      <c r="H471" s="2"/>
      <c r="I471" s="2"/>
    </row>
    <row r="472">
      <c r="A472" s="1" t="s">
        <v>338</v>
      </c>
      <c r="B472" s="1" t="str">
        <f>IFERROR(__xludf.DUMMYFUNCTION("SPLIT(A472,"";"")"),"BORDEAUX ATHLETIC CLUB")</f>
        <v>BORDEAUX ATHLETIC CLUB</v>
      </c>
      <c r="C472" s="3">
        <f>IFERROR(__xludf.DUMMYFUNCTION("""COMPUTED_VALUE"""),20584.0)</f>
        <v>20584</v>
      </c>
      <c r="D472" s="1">
        <v>55.0</v>
      </c>
      <c r="E472" s="2"/>
      <c r="F472" s="2"/>
      <c r="G472" s="2"/>
      <c r="H472" s="2"/>
      <c r="I472" s="2"/>
    </row>
    <row r="473">
      <c r="A473" s="1" t="s">
        <v>339</v>
      </c>
      <c r="B473" s="1" t="str">
        <f>IFERROR(__xludf.DUMMYFUNCTION("SPLIT(A473,"";"")"),"BORDEAUX BACKGAMMON CLUB")</f>
        <v>BORDEAUX BACKGAMMON CLUB</v>
      </c>
      <c r="C473" s="1">
        <f>IFERROR(__xludf.DUMMYFUNCTION("""COMPUTED_VALUE"""),554.0)</f>
        <v>554</v>
      </c>
      <c r="D473" s="1">
        <v>0.0</v>
      </c>
      <c r="E473" s="2"/>
      <c r="F473" s="2"/>
      <c r="G473" s="2"/>
      <c r="H473" s="2"/>
      <c r="I473" s="2"/>
    </row>
    <row r="474">
      <c r="A474" s="1" t="s">
        <v>340</v>
      </c>
      <c r="B474" s="1" t="str">
        <f>IFERROR(__xludf.DUMMYFUNCTION("SPLIT(A474,"";"")"),"BORDEAUX BASTIDE BASKET")</f>
        <v>BORDEAUX BASTIDE BASKET</v>
      </c>
      <c r="C474" s="3">
        <f>IFERROR(__xludf.DUMMYFUNCTION("""COMPUTED_VALUE"""),48049.0)</f>
        <v>48049</v>
      </c>
      <c r="D474" s="1">
        <v>14.0</v>
      </c>
      <c r="E474" s="2"/>
      <c r="F474" s="2"/>
      <c r="G474" s="2"/>
      <c r="H474" s="2"/>
      <c r="I474" s="2"/>
    </row>
    <row r="475">
      <c r="A475" s="1" t="s">
        <v>341</v>
      </c>
      <c r="B475" s="1" t="str">
        <f>IFERROR(__xludf.DUMMYFUNCTION("SPLIT(A475,"";"")"),"BORDEAUX CAUDERAN BRIDGE CLUB (BCBC)")</f>
        <v>BORDEAUX CAUDERAN BRIDGE CLUB (BCBC)</v>
      </c>
      <c r="C475" s="3">
        <f>IFERROR(__xludf.DUMMYFUNCTION("""COMPUTED_VALUE"""),22173.0)</f>
        <v>22173</v>
      </c>
      <c r="D475" s="1">
        <v>0.0</v>
      </c>
      <c r="E475" s="2"/>
      <c r="F475" s="2"/>
      <c r="G475" s="2"/>
      <c r="H475" s="2"/>
      <c r="I475" s="2"/>
    </row>
    <row r="476">
      <c r="A476" s="1" t="s">
        <v>342</v>
      </c>
      <c r="B476" s="1" t="str">
        <f>IFERROR(__xludf.DUMMYFUNCTION("SPLIT(A476,"";"")"),"BORDEAUX CHANSON")</f>
        <v>BORDEAUX CHANSON</v>
      </c>
      <c r="C476" s="3">
        <f>IFERROR(__xludf.DUMMYFUNCTION("""COMPUTED_VALUE"""),2880.0)</f>
        <v>2880</v>
      </c>
      <c r="D476" s="1">
        <v>0.0</v>
      </c>
      <c r="E476" s="2"/>
      <c r="F476" s="2"/>
      <c r="G476" s="2"/>
      <c r="H476" s="2"/>
      <c r="I476" s="2"/>
    </row>
    <row r="477">
      <c r="A477" s="1" t="s">
        <v>343</v>
      </c>
      <c r="B477" s="1" t="str">
        <f>IFERROR(__xludf.DUMMYFUNCTION("SPLIT(A477,"";"")"),"BORDEAUX CITE TANGO BCT")</f>
        <v>BORDEAUX CITE TANGO BCT</v>
      </c>
      <c r="C477" s="3">
        <f>IFERROR(__xludf.DUMMYFUNCTION("""COMPUTED_VALUE"""),5207.0)</f>
        <v>5207</v>
      </c>
      <c r="D477" s="1">
        <v>99.0</v>
      </c>
      <c r="E477" s="2"/>
      <c r="F477" s="2"/>
      <c r="G477" s="2"/>
      <c r="H477" s="2"/>
      <c r="I477" s="2"/>
    </row>
    <row r="478">
      <c r="A478" s="1" t="s">
        <v>344</v>
      </c>
      <c r="B478" s="1" t="str">
        <f>IFERROR(__xludf.DUMMYFUNCTION("SPLIT(A478,"";"")"),"BORDEAUX CRITERIUM CYCLISTE INTERNATIONAL - BCCI")</f>
        <v>BORDEAUX CRITERIUM CYCLISTE INTERNATIONAL - BCCI</v>
      </c>
      <c r="C478" s="3">
        <f>IFERROR(__xludf.DUMMYFUNCTION("""COMPUTED_VALUE"""),7362.0)</f>
        <v>7362</v>
      </c>
      <c r="D478" s="1">
        <v>74.0</v>
      </c>
      <c r="E478" s="2"/>
      <c r="F478" s="2"/>
      <c r="G478" s="2"/>
      <c r="H478" s="2"/>
      <c r="I478" s="2"/>
    </row>
    <row r="479">
      <c r="A479" s="1" t="s">
        <v>345</v>
      </c>
      <c r="B479" s="1" t="str">
        <f>IFERROR(__xludf.DUMMYFUNCTION("SPLIT(A479,"";"")"),"BORDEAUX DANCE'IN CLUB")</f>
        <v>BORDEAUX DANCE'IN CLUB</v>
      </c>
      <c r="C479" s="3">
        <f>IFERROR(__xludf.DUMMYFUNCTION("""COMPUTED_VALUE"""),22396.0)</f>
        <v>22396</v>
      </c>
      <c r="D479" s="1">
        <v>18.0</v>
      </c>
      <c r="E479" s="2"/>
      <c r="F479" s="2"/>
      <c r="G479" s="2"/>
      <c r="H479" s="2"/>
      <c r="I479" s="2"/>
    </row>
    <row r="480">
      <c r="A480" s="1" t="s">
        <v>346</v>
      </c>
      <c r="B480" s="1" t="str">
        <f>IFERROR(__xludf.DUMMYFUNCTION("SPLIT(A480,"";"")"),"BORDEAUX DEMAIN")</f>
        <v>BORDEAUX DEMAIN</v>
      </c>
      <c r="C480" s="3">
        <f>IFERROR(__xludf.DUMMYFUNCTION("""COMPUTED_VALUE"""),1070.0)</f>
        <v>1070</v>
      </c>
      <c r="D480" s="1">
        <v>0.0</v>
      </c>
      <c r="E480" s="2"/>
      <c r="F480" s="2"/>
      <c r="G480" s="2"/>
      <c r="H480" s="2"/>
      <c r="I480" s="2"/>
    </row>
    <row r="481">
      <c r="A481" s="1" t="s">
        <v>347</v>
      </c>
      <c r="B481" s="1" t="str">
        <f>IFERROR(__xludf.DUMMYFUNCTION("SPLIT(A481,"";"")"),"BORDEAUX ENTREPRENEURS")</f>
        <v>BORDEAUX ENTREPRENEURS</v>
      </c>
      <c r="C481" s="1">
        <f>IFERROR(__xludf.DUMMYFUNCTION("""COMPUTED_VALUE"""),820.0)</f>
        <v>820</v>
      </c>
      <c r="D481" s="1">
        <v>0.0</v>
      </c>
      <c r="E481" s="2"/>
      <c r="F481" s="2"/>
      <c r="G481" s="2"/>
      <c r="H481" s="2"/>
      <c r="I481" s="2"/>
    </row>
    <row r="482">
      <c r="A482" s="1" t="s">
        <v>348</v>
      </c>
      <c r="B482" s="1" t="str">
        <f>IFERROR(__xludf.DUMMYFUNCTION("SPLIT(A482,"";"")"),"BORDEAUX ETUDIANTS CLUB - BEC")</f>
        <v>BORDEAUX ETUDIANTS CLUB - BEC</v>
      </c>
      <c r="C482" s="3">
        <f>IFERROR(__xludf.DUMMYFUNCTION("""COMPUTED_VALUE"""),248842.0)</f>
        <v>248842</v>
      </c>
      <c r="D482" s="1">
        <v>70.0</v>
      </c>
      <c r="E482" s="2"/>
      <c r="F482" s="2"/>
      <c r="G482" s="2"/>
      <c r="H482" s="2"/>
      <c r="I482" s="2"/>
    </row>
    <row r="483">
      <c r="A483" s="1" t="s">
        <v>349</v>
      </c>
      <c r="B483" s="1" t="str">
        <f>IFERROR(__xludf.DUMMYFUNCTION("SPLIT(A483,"";"")"),"BORDEAUX FOOTBALL AMERICAIN - LES LIONS DE BORDEAUX")</f>
        <v>BORDEAUX FOOTBALL AMERICAIN - LES LIONS DE BORDEAUX</v>
      </c>
      <c r="C483" s="3">
        <f>IFERROR(__xludf.DUMMYFUNCTION("""COMPUTED_VALUE"""),4334.0)</f>
        <v>4334</v>
      </c>
      <c r="D483" s="1">
        <v>0.0</v>
      </c>
      <c r="E483" s="2"/>
      <c r="F483" s="2"/>
      <c r="G483" s="2"/>
      <c r="H483" s="2"/>
      <c r="I483" s="2"/>
    </row>
    <row r="484">
      <c r="A484" s="1" t="s">
        <v>350</v>
      </c>
      <c r="B484" s="1" t="str">
        <f>IFERROR(__xludf.DUMMYFUNCTION("SPLIT(A484,"";"")"),"BORDEAUX FUTSAL CLUB")</f>
        <v>BORDEAUX FUTSAL CLUB</v>
      </c>
      <c r="C484" s="1">
        <f>IFERROR(__xludf.DUMMYFUNCTION("""COMPUTED_VALUE"""),24.0)</f>
        <v>24</v>
      </c>
      <c r="D484" s="1">
        <v>0.0</v>
      </c>
      <c r="E484" s="2"/>
      <c r="F484" s="2"/>
      <c r="G484" s="2"/>
      <c r="H484" s="2"/>
      <c r="I484" s="2"/>
    </row>
    <row r="485">
      <c r="A485" s="1" t="s">
        <v>351</v>
      </c>
      <c r="B485" s="1" t="str">
        <f>IFERROR(__xludf.DUMMYFUNCTION("SPLIT(A485,"";"")"),"BORDEAUX GIRONDE INVESTISSEMENT")</f>
        <v>BORDEAUX GIRONDE INVESTISSEMENT</v>
      </c>
      <c r="C485" s="1">
        <f>IFERROR(__xludf.DUMMYFUNCTION("""COMPUTED_VALUE"""),767.0)</f>
        <v>767</v>
      </c>
      <c r="D485" s="1">
        <v>44.0</v>
      </c>
      <c r="E485" s="2"/>
      <c r="F485" s="2"/>
      <c r="G485" s="2"/>
      <c r="H485" s="2"/>
      <c r="I485" s="2"/>
    </row>
    <row r="486">
      <c r="A486" s="1" t="s">
        <v>352</v>
      </c>
      <c r="B486" s="1" t="str">
        <f>IFERROR(__xludf.DUMMYFUNCTION("SPLIT(A486,"";"")"),"BORDEAUX GRANDS EVENEMENTS (BGE)")</f>
        <v>BORDEAUX GRANDS EVENEMENTS (BGE)</v>
      </c>
      <c r="C486" s="3">
        <f>IFERROR(__xludf.DUMMYFUNCTION("""COMPUTED_VALUE"""),93511.0)</f>
        <v>93511</v>
      </c>
      <c r="D486" s="1">
        <v>50.0</v>
      </c>
      <c r="E486" s="2"/>
      <c r="F486" s="2"/>
      <c r="G486" s="2"/>
      <c r="H486" s="2"/>
      <c r="I486" s="2"/>
    </row>
    <row r="487">
      <c r="A487" s="1" t="s">
        <v>353</v>
      </c>
      <c r="B487" s="1" t="str">
        <f>IFERROR(__xludf.DUMMYFUNCTION("SPLIT(A487,"";"")"),"BORDEAUX INTER CHALLENGE - BIC")</f>
        <v>BORDEAUX INTER CHALLENGE - BIC</v>
      </c>
      <c r="C487" s="1">
        <f>IFERROR(__xludf.DUMMYFUNCTION("""COMPUTED_VALUE"""),610.0)</f>
        <v>610</v>
      </c>
      <c r="D487" s="1">
        <v>0.0</v>
      </c>
      <c r="E487" s="2"/>
      <c r="F487" s="2"/>
      <c r="G487" s="2"/>
      <c r="H487" s="2"/>
      <c r="I487" s="2"/>
    </row>
    <row r="488">
      <c r="A488" s="1" t="s">
        <v>354</v>
      </c>
      <c r="B488" s="1" t="str">
        <f>IFERROR(__xludf.DUMMYFUNCTION("SPLIT(A488,"";"")"),"BORD'EAUX LOISIR PECHE")</f>
        <v>BORD'EAUX LOISIR PECHE</v>
      </c>
      <c r="C488" s="1">
        <f>IFERROR(__xludf.DUMMYFUNCTION("""COMPUTED_VALUE"""),251.0)</f>
        <v>251</v>
      </c>
      <c r="D488" s="1">
        <v>72.0</v>
      </c>
      <c r="E488" s="2"/>
      <c r="F488" s="2"/>
      <c r="G488" s="2"/>
      <c r="H488" s="2"/>
      <c r="I488" s="2"/>
    </row>
    <row r="489">
      <c r="A489" s="1" t="s">
        <v>355</v>
      </c>
      <c r="B489" s="1" t="str">
        <f>IFERROR(__xludf.DUMMYFUNCTION("SPLIT(A489,"";"")"),"BORDEAUX MARITIME SAUVETAGE &amp; SECOURISME - BM2S")</f>
        <v>BORDEAUX MARITIME SAUVETAGE &amp; SECOURISME - BM2S</v>
      </c>
      <c r="C489" s="3">
        <f>IFERROR(__xludf.DUMMYFUNCTION("""COMPUTED_VALUE"""),12765.0)</f>
        <v>12765</v>
      </c>
      <c r="D489" s="1">
        <v>6.0</v>
      </c>
      <c r="E489" s="2"/>
      <c r="F489" s="2"/>
      <c r="G489" s="2"/>
      <c r="H489" s="2"/>
      <c r="I489" s="2"/>
    </row>
    <row r="490">
      <c r="A490" s="1" t="s">
        <v>356</v>
      </c>
      <c r="B490" s="1" t="str">
        <f>IFERROR(__xludf.DUMMYFUNCTION("SPLIT(A490,"";"")"),"BORDEAUX MAYOTTE 101")</f>
        <v>BORDEAUX MAYOTTE 101</v>
      </c>
      <c r="C490" s="3">
        <f>IFERROR(__xludf.DUMMYFUNCTION("""COMPUTED_VALUE"""),4086.0)</f>
        <v>4086</v>
      </c>
      <c r="D490" s="1">
        <v>0.0</v>
      </c>
      <c r="E490" s="2"/>
      <c r="F490" s="2"/>
      <c r="G490" s="2"/>
      <c r="H490" s="2"/>
      <c r="I490" s="2"/>
    </row>
    <row r="491">
      <c r="A491" s="1" t="s">
        <v>357</v>
      </c>
      <c r="B491" s="1" t="str">
        <f>IFERROR(__xludf.DUMMYFUNCTION("SPLIT(A491,"";"")"),"BORDEAUX MERIGNAC VOLLEY")</f>
        <v>BORDEAUX MERIGNAC VOLLEY</v>
      </c>
      <c r="C491" s="3">
        <f>IFERROR(__xludf.DUMMYFUNCTION("""COMPUTED_VALUE"""),14661.0)</f>
        <v>14661</v>
      </c>
      <c r="D491" s="1">
        <v>0.0</v>
      </c>
      <c r="E491" s="2"/>
      <c r="F491" s="2"/>
      <c r="G491" s="2"/>
      <c r="H491" s="2"/>
      <c r="I491" s="2"/>
    </row>
    <row r="492">
      <c r="A492" s="1" t="s">
        <v>358</v>
      </c>
      <c r="B492" s="1" t="str">
        <f>IFERROR(__xludf.DUMMYFUNCTION("SPLIT(A492,"";"")"),"BORDEAUX NIHONGO HOSHU JUGYOKO (ECOLE COMPLEMENTAIRE JAPONAISE DE BORDEAUX)")</f>
        <v>BORDEAUX NIHONGO HOSHU JUGYOKO (ECOLE COMPLEMENTAIRE JAPONAISE DE BORDEAUX)</v>
      </c>
      <c r="C492" s="1">
        <f>IFERROR(__xludf.DUMMYFUNCTION("""COMPUTED_VALUE"""),806.0)</f>
        <v>806</v>
      </c>
      <c r="D492" s="1">
        <v>71.0</v>
      </c>
      <c r="E492" s="2"/>
      <c r="F492" s="2"/>
      <c r="G492" s="2"/>
      <c r="H492" s="2"/>
      <c r="I492" s="2"/>
    </row>
    <row r="493">
      <c r="A493" s="1" t="s">
        <v>359</v>
      </c>
      <c r="B493" s="1" t="str">
        <f>IFERROR(__xludf.DUMMYFUNCTION("SPLIT(A493,"";"")"),"BORDEAUX OPEN AIR")</f>
        <v>BORDEAUX OPEN AIR</v>
      </c>
      <c r="C493" s="3">
        <f>IFERROR(__xludf.DUMMYFUNCTION("""COMPUTED_VALUE"""),4909.0)</f>
        <v>4909</v>
      </c>
      <c r="D493" s="1">
        <v>25.0</v>
      </c>
      <c r="E493" s="2"/>
      <c r="F493" s="2"/>
      <c r="G493" s="2"/>
      <c r="H493" s="2"/>
      <c r="I493" s="2"/>
    </row>
    <row r="494">
      <c r="A494" s="1" t="s">
        <v>290</v>
      </c>
      <c r="B494" s="1" t="str">
        <f>IFERROR(__xludf.DUMMYFUNCTION("SPLIT(A494,"";"")"),"ASSOCIATION SPORTIVE DE LA POLICE JUDICIAIRE DE BORDEAUX")</f>
        <v>ASSOCIATION SPORTIVE DE LA POLICE JUDICIAIRE DE BORDEAUX</v>
      </c>
      <c r="C494" s="3">
        <f>IFERROR(__xludf.DUMMYFUNCTION("""COMPUTED_VALUE"""),1284.0)</f>
        <v>1284</v>
      </c>
      <c r="D494" s="1">
        <v>75.0</v>
      </c>
      <c r="E494" s="2"/>
      <c r="F494" s="2"/>
      <c r="G494" s="2"/>
      <c r="H494" s="2"/>
      <c r="I494" s="2"/>
    </row>
    <row r="495">
      <c r="A495" s="1" t="s">
        <v>291</v>
      </c>
      <c r="B495" s="1" t="str">
        <f>IFERROR(__xludf.DUMMYFUNCTION("SPLIT(A495,"";"")"),"ASSOCIATION SPORTIVE DES ANCIENS ET AMIS DE L'ECOLE NORMALE D'INSTITUTEURS (ASAAENI)")</f>
        <v>ASSOCIATION SPORTIVE DES ANCIENS ET AMIS DE L'ECOLE NORMALE D'INSTITUTEURS (ASAAENI)</v>
      </c>
      <c r="C495" s="1">
        <f>IFERROR(__xludf.DUMMYFUNCTION("""COMPUTED_VALUE"""),429.0)</f>
        <v>429</v>
      </c>
      <c r="D495" s="1">
        <v>0.0</v>
      </c>
      <c r="E495" s="2"/>
      <c r="F495" s="2"/>
      <c r="G495" s="2"/>
      <c r="H495" s="2"/>
      <c r="I495" s="2"/>
    </row>
    <row r="496">
      <c r="A496" s="1" t="s">
        <v>292</v>
      </c>
      <c r="B496" s="1" t="str">
        <f>IFERROR(__xludf.DUMMYFUNCTION("SPLIT(A496,"";"")"),"ASSOCIATION SPORTIVE DES SOURDS DE BORDEAUX - ASSB 33")</f>
        <v>ASSOCIATION SPORTIVE DES SOURDS DE BORDEAUX - ASSB 33</v>
      </c>
      <c r="C496" s="3">
        <f>IFERROR(__xludf.DUMMYFUNCTION("""COMPUTED_VALUE"""),1863.0)</f>
        <v>1863</v>
      </c>
      <c r="D496" s="1">
        <v>0.0</v>
      </c>
      <c r="E496" s="2"/>
      <c r="F496" s="2"/>
      <c r="G496" s="2"/>
      <c r="H496" s="2"/>
      <c r="I496" s="2"/>
    </row>
    <row r="497">
      <c r="A497" s="1" t="s">
        <v>293</v>
      </c>
      <c r="B497" s="1" t="str">
        <f>IFERROR(__xludf.DUMMYFUNCTION("SPLIT(A497,"";"")"),"ASSOCIATION SPORTIVE DU BARREAU DE BORDEAUX")</f>
        <v>ASSOCIATION SPORTIVE DU BARREAU DE BORDEAUX</v>
      </c>
      <c r="C497" s="3">
        <f>IFERROR(__xludf.DUMMYFUNCTION("""COMPUTED_VALUE"""),2558.0)</f>
        <v>2558</v>
      </c>
      <c r="D497" s="1">
        <v>30.0</v>
      </c>
      <c r="E497" s="2"/>
      <c r="F497" s="2"/>
      <c r="G497" s="2"/>
      <c r="H497" s="2"/>
      <c r="I497" s="2"/>
    </row>
    <row r="498">
      <c r="A498" s="1" t="s">
        <v>294</v>
      </c>
      <c r="B498" s="1" t="str">
        <f>IFERROR(__xludf.DUMMYFUNCTION("SPLIT(A498,"";"")"),"ASSOCIATION SPORTIVE DU GOLF DE BORDEAUX LAC")</f>
        <v>ASSOCIATION SPORTIVE DU GOLF DE BORDEAUX LAC</v>
      </c>
      <c r="C498" s="3">
        <f>IFERROR(__xludf.DUMMYFUNCTION("""COMPUTED_VALUE"""),1465.0)</f>
        <v>1465</v>
      </c>
      <c r="D498" s="1">
        <v>39.0</v>
      </c>
      <c r="E498" s="2"/>
      <c r="F498" s="2"/>
      <c r="G498" s="2"/>
      <c r="H498" s="2"/>
      <c r="I498" s="2"/>
    </row>
    <row r="499">
      <c r="A499" s="1" t="s">
        <v>295</v>
      </c>
      <c r="B499" s="1" t="str">
        <f>IFERROR(__xludf.DUMMYFUNCTION("SPLIT(A499,"";"")"),"ASSOCIATION SPORTIVE ET CULTURELLE DE MAYOTTE")</f>
        <v>ASSOCIATION SPORTIVE ET CULTURELLE DE MAYOTTE</v>
      </c>
      <c r="C499" s="3">
        <f>IFERROR(__xludf.DUMMYFUNCTION("""COMPUTED_VALUE"""),3769.0)</f>
        <v>3769</v>
      </c>
      <c r="D499" s="1">
        <v>50.0</v>
      </c>
      <c r="E499" s="2"/>
      <c r="F499" s="2"/>
      <c r="G499" s="2"/>
      <c r="H499" s="2"/>
      <c r="I499" s="2"/>
    </row>
    <row r="500">
      <c r="A500" s="1" t="s">
        <v>296</v>
      </c>
      <c r="B500" s="1" t="str">
        <f>IFERROR(__xludf.DUMMYFUNCTION("SPLIT(A500,"";"")"),"ASSOCIATION SPORTIVE FC PORTO DE BORDEAUX")</f>
        <v>ASSOCIATION SPORTIVE FC PORTO DE BORDEAUX</v>
      </c>
      <c r="C500" s="3">
        <f>IFERROR(__xludf.DUMMYFUNCTION("""COMPUTED_VALUE"""),2048.0)</f>
        <v>2048</v>
      </c>
      <c r="D500" s="1">
        <v>0.0</v>
      </c>
      <c r="E500" s="2"/>
      <c r="F500" s="2"/>
      <c r="G500" s="2"/>
      <c r="H500" s="2"/>
      <c r="I500" s="2"/>
    </row>
    <row r="501">
      <c r="A501" s="1" t="s">
        <v>297</v>
      </c>
      <c r="B501" s="1" t="str">
        <f>IFERROR(__xludf.DUMMYFUNCTION("SPLIT(A501,"";"")"),"ASSOCIATION SPORTIVE KASHIRA AIKIDO")</f>
        <v>ASSOCIATION SPORTIVE KASHIRA AIKIDO</v>
      </c>
      <c r="C501" s="3">
        <f>IFERROR(__xludf.DUMMYFUNCTION("""COMPUTED_VALUE"""),2781.0)</f>
        <v>2781</v>
      </c>
      <c r="D501" s="1">
        <v>0.0</v>
      </c>
      <c r="E501" s="2"/>
      <c r="F501" s="2"/>
      <c r="G501" s="2"/>
      <c r="H501" s="2"/>
      <c r="I501" s="2"/>
    </row>
    <row r="502">
      <c r="A502" s="1" t="s">
        <v>298</v>
      </c>
      <c r="B502" s="1" t="str">
        <f>IFERROR(__xludf.DUMMYFUNCTION("SPLIT(A502,"";"")"),"ASSOCIATION SPORTIVE KUNG-FU WUSHU DE BACALAN")</f>
        <v>ASSOCIATION SPORTIVE KUNG-FU WUSHU DE BACALAN</v>
      </c>
      <c r="C502" s="3">
        <f>IFERROR(__xludf.DUMMYFUNCTION("""COMPUTED_VALUE"""),3829.0)</f>
        <v>3829</v>
      </c>
      <c r="D502" s="1">
        <v>62.0</v>
      </c>
      <c r="E502" s="2"/>
      <c r="F502" s="2"/>
      <c r="G502" s="2"/>
      <c r="H502" s="2"/>
      <c r="I502" s="2"/>
    </row>
    <row r="503">
      <c r="A503" s="1" t="s">
        <v>299</v>
      </c>
      <c r="B503" s="1" t="str">
        <f>IFERROR(__xludf.DUMMYFUNCTION("SPLIT(A503,"";"")"),"ASSOCIATION SPORTIVE LOVENTA AUTOMATIQUE")</f>
        <v>ASSOCIATION SPORTIVE LOVENTA AUTOMATIQUE</v>
      </c>
      <c r="C503" s="1">
        <f>IFERROR(__xludf.DUMMYFUNCTION("""COMPUTED_VALUE"""),330.0)</f>
        <v>330</v>
      </c>
      <c r="D503" s="1">
        <v>0.0</v>
      </c>
      <c r="E503" s="2"/>
      <c r="F503" s="2"/>
      <c r="G503" s="2"/>
      <c r="H503" s="2"/>
      <c r="I503" s="2"/>
    </row>
    <row r="504">
      <c r="A504" s="1" t="s">
        <v>300</v>
      </c>
      <c r="B504" s="1" t="str">
        <f>IFERROR(__xludf.DUMMYFUNCTION("SPLIT(A504,"";"")"),"ASSOCIATION SPORTIVE SALINIERES")</f>
        <v>ASSOCIATION SPORTIVE SALINIERES</v>
      </c>
      <c r="C504" s="1">
        <f>IFERROR(__xludf.DUMMYFUNCTION("""COMPUTED_VALUE"""),709.0)</f>
        <v>709</v>
      </c>
      <c r="D504" s="1">
        <v>50.0</v>
      </c>
      <c r="E504" s="2"/>
      <c r="F504" s="2"/>
      <c r="G504" s="2"/>
      <c r="H504" s="2"/>
      <c r="I504" s="2"/>
    </row>
    <row r="505">
      <c r="A505" s="1" t="s">
        <v>301</v>
      </c>
      <c r="B505" s="1" t="str">
        <f>IFERROR(__xludf.DUMMYFUNCTION("SPLIT(A505,"";"")"),"ASSOCIATION TERRITOIRES ET INNOVATION SOCIALE (ATIS)")</f>
        <v>ASSOCIATION TERRITOIRES ET INNOVATION SOCIALE (ATIS)</v>
      </c>
      <c r="C505" s="3">
        <f>IFERROR(__xludf.DUMMYFUNCTION("""COMPUTED_VALUE"""),3552.0)</f>
        <v>3552</v>
      </c>
      <c r="D505" s="1">
        <v>0.0</v>
      </c>
      <c r="E505" s="2"/>
      <c r="F505" s="2"/>
      <c r="G505" s="2"/>
      <c r="H505" s="2"/>
      <c r="I505" s="2"/>
    </row>
    <row r="506">
      <c r="A506" s="1" t="s">
        <v>302</v>
      </c>
      <c r="B506" s="1" t="str">
        <f>IFERROR(__xludf.DUMMYFUNCTION("SPLIT(A506,"";"")"),"ASSOCIATION THEATR'ACTIF")</f>
        <v>ASSOCIATION THEATR'ACTIF</v>
      </c>
      <c r="C506" s="1">
        <f>IFERROR(__xludf.DUMMYFUNCTION("""COMPUTED_VALUE"""),748.0)</f>
        <v>748</v>
      </c>
      <c r="D506" s="1">
        <v>0.0</v>
      </c>
      <c r="E506" s="2"/>
      <c r="F506" s="2"/>
      <c r="G506" s="2"/>
      <c r="H506" s="2"/>
      <c r="I506" s="2"/>
    </row>
    <row r="507">
      <c r="A507" s="1" t="s">
        <v>303</v>
      </c>
      <c r="B507" s="1" t="str">
        <f>IFERROR(__xludf.DUMMYFUNCTION("SPLIT(A507,"";"")"),"ASSOCIATION UNION BORDEAUX BEGLES")</f>
        <v>ASSOCIATION UNION BORDEAUX BEGLES</v>
      </c>
      <c r="C507" s="1">
        <f>IFERROR(__xludf.DUMMYFUNCTION("""COMPUTED_VALUE"""),960.0)</f>
        <v>960</v>
      </c>
      <c r="D507" s="1">
        <v>96.0</v>
      </c>
      <c r="E507" s="2"/>
      <c r="F507" s="2"/>
      <c r="G507" s="2"/>
      <c r="H507" s="2"/>
      <c r="I507" s="2"/>
    </row>
    <row r="508">
      <c r="A508" s="1" t="s">
        <v>304</v>
      </c>
      <c r="B508" s="1" t="str">
        <f>IFERROR(__xludf.DUMMYFUNCTION("SPLIT(A508,"";"")"),"ASSOCIATION UNION NATIONALE DES COMBATTANTS DE BORDEAUX-CENTRE")</f>
        <v>ASSOCIATION UNION NATIONALE DES COMBATTANTS DE BORDEAUX-CENTRE</v>
      </c>
      <c r="C508" s="3">
        <f>IFERROR(__xludf.DUMMYFUNCTION("""COMPUTED_VALUE"""),1211.0)</f>
        <v>1211</v>
      </c>
      <c r="D508" s="1">
        <v>57.0</v>
      </c>
      <c r="E508" s="2"/>
      <c r="F508" s="2"/>
      <c r="G508" s="2"/>
      <c r="H508" s="2"/>
      <c r="I508" s="2"/>
    </row>
    <row r="509">
      <c r="A509" s="1" t="s">
        <v>305</v>
      </c>
      <c r="B509" s="1" t="str">
        <f>IFERROR(__xludf.DUMMYFUNCTION("SPLIT(A509,"";"")"),"ASSOCIATION VENEZUELA A BORDEAUX")</f>
        <v>ASSOCIATION VENEZUELA A BORDEAUX</v>
      </c>
      <c r="C509" s="1">
        <f>IFERROR(__xludf.DUMMYFUNCTION("""COMPUTED_VALUE"""),34.0)</f>
        <v>34</v>
      </c>
      <c r="D509" s="1">
        <v>0.0</v>
      </c>
      <c r="E509" s="2"/>
      <c r="F509" s="2"/>
      <c r="G509" s="2"/>
      <c r="H509" s="2"/>
      <c r="I509" s="2"/>
    </row>
    <row r="510">
      <c r="A510" s="1" t="s">
        <v>306</v>
      </c>
      <c r="B510" s="1" t="str">
        <f>IFERROR(__xludf.DUMMYFUNCTION("SPLIT(A510,"";"")"),"ASSOENCORE")</f>
        <v>ASSOENCORE</v>
      </c>
      <c r="C510" s="3">
        <f>IFERROR(__xludf.DUMMYFUNCTION("""COMPUTED_VALUE"""),2143.0)</f>
        <v>2143</v>
      </c>
      <c r="D510" s="1">
        <v>34.0</v>
      </c>
      <c r="E510" s="2"/>
      <c r="F510" s="2"/>
      <c r="G510" s="2"/>
      <c r="H510" s="2"/>
      <c r="I510" s="2"/>
    </row>
    <row r="511">
      <c r="A511" s="1" t="s">
        <v>307</v>
      </c>
      <c r="B511" s="1" t="str">
        <f>IFERROR(__xludf.DUMMYFUNCTION("SPLIT(A511,"";"")"),"ASSOPOURQUOIPAS33")</f>
        <v>ASSOPOURQUOIPAS33</v>
      </c>
      <c r="C511" s="3">
        <f>IFERROR(__xludf.DUMMYFUNCTION("""COMPUTED_VALUE"""),24699.0)</f>
        <v>24699</v>
      </c>
      <c r="D511" s="1">
        <v>68.0</v>
      </c>
      <c r="E511" s="2"/>
      <c r="F511" s="2"/>
      <c r="G511" s="2"/>
      <c r="H511" s="2"/>
      <c r="I511" s="2"/>
    </row>
    <row r="512">
      <c r="A512" s="1" t="s">
        <v>308</v>
      </c>
      <c r="B512" s="1" t="str">
        <f>IFERROR(__xludf.DUMMYFUNCTION("SPLIT(A512,"";"")"),"ASTROLABE")</f>
        <v>ASTROLABE</v>
      </c>
      <c r="C512" s="3">
        <f>IFERROR(__xludf.DUMMYFUNCTION("""COMPUTED_VALUE"""),19221.0)</f>
        <v>19221</v>
      </c>
      <c r="D512" s="1">
        <v>78.0</v>
      </c>
      <c r="E512" s="2"/>
      <c r="F512" s="2"/>
      <c r="G512" s="2"/>
      <c r="H512" s="2"/>
      <c r="I512" s="2"/>
    </row>
    <row r="513">
      <c r="A513" s="1" t="s">
        <v>309</v>
      </c>
      <c r="B513" s="1" t="str">
        <f>IFERROR(__xludf.DUMMYFUNCTION("SPLIT(A513,"";"")"),"ATELIER 14 CENTRE DE PRATIQUES ARTISTIQUES ET DE RECHERCHES CHOREGRAPHIQUES - CIE ISABELLE CHEVEAU - VINCENT")</f>
        <v>ATELIER 14 CENTRE DE PRATIQUES ARTISTIQUES ET DE RECHERCHES CHOREGRAPHIQUES - CIE ISABELLE CHEVEAU - VINCENT</v>
      </c>
      <c r="C513" s="2"/>
      <c r="D513" s="2"/>
      <c r="E513" s="2"/>
      <c r="F513" s="2"/>
      <c r="G513" s="2"/>
      <c r="H513" s="2"/>
      <c r="I513" s="2"/>
    </row>
    <row r="514">
      <c r="A514" s="1" t="s">
        <v>310</v>
      </c>
      <c r="B514" s="1">
        <f>IFERROR(__xludf.DUMMYFUNCTION("SPLIT(A514,"";"")"),567.0)</f>
        <v>567</v>
      </c>
      <c r="C514" s="1"/>
      <c r="D514" s="1">
        <v>12.0</v>
      </c>
      <c r="E514" s="2"/>
      <c r="F514" s="2"/>
      <c r="G514" s="2"/>
      <c r="H514" s="2"/>
      <c r="I514" s="2"/>
    </row>
    <row r="515">
      <c r="A515" s="1" t="s">
        <v>311</v>
      </c>
      <c r="B515" s="1" t="str">
        <f>IFERROR(__xludf.DUMMYFUNCTION("SPLIT(A515,"";"")"),"HARISDO")</f>
        <v>HARISDO</v>
      </c>
      <c r="C515" s="2"/>
      <c r="D515" s="2"/>
      <c r="E515" s="2"/>
      <c r="F515" s="2"/>
      <c r="G515" s="2"/>
      <c r="H515" s="2"/>
      <c r="I515" s="2"/>
    </row>
    <row r="516">
      <c r="A516" s="1" t="s">
        <v>312</v>
      </c>
      <c r="B516" s="1" t="str">
        <f>IFERROR(__xludf.DUMMYFUNCTION("SPLIT(A516,"";"")"),"ATELIER D’ASTROLOGIE D’AQUITAINE")</f>
        <v>ATELIER D’ASTROLOGIE D’AQUITAINE</v>
      </c>
      <c r="C516" s="3">
        <f>IFERROR(__xludf.DUMMYFUNCTION("""COMPUTED_VALUE"""),1015.0)</f>
        <v>1015</v>
      </c>
      <c r="D516" s="1">
        <v>0.0</v>
      </c>
      <c r="E516" s="2"/>
      <c r="F516" s="2"/>
      <c r="G516" s="2"/>
      <c r="H516" s="2"/>
      <c r="I516" s="2"/>
    </row>
    <row r="517">
      <c r="A517" s="1" t="s">
        <v>313</v>
      </c>
      <c r="B517" s="1" t="str">
        <f>IFERROR(__xludf.DUMMYFUNCTION("SPLIT(A517,"";"")"),"ATELIER D'ECO SOLIDAIRE")</f>
        <v>ATELIER D'ECO SOLIDAIRE</v>
      </c>
      <c r="C517" s="3">
        <f>IFERROR(__xludf.DUMMYFUNCTION("""COMPUTED_VALUE"""),1036.0)</f>
        <v>1036</v>
      </c>
      <c r="D517" s="1">
        <v>82.0</v>
      </c>
      <c r="E517" s="2"/>
      <c r="F517" s="2"/>
      <c r="G517" s="2"/>
      <c r="H517" s="2"/>
      <c r="I517" s="2"/>
    </row>
    <row r="518">
      <c r="A518" s="1" t="s">
        <v>314</v>
      </c>
      <c r="B518" s="1" t="str">
        <f>IFERROR(__xludf.DUMMYFUNCTION("SPLIT(A518,"";"")"),"ATELIER GRAPHITE")</f>
        <v>ATELIER GRAPHITE</v>
      </c>
      <c r="C518" s="3">
        <f>IFERROR(__xludf.DUMMYFUNCTION("""COMPUTED_VALUE"""),1020.0)</f>
        <v>1020</v>
      </c>
      <c r="D518" s="1">
        <v>0.0</v>
      </c>
      <c r="E518" s="2"/>
      <c r="F518" s="2"/>
      <c r="G518" s="2"/>
      <c r="H518" s="2"/>
      <c r="I518" s="2"/>
    </row>
    <row r="519">
      <c r="A519" s="1" t="s">
        <v>315</v>
      </c>
      <c r="B519" s="1" t="str">
        <f>IFERROR(__xludf.DUMMYFUNCTION("SPLIT(A519,"";"")"),"ATELIER VOCAL D'AQUITAINE")</f>
        <v>ATELIER VOCAL D'AQUITAINE</v>
      </c>
      <c r="C519" s="1">
        <f>IFERROR(__xludf.DUMMYFUNCTION("""COMPUTED_VALUE"""),265.0)</f>
        <v>265</v>
      </c>
      <c r="D519" s="1">
        <v>0.0</v>
      </c>
      <c r="E519" s="2"/>
      <c r="F519" s="2"/>
      <c r="G519" s="2"/>
      <c r="H519" s="2"/>
      <c r="I519" s="2"/>
    </row>
    <row r="520">
      <c r="A520" s="1" t="s">
        <v>316</v>
      </c>
      <c r="B520" s="1" t="str">
        <f>IFERROR(__xludf.DUMMYFUNCTION("SPLIT(A520,"";"")"),"ATELIERS LIBRES D'AQUITAINE")</f>
        <v>ATELIERS LIBRES D'AQUITAINE</v>
      </c>
      <c r="C520" s="3">
        <f>IFERROR(__xludf.DUMMYFUNCTION("""COMPUTED_VALUE"""),12900.0)</f>
        <v>12900</v>
      </c>
      <c r="D520" s="1">
        <v>0.0</v>
      </c>
      <c r="E520" s="2"/>
      <c r="F520" s="2"/>
      <c r="G520" s="2"/>
      <c r="H520" s="2"/>
      <c r="I520" s="2"/>
    </row>
    <row r="521">
      <c r="A521" s="1" t="s">
        <v>317</v>
      </c>
      <c r="B521" s="1" t="str">
        <f>IFERROR(__xludf.DUMMYFUNCTION("SPLIT(A521,"";"")"),"ATELIERS TLC")</f>
        <v>ATELIERS TLC</v>
      </c>
      <c r="C521" s="1">
        <f>IFERROR(__xludf.DUMMYFUNCTION("""COMPUTED_VALUE"""),265.0)</f>
        <v>265</v>
      </c>
      <c r="D521" s="1">
        <v>0.0</v>
      </c>
      <c r="E521" s="2"/>
      <c r="F521" s="2"/>
      <c r="G521" s="2"/>
      <c r="H521" s="2"/>
      <c r="I521" s="2"/>
    </row>
    <row r="522">
      <c r="A522" s="1" t="s">
        <v>318</v>
      </c>
      <c r="B522" s="1" t="str">
        <f>IFERROR(__xludf.DUMMYFUNCTION("SPLIT(A522,"";"")"),"ATLANTIC OLDTIMER.COM")</f>
        <v>ATLANTIC OLDTIMER.COM</v>
      </c>
      <c r="C522" s="3">
        <f>IFERROR(__xludf.DUMMYFUNCTION("""COMPUTED_VALUE"""),3735.0)</f>
        <v>3735</v>
      </c>
      <c r="D522" s="1">
        <v>8.0</v>
      </c>
      <c r="E522" s="2"/>
      <c r="F522" s="2"/>
      <c r="G522" s="2"/>
      <c r="H522" s="2"/>
      <c r="I522" s="2"/>
    </row>
    <row r="523">
      <c r="A523" s="1" t="s">
        <v>319</v>
      </c>
      <c r="B523" s="1" t="str">
        <f>IFERROR(__xludf.DUMMYFUNCTION("SPLIT(A523,"";"")"),"AU-DELA DES DUNES")</f>
        <v>AU-DELA DES DUNES</v>
      </c>
      <c r="C523" s="1">
        <f>IFERROR(__xludf.DUMMYFUNCTION("""COMPUTED_VALUE"""),332.0)</f>
        <v>332</v>
      </c>
      <c r="D523" s="1">
        <v>0.0</v>
      </c>
      <c r="E523" s="2"/>
      <c r="F523" s="2"/>
      <c r="G523" s="2"/>
      <c r="H523" s="2"/>
      <c r="I523" s="2"/>
    </row>
    <row r="524">
      <c r="A524" s="1" t="s">
        <v>320</v>
      </c>
      <c r="B524" s="1" t="str">
        <f>IFERROR(__xludf.DUMMYFUNCTION("SPLIT(A524,"";"")"),"AUDITION ET ECOUTE 33 - ASSOCIATION DES PERSONNES ATTEINTES DE PATHOLOGIE AUDITIVE DE LA GIRONDE")</f>
        <v>AUDITION ET ECOUTE 33 - ASSOCIATION DES PERSONNES ATTEINTES DE PATHOLOGIE AUDITIVE DE LA GIRONDE</v>
      </c>
      <c r="C524" s="1">
        <f>IFERROR(__xludf.DUMMYFUNCTION("""COMPUTED_VALUE"""),530.0)</f>
        <v>530</v>
      </c>
      <c r="D524" s="1">
        <v>0.0</v>
      </c>
      <c r="E524" s="2"/>
      <c r="F524" s="2"/>
      <c r="G524" s="2"/>
      <c r="H524" s="2"/>
      <c r="I524" s="2"/>
    </row>
    <row r="525">
      <c r="A525" s="1" t="s">
        <v>321</v>
      </c>
      <c r="B525" s="1" t="str">
        <f>IFERROR(__xludf.DUMMYFUNCTION("SPLIT(A525,"";"")"),"AUDITION SOLIDAIRE FRANCE SENEGAL")</f>
        <v>AUDITION SOLIDAIRE FRANCE SENEGAL</v>
      </c>
      <c r="C525" s="1">
        <f>IFERROR(__xludf.DUMMYFUNCTION("""COMPUTED_VALUE"""),886.0)</f>
        <v>886</v>
      </c>
      <c r="D525" s="1">
        <v>0.0</v>
      </c>
      <c r="E525" s="2"/>
      <c r="F525" s="2"/>
      <c r="G525" s="2"/>
      <c r="H525" s="2"/>
      <c r="I525" s="2"/>
    </row>
    <row r="526">
      <c r="A526" s="1" t="s">
        <v>322</v>
      </c>
      <c r="B526" s="1" t="str">
        <f>IFERROR(__xludf.DUMMYFUNCTION("SPLIT(A526,"";"")"),"AVANT GARDE ET JEANNE D'ARC DE BORDEAUX CAUDERAN - AGJA BORDEAUX CAUDERAN")</f>
        <v>AVANT GARDE ET JEANNE D'ARC DE BORDEAUX CAUDERAN - AGJA BORDEAUX CAUDERAN</v>
      </c>
      <c r="C526" s="3">
        <f>IFERROR(__xludf.DUMMYFUNCTION("""COMPUTED_VALUE"""),250746.0)</f>
        <v>250746</v>
      </c>
      <c r="D526" s="1">
        <v>14.0</v>
      </c>
      <c r="E526" s="2"/>
      <c r="F526" s="2"/>
      <c r="G526" s="2"/>
      <c r="H526" s="2"/>
      <c r="I526" s="2"/>
    </row>
    <row r="527">
      <c r="A527" s="1" t="s">
        <v>323</v>
      </c>
      <c r="B527" s="1" t="str">
        <f>IFERROR(__xludf.DUMMYFUNCTION("SPLIT(A527,"";"")"),"BACALAN TENNIS CLUB - BTC")</f>
        <v>BACALAN TENNIS CLUB - BTC</v>
      </c>
      <c r="C527" s="3">
        <f>IFERROR(__xludf.DUMMYFUNCTION("""COMPUTED_VALUE"""),5064.0)</f>
        <v>5064</v>
      </c>
      <c r="D527" s="1">
        <v>0.0</v>
      </c>
      <c r="E527" s="2"/>
      <c r="F527" s="2"/>
      <c r="G527" s="2"/>
      <c r="H527" s="2"/>
      <c r="I527" s="2"/>
    </row>
    <row r="528">
      <c r="A528" s="1" t="s">
        <v>324</v>
      </c>
      <c r="B528" s="1" t="str">
        <f>IFERROR(__xludf.DUMMYFUNCTION("SPLIT(A528,"";"")"),"BADMINTON CLUB BARBEY")</f>
        <v>BADMINTON CLUB BARBEY</v>
      </c>
      <c r="C528" s="3">
        <f>IFERROR(__xludf.DUMMYFUNCTION("""COMPUTED_VALUE"""),22277.0)</f>
        <v>22277</v>
      </c>
      <c r="D528" s="1">
        <v>86.0</v>
      </c>
      <c r="E528" s="2"/>
      <c r="F528" s="2"/>
      <c r="G528" s="2"/>
      <c r="H528" s="2"/>
      <c r="I528" s="2"/>
    </row>
    <row r="529">
      <c r="A529" s="1" t="s">
        <v>325</v>
      </c>
      <c r="B529" s="1" t="str">
        <f>IFERROR(__xludf.DUMMYFUNCTION("SPLIT(A529,"";"")"),"BANQUE ALIMENTAIRE DE BORDEAUX ET DE LA GIRONDE")</f>
        <v>BANQUE ALIMENTAIRE DE BORDEAUX ET DE LA GIRONDE</v>
      </c>
      <c r="C529" s="3">
        <f>IFERROR(__xludf.DUMMYFUNCTION("""COMPUTED_VALUE"""),17086.0)</f>
        <v>17086</v>
      </c>
      <c r="D529" s="1">
        <v>66.0</v>
      </c>
      <c r="E529" s="2"/>
      <c r="F529" s="2"/>
      <c r="G529" s="2"/>
      <c r="H529" s="2"/>
      <c r="I529" s="2"/>
    </row>
    <row r="530">
      <c r="A530" s="1" t="s">
        <v>326</v>
      </c>
      <c r="B530" s="1" t="str">
        <f>IFERROR(__xludf.DUMMYFUNCTION("SPLIT(A530,"";"")"),"BASTIDE BENAUGE FUTSAL")</f>
        <v>BASTIDE BENAUGE FUTSAL</v>
      </c>
      <c r="C530" s="3">
        <f>IFERROR(__xludf.DUMMYFUNCTION("""COMPUTED_VALUE"""),2574.0)</f>
        <v>2574</v>
      </c>
      <c r="D530" s="1">
        <v>0.0</v>
      </c>
      <c r="E530" s="2"/>
      <c r="F530" s="2"/>
      <c r="G530" s="2"/>
      <c r="H530" s="2"/>
      <c r="I530" s="2"/>
    </row>
    <row r="531">
      <c r="A531" s="1" t="s">
        <v>327</v>
      </c>
      <c r="B531" s="1" t="str">
        <f>IFERROR(__xludf.DUMMYFUNCTION("SPLIT(A531,"";"")"),"BASTIDE EN SCENES")</f>
        <v>BASTIDE EN SCENES</v>
      </c>
      <c r="C531" s="3">
        <f>IFERROR(__xludf.DUMMYFUNCTION("""COMPUTED_VALUE"""),1610.0)</f>
        <v>1610</v>
      </c>
      <c r="D531" s="1">
        <v>94.0</v>
      </c>
      <c r="E531" s="2"/>
      <c r="F531" s="2"/>
      <c r="G531" s="2"/>
      <c r="H531" s="2"/>
      <c r="I531" s="2"/>
    </row>
    <row r="532">
      <c r="A532" s="1" t="s">
        <v>328</v>
      </c>
      <c r="B532" s="1" t="str">
        <f>IFERROR(__xludf.DUMMYFUNCTION("SPLIT(A532,"";"")"),"BELLIBULLE")</f>
        <v>BELLIBULLE</v>
      </c>
      <c r="C532" s="1">
        <f>IFERROR(__xludf.DUMMYFUNCTION("""COMPUTED_VALUE"""),122.0)</f>
        <v>122</v>
      </c>
      <c r="D532" s="1">
        <v>36.0</v>
      </c>
      <c r="E532" s="2"/>
      <c r="F532" s="2"/>
      <c r="G532" s="2"/>
      <c r="H532" s="2"/>
      <c r="I532" s="2"/>
    </row>
    <row r="533">
      <c r="A533" s="1" t="s">
        <v>329</v>
      </c>
      <c r="B533" s="1" t="str">
        <f>IFERROR(__xludf.DUMMYFUNCTION("SPLIT(A533,"";"")"),"BENEVOLES EN ACTION")</f>
        <v>BENEVOLES EN ACTION</v>
      </c>
      <c r="C533" s="1">
        <f>IFERROR(__xludf.DUMMYFUNCTION("""COMPUTED_VALUE"""),24.0)</f>
        <v>24</v>
      </c>
      <c r="D533" s="1">
        <v>0.0</v>
      </c>
      <c r="E533" s="2"/>
      <c r="F533" s="2"/>
      <c r="G533" s="2"/>
      <c r="H533" s="2"/>
      <c r="I533" s="2"/>
    </row>
    <row r="534">
      <c r="A534" s="1" t="s">
        <v>330</v>
      </c>
      <c r="B534" s="1" t="str">
        <f>IFERROR(__xludf.DUMMYFUNCTION("SPLIT(A534,"";"")"),"BIBLIOTHECA")</f>
        <v>BIBLIOTHECA</v>
      </c>
      <c r="C534" s="3">
        <f>IFERROR(__xludf.DUMMYFUNCTION("""COMPUTED_VALUE"""),8280.0)</f>
        <v>8280</v>
      </c>
      <c r="D534" s="1">
        <v>0.0</v>
      </c>
      <c r="E534" s="2"/>
      <c r="F534" s="2"/>
      <c r="G534" s="2"/>
      <c r="H534" s="2"/>
      <c r="I534" s="2"/>
    </row>
    <row r="535">
      <c r="A535" s="1" t="s">
        <v>331</v>
      </c>
      <c r="B535" s="1" t="str">
        <f>IFERROR(__xludf.DUMMYFUNCTION("SPLIT(A535,"";"")"),"BIEN-ETRE &amp; BONHEUR DE VIVRE - BBV")</f>
        <v>BIEN-ETRE &amp; BONHEUR DE VIVRE - BBV</v>
      </c>
      <c r="C535" s="1">
        <f>IFERROR(__xludf.DUMMYFUNCTION("""COMPUTED_VALUE"""),942.0)</f>
        <v>942</v>
      </c>
      <c r="D535" s="1">
        <v>0.0</v>
      </c>
      <c r="E535" s="2"/>
      <c r="F535" s="2"/>
      <c r="G535" s="2"/>
      <c r="H535" s="2"/>
      <c r="I535" s="2"/>
    </row>
    <row r="536">
      <c r="A536" s="1" t="s">
        <v>332</v>
      </c>
      <c r="B536" s="1" t="str">
        <f>IFERROR(__xludf.DUMMYFUNCTION("SPLIT(A536,"";"")"),"BIO D'AQUITAINE")</f>
        <v>BIO D'AQUITAINE</v>
      </c>
      <c r="C536" s="1">
        <f>IFERROR(__xludf.DUMMYFUNCTION("""COMPUTED_VALUE"""),197.0)</f>
        <v>197</v>
      </c>
      <c r="D536" s="1">
        <v>0.0</v>
      </c>
      <c r="E536" s="2"/>
      <c r="F536" s="2"/>
      <c r="G536" s="2"/>
      <c r="H536" s="2"/>
      <c r="I536" s="2"/>
    </row>
    <row r="537">
      <c r="A537" s="1" t="s">
        <v>333</v>
      </c>
      <c r="B537" s="1" t="str">
        <f>IFERROR(__xludf.DUMMYFUNCTION("SPLIT(A537,"";"")"),"BIO'GUSTIN")</f>
        <v>BIO'GUSTIN</v>
      </c>
      <c r="C537" s="3">
        <f>IFERROR(__xludf.DUMMYFUNCTION("""COMPUTED_VALUE"""),5772.0)</f>
        <v>5772</v>
      </c>
      <c r="D537" s="1">
        <v>0.0</v>
      </c>
      <c r="E537" s="2"/>
      <c r="F537" s="2"/>
      <c r="G537" s="2"/>
      <c r="H537" s="2"/>
      <c r="I537" s="2"/>
    </row>
    <row r="538">
      <c r="A538" s="1" t="s">
        <v>334</v>
      </c>
      <c r="B538" s="1" t="str">
        <f>IFERROR(__xludf.DUMMYFUNCTION("SPLIT(A538,"";"")"),"BOK DIEUF")</f>
        <v>BOK DIEUF</v>
      </c>
      <c r="C538" s="1">
        <f>IFERROR(__xludf.DUMMYFUNCTION("""COMPUTED_VALUE"""),168.0)</f>
        <v>168</v>
      </c>
      <c r="D538" s="1">
        <v>0.0</v>
      </c>
      <c r="E538" s="2"/>
      <c r="F538" s="2"/>
      <c r="G538" s="2"/>
      <c r="H538" s="2"/>
      <c r="I538" s="2"/>
    </row>
    <row r="539">
      <c r="A539" s="1" t="s">
        <v>335</v>
      </c>
      <c r="B539" s="1" t="str">
        <f>IFERROR(__xludf.DUMMYFUNCTION("SPLIT(A539,"";"")"),"BORDEAUX 5 DE COEUR")</f>
        <v>BORDEAUX 5 DE COEUR</v>
      </c>
      <c r="C539" s="1">
        <f>IFERROR(__xludf.DUMMYFUNCTION("""COMPUTED_VALUE"""),655.0)</f>
        <v>655</v>
      </c>
      <c r="D539" s="1">
        <v>14.0</v>
      </c>
      <c r="E539" s="2"/>
      <c r="F539" s="2"/>
      <c r="G539" s="2"/>
      <c r="H539" s="2"/>
      <c r="I539" s="2"/>
    </row>
    <row r="540">
      <c r="A540" s="1" t="s">
        <v>336</v>
      </c>
      <c r="B540" s="1" t="str">
        <f>IFERROR(__xludf.DUMMYFUNCTION("SPLIT(A540,"";"")"),"BORDEAUX ACCUEILLE")</f>
        <v>BORDEAUX ACCUEILLE</v>
      </c>
      <c r="C540" s="3">
        <f>IFERROR(__xludf.DUMMYFUNCTION("""COMPUTED_VALUE"""),1421.0)</f>
        <v>1421</v>
      </c>
      <c r="D540" s="1">
        <v>14.0</v>
      </c>
      <c r="E540" s="2"/>
      <c r="F540" s="2"/>
      <c r="G540" s="2"/>
      <c r="H540" s="2"/>
      <c r="I540" s="2"/>
    </row>
    <row r="541">
      <c r="A541" s="1" t="s">
        <v>337</v>
      </c>
      <c r="B541" s="1" t="str">
        <f>IFERROR(__xludf.DUMMYFUNCTION("SPLIT(A541,"";"")"),"BORDEAUX AQUITAINE AERONAUTIQUE ET SPATIAL")</f>
        <v>BORDEAUX AQUITAINE AERONAUTIQUE ET SPATIAL</v>
      </c>
      <c r="C541" s="1">
        <f>IFERROR(__xludf.DUMMYFUNCTION("""COMPUTED_VALUE"""),663.0)</f>
        <v>663</v>
      </c>
      <c r="D541" s="1">
        <v>0.0</v>
      </c>
      <c r="E541" s="2"/>
      <c r="F541" s="2"/>
      <c r="G541" s="2"/>
      <c r="H541" s="2"/>
      <c r="I541" s="2"/>
    </row>
    <row r="542">
      <c r="A542" s="1" t="s">
        <v>338</v>
      </c>
      <c r="B542" s="1" t="str">
        <f>IFERROR(__xludf.DUMMYFUNCTION("SPLIT(A542,"";"")"),"BORDEAUX ATHLETIC CLUB")</f>
        <v>BORDEAUX ATHLETIC CLUB</v>
      </c>
      <c r="C542" s="3">
        <f>IFERROR(__xludf.DUMMYFUNCTION("""COMPUTED_VALUE"""),20584.0)</f>
        <v>20584</v>
      </c>
      <c r="D542" s="1">
        <v>55.0</v>
      </c>
      <c r="E542" s="2"/>
      <c r="F542" s="2"/>
      <c r="G542" s="2"/>
      <c r="H542" s="2"/>
      <c r="I542" s="2"/>
    </row>
    <row r="543">
      <c r="A543" s="1" t="s">
        <v>339</v>
      </c>
      <c r="B543" s="1" t="str">
        <f>IFERROR(__xludf.DUMMYFUNCTION("SPLIT(A543,"";"")"),"BORDEAUX BACKGAMMON CLUB")</f>
        <v>BORDEAUX BACKGAMMON CLUB</v>
      </c>
      <c r="C543" s="1">
        <f>IFERROR(__xludf.DUMMYFUNCTION("""COMPUTED_VALUE"""),554.0)</f>
        <v>554</v>
      </c>
      <c r="D543" s="1">
        <v>0.0</v>
      </c>
      <c r="E543" s="2"/>
      <c r="F543" s="2"/>
      <c r="G543" s="2"/>
      <c r="H543" s="2"/>
      <c r="I543" s="2"/>
    </row>
    <row r="544">
      <c r="A544" s="1" t="s">
        <v>340</v>
      </c>
      <c r="B544" s="1" t="str">
        <f>IFERROR(__xludf.DUMMYFUNCTION("SPLIT(A544,"";"")"),"BORDEAUX BASTIDE BASKET")</f>
        <v>BORDEAUX BASTIDE BASKET</v>
      </c>
      <c r="C544" s="3">
        <f>IFERROR(__xludf.DUMMYFUNCTION("""COMPUTED_VALUE"""),48049.0)</f>
        <v>48049</v>
      </c>
      <c r="D544" s="1">
        <v>14.0</v>
      </c>
      <c r="E544" s="2"/>
      <c r="F544" s="2"/>
      <c r="G544" s="2"/>
      <c r="H544" s="2"/>
      <c r="I544" s="2"/>
    </row>
    <row r="545">
      <c r="A545" s="1" t="s">
        <v>341</v>
      </c>
      <c r="B545" s="1" t="str">
        <f>IFERROR(__xludf.DUMMYFUNCTION("SPLIT(A545,"";"")"),"BORDEAUX CAUDERAN BRIDGE CLUB (BCBC)")</f>
        <v>BORDEAUX CAUDERAN BRIDGE CLUB (BCBC)</v>
      </c>
      <c r="C545" s="3">
        <f>IFERROR(__xludf.DUMMYFUNCTION("""COMPUTED_VALUE"""),22173.0)</f>
        <v>22173</v>
      </c>
      <c r="D545" s="1">
        <v>0.0</v>
      </c>
      <c r="E545" s="2"/>
      <c r="F545" s="2"/>
      <c r="G545" s="2"/>
      <c r="H545" s="2"/>
      <c r="I545" s="2"/>
    </row>
    <row r="546">
      <c r="A546" s="1" t="s">
        <v>342</v>
      </c>
      <c r="B546" s="1" t="str">
        <f>IFERROR(__xludf.DUMMYFUNCTION("SPLIT(A546,"";"")"),"BORDEAUX CHANSON")</f>
        <v>BORDEAUX CHANSON</v>
      </c>
      <c r="C546" s="3">
        <f>IFERROR(__xludf.DUMMYFUNCTION("""COMPUTED_VALUE"""),2880.0)</f>
        <v>2880</v>
      </c>
      <c r="D546" s="1">
        <v>0.0</v>
      </c>
      <c r="E546" s="2"/>
      <c r="F546" s="2"/>
      <c r="G546" s="2"/>
      <c r="H546" s="2"/>
      <c r="I546" s="2"/>
    </row>
    <row r="547">
      <c r="A547" s="1" t="s">
        <v>343</v>
      </c>
      <c r="B547" s="1" t="str">
        <f>IFERROR(__xludf.DUMMYFUNCTION("SPLIT(A547,"";"")"),"BORDEAUX CITE TANGO BCT")</f>
        <v>BORDEAUX CITE TANGO BCT</v>
      </c>
      <c r="C547" s="3">
        <f>IFERROR(__xludf.DUMMYFUNCTION("""COMPUTED_VALUE"""),5207.0)</f>
        <v>5207</v>
      </c>
      <c r="D547" s="1">
        <v>99.0</v>
      </c>
      <c r="E547" s="2"/>
      <c r="F547" s="2"/>
      <c r="G547" s="2"/>
      <c r="H547" s="2"/>
      <c r="I547" s="2"/>
    </row>
    <row r="548">
      <c r="A548" s="1" t="s">
        <v>344</v>
      </c>
      <c r="B548" s="1" t="str">
        <f>IFERROR(__xludf.DUMMYFUNCTION("SPLIT(A548,"";"")"),"BORDEAUX CRITERIUM CYCLISTE INTERNATIONAL - BCCI")</f>
        <v>BORDEAUX CRITERIUM CYCLISTE INTERNATIONAL - BCCI</v>
      </c>
      <c r="C548" s="3">
        <f>IFERROR(__xludf.DUMMYFUNCTION("""COMPUTED_VALUE"""),7362.0)</f>
        <v>7362</v>
      </c>
      <c r="D548" s="1">
        <v>74.0</v>
      </c>
      <c r="E548" s="2"/>
      <c r="F548" s="2"/>
      <c r="G548" s="2"/>
      <c r="H548" s="2"/>
      <c r="I548" s="2"/>
    </row>
    <row r="549">
      <c r="A549" s="1" t="s">
        <v>345</v>
      </c>
      <c r="B549" s="1" t="str">
        <f>IFERROR(__xludf.DUMMYFUNCTION("SPLIT(A549,"";"")"),"BORDEAUX DANCE'IN CLUB")</f>
        <v>BORDEAUX DANCE'IN CLUB</v>
      </c>
      <c r="C549" s="3">
        <f>IFERROR(__xludf.DUMMYFUNCTION("""COMPUTED_VALUE"""),22396.0)</f>
        <v>22396</v>
      </c>
      <c r="D549" s="1">
        <v>18.0</v>
      </c>
      <c r="E549" s="2"/>
      <c r="F549" s="2"/>
      <c r="G549" s="2"/>
      <c r="H549" s="2"/>
      <c r="I549" s="2"/>
    </row>
    <row r="550">
      <c r="A550" s="1" t="s">
        <v>346</v>
      </c>
      <c r="B550" s="1" t="str">
        <f>IFERROR(__xludf.DUMMYFUNCTION("SPLIT(A550,"";"")"),"BORDEAUX DEMAIN")</f>
        <v>BORDEAUX DEMAIN</v>
      </c>
      <c r="C550" s="3">
        <f>IFERROR(__xludf.DUMMYFUNCTION("""COMPUTED_VALUE"""),1070.0)</f>
        <v>1070</v>
      </c>
      <c r="D550" s="1">
        <v>0.0</v>
      </c>
      <c r="E550" s="2"/>
      <c r="F550" s="2"/>
      <c r="G550" s="2"/>
      <c r="H550" s="2"/>
      <c r="I550" s="2"/>
    </row>
    <row r="551">
      <c r="A551" s="1" t="s">
        <v>347</v>
      </c>
      <c r="B551" s="1" t="str">
        <f>IFERROR(__xludf.DUMMYFUNCTION("SPLIT(A551,"";"")"),"BORDEAUX ENTREPRENEURS")</f>
        <v>BORDEAUX ENTREPRENEURS</v>
      </c>
      <c r="C551" s="1">
        <f>IFERROR(__xludf.DUMMYFUNCTION("""COMPUTED_VALUE"""),820.0)</f>
        <v>820</v>
      </c>
      <c r="D551" s="1">
        <v>0.0</v>
      </c>
      <c r="E551" s="2"/>
      <c r="F551" s="2"/>
      <c r="G551" s="2"/>
      <c r="H551" s="2"/>
      <c r="I551" s="2"/>
    </row>
    <row r="552">
      <c r="A552" s="1" t="s">
        <v>348</v>
      </c>
      <c r="B552" s="1" t="str">
        <f>IFERROR(__xludf.DUMMYFUNCTION("SPLIT(A552,"";"")"),"BORDEAUX ETUDIANTS CLUB - BEC")</f>
        <v>BORDEAUX ETUDIANTS CLUB - BEC</v>
      </c>
      <c r="C552" s="3">
        <f>IFERROR(__xludf.DUMMYFUNCTION("""COMPUTED_VALUE"""),248842.0)</f>
        <v>248842</v>
      </c>
      <c r="D552" s="1">
        <v>70.0</v>
      </c>
      <c r="E552" s="2"/>
      <c r="F552" s="2"/>
      <c r="G552" s="2"/>
      <c r="H552" s="2"/>
      <c r="I552" s="2"/>
    </row>
    <row r="553">
      <c r="A553" s="1" t="s">
        <v>349</v>
      </c>
      <c r="B553" s="1" t="str">
        <f>IFERROR(__xludf.DUMMYFUNCTION("SPLIT(A553,"";"")"),"BORDEAUX FOOTBALL AMERICAIN - LES LIONS DE BORDEAUX")</f>
        <v>BORDEAUX FOOTBALL AMERICAIN - LES LIONS DE BORDEAUX</v>
      </c>
      <c r="C553" s="3">
        <f>IFERROR(__xludf.DUMMYFUNCTION("""COMPUTED_VALUE"""),4334.0)</f>
        <v>4334</v>
      </c>
      <c r="D553" s="1">
        <v>0.0</v>
      </c>
      <c r="E553" s="2"/>
      <c r="F553" s="2"/>
      <c r="G553" s="2"/>
      <c r="H553" s="2"/>
      <c r="I553" s="2"/>
    </row>
    <row r="554">
      <c r="A554" s="1" t="s">
        <v>350</v>
      </c>
      <c r="B554" s="1" t="str">
        <f>IFERROR(__xludf.DUMMYFUNCTION("SPLIT(A554,"";"")"),"BORDEAUX FUTSAL CLUB")</f>
        <v>BORDEAUX FUTSAL CLUB</v>
      </c>
      <c r="C554" s="1">
        <f>IFERROR(__xludf.DUMMYFUNCTION("""COMPUTED_VALUE"""),24.0)</f>
        <v>24</v>
      </c>
      <c r="D554" s="1">
        <v>0.0</v>
      </c>
      <c r="E554" s="2"/>
      <c r="F554" s="2"/>
      <c r="G554" s="2"/>
      <c r="H554" s="2"/>
      <c r="I554" s="2"/>
    </row>
    <row r="555">
      <c r="A555" s="1" t="s">
        <v>351</v>
      </c>
      <c r="B555" s="1" t="str">
        <f>IFERROR(__xludf.DUMMYFUNCTION("SPLIT(A555,"";"")"),"BORDEAUX GIRONDE INVESTISSEMENT")</f>
        <v>BORDEAUX GIRONDE INVESTISSEMENT</v>
      </c>
      <c r="C555" s="1">
        <f>IFERROR(__xludf.DUMMYFUNCTION("""COMPUTED_VALUE"""),767.0)</f>
        <v>767</v>
      </c>
      <c r="D555" s="1">
        <v>44.0</v>
      </c>
      <c r="E555" s="2"/>
      <c r="F555" s="2"/>
      <c r="G555" s="2"/>
      <c r="H555" s="2"/>
      <c r="I555" s="2"/>
    </row>
    <row r="556">
      <c r="A556" s="1" t="s">
        <v>352</v>
      </c>
      <c r="B556" s="1" t="str">
        <f>IFERROR(__xludf.DUMMYFUNCTION("SPLIT(A556,"";"")"),"BORDEAUX GRANDS EVENEMENTS (BGE)")</f>
        <v>BORDEAUX GRANDS EVENEMENTS (BGE)</v>
      </c>
      <c r="C556" s="3">
        <f>IFERROR(__xludf.DUMMYFUNCTION("""COMPUTED_VALUE"""),93511.0)</f>
        <v>93511</v>
      </c>
      <c r="D556" s="1">
        <v>50.0</v>
      </c>
      <c r="E556" s="2"/>
      <c r="F556" s="2"/>
      <c r="G556" s="2"/>
      <c r="H556" s="2"/>
      <c r="I556" s="2"/>
    </row>
    <row r="557">
      <c r="A557" s="1" t="s">
        <v>353</v>
      </c>
      <c r="B557" s="1" t="str">
        <f>IFERROR(__xludf.DUMMYFUNCTION("SPLIT(A557,"";"")"),"BORDEAUX INTER CHALLENGE - BIC")</f>
        <v>BORDEAUX INTER CHALLENGE - BIC</v>
      </c>
      <c r="C557" s="1">
        <f>IFERROR(__xludf.DUMMYFUNCTION("""COMPUTED_VALUE"""),610.0)</f>
        <v>610</v>
      </c>
      <c r="D557" s="1">
        <v>0.0</v>
      </c>
      <c r="E557" s="2"/>
      <c r="F557" s="2"/>
      <c r="G557" s="2"/>
      <c r="H557" s="2"/>
      <c r="I557" s="2"/>
    </row>
    <row r="558">
      <c r="A558" s="1" t="s">
        <v>354</v>
      </c>
      <c r="B558" s="1" t="str">
        <f>IFERROR(__xludf.DUMMYFUNCTION("SPLIT(A558,"";"")"),"BORD'EAUX LOISIR PECHE")</f>
        <v>BORD'EAUX LOISIR PECHE</v>
      </c>
      <c r="C558" s="1">
        <f>IFERROR(__xludf.DUMMYFUNCTION("""COMPUTED_VALUE"""),251.0)</f>
        <v>251</v>
      </c>
      <c r="D558" s="1">
        <v>72.0</v>
      </c>
      <c r="E558" s="2"/>
      <c r="F558" s="2"/>
      <c r="G558" s="2"/>
      <c r="H558" s="2"/>
      <c r="I558" s="2"/>
    </row>
    <row r="559">
      <c r="A559" s="1" t="s">
        <v>355</v>
      </c>
      <c r="B559" s="1" t="str">
        <f>IFERROR(__xludf.DUMMYFUNCTION("SPLIT(A559,"";"")"),"BORDEAUX MARITIME SAUVETAGE &amp; SECOURISME - BM2S")</f>
        <v>BORDEAUX MARITIME SAUVETAGE &amp; SECOURISME - BM2S</v>
      </c>
      <c r="C559" s="3">
        <f>IFERROR(__xludf.DUMMYFUNCTION("""COMPUTED_VALUE"""),12765.0)</f>
        <v>12765</v>
      </c>
      <c r="D559" s="1">
        <v>6.0</v>
      </c>
      <c r="E559" s="2"/>
      <c r="F559" s="2"/>
      <c r="G559" s="2"/>
      <c r="H559" s="2"/>
      <c r="I559" s="2"/>
    </row>
    <row r="560">
      <c r="A560" s="1" t="s">
        <v>356</v>
      </c>
      <c r="B560" s="1" t="str">
        <f>IFERROR(__xludf.DUMMYFUNCTION("SPLIT(A560,"";"")"),"BORDEAUX MAYOTTE 101")</f>
        <v>BORDEAUX MAYOTTE 101</v>
      </c>
      <c r="C560" s="3">
        <f>IFERROR(__xludf.DUMMYFUNCTION("""COMPUTED_VALUE"""),4086.0)</f>
        <v>4086</v>
      </c>
      <c r="D560" s="1">
        <v>0.0</v>
      </c>
      <c r="E560" s="2"/>
      <c r="F560" s="2"/>
      <c r="G560" s="2"/>
      <c r="H560" s="2"/>
      <c r="I560" s="2"/>
    </row>
    <row r="561">
      <c r="A561" s="1" t="s">
        <v>357</v>
      </c>
      <c r="B561" s="1" t="str">
        <f>IFERROR(__xludf.DUMMYFUNCTION("SPLIT(A561,"";"")"),"BORDEAUX MERIGNAC VOLLEY")</f>
        <v>BORDEAUX MERIGNAC VOLLEY</v>
      </c>
      <c r="C561" s="3">
        <f>IFERROR(__xludf.DUMMYFUNCTION("""COMPUTED_VALUE"""),14661.0)</f>
        <v>14661</v>
      </c>
      <c r="D561" s="1">
        <v>0.0</v>
      </c>
      <c r="E561" s="2"/>
      <c r="F561" s="2"/>
      <c r="G561" s="2"/>
      <c r="H561" s="2"/>
      <c r="I561" s="2"/>
    </row>
    <row r="562">
      <c r="A562" s="1" t="s">
        <v>358</v>
      </c>
      <c r="B562" s="1" t="str">
        <f>IFERROR(__xludf.DUMMYFUNCTION("SPLIT(A562,"";"")"),"BORDEAUX NIHONGO HOSHU JUGYOKO (ECOLE COMPLEMENTAIRE JAPONAISE DE BORDEAUX)")</f>
        <v>BORDEAUX NIHONGO HOSHU JUGYOKO (ECOLE COMPLEMENTAIRE JAPONAISE DE BORDEAUX)</v>
      </c>
      <c r="C562" s="1">
        <f>IFERROR(__xludf.DUMMYFUNCTION("""COMPUTED_VALUE"""),806.0)</f>
        <v>806</v>
      </c>
      <c r="D562" s="1">
        <v>71.0</v>
      </c>
      <c r="E562" s="2"/>
      <c r="F562" s="2"/>
      <c r="G562" s="2"/>
      <c r="H562" s="2"/>
      <c r="I562" s="2"/>
    </row>
    <row r="563">
      <c r="A563" s="1" t="s">
        <v>359</v>
      </c>
      <c r="B563" s="1" t="str">
        <f>IFERROR(__xludf.DUMMYFUNCTION("SPLIT(A563,"";"")"),"BORDEAUX OPEN AIR")</f>
        <v>BORDEAUX OPEN AIR</v>
      </c>
      <c r="C563" s="3">
        <f>IFERROR(__xludf.DUMMYFUNCTION("""COMPUTED_VALUE"""),4909.0)</f>
        <v>4909</v>
      </c>
      <c r="D563" s="1">
        <v>25.0</v>
      </c>
      <c r="E563" s="2"/>
      <c r="F563" s="2"/>
      <c r="G563" s="2"/>
      <c r="H563" s="2"/>
      <c r="I563" s="2"/>
    </row>
    <row r="564">
      <c r="A564" s="1" t="s">
        <v>360</v>
      </c>
      <c r="B564" s="1" t="str">
        <f>IFERROR(__xludf.DUMMYFUNCTION("SPLIT(A564,"";"")"),"BORDEAUX ROCK")</f>
        <v>BORDEAUX ROCK</v>
      </c>
      <c r="C564" s="3">
        <f>IFERROR(__xludf.DUMMYFUNCTION("""COMPUTED_VALUE"""),17448.0)</f>
        <v>17448</v>
      </c>
      <c r="D564" s="1">
        <v>5.0</v>
      </c>
      <c r="E564" s="2"/>
      <c r="F564" s="2"/>
      <c r="G564" s="2"/>
      <c r="H564" s="2"/>
      <c r="I564" s="2"/>
    </row>
    <row r="565">
      <c r="A565" s="1" t="s">
        <v>361</v>
      </c>
      <c r="B565" s="1" t="str">
        <f>IFERROR(__xludf.DUMMYFUNCTION("SPLIT(A565,"";"")"),"BORDEAUX ROLLERBLADING ASSOCIATION - BRA")</f>
        <v>BORDEAUX ROLLERBLADING ASSOCIATION - BRA</v>
      </c>
      <c r="C565" s="1">
        <f>IFERROR(__xludf.DUMMYFUNCTION("""COMPUTED_VALUE"""),444.0)</f>
        <v>444</v>
      </c>
      <c r="D565" s="1">
        <v>0.0</v>
      </c>
      <c r="E565" s="2"/>
      <c r="F565" s="2"/>
      <c r="G565" s="2"/>
      <c r="H565" s="2"/>
      <c r="I565" s="2"/>
    </row>
    <row r="566">
      <c r="A566" s="1" t="s">
        <v>362</v>
      </c>
      <c r="B566" s="1" t="str">
        <f>IFERROR(__xludf.DUMMYFUNCTION("SPLIT(A566,"";"")"),"BORDEAUX SPORTS")</f>
        <v>BORDEAUX SPORTS</v>
      </c>
      <c r="C566" s="3">
        <f>IFERROR(__xludf.DUMMYFUNCTION("""COMPUTED_VALUE"""),27402.0)</f>
        <v>27402</v>
      </c>
      <c r="D566" s="1">
        <v>0.0</v>
      </c>
      <c r="E566" s="2"/>
      <c r="F566" s="2"/>
      <c r="G566" s="2"/>
      <c r="H566" s="2"/>
      <c r="I566" s="2"/>
    </row>
    <row r="567">
      <c r="A567" s="1" t="s">
        <v>363</v>
      </c>
      <c r="B567" s="1" t="str">
        <f>IFERROR(__xludf.DUMMYFUNCTION("SPLIT(A567,"";"")"),"BORDEAUX SPORTS DE GLACE")</f>
        <v>BORDEAUX SPORTS DE GLACE</v>
      </c>
      <c r="C567" s="1">
        <f>IFERROR(__xludf.DUMMYFUNCTION("""COMPUTED_VALUE"""),56.0)</f>
        <v>56</v>
      </c>
      <c r="D567" s="1">
        <v>0.0</v>
      </c>
      <c r="E567" s="2"/>
      <c r="F567" s="2"/>
      <c r="G567" s="2"/>
      <c r="H567" s="2"/>
      <c r="I567" s="2"/>
    </row>
    <row r="568">
      <c r="A568" s="1" t="s">
        <v>364</v>
      </c>
      <c r="B568" s="1" t="str">
        <f>IFERROR(__xludf.DUMMYFUNCTION("SPLIT(A568,"";"")"),"BORDEAUX TEATRO ITALIANO BTI")</f>
        <v>BORDEAUX TEATRO ITALIANO BTI</v>
      </c>
      <c r="C568" s="3">
        <f>IFERROR(__xludf.DUMMYFUNCTION("""COMPUTED_VALUE"""),8831.0)</f>
        <v>8831</v>
      </c>
      <c r="D568" s="1">
        <v>92.0</v>
      </c>
      <c r="E568" s="2"/>
      <c r="F568" s="2"/>
      <c r="G568" s="2"/>
      <c r="H568" s="2"/>
      <c r="I568" s="2"/>
    </row>
    <row r="569">
      <c r="A569" s="1" t="s">
        <v>365</v>
      </c>
      <c r="B569" s="1" t="str">
        <f>IFERROR(__xludf.DUMMYFUNCTION("SPLIT(A569,"";"")"),"BORDEAUX WOMEN'S CLUB")</f>
        <v>BORDEAUX WOMEN'S CLUB</v>
      </c>
      <c r="C569" s="1">
        <f>IFERROR(__xludf.DUMMYFUNCTION("""COMPUTED_VALUE"""),527.0)</f>
        <v>527</v>
      </c>
      <c r="D569" s="1">
        <v>0.0</v>
      </c>
      <c r="E569" s="2"/>
      <c r="F569" s="2"/>
      <c r="G569" s="2"/>
      <c r="H569" s="2"/>
      <c r="I569" s="2"/>
    </row>
    <row r="570">
      <c r="A570" s="1" t="s">
        <v>366</v>
      </c>
      <c r="B570" s="1" t="str">
        <f>IFERROR(__xludf.DUMMYFUNCTION("SPLIT(A570,"";"")"),"BORDEAUX Y NOV CAMPUS")</f>
        <v>BORDEAUX Y NOV CAMPUS</v>
      </c>
      <c r="C570" s="3">
        <f>IFERROR(__xludf.DUMMYFUNCTION("""COMPUTED_VALUE"""),2052.0)</f>
        <v>2052</v>
      </c>
      <c r="D570" s="1">
        <v>0.0</v>
      </c>
      <c r="E570" s="2"/>
      <c r="F570" s="2"/>
      <c r="G570" s="2"/>
      <c r="H570" s="2"/>
      <c r="I570" s="2"/>
    </row>
    <row r="571">
      <c r="A571" s="1" t="s">
        <v>367</v>
      </c>
      <c r="B571" s="1" t="str">
        <f>IFERROR(__xludf.DUMMYFUNCTION("SPLIT(A571,"";"")"),"BORDEAUX YOUNG BUSINESS CLUB - BYBC")</f>
        <v>BORDEAUX YOUNG BUSINESS CLUB - BYBC</v>
      </c>
      <c r="C571" s="1">
        <f>IFERROR(__xludf.DUMMYFUNCTION("""COMPUTED_VALUE"""),476.0)</f>
        <v>476</v>
      </c>
      <c r="D571" s="1">
        <v>0.0</v>
      </c>
      <c r="E571" s="2"/>
      <c r="F571" s="2"/>
      <c r="G571" s="2"/>
      <c r="H571" s="2"/>
      <c r="I571" s="2"/>
    </row>
    <row r="572">
      <c r="A572" s="1" t="s">
        <v>368</v>
      </c>
      <c r="B572" s="1" t="str">
        <f>IFERROR(__xludf.DUMMYFUNCTION("SPLIT(A572,"";"")"),"BORDEAUX-BASTIDE-ESCRIME")</f>
        <v>BORDEAUX-BASTIDE-ESCRIME</v>
      </c>
      <c r="C572" s="3">
        <f>IFERROR(__xludf.DUMMYFUNCTION("""COMPUTED_VALUE"""),10780.0)</f>
        <v>10780</v>
      </c>
      <c r="D572" s="1">
        <v>80.0</v>
      </c>
      <c r="E572" s="2"/>
      <c r="F572" s="2"/>
      <c r="G572" s="2"/>
      <c r="H572" s="2"/>
      <c r="I572" s="2"/>
    </row>
    <row r="573">
      <c r="A573" s="1" t="s">
        <v>369</v>
      </c>
      <c r="B573" s="1" t="str">
        <f>IFERROR(__xludf.DUMMYFUNCTION("SPLIT(A573,"";"")"),"BORDEAUX-GIRONDE-QUEBEC")</f>
        <v>BORDEAUX-GIRONDE-QUEBEC</v>
      </c>
      <c r="C573" s="1">
        <f>IFERROR(__xludf.DUMMYFUNCTION("""COMPUTED_VALUE"""),332.0)</f>
        <v>332</v>
      </c>
      <c r="D573" s="1">
        <v>0.0</v>
      </c>
      <c r="E573" s="2"/>
      <c r="F573" s="2"/>
      <c r="G573" s="2"/>
      <c r="H573" s="2"/>
      <c r="I573" s="2"/>
    </row>
    <row r="574">
      <c r="A574" s="1" t="s">
        <v>370</v>
      </c>
      <c r="B574" s="1" t="str">
        <f>IFERROR(__xludf.DUMMYFUNCTION("SPLIT(A574,"";"")"),"BORDELAIS ASSOCIATIFS FALUCHARDS")</f>
        <v>BORDELAIS ASSOCIATIFS FALUCHARDS</v>
      </c>
      <c r="C574" s="1">
        <f>IFERROR(__xludf.DUMMYFUNCTION("""COMPUTED_VALUE"""),626.0)</f>
        <v>626</v>
      </c>
      <c r="D574" s="1">
        <v>0.0</v>
      </c>
      <c r="E574" s="2"/>
      <c r="F574" s="2"/>
      <c r="G574" s="2"/>
      <c r="H574" s="2"/>
      <c r="I574" s="2"/>
    </row>
    <row r="575">
      <c r="A575" s="1" t="s">
        <v>371</v>
      </c>
      <c r="B575" s="1" t="str">
        <f>IFERROR(__xludf.DUMMYFUNCTION("SPLIT(A575,"";"")"),"BOULEVARD DES POTES")</f>
        <v>BOULEVARD DES POTES</v>
      </c>
      <c r="C575" s="3">
        <f>IFERROR(__xludf.DUMMYFUNCTION("""COMPUTED_VALUE"""),4374.0)</f>
        <v>4374</v>
      </c>
      <c r="D575" s="1">
        <v>52.0</v>
      </c>
      <c r="E575" s="2"/>
      <c r="F575" s="2"/>
      <c r="G575" s="2"/>
      <c r="H575" s="2"/>
      <c r="I575" s="2"/>
    </row>
    <row r="576">
      <c r="A576" s="1" t="s">
        <v>372</v>
      </c>
      <c r="B576" s="1" t="str">
        <f>IFERROR(__xludf.DUMMYFUNCTION("SPLIT(A576,"";"")"),"BOXING CLUB BACALANAIS")</f>
        <v>BOXING CLUB BACALANAIS</v>
      </c>
      <c r="C576" s="3">
        <f>IFERROR(__xludf.DUMMYFUNCTION("""COMPUTED_VALUE"""),18132.0)</f>
        <v>18132</v>
      </c>
      <c r="D576" s="1">
        <v>0.0</v>
      </c>
      <c r="E576" s="2"/>
      <c r="F576" s="2"/>
      <c r="G576" s="2"/>
      <c r="H576" s="2"/>
      <c r="I576" s="2"/>
    </row>
    <row r="577">
      <c r="A577" s="1" t="s">
        <v>373</v>
      </c>
      <c r="B577" s="1" t="str">
        <f>IFERROR(__xludf.DUMMYFUNCTION("SPLIT(A577,"";"")"),"BOXING CLUB BORDELAIS")</f>
        <v>BOXING CLUB BORDELAIS</v>
      </c>
      <c r="C577" s="3">
        <f>IFERROR(__xludf.DUMMYFUNCTION("""COMPUTED_VALUE"""),16308.0)</f>
        <v>16308</v>
      </c>
      <c r="D577" s="1">
        <v>0.0</v>
      </c>
      <c r="E577" s="2"/>
      <c r="F577" s="2"/>
      <c r="G577" s="2"/>
      <c r="H577" s="2"/>
      <c r="I577" s="2"/>
    </row>
    <row r="578">
      <c r="A578" s="1" t="s">
        <v>374</v>
      </c>
      <c r="B578" s="1" t="str">
        <f>IFERROR(__xludf.DUMMYFUNCTION("SPLIT(A578,"";"")"),"BRASS BAND BORGIAQ")</f>
        <v>BRASS BAND BORGIAQ</v>
      </c>
      <c r="C578" s="3">
        <f>IFERROR(__xludf.DUMMYFUNCTION("""COMPUTED_VALUE"""),1055.0)</f>
        <v>1055</v>
      </c>
      <c r="D578" s="1">
        <v>6.0</v>
      </c>
      <c r="E578" s="2"/>
      <c r="F578" s="2"/>
      <c r="G578" s="2"/>
      <c r="H578" s="2"/>
      <c r="I578" s="2"/>
    </row>
    <row r="579">
      <c r="A579" s="1" t="s">
        <v>375</v>
      </c>
      <c r="B579" s="1" t="str">
        <f>IFERROR(__xludf.DUMMYFUNCTION("SPLIT(A579,"";"")"),"BREV’ART")</f>
        <v>BREV’ART</v>
      </c>
      <c r="C579" s="3">
        <f>IFERROR(__xludf.DUMMYFUNCTION("""COMPUTED_VALUE"""),8210.0)</f>
        <v>8210</v>
      </c>
      <c r="D579" s="1">
        <v>35.0</v>
      </c>
      <c r="E579" s="2"/>
      <c r="F579" s="2"/>
      <c r="G579" s="2"/>
      <c r="H579" s="2"/>
      <c r="I579" s="2"/>
    </row>
    <row r="580">
      <c r="A580" s="1" t="s">
        <v>376</v>
      </c>
      <c r="B580" s="1" t="str">
        <f>IFERROR(__xludf.DUMMYFUNCTION("SPLIT(A580,"";"")"),"BRUIT DU FRIGO")</f>
        <v>BRUIT DU FRIGO</v>
      </c>
      <c r="C580" s="1">
        <f>IFERROR(__xludf.DUMMYFUNCTION("""COMPUTED_VALUE"""),267.0)</f>
        <v>267</v>
      </c>
      <c r="D580" s="1">
        <v>40.0</v>
      </c>
      <c r="E580" s="2"/>
      <c r="F580" s="2"/>
      <c r="G580" s="2"/>
      <c r="H580" s="2"/>
      <c r="I580" s="2"/>
    </row>
    <row r="581">
      <c r="A581" s="1" t="s">
        <v>377</v>
      </c>
      <c r="B581" s="1" t="str">
        <f>IFERROR(__xludf.DUMMYFUNCTION("SPLIT(A581,"";"")"),"BURDIGALA CORPORATION")</f>
        <v>BURDIGALA CORPORATION</v>
      </c>
      <c r="C581" s="1">
        <f>IFERROR(__xludf.DUMMYFUNCTION("""COMPUTED_VALUE"""),919.0)</f>
        <v>919</v>
      </c>
      <c r="D581" s="1">
        <v>75.0</v>
      </c>
      <c r="E581" s="2"/>
      <c r="F581" s="2"/>
      <c r="G581" s="2"/>
      <c r="H581" s="2"/>
      <c r="I581" s="2"/>
    </row>
    <row r="582">
      <c r="A582" s="1" t="s">
        <v>378</v>
      </c>
      <c r="B582" s="1" t="str">
        <f>IFERROR(__xludf.DUMMYFUNCTION("SPLIT(A582,"";"")"),"BURDIGALA PHOTOS CLUB")</f>
        <v>BURDIGALA PHOTOS CLUB</v>
      </c>
      <c r="C582" s="3">
        <f>IFERROR(__xludf.DUMMYFUNCTION("""COMPUTED_VALUE"""),7710.0)</f>
        <v>7710</v>
      </c>
      <c r="D582" s="1">
        <v>62.0</v>
      </c>
      <c r="E582" s="2"/>
      <c r="F582" s="2"/>
      <c r="G582" s="2"/>
      <c r="H582" s="2"/>
      <c r="I582" s="2"/>
    </row>
    <row r="583">
      <c r="A583" s="1" t="s">
        <v>379</v>
      </c>
      <c r="B583" s="1" t="str">
        <f>IFERROR(__xludf.DUMMYFUNCTION("SPLIT(A583,"";"")"),"BURDIGALA SAVATE-CLUB")</f>
        <v>BURDIGALA SAVATE-CLUB</v>
      </c>
      <c r="C583" s="3">
        <f>IFERROR(__xludf.DUMMYFUNCTION("""COMPUTED_VALUE"""),6867.0)</f>
        <v>6867</v>
      </c>
      <c r="D583" s="1">
        <v>0.0</v>
      </c>
      <c r="E583" s="2"/>
      <c r="F583" s="2"/>
      <c r="G583" s="2"/>
      <c r="H583" s="2"/>
      <c r="I583" s="2"/>
    </row>
    <row r="584">
      <c r="A584" s="1" t="s">
        <v>380</v>
      </c>
      <c r="B584" s="1" t="str">
        <f>IFERROR(__xludf.DUMMYFUNCTION("SPLIT(A584,"";"")"),"C.F.A. - CENTRE DE FORMATION ADAGE")</f>
        <v>C.F.A. - CENTRE DE FORMATION ADAGE</v>
      </c>
      <c r="C584" s="1">
        <f>IFERROR(__xludf.DUMMYFUNCTION("""COMPUTED_VALUE"""),745.0)</f>
        <v>745</v>
      </c>
      <c r="D584" s="1">
        <v>0.0</v>
      </c>
      <c r="E584" s="2"/>
      <c r="F584" s="2"/>
      <c r="G584" s="2"/>
      <c r="H584" s="2"/>
      <c r="I584" s="2"/>
    </row>
    <row r="585">
      <c r="A585" s="1" t="s">
        <v>381</v>
      </c>
      <c r="B585" s="1" t="str">
        <f>IFERROR(__xludf.DUMMYFUNCTION("SPLIT(A585,"";"")"),"C.O.D. FORMATION (FORMASUP CAMPUS)")</f>
        <v>C.O.D. FORMATION (FORMASUP CAMPUS)</v>
      </c>
      <c r="C585" s="3">
        <f>IFERROR(__xludf.DUMMYFUNCTION("""COMPUTED_VALUE"""),1249.0)</f>
        <v>1249</v>
      </c>
      <c r="D585" s="1">
        <v>14.0</v>
      </c>
      <c r="E585" s="2"/>
      <c r="F585" s="2"/>
      <c r="G585" s="2"/>
      <c r="H585" s="2"/>
      <c r="I585" s="2"/>
    </row>
    <row r="586">
      <c r="A586" s="1" t="s">
        <v>382</v>
      </c>
      <c r="B586" s="1" t="str">
        <f>IFERROR(__xludf.DUMMYFUNCTION("SPLIT(A586,"";"")"),"CAC33")</f>
        <v>CAC33</v>
      </c>
      <c r="C586" s="1">
        <f>IFERROR(__xludf.DUMMYFUNCTION("""COMPUTED_VALUE"""),181.0)</f>
        <v>181</v>
      </c>
      <c r="D586" s="1">
        <v>0.0</v>
      </c>
      <c r="E586" s="2"/>
      <c r="F586" s="2"/>
      <c r="G586" s="2"/>
      <c r="H586" s="2"/>
      <c r="I586" s="2"/>
    </row>
    <row r="587">
      <c r="A587" s="1" t="s">
        <v>383</v>
      </c>
      <c r="B587" s="1" t="str">
        <f>IFERROR(__xludf.DUMMYFUNCTION("SPLIT(A587,"";"")"),"CAHIERS D'ARCHIVES")</f>
        <v>CAHIERS D'ARCHIVES</v>
      </c>
      <c r="C587" s="1">
        <f>IFERROR(__xludf.DUMMYFUNCTION("""COMPUTED_VALUE"""),578.0)</f>
        <v>578</v>
      </c>
      <c r="D587" s="1">
        <v>0.0</v>
      </c>
      <c r="E587" s="2"/>
      <c r="F587" s="2"/>
      <c r="G587" s="2"/>
      <c r="H587" s="2"/>
      <c r="I587" s="2"/>
    </row>
    <row r="588">
      <c r="A588" s="1" t="s">
        <v>384</v>
      </c>
      <c r="B588" s="1" t="str">
        <f>IFERROR(__xludf.DUMMYFUNCTION("SPLIT(A588,"";"")"),"CALICONTE")</f>
        <v>CALICONTE</v>
      </c>
      <c r="C588" s="1">
        <f>IFERROR(__xludf.DUMMYFUNCTION("""COMPUTED_VALUE"""),46.0)</f>
        <v>46</v>
      </c>
      <c r="D588" s="1">
        <v>0.0</v>
      </c>
      <c r="E588" s="2"/>
      <c r="F588" s="2"/>
      <c r="G588" s="2"/>
      <c r="H588" s="2"/>
      <c r="I588" s="2"/>
    </row>
    <row r="589">
      <c r="A589" s="1" t="s">
        <v>385</v>
      </c>
      <c r="B589" s="1" t="str">
        <f>IFERROR(__xludf.DUMMYFUNCTION("SPLIT(A589,"";"")"),"CALK - COMITE D'ANIMATION LAFONTAINE KLEBER")</f>
        <v>CALK - COMITE D'ANIMATION LAFONTAINE KLEBER</v>
      </c>
      <c r="C589" s="3">
        <f>IFERROR(__xludf.DUMMYFUNCTION("""COMPUTED_VALUE"""),4561.0)</f>
        <v>4561</v>
      </c>
      <c r="D589" s="1">
        <v>20.0</v>
      </c>
      <c r="E589" s="2"/>
      <c r="F589" s="2"/>
      <c r="G589" s="2"/>
      <c r="H589" s="2"/>
      <c r="I589" s="2"/>
    </row>
    <row r="590">
      <c r="A590" s="1" t="s">
        <v>386</v>
      </c>
      <c r="B590" s="1" t="str">
        <f>IFERROR(__xludf.DUMMYFUNCTION("SPLIT(A590,"";"")"),"CANCER SUPPORT FRANCE BORDEAUX &amp; REGION (CSF BORDEAUX &amp; REGION)")</f>
        <v>CANCER SUPPORT FRANCE BORDEAUX &amp; REGION (CSF BORDEAUX &amp; REGION)</v>
      </c>
      <c r="C590" s="1">
        <f>IFERROR(__xludf.DUMMYFUNCTION("""COMPUTED_VALUE"""),46.0)</f>
        <v>46</v>
      </c>
      <c r="D590" s="1">
        <v>0.0</v>
      </c>
      <c r="E590" s="2"/>
      <c r="F590" s="2"/>
      <c r="G590" s="2"/>
      <c r="H590" s="2"/>
      <c r="I590" s="2"/>
    </row>
    <row r="591">
      <c r="A591" s="1" t="s">
        <v>387</v>
      </c>
      <c r="B591" s="1" t="str">
        <f>IFERROR(__xludf.DUMMYFUNCTION("SPLIT(A591,"";"")"),"CAP AND CO")</f>
        <v>CAP AND CO</v>
      </c>
      <c r="C591" s="1">
        <f>IFERROR(__xludf.DUMMYFUNCTION("""COMPUTED_VALUE"""),276.0)</f>
        <v>276</v>
      </c>
      <c r="D591" s="1">
        <v>0.0</v>
      </c>
      <c r="E591" s="2"/>
      <c r="F591" s="2"/>
      <c r="G591" s="2"/>
      <c r="H591" s="2"/>
      <c r="I591" s="2"/>
    </row>
    <row r="592">
      <c r="A592" s="1" t="s">
        <v>388</v>
      </c>
      <c r="B592" s="1" t="str">
        <f>IFERROR(__xludf.DUMMYFUNCTION("SPLIT(A592,"";"")"),"CAP CARREIRE : CULTURES")</f>
        <v>CAP CARREIRE : CULTURES</v>
      </c>
      <c r="C592" s="1"/>
      <c r="D592" s="1" t="s">
        <v>389</v>
      </c>
      <c r="E592" s="1">
        <v>37.0</v>
      </c>
      <c r="F592" s="2"/>
      <c r="G592" s="2"/>
      <c r="H592" s="2"/>
      <c r="I592" s="2"/>
    </row>
    <row r="593">
      <c r="A593" s="1" t="s">
        <v>390</v>
      </c>
      <c r="B593" s="1" t="str">
        <f>IFERROR(__xludf.DUMMYFUNCTION("SPLIT(A593,"";"")"),"CAP DE VIE")</f>
        <v>CAP DE VIE</v>
      </c>
      <c r="C593" s="1">
        <f>IFERROR(__xludf.DUMMYFUNCTION("""COMPUTED_VALUE"""),185.0)</f>
        <v>185</v>
      </c>
      <c r="D593" s="1">
        <v>0.0</v>
      </c>
      <c r="E593" s="2"/>
      <c r="F593" s="2"/>
      <c r="G593" s="2"/>
      <c r="H593" s="2"/>
      <c r="I593" s="2"/>
    </row>
    <row r="594">
      <c r="A594" s="1" t="s">
        <v>391</v>
      </c>
      <c r="B594" s="1" t="str">
        <f>IFERROR(__xludf.DUMMYFUNCTION("SPLIT(A594,"";"")"),"CARABINS DE BORDEAUX")</f>
        <v>CARABINS DE BORDEAUX</v>
      </c>
      <c r="C594" s="3">
        <f>IFERROR(__xludf.DUMMYFUNCTION("""COMPUTED_VALUE"""),1640.0)</f>
        <v>1640</v>
      </c>
      <c r="D594" s="1">
        <v>40.0</v>
      </c>
      <c r="E594" s="2"/>
      <c r="F594" s="2"/>
      <c r="G594" s="2"/>
      <c r="H594" s="2"/>
      <c r="I594" s="2"/>
    </row>
    <row r="595">
      <c r="A595" s="1" t="s">
        <v>392</v>
      </c>
      <c r="B595" s="1" t="str">
        <f>IFERROR(__xludf.DUMMYFUNCTION("SPLIT(A595,"";"")"),"CATHEDRA")</f>
        <v>CATHEDRA</v>
      </c>
      <c r="C595" s="3">
        <f>IFERROR(__xludf.DUMMYFUNCTION("""COMPUTED_VALUE"""),7419.0)</f>
        <v>7419</v>
      </c>
      <c r="D595" s="1">
        <v>45.0</v>
      </c>
      <c r="E595" s="2"/>
      <c r="F595" s="2"/>
      <c r="G595" s="2"/>
      <c r="H595" s="2"/>
      <c r="I595" s="2"/>
    </row>
    <row r="596">
      <c r="A596" s="1" t="s">
        <v>393</v>
      </c>
      <c r="B596" s="1" t="str">
        <f>IFERROR(__xludf.DUMMYFUNCTION("SPLIT(A596,"";"")"),"CDANSLABOITE")</f>
        <v>CDANSLABOITE</v>
      </c>
      <c r="C596" s="3">
        <f>IFERROR(__xludf.DUMMYFUNCTION("""COMPUTED_VALUE"""),3440.0)</f>
        <v>3440</v>
      </c>
      <c r="D596" s="1">
        <v>0.0</v>
      </c>
      <c r="E596" s="2"/>
      <c r="F596" s="2"/>
      <c r="G596" s="2"/>
      <c r="H596" s="2"/>
      <c r="I596" s="2"/>
    </row>
    <row r="597">
      <c r="A597" s="1" t="s">
        <v>394</v>
      </c>
      <c r="B597" s="1" t="str">
        <f>IFERROR(__xludf.DUMMYFUNCTION("SPLIT(A597,"";"")"),"CDISCOUNT@SPORT")</f>
        <v>CDISCOUNT@SPORT</v>
      </c>
      <c r="C597" s="3">
        <f>IFERROR(__xludf.DUMMYFUNCTION("""COMPUTED_VALUE"""),1000.0)</f>
        <v>1000</v>
      </c>
      <c r="D597" s="1">
        <v>0.0</v>
      </c>
      <c r="E597" s="2"/>
      <c r="F597" s="2"/>
      <c r="G597" s="2"/>
      <c r="H597" s="2"/>
      <c r="I597" s="2"/>
    </row>
    <row r="598">
      <c r="A598" s="1" t="s">
        <v>395</v>
      </c>
      <c r="B598" s="1" t="str">
        <f>IFERROR(__xludf.DUMMYFUNCTION("SPLIT(A598,"";"")"),"CENTRE ATLANTIC")</f>
        <v>CENTRE ATLANTIC</v>
      </c>
      <c r="C598" s="1">
        <f>IFERROR(__xludf.DUMMYFUNCTION("""COMPUTED_VALUE"""),265.0)</f>
        <v>265</v>
      </c>
      <c r="D598" s="1">
        <v>0.0</v>
      </c>
      <c r="E598" s="2"/>
      <c r="F598" s="2"/>
      <c r="G598" s="2"/>
      <c r="H598" s="2"/>
      <c r="I598" s="2"/>
    </row>
    <row r="599">
      <c r="A599" s="1" t="s">
        <v>396</v>
      </c>
      <c r="B599" s="1" t="str">
        <f>IFERROR(__xludf.DUMMYFUNCTION("SPLIT(A599,"";"")"),"CENTRE CULTUREL TURC DE BORDEAUX ET SES ENVIRONS")</f>
        <v>CENTRE CULTUREL TURC DE BORDEAUX ET SES ENVIRONS</v>
      </c>
      <c r="C599" s="1">
        <f>IFERROR(__xludf.DUMMYFUNCTION("""COMPUTED_VALUE"""),210.0)</f>
        <v>210</v>
      </c>
      <c r="D599" s="1">
        <v>0.0</v>
      </c>
      <c r="E599" s="2"/>
      <c r="F599" s="2"/>
      <c r="G599" s="2"/>
      <c r="H599" s="2"/>
      <c r="I599" s="2"/>
    </row>
    <row r="600">
      <c r="A600" s="1" t="s">
        <v>397</v>
      </c>
      <c r="B600" s="1" t="str">
        <f>IFERROR(__xludf.DUMMYFUNCTION("SPLIT(A600,"";"")"),"CENTRE D'ACCUEIL D'INFORMATION ET D'ORIENTATION - CAIO")</f>
        <v>CENTRE D'ACCUEIL D'INFORMATION ET D'ORIENTATION - CAIO</v>
      </c>
      <c r="C600" s="1">
        <f>IFERROR(__xludf.DUMMYFUNCTION("""COMPUTED_VALUE"""),92.0)</f>
        <v>92</v>
      </c>
      <c r="D600" s="1">
        <v>40.0</v>
      </c>
      <c r="E600" s="2"/>
      <c r="F600" s="2"/>
      <c r="G600" s="2"/>
      <c r="H600" s="2"/>
      <c r="I600" s="2"/>
    </row>
    <row r="601">
      <c r="A601" s="1" t="s">
        <v>398</v>
      </c>
      <c r="B601" s="1" t="str">
        <f>IFERROR(__xludf.DUMMYFUNCTION("SPLIT(A601,"";"")"),"CENTRE D'ACTION ET DE PREVENTION CONTRE LA RADICALISATION LIEE A L'ISLAMISME (CAPRI)")</f>
        <v>CENTRE D'ACTION ET DE PREVENTION CONTRE LA RADICALISATION LIEE A L'ISLAMISME (CAPRI)</v>
      </c>
      <c r="C601" s="3">
        <f>IFERROR(__xludf.DUMMYFUNCTION("""COMPUTED_VALUE"""),1267.0)</f>
        <v>1267</v>
      </c>
      <c r="D601" s="1">
        <v>0.0</v>
      </c>
      <c r="E601" s="2"/>
      <c r="F601" s="2"/>
      <c r="G601" s="2"/>
      <c r="H601" s="2"/>
      <c r="I601" s="2"/>
    </row>
    <row r="602">
      <c r="A602" s="1" t="s">
        <v>399</v>
      </c>
      <c r="B602" s="1" t="str">
        <f>IFERROR(__xludf.DUMMYFUNCTION("SPLIT(A602,"";"")"),"CENTRE DE LIAISON DES EQUIPES DE RECHERCHE")</f>
        <v>CENTRE DE LIAISON DES EQUIPES DE RECHERCHE</v>
      </c>
      <c r="C602" s="1"/>
      <c r="D602" s="1" t="s">
        <v>400</v>
      </c>
      <c r="E602" s="1">
        <v>0.0</v>
      </c>
      <c r="F602" s="2"/>
      <c r="G602" s="2"/>
      <c r="H602" s="2"/>
      <c r="I602" s="2"/>
    </row>
    <row r="603">
      <c r="A603" s="1" t="s">
        <v>401</v>
      </c>
      <c r="B603" s="1" t="str">
        <f>IFERROR(__xludf.DUMMYFUNCTION("SPLIT(A603,"";"")"),"CENTRE DE MUSICOTHERAPIE DE LA GIRONDE")</f>
        <v>CENTRE DE MUSICOTHERAPIE DE LA GIRONDE</v>
      </c>
      <c r="C603" s="1">
        <f>IFERROR(__xludf.DUMMYFUNCTION("""COMPUTED_VALUE"""),21.0)</f>
        <v>21</v>
      </c>
      <c r="D603" s="1">
        <v>0.0</v>
      </c>
      <c r="E603" s="2"/>
      <c r="F603" s="2"/>
      <c r="G603" s="2"/>
      <c r="H603" s="2"/>
      <c r="I603" s="2"/>
    </row>
    <row r="604">
      <c r="A604" s="1" t="s">
        <v>402</v>
      </c>
      <c r="B604" s="1" t="str">
        <f>IFERROR(__xludf.DUMMYFUNCTION("SPLIT(A604,"";"")"),"CENTRE DE PREVENTION ET DE LOISIRS DES JEUNES DE BORDEAUX - CPLJ Bordeaux")</f>
        <v>CENTRE DE PREVENTION ET DE LOISIRS DES JEUNES DE BORDEAUX - CPLJ Bordeaux</v>
      </c>
      <c r="C604" s="1">
        <f>IFERROR(__xludf.DUMMYFUNCTION("""COMPUTED_VALUE"""),712.0)</f>
        <v>712</v>
      </c>
      <c r="D604" s="1">
        <v>50.0</v>
      </c>
      <c r="E604" s="2"/>
      <c r="F604" s="2"/>
      <c r="G604" s="2"/>
      <c r="H604" s="2"/>
      <c r="I604" s="2"/>
    </row>
    <row r="605">
      <c r="A605" s="1" t="s">
        <v>403</v>
      </c>
      <c r="B605" s="1" t="str">
        <f>IFERROR(__xludf.DUMMYFUNCTION("SPLIT(A605,"";"")"),"CENTRE DE RECHERCHE ET D'INFORMATION POUR LE DEVELOPPEMENT - CRID")</f>
        <v>CENTRE DE RECHERCHE ET D'INFORMATION POUR LE DEVELOPPEMENT - CRID</v>
      </c>
      <c r="C605" s="1">
        <f>IFERROR(__xludf.DUMMYFUNCTION("""COMPUTED_VALUE"""),316.0)</f>
        <v>316</v>
      </c>
      <c r="D605" s="1">
        <v>0.0</v>
      </c>
      <c r="E605" s="2"/>
      <c r="F605" s="2"/>
      <c r="G605" s="2"/>
      <c r="H605" s="2"/>
      <c r="I605" s="2"/>
    </row>
    <row r="606">
      <c r="A606" s="1" t="s">
        <v>404</v>
      </c>
      <c r="B606" s="1" t="str">
        <f>IFERROR(__xludf.DUMMYFUNCTION("SPLIT(A606,"";"")"),"CENTRE DE RESSOURCES D'ECOLOGIE PEDAGOGIQUE D'AQUITAINE  - CREPAQ")</f>
        <v>CENTRE DE RESSOURCES D'ECOLOGIE PEDAGOGIQUE D'AQUITAINE  - CREPAQ</v>
      </c>
      <c r="C606" s="1">
        <f>IFERROR(__xludf.DUMMYFUNCTION("""COMPUTED_VALUE"""),745.0)</f>
        <v>745</v>
      </c>
      <c r="D606" s="1">
        <v>0.0</v>
      </c>
      <c r="E606" s="2"/>
      <c r="F606" s="2"/>
      <c r="G606" s="2"/>
      <c r="H606" s="2"/>
      <c r="I606" s="2"/>
    </row>
    <row r="607">
      <c r="A607" s="1" t="s">
        <v>405</v>
      </c>
      <c r="B607" s="1" t="str">
        <f>IFERROR(__xludf.DUMMYFUNCTION("SPLIT(A607,"";"")"),"CENTRE DE SOPHROLOGIE DYNAMIQUE DE BORDEAUX")</f>
        <v>CENTRE DE SOPHROLOGIE DYNAMIQUE DE BORDEAUX</v>
      </c>
      <c r="C607" s="1">
        <f>IFERROR(__xludf.DUMMYFUNCTION("""COMPUTED_VALUE"""),170.0)</f>
        <v>170</v>
      </c>
      <c r="D607" s="1">
        <v>0.0</v>
      </c>
      <c r="E607" s="2"/>
      <c r="F607" s="2"/>
      <c r="G607" s="2"/>
      <c r="H607" s="2"/>
      <c r="I607" s="2"/>
    </row>
    <row r="608">
      <c r="A608" s="1" t="s">
        <v>406</v>
      </c>
      <c r="B608" s="1" t="str">
        <f>IFERROR(__xludf.DUMMYFUNCTION("SPLIT(A608,"";"")"),"CENTRE DE VOILE DE BORDEAUX-LAC")</f>
        <v>CENTRE DE VOILE DE BORDEAUX-LAC</v>
      </c>
      <c r="C608" s="3">
        <f>IFERROR(__xludf.DUMMYFUNCTION("""COMPUTED_VALUE"""),81440.0)</f>
        <v>81440</v>
      </c>
      <c r="D608" s="1">
        <v>0.0</v>
      </c>
      <c r="E608" s="2"/>
      <c r="F608" s="2"/>
      <c r="G608" s="2"/>
      <c r="H608" s="2"/>
      <c r="I608" s="2"/>
    </row>
    <row r="609">
      <c r="A609" s="1" t="s">
        <v>407</v>
      </c>
      <c r="B609" s="1" t="str">
        <f>IFERROR(__xludf.DUMMYFUNCTION("SPLIT(A609,"";"")"),"CENTRE DES ETUDES DE LA REPUBLIQUE DEMOCRATIQUE")</f>
        <v>CENTRE DES ETUDES DE LA REPUBLIQUE DEMOCRATIQUE</v>
      </c>
      <c r="C609" s="1">
        <f>IFERROR(__xludf.DUMMYFUNCTION("""COMPUTED_VALUE"""),102.0)</f>
        <v>102</v>
      </c>
      <c r="D609" s="1">
        <v>0.0</v>
      </c>
      <c r="E609" s="2"/>
      <c r="F609" s="2"/>
      <c r="G609" s="2"/>
      <c r="H609" s="2"/>
      <c r="I609" s="2"/>
    </row>
    <row r="610">
      <c r="A610" s="1" t="s">
        <v>408</v>
      </c>
      <c r="B610" s="1" t="str">
        <f>IFERROR(__xludf.DUMMYFUNCTION("SPLIT(A610,"";"")"),"CENTRE DES FESTIVALS FRANCE-RUSSIE")</f>
        <v>CENTRE DES FESTIVALS FRANCE-RUSSIE</v>
      </c>
      <c r="C610" s="1">
        <f>IFERROR(__xludf.DUMMYFUNCTION("""COMPUTED_VALUE"""),364.0)</f>
        <v>364</v>
      </c>
      <c r="D610" s="1">
        <v>0.0</v>
      </c>
      <c r="E610" s="2"/>
      <c r="F610" s="2"/>
      <c r="G610" s="2"/>
      <c r="H610" s="2"/>
      <c r="I610" s="2"/>
    </row>
    <row r="611">
      <c r="A611" s="1" t="s">
        <v>409</v>
      </c>
      <c r="B611" s="1" t="str">
        <f>IFERROR(__xludf.DUMMYFUNCTION("SPLIT(A611,"";"")"),"CENTRE D'ETUDES DE L'AUTO CONNAISSANCE")</f>
        <v>CENTRE D'ETUDES DE L'AUTO CONNAISSANCE</v>
      </c>
      <c r="C611" s="1">
        <f>IFERROR(__xludf.DUMMYFUNCTION("""COMPUTED_VALUE"""),782.0)</f>
        <v>782</v>
      </c>
      <c r="D611" s="1">
        <v>0.0</v>
      </c>
      <c r="E611" s="2"/>
      <c r="F611" s="2"/>
      <c r="G611" s="2"/>
      <c r="H611" s="2"/>
      <c r="I611" s="2"/>
    </row>
    <row r="612">
      <c r="A612" s="1" t="s">
        <v>410</v>
      </c>
      <c r="B612" s="1" t="str">
        <f>IFERROR(__xludf.DUMMYFUNCTION("SPLIT(A612,"";"")"),"CENTRE D'INFORMATION JEUNESSE AQUITAINE - CIJA")</f>
        <v>CENTRE D'INFORMATION JEUNESSE AQUITAINE - CIJA</v>
      </c>
      <c r="C612" s="3">
        <f>IFERROR(__xludf.DUMMYFUNCTION("""COMPUTED_VALUE"""),97430.0)</f>
        <v>97430</v>
      </c>
      <c r="D612" s="1">
        <v>70.0</v>
      </c>
      <c r="E612" s="2"/>
      <c r="F612" s="2"/>
      <c r="G612" s="2"/>
      <c r="H612" s="2"/>
      <c r="I612" s="2"/>
    </row>
    <row r="613">
      <c r="A613" s="1" t="s">
        <v>411</v>
      </c>
      <c r="B613" s="1" t="str">
        <f>IFERROR(__xludf.DUMMYFUNCTION("SPLIT(A613,"";"")"),"CENTRE D'INFORMATION METAPSYCHIQUE - CDIM")</f>
        <v>CENTRE D'INFORMATION METAPSYCHIQUE - CDIM</v>
      </c>
      <c r="C613" s="1">
        <f>IFERROR(__xludf.DUMMYFUNCTION("""COMPUTED_VALUE"""),442.0)</f>
        <v>442</v>
      </c>
      <c r="D613" s="1">
        <v>0.0</v>
      </c>
      <c r="E613" s="2"/>
      <c r="F613" s="2"/>
      <c r="G613" s="2"/>
      <c r="H613" s="2"/>
      <c r="I613" s="2"/>
    </row>
    <row r="614">
      <c r="A614" s="1" t="s">
        <v>412</v>
      </c>
      <c r="B614" s="1" t="str">
        <f>IFERROR(__xludf.DUMMYFUNCTION("SPLIT(A614,"";"")"),"CENTRE ENTREPRISE COMMUNICATION AVANCEE - CECA")</f>
        <v>CENTRE ENTREPRISE COMMUNICATION AVANCEE - CECA</v>
      </c>
      <c r="C614" s="3">
        <f>IFERROR(__xludf.DUMMYFUNCTION("""COMPUTED_VALUE"""),1182.0)</f>
        <v>1182</v>
      </c>
      <c r="D614" s="1">
        <v>58.0</v>
      </c>
      <c r="E614" s="2"/>
      <c r="F614" s="2"/>
      <c r="G614" s="2"/>
      <c r="H614" s="2"/>
      <c r="I614" s="2"/>
    </row>
    <row r="615">
      <c r="A615" s="1" t="s">
        <v>413</v>
      </c>
      <c r="B615" s="1" t="str">
        <f>IFERROR(__xludf.DUMMYFUNCTION("SPLIT(A615,"";"")"),"CENTRE JEAN VIGO EVENEMENTS")</f>
        <v>CENTRE JEAN VIGO EVENEMENTS</v>
      </c>
      <c r="C615" s="3">
        <f>IFERROR(__xludf.DUMMYFUNCTION("""COMPUTED_VALUE"""),12046.0)</f>
        <v>12046</v>
      </c>
      <c r="D615" s="1">
        <v>70.0</v>
      </c>
      <c r="E615" s="2"/>
      <c r="F615" s="2"/>
      <c r="G615" s="2"/>
      <c r="H615" s="2"/>
      <c r="I615" s="2"/>
    </row>
    <row r="616">
      <c r="A616" s="1" t="s">
        <v>414</v>
      </c>
      <c r="B616" s="1" t="str">
        <f>IFERROR(__xludf.DUMMYFUNCTION("SPLIT(A616,"";"")"),"CENTRE REGIONAL D'AQUITAINE D'ETUDES ET D'ACTIONS SUR LES HANDICAPS ET LES INADAPTATIONS - CREAHI")</f>
        <v>CENTRE REGIONAL D'AQUITAINE D'ETUDES ET D'ACTIONS SUR LES HANDICAPS ET LES INADAPTATIONS - CREAHI</v>
      </c>
      <c r="C616" s="3">
        <f>IFERROR(__xludf.DUMMYFUNCTION("""COMPUTED_VALUE"""),1163.0)</f>
        <v>1163</v>
      </c>
      <c r="D616" s="1">
        <v>0.0</v>
      </c>
      <c r="E616" s="2"/>
      <c r="F616" s="2"/>
      <c r="G616" s="2"/>
      <c r="H616" s="2"/>
      <c r="I616" s="2"/>
    </row>
    <row r="617">
      <c r="A617" s="1" t="s">
        <v>415</v>
      </c>
      <c r="B617" s="1" t="str">
        <f>IFERROR(__xludf.DUMMYFUNCTION("SPLIT(A617,"";"")"),"CENTRE REGIONAL D'ECO-ENERGETIQUE D'AQUITAINE - CREAQ")</f>
        <v>CENTRE REGIONAL D'ECO-ENERGETIQUE D'AQUITAINE - CREAQ</v>
      </c>
      <c r="C617" s="1">
        <f>IFERROR(__xludf.DUMMYFUNCTION("""COMPUTED_VALUE"""),551.0)</f>
        <v>551</v>
      </c>
      <c r="D617" s="1">
        <v>0.0</v>
      </c>
      <c r="E617" s="2"/>
      <c r="F617" s="2"/>
      <c r="G617" s="2"/>
      <c r="H617" s="2"/>
      <c r="I617" s="2"/>
    </row>
    <row r="618">
      <c r="A618" s="1" t="s">
        <v>416</v>
      </c>
      <c r="B618" s="1" t="str">
        <f>IFERROR(__xludf.DUMMYFUNCTION("SPLIT(A618,"";"")"),"CENTRE SOCIAL ET FAMILIAL BORDEAUX NORD")</f>
        <v>CENTRE SOCIAL ET FAMILIAL BORDEAUX NORD</v>
      </c>
      <c r="C618" s="3">
        <f>IFERROR(__xludf.DUMMYFUNCTION("""COMPUTED_VALUE"""),47045.0)</f>
        <v>47045</v>
      </c>
      <c r="D618" s="1">
        <v>21.0</v>
      </c>
      <c r="E618" s="2"/>
      <c r="F618" s="2"/>
      <c r="G618" s="2"/>
      <c r="H618" s="2"/>
      <c r="I618" s="2"/>
    </row>
    <row r="619">
      <c r="A619" s="1" t="s">
        <v>417</v>
      </c>
      <c r="B619" s="1" t="str">
        <f>IFERROR(__xludf.DUMMYFUNCTION("SPLIT(A619,"";"")"),"CERCLE BORDELAIS DE SANTE (C.B.S.)")</f>
        <v>CERCLE BORDELAIS DE SANTE (C.B.S.)</v>
      </c>
      <c r="C619" s="1">
        <f>IFERROR(__xludf.DUMMYFUNCTION("""COMPUTED_VALUE"""),238.0)</f>
        <v>238</v>
      </c>
      <c r="D619" s="1">
        <v>0.0</v>
      </c>
      <c r="E619" s="2"/>
      <c r="F619" s="2"/>
      <c r="G619" s="2"/>
      <c r="H619" s="2"/>
      <c r="I619" s="2"/>
    </row>
    <row r="620">
      <c r="A620" s="1" t="s">
        <v>418</v>
      </c>
      <c r="B620" s="1" t="str">
        <f>IFERROR(__xludf.DUMMYFUNCTION("SPLIT(A620,"";"")"),"CERCLE D'AIDE A LA VIE PAR LA VOIE SPIRITUELLE-FRANCE")</f>
        <v>CERCLE D'AIDE A LA VIE PAR LA VOIE SPIRITUELLE-FRANCE</v>
      </c>
      <c r="C620" s="1">
        <f>IFERROR(__xludf.DUMMYFUNCTION("""COMPUTED_VALUE"""),240.0)</f>
        <v>240</v>
      </c>
      <c r="D620" s="1">
        <v>0.0</v>
      </c>
      <c r="E620" s="2"/>
      <c r="F620" s="2"/>
      <c r="G620" s="2"/>
      <c r="H620" s="2"/>
      <c r="I620" s="2"/>
    </row>
    <row r="621">
      <c r="A621" s="1" t="s">
        <v>419</v>
      </c>
      <c r="B621" s="1" t="str">
        <f>IFERROR(__xludf.DUMMYFUNCTION("SPLIT(A621,"";"")"),"CERCLE DES COIFFEURS CREATEURS")</f>
        <v>CERCLE DES COIFFEURS CREATEURS</v>
      </c>
      <c r="C621" s="1">
        <f>IFERROR(__xludf.DUMMYFUNCTION("""COMPUTED_VALUE"""),554.0)</f>
        <v>554</v>
      </c>
      <c r="D621" s="1">
        <v>0.0</v>
      </c>
      <c r="E621" s="2"/>
      <c r="F621" s="2"/>
      <c r="G621" s="2"/>
      <c r="H621" s="2"/>
      <c r="I621" s="2"/>
    </row>
    <row r="622">
      <c r="A622" s="1" t="s">
        <v>420</v>
      </c>
      <c r="B622" s="1" t="str">
        <f>IFERROR(__xludf.DUMMYFUNCTION("SPLIT(A622,"";"")"),"CERCLE DES ESCRIMEURS BORDELAIS (CEB)")</f>
        <v>CERCLE DES ESCRIMEURS BORDELAIS (CEB)</v>
      </c>
      <c r="C622" s="1">
        <f>IFERROR(__xludf.DUMMYFUNCTION("""COMPUTED_VALUE"""),332.0)</f>
        <v>332</v>
      </c>
      <c r="D622" s="1">
        <v>0.0</v>
      </c>
      <c r="E622" s="2"/>
      <c r="F622" s="2"/>
      <c r="G622" s="2"/>
      <c r="H622" s="2"/>
      <c r="I622" s="2"/>
    </row>
    <row r="623">
      <c r="A623" s="1" t="s">
        <v>421</v>
      </c>
      <c r="B623" s="1" t="str">
        <f>IFERROR(__xludf.DUMMYFUNCTION("SPLIT(A623,"";"")"),"CERCLE D'ETUDES ET DE CULTURE FRANÇAISES (CECF)")</f>
        <v>CERCLE D'ETUDES ET DE CULTURE FRANÇAISES (CECF)</v>
      </c>
      <c r="C623" s="3">
        <f>IFERROR(__xludf.DUMMYFUNCTION("""COMPUTED_VALUE"""),14480.0)</f>
        <v>14480</v>
      </c>
      <c r="D623" s="1">
        <v>0.0</v>
      </c>
      <c r="E623" s="2"/>
      <c r="F623" s="2"/>
      <c r="G623" s="2"/>
      <c r="H623" s="2"/>
      <c r="I623" s="2"/>
    </row>
    <row r="624">
      <c r="A624" s="1" t="s">
        <v>422</v>
      </c>
      <c r="B624" s="1" t="str">
        <f>IFERROR(__xludf.DUMMYFUNCTION("SPLIT(A624,"";"")"),"CERCLE D'ETUDES RUSSES")</f>
        <v>CERCLE D'ETUDES RUSSES</v>
      </c>
      <c r="C624" s="3">
        <f>IFERROR(__xludf.DUMMYFUNCTION("""COMPUTED_VALUE"""),1361.0)</f>
        <v>1361</v>
      </c>
      <c r="D624" s="1">
        <v>0.0</v>
      </c>
      <c r="E624" s="2"/>
      <c r="F624" s="2"/>
      <c r="G624" s="2"/>
      <c r="H624" s="2"/>
      <c r="I624" s="2"/>
    </row>
    <row r="625">
      <c r="A625" s="1" t="s">
        <v>423</v>
      </c>
      <c r="B625" s="1" t="str">
        <f>IFERROR(__xludf.DUMMYFUNCTION("SPLIT(A625,"";"")"),"CERCLE JEAN BAPTISTE LYNCH")</f>
        <v>CERCLE JEAN BAPTISTE LYNCH</v>
      </c>
      <c r="C625" s="3">
        <f>IFERROR(__xludf.DUMMYFUNCTION("""COMPUTED_VALUE"""),1138.0)</f>
        <v>1138</v>
      </c>
      <c r="D625" s="1">
        <v>0.0</v>
      </c>
      <c r="E625" s="2"/>
      <c r="F625" s="2"/>
      <c r="G625" s="2"/>
      <c r="H625" s="2"/>
      <c r="I625" s="2"/>
    </row>
    <row r="626">
      <c r="A626" s="1" t="s">
        <v>424</v>
      </c>
      <c r="B626" s="1" t="str">
        <f>IFERROR(__xludf.DUMMYFUNCTION("SPLIT(A626,"";"")"),"CERCLE OENOPHILE AQUITAIN")</f>
        <v>CERCLE OENOPHILE AQUITAIN</v>
      </c>
      <c r="C626" s="1">
        <f>IFERROR(__xludf.DUMMYFUNCTION("""COMPUTED_VALUE"""),477.0)</f>
        <v>477</v>
      </c>
      <c r="D626" s="1">
        <v>0.0</v>
      </c>
      <c r="E626" s="2"/>
      <c r="F626" s="2"/>
      <c r="G626" s="2"/>
      <c r="H626" s="2"/>
      <c r="I626" s="2"/>
    </row>
    <row r="627">
      <c r="A627" s="1" t="s">
        <v>425</v>
      </c>
      <c r="B627" s="1" t="str">
        <f>IFERROR(__xludf.DUMMYFUNCTION("SPLIT(A627,"";"")"),"CERCLE PHILATELIQUE BORDEAUX AQUITAINE")</f>
        <v>CERCLE PHILATELIQUE BORDEAUX AQUITAINE</v>
      </c>
      <c r="C627" s="1">
        <f>IFERROR(__xludf.DUMMYFUNCTION("""COMPUTED_VALUE"""),858.0)</f>
        <v>858</v>
      </c>
      <c r="D627" s="1">
        <v>0.0</v>
      </c>
      <c r="E627" s="2"/>
      <c r="F627" s="2"/>
      <c r="G627" s="2"/>
      <c r="H627" s="2"/>
      <c r="I627" s="2"/>
    </row>
    <row r="628">
      <c r="A628" s="1" t="s">
        <v>426</v>
      </c>
      <c r="B628" s="1" t="str">
        <f>IFERROR(__xludf.DUMMYFUNCTION("SPLIT(A628,"";"")"),"CERCLE POLITEIA")</f>
        <v>CERCLE POLITEIA</v>
      </c>
      <c r="C628" s="1">
        <f>IFERROR(__xludf.DUMMYFUNCTION("""COMPUTED_VALUE"""),17.0)</f>
        <v>17</v>
      </c>
      <c r="D628" s="1">
        <v>0.0</v>
      </c>
      <c r="E628" s="2"/>
      <c r="F628" s="2"/>
      <c r="G628" s="2"/>
      <c r="H628" s="2"/>
      <c r="I628" s="2"/>
    </row>
    <row r="629">
      <c r="A629" s="1" t="s">
        <v>427</v>
      </c>
      <c r="B629" s="1" t="str">
        <f>IFERROR(__xludf.DUMMYFUNCTION("SPLIT(A629,"";"")"),"CERCLE POLITZER")</f>
        <v>CERCLE POLITZER</v>
      </c>
      <c r="C629" s="1">
        <f>IFERROR(__xludf.DUMMYFUNCTION("""COMPUTED_VALUE"""),356.0)</f>
        <v>356</v>
      </c>
      <c r="D629" s="1">
        <v>0.0</v>
      </c>
      <c r="E629" s="2"/>
      <c r="F629" s="2"/>
      <c r="G629" s="2"/>
      <c r="H629" s="2"/>
      <c r="I629" s="2"/>
    </row>
    <row r="630">
      <c r="A630" s="1" t="s">
        <v>428</v>
      </c>
      <c r="B630" s="1" t="str">
        <f>IFERROR(__xludf.DUMMYFUNCTION("SPLIT(A630,"";"")"),"C'EST PAR ISIC (INSTIUT DES SCIENCES DE L'INFORMATION ET DE LA COMMUNICATION)")</f>
        <v>C'EST PAR ISIC (INSTIUT DES SCIENCES DE L'INFORMATION ET DE LA COMMUNICATION)</v>
      </c>
      <c r="C630" s="1">
        <f>IFERROR(__xludf.DUMMYFUNCTION("""COMPUTED_VALUE"""),665.0)</f>
        <v>665</v>
      </c>
      <c r="D630" s="1">
        <v>0.0</v>
      </c>
      <c r="E630" s="2"/>
      <c r="F630" s="2"/>
      <c r="G630" s="2"/>
      <c r="H630" s="2"/>
      <c r="I630" s="2"/>
    </row>
    <row r="631">
      <c r="A631" s="1" t="s">
        <v>429</v>
      </c>
      <c r="B631" s="1" t="str">
        <f>IFERROR(__xludf.DUMMYFUNCTION("SPLIT(A631,"";"")"),"CHAHUTS")</f>
        <v>CHAHUTS</v>
      </c>
      <c r="C631" s="3">
        <f>IFERROR(__xludf.DUMMYFUNCTION("""COMPUTED_VALUE"""),27056.0)</f>
        <v>27056</v>
      </c>
      <c r="D631" s="1">
        <v>50.0</v>
      </c>
      <c r="E631" s="2"/>
      <c r="F631" s="2"/>
      <c r="G631" s="2"/>
      <c r="H631" s="2"/>
      <c r="I631" s="2"/>
    </row>
    <row r="632">
      <c r="A632" s="1" t="s">
        <v>430</v>
      </c>
      <c r="B632" s="1" t="str">
        <f>IFERROR(__xludf.DUMMYFUNCTION("SPLIT(A632,"";"")"),"CHAMBRE PROFESSIONNELLE DES AGENTS COMMERCIAUX DU SUD-OUEST")</f>
        <v>CHAMBRE PROFESSIONNELLE DES AGENTS COMMERCIAUX DU SUD-OUEST</v>
      </c>
      <c r="C632" s="1">
        <f>IFERROR(__xludf.DUMMYFUNCTION("""COMPUTED_VALUE"""),53.0)</f>
        <v>53</v>
      </c>
      <c r="D632" s="1">
        <v>0.0</v>
      </c>
      <c r="E632" s="2"/>
      <c r="F632" s="2"/>
      <c r="G632" s="2"/>
      <c r="H632" s="2"/>
      <c r="I632" s="2"/>
    </row>
    <row r="633">
      <c r="A633" s="1" t="s">
        <v>360</v>
      </c>
      <c r="B633" s="1" t="str">
        <f>IFERROR(__xludf.DUMMYFUNCTION("SPLIT(A633,"";"")"),"BORDEAUX ROCK")</f>
        <v>BORDEAUX ROCK</v>
      </c>
      <c r="C633" s="3">
        <f>IFERROR(__xludf.DUMMYFUNCTION("""COMPUTED_VALUE"""),17448.0)</f>
        <v>17448</v>
      </c>
      <c r="D633" s="1">
        <v>5.0</v>
      </c>
      <c r="E633" s="2"/>
      <c r="F633" s="2"/>
      <c r="G633" s="2"/>
      <c r="H633" s="2"/>
      <c r="I633" s="2"/>
    </row>
    <row r="634">
      <c r="A634" s="1" t="s">
        <v>361</v>
      </c>
      <c r="B634" s="1" t="str">
        <f>IFERROR(__xludf.DUMMYFUNCTION("SPLIT(A634,"";"")"),"BORDEAUX ROLLERBLADING ASSOCIATION - BRA")</f>
        <v>BORDEAUX ROLLERBLADING ASSOCIATION - BRA</v>
      </c>
      <c r="C634" s="1">
        <f>IFERROR(__xludf.DUMMYFUNCTION("""COMPUTED_VALUE"""),444.0)</f>
        <v>444</v>
      </c>
      <c r="D634" s="1">
        <v>0.0</v>
      </c>
      <c r="E634" s="2"/>
      <c r="F634" s="2"/>
      <c r="G634" s="2"/>
      <c r="H634" s="2"/>
      <c r="I634" s="2"/>
    </row>
    <row r="635">
      <c r="A635" s="1" t="s">
        <v>362</v>
      </c>
      <c r="B635" s="1" t="str">
        <f>IFERROR(__xludf.DUMMYFUNCTION("SPLIT(A635,"";"")"),"BORDEAUX SPORTS")</f>
        <v>BORDEAUX SPORTS</v>
      </c>
      <c r="C635" s="3">
        <f>IFERROR(__xludf.DUMMYFUNCTION("""COMPUTED_VALUE"""),27402.0)</f>
        <v>27402</v>
      </c>
      <c r="D635" s="1">
        <v>0.0</v>
      </c>
      <c r="E635" s="2"/>
      <c r="F635" s="2"/>
      <c r="G635" s="2"/>
      <c r="H635" s="2"/>
      <c r="I635" s="2"/>
    </row>
    <row r="636">
      <c r="A636" s="1" t="s">
        <v>363</v>
      </c>
      <c r="B636" s="1" t="str">
        <f>IFERROR(__xludf.DUMMYFUNCTION("SPLIT(A636,"";"")"),"BORDEAUX SPORTS DE GLACE")</f>
        <v>BORDEAUX SPORTS DE GLACE</v>
      </c>
      <c r="C636" s="1">
        <f>IFERROR(__xludf.DUMMYFUNCTION("""COMPUTED_VALUE"""),56.0)</f>
        <v>56</v>
      </c>
      <c r="D636" s="1">
        <v>0.0</v>
      </c>
      <c r="E636" s="2"/>
      <c r="F636" s="2"/>
      <c r="G636" s="2"/>
      <c r="H636" s="2"/>
      <c r="I636" s="2"/>
    </row>
    <row r="637">
      <c r="A637" s="1" t="s">
        <v>364</v>
      </c>
      <c r="B637" s="1" t="str">
        <f>IFERROR(__xludf.DUMMYFUNCTION("SPLIT(A637,"";"")"),"BORDEAUX TEATRO ITALIANO BTI")</f>
        <v>BORDEAUX TEATRO ITALIANO BTI</v>
      </c>
      <c r="C637" s="3">
        <f>IFERROR(__xludf.DUMMYFUNCTION("""COMPUTED_VALUE"""),8831.0)</f>
        <v>8831</v>
      </c>
      <c r="D637" s="1">
        <v>92.0</v>
      </c>
      <c r="E637" s="2"/>
      <c r="F637" s="2"/>
      <c r="G637" s="2"/>
      <c r="H637" s="2"/>
      <c r="I637" s="2"/>
    </row>
    <row r="638">
      <c r="A638" s="1" t="s">
        <v>365</v>
      </c>
      <c r="B638" s="1" t="str">
        <f>IFERROR(__xludf.DUMMYFUNCTION("SPLIT(A638,"";"")"),"BORDEAUX WOMEN'S CLUB")</f>
        <v>BORDEAUX WOMEN'S CLUB</v>
      </c>
      <c r="C638" s="1">
        <f>IFERROR(__xludf.DUMMYFUNCTION("""COMPUTED_VALUE"""),527.0)</f>
        <v>527</v>
      </c>
      <c r="D638" s="1">
        <v>0.0</v>
      </c>
      <c r="E638" s="2"/>
      <c r="F638" s="2"/>
      <c r="G638" s="2"/>
      <c r="H638" s="2"/>
      <c r="I638" s="2"/>
    </row>
    <row r="639">
      <c r="A639" s="1" t="s">
        <v>366</v>
      </c>
      <c r="B639" s="1" t="str">
        <f>IFERROR(__xludf.DUMMYFUNCTION("SPLIT(A639,"";"")"),"BORDEAUX Y NOV CAMPUS")</f>
        <v>BORDEAUX Y NOV CAMPUS</v>
      </c>
      <c r="C639" s="3">
        <f>IFERROR(__xludf.DUMMYFUNCTION("""COMPUTED_VALUE"""),2052.0)</f>
        <v>2052</v>
      </c>
      <c r="D639" s="1">
        <v>0.0</v>
      </c>
      <c r="E639" s="2"/>
      <c r="F639" s="2"/>
      <c r="G639" s="2"/>
      <c r="H639" s="2"/>
      <c r="I639" s="2"/>
    </row>
    <row r="640">
      <c r="A640" s="1" t="s">
        <v>367</v>
      </c>
      <c r="B640" s="1" t="str">
        <f>IFERROR(__xludf.DUMMYFUNCTION("SPLIT(A640,"";"")"),"BORDEAUX YOUNG BUSINESS CLUB - BYBC")</f>
        <v>BORDEAUX YOUNG BUSINESS CLUB - BYBC</v>
      </c>
      <c r="C640" s="1">
        <f>IFERROR(__xludf.DUMMYFUNCTION("""COMPUTED_VALUE"""),476.0)</f>
        <v>476</v>
      </c>
      <c r="D640" s="1">
        <v>0.0</v>
      </c>
      <c r="E640" s="2"/>
      <c r="F640" s="2"/>
      <c r="G640" s="2"/>
      <c r="H640" s="2"/>
      <c r="I640" s="2"/>
    </row>
    <row r="641">
      <c r="A641" s="1" t="s">
        <v>368</v>
      </c>
      <c r="B641" s="1" t="str">
        <f>IFERROR(__xludf.DUMMYFUNCTION("SPLIT(A641,"";"")"),"BORDEAUX-BASTIDE-ESCRIME")</f>
        <v>BORDEAUX-BASTIDE-ESCRIME</v>
      </c>
      <c r="C641" s="3">
        <f>IFERROR(__xludf.DUMMYFUNCTION("""COMPUTED_VALUE"""),10780.0)</f>
        <v>10780</v>
      </c>
      <c r="D641" s="1">
        <v>80.0</v>
      </c>
      <c r="E641" s="2"/>
      <c r="F641" s="2"/>
      <c r="G641" s="2"/>
      <c r="H641" s="2"/>
      <c r="I641" s="2"/>
    </row>
    <row r="642">
      <c r="A642" s="1" t="s">
        <v>369</v>
      </c>
      <c r="B642" s="1" t="str">
        <f>IFERROR(__xludf.DUMMYFUNCTION("SPLIT(A642,"";"")"),"BORDEAUX-GIRONDE-QUEBEC")</f>
        <v>BORDEAUX-GIRONDE-QUEBEC</v>
      </c>
      <c r="C642" s="1">
        <f>IFERROR(__xludf.DUMMYFUNCTION("""COMPUTED_VALUE"""),332.0)</f>
        <v>332</v>
      </c>
      <c r="D642" s="1">
        <v>0.0</v>
      </c>
      <c r="E642" s="2"/>
      <c r="F642" s="2"/>
      <c r="G642" s="2"/>
      <c r="H642" s="2"/>
      <c r="I642" s="2"/>
    </row>
    <row r="643">
      <c r="A643" s="1" t="s">
        <v>370</v>
      </c>
      <c r="B643" s="1" t="str">
        <f>IFERROR(__xludf.DUMMYFUNCTION("SPLIT(A643,"";"")"),"BORDELAIS ASSOCIATIFS FALUCHARDS")</f>
        <v>BORDELAIS ASSOCIATIFS FALUCHARDS</v>
      </c>
      <c r="C643" s="1">
        <f>IFERROR(__xludf.DUMMYFUNCTION("""COMPUTED_VALUE"""),626.0)</f>
        <v>626</v>
      </c>
      <c r="D643" s="1">
        <v>0.0</v>
      </c>
      <c r="E643" s="2"/>
      <c r="F643" s="2"/>
      <c r="G643" s="2"/>
      <c r="H643" s="2"/>
      <c r="I643" s="2"/>
    </row>
    <row r="644">
      <c r="A644" s="1" t="s">
        <v>371</v>
      </c>
      <c r="B644" s="1" t="str">
        <f>IFERROR(__xludf.DUMMYFUNCTION("SPLIT(A644,"";"")"),"BOULEVARD DES POTES")</f>
        <v>BOULEVARD DES POTES</v>
      </c>
      <c r="C644" s="3">
        <f>IFERROR(__xludf.DUMMYFUNCTION("""COMPUTED_VALUE"""),4374.0)</f>
        <v>4374</v>
      </c>
      <c r="D644" s="1">
        <v>52.0</v>
      </c>
      <c r="E644" s="2"/>
      <c r="F644" s="2"/>
      <c r="G644" s="2"/>
      <c r="H644" s="2"/>
      <c r="I644" s="2"/>
    </row>
    <row r="645">
      <c r="A645" s="1" t="s">
        <v>372</v>
      </c>
      <c r="B645" s="1" t="str">
        <f>IFERROR(__xludf.DUMMYFUNCTION("SPLIT(A645,"";"")"),"BOXING CLUB BACALANAIS")</f>
        <v>BOXING CLUB BACALANAIS</v>
      </c>
      <c r="C645" s="3">
        <f>IFERROR(__xludf.DUMMYFUNCTION("""COMPUTED_VALUE"""),18132.0)</f>
        <v>18132</v>
      </c>
      <c r="D645" s="1">
        <v>0.0</v>
      </c>
      <c r="E645" s="2"/>
      <c r="F645" s="2"/>
      <c r="G645" s="2"/>
      <c r="H645" s="2"/>
      <c r="I645" s="2"/>
    </row>
    <row r="646">
      <c r="A646" s="1" t="s">
        <v>373</v>
      </c>
      <c r="B646" s="1" t="str">
        <f>IFERROR(__xludf.DUMMYFUNCTION("SPLIT(A646,"";"")"),"BOXING CLUB BORDELAIS")</f>
        <v>BOXING CLUB BORDELAIS</v>
      </c>
      <c r="C646" s="3">
        <f>IFERROR(__xludf.DUMMYFUNCTION("""COMPUTED_VALUE"""),16308.0)</f>
        <v>16308</v>
      </c>
      <c r="D646" s="1">
        <v>0.0</v>
      </c>
      <c r="E646" s="2"/>
      <c r="F646" s="2"/>
      <c r="G646" s="2"/>
      <c r="H646" s="2"/>
      <c r="I646" s="2"/>
    </row>
    <row r="647">
      <c r="A647" s="1" t="s">
        <v>374</v>
      </c>
      <c r="B647" s="1" t="str">
        <f>IFERROR(__xludf.DUMMYFUNCTION("SPLIT(A647,"";"")"),"BRASS BAND BORGIAQ")</f>
        <v>BRASS BAND BORGIAQ</v>
      </c>
      <c r="C647" s="3">
        <f>IFERROR(__xludf.DUMMYFUNCTION("""COMPUTED_VALUE"""),1055.0)</f>
        <v>1055</v>
      </c>
      <c r="D647" s="1">
        <v>6.0</v>
      </c>
      <c r="E647" s="2"/>
      <c r="F647" s="2"/>
      <c r="G647" s="2"/>
      <c r="H647" s="2"/>
      <c r="I647" s="2"/>
    </row>
    <row r="648">
      <c r="A648" s="1" t="s">
        <v>375</v>
      </c>
      <c r="B648" s="1" t="str">
        <f>IFERROR(__xludf.DUMMYFUNCTION("SPLIT(A648,"";"")"),"BREV’ART")</f>
        <v>BREV’ART</v>
      </c>
      <c r="C648" s="3">
        <f>IFERROR(__xludf.DUMMYFUNCTION("""COMPUTED_VALUE"""),8210.0)</f>
        <v>8210</v>
      </c>
      <c r="D648" s="1">
        <v>35.0</v>
      </c>
      <c r="E648" s="2"/>
      <c r="F648" s="2"/>
      <c r="G648" s="2"/>
      <c r="H648" s="2"/>
      <c r="I648" s="2"/>
    </row>
    <row r="649">
      <c r="A649" s="1" t="s">
        <v>376</v>
      </c>
      <c r="B649" s="1" t="str">
        <f>IFERROR(__xludf.DUMMYFUNCTION("SPLIT(A649,"";"")"),"BRUIT DU FRIGO")</f>
        <v>BRUIT DU FRIGO</v>
      </c>
      <c r="C649" s="1">
        <f>IFERROR(__xludf.DUMMYFUNCTION("""COMPUTED_VALUE"""),267.0)</f>
        <v>267</v>
      </c>
      <c r="D649" s="1">
        <v>40.0</v>
      </c>
      <c r="E649" s="2"/>
      <c r="F649" s="2"/>
      <c r="G649" s="2"/>
      <c r="H649" s="2"/>
      <c r="I649" s="2"/>
    </row>
    <row r="650">
      <c r="A650" s="1" t="s">
        <v>377</v>
      </c>
      <c r="B650" s="1" t="str">
        <f>IFERROR(__xludf.DUMMYFUNCTION("SPLIT(A650,"";"")"),"BURDIGALA CORPORATION")</f>
        <v>BURDIGALA CORPORATION</v>
      </c>
      <c r="C650" s="1">
        <f>IFERROR(__xludf.DUMMYFUNCTION("""COMPUTED_VALUE"""),919.0)</f>
        <v>919</v>
      </c>
      <c r="D650" s="1">
        <v>75.0</v>
      </c>
      <c r="E650" s="2"/>
      <c r="F650" s="2"/>
      <c r="G650" s="2"/>
      <c r="H650" s="2"/>
      <c r="I650" s="2"/>
    </row>
    <row r="651">
      <c r="A651" s="1" t="s">
        <v>378</v>
      </c>
      <c r="B651" s="1" t="str">
        <f>IFERROR(__xludf.DUMMYFUNCTION("SPLIT(A651,"";"")"),"BURDIGALA PHOTOS CLUB")</f>
        <v>BURDIGALA PHOTOS CLUB</v>
      </c>
      <c r="C651" s="3">
        <f>IFERROR(__xludf.DUMMYFUNCTION("""COMPUTED_VALUE"""),7710.0)</f>
        <v>7710</v>
      </c>
      <c r="D651" s="1">
        <v>62.0</v>
      </c>
      <c r="E651" s="2"/>
      <c r="F651" s="2"/>
      <c r="G651" s="2"/>
      <c r="H651" s="2"/>
      <c r="I651" s="2"/>
    </row>
    <row r="652">
      <c r="A652" s="1" t="s">
        <v>379</v>
      </c>
      <c r="B652" s="1" t="str">
        <f>IFERROR(__xludf.DUMMYFUNCTION("SPLIT(A652,"";"")"),"BURDIGALA SAVATE-CLUB")</f>
        <v>BURDIGALA SAVATE-CLUB</v>
      </c>
      <c r="C652" s="3">
        <f>IFERROR(__xludf.DUMMYFUNCTION("""COMPUTED_VALUE"""),6867.0)</f>
        <v>6867</v>
      </c>
      <c r="D652" s="1">
        <v>0.0</v>
      </c>
      <c r="E652" s="2"/>
      <c r="F652" s="2"/>
      <c r="G652" s="2"/>
      <c r="H652" s="2"/>
      <c r="I652" s="2"/>
    </row>
    <row r="653">
      <c r="A653" s="1" t="s">
        <v>380</v>
      </c>
      <c r="B653" s="1" t="str">
        <f>IFERROR(__xludf.DUMMYFUNCTION("SPLIT(A653,"";"")"),"C.F.A. - CENTRE DE FORMATION ADAGE")</f>
        <v>C.F.A. - CENTRE DE FORMATION ADAGE</v>
      </c>
      <c r="C653" s="1">
        <f>IFERROR(__xludf.DUMMYFUNCTION("""COMPUTED_VALUE"""),745.0)</f>
        <v>745</v>
      </c>
      <c r="D653" s="1">
        <v>0.0</v>
      </c>
      <c r="E653" s="2"/>
      <c r="F653" s="2"/>
      <c r="G653" s="2"/>
      <c r="H653" s="2"/>
      <c r="I653" s="2"/>
    </row>
    <row r="654">
      <c r="A654" s="1" t="s">
        <v>381</v>
      </c>
      <c r="B654" s="1" t="str">
        <f>IFERROR(__xludf.DUMMYFUNCTION("SPLIT(A654,"";"")"),"C.O.D. FORMATION (FORMASUP CAMPUS)")</f>
        <v>C.O.D. FORMATION (FORMASUP CAMPUS)</v>
      </c>
      <c r="C654" s="3">
        <f>IFERROR(__xludf.DUMMYFUNCTION("""COMPUTED_VALUE"""),1249.0)</f>
        <v>1249</v>
      </c>
      <c r="D654" s="1">
        <v>14.0</v>
      </c>
      <c r="E654" s="2"/>
      <c r="F654" s="2"/>
      <c r="G654" s="2"/>
      <c r="H654" s="2"/>
      <c r="I654" s="2"/>
    </row>
    <row r="655">
      <c r="A655" s="1" t="s">
        <v>382</v>
      </c>
      <c r="B655" s="1" t="str">
        <f>IFERROR(__xludf.DUMMYFUNCTION("SPLIT(A655,"";"")"),"CAC33")</f>
        <v>CAC33</v>
      </c>
      <c r="C655" s="1">
        <f>IFERROR(__xludf.DUMMYFUNCTION("""COMPUTED_VALUE"""),181.0)</f>
        <v>181</v>
      </c>
      <c r="D655" s="1">
        <v>0.0</v>
      </c>
      <c r="E655" s="2"/>
      <c r="F655" s="2"/>
      <c r="G655" s="2"/>
      <c r="H655" s="2"/>
      <c r="I655" s="2"/>
    </row>
    <row r="656">
      <c r="A656" s="1" t="s">
        <v>383</v>
      </c>
      <c r="B656" s="1" t="str">
        <f>IFERROR(__xludf.DUMMYFUNCTION("SPLIT(A656,"";"")"),"CAHIERS D'ARCHIVES")</f>
        <v>CAHIERS D'ARCHIVES</v>
      </c>
      <c r="C656" s="1">
        <f>IFERROR(__xludf.DUMMYFUNCTION("""COMPUTED_VALUE"""),578.0)</f>
        <v>578</v>
      </c>
      <c r="D656" s="1">
        <v>0.0</v>
      </c>
      <c r="E656" s="2"/>
      <c r="F656" s="2"/>
      <c r="G656" s="2"/>
      <c r="H656" s="2"/>
      <c r="I656" s="2"/>
    </row>
    <row r="657">
      <c r="A657" s="1" t="s">
        <v>384</v>
      </c>
      <c r="B657" s="1" t="str">
        <f>IFERROR(__xludf.DUMMYFUNCTION("SPLIT(A657,"";"")"),"CALICONTE")</f>
        <v>CALICONTE</v>
      </c>
      <c r="C657" s="1">
        <f>IFERROR(__xludf.DUMMYFUNCTION("""COMPUTED_VALUE"""),46.0)</f>
        <v>46</v>
      </c>
      <c r="D657" s="1">
        <v>0.0</v>
      </c>
      <c r="E657" s="2"/>
      <c r="F657" s="2"/>
      <c r="G657" s="2"/>
      <c r="H657" s="2"/>
      <c r="I657" s="2"/>
    </row>
    <row r="658">
      <c r="A658" s="1" t="s">
        <v>385</v>
      </c>
      <c r="B658" s="1" t="str">
        <f>IFERROR(__xludf.DUMMYFUNCTION("SPLIT(A658,"";"")"),"CALK - COMITE D'ANIMATION LAFONTAINE KLEBER")</f>
        <v>CALK - COMITE D'ANIMATION LAFONTAINE KLEBER</v>
      </c>
      <c r="C658" s="3">
        <f>IFERROR(__xludf.DUMMYFUNCTION("""COMPUTED_VALUE"""),4561.0)</f>
        <v>4561</v>
      </c>
      <c r="D658" s="1">
        <v>20.0</v>
      </c>
      <c r="E658" s="2"/>
      <c r="F658" s="2"/>
      <c r="G658" s="2"/>
      <c r="H658" s="2"/>
      <c r="I658" s="2"/>
    </row>
    <row r="659">
      <c r="A659" s="1" t="s">
        <v>386</v>
      </c>
      <c r="B659" s="1" t="str">
        <f>IFERROR(__xludf.DUMMYFUNCTION("SPLIT(A659,"";"")"),"CANCER SUPPORT FRANCE BORDEAUX &amp; REGION (CSF BORDEAUX &amp; REGION)")</f>
        <v>CANCER SUPPORT FRANCE BORDEAUX &amp; REGION (CSF BORDEAUX &amp; REGION)</v>
      </c>
      <c r="C659" s="1">
        <f>IFERROR(__xludf.DUMMYFUNCTION("""COMPUTED_VALUE"""),46.0)</f>
        <v>46</v>
      </c>
      <c r="D659" s="1">
        <v>0.0</v>
      </c>
      <c r="E659" s="2"/>
      <c r="F659" s="2"/>
      <c r="G659" s="2"/>
      <c r="H659" s="2"/>
      <c r="I659" s="2"/>
    </row>
    <row r="660">
      <c r="A660" s="1" t="s">
        <v>387</v>
      </c>
      <c r="B660" s="1" t="str">
        <f>IFERROR(__xludf.DUMMYFUNCTION("SPLIT(A660,"";"")"),"CAP AND CO")</f>
        <v>CAP AND CO</v>
      </c>
      <c r="C660" s="1">
        <f>IFERROR(__xludf.DUMMYFUNCTION("""COMPUTED_VALUE"""),276.0)</f>
        <v>276</v>
      </c>
      <c r="D660" s="1">
        <v>0.0</v>
      </c>
      <c r="E660" s="2"/>
      <c r="F660" s="2"/>
      <c r="G660" s="2"/>
      <c r="H660" s="2"/>
      <c r="I660" s="2"/>
    </row>
    <row r="661">
      <c r="A661" s="1" t="s">
        <v>388</v>
      </c>
      <c r="B661" s="1" t="str">
        <f>IFERROR(__xludf.DUMMYFUNCTION("SPLIT(A661,"";"")"),"CAP CARREIRE : CULTURES")</f>
        <v>CAP CARREIRE : CULTURES</v>
      </c>
      <c r="C661" s="1"/>
      <c r="D661" s="1" t="s">
        <v>389</v>
      </c>
      <c r="E661" s="1">
        <v>37.0</v>
      </c>
      <c r="F661" s="2"/>
      <c r="G661" s="2"/>
      <c r="H661" s="2"/>
      <c r="I661" s="2"/>
    </row>
    <row r="662">
      <c r="A662" s="1" t="s">
        <v>390</v>
      </c>
      <c r="B662" s="1" t="str">
        <f>IFERROR(__xludf.DUMMYFUNCTION("SPLIT(A662,"";"")"),"CAP DE VIE")</f>
        <v>CAP DE VIE</v>
      </c>
      <c r="C662" s="1">
        <f>IFERROR(__xludf.DUMMYFUNCTION("""COMPUTED_VALUE"""),185.0)</f>
        <v>185</v>
      </c>
      <c r="D662" s="1">
        <v>0.0</v>
      </c>
      <c r="E662" s="2"/>
      <c r="F662" s="2"/>
      <c r="G662" s="2"/>
      <c r="H662" s="2"/>
      <c r="I662" s="2"/>
    </row>
    <row r="663">
      <c r="A663" s="1" t="s">
        <v>391</v>
      </c>
      <c r="B663" s="1" t="str">
        <f>IFERROR(__xludf.DUMMYFUNCTION("SPLIT(A663,"";"")"),"CARABINS DE BORDEAUX")</f>
        <v>CARABINS DE BORDEAUX</v>
      </c>
      <c r="C663" s="3">
        <f>IFERROR(__xludf.DUMMYFUNCTION("""COMPUTED_VALUE"""),1640.0)</f>
        <v>1640</v>
      </c>
      <c r="D663" s="1">
        <v>40.0</v>
      </c>
      <c r="E663" s="2"/>
      <c r="F663" s="2"/>
      <c r="G663" s="2"/>
      <c r="H663" s="2"/>
      <c r="I663" s="2"/>
    </row>
    <row r="664">
      <c r="A664" s="1" t="s">
        <v>392</v>
      </c>
      <c r="B664" s="1" t="str">
        <f>IFERROR(__xludf.DUMMYFUNCTION("SPLIT(A664,"";"")"),"CATHEDRA")</f>
        <v>CATHEDRA</v>
      </c>
      <c r="C664" s="3">
        <f>IFERROR(__xludf.DUMMYFUNCTION("""COMPUTED_VALUE"""),7419.0)</f>
        <v>7419</v>
      </c>
      <c r="D664" s="1">
        <v>45.0</v>
      </c>
      <c r="E664" s="2"/>
      <c r="F664" s="2"/>
      <c r="G664" s="2"/>
      <c r="H664" s="2"/>
      <c r="I664" s="2"/>
    </row>
    <row r="665">
      <c r="A665" s="1" t="s">
        <v>393</v>
      </c>
      <c r="B665" s="1" t="str">
        <f>IFERROR(__xludf.DUMMYFUNCTION("SPLIT(A665,"";"")"),"CDANSLABOITE")</f>
        <v>CDANSLABOITE</v>
      </c>
      <c r="C665" s="3">
        <f>IFERROR(__xludf.DUMMYFUNCTION("""COMPUTED_VALUE"""),3440.0)</f>
        <v>3440</v>
      </c>
      <c r="D665" s="1">
        <v>0.0</v>
      </c>
      <c r="E665" s="2"/>
      <c r="F665" s="2"/>
      <c r="G665" s="2"/>
      <c r="H665" s="2"/>
      <c r="I665" s="2"/>
    </row>
    <row r="666">
      <c r="A666" s="1" t="s">
        <v>394</v>
      </c>
      <c r="B666" s="1" t="str">
        <f>IFERROR(__xludf.DUMMYFUNCTION("SPLIT(A666,"";"")"),"CDISCOUNT@SPORT")</f>
        <v>CDISCOUNT@SPORT</v>
      </c>
      <c r="C666" s="3">
        <f>IFERROR(__xludf.DUMMYFUNCTION("""COMPUTED_VALUE"""),1000.0)</f>
        <v>1000</v>
      </c>
      <c r="D666" s="1">
        <v>0.0</v>
      </c>
      <c r="E666" s="2"/>
      <c r="F666" s="2"/>
      <c r="G666" s="2"/>
      <c r="H666" s="2"/>
      <c r="I666" s="2"/>
    </row>
    <row r="667">
      <c r="A667" s="1" t="s">
        <v>395</v>
      </c>
      <c r="B667" s="1" t="str">
        <f>IFERROR(__xludf.DUMMYFUNCTION("SPLIT(A667,"";"")"),"CENTRE ATLANTIC")</f>
        <v>CENTRE ATLANTIC</v>
      </c>
      <c r="C667" s="1">
        <f>IFERROR(__xludf.DUMMYFUNCTION("""COMPUTED_VALUE"""),265.0)</f>
        <v>265</v>
      </c>
      <c r="D667" s="1">
        <v>0.0</v>
      </c>
      <c r="E667" s="2"/>
      <c r="F667" s="2"/>
      <c r="G667" s="2"/>
      <c r="H667" s="2"/>
      <c r="I667" s="2"/>
    </row>
    <row r="668">
      <c r="A668" s="1" t="s">
        <v>396</v>
      </c>
      <c r="B668" s="1" t="str">
        <f>IFERROR(__xludf.DUMMYFUNCTION("SPLIT(A668,"";"")"),"CENTRE CULTUREL TURC DE BORDEAUX ET SES ENVIRONS")</f>
        <v>CENTRE CULTUREL TURC DE BORDEAUX ET SES ENVIRONS</v>
      </c>
      <c r="C668" s="1">
        <f>IFERROR(__xludf.DUMMYFUNCTION("""COMPUTED_VALUE"""),210.0)</f>
        <v>210</v>
      </c>
      <c r="D668" s="1">
        <v>0.0</v>
      </c>
      <c r="E668" s="2"/>
      <c r="F668" s="2"/>
      <c r="G668" s="2"/>
      <c r="H668" s="2"/>
      <c r="I668" s="2"/>
    </row>
    <row r="669">
      <c r="A669" s="1" t="s">
        <v>397</v>
      </c>
      <c r="B669" s="1" t="str">
        <f>IFERROR(__xludf.DUMMYFUNCTION("SPLIT(A669,"";"")"),"CENTRE D'ACCUEIL D'INFORMATION ET D'ORIENTATION - CAIO")</f>
        <v>CENTRE D'ACCUEIL D'INFORMATION ET D'ORIENTATION - CAIO</v>
      </c>
      <c r="C669" s="1">
        <f>IFERROR(__xludf.DUMMYFUNCTION("""COMPUTED_VALUE"""),92.0)</f>
        <v>92</v>
      </c>
      <c r="D669" s="1">
        <v>40.0</v>
      </c>
      <c r="E669" s="2"/>
      <c r="F669" s="2"/>
      <c r="G669" s="2"/>
      <c r="H669" s="2"/>
      <c r="I669" s="2"/>
    </row>
    <row r="670">
      <c r="A670" s="1" t="s">
        <v>398</v>
      </c>
      <c r="B670" s="1" t="str">
        <f>IFERROR(__xludf.DUMMYFUNCTION("SPLIT(A670,"";"")"),"CENTRE D'ACTION ET DE PREVENTION CONTRE LA RADICALISATION LIEE A L'ISLAMISME (CAPRI)")</f>
        <v>CENTRE D'ACTION ET DE PREVENTION CONTRE LA RADICALISATION LIEE A L'ISLAMISME (CAPRI)</v>
      </c>
      <c r="C670" s="3">
        <f>IFERROR(__xludf.DUMMYFUNCTION("""COMPUTED_VALUE"""),1267.0)</f>
        <v>1267</v>
      </c>
      <c r="D670" s="1">
        <v>0.0</v>
      </c>
      <c r="E670" s="2"/>
      <c r="F670" s="2"/>
      <c r="G670" s="2"/>
      <c r="H670" s="2"/>
      <c r="I670" s="2"/>
    </row>
    <row r="671">
      <c r="A671" s="1" t="s">
        <v>399</v>
      </c>
      <c r="B671" s="1" t="str">
        <f>IFERROR(__xludf.DUMMYFUNCTION("SPLIT(A671,"";"")"),"CENTRE DE LIAISON DES EQUIPES DE RECHERCHE")</f>
        <v>CENTRE DE LIAISON DES EQUIPES DE RECHERCHE</v>
      </c>
      <c r="C671" s="1"/>
      <c r="D671" s="1" t="s">
        <v>400</v>
      </c>
      <c r="E671" s="1">
        <v>0.0</v>
      </c>
      <c r="F671" s="2"/>
      <c r="G671" s="2"/>
      <c r="H671" s="2"/>
      <c r="I671" s="2"/>
    </row>
    <row r="672">
      <c r="A672" s="1" t="s">
        <v>401</v>
      </c>
      <c r="B672" s="1" t="str">
        <f>IFERROR(__xludf.DUMMYFUNCTION("SPLIT(A672,"";"")"),"CENTRE DE MUSICOTHERAPIE DE LA GIRONDE")</f>
        <v>CENTRE DE MUSICOTHERAPIE DE LA GIRONDE</v>
      </c>
      <c r="C672" s="1">
        <f>IFERROR(__xludf.DUMMYFUNCTION("""COMPUTED_VALUE"""),21.0)</f>
        <v>21</v>
      </c>
      <c r="D672" s="1">
        <v>0.0</v>
      </c>
      <c r="E672" s="2"/>
      <c r="F672" s="2"/>
      <c r="G672" s="2"/>
      <c r="H672" s="2"/>
      <c r="I672" s="2"/>
    </row>
    <row r="673">
      <c r="A673" s="1" t="s">
        <v>402</v>
      </c>
      <c r="B673" s="1" t="str">
        <f>IFERROR(__xludf.DUMMYFUNCTION("SPLIT(A673,"";"")"),"CENTRE DE PREVENTION ET DE LOISIRS DES JEUNES DE BORDEAUX - CPLJ Bordeaux")</f>
        <v>CENTRE DE PREVENTION ET DE LOISIRS DES JEUNES DE BORDEAUX - CPLJ Bordeaux</v>
      </c>
      <c r="C673" s="1">
        <f>IFERROR(__xludf.DUMMYFUNCTION("""COMPUTED_VALUE"""),712.0)</f>
        <v>712</v>
      </c>
      <c r="D673" s="1">
        <v>50.0</v>
      </c>
      <c r="E673" s="2"/>
      <c r="F673" s="2"/>
      <c r="G673" s="2"/>
      <c r="H673" s="2"/>
      <c r="I673" s="2"/>
    </row>
    <row r="674">
      <c r="A674" s="1" t="s">
        <v>403</v>
      </c>
      <c r="B674" s="1" t="str">
        <f>IFERROR(__xludf.DUMMYFUNCTION("SPLIT(A674,"";"")"),"CENTRE DE RECHERCHE ET D'INFORMATION POUR LE DEVELOPPEMENT - CRID")</f>
        <v>CENTRE DE RECHERCHE ET D'INFORMATION POUR LE DEVELOPPEMENT - CRID</v>
      </c>
      <c r="C674" s="1">
        <f>IFERROR(__xludf.DUMMYFUNCTION("""COMPUTED_VALUE"""),316.0)</f>
        <v>316</v>
      </c>
      <c r="D674" s="1">
        <v>0.0</v>
      </c>
      <c r="E674" s="2"/>
      <c r="F674" s="2"/>
      <c r="G674" s="2"/>
      <c r="H674" s="2"/>
      <c r="I674" s="2"/>
    </row>
    <row r="675">
      <c r="A675" s="1" t="s">
        <v>404</v>
      </c>
      <c r="B675" s="1" t="str">
        <f>IFERROR(__xludf.DUMMYFUNCTION("SPLIT(A675,"";"")"),"CENTRE DE RESSOURCES D'ECOLOGIE PEDAGOGIQUE D'AQUITAINE  - CREPAQ")</f>
        <v>CENTRE DE RESSOURCES D'ECOLOGIE PEDAGOGIQUE D'AQUITAINE  - CREPAQ</v>
      </c>
      <c r="C675" s="1">
        <f>IFERROR(__xludf.DUMMYFUNCTION("""COMPUTED_VALUE"""),745.0)</f>
        <v>745</v>
      </c>
      <c r="D675" s="1">
        <v>0.0</v>
      </c>
      <c r="E675" s="2"/>
      <c r="F675" s="2"/>
      <c r="G675" s="2"/>
      <c r="H675" s="2"/>
      <c r="I675" s="2"/>
    </row>
    <row r="676">
      <c r="A676" s="1" t="s">
        <v>405</v>
      </c>
      <c r="B676" s="1" t="str">
        <f>IFERROR(__xludf.DUMMYFUNCTION("SPLIT(A676,"";"")"),"CENTRE DE SOPHROLOGIE DYNAMIQUE DE BORDEAUX")</f>
        <v>CENTRE DE SOPHROLOGIE DYNAMIQUE DE BORDEAUX</v>
      </c>
      <c r="C676" s="1">
        <f>IFERROR(__xludf.DUMMYFUNCTION("""COMPUTED_VALUE"""),170.0)</f>
        <v>170</v>
      </c>
      <c r="D676" s="1">
        <v>0.0</v>
      </c>
      <c r="E676" s="2"/>
      <c r="F676" s="2"/>
      <c r="G676" s="2"/>
      <c r="H676" s="2"/>
      <c r="I676" s="2"/>
    </row>
    <row r="677">
      <c r="A677" s="1" t="s">
        <v>406</v>
      </c>
      <c r="B677" s="1" t="str">
        <f>IFERROR(__xludf.DUMMYFUNCTION("SPLIT(A677,"";"")"),"CENTRE DE VOILE DE BORDEAUX-LAC")</f>
        <v>CENTRE DE VOILE DE BORDEAUX-LAC</v>
      </c>
      <c r="C677" s="3">
        <f>IFERROR(__xludf.DUMMYFUNCTION("""COMPUTED_VALUE"""),81440.0)</f>
        <v>81440</v>
      </c>
      <c r="D677" s="1">
        <v>0.0</v>
      </c>
      <c r="E677" s="2"/>
      <c r="F677" s="2"/>
      <c r="G677" s="2"/>
      <c r="H677" s="2"/>
      <c r="I677" s="2"/>
    </row>
    <row r="678">
      <c r="A678" s="1" t="s">
        <v>407</v>
      </c>
      <c r="B678" s="1" t="str">
        <f>IFERROR(__xludf.DUMMYFUNCTION("SPLIT(A678,"";"")"),"CENTRE DES ETUDES DE LA REPUBLIQUE DEMOCRATIQUE")</f>
        <v>CENTRE DES ETUDES DE LA REPUBLIQUE DEMOCRATIQUE</v>
      </c>
      <c r="C678" s="1">
        <f>IFERROR(__xludf.DUMMYFUNCTION("""COMPUTED_VALUE"""),102.0)</f>
        <v>102</v>
      </c>
      <c r="D678" s="1">
        <v>0.0</v>
      </c>
      <c r="E678" s="2"/>
      <c r="F678" s="2"/>
      <c r="G678" s="2"/>
      <c r="H678" s="2"/>
      <c r="I678" s="2"/>
    </row>
    <row r="679">
      <c r="A679" s="1" t="s">
        <v>408</v>
      </c>
      <c r="B679" s="1" t="str">
        <f>IFERROR(__xludf.DUMMYFUNCTION("SPLIT(A679,"";"")"),"CENTRE DES FESTIVALS FRANCE-RUSSIE")</f>
        <v>CENTRE DES FESTIVALS FRANCE-RUSSIE</v>
      </c>
      <c r="C679" s="1">
        <f>IFERROR(__xludf.DUMMYFUNCTION("""COMPUTED_VALUE"""),364.0)</f>
        <v>364</v>
      </c>
      <c r="D679" s="1">
        <v>0.0</v>
      </c>
      <c r="E679" s="2"/>
      <c r="F679" s="2"/>
      <c r="G679" s="2"/>
      <c r="H679" s="2"/>
      <c r="I679" s="2"/>
    </row>
    <row r="680">
      <c r="A680" s="1" t="s">
        <v>409</v>
      </c>
      <c r="B680" s="1" t="str">
        <f>IFERROR(__xludf.DUMMYFUNCTION("SPLIT(A680,"";"")"),"CENTRE D'ETUDES DE L'AUTO CONNAISSANCE")</f>
        <v>CENTRE D'ETUDES DE L'AUTO CONNAISSANCE</v>
      </c>
      <c r="C680" s="1">
        <f>IFERROR(__xludf.DUMMYFUNCTION("""COMPUTED_VALUE"""),782.0)</f>
        <v>782</v>
      </c>
      <c r="D680" s="1">
        <v>0.0</v>
      </c>
      <c r="E680" s="2"/>
      <c r="F680" s="2"/>
      <c r="G680" s="2"/>
      <c r="H680" s="2"/>
      <c r="I680" s="2"/>
    </row>
    <row r="681">
      <c r="A681" s="1" t="s">
        <v>410</v>
      </c>
      <c r="B681" s="1" t="str">
        <f>IFERROR(__xludf.DUMMYFUNCTION("SPLIT(A681,"";"")"),"CENTRE D'INFORMATION JEUNESSE AQUITAINE - CIJA")</f>
        <v>CENTRE D'INFORMATION JEUNESSE AQUITAINE - CIJA</v>
      </c>
      <c r="C681" s="3">
        <f>IFERROR(__xludf.DUMMYFUNCTION("""COMPUTED_VALUE"""),97430.0)</f>
        <v>97430</v>
      </c>
      <c r="D681" s="1">
        <v>70.0</v>
      </c>
      <c r="E681" s="2"/>
      <c r="F681" s="2"/>
      <c r="G681" s="2"/>
      <c r="H681" s="2"/>
      <c r="I681" s="2"/>
    </row>
    <row r="682">
      <c r="A682" s="1" t="s">
        <v>411</v>
      </c>
      <c r="B682" s="1" t="str">
        <f>IFERROR(__xludf.DUMMYFUNCTION("SPLIT(A682,"";"")"),"CENTRE D'INFORMATION METAPSYCHIQUE - CDIM")</f>
        <v>CENTRE D'INFORMATION METAPSYCHIQUE - CDIM</v>
      </c>
      <c r="C682" s="1">
        <f>IFERROR(__xludf.DUMMYFUNCTION("""COMPUTED_VALUE"""),442.0)</f>
        <v>442</v>
      </c>
      <c r="D682" s="1">
        <v>0.0</v>
      </c>
      <c r="E682" s="2"/>
      <c r="F682" s="2"/>
      <c r="G682" s="2"/>
      <c r="H682" s="2"/>
      <c r="I682" s="2"/>
    </row>
    <row r="683">
      <c r="A683" s="1" t="s">
        <v>412</v>
      </c>
      <c r="B683" s="1" t="str">
        <f>IFERROR(__xludf.DUMMYFUNCTION("SPLIT(A683,"";"")"),"CENTRE ENTREPRISE COMMUNICATION AVANCEE - CECA")</f>
        <v>CENTRE ENTREPRISE COMMUNICATION AVANCEE - CECA</v>
      </c>
      <c r="C683" s="3">
        <f>IFERROR(__xludf.DUMMYFUNCTION("""COMPUTED_VALUE"""),1182.0)</f>
        <v>1182</v>
      </c>
      <c r="D683" s="1">
        <v>58.0</v>
      </c>
      <c r="E683" s="2"/>
      <c r="F683" s="2"/>
      <c r="G683" s="2"/>
      <c r="H683" s="2"/>
      <c r="I683" s="2"/>
    </row>
    <row r="684">
      <c r="A684" s="1" t="s">
        <v>413</v>
      </c>
      <c r="B684" s="1" t="str">
        <f>IFERROR(__xludf.DUMMYFUNCTION("SPLIT(A684,"";"")"),"CENTRE JEAN VIGO EVENEMENTS")</f>
        <v>CENTRE JEAN VIGO EVENEMENTS</v>
      </c>
      <c r="C684" s="3">
        <f>IFERROR(__xludf.DUMMYFUNCTION("""COMPUTED_VALUE"""),12046.0)</f>
        <v>12046</v>
      </c>
      <c r="D684" s="1">
        <v>70.0</v>
      </c>
      <c r="E684" s="2"/>
      <c r="F684" s="2"/>
      <c r="G684" s="2"/>
      <c r="H684" s="2"/>
      <c r="I684" s="2"/>
    </row>
    <row r="685">
      <c r="A685" s="1" t="s">
        <v>414</v>
      </c>
      <c r="B685" s="1" t="str">
        <f>IFERROR(__xludf.DUMMYFUNCTION("SPLIT(A685,"";"")"),"CENTRE REGIONAL D'AQUITAINE D'ETUDES ET D'ACTIONS SUR LES HANDICAPS ET LES INADAPTATIONS - CREAHI")</f>
        <v>CENTRE REGIONAL D'AQUITAINE D'ETUDES ET D'ACTIONS SUR LES HANDICAPS ET LES INADAPTATIONS - CREAHI</v>
      </c>
      <c r="C685" s="3">
        <f>IFERROR(__xludf.DUMMYFUNCTION("""COMPUTED_VALUE"""),1163.0)</f>
        <v>1163</v>
      </c>
      <c r="D685" s="1">
        <v>0.0</v>
      </c>
      <c r="E685" s="2"/>
      <c r="F685" s="2"/>
      <c r="G685" s="2"/>
      <c r="H685" s="2"/>
      <c r="I685" s="2"/>
    </row>
    <row r="686">
      <c r="A686" s="1" t="s">
        <v>415</v>
      </c>
      <c r="B686" s="1" t="str">
        <f>IFERROR(__xludf.DUMMYFUNCTION("SPLIT(A686,"";"")"),"CENTRE REGIONAL D'ECO-ENERGETIQUE D'AQUITAINE - CREAQ")</f>
        <v>CENTRE REGIONAL D'ECO-ENERGETIQUE D'AQUITAINE - CREAQ</v>
      </c>
      <c r="C686" s="1">
        <f>IFERROR(__xludf.DUMMYFUNCTION("""COMPUTED_VALUE"""),551.0)</f>
        <v>551</v>
      </c>
      <c r="D686" s="1">
        <v>0.0</v>
      </c>
      <c r="E686" s="2"/>
      <c r="F686" s="2"/>
      <c r="G686" s="2"/>
      <c r="H686" s="2"/>
      <c r="I686" s="2"/>
    </row>
    <row r="687">
      <c r="A687" s="1" t="s">
        <v>416</v>
      </c>
      <c r="B687" s="1" t="str">
        <f>IFERROR(__xludf.DUMMYFUNCTION("SPLIT(A687,"";"")"),"CENTRE SOCIAL ET FAMILIAL BORDEAUX NORD")</f>
        <v>CENTRE SOCIAL ET FAMILIAL BORDEAUX NORD</v>
      </c>
      <c r="C687" s="3">
        <f>IFERROR(__xludf.DUMMYFUNCTION("""COMPUTED_VALUE"""),47045.0)</f>
        <v>47045</v>
      </c>
      <c r="D687" s="1">
        <v>21.0</v>
      </c>
      <c r="E687" s="2"/>
      <c r="F687" s="2"/>
      <c r="G687" s="2"/>
      <c r="H687" s="2"/>
      <c r="I687" s="2"/>
    </row>
    <row r="688">
      <c r="A688" s="1" t="s">
        <v>417</v>
      </c>
      <c r="B688" s="1" t="str">
        <f>IFERROR(__xludf.DUMMYFUNCTION("SPLIT(A688,"";"")"),"CERCLE BORDELAIS DE SANTE (C.B.S.)")</f>
        <v>CERCLE BORDELAIS DE SANTE (C.B.S.)</v>
      </c>
      <c r="C688" s="1">
        <f>IFERROR(__xludf.DUMMYFUNCTION("""COMPUTED_VALUE"""),238.0)</f>
        <v>238</v>
      </c>
      <c r="D688" s="1">
        <v>0.0</v>
      </c>
      <c r="E688" s="2"/>
      <c r="F688" s="2"/>
      <c r="G688" s="2"/>
      <c r="H688" s="2"/>
      <c r="I688" s="2"/>
    </row>
    <row r="689">
      <c r="A689" s="1" t="s">
        <v>418</v>
      </c>
      <c r="B689" s="1" t="str">
        <f>IFERROR(__xludf.DUMMYFUNCTION("SPLIT(A689,"";"")"),"CERCLE D'AIDE A LA VIE PAR LA VOIE SPIRITUELLE-FRANCE")</f>
        <v>CERCLE D'AIDE A LA VIE PAR LA VOIE SPIRITUELLE-FRANCE</v>
      </c>
      <c r="C689" s="1">
        <f>IFERROR(__xludf.DUMMYFUNCTION("""COMPUTED_VALUE"""),240.0)</f>
        <v>240</v>
      </c>
      <c r="D689" s="1">
        <v>0.0</v>
      </c>
      <c r="E689" s="2"/>
      <c r="F689" s="2"/>
      <c r="G689" s="2"/>
      <c r="H689" s="2"/>
      <c r="I689" s="2"/>
    </row>
    <row r="690">
      <c r="A690" s="1" t="s">
        <v>419</v>
      </c>
      <c r="B690" s="1" t="str">
        <f>IFERROR(__xludf.DUMMYFUNCTION("SPLIT(A690,"";"")"),"CERCLE DES COIFFEURS CREATEURS")</f>
        <v>CERCLE DES COIFFEURS CREATEURS</v>
      </c>
      <c r="C690" s="1">
        <f>IFERROR(__xludf.DUMMYFUNCTION("""COMPUTED_VALUE"""),554.0)</f>
        <v>554</v>
      </c>
      <c r="D690" s="1">
        <v>0.0</v>
      </c>
      <c r="E690" s="2"/>
      <c r="F690" s="2"/>
      <c r="G690" s="2"/>
      <c r="H690" s="2"/>
      <c r="I690" s="2"/>
    </row>
    <row r="691">
      <c r="A691" s="1" t="s">
        <v>420</v>
      </c>
      <c r="B691" s="1" t="str">
        <f>IFERROR(__xludf.DUMMYFUNCTION("SPLIT(A691,"";"")"),"CERCLE DES ESCRIMEURS BORDELAIS (CEB)")</f>
        <v>CERCLE DES ESCRIMEURS BORDELAIS (CEB)</v>
      </c>
      <c r="C691" s="1">
        <f>IFERROR(__xludf.DUMMYFUNCTION("""COMPUTED_VALUE"""),332.0)</f>
        <v>332</v>
      </c>
      <c r="D691" s="1">
        <v>0.0</v>
      </c>
      <c r="E691" s="2"/>
      <c r="F691" s="2"/>
      <c r="G691" s="2"/>
      <c r="H691" s="2"/>
      <c r="I691" s="2"/>
    </row>
    <row r="692">
      <c r="A692" s="1" t="s">
        <v>421</v>
      </c>
      <c r="B692" s="1" t="str">
        <f>IFERROR(__xludf.DUMMYFUNCTION("SPLIT(A692,"";"")"),"CERCLE D'ETUDES ET DE CULTURE FRANÇAISES (CECF)")</f>
        <v>CERCLE D'ETUDES ET DE CULTURE FRANÇAISES (CECF)</v>
      </c>
      <c r="C692" s="3">
        <f>IFERROR(__xludf.DUMMYFUNCTION("""COMPUTED_VALUE"""),14480.0)</f>
        <v>14480</v>
      </c>
      <c r="D692" s="1">
        <v>0.0</v>
      </c>
      <c r="E692" s="2"/>
      <c r="F692" s="2"/>
      <c r="G692" s="2"/>
      <c r="H692" s="2"/>
      <c r="I692" s="2"/>
    </row>
    <row r="693">
      <c r="A693" s="1" t="s">
        <v>422</v>
      </c>
      <c r="B693" s="1" t="str">
        <f>IFERROR(__xludf.DUMMYFUNCTION("SPLIT(A693,"";"")"),"CERCLE D'ETUDES RUSSES")</f>
        <v>CERCLE D'ETUDES RUSSES</v>
      </c>
      <c r="C693" s="3">
        <f>IFERROR(__xludf.DUMMYFUNCTION("""COMPUTED_VALUE"""),1361.0)</f>
        <v>1361</v>
      </c>
      <c r="D693" s="1">
        <v>0.0</v>
      </c>
      <c r="E693" s="2"/>
      <c r="F693" s="2"/>
      <c r="G693" s="2"/>
      <c r="H693" s="2"/>
      <c r="I693" s="2"/>
    </row>
    <row r="694">
      <c r="A694" s="1" t="s">
        <v>423</v>
      </c>
      <c r="B694" s="1" t="str">
        <f>IFERROR(__xludf.DUMMYFUNCTION("SPLIT(A694,"";"")"),"CERCLE JEAN BAPTISTE LYNCH")</f>
        <v>CERCLE JEAN BAPTISTE LYNCH</v>
      </c>
      <c r="C694" s="3">
        <f>IFERROR(__xludf.DUMMYFUNCTION("""COMPUTED_VALUE"""),1138.0)</f>
        <v>1138</v>
      </c>
      <c r="D694" s="1">
        <v>0.0</v>
      </c>
      <c r="E694" s="2"/>
      <c r="F694" s="2"/>
      <c r="G694" s="2"/>
      <c r="H694" s="2"/>
      <c r="I694" s="2"/>
    </row>
    <row r="695">
      <c r="A695" s="1" t="s">
        <v>424</v>
      </c>
      <c r="B695" s="1" t="str">
        <f>IFERROR(__xludf.DUMMYFUNCTION("SPLIT(A695,"";"")"),"CERCLE OENOPHILE AQUITAIN")</f>
        <v>CERCLE OENOPHILE AQUITAIN</v>
      </c>
      <c r="C695" s="1">
        <f>IFERROR(__xludf.DUMMYFUNCTION("""COMPUTED_VALUE"""),477.0)</f>
        <v>477</v>
      </c>
      <c r="D695" s="1">
        <v>0.0</v>
      </c>
      <c r="E695" s="2"/>
      <c r="F695" s="2"/>
      <c r="G695" s="2"/>
      <c r="H695" s="2"/>
      <c r="I695" s="2"/>
    </row>
    <row r="696">
      <c r="A696" s="1" t="s">
        <v>425</v>
      </c>
      <c r="B696" s="1" t="str">
        <f>IFERROR(__xludf.DUMMYFUNCTION("SPLIT(A696,"";"")"),"CERCLE PHILATELIQUE BORDEAUX AQUITAINE")</f>
        <v>CERCLE PHILATELIQUE BORDEAUX AQUITAINE</v>
      </c>
      <c r="C696" s="1">
        <f>IFERROR(__xludf.DUMMYFUNCTION("""COMPUTED_VALUE"""),858.0)</f>
        <v>858</v>
      </c>
      <c r="D696" s="1">
        <v>0.0</v>
      </c>
      <c r="E696" s="2"/>
      <c r="F696" s="2"/>
      <c r="G696" s="2"/>
      <c r="H696" s="2"/>
      <c r="I696" s="2"/>
    </row>
    <row r="697">
      <c r="A697" s="1" t="s">
        <v>426</v>
      </c>
      <c r="B697" s="1" t="str">
        <f>IFERROR(__xludf.DUMMYFUNCTION("SPLIT(A697,"";"")"),"CERCLE POLITEIA")</f>
        <v>CERCLE POLITEIA</v>
      </c>
      <c r="C697" s="1">
        <f>IFERROR(__xludf.DUMMYFUNCTION("""COMPUTED_VALUE"""),17.0)</f>
        <v>17</v>
      </c>
      <c r="D697" s="1">
        <v>0.0</v>
      </c>
      <c r="E697" s="2"/>
      <c r="F697" s="2"/>
      <c r="G697" s="2"/>
      <c r="H697" s="2"/>
      <c r="I697" s="2"/>
    </row>
    <row r="698">
      <c r="A698" s="1" t="s">
        <v>427</v>
      </c>
      <c r="B698" s="1" t="str">
        <f>IFERROR(__xludf.DUMMYFUNCTION("SPLIT(A698,"";"")"),"CERCLE POLITZER")</f>
        <v>CERCLE POLITZER</v>
      </c>
      <c r="C698" s="1">
        <f>IFERROR(__xludf.DUMMYFUNCTION("""COMPUTED_VALUE"""),356.0)</f>
        <v>356</v>
      </c>
      <c r="D698" s="1">
        <v>0.0</v>
      </c>
      <c r="E698" s="2"/>
      <c r="F698" s="2"/>
      <c r="G698" s="2"/>
      <c r="H698" s="2"/>
      <c r="I698" s="2"/>
    </row>
    <row r="699">
      <c r="A699" s="1" t="s">
        <v>428</v>
      </c>
      <c r="B699" s="1" t="str">
        <f>IFERROR(__xludf.DUMMYFUNCTION("SPLIT(A699,"";"")"),"C'EST PAR ISIC (INSTIUT DES SCIENCES DE L'INFORMATION ET DE LA COMMUNICATION)")</f>
        <v>C'EST PAR ISIC (INSTIUT DES SCIENCES DE L'INFORMATION ET DE LA COMMUNICATION)</v>
      </c>
      <c r="C699" s="1">
        <f>IFERROR(__xludf.DUMMYFUNCTION("""COMPUTED_VALUE"""),665.0)</f>
        <v>665</v>
      </c>
      <c r="D699" s="1">
        <v>0.0</v>
      </c>
      <c r="E699" s="2"/>
      <c r="F699" s="2"/>
      <c r="G699" s="2"/>
      <c r="H699" s="2"/>
      <c r="I699" s="2"/>
    </row>
    <row r="700">
      <c r="A700" s="1" t="s">
        <v>429</v>
      </c>
      <c r="B700" s="1" t="str">
        <f>IFERROR(__xludf.DUMMYFUNCTION("SPLIT(A700,"";"")"),"CHAHUTS")</f>
        <v>CHAHUTS</v>
      </c>
      <c r="C700" s="3">
        <f>IFERROR(__xludf.DUMMYFUNCTION("""COMPUTED_VALUE"""),27056.0)</f>
        <v>27056</v>
      </c>
      <c r="D700" s="1">
        <v>50.0</v>
      </c>
      <c r="E700" s="2"/>
      <c r="F700" s="2"/>
      <c r="G700" s="2"/>
      <c r="H700" s="2"/>
      <c r="I700" s="2"/>
    </row>
    <row r="701">
      <c r="A701" s="1" t="s">
        <v>430</v>
      </c>
      <c r="B701" s="1" t="str">
        <f>IFERROR(__xludf.DUMMYFUNCTION("SPLIT(A701,"";"")"),"CHAMBRE PROFESSIONNELLE DES AGENTS COMMERCIAUX DU SUD-OUEST")</f>
        <v>CHAMBRE PROFESSIONNELLE DES AGENTS COMMERCIAUX DU SUD-OUEST</v>
      </c>
      <c r="C701" s="1">
        <f>IFERROR(__xludf.DUMMYFUNCTION("""COMPUTED_VALUE"""),53.0)</f>
        <v>53</v>
      </c>
      <c r="D701" s="1">
        <v>0.0</v>
      </c>
      <c r="E701" s="2"/>
      <c r="F701" s="2"/>
      <c r="G701" s="2"/>
      <c r="H701" s="2"/>
      <c r="I701" s="2"/>
    </row>
    <row r="702">
      <c r="A702" s="1" t="s">
        <v>431</v>
      </c>
      <c r="B702" s="1" t="str">
        <f>IFERROR(__xludf.DUMMYFUNCTION("SPLIT(A702,"";"")"),"CHANT LIBRE")</f>
        <v>CHANT LIBRE</v>
      </c>
      <c r="C702" s="3">
        <f>IFERROR(__xludf.DUMMYFUNCTION("""COMPUTED_VALUE"""),3593.0)</f>
        <v>3593</v>
      </c>
      <c r="D702" s="1">
        <v>53.0</v>
      </c>
      <c r="E702" s="2"/>
      <c r="F702" s="2"/>
      <c r="G702" s="2"/>
      <c r="H702" s="2"/>
      <c r="I702" s="2"/>
    </row>
    <row r="703">
      <c r="A703" s="1" t="s">
        <v>432</v>
      </c>
      <c r="B703" s="1" t="str">
        <f>IFERROR(__xludf.DUMMYFUNCTION("SPLIT(A703,"";"")"),"CHEMIN DES ETOILES - CDE")</f>
        <v>CHEMIN DES ETOILES - CDE</v>
      </c>
      <c r="C703" s="3">
        <f>IFERROR(__xludf.DUMMYFUNCTION("""COMPUTED_VALUE"""),1999.0)</f>
        <v>1999</v>
      </c>
      <c r="D703" s="1">
        <v>73.0</v>
      </c>
      <c r="E703" s="2"/>
      <c r="F703" s="2"/>
      <c r="G703" s="2"/>
      <c r="H703" s="2"/>
      <c r="I703" s="2"/>
    </row>
    <row r="704">
      <c r="A704" s="1" t="s">
        <v>433</v>
      </c>
      <c r="B704" s="1" t="str">
        <f>IFERROR(__xludf.DUMMYFUNCTION("SPLIT(A704,"";"")"),"CHEMINS DE VIES")</f>
        <v>CHEMINS DE VIES</v>
      </c>
      <c r="C704" s="1">
        <f>IFERROR(__xludf.DUMMYFUNCTION("""COMPUTED_VALUE"""),468.0)</f>
        <v>468</v>
      </c>
      <c r="D704" s="1">
        <v>0.0</v>
      </c>
      <c r="E704" s="2"/>
      <c r="F704" s="2"/>
      <c r="G704" s="2"/>
      <c r="H704" s="2"/>
      <c r="I704" s="2"/>
    </row>
    <row r="705">
      <c r="A705" s="1" t="s">
        <v>434</v>
      </c>
      <c r="B705" s="1" t="str">
        <f>IFERROR(__xludf.DUMMYFUNCTION("SPLIT(A705,"";"")"),"CHEVRE FOOTBALL CLUB - CFC")</f>
        <v>CHEVRE FOOTBALL CLUB - CFC</v>
      </c>
      <c r="C705" s="1">
        <f>IFERROR(__xludf.DUMMYFUNCTION("""COMPUTED_VALUE"""),676.0)</f>
        <v>676</v>
      </c>
      <c r="D705" s="1">
        <v>50.0</v>
      </c>
      <c r="E705" s="2"/>
      <c r="F705" s="2"/>
      <c r="G705" s="2"/>
      <c r="H705" s="2"/>
      <c r="I705" s="2"/>
    </row>
    <row r="706">
      <c r="A706" s="1" t="s">
        <v>435</v>
      </c>
      <c r="B706" s="1" t="str">
        <f>IFERROR(__xludf.DUMMYFUNCTION("SPLIT(A706,"";"")"),"CIMADE - SERVICE OECUMENIQUE D'ENTRAIDE")</f>
        <v>CIMADE - SERVICE OECUMENIQUE D'ENTRAIDE</v>
      </c>
      <c r="C706" s="3">
        <f>IFERROR(__xludf.DUMMYFUNCTION("""COMPUTED_VALUE"""),1387.0)</f>
        <v>1387</v>
      </c>
      <c r="D706" s="1">
        <v>0.0</v>
      </c>
      <c r="E706" s="2"/>
      <c r="F706" s="2"/>
      <c r="G706" s="2"/>
      <c r="H706" s="2"/>
      <c r="I706" s="2"/>
    </row>
    <row r="707">
      <c r="A707" s="1" t="s">
        <v>436</v>
      </c>
      <c r="B707" s="1" t="str">
        <f>IFERROR(__xludf.DUMMYFUNCTION("SPLIT(A707,"";"")"),"CINERESEAUX")</f>
        <v>CINERESEAUX</v>
      </c>
      <c r="C707" s="1">
        <f>IFERROR(__xludf.DUMMYFUNCTION("""COMPUTED_VALUE"""),72.0)</f>
        <v>72</v>
      </c>
      <c r="D707" s="1">
        <v>0.0</v>
      </c>
      <c r="E707" s="2"/>
      <c r="F707" s="2"/>
      <c r="G707" s="2"/>
      <c r="H707" s="2"/>
      <c r="I707" s="2"/>
    </row>
    <row r="708">
      <c r="A708" s="1" t="s">
        <v>437</v>
      </c>
      <c r="B708" s="1" t="str">
        <f>IFERROR(__xludf.DUMMYFUNCTION("SPLIT(A708,"";"")"),"CLAC")</f>
        <v>CLAC</v>
      </c>
      <c r="C708" s="1">
        <f>IFERROR(__xludf.DUMMYFUNCTION("""COMPUTED_VALUE"""),401.0)</f>
        <v>401</v>
      </c>
      <c r="D708" s="1">
        <v>0.0</v>
      </c>
      <c r="E708" s="2"/>
      <c r="F708" s="2"/>
      <c r="G708" s="2"/>
      <c r="H708" s="2"/>
      <c r="I708" s="2"/>
    </row>
    <row r="709">
      <c r="A709" s="1" t="s">
        <v>438</v>
      </c>
      <c r="B709" s="1" t="str">
        <f>IFERROR(__xludf.DUMMYFUNCTION("SPLIT(A709,"";"")"),"CLAIR-OBSCUR")</f>
        <v>CLAIR-OBSCUR</v>
      </c>
      <c r="C709" s="1">
        <f>IFERROR(__xludf.DUMMYFUNCTION("""COMPUTED_VALUE"""),270.0)</f>
        <v>270</v>
      </c>
      <c r="D709" s="1">
        <v>0.0</v>
      </c>
      <c r="E709" s="2"/>
      <c r="F709" s="2"/>
      <c r="G709" s="2"/>
      <c r="H709" s="2"/>
      <c r="I709" s="2"/>
    </row>
    <row r="710">
      <c r="A710" s="1" t="s">
        <v>439</v>
      </c>
      <c r="B710" s="1" t="str">
        <f>IFERROR(__xludf.DUMMYFUNCTION("SPLIT(A710,"";"")"),"CLUB « BON GOUT D'AQUITAINE »")</f>
        <v>CLUB « BON GOUT D'AQUITAINE »</v>
      </c>
      <c r="C710" s="3">
        <f>IFERROR(__xludf.DUMMYFUNCTION("""COMPUTED_VALUE"""),12250.0)</f>
        <v>12250</v>
      </c>
      <c r="D710" s="1">
        <v>0.0</v>
      </c>
      <c r="E710" s="2"/>
      <c r="F710" s="2"/>
      <c r="G710" s="2"/>
      <c r="H710" s="2"/>
      <c r="I710" s="2"/>
    </row>
    <row r="711">
      <c r="A711" s="1" t="s">
        <v>440</v>
      </c>
      <c r="B711" s="1" t="str">
        <f>IFERROR(__xludf.DUMMYFUNCTION("SPLIT(A711,"";"")"),"CLUB 41 FRANCAIS BORDEAUX N° 110")</f>
        <v>CLUB 41 FRANCAIS BORDEAUX N° 110</v>
      </c>
      <c r="C711" s="1">
        <f>IFERROR(__xludf.DUMMYFUNCTION("""COMPUTED_VALUE"""),443.0)</f>
        <v>443</v>
      </c>
      <c r="D711" s="1">
        <v>0.0</v>
      </c>
      <c r="E711" s="2"/>
      <c r="F711" s="2"/>
      <c r="G711" s="2"/>
      <c r="H711" s="2"/>
      <c r="I711" s="2"/>
    </row>
    <row r="712">
      <c r="A712" s="1" t="s">
        <v>441</v>
      </c>
      <c r="B712" s="1" t="str">
        <f>IFERROR(__xludf.DUMMYFUNCTION("SPLIT(A712,"";"")"),"CLUB 89")</f>
        <v>CLUB 89</v>
      </c>
      <c r="C712" s="1">
        <f>IFERROR(__xludf.DUMMYFUNCTION("""COMPUTED_VALUE"""),306.0)</f>
        <v>306</v>
      </c>
      <c r="D712" s="1">
        <v>0.0</v>
      </c>
      <c r="E712" s="2"/>
      <c r="F712" s="2"/>
      <c r="G712" s="2"/>
      <c r="H712" s="2"/>
      <c r="I712" s="2"/>
    </row>
    <row r="713">
      <c r="A713" s="1" t="s">
        <v>442</v>
      </c>
      <c r="B713" s="1" t="str">
        <f>IFERROR(__xludf.DUMMYFUNCTION("SPLIT(A713,"";"")"),"CLUB AFRIQUE EN PERSPECTIVES")</f>
        <v>CLUB AFRIQUE EN PERSPECTIVES</v>
      </c>
      <c r="C713" s="1">
        <f>IFERROR(__xludf.DUMMYFUNCTION("""COMPUTED_VALUE"""),342.0)</f>
        <v>342</v>
      </c>
      <c r="D713" s="1">
        <v>0.0</v>
      </c>
      <c r="E713" s="2"/>
      <c r="F713" s="2"/>
      <c r="G713" s="2"/>
      <c r="H713" s="2"/>
      <c r="I713" s="2"/>
    </row>
    <row r="714">
      <c r="A714" s="1" t="s">
        <v>443</v>
      </c>
      <c r="B714" s="1" t="str">
        <f>IFERROR(__xludf.DUMMYFUNCTION("SPLIT(A714,"";"")"),"CLUB ALPIN FRANCAIS DE BORDEAUX")</f>
        <v>CLUB ALPIN FRANCAIS DE BORDEAUX</v>
      </c>
      <c r="C714" s="1">
        <f>IFERROR(__xludf.DUMMYFUNCTION("""COMPUTED_VALUE"""),322.0)</f>
        <v>322</v>
      </c>
      <c r="D714" s="1">
        <v>42.0</v>
      </c>
      <c r="E714" s="2"/>
      <c r="F714" s="2"/>
      <c r="G714" s="2"/>
      <c r="H714" s="2"/>
      <c r="I714" s="2"/>
    </row>
    <row r="715">
      <c r="A715" s="1" t="s">
        <v>444</v>
      </c>
      <c r="B715" s="1" t="str">
        <f>IFERROR(__xludf.DUMMYFUNCTION("SPLIT(A715,"";"")"),"CLUB AMICAL CHAUFFOUR")</f>
        <v>CLUB AMICAL CHAUFFOUR</v>
      </c>
      <c r="C715" s="3">
        <f>IFERROR(__xludf.DUMMYFUNCTION("""COMPUTED_VALUE"""),9733.0)</f>
        <v>9733</v>
      </c>
      <c r="D715" s="1">
        <v>50.0</v>
      </c>
      <c r="E715" s="2"/>
      <c r="F715" s="2"/>
      <c r="G715" s="2"/>
      <c r="H715" s="2"/>
      <c r="I715" s="2"/>
    </row>
    <row r="716">
      <c r="A716" s="1" t="s">
        <v>445</v>
      </c>
      <c r="B716" s="1" t="str">
        <f>IFERROR(__xludf.DUMMYFUNCTION("SPLIT(A716,"";"")"),"CLUB ATHLETIQUE DU PORT AUTONOME DE BORDEAUX")</f>
        <v>CLUB ATHLETIQUE DU PORT AUTONOME DE BORDEAUX</v>
      </c>
      <c r="C716" s="3">
        <f>IFERROR(__xludf.DUMMYFUNCTION("""COMPUTED_VALUE"""),1754.0)</f>
        <v>1754</v>
      </c>
      <c r="D716" s="1">
        <v>0.0</v>
      </c>
      <c r="E716" s="2"/>
      <c r="F716" s="2"/>
      <c r="G716" s="2"/>
      <c r="H716" s="2"/>
      <c r="I716" s="2"/>
    </row>
    <row r="717">
      <c r="A717" s="1" t="s">
        <v>446</v>
      </c>
      <c r="B717" s="1" t="str">
        <f>IFERROR(__xludf.DUMMYFUNCTION("SPLIT(A717,"";"")"),"CLUB ATHLETIQUE MUNICIPAL DE BORDEAUX - CAM")</f>
        <v>CLUB ATHLETIQUE MUNICIPAL DE BORDEAUX - CAM</v>
      </c>
      <c r="C717" s="3">
        <f>IFERROR(__xludf.DUMMYFUNCTION("""COMPUTED_VALUE"""),418156.0)</f>
        <v>418156</v>
      </c>
      <c r="D717" s="1">
        <v>92.0</v>
      </c>
      <c r="E717" s="2"/>
      <c r="F717" s="2"/>
      <c r="G717" s="2"/>
      <c r="H717" s="2"/>
      <c r="I717" s="2"/>
    </row>
    <row r="718">
      <c r="A718" s="1" t="s">
        <v>447</v>
      </c>
      <c r="B718" s="1" t="str">
        <f>IFERROR(__xludf.DUMMYFUNCTION("SPLIT(A718,"";"")"),"CLUB BORDEAUX-CAMEROUN-FRANCE")</f>
        <v>CLUB BORDEAUX-CAMEROUN-FRANCE</v>
      </c>
      <c r="C718" s="3">
        <f>IFERROR(__xludf.DUMMYFUNCTION("""COMPUTED_VALUE"""),1067.0)</f>
        <v>1067</v>
      </c>
      <c r="D718" s="1">
        <v>0.0</v>
      </c>
      <c r="E718" s="2"/>
      <c r="F718" s="2"/>
      <c r="G718" s="2"/>
      <c r="H718" s="2"/>
      <c r="I718" s="2"/>
    </row>
    <row r="719">
      <c r="A719" s="1" t="s">
        <v>448</v>
      </c>
      <c r="B719" s="1" t="str">
        <f>IFERROR(__xludf.DUMMYFUNCTION("SPLIT(A719,"";"")"),"CLUB BORDELAIS DU CHOCOLAT ""CHOCO PASSION""")</f>
        <v>CLUB BORDELAIS DU CHOCOLAT "CHOCO PASSION"</v>
      </c>
      <c r="C719" s="1">
        <f>IFERROR(__xludf.DUMMYFUNCTION("""COMPUTED_VALUE"""),530.0)</f>
        <v>530</v>
      </c>
      <c r="D719" s="1">
        <v>0.0</v>
      </c>
      <c r="E719" s="2"/>
      <c r="F719" s="2"/>
      <c r="G719" s="2"/>
      <c r="H719" s="2"/>
      <c r="I719" s="2"/>
    </row>
    <row r="720">
      <c r="A720" s="1" t="s">
        <v>449</v>
      </c>
      <c r="B720" s="1" t="str">
        <f>IFERROR(__xludf.DUMMYFUNCTION("SPLIT(A720,"";"")"),"CLUB BOULISTE ALBERT 1er")</f>
        <v>CLUB BOULISTE ALBERT 1er</v>
      </c>
      <c r="C720" s="3">
        <f>IFERROR(__xludf.DUMMYFUNCTION("""COMPUTED_VALUE"""),8762.0)</f>
        <v>8762</v>
      </c>
      <c r="D720" s="1">
        <v>89.0</v>
      </c>
      <c r="E720" s="2"/>
      <c r="F720" s="2"/>
      <c r="G720" s="2"/>
      <c r="H720" s="2"/>
      <c r="I720" s="2"/>
    </row>
    <row r="721">
      <c r="A721" s="1" t="s">
        <v>450</v>
      </c>
      <c r="B721" s="1" t="str">
        <f>IFERROR(__xludf.DUMMYFUNCTION("SPLIT(A721,"";"")"),"CLUB DE CANNE ET BATON D'AQUITAINE")</f>
        <v>CLUB DE CANNE ET BATON D'AQUITAINE</v>
      </c>
      <c r="C721" s="3">
        <f>IFERROR(__xludf.DUMMYFUNCTION("""COMPUTED_VALUE"""),4698.0)</f>
        <v>4698</v>
      </c>
      <c r="D721" s="1">
        <v>0.0</v>
      </c>
      <c r="E721" s="2"/>
      <c r="F721" s="2"/>
      <c r="G721" s="2"/>
      <c r="H721" s="2"/>
      <c r="I721" s="2"/>
    </row>
    <row r="722">
      <c r="A722" s="1" t="s">
        <v>451</v>
      </c>
      <c r="B722" s="1" t="str">
        <f>IFERROR(__xludf.DUMMYFUNCTION("SPLIT(A722,"";"")"),"CLUB DE LA PRESSE DE BORDEAUX")</f>
        <v>CLUB DE LA PRESSE DE BORDEAUX</v>
      </c>
      <c r="C722" s="3">
        <f>IFERROR(__xludf.DUMMYFUNCTION("""COMPUTED_VALUE"""),26050.0)</f>
        <v>26050</v>
      </c>
      <c r="D722" s="1">
        <v>9.0</v>
      </c>
      <c r="E722" s="2"/>
      <c r="F722" s="2"/>
      <c r="G722" s="2"/>
      <c r="H722" s="2"/>
      <c r="I722" s="2"/>
    </row>
    <row r="723">
      <c r="A723" s="1" t="s">
        <v>452</v>
      </c>
      <c r="B723" s="1" t="str">
        <f>IFERROR(__xludf.DUMMYFUNCTION("SPLIT(A723,"";"")"),"CLUB D'ENTREPRISES BORDEAUX EURATLANTIQUE")</f>
        <v>CLUB D'ENTREPRISES BORDEAUX EURATLANTIQUE</v>
      </c>
      <c r="C723" s="3">
        <f>IFERROR(__xludf.DUMMYFUNCTION("""COMPUTED_VALUE"""),1088.0)</f>
        <v>1088</v>
      </c>
      <c r="D723" s="1">
        <v>40.0</v>
      </c>
      <c r="E723" s="2"/>
      <c r="F723" s="2"/>
      <c r="G723" s="2"/>
      <c r="H723" s="2"/>
      <c r="I723" s="2"/>
    </row>
    <row r="724">
      <c r="A724" s="1" t="s">
        <v>453</v>
      </c>
      <c r="B724" s="1" t="str">
        <f>IFERROR(__xludf.DUMMYFUNCTION("SPLIT(A724,"";"")"),"CLUB DES ENTREPRISES DE BORDEAUX")</f>
        <v>CLUB DES ENTREPRISES DE BORDEAUX</v>
      </c>
      <c r="C724" s="1">
        <f>IFERROR(__xludf.DUMMYFUNCTION("""COMPUTED_VALUE"""),138.0)</f>
        <v>138</v>
      </c>
      <c r="D724" s="1">
        <v>90.0</v>
      </c>
      <c r="E724" s="2"/>
      <c r="F724" s="2"/>
      <c r="G724" s="2"/>
      <c r="H724" s="2"/>
      <c r="I724" s="2"/>
    </row>
    <row r="725">
      <c r="A725" s="1" t="s">
        <v>454</v>
      </c>
      <c r="B725" s="1" t="str">
        <f>IFERROR(__xludf.DUMMYFUNCTION("SPLIT(A725,"";"")"),"CLUB DES RANDONNEURS DU PYLA ET DU BASSIN D'ARCACHON")</f>
        <v>CLUB DES RANDONNEURS DU PYLA ET DU BASSIN D'ARCACHON</v>
      </c>
      <c r="C725" s="1">
        <f>IFERROR(__xludf.DUMMYFUNCTION("""COMPUTED_VALUE"""),246.0)</f>
        <v>246</v>
      </c>
      <c r="D725" s="1">
        <v>0.0</v>
      </c>
      <c r="E725" s="2"/>
      <c r="F725" s="2"/>
      <c r="G725" s="2"/>
      <c r="H725" s="2"/>
      <c r="I725" s="2"/>
    </row>
    <row r="726">
      <c r="A726" s="1" t="s">
        <v>455</v>
      </c>
      <c r="B726" s="1" t="str">
        <f>IFERROR(__xludf.DUMMYFUNCTION("SPLIT(A726,"";"")"),"CLUB D'EXPLORATION SOUS MARINE D'AQUITAINE - CESMA")</f>
        <v>CLUB D'EXPLORATION SOUS MARINE D'AQUITAINE - CESMA</v>
      </c>
      <c r="C726" s="3">
        <f>IFERROR(__xludf.DUMMYFUNCTION("""COMPUTED_VALUE"""),16545.0)</f>
        <v>16545</v>
      </c>
      <c r="D726" s="1">
        <v>32.0</v>
      </c>
      <c r="E726" s="2"/>
      <c r="F726" s="2"/>
      <c r="G726" s="2"/>
      <c r="H726" s="2"/>
      <c r="I726" s="2"/>
    </row>
    <row r="727">
      <c r="A727" s="1" t="s">
        <v>456</v>
      </c>
      <c r="B727" s="1" t="str">
        <f>IFERROR(__xludf.DUMMYFUNCTION("SPLIT(A727,"";"")"),"CLUB D'ULTIMATE DE BORDEAUX - 33 TOURS")</f>
        <v>CLUB D'ULTIMATE DE BORDEAUX - 33 TOURS</v>
      </c>
      <c r="C727" s="1">
        <f>IFERROR(__xludf.DUMMYFUNCTION("""COMPUTED_VALUE"""),286.0)</f>
        <v>286</v>
      </c>
      <c r="D727" s="1">
        <v>48.0</v>
      </c>
      <c r="E727" s="2"/>
      <c r="F727" s="2"/>
      <c r="G727" s="2"/>
      <c r="H727" s="2"/>
      <c r="I727" s="2"/>
    </row>
    <row r="728">
      <c r="A728" s="1" t="s">
        <v>457</v>
      </c>
      <c r="B728" s="1" t="str">
        <f>IFERROR(__xludf.DUMMYFUNCTION("SPLIT(A728,"";"")"),"CLUB ERASMUS ET MUNDUS")</f>
        <v>CLUB ERASMUS ET MUNDUS</v>
      </c>
      <c r="C728" s="1">
        <f>IFERROR(__xludf.DUMMYFUNCTION("""COMPUTED_VALUE"""),34.0)</f>
        <v>34</v>
      </c>
      <c r="D728" s="1">
        <v>0.0</v>
      </c>
      <c r="E728" s="2"/>
      <c r="F728" s="2"/>
      <c r="G728" s="2"/>
      <c r="H728" s="2"/>
      <c r="I728" s="2"/>
    </row>
    <row r="729">
      <c r="A729" s="1" t="s">
        <v>458</v>
      </c>
      <c r="B729" s="1" t="str">
        <f>IFERROR(__xludf.DUMMYFUNCTION("SPLIT(A729,"";"")"),"CLUB INDEPENDANT BORDELAIS")</f>
        <v>CLUB INDEPENDANT BORDELAIS</v>
      </c>
      <c r="C729" s="1">
        <f>IFERROR(__xludf.DUMMYFUNCTION("""COMPUTED_VALUE"""),390.0)</f>
        <v>390</v>
      </c>
      <c r="D729" s="1">
        <v>0.0</v>
      </c>
      <c r="E729" s="2"/>
      <c r="F729" s="2"/>
      <c r="G729" s="2"/>
      <c r="H729" s="2"/>
      <c r="I729" s="2"/>
    </row>
    <row r="730">
      <c r="A730" s="1" t="s">
        <v>459</v>
      </c>
      <c r="B730" s="1" t="str">
        <f>IFERROR(__xludf.DUMMYFUNCTION("SPLIT(A730,"";"")"),"CLUB PETANQUE GRAND PARC")</f>
        <v>CLUB PETANQUE GRAND PARC</v>
      </c>
      <c r="C730" s="3">
        <f>IFERROR(__xludf.DUMMYFUNCTION("""COMPUTED_VALUE"""),4274.0)</f>
        <v>4274</v>
      </c>
      <c r="D730" s="1">
        <v>50.0</v>
      </c>
      <c r="E730" s="2"/>
      <c r="F730" s="2"/>
      <c r="G730" s="2"/>
      <c r="H730" s="2"/>
      <c r="I730" s="2"/>
    </row>
    <row r="731">
      <c r="A731" s="1" t="s">
        <v>460</v>
      </c>
      <c r="B731" s="1" t="str">
        <f>IFERROR(__xludf.DUMMYFUNCTION("SPLIT(A731,"";"")"),"CLUB PHILOSOPHIQUE PENSEE ET AVENIR")</f>
        <v>CLUB PHILOSOPHIQUE PENSEE ET AVENIR</v>
      </c>
      <c r="C731" s="1">
        <f>IFERROR(__xludf.DUMMYFUNCTION("""COMPUTED_VALUE"""),102.0)</f>
        <v>102</v>
      </c>
      <c r="D731" s="1">
        <v>0.0</v>
      </c>
      <c r="E731" s="2"/>
      <c r="F731" s="2"/>
      <c r="G731" s="2"/>
      <c r="H731" s="2"/>
      <c r="I731" s="2"/>
    </row>
    <row r="732">
      <c r="A732" s="1" t="s">
        <v>461</v>
      </c>
      <c r="B732" s="1" t="str">
        <f>IFERROR(__xludf.DUMMYFUNCTION("SPLIT(A732,"";"")"),"CLUB PYRENEES AQUITAINE")</f>
        <v>CLUB PYRENEES AQUITAINE</v>
      </c>
      <c r="C732" s="1"/>
      <c r="D732" s="1" t="s">
        <v>462</v>
      </c>
      <c r="E732" s="1" t="s">
        <v>463</v>
      </c>
      <c r="F732" s="1">
        <v>62.0</v>
      </c>
      <c r="G732" s="2"/>
      <c r="H732" s="2"/>
      <c r="I732" s="2"/>
    </row>
    <row r="733">
      <c r="A733" s="1" t="s">
        <v>464</v>
      </c>
      <c r="B733" s="1" t="str">
        <f>IFERROR(__xludf.DUMMYFUNCTION("SPLIT(A733,"";"")"),"COJEP BORDEAUX - CONSEIL POUR LA JUSTICE")</f>
        <v>COJEP BORDEAUX - CONSEIL POUR LA JUSTICE</v>
      </c>
      <c r="C733" s="1"/>
      <c r="D733" s="1" t="s">
        <v>465</v>
      </c>
      <c r="E733" s="1">
        <v>0.0</v>
      </c>
      <c r="F733" s="2"/>
      <c r="G733" s="2"/>
      <c r="H733" s="2"/>
      <c r="I733" s="2"/>
    </row>
    <row r="734">
      <c r="A734" s="1" t="s">
        <v>466</v>
      </c>
      <c r="B734" s="1" t="str">
        <f>IFERROR(__xludf.DUMMYFUNCTION("SPLIT(A734,"";"")"),"COLIBRI 33")</f>
        <v>COLIBRI 33</v>
      </c>
      <c r="C734" s="3">
        <f>IFERROR(__xludf.DUMMYFUNCTION("""COMPUTED_VALUE"""),2592.0)</f>
        <v>2592</v>
      </c>
      <c r="D734" s="1">
        <v>0.0</v>
      </c>
      <c r="E734" s="2"/>
      <c r="F734" s="2"/>
      <c r="G734" s="2"/>
      <c r="H734" s="2"/>
      <c r="I734" s="2"/>
    </row>
    <row r="735">
      <c r="A735" s="1" t="s">
        <v>467</v>
      </c>
      <c r="B735" s="1" t="str">
        <f>IFERROR(__xludf.DUMMYFUNCTION("SPLIT(A735,"";"")"),"COLLECTIF 33 : LA SANTE UN DROIT POUR TOUS")</f>
        <v>COLLECTIF 33 : LA SANTE UN DROIT POUR TOUS</v>
      </c>
      <c r="C735" s="1">
        <f>IFERROR(__xludf.DUMMYFUNCTION("""COMPUTED_VALUE"""),68.0)</f>
        <v>68</v>
      </c>
      <c r="D735" s="1">
        <v>0.0</v>
      </c>
      <c r="E735" s="2"/>
      <c r="F735" s="2"/>
      <c r="G735" s="2"/>
      <c r="H735" s="2"/>
      <c r="I735" s="2"/>
    </row>
    <row r="736">
      <c r="A736" s="1" t="s">
        <v>468</v>
      </c>
      <c r="B736" s="1" t="str">
        <f>IFERROR(__xludf.DUMMYFUNCTION("SPLIT(A736,"";"")"),"COLLECTIF BORDEAUX-MARINOPOLE")</f>
        <v>COLLECTIF BORDEAUX-MARINOPOLE</v>
      </c>
      <c r="C736" s="1">
        <f>IFERROR(__xludf.DUMMYFUNCTION("""COMPUTED_VALUE"""),48.0)</f>
        <v>48</v>
      </c>
      <c r="D736" s="1">
        <v>0.0</v>
      </c>
      <c r="E736" s="2"/>
      <c r="F736" s="2"/>
      <c r="G736" s="2"/>
      <c r="H736" s="2"/>
      <c r="I736" s="2"/>
    </row>
    <row r="737">
      <c r="A737" s="1" t="s">
        <v>469</v>
      </c>
      <c r="B737" s="1" t="str">
        <f>IFERROR(__xludf.DUMMYFUNCTION("SPLIT(A737,"";"")"),"COLLECTIF DE RESSOURCES BORDEAUX-NORD")</f>
        <v>COLLECTIF DE RESSOURCES BORDEAUX-NORD</v>
      </c>
      <c r="C737" s="1">
        <f>IFERROR(__xludf.DUMMYFUNCTION("""COMPUTED_VALUE"""),96.0)</f>
        <v>96</v>
      </c>
      <c r="D737" s="1">
        <v>0.0</v>
      </c>
      <c r="E737" s="2"/>
      <c r="F737" s="2"/>
      <c r="G737" s="2"/>
      <c r="H737" s="2"/>
      <c r="I737" s="2"/>
    </row>
    <row r="738">
      <c r="A738" s="1" t="s">
        <v>470</v>
      </c>
      <c r="B738" s="1" t="str">
        <f>IFERROR(__xludf.DUMMYFUNCTION("SPLIT(A738,"";"")"),"COLLECTIF DES ASSOCIATIONS D'OUTRE-MER EN AQUITAINE DIT C.A.O.M.A.")</f>
        <v>COLLECTIF DES ASSOCIATIONS D'OUTRE-MER EN AQUITAINE DIT C.A.O.M.A.</v>
      </c>
      <c r="C738" s="3">
        <f>IFERROR(__xludf.DUMMYFUNCTION("""COMPUTED_VALUE"""),2900.0)</f>
        <v>2900</v>
      </c>
      <c r="D738" s="1">
        <v>10.0</v>
      </c>
      <c r="E738" s="2"/>
      <c r="F738" s="2"/>
      <c r="G738" s="2"/>
      <c r="H738" s="2"/>
      <c r="I738" s="2"/>
    </row>
    <row r="739">
      <c r="A739" s="1" t="s">
        <v>471</v>
      </c>
      <c r="B739" s="1" t="str">
        <f>IFERROR(__xludf.DUMMYFUNCTION("SPLIT(A739,"";"")"),"COLLECTIF DES ORGANISATIONS DE SOLIDARITE INTERNATIONALE ISSUES DES MIGRATIONS EN AQUITAINE (COSIM AQUITAINE)")</f>
        <v>COLLECTIF DES ORGANISATIONS DE SOLIDARITE INTERNATIONALE ISSUES DES MIGRATIONS EN AQUITAINE (COSIM AQUITAINE)</v>
      </c>
      <c r="C739" s="3">
        <f>IFERROR(__xludf.DUMMYFUNCTION("""COMPUTED_VALUE"""),1204.0)</f>
        <v>1204</v>
      </c>
      <c r="D739" s="1">
        <v>0.0</v>
      </c>
      <c r="E739" s="2"/>
      <c r="F739" s="2"/>
      <c r="G739" s="2"/>
      <c r="H739" s="2"/>
      <c r="I739" s="2"/>
    </row>
    <row r="740">
      <c r="A740" s="1" t="s">
        <v>472</v>
      </c>
      <c r="B740" s="1" t="str">
        <f>IFERROR(__xludf.DUMMYFUNCTION("SPLIT(A740,"";"")"),"COLLECTIF FETE DU JEU DE BORDEAUX")</f>
        <v>COLLECTIF FETE DU JEU DE BORDEAUX</v>
      </c>
      <c r="C740" s="3">
        <f>IFERROR(__xludf.DUMMYFUNCTION("""COMPUTED_VALUE"""),1644.0)</f>
        <v>1644</v>
      </c>
      <c r="D740" s="1">
        <v>29.0</v>
      </c>
      <c r="E740" s="2"/>
      <c r="F740" s="2"/>
      <c r="G740" s="2"/>
      <c r="H740" s="2"/>
      <c r="I740" s="2"/>
    </row>
    <row r="741">
      <c r="A741" s="1" t="s">
        <v>473</v>
      </c>
      <c r="B741" s="1" t="str">
        <f>IFERROR(__xludf.DUMMYFUNCTION("SPLIT(A741,"";"")"),"COLLECTIF GIRONDIN DES ASSOCIATIONS AUTOUR DE L'AUTISME (CG3A)")</f>
        <v>COLLECTIF GIRONDIN DES ASSOCIATIONS AUTOUR DE L'AUTISME (CG3A)</v>
      </c>
      <c r="C741" s="1">
        <f>IFERROR(__xludf.DUMMYFUNCTION("""COMPUTED_VALUE"""),136.0)</f>
        <v>136</v>
      </c>
      <c r="D741" s="1">
        <v>0.0</v>
      </c>
      <c r="E741" s="2"/>
      <c r="F741" s="2"/>
      <c r="G741" s="2"/>
      <c r="H741" s="2"/>
      <c r="I741" s="2"/>
    </row>
    <row r="742">
      <c r="A742" s="1" t="s">
        <v>474</v>
      </c>
      <c r="B742" s="1" t="str">
        <f>IFERROR(__xludf.DUMMYFUNCTION("SPLIT(A742,"";"")"),"COLLECTIF MIXERATUM ERGO SUM")</f>
        <v>COLLECTIF MIXERATUM ERGO SUM</v>
      </c>
      <c r="C742" s="3">
        <f>IFERROR(__xludf.DUMMYFUNCTION("""COMPUTED_VALUE"""),2161.0)</f>
        <v>2161</v>
      </c>
      <c r="D742" s="1">
        <v>65.0</v>
      </c>
      <c r="E742" s="2"/>
      <c r="F742" s="2"/>
      <c r="G742" s="2"/>
      <c r="H742" s="2"/>
      <c r="I742" s="2"/>
    </row>
    <row r="743">
      <c r="A743" s="1" t="s">
        <v>475</v>
      </c>
      <c r="B743" s="1" t="str">
        <f>IFERROR(__xludf.DUMMYFUNCTION("SPLIT(A743,"";"")"),"COLORS INC")</f>
        <v>COLORS INC</v>
      </c>
      <c r="C743" s="1">
        <f>IFERROR(__xludf.DUMMYFUNCTION("""COMPUTED_VALUE"""),183.0)</f>
        <v>183</v>
      </c>
      <c r="D743" s="1">
        <v>0.0</v>
      </c>
      <c r="E743" s="2"/>
      <c r="F743" s="2"/>
      <c r="G743" s="2"/>
      <c r="H743" s="2"/>
      <c r="I743" s="2"/>
    </row>
    <row r="744">
      <c r="A744" s="1" t="s">
        <v>476</v>
      </c>
      <c r="B744" s="1" t="str">
        <f>IFERROR(__xludf.DUMMYFUNCTION("SPLIT(A744,"";"")"),"COMENFRANCE")</f>
        <v>COMENFRANCE</v>
      </c>
      <c r="C744" s="3">
        <f>IFERROR(__xludf.DUMMYFUNCTION("""COMPUTED_VALUE"""),1588.0)</f>
        <v>1588</v>
      </c>
      <c r="D744" s="1">
        <v>0.0</v>
      </c>
      <c r="E744" s="2"/>
      <c r="F744" s="2"/>
      <c r="G744" s="2"/>
      <c r="H744" s="2"/>
      <c r="I744" s="2"/>
    </row>
    <row r="745">
      <c r="A745" s="1" t="s">
        <v>477</v>
      </c>
      <c r="B745" s="1" t="str">
        <f>IFERROR(__xludf.DUMMYFUNCTION("SPLIT(A745,"";"")"),"COMITE ACTION PALESTINE")</f>
        <v>COMITE ACTION PALESTINE</v>
      </c>
      <c r="C745" s="1">
        <f>IFERROR(__xludf.DUMMYFUNCTION("""COMPUTED_VALUE"""),524.0)</f>
        <v>524</v>
      </c>
      <c r="D745" s="1">
        <v>0.0</v>
      </c>
      <c r="E745" s="2"/>
      <c r="F745" s="2"/>
      <c r="G745" s="2"/>
      <c r="H745" s="2"/>
      <c r="I745" s="2"/>
    </row>
    <row r="746">
      <c r="A746" s="1" t="s">
        <v>478</v>
      </c>
      <c r="B746" s="1" t="str">
        <f>IFERROR(__xludf.DUMMYFUNCTION("SPLIT(A746,"";"")"),"COMITE AQUITAIN DE L'ASSOCIATION FRANCAISE DES HEMOPHILES")</f>
        <v>COMITE AQUITAIN DE L'ASSOCIATION FRANCAISE DES HEMOPHILES</v>
      </c>
      <c r="C746" s="1">
        <f>IFERROR(__xludf.DUMMYFUNCTION("""COMPUTED_VALUE"""),443.0)</f>
        <v>443</v>
      </c>
      <c r="D746" s="1">
        <v>0.0</v>
      </c>
      <c r="E746" s="2"/>
      <c r="F746" s="2"/>
      <c r="G746" s="2"/>
      <c r="H746" s="2"/>
      <c r="I746" s="2"/>
    </row>
    <row r="747">
      <c r="A747" s="1" t="s">
        <v>479</v>
      </c>
      <c r="B747" s="1" t="str">
        <f>IFERROR(__xludf.DUMMYFUNCTION("SPLIT(A747,"";"")"),"COMITE BORDEAUX BRISTOL")</f>
        <v>COMITE BORDEAUX BRISTOL</v>
      </c>
      <c r="C747" s="1">
        <f>IFERROR(__xludf.DUMMYFUNCTION("""COMPUTED_VALUE"""),352.0)</f>
        <v>352</v>
      </c>
      <c r="D747" s="1">
        <v>12.0</v>
      </c>
      <c r="E747" s="2"/>
      <c r="F747" s="2"/>
      <c r="G747" s="2"/>
      <c r="H747" s="2"/>
      <c r="I747" s="2"/>
    </row>
    <row r="748">
      <c r="A748" s="1" t="s">
        <v>480</v>
      </c>
      <c r="B748" s="1" t="str">
        <f>IFERROR(__xludf.DUMMYFUNCTION("SPLIT(A748,"";"")"),"COMITE BORDEAUX SUD")</f>
        <v>COMITE BORDEAUX SUD</v>
      </c>
      <c r="C748" s="1">
        <f>IFERROR(__xludf.DUMMYFUNCTION("""COMPUTED_VALUE"""),911.0)</f>
        <v>911</v>
      </c>
      <c r="D748" s="1">
        <v>0.0</v>
      </c>
      <c r="E748" s="2"/>
      <c r="F748" s="2"/>
      <c r="G748" s="2"/>
      <c r="H748" s="2"/>
      <c r="I748" s="2"/>
    </row>
    <row r="749">
      <c r="A749" s="1" t="s">
        <v>481</v>
      </c>
      <c r="B749" s="1" t="str">
        <f>IFERROR(__xludf.DUMMYFUNCTION("SPLIT(A749,"";"")"),"COMITE D'ANIMATION")</f>
        <v>COMITE D'ANIMATION</v>
      </c>
      <c r="C749" s="1"/>
      <c r="D749" s="1" t="s">
        <v>482</v>
      </c>
      <c r="E749" s="1">
        <v>95.0</v>
      </c>
      <c r="F749" s="2"/>
      <c r="G749" s="2"/>
      <c r="H749" s="2"/>
      <c r="I749" s="2"/>
    </row>
    <row r="750">
      <c r="A750" s="1" t="s">
        <v>483</v>
      </c>
      <c r="B750" s="1" t="str">
        <f>IFERROR(__xludf.DUMMYFUNCTION("SPLIT(A750,"";"")"),"COMITE DE BIENFAISANCE ET DE DEFENSE DES INTERETS DU QUARTIER CAUDERAN-SUD")</f>
        <v>COMITE DE BIENFAISANCE ET DE DEFENSE DES INTERETS DU QUARTIER CAUDERAN-SUD</v>
      </c>
      <c r="C750" s="3">
        <f>IFERROR(__xludf.DUMMYFUNCTION("""COMPUTED_VALUE"""),1600.0)</f>
        <v>1600</v>
      </c>
      <c r="D750" s="1">
        <v>0.0</v>
      </c>
      <c r="E750" s="2"/>
      <c r="F750" s="2"/>
      <c r="G750" s="2"/>
      <c r="H750" s="2"/>
      <c r="I750" s="2"/>
    </row>
    <row r="751">
      <c r="A751" s="1" t="s">
        <v>484</v>
      </c>
      <c r="B751" s="1" t="str">
        <f>IFERROR(__xludf.DUMMYFUNCTION("SPLIT(A751,"";"")"),"COMITE DE DEFENSE DES INTERETS DES HABITANTS DU LOTISSEMENT JASMIN ET ANNEXES")</f>
        <v>COMITE DE DEFENSE DES INTERETS DES HABITANTS DU LOTISSEMENT JASMIN ET ANNEXES</v>
      </c>
      <c r="C751" s="1">
        <f>IFERROR(__xludf.DUMMYFUNCTION("""COMPUTED_VALUE"""),126.0)</f>
        <v>126</v>
      </c>
      <c r="D751" s="1">
        <v>11.0</v>
      </c>
      <c r="E751" s="2"/>
      <c r="F751" s="2"/>
      <c r="G751" s="2"/>
      <c r="H751" s="2"/>
      <c r="I751" s="2"/>
    </row>
    <row r="752">
      <c r="A752" s="1" t="s">
        <v>485</v>
      </c>
      <c r="B752" s="1" t="str">
        <f>IFERROR(__xludf.DUMMYFUNCTION("SPLIT(A752,"";"")"),"COMITE DE DEFENSE DES TAXIS DE LA GIRONDE")</f>
        <v>COMITE DE DEFENSE DES TAXIS DE LA GIRONDE</v>
      </c>
      <c r="C752" s="1">
        <f>IFERROR(__xludf.DUMMYFUNCTION("""COMPUTED_VALUE"""),34.0)</f>
        <v>34</v>
      </c>
      <c r="D752" s="1">
        <v>0.0</v>
      </c>
      <c r="E752" s="2"/>
      <c r="F752" s="2"/>
      <c r="G752" s="2"/>
      <c r="H752" s="2"/>
      <c r="I752" s="2"/>
    </row>
    <row r="753">
      <c r="A753" s="1" t="s">
        <v>486</v>
      </c>
      <c r="B753" s="1" t="str">
        <f>IFERROR(__xludf.DUMMYFUNCTION("SPLIT(A753,"";"")"),"COMITE DE L'ACCOMPAGNEMENT DE L'URBANISME")</f>
        <v>COMITE DE L'ACCOMPAGNEMENT DE L'URBANISME</v>
      </c>
      <c r="C753" s="1"/>
      <c r="D753" s="1" t="s">
        <v>487</v>
      </c>
      <c r="E753" s="2"/>
      <c r="F753" s="2"/>
      <c r="G753" s="2"/>
      <c r="H753" s="2"/>
      <c r="I753" s="2"/>
    </row>
    <row r="754">
      <c r="A754" s="1" t="s">
        <v>488</v>
      </c>
      <c r="B754" s="1">
        <f>IFERROR(__xludf.DUMMYFUNCTION("SPLIT(A754,"";"")"),958.0)</f>
        <v>958</v>
      </c>
      <c r="C754" s="1"/>
      <c r="D754" s="1">
        <v>31.0</v>
      </c>
      <c r="E754" s="2"/>
      <c r="F754" s="2"/>
      <c r="G754" s="2"/>
      <c r="H754" s="2"/>
      <c r="I754" s="2"/>
    </row>
    <row r="755">
      <c r="A755" s="1" t="s">
        <v>489</v>
      </c>
      <c r="B755" s="1" t="str">
        <f>IFERROR(__xludf.DUMMYFUNCTION("SPLIT(A755,"";"")"),"CAUDERES")</f>
        <v>CAUDERES</v>
      </c>
      <c r="C755" s="2"/>
      <c r="D755" s="2"/>
      <c r="E755" s="2"/>
      <c r="F755" s="2"/>
      <c r="G755" s="2"/>
      <c r="H755" s="2"/>
      <c r="I755" s="2"/>
    </row>
    <row r="756">
      <c r="A756" s="1" t="s">
        <v>490</v>
      </c>
      <c r="B756" s="1" t="str">
        <f>IFERROR(__xludf.DUMMYFUNCTION("SPLIT(A756,"";"")"),"COMITE DE LIAISON DES ACTEURS DE LA PROMOTION DANS LE SUD-OUEST - CLAP SUD-OUEST")</f>
        <v>COMITE DE LIAISON DES ACTEURS DE LA PROMOTION DANS LE SUD-OUEST - CLAP SUD-OUEST</v>
      </c>
      <c r="C756" s="1">
        <f>IFERROR(__xludf.DUMMYFUNCTION("""COMPUTED_VALUE"""),444.0)</f>
        <v>444</v>
      </c>
      <c r="D756" s="1">
        <v>0.0</v>
      </c>
      <c r="E756" s="2"/>
      <c r="F756" s="2"/>
      <c r="G756" s="2"/>
      <c r="H756" s="2"/>
      <c r="I756" s="2"/>
    </row>
    <row r="757">
      <c r="A757" s="1" t="s">
        <v>491</v>
      </c>
      <c r="B757" s="1" t="str">
        <f>IFERROR(__xludf.DUMMYFUNCTION("SPLIT(A757,"";"")"),"COMITE DE QUARTIER DE CAUDERAN - CQC")</f>
        <v>COMITE DE QUARTIER DE CAUDERAN - CQC</v>
      </c>
      <c r="C757" s="3">
        <f>IFERROR(__xludf.DUMMYFUNCTION("""COMPUTED_VALUE"""),12928.0)</f>
        <v>12928</v>
      </c>
      <c r="D757" s="1">
        <v>0.0</v>
      </c>
      <c r="E757" s="2"/>
      <c r="F757" s="2"/>
      <c r="G757" s="2"/>
      <c r="H757" s="2"/>
      <c r="I757" s="2"/>
    </row>
    <row r="758">
      <c r="A758" s="1" t="s">
        <v>492</v>
      </c>
      <c r="B758" s="1" t="str">
        <f>IFERROR(__xludf.DUMMYFUNCTION("SPLIT(A758,"";"")"),"COMITE DE QUARTIER MARECHAUX/POINCARE")</f>
        <v>COMITE DE QUARTIER MARECHAUX/POINCARE</v>
      </c>
      <c r="C758" s="3">
        <f>IFERROR(__xludf.DUMMYFUNCTION("""COMPUTED_VALUE"""),1155.0)</f>
        <v>1155</v>
      </c>
      <c r="D758" s="1">
        <v>0.0</v>
      </c>
      <c r="E758" s="2"/>
      <c r="F758" s="2"/>
      <c r="G758" s="2"/>
      <c r="H758" s="2"/>
      <c r="I758" s="2"/>
    </row>
    <row r="759">
      <c r="A759" s="1" t="s">
        <v>493</v>
      </c>
      <c r="B759" s="1" t="str">
        <f>IFERROR(__xludf.DUMMYFUNCTION("SPLIT(A759,"";"")"),"COMITE DEPARTEMENTAL DE CYCLISME")</f>
        <v>COMITE DEPARTEMENTAL DE CYCLISME</v>
      </c>
      <c r="C759" s="3">
        <f>IFERROR(__xludf.DUMMYFUNCTION("""COMPUTED_VALUE"""),2414.0)</f>
        <v>2414</v>
      </c>
      <c r="D759" s="1">
        <v>9.0</v>
      </c>
      <c r="E759" s="2"/>
      <c r="F759" s="2"/>
      <c r="G759" s="2"/>
      <c r="H759" s="2"/>
      <c r="I759" s="2"/>
    </row>
    <row r="760">
      <c r="A760" s="1" t="s">
        <v>494</v>
      </c>
      <c r="B760" s="1" t="str">
        <f>IFERROR(__xludf.DUMMYFUNCTION("SPLIT(A760,"";"")"),"COMITE DEPARTEMENTAL DE L'UNION FRANÇAISE DES OEUVRES LAIQUES D'EDUCATION PHYSIQUE - UFOLEP")</f>
        <v>COMITE DEPARTEMENTAL DE L'UNION FRANÇAISE DES OEUVRES LAIQUES D'EDUCATION PHYSIQUE - UFOLEP</v>
      </c>
      <c r="C760" s="1">
        <f>IFERROR(__xludf.DUMMYFUNCTION("""COMPUTED_VALUE"""),955.0)</f>
        <v>955</v>
      </c>
      <c r="D760" s="1">
        <v>0.0</v>
      </c>
      <c r="E760" s="2"/>
      <c r="F760" s="2"/>
      <c r="G760" s="2"/>
      <c r="H760" s="2"/>
      <c r="I760" s="2"/>
    </row>
    <row r="761">
      <c r="A761" s="1" t="s">
        <v>495</v>
      </c>
      <c r="B761" s="1" t="str">
        <f>IFERROR(__xludf.DUMMYFUNCTION("SPLIT(A761,"";"")"),"COMITE DEPARTEMENTAL DE L'UNION SPORTIVE DE L'ENSEIGNEMENT DU PREMIER DEGRE DE LA GIRONDE - USEP 33")</f>
        <v>COMITE DEPARTEMENTAL DE L'UNION SPORTIVE DE L'ENSEIGNEMENT DU PREMIER DEGRE DE LA GIRONDE - USEP 33</v>
      </c>
      <c r="C761" s="3">
        <f>IFERROR(__xludf.DUMMYFUNCTION("""COMPUTED_VALUE"""),2422.0)</f>
        <v>2422</v>
      </c>
      <c r="D761" s="1">
        <v>0.0</v>
      </c>
      <c r="E761" s="2"/>
      <c r="F761" s="2"/>
      <c r="G761" s="2"/>
      <c r="H761" s="2"/>
      <c r="I761" s="2"/>
    </row>
    <row r="762">
      <c r="A762" s="1" t="s">
        <v>496</v>
      </c>
      <c r="B762" s="1" t="str">
        <f>IFERROR(__xludf.DUMMYFUNCTION("SPLIT(A762,"";"")"),"COMITE DEPARTEMENTAL DE NATATION DE LA GIRONDE")</f>
        <v>COMITE DEPARTEMENTAL DE NATATION DE LA GIRONDE</v>
      </c>
      <c r="C762" s="1">
        <f>IFERROR(__xludf.DUMMYFUNCTION("""COMPUTED_VALUE"""),295.0)</f>
        <v>295</v>
      </c>
      <c r="D762" s="1">
        <v>80.0</v>
      </c>
      <c r="E762" s="2"/>
      <c r="F762" s="2"/>
      <c r="G762" s="2"/>
      <c r="H762" s="2"/>
      <c r="I762" s="2"/>
    </row>
    <row r="763">
      <c r="A763" s="1" t="s">
        <v>497</v>
      </c>
      <c r="B763" s="1" t="str">
        <f>IFERROR(__xludf.DUMMYFUNCTION("SPLIT(A763,"";"")"),"COMITE DEPARTEMENTAL DU SPORT ADAPTE DE LA GIRONDE (CDSA 33)")</f>
        <v>COMITE DEPARTEMENTAL DU SPORT ADAPTE DE LA GIRONDE (CDSA 33)</v>
      </c>
      <c r="C763" s="3">
        <f>IFERROR(__xludf.DUMMYFUNCTION("""COMPUTED_VALUE"""),1863.0)</f>
        <v>1863</v>
      </c>
      <c r="D763" s="1">
        <v>0.0</v>
      </c>
      <c r="E763" s="2"/>
      <c r="F763" s="2"/>
      <c r="G763" s="2"/>
      <c r="H763" s="2"/>
      <c r="I763" s="2"/>
    </row>
    <row r="764">
      <c r="A764" s="1" t="s">
        <v>498</v>
      </c>
      <c r="B764" s="1" t="str">
        <f>IFERROR(__xludf.DUMMYFUNCTION("SPLIT(A764,"";"")"),"COMITE DEPARTEMENTAL OLYMPIQUE ET SPORTIF DE LA GIRONDE")</f>
        <v>COMITE DEPARTEMENTAL OLYMPIQUE ET SPORTIF DE LA GIRONDE</v>
      </c>
      <c r="C764" s="3">
        <f>IFERROR(__xludf.DUMMYFUNCTION("""COMPUTED_VALUE"""),2512.0)</f>
        <v>2512</v>
      </c>
      <c r="D764" s="1">
        <v>14.0</v>
      </c>
      <c r="E764" s="2"/>
      <c r="F764" s="2"/>
      <c r="G764" s="2"/>
      <c r="H764" s="2"/>
      <c r="I764" s="2"/>
    </row>
    <row r="765">
      <c r="A765" s="1" t="s">
        <v>499</v>
      </c>
      <c r="B765" s="1" t="str">
        <f>IFERROR(__xludf.DUMMYFUNCTION("SPLIT(A765,"";"")"),"COMITE DES FETES DE BACALAN")</f>
        <v>COMITE DES FETES DE BACALAN</v>
      </c>
      <c r="C765" s="1"/>
      <c r="D765" s="1" t="s">
        <v>500</v>
      </c>
      <c r="E765" s="1">
        <v>18.0</v>
      </c>
      <c r="F765" s="2"/>
      <c r="G765" s="2"/>
      <c r="H765" s="2"/>
      <c r="I765" s="2"/>
    </row>
    <row r="766">
      <c r="A766" s="1" t="s">
        <v>501</v>
      </c>
      <c r="B766" s="1" t="str">
        <f>IFERROR(__xludf.DUMMYFUNCTION("SPLIT(A766,"";"")"),"COMITE D'ETUDE ET D'INFORMATION SUR LA DROGUE (PREVENTION ET TRAITEMENT DES TOXICOMANIES ET AUTRES ADDICTIONS)")</f>
        <v>COMITE D'ETUDE ET D'INFORMATION SUR LA DROGUE (PREVENTION ET TRAITEMENT DES TOXICOMANIES ET AUTRES ADDICTIONS)</v>
      </c>
      <c r="C766" s="1"/>
      <c r="D766" s="1" t="s">
        <v>502</v>
      </c>
      <c r="E766" s="2"/>
      <c r="F766" s="2"/>
      <c r="G766" s="2"/>
      <c r="H766" s="2"/>
      <c r="I766" s="2"/>
    </row>
    <row r="767">
      <c r="A767" s="1" t="s">
        <v>503</v>
      </c>
      <c r="B767" s="3">
        <f>IFERROR(__xludf.DUMMYFUNCTION("SPLIT(A767,"";"")"),2008.0)</f>
        <v>2008</v>
      </c>
      <c r="C767" s="1"/>
      <c r="D767" s="1">
        <v>90.0</v>
      </c>
      <c r="E767" s="2"/>
      <c r="F767" s="2"/>
      <c r="G767" s="2"/>
      <c r="H767" s="2"/>
      <c r="I767" s="2"/>
    </row>
    <row r="768">
      <c r="A768" s="1" t="s">
        <v>504</v>
      </c>
      <c r="B768" s="1" t="str">
        <f>IFERROR(__xludf.DUMMYFUNCTION("SPLIT(A768,"";"")"),"CEID-ADDICTIONS")</f>
        <v>CEID-ADDICTIONS</v>
      </c>
      <c r="C768" s="2"/>
      <c r="D768" s="2"/>
      <c r="E768" s="2"/>
      <c r="F768" s="2"/>
      <c r="G768" s="2"/>
      <c r="H768" s="2"/>
      <c r="I768" s="2"/>
    </row>
    <row r="769">
      <c r="A769" s="1" t="s">
        <v>505</v>
      </c>
      <c r="B769" s="1" t="str">
        <f>IFERROR(__xludf.DUMMYFUNCTION("SPLIT(A769,"";"")"),"COMITE FEMININ GIRONDE POUR LA PREVENTION ET LE DEPISTAGE DES CANCERS")</f>
        <v>COMITE FEMININ GIRONDE POUR LA PREVENTION ET LE DEPISTAGE DES CANCERS</v>
      </c>
      <c r="C769" s="3">
        <f>IFERROR(__xludf.DUMMYFUNCTION("""COMPUTED_VALUE"""),3350.0)</f>
        <v>3350</v>
      </c>
      <c r="D769" s="1">
        <v>53.0</v>
      </c>
      <c r="E769" s="2"/>
      <c r="F769" s="2"/>
      <c r="G769" s="2"/>
      <c r="H769" s="2"/>
      <c r="I769" s="2"/>
    </row>
    <row r="770">
      <c r="A770" s="1" t="s">
        <v>506</v>
      </c>
      <c r="B770" s="1" t="str">
        <f>IFERROR(__xludf.DUMMYFUNCTION("SPLIT(A770,"";"")"),"COMITE GIRONDIN DE COURSE D'ORIENTATION")</f>
        <v>COMITE GIRONDIN DE COURSE D'ORIENTATION</v>
      </c>
      <c r="C770" s="1">
        <f>IFERROR(__xludf.DUMMYFUNCTION("""COMPUTED_VALUE"""),739.0)</f>
        <v>739</v>
      </c>
      <c r="D770" s="1">
        <v>82.0</v>
      </c>
      <c r="E770" s="2"/>
      <c r="F770" s="2"/>
      <c r="G770" s="2"/>
      <c r="H770" s="2"/>
      <c r="I770" s="2"/>
    </row>
    <row r="771">
      <c r="A771" s="1" t="s">
        <v>507</v>
      </c>
      <c r="B771" s="1" t="str">
        <f>IFERROR(__xludf.DUMMYFUNCTION("SPLIT(A771,"";"")"),"COMITE MIRABEAU BORDELAIS 2017")</f>
        <v>COMITE MIRABEAU BORDELAIS 2017</v>
      </c>
      <c r="C771" s="3">
        <f>IFERROR(__xludf.DUMMYFUNCTION("""COMPUTED_VALUE"""),1046.0)</f>
        <v>1046</v>
      </c>
      <c r="D771" s="1">
        <v>0.0</v>
      </c>
      <c r="E771" s="2"/>
      <c r="F771" s="2"/>
      <c r="G771" s="2"/>
      <c r="H771" s="2"/>
      <c r="I771" s="2"/>
    </row>
    <row r="772">
      <c r="A772" s="1" t="s">
        <v>508</v>
      </c>
      <c r="B772" s="1" t="str">
        <f>IFERROR(__xludf.DUMMYFUNCTION("SPLIT(A772,"";"")"),"COMITE PALESTINE 33")</f>
        <v>COMITE PALESTINE 33</v>
      </c>
      <c r="C772" s="3">
        <f>IFERROR(__xludf.DUMMYFUNCTION("""COMPUTED_VALUE"""),1606.0)</f>
        <v>1606</v>
      </c>
      <c r="D772" s="1">
        <v>70.0</v>
      </c>
      <c r="E772" s="2"/>
      <c r="F772" s="2"/>
      <c r="G772" s="2"/>
      <c r="H772" s="2"/>
      <c r="I772" s="2"/>
    </row>
    <row r="773">
      <c r="A773" s="1" t="s">
        <v>509</v>
      </c>
      <c r="B773" s="1" t="str">
        <f>IFERROR(__xludf.DUMMYFUNCTION("SPLIT(A773,"";"")"),"COMITE REGIONAL DES ASSOCIATIONS DE JEUNESSE ET D'EDUCATION POPULAIRE D'AQUITAINE (CRAJEP AQUITAINE)")</f>
        <v>COMITE REGIONAL DES ASSOCIATIONS DE JEUNESSE ET D'EDUCATION POPULAIRE D'AQUITAINE (CRAJEP AQUITAINE)</v>
      </c>
      <c r="C773" s="1">
        <f>IFERROR(__xludf.DUMMYFUNCTION("""COMPUTED_VALUE"""),34.0)</f>
        <v>34</v>
      </c>
      <c r="D773" s="1">
        <v>0.0</v>
      </c>
      <c r="E773" s="2"/>
      <c r="F773" s="2"/>
      <c r="G773" s="2"/>
      <c r="H773" s="2"/>
      <c r="I773" s="2"/>
    </row>
    <row r="774">
      <c r="A774" s="1" t="s">
        <v>431</v>
      </c>
      <c r="B774" s="1" t="str">
        <f>IFERROR(__xludf.DUMMYFUNCTION("SPLIT(A774,"";"")"),"CHANT LIBRE")</f>
        <v>CHANT LIBRE</v>
      </c>
      <c r="C774" s="3">
        <f>IFERROR(__xludf.DUMMYFUNCTION("""COMPUTED_VALUE"""),3593.0)</f>
        <v>3593</v>
      </c>
      <c r="D774" s="1">
        <v>53.0</v>
      </c>
      <c r="E774" s="2"/>
      <c r="F774" s="2"/>
      <c r="G774" s="2"/>
      <c r="H774" s="2"/>
      <c r="I774" s="2"/>
    </row>
    <row r="775">
      <c r="A775" s="1" t="s">
        <v>432</v>
      </c>
      <c r="B775" s="1" t="str">
        <f>IFERROR(__xludf.DUMMYFUNCTION("SPLIT(A775,"";"")"),"CHEMIN DES ETOILES - CDE")</f>
        <v>CHEMIN DES ETOILES - CDE</v>
      </c>
      <c r="C775" s="3">
        <f>IFERROR(__xludf.DUMMYFUNCTION("""COMPUTED_VALUE"""),1999.0)</f>
        <v>1999</v>
      </c>
      <c r="D775" s="1">
        <v>73.0</v>
      </c>
      <c r="E775" s="2"/>
      <c r="F775" s="2"/>
      <c r="G775" s="2"/>
      <c r="H775" s="2"/>
      <c r="I775" s="2"/>
    </row>
    <row r="776">
      <c r="A776" s="1" t="s">
        <v>433</v>
      </c>
      <c r="B776" s="1" t="str">
        <f>IFERROR(__xludf.DUMMYFUNCTION("SPLIT(A776,"";"")"),"CHEMINS DE VIES")</f>
        <v>CHEMINS DE VIES</v>
      </c>
      <c r="C776" s="1">
        <f>IFERROR(__xludf.DUMMYFUNCTION("""COMPUTED_VALUE"""),468.0)</f>
        <v>468</v>
      </c>
      <c r="D776" s="1">
        <v>0.0</v>
      </c>
      <c r="E776" s="2"/>
      <c r="F776" s="2"/>
      <c r="G776" s="2"/>
      <c r="H776" s="2"/>
      <c r="I776" s="2"/>
    </row>
    <row r="777">
      <c r="A777" s="1" t="s">
        <v>434</v>
      </c>
      <c r="B777" s="1" t="str">
        <f>IFERROR(__xludf.DUMMYFUNCTION("SPLIT(A777,"";"")"),"CHEVRE FOOTBALL CLUB - CFC")</f>
        <v>CHEVRE FOOTBALL CLUB - CFC</v>
      </c>
      <c r="C777" s="1">
        <f>IFERROR(__xludf.DUMMYFUNCTION("""COMPUTED_VALUE"""),676.0)</f>
        <v>676</v>
      </c>
      <c r="D777" s="1">
        <v>50.0</v>
      </c>
      <c r="E777" s="2"/>
      <c r="F777" s="2"/>
      <c r="G777" s="2"/>
      <c r="H777" s="2"/>
      <c r="I777" s="2"/>
    </row>
    <row r="778">
      <c r="A778" s="1" t="s">
        <v>435</v>
      </c>
      <c r="B778" s="1" t="str">
        <f>IFERROR(__xludf.DUMMYFUNCTION("SPLIT(A778,"";"")"),"CIMADE - SERVICE OECUMENIQUE D'ENTRAIDE")</f>
        <v>CIMADE - SERVICE OECUMENIQUE D'ENTRAIDE</v>
      </c>
      <c r="C778" s="3">
        <f>IFERROR(__xludf.DUMMYFUNCTION("""COMPUTED_VALUE"""),1387.0)</f>
        <v>1387</v>
      </c>
      <c r="D778" s="1">
        <v>0.0</v>
      </c>
      <c r="E778" s="2"/>
      <c r="F778" s="2"/>
      <c r="G778" s="2"/>
      <c r="H778" s="2"/>
      <c r="I778" s="2"/>
    </row>
    <row r="779">
      <c r="A779" s="1" t="s">
        <v>436</v>
      </c>
      <c r="B779" s="1" t="str">
        <f>IFERROR(__xludf.DUMMYFUNCTION("SPLIT(A779,"";"")"),"CINERESEAUX")</f>
        <v>CINERESEAUX</v>
      </c>
      <c r="C779" s="1">
        <f>IFERROR(__xludf.DUMMYFUNCTION("""COMPUTED_VALUE"""),72.0)</f>
        <v>72</v>
      </c>
      <c r="D779" s="1">
        <v>0.0</v>
      </c>
      <c r="E779" s="2"/>
      <c r="F779" s="2"/>
      <c r="G779" s="2"/>
      <c r="H779" s="2"/>
      <c r="I779" s="2"/>
    </row>
    <row r="780">
      <c r="A780" s="1" t="s">
        <v>437</v>
      </c>
      <c r="B780" s="1" t="str">
        <f>IFERROR(__xludf.DUMMYFUNCTION("SPLIT(A780,"";"")"),"CLAC")</f>
        <v>CLAC</v>
      </c>
      <c r="C780" s="1">
        <f>IFERROR(__xludf.DUMMYFUNCTION("""COMPUTED_VALUE"""),401.0)</f>
        <v>401</v>
      </c>
      <c r="D780" s="1">
        <v>0.0</v>
      </c>
      <c r="E780" s="2"/>
      <c r="F780" s="2"/>
      <c r="G780" s="2"/>
      <c r="H780" s="2"/>
      <c r="I780" s="2"/>
    </row>
    <row r="781">
      <c r="A781" s="1" t="s">
        <v>438</v>
      </c>
      <c r="B781" s="1" t="str">
        <f>IFERROR(__xludf.DUMMYFUNCTION("SPLIT(A781,"";"")"),"CLAIR-OBSCUR")</f>
        <v>CLAIR-OBSCUR</v>
      </c>
      <c r="C781" s="1">
        <f>IFERROR(__xludf.DUMMYFUNCTION("""COMPUTED_VALUE"""),270.0)</f>
        <v>270</v>
      </c>
      <c r="D781" s="1">
        <v>0.0</v>
      </c>
      <c r="E781" s="2"/>
      <c r="F781" s="2"/>
      <c r="G781" s="2"/>
      <c r="H781" s="2"/>
      <c r="I781" s="2"/>
    </row>
    <row r="782">
      <c r="A782" s="1" t="s">
        <v>439</v>
      </c>
      <c r="B782" s="1" t="str">
        <f>IFERROR(__xludf.DUMMYFUNCTION("SPLIT(A782,"";"")"),"CLUB « BON GOUT D'AQUITAINE »")</f>
        <v>CLUB « BON GOUT D'AQUITAINE »</v>
      </c>
      <c r="C782" s="3">
        <f>IFERROR(__xludf.DUMMYFUNCTION("""COMPUTED_VALUE"""),12250.0)</f>
        <v>12250</v>
      </c>
      <c r="D782" s="1">
        <v>0.0</v>
      </c>
      <c r="E782" s="2"/>
      <c r="F782" s="2"/>
      <c r="G782" s="2"/>
      <c r="H782" s="2"/>
      <c r="I782" s="2"/>
    </row>
    <row r="783">
      <c r="A783" s="1" t="s">
        <v>440</v>
      </c>
      <c r="B783" s="1" t="str">
        <f>IFERROR(__xludf.DUMMYFUNCTION("SPLIT(A783,"";"")"),"CLUB 41 FRANCAIS BORDEAUX N° 110")</f>
        <v>CLUB 41 FRANCAIS BORDEAUX N° 110</v>
      </c>
      <c r="C783" s="1">
        <f>IFERROR(__xludf.DUMMYFUNCTION("""COMPUTED_VALUE"""),443.0)</f>
        <v>443</v>
      </c>
      <c r="D783" s="1">
        <v>0.0</v>
      </c>
      <c r="E783" s="2"/>
      <c r="F783" s="2"/>
      <c r="G783" s="2"/>
      <c r="H783" s="2"/>
      <c r="I783" s="2"/>
    </row>
    <row r="784">
      <c r="A784" s="1" t="s">
        <v>441</v>
      </c>
      <c r="B784" s="1" t="str">
        <f>IFERROR(__xludf.DUMMYFUNCTION("SPLIT(A784,"";"")"),"CLUB 89")</f>
        <v>CLUB 89</v>
      </c>
      <c r="C784" s="1">
        <f>IFERROR(__xludf.DUMMYFUNCTION("""COMPUTED_VALUE"""),306.0)</f>
        <v>306</v>
      </c>
      <c r="D784" s="1">
        <v>0.0</v>
      </c>
      <c r="E784" s="2"/>
      <c r="F784" s="2"/>
      <c r="G784" s="2"/>
      <c r="H784" s="2"/>
      <c r="I784" s="2"/>
    </row>
    <row r="785">
      <c r="A785" s="1" t="s">
        <v>442</v>
      </c>
      <c r="B785" s="1" t="str">
        <f>IFERROR(__xludf.DUMMYFUNCTION("SPLIT(A785,"";"")"),"CLUB AFRIQUE EN PERSPECTIVES")</f>
        <v>CLUB AFRIQUE EN PERSPECTIVES</v>
      </c>
      <c r="C785" s="1">
        <f>IFERROR(__xludf.DUMMYFUNCTION("""COMPUTED_VALUE"""),342.0)</f>
        <v>342</v>
      </c>
      <c r="D785" s="1">
        <v>0.0</v>
      </c>
      <c r="E785" s="2"/>
      <c r="F785" s="2"/>
      <c r="G785" s="2"/>
      <c r="H785" s="2"/>
      <c r="I785" s="2"/>
    </row>
    <row r="786">
      <c r="A786" s="1" t="s">
        <v>443</v>
      </c>
      <c r="B786" s="1" t="str">
        <f>IFERROR(__xludf.DUMMYFUNCTION("SPLIT(A786,"";"")"),"CLUB ALPIN FRANCAIS DE BORDEAUX")</f>
        <v>CLUB ALPIN FRANCAIS DE BORDEAUX</v>
      </c>
      <c r="C786" s="1">
        <f>IFERROR(__xludf.DUMMYFUNCTION("""COMPUTED_VALUE"""),322.0)</f>
        <v>322</v>
      </c>
      <c r="D786" s="1">
        <v>42.0</v>
      </c>
      <c r="E786" s="2"/>
      <c r="F786" s="2"/>
      <c r="G786" s="2"/>
      <c r="H786" s="2"/>
      <c r="I786" s="2"/>
    </row>
    <row r="787">
      <c r="A787" s="1" t="s">
        <v>444</v>
      </c>
      <c r="B787" s="1" t="str">
        <f>IFERROR(__xludf.DUMMYFUNCTION("SPLIT(A787,"";"")"),"CLUB AMICAL CHAUFFOUR")</f>
        <v>CLUB AMICAL CHAUFFOUR</v>
      </c>
      <c r="C787" s="3">
        <f>IFERROR(__xludf.DUMMYFUNCTION("""COMPUTED_VALUE"""),9733.0)</f>
        <v>9733</v>
      </c>
      <c r="D787" s="1">
        <v>50.0</v>
      </c>
      <c r="E787" s="2"/>
      <c r="F787" s="2"/>
      <c r="G787" s="2"/>
      <c r="H787" s="2"/>
      <c r="I787" s="2"/>
    </row>
    <row r="788">
      <c r="A788" s="1" t="s">
        <v>445</v>
      </c>
      <c r="B788" s="1" t="str">
        <f>IFERROR(__xludf.DUMMYFUNCTION("SPLIT(A788,"";"")"),"CLUB ATHLETIQUE DU PORT AUTONOME DE BORDEAUX")</f>
        <v>CLUB ATHLETIQUE DU PORT AUTONOME DE BORDEAUX</v>
      </c>
      <c r="C788" s="3">
        <f>IFERROR(__xludf.DUMMYFUNCTION("""COMPUTED_VALUE"""),1754.0)</f>
        <v>1754</v>
      </c>
      <c r="D788" s="1">
        <v>0.0</v>
      </c>
      <c r="E788" s="2"/>
      <c r="F788" s="2"/>
      <c r="G788" s="2"/>
      <c r="H788" s="2"/>
      <c r="I788" s="2"/>
    </row>
    <row r="789">
      <c r="A789" s="1" t="s">
        <v>446</v>
      </c>
      <c r="B789" s="1" t="str">
        <f>IFERROR(__xludf.DUMMYFUNCTION("SPLIT(A789,"";"")"),"CLUB ATHLETIQUE MUNICIPAL DE BORDEAUX - CAM")</f>
        <v>CLUB ATHLETIQUE MUNICIPAL DE BORDEAUX - CAM</v>
      </c>
      <c r="C789" s="3">
        <f>IFERROR(__xludf.DUMMYFUNCTION("""COMPUTED_VALUE"""),418156.0)</f>
        <v>418156</v>
      </c>
      <c r="D789" s="1">
        <v>92.0</v>
      </c>
      <c r="E789" s="2"/>
      <c r="F789" s="2"/>
      <c r="G789" s="2"/>
      <c r="H789" s="2"/>
      <c r="I789" s="2"/>
    </row>
    <row r="790">
      <c r="A790" s="1" t="s">
        <v>447</v>
      </c>
      <c r="B790" s="1" t="str">
        <f>IFERROR(__xludf.DUMMYFUNCTION("SPLIT(A790,"";"")"),"CLUB BORDEAUX-CAMEROUN-FRANCE")</f>
        <v>CLUB BORDEAUX-CAMEROUN-FRANCE</v>
      </c>
      <c r="C790" s="3">
        <f>IFERROR(__xludf.DUMMYFUNCTION("""COMPUTED_VALUE"""),1067.0)</f>
        <v>1067</v>
      </c>
      <c r="D790" s="1">
        <v>0.0</v>
      </c>
      <c r="E790" s="2"/>
      <c r="F790" s="2"/>
      <c r="G790" s="2"/>
      <c r="H790" s="2"/>
      <c r="I790" s="2"/>
    </row>
    <row r="791">
      <c r="A791" s="1" t="s">
        <v>448</v>
      </c>
      <c r="B791" s="1" t="str">
        <f>IFERROR(__xludf.DUMMYFUNCTION("SPLIT(A791,"";"")"),"CLUB BORDELAIS DU CHOCOLAT ""CHOCO PASSION""")</f>
        <v>CLUB BORDELAIS DU CHOCOLAT "CHOCO PASSION"</v>
      </c>
      <c r="C791" s="1">
        <f>IFERROR(__xludf.DUMMYFUNCTION("""COMPUTED_VALUE"""),530.0)</f>
        <v>530</v>
      </c>
      <c r="D791" s="1">
        <v>0.0</v>
      </c>
      <c r="E791" s="2"/>
      <c r="F791" s="2"/>
      <c r="G791" s="2"/>
      <c r="H791" s="2"/>
      <c r="I791" s="2"/>
    </row>
    <row r="792">
      <c r="A792" s="1" t="s">
        <v>449</v>
      </c>
      <c r="B792" s="1" t="str">
        <f>IFERROR(__xludf.DUMMYFUNCTION("SPLIT(A792,"";"")"),"CLUB BOULISTE ALBERT 1er")</f>
        <v>CLUB BOULISTE ALBERT 1er</v>
      </c>
      <c r="C792" s="3">
        <f>IFERROR(__xludf.DUMMYFUNCTION("""COMPUTED_VALUE"""),8762.0)</f>
        <v>8762</v>
      </c>
      <c r="D792" s="1">
        <v>89.0</v>
      </c>
      <c r="E792" s="2"/>
      <c r="F792" s="2"/>
      <c r="G792" s="2"/>
      <c r="H792" s="2"/>
      <c r="I792" s="2"/>
    </row>
    <row r="793">
      <c r="A793" s="1" t="s">
        <v>450</v>
      </c>
      <c r="B793" s="1" t="str">
        <f>IFERROR(__xludf.DUMMYFUNCTION("SPLIT(A793,"";"")"),"CLUB DE CANNE ET BATON D'AQUITAINE")</f>
        <v>CLUB DE CANNE ET BATON D'AQUITAINE</v>
      </c>
      <c r="C793" s="3">
        <f>IFERROR(__xludf.DUMMYFUNCTION("""COMPUTED_VALUE"""),4698.0)</f>
        <v>4698</v>
      </c>
      <c r="D793" s="1">
        <v>0.0</v>
      </c>
      <c r="E793" s="2"/>
      <c r="F793" s="2"/>
      <c r="G793" s="2"/>
      <c r="H793" s="2"/>
      <c r="I793" s="2"/>
    </row>
    <row r="794">
      <c r="A794" s="1" t="s">
        <v>451</v>
      </c>
      <c r="B794" s="1" t="str">
        <f>IFERROR(__xludf.DUMMYFUNCTION("SPLIT(A794,"";"")"),"CLUB DE LA PRESSE DE BORDEAUX")</f>
        <v>CLUB DE LA PRESSE DE BORDEAUX</v>
      </c>
      <c r="C794" s="3">
        <f>IFERROR(__xludf.DUMMYFUNCTION("""COMPUTED_VALUE"""),26050.0)</f>
        <v>26050</v>
      </c>
      <c r="D794" s="1">
        <v>9.0</v>
      </c>
      <c r="E794" s="2"/>
      <c r="F794" s="2"/>
      <c r="G794" s="2"/>
      <c r="H794" s="2"/>
      <c r="I794" s="2"/>
    </row>
    <row r="795">
      <c r="A795" s="1" t="s">
        <v>452</v>
      </c>
      <c r="B795" s="1" t="str">
        <f>IFERROR(__xludf.DUMMYFUNCTION("SPLIT(A795,"";"")"),"CLUB D'ENTREPRISES BORDEAUX EURATLANTIQUE")</f>
        <v>CLUB D'ENTREPRISES BORDEAUX EURATLANTIQUE</v>
      </c>
      <c r="C795" s="3">
        <f>IFERROR(__xludf.DUMMYFUNCTION("""COMPUTED_VALUE"""),1088.0)</f>
        <v>1088</v>
      </c>
      <c r="D795" s="1">
        <v>40.0</v>
      </c>
      <c r="E795" s="2"/>
      <c r="F795" s="2"/>
      <c r="G795" s="2"/>
      <c r="H795" s="2"/>
      <c r="I795" s="2"/>
    </row>
    <row r="796">
      <c r="A796" s="1" t="s">
        <v>453</v>
      </c>
      <c r="B796" s="1" t="str">
        <f>IFERROR(__xludf.DUMMYFUNCTION("SPLIT(A796,"";"")"),"CLUB DES ENTREPRISES DE BORDEAUX")</f>
        <v>CLUB DES ENTREPRISES DE BORDEAUX</v>
      </c>
      <c r="C796" s="1">
        <f>IFERROR(__xludf.DUMMYFUNCTION("""COMPUTED_VALUE"""),138.0)</f>
        <v>138</v>
      </c>
      <c r="D796" s="1">
        <v>90.0</v>
      </c>
      <c r="E796" s="2"/>
      <c r="F796" s="2"/>
      <c r="G796" s="2"/>
      <c r="H796" s="2"/>
      <c r="I796" s="2"/>
    </row>
    <row r="797">
      <c r="A797" s="1" t="s">
        <v>454</v>
      </c>
      <c r="B797" s="1" t="str">
        <f>IFERROR(__xludf.DUMMYFUNCTION("SPLIT(A797,"";"")"),"CLUB DES RANDONNEURS DU PYLA ET DU BASSIN D'ARCACHON")</f>
        <v>CLUB DES RANDONNEURS DU PYLA ET DU BASSIN D'ARCACHON</v>
      </c>
      <c r="C797" s="1">
        <f>IFERROR(__xludf.DUMMYFUNCTION("""COMPUTED_VALUE"""),246.0)</f>
        <v>246</v>
      </c>
      <c r="D797" s="1">
        <v>0.0</v>
      </c>
      <c r="E797" s="2"/>
      <c r="F797" s="2"/>
      <c r="G797" s="2"/>
      <c r="H797" s="2"/>
      <c r="I797" s="2"/>
    </row>
    <row r="798">
      <c r="A798" s="1" t="s">
        <v>455</v>
      </c>
      <c r="B798" s="1" t="str">
        <f>IFERROR(__xludf.DUMMYFUNCTION("SPLIT(A798,"";"")"),"CLUB D'EXPLORATION SOUS MARINE D'AQUITAINE - CESMA")</f>
        <v>CLUB D'EXPLORATION SOUS MARINE D'AQUITAINE - CESMA</v>
      </c>
      <c r="C798" s="3">
        <f>IFERROR(__xludf.DUMMYFUNCTION("""COMPUTED_VALUE"""),16545.0)</f>
        <v>16545</v>
      </c>
      <c r="D798" s="1">
        <v>32.0</v>
      </c>
      <c r="E798" s="2"/>
      <c r="F798" s="2"/>
      <c r="G798" s="2"/>
      <c r="H798" s="2"/>
      <c r="I798" s="2"/>
    </row>
    <row r="799">
      <c r="A799" s="1" t="s">
        <v>456</v>
      </c>
      <c r="B799" s="1" t="str">
        <f>IFERROR(__xludf.DUMMYFUNCTION("SPLIT(A799,"";"")"),"CLUB D'ULTIMATE DE BORDEAUX - 33 TOURS")</f>
        <v>CLUB D'ULTIMATE DE BORDEAUX - 33 TOURS</v>
      </c>
      <c r="C799" s="1">
        <f>IFERROR(__xludf.DUMMYFUNCTION("""COMPUTED_VALUE"""),286.0)</f>
        <v>286</v>
      </c>
      <c r="D799" s="1">
        <v>48.0</v>
      </c>
      <c r="E799" s="2"/>
      <c r="F799" s="2"/>
      <c r="G799" s="2"/>
      <c r="H799" s="2"/>
      <c r="I799" s="2"/>
    </row>
    <row r="800">
      <c r="A800" s="1" t="s">
        <v>457</v>
      </c>
      <c r="B800" s="1" t="str">
        <f>IFERROR(__xludf.DUMMYFUNCTION("SPLIT(A800,"";"")"),"CLUB ERASMUS ET MUNDUS")</f>
        <v>CLUB ERASMUS ET MUNDUS</v>
      </c>
      <c r="C800" s="1">
        <f>IFERROR(__xludf.DUMMYFUNCTION("""COMPUTED_VALUE"""),34.0)</f>
        <v>34</v>
      </c>
      <c r="D800" s="1">
        <v>0.0</v>
      </c>
      <c r="E800" s="2"/>
      <c r="F800" s="2"/>
      <c r="G800" s="2"/>
      <c r="H800" s="2"/>
      <c r="I800" s="2"/>
    </row>
    <row r="801">
      <c r="A801" s="1" t="s">
        <v>458</v>
      </c>
      <c r="B801" s="1" t="str">
        <f>IFERROR(__xludf.DUMMYFUNCTION("SPLIT(A801,"";"")"),"CLUB INDEPENDANT BORDELAIS")</f>
        <v>CLUB INDEPENDANT BORDELAIS</v>
      </c>
      <c r="C801" s="1">
        <f>IFERROR(__xludf.DUMMYFUNCTION("""COMPUTED_VALUE"""),390.0)</f>
        <v>390</v>
      </c>
      <c r="D801" s="1">
        <v>0.0</v>
      </c>
      <c r="E801" s="2"/>
      <c r="F801" s="2"/>
      <c r="G801" s="2"/>
      <c r="H801" s="2"/>
      <c r="I801" s="2"/>
    </row>
    <row r="802">
      <c r="A802" s="1" t="s">
        <v>459</v>
      </c>
      <c r="B802" s="1" t="str">
        <f>IFERROR(__xludf.DUMMYFUNCTION("SPLIT(A802,"";"")"),"CLUB PETANQUE GRAND PARC")</f>
        <v>CLUB PETANQUE GRAND PARC</v>
      </c>
      <c r="C802" s="3">
        <f>IFERROR(__xludf.DUMMYFUNCTION("""COMPUTED_VALUE"""),4274.0)</f>
        <v>4274</v>
      </c>
      <c r="D802" s="1">
        <v>50.0</v>
      </c>
      <c r="E802" s="2"/>
      <c r="F802" s="2"/>
      <c r="G802" s="2"/>
      <c r="H802" s="2"/>
      <c r="I802" s="2"/>
    </row>
    <row r="803">
      <c r="A803" s="1" t="s">
        <v>460</v>
      </c>
      <c r="B803" s="1" t="str">
        <f>IFERROR(__xludf.DUMMYFUNCTION("SPLIT(A803,"";"")"),"CLUB PHILOSOPHIQUE PENSEE ET AVENIR")</f>
        <v>CLUB PHILOSOPHIQUE PENSEE ET AVENIR</v>
      </c>
      <c r="C803" s="1">
        <f>IFERROR(__xludf.DUMMYFUNCTION("""COMPUTED_VALUE"""),102.0)</f>
        <v>102</v>
      </c>
      <c r="D803" s="1">
        <v>0.0</v>
      </c>
      <c r="E803" s="2"/>
      <c r="F803" s="2"/>
      <c r="G803" s="2"/>
      <c r="H803" s="2"/>
      <c r="I803" s="2"/>
    </row>
    <row r="804">
      <c r="A804" s="1" t="s">
        <v>461</v>
      </c>
      <c r="B804" s="1" t="str">
        <f>IFERROR(__xludf.DUMMYFUNCTION("SPLIT(A804,"";"")"),"CLUB PYRENEES AQUITAINE")</f>
        <v>CLUB PYRENEES AQUITAINE</v>
      </c>
      <c r="C804" s="1"/>
      <c r="D804" s="1" t="s">
        <v>462</v>
      </c>
      <c r="E804" s="1" t="s">
        <v>463</v>
      </c>
      <c r="F804" s="1">
        <v>62.0</v>
      </c>
      <c r="G804" s="2"/>
      <c r="H804" s="2"/>
      <c r="I804" s="2"/>
    </row>
    <row r="805">
      <c r="A805" s="1" t="s">
        <v>464</v>
      </c>
      <c r="B805" s="1" t="str">
        <f>IFERROR(__xludf.DUMMYFUNCTION("SPLIT(A805,"";"")"),"COJEP BORDEAUX - CONSEIL POUR LA JUSTICE")</f>
        <v>COJEP BORDEAUX - CONSEIL POUR LA JUSTICE</v>
      </c>
      <c r="C805" s="1"/>
      <c r="D805" s="1" t="s">
        <v>465</v>
      </c>
      <c r="E805" s="1">
        <v>0.0</v>
      </c>
      <c r="F805" s="2"/>
      <c r="G805" s="2"/>
      <c r="H805" s="2"/>
      <c r="I805" s="2"/>
    </row>
    <row r="806">
      <c r="A806" s="1" t="s">
        <v>466</v>
      </c>
      <c r="B806" s="1" t="str">
        <f>IFERROR(__xludf.DUMMYFUNCTION("SPLIT(A806,"";"")"),"COLIBRI 33")</f>
        <v>COLIBRI 33</v>
      </c>
      <c r="C806" s="3">
        <f>IFERROR(__xludf.DUMMYFUNCTION("""COMPUTED_VALUE"""),2592.0)</f>
        <v>2592</v>
      </c>
      <c r="D806" s="1">
        <v>0.0</v>
      </c>
      <c r="E806" s="2"/>
      <c r="F806" s="2"/>
      <c r="G806" s="2"/>
      <c r="H806" s="2"/>
      <c r="I806" s="2"/>
    </row>
    <row r="807">
      <c r="A807" s="1" t="s">
        <v>467</v>
      </c>
      <c r="B807" s="1" t="str">
        <f>IFERROR(__xludf.DUMMYFUNCTION("SPLIT(A807,"";"")"),"COLLECTIF 33 : LA SANTE UN DROIT POUR TOUS")</f>
        <v>COLLECTIF 33 : LA SANTE UN DROIT POUR TOUS</v>
      </c>
      <c r="C807" s="1">
        <f>IFERROR(__xludf.DUMMYFUNCTION("""COMPUTED_VALUE"""),68.0)</f>
        <v>68</v>
      </c>
      <c r="D807" s="1">
        <v>0.0</v>
      </c>
      <c r="E807" s="2"/>
      <c r="F807" s="2"/>
      <c r="G807" s="2"/>
      <c r="H807" s="2"/>
      <c r="I807" s="2"/>
    </row>
    <row r="808">
      <c r="A808" s="1" t="s">
        <v>468</v>
      </c>
      <c r="B808" s="1" t="str">
        <f>IFERROR(__xludf.DUMMYFUNCTION("SPLIT(A808,"";"")"),"COLLECTIF BORDEAUX-MARINOPOLE")</f>
        <v>COLLECTIF BORDEAUX-MARINOPOLE</v>
      </c>
      <c r="C808" s="1">
        <f>IFERROR(__xludf.DUMMYFUNCTION("""COMPUTED_VALUE"""),48.0)</f>
        <v>48</v>
      </c>
      <c r="D808" s="1">
        <v>0.0</v>
      </c>
      <c r="E808" s="2"/>
      <c r="F808" s="2"/>
      <c r="G808" s="2"/>
      <c r="H808" s="2"/>
      <c r="I808" s="2"/>
    </row>
    <row r="809">
      <c r="A809" s="1" t="s">
        <v>469</v>
      </c>
      <c r="B809" s="1" t="str">
        <f>IFERROR(__xludf.DUMMYFUNCTION("SPLIT(A809,"";"")"),"COLLECTIF DE RESSOURCES BORDEAUX-NORD")</f>
        <v>COLLECTIF DE RESSOURCES BORDEAUX-NORD</v>
      </c>
      <c r="C809" s="1">
        <f>IFERROR(__xludf.DUMMYFUNCTION("""COMPUTED_VALUE"""),96.0)</f>
        <v>96</v>
      </c>
      <c r="D809" s="1">
        <v>0.0</v>
      </c>
      <c r="E809" s="2"/>
      <c r="F809" s="2"/>
      <c r="G809" s="2"/>
      <c r="H809" s="2"/>
      <c r="I809" s="2"/>
    </row>
    <row r="810">
      <c r="A810" s="1" t="s">
        <v>470</v>
      </c>
      <c r="B810" s="1" t="str">
        <f>IFERROR(__xludf.DUMMYFUNCTION("SPLIT(A810,"";"")"),"COLLECTIF DES ASSOCIATIONS D'OUTRE-MER EN AQUITAINE DIT C.A.O.M.A.")</f>
        <v>COLLECTIF DES ASSOCIATIONS D'OUTRE-MER EN AQUITAINE DIT C.A.O.M.A.</v>
      </c>
      <c r="C810" s="3">
        <f>IFERROR(__xludf.DUMMYFUNCTION("""COMPUTED_VALUE"""),2900.0)</f>
        <v>2900</v>
      </c>
      <c r="D810" s="1">
        <v>10.0</v>
      </c>
      <c r="E810" s="2"/>
      <c r="F810" s="2"/>
      <c r="G810" s="2"/>
      <c r="H810" s="2"/>
      <c r="I810" s="2"/>
    </row>
    <row r="811">
      <c r="A811" s="1" t="s">
        <v>471</v>
      </c>
      <c r="B811" s="1" t="str">
        <f>IFERROR(__xludf.DUMMYFUNCTION("SPLIT(A811,"";"")"),"COLLECTIF DES ORGANISATIONS DE SOLIDARITE INTERNATIONALE ISSUES DES MIGRATIONS EN AQUITAINE (COSIM AQUITAINE)")</f>
        <v>COLLECTIF DES ORGANISATIONS DE SOLIDARITE INTERNATIONALE ISSUES DES MIGRATIONS EN AQUITAINE (COSIM AQUITAINE)</v>
      </c>
      <c r="C811" s="3">
        <f>IFERROR(__xludf.DUMMYFUNCTION("""COMPUTED_VALUE"""),1204.0)</f>
        <v>1204</v>
      </c>
      <c r="D811" s="1">
        <v>0.0</v>
      </c>
      <c r="E811" s="2"/>
      <c r="F811" s="2"/>
      <c r="G811" s="2"/>
      <c r="H811" s="2"/>
      <c r="I811" s="2"/>
    </row>
    <row r="812">
      <c r="A812" s="1" t="s">
        <v>472</v>
      </c>
      <c r="B812" s="1" t="str">
        <f>IFERROR(__xludf.DUMMYFUNCTION("SPLIT(A812,"";"")"),"COLLECTIF FETE DU JEU DE BORDEAUX")</f>
        <v>COLLECTIF FETE DU JEU DE BORDEAUX</v>
      </c>
      <c r="C812" s="3">
        <f>IFERROR(__xludf.DUMMYFUNCTION("""COMPUTED_VALUE"""),1644.0)</f>
        <v>1644</v>
      </c>
      <c r="D812" s="1">
        <v>29.0</v>
      </c>
      <c r="E812" s="2"/>
      <c r="F812" s="2"/>
      <c r="G812" s="2"/>
      <c r="H812" s="2"/>
      <c r="I812" s="2"/>
    </row>
    <row r="813">
      <c r="A813" s="1" t="s">
        <v>473</v>
      </c>
      <c r="B813" s="1" t="str">
        <f>IFERROR(__xludf.DUMMYFUNCTION("SPLIT(A813,"";"")"),"COLLECTIF GIRONDIN DES ASSOCIATIONS AUTOUR DE L'AUTISME (CG3A)")</f>
        <v>COLLECTIF GIRONDIN DES ASSOCIATIONS AUTOUR DE L'AUTISME (CG3A)</v>
      </c>
      <c r="C813" s="1">
        <f>IFERROR(__xludf.DUMMYFUNCTION("""COMPUTED_VALUE"""),136.0)</f>
        <v>136</v>
      </c>
      <c r="D813" s="1">
        <v>0.0</v>
      </c>
      <c r="E813" s="2"/>
      <c r="F813" s="2"/>
      <c r="G813" s="2"/>
      <c r="H813" s="2"/>
      <c r="I813" s="2"/>
    </row>
    <row r="814">
      <c r="A814" s="1" t="s">
        <v>474</v>
      </c>
      <c r="B814" s="1" t="str">
        <f>IFERROR(__xludf.DUMMYFUNCTION("SPLIT(A814,"";"")"),"COLLECTIF MIXERATUM ERGO SUM")</f>
        <v>COLLECTIF MIXERATUM ERGO SUM</v>
      </c>
      <c r="C814" s="3">
        <f>IFERROR(__xludf.DUMMYFUNCTION("""COMPUTED_VALUE"""),2161.0)</f>
        <v>2161</v>
      </c>
      <c r="D814" s="1">
        <v>65.0</v>
      </c>
      <c r="E814" s="2"/>
      <c r="F814" s="2"/>
      <c r="G814" s="2"/>
      <c r="H814" s="2"/>
      <c r="I814" s="2"/>
    </row>
    <row r="815">
      <c r="A815" s="1" t="s">
        <v>475</v>
      </c>
      <c r="B815" s="1" t="str">
        <f>IFERROR(__xludf.DUMMYFUNCTION("SPLIT(A815,"";"")"),"COLORS INC")</f>
        <v>COLORS INC</v>
      </c>
      <c r="C815" s="1">
        <f>IFERROR(__xludf.DUMMYFUNCTION("""COMPUTED_VALUE"""),183.0)</f>
        <v>183</v>
      </c>
      <c r="D815" s="1">
        <v>0.0</v>
      </c>
      <c r="E815" s="2"/>
      <c r="F815" s="2"/>
      <c r="G815" s="2"/>
      <c r="H815" s="2"/>
      <c r="I815" s="2"/>
    </row>
    <row r="816">
      <c r="A816" s="1" t="s">
        <v>476</v>
      </c>
      <c r="B816" s="1" t="str">
        <f>IFERROR(__xludf.DUMMYFUNCTION("SPLIT(A816,"";"")"),"COMENFRANCE")</f>
        <v>COMENFRANCE</v>
      </c>
      <c r="C816" s="3">
        <f>IFERROR(__xludf.DUMMYFUNCTION("""COMPUTED_VALUE"""),1588.0)</f>
        <v>1588</v>
      </c>
      <c r="D816" s="1">
        <v>0.0</v>
      </c>
      <c r="E816" s="2"/>
      <c r="F816" s="2"/>
      <c r="G816" s="2"/>
      <c r="H816" s="2"/>
      <c r="I816" s="2"/>
    </row>
    <row r="817">
      <c r="A817" s="1" t="s">
        <v>477</v>
      </c>
      <c r="B817" s="1" t="str">
        <f>IFERROR(__xludf.DUMMYFUNCTION("SPLIT(A817,"";"")"),"COMITE ACTION PALESTINE")</f>
        <v>COMITE ACTION PALESTINE</v>
      </c>
      <c r="C817" s="1">
        <f>IFERROR(__xludf.DUMMYFUNCTION("""COMPUTED_VALUE"""),524.0)</f>
        <v>524</v>
      </c>
      <c r="D817" s="1">
        <v>0.0</v>
      </c>
      <c r="E817" s="2"/>
      <c r="F817" s="2"/>
      <c r="G817" s="2"/>
      <c r="H817" s="2"/>
      <c r="I817" s="2"/>
    </row>
    <row r="818">
      <c r="A818" s="1" t="s">
        <v>478</v>
      </c>
      <c r="B818" s="1" t="str">
        <f>IFERROR(__xludf.DUMMYFUNCTION("SPLIT(A818,"";"")"),"COMITE AQUITAIN DE L'ASSOCIATION FRANCAISE DES HEMOPHILES")</f>
        <v>COMITE AQUITAIN DE L'ASSOCIATION FRANCAISE DES HEMOPHILES</v>
      </c>
      <c r="C818" s="1">
        <f>IFERROR(__xludf.DUMMYFUNCTION("""COMPUTED_VALUE"""),443.0)</f>
        <v>443</v>
      </c>
      <c r="D818" s="1">
        <v>0.0</v>
      </c>
      <c r="E818" s="2"/>
      <c r="F818" s="2"/>
      <c r="G818" s="2"/>
      <c r="H818" s="2"/>
      <c r="I818" s="2"/>
    </row>
    <row r="819">
      <c r="A819" s="1" t="s">
        <v>479</v>
      </c>
      <c r="B819" s="1" t="str">
        <f>IFERROR(__xludf.DUMMYFUNCTION("SPLIT(A819,"";"")"),"COMITE BORDEAUX BRISTOL")</f>
        <v>COMITE BORDEAUX BRISTOL</v>
      </c>
      <c r="C819" s="1">
        <f>IFERROR(__xludf.DUMMYFUNCTION("""COMPUTED_VALUE"""),352.0)</f>
        <v>352</v>
      </c>
      <c r="D819" s="1">
        <v>12.0</v>
      </c>
      <c r="E819" s="2"/>
      <c r="F819" s="2"/>
      <c r="G819" s="2"/>
      <c r="H819" s="2"/>
      <c r="I819" s="2"/>
    </row>
    <row r="820">
      <c r="A820" s="1" t="s">
        <v>480</v>
      </c>
      <c r="B820" s="1" t="str">
        <f>IFERROR(__xludf.DUMMYFUNCTION("SPLIT(A820,"";"")"),"COMITE BORDEAUX SUD")</f>
        <v>COMITE BORDEAUX SUD</v>
      </c>
      <c r="C820" s="1">
        <f>IFERROR(__xludf.DUMMYFUNCTION("""COMPUTED_VALUE"""),911.0)</f>
        <v>911</v>
      </c>
      <c r="D820" s="1">
        <v>0.0</v>
      </c>
      <c r="E820" s="2"/>
      <c r="F820" s="2"/>
      <c r="G820" s="2"/>
      <c r="H820" s="2"/>
      <c r="I820" s="2"/>
    </row>
    <row r="821">
      <c r="A821" s="1" t="s">
        <v>481</v>
      </c>
      <c r="B821" s="1" t="str">
        <f>IFERROR(__xludf.DUMMYFUNCTION("SPLIT(A821,"";"")"),"COMITE D'ANIMATION")</f>
        <v>COMITE D'ANIMATION</v>
      </c>
      <c r="C821" s="1"/>
      <c r="D821" s="1" t="s">
        <v>482</v>
      </c>
      <c r="E821" s="1">
        <v>95.0</v>
      </c>
      <c r="F821" s="2"/>
      <c r="G821" s="2"/>
      <c r="H821" s="2"/>
      <c r="I821" s="2"/>
    </row>
    <row r="822">
      <c r="A822" s="1" t="s">
        <v>483</v>
      </c>
      <c r="B822" s="1" t="str">
        <f>IFERROR(__xludf.DUMMYFUNCTION("SPLIT(A822,"";"")"),"COMITE DE BIENFAISANCE ET DE DEFENSE DES INTERETS DU QUARTIER CAUDERAN-SUD")</f>
        <v>COMITE DE BIENFAISANCE ET DE DEFENSE DES INTERETS DU QUARTIER CAUDERAN-SUD</v>
      </c>
      <c r="C822" s="3">
        <f>IFERROR(__xludf.DUMMYFUNCTION("""COMPUTED_VALUE"""),1600.0)</f>
        <v>1600</v>
      </c>
      <c r="D822" s="1">
        <v>0.0</v>
      </c>
      <c r="E822" s="2"/>
      <c r="F822" s="2"/>
      <c r="G822" s="2"/>
      <c r="H822" s="2"/>
      <c r="I822" s="2"/>
    </row>
    <row r="823">
      <c r="A823" s="1" t="s">
        <v>484</v>
      </c>
      <c r="B823" s="1" t="str">
        <f>IFERROR(__xludf.DUMMYFUNCTION("SPLIT(A823,"";"")"),"COMITE DE DEFENSE DES INTERETS DES HABITANTS DU LOTISSEMENT JASMIN ET ANNEXES")</f>
        <v>COMITE DE DEFENSE DES INTERETS DES HABITANTS DU LOTISSEMENT JASMIN ET ANNEXES</v>
      </c>
      <c r="C823" s="1">
        <f>IFERROR(__xludf.DUMMYFUNCTION("""COMPUTED_VALUE"""),126.0)</f>
        <v>126</v>
      </c>
      <c r="D823" s="1">
        <v>11.0</v>
      </c>
      <c r="E823" s="2"/>
      <c r="F823" s="2"/>
      <c r="G823" s="2"/>
      <c r="H823" s="2"/>
      <c r="I823" s="2"/>
    </row>
    <row r="824">
      <c r="A824" s="1" t="s">
        <v>485</v>
      </c>
      <c r="B824" s="1" t="str">
        <f>IFERROR(__xludf.DUMMYFUNCTION("SPLIT(A824,"";"")"),"COMITE DE DEFENSE DES TAXIS DE LA GIRONDE")</f>
        <v>COMITE DE DEFENSE DES TAXIS DE LA GIRONDE</v>
      </c>
      <c r="C824" s="1">
        <f>IFERROR(__xludf.DUMMYFUNCTION("""COMPUTED_VALUE"""),34.0)</f>
        <v>34</v>
      </c>
      <c r="D824" s="1">
        <v>0.0</v>
      </c>
      <c r="E824" s="2"/>
      <c r="F824" s="2"/>
      <c r="G824" s="2"/>
      <c r="H824" s="2"/>
      <c r="I824" s="2"/>
    </row>
    <row r="825">
      <c r="A825" s="1" t="s">
        <v>486</v>
      </c>
      <c r="B825" s="1" t="str">
        <f>IFERROR(__xludf.DUMMYFUNCTION("SPLIT(A825,"";"")"),"COMITE DE L'ACCOMPAGNEMENT DE L'URBANISME")</f>
        <v>COMITE DE L'ACCOMPAGNEMENT DE L'URBANISME</v>
      </c>
      <c r="C825" s="1"/>
      <c r="D825" s="1" t="s">
        <v>487</v>
      </c>
      <c r="E825" s="2"/>
      <c r="F825" s="2"/>
      <c r="G825" s="2"/>
      <c r="H825" s="2"/>
      <c r="I825" s="2"/>
    </row>
    <row r="826">
      <c r="A826" s="1" t="s">
        <v>488</v>
      </c>
      <c r="B826" s="1">
        <f>IFERROR(__xludf.DUMMYFUNCTION("SPLIT(A826,"";"")"),958.0)</f>
        <v>958</v>
      </c>
      <c r="C826" s="1"/>
      <c r="D826" s="1">
        <v>31.0</v>
      </c>
      <c r="E826" s="2"/>
      <c r="F826" s="2"/>
      <c r="G826" s="2"/>
      <c r="H826" s="2"/>
      <c r="I826" s="2"/>
    </row>
    <row r="827">
      <c r="A827" s="1" t="s">
        <v>489</v>
      </c>
      <c r="B827" s="1" t="str">
        <f>IFERROR(__xludf.DUMMYFUNCTION("SPLIT(A827,"";"")"),"CAUDERES")</f>
        <v>CAUDERES</v>
      </c>
      <c r="C827" s="2"/>
      <c r="D827" s="2"/>
      <c r="E827" s="2"/>
      <c r="F827" s="2"/>
      <c r="G827" s="2"/>
      <c r="H827" s="2"/>
      <c r="I827" s="2"/>
    </row>
    <row r="828">
      <c r="A828" s="1" t="s">
        <v>490</v>
      </c>
      <c r="B828" s="1" t="str">
        <f>IFERROR(__xludf.DUMMYFUNCTION("SPLIT(A828,"";"")"),"COMITE DE LIAISON DES ACTEURS DE LA PROMOTION DANS LE SUD-OUEST - CLAP SUD-OUEST")</f>
        <v>COMITE DE LIAISON DES ACTEURS DE LA PROMOTION DANS LE SUD-OUEST - CLAP SUD-OUEST</v>
      </c>
      <c r="C828" s="1">
        <f>IFERROR(__xludf.DUMMYFUNCTION("""COMPUTED_VALUE"""),444.0)</f>
        <v>444</v>
      </c>
      <c r="D828" s="1">
        <v>0.0</v>
      </c>
      <c r="E828" s="2"/>
      <c r="F828" s="2"/>
      <c r="G828" s="2"/>
      <c r="H828" s="2"/>
      <c r="I828" s="2"/>
    </row>
    <row r="829">
      <c r="A829" s="1" t="s">
        <v>491</v>
      </c>
      <c r="B829" s="1" t="str">
        <f>IFERROR(__xludf.DUMMYFUNCTION("SPLIT(A829,"";"")"),"COMITE DE QUARTIER DE CAUDERAN - CQC")</f>
        <v>COMITE DE QUARTIER DE CAUDERAN - CQC</v>
      </c>
      <c r="C829" s="3">
        <f>IFERROR(__xludf.DUMMYFUNCTION("""COMPUTED_VALUE"""),12928.0)</f>
        <v>12928</v>
      </c>
      <c r="D829" s="1">
        <v>0.0</v>
      </c>
      <c r="E829" s="2"/>
      <c r="F829" s="2"/>
      <c r="G829" s="2"/>
      <c r="H829" s="2"/>
      <c r="I829" s="2"/>
    </row>
    <row r="830">
      <c r="A830" s="1" t="s">
        <v>492</v>
      </c>
      <c r="B830" s="1" t="str">
        <f>IFERROR(__xludf.DUMMYFUNCTION("SPLIT(A830,"";"")"),"COMITE DE QUARTIER MARECHAUX/POINCARE")</f>
        <v>COMITE DE QUARTIER MARECHAUX/POINCARE</v>
      </c>
      <c r="C830" s="3">
        <f>IFERROR(__xludf.DUMMYFUNCTION("""COMPUTED_VALUE"""),1155.0)</f>
        <v>1155</v>
      </c>
      <c r="D830" s="1">
        <v>0.0</v>
      </c>
      <c r="E830" s="2"/>
      <c r="F830" s="2"/>
      <c r="G830" s="2"/>
      <c r="H830" s="2"/>
      <c r="I830" s="2"/>
    </row>
    <row r="831">
      <c r="A831" s="1" t="s">
        <v>493</v>
      </c>
      <c r="B831" s="1" t="str">
        <f>IFERROR(__xludf.DUMMYFUNCTION("SPLIT(A831,"";"")"),"COMITE DEPARTEMENTAL DE CYCLISME")</f>
        <v>COMITE DEPARTEMENTAL DE CYCLISME</v>
      </c>
      <c r="C831" s="3">
        <f>IFERROR(__xludf.DUMMYFUNCTION("""COMPUTED_VALUE"""),2414.0)</f>
        <v>2414</v>
      </c>
      <c r="D831" s="1">
        <v>9.0</v>
      </c>
      <c r="E831" s="2"/>
      <c r="F831" s="2"/>
      <c r="G831" s="2"/>
      <c r="H831" s="2"/>
      <c r="I831" s="2"/>
    </row>
    <row r="832">
      <c r="A832" s="1" t="s">
        <v>494</v>
      </c>
      <c r="B832" s="1" t="str">
        <f>IFERROR(__xludf.DUMMYFUNCTION("SPLIT(A832,"";"")"),"COMITE DEPARTEMENTAL DE L'UNION FRANÇAISE DES OEUVRES LAIQUES D'EDUCATION PHYSIQUE - UFOLEP")</f>
        <v>COMITE DEPARTEMENTAL DE L'UNION FRANÇAISE DES OEUVRES LAIQUES D'EDUCATION PHYSIQUE - UFOLEP</v>
      </c>
      <c r="C832" s="1">
        <f>IFERROR(__xludf.DUMMYFUNCTION("""COMPUTED_VALUE"""),955.0)</f>
        <v>955</v>
      </c>
      <c r="D832" s="1">
        <v>0.0</v>
      </c>
      <c r="E832" s="2"/>
      <c r="F832" s="2"/>
      <c r="G832" s="2"/>
      <c r="H832" s="2"/>
      <c r="I832" s="2"/>
    </row>
    <row r="833">
      <c r="A833" s="1" t="s">
        <v>495</v>
      </c>
      <c r="B833" s="1" t="str">
        <f>IFERROR(__xludf.DUMMYFUNCTION("SPLIT(A833,"";"")"),"COMITE DEPARTEMENTAL DE L'UNION SPORTIVE DE L'ENSEIGNEMENT DU PREMIER DEGRE DE LA GIRONDE - USEP 33")</f>
        <v>COMITE DEPARTEMENTAL DE L'UNION SPORTIVE DE L'ENSEIGNEMENT DU PREMIER DEGRE DE LA GIRONDE - USEP 33</v>
      </c>
      <c r="C833" s="3">
        <f>IFERROR(__xludf.DUMMYFUNCTION("""COMPUTED_VALUE"""),2422.0)</f>
        <v>2422</v>
      </c>
      <c r="D833" s="1">
        <v>0.0</v>
      </c>
      <c r="E833" s="2"/>
      <c r="F833" s="2"/>
      <c r="G833" s="2"/>
      <c r="H833" s="2"/>
      <c r="I833" s="2"/>
    </row>
    <row r="834">
      <c r="A834" s="1" t="s">
        <v>496</v>
      </c>
      <c r="B834" s="1" t="str">
        <f>IFERROR(__xludf.DUMMYFUNCTION("SPLIT(A834,"";"")"),"COMITE DEPARTEMENTAL DE NATATION DE LA GIRONDE")</f>
        <v>COMITE DEPARTEMENTAL DE NATATION DE LA GIRONDE</v>
      </c>
      <c r="C834" s="1">
        <f>IFERROR(__xludf.DUMMYFUNCTION("""COMPUTED_VALUE"""),295.0)</f>
        <v>295</v>
      </c>
      <c r="D834" s="1">
        <v>80.0</v>
      </c>
      <c r="E834" s="2"/>
      <c r="F834" s="2"/>
      <c r="G834" s="2"/>
      <c r="H834" s="2"/>
      <c r="I834" s="2"/>
    </row>
    <row r="835">
      <c r="A835" s="1" t="s">
        <v>497</v>
      </c>
      <c r="B835" s="1" t="str">
        <f>IFERROR(__xludf.DUMMYFUNCTION("SPLIT(A835,"";"")"),"COMITE DEPARTEMENTAL DU SPORT ADAPTE DE LA GIRONDE (CDSA 33)")</f>
        <v>COMITE DEPARTEMENTAL DU SPORT ADAPTE DE LA GIRONDE (CDSA 33)</v>
      </c>
      <c r="C835" s="3">
        <f>IFERROR(__xludf.DUMMYFUNCTION("""COMPUTED_VALUE"""),1863.0)</f>
        <v>1863</v>
      </c>
      <c r="D835" s="1">
        <v>0.0</v>
      </c>
      <c r="E835" s="2"/>
      <c r="F835" s="2"/>
      <c r="G835" s="2"/>
      <c r="H835" s="2"/>
      <c r="I835" s="2"/>
    </row>
    <row r="836">
      <c r="A836" s="1" t="s">
        <v>498</v>
      </c>
      <c r="B836" s="1" t="str">
        <f>IFERROR(__xludf.DUMMYFUNCTION("SPLIT(A836,"";"")"),"COMITE DEPARTEMENTAL OLYMPIQUE ET SPORTIF DE LA GIRONDE")</f>
        <v>COMITE DEPARTEMENTAL OLYMPIQUE ET SPORTIF DE LA GIRONDE</v>
      </c>
      <c r="C836" s="3">
        <f>IFERROR(__xludf.DUMMYFUNCTION("""COMPUTED_VALUE"""),2512.0)</f>
        <v>2512</v>
      </c>
      <c r="D836" s="1">
        <v>14.0</v>
      </c>
      <c r="E836" s="2"/>
      <c r="F836" s="2"/>
      <c r="G836" s="2"/>
      <c r="H836" s="2"/>
      <c r="I836" s="2"/>
    </row>
    <row r="837">
      <c r="A837" s="1" t="s">
        <v>499</v>
      </c>
      <c r="B837" s="1" t="str">
        <f>IFERROR(__xludf.DUMMYFUNCTION("SPLIT(A837,"";"")"),"COMITE DES FETES DE BACALAN")</f>
        <v>COMITE DES FETES DE BACALAN</v>
      </c>
      <c r="C837" s="1"/>
      <c r="D837" s="1" t="s">
        <v>500</v>
      </c>
      <c r="E837" s="1">
        <v>18.0</v>
      </c>
      <c r="F837" s="2"/>
      <c r="G837" s="2"/>
      <c r="H837" s="2"/>
      <c r="I837" s="2"/>
    </row>
    <row r="838">
      <c r="A838" s="1" t="s">
        <v>501</v>
      </c>
      <c r="B838" s="1" t="str">
        <f>IFERROR(__xludf.DUMMYFUNCTION("SPLIT(A838,"";"")"),"COMITE D'ETUDE ET D'INFORMATION SUR LA DROGUE (PREVENTION ET TRAITEMENT DES TOXICOMANIES ET AUTRES ADDICTIONS)")</f>
        <v>COMITE D'ETUDE ET D'INFORMATION SUR LA DROGUE (PREVENTION ET TRAITEMENT DES TOXICOMANIES ET AUTRES ADDICTIONS)</v>
      </c>
      <c r="C838" s="1"/>
      <c r="D838" s="1" t="s">
        <v>502</v>
      </c>
      <c r="E838" s="2"/>
      <c r="F838" s="2"/>
      <c r="G838" s="2"/>
      <c r="H838" s="2"/>
      <c r="I838" s="2"/>
    </row>
    <row r="839">
      <c r="A839" s="1" t="s">
        <v>503</v>
      </c>
      <c r="B839" s="3">
        <f>IFERROR(__xludf.DUMMYFUNCTION("SPLIT(A839,"";"")"),2008.0)</f>
        <v>2008</v>
      </c>
      <c r="C839" s="1"/>
      <c r="D839" s="1">
        <v>90.0</v>
      </c>
      <c r="E839" s="2"/>
      <c r="F839" s="2"/>
      <c r="G839" s="2"/>
      <c r="H839" s="2"/>
      <c r="I839" s="2"/>
    </row>
    <row r="840">
      <c r="A840" s="1" t="s">
        <v>504</v>
      </c>
      <c r="B840" s="1" t="str">
        <f>IFERROR(__xludf.DUMMYFUNCTION("SPLIT(A840,"";"")"),"CEID-ADDICTIONS")</f>
        <v>CEID-ADDICTIONS</v>
      </c>
      <c r="C840" s="2"/>
      <c r="D840" s="2"/>
      <c r="E840" s="2"/>
      <c r="F840" s="2"/>
      <c r="G840" s="2"/>
      <c r="H840" s="2"/>
      <c r="I840" s="2"/>
    </row>
    <row r="841">
      <c r="A841" s="1" t="s">
        <v>505</v>
      </c>
      <c r="B841" s="1" t="str">
        <f>IFERROR(__xludf.DUMMYFUNCTION("SPLIT(A841,"";"")"),"COMITE FEMININ GIRONDE POUR LA PREVENTION ET LE DEPISTAGE DES CANCERS")</f>
        <v>COMITE FEMININ GIRONDE POUR LA PREVENTION ET LE DEPISTAGE DES CANCERS</v>
      </c>
      <c r="C841" s="3">
        <f>IFERROR(__xludf.DUMMYFUNCTION("""COMPUTED_VALUE"""),3350.0)</f>
        <v>3350</v>
      </c>
      <c r="D841" s="1">
        <v>53.0</v>
      </c>
      <c r="E841" s="2"/>
      <c r="F841" s="2"/>
      <c r="G841" s="2"/>
      <c r="H841" s="2"/>
      <c r="I841" s="2"/>
    </row>
    <row r="842">
      <c r="A842" s="1" t="s">
        <v>506</v>
      </c>
      <c r="B842" s="1" t="str">
        <f>IFERROR(__xludf.DUMMYFUNCTION("SPLIT(A842,"";"")"),"COMITE GIRONDIN DE COURSE D'ORIENTATION")</f>
        <v>COMITE GIRONDIN DE COURSE D'ORIENTATION</v>
      </c>
      <c r="C842" s="1">
        <f>IFERROR(__xludf.DUMMYFUNCTION("""COMPUTED_VALUE"""),739.0)</f>
        <v>739</v>
      </c>
      <c r="D842" s="1">
        <v>82.0</v>
      </c>
      <c r="E842" s="2"/>
      <c r="F842" s="2"/>
      <c r="G842" s="2"/>
      <c r="H842" s="2"/>
      <c r="I842" s="2"/>
    </row>
    <row r="843">
      <c r="A843" s="1" t="s">
        <v>507</v>
      </c>
      <c r="B843" s="1" t="str">
        <f>IFERROR(__xludf.DUMMYFUNCTION("SPLIT(A843,"";"")"),"COMITE MIRABEAU BORDELAIS 2017")</f>
        <v>COMITE MIRABEAU BORDELAIS 2017</v>
      </c>
      <c r="C843" s="3">
        <f>IFERROR(__xludf.DUMMYFUNCTION("""COMPUTED_VALUE"""),1046.0)</f>
        <v>1046</v>
      </c>
      <c r="D843" s="1">
        <v>0.0</v>
      </c>
      <c r="E843" s="2"/>
      <c r="F843" s="2"/>
      <c r="G843" s="2"/>
      <c r="H843" s="2"/>
      <c r="I843" s="2"/>
    </row>
    <row r="844">
      <c r="A844" s="1" t="s">
        <v>508</v>
      </c>
      <c r="B844" s="1" t="str">
        <f>IFERROR(__xludf.DUMMYFUNCTION("SPLIT(A844,"";"")"),"COMITE PALESTINE 33")</f>
        <v>COMITE PALESTINE 33</v>
      </c>
      <c r="C844" s="3">
        <f>IFERROR(__xludf.DUMMYFUNCTION("""COMPUTED_VALUE"""),1606.0)</f>
        <v>1606</v>
      </c>
      <c r="D844" s="1">
        <v>70.0</v>
      </c>
      <c r="E844" s="2"/>
      <c r="F844" s="2"/>
      <c r="G844" s="2"/>
      <c r="H844" s="2"/>
      <c r="I844" s="2"/>
    </row>
    <row r="845">
      <c r="A845" s="1" t="s">
        <v>509</v>
      </c>
      <c r="B845" s="1" t="str">
        <f>IFERROR(__xludf.DUMMYFUNCTION("SPLIT(A845,"";"")"),"COMITE REGIONAL DES ASSOCIATIONS DE JEUNESSE ET D'EDUCATION POPULAIRE D'AQUITAINE (CRAJEP AQUITAINE)")</f>
        <v>COMITE REGIONAL DES ASSOCIATIONS DE JEUNESSE ET D'EDUCATION POPULAIRE D'AQUITAINE (CRAJEP AQUITAINE)</v>
      </c>
      <c r="C845" s="1">
        <f>IFERROR(__xludf.DUMMYFUNCTION("""COMPUTED_VALUE"""),34.0)</f>
        <v>34</v>
      </c>
      <c r="D845" s="1">
        <v>0.0</v>
      </c>
      <c r="E845" s="2"/>
      <c r="F845" s="2"/>
      <c r="G845" s="2"/>
      <c r="H845" s="2"/>
      <c r="I845" s="2"/>
    </row>
    <row r="846">
      <c r="A846" s="1" t="s">
        <v>510</v>
      </c>
      <c r="B846" s="1" t="str">
        <f>IFERROR(__xludf.DUMMYFUNCTION("SPLIT(A846,"";"")"),"COMITE REGIONAL HANDISPORT D'AQUITAINE")</f>
        <v>COMITE REGIONAL HANDISPORT D'AQUITAINE</v>
      </c>
      <c r="C846" s="3">
        <f>IFERROR(__xludf.DUMMYFUNCTION("""COMPUTED_VALUE"""),16720.0)</f>
        <v>16720</v>
      </c>
      <c r="D846" s="1">
        <v>0.0</v>
      </c>
      <c r="E846" s="2"/>
      <c r="F846" s="2"/>
      <c r="G846" s="2"/>
      <c r="H846" s="2"/>
      <c r="I846" s="2"/>
    </row>
    <row r="847">
      <c r="A847" s="1" t="s">
        <v>511</v>
      </c>
      <c r="B847" s="1" t="str">
        <f>IFERROR(__xludf.DUMMYFUNCTION("SPLIT(A847,"";"")"),"COMITE REPRESENTATIF DES IDENTITES SOURDES")</f>
        <v>COMITE REPRESENTATIF DES IDENTITES SOURDES</v>
      </c>
      <c r="C847" s="3">
        <f>IFERROR(__xludf.DUMMYFUNCTION("""COMPUTED_VALUE"""),2757.0)</f>
        <v>2757</v>
      </c>
      <c r="D847" s="1">
        <v>99.0</v>
      </c>
      <c r="E847" s="2"/>
      <c r="F847" s="2"/>
      <c r="G847" s="2"/>
      <c r="H847" s="2"/>
      <c r="I847" s="2"/>
    </row>
    <row r="848">
      <c r="A848" s="1" t="s">
        <v>512</v>
      </c>
      <c r="B848" s="1" t="str">
        <f>IFERROR(__xludf.DUMMYFUNCTION("SPLIT(A848,"";"")"),"COMMANDERIE DU BONTEMPS MEDOC ET GRAVES - SAUTERNES ET BARSAC")</f>
        <v>COMMANDERIE DU BONTEMPS MEDOC ET GRAVES - SAUTERNES ET BARSAC</v>
      </c>
      <c r="C848" s="3">
        <f>IFERROR(__xludf.DUMMYFUNCTION("""COMPUTED_VALUE"""),2675.0)</f>
        <v>2675</v>
      </c>
      <c r="D848" s="1">
        <v>15.0</v>
      </c>
      <c r="E848" s="2"/>
      <c r="F848" s="2"/>
      <c r="G848" s="2"/>
      <c r="H848" s="2"/>
      <c r="I848" s="2"/>
    </row>
    <row r="849">
      <c r="A849" s="1" t="s">
        <v>513</v>
      </c>
      <c r="B849" s="1" t="str">
        <f>IFERROR(__xludf.DUMMYFUNCTION("SPLIT(A849,"";"")"),"COMMUNAUTE CAMEROUNAISE DE BORDEAUX (CCB)")</f>
        <v>COMMUNAUTE CAMEROUNAISE DE BORDEAUX (CCB)</v>
      </c>
      <c r="C849" s="3">
        <f>IFERROR(__xludf.DUMMYFUNCTION("""COMPUTED_VALUE"""),1928.0)</f>
        <v>1928</v>
      </c>
      <c r="D849" s="1">
        <v>0.0</v>
      </c>
      <c r="E849" s="2"/>
      <c r="F849" s="2"/>
      <c r="G849" s="2"/>
      <c r="H849" s="2"/>
      <c r="I849" s="2"/>
    </row>
    <row r="850">
      <c r="A850" s="1" t="s">
        <v>514</v>
      </c>
      <c r="B850" s="1" t="str">
        <f>IFERROR(__xludf.DUMMYFUNCTION("SPLIT(A850,"";"")"),"COMMUNIC'ARTE")</f>
        <v>COMMUNIC'ARTE</v>
      </c>
      <c r="C850" s="1">
        <f>IFERROR(__xludf.DUMMYFUNCTION("""COMPUTED_VALUE"""),918.0)</f>
        <v>918</v>
      </c>
      <c r="D850" s="1">
        <v>0.0</v>
      </c>
      <c r="E850" s="2"/>
      <c r="F850" s="2"/>
      <c r="G850" s="2"/>
      <c r="H850" s="2"/>
      <c r="I850" s="2"/>
    </row>
    <row r="851">
      <c r="A851" s="1" t="s">
        <v>515</v>
      </c>
      <c r="B851" s="1" t="str">
        <f>IFERROR(__xludf.DUMMYFUNCTION("SPLIT(A851,"";"")"),"COMPAGNIE DES MARCHES DE L'ETE")</f>
        <v>COMPAGNIE DES MARCHES DE L'ETE</v>
      </c>
      <c r="C851" s="3">
        <f>IFERROR(__xludf.DUMMYFUNCTION("""COMPUTED_VALUE"""),22016.0)</f>
        <v>22016</v>
      </c>
      <c r="D851" s="1">
        <v>64.0</v>
      </c>
      <c r="E851" s="2"/>
      <c r="F851" s="2"/>
      <c r="G851" s="2"/>
      <c r="H851" s="2"/>
      <c r="I851" s="2"/>
    </row>
    <row r="852">
      <c r="A852" s="1" t="s">
        <v>516</v>
      </c>
      <c r="B852" s="1" t="str">
        <f>IFERROR(__xludf.DUMMYFUNCTION("SPLIT(A852,"";"")"),"COMPAGNIE DONC Y CHOCS")</f>
        <v>COMPAGNIE DONC Y CHOCS</v>
      </c>
      <c r="C852" s="3">
        <f>IFERROR(__xludf.DUMMYFUNCTION("""COMPUTED_VALUE"""),2712.0)</f>
        <v>2712</v>
      </c>
      <c r="D852" s="1">
        <v>0.0</v>
      </c>
      <c r="E852" s="2"/>
      <c r="F852" s="2"/>
      <c r="G852" s="2"/>
      <c r="H852" s="2"/>
      <c r="I852" s="2"/>
    </row>
    <row r="853">
      <c r="A853" s="1" t="s">
        <v>517</v>
      </c>
      <c r="B853" s="1" t="str">
        <f>IFERROR(__xludf.DUMMYFUNCTION("SPLIT(A853,"";"")"),"COMPAGNIE ELVIRE 40")</f>
        <v>COMPAGNIE ELVIRE 40</v>
      </c>
      <c r="C853" s="3">
        <f>IFERROR(__xludf.DUMMYFUNCTION("""COMPUTED_VALUE"""),10200.0)</f>
        <v>10200</v>
      </c>
      <c r="D853" s="1">
        <v>0.0</v>
      </c>
      <c r="E853" s="2"/>
      <c r="F853" s="2"/>
      <c r="G853" s="2"/>
      <c r="H853" s="2"/>
      <c r="I853" s="2"/>
    </row>
    <row r="854">
      <c r="A854" s="1" t="s">
        <v>518</v>
      </c>
      <c r="B854" s="1" t="str">
        <f>IFERROR(__xludf.DUMMYFUNCTION("SPLIT(A854,"";"")"),"COMPAGNIE EN APARTE")</f>
        <v>COMPAGNIE EN APARTE</v>
      </c>
      <c r="C854" s="1">
        <f>IFERROR(__xludf.DUMMYFUNCTION("""COMPUTED_VALUE"""),587.0)</f>
        <v>587</v>
      </c>
      <c r="D854" s="1">
        <v>0.0</v>
      </c>
      <c r="E854" s="2"/>
      <c r="F854" s="2"/>
      <c r="G854" s="2"/>
      <c r="H854" s="2"/>
      <c r="I854" s="2"/>
    </row>
    <row r="855">
      <c r="A855" s="1" t="s">
        <v>519</v>
      </c>
      <c r="B855" s="1" t="str">
        <f>IFERROR(__xludf.DUMMYFUNCTION("SPLIT(A855,"";"")"),"COMPAGNIE INDIRA")</f>
        <v>COMPAGNIE INDIRA</v>
      </c>
      <c r="C855" s="3">
        <f>IFERROR(__xludf.DUMMYFUNCTION("""COMPUTED_VALUE"""),1394.0)</f>
        <v>1394</v>
      </c>
      <c r="D855" s="1">
        <v>0.0</v>
      </c>
      <c r="E855" s="2"/>
      <c r="F855" s="2"/>
      <c r="G855" s="2"/>
      <c r="H855" s="2"/>
      <c r="I855" s="2"/>
    </row>
    <row r="856">
      <c r="A856" s="1" t="s">
        <v>520</v>
      </c>
      <c r="B856" s="1" t="str">
        <f>IFERROR(__xludf.DUMMYFUNCTION("SPLIT(A856,"";"")"),"COMPAGNIE JEUNE TALENT")</f>
        <v>COMPAGNIE JEUNE TALENT</v>
      </c>
      <c r="C856" s="1">
        <f>IFERROR(__xludf.DUMMYFUNCTION("""COMPUTED_VALUE"""),332.0)</f>
        <v>332</v>
      </c>
      <c r="D856" s="1">
        <v>0.0</v>
      </c>
      <c r="E856" s="2"/>
      <c r="F856" s="2"/>
      <c r="G856" s="2"/>
      <c r="H856" s="2"/>
      <c r="I856" s="2"/>
    </row>
    <row r="857">
      <c r="A857" s="1" t="s">
        <v>521</v>
      </c>
      <c r="B857" s="1" t="str">
        <f>IFERROR(__xludf.DUMMYFUNCTION("SPLIT(A857,"";"")"),"COMPAGNIE LEITMOTIV")</f>
        <v>COMPAGNIE LEITMOTIV</v>
      </c>
      <c r="C857" s="3">
        <f>IFERROR(__xludf.DUMMYFUNCTION("""COMPUTED_VALUE"""),1026.0)</f>
        <v>1026</v>
      </c>
      <c r="D857" s="1">
        <v>62.0</v>
      </c>
      <c r="E857" s="2"/>
      <c r="F857" s="2"/>
      <c r="G857" s="2"/>
      <c r="H857" s="2"/>
      <c r="I857" s="2"/>
    </row>
    <row r="858">
      <c r="A858" s="1" t="s">
        <v>522</v>
      </c>
      <c r="B858" s="1" t="str">
        <f>IFERROR(__xludf.DUMMYFUNCTION("SPLIT(A858,"";"")"),"COMPAGNIE PRESENCE MICHEL CAHUZAC")</f>
        <v>COMPAGNIE PRESENCE MICHEL CAHUZAC</v>
      </c>
      <c r="C858" s="3">
        <f>IFERROR(__xludf.DUMMYFUNCTION("""COMPUTED_VALUE"""),9037.0)</f>
        <v>9037</v>
      </c>
      <c r="D858" s="1">
        <v>82.0</v>
      </c>
      <c r="E858" s="2"/>
      <c r="F858" s="2"/>
      <c r="G858" s="2"/>
      <c r="H858" s="2"/>
      <c r="I858" s="2"/>
    </row>
    <row r="859">
      <c r="A859" s="1" t="s">
        <v>523</v>
      </c>
      <c r="B859" s="1" t="str">
        <f>IFERROR(__xludf.DUMMYFUNCTION("SPLIT(A859,"";"")"),"COMPAGNIE REVOLUTION")</f>
        <v>COMPAGNIE REVOLUTION</v>
      </c>
      <c r="C859" s="3">
        <f>IFERROR(__xludf.DUMMYFUNCTION("""COMPUTED_VALUE"""),8000.0)</f>
        <v>8000</v>
      </c>
      <c r="D859" s="1">
        <v>0.0</v>
      </c>
      <c r="E859" s="2"/>
      <c r="F859" s="2"/>
      <c r="G859" s="2"/>
      <c r="H859" s="2"/>
      <c r="I859" s="2"/>
    </row>
    <row r="860">
      <c r="A860" s="1" t="s">
        <v>524</v>
      </c>
      <c r="B860" s="1" t="str">
        <f>IFERROR(__xludf.DUMMYFUNCTION("SPLIT(A860,"";"")"),"COMPETENCES EN TEMPS PARTAGE GUYENNE - CTP GUYENNE")</f>
        <v>COMPETENCES EN TEMPS PARTAGE GUYENNE - CTP GUYENNE</v>
      </c>
      <c r="C860" s="3">
        <f>IFERROR(__xludf.DUMMYFUNCTION("""COMPUTED_VALUE"""),4688.0)</f>
        <v>4688</v>
      </c>
      <c r="D860" s="1">
        <v>60.0</v>
      </c>
      <c r="E860" s="2"/>
      <c r="F860" s="2"/>
      <c r="G860" s="2"/>
      <c r="H860" s="2"/>
      <c r="I860" s="2"/>
    </row>
    <row r="861">
      <c r="A861" s="1" t="s">
        <v>525</v>
      </c>
      <c r="B861" s="1" t="str">
        <f>IFERROR(__xludf.DUMMYFUNCTION("SPLIT(A861,"";"")"),"COMPTOIR DE LA CULTURE BRESILIENNE")</f>
        <v>COMPTOIR DE LA CULTURE BRESILIENNE</v>
      </c>
      <c r="C861" s="1">
        <f>IFERROR(__xludf.DUMMYFUNCTION("""COMPUTED_VALUE"""),564.0)</f>
        <v>564</v>
      </c>
      <c r="D861" s="1">
        <v>0.0</v>
      </c>
      <c r="E861" s="2"/>
      <c r="F861" s="2"/>
      <c r="G861" s="2"/>
      <c r="H861" s="2"/>
      <c r="I861" s="2"/>
    </row>
    <row r="862">
      <c r="A862" s="1" t="s">
        <v>526</v>
      </c>
      <c r="B862" s="1" t="str">
        <f>IFERROR(__xludf.DUMMYFUNCTION("SPLIT(A862,"";"")"),"CONGRES ET EXPOSITIONS DE BORDEAUX")</f>
        <v>CONGRES ET EXPOSITIONS DE BORDEAUX</v>
      </c>
      <c r="C862" s="3">
        <f>IFERROR(__xludf.DUMMYFUNCTION("""COMPUTED_VALUE"""),57169.0)</f>
        <v>57169</v>
      </c>
      <c r="D862" s="1">
        <v>90.0</v>
      </c>
      <c r="E862" s="2"/>
      <c r="F862" s="2"/>
      <c r="G862" s="2"/>
      <c r="H862" s="2"/>
      <c r="I862" s="2"/>
    </row>
    <row r="863">
      <c r="A863" s="1" t="s">
        <v>527</v>
      </c>
      <c r="B863" s="1" t="str">
        <f>IFERROR(__xludf.DUMMYFUNCTION("SPLIT(A863,"";"")"),"CONSEIL DEPARTEMENTAL DE LA GIRONDE")</f>
        <v>CONSEIL DEPARTEMENTAL DE LA GIRONDE</v>
      </c>
      <c r="C863" s="3">
        <f>IFERROR(__xludf.DUMMYFUNCTION("""COMPUTED_VALUE"""),3591.0)</f>
        <v>3591</v>
      </c>
      <c r="D863" s="1">
        <v>0.0</v>
      </c>
      <c r="E863" s="2"/>
      <c r="F863" s="2"/>
      <c r="G863" s="2"/>
      <c r="H863" s="2"/>
      <c r="I863" s="2"/>
    </row>
    <row r="864">
      <c r="A864" s="1" t="s">
        <v>528</v>
      </c>
      <c r="B864" s="1" t="str">
        <f>IFERROR(__xludf.DUMMYFUNCTION("SPLIT(A864,"";"")"),"CONSEIL DEPARTEMENTAL DES ASSOCIATIONS FAMILIALES LAIQUES DE LA GIRONDE - CDAFAL 33")</f>
        <v>CONSEIL DEPARTEMENTAL DES ASSOCIATIONS FAMILIALES LAIQUES DE LA GIRONDE - CDAFAL 33</v>
      </c>
      <c r="C864" s="3">
        <f>IFERROR(__xludf.DUMMYFUNCTION("""COMPUTED_VALUE"""),9360.0)</f>
        <v>9360</v>
      </c>
      <c r="D864" s="1">
        <v>0.0</v>
      </c>
      <c r="E864" s="2"/>
      <c r="F864" s="2"/>
      <c r="G864" s="2"/>
      <c r="H864" s="2"/>
      <c r="I864" s="2"/>
    </row>
    <row r="865">
      <c r="A865" s="1" t="s">
        <v>529</v>
      </c>
      <c r="B865" s="1" t="str">
        <f>IFERROR(__xludf.DUMMYFUNCTION("SPLIT(A865,"";"")"),"CONSEIL DEPARTEMENTAL DES PARENTS D'ELEVES DES ECOLES PUBLIQUES DE LA GIRONDE")</f>
        <v>CONSEIL DEPARTEMENTAL DES PARENTS D'ELEVES DES ECOLES PUBLIQUES DE LA GIRONDE</v>
      </c>
      <c r="C865" s="1">
        <f>IFERROR(__xludf.DUMMYFUNCTION("""COMPUTED_VALUE"""),442.0)</f>
        <v>442</v>
      </c>
      <c r="D865" s="1">
        <v>0.0</v>
      </c>
      <c r="E865" s="2"/>
      <c r="F865" s="2"/>
      <c r="G865" s="2"/>
      <c r="H865" s="2"/>
      <c r="I865" s="2"/>
    </row>
    <row r="866">
      <c r="A866" s="1" t="s">
        <v>530</v>
      </c>
      <c r="B866" s="1" t="str">
        <f>IFERROR(__xludf.DUMMYFUNCTION("SPLIT(A866,"";"")"),"CONVENTION DE LA DIASPORA GABONAISE")</f>
        <v>CONVENTION DE LA DIASPORA GABONAISE</v>
      </c>
      <c r="C866" s="1">
        <f>IFERROR(__xludf.DUMMYFUNCTION("""COMPUTED_VALUE"""),91.0)</f>
        <v>91</v>
      </c>
      <c r="D866" s="1">
        <v>0.0</v>
      </c>
      <c r="E866" s="2"/>
      <c r="F866" s="2"/>
      <c r="G866" s="2"/>
      <c r="H866" s="2"/>
      <c r="I866" s="2"/>
    </row>
    <row r="867">
      <c r="A867" s="1" t="s">
        <v>531</v>
      </c>
      <c r="B867" s="1" t="str">
        <f>IFERROR(__xludf.DUMMYFUNCTION("SPLIT(A867,"";"")"),"COORDINATION POUR PROMOUVOIR LES COMPETENCES ET LE VOLONTARIAT AQUITAINE - CPCV AQUITAINE")</f>
        <v>COORDINATION POUR PROMOUVOIR LES COMPETENCES ET LE VOLONTARIAT AQUITAINE - CPCV AQUITAINE</v>
      </c>
      <c r="C867" s="3">
        <f>IFERROR(__xludf.DUMMYFUNCTION("""COMPUTED_VALUE"""),1279.0)</f>
        <v>1279</v>
      </c>
      <c r="D867" s="1">
        <v>0.0</v>
      </c>
      <c r="E867" s="2"/>
      <c r="F867" s="2"/>
      <c r="G867" s="2"/>
      <c r="H867" s="2"/>
      <c r="I867" s="2"/>
    </row>
    <row r="868">
      <c r="A868" s="1" t="s">
        <v>532</v>
      </c>
      <c r="B868" s="1" t="str">
        <f>IFERROR(__xludf.DUMMYFUNCTION("SPLIT(A868,"";"")"),"CORP'ART FRANCE")</f>
        <v>CORP'ART FRANCE</v>
      </c>
      <c r="C868" s="3">
        <f>IFERROR(__xludf.DUMMYFUNCTION("""COMPUTED_VALUE"""),2056.0)</f>
        <v>2056</v>
      </c>
      <c r="D868" s="1">
        <v>24.0</v>
      </c>
      <c r="E868" s="2"/>
      <c r="F868" s="2"/>
      <c r="G868" s="2"/>
      <c r="H868" s="2"/>
      <c r="I868" s="2"/>
    </row>
    <row r="869">
      <c r="A869" s="1" t="s">
        <v>533</v>
      </c>
      <c r="B869" s="1" t="str">
        <f>IFERROR(__xludf.DUMMYFUNCTION("SPLIT(A869,"";"")"),"COS VILLA PIA - EHPAD LES DAMES DE LA FOI")</f>
        <v>COS VILLA PIA - EHPAD LES DAMES DE LA FOI</v>
      </c>
      <c r="C869" s="3">
        <f>IFERROR(__xludf.DUMMYFUNCTION("""COMPUTED_VALUE"""),4146.0)</f>
        <v>4146</v>
      </c>
      <c r="D869" s="1">
        <v>21.0</v>
      </c>
      <c r="E869" s="2"/>
      <c r="F869" s="2"/>
      <c r="G869" s="2"/>
      <c r="H869" s="2"/>
      <c r="I869" s="2"/>
    </row>
    <row r="870">
      <c r="A870" s="1" t="s">
        <v>534</v>
      </c>
      <c r="B870" s="1" t="str">
        <f>IFERROR(__xludf.DUMMYFUNCTION("SPLIT(A870,"";"")"),"COULEUR COREE")</f>
        <v>COULEUR COREE</v>
      </c>
      <c r="C870" s="1">
        <f>IFERROR(__xludf.DUMMYFUNCTION("""COMPUTED_VALUE"""),922.0)</f>
        <v>922</v>
      </c>
      <c r="D870" s="1">
        <v>0.0</v>
      </c>
      <c r="E870" s="2"/>
      <c r="F870" s="2"/>
      <c r="G870" s="2"/>
      <c r="H870" s="2"/>
      <c r="I870" s="2"/>
    </row>
    <row r="871">
      <c r="A871" s="1" t="s">
        <v>535</v>
      </c>
      <c r="B871" s="1" t="str">
        <f>IFERROR(__xludf.DUMMYFUNCTION("SPLIT(A871,"";"")"),"COUP DE POUCE AVENIR")</f>
        <v>COUP DE POUCE AVENIR</v>
      </c>
      <c r="C871" s="1">
        <f>IFERROR(__xludf.DUMMYFUNCTION("""COMPUTED_VALUE"""),499.0)</f>
        <v>499</v>
      </c>
      <c r="D871" s="1">
        <v>28.0</v>
      </c>
      <c r="E871" s="2"/>
      <c r="F871" s="2"/>
      <c r="G871" s="2"/>
      <c r="H871" s="2"/>
      <c r="I871" s="2"/>
    </row>
    <row r="872">
      <c r="A872" s="1" t="s">
        <v>536</v>
      </c>
      <c r="B872" s="1" t="str">
        <f>IFERROR(__xludf.DUMMYFUNCTION("SPLIT(A872,"";"")"),"CREASSEMBLE")</f>
        <v>CREASSEMBLE</v>
      </c>
      <c r="C872" s="1">
        <f>IFERROR(__xludf.DUMMYFUNCTION("""COMPUTED_VALUE"""),34.0)</f>
        <v>34</v>
      </c>
      <c r="D872" s="1">
        <v>0.0</v>
      </c>
      <c r="E872" s="2"/>
      <c r="F872" s="2"/>
      <c r="G872" s="2"/>
      <c r="H872" s="2"/>
      <c r="I872" s="2"/>
    </row>
    <row r="873">
      <c r="A873" s="1" t="s">
        <v>537</v>
      </c>
      <c r="B873" s="1" t="str">
        <f>IFERROR(__xludf.DUMMYFUNCTION("SPLIT(A873,"";"")"),"CRESUS GIRONDE")</f>
        <v>CRESUS GIRONDE</v>
      </c>
      <c r="C873" s="1">
        <f>IFERROR(__xludf.DUMMYFUNCTION("""COMPUTED_VALUE"""),16.0)</f>
        <v>16</v>
      </c>
      <c r="D873" s="1">
        <v>0.0</v>
      </c>
      <c r="E873" s="2"/>
      <c r="F873" s="2"/>
      <c r="G873" s="2"/>
      <c r="H873" s="2"/>
      <c r="I873" s="2"/>
    </row>
    <row r="874">
      <c r="A874" s="1" t="s">
        <v>538</v>
      </c>
      <c r="B874" s="1" t="str">
        <f>IFERROR(__xludf.DUMMYFUNCTION("SPLIT(A874,"";"")"),"CRISTINAREY")</f>
        <v>CRISTINAREY</v>
      </c>
      <c r="C874" s="1">
        <f>IFERROR(__xludf.DUMMYFUNCTION("""COMPUTED_VALUE"""),334.0)</f>
        <v>334</v>
      </c>
      <c r="D874" s="1">
        <v>50.0</v>
      </c>
      <c r="E874" s="2"/>
      <c r="F874" s="2"/>
      <c r="G874" s="2"/>
      <c r="H874" s="2"/>
      <c r="I874" s="2"/>
    </row>
    <row r="875">
      <c r="A875" s="1" t="s">
        <v>539</v>
      </c>
      <c r="B875" s="1" t="str">
        <f>IFERROR(__xludf.DUMMYFUNCTION("SPLIT(A875,"";"")"),"CROISSANT FERTILE")</f>
        <v>CROISSANT FERTILE</v>
      </c>
      <c r="C875" s="3">
        <f>IFERROR(__xludf.DUMMYFUNCTION("""COMPUTED_VALUE"""),1089.0)</f>
        <v>1089</v>
      </c>
      <c r="D875" s="1">
        <v>58.0</v>
      </c>
      <c r="E875" s="2"/>
      <c r="F875" s="2"/>
      <c r="G875" s="2"/>
      <c r="H875" s="2"/>
      <c r="I875" s="2"/>
    </row>
    <row r="876">
      <c r="A876" s="1" t="s">
        <v>540</v>
      </c>
      <c r="B876" s="1" t="str">
        <f>IFERROR(__xludf.DUMMYFUNCTION("SPLIT(A876,"";"")"),"CROIX ROUGE FRANÇAISE - DELEGATION LOCALE")</f>
        <v>CROIX ROUGE FRANÇAISE - DELEGATION LOCALE</v>
      </c>
      <c r="C876" s="1">
        <f>IFERROR(__xludf.DUMMYFUNCTION("""COMPUTED_VALUE"""),482.0)</f>
        <v>482</v>
      </c>
      <c r="D876" s="1">
        <v>0.0</v>
      </c>
      <c r="E876" s="2"/>
      <c r="F876" s="2"/>
      <c r="G876" s="2"/>
      <c r="H876" s="2"/>
      <c r="I876" s="2"/>
    </row>
    <row r="877">
      <c r="A877" s="1" t="s">
        <v>541</v>
      </c>
      <c r="B877" s="1" t="str">
        <f>IFERROR(__xludf.DUMMYFUNCTION("SPLIT(A877,"";"")"),"CTE ETS SEXTANT AVIONIQUE")</f>
        <v>CTE ETS SEXTANT AVIONIQUE</v>
      </c>
      <c r="C877" s="3">
        <f>IFERROR(__xludf.DUMMYFUNCTION("""COMPUTED_VALUE"""),3370.0)</f>
        <v>3370</v>
      </c>
      <c r="D877" s="1">
        <v>0.0</v>
      </c>
      <c r="E877" s="2"/>
      <c r="F877" s="2"/>
      <c r="G877" s="2"/>
      <c r="H877" s="2"/>
      <c r="I877" s="2"/>
    </row>
    <row r="878">
      <c r="A878" s="1" t="s">
        <v>542</v>
      </c>
      <c r="B878" s="1" t="str">
        <f>IFERROR(__xludf.DUMMYFUNCTION("SPLIT(A878,"";"")"),"CULTIV'ACTIONS")</f>
        <v>CULTIV'ACTIONS</v>
      </c>
      <c r="C878" s="3">
        <f>IFERROR(__xludf.DUMMYFUNCTION("""COMPUTED_VALUE"""),3144.0)</f>
        <v>3144</v>
      </c>
      <c r="D878" s="1">
        <v>0.0</v>
      </c>
      <c r="E878" s="2"/>
      <c r="F878" s="2"/>
      <c r="G878" s="2"/>
      <c r="H878" s="2"/>
      <c r="I878" s="2"/>
    </row>
    <row r="879">
      <c r="A879" s="1" t="s">
        <v>543</v>
      </c>
      <c r="B879" s="1" t="str">
        <f>IFERROR(__xludf.DUMMYFUNCTION("SPLIT(A879,"";"")"),"CULTURE ET BIBLIOTHEQUES POUR TOUS")</f>
        <v>CULTURE ET BIBLIOTHEQUES POUR TOUS</v>
      </c>
      <c r="C879" s="3">
        <f>IFERROR(__xludf.DUMMYFUNCTION("""COMPUTED_VALUE"""),14535.0)</f>
        <v>14535</v>
      </c>
      <c r="D879" s="1">
        <v>0.0</v>
      </c>
      <c r="E879" s="2"/>
      <c r="F879" s="2"/>
      <c r="G879" s="2"/>
      <c r="H879" s="2"/>
      <c r="I879" s="2"/>
    </row>
    <row r="880">
      <c r="A880" s="1" t="s">
        <v>544</v>
      </c>
      <c r="B880" s="1" t="str">
        <f>IFERROR(__xludf.DUMMYFUNCTION("SPLIT(A880,"";"")"),"CULTURE-S")</f>
        <v>CULTURE-S</v>
      </c>
      <c r="C880" s="3">
        <f>IFERROR(__xludf.DUMMYFUNCTION("""COMPUTED_VALUE"""),3028.0)</f>
        <v>3028</v>
      </c>
      <c r="D880" s="1">
        <v>85.0</v>
      </c>
      <c r="E880" s="2"/>
      <c r="F880" s="2"/>
      <c r="G880" s="2"/>
      <c r="H880" s="2"/>
      <c r="I880" s="2"/>
    </row>
    <row r="881">
      <c r="A881" s="1" t="s">
        <v>545</v>
      </c>
      <c r="B881" s="1" t="str">
        <f>IFERROR(__xludf.DUMMYFUNCTION("SPLIT(A881,"";"")"),"CULTURES DES ARTS CREOLES ET DU MONDE 33 (CACM33)")</f>
        <v>CULTURES DES ARTS CREOLES ET DU MONDE 33 (CACM33)</v>
      </c>
      <c r="C881" s="3">
        <f>IFERROR(__xludf.DUMMYFUNCTION("""COMPUTED_VALUE"""),1012.0)</f>
        <v>1012</v>
      </c>
      <c r="D881" s="1">
        <v>0.0</v>
      </c>
      <c r="E881" s="2"/>
      <c r="F881" s="2"/>
      <c r="G881" s="2"/>
      <c r="H881" s="2"/>
      <c r="I881" s="2"/>
    </row>
    <row r="882">
      <c r="A882" s="1" t="s">
        <v>546</v>
      </c>
      <c r="B882" s="1" t="str">
        <f>IFERROR(__xludf.DUMMYFUNCTION("SPLIT(A882,"";"")"),"DANSE AVEC NOUS")</f>
        <v>DANSE AVEC NOUS</v>
      </c>
      <c r="C882" s="3">
        <f>IFERROR(__xludf.DUMMYFUNCTION("""COMPUTED_VALUE"""),68700.0)</f>
        <v>68700</v>
      </c>
      <c r="D882" s="1">
        <v>5.0</v>
      </c>
      <c r="E882" s="2"/>
      <c r="F882" s="2"/>
      <c r="G882" s="2"/>
      <c r="H882" s="2"/>
      <c r="I882" s="2"/>
    </row>
    <row r="883">
      <c r="A883" s="1" t="s">
        <v>547</v>
      </c>
      <c r="B883" s="1" t="str">
        <f>IFERROR(__xludf.DUMMYFUNCTION("SPLIT(A883,"";"")"),"DE VOLTES ET D'ASSAUTS")</f>
        <v>DE VOLTES ET D'ASSAUTS</v>
      </c>
      <c r="C883" s="3">
        <f>IFERROR(__xludf.DUMMYFUNCTION("""COMPUTED_VALUE"""),4520.0)</f>
        <v>4520</v>
      </c>
      <c r="D883" s="1">
        <v>0.0</v>
      </c>
      <c r="E883" s="2"/>
      <c r="F883" s="2"/>
      <c r="G883" s="2"/>
      <c r="H883" s="2"/>
      <c r="I883" s="2"/>
    </row>
    <row r="884">
      <c r="A884" s="1" t="s">
        <v>548</v>
      </c>
      <c r="B884" s="1" t="str">
        <f>IFERROR(__xludf.DUMMYFUNCTION("SPLIT(A884,"";"")"),"DEALERS DE SCIENCE")</f>
        <v>DEALERS DE SCIENCE</v>
      </c>
      <c r="C884" s="1">
        <f>IFERROR(__xludf.DUMMYFUNCTION("""COMPUTED_VALUE"""),459.0)</f>
        <v>459</v>
      </c>
      <c r="D884" s="1">
        <v>0.0</v>
      </c>
      <c r="E884" s="2"/>
      <c r="F884" s="2"/>
      <c r="G884" s="2"/>
      <c r="H884" s="2"/>
      <c r="I884" s="2"/>
    </row>
    <row r="885">
      <c r="A885" s="1" t="s">
        <v>549</v>
      </c>
      <c r="B885" s="1" t="str">
        <f>IFERROR(__xludf.DUMMYFUNCTION("SPLIT(A885,"";"")"),"DEFENSE DE LA LANGUE FRANCAISE")</f>
        <v>DEFENSE DE LA LANGUE FRANCAISE</v>
      </c>
      <c r="C885" s="1"/>
      <c r="D885" s="1" t="s">
        <v>550</v>
      </c>
      <c r="E885" s="1">
        <v>0.0</v>
      </c>
      <c r="F885" s="2"/>
      <c r="G885" s="2"/>
      <c r="H885" s="2"/>
      <c r="I885" s="2"/>
    </row>
    <row r="886">
      <c r="A886" s="1" t="s">
        <v>551</v>
      </c>
      <c r="B886" s="1" t="str">
        <f>IFERROR(__xludf.DUMMYFUNCTION("SPLIT(A886,"";"")"),"DES JARDINS")</f>
        <v>DES JARDINS</v>
      </c>
      <c r="C886" s="1"/>
      <c r="D886" s="1" t="s">
        <v>552</v>
      </c>
      <c r="E886" s="1">
        <v>18.0</v>
      </c>
      <c r="F886" s="2"/>
      <c r="G886" s="2"/>
      <c r="H886" s="2"/>
      <c r="I886" s="2"/>
    </row>
    <row r="887">
      <c r="A887" s="1" t="s">
        <v>553</v>
      </c>
      <c r="B887" s="1" t="str">
        <f>IFERROR(__xludf.DUMMYFUNCTION("SPLIT(A887,"";"")"),"DHAGPO BORDEAUX")</f>
        <v>DHAGPO BORDEAUX</v>
      </c>
      <c r="C887" s="3">
        <f>IFERROR(__xludf.DUMMYFUNCTION("""COMPUTED_VALUE"""),2350.0)</f>
        <v>2350</v>
      </c>
      <c r="D887" s="1">
        <v>0.0</v>
      </c>
      <c r="E887" s="2"/>
      <c r="F887" s="2"/>
      <c r="G887" s="2"/>
      <c r="H887" s="2"/>
      <c r="I887" s="2"/>
    </row>
    <row r="888">
      <c r="A888" s="1" t="s">
        <v>554</v>
      </c>
      <c r="B888" s="1" t="str">
        <f>IFERROR(__xludf.DUMMYFUNCTION("SPLIT(A888,"";"")"),"DIACONAT DE BORDEAUX")</f>
        <v>DIACONAT DE BORDEAUX</v>
      </c>
      <c r="C888" s="3">
        <f>IFERROR(__xludf.DUMMYFUNCTION("""COMPUTED_VALUE"""),39219.0)</f>
        <v>39219</v>
      </c>
      <c r="D888" s="1">
        <v>0.0</v>
      </c>
      <c r="E888" s="2"/>
      <c r="F888" s="2"/>
      <c r="G888" s="2"/>
      <c r="H888" s="2"/>
      <c r="I888" s="2"/>
    </row>
    <row r="889">
      <c r="A889" s="1" t="s">
        <v>555</v>
      </c>
      <c r="B889" s="1" t="str">
        <f>IFERROR(__xludf.DUMMYFUNCTION("SPLIT(A889,"";"")"),"DISCO SOUPE")</f>
        <v>DISCO SOUPE</v>
      </c>
      <c r="C889" s="3">
        <f>IFERROR(__xludf.DUMMYFUNCTION("""COMPUTED_VALUE"""),3059.0)</f>
        <v>3059</v>
      </c>
      <c r="D889" s="1">
        <v>46.0</v>
      </c>
      <c r="E889" s="2"/>
      <c r="F889" s="2"/>
      <c r="G889" s="2"/>
      <c r="H889" s="2"/>
      <c r="I889" s="2"/>
    </row>
    <row r="890">
      <c r="A890" s="1" t="s">
        <v>556</v>
      </c>
      <c r="B890" s="1" t="str">
        <f>IFERROR(__xludf.DUMMYFUNCTION("SPLIT(A890,"";"")"),"DISPARATE")</f>
        <v>DISPARATE</v>
      </c>
      <c r="C890" s="3">
        <f>IFERROR(__xludf.DUMMYFUNCTION("""COMPUTED_VALUE"""),10448.0)</f>
        <v>10448</v>
      </c>
      <c r="D890" s="1">
        <v>0.0</v>
      </c>
      <c r="E890" s="2"/>
      <c r="F890" s="2"/>
      <c r="G890" s="2"/>
      <c r="H890" s="2"/>
      <c r="I890" s="2"/>
    </row>
    <row r="891">
      <c r="A891" s="1" t="s">
        <v>557</v>
      </c>
      <c r="B891" s="1" t="str">
        <f>IFERROR(__xludf.DUMMYFUNCTION("SPLIT(A891,"";"")"),"DIVAN D'OUEST")</f>
        <v>DIVAN D'OUEST</v>
      </c>
      <c r="C891" s="1">
        <f>IFERROR(__xludf.DUMMYFUNCTION("""COMPUTED_VALUE"""),970.0)</f>
        <v>970</v>
      </c>
      <c r="D891" s="1">
        <v>0.0</v>
      </c>
      <c r="E891" s="2"/>
      <c r="F891" s="2"/>
      <c r="G891" s="2"/>
      <c r="H891" s="2"/>
      <c r="I891" s="2"/>
    </row>
    <row r="892">
      <c r="A892" s="1" t="s">
        <v>558</v>
      </c>
      <c r="B892" s="1" t="str">
        <f>IFERROR(__xludf.DUMMYFUNCTION("SPLIT(A892,"";"")"),"DIVERSCITES")</f>
        <v>DIVERSCITES</v>
      </c>
      <c r="C892" s="3">
        <f>IFERROR(__xludf.DUMMYFUNCTION("""COMPUTED_VALUE"""),1825.0)</f>
        <v>1825</v>
      </c>
      <c r="D892" s="1">
        <v>0.0</v>
      </c>
      <c r="E892" s="2"/>
      <c r="F892" s="2"/>
      <c r="G892" s="2"/>
      <c r="H892" s="2"/>
      <c r="I892" s="2"/>
    </row>
    <row r="893">
      <c r="A893" s="1" t="s">
        <v>559</v>
      </c>
      <c r="B893" s="1" t="str">
        <f>IFERROR(__xludf.DUMMYFUNCTION("SPLIT(A893,"";"")"),"DLIBERETS")</f>
        <v>DLIBERETS</v>
      </c>
      <c r="C893" s="3">
        <f>IFERROR(__xludf.DUMMYFUNCTION("""COMPUTED_VALUE"""),1857.0)</f>
        <v>1857</v>
      </c>
      <c r="D893" s="1">
        <v>0.0</v>
      </c>
      <c r="E893" s="2"/>
      <c r="F893" s="2"/>
      <c r="G893" s="2"/>
      <c r="H893" s="2"/>
      <c r="I893" s="2"/>
    </row>
    <row r="894">
      <c r="A894" s="1" t="s">
        <v>560</v>
      </c>
      <c r="B894" s="1" t="str">
        <f>IFERROR(__xludf.DUMMYFUNCTION("SPLIT(A894,"";"")"),"DOJO")</f>
        <v>DOJO</v>
      </c>
      <c r="C894" s="3">
        <f>IFERROR(__xludf.DUMMYFUNCTION("""COMPUTED_VALUE"""),4281.0)</f>
        <v>4281</v>
      </c>
      <c r="D894" s="1">
        <v>58.0</v>
      </c>
      <c r="E894" s="2"/>
      <c r="F894" s="2"/>
      <c r="G894" s="2"/>
      <c r="H894" s="2"/>
      <c r="I894" s="2"/>
    </row>
    <row r="895">
      <c r="A895" s="1" t="s">
        <v>561</v>
      </c>
      <c r="B895" s="1" t="str">
        <f>IFERROR(__xludf.DUMMYFUNCTION("SPLIT(A895,"";"")"),"DOULEURS SANS FRONTIERES - DSF")</f>
        <v>DOULEURS SANS FRONTIERES - DSF</v>
      </c>
      <c r="C895" s="1">
        <f>IFERROR(__xludf.DUMMYFUNCTION("""COMPUTED_VALUE"""),941.0)</f>
        <v>941</v>
      </c>
      <c r="D895" s="1">
        <v>0.0</v>
      </c>
      <c r="E895" s="2"/>
      <c r="F895" s="2"/>
      <c r="G895" s="2"/>
      <c r="H895" s="2"/>
      <c r="I895" s="2"/>
    </row>
    <row r="896">
      <c r="A896" s="1" t="s">
        <v>562</v>
      </c>
      <c r="B896" s="1" t="str">
        <f>IFERROR(__xludf.DUMMYFUNCTION("SPLIT(A896,"";"")"),"DRAG RACING TEAM - DRT")</f>
        <v>DRAG RACING TEAM - DRT</v>
      </c>
      <c r="C896" s="1">
        <f>IFERROR(__xludf.DUMMYFUNCTION("""COMPUTED_VALUE"""),897.0)</f>
        <v>897</v>
      </c>
      <c r="D896" s="1">
        <v>60.0</v>
      </c>
      <c r="E896" s="2"/>
      <c r="F896" s="2"/>
      <c r="G896" s="2"/>
      <c r="H896" s="2"/>
      <c r="I896" s="2"/>
    </row>
    <row r="897">
      <c r="A897" s="1" t="s">
        <v>563</v>
      </c>
      <c r="B897" s="1" t="str">
        <f>IFERROR(__xludf.DUMMYFUNCTION("SPLIT(A897,"";"")"),"DROLE DE SCENE")</f>
        <v>DROLE DE SCENE</v>
      </c>
      <c r="C897" s="1">
        <f>IFERROR(__xludf.DUMMYFUNCTION("""COMPUTED_VALUE"""),575.0)</f>
        <v>575</v>
      </c>
      <c r="D897" s="1">
        <v>0.0</v>
      </c>
      <c r="E897" s="2"/>
      <c r="F897" s="2"/>
      <c r="G897" s="2"/>
      <c r="H897" s="2"/>
      <c r="I897" s="2"/>
    </row>
    <row r="898">
      <c r="A898" s="1" t="s">
        <v>564</v>
      </c>
      <c r="B898" s="1" t="str">
        <f>IFERROR(__xludf.DUMMYFUNCTION("SPLIT(A898,"";"")"),"DROP DE BETON")</f>
        <v>DROP DE BETON</v>
      </c>
      <c r="C898" s="1">
        <f>IFERROR(__xludf.DUMMYFUNCTION("""COMPUTED_VALUE"""),560.0)</f>
        <v>560</v>
      </c>
      <c r="D898" s="1">
        <v>21.0</v>
      </c>
      <c r="E898" s="2"/>
      <c r="F898" s="2"/>
      <c r="G898" s="2"/>
      <c r="H898" s="2"/>
      <c r="I898" s="2"/>
    </row>
    <row r="899">
      <c r="A899" s="1" t="s">
        <v>565</v>
      </c>
      <c r="B899" s="1" t="str">
        <f>IFERROR(__xludf.DUMMYFUNCTION("SPLIT(A899,"";"")"),"D'SIGN")</f>
        <v>D'SIGN</v>
      </c>
      <c r="C899" s="3">
        <f>IFERROR(__xludf.DUMMYFUNCTION("""COMPUTED_VALUE"""),1370.0)</f>
        <v>1370</v>
      </c>
      <c r="D899" s="1">
        <v>0.0</v>
      </c>
      <c r="E899" s="2"/>
      <c r="F899" s="2"/>
      <c r="G899" s="2"/>
      <c r="H899" s="2"/>
      <c r="I899" s="2"/>
    </row>
    <row r="900">
      <c r="A900" s="1" t="s">
        <v>566</v>
      </c>
      <c r="B900" s="1" t="str">
        <f>IFERROR(__xludf.DUMMYFUNCTION("SPLIT(A900,"";"")"),"DU CHIEN DANS LES DENTS")</f>
        <v>DU CHIEN DANS LES DENTS</v>
      </c>
      <c r="C900" s="1">
        <f>IFERROR(__xludf.DUMMYFUNCTION("""COMPUTED_VALUE"""),560.0)</f>
        <v>560</v>
      </c>
      <c r="D900" s="1">
        <v>0.0</v>
      </c>
      <c r="E900" s="2"/>
      <c r="F900" s="2"/>
      <c r="G900" s="2"/>
      <c r="H900" s="2"/>
      <c r="I900" s="2"/>
    </row>
    <row r="901">
      <c r="A901" s="1" t="s">
        <v>567</v>
      </c>
      <c r="B901" s="1" t="str">
        <f>IFERROR(__xludf.DUMMYFUNCTION("SPLIT(A901,"";"")"),"DU SOLEIL DANS LES PIEDS")</f>
        <v>DU SOLEIL DANS LES PIEDS</v>
      </c>
      <c r="C901" s="3">
        <f>IFERROR(__xludf.DUMMYFUNCTION("""COMPUTED_VALUE"""),1293.0)</f>
        <v>1293</v>
      </c>
      <c r="D901" s="1">
        <v>0.0</v>
      </c>
      <c r="E901" s="2"/>
      <c r="F901" s="2"/>
      <c r="G901" s="2"/>
      <c r="H901" s="2"/>
      <c r="I901" s="2"/>
    </row>
    <row r="902">
      <c r="A902" s="1" t="s">
        <v>568</v>
      </c>
      <c r="B902" s="1" t="str">
        <f>IFERROR(__xludf.DUMMYFUNCTION("SPLIT(A902,"";"")"),"DULCENE")</f>
        <v>DULCENE</v>
      </c>
      <c r="C902" s="3">
        <f>IFERROR(__xludf.DUMMYFUNCTION("""COMPUTED_VALUE"""),15648.0)</f>
        <v>15648</v>
      </c>
      <c r="D902" s="1">
        <v>60.0</v>
      </c>
      <c r="E902" s="2"/>
      <c r="F902" s="2"/>
      <c r="G902" s="2"/>
      <c r="H902" s="2"/>
      <c r="I902" s="2"/>
    </row>
    <row r="903">
      <c r="A903" s="1" t="s">
        <v>569</v>
      </c>
      <c r="B903" s="1" t="str">
        <f>IFERROR(__xludf.DUMMYFUNCTION("SPLIT(A903,"";"")"),"DV2G (THEATRE VICTOIRE)")</f>
        <v>DV2G (THEATRE VICTOIRE)</v>
      </c>
      <c r="C903" s="1">
        <f>IFERROR(__xludf.DUMMYFUNCTION("""COMPUTED_VALUE"""),604.0)</f>
        <v>604</v>
      </c>
      <c r="D903" s="1">
        <v>50.0</v>
      </c>
      <c r="E903" s="2"/>
      <c r="F903" s="2"/>
      <c r="G903" s="2"/>
      <c r="H903" s="2"/>
      <c r="I903" s="2"/>
    </row>
    <row r="904">
      <c r="A904" s="1" t="s">
        <v>570</v>
      </c>
      <c r="B904" s="1" t="str">
        <f>IFERROR(__xludf.DUMMYFUNCTION("SPLIT(A904,"";"")"),"ECHIQUIER BORDELAIS")</f>
        <v>ECHIQUIER BORDELAIS</v>
      </c>
      <c r="C904" s="1">
        <f>IFERROR(__xludf.DUMMYFUNCTION("""COMPUTED_VALUE"""),186.0)</f>
        <v>186</v>
      </c>
      <c r="D904" s="1">
        <v>30.0</v>
      </c>
      <c r="E904" s="2"/>
      <c r="F904" s="2"/>
      <c r="G904" s="2"/>
      <c r="H904" s="2"/>
      <c r="I904" s="2"/>
    </row>
    <row r="905">
      <c r="A905" s="1" t="s">
        <v>571</v>
      </c>
      <c r="B905" s="1" t="str">
        <f>IFERROR(__xludf.DUMMYFUNCTION("SPLIT(A905,"";"")"),"ECLATS")</f>
        <v>ECLATS</v>
      </c>
      <c r="C905" s="1">
        <f>IFERROR(__xludf.DUMMYFUNCTION("""COMPUTED_VALUE"""),663.0)</f>
        <v>663</v>
      </c>
      <c r="D905" s="1">
        <v>0.0</v>
      </c>
      <c r="E905" s="2"/>
      <c r="F905" s="2"/>
      <c r="G905" s="2"/>
      <c r="H905" s="2"/>
      <c r="I905" s="2"/>
    </row>
    <row r="906">
      <c r="A906" s="1" t="s">
        <v>572</v>
      </c>
      <c r="B906" s="1" t="str">
        <f>IFERROR(__xludf.DUMMYFUNCTION("SPLIT(A906,"";"")"),"ECOLE CHINOISE DE BORDEAUX")</f>
        <v>ECOLE CHINOISE DE BORDEAUX</v>
      </c>
      <c r="C906" s="1">
        <f>IFERROR(__xludf.DUMMYFUNCTION("""COMPUTED_VALUE"""),564.0)</f>
        <v>564</v>
      </c>
      <c r="D906" s="1">
        <v>0.0</v>
      </c>
      <c r="E906" s="2"/>
      <c r="F906" s="2"/>
      <c r="G906" s="2"/>
      <c r="H906" s="2"/>
      <c r="I906" s="2"/>
    </row>
    <row r="907">
      <c r="A907" s="1" t="s">
        <v>573</v>
      </c>
      <c r="B907" s="1" t="str">
        <f>IFERROR(__xludf.DUMMYFUNCTION("SPLIT(A907,"";"")"),"ECOLE DE CIRQUE DE BORDEAUX")</f>
        <v>ECOLE DE CIRQUE DE BORDEAUX</v>
      </c>
      <c r="C907" s="1"/>
      <c r="D907" s="1" t="s">
        <v>574</v>
      </c>
      <c r="E907" s="1">
        <v>0.0</v>
      </c>
      <c r="F907" s="2"/>
      <c r="G907" s="2"/>
      <c r="H907" s="2"/>
      <c r="I907" s="2"/>
    </row>
    <row r="908">
      <c r="A908" s="1" t="s">
        <v>575</v>
      </c>
      <c r="B908" s="1" t="str">
        <f>IFERROR(__xludf.DUMMYFUNCTION("SPLIT(A908,"";"")"),"ECOLE DES GRANDS-PARENTS EUROPEENS BORDEAUX-GIRONDE - EGPE BORDEAUX-GIRONDE")</f>
        <v>ECOLE DES GRANDS-PARENTS EUROPEENS BORDEAUX-GIRONDE - EGPE BORDEAUX-GIRONDE</v>
      </c>
      <c r="C908" s="1">
        <f>IFERROR(__xludf.DUMMYFUNCTION("""COMPUTED_VALUE"""),322.0)</f>
        <v>322</v>
      </c>
      <c r="D908" s="1">
        <v>0.0</v>
      </c>
      <c r="E908" s="2"/>
      <c r="F908" s="2"/>
      <c r="G908" s="2"/>
      <c r="H908" s="2"/>
      <c r="I908" s="2"/>
    </row>
    <row r="909">
      <c r="A909" s="1" t="s">
        <v>576</v>
      </c>
      <c r="B909" s="1" t="str">
        <f>IFERROR(__xludf.DUMMYFUNCTION("SPLIT(A909,"";"")"),"ECOLE ESSENTIALISTE")</f>
        <v>ECOLE ESSENTIALISTE</v>
      </c>
      <c r="C909" s="1">
        <f>IFERROR(__xludf.DUMMYFUNCTION("""COMPUTED_VALUE"""),516.0)</f>
        <v>516</v>
      </c>
      <c r="D909" s="1">
        <v>0.0</v>
      </c>
      <c r="E909" s="2"/>
      <c r="F909" s="2"/>
      <c r="G909" s="2"/>
      <c r="H909" s="2"/>
      <c r="I909" s="2"/>
    </row>
    <row r="910">
      <c r="A910" s="1" t="s">
        <v>577</v>
      </c>
      <c r="B910" s="1" t="str">
        <f>IFERROR(__xludf.DUMMYFUNCTION("SPLIT(A910,"";"")"),"ECOLE MUNICIPALE DE NATATION")</f>
        <v>ECOLE MUNICIPALE DE NATATION</v>
      </c>
      <c r="C910" s="3">
        <f>IFERROR(__xludf.DUMMYFUNCTION("""COMPUTED_VALUE"""),167973.0)</f>
        <v>167973</v>
      </c>
      <c r="D910" s="1">
        <v>0.0</v>
      </c>
      <c r="E910" s="2"/>
      <c r="F910" s="2"/>
      <c r="G910" s="2"/>
      <c r="H910" s="2"/>
      <c r="I910" s="2"/>
    </row>
    <row r="911">
      <c r="A911" s="1" t="s">
        <v>578</v>
      </c>
      <c r="B911" s="1" t="str">
        <f>IFERROR(__xludf.DUMMYFUNCTION("SPLIT(A911,"";"")"),"ECOUTE S'IL PLEUT")</f>
        <v>ECOUTE S'IL PLEUT</v>
      </c>
      <c r="C911" s="1">
        <f>IFERROR(__xludf.DUMMYFUNCTION("""COMPUTED_VALUE"""),645.0)</f>
        <v>645</v>
      </c>
      <c r="D911" s="1">
        <v>0.0</v>
      </c>
      <c r="E911" s="2"/>
      <c r="F911" s="2"/>
      <c r="G911" s="2"/>
      <c r="H911" s="2"/>
      <c r="I911" s="2"/>
    </row>
    <row r="912">
      <c r="A912" s="1" t="s">
        <v>579</v>
      </c>
      <c r="B912" s="1" t="str">
        <f>IFERROR(__xludf.DUMMYFUNCTION("SPLIT(A912,"";"")"),"ECOUTER SON CORPS")</f>
        <v>ECOUTER SON CORPS</v>
      </c>
      <c r="C912" s="3">
        <f>IFERROR(__xludf.DUMMYFUNCTION("""COMPUTED_VALUE"""),4710.0)</f>
        <v>4710</v>
      </c>
      <c r="D912" s="1">
        <v>0.0</v>
      </c>
      <c r="E912" s="2"/>
      <c r="F912" s="2"/>
      <c r="G912" s="2"/>
      <c r="H912" s="2"/>
      <c r="I912" s="2"/>
    </row>
    <row r="913">
      <c r="A913" s="1" t="s">
        <v>580</v>
      </c>
      <c r="B913" s="1" t="str">
        <f>IFERROR(__xludf.DUMMYFUNCTION("SPLIT(A913,"";"")"),"EINAI")</f>
        <v>EINAI</v>
      </c>
      <c r="C913" s="1">
        <f>IFERROR(__xludf.DUMMYFUNCTION("""COMPUTED_VALUE"""),639.0)</f>
        <v>639</v>
      </c>
      <c r="D913" s="1">
        <v>0.0</v>
      </c>
      <c r="E913" s="2"/>
      <c r="F913" s="2"/>
      <c r="G913" s="2"/>
      <c r="H913" s="2"/>
      <c r="I913" s="2"/>
    </row>
    <row r="914">
      <c r="A914" s="1" t="s">
        <v>581</v>
      </c>
      <c r="B914" s="1" t="str">
        <f>IFERROR(__xludf.DUMMYFUNCTION("SPLIT(A914,"";"")"),"EINSTEIN ON THE BEACH")</f>
        <v>EINSTEIN ON THE BEACH</v>
      </c>
      <c r="C914" s="3">
        <f>IFERROR(__xludf.DUMMYFUNCTION("""COMPUTED_VALUE"""),3418.0)</f>
        <v>3418</v>
      </c>
      <c r="D914" s="1">
        <v>0.0</v>
      </c>
      <c r="E914" s="2"/>
      <c r="F914" s="2"/>
      <c r="G914" s="2"/>
      <c r="H914" s="2"/>
      <c r="I914" s="2"/>
    </row>
    <row r="915">
      <c r="A915" s="1" t="s">
        <v>510</v>
      </c>
      <c r="B915" s="1" t="str">
        <f>IFERROR(__xludf.DUMMYFUNCTION("SPLIT(A915,"";"")"),"COMITE REGIONAL HANDISPORT D'AQUITAINE")</f>
        <v>COMITE REGIONAL HANDISPORT D'AQUITAINE</v>
      </c>
      <c r="C915" s="3">
        <f>IFERROR(__xludf.DUMMYFUNCTION("""COMPUTED_VALUE"""),16720.0)</f>
        <v>16720</v>
      </c>
      <c r="D915" s="1">
        <v>0.0</v>
      </c>
      <c r="E915" s="2"/>
      <c r="F915" s="2"/>
      <c r="G915" s="2"/>
      <c r="H915" s="2"/>
      <c r="I915" s="2"/>
    </row>
    <row r="916">
      <c r="A916" s="1" t="s">
        <v>511</v>
      </c>
      <c r="B916" s="1" t="str">
        <f>IFERROR(__xludf.DUMMYFUNCTION("SPLIT(A916,"";"")"),"COMITE REPRESENTATIF DES IDENTITES SOURDES")</f>
        <v>COMITE REPRESENTATIF DES IDENTITES SOURDES</v>
      </c>
      <c r="C916" s="3">
        <f>IFERROR(__xludf.DUMMYFUNCTION("""COMPUTED_VALUE"""),2757.0)</f>
        <v>2757</v>
      </c>
      <c r="D916" s="1">
        <v>99.0</v>
      </c>
      <c r="E916" s="2"/>
      <c r="F916" s="2"/>
      <c r="G916" s="2"/>
      <c r="H916" s="2"/>
      <c r="I916" s="2"/>
    </row>
    <row r="917">
      <c r="A917" s="1" t="s">
        <v>512</v>
      </c>
      <c r="B917" s="1" t="str">
        <f>IFERROR(__xludf.DUMMYFUNCTION("SPLIT(A917,"";"")"),"COMMANDERIE DU BONTEMPS MEDOC ET GRAVES - SAUTERNES ET BARSAC")</f>
        <v>COMMANDERIE DU BONTEMPS MEDOC ET GRAVES - SAUTERNES ET BARSAC</v>
      </c>
      <c r="C917" s="3">
        <f>IFERROR(__xludf.DUMMYFUNCTION("""COMPUTED_VALUE"""),2675.0)</f>
        <v>2675</v>
      </c>
      <c r="D917" s="1">
        <v>15.0</v>
      </c>
      <c r="E917" s="2"/>
      <c r="F917" s="2"/>
      <c r="G917" s="2"/>
      <c r="H917" s="2"/>
      <c r="I917" s="2"/>
    </row>
    <row r="918">
      <c r="A918" s="1" t="s">
        <v>513</v>
      </c>
      <c r="B918" s="1" t="str">
        <f>IFERROR(__xludf.DUMMYFUNCTION("SPLIT(A918,"";"")"),"COMMUNAUTE CAMEROUNAISE DE BORDEAUX (CCB)")</f>
        <v>COMMUNAUTE CAMEROUNAISE DE BORDEAUX (CCB)</v>
      </c>
      <c r="C918" s="3">
        <f>IFERROR(__xludf.DUMMYFUNCTION("""COMPUTED_VALUE"""),1928.0)</f>
        <v>1928</v>
      </c>
      <c r="D918" s="1">
        <v>0.0</v>
      </c>
      <c r="E918" s="2"/>
      <c r="F918" s="2"/>
      <c r="G918" s="2"/>
      <c r="H918" s="2"/>
      <c r="I918" s="2"/>
    </row>
    <row r="919">
      <c r="A919" s="1" t="s">
        <v>514</v>
      </c>
      <c r="B919" s="1" t="str">
        <f>IFERROR(__xludf.DUMMYFUNCTION("SPLIT(A919,"";"")"),"COMMUNIC'ARTE")</f>
        <v>COMMUNIC'ARTE</v>
      </c>
      <c r="C919" s="1">
        <f>IFERROR(__xludf.DUMMYFUNCTION("""COMPUTED_VALUE"""),918.0)</f>
        <v>918</v>
      </c>
      <c r="D919" s="1">
        <v>0.0</v>
      </c>
      <c r="E919" s="2"/>
      <c r="F919" s="2"/>
      <c r="G919" s="2"/>
      <c r="H919" s="2"/>
      <c r="I919" s="2"/>
    </row>
    <row r="920">
      <c r="A920" s="1" t="s">
        <v>515</v>
      </c>
      <c r="B920" s="1" t="str">
        <f>IFERROR(__xludf.DUMMYFUNCTION("SPLIT(A920,"";"")"),"COMPAGNIE DES MARCHES DE L'ETE")</f>
        <v>COMPAGNIE DES MARCHES DE L'ETE</v>
      </c>
      <c r="C920" s="3">
        <f>IFERROR(__xludf.DUMMYFUNCTION("""COMPUTED_VALUE"""),22016.0)</f>
        <v>22016</v>
      </c>
      <c r="D920" s="1">
        <v>64.0</v>
      </c>
      <c r="E920" s="2"/>
      <c r="F920" s="2"/>
      <c r="G920" s="2"/>
      <c r="H920" s="2"/>
      <c r="I920" s="2"/>
    </row>
    <row r="921">
      <c r="A921" s="1" t="s">
        <v>516</v>
      </c>
      <c r="B921" s="1" t="str">
        <f>IFERROR(__xludf.DUMMYFUNCTION("SPLIT(A921,"";"")"),"COMPAGNIE DONC Y CHOCS")</f>
        <v>COMPAGNIE DONC Y CHOCS</v>
      </c>
      <c r="C921" s="3">
        <f>IFERROR(__xludf.DUMMYFUNCTION("""COMPUTED_VALUE"""),2712.0)</f>
        <v>2712</v>
      </c>
      <c r="D921" s="1">
        <v>0.0</v>
      </c>
      <c r="E921" s="2"/>
      <c r="F921" s="2"/>
      <c r="G921" s="2"/>
      <c r="H921" s="2"/>
      <c r="I921" s="2"/>
    </row>
    <row r="922">
      <c r="A922" s="1" t="s">
        <v>517</v>
      </c>
      <c r="B922" s="1" t="str">
        <f>IFERROR(__xludf.DUMMYFUNCTION("SPLIT(A922,"";"")"),"COMPAGNIE ELVIRE 40")</f>
        <v>COMPAGNIE ELVIRE 40</v>
      </c>
      <c r="C922" s="3">
        <f>IFERROR(__xludf.DUMMYFUNCTION("""COMPUTED_VALUE"""),10200.0)</f>
        <v>10200</v>
      </c>
      <c r="D922" s="1">
        <v>0.0</v>
      </c>
      <c r="E922" s="2"/>
      <c r="F922" s="2"/>
      <c r="G922" s="2"/>
      <c r="H922" s="2"/>
      <c r="I922" s="2"/>
    </row>
    <row r="923">
      <c r="A923" s="1" t="s">
        <v>518</v>
      </c>
      <c r="B923" s="1" t="str">
        <f>IFERROR(__xludf.DUMMYFUNCTION("SPLIT(A923,"";"")"),"COMPAGNIE EN APARTE")</f>
        <v>COMPAGNIE EN APARTE</v>
      </c>
      <c r="C923" s="1">
        <f>IFERROR(__xludf.DUMMYFUNCTION("""COMPUTED_VALUE"""),587.0)</f>
        <v>587</v>
      </c>
      <c r="D923" s="1">
        <v>0.0</v>
      </c>
      <c r="E923" s="2"/>
      <c r="F923" s="2"/>
      <c r="G923" s="2"/>
      <c r="H923" s="2"/>
      <c r="I923" s="2"/>
    </row>
    <row r="924">
      <c r="A924" s="1" t="s">
        <v>519</v>
      </c>
      <c r="B924" s="1" t="str">
        <f>IFERROR(__xludf.DUMMYFUNCTION("SPLIT(A924,"";"")"),"COMPAGNIE INDIRA")</f>
        <v>COMPAGNIE INDIRA</v>
      </c>
      <c r="C924" s="3">
        <f>IFERROR(__xludf.DUMMYFUNCTION("""COMPUTED_VALUE"""),1394.0)</f>
        <v>1394</v>
      </c>
      <c r="D924" s="1">
        <v>0.0</v>
      </c>
      <c r="E924" s="2"/>
      <c r="F924" s="2"/>
      <c r="G924" s="2"/>
      <c r="H924" s="2"/>
      <c r="I924" s="2"/>
    </row>
    <row r="925">
      <c r="A925" s="1" t="s">
        <v>520</v>
      </c>
      <c r="B925" s="1" t="str">
        <f>IFERROR(__xludf.DUMMYFUNCTION("SPLIT(A925,"";"")"),"COMPAGNIE JEUNE TALENT")</f>
        <v>COMPAGNIE JEUNE TALENT</v>
      </c>
      <c r="C925" s="1">
        <f>IFERROR(__xludf.DUMMYFUNCTION("""COMPUTED_VALUE"""),332.0)</f>
        <v>332</v>
      </c>
      <c r="D925" s="1">
        <v>0.0</v>
      </c>
      <c r="E925" s="2"/>
      <c r="F925" s="2"/>
      <c r="G925" s="2"/>
      <c r="H925" s="2"/>
      <c r="I925" s="2"/>
    </row>
    <row r="926">
      <c r="A926" s="1" t="s">
        <v>521</v>
      </c>
      <c r="B926" s="1" t="str">
        <f>IFERROR(__xludf.DUMMYFUNCTION("SPLIT(A926,"";"")"),"COMPAGNIE LEITMOTIV")</f>
        <v>COMPAGNIE LEITMOTIV</v>
      </c>
      <c r="C926" s="3">
        <f>IFERROR(__xludf.DUMMYFUNCTION("""COMPUTED_VALUE"""),1026.0)</f>
        <v>1026</v>
      </c>
      <c r="D926" s="1">
        <v>62.0</v>
      </c>
      <c r="E926" s="2"/>
      <c r="F926" s="2"/>
      <c r="G926" s="2"/>
      <c r="H926" s="2"/>
      <c r="I926" s="2"/>
    </row>
    <row r="927">
      <c r="A927" s="1" t="s">
        <v>522</v>
      </c>
      <c r="B927" s="1" t="str">
        <f>IFERROR(__xludf.DUMMYFUNCTION("SPLIT(A927,"";"")"),"COMPAGNIE PRESENCE MICHEL CAHUZAC")</f>
        <v>COMPAGNIE PRESENCE MICHEL CAHUZAC</v>
      </c>
      <c r="C927" s="3">
        <f>IFERROR(__xludf.DUMMYFUNCTION("""COMPUTED_VALUE"""),9037.0)</f>
        <v>9037</v>
      </c>
      <c r="D927" s="1">
        <v>82.0</v>
      </c>
      <c r="E927" s="2"/>
      <c r="F927" s="2"/>
      <c r="G927" s="2"/>
      <c r="H927" s="2"/>
      <c r="I927" s="2"/>
    </row>
    <row r="928">
      <c r="A928" s="1" t="s">
        <v>523</v>
      </c>
      <c r="B928" s="1" t="str">
        <f>IFERROR(__xludf.DUMMYFUNCTION("SPLIT(A928,"";"")"),"COMPAGNIE REVOLUTION")</f>
        <v>COMPAGNIE REVOLUTION</v>
      </c>
      <c r="C928" s="3">
        <f>IFERROR(__xludf.DUMMYFUNCTION("""COMPUTED_VALUE"""),8000.0)</f>
        <v>8000</v>
      </c>
      <c r="D928" s="1">
        <v>0.0</v>
      </c>
      <c r="E928" s="2"/>
      <c r="F928" s="2"/>
      <c r="G928" s="2"/>
      <c r="H928" s="2"/>
      <c r="I928" s="2"/>
    </row>
    <row r="929">
      <c r="A929" s="1" t="s">
        <v>524</v>
      </c>
      <c r="B929" s="1" t="str">
        <f>IFERROR(__xludf.DUMMYFUNCTION("SPLIT(A929,"";"")"),"COMPETENCES EN TEMPS PARTAGE GUYENNE - CTP GUYENNE")</f>
        <v>COMPETENCES EN TEMPS PARTAGE GUYENNE - CTP GUYENNE</v>
      </c>
      <c r="C929" s="3">
        <f>IFERROR(__xludf.DUMMYFUNCTION("""COMPUTED_VALUE"""),4688.0)</f>
        <v>4688</v>
      </c>
      <c r="D929" s="1">
        <v>60.0</v>
      </c>
      <c r="E929" s="2"/>
      <c r="F929" s="2"/>
      <c r="G929" s="2"/>
      <c r="H929" s="2"/>
      <c r="I929" s="2"/>
    </row>
    <row r="930">
      <c r="A930" s="1" t="s">
        <v>525</v>
      </c>
      <c r="B930" s="1" t="str">
        <f>IFERROR(__xludf.DUMMYFUNCTION("SPLIT(A930,"";"")"),"COMPTOIR DE LA CULTURE BRESILIENNE")</f>
        <v>COMPTOIR DE LA CULTURE BRESILIENNE</v>
      </c>
      <c r="C930" s="1">
        <f>IFERROR(__xludf.DUMMYFUNCTION("""COMPUTED_VALUE"""),564.0)</f>
        <v>564</v>
      </c>
      <c r="D930" s="1">
        <v>0.0</v>
      </c>
      <c r="E930" s="2"/>
      <c r="F930" s="2"/>
      <c r="G930" s="2"/>
      <c r="H930" s="2"/>
      <c r="I930" s="2"/>
    </row>
    <row r="931">
      <c r="A931" s="1" t="s">
        <v>526</v>
      </c>
      <c r="B931" s="1" t="str">
        <f>IFERROR(__xludf.DUMMYFUNCTION("SPLIT(A931,"";"")"),"CONGRES ET EXPOSITIONS DE BORDEAUX")</f>
        <v>CONGRES ET EXPOSITIONS DE BORDEAUX</v>
      </c>
      <c r="C931" s="3">
        <f>IFERROR(__xludf.DUMMYFUNCTION("""COMPUTED_VALUE"""),57169.0)</f>
        <v>57169</v>
      </c>
      <c r="D931" s="1">
        <v>90.0</v>
      </c>
      <c r="E931" s="2"/>
      <c r="F931" s="2"/>
      <c r="G931" s="2"/>
      <c r="H931" s="2"/>
      <c r="I931" s="2"/>
    </row>
    <row r="932">
      <c r="A932" s="1" t="s">
        <v>527</v>
      </c>
      <c r="B932" s="1" t="str">
        <f>IFERROR(__xludf.DUMMYFUNCTION("SPLIT(A932,"";"")"),"CONSEIL DEPARTEMENTAL DE LA GIRONDE")</f>
        <v>CONSEIL DEPARTEMENTAL DE LA GIRONDE</v>
      </c>
      <c r="C932" s="3">
        <f>IFERROR(__xludf.DUMMYFUNCTION("""COMPUTED_VALUE"""),3591.0)</f>
        <v>3591</v>
      </c>
      <c r="D932" s="1">
        <v>0.0</v>
      </c>
      <c r="E932" s="2"/>
      <c r="F932" s="2"/>
      <c r="G932" s="2"/>
      <c r="H932" s="2"/>
      <c r="I932" s="2"/>
    </row>
    <row r="933">
      <c r="A933" s="1" t="s">
        <v>528</v>
      </c>
      <c r="B933" s="1" t="str">
        <f>IFERROR(__xludf.DUMMYFUNCTION("SPLIT(A933,"";"")"),"CONSEIL DEPARTEMENTAL DES ASSOCIATIONS FAMILIALES LAIQUES DE LA GIRONDE - CDAFAL 33")</f>
        <v>CONSEIL DEPARTEMENTAL DES ASSOCIATIONS FAMILIALES LAIQUES DE LA GIRONDE - CDAFAL 33</v>
      </c>
      <c r="C933" s="3">
        <f>IFERROR(__xludf.DUMMYFUNCTION("""COMPUTED_VALUE"""),9360.0)</f>
        <v>9360</v>
      </c>
      <c r="D933" s="1">
        <v>0.0</v>
      </c>
      <c r="E933" s="2"/>
      <c r="F933" s="2"/>
      <c r="G933" s="2"/>
      <c r="H933" s="2"/>
      <c r="I933" s="2"/>
    </row>
    <row r="934">
      <c r="A934" s="1" t="s">
        <v>529</v>
      </c>
      <c r="B934" s="1" t="str">
        <f>IFERROR(__xludf.DUMMYFUNCTION("SPLIT(A934,"";"")"),"CONSEIL DEPARTEMENTAL DES PARENTS D'ELEVES DES ECOLES PUBLIQUES DE LA GIRONDE")</f>
        <v>CONSEIL DEPARTEMENTAL DES PARENTS D'ELEVES DES ECOLES PUBLIQUES DE LA GIRONDE</v>
      </c>
      <c r="C934" s="1">
        <f>IFERROR(__xludf.DUMMYFUNCTION("""COMPUTED_VALUE"""),442.0)</f>
        <v>442</v>
      </c>
      <c r="D934" s="1">
        <v>0.0</v>
      </c>
      <c r="E934" s="2"/>
      <c r="F934" s="2"/>
      <c r="G934" s="2"/>
      <c r="H934" s="2"/>
      <c r="I934" s="2"/>
    </row>
    <row r="935">
      <c r="A935" s="1" t="s">
        <v>530</v>
      </c>
      <c r="B935" s="1" t="str">
        <f>IFERROR(__xludf.DUMMYFUNCTION("SPLIT(A935,"";"")"),"CONVENTION DE LA DIASPORA GABONAISE")</f>
        <v>CONVENTION DE LA DIASPORA GABONAISE</v>
      </c>
      <c r="C935" s="1">
        <f>IFERROR(__xludf.DUMMYFUNCTION("""COMPUTED_VALUE"""),91.0)</f>
        <v>91</v>
      </c>
      <c r="D935" s="1">
        <v>0.0</v>
      </c>
      <c r="E935" s="2"/>
      <c r="F935" s="2"/>
      <c r="G935" s="2"/>
      <c r="H935" s="2"/>
      <c r="I935" s="2"/>
    </row>
    <row r="936">
      <c r="A936" s="1" t="s">
        <v>531</v>
      </c>
      <c r="B936" s="1" t="str">
        <f>IFERROR(__xludf.DUMMYFUNCTION("SPLIT(A936,"";"")"),"COORDINATION POUR PROMOUVOIR LES COMPETENCES ET LE VOLONTARIAT AQUITAINE - CPCV AQUITAINE")</f>
        <v>COORDINATION POUR PROMOUVOIR LES COMPETENCES ET LE VOLONTARIAT AQUITAINE - CPCV AQUITAINE</v>
      </c>
      <c r="C936" s="3">
        <f>IFERROR(__xludf.DUMMYFUNCTION("""COMPUTED_VALUE"""),1279.0)</f>
        <v>1279</v>
      </c>
      <c r="D936" s="1">
        <v>0.0</v>
      </c>
      <c r="E936" s="2"/>
      <c r="F936" s="2"/>
      <c r="G936" s="2"/>
      <c r="H936" s="2"/>
      <c r="I936" s="2"/>
    </row>
    <row r="937">
      <c r="A937" s="1" t="s">
        <v>532</v>
      </c>
      <c r="B937" s="1" t="str">
        <f>IFERROR(__xludf.DUMMYFUNCTION("SPLIT(A937,"";"")"),"CORP'ART FRANCE")</f>
        <v>CORP'ART FRANCE</v>
      </c>
      <c r="C937" s="3">
        <f>IFERROR(__xludf.DUMMYFUNCTION("""COMPUTED_VALUE"""),2056.0)</f>
        <v>2056</v>
      </c>
      <c r="D937" s="1">
        <v>24.0</v>
      </c>
      <c r="E937" s="2"/>
      <c r="F937" s="2"/>
      <c r="G937" s="2"/>
      <c r="H937" s="2"/>
      <c r="I937" s="2"/>
    </row>
    <row r="938">
      <c r="A938" s="1" t="s">
        <v>533</v>
      </c>
      <c r="B938" s="1" t="str">
        <f>IFERROR(__xludf.DUMMYFUNCTION("SPLIT(A938,"";"")"),"COS VILLA PIA - EHPAD LES DAMES DE LA FOI")</f>
        <v>COS VILLA PIA - EHPAD LES DAMES DE LA FOI</v>
      </c>
      <c r="C938" s="3">
        <f>IFERROR(__xludf.DUMMYFUNCTION("""COMPUTED_VALUE"""),4146.0)</f>
        <v>4146</v>
      </c>
      <c r="D938" s="1">
        <v>21.0</v>
      </c>
      <c r="E938" s="2"/>
      <c r="F938" s="2"/>
      <c r="G938" s="2"/>
      <c r="H938" s="2"/>
      <c r="I938" s="2"/>
    </row>
    <row r="939">
      <c r="A939" s="1" t="s">
        <v>534</v>
      </c>
      <c r="B939" s="1" t="str">
        <f>IFERROR(__xludf.DUMMYFUNCTION("SPLIT(A939,"";"")"),"COULEUR COREE")</f>
        <v>COULEUR COREE</v>
      </c>
      <c r="C939" s="1">
        <f>IFERROR(__xludf.DUMMYFUNCTION("""COMPUTED_VALUE"""),922.0)</f>
        <v>922</v>
      </c>
      <c r="D939" s="1">
        <v>0.0</v>
      </c>
      <c r="E939" s="2"/>
      <c r="F939" s="2"/>
      <c r="G939" s="2"/>
      <c r="H939" s="2"/>
      <c r="I939" s="2"/>
    </row>
    <row r="940">
      <c r="A940" s="1" t="s">
        <v>535</v>
      </c>
      <c r="B940" s="1" t="str">
        <f>IFERROR(__xludf.DUMMYFUNCTION("SPLIT(A940,"";"")"),"COUP DE POUCE AVENIR")</f>
        <v>COUP DE POUCE AVENIR</v>
      </c>
      <c r="C940" s="1">
        <f>IFERROR(__xludf.DUMMYFUNCTION("""COMPUTED_VALUE"""),499.0)</f>
        <v>499</v>
      </c>
      <c r="D940" s="1">
        <v>28.0</v>
      </c>
      <c r="E940" s="2"/>
      <c r="F940" s="2"/>
      <c r="G940" s="2"/>
      <c r="H940" s="2"/>
      <c r="I940" s="2"/>
    </row>
    <row r="941">
      <c r="A941" s="1" t="s">
        <v>536</v>
      </c>
      <c r="B941" s="1" t="str">
        <f>IFERROR(__xludf.DUMMYFUNCTION("SPLIT(A941,"";"")"),"CREASSEMBLE")</f>
        <v>CREASSEMBLE</v>
      </c>
      <c r="C941" s="1">
        <f>IFERROR(__xludf.DUMMYFUNCTION("""COMPUTED_VALUE"""),34.0)</f>
        <v>34</v>
      </c>
      <c r="D941" s="1">
        <v>0.0</v>
      </c>
      <c r="E941" s="2"/>
      <c r="F941" s="2"/>
      <c r="G941" s="2"/>
      <c r="H941" s="2"/>
      <c r="I941" s="2"/>
    </row>
    <row r="942">
      <c r="A942" s="1" t="s">
        <v>537</v>
      </c>
      <c r="B942" s="1" t="str">
        <f>IFERROR(__xludf.DUMMYFUNCTION("SPLIT(A942,"";"")"),"CRESUS GIRONDE")</f>
        <v>CRESUS GIRONDE</v>
      </c>
      <c r="C942" s="1">
        <f>IFERROR(__xludf.DUMMYFUNCTION("""COMPUTED_VALUE"""),16.0)</f>
        <v>16</v>
      </c>
      <c r="D942" s="1">
        <v>0.0</v>
      </c>
      <c r="E942" s="2"/>
      <c r="F942" s="2"/>
      <c r="G942" s="2"/>
      <c r="H942" s="2"/>
      <c r="I942" s="2"/>
    </row>
    <row r="943">
      <c r="A943" s="1" t="s">
        <v>538</v>
      </c>
      <c r="B943" s="1" t="str">
        <f>IFERROR(__xludf.DUMMYFUNCTION("SPLIT(A943,"";"")"),"CRISTINAREY")</f>
        <v>CRISTINAREY</v>
      </c>
      <c r="C943" s="1">
        <f>IFERROR(__xludf.DUMMYFUNCTION("""COMPUTED_VALUE"""),334.0)</f>
        <v>334</v>
      </c>
      <c r="D943" s="1">
        <v>50.0</v>
      </c>
      <c r="E943" s="2"/>
      <c r="F943" s="2"/>
      <c r="G943" s="2"/>
      <c r="H943" s="2"/>
      <c r="I943" s="2"/>
    </row>
    <row r="944">
      <c r="A944" s="1" t="s">
        <v>539</v>
      </c>
      <c r="B944" s="1" t="str">
        <f>IFERROR(__xludf.DUMMYFUNCTION("SPLIT(A944,"";"")"),"CROISSANT FERTILE")</f>
        <v>CROISSANT FERTILE</v>
      </c>
      <c r="C944" s="3">
        <f>IFERROR(__xludf.DUMMYFUNCTION("""COMPUTED_VALUE"""),1089.0)</f>
        <v>1089</v>
      </c>
      <c r="D944" s="1">
        <v>58.0</v>
      </c>
      <c r="E944" s="2"/>
      <c r="F944" s="2"/>
      <c r="G944" s="2"/>
      <c r="H944" s="2"/>
      <c r="I944" s="2"/>
    </row>
    <row r="945">
      <c r="A945" s="1" t="s">
        <v>540</v>
      </c>
      <c r="B945" s="1" t="str">
        <f>IFERROR(__xludf.DUMMYFUNCTION("SPLIT(A945,"";"")"),"CROIX ROUGE FRANÇAISE - DELEGATION LOCALE")</f>
        <v>CROIX ROUGE FRANÇAISE - DELEGATION LOCALE</v>
      </c>
      <c r="C945" s="1">
        <f>IFERROR(__xludf.DUMMYFUNCTION("""COMPUTED_VALUE"""),482.0)</f>
        <v>482</v>
      </c>
      <c r="D945" s="1">
        <v>0.0</v>
      </c>
      <c r="E945" s="2"/>
      <c r="F945" s="2"/>
      <c r="G945" s="2"/>
      <c r="H945" s="2"/>
      <c r="I945" s="2"/>
    </row>
    <row r="946">
      <c r="A946" s="1" t="s">
        <v>541</v>
      </c>
      <c r="B946" s="1" t="str">
        <f>IFERROR(__xludf.DUMMYFUNCTION("SPLIT(A946,"";"")"),"CTE ETS SEXTANT AVIONIQUE")</f>
        <v>CTE ETS SEXTANT AVIONIQUE</v>
      </c>
      <c r="C946" s="3">
        <f>IFERROR(__xludf.DUMMYFUNCTION("""COMPUTED_VALUE"""),3370.0)</f>
        <v>3370</v>
      </c>
      <c r="D946" s="1">
        <v>0.0</v>
      </c>
      <c r="E946" s="2"/>
      <c r="F946" s="2"/>
      <c r="G946" s="2"/>
      <c r="H946" s="2"/>
      <c r="I946" s="2"/>
    </row>
    <row r="947">
      <c r="A947" s="1" t="s">
        <v>542</v>
      </c>
      <c r="B947" s="1" t="str">
        <f>IFERROR(__xludf.DUMMYFUNCTION("SPLIT(A947,"";"")"),"CULTIV'ACTIONS")</f>
        <v>CULTIV'ACTIONS</v>
      </c>
      <c r="C947" s="3">
        <f>IFERROR(__xludf.DUMMYFUNCTION("""COMPUTED_VALUE"""),3144.0)</f>
        <v>3144</v>
      </c>
      <c r="D947" s="1">
        <v>0.0</v>
      </c>
      <c r="E947" s="2"/>
      <c r="F947" s="2"/>
      <c r="G947" s="2"/>
      <c r="H947" s="2"/>
      <c r="I947" s="2"/>
    </row>
    <row r="948">
      <c r="A948" s="1" t="s">
        <v>543</v>
      </c>
      <c r="B948" s="1" t="str">
        <f>IFERROR(__xludf.DUMMYFUNCTION("SPLIT(A948,"";"")"),"CULTURE ET BIBLIOTHEQUES POUR TOUS")</f>
        <v>CULTURE ET BIBLIOTHEQUES POUR TOUS</v>
      </c>
      <c r="C948" s="3">
        <f>IFERROR(__xludf.DUMMYFUNCTION("""COMPUTED_VALUE"""),14535.0)</f>
        <v>14535</v>
      </c>
      <c r="D948" s="1">
        <v>0.0</v>
      </c>
      <c r="E948" s="2"/>
      <c r="F948" s="2"/>
      <c r="G948" s="2"/>
      <c r="H948" s="2"/>
      <c r="I948" s="2"/>
    </row>
    <row r="949">
      <c r="A949" s="1" t="s">
        <v>544</v>
      </c>
      <c r="B949" s="1" t="str">
        <f>IFERROR(__xludf.DUMMYFUNCTION("SPLIT(A949,"";"")"),"CULTURE-S")</f>
        <v>CULTURE-S</v>
      </c>
      <c r="C949" s="3">
        <f>IFERROR(__xludf.DUMMYFUNCTION("""COMPUTED_VALUE"""),3028.0)</f>
        <v>3028</v>
      </c>
      <c r="D949" s="1">
        <v>85.0</v>
      </c>
      <c r="E949" s="2"/>
      <c r="F949" s="2"/>
      <c r="G949" s="2"/>
      <c r="H949" s="2"/>
      <c r="I949" s="2"/>
    </row>
    <row r="950">
      <c r="A950" s="1" t="s">
        <v>545</v>
      </c>
      <c r="B950" s="1" t="str">
        <f>IFERROR(__xludf.DUMMYFUNCTION("SPLIT(A950,"";"")"),"CULTURES DES ARTS CREOLES ET DU MONDE 33 (CACM33)")</f>
        <v>CULTURES DES ARTS CREOLES ET DU MONDE 33 (CACM33)</v>
      </c>
      <c r="C950" s="3">
        <f>IFERROR(__xludf.DUMMYFUNCTION("""COMPUTED_VALUE"""),1012.0)</f>
        <v>1012</v>
      </c>
      <c r="D950" s="1">
        <v>0.0</v>
      </c>
      <c r="E950" s="2"/>
      <c r="F950" s="2"/>
      <c r="G950" s="2"/>
      <c r="H950" s="2"/>
      <c r="I950" s="2"/>
    </row>
    <row r="951">
      <c r="A951" s="1" t="s">
        <v>546</v>
      </c>
      <c r="B951" s="1" t="str">
        <f>IFERROR(__xludf.DUMMYFUNCTION("SPLIT(A951,"";"")"),"DANSE AVEC NOUS")</f>
        <v>DANSE AVEC NOUS</v>
      </c>
      <c r="C951" s="3">
        <f>IFERROR(__xludf.DUMMYFUNCTION("""COMPUTED_VALUE"""),68700.0)</f>
        <v>68700</v>
      </c>
      <c r="D951" s="1">
        <v>5.0</v>
      </c>
      <c r="E951" s="2"/>
      <c r="F951" s="2"/>
      <c r="G951" s="2"/>
      <c r="H951" s="2"/>
      <c r="I951" s="2"/>
    </row>
    <row r="952">
      <c r="A952" s="1" t="s">
        <v>547</v>
      </c>
      <c r="B952" s="1" t="str">
        <f>IFERROR(__xludf.DUMMYFUNCTION("SPLIT(A952,"";"")"),"DE VOLTES ET D'ASSAUTS")</f>
        <v>DE VOLTES ET D'ASSAUTS</v>
      </c>
      <c r="C952" s="3">
        <f>IFERROR(__xludf.DUMMYFUNCTION("""COMPUTED_VALUE"""),4520.0)</f>
        <v>4520</v>
      </c>
      <c r="D952" s="1">
        <v>0.0</v>
      </c>
      <c r="E952" s="2"/>
      <c r="F952" s="2"/>
      <c r="G952" s="2"/>
      <c r="H952" s="2"/>
      <c r="I952" s="2"/>
    </row>
    <row r="953">
      <c r="A953" s="1" t="s">
        <v>548</v>
      </c>
      <c r="B953" s="1" t="str">
        <f>IFERROR(__xludf.DUMMYFUNCTION("SPLIT(A953,"";"")"),"DEALERS DE SCIENCE")</f>
        <v>DEALERS DE SCIENCE</v>
      </c>
      <c r="C953" s="1">
        <f>IFERROR(__xludf.DUMMYFUNCTION("""COMPUTED_VALUE"""),459.0)</f>
        <v>459</v>
      </c>
      <c r="D953" s="1">
        <v>0.0</v>
      </c>
      <c r="E953" s="2"/>
      <c r="F953" s="2"/>
      <c r="G953" s="2"/>
      <c r="H953" s="2"/>
      <c r="I953" s="2"/>
    </row>
    <row r="954">
      <c r="A954" s="1" t="s">
        <v>549</v>
      </c>
      <c r="B954" s="1" t="str">
        <f>IFERROR(__xludf.DUMMYFUNCTION("SPLIT(A954,"";"")"),"DEFENSE DE LA LANGUE FRANCAISE")</f>
        <v>DEFENSE DE LA LANGUE FRANCAISE</v>
      </c>
      <c r="C954" s="1"/>
      <c r="D954" s="1" t="s">
        <v>550</v>
      </c>
      <c r="E954" s="1">
        <v>0.0</v>
      </c>
      <c r="F954" s="2"/>
      <c r="G954" s="2"/>
      <c r="H954" s="2"/>
      <c r="I954" s="2"/>
    </row>
    <row r="955">
      <c r="A955" s="1" t="s">
        <v>551</v>
      </c>
      <c r="B955" s="1" t="str">
        <f>IFERROR(__xludf.DUMMYFUNCTION("SPLIT(A955,"";"")"),"DES JARDINS")</f>
        <v>DES JARDINS</v>
      </c>
      <c r="C955" s="1"/>
      <c r="D955" s="1" t="s">
        <v>552</v>
      </c>
      <c r="E955" s="1">
        <v>18.0</v>
      </c>
      <c r="F955" s="2"/>
      <c r="G955" s="2"/>
      <c r="H955" s="2"/>
      <c r="I955" s="2"/>
    </row>
    <row r="956">
      <c r="A956" s="1" t="s">
        <v>553</v>
      </c>
      <c r="B956" s="1" t="str">
        <f>IFERROR(__xludf.DUMMYFUNCTION("SPLIT(A956,"";"")"),"DHAGPO BORDEAUX")</f>
        <v>DHAGPO BORDEAUX</v>
      </c>
      <c r="C956" s="3">
        <f>IFERROR(__xludf.DUMMYFUNCTION("""COMPUTED_VALUE"""),2350.0)</f>
        <v>2350</v>
      </c>
      <c r="D956" s="1">
        <v>0.0</v>
      </c>
      <c r="E956" s="2"/>
      <c r="F956" s="2"/>
      <c r="G956" s="2"/>
      <c r="H956" s="2"/>
      <c r="I956" s="2"/>
    </row>
    <row r="957">
      <c r="A957" s="1" t="s">
        <v>554</v>
      </c>
      <c r="B957" s="1" t="str">
        <f>IFERROR(__xludf.DUMMYFUNCTION("SPLIT(A957,"";"")"),"DIACONAT DE BORDEAUX")</f>
        <v>DIACONAT DE BORDEAUX</v>
      </c>
      <c r="C957" s="3">
        <f>IFERROR(__xludf.DUMMYFUNCTION("""COMPUTED_VALUE"""),39219.0)</f>
        <v>39219</v>
      </c>
      <c r="D957" s="1">
        <v>0.0</v>
      </c>
      <c r="E957" s="2"/>
      <c r="F957" s="2"/>
      <c r="G957" s="2"/>
      <c r="H957" s="2"/>
      <c r="I957" s="2"/>
    </row>
    <row r="958">
      <c r="A958" s="1" t="s">
        <v>555</v>
      </c>
      <c r="B958" s="1" t="str">
        <f>IFERROR(__xludf.DUMMYFUNCTION("SPLIT(A958,"";"")"),"DISCO SOUPE")</f>
        <v>DISCO SOUPE</v>
      </c>
      <c r="C958" s="3">
        <f>IFERROR(__xludf.DUMMYFUNCTION("""COMPUTED_VALUE"""),3059.0)</f>
        <v>3059</v>
      </c>
      <c r="D958" s="1">
        <v>46.0</v>
      </c>
      <c r="E958" s="2"/>
      <c r="F958" s="2"/>
      <c r="G958" s="2"/>
      <c r="H958" s="2"/>
      <c r="I958" s="2"/>
    </row>
    <row r="959">
      <c r="A959" s="1" t="s">
        <v>556</v>
      </c>
      <c r="B959" s="1" t="str">
        <f>IFERROR(__xludf.DUMMYFUNCTION("SPLIT(A959,"";"")"),"DISPARATE")</f>
        <v>DISPARATE</v>
      </c>
      <c r="C959" s="3">
        <f>IFERROR(__xludf.DUMMYFUNCTION("""COMPUTED_VALUE"""),10448.0)</f>
        <v>10448</v>
      </c>
      <c r="D959" s="1">
        <v>0.0</v>
      </c>
      <c r="E959" s="2"/>
      <c r="F959" s="2"/>
      <c r="G959" s="2"/>
      <c r="H959" s="2"/>
      <c r="I959" s="2"/>
    </row>
    <row r="960">
      <c r="A960" s="1" t="s">
        <v>557</v>
      </c>
      <c r="B960" s="1" t="str">
        <f>IFERROR(__xludf.DUMMYFUNCTION("SPLIT(A960,"";"")"),"DIVAN D'OUEST")</f>
        <v>DIVAN D'OUEST</v>
      </c>
      <c r="C960" s="1">
        <f>IFERROR(__xludf.DUMMYFUNCTION("""COMPUTED_VALUE"""),970.0)</f>
        <v>970</v>
      </c>
      <c r="D960" s="1">
        <v>0.0</v>
      </c>
      <c r="E960" s="2"/>
      <c r="F960" s="2"/>
      <c r="G960" s="2"/>
      <c r="H960" s="2"/>
      <c r="I960" s="2"/>
    </row>
    <row r="961">
      <c r="A961" s="1" t="s">
        <v>558</v>
      </c>
      <c r="B961" s="1" t="str">
        <f>IFERROR(__xludf.DUMMYFUNCTION("SPLIT(A961,"";"")"),"DIVERSCITES")</f>
        <v>DIVERSCITES</v>
      </c>
      <c r="C961" s="3">
        <f>IFERROR(__xludf.DUMMYFUNCTION("""COMPUTED_VALUE"""),1825.0)</f>
        <v>1825</v>
      </c>
      <c r="D961" s="1">
        <v>0.0</v>
      </c>
      <c r="E961" s="2"/>
      <c r="F961" s="2"/>
      <c r="G961" s="2"/>
      <c r="H961" s="2"/>
      <c r="I961" s="2"/>
    </row>
    <row r="962">
      <c r="A962" s="1" t="s">
        <v>559</v>
      </c>
      <c r="B962" s="1" t="str">
        <f>IFERROR(__xludf.DUMMYFUNCTION("SPLIT(A962,"";"")"),"DLIBERETS")</f>
        <v>DLIBERETS</v>
      </c>
      <c r="C962" s="3">
        <f>IFERROR(__xludf.DUMMYFUNCTION("""COMPUTED_VALUE"""),1857.0)</f>
        <v>1857</v>
      </c>
      <c r="D962" s="1">
        <v>0.0</v>
      </c>
      <c r="E962" s="2"/>
      <c r="F962" s="2"/>
      <c r="G962" s="2"/>
      <c r="H962" s="2"/>
      <c r="I962" s="2"/>
    </row>
    <row r="963">
      <c r="A963" s="1" t="s">
        <v>560</v>
      </c>
      <c r="B963" s="1" t="str">
        <f>IFERROR(__xludf.DUMMYFUNCTION("SPLIT(A963,"";"")"),"DOJO")</f>
        <v>DOJO</v>
      </c>
      <c r="C963" s="3">
        <f>IFERROR(__xludf.DUMMYFUNCTION("""COMPUTED_VALUE"""),4281.0)</f>
        <v>4281</v>
      </c>
      <c r="D963" s="1">
        <v>58.0</v>
      </c>
      <c r="E963" s="2"/>
      <c r="F963" s="2"/>
      <c r="G963" s="2"/>
      <c r="H963" s="2"/>
      <c r="I963" s="2"/>
    </row>
    <row r="964">
      <c r="A964" s="1" t="s">
        <v>561</v>
      </c>
      <c r="B964" s="1" t="str">
        <f>IFERROR(__xludf.DUMMYFUNCTION("SPLIT(A964,"";"")"),"DOULEURS SANS FRONTIERES - DSF")</f>
        <v>DOULEURS SANS FRONTIERES - DSF</v>
      </c>
      <c r="C964" s="1">
        <f>IFERROR(__xludf.DUMMYFUNCTION("""COMPUTED_VALUE"""),941.0)</f>
        <v>941</v>
      </c>
      <c r="D964" s="1">
        <v>0.0</v>
      </c>
      <c r="E964" s="2"/>
      <c r="F964" s="2"/>
      <c r="G964" s="2"/>
      <c r="H964" s="2"/>
      <c r="I964" s="2"/>
    </row>
    <row r="965">
      <c r="A965" s="1" t="s">
        <v>562</v>
      </c>
      <c r="B965" s="1" t="str">
        <f>IFERROR(__xludf.DUMMYFUNCTION("SPLIT(A965,"";"")"),"DRAG RACING TEAM - DRT")</f>
        <v>DRAG RACING TEAM - DRT</v>
      </c>
      <c r="C965" s="1">
        <f>IFERROR(__xludf.DUMMYFUNCTION("""COMPUTED_VALUE"""),897.0)</f>
        <v>897</v>
      </c>
      <c r="D965" s="1">
        <v>60.0</v>
      </c>
      <c r="E965" s="2"/>
      <c r="F965" s="2"/>
      <c r="G965" s="2"/>
      <c r="H965" s="2"/>
      <c r="I965" s="2"/>
    </row>
    <row r="966">
      <c r="A966" s="1" t="s">
        <v>563</v>
      </c>
      <c r="B966" s="1" t="str">
        <f>IFERROR(__xludf.DUMMYFUNCTION("SPLIT(A966,"";"")"),"DROLE DE SCENE")</f>
        <v>DROLE DE SCENE</v>
      </c>
      <c r="C966" s="1">
        <f>IFERROR(__xludf.DUMMYFUNCTION("""COMPUTED_VALUE"""),575.0)</f>
        <v>575</v>
      </c>
      <c r="D966" s="1">
        <v>0.0</v>
      </c>
      <c r="E966" s="2"/>
      <c r="F966" s="2"/>
      <c r="G966" s="2"/>
      <c r="H966" s="2"/>
      <c r="I966" s="2"/>
    </row>
    <row r="967">
      <c r="A967" s="1" t="s">
        <v>564</v>
      </c>
      <c r="B967" s="1" t="str">
        <f>IFERROR(__xludf.DUMMYFUNCTION("SPLIT(A967,"";"")"),"DROP DE BETON")</f>
        <v>DROP DE BETON</v>
      </c>
      <c r="C967" s="1">
        <f>IFERROR(__xludf.DUMMYFUNCTION("""COMPUTED_VALUE"""),560.0)</f>
        <v>560</v>
      </c>
      <c r="D967" s="1">
        <v>21.0</v>
      </c>
      <c r="E967" s="2"/>
      <c r="F967" s="2"/>
      <c r="G967" s="2"/>
      <c r="H967" s="2"/>
      <c r="I967" s="2"/>
    </row>
    <row r="968">
      <c r="A968" s="1" t="s">
        <v>565</v>
      </c>
      <c r="B968" s="1" t="str">
        <f>IFERROR(__xludf.DUMMYFUNCTION("SPLIT(A968,"";"")"),"D'SIGN")</f>
        <v>D'SIGN</v>
      </c>
      <c r="C968" s="3">
        <f>IFERROR(__xludf.DUMMYFUNCTION("""COMPUTED_VALUE"""),1370.0)</f>
        <v>1370</v>
      </c>
      <c r="D968" s="1">
        <v>0.0</v>
      </c>
      <c r="E968" s="2"/>
      <c r="F968" s="2"/>
      <c r="G968" s="2"/>
      <c r="H968" s="2"/>
      <c r="I968" s="2"/>
    </row>
    <row r="969">
      <c r="A969" s="1" t="s">
        <v>566</v>
      </c>
      <c r="B969" s="1" t="str">
        <f>IFERROR(__xludf.DUMMYFUNCTION("SPLIT(A969,"";"")"),"DU CHIEN DANS LES DENTS")</f>
        <v>DU CHIEN DANS LES DENTS</v>
      </c>
      <c r="C969" s="1">
        <f>IFERROR(__xludf.DUMMYFUNCTION("""COMPUTED_VALUE"""),560.0)</f>
        <v>560</v>
      </c>
      <c r="D969" s="1">
        <v>0.0</v>
      </c>
      <c r="E969" s="2"/>
      <c r="F969" s="2"/>
      <c r="G969" s="2"/>
      <c r="H969" s="2"/>
      <c r="I969" s="2"/>
    </row>
    <row r="970">
      <c r="A970" s="1" t="s">
        <v>567</v>
      </c>
      <c r="B970" s="1" t="str">
        <f>IFERROR(__xludf.DUMMYFUNCTION("SPLIT(A970,"";"")"),"DU SOLEIL DANS LES PIEDS")</f>
        <v>DU SOLEIL DANS LES PIEDS</v>
      </c>
      <c r="C970" s="3">
        <f>IFERROR(__xludf.DUMMYFUNCTION("""COMPUTED_VALUE"""),1293.0)</f>
        <v>1293</v>
      </c>
      <c r="D970" s="1">
        <v>0.0</v>
      </c>
      <c r="E970" s="2"/>
      <c r="F970" s="2"/>
      <c r="G970" s="2"/>
      <c r="H970" s="2"/>
      <c r="I970" s="2"/>
    </row>
    <row r="971">
      <c r="A971" s="1" t="s">
        <v>568</v>
      </c>
      <c r="B971" s="1" t="str">
        <f>IFERROR(__xludf.DUMMYFUNCTION("SPLIT(A971,"";"")"),"DULCENE")</f>
        <v>DULCENE</v>
      </c>
      <c r="C971" s="3">
        <f>IFERROR(__xludf.DUMMYFUNCTION("""COMPUTED_VALUE"""),15648.0)</f>
        <v>15648</v>
      </c>
      <c r="D971" s="1">
        <v>60.0</v>
      </c>
      <c r="E971" s="2"/>
      <c r="F971" s="2"/>
      <c r="G971" s="2"/>
      <c r="H971" s="2"/>
      <c r="I971" s="2"/>
    </row>
    <row r="972">
      <c r="A972" s="1" t="s">
        <v>569</v>
      </c>
      <c r="B972" s="1" t="str">
        <f>IFERROR(__xludf.DUMMYFUNCTION("SPLIT(A972,"";"")"),"DV2G (THEATRE VICTOIRE)")</f>
        <v>DV2G (THEATRE VICTOIRE)</v>
      </c>
      <c r="C972" s="1">
        <f>IFERROR(__xludf.DUMMYFUNCTION("""COMPUTED_VALUE"""),604.0)</f>
        <v>604</v>
      </c>
      <c r="D972" s="1">
        <v>50.0</v>
      </c>
      <c r="E972" s="2"/>
      <c r="F972" s="2"/>
      <c r="G972" s="2"/>
      <c r="H972" s="2"/>
      <c r="I972" s="2"/>
    </row>
    <row r="973">
      <c r="A973" s="1" t="s">
        <v>570</v>
      </c>
      <c r="B973" s="1" t="str">
        <f>IFERROR(__xludf.DUMMYFUNCTION("SPLIT(A973,"";"")"),"ECHIQUIER BORDELAIS")</f>
        <v>ECHIQUIER BORDELAIS</v>
      </c>
      <c r="C973" s="1">
        <f>IFERROR(__xludf.DUMMYFUNCTION("""COMPUTED_VALUE"""),186.0)</f>
        <v>186</v>
      </c>
      <c r="D973" s="1">
        <v>30.0</v>
      </c>
      <c r="E973" s="2"/>
      <c r="F973" s="2"/>
      <c r="G973" s="2"/>
      <c r="H973" s="2"/>
      <c r="I973" s="2"/>
    </row>
    <row r="974">
      <c r="A974" s="1" t="s">
        <v>571</v>
      </c>
      <c r="B974" s="1" t="str">
        <f>IFERROR(__xludf.DUMMYFUNCTION("SPLIT(A974,"";"")"),"ECLATS")</f>
        <v>ECLATS</v>
      </c>
      <c r="C974" s="1">
        <f>IFERROR(__xludf.DUMMYFUNCTION("""COMPUTED_VALUE"""),663.0)</f>
        <v>663</v>
      </c>
      <c r="D974" s="1">
        <v>0.0</v>
      </c>
      <c r="E974" s="2"/>
      <c r="F974" s="2"/>
      <c r="G974" s="2"/>
      <c r="H974" s="2"/>
      <c r="I974" s="2"/>
    </row>
    <row r="975">
      <c r="A975" s="1" t="s">
        <v>572</v>
      </c>
      <c r="B975" s="1" t="str">
        <f>IFERROR(__xludf.DUMMYFUNCTION("SPLIT(A975,"";"")"),"ECOLE CHINOISE DE BORDEAUX")</f>
        <v>ECOLE CHINOISE DE BORDEAUX</v>
      </c>
      <c r="C975" s="1">
        <f>IFERROR(__xludf.DUMMYFUNCTION("""COMPUTED_VALUE"""),564.0)</f>
        <v>564</v>
      </c>
      <c r="D975" s="1">
        <v>0.0</v>
      </c>
      <c r="E975" s="2"/>
      <c r="F975" s="2"/>
      <c r="G975" s="2"/>
      <c r="H975" s="2"/>
      <c r="I975" s="2"/>
    </row>
    <row r="976">
      <c r="A976" s="1" t="s">
        <v>573</v>
      </c>
      <c r="B976" s="1" t="str">
        <f>IFERROR(__xludf.DUMMYFUNCTION("SPLIT(A976,"";"")"),"ECOLE DE CIRQUE DE BORDEAUX")</f>
        <v>ECOLE DE CIRQUE DE BORDEAUX</v>
      </c>
      <c r="C976" s="1"/>
      <c r="D976" s="1" t="s">
        <v>574</v>
      </c>
      <c r="E976" s="1">
        <v>0.0</v>
      </c>
      <c r="F976" s="2"/>
      <c r="G976" s="2"/>
      <c r="H976" s="2"/>
      <c r="I976" s="2"/>
    </row>
    <row r="977">
      <c r="A977" s="1" t="s">
        <v>575</v>
      </c>
      <c r="B977" s="1" t="str">
        <f>IFERROR(__xludf.DUMMYFUNCTION("SPLIT(A977,"";"")"),"ECOLE DES GRANDS-PARENTS EUROPEENS BORDEAUX-GIRONDE - EGPE BORDEAUX-GIRONDE")</f>
        <v>ECOLE DES GRANDS-PARENTS EUROPEENS BORDEAUX-GIRONDE - EGPE BORDEAUX-GIRONDE</v>
      </c>
      <c r="C977" s="1">
        <f>IFERROR(__xludf.DUMMYFUNCTION("""COMPUTED_VALUE"""),322.0)</f>
        <v>322</v>
      </c>
      <c r="D977" s="1">
        <v>0.0</v>
      </c>
      <c r="E977" s="2"/>
      <c r="F977" s="2"/>
      <c r="G977" s="2"/>
      <c r="H977" s="2"/>
      <c r="I977" s="2"/>
    </row>
    <row r="978">
      <c r="A978" s="1" t="s">
        <v>576</v>
      </c>
      <c r="B978" s="1" t="str">
        <f>IFERROR(__xludf.DUMMYFUNCTION("SPLIT(A978,"";"")"),"ECOLE ESSENTIALISTE")</f>
        <v>ECOLE ESSENTIALISTE</v>
      </c>
      <c r="C978" s="1">
        <f>IFERROR(__xludf.DUMMYFUNCTION("""COMPUTED_VALUE"""),516.0)</f>
        <v>516</v>
      </c>
      <c r="D978" s="1">
        <v>0.0</v>
      </c>
      <c r="E978" s="2"/>
      <c r="F978" s="2"/>
      <c r="G978" s="2"/>
      <c r="H978" s="2"/>
      <c r="I978" s="2"/>
    </row>
    <row r="979">
      <c r="A979" s="1" t="s">
        <v>577</v>
      </c>
      <c r="B979" s="1" t="str">
        <f>IFERROR(__xludf.DUMMYFUNCTION("SPLIT(A979,"";"")"),"ECOLE MUNICIPALE DE NATATION")</f>
        <v>ECOLE MUNICIPALE DE NATATION</v>
      </c>
      <c r="C979" s="3">
        <f>IFERROR(__xludf.DUMMYFUNCTION("""COMPUTED_VALUE"""),167973.0)</f>
        <v>167973</v>
      </c>
      <c r="D979" s="1">
        <v>0.0</v>
      </c>
      <c r="E979" s="2"/>
      <c r="F979" s="2"/>
      <c r="G979" s="2"/>
      <c r="H979" s="2"/>
      <c r="I979" s="2"/>
    </row>
    <row r="980">
      <c r="A980" s="1" t="s">
        <v>578</v>
      </c>
      <c r="B980" s="1" t="str">
        <f>IFERROR(__xludf.DUMMYFUNCTION("SPLIT(A980,"";"")"),"ECOUTE S'IL PLEUT")</f>
        <v>ECOUTE S'IL PLEUT</v>
      </c>
      <c r="C980" s="1">
        <f>IFERROR(__xludf.DUMMYFUNCTION("""COMPUTED_VALUE"""),645.0)</f>
        <v>645</v>
      </c>
      <c r="D980" s="1">
        <v>0.0</v>
      </c>
      <c r="E980" s="2"/>
      <c r="F980" s="2"/>
      <c r="G980" s="2"/>
      <c r="H980" s="2"/>
      <c r="I980" s="2"/>
    </row>
    <row r="981">
      <c r="A981" s="1" t="s">
        <v>579</v>
      </c>
      <c r="B981" s="1" t="str">
        <f>IFERROR(__xludf.DUMMYFUNCTION("SPLIT(A981,"";"")"),"ECOUTER SON CORPS")</f>
        <v>ECOUTER SON CORPS</v>
      </c>
      <c r="C981" s="3">
        <f>IFERROR(__xludf.DUMMYFUNCTION("""COMPUTED_VALUE"""),4710.0)</f>
        <v>4710</v>
      </c>
      <c r="D981" s="1">
        <v>0.0</v>
      </c>
      <c r="E981" s="2"/>
      <c r="F981" s="2"/>
      <c r="G981" s="2"/>
      <c r="H981" s="2"/>
      <c r="I981" s="2"/>
    </row>
    <row r="982">
      <c r="A982" s="1" t="s">
        <v>580</v>
      </c>
      <c r="B982" s="1" t="str">
        <f>IFERROR(__xludf.DUMMYFUNCTION("SPLIT(A982,"";"")"),"EINAI")</f>
        <v>EINAI</v>
      </c>
      <c r="C982" s="1">
        <f>IFERROR(__xludf.DUMMYFUNCTION("""COMPUTED_VALUE"""),639.0)</f>
        <v>639</v>
      </c>
      <c r="D982" s="1">
        <v>0.0</v>
      </c>
      <c r="E982" s="2"/>
      <c r="F982" s="2"/>
      <c r="G982" s="2"/>
      <c r="H982" s="2"/>
      <c r="I982" s="2"/>
    </row>
    <row r="983">
      <c r="A983" s="1" t="s">
        <v>581</v>
      </c>
      <c r="B983" s="1" t="str">
        <f>IFERROR(__xludf.DUMMYFUNCTION("SPLIT(A983,"";"")"),"EINSTEIN ON THE BEACH")</f>
        <v>EINSTEIN ON THE BEACH</v>
      </c>
      <c r="C983" s="3">
        <f>IFERROR(__xludf.DUMMYFUNCTION("""COMPUTED_VALUE"""),3418.0)</f>
        <v>3418</v>
      </c>
      <c r="D983" s="1">
        <v>0.0</v>
      </c>
      <c r="E983" s="2"/>
      <c r="F983" s="2"/>
      <c r="G983" s="2"/>
      <c r="H983" s="2"/>
      <c r="I983" s="2"/>
    </row>
    <row r="984">
      <c r="A984" s="1" t="s">
        <v>582</v>
      </c>
      <c r="B984" s="1" t="str">
        <f>IFERROR(__xludf.DUMMYFUNCTION("SPLIT(A984,"";"")"),"ELLES CONNECT")</f>
        <v>ELLES CONNECT</v>
      </c>
      <c r="C984" s="1">
        <f>IFERROR(__xludf.DUMMYFUNCTION("""COMPUTED_VALUE"""),48.0)</f>
        <v>48</v>
      </c>
      <c r="D984" s="1">
        <v>0.0</v>
      </c>
      <c r="E984" s="2"/>
      <c r="F984" s="2"/>
      <c r="G984" s="2"/>
      <c r="H984" s="2"/>
      <c r="I984" s="2"/>
    </row>
    <row r="985">
      <c r="A985" s="1" t="s">
        <v>583</v>
      </c>
      <c r="B985" s="1" t="str">
        <f>IFERROR(__xludf.DUMMYFUNCTION("SPLIT(A985,"";"")"),"EMULATION NAUTIQUE DE BORDEAUX")</f>
        <v>EMULATION NAUTIQUE DE BORDEAUX</v>
      </c>
      <c r="C985" s="3">
        <f>IFERROR(__xludf.DUMMYFUNCTION("""COMPUTED_VALUE"""),244366.0)</f>
        <v>244366</v>
      </c>
      <c r="D985" s="1">
        <v>62.0</v>
      </c>
      <c r="E985" s="2"/>
      <c r="F985" s="2"/>
      <c r="G985" s="2"/>
      <c r="H985" s="2"/>
      <c r="I985" s="2"/>
    </row>
    <row r="986">
      <c r="A986" s="1" t="s">
        <v>584</v>
      </c>
      <c r="B986" s="1" t="str">
        <f>IFERROR(__xludf.DUMMYFUNCTION("SPLIT(A986,"";"")"),"EN MARCHE")</f>
        <v>EN MARCHE</v>
      </c>
      <c r="C986" s="3">
        <f>IFERROR(__xludf.DUMMYFUNCTION("""COMPUTED_VALUE"""),2764.0)</f>
        <v>2764</v>
      </c>
      <c r="D986" s="1">
        <v>0.0</v>
      </c>
      <c r="E986" s="2"/>
      <c r="F986" s="2"/>
      <c r="G986" s="2"/>
      <c r="H986" s="2"/>
      <c r="I986" s="2"/>
    </row>
    <row r="987">
      <c r="A987" s="1" t="s">
        <v>585</v>
      </c>
      <c r="B987" s="1" t="str">
        <f>IFERROR(__xludf.DUMMYFUNCTION("SPLIT(A987,"";"")"),"ENDOFRANCE")</f>
        <v>ENDOFRANCE</v>
      </c>
      <c r="C987" s="1">
        <f>IFERROR(__xludf.DUMMYFUNCTION("""COMPUTED_VALUE"""),136.0)</f>
        <v>136</v>
      </c>
      <c r="D987" s="1">
        <v>0.0</v>
      </c>
      <c r="E987" s="2"/>
      <c r="F987" s="2"/>
      <c r="G987" s="2"/>
      <c r="H987" s="2"/>
      <c r="I987" s="2"/>
    </row>
    <row r="988">
      <c r="A988" s="1" t="s">
        <v>586</v>
      </c>
      <c r="B988" s="1" t="str">
        <f>IFERROR(__xludf.DUMMYFUNCTION("SPLIT(A988,"";"")"),"ENFANCE ET FAMILLES D'ADOPTION DE LA GIRONDE - ASSOCIATION DES FOYERS ADOPTIFS DE LA GIRONDE (EFA 33)")</f>
        <v>ENFANCE ET FAMILLES D'ADOPTION DE LA GIRONDE - ASSOCIATION DES FOYERS ADOPTIFS DE LA GIRONDE (EFA 33)</v>
      </c>
      <c r="C988" s="3">
        <f>IFERROR(__xludf.DUMMYFUNCTION("""COMPUTED_VALUE"""),3550.0)</f>
        <v>3550</v>
      </c>
      <c r="D988" s="1">
        <v>0.0</v>
      </c>
      <c r="E988" s="2"/>
      <c r="F988" s="2"/>
      <c r="G988" s="2"/>
      <c r="H988" s="2"/>
      <c r="I988" s="2"/>
    </row>
    <row r="989">
      <c r="A989" s="1" t="s">
        <v>587</v>
      </c>
      <c r="B989" s="1" t="str">
        <f>IFERROR(__xludf.DUMMYFUNCTION("SPLIT(A989,"";"")"),"ENSEMBLE ORCHESTRAL MOLTO ASSAI")</f>
        <v>ENSEMBLE ORCHESTRAL MOLTO ASSAI</v>
      </c>
      <c r="C989" s="3">
        <f>IFERROR(__xludf.DUMMYFUNCTION("""COMPUTED_VALUE"""),5841.0)</f>
        <v>5841</v>
      </c>
      <c r="D989" s="1">
        <v>78.0</v>
      </c>
      <c r="E989" s="2"/>
      <c r="F989" s="2"/>
      <c r="G989" s="2"/>
      <c r="H989" s="2"/>
      <c r="I989" s="2"/>
    </row>
    <row r="990">
      <c r="A990" s="1" t="s">
        <v>588</v>
      </c>
      <c r="B990" s="1" t="str">
        <f>IFERROR(__xludf.DUMMYFUNCTION("SPLIT(A990,"";"")"),"ENSEMBLE OSKAR ALBERTO")</f>
        <v>ENSEMBLE OSKAR ALBERTO</v>
      </c>
      <c r="C990" s="1">
        <f>IFERROR(__xludf.DUMMYFUNCTION("""COMPUTED_VALUE"""),102.0)</f>
        <v>102</v>
      </c>
      <c r="D990" s="1">
        <v>0.0</v>
      </c>
      <c r="E990" s="2"/>
      <c r="F990" s="2"/>
      <c r="G990" s="2"/>
      <c r="H990" s="2"/>
      <c r="I990" s="2"/>
    </row>
    <row r="991">
      <c r="A991" s="1" t="s">
        <v>589</v>
      </c>
      <c r="B991" s="1" t="str">
        <f>IFERROR(__xludf.DUMMYFUNCTION("SPLIT(A991,"";"")"),"ENSEMBLE UN")</f>
        <v>ENSEMBLE UN</v>
      </c>
      <c r="C991" s="1">
        <f>IFERROR(__xludf.DUMMYFUNCTION("""COMPUTED_VALUE"""),552.0)</f>
        <v>552</v>
      </c>
      <c r="D991" s="1">
        <v>0.0</v>
      </c>
      <c r="E991" s="2"/>
      <c r="F991" s="2"/>
      <c r="G991" s="2"/>
      <c r="H991" s="2"/>
      <c r="I991" s="2"/>
    </row>
    <row r="992">
      <c r="A992" s="1" t="s">
        <v>590</v>
      </c>
      <c r="B992" s="1" t="str">
        <f>IFERROR(__xludf.DUMMYFUNCTION("SPLIT(A992,"";"")"),"ENSEMBLE VOCAL JUBILATE")</f>
        <v>ENSEMBLE VOCAL JUBILATE</v>
      </c>
      <c r="C992" s="1">
        <f>IFERROR(__xludf.DUMMYFUNCTION("""COMPUTED_VALUE"""),160.0)</f>
        <v>160</v>
      </c>
      <c r="D992" s="1">
        <v>0.0</v>
      </c>
      <c r="E992" s="2"/>
      <c r="F992" s="2"/>
      <c r="G992" s="2"/>
      <c r="H992" s="2"/>
      <c r="I992" s="2"/>
    </row>
    <row r="993">
      <c r="A993" s="1" t="s">
        <v>591</v>
      </c>
      <c r="B993" s="1" t="str">
        <f>IFERROR(__xludf.DUMMYFUNCTION("SPLIT(A993,"";"")"),"ENTENTE DES GENERATIONS POUR L’EMPLOI ET L’ENTREPRISE - EGEE")</f>
        <v>ENTENTE DES GENERATIONS POUR L’EMPLOI ET L’ENTREPRISE - EGEE</v>
      </c>
      <c r="C993" s="3">
        <f>IFERROR(__xludf.DUMMYFUNCTION("""COMPUTED_VALUE"""),2640.0)</f>
        <v>2640</v>
      </c>
      <c r="D993" s="1">
        <v>0.0</v>
      </c>
      <c r="E993" s="2"/>
      <c r="F993" s="2"/>
      <c r="G993" s="2"/>
      <c r="H993" s="2"/>
      <c r="I993" s="2"/>
    </row>
    <row r="994">
      <c r="A994" s="1" t="s">
        <v>592</v>
      </c>
      <c r="B994" s="1" t="str">
        <f>IFERROR(__xludf.DUMMYFUNCTION("SPLIT(A994,"";"")"),"ENTRAIDE SCOLAIRE AMICALE (ESA)")</f>
        <v>ENTRAIDE SCOLAIRE AMICALE (ESA)</v>
      </c>
      <c r="C994" s="1">
        <f>IFERROR(__xludf.DUMMYFUNCTION("""COMPUTED_VALUE"""),360.0)</f>
        <v>360</v>
      </c>
      <c r="D994" s="1">
        <v>0.0</v>
      </c>
      <c r="E994" s="2"/>
      <c r="F994" s="2"/>
      <c r="G994" s="2"/>
      <c r="H994" s="2"/>
      <c r="I994" s="2"/>
    </row>
    <row r="995">
      <c r="A995" s="1" t="s">
        <v>593</v>
      </c>
      <c r="B995" s="1" t="str">
        <f>IFERROR(__xludf.DUMMYFUNCTION("SPLIT(A995,"";"")"),"ENTREPRISE INTERMEDIAIRE DE PRODUCTION ET DE FORMATION - EIPF")</f>
        <v>ENTREPRISE INTERMEDIAIRE DE PRODUCTION ET DE FORMATION - EIPF</v>
      </c>
      <c r="C995" s="3">
        <f>IFERROR(__xludf.DUMMYFUNCTION("""COMPUTED_VALUE"""),13092.0)</f>
        <v>13092</v>
      </c>
      <c r="D995" s="1">
        <v>46.0</v>
      </c>
      <c r="E995" s="2"/>
      <c r="F995" s="2"/>
      <c r="G995" s="2"/>
      <c r="H995" s="2"/>
      <c r="I995" s="2"/>
    </row>
    <row r="996">
      <c r="A996" s="1" t="s">
        <v>594</v>
      </c>
      <c r="B996" s="1" t="str">
        <f>IFERROR(__xludf.DUMMYFUNCTION("SPLIT(A996,"";"")"),"ENVOL D'AQUITAINE")</f>
        <v>ENVOL D'AQUITAINE</v>
      </c>
      <c r="C996" s="3">
        <f>IFERROR(__xludf.DUMMYFUNCTION("""COMPUTED_VALUE"""),24464.0)</f>
        <v>24464</v>
      </c>
      <c r="D996" s="1">
        <v>38.0</v>
      </c>
      <c r="E996" s="2"/>
      <c r="F996" s="2"/>
      <c r="G996" s="2"/>
      <c r="H996" s="2"/>
      <c r="I996" s="2"/>
    </row>
    <row r="997">
      <c r="A997" s="1" t="s">
        <v>595</v>
      </c>
      <c r="B997" s="1" t="str">
        <f>IFERROR(__xludf.DUMMYFUNCTION("SPLIT(A997,"";"")"),"ESCALES LITTERAIRES BORDEAUX AQUITAINE")</f>
        <v>ESCALES LITTERAIRES BORDEAUX AQUITAINE</v>
      </c>
      <c r="C997" s="3">
        <f>IFERROR(__xludf.DUMMYFUNCTION("""COMPUTED_VALUE"""),80140.0)</f>
        <v>80140</v>
      </c>
      <c r="D997" s="1">
        <v>79.0</v>
      </c>
      <c r="E997" s="2"/>
      <c r="F997" s="2"/>
      <c r="G997" s="2"/>
      <c r="H997" s="2"/>
      <c r="I997" s="2"/>
    </row>
    <row r="998">
      <c r="A998" s="1" t="s">
        <v>596</v>
      </c>
      <c r="B998" s="1" t="str">
        <f>IFERROR(__xludf.DUMMYFUNCTION("SPLIT(A998,"";"")"),"ESCAPADES 33")</f>
        <v>ESCAPADES 33</v>
      </c>
      <c r="C998" s="1">
        <f>IFERROR(__xludf.DUMMYFUNCTION("""COMPUTED_VALUE"""),34.0)</f>
        <v>34</v>
      </c>
      <c r="D998" s="1">
        <v>0.0</v>
      </c>
      <c r="E998" s="2"/>
      <c r="F998" s="2"/>
      <c r="G998" s="2"/>
      <c r="H998" s="2"/>
      <c r="I998" s="2"/>
    </row>
    <row r="999">
      <c r="A999" s="1" t="s">
        <v>597</v>
      </c>
      <c r="B999" s="1" t="str">
        <f>IFERROR(__xludf.DUMMYFUNCTION("SPLIT(A999,"";"")"),"ESKUALDUNEN BILTZARRA - BORDELEKO ESKUAL ETXEA ou MAISON BASQUE DE BORDEAUX")</f>
        <v>ESKUALDUNEN BILTZARRA - BORDELEKO ESKUAL ETXEA ou MAISON BASQUE DE BORDEAUX</v>
      </c>
      <c r="C999" s="1">
        <f>IFERROR(__xludf.DUMMYFUNCTION("""COMPUTED_VALUE"""),797.0)</f>
        <v>797</v>
      </c>
      <c r="D999" s="1">
        <v>47.0</v>
      </c>
      <c r="E999" s="2"/>
      <c r="F999" s="2"/>
      <c r="G999" s="2"/>
      <c r="H999" s="2"/>
      <c r="I999" s="2"/>
    </row>
    <row r="1000">
      <c r="A1000" s="1" t="s">
        <v>598</v>
      </c>
      <c r="B1000" s="1" t="str">
        <f>IFERROR(__xludf.DUMMYFUNCTION("SPLIT(A1000,"";"")"),"ESPACE DECOUVERTE MADAGASCAR")</f>
        <v>ESPACE DECOUVERTE MADAGASCAR</v>
      </c>
      <c r="C1000" s="1">
        <f>IFERROR(__xludf.DUMMYFUNCTION("""COMPUTED_VALUE"""),952.0)</f>
        <v>952</v>
      </c>
      <c r="D1000" s="1">
        <v>0.0</v>
      </c>
      <c r="E1000" s="2"/>
      <c r="F1000" s="2"/>
      <c r="G1000" s="2"/>
      <c r="H1000" s="2"/>
      <c r="I1000" s="2"/>
    </row>
    <row r="1001">
      <c r="A1001" s="1" t="s">
        <v>599</v>
      </c>
      <c r="B1001" s="1" t="str">
        <f>IFERROR(__xludf.DUMMYFUNCTION("SPLIT(A1001,"";"")"),"ESPACE INTER HANDICAP EUROPEEN A HAUTEUR D'HOMME")</f>
        <v>ESPACE INTER HANDICAP EUROPEEN A HAUTEUR D'HOMME</v>
      </c>
      <c r="C1001" s="1">
        <f>IFERROR(__xludf.DUMMYFUNCTION("""COMPUTED_VALUE"""),106.0)</f>
        <v>106</v>
      </c>
      <c r="D1001" s="1">
        <v>0.0</v>
      </c>
      <c r="E1001" s="2"/>
      <c r="F1001" s="2"/>
      <c r="G1001" s="2"/>
      <c r="H1001" s="2"/>
      <c r="I1001" s="2"/>
    </row>
    <row r="1002">
      <c r="A1002" s="1" t="s">
        <v>600</v>
      </c>
      <c r="B1002" s="1" t="str">
        <f>IFERROR(__xludf.DUMMYFUNCTION("SPLIT(A1002,"";"")"),"ESPACES MARX AQUITAINE BORDEAUX GIRONDE EXPLORER CONFRONTER INNOVER")</f>
        <v>ESPACES MARX AQUITAINE BORDEAUX GIRONDE EXPLORER CONFRONTER INNOVER</v>
      </c>
      <c r="C1002" s="1">
        <f>IFERROR(__xludf.DUMMYFUNCTION("""COMPUTED_VALUE"""),392.0)</f>
        <v>392</v>
      </c>
      <c r="D1002" s="1">
        <v>0.0</v>
      </c>
      <c r="E1002" s="2"/>
      <c r="F1002" s="2"/>
      <c r="G1002" s="2"/>
      <c r="H1002" s="2"/>
      <c r="I1002" s="2"/>
    </row>
    <row r="1003">
      <c r="A1003" s="1" t="s">
        <v>601</v>
      </c>
      <c r="B1003" s="1" t="str">
        <f>IFERROR(__xludf.DUMMYFUNCTION("SPLIT(A1003,"";"")"),"ESPOIR 33")</f>
        <v>ESPOIR 33</v>
      </c>
      <c r="C1003" s="1">
        <f>IFERROR(__xludf.DUMMYFUNCTION("""COMPUTED_VALUE"""),286.0)</f>
        <v>286</v>
      </c>
      <c r="D1003" s="1">
        <v>0.0</v>
      </c>
      <c r="E1003" s="2"/>
      <c r="F1003" s="2"/>
      <c r="G1003" s="2"/>
      <c r="H1003" s="2"/>
      <c r="I1003" s="2"/>
    </row>
    <row r="1004">
      <c r="A1004" s="1" t="s">
        <v>602</v>
      </c>
      <c r="B1004" s="1" t="str">
        <f>IFERROR(__xludf.DUMMYFUNCTION("SPLIT(A1004,"";"")"),"ESPRIT DE QUARTIER")</f>
        <v>ESPRIT DE QUARTIER</v>
      </c>
      <c r="C1004" s="3">
        <f>IFERROR(__xludf.DUMMYFUNCTION("""COMPUTED_VALUE"""),3241.0)</f>
        <v>3241</v>
      </c>
      <c r="D1004" s="1">
        <v>24.0</v>
      </c>
      <c r="E1004" s="2"/>
      <c r="F1004" s="2"/>
      <c r="G1004" s="2"/>
      <c r="H1004" s="2"/>
      <c r="I1004" s="2"/>
    </row>
    <row r="1005">
      <c r="A1005" s="1" t="s">
        <v>603</v>
      </c>
      <c r="B1005" s="1" t="str">
        <f>IFERROR(__xludf.DUMMYFUNCTION("SPLIT(A1005,"";"")"),"ESPRIT ETUDIANT-MONTESQUIEU")</f>
        <v>ESPRIT ETUDIANT-MONTESQUIEU</v>
      </c>
      <c r="C1005" s="3">
        <f>IFERROR(__xludf.DUMMYFUNCTION("""COMPUTED_VALUE"""),1289.0)</f>
        <v>1289</v>
      </c>
      <c r="D1005" s="1">
        <v>66.0</v>
      </c>
      <c r="E1005" s="2"/>
      <c r="F1005" s="2"/>
      <c r="G1005" s="2"/>
      <c r="H1005" s="2"/>
      <c r="I1005" s="2"/>
    </row>
    <row r="1006">
      <c r="A1006" s="1" t="s">
        <v>604</v>
      </c>
      <c r="B1006" s="1" t="str">
        <f>IFERROR(__xludf.DUMMYFUNCTION("SPLIT(A1006,"";"")"),"ESSPLICITE")</f>
        <v>ESSPLICITE</v>
      </c>
      <c r="C1006" s="3">
        <f>IFERROR(__xludf.DUMMYFUNCTION("""COMPUTED_VALUE"""),3923.0)</f>
        <v>3923</v>
      </c>
      <c r="D1006" s="1">
        <v>0.0</v>
      </c>
      <c r="E1006" s="2"/>
      <c r="F1006" s="2"/>
      <c r="G1006" s="2"/>
      <c r="H1006" s="2"/>
      <c r="I1006" s="2"/>
    </row>
    <row r="1007">
      <c r="A1007" s="1" t="s">
        <v>605</v>
      </c>
      <c r="B1007" s="1" t="str">
        <f>IFERROR(__xludf.DUMMYFUNCTION("SPLIT(A1007,"";"")"),"ETUDIANTS MAROCAINS DE BORDEAUX - EMB")</f>
        <v>ETUDIANTS MAROCAINS DE BORDEAUX - EMB</v>
      </c>
      <c r="C1007" s="3">
        <f>IFERROR(__xludf.DUMMYFUNCTION("""COMPUTED_VALUE"""),1252.0)</f>
        <v>1252</v>
      </c>
      <c r="D1007" s="1">
        <v>67.0</v>
      </c>
      <c r="E1007" s="2"/>
      <c r="F1007" s="2"/>
      <c r="G1007" s="2"/>
      <c r="H1007" s="2"/>
      <c r="I1007" s="2"/>
    </row>
    <row r="1008">
      <c r="A1008" s="1" t="s">
        <v>606</v>
      </c>
      <c r="B1008" s="1" t="str">
        <f>IFERROR(__xludf.DUMMYFUNCTION("SPLIT(A1008,"";"")"),"ETUDIANTS MUSULMANS DE FRANCE BORDEAUX - EMF BORDEAUX")</f>
        <v>ETUDIANTS MUSULMANS DE FRANCE BORDEAUX - EMF BORDEAUX</v>
      </c>
      <c r="C1008" s="1">
        <f>IFERROR(__xludf.DUMMYFUNCTION("""COMPUTED_VALUE"""),665.0)</f>
        <v>665</v>
      </c>
      <c r="D1008" s="1">
        <v>0.0</v>
      </c>
      <c r="E1008" s="2"/>
      <c r="F1008" s="2"/>
      <c r="G1008" s="2"/>
      <c r="H1008" s="2"/>
      <c r="I1008" s="2"/>
    </row>
    <row r="1009">
      <c r="A1009" s="1" t="s">
        <v>607</v>
      </c>
      <c r="B1009" s="1" t="str">
        <f>IFERROR(__xludf.DUMMYFUNCTION("SPLIT(A1009,"";"")"),"EUROPEAN MENTORING &amp; COACHING COUNCIL")</f>
        <v>EUROPEAN MENTORING &amp; COACHING COUNCIL</v>
      </c>
      <c r="C1009" s="1"/>
      <c r="D1009" s="1" t="s">
        <v>608</v>
      </c>
      <c r="E1009" s="1">
        <v>0.0</v>
      </c>
      <c r="F1009" s="2"/>
      <c r="G1009" s="2"/>
      <c r="H1009" s="2"/>
      <c r="I1009" s="2"/>
    </row>
    <row r="1010">
      <c r="A1010" s="1" t="s">
        <v>609</v>
      </c>
      <c r="B1010" s="1" t="str">
        <f>IFERROR(__xludf.DUMMYFUNCTION("SPLIT(A1010,"";"")"),"EURROM")</f>
        <v>EURROM</v>
      </c>
      <c r="C1010" s="1">
        <f>IFERROR(__xludf.DUMMYFUNCTION("""COMPUTED_VALUE"""),984.0)</f>
        <v>984</v>
      </c>
      <c r="D1010" s="1">
        <v>0.0</v>
      </c>
      <c r="E1010" s="2"/>
      <c r="F1010" s="2"/>
      <c r="G1010" s="2"/>
      <c r="H1010" s="2"/>
      <c r="I1010" s="2"/>
    </row>
    <row r="1011">
      <c r="A1011" s="1" t="s">
        <v>610</v>
      </c>
      <c r="B1011" s="1" t="str">
        <f>IFERROR(__xludf.DUMMYFUNCTION("SPLIT(A1011,"";"")"),"EXPLORER LE SENTIR")</f>
        <v>EXPLORER LE SENTIR</v>
      </c>
      <c r="C1011" s="3">
        <f>IFERROR(__xludf.DUMMYFUNCTION("""COMPUTED_VALUE"""),1496.0)</f>
        <v>1496</v>
      </c>
      <c r="D1011" s="1">
        <v>0.0</v>
      </c>
      <c r="E1011" s="2"/>
      <c r="F1011" s="2"/>
      <c r="G1011" s="2"/>
      <c r="H1011" s="2"/>
      <c r="I1011" s="2"/>
    </row>
    <row r="1012">
      <c r="A1012" s="1" t="s">
        <v>611</v>
      </c>
      <c r="B1012" s="1" t="str">
        <f>IFERROR(__xludf.DUMMYFUNCTION("SPLIT(A1012,"";"")"),"FAIS UN VOEU MAKE-A -WISH ® FRANCE")</f>
        <v>FAIS UN VOEU MAKE-A -WISH ® FRANCE</v>
      </c>
      <c r="C1012" s="1">
        <f>IFERROR(__xludf.DUMMYFUNCTION("""COMPUTED_VALUE"""),24.0)</f>
        <v>24</v>
      </c>
      <c r="D1012" s="1">
        <v>0.0</v>
      </c>
      <c r="E1012" s="2"/>
      <c r="F1012" s="2"/>
      <c r="G1012" s="2"/>
      <c r="H1012" s="2"/>
      <c r="I1012" s="2"/>
    </row>
    <row r="1013">
      <c r="A1013" s="1" t="s">
        <v>612</v>
      </c>
      <c r="B1013" s="1" t="str">
        <f>IFERROR(__xludf.DUMMYFUNCTION("SPLIT(A1013,"";"")"),"FAIT DE CI DE SOI")</f>
        <v>FAIT DE CI DE SOI</v>
      </c>
      <c r="C1013" s="1">
        <f>IFERROR(__xludf.DUMMYFUNCTION("""COMPUTED_VALUE"""),58.0)</f>
        <v>58</v>
      </c>
      <c r="D1013" s="1">
        <v>32.0</v>
      </c>
      <c r="E1013" s="2"/>
      <c r="F1013" s="2"/>
      <c r="G1013" s="2"/>
      <c r="H1013" s="2"/>
      <c r="I1013" s="2"/>
    </row>
    <row r="1014">
      <c r="A1014" s="1" t="s">
        <v>613</v>
      </c>
      <c r="B1014" s="1" t="str">
        <f>IFERROR(__xludf.DUMMYFUNCTION("SPLIT(A1014,"";"")"),"FAMILLES EN GIRONDE - FEDERATION DE LA GIRONDE")</f>
        <v>FAMILLES EN GIRONDE - FEDERATION DE LA GIRONDE</v>
      </c>
      <c r="C1014" s="3">
        <f>IFERROR(__xludf.DUMMYFUNCTION("""COMPUTED_VALUE"""),1312.0)</f>
        <v>1312</v>
      </c>
      <c r="D1014" s="1">
        <v>0.0</v>
      </c>
      <c r="E1014" s="2"/>
      <c r="F1014" s="2"/>
      <c r="G1014" s="2"/>
      <c r="H1014" s="2"/>
      <c r="I1014" s="2"/>
    </row>
    <row r="1015">
      <c r="A1015" s="1" t="s">
        <v>614</v>
      </c>
      <c r="B1015" s="1" t="str">
        <f>IFERROR(__xludf.DUMMYFUNCTION("SPLIT(A1015,"";"")"),"FC CARTES ET SERVICES")</f>
        <v>FC CARTES ET SERVICES</v>
      </c>
      <c r="C1015" s="3">
        <f>IFERROR(__xludf.DUMMYFUNCTION("""COMPUTED_VALUE"""),1102.0)</f>
        <v>1102</v>
      </c>
      <c r="D1015" s="1">
        <v>0.0</v>
      </c>
      <c r="E1015" s="2"/>
      <c r="F1015" s="2"/>
      <c r="G1015" s="2"/>
      <c r="H1015" s="2"/>
      <c r="I1015" s="2"/>
    </row>
    <row r="1016">
      <c r="A1016" s="1" t="s">
        <v>615</v>
      </c>
      <c r="B1016" s="1" t="str">
        <f>IFERROR(__xludf.DUMMYFUNCTION("SPLIT(A1016,"";"")"),"FEDERATION ADDICTION")</f>
        <v>FEDERATION ADDICTION</v>
      </c>
      <c r="C1016" s="3">
        <f>IFERROR(__xludf.DUMMYFUNCTION("""COMPUTED_VALUE"""),1502.0)</f>
        <v>1502</v>
      </c>
      <c r="D1016" s="1">
        <v>0.0</v>
      </c>
      <c r="E1016" s="2"/>
      <c r="F1016" s="2"/>
      <c r="G1016" s="2"/>
      <c r="H1016" s="2"/>
      <c r="I1016" s="2"/>
    </row>
    <row r="1017">
      <c r="A1017" s="1" t="s">
        <v>616</v>
      </c>
      <c r="B1017" s="1" t="str">
        <f>IFERROR(__xludf.DUMMYFUNCTION("SPLIT(A1017,"";"")"),"FEDERATION ADMR GIRONDE")</f>
        <v>FEDERATION ADMR GIRONDE</v>
      </c>
      <c r="C1017" s="3">
        <f>IFERROR(__xludf.DUMMYFUNCTION("""COMPUTED_VALUE"""),2658.0)</f>
        <v>2658</v>
      </c>
      <c r="D1017" s="1">
        <v>0.0</v>
      </c>
      <c r="E1017" s="2"/>
      <c r="F1017" s="2"/>
      <c r="G1017" s="2"/>
      <c r="H1017" s="2"/>
      <c r="I1017" s="2"/>
    </row>
    <row r="1018">
      <c r="A1018" s="1" t="s">
        <v>617</v>
      </c>
      <c r="B1018" s="1" t="str">
        <f>IFERROR(__xludf.DUMMYFUNCTION("SPLIT(A1018,"";"")"),"FEDERATION DE LA GIRONDE POUR LA PECHE ET LA PROTECTION DU MILIEU AQUATIQUE (FDAAPPMA DE LA GIRONDE)")</f>
        <v>FEDERATION DE LA GIRONDE POUR LA PECHE ET LA PROTECTION DU MILIEU AQUATIQUE (FDAAPPMA DE LA GIRONDE)</v>
      </c>
      <c r="C1018" s="1">
        <f>IFERROR(__xludf.DUMMYFUNCTION("""COMPUTED_VALUE"""),774.0)</f>
        <v>774</v>
      </c>
      <c r="D1018" s="1">
        <v>0.0</v>
      </c>
      <c r="E1018" s="2"/>
      <c r="F1018" s="2"/>
      <c r="G1018" s="2"/>
      <c r="H1018" s="2"/>
      <c r="I1018" s="2"/>
    </row>
    <row r="1019">
      <c r="A1019" s="1" t="s">
        <v>618</v>
      </c>
      <c r="B1019" s="1" t="str">
        <f>IFERROR(__xludf.DUMMYFUNCTION("SPLIT(A1019,"";"")"),"FEDERATION DE PSYCHANALYSE CONTEMPORAINE - FPC")</f>
        <v>FEDERATION DE PSYCHANALYSE CONTEMPORAINE - FPC</v>
      </c>
      <c r="C1019" s="1">
        <f>IFERROR(__xludf.DUMMYFUNCTION("""COMPUTED_VALUE"""),178.0)</f>
        <v>178</v>
      </c>
      <c r="D1019" s="1">
        <v>0.0</v>
      </c>
      <c r="E1019" s="2"/>
      <c r="F1019" s="2"/>
      <c r="G1019" s="2"/>
      <c r="H1019" s="2"/>
      <c r="I1019" s="2"/>
    </row>
    <row r="1020">
      <c r="A1020" s="1" t="s">
        <v>619</v>
      </c>
      <c r="B1020" s="1" t="str">
        <f>IFERROR(__xludf.DUMMYFUNCTION("SPLIT(A1020,"";"")"),"FEDERATION DEPARTEMENTALE DU SECOURS POPULAIRE FRANCAIS")</f>
        <v>FEDERATION DEPARTEMENTALE DU SECOURS POPULAIRE FRANCAIS</v>
      </c>
      <c r="C1020" s="3">
        <f>IFERROR(__xludf.DUMMYFUNCTION("""COMPUTED_VALUE"""),17748.0)</f>
        <v>17748</v>
      </c>
      <c r="D1020" s="1">
        <v>87.0</v>
      </c>
      <c r="E1020" s="2"/>
      <c r="F1020" s="2"/>
      <c r="G1020" s="2"/>
      <c r="H1020" s="2"/>
      <c r="I1020" s="2"/>
    </row>
    <row r="1021">
      <c r="A1021" s="1" t="s">
        <v>620</v>
      </c>
      <c r="B1021" s="1" t="str">
        <f>IFERROR(__xludf.DUMMYFUNCTION("SPLIT(A1021,"";"")"),"FEDERATION DES ASSOCIATIONS FAMILIALES CATHOLIQUES - AFC")</f>
        <v>FEDERATION DES ASSOCIATIONS FAMILIALES CATHOLIQUES - AFC</v>
      </c>
      <c r="C1021" s="1">
        <f>IFERROR(__xludf.DUMMYFUNCTION("""COMPUTED_VALUE"""),555.0)</f>
        <v>555</v>
      </c>
      <c r="D1021" s="1">
        <v>0.0</v>
      </c>
      <c r="E1021" s="2"/>
      <c r="F1021" s="2"/>
      <c r="G1021" s="2"/>
      <c r="H1021" s="2"/>
      <c r="I1021" s="2"/>
    </row>
    <row r="1022">
      <c r="A1022" s="1" t="s">
        <v>621</v>
      </c>
      <c r="B1022" s="1" t="str">
        <f>IFERROR(__xludf.DUMMYFUNCTION("SPLIT(A1022,"";"")"),"FEDERATION DES DESIGNERS EN AQUITAINE (FDA)")</f>
        <v>FEDERATION DES DESIGNERS EN AQUITAINE (FDA)</v>
      </c>
      <c r="C1022" s="1">
        <f>IFERROR(__xludf.DUMMYFUNCTION("""COMPUTED_VALUE"""),34.0)</f>
        <v>34</v>
      </c>
      <c r="D1022" s="1">
        <v>0.0</v>
      </c>
      <c r="E1022" s="2"/>
      <c r="F1022" s="2"/>
      <c r="G1022" s="2"/>
      <c r="H1022" s="2"/>
      <c r="I1022" s="2"/>
    </row>
    <row r="1023">
      <c r="A1023" s="1" t="s">
        <v>622</v>
      </c>
      <c r="B1023" s="1" t="str">
        <f>IFERROR(__xludf.DUMMYFUNCTION("SPLIT(A1023,"";"")"),"FEDERATION DES MANDATAIRES JUDICIAIRES INDEPENDANTS A LA PROTECTION DES MAJEURS AQUITAINE (FMJI AQUITAINE)")</f>
        <v>FEDERATION DES MANDATAIRES JUDICIAIRES INDEPENDANTS A LA PROTECTION DES MAJEURS AQUITAINE (FMJI AQUITAINE)</v>
      </c>
      <c r="C1023" s="1">
        <f>IFERROR(__xludf.DUMMYFUNCTION("""COMPUTED_VALUE"""),23.0)</f>
        <v>23</v>
      </c>
      <c r="D1023" s="1">
        <v>0.0</v>
      </c>
      <c r="E1023" s="2"/>
      <c r="F1023" s="2"/>
      <c r="G1023" s="2"/>
      <c r="H1023" s="2"/>
      <c r="I1023" s="2"/>
    </row>
    <row r="1024">
      <c r="A1024" s="1" t="s">
        <v>623</v>
      </c>
      <c r="B1024" s="1" t="str">
        <f>IFERROR(__xludf.DUMMYFUNCTION("SPLIT(A1024,"";"")"),"FEDERATION DES RADIOS ASSOCIATIVES DE LA GIRONDE - FEDERA 33")</f>
        <v>FEDERATION DES RADIOS ASSOCIATIVES DE LA GIRONDE - FEDERA 33</v>
      </c>
      <c r="C1024" s="3">
        <f>IFERROR(__xludf.DUMMYFUNCTION("""COMPUTED_VALUE"""),1089.0)</f>
        <v>1089</v>
      </c>
      <c r="D1024" s="1">
        <v>14.0</v>
      </c>
      <c r="E1024" s="2"/>
      <c r="F1024" s="2"/>
      <c r="G1024" s="2"/>
      <c r="H1024" s="2"/>
      <c r="I1024" s="2"/>
    </row>
    <row r="1025">
      <c r="A1025" s="1" t="s">
        <v>624</v>
      </c>
      <c r="B1025" s="1" t="str">
        <f>IFERROR(__xludf.DUMMYFUNCTION("SPLIT(A1025,"";"")"),"FEDERATION DES SOCIETES CARNAVALESQUES DE L'AGGLOMERATION BORDELAISE")</f>
        <v>FEDERATION DES SOCIETES CARNAVALESQUES DE L'AGGLOMERATION BORDELAISE</v>
      </c>
      <c r="C1025" s="1">
        <f>IFERROR(__xludf.DUMMYFUNCTION("""COMPUTED_VALUE"""),753.0)</f>
        <v>753</v>
      </c>
      <c r="D1025" s="1">
        <v>76.0</v>
      </c>
      <c r="E1025" s="2"/>
      <c r="F1025" s="2"/>
      <c r="G1025" s="2"/>
      <c r="H1025" s="2"/>
      <c r="I1025" s="2"/>
    </row>
    <row r="1026">
      <c r="A1026" s="1" t="s">
        <v>625</v>
      </c>
      <c r="B1026" s="1" t="str">
        <f>IFERROR(__xludf.DUMMYFUNCTION("SPLIT(A1026,"";"")"),"FEDERATION FRANCAISE DE NATATION")</f>
        <v>FEDERATION FRANCAISE DE NATATION</v>
      </c>
      <c r="C1026" s="1">
        <f>IFERROR(__xludf.DUMMYFUNCTION("""COMPUTED_VALUE"""),241.0)</f>
        <v>241</v>
      </c>
      <c r="D1026" s="1">
        <v>20.0</v>
      </c>
      <c r="E1026" s="2"/>
      <c r="F1026" s="2"/>
      <c r="G1026" s="2"/>
      <c r="H1026" s="2"/>
      <c r="I1026" s="2"/>
    </row>
    <row r="1027">
      <c r="A1027" s="1" t="s">
        <v>626</v>
      </c>
      <c r="B1027" s="1" t="str">
        <f>IFERROR(__xludf.DUMMYFUNCTION("SPLIT(A1027,"";"")"),"FEDERATION FRANCAISE DES PSYCHOLOGUES ET DE PSYCHOLOGIE - FFPP")</f>
        <v>FEDERATION FRANCAISE DES PSYCHOLOGUES ET DE PSYCHOLOGIE - FFPP</v>
      </c>
      <c r="C1027" s="1">
        <f>IFERROR(__xludf.DUMMYFUNCTION("""COMPUTED_VALUE"""),48.0)</f>
        <v>48</v>
      </c>
      <c r="D1027" s="1">
        <v>0.0</v>
      </c>
      <c r="E1027" s="2"/>
      <c r="F1027" s="2"/>
      <c r="G1027" s="2"/>
      <c r="H1027" s="2"/>
      <c r="I1027" s="2"/>
    </row>
    <row r="1028">
      <c r="A1028" s="1" t="s">
        <v>627</v>
      </c>
      <c r="B1028" s="1" t="str">
        <f>IFERROR(__xludf.DUMMYFUNCTION("SPLIT(A1028,"";"")"),"FEDERATION GIRONDINE DE GENEALOGIE - FGG")</f>
        <v>FEDERATION GIRONDINE DE GENEALOGIE - FGG</v>
      </c>
      <c r="C1028" s="1">
        <f>IFERROR(__xludf.DUMMYFUNCTION("""COMPUTED_VALUE"""),663.0)</f>
        <v>663</v>
      </c>
      <c r="D1028" s="1">
        <v>0.0</v>
      </c>
      <c r="E1028" s="2"/>
      <c r="F1028" s="2"/>
      <c r="G1028" s="2"/>
      <c r="H1028" s="2"/>
      <c r="I1028" s="2"/>
    </row>
    <row r="1029">
      <c r="A1029" s="1" t="s">
        <v>628</v>
      </c>
      <c r="B1029" s="1" t="str">
        <f>IFERROR(__xludf.DUMMYFUNCTION("SPLIT(A1029,"";"")"),"FEDERATION MUSULMANE DE LA GIRONDE")</f>
        <v>FEDERATION MUSULMANE DE LA GIRONDE</v>
      </c>
      <c r="C1029" s="3">
        <f>IFERROR(__xludf.DUMMYFUNCTION("""COMPUTED_VALUE"""),1714.0)</f>
        <v>1714</v>
      </c>
      <c r="D1029" s="1">
        <v>8.0</v>
      </c>
      <c r="E1029" s="2"/>
      <c r="F1029" s="2"/>
      <c r="G1029" s="2"/>
      <c r="H1029" s="2"/>
      <c r="I1029" s="2"/>
    </row>
    <row r="1030">
      <c r="A1030" s="1" t="s">
        <v>629</v>
      </c>
      <c r="B1030" s="1" t="str">
        <f>IFERROR(__xludf.DUMMYFUNCTION("SPLIT(A1030,"";"")"),"FEDERATION NATIONALE D'AIDE AUX INSUFFISANTS RENAUX D'AQUITAINE - FNAIR AQUITANE")</f>
        <v>FEDERATION NATIONALE D'AIDE AUX INSUFFISANTS RENAUX D'AQUITAINE - FNAIR AQUITANE</v>
      </c>
      <c r="C1030" s="1">
        <f>IFERROR(__xludf.DUMMYFUNCTION("""COMPUTED_VALUE"""),48.0)</f>
        <v>48</v>
      </c>
      <c r="D1030" s="1">
        <v>0.0</v>
      </c>
      <c r="E1030" s="2"/>
      <c r="F1030" s="2"/>
      <c r="G1030" s="2"/>
      <c r="H1030" s="2"/>
      <c r="I1030" s="2"/>
    </row>
    <row r="1031">
      <c r="A1031" s="1" t="s">
        <v>630</v>
      </c>
      <c r="B1031" s="1" t="str">
        <f>IFERROR(__xludf.DUMMYFUNCTION("SPLIT(A1031,"";"")"),"FEDERATION NATIONALE DES SERVICES SOCIAUX SPECIALISES DE PROTECTION DE L'ENFANCE - FN3S")</f>
        <v>FEDERATION NATIONALE DES SERVICES SOCIAUX SPECIALISES DE PROTECTION DE L'ENFANCE - FN3S</v>
      </c>
      <c r="C1031" s="1">
        <f>IFERROR(__xludf.DUMMYFUNCTION("""COMPUTED_VALUE"""),286.0)</f>
        <v>286</v>
      </c>
      <c r="D1031" s="1">
        <v>0.0</v>
      </c>
      <c r="E1031" s="2"/>
      <c r="F1031" s="2"/>
      <c r="G1031" s="2"/>
      <c r="H1031" s="2"/>
      <c r="I1031" s="2"/>
    </row>
    <row r="1032">
      <c r="A1032" s="1" t="s">
        <v>631</v>
      </c>
      <c r="B1032" s="1" t="str">
        <f>IFERROR(__xludf.DUMMYFUNCTION("SPLIT(A1032,"";"")"),"FEDERATION POUR LA RECHERCHE SUR LE CERVEAU - CAMPAGNE DU NEURODON 2004")</f>
        <v>FEDERATION POUR LA RECHERCHE SUR LE CERVEAU - CAMPAGNE DU NEURODON 2004</v>
      </c>
      <c r="C1032" s="1">
        <f>IFERROR(__xludf.DUMMYFUNCTION("""COMPUTED_VALUE"""),24.0)</f>
        <v>24</v>
      </c>
      <c r="D1032" s="1">
        <v>0.0</v>
      </c>
      <c r="E1032" s="2"/>
      <c r="F1032" s="2"/>
      <c r="G1032" s="2"/>
      <c r="H1032" s="2"/>
      <c r="I1032" s="2"/>
    </row>
    <row r="1033">
      <c r="A1033" s="1" t="s">
        <v>632</v>
      </c>
      <c r="B1033" s="1" t="str">
        <f>IFERROR(__xludf.DUMMYFUNCTION("SPLIT(A1033,"";"")"),"FEDERATION REGIONALE DES DECORES DU TRAVAIL NOUVELLE-AQUITAINE (FRDT)")</f>
        <v>FEDERATION REGIONALE DES DECORES DU TRAVAIL NOUVELLE-AQUITAINE (FRDT)</v>
      </c>
      <c r="C1033" s="3">
        <f>IFERROR(__xludf.DUMMYFUNCTION("""COMPUTED_VALUE"""),2217.0)</f>
        <v>2217</v>
      </c>
      <c r="D1033" s="1">
        <v>78.0</v>
      </c>
      <c r="E1033" s="2"/>
      <c r="F1033" s="2"/>
      <c r="G1033" s="2"/>
      <c r="H1033" s="2"/>
      <c r="I1033" s="2"/>
    </row>
    <row r="1034">
      <c r="A1034" s="1" t="s">
        <v>633</v>
      </c>
      <c r="B1034" s="1" t="str">
        <f>IFERROR(__xludf.DUMMYFUNCTION("SPLIT(A1034,"";"")"),"FEDERATION SOS RACISME GIRONDE-AQUITAINE")</f>
        <v>FEDERATION SOS RACISME GIRONDE-AQUITAINE</v>
      </c>
      <c r="C1034" s="1">
        <f>IFERROR(__xludf.DUMMYFUNCTION("""COMPUTED_VALUE"""),738.0)</f>
        <v>738</v>
      </c>
      <c r="D1034" s="1">
        <v>6.0</v>
      </c>
      <c r="E1034" s="2"/>
      <c r="F1034" s="2"/>
      <c r="G1034" s="2"/>
      <c r="H1034" s="2"/>
      <c r="I1034" s="2"/>
    </row>
    <row r="1035">
      <c r="A1035" s="1" t="s">
        <v>634</v>
      </c>
      <c r="B1035" s="1" t="str">
        <f>IFERROR(__xludf.DUMMYFUNCTION("SPLIT(A1035,"";"")"),"FEDERATION SYNDICALE UNITAIRE 33 - FSU 33")</f>
        <v>FEDERATION SYNDICALE UNITAIRE 33 - FSU 33</v>
      </c>
      <c r="C1035" s="1">
        <f>IFERROR(__xludf.DUMMYFUNCTION("""COMPUTED_VALUE"""),507.0)</f>
        <v>507</v>
      </c>
      <c r="D1035" s="1">
        <v>89.0</v>
      </c>
      <c r="E1035" s="2"/>
      <c r="F1035" s="2"/>
      <c r="G1035" s="2"/>
      <c r="H1035" s="2"/>
      <c r="I1035" s="2"/>
    </row>
    <row r="1036">
      <c r="A1036" s="1" t="s">
        <v>635</v>
      </c>
      <c r="B1036" s="1" t="str">
        <f>IFERROR(__xludf.DUMMYFUNCTION("SPLIT(A1036,"";"")"),"FEMMES INTERNATIONALES MURS BRISES")</f>
        <v>FEMMES INTERNATIONALES MURS BRISES</v>
      </c>
      <c r="C1036" s="3">
        <f>IFERROR(__xludf.DUMMYFUNCTION("""COMPUTED_VALUE"""),2071.0)</f>
        <v>2071</v>
      </c>
      <c r="D1036" s="1">
        <v>38.0</v>
      </c>
      <c r="E1036" s="2"/>
      <c r="F1036" s="2"/>
      <c r="G1036" s="2"/>
      <c r="H1036" s="2"/>
      <c r="I1036" s="2"/>
    </row>
    <row r="1037">
      <c r="A1037" s="1" t="s">
        <v>636</v>
      </c>
      <c r="B1037" s="1" t="str">
        <f>IFERROR(__xludf.DUMMYFUNCTION("SPLIT(A1037,"";"")"),"FENETRE SUR RUE")</f>
        <v>FENETRE SUR RUE</v>
      </c>
      <c r="C1037" s="1">
        <f>IFERROR(__xludf.DUMMYFUNCTION("""COMPUTED_VALUE"""),427.0)</f>
        <v>427</v>
      </c>
      <c r="D1037" s="1">
        <v>68.0</v>
      </c>
      <c r="E1037" s="2"/>
      <c r="F1037" s="2"/>
      <c r="G1037" s="2"/>
      <c r="H1037" s="2"/>
      <c r="I1037" s="2"/>
    </row>
    <row r="1038">
      <c r="A1038" s="1" t="s">
        <v>637</v>
      </c>
      <c r="B1038" s="1" t="str">
        <f>IFERROR(__xludf.DUMMYFUNCTION("SPLIT(A1038,"";"")"),"FESTIVAL DES ARTS DE BORDEAUX")</f>
        <v>FESTIVAL DES ARTS DE BORDEAUX</v>
      </c>
      <c r="C1038" s="3">
        <f>IFERROR(__xludf.DUMMYFUNCTION("""COMPUTED_VALUE"""),78310.0)</f>
        <v>78310</v>
      </c>
      <c r="D1038" s="1">
        <v>0.0</v>
      </c>
      <c r="E1038" s="2"/>
      <c r="F1038" s="2"/>
      <c r="G1038" s="2"/>
      <c r="H1038" s="2"/>
      <c r="I1038" s="2"/>
    </row>
    <row r="1039">
      <c r="A1039" s="1" t="s">
        <v>638</v>
      </c>
      <c r="B1039" s="1" t="str">
        <f>IFERROR(__xludf.DUMMYFUNCTION("SPLIT(A1039,"";"")"),"FISH AND SHOES")</f>
        <v>FISH AND SHOES</v>
      </c>
      <c r="C1039" s="3">
        <f>IFERROR(__xludf.DUMMYFUNCTION("""COMPUTED_VALUE"""),42499.0)</f>
        <v>42499</v>
      </c>
      <c r="D1039" s="1">
        <v>0.0</v>
      </c>
      <c r="E1039" s="2"/>
      <c r="F1039" s="2"/>
      <c r="G1039" s="2"/>
      <c r="H1039" s="2"/>
      <c r="I1039" s="2"/>
    </row>
    <row r="1040">
      <c r="A1040" s="1" t="s">
        <v>639</v>
      </c>
      <c r="B1040" s="1" t="str">
        <f>IFERROR(__xludf.DUMMYFUNCTION("SPLIT(A1040,"";"")"),"FITNESS FREESTYLE")</f>
        <v>FITNESS FREESTYLE</v>
      </c>
      <c r="C1040" s="3">
        <f>IFERROR(__xludf.DUMMYFUNCTION("""COMPUTED_VALUE"""),4551.0)</f>
        <v>4551</v>
      </c>
      <c r="D1040" s="1">
        <v>0.0</v>
      </c>
      <c r="E1040" s="2"/>
      <c r="F1040" s="2"/>
      <c r="G1040" s="2"/>
      <c r="H1040" s="2"/>
      <c r="I1040" s="2"/>
    </row>
    <row r="1041">
      <c r="A1041" s="1" t="s">
        <v>640</v>
      </c>
      <c r="B1041" s="1" t="str">
        <f>IFERROR(__xludf.DUMMYFUNCTION("SPLIT(A1041,"";"")"),"FOIRE AUX PLAISIRS DE BORDEAUX")</f>
        <v>FOIRE AUX PLAISIRS DE BORDEAUX</v>
      </c>
      <c r="C1041" s="1">
        <f>IFERROR(__xludf.DUMMYFUNCTION("""COMPUTED_VALUE"""),868.0)</f>
        <v>868</v>
      </c>
      <c r="D1041" s="1">
        <v>90.0</v>
      </c>
      <c r="E1041" s="2"/>
      <c r="F1041" s="2"/>
      <c r="G1041" s="2"/>
      <c r="H1041" s="2"/>
      <c r="I1041" s="2"/>
    </row>
    <row r="1042">
      <c r="A1042" s="1" t="s">
        <v>641</v>
      </c>
      <c r="B1042" s="1" t="str">
        <f>IFERROR(__xludf.DUMMYFUNCTION("SPLIT(A1042,"";"")"),"FONDA SUD-OUEST")</f>
        <v>FONDA SUD-OUEST</v>
      </c>
      <c r="C1042" s="1">
        <f>IFERROR(__xludf.DUMMYFUNCTION("""COMPUTED_VALUE"""),223.0)</f>
        <v>223</v>
      </c>
      <c r="D1042" s="1">
        <v>0.0</v>
      </c>
      <c r="E1042" s="2"/>
      <c r="F1042" s="2"/>
      <c r="G1042" s="2"/>
      <c r="H1042" s="2"/>
      <c r="I1042" s="2"/>
    </row>
    <row r="1043">
      <c r="A1043" s="1" t="s">
        <v>642</v>
      </c>
      <c r="B1043" s="1" t="str">
        <f>IFERROR(__xludf.DUMMYFUNCTION("SPLIT(A1043,"";"")"),"FONDATION D'AUTEUIL AQUITAINE")</f>
        <v>FONDATION D'AUTEUIL AQUITAINE</v>
      </c>
      <c r="C1043" s="1">
        <f>IFERROR(__xludf.DUMMYFUNCTION("""COMPUTED_VALUE"""),444.0)</f>
        <v>444</v>
      </c>
      <c r="D1043" s="1">
        <v>0.0</v>
      </c>
      <c r="E1043" s="2"/>
      <c r="F1043" s="2"/>
      <c r="G1043" s="2"/>
      <c r="H1043" s="2"/>
      <c r="I1043" s="2"/>
    </row>
    <row r="1044">
      <c r="A1044" s="1" t="s">
        <v>643</v>
      </c>
      <c r="B1044" s="1" t="str">
        <f>IFERROR(__xludf.DUMMYFUNCTION("SPLIT(A1044,"";"")"),"FONDATION DU PATRIMOINE - DELEGATION AQUITAINE")</f>
        <v>FONDATION DU PATRIMOINE - DELEGATION AQUITAINE</v>
      </c>
      <c r="C1044" s="3">
        <f>IFERROR(__xludf.DUMMYFUNCTION("""COMPUTED_VALUE"""),2192.0)</f>
        <v>2192</v>
      </c>
      <c r="D1044" s="1">
        <v>57.0</v>
      </c>
      <c r="E1044" s="2"/>
      <c r="F1044" s="2"/>
      <c r="G1044" s="2"/>
      <c r="H1044" s="2"/>
      <c r="I1044" s="2"/>
    </row>
    <row r="1045">
      <c r="A1045" s="1" t="s">
        <v>644</v>
      </c>
      <c r="B1045" s="1" t="str">
        <f>IFERROR(__xludf.DUMMYFUNCTION("SPLIT(A1045,"";"")"),"FONDATION MAISON DE LA GENDARMERIE")</f>
        <v>FONDATION MAISON DE LA GENDARMERIE</v>
      </c>
      <c r="C1045" s="3">
        <f>IFERROR(__xludf.DUMMYFUNCTION("""COMPUTED_VALUE"""),7026.0)</f>
        <v>7026</v>
      </c>
      <c r="D1045" s="1">
        <v>20.0</v>
      </c>
      <c r="E1045" s="2"/>
      <c r="F1045" s="2"/>
      <c r="G1045" s="2"/>
      <c r="H1045" s="2"/>
      <c r="I1045" s="2"/>
    </row>
    <row r="1046">
      <c r="A1046" s="1" t="s">
        <v>645</v>
      </c>
      <c r="B1046" s="1" t="str">
        <f>IFERROR(__xludf.DUMMYFUNCTION("SPLIT(A1046,"";"")"),"FONDS REGIONAL D'ART CONTEMPORAIN - COLLECTION AQUITAINE")</f>
        <v>FONDS REGIONAL D'ART CONTEMPORAIN - COLLECTION AQUITAINE</v>
      </c>
      <c r="C1046" s="3">
        <f>IFERROR(__xludf.DUMMYFUNCTION("""COMPUTED_VALUE"""),16264.0)</f>
        <v>16264</v>
      </c>
      <c r="D1046" s="1">
        <v>0.0</v>
      </c>
      <c r="E1046" s="2"/>
      <c r="F1046" s="2"/>
      <c r="G1046" s="2"/>
      <c r="H1046" s="2"/>
      <c r="I1046" s="2"/>
    </row>
    <row r="1047">
      <c r="A1047" s="1" t="s">
        <v>646</v>
      </c>
      <c r="B1047" s="1" t="str">
        <f>IFERROR(__xludf.DUMMYFUNCTION("SPLIT(A1047,"";"")"),"FOOT BALL CLUB BORDEAUX AQUITAINE 33")</f>
        <v>FOOT BALL CLUB BORDEAUX AQUITAINE 33</v>
      </c>
      <c r="C1047" s="1">
        <f>IFERROR(__xludf.DUMMYFUNCTION("""COMPUTED_VALUE"""),588.0)</f>
        <v>588</v>
      </c>
      <c r="D1047" s="1">
        <v>50.0</v>
      </c>
      <c r="E1047" s="2"/>
      <c r="F1047" s="2"/>
      <c r="G1047" s="2"/>
      <c r="H1047" s="2"/>
      <c r="I1047" s="2"/>
    </row>
    <row r="1048">
      <c r="A1048" s="1" t="s">
        <v>647</v>
      </c>
      <c r="B1048" s="1" t="str">
        <f>IFERROR(__xludf.DUMMYFUNCTION("SPLIT(A1048,"";"")"),"FOOT LOISIRS DOCKERS DE BORDEAUX")</f>
        <v>FOOT LOISIRS DOCKERS DE BORDEAUX</v>
      </c>
      <c r="C1048" s="3">
        <f>IFERROR(__xludf.DUMMYFUNCTION("""COMPUTED_VALUE"""),1990.0)</f>
        <v>1990</v>
      </c>
      <c r="D1048" s="1">
        <v>0.0</v>
      </c>
      <c r="E1048" s="2"/>
      <c r="F1048" s="2"/>
      <c r="G1048" s="2"/>
      <c r="H1048" s="2"/>
      <c r="I1048" s="2"/>
    </row>
    <row r="1049">
      <c r="A1049" s="1" t="s">
        <v>648</v>
      </c>
      <c r="B1049" s="1" t="str">
        <f>IFERROR(__xludf.DUMMYFUNCTION("SPLIT(A1049,"";"")"),"FOOTBALL CLUB DE LA PRESSE BORDELAISE")</f>
        <v>FOOTBALL CLUB DE LA PRESSE BORDELAISE</v>
      </c>
      <c r="C1049" s="1">
        <f>IFERROR(__xludf.DUMMYFUNCTION("""COMPUTED_VALUE"""),220.0)</f>
        <v>220</v>
      </c>
      <c r="D1049" s="1">
        <v>0.0</v>
      </c>
      <c r="E1049" s="2"/>
      <c r="F1049" s="2"/>
      <c r="G1049" s="2"/>
      <c r="H1049" s="2"/>
      <c r="I1049" s="2"/>
    </row>
    <row r="1050">
      <c r="A1050" s="1" t="s">
        <v>649</v>
      </c>
      <c r="B1050" s="1" t="str">
        <f>IFERROR(__xludf.DUMMYFUNCTION("SPLIT(A1050,"";"")"),"FOOTBALL CLUB DES GIRONDINS DE BORDEAUX - FCGB")</f>
        <v>FOOTBALL CLUB DES GIRONDINS DE BORDEAUX - FCGB</v>
      </c>
      <c r="C1050" s="1">
        <f>IFERROR(__xludf.DUMMYFUNCTION("""COMPUTED_VALUE"""),95.0)</f>
        <v>95</v>
      </c>
      <c r="D1050" s="1">
        <v>0.0</v>
      </c>
      <c r="E1050" s="2"/>
      <c r="F1050" s="2"/>
      <c r="G1050" s="2"/>
      <c r="H1050" s="2"/>
      <c r="I1050" s="2"/>
    </row>
    <row r="1051">
      <c r="A1051" s="1" t="s">
        <v>650</v>
      </c>
      <c r="B1051" s="1" t="str">
        <f>IFERROR(__xludf.DUMMYFUNCTION("SPLIT(A1051,"";"")"),"FOOTBALL-CLUB BORDEAUX OCEAN")</f>
        <v>FOOTBALL-CLUB BORDEAUX OCEAN</v>
      </c>
      <c r="C1051" s="3">
        <f>IFERROR(__xludf.DUMMYFUNCTION("""COMPUTED_VALUE"""),2170.0)</f>
        <v>2170</v>
      </c>
      <c r="D1051" s="1">
        <v>0.0</v>
      </c>
      <c r="E1051" s="2"/>
      <c r="F1051" s="2"/>
      <c r="G1051" s="2"/>
      <c r="H1051" s="2"/>
      <c r="I1051" s="2"/>
    </row>
    <row r="1052">
      <c r="A1052" s="1" t="s">
        <v>651</v>
      </c>
      <c r="B1052" s="1" t="str">
        <f>IFERROR(__xludf.DUMMYFUNCTION("SPLIT(A1052,"";"")"),"FOOTBALL-CLUB ROUGE")</f>
        <v>FOOTBALL-CLUB ROUGE</v>
      </c>
      <c r="C1052" s="1">
        <f>IFERROR(__xludf.DUMMYFUNCTION("""COMPUTED_VALUE"""),254.0)</f>
        <v>254</v>
      </c>
      <c r="D1052" s="1">
        <v>0.0</v>
      </c>
      <c r="E1052" s="2"/>
      <c r="F1052" s="2"/>
      <c r="G1052" s="2"/>
      <c r="H1052" s="2"/>
      <c r="I1052" s="2"/>
    </row>
    <row r="1053">
      <c r="A1053" s="1" t="s">
        <v>582</v>
      </c>
      <c r="B1053" s="1" t="str">
        <f>IFERROR(__xludf.DUMMYFUNCTION("SPLIT(A1053,"";"")"),"ELLES CONNECT")</f>
        <v>ELLES CONNECT</v>
      </c>
      <c r="C1053" s="1">
        <f>IFERROR(__xludf.DUMMYFUNCTION("""COMPUTED_VALUE"""),48.0)</f>
        <v>48</v>
      </c>
      <c r="D1053" s="1">
        <v>0.0</v>
      </c>
      <c r="E1053" s="2"/>
      <c r="F1053" s="2"/>
      <c r="G1053" s="2"/>
      <c r="H1053" s="2"/>
      <c r="I1053" s="2"/>
    </row>
    <row r="1054">
      <c r="A1054" s="1" t="s">
        <v>583</v>
      </c>
      <c r="B1054" s="1" t="str">
        <f>IFERROR(__xludf.DUMMYFUNCTION("SPLIT(A1054,"";"")"),"EMULATION NAUTIQUE DE BORDEAUX")</f>
        <v>EMULATION NAUTIQUE DE BORDEAUX</v>
      </c>
      <c r="C1054" s="3">
        <f>IFERROR(__xludf.DUMMYFUNCTION("""COMPUTED_VALUE"""),244366.0)</f>
        <v>244366</v>
      </c>
      <c r="D1054" s="1">
        <v>62.0</v>
      </c>
      <c r="E1054" s="2"/>
      <c r="F1054" s="2"/>
      <c r="G1054" s="2"/>
      <c r="H1054" s="2"/>
      <c r="I1054" s="2"/>
    </row>
    <row r="1055">
      <c r="A1055" s="1" t="s">
        <v>584</v>
      </c>
      <c r="B1055" s="1" t="str">
        <f>IFERROR(__xludf.DUMMYFUNCTION("SPLIT(A1055,"";"")"),"EN MARCHE")</f>
        <v>EN MARCHE</v>
      </c>
      <c r="C1055" s="3">
        <f>IFERROR(__xludf.DUMMYFUNCTION("""COMPUTED_VALUE"""),2764.0)</f>
        <v>2764</v>
      </c>
      <c r="D1055" s="1">
        <v>0.0</v>
      </c>
      <c r="E1055" s="2"/>
      <c r="F1055" s="2"/>
      <c r="G1055" s="2"/>
      <c r="H1055" s="2"/>
      <c r="I1055" s="2"/>
    </row>
    <row r="1056">
      <c r="A1056" s="1" t="s">
        <v>585</v>
      </c>
      <c r="B1056" s="1" t="str">
        <f>IFERROR(__xludf.DUMMYFUNCTION("SPLIT(A1056,"";"")"),"ENDOFRANCE")</f>
        <v>ENDOFRANCE</v>
      </c>
      <c r="C1056" s="1">
        <f>IFERROR(__xludf.DUMMYFUNCTION("""COMPUTED_VALUE"""),136.0)</f>
        <v>136</v>
      </c>
      <c r="D1056" s="1">
        <v>0.0</v>
      </c>
      <c r="E1056" s="2"/>
      <c r="F1056" s="2"/>
      <c r="G1056" s="2"/>
      <c r="H1056" s="2"/>
      <c r="I1056" s="2"/>
    </row>
    <row r="1057">
      <c r="A1057" s="1" t="s">
        <v>586</v>
      </c>
      <c r="B1057" s="1" t="str">
        <f>IFERROR(__xludf.DUMMYFUNCTION("SPLIT(A1057,"";"")"),"ENFANCE ET FAMILLES D'ADOPTION DE LA GIRONDE - ASSOCIATION DES FOYERS ADOPTIFS DE LA GIRONDE (EFA 33)")</f>
        <v>ENFANCE ET FAMILLES D'ADOPTION DE LA GIRONDE - ASSOCIATION DES FOYERS ADOPTIFS DE LA GIRONDE (EFA 33)</v>
      </c>
      <c r="C1057" s="3">
        <f>IFERROR(__xludf.DUMMYFUNCTION("""COMPUTED_VALUE"""),3550.0)</f>
        <v>3550</v>
      </c>
      <c r="D1057" s="1">
        <v>0.0</v>
      </c>
      <c r="E1057" s="2"/>
      <c r="F1057" s="2"/>
      <c r="G1057" s="2"/>
      <c r="H1057" s="2"/>
      <c r="I1057" s="2"/>
    </row>
    <row r="1058">
      <c r="A1058" s="1" t="s">
        <v>587</v>
      </c>
      <c r="B1058" s="1" t="str">
        <f>IFERROR(__xludf.DUMMYFUNCTION("SPLIT(A1058,"";"")"),"ENSEMBLE ORCHESTRAL MOLTO ASSAI")</f>
        <v>ENSEMBLE ORCHESTRAL MOLTO ASSAI</v>
      </c>
      <c r="C1058" s="3">
        <f>IFERROR(__xludf.DUMMYFUNCTION("""COMPUTED_VALUE"""),5841.0)</f>
        <v>5841</v>
      </c>
      <c r="D1058" s="1">
        <v>78.0</v>
      </c>
      <c r="E1058" s="2"/>
      <c r="F1058" s="2"/>
      <c r="G1058" s="2"/>
      <c r="H1058" s="2"/>
      <c r="I1058" s="2"/>
    </row>
    <row r="1059">
      <c r="A1059" s="1" t="s">
        <v>588</v>
      </c>
      <c r="B1059" s="1" t="str">
        <f>IFERROR(__xludf.DUMMYFUNCTION("SPLIT(A1059,"";"")"),"ENSEMBLE OSKAR ALBERTO")</f>
        <v>ENSEMBLE OSKAR ALBERTO</v>
      </c>
      <c r="C1059" s="1">
        <f>IFERROR(__xludf.DUMMYFUNCTION("""COMPUTED_VALUE"""),102.0)</f>
        <v>102</v>
      </c>
      <c r="D1059" s="1">
        <v>0.0</v>
      </c>
      <c r="E1059" s="2"/>
      <c r="F1059" s="2"/>
      <c r="G1059" s="2"/>
      <c r="H1059" s="2"/>
      <c r="I1059" s="2"/>
    </row>
    <row r="1060">
      <c r="A1060" s="1" t="s">
        <v>589</v>
      </c>
      <c r="B1060" s="1" t="str">
        <f>IFERROR(__xludf.DUMMYFUNCTION("SPLIT(A1060,"";"")"),"ENSEMBLE UN")</f>
        <v>ENSEMBLE UN</v>
      </c>
      <c r="C1060" s="1">
        <f>IFERROR(__xludf.DUMMYFUNCTION("""COMPUTED_VALUE"""),552.0)</f>
        <v>552</v>
      </c>
      <c r="D1060" s="1">
        <v>0.0</v>
      </c>
      <c r="E1060" s="2"/>
      <c r="F1060" s="2"/>
      <c r="G1060" s="2"/>
      <c r="H1060" s="2"/>
      <c r="I1060" s="2"/>
    </row>
    <row r="1061">
      <c r="A1061" s="1" t="s">
        <v>590</v>
      </c>
      <c r="B1061" s="1" t="str">
        <f>IFERROR(__xludf.DUMMYFUNCTION("SPLIT(A1061,"";"")"),"ENSEMBLE VOCAL JUBILATE")</f>
        <v>ENSEMBLE VOCAL JUBILATE</v>
      </c>
      <c r="C1061" s="1">
        <f>IFERROR(__xludf.DUMMYFUNCTION("""COMPUTED_VALUE"""),160.0)</f>
        <v>160</v>
      </c>
      <c r="D1061" s="1">
        <v>0.0</v>
      </c>
      <c r="E1061" s="2"/>
      <c r="F1061" s="2"/>
      <c r="G1061" s="2"/>
      <c r="H1061" s="2"/>
      <c r="I1061" s="2"/>
    </row>
    <row r="1062">
      <c r="A1062" s="1" t="s">
        <v>591</v>
      </c>
      <c r="B1062" s="1" t="str">
        <f>IFERROR(__xludf.DUMMYFUNCTION("SPLIT(A1062,"";"")"),"ENTENTE DES GENERATIONS POUR L’EMPLOI ET L’ENTREPRISE - EGEE")</f>
        <v>ENTENTE DES GENERATIONS POUR L’EMPLOI ET L’ENTREPRISE - EGEE</v>
      </c>
      <c r="C1062" s="3">
        <f>IFERROR(__xludf.DUMMYFUNCTION("""COMPUTED_VALUE"""),2640.0)</f>
        <v>2640</v>
      </c>
      <c r="D1062" s="1">
        <v>0.0</v>
      </c>
      <c r="E1062" s="2"/>
      <c r="F1062" s="2"/>
      <c r="G1062" s="2"/>
      <c r="H1062" s="2"/>
      <c r="I1062" s="2"/>
    </row>
    <row r="1063">
      <c r="A1063" s="1" t="s">
        <v>592</v>
      </c>
      <c r="B1063" s="1" t="str">
        <f>IFERROR(__xludf.DUMMYFUNCTION("SPLIT(A1063,"";"")"),"ENTRAIDE SCOLAIRE AMICALE (ESA)")</f>
        <v>ENTRAIDE SCOLAIRE AMICALE (ESA)</v>
      </c>
      <c r="C1063" s="1">
        <f>IFERROR(__xludf.DUMMYFUNCTION("""COMPUTED_VALUE"""),360.0)</f>
        <v>360</v>
      </c>
      <c r="D1063" s="1">
        <v>0.0</v>
      </c>
      <c r="E1063" s="2"/>
      <c r="F1063" s="2"/>
      <c r="G1063" s="2"/>
      <c r="H1063" s="2"/>
      <c r="I1063" s="2"/>
    </row>
    <row r="1064">
      <c r="A1064" s="1" t="s">
        <v>593</v>
      </c>
      <c r="B1064" s="1" t="str">
        <f>IFERROR(__xludf.DUMMYFUNCTION("SPLIT(A1064,"";"")"),"ENTREPRISE INTERMEDIAIRE DE PRODUCTION ET DE FORMATION - EIPF")</f>
        <v>ENTREPRISE INTERMEDIAIRE DE PRODUCTION ET DE FORMATION - EIPF</v>
      </c>
      <c r="C1064" s="3">
        <f>IFERROR(__xludf.DUMMYFUNCTION("""COMPUTED_VALUE"""),13092.0)</f>
        <v>13092</v>
      </c>
      <c r="D1064" s="1">
        <v>46.0</v>
      </c>
      <c r="E1064" s="2"/>
      <c r="F1064" s="2"/>
      <c r="G1064" s="2"/>
      <c r="H1064" s="2"/>
      <c r="I1064" s="2"/>
    </row>
    <row r="1065">
      <c r="A1065" s="1" t="s">
        <v>594</v>
      </c>
      <c r="B1065" s="1" t="str">
        <f>IFERROR(__xludf.DUMMYFUNCTION("SPLIT(A1065,"";"")"),"ENVOL D'AQUITAINE")</f>
        <v>ENVOL D'AQUITAINE</v>
      </c>
      <c r="C1065" s="3">
        <f>IFERROR(__xludf.DUMMYFUNCTION("""COMPUTED_VALUE"""),24464.0)</f>
        <v>24464</v>
      </c>
      <c r="D1065" s="1">
        <v>38.0</v>
      </c>
      <c r="E1065" s="2"/>
      <c r="F1065" s="2"/>
      <c r="G1065" s="2"/>
      <c r="H1065" s="2"/>
      <c r="I1065" s="2"/>
    </row>
    <row r="1066">
      <c r="A1066" s="1" t="s">
        <v>595</v>
      </c>
      <c r="B1066" s="1" t="str">
        <f>IFERROR(__xludf.DUMMYFUNCTION("SPLIT(A1066,"";"")"),"ESCALES LITTERAIRES BORDEAUX AQUITAINE")</f>
        <v>ESCALES LITTERAIRES BORDEAUX AQUITAINE</v>
      </c>
      <c r="C1066" s="3">
        <f>IFERROR(__xludf.DUMMYFUNCTION("""COMPUTED_VALUE"""),80140.0)</f>
        <v>80140</v>
      </c>
      <c r="D1066" s="1">
        <v>79.0</v>
      </c>
      <c r="E1066" s="2"/>
      <c r="F1066" s="2"/>
      <c r="G1066" s="2"/>
      <c r="H1066" s="2"/>
      <c r="I1066" s="2"/>
    </row>
    <row r="1067">
      <c r="A1067" s="1" t="s">
        <v>596</v>
      </c>
      <c r="B1067" s="1" t="str">
        <f>IFERROR(__xludf.DUMMYFUNCTION("SPLIT(A1067,"";"")"),"ESCAPADES 33")</f>
        <v>ESCAPADES 33</v>
      </c>
      <c r="C1067" s="1">
        <f>IFERROR(__xludf.DUMMYFUNCTION("""COMPUTED_VALUE"""),34.0)</f>
        <v>34</v>
      </c>
      <c r="D1067" s="1">
        <v>0.0</v>
      </c>
      <c r="E1067" s="2"/>
      <c r="F1067" s="2"/>
      <c r="G1067" s="2"/>
      <c r="H1067" s="2"/>
      <c r="I1067" s="2"/>
    </row>
    <row r="1068">
      <c r="A1068" s="1" t="s">
        <v>597</v>
      </c>
      <c r="B1068" s="1" t="str">
        <f>IFERROR(__xludf.DUMMYFUNCTION("SPLIT(A1068,"";"")"),"ESKUALDUNEN BILTZARRA - BORDELEKO ESKUAL ETXEA ou MAISON BASQUE DE BORDEAUX")</f>
        <v>ESKUALDUNEN BILTZARRA - BORDELEKO ESKUAL ETXEA ou MAISON BASQUE DE BORDEAUX</v>
      </c>
      <c r="C1068" s="1">
        <f>IFERROR(__xludf.DUMMYFUNCTION("""COMPUTED_VALUE"""),797.0)</f>
        <v>797</v>
      </c>
      <c r="D1068" s="1">
        <v>47.0</v>
      </c>
      <c r="E1068" s="2"/>
      <c r="F1068" s="2"/>
      <c r="G1068" s="2"/>
      <c r="H1068" s="2"/>
      <c r="I1068" s="2"/>
    </row>
    <row r="1069">
      <c r="A1069" s="1" t="s">
        <v>598</v>
      </c>
      <c r="B1069" s="1" t="str">
        <f>IFERROR(__xludf.DUMMYFUNCTION("SPLIT(A1069,"";"")"),"ESPACE DECOUVERTE MADAGASCAR")</f>
        <v>ESPACE DECOUVERTE MADAGASCAR</v>
      </c>
      <c r="C1069" s="1">
        <f>IFERROR(__xludf.DUMMYFUNCTION("""COMPUTED_VALUE"""),952.0)</f>
        <v>952</v>
      </c>
      <c r="D1069" s="1">
        <v>0.0</v>
      </c>
      <c r="E1069" s="2"/>
      <c r="F1069" s="2"/>
      <c r="G1069" s="2"/>
      <c r="H1069" s="2"/>
      <c r="I1069" s="2"/>
    </row>
    <row r="1070">
      <c r="A1070" s="1" t="s">
        <v>599</v>
      </c>
      <c r="B1070" s="1" t="str">
        <f>IFERROR(__xludf.DUMMYFUNCTION("SPLIT(A1070,"";"")"),"ESPACE INTER HANDICAP EUROPEEN A HAUTEUR D'HOMME")</f>
        <v>ESPACE INTER HANDICAP EUROPEEN A HAUTEUR D'HOMME</v>
      </c>
      <c r="C1070" s="1">
        <f>IFERROR(__xludf.DUMMYFUNCTION("""COMPUTED_VALUE"""),106.0)</f>
        <v>106</v>
      </c>
      <c r="D1070" s="1">
        <v>0.0</v>
      </c>
      <c r="E1070" s="2"/>
      <c r="F1070" s="2"/>
      <c r="G1070" s="2"/>
      <c r="H1070" s="2"/>
      <c r="I1070" s="2"/>
    </row>
    <row r="1071">
      <c r="A1071" s="1" t="s">
        <v>600</v>
      </c>
      <c r="B1071" s="1" t="str">
        <f>IFERROR(__xludf.DUMMYFUNCTION("SPLIT(A1071,"";"")"),"ESPACES MARX AQUITAINE BORDEAUX GIRONDE EXPLORER CONFRONTER INNOVER")</f>
        <v>ESPACES MARX AQUITAINE BORDEAUX GIRONDE EXPLORER CONFRONTER INNOVER</v>
      </c>
      <c r="C1071" s="1">
        <f>IFERROR(__xludf.DUMMYFUNCTION("""COMPUTED_VALUE"""),392.0)</f>
        <v>392</v>
      </c>
      <c r="D1071" s="1">
        <v>0.0</v>
      </c>
      <c r="E1071" s="2"/>
      <c r="F1071" s="2"/>
      <c r="G1071" s="2"/>
      <c r="H1071" s="2"/>
      <c r="I1071" s="2"/>
    </row>
    <row r="1072">
      <c r="A1072" s="1" t="s">
        <v>601</v>
      </c>
      <c r="B1072" s="1" t="str">
        <f>IFERROR(__xludf.DUMMYFUNCTION("SPLIT(A1072,"";"")"),"ESPOIR 33")</f>
        <v>ESPOIR 33</v>
      </c>
      <c r="C1072" s="1">
        <f>IFERROR(__xludf.DUMMYFUNCTION("""COMPUTED_VALUE"""),286.0)</f>
        <v>286</v>
      </c>
      <c r="D1072" s="1">
        <v>0.0</v>
      </c>
      <c r="E1072" s="2"/>
      <c r="F1072" s="2"/>
      <c r="G1072" s="2"/>
      <c r="H1072" s="2"/>
      <c r="I1072" s="2"/>
    </row>
    <row r="1073">
      <c r="A1073" s="1" t="s">
        <v>602</v>
      </c>
      <c r="B1073" s="1" t="str">
        <f>IFERROR(__xludf.DUMMYFUNCTION("SPLIT(A1073,"";"")"),"ESPRIT DE QUARTIER")</f>
        <v>ESPRIT DE QUARTIER</v>
      </c>
      <c r="C1073" s="3">
        <f>IFERROR(__xludf.DUMMYFUNCTION("""COMPUTED_VALUE"""),3241.0)</f>
        <v>3241</v>
      </c>
      <c r="D1073" s="1">
        <v>24.0</v>
      </c>
      <c r="E1073" s="2"/>
      <c r="F1073" s="2"/>
      <c r="G1073" s="2"/>
      <c r="H1073" s="2"/>
      <c r="I1073" s="2"/>
    </row>
    <row r="1074">
      <c r="A1074" s="1" t="s">
        <v>603</v>
      </c>
      <c r="B1074" s="1" t="str">
        <f>IFERROR(__xludf.DUMMYFUNCTION("SPLIT(A1074,"";"")"),"ESPRIT ETUDIANT-MONTESQUIEU")</f>
        <v>ESPRIT ETUDIANT-MONTESQUIEU</v>
      </c>
      <c r="C1074" s="3">
        <f>IFERROR(__xludf.DUMMYFUNCTION("""COMPUTED_VALUE"""),1289.0)</f>
        <v>1289</v>
      </c>
      <c r="D1074" s="1">
        <v>66.0</v>
      </c>
      <c r="E1074" s="2"/>
      <c r="F1074" s="2"/>
      <c r="G1074" s="2"/>
      <c r="H1074" s="2"/>
      <c r="I1074" s="2"/>
    </row>
    <row r="1075">
      <c r="A1075" s="1" t="s">
        <v>604</v>
      </c>
      <c r="B1075" s="1" t="str">
        <f>IFERROR(__xludf.DUMMYFUNCTION("SPLIT(A1075,"";"")"),"ESSPLICITE")</f>
        <v>ESSPLICITE</v>
      </c>
      <c r="C1075" s="3">
        <f>IFERROR(__xludf.DUMMYFUNCTION("""COMPUTED_VALUE"""),3923.0)</f>
        <v>3923</v>
      </c>
      <c r="D1075" s="1">
        <v>0.0</v>
      </c>
      <c r="E1075" s="2"/>
      <c r="F1075" s="2"/>
      <c r="G1075" s="2"/>
      <c r="H1075" s="2"/>
      <c r="I1075" s="2"/>
    </row>
    <row r="1076">
      <c r="A1076" s="1" t="s">
        <v>605</v>
      </c>
      <c r="B1076" s="1" t="str">
        <f>IFERROR(__xludf.DUMMYFUNCTION("SPLIT(A1076,"";"")"),"ETUDIANTS MAROCAINS DE BORDEAUX - EMB")</f>
        <v>ETUDIANTS MAROCAINS DE BORDEAUX - EMB</v>
      </c>
      <c r="C1076" s="3">
        <f>IFERROR(__xludf.DUMMYFUNCTION("""COMPUTED_VALUE"""),1252.0)</f>
        <v>1252</v>
      </c>
      <c r="D1076" s="1">
        <v>67.0</v>
      </c>
      <c r="E1076" s="2"/>
      <c r="F1076" s="2"/>
      <c r="G1076" s="2"/>
      <c r="H1076" s="2"/>
      <c r="I1076" s="2"/>
    </row>
    <row r="1077">
      <c r="A1077" s="1" t="s">
        <v>606</v>
      </c>
      <c r="B1077" s="1" t="str">
        <f>IFERROR(__xludf.DUMMYFUNCTION("SPLIT(A1077,"";"")"),"ETUDIANTS MUSULMANS DE FRANCE BORDEAUX - EMF BORDEAUX")</f>
        <v>ETUDIANTS MUSULMANS DE FRANCE BORDEAUX - EMF BORDEAUX</v>
      </c>
      <c r="C1077" s="1">
        <f>IFERROR(__xludf.DUMMYFUNCTION("""COMPUTED_VALUE"""),665.0)</f>
        <v>665</v>
      </c>
      <c r="D1077" s="1">
        <v>0.0</v>
      </c>
      <c r="E1077" s="2"/>
      <c r="F1077" s="2"/>
      <c r="G1077" s="2"/>
      <c r="H1077" s="2"/>
      <c r="I1077" s="2"/>
    </row>
    <row r="1078">
      <c r="A1078" s="1" t="s">
        <v>607</v>
      </c>
      <c r="B1078" s="1" t="str">
        <f>IFERROR(__xludf.DUMMYFUNCTION("SPLIT(A1078,"";"")"),"EUROPEAN MENTORING &amp; COACHING COUNCIL")</f>
        <v>EUROPEAN MENTORING &amp; COACHING COUNCIL</v>
      </c>
      <c r="C1078" s="1"/>
      <c r="D1078" s="1" t="s">
        <v>608</v>
      </c>
      <c r="E1078" s="1">
        <v>0.0</v>
      </c>
      <c r="F1078" s="2"/>
      <c r="G1078" s="2"/>
      <c r="H1078" s="2"/>
      <c r="I1078" s="2"/>
    </row>
    <row r="1079">
      <c r="A1079" s="1" t="s">
        <v>609</v>
      </c>
      <c r="B1079" s="1" t="str">
        <f>IFERROR(__xludf.DUMMYFUNCTION("SPLIT(A1079,"";"")"),"EURROM")</f>
        <v>EURROM</v>
      </c>
      <c r="C1079" s="1">
        <f>IFERROR(__xludf.DUMMYFUNCTION("""COMPUTED_VALUE"""),984.0)</f>
        <v>984</v>
      </c>
      <c r="D1079" s="1">
        <v>0.0</v>
      </c>
      <c r="E1079" s="2"/>
      <c r="F1079" s="2"/>
      <c r="G1079" s="2"/>
      <c r="H1079" s="2"/>
      <c r="I1079" s="2"/>
    </row>
    <row r="1080">
      <c r="A1080" s="1" t="s">
        <v>610</v>
      </c>
      <c r="B1080" s="1" t="str">
        <f>IFERROR(__xludf.DUMMYFUNCTION("SPLIT(A1080,"";"")"),"EXPLORER LE SENTIR")</f>
        <v>EXPLORER LE SENTIR</v>
      </c>
      <c r="C1080" s="3">
        <f>IFERROR(__xludf.DUMMYFUNCTION("""COMPUTED_VALUE"""),1496.0)</f>
        <v>1496</v>
      </c>
      <c r="D1080" s="1">
        <v>0.0</v>
      </c>
      <c r="E1080" s="2"/>
      <c r="F1080" s="2"/>
      <c r="G1080" s="2"/>
      <c r="H1080" s="2"/>
      <c r="I1080" s="2"/>
    </row>
    <row r="1081">
      <c r="A1081" s="1" t="s">
        <v>611</v>
      </c>
      <c r="B1081" s="1" t="str">
        <f>IFERROR(__xludf.DUMMYFUNCTION("SPLIT(A1081,"";"")"),"FAIS UN VOEU MAKE-A -WISH ® FRANCE")</f>
        <v>FAIS UN VOEU MAKE-A -WISH ® FRANCE</v>
      </c>
      <c r="C1081" s="1">
        <f>IFERROR(__xludf.DUMMYFUNCTION("""COMPUTED_VALUE"""),24.0)</f>
        <v>24</v>
      </c>
      <c r="D1081" s="1">
        <v>0.0</v>
      </c>
      <c r="E1081" s="2"/>
      <c r="F1081" s="2"/>
      <c r="G1081" s="2"/>
      <c r="H1081" s="2"/>
      <c r="I1081" s="2"/>
    </row>
    <row r="1082">
      <c r="A1082" s="1" t="s">
        <v>612</v>
      </c>
      <c r="B1082" s="1" t="str">
        <f>IFERROR(__xludf.DUMMYFUNCTION("SPLIT(A1082,"";"")"),"FAIT DE CI DE SOI")</f>
        <v>FAIT DE CI DE SOI</v>
      </c>
      <c r="C1082" s="1">
        <f>IFERROR(__xludf.DUMMYFUNCTION("""COMPUTED_VALUE"""),58.0)</f>
        <v>58</v>
      </c>
      <c r="D1082" s="1">
        <v>32.0</v>
      </c>
      <c r="E1082" s="2"/>
      <c r="F1082" s="2"/>
      <c r="G1082" s="2"/>
      <c r="H1082" s="2"/>
      <c r="I1082" s="2"/>
    </row>
    <row r="1083">
      <c r="A1083" s="1" t="s">
        <v>613</v>
      </c>
      <c r="B1083" s="1" t="str">
        <f>IFERROR(__xludf.DUMMYFUNCTION("SPLIT(A1083,"";"")"),"FAMILLES EN GIRONDE - FEDERATION DE LA GIRONDE")</f>
        <v>FAMILLES EN GIRONDE - FEDERATION DE LA GIRONDE</v>
      </c>
      <c r="C1083" s="3">
        <f>IFERROR(__xludf.DUMMYFUNCTION("""COMPUTED_VALUE"""),1312.0)</f>
        <v>1312</v>
      </c>
      <c r="D1083" s="1">
        <v>0.0</v>
      </c>
      <c r="E1083" s="2"/>
      <c r="F1083" s="2"/>
      <c r="G1083" s="2"/>
      <c r="H1083" s="2"/>
      <c r="I1083" s="2"/>
    </row>
    <row r="1084">
      <c r="A1084" s="1" t="s">
        <v>614</v>
      </c>
      <c r="B1084" s="1" t="str">
        <f>IFERROR(__xludf.DUMMYFUNCTION("SPLIT(A1084,"";"")"),"FC CARTES ET SERVICES")</f>
        <v>FC CARTES ET SERVICES</v>
      </c>
      <c r="C1084" s="3">
        <f>IFERROR(__xludf.DUMMYFUNCTION("""COMPUTED_VALUE"""),1102.0)</f>
        <v>1102</v>
      </c>
      <c r="D1084" s="1">
        <v>0.0</v>
      </c>
      <c r="E1084" s="2"/>
      <c r="F1084" s="2"/>
      <c r="G1084" s="2"/>
      <c r="H1084" s="2"/>
      <c r="I1084" s="2"/>
    </row>
    <row r="1085">
      <c r="A1085" s="1" t="s">
        <v>615</v>
      </c>
      <c r="B1085" s="1" t="str">
        <f>IFERROR(__xludf.DUMMYFUNCTION("SPLIT(A1085,"";"")"),"FEDERATION ADDICTION")</f>
        <v>FEDERATION ADDICTION</v>
      </c>
      <c r="C1085" s="3">
        <f>IFERROR(__xludf.DUMMYFUNCTION("""COMPUTED_VALUE"""),1502.0)</f>
        <v>1502</v>
      </c>
      <c r="D1085" s="1">
        <v>0.0</v>
      </c>
      <c r="E1085" s="2"/>
      <c r="F1085" s="2"/>
      <c r="G1085" s="2"/>
      <c r="H1085" s="2"/>
      <c r="I1085" s="2"/>
    </row>
    <row r="1086">
      <c r="A1086" s="1" t="s">
        <v>616</v>
      </c>
      <c r="B1086" s="1" t="str">
        <f>IFERROR(__xludf.DUMMYFUNCTION("SPLIT(A1086,"";"")"),"FEDERATION ADMR GIRONDE")</f>
        <v>FEDERATION ADMR GIRONDE</v>
      </c>
      <c r="C1086" s="3">
        <f>IFERROR(__xludf.DUMMYFUNCTION("""COMPUTED_VALUE"""),2658.0)</f>
        <v>2658</v>
      </c>
      <c r="D1086" s="1">
        <v>0.0</v>
      </c>
      <c r="E1086" s="2"/>
      <c r="F1086" s="2"/>
      <c r="G1086" s="2"/>
      <c r="H1086" s="2"/>
      <c r="I1086" s="2"/>
    </row>
    <row r="1087">
      <c r="A1087" s="1" t="s">
        <v>617</v>
      </c>
      <c r="B1087" s="1" t="str">
        <f>IFERROR(__xludf.DUMMYFUNCTION("SPLIT(A1087,"";"")"),"FEDERATION DE LA GIRONDE POUR LA PECHE ET LA PROTECTION DU MILIEU AQUATIQUE (FDAAPPMA DE LA GIRONDE)")</f>
        <v>FEDERATION DE LA GIRONDE POUR LA PECHE ET LA PROTECTION DU MILIEU AQUATIQUE (FDAAPPMA DE LA GIRONDE)</v>
      </c>
      <c r="C1087" s="1">
        <f>IFERROR(__xludf.DUMMYFUNCTION("""COMPUTED_VALUE"""),774.0)</f>
        <v>774</v>
      </c>
      <c r="D1087" s="1">
        <v>0.0</v>
      </c>
      <c r="E1087" s="2"/>
      <c r="F1087" s="2"/>
      <c r="G1087" s="2"/>
      <c r="H1087" s="2"/>
      <c r="I1087" s="2"/>
    </row>
    <row r="1088">
      <c r="A1088" s="1" t="s">
        <v>618</v>
      </c>
      <c r="B1088" s="1" t="str">
        <f>IFERROR(__xludf.DUMMYFUNCTION("SPLIT(A1088,"";"")"),"FEDERATION DE PSYCHANALYSE CONTEMPORAINE - FPC")</f>
        <v>FEDERATION DE PSYCHANALYSE CONTEMPORAINE - FPC</v>
      </c>
      <c r="C1088" s="1">
        <f>IFERROR(__xludf.DUMMYFUNCTION("""COMPUTED_VALUE"""),178.0)</f>
        <v>178</v>
      </c>
      <c r="D1088" s="1">
        <v>0.0</v>
      </c>
      <c r="E1088" s="2"/>
      <c r="F1088" s="2"/>
      <c r="G1088" s="2"/>
      <c r="H1088" s="2"/>
      <c r="I1088" s="2"/>
    </row>
    <row r="1089">
      <c r="A1089" s="1" t="s">
        <v>619</v>
      </c>
      <c r="B1089" s="1" t="str">
        <f>IFERROR(__xludf.DUMMYFUNCTION("SPLIT(A1089,"";"")"),"FEDERATION DEPARTEMENTALE DU SECOURS POPULAIRE FRANCAIS")</f>
        <v>FEDERATION DEPARTEMENTALE DU SECOURS POPULAIRE FRANCAIS</v>
      </c>
      <c r="C1089" s="3">
        <f>IFERROR(__xludf.DUMMYFUNCTION("""COMPUTED_VALUE"""),17748.0)</f>
        <v>17748</v>
      </c>
      <c r="D1089" s="1">
        <v>87.0</v>
      </c>
      <c r="E1089" s="2"/>
      <c r="F1089" s="2"/>
      <c r="G1089" s="2"/>
      <c r="H1089" s="2"/>
      <c r="I1089" s="2"/>
    </row>
    <row r="1090">
      <c r="A1090" s="1" t="s">
        <v>620</v>
      </c>
      <c r="B1090" s="1" t="str">
        <f>IFERROR(__xludf.DUMMYFUNCTION("SPLIT(A1090,"";"")"),"FEDERATION DES ASSOCIATIONS FAMILIALES CATHOLIQUES - AFC")</f>
        <v>FEDERATION DES ASSOCIATIONS FAMILIALES CATHOLIQUES - AFC</v>
      </c>
      <c r="C1090" s="1">
        <f>IFERROR(__xludf.DUMMYFUNCTION("""COMPUTED_VALUE"""),555.0)</f>
        <v>555</v>
      </c>
      <c r="D1090" s="1">
        <v>0.0</v>
      </c>
      <c r="E1090" s="2"/>
      <c r="F1090" s="2"/>
      <c r="G1090" s="2"/>
      <c r="H1090" s="2"/>
      <c r="I1090" s="2"/>
    </row>
    <row r="1091">
      <c r="A1091" s="1" t="s">
        <v>621</v>
      </c>
      <c r="B1091" s="1" t="str">
        <f>IFERROR(__xludf.DUMMYFUNCTION("SPLIT(A1091,"";"")"),"FEDERATION DES DESIGNERS EN AQUITAINE (FDA)")</f>
        <v>FEDERATION DES DESIGNERS EN AQUITAINE (FDA)</v>
      </c>
      <c r="C1091" s="1">
        <f>IFERROR(__xludf.DUMMYFUNCTION("""COMPUTED_VALUE"""),34.0)</f>
        <v>34</v>
      </c>
      <c r="D1091" s="1">
        <v>0.0</v>
      </c>
      <c r="E1091" s="2"/>
      <c r="F1091" s="2"/>
      <c r="G1091" s="2"/>
      <c r="H1091" s="2"/>
      <c r="I1091" s="2"/>
    </row>
    <row r="1092">
      <c r="A1092" s="1" t="s">
        <v>622</v>
      </c>
      <c r="B1092" s="1" t="str">
        <f>IFERROR(__xludf.DUMMYFUNCTION("SPLIT(A1092,"";"")"),"FEDERATION DES MANDATAIRES JUDICIAIRES INDEPENDANTS A LA PROTECTION DES MAJEURS AQUITAINE (FMJI AQUITAINE)")</f>
        <v>FEDERATION DES MANDATAIRES JUDICIAIRES INDEPENDANTS A LA PROTECTION DES MAJEURS AQUITAINE (FMJI AQUITAINE)</v>
      </c>
      <c r="C1092" s="1">
        <f>IFERROR(__xludf.DUMMYFUNCTION("""COMPUTED_VALUE"""),23.0)</f>
        <v>23</v>
      </c>
      <c r="D1092" s="1">
        <v>0.0</v>
      </c>
      <c r="E1092" s="2"/>
      <c r="F1092" s="2"/>
      <c r="G1092" s="2"/>
      <c r="H1092" s="2"/>
      <c r="I1092" s="2"/>
    </row>
    <row r="1093">
      <c r="A1093" s="1" t="s">
        <v>623</v>
      </c>
      <c r="B1093" s="1" t="str">
        <f>IFERROR(__xludf.DUMMYFUNCTION("SPLIT(A1093,"";"")"),"FEDERATION DES RADIOS ASSOCIATIVES DE LA GIRONDE - FEDERA 33")</f>
        <v>FEDERATION DES RADIOS ASSOCIATIVES DE LA GIRONDE - FEDERA 33</v>
      </c>
      <c r="C1093" s="3">
        <f>IFERROR(__xludf.DUMMYFUNCTION("""COMPUTED_VALUE"""),1089.0)</f>
        <v>1089</v>
      </c>
      <c r="D1093" s="1">
        <v>14.0</v>
      </c>
      <c r="E1093" s="2"/>
      <c r="F1093" s="2"/>
      <c r="G1093" s="2"/>
      <c r="H1093" s="2"/>
      <c r="I1093" s="2"/>
    </row>
    <row r="1094">
      <c r="A1094" s="1" t="s">
        <v>624</v>
      </c>
      <c r="B1094" s="1" t="str">
        <f>IFERROR(__xludf.DUMMYFUNCTION("SPLIT(A1094,"";"")"),"FEDERATION DES SOCIETES CARNAVALESQUES DE L'AGGLOMERATION BORDELAISE")</f>
        <v>FEDERATION DES SOCIETES CARNAVALESQUES DE L'AGGLOMERATION BORDELAISE</v>
      </c>
      <c r="C1094" s="1">
        <f>IFERROR(__xludf.DUMMYFUNCTION("""COMPUTED_VALUE"""),753.0)</f>
        <v>753</v>
      </c>
      <c r="D1094" s="1">
        <v>76.0</v>
      </c>
      <c r="E1094" s="2"/>
      <c r="F1094" s="2"/>
      <c r="G1094" s="2"/>
      <c r="H1094" s="2"/>
      <c r="I1094" s="2"/>
    </row>
    <row r="1095">
      <c r="A1095" s="1" t="s">
        <v>625</v>
      </c>
      <c r="B1095" s="1" t="str">
        <f>IFERROR(__xludf.DUMMYFUNCTION("SPLIT(A1095,"";"")"),"FEDERATION FRANCAISE DE NATATION")</f>
        <v>FEDERATION FRANCAISE DE NATATION</v>
      </c>
      <c r="C1095" s="1">
        <f>IFERROR(__xludf.DUMMYFUNCTION("""COMPUTED_VALUE"""),241.0)</f>
        <v>241</v>
      </c>
      <c r="D1095" s="1">
        <v>20.0</v>
      </c>
      <c r="E1095" s="2"/>
      <c r="F1095" s="2"/>
      <c r="G1095" s="2"/>
      <c r="H1095" s="2"/>
      <c r="I1095" s="2"/>
    </row>
    <row r="1096">
      <c r="A1096" s="1" t="s">
        <v>626</v>
      </c>
      <c r="B1096" s="1" t="str">
        <f>IFERROR(__xludf.DUMMYFUNCTION("SPLIT(A1096,"";"")"),"FEDERATION FRANCAISE DES PSYCHOLOGUES ET DE PSYCHOLOGIE - FFPP")</f>
        <v>FEDERATION FRANCAISE DES PSYCHOLOGUES ET DE PSYCHOLOGIE - FFPP</v>
      </c>
      <c r="C1096" s="1">
        <f>IFERROR(__xludf.DUMMYFUNCTION("""COMPUTED_VALUE"""),48.0)</f>
        <v>48</v>
      </c>
      <c r="D1096" s="1">
        <v>0.0</v>
      </c>
      <c r="E1096" s="2"/>
      <c r="F1096" s="2"/>
      <c r="G1096" s="2"/>
      <c r="H1096" s="2"/>
      <c r="I1096" s="2"/>
    </row>
    <row r="1097">
      <c r="A1097" s="1" t="s">
        <v>627</v>
      </c>
      <c r="B1097" s="1" t="str">
        <f>IFERROR(__xludf.DUMMYFUNCTION("SPLIT(A1097,"";"")"),"FEDERATION GIRONDINE DE GENEALOGIE - FGG")</f>
        <v>FEDERATION GIRONDINE DE GENEALOGIE - FGG</v>
      </c>
      <c r="C1097" s="1">
        <f>IFERROR(__xludf.DUMMYFUNCTION("""COMPUTED_VALUE"""),663.0)</f>
        <v>663</v>
      </c>
      <c r="D1097" s="1">
        <v>0.0</v>
      </c>
      <c r="E1097" s="2"/>
      <c r="F1097" s="2"/>
      <c r="G1097" s="2"/>
      <c r="H1097" s="2"/>
      <c r="I1097" s="2"/>
    </row>
    <row r="1098">
      <c r="A1098" s="1" t="s">
        <v>628</v>
      </c>
      <c r="B1098" s="1" t="str">
        <f>IFERROR(__xludf.DUMMYFUNCTION("SPLIT(A1098,"";"")"),"FEDERATION MUSULMANE DE LA GIRONDE")</f>
        <v>FEDERATION MUSULMANE DE LA GIRONDE</v>
      </c>
      <c r="C1098" s="3">
        <f>IFERROR(__xludf.DUMMYFUNCTION("""COMPUTED_VALUE"""),1714.0)</f>
        <v>1714</v>
      </c>
      <c r="D1098" s="1">
        <v>8.0</v>
      </c>
      <c r="E1098" s="2"/>
      <c r="F1098" s="2"/>
      <c r="G1098" s="2"/>
      <c r="H1098" s="2"/>
      <c r="I1098" s="2"/>
    </row>
    <row r="1099">
      <c r="A1099" s="1" t="s">
        <v>629</v>
      </c>
      <c r="B1099" s="1" t="str">
        <f>IFERROR(__xludf.DUMMYFUNCTION("SPLIT(A1099,"";"")"),"FEDERATION NATIONALE D'AIDE AUX INSUFFISANTS RENAUX D'AQUITAINE - FNAIR AQUITANE")</f>
        <v>FEDERATION NATIONALE D'AIDE AUX INSUFFISANTS RENAUX D'AQUITAINE - FNAIR AQUITANE</v>
      </c>
      <c r="C1099" s="1">
        <f>IFERROR(__xludf.DUMMYFUNCTION("""COMPUTED_VALUE"""),48.0)</f>
        <v>48</v>
      </c>
      <c r="D1099" s="1">
        <v>0.0</v>
      </c>
      <c r="E1099" s="2"/>
      <c r="F1099" s="2"/>
      <c r="G1099" s="2"/>
      <c r="H1099" s="2"/>
      <c r="I1099" s="2"/>
    </row>
    <row r="1100">
      <c r="A1100" s="1" t="s">
        <v>630</v>
      </c>
      <c r="B1100" s="1" t="str">
        <f>IFERROR(__xludf.DUMMYFUNCTION("SPLIT(A1100,"";"")"),"FEDERATION NATIONALE DES SERVICES SOCIAUX SPECIALISES DE PROTECTION DE L'ENFANCE - FN3S")</f>
        <v>FEDERATION NATIONALE DES SERVICES SOCIAUX SPECIALISES DE PROTECTION DE L'ENFANCE - FN3S</v>
      </c>
      <c r="C1100" s="1">
        <f>IFERROR(__xludf.DUMMYFUNCTION("""COMPUTED_VALUE"""),286.0)</f>
        <v>286</v>
      </c>
      <c r="D1100" s="1">
        <v>0.0</v>
      </c>
      <c r="E1100" s="2"/>
      <c r="F1100" s="2"/>
      <c r="G1100" s="2"/>
      <c r="H1100" s="2"/>
      <c r="I1100" s="2"/>
    </row>
    <row r="1101">
      <c r="A1101" s="1" t="s">
        <v>631</v>
      </c>
      <c r="B1101" s="1" t="str">
        <f>IFERROR(__xludf.DUMMYFUNCTION("SPLIT(A1101,"";"")"),"FEDERATION POUR LA RECHERCHE SUR LE CERVEAU - CAMPAGNE DU NEURODON 2004")</f>
        <v>FEDERATION POUR LA RECHERCHE SUR LE CERVEAU - CAMPAGNE DU NEURODON 2004</v>
      </c>
      <c r="C1101" s="1">
        <f>IFERROR(__xludf.DUMMYFUNCTION("""COMPUTED_VALUE"""),24.0)</f>
        <v>24</v>
      </c>
      <c r="D1101" s="1">
        <v>0.0</v>
      </c>
      <c r="E1101" s="2"/>
      <c r="F1101" s="2"/>
      <c r="G1101" s="2"/>
      <c r="H1101" s="2"/>
      <c r="I1101" s="2"/>
    </row>
    <row r="1102">
      <c r="A1102" s="1" t="s">
        <v>632</v>
      </c>
      <c r="B1102" s="1" t="str">
        <f>IFERROR(__xludf.DUMMYFUNCTION("SPLIT(A1102,"";"")"),"FEDERATION REGIONALE DES DECORES DU TRAVAIL NOUVELLE-AQUITAINE (FRDT)")</f>
        <v>FEDERATION REGIONALE DES DECORES DU TRAVAIL NOUVELLE-AQUITAINE (FRDT)</v>
      </c>
      <c r="C1102" s="3">
        <f>IFERROR(__xludf.DUMMYFUNCTION("""COMPUTED_VALUE"""),2217.0)</f>
        <v>2217</v>
      </c>
      <c r="D1102" s="1">
        <v>78.0</v>
      </c>
      <c r="E1102" s="2"/>
      <c r="F1102" s="2"/>
      <c r="G1102" s="2"/>
      <c r="H1102" s="2"/>
      <c r="I1102" s="2"/>
    </row>
    <row r="1103">
      <c r="A1103" s="1" t="s">
        <v>633</v>
      </c>
      <c r="B1103" s="1" t="str">
        <f>IFERROR(__xludf.DUMMYFUNCTION("SPLIT(A1103,"";"")"),"FEDERATION SOS RACISME GIRONDE-AQUITAINE")</f>
        <v>FEDERATION SOS RACISME GIRONDE-AQUITAINE</v>
      </c>
      <c r="C1103" s="1">
        <f>IFERROR(__xludf.DUMMYFUNCTION("""COMPUTED_VALUE"""),738.0)</f>
        <v>738</v>
      </c>
      <c r="D1103" s="1">
        <v>6.0</v>
      </c>
      <c r="E1103" s="2"/>
      <c r="F1103" s="2"/>
      <c r="G1103" s="2"/>
      <c r="H1103" s="2"/>
      <c r="I1103" s="2"/>
    </row>
    <row r="1104">
      <c r="A1104" s="1" t="s">
        <v>634</v>
      </c>
      <c r="B1104" s="1" t="str">
        <f>IFERROR(__xludf.DUMMYFUNCTION("SPLIT(A1104,"";"")"),"FEDERATION SYNDICALE UNITAIRE 33 - FSU 33")</f>
        <v>FEDERATION SYNDICALE UNITAIRE 33 - FSU 33</v>
      </c>
      <c r="C1104" s="1">
        <f>IFERROR(__xludf.DUMMYFUNCTION("""COMPUTED_VALUE"""),507.0)</f>
        <v>507</v>
      </c>
      <c r="D1104" s="1">
        <v>89.0</v>
      </c>
      <c r="E1104" s="2"/>
      <c r="F1104" s="2"/>
      <c r="G1104" s="2"/>
      <c r="H1104" s="2"/>
      <c r="I1104" s="2"/>
    </row>
    <row r="1105">
      <c r="A1105" s="1" t="s">
        <v>635</v>
      </c>
      <c r="B1105" s="1" t="str">
        <f>IFERROR(__xludf.DUMMYFUNCTION("SPLIT(A1105,"";"")"),"FEMMES INTERNATIONALES MURS BRISES")</f>
        <v>FEMMES INTERNATIONALES MURS BRISES</v>
      </c>
      <c r="C1105" s="3">
        <f>IFERROR(__xludf.DUMMYFUNCTION("""COMPUTED_VALUE"""),2071.0)</f>
        <v>2071</v>
      </c>
      <c r="D1105" s="1">
        <v>38.0</v>
      </c>
      <c r="E1105" s="2"/>
      <c r="F1105" s="2"/>
      <c r="G1105" s="2"/>
      <c r="H1105" s="2"/>
      <c r="I1105" s="2"/>
    </row>
    <row r="1106">
      <c r="A1106" s="1" t="s">
        <v>636</v>
      </c>
      <c r="B1106" s="1" t="str">
        <f>IFERROR(__xludf.DUMMYFUNCTION("SPLIT(A1106,"";"")"),"FENETRE SUR RUE")</f>
        <v>FENETRE SUR RUE</v>
      </c>
      <c r="C1106" s="1">
        <f>IFERROR(__xludf.DUMMYFUNCTION("""COMPUTED_VALUE"""),427.0)</f>
        <v>427</v>
      </c>
      <c r="D1106" s="1">
        <v>68.0</v>
      </c>
      <c r="E1106" s="2"/>
      <c r="F1106" s="2"/>
      <c r="G1106" s="2"/>
      <c r="H1106" s="2"/>
      <c r="I1106" s="2"/>
    </row>
    <row r="1107">
      <c r="A1107" s="1" t="s">
        <v>637</v>
      </c>
      <c r="B1107" s="1" t="str">
        <f>IFERROR(__xludf.DUMMYFUNCTION("SPLIT(A1107,"";"")"),"FESTIVAL DES ARTS DE BORDEAUX")</f>
        <v>FESTIVAL DES ARTS DE BORDEAUX</v>
      </c>
      <c r="C1107" s="3">
        <f>IFERROR(__xludf.DUMMYFUNCTION("""COMPUTED_VALUE"""),78310.0)</f>
        <v>78310</v>
      </c>
      <c r="D1107" s="1">
        <v>0.0</v>
      </c>
      <c r="E1107" s="2"/>
      <c r="F1107" s="2"/>
      <c r="G1107" s="2"/>
      <c r="H1107" s="2"/>
      <c r="I1107" s="2"/>
    </row>
    <row r="1108">
      <c r="A1108" s="1" t="s">
        <v>638</v>
      </c>
      <c r="B1108" s="1" t="str">
        <f>IFERROR(__xludf.DUMMYFUNCTION("SPLIT(A1108,"";"")"),"FISH AND SHOES")</f>
        <v>FISH AND SHOES</v>
      </c>
      <c r="C1108" s="3">
        <f>IFERROR(__xludf.DUMMYFUNCTION("""COMPUTED_VALUE"""),42499.0)</f>
        <v>42499</v>
      </c>
      <c r="D1108" s="1">
        <v>0.0</v>
      </c>
      <c r="E1108" s="2"/>
      <c r="F1108" s="2"/>
      <c r="G1108" s="2"/>
      <c r="H1108" s="2"/>
      <c r="I1108" s="2"/>
    </row>
    <row r="1109">
      <c r="A1109" s="1" t="s">
        <v>639</v>
      </c>
      <c r="B1109" s="1" t="str">
        <f>IFERROR(__xludf.DUMMYFUNCTION("SPLIT(A1109,"";"")"),"FITNESS FREESTYLE")</f>
        <v>FITNESS FREESTYLE</v>
      </c>
      <c r="C1109" s="3">
        <f>IFERROR(__xludf.DUMMYFUNCTION("""COMPUTED_VALUE"""),4551.0)</f>
        <v>4551</v>
      </c>
      <c r="D1109" s="1">
        <v>0.0</v>
      </c>
      <c r="E1109" s="2"/>
      <c r="F1109" s="2"/>
      <c r="G1109" s="2"/>
      <c r="H1109" s="2"/>
      <c r="I1109" s="2"/>
    </row>
    <row r="1110">
      <c r="A1110" s="1" t="s">
        <v>640</v>
      </c>
      <c r="B1110" s="1" t="str">
        <f>IFERROR(__xludf.DUMMYFUNCTION("SPLIT(A1110,"";"")"),"FOIRE AUX PLAISIRS DE BORDEAUX")</f>
        <v>FOIRE AUX PLAISIRS DE BORDEAUX</v>
      </c>
      <c r="C1110" s="1">
        <f>IFERROR(__xludf.DUMMYFUNCTION("""COMPUTED_VALUE"""),868.0)</f>
        <v>868</v>
      </c>
      <c r="D1110" s="1">
        <v>90.0</v>
      </c>
      <c r="E1110" s="2"/>
      <c r="F1110" s="2"/>
      <c r="G1110" s="2"/>
      <c r="H1110" s="2"/>
      <c r="I1110" s="2"/>
    </row>
    <row r="1111">
      <c r="A1111" s="1" t="s">
        <v>641</v>
      </c>
      <c r="B1111" s="1" t="str">
        <f>IFERROR(__xludf.DUMMYFUNCTION("SPLIT(A1111,"";"")"),"FONDA SUD-OUEST")</f>
        <v>FONDA SUD-OUEST</v>
      </c>
      <c r="C1111" s="1">
        <f>IFERROR(__xludf.DUMMYFUNCTION("""COMPUTED_VALUE"""),223.0)</f>
        <v>223</v>
      </c>
      <c r="D1111" s="1">
        <v>0.0</v>
      </c>
      <c r="E1111" s="2"/>
      <c r="F1111" s="2"/>
      <c r="G1111" s="2"/>
      <c r="H1111" s="2"/>
      <c r="I1111" s="2"/>
    </row>
    <row r="1112">
      <c r="A1112" s="1" t="s">
        <v>642</v>
      </c>
      <c r="B1112" s="1" t="str">
        <f>IFERROR(__xludf.DUMMYFUNCTION("SPLIT(A1112,"";"")"),"FONDATION D'AUTEUIL AQUITAINE")</f>
        <v>FONDATION D'AUTEUIL AQUITAINE</v>
      </c>
      <c r="C1112" s="1">
        <f>IFERROR(__xludf.DUMMYFUNCTION("""COMPUTED_VALUE"""),444.0)</f>
        <v>444</v>
      </c>
      <c r="D1112" s="1">
        <v>0.0</v>
      </c>
      <c r="E1112" s="2"/>
      <c r="F1112" s="2"/>
      <c r="G1112" s="2"/>
      <c r="H1112" s="2"/>
      <c r="I1112" s="2"/>
    </row>
    <row r="1113">
      <c r="A1113" s="1" t="s">
        <v>643</v>
      </c>
      <c r="B1113" s="1" t="str">
        <f>IFERROR(__xludf.DUMMYFUNCTION("SPLIT(A1113,"";"")"),"FONDATION DU PATRIMOINE - DELEGATION AQUITAINE")</f>
        <v>FONDATION DU PATRIMOINE - DELEGATION AQUITAINE</v>
      </c>
      <c r="C1113" s="3">
        <f>IFERROR(__xludf.DUMMYFUNCTION("""COMPUTED_VALUE"""),2192.0)</f>
        <v>2192</v>
      </c>
      <c r="D1113" s="1">
        <v>57.0</v>
      </c>
      <c r="E1113" s="2"/>
      <c r="F1113" s="2"/>
      <c r="G1113" s="2"/>
      <c r="H1113" s="2"/>
      <c r="I1113" s="2"/>
    </row>
    <row r="1114">
      <c r="A1114" s="1" t="s">
        <v>644</v>
      </c>
      <c r="B1114" s="1" t="str">
        <f>IFERROR(__xludf.DUMMYFUNCTION("SPLIT(A1114,"";"")"),"FONDATION MAISON DE LA GENDARMERIE")</f>
        <v>FONDATION MAISON DE LA GENDARMERIE</v>
      </c>
      <c r="C1114" s="3">
        <f>IFERROR(__xludf.DUMMYFUNCTION("""COMPUTED_VALUE"""),7026.0)</f>
        <v>7026</v>
      </c>
      <c r="D1114" s="1">
        <v>20.0</v>
      </c>
      <c r="E1114" s="2"/>
      <c r="F1114" s="2"/>
      <c r="G1114" s="2"/>
      <c r="H1114" s="2"/>
      <c r="I1114" s="2"/>
    </row>
    <row r="1115">
      <c r="A1115" s="1" t="s">
        <v>645</v>
      </c>
      <c r="B1115" s="1" t="str">
        <f>IFERROR(__xludf.DUMMYFUNCTION("SPLIT(A1115,"";"")"),"FONDS REGIONAL D'ART CONTEMPORAIN - COLLECTION AQUITAINE")</f>
        <v>FONDS REGIONAL D'ART CONTEMPORAIN - COLLECTION AQUITAINE</v>
      </c>
      <c r="C1115" s="3">
        <f>IFERROR(__xludf.DUMMYFUNCTION("""COMPUTED_VALUE"""),16264.0)</f>
        <v>16264</v>
      </c>
      <c r="D1115" s="1">
        <v>0.0</v>
      </c>
      <c r="E1115" s="2"/>
      <c r="F1115" s="2"/>
      <c r="G1115" s="2"/>
      <c r="H1115" s="2"/>
      <c r="I1115" s="2"/>
    </row>
    <row r="1116">
      <c r="A1116" s="1" t="s">
        <v>646</v>
      </c>
      <c r="B1116" s="1" t="str">
        <f>IFERROR(__xludf.DUMMYFUNCTION("SPLIT(A1116,"";"")"),"FOOT BALL CLUB BORDEAUX AQUITAINE 33")</f>
        <v>FOOT BALL CLUB BORDEAUX AQUITAINE 33</v>
      </c>
      <c r="C1116" s="1">
        <f>IFERROR(__xludf.DUMMYFUNCTION("""COMPUTED_VALUE"""),588.0)</f>
        <v>588</v>
      </c>
      <c r="D1116" s="1">
        <v>50.0</v>
      </c>
      <c r="E1116" s="2"/>
      <c r="F1116" s="2"/>
      <c r="G1116" s="2"/>
      <c r="H1116" s="2"/>
      <c r="I1116" s="2"/>
    </row>
    <row r="1117">
      <c r="A1117" s="1" t="s">
        <v>647</v>
      </c>
      <c r="B1117" s="1" t="str">
        <f>IFERROR(__xludf.DUMMYFUNCTION("SPLIT(A1117,"";"")"),"FOOT LOISIRS DOCKERS DE BORDEAUX")</f>
        <v>FOOT LOISIRS DOCKERS DE BORDEAUX</v>
      </c>
      <c r="C1117" s="3">
        <f>IFERROR(__xludf.DUMMYFUNCTION("""COMPUTED_VALUE"""),1990.0)</f>
        <v>1990</v>
      </c>
      <c r="D1117" s="1">
        <v>0.0</v>
      </c>
      <c r="E1117" s="2"/>
      <c r="F1117" s="2"/>
      <c r="G1117" s="2"/>
      <c r="H1117" s="2"/>
      <c r="I1117" s="2"/>
    </row>
    <row r="1118">
      <c r="A1118" s="1" t="s">
        <v>648</v>
      </c>
      <c r="B1118" s="1" t="str">
        <f>IFERROR(__xludf.DUMMYFUNCTION("SPLIT(A1118,"";"")"),"FOOTBALL CLUB DE LA PRESSE BORDELAISE")</f>
        <v>FOOTBALL CLUB DE LA PRESSE BORDELAISE</v>
      </c>
      <c r="C1118" s="1">
        <f>IFERROR(__xludf.DUMMYFUNCTION("""COMPUTED_VALUE"""),220.0)</f>
        <v>220</v>
      </c>
      <c r="D1118" s="1">
        <v>0.0</v>
      </c>
      <c r="E1118" s="2"/>
      <c r="F1118" s="2"/>
      <c r="G1118" s="2"/>
      <c r="H1118" s="2"/>
      <c r="I1118" s="2"/>
    </row>
    <row r="1119">
      <c r="A1119" s="1" t="s">
        <v>649</v>
      </c>
      <c r="B1119" s="1" t="str">
        <f>IFERROR(__xludf.DUMMYFUNCTION("SPLIT(A1119,"";"")"),"FOOTBALL CLUB DES GIRONDINS DE BORDEAUX - FCGB")</f>
        <v>FOOTBALL CLUB DES GIRONDINS DE BORDEAUX - FCGB</v>
      </c>
      <c r="C1119" s="1">
        <f>IFERROR(__xludf.DUMMYFUNCTION("""COMPUTED_VALUE"""),95.0)</f>
        <v>95</v>
      </c>
      <c r="D1119" s="1">
        <v>0.0</v>
      </c>
      <c r="E1119" s="2"/>
      <c r="F1119" s="2"/>
      <c r="G1119" s="2"/>
      <c r="H1119" s="2"/>
      <c r="I1119" s="2"/>
    </row>
    <row r="1120">
      <c r="A1120" s="1" t="s">
        <v>650</v>
      </c>
      <c r="B1120" s="1" t="str">
        <f>IFERROR(__xludf.DUMMYFUNCTION("SPLIT(A1120,"";"")"),"FOOTBALL-CLUB BORDEAUX OCEAN")</f>
        <v>FOOTBALL-CLUB BORDEAUX OCEAN</v>
      </c>
      <c r="C1120" s="3">
        <f>IFERROR(__xludf.DUMMYFUNCTION("""COMPUTED_VALUE"""),2170.0)</f>
        <v>2170</v>
      </c>
      <c r="D1120" s="1">
        <v>0.0</v>
      </c>
      <c r="E1120" s="2"/>
      <c r="F1120" s="2"/>
      <c r="G1120" s="2"/>
      <c r="H1120" s="2"/>
      <c r="I1120" s="2"/>
    </row>
    <row r="1121">
      <c r="A1121" s="1" t="s">
        <v>651</v>
      </c>
      <c r="B1121" s="1" t="str">
        <f>IFERROR(__xludf.DUMMYFUNCTION("SPLIT(A1121,"";"")"),"FOOTBALL-CLUB ROUGE")</f>
        <v>FOOTBALL-CLUB ROUGE</v>
      </c>
      <c r="C1121" s="1">
        <f>IFERROR(__xludf.DUMMYFUNCTION("""COMPUTED_VALUE"""),254.0)</f>
        <v>254</v>
      </c>
      <c r="D1121" s="1">
        <v>0.0</v>
      </c>
      <c r="E1121" s="2"/>
      <c r="F1121" s="2"/>
      <c r="G1121" s="2"/>
      <c r="H1121" s="2"/>
      <c r="I1121" s="2"/>
    </row>
    <row r="1122">
      <c r="A1122" s="1" t="s">
        <v>652</v>
      </c>
      <c r="B1122" s="1" t="str">
        <f>IFERROR(__xludf.DUMMYFUNCTION("SPLIT(A1122,"";"")"),"FORCE FEMMES")</f>
        <v>FORCE FEMMES</v>
      </c>
      <c r="C1122" s="3">
        <f>IFERROR(__xludf.DUMMYFUNCTION("""COMPUTED_VALUE"""),4024.0)</f>
        <v>4024</v>
      </c>
      <c r="D1122" s="1">
        <v>0.0</v>
      </c>
      <c r="E1122" s="2"/>
      <c r="F1122" s="2"/>
      <c r="G1122" s="2"/>
      <c r="H1122" s="2"/>
      <c r="I1122" s="2"/>
    </row>
    <row r="1123">
      <c r="A1123" s="1" t="s">
        <v>653</v>
      </c>
      <c r="B1123" s="1" t="str">
        <f>IFERROR(__xludf.DUMMYFUNCTION("SPLIT(A1123,"";"")"),"FORRO BORDEAUX")</f>
        <v>FORRO BORDEAUX</v>
      </c>
      <c r="C1123" s="1">
        <f>IFERROR(__xludf.DUMMYFUNCTION("""COMPUTED_VALUE"""),585.0)</f>
        <v>585</v>
      </c>
      <c r="D1123" s="1">
        <v>0.0</v>
      </c>
      <c r="E1123" s="2"/>
      <c r="F1123" s="2"/>
      <c r="G1123" s="2"/>
      <c r="H1123" s="2"/>
      <c r="I1123" s="2"/>
    </row>
    <row r="1124">
      <c r="A1124" s="1" t="s">
        <v>654</v>
      </c>
      <c r="B1124" s="1" t="str">
        <f>IFERROR(__xludf.DUMMYFUNCTION("SPLIT(A1124,"";"")"),"FORUM DES CULTURES ET DES TRADITIONS")</f>
        <v>FORUM DES CULTURES ET DES TRADITIONS</v>
      </c>
      <c r="C1124" s="1">
        <f>IFERROR(__xludf.DUMMYFUNCTION("""COMPUTED_VALUE"""),332.0)</f>
        <v>332</v>
      </c>
      <c r="D1124" s="1">
        <v>0.0</v>
      </c>
      <c r="E1124" s="2"/>
      <c r="F1124" s="2"/>
      <c r="G1124" s="2"/>
      <c r="H1124" s="2"/>
      <c r="I1124" s="2"/>
    </row>
    <row r="1125">
      <c r="A1125" s="1" t="s">
        <v>655</v>
      </c>
      <c r="B1125" s="1" t="str">
        <f>IFERROR(__xludf.DUMMYFUNCTION("SPLIT(A1125,"";"")"),"FOYER FRATERNEL")</f>
        <v>FOYER FRATERNEL</v>
      </c>
      <c r="C1125" s="1">
        <f>IFERROR(__xludf.DUMMYFUNCTION("""COMPUTED_VALUE"""),623.0)</f>
        <v>623</v>
      </c>
      <c r="D1125" s="1">
        <v>92.0</v>
      </c>
      <c r="E1125" s="2"/>
      <c r="F1125" s="2"/>
      <c r="G1125" s="2"/>
      <c r="H1125" s="2"/>
      <c r="I1125" s="2"/>
    </row>
    <row r="1126">
      <c r="A1126" s="1" t="s">
        <v>656</v>
      </c>
      <c r="B1126" s="1" t="str">
        <f>IFERROR(__xludf.DUMMYFUNCTION("SPLIT(A1126,"";"")"),"FOYER SOCIO-EDUCATIF DU COLLEGE ALAIN FOURNIER")</f>
        <v>FOYER SOCIO-EDUCATIF DU COLLEGE ALAIN FOURNIER</v>
      </c>
      <c r="C1126" s="1">
        <f>IFERROR(__xludf.DUMMYFUNCTION("""COMPUTED_VALUE"""),178.0)</f>
        <v>178</v>
      </c>
      <c r="D1126" s="1">
        <v>0.0</v>
      </c>
      <c r="E1126" s="2"/>
      <c r="F1126" s="2"/>
      <c r="G1126" s="2"/>
      <c r="H1126" s="2"/>
      <c r="I1126" s="2"/>
    </row>
    <row r="1127">
      <c r="A1127" s="1" t="s">
        <v>657</v>
      </c>
      <c r="B1127" s="1" t="str">
        <f>IFERROR(__xludf.DUMMYFUNCTION("SPLIT(A1127,"";"")"),"FRANCE ALZHEIMER GIRONDE")</f>
        <v>FRANCE ALZHEIMER GIRONDE</v>
      </c>
      <c r="C1127" s="1">
        <f>IFERROR(__xludf.DUMMYFUNCTION("""COMPUTED_VALUE"""),178.0)</f>
        <v>178</v>
      </c>
      <c r="D1127" s="1">
        <v>0.0</v>
      </c>
      <c r="E1127" s="2"/>
      <c r="F1127" s="2"/>
      <c r="G1127" s="2"/>
      <c r="H1127" s="2"/>
      <c r="I1127" s="2"/>
    </row>
    <row r="1128">
      <c r="A1128" s="1" t="s">
        <v>658</v>
      </c>
      <c r="B1128" s="1" t="str">
        <f>IFERROR(__xludf.DUMMYFUNCTION("SPLIT(A1128,"";"")"),"FRANCE AMERIQUE LATINE COMITE BORDEAUX GIRONDE")</f>
        <v>FRANCE AMERIQUE LATINE COMITE BORDEAUX GIRONDE</v>
      </c>
      <c r="C1128" s="3">
        <f>IFERROR(__xludf.DUMMYFUNCTION("""COMPUTED_VALUE"""),1103.0)</f>
        <v>1103</v>
      </c>
      <c r="D1128" s="1">
        <v>0.0</v>
      </c>
      <c r="E1128" s="2"/>
      <c r="F1128" s="2"/>
      <c r="G1128" s="2"/>
      <c r="H1128" s="2"/>
      <c r="I1128" s="2"/>
    </row>
    <row r="1129">
      <c r="A1129" s="1" t="s">
        <v>659</v>
      </c>
      <c r="B1129" s="1" t="str">
        <f>IFERROR(__xludf.DUMMYFUNCTION("SPLIT(A1129,"";"")"),"FRANCE BENEVOLAT BORDEAUX GIRONDE")</f>
        <v>FRANCE BENEVOLAT BORDEAUX GIRONDE</v>
      </c>
      <c r="C1129" s="3">
        <f>IFERROR(__xludf.DUMMYFUNCTION("""COMPUTED_VALUE"""),12084.0)</f>
        <v>12084</v>
      </c>
      <c r="D1129" s="1">
        <v>0.0</v>
      </c>
      <c r="E1129" s="2"/>
      <c r="F1129" s="2"/>
      <c r="G1129" s="2"/>
      <c r="H1129" s="2"/>
      <c r="I1129" s="2"/>
    </row>
    <row r="1130">
      <c r="A1130" s="1" t="s">
        <v>660</v>
      </c>
      <c r="B1130" s="1" t="str">
        <f>IFERROR(__xludf.DUMMYFUNCTION("SPLIT(A1130,"";"")"),"France PARKINSON")</f>
        <v>France PARKINSON</v>
      </c>
      <c r="C1130" s="1">
        <f>IFERROR(__xludf.DUMMYFUNCTION("""COMPUTED_VALUE"""),700.0)</f>
        <v>700</v>
      </c>
      <c r="D1130" s="1">
        <v>0.0</v>
      </c>
      <c r="E1130" s="2"/>
      <c r="F1130" s="2"/>
      <c r="G1130" s="2"/>
      <c r="H1130" s="2"/>
      <c r="I1130" s="2"/>
    </row>
    <row r="1131">
      <c r="A1131" s="1" t="s">
        <v>661</v>
      </c>
      <c r="B1131" s="1" t="str">
        <f>IFERROR(__xludf.DUMMYFUNCTION("SPLIT(A1131,"";"")"),"FRANCE PLUS GIRONDE")</f>
        <v>FRANCE PLUS GIRONDE</v>
      </c>
      <c r="C1131" s="3">
        <f>IFERROR(__xludf.DUMMYFUNCTION("""COMPUTED_VALUE"""),2880.0)</f>
        <v>2880</v>
      </c>
      <c r="D1131" s="1">
        <v>0.0</v>
      </c>
      <c r="E1131" s="2"/>
      <c r="F1131" s="2"/>
      <c r="G1131" s="2"/>
      <c r="H1131" s="2"/>
      <c r="I1131" s="2"/>
    </row>
    <row r="1132">
      <c r="A1132" s="1" t="s">
        <v>662</v>
      </c>
      <c r="B1132" s="1" t="str">
        <f>IFERROR(__xludf.DUMMYFUNCTION("SPLIT(A1132,"";"")"),"FRANCE PSORIASIS")</f>
        <v>FRANCE PSORIASIS</v>
      </c>
      <c r="C1132" s="1">
        <f>IFERROR(__xludf.DUMMYFUNCTION("""COMPUTED_VALUE"""),72.0)</f>
        <v>72</v>
      </c>
      <c r="D1132" s="1">
        <v>0.0</v>
      </c>
      <c r="E1132" s="2"/>
      <c r="F1132" s="2"/>
      <c r="G1132" s="2"/>
      <c r="H1132" s="2"/>
      <c r="I1132" s="2"/>
    </row>
    <row r="1133">
      <c r="A1133" s="1" t="s">
        <v>663</v>
      </c>
      <c r="B1133" s="1" t="str">
        <f>IFERROR(__xludf.DUMMYFUNCTION("SPLIT(A1133,"";"")"),"GABON")</f>
        <v>GABON</v>
      </c>
      <c r="C1133" s="1"/>
      <c r="D1133" s="1" t="s">
        <v>664</v>
      </c>
      <c r="E1133" s="1">
        <v>0.0</v>
      </c>
      <c r="F1133" s="2"/>
      <c r="G1133" s="2"/>
      <c r="H1133" s="2"/>
      <c r="I1133" s="2"/>
    </row>
    <row r="1134">
      <c r="A1134" s="1" t="s">
        <v>665</v>
      </c>
      <c r="B1134" s="1" t="str">
        <f>IFERROR(__xludf.DUMMYFUNCTION("SPLIT(A1134,"";"")"),"GARGANTUA")</f>
        <v>GARGANTUA</v>
      </c>
      <c r="C1134" s="3">
        <f>IFERROR(__xludf.DUMMYFUNCTION("""COMPUTED_VALUE"""),5600.0)</f>
        <v>5600</v>
      </c>
      <c r="D1134" s="1">
        <v>0.0</v>
      </c>
      <c r="E1134" s="2"/>
      <c r="F1134" s="2"/>
      <c r="G1134" s="2"/>
      <c r="H1134" s="2"/>
      <c r="I1134" s="2"/>
    </row>
    <row r="1135">
      <c r="A1135" s="1" t="s">
        <v>666</v>
      </c>
      <c r="B1135" s="1" t="str">
        <f>IFERROR(__xludf.DUMMYFUNCTION("SPLIT(A1135,"";"")"),"GASP'ART")</f>
        <v>GASP'ART</v>
      </c>
      <c r="C1135" s="3">
        <f>IFERROR(__xludf.DUMMYFUNCTION("""COMPUTED_VALUE"""),2257.0)</f>
        <v>2257</v>
      </c>
      <c r="D1135" s="1">
        <v>0.0</v>
      </c>
      <c r="E1135" s="2"/>
      <c r="F1135" s="2"/>
      <c r="G1135" s="2"/>
      <c r="H1135" s="2"/>
      <c r="I1135" s="2"/>
    </row>
    <row r="1136">
      <c r="A1136" s="1" t="s">
        <v>667</v>
      </c>
      <c r="B1136" s="1" t="str">
        <f>IFERROR(__xludf.DUMMYFUNCTION("SPLIT(A1136,"";"")"),"GAZELLISSIMES")</f>
        <v>GAZELLISSIMES</v>
      </c>
      <c r="C1136" s="1">
        <f>IFERROR(__xludf.DUMMYFUNCTION("""COMPUTED_VALUE"""),597.0)</f>
        <v>597</v>
      </c>
      <c r="D1136" s="1">
        <v>68.0</v>
      </c>
      <c r="E1136" s="2"/>
      <c r="F1136" s="2"/>
      <c r="G1136" s="2"/>
      <c r="H1136" s="2"/>
      <c r="I1136" s="2"/>
    </row>
    <row r="1137">
      <c r="A1137" s="1" t="s">
        <v>668</v>
      </c>
      <c r="B1137" s="1" t="str">
        <f>IFERROR(__xludf.DUMMYFUNCTION("SPLIT(A1137,"";"")"),"GEAR LOCKER")</f>
        <v>GEAR LOCKER</v>
      </c>
      <c r="C1137" s="1">
        <f>IFERROR(__xludf.DUMMYFUNCTION("""COMPUTED_VALUE"""),52.0)</f>
        <v>52</v>
      </c>
      <c r="D1137" s="1">
        <v>0.0</v>
      </c>
      <c r="E1137" s="2"/>
      <c r="F1137" s="2"/>
      <c r="G1137" s="2"/>
      <c r="H1137" s="2"/>
      <c r="I1137" s="2"/>
    </row>
    <row r="1138">
      <c r="A1138" s="1" t="s">
        <v>669</v>
      </c>
      <c r="B1138" s="1" t="str">
        <f>IFERROR(__xludf.DUMMYFUNCTION("SPLIT(A1138,"";"")"),"GEM ""LES NEUROFESTIFS 33""")</f>
        <v>GEM "LES NEUROFESTIFS 33"</v>
      </c>
      <c r="C1138" s="1">
        <f>IFERROR(__xludf.DUMMYFUNCTION("""COMPUTED_VALUE"""),587.0)</f>
        <v>587</v>
      </c>
      <c r="D1138" s="1">
        <v>0.0</v>
      </c>
      <c r="E1138" s="2"/>
      <c r="F1138" s="2"/>
      <c r="G1138" s="2"/>
      <c r="H1138" s="2"/>
      <c r="I1138" s="2"/>
    </row>
    <row r="1139">
      <c r="A1139" s="1" t="s">
        <v>670</v>
      </c>
      <c r="B1139" s="1" t="str">
        <f>IFERROR(__xludf.DUMMYFUNCTION("SPLIT(A1139,"";"")"),"GENERATIONS TAUZIN")</f>
        <v>GENERATIONS TAUZIN</v>
      </c>
      <c r="C1139" s="1">
        <f>IFERROR(__xludf.DUMMYFUNCTION("""COMPUTED_VALUE"""),166.0)</f>
        <v>166</v>
      </c>
      <c r="D1139" s="1">
        <v>0.0</v>
      </c>
      <c r="E1139" s="2"/>
      <c r="F1139" s="2"/>
      <c r="G1139" s="2"/>
      <c r="H1139" s="2"/>
      <c r="I1139" s="2"/>
    </row>
    <row r="1140">
      <c r="A1140" s="1" t="s">
        <v>671</v>
      </c>
      <c r="B1140" s="1" t="str">
        <f>IFERROR(__xludf.DUMMYFUNCTION("SPLIT(A1140,"";"")"),"GIRONDE ROUMANIE ECHANGES ET CULTURE")</f>
        <v>GIRONDE ROUMANIE ECHANGES ET CULTURE</v>
      </c>
      <c r="C1140" s="1">
        <f>IFERROR(__xludf.DUMMYFUNCTION("""COMPUTED_VALUE"""),184.0)</f>
        <v>184</v>
      </c>
      <c r="D1140" s="1">
        <v>0.0</v>
      </c>
      <c r="E1140" s="2"/>
      <c r="F1140" s="2"/>
      <c r="G1140" s="2"/>
      <c r="H1140" s="2"/>
      <c r="I1140" s="2"/>
    </row>
    <row r="1141">
      <c r="A1141" s="1" t="s">
        <v>672</v>
      </c>
      <c r="B1141" s="1" t="str">
        <f>IFERROR(__xludf.DUMMYFUNCTION("SPLIT(A1141,"";"")"),"GIRONDINS DE BORDEAUX BASTIDE HANDBALL CLUB")</f>
        <v>GIRONDINS DE BORDEAUX BASTIDE HANDBALL CLUB</v>
      </c>
      <c r="C1141" s="3">
        <f>IFERROR(__xludf.DUMMYFUNCTION("""COMPUTED_VALUE"""),115329.0)</f>
        <v>115329</v>
      </c>
      <c r="D1141" s="1">
        <v>95.0</v>
      </c>
      <c r="E1141" s="2"/>
      <c r="F1141" s="2"/>
      <c r="G1141" s="2"/>
      <c r="H1141" s="2"/>
      <c r="I1141" s="2"/>
    </row>
    <row r="1142">
      <c r="A1142" s="1" t="s">
        <v>673</v>
      </c>
      <c r="B1142" s="1" t="str">
        <f>IFERROR(__xludf.DUMMYFUNCTION("SPLIT(A1142,"";"")"),"GIRONDINS DE BORDEAUX TIR")</f>
        <v>GIRONDINS DE BORDEAUX TIR</v>
      </c>
      <c r="C1142" s="1">
        <f>IFERROR(__xludf.DUMMYFUNCTION("""COMPUTED_VALUE"""),880.0)</f>
        <v>880</v>
      </c>
      <c r="D1142" s="1">
        <v>32.0</v>
      </c>
      <c r="E1142" s="2"/>
      <c r="F1142" s="2"/>
      <c r="G1142" s="2"/>
      <c r="H1142" s="2"/>
      <c r="I1142" s="2"/>
    </row>
    <row r="1143">
      <c r="A1143" s="1" t="s">
        <v>674</v>
      </c>
      <c r="B1143" s="1" t="str">
        <f>IFERROR(__xludf.DUMMYFUNCTION("SPLIT(A1143,"";"")"),"GLOB THEATRE")</f>
        <v>GLOB THEATRE</v>
      </c>
      <c r="C1143" s="3">
        <f>IFERROR(__xludf.DUMMYFUNCTION("""COMPUTED_VALUE"""),1588.0)</f>
        <v>1588</v>
      </c>
      <c r="D1143" s="1">
        <v>79.0</v>
      </c>
      <c r="E1143" s="2"/>
      <c r="F1143" s="2"/>
      <c r="G1143" s="2"/>
      <c r="H1143" s="2"/>
      <c r="I1143" s="2"/>
    </row>
    <row r="1144">
      <c r="A1144" s="1" t="s">
        <v>675</v>
      </c>
      <c r="B1144" s="1" t="str">
        <f>IFERROR(__xludf.DUMMYFUNCTION("SPLIT(A1144,"";"")"),"GP INTENCITE CENTRE SOCIAL ET CULTUREL DU GRAND PARC")</f>
        <v>GP INTENCITE CENTRE SOCIAL ET CULTUREL DU GRAND PARC</v>
      </c>
      <c r="C1144" s="3">
        <f>IFERROR(__xludf.DUMMYFUNCTION("""COMPUTED_VALUE"""),3366.0)</f>
        <v>3366</v>
      </c>
      <c r="D1144" s="1">
        <v>4.0</v>
      </c>
      <c r="E1144" s="2"/>
      <c r="F1144" s="2"/>
      <c r="G1144" s="2"/>
      <c r="H1144" s="2"/>
      <c r="I1144" s="2"/>
    </row>
    <row r="1145">
      <c r="A1145" s="1" t="s">
        <v>676</v>
      </c>
      <c r="B1145" s="1" t="str">
        <f>IFERROR(__xludf.DUMMYFUNCTION("SPLIT(A1145,"";"")"),"GRAIN DE SABLE")</f>
        <v>GRAIN DE SABLE</v>
      </c>
      <c r="C1145" s="1">
        <f>IFERROR(__xludf.DUMMYFUNCTION("""COMPUTED_VALUE"""),24.0)</f>
        <v>24</v>
      </c>
      <c r="D1145" s="1">
        <v>0.0</v>
      </c>
      <c r="E1145" s="2"/>
      <c r="F1145" s="2"/>
      <c r="G1145" s="2"/>
      <c r="H1145" s="2"/>
      <c r="I1145" s="2"/>
    </row>
    <row r="1146">
      <c r="A1146" s="1" t="s">
        <v>677</v>
      </c>
      <c r="B1146" s="1" t="str">
        <f>IFERROR(__xludf.DUMMYFUNCTION("SPLIT(A1146,"";"")"),"GRAINES DE SOLIDARITE")</f>
        <v>GRAINES DE SOLIDARITE</v>
      </c>
      <c r="C1146" s="3">
        <f>IFERROR(__xludf.DUMMYFUNCTION("""COMPUTED_VALUE"""),1058.0)</f>
        <v>1058</v>
      </c>
      <c r="D1146" s="1">
        <v>82.0</v>
      </c>
      <c r="E1146" s="2"/>
      <c r="F1146" s="2"/>
      <c r="G1146" s="2"/>
      <c r="H1146" s="2"/>
      <c r="I1146" s="2"/>
    </row>
    <row r="1147">
      <c r="A1147" s="1" t="s">
        <v>678</v>
      </c>
      <c r="B1147" s="1" t="str">
        <f>IFERROR(__xludf.DUMMYFUNCTION("SPLIT(A1147,"";"")"),"GRANDIR ENSEMBLE")</f>
        <v>GRANDIR ENSEMBLE</v>
      </c>
      <c r="C1147" s="3">
        <f>IFERROR(__xludf.DUMMYFUNCTION("""COMPUTED_VALUE"""),2286.0)</f>
        <v>2286</v>
      </c>
      <c r="D1147" s="1">
        <v>0.0</v>
      </c>
      <c r="E1147" s="2"/>
      <c r="F1147" s="2"/>
      <c r="G1147" s="2"/>
      <c r="H1147" s="2"/>
      <c r="I1147" s="2"/>
    </row>
    <row r="1148">
      <c r="A1148" s="1" t="s">
        <v>679</v>
      </c>
      <c r="B1148" s="1" t="str">
        <f>IFERROR(__xludf.DUMMYFUNCTION("SPLIT(A1148,"";"")"),"GROUPE ATTAC 33")</f>
        <v>GROUPE ATTAC 33</v>
      </c>
      <c r="C1148" s="1">
        <f>IFERROR(__xludf.DUMMYFUNCTION("""COMPUTED_VALUE"""),444.0)</f>
        <v>444</v>
      </c>
      <c r="D1148" s="1">
        <v>0.0</v>
      </c>
      <c r="E1148" s="2"/>
      <c r="F1148" s="2"/>
      <c r="G1148" s="2"/>
      <c r="H1148" s="2"/>
      <c r="I1148" s="2"/>
    </row>
    <row r="1149">
      <c r="A1149" s="1" t="s">
        <v>680</v>
      </c>
      <c r="B1149" s="1" t="str">
        <f>IFERROR(__xludf.DUMMYFUNCTION("SPLIT(A1149,"";"")"),"GROUPE D'ETUDE POUR L'INSERTION SOCIALE DES PERSONNES PORTEUSES D'UNE TRISOMIE 21 - GEIST 21")</f>
        <v>GROUPE D'ETUDE POUR L'INSERTION SOCIALE DES PERSONNES PORTEUSES D'UNE TRISOMIE 21 - GEIST 21</v>
      </c>
      <c r="C1149" s="1">
        <f>IFERROR(__xludf.DUMMYFUNCTION("""COMPUTED_VALUE"""),231.0)</f>
        <v>231</v>
      </c>
      <c r="D1149" s="1">
        <v>0.0</v>
      </c>
      <c r="E1149" s="2"/>
      <c r="F1149" s="2"/>
      <c r="G1149" s="2"/>
      <c r="H1149" s="2"/>
      <c r="I1149" s="2"/>
    </row>
    <row r="1150">
      <c r="A1150" s="1" t="s">
        <v>681</v>
      </c>
      <c r="B1150" s="1" t="str">
        <f>IFERROR(__xludf.DUMMYFUNCTION("SPLIT(A1150,"";"")"),"GROUPE LOCAL ACTION DES CHRETIENS POUR L'ABOLITION DE LA TORTURE DE BORDEAUX")</f>
        <v>GROUPE LOCAL ACTION DES CHRETIENS POUR L'ABOLITION DE LA TORTURE DE BORDEAUX</v>
      </c>
      <c r="C1150" s="1">
        <f>IFERROR(__xludf.DUMMYFUNCTION("""COMPUTED_VALUE"""),34.0)</f>
        <v>34</v>
      </c>
      <c r="D1150" s="1">
        <v>0.0</v>
      </c>
      <c r="E1150" s="2"/>
      <c r="F1150" s="2"/>
      <c r="G1150" s="2"/>
      <c r="H1150" s="2"/>
      <c r="I1150" s="2"/>
    </row>
    <row r="1151">
      <c r="A1151" s="1" t="s">
        <v>682</v>
      </c>
      <c r="B1151" s="1" t="str">
        <f>IFERROR(__xludf.DUMMYFUNCTION("SPLIT(A1151,"";"")"),"GROUPE PASSERELLE")</f>
        <v>GROUPE PASSERELLE</v>
      </c>
      <c r="C1151" s="3">
        <f>IFERROR(__xludf.DUMMYFUNCTION("""COMPUTED_VALUE"""),5040.0)</f>
        <v>5040</v>
      </c>
      <c r="D1151" s="1">
        <v>0.0</v>
      </c>
      <c r="E1151" s="2"/>
      <c r="F1151" s="2"/>
      <c r="G1151" s="2"/>
      <c r="H1151" s="2"/>
      <c r="I1151" s="2"/>
    </row>
    <row r="1152">
      <c r="A1152" s="1" t="s">
        <v>683</v>
      </c>
      <c r="B1152" s="1" t="str">
        <f>IFERROR(__xludf.DUMMYFUNCTION("SPLIT(A1152,"";"")"),"GROUPE VOCAL ARPEGE DE BORDEAUX")</f>
        <v>GROUPE VOCAL ARPEGE DE BORDEAUX</v>
      </c>
      <c r="C1152" s="3">
        <f>IFERROR(__xludf.DUMMYFUNCTION("""COMPUTED_VALUE"""),2163.0)</f>
        <v>2163</v>
      </c>
      <c r="D1152" s="1">
        <v>72.0</v>
      </c>
      <c r="E1152" s="2"/>
      <c r="F1152" s="2"/>
      <c r="G1152" s="2"/>
      <c r="H1152" s="2"/>
      <c r="I1152" s="2"/>
    </row>
    <row r="1153">
      <c r="A1153" s="1" t="s">
        <v>684</v>
      </c>
      <c r="B1153" s="1" t="str">
        <f>IFERROR(__xludf.DUMMYFUNCTION("SPLIT(A1153,"";"")"),"GROUPEMENT DES RETRAITES EDUCATEURS SANS FRONTIERES - GREF")</f>
        <v>GROUPEMENT DES RETRAITES EDUCATEURS SANS FRONTIERES - GREF</v>
      </c>
      <c r="C1153" s="1">
        <f>IFERROR(__xludf.DUMMYFUNCTION("""COMPUTED_VALUE"""),172.0)</f>
        <v>172</v>
      </c>
      <c r="D1153" s="1">
        <v>0.0</v>
      </c>
      <c r="E1153" s="2"/>
      <c r="F1153" s="2"/>
      <c r="G1153" s="2"/>
      <c r="H1153" s="2"/>
      <c r="I1153" s="2"/>
    </row>
    <row r="1154">
      <c r="A1154" s="1" t="s">
        <v>685</v>
      </c>
      <c r="B1154" s="1" t="str">
        <f>IFERROR(__xludf.DUMMYFUNCTION("SPLIT(A1154,"";"")"),"GROUPEMENT POUR L'INSERTION DES HANDICAPES PHYSIQUES D'AQUITAINE - GIHP AQUITAINE")</f>
        <v>GROUPEMENT POUR L'INSERTION DES HANDICAPES PHYSIQUES D'AQUITAINE - GIHP AQUITAINE</v>
      </c>
      <c r="C1154" s="1">
        <f>IFERROR(__xludf.DUMMYFUNCTION("""COMPUTED_VALUE"""),178.0)</f>
        <v>178</v>
      </c>
      <c r="D1154" s="1">
        <v>0.0</v>
      </c>
      <c r="E1154" s="2"/>
      <c r="F1154" s="2"/>
      <c r="G1154" s="2"/>
      <c r="H1154" s="2"/>
      <c r="I1154" s="2"/>
    </row>
    <row r="1155">
      <c r="A1155" s="1" t="s">
        <v>686</v>
      </c>
      <c r="B1155" s="1" t="str">
        <f>IFERROR(__xludf.DUMMYFUNCTION("SPLIT(A1155,"";"")"),"GUYENNE HANDI-NAGES")</f>
        <v>GUYENNE HANDI-NAGES</v>
      </c>
      <c r="C1155" s="3">
        <f>IFERROR(__xludf.DUMMYFUNCTION("""COMPUTED_VALUE"""),11761.0)</f>
        <v>11761</v>
      </c>
      <c r="D1155" s="1">
        <v>17.0</v>
      </c>
      <c r="E1155" s="2"/>
      <c r="F1155" s="2"/>
      <c r="G1155" s="2"/>
      <c r="H1155" s="2"/>
      <c r="I1155" s="2"/>
    </row>
    <row r="1156">
      <c r="A1156" s="1" t="s">
        <v>687</v>
      </c>
      <c r="B1156" s="1" t="str">
        <f>IFERROR(__xludf.DUMMYFUNCTION("SPLIT(A1156,"";"")"),"GYMNASTIQUE VOLONTAIRE BORDEAUX BASTIDE")</f>
        <v>GYMNASTIQUE VOLONTAIRE BORDEAUX BASTIDE</v>
      </c>
      <c r="C1156" s="3">
        <f>IFERROR(__xludf.DUMMYFUNCTION("""COMPUTED_VALUE"""),4000.0)</f>
        <v>4000</v>
      </c>
      <c r="D1156" s="1">
        <v>50.0</v>
      </c>
      <c r="E1156" s="2"/>
      <c r="F1156" s="2"/>
      <c r="G1156" s="2"/>
      <c r="H1156" s="2"/>
      <c r="I1156" s="2"/>
    </row>
    <row r="1157">
      <c r="A1157" s="1" t="s">
        <v>688</v>
      </c>
      <c r="B1157" s="1" t="str">
        <f>IFERROR(__xludf.DUMMYFUNCTION("SPLIT(A1157,"";"")"),"GYMNASTIQUE VOLONTAIRE BORDEAUX LOUCHEUR")</f>
        <v>GYMNASTIQUE VOLONTAIRE BORDEAUX LOUCHEUR</v>
      </c>
      <c r="C1157" s="3">
        <f>IFERROR(__xludf.DUMMYFUNCTION("""COMPUTED_VALUE"""),1215.0)</f>
        <v>1215</v>
      </c>
      <c r="D1157" s="1">
        <v>0.0</v>
      </c>
      <c r="E1157" s="2"/>
      <c r="F1157" s="2"/>
      <c r="G1157" s="2"/>
      <c r="H1157" s="2"/>
      <c r="I1157" s="2"/>
    </row>
    <row r="1158">
      <c r="A1158" s="1" t="s">
        <v>689</v>
      </c>
      <c r="B1158" s="1" t="str">
        <f>IFERROR(__xludf.DUMMYFUNCTION("SPLIT(A1158,"";"")"),"GYMNASTIQUE VOLONTAIRE CHAUFFOUR")</f>
        <v>GYMNASTIQUE VOLONTAIRE CHAUFFOUR</v>
      </c>
      <c r="C1158" s="3">
        <f>IFERROR(__xludf.DUMMYFUNCTION("""COMPUTED_VALUE"""),1548.0)</f>
        <v>1548</v>
      </c>
      <c r="D1158" s="1">
        <v>0.0</v>
      </c>
      <c r="E1158" s="2"/>
      <c r="F1158" s="2"/>
      <c r="G1158" s="2"/>
      <c r="H1158" s="2"/>
      <c r="I1158" s="2"/>
    </row>
    <row r="1159">
      <c r="A1159" s="1" t="s">
        <v>690</v>
      </c>
      <c r="B1159" s="1" t="str">
        <f>IFERROR(__xludf.DUMMYFUNCTION("SPLIT(A1159,"";"")"),"GYMNASTIQUE VOLONTAIRE LESCURE")</f>
        <v>GYMNASTIQUE VOLONTAIRE LESCURE</v>
      </c>
      <c r="C1159" s="3">
        <f>IFERROR(__xludf.DUMMYFUNCTION("""COMPUTED_VALUE"""),7938.0)</f>
        <v>7938</v>
      </c>
      <c r="D1159" s="1">
        <v>0.0</v>
      </c>
      <c r="E1159" s="2"/>
      <c r="F1159" s="2"/>
      <c r="G1159" s="2"/>
      <c r="H1159" s="2"/>
      <c r="I1159" s="2"/>
    </row>
    <row r="1160">
      <c r="A1160" s="1" t="s">
        <v>691</v>
      </c>
      <c r="B1160" s="1" t="str">
        <f>IFERROR(__xludf.DUMMYFUNCTION("SPLIT(A1160,"";"")"),"GYMNASTIQUE VOLONTAIRE PERGOLA STEHELIN")</f>
        <v>GYMNASTIQUE VOLONTAIRE PERGOLA STEHELIN</v>
      </c>
      <c r="C1160" s="3">
        <f>IFERROR(__xludf.DUMMYFUNCTION("""COMPUTED_VALUE"""),7642.0)</f>
        <v>7642</v>
      </c>
      <c r="D1160" s="1">
        <v>50.0</v>
      </c>
      <c r="E1160" s="2"/>
      <c r="F1160" s="2"/>
      <c r="G1160" s="2"/>
      <c r="H1160" s="2"/>
      <c r="I1160" s="2"/>
    </row>
    <row r="1161">
      <c r="A1161" s="1" t="s">
        <v>692</v>
      </c>
      <c r="B1161" s="1" t="str">
        <f>IFERROR(__xludf.DUMMYFUNCTION("SPLIT(A1161,"";"")"),"GYMNASTIQUE VOLONTAIRE QUARTIER ST NICOLAS")</f>
        <v>GYMNASTIQUE VOLONTAIRE QUARTIER ST NICOLAS</v>
      </c>
      <c r="C1161" s="3">
        <f>IFERROR(__xludf.DUMMYFUNCTION("""COMPUTED_VALUE"""),1905.0)</f>
        <v>1905</v>
      </c>
      <c r="D1161" s="1">
        <v>0.0</v>
      </c>
      <c r="E1161" s="2"/>
      <c r="F1161" s="2"/>
      <c r="G1161" s="2"/>
      <c r="H1161" s="2"/>
      <c r="I1161" s="2"/>
    </row>
    <row r="1162">
      <c r="A1162" s="1" t="s">
        <v>693</v>
      </c>
      <c r="B1162" s="1" t="str">
        <f>IFERROR(__xludf.DUMMYFUNCTION("SPLIT(A1162,"";"")"),"H NORD ECOQUARTIER DE BORDEAUX - H NORD")</f>
        <v>H NORD ECOQUARTIER DE BORDEAUX - H NORD</v>
      </c>
      <c r="C1162" s="1">
        <f>IFERROR(__xludf.DUMMYFUNCTION("""COMPUTED_VALUE"""),273.0)</f>
        <v>273</v>
      </c>
      <c r="D1162" s="1">
        <v>0.0</v>
      </c>
      <c r="E1162" s="2"/>
      <c r="F1162" s="2"/>
      <c r="G1162" s="2"/>
      <c r="H1162" s="2"/>
      <c r="I1162" s="2"/>
    </row>
    <row r="1163">
      <c r="A1163" s="1" t="s">
        <v>694</v>
      </c>
      <c r="B1163" s="1" t="str">
        <f>IFERROR(__xludf.DUMMYFUNCTION("SPLIT(A1163,"";"")"),"HABAD LOUBAVITCH BORDEAUX")</f>
        <v>HABAD LOUBAVITCH BORDEAUX</v>
      </c>
      <c r="C1163" s="1">
        <f>IFERROR(__xludf.DUMMYFUNCTION("""COMPUTED_VALUE"""),711.0)</f>
        <v>711</v>
      </c>
      <c r="D1163" s="1">
        <v>35.0</v>
      </c>
      <c r="E1163" s="2"/>
      <c r="F1163" s="2"/>
      <c r="G1163" s="2"/>
      <c r="H1163" s="2"/>
      <c r="I1163" s="2"/>
    </row>
    <row r="1164">
      <c r="A1164" s="1" t="s">
        <v>695</v>
      </c>
      <c r="B1164" s="1" t="str">
        <f>IFERROR(__xludf.DUMMYFUNCTION("SPLIT(A1164,"";"")"),"HABITAT ET HUMANISME GIRONDE - HH33")</f>
        <v>HABITAT ET HUMANISME GIRONDE - HH33</v>
      </c>
      <c r="C1164" s="1">
        <f>IFERROR(__xludf.DUMMYFUNCTION("""COMPUTED_VALUE"""),68.0)</f>
        <v>68</v>
      </c>
      <c r="D1164" s="1">
        <v>0.0</v>
      </c>
      <c r="E1164" s="2"/>
      <c r="F1164" s="2"/>
      <c r="G1164" s="2"/>
      <c r="H1164" s="2"/>
      <c r="I1164" s="2"/>
    </row>
    <row r="1165">
      <c r="A1165" s="1" t="s">
        <v>696</v>
      </c>
      <c r="B1165" s="1" t="str">
        <f>IFERROR(__xludf.DUMMYFUNCTION("SPLIT(A1165,"";"")"),"HABITATS JEUNES SIMONE NOAILLES")</f>
        <v>HABITATS JEUNES SIMONE NOAILLES</v>
      </c>
      <c r="C1165" s="1">
        <f>IFERROR(__xludf.DUMMYFUNCTION("""COMPUTED_VALUE"""),577.0)</f>
        <v>577</v>
      </c>
      <c r="D1165" s="1">
        <v>48.0</v>
      </c>
      <c r="E1165" s="2"/>
      <c r="F1165" s="2"/>
      <c r="G1165" s="2"/>
      <c r="H1165" s="2"/>
      <c r="I1165" s="2"/>
    </row>
    <row r="1166">
      <c r="A1166" s="1" t="s">
        <v>697</v>
      </c>
      <c r="B1166" s="1" t="str">
        <f>IFERROR(__xludf.DUMMYFUNCTION("SPLIT(A1166,"";"")"),"HAITI EN VIE")</f>
        <v>HAITI EN VIE</v>
      </c>
      <c r="C1166" s="1">
        <f>IFERROR(__xludf.DUMMYFUNCTION("""COMPUTED_VALUE"""),34.0)</f>
        <v>34</v>
      </c>
      <c r="D1166" s="1">
        <v>0.0</v>
      </c>
      <c r="E1166" s="2"/>
      <c r="F1166" s="2"/>
      <c r="G1166" s="2"/>
      <c r="H1166" s="2"/>
      <c r="I1166" s="2"/>
    </row>
    <row r="1167">
      <c r="A1167" s="1" t="s">
        <v>698</v>
      </c>
      <c r="B1167" s="1" t="str">
        <f>IFERROR(__xludf.DUMMYFUNCTION("SPLIT(A1167,"";"")"),"HALEIWA")</f>
        <v>HALEIWA</v>
      </c>
      <c r="C1167" s="1">
        <f>IFERROR(__xludf.DUMMYFUNCTION("""COMPUTED_VALUE"""),676.0)</f>
        <v>676</v>
      </c>
      <c r="D1167" s="1">
        <v>50.0</v>
      </c>
      <c r="E1167" s="2"/>
      <c r="F1167" s="2"/>
      <c r="G1167" s="2"/>
      <c r="H1167" s="2"/>
      <c r="I1167" s="2"/>
    </row>
    <row r="1168">
      <c r="A1168" s="1" t="s">
        <v>699</v>
      </c>
      <c r="B1168" s="1" t="str">
        <f>IFERROR(__xludf.DUMMYFUNCTION("SPLIT(A1168,"";"")"),"HANDICAP INTERNATIONAL")</f>
        <v>HANDICAP INTERNATIONAL</v>
      </c>
      <c r="C1168" s="1">
        <f>IFERROR(__xludf.DUMMYFUNCTION("""COMPUTED_VALUE"""),598.0)</f>
        <v>598</v>
      </c>
      <c r="D1168" s="1">
        <v>56.0</v>
      </c>
      <c r="E1168" s="2"/>
      <c r="F1168" s="2"/>
      <c r="G1168" s="2"/>
      <c r="H1168" s="2"/>
      <c r="I1168" s="2"/>
    </row>
    <row r="1169">
      <c r="A1169" s="1" t="s">
        <v>700</v>
      </c>
      <c r="B1169" s="1" t="str">
        <f>IFERROR(__xludf.DUMMYFUNCTION("SPLIT(A1169,"";"")"),"HANDISPORT 33 AMICALE SPORTIVE DES HANDICAPES PHYSIQUES D'AQUITAINE - ASHPA")</f>
        <v>HANDISPORT 33 AMICALE SPORTIVE DES HANDICAPES PHYSIQUES D'AQUITAINE - ASHPA</v>
      </c>
      <c r="C1169" s="3">
        <f>IFERROR(__xludf.DUMMYFUNCTION("""COMPUTED_VALUE"""),10720.0)</f>
        <v>10720</v>
      </c>
      <c r="D1169" s="1">
        <v>0.0</v>
      </c>
      <c r="E1169" s="2"/>
      <c r="F1169" s="2"/>
      <c r="G1169" s="2"/>
      <c r="H1169" s="2"/>
      <c r="I1169" s="2"/>
    </row>
    <row r="1170">
      <c r="A1170" s="1" t="s">
        <v>701</v>
      </c>
      <c r="B1170" s="1" t="str">
        <f>IFERROR(__xludf.DUMMYFUNCTION("SPLIT(A1170,"";"")"),"HARMONIE STRETCH ET DETENTE")</f>
        <v>HARMONIE STRETCH ET DETENTE</v>
      </c>
      <c r="C1170" s="3">
        <f>IFERROR(__xludf.DUMMYFUNCTION("""COMPUTED_VALUE"""),2592.0)</f>
        <v>2592</v>
      </c>
      <c r="D1170" s="1">
        <v>0.0</v>
      </c>
      <c r="E1170" s="2"/>
      <c r="F1170" s="2"/>
      <c r="G1170" s="2"/>
      <c r="H1170" s="2"/>
      <c r="I1170" s="2"/>
    </row>
    <row r="1171">
      <c r="A1171" s="1" t="s">
        <v>702</v>
      </c>
      <c r="B1171" s="1" t="str">
        <f>IFERROR(__xludf.DUMMYFUNCTION("SPLIT(A1171,"";"")"),"HISTOIRE(S) DE LA BASTIDE")</f>
        <v>HISTOIRE(S) DE LA BASTIDE</v>
      </c>
      <c r="C1171" s="1">
        <f>IFERROR(__xludf.DUMMYFUNCTION("""COMPUTED_VALUE"""),34.0)</f>
        <v>34</v>
      </c>
      <c r="D1171" s="1">
        <v>0.0</v>
      </c>
      <c r="E1171" s="2"/>
      <c r="F1171" s="2"/>
      <c r="G1171" s="2"/>
      <c r="H1171" s="2"/>
      <c r="I1171" s="2"/>
    </row>
    <row r="1172">
      <c r="A1172" s="1" t="s">
        <v>703</v>
      </c>
      <c r="B1172" s="1" t="str">
        <f>IFERROR(__xludf.DUMMYFUNCTION("SPLIT(A1172,"";"")"),"HOCKEY GARONNE SPORT")</f>
        <v>HOCKEY GARONNE SPORT</v>
      </c>
      <c r="C1172" s="3">
        <f>IFERROR(__xludf.DUMMYFUNCTION("""COMPUTED_VALUE"""),11052.0)</f>
        <v>11052</v>
      </c>
      <c r="D1172" s="1">
        <v>0.0</v>
      </c>
      <c r="E1172" s="2"/>
      <c r="F1172" s="2"/>
      <c r="G1172" s="2"/>
      <c r="H1172" s="2"/>
      <c r="I1172" s="2"/>
    </row>
    <row r="1173">
      <c r="A1173" s="1" t="s">
        <v>704</v>
      </c>
      <c r="B1173" s="1" t="str">
        <f>IFERROR(__xludf.DUMMYFUNCTION("SPLIT(A1173,"";"")"),"HORS BORD")</f>
        <v>HORS BORD</v>
      </c>
      <c r="C1173" s="3">
        <f>IFERROR(__xludf.DUMMYFUNCTION("""COMPUTED_VALUE"""),1463.0)</f>
        <v>1463</v>
      </c>
      <c r="D1173" s="1">
        <v>15.0</v>
      </c>
      <c r="E1173" s="2"/>
      <c r="F1173" s="2"/>
      <c r="G1173" s="2"/>
      <c r="H1173" s="2"/>
      <c r="I1173" s="2"/>
    </row>
    <row r="1174">
      <c r="A1174" s="1" t="s">
        <v>705</v>
      </c>
      <c r="B1174" s="1" t="str">
        <f>IFERROR(__xludf.DUMMYFUNCTION("SPLIT(A1174,"";"")"),"ICRONOS")</f>
        <v>ICRONOS</v>
      </c>
      <c r="C1174" s="1">
        <f>IFERROR(__xludf.DUMMYFUNCTION("""COMPUTED_VALUE"""),486.0)</f>
        <v>486</v>
      </c>
      <c r="D1174" s="1">
        <v>70.0</v>
      </c>
      <c r="E1174" s="2"/>
      <c r="F1174" s="2"/>
      <c r="G1174" s="2"/>
      <c r="H1174" s="2"/>
      <c r="I1174" s="2"/>
    </row>
    <row r="1175">
      <c r="A1175" s="1" t="s">
        <v>706</v>
      </c>
      <c r="B1175" s="1" t="str">
        <f>IFERROR(__xludf.DUMMYFUNCTION("SPLIT(A1175,"";"")"),"IDEH - INITIATIVES POUR LE DEVELOPPEMENT HUMAIN")</f>
        <v>IDEH - INITIATIVES POUR LE DEVELOPPEMENT HUMAIN</v>
      </c>
      <c r="C1175" s="1">
        <f>IFERROR(__xludf.DUMMYFUNCTION("""COMPUTED_VALUE"""),170.0)</f>
        <v>170</v>
      </c>
      <c r="D1175" s="1">
        <v>0.0</v>
      </c>
      <c r="E1175" s="2"/>
      <c r="F1175" s="2"/>
      <c r="G1175" s="2"/>
      <c r="H1175" s="2"/>
      <c r="I1175" s="2"/>
    </row>
    <row r="1176">
      <c r="A1176" s="1" t="s">
        <v>707</v>
      </c>
      <c r="B1176" s="1" t="str">
        <f>IFERROR(__xludf.DUMMYFUNCTION("SPLIT(A1176,"";"")"),"ILOT DES MOTS")</f>
        <v>ILOT DES MOTS</v>
      </c>
      <c r="C1176" s="3">
        <f>IFERROR(__xludf.DUMMYFUNCTION("""COMPUTED_VALUE"""),3600.0)</f>
        <v>3600</v>
      </c>
      <c r="D1176" s="1">
        <v>0.0</v>
      </c>
      <c r="E1176" s="2"/>
      <c r="F1176" s="2"/>
      <c r="G1176" s="2"/>
      <c r="H1176" s="2"/>
      <c r="I1176" s="2"/>
    </row>
    <row r="1177">
      <c r="A1177" s="1" t="s">
        <v>708</v>
      </c>
      <c r="B1177" s="1" t="str">
        <f>IFERROR(__xludf.DUMMYFUNCTION("SPLIT(A1177,"";"")"),"IMAGINA MUSIC")</f>
        <v>IMAGINA MUSIC</v>
      </c>
      <c r="C1177" s="3">
        <f>IFERROR(__xludf.DUMMYFUNCTION("""COMPUTED_VALUE"""),2155.0)</f>
        <v>2155</v>
      </c>
      <c r="D1177" s="1">
        <v>0.0</v>
      </c>
      <c r="E1177" s="2"/>
      <c r="F1177" s="2"/>
      <c r="G1177" s="2"/>
      <c r="H1177" s="2"/>
      <c r="I1177" s="2"/>
    </row>
    <row r="1178">
      <c r="A1178" s="1" t="s">
        <v>709</v>
      </c>
      <c r="B1178" s="1" t="str">
        <f>IFERROR(__xludf.DUMMYFUNCTION("SPLIT(A1178,"";"")"),"IMPACTS AQUITAINE")</f>
        <v>IMPACTS AQUITAINE</v>
      </c>
      <c r="C1178" s="3">
        <f>IFERROR(__xludf.DUMMYFUNCTION("""COMPUTED_VALUE"""),43566.0)</f>
        <v>43566</v>
      </c>
      <c r="D1178" s="1">
        <v>0.0</v>
      </c>
      <c r="E1178" s="2"/>
      <c r="F1178" s="2"/>
      <c r="G1178" s="2"/>
      <c r="H1178" s="2"/>
      <c r="I1178" s="2"/>
    </row>
    <row r="1179">
      <c r="A1179" s="1" t="s">
        <v>710</v>
      </c>
      <c r="B1179" s="1" t="str">
        <f>IFERROR(__xludf.DUMMYFUNCTION("SPLIT(A1179,"";"")"),"INNER WHEEL CLUB DE BORDEAUX MEDOC")</f>
        <v>INNER WHEEL CLUB DE BORDEAUX MEDOC</v>
      </c>
      <c r="C1179" s="1">
        <f>IFERROR(__xludf.DUMMYFUNCTION("""COMPUTED_VALUE"""),708.0)</f>
        <v>708</v>
      </c>
      <c r="D1179" s="1">
        <v>0.0</v>
      </c>
      <c r="E1179" s="2"/>
      <c r="F1179" s="2"/>
      <c r="G1179" s="2"/>
      <c r="H1179" s="2"/>
      <c r="I1179" s="2"/>
    </row>
    <row r="1180">
      <c r="A1180" s="1" t="s">
        <v>711</v>
      </c>
      <c r="B1180" s="1" t="str">
        <f>IFERROR(__xludf.DUMMYFUNCTION("SPLIT(A1180,"";"")"),"INSTANCE REGIONALE D'EDUCATION ET DE PROMOTION DE LA SANTE NOUVELLE-AQUITAINE (IREPS NOUVELLE-AQUITAINE)")</f>
        <v>INSTANCE REGIONALE D'EDUCATION ET DE PROMOTION DE LA SANTE NOUVELLE-AQUITAINE (IREPS NOUVELLE-AQUITAINE)</v>
      </c>
      <c r="C1180" s="1">
        <f>IFERROR(__xludf.DUMMYFUNCTION("""COMPUTED_VALUE"""),588.0)</f>
        <v>588</v>
      </c>
      <c r="D1180" s="1">
        <v>0.0</v>
      </c>
      <c r="E1180" s="2"/>
      <c r="F1180" s="2"/>
      <c r="G1180" s="2"/>
      <c r="H1180" s="2"/>
      <c r="I1180" s="2"/>
    </row>
    <row r="1181">
      <c r="A1181" s="1" t="s">
        <v>712</v>
      </c>
      <c r="B1181" s="1" t="str">
        <f>IFERROR(__xludf.DUMMYFUNCTION("SPLIT(A1181,"";"")"),"INSTANTS BORDELAIS")</f>
        <v>INSTANTS BORDELAIS</v>
      </c>
      <c r="C1181" s="1">
        <f>IFERROR(__xludf.DUMMYFUNCTION("""COMPUTED_VALUE"""),529.0)</f>
        <v>529</v>
      </c>
      <c r="D1181" s="1">
        <v>80.0</v>
      </c>
      <c r="E1181" s="2"/>
      <c r="F1181" s="2"/>
      <c r="G1181" s="2"/>
      <c r="H1181" s="2"/>
      <c r="I1181" s="2"/>
    </row>
    <row r="1182">
      <c r="A1182" s="1" t="s">
        <v>713</v>
      </c>
      <c r="B1182" s="1" t="str">
        <f>IFERROR(__xludf.DUMMYFUNCTION("SPLIT(A1182,"";"")"),"INSTITUT BERGONIE")</f>
        <v>INSTITUT BERGONIE</v>
      </c>
      <c r="C1182" s="3">
        <f>IFERROR(__xludf.DUMMYFUNCTION("""COMPUTED_VALUE"""),1013.0)</f>
        <v>1013</v>
      </c>
      <c r="D1182" s="1">
        <v>12.0</v>
      </c>
      <c r="E1182" s="2"/>
      <c r="F1182" s="2"/>
      <c r="G1182" s="2"/>
      <c r="H1182" s="2"/>
      <c r="I1182" s="2"/>
    </row>
    <row r="1183">
      <c r="A1183" s="1" t="s">
        <v>714</v>
      </c>
      <c r="B1183" s="1" t="str">
        <f>IFERROR(__xludf.DUMMYFUNCTION("SPLIT(A1183,"";"")"),"INSTITUT DE FORMATION ET D'APPUI AUX INITIATIVES DE DEVELOPPEMENT - IFAID AQUITAINE")</f>
        <v>INSTITUT DE FORMATION ET D'APPUI AUX INITIATIVES DE DEVELOPPEMENT - IFAID AQUITAINE</v>
      </c>
      <c r="C1183" s="3">
        <f>IFERROR(__xludf.DUMMYFUNCTION("""COMPUTED_VALUE"""),1705.0)</f>
        <v>1705</v>
      </c>
      <c r="D1183" s="1">
        <v>0.0</v>
      </c>
      <c r="E1183" s="2"/>
      <c r="F1183" s="2"/>
      <c r="G1183" s="2"/>
      <c r="H1183" s="2"/>
      <c r="I1183" s="2"/>
    </row>
    <row r="1184">
      <c r="A1184" s="1" t="s">
        <v>715</v>
      </c>
      <c r="B1184" s="1" t="str">
        <f>IFERROR(__xludf.DUMMYFUNCTION("SPLIT(A1184,"";"")"),"INSTITUT DE JOURNALISME BORDEAUX AQUITAINE")</f>
        <v>INSTITUT DE JOURNALISME BORDEAUX AQUITAINE</v>
      </c>
      <c r="C1184" s="3">
        <f>IFERROR(__xludf.DUMMYFUNCTION("""COMPUTED_VALUE"""),1932.0)</f>
        <v>1932</v>
      </c>
      <c r="D1184" s="1">
        <v>0.0</v>
      </c>
      <c r="E1184" s="2"/>
      <c r="F1184" s="2"/>
      <c r="G1184" s="2"/>
      <c r="H1184" s="2"/>
      <c r="I1184" s="2"/>
    </row>
    <row r="1185">
      <c r="A1185" s="1" t="s">
        <v>716</v>
      </c>
      <c r="B1185" s="1" t="str">
        <f>IFERROR(__xludf.DUMMYFUNCTION("SPLIT(A1185,"";"")"),"INSTITUT DES CONDUITES ALIMENTAIRES (ICAL)")</f>
        <v>INSTITUT DES CONDUITES ALIMENTAIRES (ICAL)</v>
      </c>
      <c r="C1185" s="1">
        <f>IFERROR(__xludf.DUMMYFUNCTION("""COMPUTED_VALUE"""),847.0)</f>
        <v>847</v>
      </c>
      <c r="D1185" s="1">
        <v>20.0</v>
      </c>
      <c r="E1185" s="2"/>
      <c r="F1185" s="2"/>
      <c r="G1185" s="2"/>
      <c r="H1185" s="2"/>
      <c r="I1185" s="2"/>
    </row>
    <row r="1186">
      <c r="A1186" s="1" t="s">
        <v>717</v>
      </c>
      <c r="B1186" s="1" t="str">
        <f>IFERROR(__xludf.DUMMYFUNCTION("SPLIT(A1186,"";"")"),"INSTITUT MACONNIQUE D'AQUITAINE")</f>
        <v>INSTITUT MACONNIQUE D'AQUITAINE</v>
      </c>
      <c r="C1186" s="1">
        <f>IFERROR(__xludf.DUMMYFUNCTION("""COMPUTED_VALUE"""),444.0)</f>
        <v>444</v>
      </c>
      <c r="D1186" s="1">
        <v>0.0</v>
      </c>
      <c r="E1186" s="2"/>
      <c r="F1186" s="2"/>
      <c r="G1186" s="2"/>
      <c r="H1186" s="2"/>
      <c r="I1186" s="2"/>
    </row>
    <row r="1187">
      <c r="A1187" s="1" t="s">
        <v>718</v>
      </c>
      <c r="B1187" s="1" t="str">
        <f>IFERROR(__xludf.DUMMYFUNCTION("SPLIT(A1187,"";"")"),"INSTITUT MEDICO-PEDAGOGIQUE SAINT JOSEPH")</f>
        <v>INSTITUT MEDICO-PEDAGOGIQUE SAINT JOSEPH</v>
      </c>
      <c r="C1187" s="1">
        <f>IFERROR(__xludf.DUMMYFUNCTION("""COMPUTED_VALUE"""),495.0)</f>
        <v>495</v>
      </c>
      <c r="D1187" s="1">
        <v>0.0</v>
      </c>
      <c r="E1187" s="2"/>
      <c r="F1187" s="2"/>
      <c r="G1187" s="2"/>
      <c r="H1187" s="2"/>
      <c r="I1187" s="2"/>
    </row>
    <row r="1188">
      <c r="A1188" s="1" t="s">
        <v>719</v>
      </c>
      <c r="B1188" s="1" t="str">
        <f>IFERROR(__xludf.DUMMYFUNCTION("SPLIT(A1188,"";"")"),"INSTITUT REGIONAL DES SOURDS ET DES AVEUGLES - IRSA")</f>
        <v>INSTITUT REGIONAL DES SOURDS ET DES AVEUGLES - IRSA</v>
      </c>
      <c r="C1188" s="1">
        <f>IFERROR(__xludf.DUMMYFUNCTION("""COMPUTED_VALUE"""),126.0)</f>
        <v>126</v>
      </c>
      <c r="D1188" s="1">
        <v>0.0</v>
      </c>
      <c r="E1188" s="2"/>
      <c r="F1188" s="2"/>
      <c r="G1188" s="2"/>
      <c r="H1188" s="2"/>
      <c r="I1188" s="2"/>
    </row>
    <row r="1189">
      <c r="A1189" s="1" t="s">
        <v>720</v>
      </c>
      <c r="B1189" s="1" t="str">
        <f>IFERROR(__xludf.DUMMYFUNCTION("SPLIT(A1189,"";"")"),"INTERLUDE")</f>
        <v>INTERLUDE</v>
      </c>
      <c r="C1189" s="3">
        <f>IFERROR(__xludf.DUMMYFUNCTION("""COMPUTED_VALUE"""),72621.0)</f>
        <v>72621</v>
      </c>
      <c r="D1189" s="1">
        <v>24.0</v>
      </c>
      <c r="E1189" s="2"/>
      <c r="F1189" s="2"/>
      <c r="G1189" s="2"/>
      <c r="H1189" s="2"/>
      <c r="I1189" s="2"/>
    </row>
    <row r="1190">
      <c r="A1190" s="1" t="s">
        <v>721</v>
      </c>
      <c r="B1190" s="1" t="str">
        <f>IFERROR(__xludf.DUMMYFUNCTION("SPLIT(A1190,"";"")"),"INTERNATIONAL CLUB OF BORDEAUX (ICB)")</f>
        <v>INTERNATIONAL CLUB OF BORDEAUX (ICB)</v>
      </c>
      <c r="C1190" s="1">
        <f>IFERROR(__xludf.DUMMYFUNCTION("""COMPUTED_VALUE"""),34.0)</f>
        <v>34</v>
      </c>
      <c r="D1190" s="1">
        <v>0.0</v>
      </c>
      <c r="E1190" s="2"/>
      <c r="F1190" s="2"/>
      <c r="G1190" s="2"/>
      <c r="H1190" s="2"/>
      <c r="I1190" s="2"/>
    </row>
    <row r="1191">
      <c r="A1191" s="1" t="s">
        <v>652</v>
      </c>
      <c r="B1191" s="1" t="str">
        <f>IFERROR(__xludf.DUMMYFUNCTION("SPLIT(A1191,"";"")"),"FORCE FEMMES")</f>
        <v>FORCE FEMMES</v>
      </c>
      <c r="C1191" s="3">
        <f>IFERROR(__xludf.DUMMYFUNCTION("""COMPUTED_VALUE"""),4024.0)</f>
        <v>4024</v>
      </c>
      <c r="D1191" s="1">
        <v>0.0</v>
      </c>
      <c r="E1191" s="2"/>
      <c r="F1191" s="2"/>
      <c r="G1191" s="2"/>
      <c r="H1191" s="2"/>
      <c r="I1191" s="2"/>
    </row>
    <row r="1192">
      <c r="A1192" s="1" t="s">
        <v>653</v>
      </c>
      <c r="B1192" s="1" t="str">
        <f>IFERROR(__xludf.DUMMYFUNCTION("SPLIT(A1192,"";"")"),"FORRO BORDEAUX")</f>
        <v>FORRO BORDEAUX</v>
      </c>
      <c r="C1192" s="1">
        <f>IFERROR(__xludf.DUMMYFUNCTION("""COMPUTED_VALUE"""),585.0)</f>
        <v>585</v>
      </c>
      <c r="D1192" s="1">
        <v>0.0</v>
      </c>
      <c r="E1192" s="2"/>
      <c r="F1192" s="2"/>
      <c r="G1192" s="2"/>
      <c r="H1192" s="2"/>
      <c r="I1192" s="2"/>
    </row>
    <row r="1193">
      <c r="A1193" s="1" t="s">
        <v>654</v>
      </c>
      <c r="B1193" s="1" t="str">
        <f>IFERROR(__xludf.DUMMYFUNCTION("SPLIT(A1193,"";"")"),"FORUM DES CULTURES ET DES TRADITIONS")</f>
        <v>FORUM DES CULTURES ET DES TRADITIONS</v>
      </c>
      <c r="C1193" s="1">
        <f>IFERROR(__xludf.DUMMYFUNCTION("""COMPUTED_VALUE"""),332.0)</f>
        <v>332</v>
      </c>
      <c r="D1193" s="1">
        <v>0.0</v>
      </c>
      <c r="E1193" s="2"/>
      <c r="F1193" s="2"/>
      <c r="G1193" s="2"/>
      <c r="H1193" s="2"/>
      <c r="I1193" s="2"/>
    </row>
    <row r="1194">
      <c r="A1194" s="1" t="s">
        <v>655</v>
      </c>
      <c r="B1194" s="1" t="str">
        <f>IFERROR(__xludf.DUMMYFUNCTION("SPLIT(A1194,"";"")"),"FOYER FRATERNEL")</f>
        <v>FOYER FRATERNEL</v>
      </c>
      <c r="C1194" s="1">
        <f>IFERROR(__xludf.DUMMYFUNCTION("""COMPUTED_VALUE"""),623.0)</f>
        <v>623</v>
      </c>
      <c r="D1194" s="1">
        <v>92.0</v>
      </c>
      <c r="E1194" s="2"/>
      <c r="F1194" s="2"/>
      <c r="G1194" s="2"/>
      <c r="H1194" s="2"/>
      <c r="I1194" s="2"/>
    </row>
    <row r="1195">
      <c r="A1195" s="1" t="s">
        <v>656</v>
      </c>
      <c r="B1195" s="1" t="str">
        <f>IFERROR(__xludf.DUMMYFUNCTION("SPLIT(A1195,"";"")"),"FOYER SOCIO-EDUCATIF DU COLLEGE ALAIN FOURNIER")</f>
        <v>FOYER SOCIO-EDUCATIF DU COLLEGE ALAIN FOURNIER</v>
      </c>
      <c r="C1195" s="1">
        <f>IFERROR(__xludf.DUMMYFUNCTION("""COMPUTED_VALUE"""),178.0)</f>
        <v>178</v>
      </c>
      <c r="D1195" s="1">
        <v>0.0</v>
      </c>
      <c r="E1195" s="2"/>
      <c r="F1195" s="2"/>
      <c r="G1195" s="2"/>
      <c r="H1195" s="2"/>
      <c r="I1195" s="2"/>
    </row>
    <row r="1196">
      <c r="A1196" s="1" t="s">
        <v>657</v>
      </c>
      <c r="B1196" s="1" t="str">
        <f>IFERROR(__xludf.DUMMYFUNCTION("SPLIT(A1196,"";"")"),"FRANCE ALZHEIMER GIRONDE")</f>
        <v>FRANCE ALZHEIMER GIRONDE</v>
      </c>
      <c r="C1196" s="1">
        <f>IFERROR(__xludf.DUMMYFUNCTION("""COMPUTED_VALUE"""),178.0)</f>
        <v>178</v>
      </c>
      <c r="D1196" s="1">
        <v>0.0</v>
      </c>
      <c r="E1196" s="2"/>
      <c r="F1196" s="2"/>
      <c r="G1196" s="2"/>
      <c r="H1196" s="2"/>
      <c r="I1196" s="2"/>
    </row>
    <row r="1197">
      <c r="A1197" s="1" t="s">
        <v>658</v>
      </c>
      <c r="B1197" s="1" t="str">
        <f>IFERROR(__xludf.DUMMYFUNCTION("SPLIT(A1197,"";"")"),"FRANCE AMERIQUE LATINE COMITE BORDEAUX GIRONDE")</f>
        <v>FRANCE AMERIQUE LATINE COMITE BORDEAUX GIRONDE</v>
      </c>
      <c r="C1197" s="3">
        <f>IFERROR(__xludf.DUMMYFUNCTION("""COMPUTED_VALUE"""),1103.0)</f>
        <v>1103</v>
      </c>
      <c r="D1197" s="1">
        <v>0.0</v>
      </c>
      <c r="E1197" s="2"/>
      <c r="F1197" s="2"/>
      <c r="G1197" s="2"/>
      <c r="H1197" s="2"/>
      <c r="I1197" s="2"/>
    </row>
    <row r="1198">
      <c r="A1198" s="1" t="s">
        <v>659</v>
      </c>
      <c r="B1198" s="1" t="str">
        <f>IFERROR(__xludf.DUMMYFUNCTION("SPLIT(A1198,"";"")"),"FRANCE BENEVOLAT BORDEAUX GIRONDE")</f>
        <v>FRANCE BENEVOLAT BORDEAUX GIRONDE</v>
      </c>
      <c r="C1198" s="3">
        <f>IFERROR(__xludf.DUMMYFUNCTION("""COMPUTED_VALUE"""),12084.0)</f>
        <v>12084</v>
      </c>
      <c r="D1198" s="1">
        <v>0.0</v>
      </c>
      <c r="E1198" s="2"/>
      <c r="F1198" s="2"/>
      <c r="G1198" s="2"/>
      <c r="H1198" s="2"/>
      <c r="I1198" s="2"/>
    </row>
    <row r="1199">
      <c r="A1199" s="1" t="s">
        <v>660</v>
      </c>
      <c r="B1199" s="1" t="str">
        <f>IFERROR(__xludf.DUMMYFUNCTION("SPLIT(A1199,"";"")"),"France PARKINSON")</f>
        <v>France PARKINSON</v>
      </c>
      <c r="C1199" s="1">
        <f>IFERROR(__xludf.DUMMYFUNCTION("""COMPUTED_VALUE"""),700.0)</f>
        <v>700</v>
      </c>
      <c r="D1199" s="1">
        <v>0.0</v>
      </c>
      <c r="E1199" s="2"/>
      <c r="F1199" s="2"/>
      <c r="G1199" s="2"/>
      <c r="H1199" s="2"/>
      <c r="I1199" s="2"/>
    </row>
    <row r="1200">
      <c r="A1200" s="1" t="s">
        <v>661</v>
      </c>
      <c r="B1200" s="1" t="str">
        <f>IFERROR(__xludf.DUMMYFUNCTION("SPLIT(A1200,"";"")"),"FRANCE PLUS GIRONDE")</f>
        <v>FRANCE PLUS GIRONDE</v>
      </c>
      <c r="C1200" s="3">
        <f>IFERROR(__xludf.DUMMYFUNCTION("""COMPUTED_VALUE"""),2880.0)</f>
        <v>2880</v>
      </c>
      <c r="D1200" s="1">
        <v>0.0</v>
      </c>
      <c r="E1200" s="2"/>
      <c r="F1200" s="2"/>
      <c r="G1200" s="2"/>
      <c r="H1200" s="2"/>
      <c r="I1200" s="2"/>
    </row>
    <row r="1201">
      <c r="A1201" s="1" t="s">
        <v>662</v>
      </c>
      <c r="B1201" s="1" t="str">
        <f>IFERROR(__xludf.DUMMYFUNCTION("SPLIT(A1201,"";"")"),"FRANCE PSORIASIS")</f>
        <v>FRANCE PSORIASIS</v>
      </c>
      <c r="C1201" s="1">
        <f>IFERROR(__xludf.DUMMYFUNCTION("""COMPUTED_VALUE"""),72.0)</f>
        <v>72</v>
      </c>
      <c r="D1201" s="1">
        <v>0.0</v>
      </c>
      <c r="E1201" s="2"/>
      <c r="F1201" s="2"/>
      <c r="G1201" s="2"/>
      <c r="H1201" s="2"/>
      <c r="I1201" s="2"/>
    </row>
    <row r="1202">
      <c r="A1202" s="1" t="s">
        <v>663</v>
      </c>
      <c r="B1202" s="1" t="str">
        <f>IFERROR(__xludf.DUMMYFUNCTION("SPLIT(A1202,"";"")"),"GABON")</f>
        <v>GABON</v>
      </c>
      <c r="C1202" s="1"/>
      <c r="D1202" s="1" t="s">
        <v>664</v>
      </c>
      <c r="E1202" s="1">
        <v>0.0</v>
      </c>
      <c r="F1202" s="2"/>
      <c r="G1202" s="2"/>
      <c r="H1202" s="2"/>
      <c r="I1202" s="2"/>
    </row>
    <row r="1203">
      <c r="A1203" s="1" t="s">
        <v>665</v>
      </c>
      <c r="B1203" s="1" t="str">
        <f>IFERROR(__xludf.DUMMYFUNCTION("SPLIT(A1203,"";"")"),"GARGANTUA")</f>
        <v>GARGANTUA</v>
      </c>
      <c r="C1203" s="3">
        <f>IFERROR(__xludf.DUMMYFUNCTION("""COMPUTED_VALUE"""),5600.0)</f>
        <v>5600</v>
      </c>
      <c r="D1203" s="1">
        <v>0.0</v>
      </c>
      <c r="E1203" s="2"/>
      <c r="F1203" s="2"/>
      <c r="G1203" s="2"/>
      <c r="H1203" s="2"/>
      <c r="I1203" s="2"/>
    </row>
    <row r="1204">
      <c r="A1204" s="1" t="s">
        <v>666</v>
      </c>
      <c r="B1204" s="1" t="str">
        <f>IFERROR(__xludf.DUMMYFUNCTION("SPLIT(A1204,"";"")"),"GASP'ART")</f>
        <v>GASP'ART</v>
      </c>
      <c r="C1204" s="3">
        <f>IFERROR(__xludf.DUMMYFUNCTION("""COMPUTED_VALUE"""),2257.0)</f>
        <v>2257</v>
      </c>
      <c r="D1204" s="1">
        <v>0.0</v>
      </c>
      <c r="E1204" s="2"/>
      <c r="F1204" s="2"/>
      <c r="G1204" s="2"/>
      <c r="H1204" s="2"/>
      <c r="I1204" s="2"/>
    </row>
    <row r="1205">
      <c r="A1205" s="1" t="s">
        <v>667</v>
      </c>
      <c r="B1205" s="1" t="str">
        <f>IFERROR(__xludf.DUMMYFUNCTION("SPLIT(A1205,"";"")"),"GAZELLISSIMES")</f>
        <v>GAZELLISSIMES</v>
      </c>
      <c r="C1205" s="1">
        <f>IFERROR(__xludf.DUMMYFUNCTION("""COMPUTED_VALUE"""),597.0)</f>
        <v>597</v>
      </c>
      <c r="D1205" s="1">
        <v>68.0</v>
      </c>
      <c r="E1205" s="2"/>
      <c r="F1205" s="2"/>
      <c r="G1205" s="2"/>
      <c r="H1205" s="2"/>
      <c r="I1205" s="2"/>
    </row>
    <row r="1206">
      <c r="A1206" s="1" t="s">
        <v>668</v>
      </c>
      <c r="B1206" s="1" t="str">
        <f>IFERROR(__xludf.DUMMYFUNCTION("SPLIT(A1206,"";"")"),"GEAR LOCKER")</f>
        <v>GEAR LOCKER</v>
      </c>
      <c r="C1206" s="1">
        <f>IFERROR(__xludf.DUMMYFUNCTION("""COMPUTED_VALUE"""),52.0)</f>
        <v>52</v>
      </c>
      <c r="D1206" s="1">
        <v>0.0</v>
      </c>
      <c r="E1206" s="2"/>
      <c r="F1206" s="2"/>
      <c r="G1206" s="2"/>
      <c r="H1206" s="2"/>
      <c r="I1206" s="2"/>
    </row>
    <row r="1207">
      <c r="A1207" s="1" t="s">
        <v>669</v>
      </c>
      <c r="B1207" s="1" t="str">
        <f>IFERROR(__xludf.DUMMYFUNCTION("SPLIT(A1207,"";"")"),"GEM ""LES NEUROFESTIFS 33""")</f>
        <v>GEM "LES NEUROFESTIFS 33"</v>
      </c>
      <c r="C1207" s="1">
        <f>IFERROR(__xludf.DUMMYFUNCTION("""COMPUTED_VALUE"""),587.0)</f>
        <v>587</v>
      </c>
      <c r="D1207" s="1">
        <v>0.0</v>
      </c>
      <c r="E1207" s="2"/>
      <c r="F1207" s="2"/>
      <c r="G1207" s="2"/>
      <c r="H1207" s="2"/>
      <c r="I1207" s="2"/>
    </row>
    <row r="1208">
      <c r="A1208" s="1" t="s">
        <v>670</v>
      </c>
      <c r="B1208" s="1" t="str">
        <f>IFERROR(__xludf.DUMMYFUNCTION("SPLIT(A1208,"";"")"),"GENERATIONS TAUZIN")</f>
        <v>GENERATIONS TAUZIN</v>
      </c>
      <c r="C1208" s="1">
        <f>IFERROR(__xludf.DUMMYFUNCTION("""COMPUTED_VALUE"""),166.0)</f>
        <v>166</v>
      </c>
      <c r="D1208" s="1">
        <v>0.0</v>
      </c>
      <c r="E1208" s="2"/>
      <c r="F1208" s="2"/>
      <c r="G1208" s="2"/>
      <c r="H1208" s="2"/>
      <c r="I1208" s="2"/>
    </row>
    <row r="1209">
      <c r="A1209" s="1" t="s">
        <v>671</v>
      </c>
      <c r="B1209" s="1" t="str">
        <f>IFERROR(__xludf.DUMMYFUNCTION("SPLIT(A1209,"";"")"),"GIRONDE ROUMANIE ECHANGES ET CULTURE")</f>
        <v>GIRONDE ROUMANIE ECHANGES ET CULTURE</v>
      </c>
      <c r="C1209" s="1">
        <f>IFERROR(__xludf.DUMMYFUNCTION("""COMPUTED_VALUE"""),184.0)</f>
        <v>184</v>
      </c>
      <c r="D1209" s="1">
        <v>0.0</v>
      </c>
      <c r="E1209" s="2"/>
      <c r="F1209" s="2"/>
      <c r="G1209" s="2"/>
      <c r="H1209" s="2"/>
      <c r="I1209" s="2"/>
    </row>
    <row r="1210">
      <c r="A1210" s="1" t="s">
        <v>672</v>
      </c>
      <c r="B1210" s="1" t="str">
        <f>IFERROR(__xludf.DUMMYFUNCTION("SPLIT(A1210,"";"")"),"GIRONDINS DE BORDEAUX BASTIDE HANDBALL CLUB")</f>
        <v>GIRONDINS DE BORDEAUX BASTIDE HANDBALL CLUB</v>
      </c>
      <c r="C1210" s="3">
        <f>IFERROR(__xludf.DUMMYFUNCTION("""COMPUTED_VALUE"""),115329.0)</f>
        <v>115329</v>
      </c>
      <c r="D1210" s="1">
        <v>95.0</v>
      </c>
      <c r="E1210" s="2"/>
      <c r="F1210" s="2"/>
      <c r="G1210" s="2"/>
      <c r="H1210" s="2"/>
      <c r="I1210" s="2"/>
    </row>
    <row r="1211">
      <c r="A1211" s="1" t="s">
        <v>673</v>
      </c>
      <c r="B1211" s="1" t="str">
        <f>IFERROR(__xludf.DUMMYFUNCTION("SPLIT(A1211,"";"")"),"GIRONDINS DE BORDEAUX TIR")</f>
        <v>GIRONDINS DE BORDEAUX TIR</v>
      </c>
      <c r="C1211" s="1">
        <f>IFERROR(__xludf.DUMMYFUNCTION("""COMPUTED_VALUE"""),880.0)</f>
        <v>880</v>
      </c>
      <c r="D1211" s="1">
        <v>32.0</v>
      </c>
      <c r="E1211" s="2"/>
      <c r="F1211" s="2"/>
      <c r="G1211" s="2"/>
      <c r="H1211" s="2"/>
      <c r="I1211" s="2"/>
    </row>
    <row r="1212">
      <c r="A1212" s="1" t="s">
        <v>674</v>
      </c>
      <c r="B1212" s="1" t="str">
        <f>IFERROR(__xludf.DUMMYFUNCTION("SPLIT(A1212,"";"")"),"GLOB THEATRE")</f>
        <v>GLOB THEATRE</v>
      </c>
      <c r="C1212" s="3">
        <f>IFERROR(__xludf.DUMMYFUNCTION("""COMPUTED_VALUE"""),1588.0)</f>
        <v>1588</v>
      </c>
      <c r="D1212" s="1">
        <v>79.0</v>
      </c>
      <c r="E1212" s="2"/>
      <c r="F1212" s="2"/>
      <c r="G1212" s="2"/>
      <c r="H1212" s="2"/>
      <c r="I1212" s="2"/>
    </row>
    <row r="1213">
      <c r="A1213" s="1" t="s">
        <v>675</v>
      </c>
      <c r="B1213" s="1" t="str">
        <f>IFERROR(__xludf.DUMMYFUNCTION("SPLIT(A1213,"";"")"),"GP INTENCITE CENTRE SOCIAL ET CULTUREL DU GRAND PARC")</f>
        <v>GP INTENCITE CENTRE SOCIAL ET CULTUREL DU GRAND PARC</v>
      </c>
      <c r="C1213" s="3">
        <f>IFERROR(__xludf.DUMMYFUNCTION("""COMPUTED_VALUE"""),3366.0)</f>
        <v>3366</v>
      </c>
      <c r="D1213" s="1">
        <v>4.0</v>
      </c>
      <c r="E1213" s="2"/>
      <c r="F1213" s="2"/>
      <c r="G1213" s="2"/>
      <c r="H1213" s="2"/>
      <c r="I1213" s="2"/>
    </row>
    <row r="1214">
      <c r="A1214" s="1" t="s">
        <v>676</v>
      </c>
      <c r="B1214" s="1" t="str">
        <f>IFERROR(__xludf.DUMMYFUNCTION("SPLIT(A1214,"";"")"),"GRAIN DE SABLE")</f>
        <v>GRAIN DE SABLE</v>
      </c>
      <c r="C1214" s="1">
        <f>IFERROR(__xludf.DUMMYFUNCTION("""COMPUTED_VALUE"""),24.0)</f>
        <v>24</v>
      </c>
      <c r="D1214" s="1">
        <v>0.0</v>
      </c>
      <c r="E1214" s="2"/>
      <c r="F1214" s="2"/>
      <c r="G1214" s="2"/>
      <c r="H1214" s="2"/>
      <c r="I1214" s="2"/>
    </row>
    <row r="1215">
      <c r="A1215" s="1" t="s">
        <v>677</v>
      </c>
      <c r="B1215" s="1" t="str">
        <f>IFERROR(__xludf.DUMMYFUNCTION("SPLIT(A1215,"";"")"),"GRAINES DE SOLIDARITE")</f>
        <v>GRAINES DE SOLIDARITE</v>
      </c>
      <c r="C1215" s="3">
        <f>IFERROR(__xludf.DUMMYFUNCTION("""COMPUTED_VALUE"""),1058.0)</f>
        <v>1058</v>
      </c>
      <c r="D1215" s="1">
        <v>82.0</v>
      </c>
      <c r="E1215" s="2"/>
      <c r="F1215" s="2"/>
      <c r="G1215" s="2"/>
      <c r="H1215" s="2"/>
      <c r="I1215" s="2"/>
    </row>
    <row r="1216">
      <c r="A1216" s="1" t="s">
        <v>678</v>
      </c>
      <c r="B1216" s="1" t="str">
        <f>IFERROR(__xludf.DUMMYFUNCTION("SPLIT(A1216,"";"")"),"GRANDIR ENSEMBLE")</f>
        <v>GRANDIR ENSEMBLE</v>
      </c>
      <c r="C1216" s="3">
        <f>IFERROR(__xludf.DUMMYFUNCTION("""COMPUTED_VALUE"""),2286.0)</f>
        <v>2286</v>
      </c>
      <c r="D1216" s="1">
        <v>0.0</v>
      </c>
      <c r="E1216" s="2"/>
      <c r="F1216" s="2"/>
      <c r="G1216" s="2"/>
      <c r="H1216" s="2"/>
      <c r="I1216" s="2"/>
    </row>
    <row r="1217">
      <c r="A1217" s="1" t="s">
        <v>679</v>
      </c>
      <c r="B1217" s="1" t="str">
        <f>IFERROR(__xludf.DUMMYFUNCTION("SPLIT(A1217,"";"")"),"GROUPE ATTAC 33")</f>
        <v>GROUPE ATTAC 33</v>
      </c>
      <c r="C1217" s="1">
        <f>IFERROR(__xludf.DUMMYFUNCTION("""COMPUTED_VALUE"""),444.0)</f>
        <v>444</v>
      </c>
      <c r="D1217" s="1">
        <v>0.0</v>
      </c>
      <c r="E1217" s="2"/>
      <c r="F1217" s="2"/>
      <c r="G1217" s="2"/>
      <c r="H1217" s="2"/>
      <c r="I1217" s="2"/>
    </row>
    <row r="1218">
      <c r="A1218" s="1" t="s">
        <v>680</v>
      </c>
      <c r="B1218" s="1" t="str">
        <f>IFERROR(__xludf.DUMMYFUNCTION("SPLIT(A1218,"";"")"),"GROUPE D'ETUDE POUR L'INSERTION SOCIALE DES PERSONNES PORTEUSES D'UNE TRISOMIE 21 - GEIST 21")</f>
        <v>GROUPE D'ETUDE POUR L'INSERTION SOCIALE DES PERSONNES PORTEUSES D'UNE TRISOMIE 21 - GEIST 21</v>
      </c>
      <c r="C1218" s="1">
        <f>IFERROR(__xludf.DUMMYFUNCTION("""COMPUTED_VALUE"""),231.0)</f>
        <v>231</v>
      </c>
      <c r="D1218" s="1">
        <v>0.0</v>
      </c>
      <c r="E1218" s="2"/>
      <c r="F1218" s="2"/>
      <c r="G1218" s="2"/>
      <c r="H1218" s="2"/>
      <c r="I1218" s="2"/>
    </row>
    <row r="1219">
      <c r="A1219" s="1" t="s">
        <v>681</v>
      </c>
      <c r="B1219" s="1" t="str">
        <f>IFERROR(__xludf.DUMMYFUNCTION("SPLIT(A1219,"";"")"),"GROUPE LOCAL ACTION DES CHRETIENS POUR L'ABOLITION DE LA TORTURE DE BORDEAUX")</f>
        <v>GROUPE LOCAL ACTION DES CHRETIENS POUR L'ABOLITION DE LA TORTURE DE BORDEAUX</v>
      </c>
      <c r="C1219" s="1">
        <f>IFERROR(__xludf.DUMMYFUNCTION("""COMPUTED_VALUE"""),34.0)</f>
        <v>34</v>
      </c>
      <c r="D1219" s="1">
        <v>0.0</v>
      </c>
      <c r="E1219" s="2"/>
      <c r="F1219" s="2"/>
      <c r="G1219" s="2"/>
      <c r="H1219" s="2"/>
      <c r="I1219" s="2"/>
    </row>
    <row r="1220">
      <c r="A1220" s="1" t="s">
        <v>682</v>
      </c>
      <c r="B1220" s="1" t="str">
        <f>IFERROR(__xludf.DUMMYFUNCTION("SPLIT(A1220,"";"")"),"GROUPE PASSERELLE")</f>
        <v>GROUPE PASSERELLE</v>
      </c>
      <c r="C1220" s="3">
        <f>IFERROR(__xludf.DUMMYFUNCTION("""COMPUTED_VALUE"""),5040.0)</f>
        <v>5040</v>
      </c>
      <c r="D1220" s="1">
        <v>0.0</v>
      </c>
      <c r="E1220" s="2"/>
      <c r="F1220" s="2"/>
      <c r="G1220" s="2"/>
      <c r="H1220" s="2"/>
      <c r="I1220" s="2"/>
    </row>
    <row r="1221">
      <c r="A1221" s="1" t="s">
        <v>683</v>
      </c>
      <c r="B1221" s="1" t="str">
        <f>IFERROR(__xludf.DUMMYFUNCTION("SPLIT(A1221,"";"")"),"GROUPE VOCAL ARPEGE DE BORDEAUX")</f>
        <v>GROUPE VOCAL ARPEGE DE BORDEAUX</v>
      </c>
      <c r="C1221" s="3">
        <f>IFERROR(__xludf.DUMMYFUNCTION("""COMPUTED_VALUE"""),2163.0)</f>
        <v>2163</v>
      </c>
      <c r="D1221" s="1">
        <v>72.0</v>
      </c>
      <c r="E1221" s="2"/>
      <c r="F1221" s="2"/>
      <c r="G1221" s="2"/>
      <c r="H1221" s="2"/>
      <c r="I1221" s="2"/>
    </row>
    <row r="1222">
      <c r="A1222" s="1" t="s">
        <v>684</v>
      </c>
      <c r="B1222" s="1" t="str">
        <f>IFERROR(__xludf.DUMMYFUNCTION("SPLIT(A1222,"";"")"),"GROUPEMENT DES RETRAITES EDUCATEURS SANS FRONTIERES - GREF")</f>
        <v>GROUPEMENT DES RETRAITES EDUCATEURS SANS FRONTIERES - GREF</v>
      </c>
      <c r="C1222" s="1">
        <f>IFERROR(__xludf.DUMMYFUNCTION("""COMPUTED_VALUE"""),172.0)</f>
        <v>172</v>
      </c>
      <c r="D1222" s="1">
        <v>0.0</v>
      </c>
      <c r="E1222" s="2"/>
      <c r="F1222" s="2"/>
      <c r="G1222" s="2"/>
      <c r="H1222" s="2"/>
      <c r="I1222" s="2"/>
    </row>
    <row r="1223">
      <c r="A1223" s="1" t="s">
        <v>685</v>
      </c>
      <c r="B1223" s="1" t="str">
        <f>IFERROR(__xludf.DUMMYFUNCTION("SPLIT(A1223,"";"")"),"GROUPEMENT POUR L'INSERTION DES HANDICAPES PHYSIQUES D'AQUITAINE - GIHP AQUITAINE")</f>
        <v>GROUPEMENT POUR L'INSERTION DES HANDICAPES PHYSIQUES D'AQUITAINE - GIHP AQUITAINE</v>
      </c>
      <c r="C1223" s="1">
        <f>IFERROR(__xludf.DUMMYFUNCTION("""COMPUTED_VALUE"""),178.0)</f>
        <v>178</v>
      </c>
      <c r="D1223" s="1">
        <v>0.0</v>
      </c>
      <c r="E1223" s="2"/>
      <c r="F1223" s="2"/>
      <c r="G1223" s="2"/>
      <c r="H1223" s="2"/>
      <c r="I1223" s="2"/>
    </row>
    <row r="1224">
      <c r="A1224" s="1" t="s">
        <v>686</v>
      </c>
      <c r="B1224" s="1" t="str">
        <f>IFERROR(__xludf.DUMMYFUNCTION("SPLIT(A1224,"";"")"),"GUYENNE HANDI-NAGES")</f>
        <v>GUYENNE HANDI-NAGES</v>
      </c>
      <c r="C1224" s="3">
        <f>IFERROR(__xludf.DUMMYFUNCTION("""COMPUTED_VALUE"""),11761.0)</f>
        <v>11761</v>
      </c>
      <c r="D1224" s="1">
        <v>17.0</v>
      </c>
      <c r="E1224" s="2"/>
      <c r="F1224" s="2"/>
      <c r="G1224" s="2"/>
      <c r="H1224" s="2"/>
      <c r="I1224" s="2"/>
    </row>
    <row r="1225">
      <c r="A1225" s="1" t="s">
        <v>687</v>
      </c>
      <c r="B1225" s="1" t="str">
        <f>IFERROR(__xludf.DUMMYFUNCTION("SPLIT(A1225,"";"")"),"GYMNASTIQUE VOLONTAIRE BORDEAUX BASTIDE")</f>
        <v>GYMNASTIQUE VOLONTAIRE BORDEAUX BASTIDE</v>
      </c>
      <c r="C1225" s="3">
        <f>IFERROR(__xludf.DUMMYFUNCTION("""COMPUTED_VALUE"""),4000.0)</f>
        <v>4000</v>
      </c>
      <c r="D1225" s="1">
        <v>50.0</v>
      </c>
      <c r="E1225" s="2"/>
      <c r="F1225" s="2"/>
      <c r="G1225" s="2"/>
      <c r="H1225" s="2"/>
      <c r="I1225" s="2"/>
    </row>
    <row r="1226">
      <c r="A1226" s="1" t="s">
        <v>688</v>
      </c>
      <c r="B1226" s="1" t="str">
        <f>IFERROR(__xludf.DUMMYFUNCTION("SPLIT(A1226,"";"")"),"GYMNASTIQUE VOLONTAIRE BORDEAUX LOUCHEUR")</f>
        <v>GYMNASTIQUE VOLONTAIRE BORDEAUX LOUCHEUR</v>
      </c>
      <c r="C1226" s="3">
        <f>IFERROR(__xludf.DUMMYFUNCTION("""COMPUTED_VALUE"""),1215.0)</f>
        <v>1215</v>
      </c>
      <c r="D1226" s="1">
        <v>0.0</v>
      </c>
      <c r="E1226" s="2"/>
      <c r="F1226" s="2"/>
      <c r="G1226" s="2"/>
      <c r="H1226" s="2"/>
      <c r="I1226" s="2"/>
    </row>
    <row r="1227">
      <c r="A1227" s="1" t="s">
        <v>689</v>
      </c>
      <c r="B1227" s="1" t="str">
        <f>IFERROR(__xludf.DUMMYFUNCTION("SPLIT(A1227,"";"")"),"GYMNASTIQUE VOLONTAIRE CHAUFFOUR")</f>
        <v>GYMNASTIQUE VOLONTAIRE CHAUFFOUR</v>
      </c>
      <c r="C1227" s="3">
        <f>IFERROR(__xludf.DUMMYFUNCTION("""COMPUTED_VALUE"""),1548.0)</f>
        <v>1548</v>
      </c>
      <c r="D1227" s="1">
        <v>0.0</v>
      </c>
      <c r="E1227" s="2"/>
      <c r="F1227" s="2"/>
      <c r="G1227" s="2"/>
      <c r="H1227" s="2"/>
      <c r="I1227" s="2"/>
    </row>
    <row r="1228">
      <c r="A1228" s="1" t="s">
        <v>690</v>
      </c>
      <c r="B1228" s="1" t="str">
        <f>IFERROR(__xludf.DUMMYFUNCTION("SPLIT(A1228,"";"")"),"GYMNASTIQUE VOLONTAIRE LESCURE")</f>
        <v>GYMNASTIQUE VOLONTAIRE LESCURE</v>
      </c>
      <c r="C1228" s="3">
        <f>IFERROR(__xludf.DUMMYFUNCTION("""COMPUTED_VALUE"""),7938.0)</f>
        <v>7938</v>
      </c>
      <c r="D1228" s="1">
        <v>0.0</v>
      </c>
      <c r="E1228" s="2"/>
      <c r="F1228" s="2"/>
      <c r="G1228" s="2"/>
      <c r="H1228" s="2"/>
      <c r="I1228" s="2"/>
    </row>
    <row r="1229">
      <c r="A1229" s="1" t="s">
        <v>691</v>
      </c>
      <c r="B1229" s="1" t="str">
        <f>IFERROR(__xludf.DUMMYFUNCTION("SPLIT(A1229,"";"")"),"GYMNASTIQUE VOLONTAIRE PERGOLA STEHELIN")</f>
        <v>GYMNASTIQUE VOLONTAIRE PERGOLA STEHELIN</v>
      </c>
      <c r="C1229" s="3">
        <f>IFERROR(__xludf.DUMMYFUNCTION("""COMPUTED_VALUE"""),7642.0)</f>
        <v>7642</v>
      </c>
      <c r="D1229" s="1">
        <v>50.0</v>
      </c>
      <c r="E1229" s="2"/>
      <c r="F1229" s="2"/>
      <c r="G1229" s="2"/>
      <c r="H1229" s="2"/>
      <c r="I1229" s="2"/>
    </row>
    <row r="1230">
      <c r="A1230" s="1" t="s">
        <v>692</v>
      </c>
      <c r="B1230" s="1" t="str">
        <f>IFERROR(__xludf.DUMMYFUNCTION("SPLIT(A1230,"";"")"),"GYMNASTIQUE VOLONTAIRE QUARTIER ST NICOLAS")</f>
        <v>GYMNASTIQUE VOLONTAIRE QUARTIER ST NICOLAS</v>
      </c>
      <c r="C1230" s="3">
        <f>IFERROR(__xludf.DUMMYFUNCTION("""COMPUTED_VALUE"""),1905.0)</f>
        <v>1905</v>
      </c>
      <c r="D1230" s="1">
        <v>0.0</v>
      </c>
      <c r="E1230" s="2"/>
      <c r="F1230" s="2"/>
      <c r="G1230" s="2"/>
      <c r="H1230" s="2"/>
      <c r="I1230" s="2"/>
    </row>
    <row r="1231">
      <c r="A1231" s="1" t="s">
        <v>693</v>
      </c>
      <c r="B1231" s="1" t="str">
        <f>IFERROR(__xludf.DUMMYFUNCTION("SPLIT(A1231,"";"")"),"H NORD ECOQUARTIER DE BORDEAUX - H NORD")</f>
        <v>H NORD ECOQUARTIER DE BORDEAUX - H NORD</v>
      </c>
      <c r="C1231" s="1">
        <f>IFERROR(__xludf.DUMMYFUNCTION("""COMPUTED_VALUE"""),273.0)</f>
        <v>273</v>
      </c>
      <c r="D1231" s="1">
        <v>0.0</v>
      </c>
      <c r="E1231" s="2"/>
      <c r="F1231" s="2"/>
      <c r="G1231" s="2"/>
      <c r="H1231" s="2"/>
      <c r="I1231" s="2"/>
    </row>
    <row r="1232">
      <c r="A1232" s="1" t="s">
        <v>694</v>
      </c>
      <c r="B1232" s="1" t="str">
        <f>IFERROR(__xludf.DUMMYFUNCTION("SPLIT(A1232,"";"")"),"HABAD LOUBAVITCH BORDEAUX")</f>
        <v>HABAD LOUBAVITCH BORDEAUX</v>
      </c>
      <c r="C1232" s="1">
        <f>IFERROR(__xludf.DUMMYFUNCTION("""COMPUTED_VALUE"""),711.0)</f>
        <v>711</v>
      </c>
      <c r="D1232" s="1">
        <v>35.0</v>
      </c>
      <c r="E1232" s="2"/>
      <c r="F1232" s="2"/>
      <c r="G1232" s="2"/>
      <c r="H1232" s="2"/>
      <c r="I1232" s="2"/>
    </row>
    <row r="1233">
      <c r="A1233" s="1" t="s">
        <v>695</v>
      </c>
      <c r="B1233" s="1" t="str">
        <f>IFERROR(__xludf.DUMMYFUNCTION("SPLIT(A1233,"";"")"),"HABITAT ET HUMANISME GIRONDE - HH33")</f>
        <v>HABITAT ET HUMANISME GIRONDE - HH33</v>
      </c>
      <c r="C1233" s="1">
        <f>IFERROR(__xludf.DUMMYFUNCTION("""COMPUTED_VALUE"""),68.0)</f>
        <v>68</v>
      </c>
      <c r="D1233" s="1">
        <v>0.0</v>
      </c>
      <c r="E1233" s="2"/>
      <c r="F1233" s="2"/>
      <c r="G1233" s="2"/>
      <c r="H1233" s="2"/>
      <c r="I1233" s="2"/>
    </row>
    <row r="1234">
      <c r="A1234" s="1" t="s">
        <v>696</v>
      </c>
      <c r="B1234" s="1" t="str">
        <f>IFERROR(__xludf.DUMMYFUNCTION("SPLIT(A1234,"";"")"),"HABITATS JEUNES SIMONE NOAILLES")</f>
        <v>HABITATS JEUNES SIMONE NOAILLES</v>
      </c>
      <c r="C1234" s="1">
        <f>IFERROR(__xludf.DUMMYFUNCTION("""COMPUTED_VALUE"""),577.0)</f>
        <v>577</v>
      </c>
      <c r="D1234" s="1">
        <v>48.0</v>
      </c>
      <c r="E1234" s="2"/>
      <c r="F1234" s="2"/>
      <c r="G1234" s="2"/>
      <c r="H1234" s="2"/>
      <c r="I1234" s="2"/>
    </row>
    <row r="1235">
      <c r="A1235" s="1" t="s">
        <v>697</v>
      </c>
      <c r="B1235" s="1" t="str">
        <f>IFERROR(__xludf.DUMMYFUNCTION("SPLIT(A1235,"";"")"),"HAITI EN VIE")</f>
        <v>HAITI EN VIE</v>
      </c>
      <c r="C1235" s="1">
        <f>IFERROR(__xludf.DUMMYFUNCTION("""COMPUTED_VALUE"""),34.0)</f>
        <v>34</v>
      </c>
      <c r="D1235" s="1">
        <v>0.0</v>
      </c>
      <c r="E1235" s="2"/>
      <c r="F1235" s="2"/>
      <c r="G1235" s="2"/>
      <c r="H1235" s="2"/>
      <c r="I1235" s="2"/>
    </row>
    <row r="1236">
      <c r="A1236" s="1" t="s">
        <v>698</v>
      </c>
      <c r="B1236" s="1" t="str">
        <f>IFERROR(__xludf.DUMMYFUNCTION("SPLIT(A1236,"";"")"),"HALEIWA")</f>
        <v>HALEIWA</v>
      </c>
      <c r="C1236" s="1">
        <f>IFERROR(__xludf.DUMMYFUNCTION("""COMPUTED_VALUE"""),676.0)</f>
        <v>676</v>
      </c>
      <c r="D1236" s="1">
        <v>50.0</v>
      </c>
      <c r="E1236" s="2"/>
      <c r="F1236" s="2"/>
      <c r="G1236" s="2"/>
      <c r="H1236" s="2"/>
      <c r="I1236" s="2"/>
    </row>
    <row r="1237">
      <c r="A1237" s="1" t="s">
        <v>699</v>
      </c>
      <c r="B1237" s="1" t="str">
        <f>IFERROR(__xludf.DUMMYFUNCTION("SPLIT(A1237,"";"")"),"HANDICAP INTERNATIONAL")</f>
        <v>HANDICAP INTERNATIONAL</v>
      </c>
      <c r="C1237" s="1">
        <f>IFERROR(__xludf.DUMMYFUNCTION("""COMPUTED_VALUE"""),598.0)</f>
        <v>598</v>
      </c>
      <c r="D1237" s="1">
        <v>56.0</v>
      </c>
      <c r="E1237" s="2"/>
      <c r="F1237" s="2"/>
      <c r="G1237" s="2"/>
      <c r="H1237" s="2"/>
      <c r="I1237" s="2"/>
    </row>
    <row r="1238">
      <c r="A1238" s="1" t="s">
        <v>700</v>
      </c>
      <c r="B1238" s="1" t="str">
        <f>IFERROR(__xludf.DUMMYFUNCTION("SPLIT(A1238,"";"")"),"HANDISPORT 33 AMICALE SPORTIVE DES HANDICAPES PHYSIQUES D'AQUITAINE - ASHPA")</f>
        <v>HANDISPORT 33 AMICALE SPORTIVE DES HANDICAPES PHYSIQUES D'AQUITAINE - ASHPA</v>
      </c>
      <c r="C1238" s="3">
        <f>IFERROR(__xludf.DUMMYFUNCTION("""COMPUTED_VALUE"""),10720.0)</f>
        <v>10720</v>
      </c>
      <c r="D1238" s="1">
        <v>0.0</v>
      </c>
      <c r="E1238" s="2"/>
      <c r="F1238" s="2"/>
      <c r="G1238" s="2"/>
      <c r="H1238" s="2"/>
      <c r="I1238" s="2"/>
    </row>
    <row r="1239">
      <c r="A1239" s="1" t="s">
        <v>701</v>
      </c>
      <c r="B1239" s="1" t="str">
        <f>IFERROR(__xludf.DUMMYFUNCTION("SPLIT(A1239,"";"")"),"HARMONIE STRETCH ET DETENTE")</f>
        <v>HARMONIE STRETCH ET DETENTE</v>
      </c>
      <c r="C1239" s="3">
        <f>IFERROR(__xludf.DUMMYFUNCTION("""COMPUTED_VALUE"""),2592.0)</f>
        <v>2592</v>
      </c>
      <c r="D1239" s="1">
        <v>0.0</v>
      </c>
      <c r="E1239" s="2"/>
      <c r="F1239" s="2"/>
      <c r="G1239" s="2"/>
      <c r="H1239" s="2"/>
      <c r="I1239" s="2"/>
    </row>
    <row r="1240">
      <c r="A1240" s="1" t="s">
        <v>702</v>
      </c>
      <c r="B1240" s="1" t="str">
        <f>IFERROR(__xludf.DUMMYFUNCTION("SPLIT(A1240,"";"")"),"HISTOIRE(S) DE LA BASTIDE")</f>
        <v>HISTOIRE(S) DE LA BASTIDE</v>
      </c>
      <c r="C1240" s="1">
        <f>IFERROR(__xludf.DUMMYFUNCTION("""COMPUTED_VALUE"""),34.0)</f>
        <v>34</v>
      </c>
      <c r="D1240" s="1">
        <v>0.0</v>
      </c>
      <c r="E1240" s="2"/>
      <c r="F1240" s="2"/>
      <c r="G1240" s="2"/>
      <c r="H1240" s="2"/>
      <c r="I1240" s="2"/>
    </row>
    <row r="1241">
      <c r="A1241" s="1" t="s">
        <v>703</v>
      </c>
      <c r="B1241" s="1" t="str">
        <f>IFERROR(__xludf.DUMMYFUNCTION("SPLIT(A1241,"";"")"),"HOCKEY GARONNE SPORT")</f>
        <v>HOCKEY GARONNE SPORT</v>
      </c>
      <c r="C1241" s="3">
        <f>IFERROR(__xludf.DUMMYFUNCTION("""COMPUTED_VALUE"""),11052.0)</f>
        <v>11052</v>
      </c>
      <c r="D1241" s="1">
        <v>0.0</v>
      </c>
      <c r="E1241" s="2"/>
      <c r="F1241" s="2"/>
      <c r="G1241" s="2"/>
      <c r="H1241" s="2"/>
      <c r="I1241" s="2"/>
    </row>
    <row r="1242">
      <c r="A1242" s="1" t="s">
        <v>704</v>
      </c>
      <c r="B1242" s="1" t="str">
        <f>IFERROR(__xludf.DUMMYFUNCTION("SPLIT(A1242,"";"")"),"HORS BORD")</f>
        <v>HORS BORD</v>
      </c>
      <c r="C1242" s="3">
        <f>IFERROR(__xludf.DUMMYFUNCTION("""COMPUTED_VALUE"""),1463.0)</f>
        <v>1463</v>
      </c>
      <c r="D1242" s="1">
        <v>15.0</v>
      </c>
      <c r="E1242" s="2"/>
      <c r="F1242" s="2"/>
      <c r="G1242" s="2"/>
      <c r="H1242" s="2"/>
      <c r="I1242" s="2"/>
    </row>
    <row r="1243">
      <c r="A1243" s="1" t="s">
        <v>705</v>
      </c>
      <c r="B1243" s="1" t="str">
        <f>IFERROR(__xludf.DUMMYFUNCTION("SPLIT(A1243,"";"")"),"ICRONOS")</f>
        <v>ICRONOS</v>
      </c>
      <c r="C1243" s="1">
        <f>IFERROR(__xludf.DUMMYFUNCTION("""COMPUTED_VALUE"""),486.0)</f>
        <v>486</v>
      </c>
      <c r="D1243" s="1">
        <v>70.0</v>
      </c>
      <c r="E1243" s="2"/>
      <c r="F1243" s="2"/>
      <c r="G1243" s="2"/>
      <c r="H1243" s="2"/>
      <c r="I1243" s="2"/>
    </row>
    <row r="1244">
      <c r="A1244" s="1" t="s">
        <v>706</v>
      </c>
      <c r="B1244" s="1" t="str">
        <f>IFERROR(__xludf.DUMMYFUNCTION("SPLIT(A1244,"";"")"),"IDEH - INITIATIVES POUR LE DEVELOPPEMENT HUMAIN")</f>
        <v>IDEH - INITIATIVES POUR LE DEVELOPPEMENT HUMAIN</v>
      </c>
      <c r="C1244" s="1">
        <f>IFERROR(__xludf.DUMMYFUNCTION("""COMPUTED_VALUE"""),170.0)</f>
        <v>170</v>
      </c>
      <c r="D1244" s="1">
        <v>0.0</v>
      </c>
      <c r="E1244" s="2"/>
      <c r="F1244" s="2"/>
      <c r="G1244" s="2"/>
      <c r="H1244" s="2"/>
      <c r="I1244" s="2"/>
    </row>
    <row r="1245">
      <c r="A1245" s="1" t="s">
        <v>707</v>
      </c>
      <c r="B1245" s="1" t="str">
        <f>IFERROR(__xludf.DUMMYFUNCTION("SPLIT(A1245,"";"")"),"ILOT DES MOTS")</f>
        <v>ILOT DES MOTS</v>
      </c>
      <c r="C1245" s="3">
        <f>IFERROR(__xludf.DUMMYFUNCTION("""COMPUTED_VALUE"""),3600.0)</f>
        <v>3600</v>
      </c>
      <c r="D1245" s="1">
        <v>0.0</v>
      </c>
      <c r="E1245" s="2"/>
      <c r="F1245" s="2"/>
      <c r="G1245" s="2"/>
      <c r="H1245" s="2"/>
      <c r="I1245" s="2"/>
    </row>
    <row r="1246">
      <c r="A1246" s="1" t="s">
        <v>708</v>
      </c>
      <c r="B1246" s="1" t="str">
        <f>IFERROR(__xludf.DUMMYFUNCTION("SPLIT(A1246,"";"")"),"IMAGINA MUSIC")</f>
        <v>IMAGINA MUSIC</v>
      </c>
      <c r="C1246" s="3">
        <f>IFERROR(__xludf.DUMMYFUNCTION("""COMPUTED_VALUE"""),2155.0)</f>
        <v>2155</v>
      </c>
      <c r="D1246" s="1">
        <v>0.0</v>
      </c>
      <c r="E1246" s="2"/>
      <c r="F1246" s="2"/>
      <c r="G1246" s="2"/>
      <c r="H1246" s="2"/>
      <c r="I1246" s="2"/>
    </row>
    <row r="1247">
      <c r="A1247" s="1" t="s">
        <v>709</v>
      </c>
      <c r="B1247" s="1" t="str">
        <f>IFERROR(__xludf.DUMMYFUNCTION("SPLIT(A1247,"";"")"),"IMPACTS AQUITAINE")</f>
        <v>IMPACTS AQUITAINE</v>
      </c>
      <c r="C1247" s="3">
        <f>IFERROR(__xludf.DUMMYFUNCTION("""COMPUTED_VALUE"""),43566.0)</f>
        <v>43566</v>
      </c>
      <c r="D1247" s="1">
        <v>0.0</v>
      </c>
      <c r="E1247" s="2"/>
      <c r="F1247" s="2"/>
      <c r="G1247" s="2"/>
      <c r="H1247" s="2"/>
      <c r="I1247" s="2"/>
    </row>
    <row r="1248">
      <c r="A1248" s="1" t="s">
        <v>710</v>
      </c>
      <c r="B1248" s="1" t="str">
        <f>IFERROR(__xludf.DUMMYFUNCTION("SPLIT(A1248,"";"")"),"INNER WHEEL CLUB DE BORDEAUX MEDOC")</f>
        <v>INNER WHEEL CLUB DE BORDEAUX MEDOC</v>
      </c>
      <c r="C1248" s="1">
        <f>IFERROR(__xludf.DUMMYFUNCTION("""COMPUTED_VALUE"""),708.0)</f>
        <v>708</v>
      </c>
      <c r="D1248" s="1">
        <v>0.0</v>
      </c>
      <c r="E1248" s="2"/>
      <c r="F1248" s="2"/>
      <c r="G1248" s="2"/>
      <c r="H1248" s="2"/>
      <c r="I1248" s="2"/>
    </row>
    <row r="1249">
      <c r="A1249" s="1" t="s">
        <v>711</v>
      </c>
      <c r="B1249" s="1" t="str">
        <f>IFERROR(__xludf.DUMMYFUNCTION("SPLIT(A1249,"";"")"),"INSTANCE REGIONALE D'EDUCATION ET DE PROMOTION DE LA SANTE NOUVELLE-AQUITAINE (IREPS NOUVELLE-AQUITAINE)")</f>
        <v>INSTANCE REGIONALE D'EDUCATION ET DE PROMOTION DE LA SANTE NOUVELLE-AQUITAINE (IREPS NOUVELLE-AQUITAINE)</v>
      </c>
      <c r="C1249" s="1">
        <f>IFERROR(__xludf.DUMMYFUNCTION("""COMPUTED_VALUE"""),588.0)</f>
        <v>588</v>
      </c>
      <c r="D1249" s="1">
        <v>0.0</v>
      </c>
      <c r="E1249" s="2"/>
      <c r="F1249" s="2"/>
      <c r="G1249" s="2"/>
      <c r="H1249" s="2"/>
      <c r="I1249" s="2"/>
    </row>
    <row r="1250">
      <c r="A1250" s="1" t="s">
        <v>712</v>
      </c>
      <c r="B1250" s="1" t="str">
        <f>IFERROR(__xludf.DUMMYFUNCTION("SPLIT(A1250,"";"")"),"INSTANTS BORDELAIS")</f>
        <v>INSTANTS BORDELAIS</v>
      </c>
      <c r="C1250" s="1">
        <f>IFERROR(__xludf.DUMMYFUNCTION("""COMPUTED_VALUE"""),529.0)</f>
        <v>529</v>
      </c>
      <c r="D1250" s="1">
        <v>80.0</v>
      </c>
      <c r="E1250" s="2"/>
      <c r="F1250" s="2"/>
      <c r="G1250" s="2"/>
      <c r="H1250" s="2"/>
      <c r="I1250" s="2"/>
    </row>
    <row r="1251">
      <c r="A1251" s="1" t="s">
        <v>713</v>
      </c>
      <c r="B1251" s="1" t="str">
        <f>IFERROR(__xludf.DUMMYFUNCTION("SPLIT(A1251,"";"")"),"INSTITUT BERGONIE")</f>
        <v>INSTITUT BERGONIE</v>
      </c>
      <c r="C1251" s="3">
        <f>IFERROR(__xludf.DUMMYFUNCTION("""COMPUTED_VALUE"""),1013.0)</f>
        <v>1013</v>
      </c>
      <c r="D1251" s="1">
        <v>12.0</v>
      </c>
      <c r="E1251" s="2"/>
      <c r="F1251" s="2"/>
      <c r="G1251" s="2"/>
      <c r="H1251" s="2"/>
      <c r="I1251" s="2"/>
    </row>
    <row r="1252">
      <c r="A1252" s="1" t="s">
        <v>714</v>
      </c>
      <c r="B1252" s="1" t="str">
        <f>IFERROR(__xludf.DUMMYFUNCTION("SPLIT(A1252,"";"")"),"INSTITUT DE FORMATION ET D'APPUI AUX INITIATIVES DE DEVELOPPEMENT - IFAID AQUITAINE")</f>
        <v>INSTITUT DE FORMATION ET D'APPUI AUX INITIATIVES DE DEVELOPPEMENT - IFAID AQUITAINE</v>
      </c>
      <c r="C1252" s="3">
        <f>IFERROR(__xludf.DUMMYFUNCTION("""COMPUTED_VALUE"""),1705.0)</f>
        <v>1705</v>
      </c>
      <c r="D1252" s="1">
        <v>0.0</v>
      </c>
      <c r="E1252" s="2"/>
      <c r="F1252" s="2"/>
      <c r="G1252" s="2"/>
      <c r="H1252" s="2"/>
      <c r="I1252" s="2"/>
    </row>
    <row r="1253">
      <c r="A1253" s="1" t="s">
        <v>715</v>
      </c>
      <c r="B1253" s="1" t="str">
        <f>IFERROR(__xludf.DUMMYFUNCTION("SPLIT(A1253,"";"")"),"INSTITUT DE JOURNALISME BORDEAUX AQUITAINE")</f>
        <v>INSTITUT DE JOURNALISME BORDEAUX AQUITAINE</v>
      </c>
      <c r="C1253" s="3">
        <f>IFERROR(__xludf.DUMMYFUNCTION("""COMPUTED_VALUE"""),1932.0)</f>
        <v>1932</v>
      </c>
      <c r="D1253" s="1">
        <v>0.0</v>
      </c>
      <c r="E1253" s="2"/>
      <c r="F1253" s="2"/>
      <c r="G1253" s="2"/>
      <c r="H1253" s="2"/>
      <c r="I1253" s="2"/>
    </row>
    <row r="1254">
      <c r="A1254" s="1" t="s">
        <v>716</v>
      </c>
      <c r="B1254" s="1" t="str">
        <f>IFERROR(__xludf.DUMMYFUNCTION("SPLIT(A1254,"";"")"),"INSTITUT DES CONDUITES ALIMENTAIRES (ICAL)")</f>
        <v>INSTITUT DES CONDUITES ALIMENTAIRES (ICAL)</v>
      </c>
      <c r="C1254" s="1">
        <f>IFERROR(__xludf.DUMMYFUNCTION("""COMPUTED_VALUE"""),847.0)</f>
        <v>847</v>
      </c>
      <c r="D1254" s="1">
        <v>20.0</v>
      </c>
      <c r="E1254" s="2"/>
      <c r="F1254" s="2"/>
      <c r="G1254" s="2"/>
      <c r="H1254" s="2"/>
      <c r="I1254" s="2"/>
    </row>
    <row r="1255">
      <c r="A1255" s="1" t="s">
        <v>717</v>
      </c>
      <c r="B1255" s="1" t="str">
        <f>IFERROR(__xludf.DUMMYFUNCTION("SPLIT(A1255,"";"")"),"INSTITUT MACONNIQUE D'AQUITAINE")</f>
        <v>INSTITUT MACONNIQUE D'AQUITAINE</v>
      </c>
      <c r="C1255" s="1">
        <f>IFERROR(__xludf.DUMMYFUNCTION("""COMPUTED_VALUE"""),444.0)</f>
        <v>444</v>
      </c>
      <c r="D1255" s="1">
        <v>0.0</v>
      </c>
      <c r="E1255" s="2"/>
      <c r="F1255" s="2"/>
      <c r="G1255" s="2"/>
      <c r="H1255" s="2"/>
      <c r="I1255" s="2"/>
    </row>
    <row r="1256">
      <c r="A1256" s="1" t="s">
        <v>718</v>
      </c>
      <c r="B1256" s="1" t="str">
        <f>IFERROR(__xludf.DUMMYFUNCTION("SPLIT(A1256,"";"")"),"INSTITUT MEDICO-PEDAGOGIQUE SAINT JOSEPH")</f>
        <v>INSTITUT MEDICO-PEDAGOGIQUE SAINT JOSEPH</v>
      </c>
      <c r="C1256" s="1">
        <f>IFERROR(__xludf.DUMMYFUNCTION("""COMPUTED_VALUE"""),495.0)</f>
        <v>495</v>
      </c>
      <c r="D1256" s="1">
        <v>0.0</v>
      </c>
      <c r="E1256" s="2"/>
      <c r="F1256" s="2"/>
      <c r="G1256" s="2"/>
      <c r="H1256" s="2"/>
      <c r="I1256" s="2"/>
    </row>
    <row r="1257">
      <c r="A1257" s="1" t="s">
        <v>719</v>
      </c>
      <c r="B1257" s="1" t="str">
        <f>IFERROR(__xludf.DUMMYFUNCTION("SPLIT(A1257,"";"")"),"INSTITUT REGIONAL DES SOURDS ET DES AVEUGLES - IRSA")</f>
        <v>INSTITUT REGIONAL DES SOURDS ET DES AVEUGLES - IRSA</v>
      </c>
      <c r="C1257" s="1">
        <f>IFERROR(__xludf.DUMMYFUNCTION("""COMPUTED_VALUE"""),126.0)</f>
        <v>126</v>
      </c>
      <c r="D1257" s="1">
        <v>0.0</v>
      </c>
      <c r="E1257" s="2"/>
      <c r="F1257" s="2"/>
      <c r="G1257" s="2"/>
      <c r="H1257" s="2"/>
      <c r="I1257" s="2"/>
    </row>
    <row r="1258">
      <c r="A1258" s="1" t="s">
        <v>720</v>
      </c>
      <c r="B1258" s="1" t="str">
        <f>IFERROR(__xludf.DUMMYFUNCTION("SPLIT(A1258,"";"")"),"INTERLUDE")</f>
        <v>INTERLUDE</v>
      </c>
      <c r="C1258" s="3">
        <f>IFERROR(__xludf.DUMMYFUNCTION("""COMPUTED_VALUE"""),72621.0)</f>
        <v>72621</v>
      </c>
      <c r="D1258" s="1">
        <v>24.0</v>
      </c>
      <c r="E1258" s="2"/>
      <c r="F1258" s="2"/>
      <c r="G1258" s="2"/>
      <c r="H1258" s="2"/>
      <c r="I1258" s="2"/>
    </row>
    <row r="1259">
      <c r="A1259" s="1" t="s">
        <v>721</v>
      </c>
      <c r="B1259" s="1" t="str">
        <f>IFERROR(__xludf.DUMMYFUNCTION("SPLIT(A1259,"";"")"),"INTERNATIONAL CLUB OF BORDEAUX (ICB)")</f>
        <v>INTERNATIONAL CLUB OF BORDEAUX (ICB)</v>
      </c>
      <c r="C1259" s="1">
        <f>IFERROR(__xludf.DUMMYFUNCTION("""COMPUTED_VALUE"""),34.0)</f>
        <v>34</v>
      </c>
      <c r="D1259" s="1">
        <v>0.0</v>
      </c>
      <c r="E1259" s="2"/>
      <c r="F1259" s="2"/>
      <c r="G1259" s="2"/>
      <c r="H1259" s="2"/>
      <c r="I1259" s="2"/>
    </row>
    <row r="1260">
      <c r="A1260" s="1" t="s">
        <v>722</v>
      </c>
      <c r="B1260" s="1" t="str">
        <f>IFERROR(__xludf.DUMMYFUNCTION("SPLIT(A1260,"";"")"),"IPPO (INFORMATION")</f>
        <v>IPPO (INFORMATION</v>
      </c>
      <c r="C1260" s="1"/>
      <c r="D1260" s="1" t="s">
        <v>723</v>
      </c>
      <c r="E1260" s="1" t="s">
        <v>724</v>
      </c>
      <c r="F1260" s="1" t="s">
        <v>725</v>
      </c>
      <c r="G1260" s="1">
        <v>0.0</v>
      </c>
      <c r="H1260" s="2"/>
      <c r="I1260" s="2"/>
    </row>
    <row r="1261">
      <c r="A1261" s="1" t="s">
        <v>726</v>
      </c>
      <c r="B1261" s="1" t="str">
        <f>IFERROR(__xludf.DUMMYFUNCTION("SPLIT(A1261,"";"")"),"IRON SPORT BORDEAUX")</f>
        <v>IRON SPORT BORDEAUX</v>
      </c>
      <c r="C1261" s="3">
        <f>IFERROR(__xludf.DUMMYFUNCTION("""COMPUTED_VALUE"""),3573.0)</f>
        <v>3573</v>
      </c>
      <c r="D1261" s="1">
        <v>48.0</v>
      </c>
      <c r="E1261" s="2"/>
      <c r="F1261" s="2"/>
      <c r="G1261" s="2"/>
      <c r="H1261" s="2"/>
      <c r="I1261" s="2"/>
    </row>
    <row r="1262">
      <c r="A1262" s="1" t="s">
        <v>727</v>
      </c>
      <c r="B1262" s="1" t="str">
        <f>IFERROR(__xludf.DUMMYFUNCTION("SPLIT(A1262,"";"")"),"ITAL'ICI")</f>
        <v>ITAL'ICI</v>
      </c>
      <c r="C1262" s="1">
        <f>IFERROR(__xludf.DUMMYFUNCTION("""COMPUTED_VALUE"""),526.0)</f>
        <v>526</v>
      </c>
      <c r="D1262" s="1">
        <v>0.0</v>
      </c>
      <c r="E1262" s="2"/>
      <c r="F1262" s="2"/>
      <c r="G1262" s="2"/>
      <c r="H1262" s="2"/>
      <c r="I1262" s="2"/>
    </row>
    <row r="1263">
      <c r="A1263" s="1" t="s">
        <v>728</v>
      </c>
      <c r="B1263" s="1" t="str">
        <f>IFERROR(__xludf.DUMMYFUNCTION("SPLIT(A1263,"";"")"),"ITINERAIRES DES PHOTOGRAPHES VOYAGEURS")</f>
        <v>ITINERAIRES DES PHOTOGRAPHES VOYAGEURS</v>
      </c>
      <c r="C1263" s="3">
        <f>IFERROR(__xludf.DUMMYFUNCTION("""COMPUTED_VALUE"""),25882.0)</f>
        <v>25882</v>
      </c>
      <c r="D1263" s="1">
        <v>0.0</v>
      </c>
      <c r="E1263" s="2"/>
      <c r="F1263" s="2"/>
      <c r="G1263" s="2"/>
      <c r="H1263" s="2"/>
      <c r="I1263" s="2"/>
    </row>
    <row r="1264">
      <c r="A1264" s="1" t="s">
        <v>729</v>
      </c>
      <c r="B1264" s="1" t="str">
        <f>IFERROR(__xludf.DUMMYFUNCTION("SPLIT(A1264,"";"")"),"JARDIN ET ECOTOURISME")</f>
        <v>JARDIN ET ECOTOURISME</v>
      </c>
      <c r="C1264" s="1">
        <f>IFERROR(__xludf.DUMMYFUNCTION("""COMPUTED_VALUE"""),745.0)</f>
        <v>745</v>
      </c>
      <c r="D1264" s="1">
        <v>0.0</v>
      </c>
      <c r="E1264" s="2"/>
      <c r="F1264" s="2"/>
      <c r="G1264" s="2"/>
      <c r="H1264" s="2"/>
      <c r="I1264" s="2"/>
    </row>
    <row r="1265">
      <c r="A1265" s="1" t="s">
        <v>730</v>
      </c>
      <c r="B1265" s="1" t="str">
        <f>IFERROR(__xludf.DUMMYFUNCTION("SPLIT(A1265,"";"")"),"JE CHERCHE UN JOB")</f>
        <v>JE CHERCHE UN JOB</v>
      </c>
      <c r="C1265" s="1">
        <f>IFERROR(__xludf.DUMMYFUNCTION("""COMPUTED_VALUE"""),789.0)</f>
        <v>789</v>
      </c>
      <c r="D1265" s="1">
        <v>0.0</v>
      </c>
      <c r="E1265" s="2"/>
      <c r="F1265" s="2"/>
      <c r="G1265" s="2"/>
      <c r="H1265" s="2"/>
      <c r="I1265" s="2"/>
    </row>
    <row r="1266">
      <c r="A1266" s="1" t="s">
        <v>731</v>
      </c>
      <c r="B1266" s="1" t="str">
        <f>IFERROR(__xludf.DUMMYFUNCTION("SPLIT(A1266,"";"")"),"JETER L'ENCRE")</f>
        <v>JETER L'ENCRE</v>
      </c>
      <c r="C1266" s="1">
        <f>IFERROR(__xludf.DUMMYFUNCTION("""COMPUTED_VALUE"""),48.0)</f>
        <v>48</v>
      </c>
      <c r="D1266" s="1">
        <v>0.0</v>
      </c>
      <c r="E1266" s="2"/>
      <c r="F1266" s="2"/>
      <c r="G1266" s="2"/>
      <c r="H1266" s="2"/>
      <c r="I1266" s="2"/>
    </row>
    <row r="1267">
      <c r="A1267" s="1" t="s">
        <v>732</v>
      </c>
      <c r="B1267" s="1" t="str">
        <f>IFERROR(__xludf.DUMMYFUNCTION("SPLIT(A1267,"";"")"),"JEUNE ACADEMIE VOCALE D'AQUITAINE")</f>
        <v>JEUNE ACADEMIE VOCALE D'AQUITAINE</v>
      </c>
      <c r="C1267" s="3">
        <f>IFERROR(__xludf.DUMMYFUNCTION("""COMPUTED_VALUE"""),1583.0)</f>
        <v>1583</v>
      </c>
      <c r="D1267" s="1">
        <v>0.0</v>
      </c>
      <c r="E1267" s="2"/>
      <c r="F1267" s="2"/>
      <c r="G1267" s="2"/>
      <c r="H1267" s="2"/>
      <c r="I1267" s="2"/>
    </row>
    <row r="1268">
      <c r="A1268" s="1" t="s">
        <v>733</v>
      </c>
      <c r="B1268" s="1" t="str">
        <f>IFERROR(__xludf.DUMMYFUNCTION("SPLIT(A1268,"";"")"),"JEUNE BALLET D AQUITAINE")</f>
        <v>JEUNE BALLET D AQUITAINE</v>
      </c>
      <c r="C1268" s="3">
        <f>IFERROR(__xludf.DUMMYFUNCTION("""COMPUTED_VALUE"""),4926.0)</f>
        <v>4926</v>
      </c>
      <c r="D1268" s="1">
        <v>95.0</v>
      </c>
      <c r="E1268" s="2"/>
      <c r="F1268" s="2"/>
      <c r="G1268" s="2"/>
      <c r="H1268" s="2"/>
      <c r="I1268" s="2"/>
    </row>
    <row r="1269">
      <c r="A1269" s="1" t="s">
        <v>734</v>
      </c>
      <c r="B1269" s="1" t="str">
        <f>IFERROR(__xludf.DUMMYFUNCTION("SPLIT(A1269,"";"")"),"JEUNES MUSULMANS DE LA GIRONDE - JMG")</f>
        <v>JEUNES MUSULMANS DE LA GIRONDE - JMG</v>
      </c>
      <c r="C1269" s="3">
        <f>IFERROR(__xludf.DUMMYFUNCTION("""COMPUTED_VALUE"""),4486.0)</f>
        <v>4486</v>
      </c>
      <c r="D1269" s="1">
        <v>0.0</v>
      </c>
      <c r="E1269" s="2"/>
      <c r="F1269" s="2"/>
      <c r="G1269" s="2"/>
      <c r="H1269" s="2"/>
      <c r="I1269" s="2"/>
    </row>
    <row r="1270">
      <c r="A1270" s="1" t="s">
        <v>735</v>
      </c>
      <c r="B1270" s="1" t="str">
        <f>IFERROR(__xludf.DUMMYFUNCTION("SPLIT(A1270,"";"")"),"JEUNES SCIENCE BORDEAUX")</f>
        <v>JEUNES SCIENCE BORDEAUX</v>
      </c>
      <c r="C1270" s="3">
        <f>IFERROR(__xludf.DUMMYFUNCTION("""COMPUTED_VALUE"""),36770.0)</f>
        <v>36770</v>
      </c>
      <c r="D1270" s="1">
        <v>47.0</v>
      </c>
      <c r="E1270" s="2"/>
      <c r="F1270" s="2"/>
      <c r="G1270" s="2"/>
      <c r="H1270" s="2"/>
      <c r="I1270" s="2"/>
    </row>
    <row r="1271">
      <c r="A1271" s="1" t="s">
        <v>736</v>
      </c>
      <c r="B1271" s="1" t="str">
        <f>IFERROR(__xludf.DUMMYFUNCTION("SPLIT(A1271,"";"")"),"JUDO CLUB BACALANAIS")</f>
        <v>JUDO CLUB BACALANAIS</v>
      </c>
      <c r="C1271" s="3">
        <f>IFERROR(__xludf.DUMMYFUNCTION("""COMPUTED_VALUE"""),21440.0)</f>
        <v>21440</v>
      </c>
      <c r="D1271" s="1">
        <v>0.0</v>
      </c>
      <c r="E1271" s="2"/>
      <c r="F1271" s="2"/>
      <c r="G1271" s="2"/>
      <c r="H1271" s="2"/>
      <c r="I1271" s="2"/>
    </row>
    <row r="1272">
      <c r="A1272" s="1" t="s">
        <v>737</v>
      </c>
      <c r="B1272" s="1" t="str">
        <f>IFERROR(__xludf.DUMMYFUNCTION("SPLIT(A1272,"";"")"),"JUDO-CLUB GIRONDIN OMNISPORTS")</f>
        <v>JUDO-CLUB GIRONDIN OMNISPORTS</v>
      </c>
      <c r="C1272" s="3">
        <f>IFERROR(__xludf.DUMMYFUNCTION("""COMPUTED_VALUE"""),5706.0)</f>
        <v>5706</v>
      </c>
      <c r="D1272" s="1">
        <v>0.0</v>
      </c>
      <c r="E1272" s="2"/>
      <c r="F1272" s="2"/>
      <c r="G1272" s="2"/>
      <c r="H1272" s="2"/>
      <c r="I1272" s="2"/>
    </row>
    <row r="1273">
      <c r="A1273" s="1" t="s">
        <v>738</v>
      </c>
      <c r="B1273" s="1" t="str">
        <f>IFERROR(__xludf.DUMMYFUNCTION("SPLIT(A1273,"";"")"),"KALINA'GO")</f>
        <v>KALINA'GO</v>
      </c>
      <c r="C1273" s="3">
        <f>IFERROR(__xludf.DUMMYFUNCTION("""COMPUTED_VALUE"""),1008.0)</f>
        <v>1008</v>
      </c>
      <c r="D1273" s="1">
        <v>0.0</v>
      </c>
      <c r="E1273" s="2"/>
      <c r="F1273" s="2"/>
      <c r="G1273" s="2"/>
      <c r="H1273" s="2"/>
      <c r="I1273" s="2"/>
    </row>
    <row r="1274">
      <c r="A1274" s="1" t="s">
        <v>739</v>
      </c>
      <c r="B1274" s="1" t="str">
        <f>IFERROR(__xludf.DUMMYFUNCTION("SPLIT(A1274,"";"")"),"KAN-KRA TEAM")</f>
        <v>KAN-KRA TEAM</v>
      </c>
      <c r="C1274" s="3">
        <f>IFERROR(__xludf.DUMMYFUNCTION("""COMPUTED_VALUE"""),20880.0)</f>
        <v>20880</v>
      </c>
      <c r="D1274" s="1">
        <v>0.0</v>
      </c>
      <c r="E1274" s="2"/>
      <c r="F1274" s="2"/>
      <c r="G1274" s="2"/>
      <c r="H1274" s="2"/>
      <c r="I1274" s="2"/>
    </row>
    <row r="1275">
      <c r="A1275" s="1" t="s">
        <v>740</v>
      </c>
      <c r="B1275" s="1" t="str">
        <f>IFERROR(__xludf.DUMMYFUNCTION("SPLIT(A1275,"";"")"),"KARAVAN BORDELAISE")</f>
        <v>KARAVAN BORDELAISE</v>
      </c>
      <c r="C1275" s="1">
        <f>IFERROR(__xludf.DUMMYFUNCTION("""COMPUTED_VALUE"""),443.0)</f>
        <v>443</v>
      </c>
      <c r="D1275" s="1">
        <v>0.0</v>
      </c>
      <c r="E1275" s="2"/>
      <c r="F1275" s="2"/>
      <c r="G1275" s="2"/>
      <c r="H1275" s="2"/>
      <c r="I1275" s="2"/>
    </row>
    <row r="1276">
      <c r="A1276" s="1" t="s">
        <v>741</v>
      </c>
      <c r="B1276" s="1" t="str">
        <f>IFERROR(__xludf.DUMMYFUNCTION("SPLIT(A1276,"";"")"),"KAZ ANANDA")</f>
        <v>KAZ ANANDA</v>
      </c>
      <c r="C1276" s="1">
        <f>IFERROR(__xludf.DUMMYFUNCTION("""COMPUTED_VALUE"""),198.0)</f>
        <v>198</v>
      </c>
      <c r="D1276" s="1">
        <v>0.0</v>
      </c>
      <c r="E1276" s="2"/>
      <c r="F1276" s="2"/>
      <c r="G1276" s="2"/>
      <c r="H1276" s="2"/>
      <c r="I1276" s="2"/>
    </row>
    <row r="1277">
      <c r="A1277" s="1" t="s">
        <v>742</v>
      </c>
      <c r="B1277" s="1" t="str">
        <f>IFERROR(__xludf.DUMMYFUNCTION("SPLIT(A1277,"";"")"),"KEEP A BREAST EUROPE FOUNDATION")</f>
        <v>KEEP A BREAST EUROPE FOUNDATION</v>
      </c>
      <c r="C1277" s="1">
        <f>IFERROR(__xludf.DUMMYFUNCTION("""COMPUTED_VALUE"""),27.0)</f>
        <v>27</v>
      </c>
      <c r="D1277" s="1">
        <v>0.0</v>
      </c>
      <c r="E1277" s="2"/>
      <c r="F1277" s="2"/>
      <c r="G1277" s="2"/>
      <c r="H1277" s="2"/>
      <c r="I1277" s="2"/>
    </row>
    <row r="1278">
      <c r="A1278" s="1" t="s">
        <v>743</v>
      </c>
      <c r="B1278" s="1" t="str">
        <f>IFERROR(__xludf.DUMMYFUNCTION("SPLIT(A1278,"";"")"),"KI E KI")</f>
        <v>KI E KI</v>
      </c>
      <c r="C1278" s="1">
        <f>IFERROR(__xludf.DUMMYFUNCTION("""COMPUTED_VALUE"""),200.0)</f>
        <v>200</v>
      </c>
      <c r="D1278" s="1">
        <v>0.0</v>
      </c>
      <c r="E1278" s="2"/>
      <c r="F1278" s="2"/>
      <c r="G1278" s="2"/>
      <c r="H1278" s="2"/>
      <c r="I1278" s="2"/>
    </row>
    <row r="1279">
      <c r="A1279" s="1" t="s">
        <v>744</v>
      </c>
      <c r="B1279" s="1" t="str">
        <f>IFERROR(__xludf.DUMMYFUNCTION("SPLIT(A1279,"";"")"),"KILOMBO KINTWADI")</f>
        <v>KILOMBO KINTWADI</v>
      </c>
      <c r="C1279" s="3">
        <f>IFERROR(__xludf.DUMMYFUNCTION("""COMPUTED_VALUE"""),1360.0)</f>
        <v>1360</v>
      </c>
      <c r="D1279" s="1">
        <v>0.0</v>
      </c>
      <c r="E1279" s="2"/>
      <c r="F1279" s="2"/>
      <c r="G1279" s="2"/>
      <c r="H1279" s="2"/>
      <c r="I1279" s="2"/>
    </row>
    <row r="1280">
      <c r="A1280" s="1" t="s">
        <v>745</v>
      </c>
      <c r="B1280" s="1" t="str">
        <f>IFERROR(__xludf.DUMMYFUNCTION("SPLIT(A1280,"";"")"),"KINO SESSION")</f>
        <v>KINO SESSION</v>
      </c>
      <c r="C1280" s="3">
        <f>IFERROR(__xludf.DUMMYFUNCTION("""COMPUTED_VALUE"""),1598.0)</f>
        <v>1598</v>
      </c>
      <c r="D1280" s="1">
        <v>28.0</v>
      </c>
      <c r="E1280" s="2"/>
      <c r="F1280" s="2"/>
      <c r="G1280" s="2"/>
      <c r="H1280" s="2"/>
      <c r="I1280" s="2"/>
    </row>
    <row r="1281">
      <c r="A1281" s="1" t="s">
        <v>746</v>
      </c>
      <c r="B1281" s="1" t="str">
        <f>IFERROR(__xludf.DUMMYFUNCTION("SPLIT(A1281,"";"")"),"KPOP DANCE MOVE BORDEAUX - KDM BORDEAUX")</f>
        <v>KPOP DANCE MOVE BORDEAUX - KDM BORDEAUX</v>
      </c>
      <c r="C1281" s="1">
        <f>IFERROR(__xludf.DUMMYFUNCTION("""COMPUTED_VALUE"""),332.0)</f>
        <v>332</v>
      </c>
      <c r="D1281" s="1">
        <v>0.0</v>
      </c>
      <c r="E1281" s="2"/>
      <c r="F1281" s="2"/>
      <c r="G1281" s="2"/>
      <c r="H1281" s="2"/>
      <c r="I1281" s="2"/>
    </row>
    <row r="1282">
      <c r="A1282" s="1" t="s">
        <v>747</v>
      </c>
      <c r="B1282" s="1" t="str">
        <f>IFERROR(__xludf.DUMMYFUNCTION("SPLIT(A1282,"";"")"),"KUNG-FU WUSHU ACADEMIE (KFWA)")</f>
        <v>KUNG-FU WUSHU ACADEMIE (KFWA)</v>
      </c>
      <c r="C1282" s="3">
        <f>IFERROR(__xludf.DUMMYFUNCTION("""COMPUTED_VALUE"""),3996.0)</f>
        <v>3996</v>
      </c>
      <c r="D1282" s="1">
        <v>0.0</v>
      </c>
      <c r="E1282" s="2"/>
      <c r="F1282" s="2"/>
      <c r="G1282" s="2"/>
      <c r="H1282" s="2"/>
      <c r="I1282" s="2"/>
    </row>
    <row r="1283">
      <c r="A1283" s="1" t="s">
        <v>748</v>
      </c>
      <c r="B1283" s="1" t="str">
        <f>IFERROR(__xludf.DUMMYFUNCTION("SPLIT(A1283,"";"")"),"L’ASSOCIATION POUR LE MAINTIEN DE L’AGRICULTURE PAYSANNE DITE ""L’AMAP CAUDERANAISE""")</f>
        <v>L’ASSOCIATION POUR LE MAINTIEN DE L’AGRICULTURE PAYSANNE DITE "L’AMAP CAUDERANAISE"</v>
      </c>
      <c r="C1283" s="1">
        <f>IFERROR(__xludf.DUMMYFUNCTION("""COMPUTED_VALUE"""),356.0)</f>
        <v>356</v>
      </c>
      <c r="D1283" s="1">
        <v>0.0</v>
      </c>
      <c r="E1283" s="2"/>
      <c r="F1283" s="2"/>
      <c r="G1283" s="2"/>
      <c r="H1283" s="2"/>
      <c r="I1283" s="2"/>
    </row>
    <row r="1284">
      <c r="A1284" s="1" t="s">
        <v>749</v>
      </c>
      <c r="B1284" s="1" t="str">
        <f>IFERROR(__xludf.DUMMYFUNCTION("SPLIT(A1284,"";"")"),"LA BELLE ESTAMPE")</f>
        <v>LA BELLE ESTAMPE</v>
      </c>
      <c r="C1284" s="3">
        <f>IFERROR(__xludf.DUMMYFUNCTION("""COMPUTED_VALUE"""),3809.0)</f>
        <v>3809</v>
      </c>
      <c r="D1284" s="1">
        <v>22.0</v>
      </c>
      <c r="E1284" s="2"/>
      <c r="F1284" s="2"/>
      <c r="G1284" s="2"/>
      <c r="H1284" s="2"/>
      <c r="I1284" s="2"/>
    </row>
    <row r="1285">
      <c r="A1285" s="1" t="s">
        <v>750</v>
      </c>
      <c r="B1285" s="1" t="str">
        <f>IFERROR(__xludf.DUMMYFUNCTION("SPLIT(A1285,"";"")"),"LA CABANE A GRATTER")</f>
        <v>LA CABANE A GRATTER</v>
      </c>
      <c r="C1285" s="1">
        <f>IFERROR(__xludf.DUMMYFUNCTION("""COMPUTED_VALUE"""),42.0)</f>
        <v>42</v>
      </c>
      <c r="D1285" s="1">
        <v>0.0</v>
      </c>
      <c r="E1285" s="2"/>
      <c r="F1285" s="2"/>
      <c r="G1285" s="2"/>
      <c r="H1285" s="2"/>
      <c r="I1285" s="2"/>
    </row>
    <row r="1286">
      <c r="A1286" s="1" t="s">
        <v>751</v>
      </c>
      <c r="B1286" s="1" t="str">
        <f>IFERROR(__xludf.DUMMYFUNCTION("SPLIT(A1286,"";"")"),"LA CHAMBRE BLEUE")</f>
        <v>LA CHAMBRE BLEUE</v>
      </c>
      <c r="C1286" s="1">
        <f>IFERROR(__xludf.DUMMYFUNCTION("""COMPUTED_VALUE"""),180.0)</f>
        <v>180</v>
      </c>
      <c r="D1286" s="1">
        <v>66.0</v>
      </c>
      <c r="E1286" s="2"/>
      <c r="F1286" s="2"/>
      <c r="G1286" s="2"/>
      <c r="H1286" s="2"/>
      <c r="I1286" s="2"/>
    </row>
    <row r="1287">
      <c r="A1287" s="1" t="s">
        <v>752</v>
      </c>
      <c r="B1287" s="1" t="str">
        <f>IFERROR(__xludf.DUMMYFUNCTION("SPLIT(A1287,"";"")"),"LA CIGOGNE")</f>
        <v>LA CIGOGNE</v>
      </c>
      <c r="C1287" s="1">
        <f>IFERROR(__xludf.DUMMYFUNCTION("""COMPUTED_VALUE"""),277.0)</f>
        <v>277</v>
      </c>
      <c r="D1287" s="1">
        <v>0.0</v>
      </c>
      <c r="E1287" s="2"/>
      <c r="F1287" s="2"/>
      <c r="G1287" s="2"/>
      <c r="H1287" s="2"/>
      <c r="I1287" s="2"/>
    </row>
    <row r="1288">
      <c r="A1288" s="1" t="s">
        <v>753</v>
      </c>
      <c r="B1288" s="1" t="str">
        <f>IFERROR(__xludf.DUMMYFUNCTION("SPLIT(A1288,"";"")"),"LA CLE DU QUAI")</f>
        <v>LA CLE DU QUAI</v>
      </c>
      <c r="C1288" s="3">
        <f>IFERROR(__xludf.DUMMYFUNCTION("""COMPUTED_VALUE"""),1548.0)</f>
        <v>1548</v>
      </c>
      <c r="D1288" s="1">
        <v>0.0</v>
      </c>
      <c r="E1288" s="2"/>
      <c r="F1288" s="2"/>
      <c r="G1288" s="2"/>
      <c r="H1288" s="2"/>
      <c r="I1288" s="2"/>
    </row>
    <row r="1289">
      <c r="A1289" s="1" t="s">
        <v>754</v>
      </c>
      <c r="B1289" s="1" t="str">
        <f>IFERROR(__xludf.DUMMYFUNCTION("SPLIT(A1289,"";"")"),"LA COMPAGNIE ""LES FOUS DE LA RAMPE""")</f>
        <v>LA COMPAGNIE "LES FOUS DE LA RAMPE"</v>
      </c>
      <c r="C1289" s="3">
        <f>IFERROR(__xludf.DUMMYFUNCTION("""COMPUTED_VALUE"""),4209.0)</f>
        <v>4209</v>
      </c>
      <c r="D1289" s="1">
        <v>0.0</v>
      </c>
      <c r="E1289" s="2"/>
      <c r="F1289" s="2"/>
      <c r="G1289" s="2"/>
      <c r="H1289" s="2"/>
      <c r="I1289" s="2"/>
    </row>
    <row r="1290">
      <c r="A1290" s="1" t="s">
        <v>755</v>
      </c>
      <c r="B1290" s="1" t="str">
        <f>IFERROR(__xludf.DUMMYFUNCTION("SPLIT(A1290,"";"")"),"LA COMPAGNIE CHRONIQUE")</f>
        <v>LA COMPAGNIE CHRONIQUE</v>
      </c>
      <c r="C1290" s="1">
        <f>IFERROR(__xludf.DUMMYFUNCTION("""COMPUTED_VALUE"""),105.0)</f>
        <v>105</v>
      </c>
      <c r="D1290" s="1">
        <v>0.0</v>
      </c>
      <c r="E1290" s="2"/>
      <c r="F1290" s="2"/>
      <c r="G1290" s="2"/>
      <c r="H1290" s="2"/>
      <c r="I1290" s="2"/>
    </row>
    <row r="1291">
      <c r="A1291" s="1" t="s">
        <v>756</v>
      </c>
      <c r="B1291" s="1" t="str">
        <f>IFERROR(__xludf.DUMMYFUNCTION("SPLIT(A1291,"";"")"),"LA COMPAGNIE DES FIGURES")</f>
        <v>LA COMPAGNIE DES FIGURES</v>
      </c>
      <c r="C1291" s="1">
        <f>IFERROR(__xludf.DUMMYFUNCTION("""COMPUTED_VALUE"""),400.0)</f>
        <v>400</v>
      </c>
      <c r="D1291" s="1">
        <v>0.0</v>
      </c>
      <c r="E1291" s="2"/>
      <c r="F1291" s="2"/>
      <c r="G1291" s="2"/>
      <c r="H1291" s="2"/>
      <c r="I1291" s="2"/>
    </row>
    <row r="1292">
      <c r="A1292" s="1" t="s">
        <v>757</v>
      </c>
      <c r="B1292" s="1" t="str">
        <f>IFERROR(__xludf.DUMMYFUNCTION("SPLIT(A1292,"";"")"),"LA COMPAGNIE DES PETITES SECOUSSES")</f>
        <v>LA COMPAGNIE DES PETITES SECOUSSES</v>
      </c>
      <c r="C1292" s="3">
        <f>IFERROR(__xludf.DUMMYFUNCTION("""COMPUTED_VALUE"""),1143.0)</f>
        <v>1143</v>
      </c>
      <c r="D1292" s="1">
        <v>0.0</v>
      </c>
      <c r="E1292" s="2"/>
      <c r="F1292" s="2"/>
      <c r="G1292" s="2"/>
      <c r="H1292" s="2"/>
      <c r="I1292" s="2"/>
    </row>
    <row r="1293">
      <c r="A1293" s="1" t="s">
        <v>758</v>
      </c>
      <c r="B1293" s="1" t="str">
        <f>IFERROR(__xludf.DUMMYFUNCTION("SPLIT(A1293,"";"")"),"LA COMPAGNIE GARONOTES")</f>
        <v>LA COMPAGNIE GARONOTES</v>
      </c>
      <c r="C1293" s="1">
        <f>IFERROR(__xludf.DUMMYFUNCTION("""COMPUTED_VALUE"""),597.0)</f>
        <v>597</v>
      </c>
      <c r="D1293" s="1">
        <v>0.0</v>
      </c>
      <c r="E1293" s="2"/>
      <c r="F1293" s="2"/>
      <c r="G1293" s="2"/>
      <c r="H1293" s="2"/>
      <c r="I1293" s="2"/>
    </row>
    <row r="1294">
      <c r="A1294" s="1" t="s">
        <v>759</v>
      </c>
      <c r="B1294" s="1" t="str">
        <f>IFERROR(__xludf.DUMMYFUNCTION("SPLIT(A1294,"";"")"),"L'A COSMOPOLITAINE « COSMODANCE »")</f>
        <v>L'A COSMOPOLITAINE « COSMODANCE »</v>
      </c>
      <c r="C1294" s="3">
        <f>IFERROR(__xludf.DUMMYFUNCTION("""COMPUTED_VALUE"""),1229.0)</f>
        <v>1229</v>
      </c>
      <c r="D1294" s="1">
        <v>66.0</v>
      </c>
      <c r="E1294" s="2"/>
      <c r="F1294" s="2"/>
      <c r="G1294" s="2"/>
      <c r="H1294" s="2"/>
      <c r="I1294" s="2"/>
    </row>
    <row r="1295">
      <c r="A1295" s="1" t="s">
        <v>760</v>
      </c>
      <c r="B1295" s="1" t="str">
        <f>IFERROR(__xludf.DUMMYFUNCTION("SPLIT(A1295,"";"")"),"LA COUR DES ENFANTS")</f>
        <v>LA COUR DES ENFANTS</v>
      </c>
      <c r="C1295" s="1">
        <f>IFERROR(__xludf.DUMMYFUNCTION("""COMPUTED_VALUE"""),58.0)</f>
        <v>58</v>
      </c>
      <c r="D1295" s="1">
        <v>0.0</v>
      </c>
      <c r="E1295" s="2"/>
      <c r="F1295" s="2"/>
      <c r="G1295" s="2"/>
      <c r="H1295" s="2"/>
      <c r="I1295" s="2"/>
    </row>
    <row r="1296">
      <c r="A1296" s="1" t="s">
        <v>761</v>
      </c>
      <c r="B1296" s="1" t="str">
        <f>IFERROR(__xludf.DUMMYFUNCTION("SPLIT(A1296,"";"")"),"LA DAME A LA LICORNE")</f>
        <v>LA DAME A LA LICORNE</v>
      </c>
      <c r="C1296" s="1">
        <f>IFERROR(__xludf.DUMMYFUNCTION("""COMPUTED_VALUE"""),696.0)</f>
        <v>696</v>
      </c>
      <c r="D1296" s="1">
        <v>0.0</v>
      </c>
      <c r="E1296" s="2"/>
      <c r="F1296" s="2"/>
      <c r="G1296" s="2"/>
      <c r="H1296" s="2"/>
      <c r="I1296" s="2"/>
    </row>
    <row r="1297">
      <c r="A1297" s="1" t="s">
        <v>762</v>
      </c>
      <c r="B1297" s="1" t="str">
        <f>IFERROR(__xludf.DUMMYFUNCTION("SPLIT(A1297,"";"")"),"LA FABRIQUE POLA")</f>
        <v>LA FABRIQUE POLA</v>
      </c>
      <c r="C1297" s="3">
        <f>IFERROR(__xludf.DUMMYFUNCTION("""COMPUTED_VALUE"""),111001.0)</f>
        <v>111001</v>
      </c>
      <c r="D1297" s="1">
        <v>20.0</v>
      </c>
      <c r="E1297" s="2"/>
      <c r="F1297" s="2"/>
      <c r="G1297" s="2"/>
      <c r="H1297" s="2"/>
      <c r="I1297" s="2"/>
    </row>
    <row r="1298">
      <c r="A1298" s="1" t="s">
        <v>763</v>
      </c>
      <c r="B1298" s="1" t="str">
        <f>IFERROR(__xludf.DUMMYFUNCTION("SPLIT(A1298,"";"")"),"LA FLECHE DE BORDEAUX")</f>
        <v>LA FLECHE DE BORDEAUX</v>
      </c>
      <c r="C1298" s="3">
        <f>IFERROR(__xludf.DUMMYFUNCTION("""COMPUTED_VALUE"""),79590.0)</f>
        <v>79590</v>
      </c>
      <c r="D1298" s="1">
        <v>10.0</v>
      </c>
      <c r="E1298" s="2"/>
      <c r="F1298" s="2"/>
      <c r="G1298" s="2"/>
      <c r="H1298" s="2"/>
      <c r="I1298" s="2"/>
    </row>
    <row r="1299">
      <c r="A1299" s="1" t="s">
        <v>764</v>
      </c>
      <c r="B1299" s="1" t="str">
        <f>IFERROR(__xludf.DUMMYFUNCTION("SPLIT(A1299,"";"")"),"LA GALERIE EPHEMERE")</f>
        <v>LA GALERIE EPHEMERE</v>
      </c>
      <c r="C1299" s="1">
        <f>IFERROR(__xludf.DUMMYFUNCTION("""COMPUTED_VALUE"""),842.0)</f>
        <v>842</v>
      </c>
      <c r="D1299" s="1">
        <v>0.0</v>
      </c>
      <c r="E1299" s="2"/>
      <c r="F1299" s="2"/>
      <c r="G1299" s="2"/>
      <c r="H1299" s="2"/>
      <c r="I1299" s="2"/>
    </row>
    <row r="1300">
      <c r="A1300" s="1" t="s">
        <v>765</v>
      </c>
      <c r="B1300" s="1" t="str">
        <f>IFERROR(__xludf.DUMMYFUNCTION("SPLIT(A1300,"";"")"),"LA GYM SUEDOISE BORDEAUX")</f>
        <v>LA GYM SUEDOISE BORDEAUX</v>
      </c>
      <c r="C1300" s="3">
        <f>IFERROR(__xludf.DUMMYFUNCTION("""COMPUTED_VALUE"""),4473.0)</f>
        <v>4473</v>
      </c>
      <c r="D1300" s="1">
        <v>0.0</v>
      </c>
      <c r="E1300" s="2"/>
      <c r="F1300" s="2"/>
      <c r="G1300" s="2"/>
      <c r="H1300" s="2"/>
      <c r="I1300" s="2"/>
    </row>
    <row r="1301">
      <c r="A1301" s="1" t="s">
        <v>766</v>
      </c>
      <c r="B1301" s="1" t="str">
        <f>IFERROR(__xludf.DUMMYFUNCTION("SPLIT(A1301,"";"")"),"LA HALLE DES DOUVES")</f>
        <v>LA HALLE DES DOUVES</v>
      </c>
      <c r="C1301" s="3">
        <f>IFERROR(__xludf.DUMMYFUNCTION("""COMPUTED_VALUE"""),29255.0)</f>
        <v>29255</v>
      </c>
      <c r="D1301" s="1">
        <v>0.0</v>
      </c>
      <c r="E1301" s="2"/>
      <c r="F1301" s="2"/>
      <c r="G1301" s="2"/>
      <c r="H1301" s="2"/>
      <c r="I1301" s="2"/>
    </row>
    <row r="1302">
      <c r="A1302" s="1" t="s">
        <v>767</v>
      </c>
      <c r="B1302" s="1" t="str">
        <f>IFERROR(__xludf.DUMMYFUNCTION("SPLIT(A1302,"";"")"),"LA HOULETTE")</f>
        <v>LA HOULETTE</v>
      </c>
      <c r="C1302" s="1">
        <f>IFERROR(__xludf.DUMMYFUNCTION("""COMPUTED_VALUE"""),396.0)</f>
        <v>396</v>
      </c>
      <c r="D1302" s="1">
        <v>0.0</v>
      </c>
      <c r="E1302" s="2"/>
      <c r="F1302" s="2"/>
      <c r="G1302" s="2"/>
      <c r="H1302" s="2"/>
      <c r="I1302" s="2"/>
    </row>
    <row r="1303">
      <c r="A1303" s="1" t="s">
        <v>768</v>
      </c>
      <c r="B1303" s="1" t="str">
        <f>IFERROR(__xludf.DUMMYFUNCTION("SPLIT(A1303,"";"")"),"LA MAIN A L’OREILLE")</f>
        <v>LA MAIN A L’OREILLE</v>
      </c>
      <c r="C1303" s="1">
        <f>IFERROR(__xludf.DUMMYFUNCTION("""COMPUTED_VALUE"""),611.0)</f>
        <v>611</v>
      </c>
      <c r="D1303" s="1">
        <v>0.0</v>
      </c>
      <c r="E1303" s="2"/>
      <c r="F1303" s="2"/>
      <c r="G1303" s="2"/>
      <c r="H1303" s="2"/>
      <c r="I1303" s="2"/>
    </row>
    <row r="1304">
      <c r="A1304" s="1" t="s">
        <v>769</v>
      </c>
      <c r="B1304" s="1" t="str">
        <f>IFERROR(__xludf.DUMMYFUNCTION("SPLIT(A1304,"";"")"),"LA MAISON DE MARIE")</f>
        <v>LA MAISON DE MARIE</v>
      </c>
      <c r="C1304" s="1">
        <f>IFERROR(__xludf.DUMMYFUNCTION("""COMPUTED_VALUE"""),581.0)</f>
        <v>581</v>
      </c>
      <c r="D1304" s="1">
        <v>88.0</v>
      </c>
      <c r="E1304" s="2"/>
      <c r="F1304" s="2"/>
      <c r="G1304" s="2"/>
      <c r="H1304" s="2"/>
      <c r="I1304" s="2"/>
    </row>
    <row r="1305">
      <c r="A1305" s="1" t="s">
        <v>770</v>
      </c>
      <c r="B1305" s="1" t="str">
        <f>IFERROR(__xludf.DUMMYFUNCTION("SPLIT(A1305,"";"")"),"LA MAISON DES FAMILLES DE BORDEAUX")</f>
        <v>LA MAISON DES FAMILLES DE BORDEAUX</v>
      </c>
      <c r="C1305" s="1">
        <f>IFERROR(__xludf.DUMMYFUNCTION("""COMPUTED_VALUE"""),637.0)</f>
        <v>637</v>
      </c>
      <c r="D1305" s="1">
        <v>0.0</v>
      </c>
      <c r="E1305" s="2"/>
      <c r="F1305" s="2"/>
      <c r="G1305" s="2"/>
      <c r="H1305" s="2"/>
      <c r="I1305" s="2"/>
    </row>
    <row r="1306">
      <c r="A1306" s="1" t="s">
        <v>771</v>
      </c>
      <c r="B1306" s="1" t="str">
        <f>IFERROR(__xludf.DUMMYFUNCTION("SPLIT(A1306,"";"")"),"LA MANIF POUR TOUS 33")</f>
        <v>LA MANIF POUR TOUS 33</v>
      </c>
      <c r="C1306" s="1">
        <f>IFERROR(__xludf.DUMMYFUNCTION("""COMPUTED_VALUE"""),56.0)</f>
        <v>56</v>
      </c>
      <c r="D1306" s="1">
        <v>0.0</v>
      </c>
      <c r="E1306" s="2"/>
      <c r="F1306" s="2"/>
      <c r="G1306" s="2"/>
      <c r="H1306" s="2"/>
      <c r="I1306" s="2"/>
    </row>
    <row r="1307">
      <c r="A1307" s="1" t="s">
        <v>772</v>
      </c>
      <c r="B1307" s="1" t="str">
        <f>IFERROR(__xludf.DUMMYFUNCTION("SPLIT(A1307,"";"")"),"LA MANNE EUROPE")</f>
        <v>LA MANNE EUROPE</v>
      </c>
      <c r="C1307" s="3">
        <f>IFERROR(__xludf.DUMMYFUNCTION("""COMPUTED_VALUE"""),3902.0)</f>
        <v>3902</v>
      </c>
      <c r="D1307" s="1">
        <v>46.0</v>
      </c>
      <c r="E1307" s="2"/>
      <c r="F1307" s="2"/>
      <c r="G1307" s="2"/>
      <c r="H1307" s="2"/>
      <c r="I1307" s="2"/>
    </row>
    <row r="1308">
      <c r="A1308" s="1" t="s">
        <v>773</v>
      </c>
      <c r="B1308" s="1" t="str">
        <f>IFERROR(__xludf.DUMMYFUNCTION("SPLIT(A1308,"";"")"),"LA MANUFACTURE ATLANTIQUE")</f>
        <v>LA MANUFACTURE ATLANTIQUE</v>
      </c>
      <c r="C1308" s="3">
        <f>IFERROR(__xludf.DUMMYFUNCTION("""COMPUTED_VALUE"""),16317.0)</f>
        <v>16317</v>
      </c>
      <c r="D1308" s="1">
        <v>67.0</v>
      </c>
      <c r="E1308" s="2"/>
      <c r="F1308" s="2"/>
      <c r="G1308" s="2"/>
      <c r="H1308" s="2"/>
      <c r="I1308" s="2"/>
    </row>
    <row r="1309">
      <c r="A1309" s="1" t="s">
        <v>774</v>
      </c>
      <c r="B1309" s="1" t="str">
        <f>IFERROR(__xludf.DUMMYFUNCTION("SPLIT(A1309,"";"")"),"LA MARGE ROUSSE")</f>
        <v>LA MARGE ROUSSE</v>
      </c>
      <c r="C1309" s="1">
        <f>IFERROR(__xludf.DUMMYFUNCTION("""COMPUTED_VALUE"""),749.0)</f>
        <v>749</v>
      </c>
      <c r="D1309" s="1">
        <v>40.0</v>
      </c>
      <c r="E1309" s="2"/>
      <c r="F1309" s="2"/>
      <c r="G1309" s="2"/>
      <c r="H1309" s="2"/>
      <c r="I1309" s="2"/>
    </row>
    <row r="1310">
      <c r="A1310" s="1" t="s">
        <v>775</v>
      </c>
      <c r="B1310" s="1" t="str">
        <f>IFERROR(__xludf.DUMMYFUNCTION("SPLIT(A1310,"";"")"),"LA MARMAILLE")</f>
        <v>LA MARMAILLE</v>
      </c>
      <c r="C1310" s="3">
        <f>IFERROR(__xludf.DUMMYFUNCTION("""COMPUTED_VALUE"""),7654.0)</f>
        <v>7654</v>
      </c>
      <c r="D1310" s="1">
        <v>0.0</v>
      </c>
      <c r="E1310" s="2"/>
      <c r="F1310" s="2"/>
      <c r="G1310" s="2"/>
      <c r="H1310" s="2"/>
      <c r="I1310" s="2"/>
    </row>
    <row r="1311">
      <c r="A1311" s="1" t="s">
        <v>776</v>
      </c>
      <c r="B1311" s="1" t="str">
        <f>IFERROR(__xludf.DUMMYFUNCTION("SPLIT(A1311,"";"")"),"LA MEMOIRE DE BORDEAUX METROPOLE")</f>
        <v>LA MEMOIRE DE BORDEAUX METROPOLE</v>
      </c>
      <c r="C1311" s="3">
        <f>IFERROR(__xludf.DUMMYFUNCTION("""COMPUTED_VALUE"""),4329.0)</f>
        <v>4329</v>
      </c>
      <c r="D1311" s="1">
        <v>0.0</v>
      </c>
      <c r="E1311" s="2"/>
      <c r="F1311" s="2"/>
      <c r="G1311" s="2"/>
      <c r="H1311" s="2"/>
      <c r="I1311" s="2"/>
    </row>
    <row r="1312">
      <c r="A1312" s="1" t="s">
        <v>777</v>
      </c>
      <c r="B1312" s="1" t="str">
        <f>IFERROR(__xludf.DUMMYFUNCTION("SPLIT(A1312,"";"")"),"LA MOBYLETTE")</f>
        <v>LA MOBYLETTE</v>
      </c>
      <c r="C1312" s="1">
        <f>IFERROR(__xludf.DUMMYFUNCTION("""COMPUTED_VALUE"""),400.0)</f>
        <v>400</v>
      </c>
      <c r="D1312" s="1">
        <v>0.0</v>
      </c>
      <c r="E1312" s="2"/>
      <c r="F1312" s="2"/>
      <c r="G1312" s="2"/>
      <c r="H1312" s="2"/>
      <c r="I1312" s="2"/>
    </row>
    <row r="1313">
      <c r="A1313" s="1" t="s">
        <v>778</v>
      </c>
      <c r="B1313" s="1" t="str">
        <f>IFERROR(__xludf.DUMMYFUNCTION("SPLIT(A1313,"";"")"),"LA NUIT VENUE")</f>
        <v>LA NUIT VENUE</v>
      </c>
      <c r="C1313" s="1">
        <f>IFERROR(__xludf.DUMMYFUNCTION("""COMPUTED_VALUE"""),344.0)</f>
        <v>344</v>
      </c>
      <c r="D1313" s="1">
        <v>80.0</v>
      </c>
      <c r="E1313" s="2"/>
      <c r="F1313" s="2"/>
      <c r="G1313" s="2"/>
      <c r="H1313" s="2"/>
      <c r="I1313" s="2"/>
    </row>
    <row r="1314">
      <c r="A1314" s="1" t="s">
        <v>779</v>
      </c>
      <c r="B1314" s="1" t="str">
        <f>IFERROR(__xludf.DUMMYFUNCTION("SPLIT(A1314,"";"")"),"LA PARENTELE")</f>
        <v>LA PARENTELE</v>
      </c>
      <c r="C1314" s="1">
        <f>IFERROR(__xludf.DUMMYFUNCTION("""COMPUTED_VALUE"""),259.0)</f>
        <v>259</v>
      </c>
      <c r="D1314" s="1">
        <v>32.0</v>
      </c>
      <c r="E1314" s="2"/>
      <c r="F1314" s="2"/>
      <c r="G1314" s="2"/>
      <c r="H1314" s="2"/>
      <c r="I1314" s="2"/>
    </row>
    <row r="1315">
      <c r="A1315" s="1" t="s">
        <v>780</v>
      </c>
      <c r="B1315" s="1" t="str">
        <f>IFERROR(__xludf.DUMMYFUNCTION("SPLIT(A1315,"";"")"),"LA PLUME ET L'OREILLE")</f>
        <v>LA PLUME ET L'OREILLE</v>
      </c>
      <c r="C1315" s="1">
        <f>IFERROR(__xludf.DUMMYFUNCTION("""COMPUTED_VALUE"""),610.0)</f>
        <v>610</v>
      </c>
      <c r="D1315" s="1">
        <v>0.0</v>
      </c>
      <c r="E1315" s="2"/>
      <c r="F1315" s="2"/>
      <c r="G1315" s="2"/>
      <c r="H1315" s="2"/>
      <c r="I1315" s="2"/>
    </row>
    <row r="1316">
      <c r="A1316" s="1" t="s">
        <v>781</v>
      </c>
      <c r="B1316" s="1" t="str">
        <f>IFERROR(__xludf.DUMMYFUNCTION("SPLIT(A1316,"";"")"),"LA PORTE OUVERTE DE BORDEAUX")</f>
        <v>LA PORTE OUVERTE DE BORDEAUX</v>
      </c>
      <c r="C1316" s="1">
        <f>IFERROR(__xludf.DUMMYFUNCTION("""COMPUTED_VALUE"""),663.0)</f>
        <v>663</v>
      </c>
      <c r="D1316" s="1">
        <v>0.0</v>
      </c>
      <c r="E1316" s="2"/>
      <c r="F1316" s="2"/>
      <c r="G1316" s="2"/>
      <c r="H1316" s="2"/>
      <c r="I1316" s="2"/>
    </row>
    <row r="1317">
      <c r="A1317" s="1" t="s">
        <v>782</v>
      </c>
      <c r="B1317" s="1" t="str">
        <f>IFERROR(__xludf.DUMMYFUNCTION("SPLIT(A1317,"";"")"),"LA PREVENTION ROUTIERE")</f>
        <v>LA PREVENTION ROUTIERE</v>
      </c>
      <c r="C1317" s="3">
        <f>IFERROR(__xludf.DUMMYFUNCTION("""COMPUTED_VALUE"""),56096.0)</f>
        <v>56096</v>
      </c>
      <c r="D1317" s="1">
        <v>57.0</v>
      </c>
      <c r="E1317" s="2"/>
      <c r="F1317" s="2"/>
      <c r="G1317" s="2"/>
      <c r="H1317" s="2"/>
      <c r="I1317" s="2"/>
    </row>
    <row r="1318">
      <c r="A1318" s="1" t="s">
        <v>783</v>
      </c>
      <c r="B1318" s="1" t="str">
        <f>IFERROR(__xludf.DUMMYFUNCTION("SPLIT(A1318,"";"")"),"LA REVERB'")</f>
        <v>LA REVERB'</v>
      </c>
      <c r="C1318" s="3">
        <f>IFERROR(__xludf.DUMMYFUNCTION("""COMPUTED_VALUE"""),1647.0)</f>
        <v>1647</v>
      </c>
      <c r="D1318" s="1">
        <v>71.0</v>
      </c>
      <c r="E1318" s="2"/>
      <c r="F1318" s="2"/>
      <c r="G1318" s="2"/>
      <c r="H1318" s="2"/>
      <c r="I1318" s="2"/>
    </row>
    <row r="1319">
      <c r="A1319" s="1" t="s">
        <v>784</v>
      </c>
      <c r="B1319" s="1" t="str">
        <f>IFERROR(__xludf.DUMMYFUNCTION("SPLIT(A1319,"";"")"),"LA RONDE DES QUARTIERS DE BORDEAUX")</f>
        <v>LA RONDE DES QUARTIERS DE BORDEAUX</v>
      </c>
      <c r="C1319" s="3">
        <f>IFERROR(__xludf.DUMMYFUNCTION("""COMPUTED_VALUE"""),61174.0)</f>
        <v>61174</v>
      </c>
      <c r="D1319" s="1">
        <v>32.0</v>
      </c>
      <c r="E1319" s="2"/>
      <c r="F1319" s="2"/>
      <c r="G1319" s="2"/>
      <c r="H1319" s="2"/>
      <c r="I1319" s="2"/>
    </row>
    <row r="1320">
      <c r="A1320" s="1" t="s">
        <v>785</v>
      </c>
      <c r="B1320" s="1" t="str">
        <f>IFERROR(__xludf.DUMMYFUNCTION("SPLIT(A1320,"";"")"),"LA ROUTE DES VINS - ECOLE DE COMMERCE EUROPEENNE")</f>
        <v>LA ROUTE DES VINS - ECOLE DE COMMERCE EUROPEENNE</v>
      </c>
      <c r="C1320" s="3">
        <f>IFERROR(__xludf.DUMMYFUNCTION("""COMPUTED_VALUE"""),1008.0)</f>
        <v>1008</v>
      </c>
      <c r="D1320" s="1">
        <v>0.0</v>
      </c>
      <c r="E1320" s="2"/>
      <c r="F1320" s="2"/>
      <c r="G1320" s="2"/>
      <c r="H1320" s="2"/>
      <c r="I1320" s="2"/>
    </row>
    <row r="1321">
      <c r="A1321" s="1" t="s">
        <v>786</v>
      </c>
      <c r="B1321" s="1" t="str">
        <f>IFERROR(__xludf.DUMMYFUNCTION("SPLIT(A1321,"";"")"),"LA TRIBALE DEMARCHE")</f>
        <v>LA TRIBALE DEMARCHE</v>
      </c>
      <c r="C1321" s="1">
        <f>IFERROR(__xludf.DUMMYFUNCTION("""COMPUTED_VALUE"""),760.0)</f>
        <v>760</v>
      </c>
      <c r="D1321" s="1">
        <v>4.0</v>
      </c>
      <c r="E1321" s="2"/>
      <c r="F1321" s="2"/>
      <c r="G1321" s="2"/>
      <c r="H1321" s="2"/>
      <c r="I1321" s="2"/>
    </row>
    <row r="1322">
      <c r="A1322" s="1" t="s">
        <v>787</v>
      </c>
      <c r="B1322" s="1" t="str">
        <f>IFERROR(__xludf.DUMMYFUNCTION("SPLIT(A1322,"";"")"),"LABE'ART")</f>
        <v>LABE'ART</v>
      </c>
      <c r="C1322" s="3">
        <f>IFERROR(__xludf.DUMMYFUNCTION("""COMPUTED_VALUE"""),2118.0)</f>
        <v>2118</v>
      </c>
      <c r="D1322" s="1">
        <v>12.0</v>
      </c>
      <c r="E1322" s="2"/>
      <c r="F1322" s="2"/>
      <c r="G1322" s="2"/>
      <c r="H1322" s="2"/>
      <c r="I1322" s="2"/>
    </row>
    <row r="1323">
      <c r="A1323" s="1" t="s">
        <v>788</v>
      </c>
      <c r="B1323" s="1" t="str">
        <f>IFERROR(__xludf.DUMMYFUNCTION("SPLIT(A1323,"";"")"),"LACLE - LA MAISON DES PARENTS ET DES MINEURS")</f>
        <v>LACLE - LA MAISON DES PARENTS ET DES MINEURS</v>
      </c>
      <c r="C1323" s="3">
        <f>IFERROR(__xludf.DUMMYFUNCTION("""COMPUTED_VALUE"""),1768.0)</f>
        <v>1768</v>
      </c>
      <c r="D1323" s="1">
        <v>0.0</v>
      </c>
      <c r="E1323" s="2"/>
      <c r="F1323" s="2"/>
      <c r="G1323" s="2"/>
      <c r="H1323" s="2"/>
      <c r="I1323" s="2"/>
    </row>
    <row r="1324">
      <c r="A1324" s="1" t="s">
        <v>789</v>
      </c>
      <c r="B1324" s="1" t="str">
        <f>IFERROR(__xludf.DUMMYFUNCTION("SPLIT(A1324,"";"")"),"LADAPT LIGUE ADAPTATION DIMINUES PHYSIQUE AU TRAVAIL")</f>
        <v>LADAPT LIGUE ADAPTATION DIMINUES PHYSIQUE AU TRAVAIL</v>
      </c>
      <c r="C1324" s="3">
        <f>IFERROR(__xludf.DUMMYFUNCTION("""COMPUTED_VALUE"""),3927.0)</f>
        <v>3927</v>
      </c>
      <c r="D1324" s="1">
        <v>0.0</v>
      </c>
      <c r="E1324" s="2"/>
      <c r="F1324" s="2"/>
      <c r="G1324" s="2"/>
      <c r="H1324" s="2"/>
      <c r="I1324" s="2"/>
    </row>
    <row r="1325">
      <c r="A1325" s="1" t="s">
        <v>790</v>
      </c>
      <c r="B1325" s="1" t="str">
        <f>IFERROR(__xludf.DUMMYFUNCTION("SPLIT(A1325,"";"")"),"LADIES' CIRCLE BORDEAUX 20")</f>
        <v>LADIES' CIRCLE BORDEAUX 20</v>
      </c>
      <c r="C1325" s="1">
        <f>IFERROR(__xludf.DUMMYFUNCTION("""COMPUTED_VALUE"""),523.0)</f>
        <v>523</v>
      </c>
      <c r="D1325" s="1">
        <v>0.0</v>
      </c>
      <c r="E1325" s="2"/>
      <c r="F1325" s="2"/>
      <c r="G1325" s="2"/>
      <c r="H1325" s="2"/>
      <c r="I1325" s="2"/>
    </row>
    <row r="1326">
      <c r="A1326" s="1" t="s">
        <v>791</v>
      </c>
      <c r="B1326" s="1" t="str">
        <f>IFERROR(__xludf.DUMMYFUNCTION("SPLIT(A1326,"";"")"),"LAFEDERATION 33")</f>
        <v>LAFEDERATION 33</v>
      </c>
      <c r="C1326" s="1">
        <f>IFERROR(__xludf.DUMMYFUNCTION("""COMPUTED_VALUE"""),126.0)</f>
        <v>126</v>
      </c>
      <c r="D1326" s="1">
        <v>0.0</v>
      </c>
      <c r="E1326" s="2"/>
      <c r="F1326" s="2"/>
      <c r="G1326" s="2"/>
      <c r="H1326" s="2"/>
      <c r="I1326" s="2"/>
    </row>
    <row r="1327">
      <c r="A1327" s="1" t="s">
        <v>792</v>
      </c>
      <c r="B1327" s="1" t="str">
        <f>IFERROR(__xludf.DUMMYFUNCTION("SPLIT(A1327,"";"")"),"L'AGENCE CREATIVE")</f>
        <v>L'AGENCE CREATIVE</v>
      </c>
      <c r="C1327" s="3">
        <f>IFERROR(__xludf.DUMMYFUNCTION("""COMPUTED_VALUE"""),7484.0)</f>
        <v>7484</v>
      </c>
      <c r="D1327" s="1">
        <v>80.0</v>
      </c>
      <c r="E1327" s="2"/>
      <c r="F1327" s="2"/>
      <c r="G1327" s="2"/>
      <c r="H1327" s="2"/>
      <c r="I1327" s="2"/>
    </row>
    <row r="1328">
      <c r="A1328" s="1" t="s">
        <v>793</v>
      </c>
      <c r="B1328" s="1" t="str">
        <f>IFERROR(__xludf.DUMMYFUNCTION("SPLIT(A1328,"";"")"),"L'AGENCE DE GEOGRAPHIE AFFECTIVE")</f>
        <v>L'AGENCE DE GEOGRAPHIE AFFECTIVE</v>
      </c>
      <c r="C1328" s="1">
        <f>IFERROR(__xludf.DUMMYFUNCTION("""COMPUTED_VALUE"""),68.0)</f>
        <v>68</v>
      </c>
      <c r="D1328" s="1">
        <v>0.0</v>
      </c>
      <c r="E1328" s="2"/>
      <c r="F1328" s="2"/>
      <c r="G1328" s="2"/>
      <c r="H1328" s="2"/>
      <c r="I1328" s="2"/>
    </row>
    <row r="1329">
      <c r="A1329" s="1" t="s">
        <v>722</v>
      </c>
      <c r="B1329" s="1" t="str">
        <f>IFERROR(__xludf.DUMMYFUNCTION("SPLIT(A1329,"";"")"),"IPPO (INFORMATION")</f>
        <v>IPPO (INFORMATION</v>
      </c>
      <c r="C1329" s="1"/>
      <c r="D1329" s="1" t="s">
        <v>723</v>
      </c>
      <c r="E1329" s="1" t="s">
        <v>724</v>
      </c>
      <c r="F1329" s="1" t="s">
        <v>725</v>
      </c>
      <c r="G1329" s="1">
        <v>0.0</v>
      </c>
      <c r="H1329" s="2"/>
      <c r="I1329" s="2"/>
    </row>
    <row r="1330">
      <c r="A1330" s="1" t="s">
        <v>726</v>
      </c>
      <c r="B1330" s="1" t="str">
        <f>IFERROR(__xludf.DUMMYFUNCTION("SPLIT(A1330,"";"")"),"IRON SPORT BORDEAUX")</f>
        <v>IRON SPORT BORDEAUX</v>
      </c>
      <c r="C1330" s="3">
        <f>IFERROR(__xludf.DUMMYFUNCTION("""COMPUTED_VALUE"""),3573.0)</f>
        <v>3573</v>
      </c>
      <c r="D1330" s="1">
        <v>48.0</v>
      </c>
      <c r="E1330" s="2"/>
      <c r="F1330" s="2"/>
      <c r="G1330" s="2"/>
      <c r="H1330" s="2"/>
      <c r="I1330" s="2"/>
    </row>
    <row r="1331">
      <c r="A1331" s="1" t="s">
        <v>727</v>
      </c>
      <c r="B1331" s="1" t="str">
        <f>IFERROR(__xludf.DUMMYFUNCTION("SPLIT(A1331,"";"")"),"ITAL'ICI")</f>
        <v>ITAL'ICI</v>
      </c>
      <c r="C1331" s="1">
        <f>IFERROR(__xludf.DUMMYFUNCTION("""COMPUTED_VALUE"""),526.0)</f>
        <v>526</v>
      </c>
      <c r="D1331" s="1">
        <v>0.0</v>
      </c>
      <c r="E1331" s="2"/>
      <c r="F1331" s="2"/>
      <c r="G1331" s="2"/>
      <c r="H1331" s="2"/>
      <c r="I1331" s="2"/>
    </row>
    <row r="1332">
      <c r="A1332" s="1" t="s">
        <v>728</v>
      </c>
      <c r="B1332" s="1" t="str">
        <f>IFERROR(__xludf.DUMMYFUNCTION("SPLIT(A1332,"";"")"),"ITINERAIRES DES PHOTOGRAPHES VOYAGEURS")</f>
        <v>ITINERAIRES DES PHOTOGRAPHES VOYAGEURS</v>
      </c>
      <c r="C1332" s="3">
        <f>IFERROR(__xludf.DUMMYFUNCTION("""COMPUTED_VALUE"""),25882.0)</f>
        <v>25882</v>
      </c>
      <c r="D1332" s="1">
        <v>0.0</v>
      </c>
      <c r="E1332" s="2"/>
      <c r="F1332" s="2"/>
      <c r="G1332" s="2"/>
      <c r="H1332" s="2"/>
      <c r="I1332" s="2"/>
    </row>
    <row r="1333">
      <c r="A1333" s="1" t="s">
        <v>729</v>
      </c>
      <c r="B1333" s="1" t="str">
        <f>IFERROR(__xludf.DUMMYFUNCTION("SPLIT(A1333,"";"")"),"JARDIN ET ECOTOURISME")</f>
        <v>JARDIN ET ECOTOURISME</v>
      </c>
      <c r="C1333" s="1">
        <f>IFERROR(__xludf.DUMMYFUNCTION("""COMPUTED_VALUE"""),745.0)</f>
        <v>745</v>
      </c>
      <c r="D1333" s="1">
        <v>0.0</v>
      </c>
      <c r="E1333" s="2"/>
      <c r="F1333" s="2"/>
      <c r="G1333" s="2"/>
      <c r="H1333" s="2"/>
      <c r="I1333" s="2"/>
    </row>
    <row r="1334">
      <c r="A1334" s="1" t="s">
        <v>730</v>
      </c>
      <c r="B1334" s="1" t="str">
        <f>IFERROR(__xludf.DUMMYFUNCTION("SPLIT(A1334,"";"")"),"JE CHERCHE UN JOB")</f>
        <v>JE CHERCHE UN JOB</v>
      </c>
      <c r="C1334" s="1">
        <f>IFERROR(__xludf.DUMMYFUNCTION("""COMPUTED_VALUE"""),789.0)</f>
        <v>789</v>
      </c>
      <c r="D1334" s="1">
        <v>0.0</v>
      </c>
      <c r="E1334" s="2"/>
      <c r="F1334" s="2"/>
      <c r="G1334" s="2"/>
      <c r="H1334" s="2"/>
      <c r="I1334" s="2"/>
    </row>
    <row r="1335">
      <c r="A1335" s="1" t="s">
        <v>731</v>
      </c>
      <c r="B1335" s="1" t="str">
        <f>IFERROR(__xludf.DUMMYFUNCTION("SPLIT(A1335,"";"")"),"JETER L'ENCRE")</f>
        <v>JETER L'ENCRE</v>
      </c>
      <c r="C1335" s="1">
        <f>IFERROR(__xludf.DUMMYFUNCTION("""COMPUTED_VALUE"""),48.0)</f>
        <v>48</v>
      </c>
      <c r="D1335" s="1">
        <v>0.0</v>
      </c>
      <c r="E1335" s="2"/>
      <c r="F1335" s="2"/>
      <c r="G1335" s="2"/>
      <c r="H1335" s="2"/>
      <c r="I1335" s="2"/>
    </row>
    <row r="1336">
      <c r="A1336" s="1" t="s">
        <v>732</v>
      </c>
      <c r="B1336" s="1" t="str">
        <f>IFERROR(__xludf.DUMMYFUNCTION("SPLIT(A1336,"";"")"),"JEUNE ACADEMIE VOCALE D'AQUITAINE")</f>
        <v>JEUNE ACADEMIE VOCALE D'AQUITAINE</v>
      </c>
      <c r="C1336" s="3">
        <f>IFERROR(__xludf.DUMMYFUNCTION("""COMPUTED_VALUE"""),1583.0)</f>
        <v>1583</v>
      </c>
      <c r="D1336" s="1">
        <v>0.0</v>
      </c>
      <c r="E1336" s="2"/>
      <c r="F1336" s="2"/>
      <c r="G1336" s="2"/>
      <c r="H1336" s="2"/>
      <c r="I1336" s="2"/>
    </row>
    <row r="1337">
      <c r="A1337" s="1" t="s">
        <v>733</v>
      </c>
      <c r="B1337" s="1" t="str">
        <f>IFERROR(__xludf.DUMMYFUNCTION("SPLIT(A1337,"";"")"),"JEUNE BALLET D AQUITAINE")</f>
        <v>JEUNE BALLET D AQUITAINE</v>
      </c>
      <c r="C1337" s="3">
        <f>IFERROR(__xludf.DUMMYFUNCTION("""COMPUTED_VALUE"""),4926.0)</f>
        <v>4926</v>
      </c>
      <c r="D1337" s="1">
        <v>95.0</v>
      </c>
      <c r="E1337" s="2"/>
      <c r="F1337" s="2"/>
      <c r="G1337" s="2"/>
      <c r="H1337" s="2"/>
      <c r="I1337" s="2"/>
    </row>
    <row r="1338">
      <c r="A1338" s="1" t="s">
        <v>734</v>
      </c>
      <c r="B1338" s="1" t="str">
        <f>IFERROR(__xludf.DUMMYFUNCTION("SPLIT(A1338,"";"")"),"JEUNES MUSULMANS DE LA GIRONDE - JMG")</f>
        <v>JEUNES MUSULMANS DE LA GIRONDE - JMG</v>
      </c>
      <c r="C1338" s="3">
        <f>IFERROR(__xludf.DUMMYFUNCTION("""COMPUTED_VALUE"""),4486.0)</f>
        <v>4486</v>
      </c>
      <c r="D1338" s="1">
        <v>0.0</v>
      </c>
      <c r="E1338" s="2"/>
      <c r="F1338" s="2"/>
      <c r="G1338" s="2"/>
      <c r="H1338" s="2"/>
      <c r="I1338" s="2"/>
    </row>
    <row r="1339">
      <c r="A1339" s="1" t="s">
        <v>735</v>
      </c>
      <c r="B1339" s="1" t="str">
        <f>IFERROR(__xludf.DUMMYFUNCTION("SPLIT(A1339,"";"")"),"JEUNES SCIENCE BORDEAUX")</f>
        <v>JEUNES SCIENCE BORDEAUX</v>
      </c>
      <c r="C1339" s="3">
        <f>IFERROR(__xludf.DUMMYFUNCTION("""COMPUTED_VALUE"""),36770.0)</f>
        <v>36770</v>
      </c>
      <c r="D1339" s="1">
        <v>47.0</v>
      </c>
      <c r="E1339" s="2"/>
      <c r="F1339" s="2"/>
      <c r="G1339" s="2"/>
      <c r="H1339" s="2"/>
      <c r="I1339" s="2"/>
    </row>
    <row r="1340">
      <c r="A1340" s="1" t="s">
        <v>736</v>
      </c>
      <c r="B1340" s="1" t="str">
        <f>IFERROR(__xludf.DUMMYFUNCTION("SPLIT(A1340,"";"")"),"JUDO CLUB BACALANAIS")</f>
        <v>JUDO CLUB BACALANAIS</v>
      </c>
      <c r="C1340" s="3">
        <f>IFERROR(__xludf.DUMMYFUNCTION("""COMPUTED_VALUE"""),21440.0)</f>
        <v>21440</v>
      </c>
      <c r="D1340" s="1">
        <v>0.0</v>
      </c>
      <c r="E1340" s="2"/>
      <c r="F1340" s="2"/>
      <c r="G1340" s="2"/>
      <c r="H1340" s="2"/>
      <c r="I1340" s="2"/>
    </row>
    <row r="1341">
      <c r="A1341" s="1" t="s">
        <v>737</v>
      </c>
      <c r="B1341" s="1" t="str">
        <f>IFERROR(__xludf.DUMMYFUNCTION("SPLIT(A1341,"";"")"),"JUDO-CLUB GIRONDIN OMNISPORTS")</f>
        <v>JUDO-CLUB GIRONDIN OMNISPORTS</v>
      </c>
      <c r="C1341" s="3">
        <f>IFERROR(__xludf.DUMMYFUNCTION("""COMPUTED_VALUE"""),5706.0)</f>
        <v>5706</v>
      </c>
      <c r="D1341" s="1">
        <v>0.0</v>
      </c>
      <c r="E1341" s="2"/>
      <c r="F1341" s="2"/>
      <c r="G1341" s="2"/>
      <c r="H1341" s="2"/>
      <c r="I1341" s="2"/>
    </row>
    <row r="1342">
      <c r="A1342" s="1" t="s">
        <v>738</v>
      </c>
      <c r="B1342" s="1" t="str">
        <f>IFERROR(__xludf.DUMMYFUNCTION("SPLIT(A1342,"";"")"),"KALINA'GO")</f>
        <v>KALINA'GO</v>
      </c>
      <c r="C1342" s="3">
        <f>IFERROR(__xludf.DUMMYFUNCTION("""COMPUTED_VALUE"""),1008.0)</f>
        <v>1008</v>
      </c>
      <c r="D1342" s="1">
        <v>0.0</v>
      </c>
      <c r="E1342" s="2"/>
      <c r="F1342" s="2"/>
      <c r="G1342" s="2"/>
      <c r="H1342" s="2"/>
      <c r="I1342" s="2"/>
    </row>
    <row r="1343">
      <c r="A1343" s="1" t="s">
        <v>739</v>
      </c>
      <c r="B1343" s="1" t="str">
        <f>IFERROR(__xludf.DUMMYFUNCTION("SPLIT(A1343,"";"")"),"KAN-KRA TEAM")</f>
        <v>KAN-KRA TEAM</v>
      </c>
      <c r="C1343" s="3">
        <f>IFERROR(__xludf.DUMMYFUNCTION("""COMPUTED_VALUE"""),20880.0)</f>
        <v>20880</v>
      </c>
      <c r="D1343" s="1">
        <v>0.0</v>
      </c>
      <c r="E1343" s="2"/>
      <c r="F1343" s="2"/>
      <c r="G1343" s="2"/>
      <c r="H1343" s="2"/>
      <c r="I1343" s="2"/>
    </row>
    <row r="1344">
      <c r="A1344" s="1" t="s">
        <v>740</v>
      </c>
      <c r="B1344" s="1" t="str">
        <f>IFERROR(__xludf.DUMMYFUNCTION("SPLIT(A1344,"";"")"),"KARAVAN BORDELAISE")</f>
        <v>KARAVAN BORDELAISE</v>
      </c>
      <c r="C1344" s="1">
        <f>IFERROR(__xludf.DUMMYFUNCTION("""COMPUTED_VALUE"""),443.0)</f>
        <v>443</v>
      </c>
      <c r="D1344" s="1">
        <v>0.0</v>
      </c>
      <c r="E1344" s="2"/>
      <c r="F1344" s="2"/>
      <c r="G1344" s="2"/>
      <c r="H1344" s="2"/>
      <c r="I1344" s="2"/>
    </row>
    <row r="1345">
      <c r="A1345" s="1" t="s">
        <v>741</v>
      </c>
      <c r="B1345" s="1" t="str">
        <f>IFERROR(__xludf.DUMMYFUNCTION("SPLIT(A1345,"";"")"),"KAZ ANANDA")</f>
        <v>KAZ ANANDA</v>
      </c>
      <c r="C1345" s="1">
        <f>IFERROR(__xludf.DUMMYFUNCTION("""COMPUTED_VALUE"""),198.0)</f>
        <v>198</v>
      </c>
      <c r="D1345" s="1">
        <v>0.0</v>
      </c>
      <c r="E1345" s="2"/>
      <c r="F1345" s="2"/>
      <c r="G1345" s="2"/>
      <c r="H1345" s="2"/>
      <c r="I1345" s="2"/>
    </row>
    <row r="1346">
      <c r="A1346" s="1" t="s">
        <v>742</v>
      </c>
      <c r="B1346" s="1" t="str">
        <f>IFERROR(__xludf.DUMMYFUNCTION("SPLIT(A1346,"";"")"),"KEEP A BREAST EUROPE FOUNDATION")</f>
        <v>KEEP A BREAST EUROPE FOUNDATION</v>
      </c>
      <c r="C1346" s="1">
        <f>IFERROR(__xludf.DUMMYFUNCTION("""COMPUTED_VALUE"""),27.0)</f>
        <v>27</v>
      </c>
      <c r="D1346" s="1">
        <v>0.0</v>
      </c>
      <c r="E1346" s="2"/>
      <c r="F1346" s="2"/>
      <c r="G1346" s="2"/>
      <c r="H1346" s="2"/>
      <c r="I1346" s="2"/>
    </row>
    <row r="1347">
      <c r="A1347" s="1" t="s">
        <v>743</v>
      </c>
      <c r="B1347" s="1" t="str">
        <f>IFERROR(__xludf.DUMMYFUNCTION("SPLIT(A1347,"";"")"),"KI E KI")</f>
        <v>KI E KI</v>
      </c>
      <c r="C1347" s="1">
        <f>IFERROR(__xludf.DUMMYFUNCTION("""COMPUTED_VALUE"""),200.0)</f>
        <v>200</v>
      </c>
      <c r="D1347" s="1">
        <v>0.0</v>
      </c>
      <c r="E1347" s="2"/>
      <c r="F1347" s="2"/>
      <c r="G1347" s="2"/>
      <c r="H1347" s="2"/>
      <c r="I1347" s="2"/>
    </row>
    <row r="1348">
      <c r="A1348" s="1" t="s">
        <v>744</v>
      </c>
      <c r="B1348" s="1" t="str">
        <f>IFERROR(__xludf.DUMMYFUNCTION("SPLIT(A1348,"";"")"),"KILOMBO KINTWADI")</f>
        <v>KILOMBO KINTWADI</v>
      </c>
      <c r="C1348" s="3">
        <f>IFERROR(__xludf.DUMMYFUNCTION("""COMPUTED_VALUE"""),1360.0)</f>
        <v>1360</v>
      </c>
      <c r="D1348" s="1">
        <v>0.0</v>
      </c>
      <c r="E1348" s="2"/>
      <c r="F1348" s="2"/>
      <c r="G1348" s="2"/>
      <c r="H1348" s="2"/>
      <c r="I1348" s="2"/>
    </row>
    <row r="1349">
      <c r="A1349" s="1" t="s">
        <v>745</v>
      </c>
      <c r="B1349" s="1" t="str">
        <f>IFERROR(__xludf.DUMMYFUNCTION("SPLIT(A1349,"";"")"),"KINO SESSION")</f>
        <v>KINO SESSION</v>
      </c>
      <c r="C1349" s="3">
        <f>IFERROR(__xludf.DUMMYFUNCTION("""COMPUTED_VALUE"""),1598.0)</f>
        <v>1598</v>
      </c>
      <c r="D1349" s="1">
        <v>28.0</v>
      </c>
      <c r="E1349" s="2"/>
      <c r="F1349" s="2"/>
      <c r="G1349" s="2"/>
      <c r="H1349" s="2"/>
      <c r="I1349" s="2"/>
    </row>
    <row r="1350">
      <c r="A1350" s="1" t="s">
        <v>746</v>
      </c>
      <c r="B1350" s="1" t="str">
        <f>IFERROR(__xludf.DUMMYFUNCTION("SPLIT(A1350,"";"")"),"KPOP DANCE MOVE BORDEAUX - KDM BORDEAUX")</f>
        <v>KPOP DANCE MOVE BORDEAUX - KDM BORDEAUX</v>
      </c>
      <c r="C1350" s="1">
        <f>IFERROR(__xludf.DUMMYFUNCTION("""COMPUTED_VALUE"""),332.0)</f>
        <v>332</v>
      </c>
      <c r="D1350" s="1">
        <v>0.0</v>
      </c>
      <c r="E1350" s="2"/>
      <c r="F1350" s="2"/>
      <c r="G1350" s="2"/>
      <c r="H1350" s="2"/>
      <c r="I1350" s="2"/>
    </row>
    <row r="1351">
      <c r="A1351" s="1" t="s">
        <v>747</v>
      </c>
      <c r="B1351" s="1" t="str">
        <f>IFERROR(__xludf.DUMMYFUNCTION("SPLIT(A1351,"";"")"),"KUNG-FU WUSHU ACADEMIE (KFWA)")</f>
        <v>KUNG-FU WUSHU ACADEMIE (KFWA)</v>
      </c>
      <c r="C1351" s="3">
        <f>IFERROR(__xludf.DUMMYFUNCTION("""COMPUTED_VALUE"""),3996.0)</f>
        <v>3996</v>
      </c>
      <c r="D1351" s="1">
        <v>0.0</v>
      </c>
      <c r="E1351" s="2"/>
      <c r="F1351" s="2"/>
      <c r="G1351" s="2"/>
      <c r="H1351" s="2"/>
      <c r="I1351" s="2"/>
    </row>
    <row r="1352">
      <c r="A1352" s="1" t="s">
        <v>748</v>
      </c>
      <c r="B1352" s="1" t="str">
        <f>IFERROR(__xludf.DUMMYFUNCTION("SPLIT(A1352,"";"")"),"L’ASSOCIATION POUR LE MAINTIEN DE L’AGRICULTURE PAYSANNE DITE ""L’AMAP CAUDERANAISE""")</f>
        <v>L’ASSOCIATION POUR LE MAINTIEN DE L’AGRICULTURE PAYSANNE DITE "L’AMAP CAUDERANAISE"</v>
      </c>
      <c r="C1352" s="1">
        <f>IFERROR(__xludf.DUMMYFUNCTION("""COMPUTED_VALUE"""),356.0)</f>
        <v>356</v>
      </c>
      <c r="D1352" s="1">
        <v>0.0</v>
      </c>
      <c r="E1352" s="2"/>
      <c r="F1352" s="2"/>
      <c r="G1352" s="2"/>
      <c r="H1352" s="2"/>
      <c r="I1352" s="2"/>
    </row>
    <row r="1353">
      <c r="A1353" s="1" t="s">
        <v>749</v>
      </c>
      <c r="B1353" s="1" t="str">
        <f>IFERROR(__xludf.DUMMYFUNCTION("SPLIT(A1353,"";"")"),"LA BELLE ESTAMPE")</f>
        <v>LA BELLE ESTAMPE</v>
      </c>
      <c r="C1353" s="3">
        <f>IFERROR(__xludf.DUMMYFUNCTION("""COMPUTED_VALUE"""),3809.0)</f>
        <v>3809</v>
      </c>
      <c r="D1353" s="1">
        <v>22.0</v>
      </c>
      <c r="E1353" s="2"/>
      <c r="F1353" s="2"/>
      <c r="G1353" s="2"/>
      <c r="H1353" s="2"/>
      <c r="I1353" s="2"/>
    </row>
    <row r="1354">
      <c r="A1354" s="1" t="s">
        <v>750</v>
      </c>
      <c r="B1354" s="1" t="str">
        <f>IFERROR(__xludf.DUMMYFUNCTION("SPLIT(A1354,"";"")"),"LA CABANE A GRATTER")</f>
        <v>LA CABANE A GRATTER</v>
      </c>
      <c r="C1354" s="1">
        <f>IFERROR(__xludf.DUMMYFUNCTION("""COMPUTED_VALUE"""),42.0)</f>
        <v>42</v>
      </c>
      <c r="D1354" s="1">
        <v>0.0</v>
      </c>
      <c r="E1354" s="2"/>
      <c r="F1354" s="2"/>
      <c r="G1354" s="2"/>
      <c r="H1354" s="2"/>
      <c r="I1354" s="2"/>
    </row>
    <row r="1355">
      <c r="A1355" s="1" t="s">
        <v>751</v>
      </c>
      <c r="B1355" s="1" t="str">
        <f>IFERROR(__xludf.DUMMYFUNCTION("SPLIT(A1355,"";"")"),"LA CHAMBRE BLEUE")</f>
        <v>LA CHAMBRE BLEUE</v>
      </c>
      <c r="C1355" s="1">
        <f>IFERROR(__xludf.DUMMYFUNCTION("""COMPUTED_VALUE"""),180.0)</f>
        <v>180</v>
      </c>
      <c r="D1355" s="1">
        <v>66.0</v>
      </c>
      <c r="E1355" s="2"/>
      <c r="F1355" s="2"/>
      <c r="G1355" s="2"/>
      <c r="H1355" s="2"/>
      <c r="I1355" s="2"/>
    </row>
    <row r="1356">
      <c r="A1356" s="1" t="s">
        <v>752</v>
      </c>
      <c r="B1356" s="1" t="str">
        <f>IFERROR(__xludf.DUMMYFUNCTION("SPLIT(A1356,"";"")"),"LA CIGOGNE")</f>
        <v>LA CIGOGNE</v>
      </c>
      <c r="C1356" s="1">
        <f>IFERROR(__xludf.DUMMYFUNCTION("""COMPUTED_VALUE"""),277.0)</f>
        <v>277</v>
      </c>
      <c r="D1356" s="1">
        <v>0.0</v>
      </c>
      <c r="E1356" s="2"/>
      <c r="F1356" s="2"/>
      <c r="G1356" s="2"/>
      <c r="H1356" s="2"/>
      <c r="I1356" s="2"/>
    </row>
    <row r="1357">
      <c r="A1357" s="1" t="s">
        <v>753</v>
      </c>
      <c r="B1357" s="1" t="str">
        <f>IFERROR(__xludf.DUMMYFUNCTION("SPLIT(A1357,"";"")"),"LA CLE DU QUAI")</f>
        <v>LA CLE DU QUAI</v>
      </c>
      <c r="C1357" s="3">
        <f>IFERROR(__xludf.DUMMYFUNCTION("""COMPUTED_VALUE"""),1548.0)</f>
        <v>1548</v>
      </c>
      <c r="D1357" s="1">
        <v>0.0</v>
      </c>
      <c r="E1357" s="2"/>
      <c r="F1357" s="2"/>
      <c r="G1357" s="2"/>
      <c r="H1357" s="2"/>
      <c r="I1357" s="2"/>
    </row>
    <row r="1358">
      <c r="A1358" s="1" t="s">
        <v>754</v>
      </c>
      <c r="B1358" s="1" t="str">
        <f>IFERROR(__xludf.DUMMYFUNCTION("SPLIT(A1358,"";"")"),"LA COMPAGNIE ""LES FOUS DE LA RAMPE""")</f>
        <v>LA COMPAGNIE "LES FOUS DE LA RAMPE"</v>
      </c>
      <c r="C1358" s="3">
        <f>IFERROR(__xludf.DUMMYFUNCTION("""COMPUTED_VALUE"""),4209.0)</f>
        <v>4209</v>
      </c>
      <c r="D1358" s="1">
        <v>0.0</v>
      </c>
      <c r="E1358" s="2"/>
      <c r="F1358" s="2"/>
      <c r="G1358" s="2"/>
      <c r="H1358" s="2"/>
      <c r="I1358" s="2"/>
    </row>
    <row r="1359">
      <c r="A1359" s="1" t="s">
        <v>755</v>
      </c>
      <c r="B1359" s="1" t="str">
        <f>IFERROR(__xludf.DUMMYFUNCTION("SPLIT(A1359,"";"")"),"LA COMPAGNIE CHRONIQUE")</f>
        <v>LA COMPAGNIE CHRONIQUE</v>
      </c>
      <c r="C1359" s="1">
        <f>IFERROR(__xludf.DUMMYFUNCTION("""COMPUTED_VALUE"""),105.0)</f>
        <v>105</v>
      </c>
      <c r="D1359" s="1">
        <v>0.0</v>
      </c>
      <c r="E1359" s="2"/>
      <c r="F1359" s="2"/>
      <c r="G1359" s="2"/>
      <c r="H1359" s="2"/>
      <c r="I1359" s="2"/>
    </row>
    <row r="1360">
      <c r="A1360" s="1" t="s">
        <v>756</v>
      </c>
      <c r="B1360" s="1" t="str">
        <f>IFERROR(__xludf.DUMMYFUNCTION("SPLIT(A1360,"";"")"),"LA COMPAGNIE DES FIGURES")</f>
        <v>LA COMPAGNIE DES FIGURES</v>
      </c>
      <c r="C1360" s="1">
        <f>IFERROR(__xludf.DUMMYFUNCTION("""COMPUTED_VALUE"""),400.0)</f>
        <v>400</v>
      </c>
      <c r="D1360" s="1">
        <v>0.0</v>
      </c>
      <c r="E1360" s="2"/>
      <c r="F1360" s="2"/>
      <c r="G1360" s="2"/>
      <c r="H1360" s="2"/>
      <c r="I1360" s="2"/>
    </row>
    <row r="1361">
      <c r="A1361" s="1" t="s">
        <v>757</v>
      </c>
      <c r="B1361" s="1" t="str">
        <f>IFERROR(__xludf.DUMMYFUNCTION("SPLIT(A1361,"";"")"),"LA COMPAGNIE DES PETITES SECOUSSES")</f>
        <v>LA COMPAGNIE DES PETITES SECOUSSES</v>
      </c>
      <c r="C1361" s="3">
        <f>IFERROR(__xludf.DUMMYFUNCTION("""COMPUTED_VALUE"""),1143.0)</f>
        <v>1143</v>
      </c>
      <c r="D1361" s="1">
        <v>0.0</v>
      </c>
      <c r="E1361" s="2"/>
      <c r="F1361" s="2"/>
      <c r="G1361" s="2"/>
      <c r="H1361" s="2"/>
      <c r="I1361" s="2"/>
    </row>
    <row r="1362">
      <c r="A1362" s="1" t="s">
        <v>758</v>
      </c>
      <c r="B1362" s="1" t="str">
        <f>IFERROR(__xludf.DUMMYFUNCTION("SPLIT(A1362,"";"")"),"LA COMPAGNIE GARONOTES")</f>
        <v>LA COMPAGNIE GARONOTES</v>
      </c>
      <c r="C1362" s="1">
        <f>IFERROR(__xludf.DUMMYFUNCTION("""COMPUTED_VALUE"""),597.0)</f>
        <v>597</v>
      </c>
      <c r="D1362" s="1">
        <v>0.0</v>
      </c>
      <c r="E1362" s="2"/>
      <c r="F1362" s="2"/>
      <c r="G1362" s="2"/>
      <c r="H1362" s="2"/>
      <c r="I1362" s="2"/>
    </row>
    <row r="1363">
      <c r="A1363" s="1" t="s">
        <v>759</v>
      </c>
      <c r="B1363" s="1" t="str">
        <f>IFERROR(__xludf.DUMMYFUNCTION("SPLIT(A1363,"";"")"),"L'A COSMOPOLITAINE « COSMODANCE »")</f>
        <v>L'A COSMOPOLITAINE « COSMODANCE »</v>
      </c>
      <c r="C1363" s="3">
        <f>IFERROR(__xludf.DUMMYFUNCTION("""COMPUTED_VALUE"""),1229.0)</f>
        <v>1229</v>
      </c>
      <c r="D1363" s="1">
        <v>66.0</v>
      </c>
      <c r="E1363" s="2"/>
      <c r="F1363" s="2"/>
      <c r="G1363" s="2"/>
      <c r="H1363" s="2"/>
      <c r="I1363" s="2"/>
    </row>
    <row r="1364">
      <c r="A1364" s="1" t="s">
        <v>760</v>
      </c>
      <c r="B1364" s="1" t="str">
        <f>IFERROR(__xludf.DUMMYFUNCTION("SPLIT(A1364,"";"")"),"LA COUR DES ENFANTS")</f>
        <v>LA COUR DES ENFANTS</v>
      </c>
      <c r="C1364" s="1">
        <f>IFERROR(__xludf.DUMMYFUNCTION("""COMPUTED_VALUE"""),58.0)</f>
        <v>58</v>
      </c>
      <c r="D1364" s="1">
        <v>0.0</v>
      </c>
      <c r="E1364" s="2"/>
      <c r="F1364" s="2"/>
      <c r="G1364" s="2"/>
      <c r="H1364" s="2"/>
      <c r="I1364" s="2"/>
    </row>
    <row r="1365">
      <c r="A1365" s="1" t="s">
        <v>761</v>
      </c>
      <c r="B1365" s="1" t="str">
        <f>IFERROR(__xludf.DUMMYFUNCTION("SPLIT(A1365,"";"")"),"LA DAME A LA LICORNE")</f>
        <v>LA DAME A LA LICORNE</v>
      </c>
      <c r="C1365" s="1">
        <f>IFERROR(__xludf.DUMMYFUNCTION("""COMPUTED_VALUE"""),696.0)</f>
        <v>696</v>
      </c>
      <c r="D1365" s="1">
        <v>0.0</v>
      </c>
      <c r="E1365" s="2"/>
      <c r="F1365" s="2"/>
      <c r="G1365" s="2"/>
      <c r="H1365" s="2"/>
      <c r="I1365" s="2"/>
    </row>
    <row r="1366">
      <c r="A1366" s="1" t="s">
        <v>762</v>
      </c>
      <c r="B1366" s="1" t="str">
        <f>IFERROR(__xludf.DUMMYFUNCTION("SPLIT(A1366,"";"")"),"LA FABRIQUE POLA")</f>
        <v>LA FABRIQUE POLA</v>
      </c>
      <c r="C1366" s="3">
        <f>IFERROR(__xludf.DUMMYFUNCTION("""COMPUTED_VALUE"""),111001.0)</f>
        <v>111001</v>
      </c>
      <c r="D1366" s="1">
        <v>20.0</v>
      </c>
      <c r="E1366" s="2"/>
      <c r="F1366" s="2"/>
      <c r="G1366" s="2"/>
      <c r="H1366" s="2"/>
      <c r="I1366" s="2"/>
    </row>
    <row r="1367">
      <c r="A1367" s="1" t="s">
        <v>763</v>
      </c>
      <c r="B1367" s="1" t="str">
        <f>IFERROR(__xludf.DUMMYFUNCTION("SPLIT(A1367,"";"")"),"LA FLECHE DE BORDEAUX")</f>
        <v>LA FLECHE DE BORDEAUX</v>
      </c>
      <c r="C1367" s="3">
        <f>IFERROR(__xludf.DUMMYFUNCTION("""COMPUTED_VALUE"""),79590.0)</f>
        <v>79590</v>
      </c>
      <c r="D1367" s="1">
        <v>10.0</v>
      </c>
      <c r="E1367" s="2"/>
      <c r="F1367" s="2"/>
      <c r="G1367" s="2"/>
      <c r="H1367" s="2"/>
      <c r="I1367" s="2"/>
    </row>
    <row r="1368">
      <c r="A1368" s="1" t="s">
        <v>764</v>
      </c>
      <c r="B1368" s="1" t="str">
        <f>IFERROR(__xludf.DUMMYFUNCTION("SPLIT(A1368,"";"")"),"LA GALERIE EPHEMERE")</f>
        <v>LA GALERIE EPHEMERE</v>
      </c>
      <c r="C1368" s="1">
        <f>IFERROR(__xludf.DUMMYFUNCTION("""COMPUTED_VALUE"""),842.0)</f>
        <v>842</v>
      </c>
      <c r="D1368" s="1">
        <v>0.0</v>
      </c>
      <c r="E1368" s="2"/>
      <c r="F1368" s="2"/>
      <c r="G1368" s="2"/>
      <c r="H1368" s="2"/>
      <c r="I1368" s="2"/>
    </row>
    <row r="1369">
      <c r="A1369" s="1" t="s">
        <v>765</v>
      </c>
      <c r="B1369" s="1" t="str">
        <f>IFERROR(__xludf.DUMMYFUNCTION("SPLIT(A1369,"";"")"),"LA GYM SUEDOISE BORDEAUX")</f>
        <v>LA GYM SUEDOISE BORDEAUX</v>
      </c>
      <c r="C1369" s="3">
        <f>IFERROR(__xludf.DUMMYFUNCTION("""COMPUTED_VALUE"""),4473.0)</f>
        <v>4473</v>
      </c>
      <c r="D1369" s="1">
        <v>0.0</v>
      </c>
      <c r="E1369" s="2"/>
      <c r="F1369" s="2"/>
      <c r="G1369" s="2"/>
      <c r="H1369" s="2"/>
      <c r="I1369" s="2"/>
    </row>
    <row r="1370">
      <c r="A1370" s="1" t="s">
        <v>766</v>
      </c>
      <c r="B1370" s="1" t="str">
        <f>IFERROR(__xludf.DUMMYFUNCTION("SPLIT(A1370,"";"")"),"LA HALLE DES DOUVES")</f>
        <v>LA HALLE DES DOUVES</v>
      </c>
      <c r="C1370" s="3">
        <f>IFERROR(__xludf.DUMMYFUNCTION("""COMPUTED_VALUE"""),29255.0)</f>
        <v>29255</v>
      </c>
      <c r="D1370" s="1">
        <v>0.0</v>
      </c>
      <c r="E1370" s="2"/>
      <c r="F1370" s="2"/>
      <c r="G1370" s="2"/>
      <c r="H1370" s="2"/>
      <c r="I1370" s="2"/>
    </row>
    <row r="1371">
      <c r="A1371" s="1" t="s">
        <v>767</v>
      </c>
      <c r="B1371" s="1" t="str">
        <f>IFERROR(__xludf.DUMMYFUNCTION("SPLIT(A1371,"";"")"),"LA HOULETTE")</f>
        <v>LA HOULETTE</v>
      </c>
      <c r="C1371" s="1">
        <f>IFERROR(__xludf.DUMMYFUNCTION("""COMPUTED_VALUE"""),396.0)</f>
        <v>396</v>
      </c>
      <c r="D1371" s="1">
        <v>0.0</v>
      </c>
      <c r="E1371" s="2"/>
      <c r="F1371" s="2"/>
      <c r="G1371" s="2"/>
      <c r="H1371" s="2"/>
      <c r="I1371" s="2"/>
    </row>
    <row r="1372">
      <c r="A1372" s="1" t="s">
        <v>768</v>
      </c>
      <c r="B1372" s="1" t="str">
        <f>IFERROR(__xludf.DUMMYFUNCTION("SPLIT(A1372,"";"")"),"LA MAIN A L’OREILLE")</f>
        <v>LA MAIN A L’OREILLE</v>
      </c>
      <c r="C1372" s="1">
        <f>IFERROR(__xludf.DUMMYFUNCTION("""COMPUTED_VALUE"""),611.0)</f>
        <v>611</v>
      </c>
      <c r="D1372" s="1">
        <v>0.0</v>
      </c>
      <c r="E1372" s="2"/>
      <c r="F1372" s="2"/>
      <c r="G1372" s="2"/>
      <c r="H1372" s="2"/>
      <c r="I1372" s="2"/>
    </row>
    <row r="1373">
      <c r="A1373" s="1" t="s">
        <v>769</v>
      </c>
      <c r="B1373" s="1" t="str">
        <f>IFERROR(__xludf.DUMMYFUNCTION("SPLIT(A1373,"";"")"),"LA MAISON DE MARIE")</f>
        <v>LA MAISON DE MARIE</v>
      </c>
      <c r="C1373" s="1">
        <f>IFERROR(__xludf.DUMMYFUNCTION("""COMPUTED_VALUE"""),581.0)</f>
        <v>581</v>
      </c>
      <c r="D1373" s="1">
        <v>88.0</v>
      </c>
      <c r="E1373" s="2"/>
      <c r="F1373" s="2"/>
      <c r="G1373" s="2"/>
      <c r="H1373" s="2"/>
      <c r="I1373" s="2"/>
    </row>
    <row r="1374">
      <c r="A1374" s="1" t="s">
        <v>770</v>
      </c>
      <c r="B1374" s="1" t="str">
        <f>IFERROR(__xludf.DUMMYFUNCTION("SPLIT(A1374,"";"")"),"LA MAISON DES FAMILLES DE BORDEAUX")</f>
        <v>LA MAISON DES FAMILLES DE BORDEAUX</v>
      </c>
      <c r="C1374" s="1">
        <f>IFERROR(__xludf.DUMMYFUNCTION("""COMPUTED_VALUE"""),637.0)</f>
        <v>637</v>
      </c>
      <c r="D1374" s="1">
        <v>0.0</v>
      </c>
      <c r="E1374" s="2"/>
      <c r="F1374" s="2"/>
      <c r="G1374" s="2"/>
      <c r="H1374" s="2"/>
      <c r="I1374" s="2"/>
    </row>
    <row r="1375">
      <c r="A1375" s="1" t="s">
        <v>771</v>
      </c>
      <c r="B1375" s="1" t="str">
        <f>IFERROR(__xludf.DUMMYFUNCTION("SPLIT(A1375,"";"")"),"LA MANIF POUR TOUS 33")</f>
        <v>LA MANIF POUR TOUS 33</v>
      </c>
      <c r="C1375" s="1">
        <f>IFERROR(__xludf.DUMMYFUNCTION("""COMPUTED_VALUE"""),56.0)</f>
        <v>56</v>
      </c>
      <c r="D1375" s="1">
        <v>0.0</v>
      </c>
      <c r="E1375" s="2"/>
      <c r="F1375" s="2"/>
      <c r="G1375" s="2"/>
      <c r="H1375" s="2"/>
      <c r="I1375" s="2"/>
    </row>
    <row r="1376">
      <c r="A1376" s="1" t="s">
        <v>772</v>
      </c>
      <c r="B1376" s="1" t="str">
        <f>IFERROR(__xludf.DUMMYFUNCTION("SPLIT(A1376,"";"")"),"LA MANNE EUROPE")</f>
        <v>LA MANNE EUROPE</v>
      </c>
      <c r="C1376" s="3">
        <f>IFERROR(__xludf.DUMMYFUNCTION("""COMPUTED_VALUE"""),3902.0)</f>
        <v>3902</v>
      </c>
      <c r="D1376" s="1">
        <v>46.0</v>
      </c>
      <c r="E1376" s="2"/>
      <c r="F1376" s="2"/>
      <c r="G1376" s="2"/>
      <c r="H1376" s="2"/>
      <c r="I1376" s="2"/>
    </row>
    <row r="1377">
      <c r="A1377" s="1" t="s">
        <v>773</v>
      </c>
      <c r="B1377" s="1" t="str">
        <f>IFERROR(__xludf.DUMMYFUNCTION("SPLIT(A1377,"";"")"),"LA MANUFACTURE ATLANTIQUE")</f>
        <v>LA MANUFACTURE ATLANTIQUE</v>
      </c>
      <c r="C1377" s="3">
        <f>IFERROR(__xludf.DUMMYFUNCTION("""COMPUTED_VALUE"""),16317.0)</f>
        <v>16317</v>
      </c>
      <c r="D1377" s="1">
        <v>67.0</v>
      </c>
      <c r="E1377" s="2"/>
      <c r="F1377" s="2"/>
      <c r="G1377" s="2"/>
      <c r="H1377" s="2"/>
      <c r="I1377" s="2"/>
    </row>
    <row r="1378">
      <c r="A1378" s="1" t="s">
        <v>774</v>
      </c>
      <c r="B1378" s="1" t="str">
        <f>IFERROR(__xludf.DUMMYFUNCTION("SPLIT(A1378,"";"")"),"LA MARGE ROUSSE")</f>
        <v>LA MARGE ROUSSE</v>
      </c>
      <c r="C1378" s="1">
        <f>IFERROR(__xludf.DUMMYFUNCTION("""COMPUTED_VALUE"""),749.0)</f>
        <v>749</v>
      </c>
      <c r="D1378" s="1">
        <v>40.0</v>
      </c>
      <c r="E1378" s="2"/>
      <c r="F1378" s="2"/>
      <c r="G1378" s="2"/>
      <c r="H1378" s="2"/>
      <c r="I1378" s="2"/>
    </row>
    <row r="1379">
      <c r="A1379" s="1" t="s">
        <v>775</v>
      </c>
      <c r="B1379" s="1" t="str">
        <f>IFERROR(__xludf.DUMMYFUNCTION("SPLIT(A1379,"";"")"),"LA MARMAILLE")</f>
        <v>LA MARMAILLE</v>
      </c>
      <c r="C1379" s="3">
        <f>IFERROR(__xludf.DUMMYFUNCTION("""COMPUTED_VALUE"""),7654.0)</f>
        <v>7654</v>
      </c>
      <c r="D1379" s="1">
        <v>0.0</v>
      </c>
      <c r="E1379" s="2"/>
      <c r="F1379" s="2"/>
      <c r="G1379" s="2"/>
      <c r="H1379" s="2"/>
      <c r="I1379" s="2"/>
    </row>
    <row r="1380">
      <c r="A1380" s="1" t="s">
        <v>776</v>
      </c>
      <c r="B1380" s="1" t="str">
        <f>IFERROR(__xludf.DUMMYFUNCTION("SPLIT(A1380,"";"")"),"LA MEMOIRE DE BORDEAUX METROPOLE")</f>
        <v>LA MEMOIRE DE BORDEAUX METROPOLE</v>
      </c>
      <c r="C1380" s="3">
        <f>IFERROR(__xludf.DUMMYFUNCTION("""COMPUTED_VALUE"""),4329.0)</f>
        <v>4329</v>
      </c>
      <c r="D1380" s="1">
        <v>0.0</v>
      </c>
      <c r="E1380" s="2"/>
      <c r="F1380" s="2"/>
      <c r="G1380" s="2"/>
      <c r="H1380" s="2"/>
      <c r="I1380" s="2"/>
    </row>
    <row r="1381">
      <c r="A1381" s="1" t="s">
        <v>777</v>
      </c>
      <c r="B1381" s="1" t="str">
        <f>IFERROR(__xludf.DUMMYFUNCTION("SPLIT(A1381,"";"")"),"LA MOBYLETTE")</f>
        <v>LA MOBYLETTE</v>
      </c>
      <c r="C1381" s="1">
        <f>IFERROR(__xludf.DUMMYFUNCTION("""COMPUTED_VALUE"""),400.0)</f>
        <v>400</v>
      </c>
      <c r="D1381" s="1">
        <v>0.0</v>
      </c>
      <c r="E1381" s="2"/>
      <c r="F1381" s="2"/>
      <c r="G1381" s="2"/>
      <c r="H1381" s="2"/>
      <c r="I1381" s="2"/>
    </row>
    <row r="1382">
      <c r="A1382" s="1" t="s">
        <v>778</v>
      </c>
      <c r="B1382" s="1" t="str">
        <f>IFERROR(__xludf.DUMMYFUNCTION("SPLIT(A1382,"";"")"),"LA NUIT VENUE")</f>
        <v>LA NUIT VENUE</v>
      </c>
      <c r="C1382" s="1">
        <f>IFERROR(__xludf.DUMMYFUNCTION("""COMPUTED_VALUE"""),344.0)</f>
        <v>344</v>
      </c>
      <c r="D1382" s="1">
        <v>80.0</v>
      </c>
      <c r="E1382" s="2"/>
      <c r="F1382" s="2"/>
      <c r="G1382" s="2"/>
      <c r="H1382" s="2"/>
      <c r="I1382" s="2"/>
    </row>
    <row r="1383">
      <c r="A1383" s="1" t="s">
        <v>779</v>
      </c>
      <c r="B1383" s="1" t="str">
        <f>IFERROR(__xludf.DUMMYFUNCTION("SPLIT(A1383,"";"")"),"LA PARENTELE")</f>
        <v>LA PARENTELE</v>
      </c>
      <c r="C1383" s="1">
        <f>IFERROR(__xludf.DUMMYFUNCTION("""COMPUTED_VALUE"""),259.0)</f>
        <v>259</v>
      </c>
      <c r="D1383" s="1">
        <v>32.0</v>
      </c>
      <c r="E1383" s="2"/>
      <c r="F1383" s="2"/>
      <c r="G1383" s="2"/>
      <c r="H1383" s="2"/>
      <c r="I1383" s="2"/>
    </row>
    <row r="1384">
      <c r="A1384" s="1" t="s">
        <v>780</v>
      </c>
      <c r="B1384" s="1" t="str">
        <f>IFERROR(__xludf.DUMMYFUNCTION("SPLIT(A1384,"";"")"),"LA PLUME ET L'OREILLE")</f>
        <v>LA PLUME ET L'OREILLE</v>
      </c>
      <c r="C1384" s="1">
        <f>IFERROR(__xludf.DUMMYFUNCTION("""COMPUTED_VALUE"""),610.0)</f>
        <v>610</v>
      </c>
      <c r="D1384" s="1">
        <v>0.0</v>
      </c>
      <c r="E1384" s="2"/>
      <c r="F1384" s="2"/>
      <c r="G1384" s="2"/>
      <c r="H1384" s="2"/>
      <c r="I1384" s="2"/>
    </row>
    <row r="1385">
      <c r="A1385" s="1" t="s">
        <v>781</v>
      </c>
      <c r="B1385" s="1" t="str">
        <f>IFERROR(__xludf.DUMMYFUNCTION("SPLIT(A1385,"";"")"),"LA PORTE OUVERTE DE BORDEAUX")</f>
        <v>LA PORTE OUVERTE DE BORDEAUX</v>
      </c>
      <c r="C1385" s="1">
        <f>IFERROR(__xludf.DUMMYFUNCTION("""COMPUTED_VALUE"""),663.0)</f>
        <v>663</v>
      </c>
      <c r="D1385" s="1">
        <v>0.0</v>
      </c>
      <c r="E1385" s="2"/>
      <c r="F1385" s="2"/>
      <c r="G1385" s="2"/>
      <c r="H1385" s="2"/>
      <c r="I1385" s="2"/>
    </row>
    <row r="1386">
      <c r="A1386" s="1" t="s">
        <v>782</v>
      </c>
      <c r="B1386" s="1" t="str">
        <f>IFERROR(__xludf.DUMMYFUNCTION("SPLIT(A1386,"";"")"),"LA PREVENTION ROUTIERE")</f>
        <v>LA PREVENTION ROUTIERE</v>
      </c>
      <c r="C1386" s="3">
        <f>IFERROR(__xludf.DUMMYFUNCTION("""COMPUTED_VALUE"""),56096.0)</f>
        <v>56096</v>
      </c>
      <c r="D1386" s="1">
        <v>57.0</v>
      </c>
      <c r="E1386" s="2"/>
      <c r="F1386" s="2"/>
      <c r="G1386" s="2"/>
      <c r="H1386" s="2"/>
      <c r="I1386" s="2"/>
    </row>
    <row r="1387">
      <c r="A1387" s="1" t="s">
        <v>783</v>
      </c>
      <c r="B1387" s="1" t="str">
        <f>IFERROR(__xludf.DUMMYFUNCTION("SPLIT(A1387,"";"")"),"LA REVERB'")</f>
        <v>LA REVERB'</v>
      </c>
      <c r="C1387" s="3">
        <f>IFERROR(__xludf.DUMMYFUNCTION("""COMPUTED_VALUE"""),1647.0)</f>
        <v>1647</v>
      </c>
      <c r="D1387" s="1">
        <v>71.0</v>
      </c>
      <c r="E1387" s="2"/>
      <c r="F1387" s="2"/>
      <c r="G1387" s="2"/>
      <c r="H1387" s="2"/>
      <c r="I1387" s="2"/>
    </row>
    <row r="1388">
      <c r="A1388" s="1" t="s">
        <v>784</v>
      </c>
      <c r="B1388" s="1" t="str">
        <f>IFERROR(__xludf.DUMMYFUNCTION("SPLIT(A1388,"";"")"),"LA RONDE DES QUARTIERS DE BORDEAUX")</f>
        <v>LA RONDE DES QUARTIERS DE BORDEAUX</v>
      </c>
      <c r="C1388" s="3">
        <f>IFERROR(__xludf.DUMMYFUNCTION("""COMPUTED_VALUE"""),61174.0)</f>
        <v>61174</v>
      </c>
      <c r="D1388" s="1">
        <v>32.0</v>
      </c>
      <c r="E1388" s="2"/>
      <c r="F1388" s="2"/>
      <c r="G1388" s="2"/>
      <c r="H1388" s="2"/>
      <c r="I1388" s="2"/>
    </row>
    <row r="1389">
      <c r="A1389" s="1" t="s">
        <v>785</v>
      </c>
      <c r="B1389" s="1" t="str">
        <f>IFERROR(__xludf.DUMMYFUNCTION("SPLIT(A1389,"";"")"),"LA ROUTE DES VINS - ECOLE DE COMMERCE EUROPEENNE")</f>
        <v>LA ROUTE DES VINS - ECOLE DE COMMERCE EUROPEENNE</v>
      </c>
      <c r="C1389" s="3">
        <f>IFERROR(__xludf.DUMMYFUNCTION("""COMPUTED_VALUE"""),1008.0)</f>
        <v>1008</v>
      </c>
      <c r="D1389" s="1">
        <v>0.0</v>
      </c>
      <c r="E1389" s="2"/>
      <c r="F1389" s="2"/>
      <c r="G1389" s="2"/>
      <c r="H1389" s="2"/>
      <c r="I1389" s="2"/>
    </row>
    <row r="1390">
      <c r="A1390" s="1" t="s">
        <v>786</v>
      </c>
      <c r="B1390" s="1" t="str">
        <f>IFERROR(__xludf.DUMMYFUNCTION("SPLIT(A1390,"";"")"),"LA TRIBALE DEMARCHE")</f>
        <v>LA TRIBALE DEMARCHE</v>
      </c>
      <c r="C1390" s="1">
        <f>IFERROR(__xludf.DUMMYFUNCTION("""COMPUTED_VALUE"""),760.0)</f>
        <v>760</v>
      </c>
      <c r="D1390" s="1">
        <v>4.0</v>
      </c>
      <c r="E1390" s="2"/>
      <c r="F1390" s="2"/>
      <c r="G1390" s="2"/>
      <c r="H1390" s="2"/>
      <c r="I1390" s="2"/>
    </row>
    <row r="1391">
      <c r="A1391" s="1" t="s">
        <v>787</v>
      </c>
      <c r="B1391" s="1" t="str">
        <f>IFERROR(__xludf.DUMMYFUNCTION("SPLIT(A1391,"";"")"),"LABE'ART")</f>
        <v>LABE'ART</v>
      </c>
      <c r="C1391" s="3">
        <f>IFERROR(__xludf.DUMMYFUNCTION("""COMPUTED_VALUE"""),2118.0)</f>
        <v>2118</v>
      </c>
      <c r="D1391" s="1">
        <v>12.0</v>
      </c>
      <c r="E1391" s="2"/>
      <c r="F1391" s="2"/>
      <c r="G1391" s="2"/>
      <c r="H1391" s="2"/>
      <c r="I1391" s="2"/>
    </row>
    <row r="1392">
      <c r="A1392" s="1" t="s">
        <v>788</v>
      </c>
      <c r="B1392" s="1" t="str">
        <f>IFERROR(__xludf.DUMMYFUNCTION("SPLIT(A1392,"";"")"),"LACLE - LA MAISON DES PARENTS ET DES MINEURS")</f>
        <v>LACLE - LA MAISON DES PARENTS ET DES MINEURS</v>
      </c>
      <c r="C1392" s="3">
        <f>IFERROR(__xludf.DUMMYFUNCTION("""COMPUTED_VALUE"""),1768.0)</f>
        <v>1768</v>
      </c>
      <c r="D1392" s="1">
        <v>0.0</v>
      </c>
      <c r="E1392" s="2"/>
      <c r="F1392" s="2"/>
      <c r="G1392" s="2"/>
      <c r="H1392" s="2"/>
      <c r="I1392" s="2"/>
    </row>
    <row r="1393">
      <c r="A1393" s="1" t="s">
        <v>789</v>
      </c>
      <c r="B1393" s="1" t="str">
        <f>IFERROR(__xludf.DUMMYFUNCTION("SPLIT(A1393,"";"")"),"LADAPT LIGUE ADAPTATION DIMINUES PHYSIQUE AU TRAVAIL")</f>
        <v>LADAPT LIGUE ADAPTATION DIMINUES PHYSIQUE AU TRAVAIL</v>
      </c>
      <c r="C1393" s="3">
        <f>IFERROR(__xludf.DUMMYFUNCTION("""COMPUTED_VALUE"""),3927.0)</f>
        <v>3927</v>
      </c>
      <c r="D1393" s="1">
        <v>0.0</v>
      </c>
      <c r="E1393" s="2"/>
      <c r="F1393" s="2"/>
      <c r="G1393" s="2"/>
      <c r="H1393" s="2"/>
      <c r="I1393" s="2"/>
    </row>
    <row r="1394">
      <c r="A1394" s="1" t="s">
        <v>790</v>
      </c>
      <c r="B1394" s="1" t="str">
        <f>IFERROR(__xludf.DUMMYFUNCTION("SPLIT(A1394,"";"")"),"LADIES' CIRCLE BORDEAUX 20")</f>
        <v>LADIES' CIRCLE BORDEAUX 20</v>
      </c>
      <c r="C1394" s="1">
        <f>IFERROR(__xludf.DUMMYFUNCTION("""COMPUTED_VALUE"""),523.0)</f>
        <v>523</v>
      </c>
      <c r="D1394" s="1">
        <v>0.0</v>
      </c>
      <c r="E1394" s="2"/>
      <c r="F1394" s="2"/>
      <c r="G1394" s="2"/>
      <c r="H1394" s="2"/>
      <c r="I1394" s="2"/>
    </row>
    <row r="1395">
      <c r="A1395" s="1" t="s">
        <v>791</v>
      </c>
      <c r="B1395" s="1" t="str">
        <f>IFERROR(__xludf.DUMMYFUNCTION("SPLIT(A1395,"";"")"),"LAFEDERATION 33")</f>
        <v>LAFEDERATION 33</v>
      </c>
      <c r="C1395" s="1">
        <f>IFERROR(__xludf.DUMMYFUNCTION("""COMPUTED_VALUE"""),126.0)</f>
        <v>126</v>
      </c>
      <c r="D1395" s="1">
        <v>0.0</v>
      </c>
      <c r="E1395" s="2"/>
      <c r="F1395" s="2"/>
      <c r="G1395" s="2"/>
      <c r="H1395" s="2"/>
      <c r="I1395" s="2"/>
    </row>
    <row r="1396">
      <c r="A1396" s="1" t="s">
        <v>792</v>
      </c>
      <c r="B1396" s="1" t="str">
        <f>IFERROR(__xludf.DUMMYFUNCTION("SPLIT(A1396,"";"")"),"L'AGENCE CREATIVE")</f>
        <v>L'AGENCE CREATIVE</v>
      </c>
      <c r="C1396" s="3">
        <f>IFERROR(__xludf.DUMMYFUNCTION("""COMPUTED_VALUE"""),7484.0)</f>
        <v>7484</v>
      </c>
      <c r="D1396" s="1">
        <v>80.0</v>
      </c>
      <c r="E1396" s="2"/>
      <c r="F1396" s="2"/>
      <c r="G1396" s="2"/>
      <c r="H1396" s="2"/>
      <c r="I1396" s="2"/>
    </row>
    <row r="1397">
      <c r="A1397" s="1" t="s">
        <v>793</v>
      </c>
      <c r="B1397" s="1" t="str">
        <f>IFERROR(__xludf.DUMMYFUNCTION("SPLIT(A1397,"";"")"),"L'AGENCE DE GEOGRAPHIE AFFECTIVE")</f>
        <v>L'AGENCE DE GEOGRAPHIE AFFECTIVE</v>
      </c>
      <c r="C1397" s="1">
        <f>IFERROR(__xludf.DUMMYFUNCTION("""COMPUTED_VALUE"""),68.0)</f>
        <v>68</v>
      </c>
      <c r="D1397" s="1">
        <v>0.0</v>
      </c>
      <c r="E1397" s="2"/>
      <c r="F1397" s="2"/>
      <c r="G1397" s="2"/>
      <c r="H1397" s="2"/>
      <c r="I1397" s="2"/>
    </row>
    <row r="1398">
      <c r="A1398" s="1" t="s">
        <v>794</v>
      </c>
      <c r="B1398" s="1" t="str">
        <f>IFERROR(__xludf.DUMMYFUNCTION("SPLIT(A1398,"";"")"),"L'AMICALE DES CHINOIS DU SUD-OUEST (ADCSO)")</f>
        <v>L'AMICALE DES CHINOIS DU SUD-OUEST (ADCSO)</v>
      </c>
      <c r="C1398" s="3">
        <f>IFERROR(__xludf.DUMMYFUNCTION("""COMPUTED_VALUE"""),1369.0)</f>
        <v>1369</v>
      </c>
      <c r="D1398" s="1">
        <v>60.0</v>
      </c>
      <c r="E1398" s="2"/>
      <c r="F1398" s="2"/>
      <c r="G1398" s="2"/>
      <c r="H1398" s="2"/>
      <c r="I1398" s="2"/>
    </row>
    <row r="1399">
      <c r="A1399" s="1" t="s">
        <v>795</v>
      </c>
      <c r="B1399" s="1" t="str">
        <f>IFERROR(__xludf.DUMMYFUNCTION("SPLIT(A1399,"";"")"),"L'ASSOCIATION DES BISSAU-GUINEENS")</f>
        <v>L'ASSOCIATION DES BISSAU-GUINEENS</v>
      </c>
      <c r="C1399" s="1">
        <f>IFERROR(__xludf.DUMMYFUNCTION("""COMPUTED_VALUE"""),238.0)</f>
        <v>238</v>
      </c>
      <c r="D1399" s="1">
        <v>0.0</v>
      </c>
      <c r="E1399" s="2"/>
      <c r="F1399" s="2"/>
      <c r="G1399" s="2"/>
      <c r="H1399" s="2"/>
      <c r="I1399" s="2"/>
    </row>
    <row r="1400">
      <c r="A1400" s="1" t="s">
        <v>796</v>
      </c>
      <c r="B1400" s="1" t="str">
        <f>IFERROR(__xludf.DUMMYFUNCTION("SPLIT(A1400,"";"")"),"L'ASSOCIATION SLAVE")</f>
        <v>L'ASSOCIATION SLAVE</v>
      </c>
      <c r="C1400" s="3">
        <f>IFERROR(__xludf.DUMMYFUNCTION("""COMPUTED_VALUE"""),1164.0)</f>
        <v>1164</v>
      </c>
      <c r="D1400" s="1">
        <v>90.0</v>
      </c>
      <c r="E1400" s="2"/>
      <c r="F1400" s="2"/>
      <c r="G1400" s="2"/>
      <c r="H1400" s="2"/>
      <c r="I1400" s="2"/>
    </row>
    <row r="1401">
      <c r="A1401" s="1" t="s">
        <v>797</v>
      </c>
      <c r="B1401" s="1" t="str">
        <f>IFERROR(__xludf.DUMMYFUNCTION("SPLIT(A1401,"";"")"),"L'ASSOS DIET")</f>
        <v>L'ASSOS DIET</v>
      </c>
      <c r="C1401" s="1">
        <f>IFERROR(__xludf.DUMMYFUNCTION("""COMPUTED_VALUE"""),884.0)</f>
        <v>884</v>
      </c>
      <c r="D1401" s="1">
        <v>0.0</v>
      </c>
      <c r="E1401" s="2"/>
      <c r="F1401" s="2"/>
      <c r="G1401" s="2"/>
      <c r="H1401" s="2"/>
      <c r="I1401" s="2"/>
    </row>
    <row r="1402">
      <c r="A1402" s="1" t="s">
        <v>798</v>
      </c>
      <c r="B1402" s="1" t="str">
        <f>IFERROR(__xludf.DUMMYFUNCTION("SPLIT(A1402,"";"")"),"L'ATELIER BUDGETAIRE")</f>
        <v>L'ATELIER BUDGETAIRE</v>
      </c>
      <c r="C1402" s="1">
        <f>IFERROR(__xludf.DUMMYFUNCTION("""COMPUTED_VALUE"""),24.0)</f>
        <v>24</v>
      </c>
      <c r="D1402" s="1">
        <v>0.0</v>
      </c>
      <c r="E1402" s="2"/>
      <c r="F1402" s="2"/>
      <c r="G1402" s="2"/>
      <c r="H1402" s="2"/>
      <c r="I1402" s="2"/>
    </row>
    <row r="1403">
      <c r="A1403" s="1" t="s">
        <v>799</v>
      </c>
      <c r="B1403" s="1" t="str">
        <f>IFERROR(__xludf.DUMMYFUNCTION("SPLIT(A1403,"";"")"),"L'ATELIER CHOREGRAPHIQUE")</f>
        <v>L'ATELIER CHOREGRAPHIQUE</v>
      </c>
      <c r="C1403" s="1">
        <f>IFERROR(__xludf.DUMMYFUNCTION("""COMPUTED_VALUE"""),774.0)</f>
        <v>774</v>
      </c>
      <c r="D1403" s="1">
        <v>0.0</v>
      </c>
      <c r="E1403" s="2"/>
      <c r="F1403" s="2"/>
      <c r="G1403" s="2"/>
      <c r="H1403" s="2"/>
      <c r="I1403" s="2"/>
    </row>
    <row r="1404">
      <c r="A1404" s="1" t="s">
        <v>800</v>
      </c>
      <c r="B1404" s="1" t="str">
        <f>IFERROR(__xludf.DUMMYFUNCTION("SPLIT(A1404,"";"")"),"L'ATELIER REMUMENAGE")</f>
        <v>L'ATELIER REMUMENAGE</v>
      </c>
      <c r="C1404" s="3">
        <f>IFERROR(__xludf.DUMMYFUNCTION("""COMPUTED_VALUE"""),1103.0)</f>
        <v>1103</v>
      </c>
      <c r="D1404" s="1">
        <v>0.0</v>
      </c>
      <c r="E1404" s="2"/>
      <c r="F1404" s="2"/>
      <c r="G1404" s="2"/>
      <c r="H1404" s="2"/>
      <c r="I1404" s="2"/>
    </row>
    <row r="1405">
      <c r="A1405" s="1" t="s">
        <v>801</v>
      </c>
      <c r="B1405" s="1" t="str">
        <f>IFERROR(__xludf.DUMMYFUNCTION("SPLIT(A1405,"";"")"),"L'ATELIER VIDEO PIRATE")</f>
        <v>L'ATELIER VIDEO PIRATE</v>
      </c>
      <c r="C1405" s="1">
        <f>IFERROR(__xludf.DUMMYFUNCTION("""COMPUTED_VALUE"""),615.0)</f>
        <v>615</v>
      </c>
      <c r="D1405" s="1">
        <v>0.0</v>
      </c>
      <c r="E1405" s="2"/>
      <c r="F1405" s="2"/>
      <c r="G1405" s="2"/>
      <c r="H1405" s="2"/>
      <c r="I1405" s="2"/>
    </row>
    <row r="1406">
      <c r="A1406" s="1" t="s">
        <v>802</v>
      </c>
      <c r="B1406" s="1" t="str">
        <f>IFERROR(__xludf.DUMMYFUNCTION("SPLIT(A1406,"";"")"),"L'ATEUL")</f>
        <v>L'ATEUL</v>
      </c>
      <c r="C1406" s="1">
        <f>IFERROR(__xludf.DUMMYFUNCTION("""COMPUTED_VALUE"""),506.0)</f>
        <v>506</v>
      </c>
      <c r="D1406" s="1">
        <v>19.0</v>
      </c>
      <c r="E1406" s="2"/>
      <c r="F1406" s="2"/>
      <c r="G1406" s="2"/>
      <c r="H1406" s="2"/>
      <c r="I1406" s="2"/>
    </row>
    <row r="1407">
      <c r="A1407" s="1" t="s">
        <v>803</v>
      </c>
      <c r="B1407" s="1" t="str">
        <f>IFERROR(__xludf.DUMMYFUNCTION("SPLIT(A1407,"";"")"),"LATINO MEX BORDEAUX")</f>
        <v>LATINO MEX BORDEAUX</v>
      </c>
      <c r="C1407" s="3">
        <f>IFERROR(__xludf.DUMMYFUNCTION("""COMPUTED_VALUE"""),1293.0)</f>
        <v>1293</v>
      </c>
      <c r="D1407" s="1">
        <v>0.0</v>
      </c>
      <c r="E1407" s="2"/>
      <c r="F1407" s="2"/>
      <c r="G1407" s="2"/>
      <c r="H1407" s="2"/>
      <c r="I1407" s="2"/>
    </row>
    <row r="1408">
      <c r="A1408" s="1" t="s">
        <v>804</v>
      </c>
      <c r="B1408" s="1" t="str">
        <f>IFERROR(__xludf.DUMMYFUNCTION("SPLIT(A1408,"";"")"),"L'AUTRE - ASSOCIATION DES ETUDIANTS EN ANTHROPOLOGIE SOCIALE ET CULTURELLE")</f>
        <v>L'AUTRE - ASSOCIATION DES ETUDIANTS EN ANTHROPOLOGIE SOCIALE ET CULTURELLE</v>
      </c>
      <c r="C1408" s="1">
        <f>IFERROR(__xludf.DUMMYFUNCTION("""COMPUTED_VALUE"""),313.0)</f>
        <v>313</v>
      </c>
      <c r="D1408" s="1">
        <v>0.0</v>
      </c>
      <c r="E1408" s="2"/>
      <c r="F1408" s="2"/>
      <c r="G1408" s="2"/>
      <c r="H1408" s="2"/>
      <c r="I1408" s="2"/>
    </row>
    <row r="1409">
      <c r="A1409" s="1" t="s">
        <v>805</v>
      </c>
      <c r="B1409" s="1" t="str">
        <f>IFERROR(__xludf.DUMMYFUNCTION("SPLIT(A1409,"";"")"),"LAXMI GIRONDE")</f>
        <v>LAXMI GIRONDE</v>
      </c>
      <c r="C1409" s="1">
        <f>IFERROR(__xludf.DUMMYFUNCTION("""COMPUTED_VALUE"""),464.0)</f>
        <v>464</v>
      </c>
      <c r="D1409" s="1">
        <v>42.0</v>
      </c>
      <c r="E1409" s="2"/>
      <c r="F1409" s="2"/>
      <c r="G1409" s="2"/>
      <c r="H1409" s="2"/>
      <c r="I1409" s="2"/>
    </row>
    <row r="1410">
      <c r="A1410" s="1" t="s">
        <v>806</v>
      </c>
      <c r="B1410" s="1" t="str">
        <f>IFERROR(__xludf.DUMMYFUNCTION("SPLIT(A1410,"";"")"),"LE 4 DE BORDEAUX")</f>
        <v>LE 4 DE BORDEAUX</v>
      </c>
      <c r="C1410" s="3">
        <f>IFERROR(__xludf.DUMMYFUNCTION("""COMPUTED_VALUE"""),14452.0)</f>
        <v>14452</v>
      </c>
      <c r="D1410" s="1">
        <v>57.0</v>
      </c>
      <c r="E1410" s="2"/>
      <c r="F1410" s="2"/>
      <c r="G1410" s="2"/>
      <c r="H1410" s="2"/>
      <c r="I1410" s="2"/>
    </row>
    <row r="1411">
      <c r="A1411" s="1" t="s">
        <v>807</v>
      </c>
      <c r="B1411" s="1" t="str">
        <f>IFERROR(__xludf.DUMMYFUNCTION("SPLIT(A1411,"";"")"),"LE CANNELE D'ADRESSES")</f>
        <v>LE CANNELE D'ADRESSES</v>
      </c>
      <c r="C1411" s="3">
        <f>IFERROR(__xludf.DUMMYFUNCTION("""COMPUTED_VALUE"""),2960.0)</f>
        <v>2960</v>
      </c>
      <c r="D1411" s="1">
        <v>17.0</v>
      </c>
      <c r="E1411" s="2"/>
      <c r="F1411" s="2"/>
      <c r="G1411" s="2"/>
      <c r="H1411" s="2"/>
      <c r="I1411" s="2"/>
    </row>
    <row r="1412">
      <c r="A1412" s="1" t="s">
        <v>808</v>
      </c>
      <c r="B1412" s="1" t="str">
        <f>IFERROR(__xludf.DUMMYFUNCTION("SPLIT(A1412,"";"")"),"LE CHAINON MANQUANT")</f>
        <v>LE CHAINON MANQUANT</v>
      </c>
      <c r="C1412" s="1">
        <f>IFERROR(__xludf.DUMMYFUNCTION("""COMPUTED_VALUE"""),359.0)</f>
        <v>359</v>
      </c>
      <c r="D1412" s="1">
        <v>10.0</v>
      </c>
      <c r="E1412" s="2"/>
      <c r="F1412" s="2"/>
      <c r="G1412" s="2"/>
      <c r="H1412" s="2"/>
      <c r="I1412" s="2"/>
    </row>
    <row r="1413">
      <c r="A1413" s="1" t="s">
        <v>809</v>
      </c>
      <c r="B1413" s="1" t="str">
        <f>IFERROR(__xludf.DUMMYFUNCTION("SPLIT(A1413,"";"")"),"LE CHOEUR DES ECLUSES")</f>
        <v>LE CHOEUR DES ECLUSES</v>
      </c>
      <c r="C1413" s="3">
        <f>IFERROR(__xludf.DUMMYFUNCTION("""COMPUTED_VALUE"""),1216.0)</f>
        <v>1216</v>
      </c>
      <c r="D1413" s="1">
        <v>0.0</v>
      </c>
      <c r="E1413" s="2"/>
      <c r="F1413" s="2"/>
      <c r="G1413" s="2"/>
      <c r="H1413" s="2"/>
      <c r="I1413" s="2"/>
    </row>
    <row r="1414">
      <c r="A1414" s="1" t="s">
        <v>810</v>
      </c>
      <c r="B1414" s="1" t="str">
        <f>IFERROR(__xludf.DUMMYFUNCTION("SPLIT(A1414,"";"")"),"LE CHOEUR VOYAGEUR")</f>
        <v>LE CHOEUR VOYAGEUR</v>
      </c>
      <c r="C1414" s="1">
        <f>IFERROR(__xludf.DUMMYFUNCTION("""COMPUTED_VALUE"""),554.0)</f>
        <v>554</v>
      </c>
      <c r="D1414" s="1">
        <v>8.0</v>
      </c>
      <c r="E1414" s="2"/>
      <c r="F1414" s="2"/>
      <c r="G1414" s="2"/>
      <c r="H1414" s="2"/>
      <c r="I1414" s="2"/>
    </row>
    <row r="1415">
      <c r="A1415" s="1" t="s">
        <v>811</v>
      </c>
      <c r="B1415" s="1" t="str">
        <f>IFERROR(__xludf.DUMMYFUNCTION("SPLIT(A1415,"";"")"),"LE FESTIN")</f>
        <v>LE FESTIN</v>
      </c>
      <c r="C1415" s="3">
        <f>IFERROR(__xludf.DUMMYFUNCTION("""COMPUTED_VALUE"""),8238.0)</f>
        <v>8238</v>
      </c>
      <c r="D1415" s="1">
        <v>8.0</v>
      </c>
      <c r="E1415" s="2"/>
      <c r="F1415" s="2"/>
      <c r="G1415" s="2"/>
      <c r="H1415" s="2"/>
      <c r="I1415" s="2"/>
    </row>
    <row r="1416">
      <c r="A1416" s="1" t="s">
        <v>812</v>
      </c>
      <c r="B1416" s="1" t="str">
        <f>IFERROR(__xludf.DUMMYFUNCTION("SPLIT(A1416,"";"")"),"LE GIROFARD")</f>
        <v>LE GIROFARD</v>
      </c>
      <c r="C1416" s="3">
        <f>IFERROR(__xludf.DUMMYFUNCTION("""COMPUTED_VALUE"""),7781.0)</f>
        <v>7781</v>
      </c>
      <c r="D1416" s="1">
        <v>11.0</v>
      </c>
      <c r="E1416" s="2"/>
      <c r="F1416" s="2"/>
      <c r="G1416" s="2"/>
      <c r="H1416" s="2"/>
      <c r="I1416" s="2"/>
    </row>
    <row r="1417">
      <c r="A1417" s="1" t="s">
        <v>813</v>
      </c>
      <c r="B1417" s="1" t="str">
        <f>IFERROR(__xludf.DUMMYFUNCTION("SPLIT(A1417,"";"")"),"LE KFE DES FAMILLES")</f>
        <v>LE KFE DES FAMILLES</v>
      </c>
      <c r="C1417" s="3">
        <f>IFERROR(__xludf.DUMMYFUNCTION("""COMPUTED_VALUE"""),3451.0)</f>
        <v>3451</v>
      </c>
      <c r="D1417" s="1">
        <v>24.0</v>
      </c>
      <c r="E1417" s="2"/>
      <c r="F1417" s="2"/>
      <c r="G1417" s="2"/>
      <c r="H1417" s="2"/>
      <c r="I1417" s="2"/>
    </row>
    <row r="1418">
      <c r="A1418" s="1" t="s">
        <v>814</v>
      </c>
      <c r="B1418" s="1" t="str">
        <f>IFERROR(__xludf.DUMMYFUNCTION("SPLIT(A1418,"";"")"),"LE KIOSQUE CULTURE")</f>
        <v>LE KIOSQUE CULTURE</v>
      </c>
      <c r="C1418" s="3">
        <f>IFERROR(__xludf.DUMMYFUNCTION("""COMPUTED_VALUE"""),3150.0)</f>
        <v>3150</v>
      </c>
      <c r="D1418" s="1">
        <v>0.0</v>
      </c>
      <c r="E1418" s="2"/>
      <c r="F1418" s="2"/>
      <c r="G1418" s="2"/>
      <c r="H1418" s="2"/>
      <c r="I1418" s="2"/>
    </row>
    <row r="1419">
      <c r="A1419" s="1" t="s">
        <v>815</v>
      </c>
      <c r="B1419" s="1" t="str">
        <f>IFERROR(__xludf.DUMMYFUNCTION("SPLIT(A1419,"";"")"),"LE LABO DES HISTOIRES section Sud-Atlantique")</f>
        <v>LE LABO DES HISTOIRES section Sud-Atlantique</v>
      </c>
      <c r="C1419" s="3">
        <f>IFERROR(__xludf.DUMMYFUNCTION("""COMPUTED_VALUE"""),4880.0)</f>
        <v>4880</v>
      </c>
      <c r="D1419" s="1">
        <v>0.0</v>
      </c>
      <c r="E1419" s="2"/>
      <c r="F1419" s="2"/>
      <c r="G1419" s="2"/>
      <c r="H1419" s="2"/>
      <c r="I1419" s="2"/>
    </row>
    <row r="1420">
      <c r="A1420" s="1" t="s">
        <v>816</v>
      </c>
      <c r="B1420" s="1" t="str">
        <f>IFERROR(__xludf.DUMMYFUNCTION("SPLIT(A1420,"";"")"),"LE LABO DES LETTRES")</f>
        <v>LE LABO DES LETTRES</v>
      </c>
      <c r="C1420" s="1">
        <f>IFERROR(__xludf.DUMMYFUNCTION("""COMPUTED_VALUE"""),21.0)</f>
        <v>21</v>
      </c>
      <c r="D1420" s="1">
        <v>0.0</v>
      </c>
      <c r="E1420" s="2"/>
      <c r="F1420" s="2"/>
      <c r="G1420" s="2"/>
      <c r="H1420" s="2"/>
      <c r="I1420" s="2"/>
    </row>
    <row r="1421">
      <c r="A1421" s="1" t="s">
        <v>817</v>
      </c>
      <c r="B1421" s="1" t="str">
        <f>IFERROR(__xludf.DUMMYFUNCTION("SPLIT(A1421,"";"")"),"LE LABO")</f>
        <v>LE LABO</v>
      </c>
      <c r="C1421" s="1"/>
      <c r="D1421" s="1" t="s">
        <v>818</v>
      </c>
      <c r="E1421" s="1">
        <v>8.0</v>
      </c>
      <c r="F1421" s="2"/>
      <c r="G1421" s="2"/>
      <c r="H1421" s="2"/>
      <c r="I1421" s="2"/>
    </row>
    <row r="1422">
      <c r="A1422" s="1" t="s">
        <v>819</v>
      </c>
      <c r="B1422" s="1" t="str">
        <f>IFERROR(__xludf.DUMMYFUNCTION("SPLIT(A1422,"";"")"),"LE LYS ET LE LEOPARD")</f>
        <v>LE LYS ET LE LEOPARD</v>
      </c>
      <c r="C1422" s="3">
        <f>IFERROR(__xludf.DUMMYFUNCTION("""COMPUTED_VALUE"""),4440.0)</f>
        <v>4440</v>
      </c>
      <c r="D1422" s="1">
        <v>0.0</v>
      </c>
      <c r="E1422" s="2"/>
      <c r="F1422" s="2"/>
      <c r="G1422" s="2"/>
      <c r="H1422" s="2"/>
      <c r="I1422" s="2"/>
    </row>
    <row r="1423">
      <c r="A1423" s="1" t="s">
        <v>820</v>
      </c>
      <c r="B1423" s="1" t="str">
        <f>IFERROR(__xludf.DUMMYFUNCTION("SPLIT(A1423,"";"")"),"LE PETIT INSTITUT DE CHINE : ECOLE D'ARTS MARTIAUX ET CULTURE CHINOISE")</f>
        <v>LE PETIT INSTITUT DE CHINE : ECOLE D'ARTS MARTIAUX ET CULTURE CHINOISE</v>
      </c>
      <c r="C1423" s="3">
        <f>IFERROR(__xludf.DUMMYFUNCTION("""COMPUTED_VALUE"""),4980.0)</f>
        <v>4980</v>
      </c>
      <c r="D1423" s="1">
        <v>50.0</v>
      </c>
      <c r="E1423" s="2"/>
      <c r="F1423" s="2"/>
      <c r="G1423" s="2"/>
      <c r="H1423" s="2"/>
      <c r="I1423" s="2"/>
    </row>
    <row r="1424">
      <c r="A1424" s="1" t="s">
        <v>821</v>
      </c>
      <c r="B1424" s="1" t="str">
        <f>IFERROR(__xludf.DUMMYFUNCTION("SPLIT(A1424,"";"")"),"LE POQUELIN THEATRE")</f>
        <v>LE POQUELIN THEATRE</v>
      </c>
      <c r="C1424" s="3">
        <f>IFERROR(__xludf.DUMMYFUNCTION("""COMPUTED_VALUE"""),2284.0)</f>
        <v>2284</v>
      </c>
      <c r="D1424" s="1">
        <v>29.0</v>
      </c>
      <c r="E1424" s="2"/>
      <c r="F1424" s="2"/>
      <c r="G1424" s="2"/>
      <c r="H1424" s="2"/>
      <c r="I1424" s="2"/>
    </row>
    <row r="1425">
      <c r="A1425" s="1" t="s">
        <v>822</v>
      </c>
      <c r="B1425" s="1" t="str">
        <f>IFERROR(__xludf.DUMMYFUNCTION("SPLIT(A1425,"";"")"),"LE P'TIT BOUT DE QUARTIER")</f>
        <v>LE P'TIT BOUT DE QUARTIER</v>
      </c>
      <c r="C1425" s="1">
        <f>IFERROR(__xludf.DUMMYFUNCTION("""COMPUTED_VALUE"""),655.0)</f>
        <v>655</v>
      </c>
      <c r="D1425" s="1">
        <v>29.0</v>
      </c>
      <c r="E1425" s="2"/>
      <c r="F1425" s="2"/>
      <c r="G1425" s="2"/>
      <c r="H1425" s="2"/>
      <c r="I1425" s="2"/>
    </row>
    <row r="1426">
      <c r="A1426" s="1" t="s">
        <v>823</v>
      </c>
      <c r="B1426" s="1" t="str">
        <f>IFERROR(__xludf.DUMMYFUNCTION("SPLIT(A1426,"";"")"),"LE RELAIS GIRONDE")</f>
        <v>LE RELAIS GIRONDE</v>
      </c>
      <c r="C1426" s="3">
        <f>IFERROR(__xludf.DUMMYFUNCTION("""COMPUTED_VALUE"""),1239.0)</f>
        <v>1239</v>
      </c>
      <c r="D1426" s="1">
        <v>46.0</v>
      </c>
      <c r="E1426" s="2"/>
      <c r="F1426" s="2"/>
      <c r="G1426" s="2"/>
      <c r="H1426" s="2"/>
      <c r="I1426" s="2"/>
    </row>
    <row r="1427">
      <c r="A1427" s="1" t="s">
        <v>824</v>
      </c>
      <c r="B1427" s="1" t="str">
        <f>IFERROR(__xludf.DUMMYFUNCTION("SPLIT(A1427,"";"")"),"LE SPORTING-CLUB DE LA BASTIDIENNE")</f>
        <v>LE SPORTING-CLUB DE LA BASTIDIENNE</v>
      </c>
      <c r="C1427" s="3">
        <f>IFERROR(__xludf.DUMMYFUNCTION("""COMPUTED_VALUE"""),50177.0)</f>
        <v>50177</v>
      </c>
      <c r="D1427" s="1">
        <v>64.0</v>
      </c>
      <c r="E1427" s="2"/>
      <c r="F1427" s="2"/>
      <c r="G1427" s="2"/>
      <c r="H1427" s="2"/>
      <c r="I1427" s="2"/>
    </row>
    <row r="1428">
      <c r="A1428" s="1" t="s">
        <v>825</v>
      </c>
      <c r="B1428" s="1" t="str">
        <f>IFERROR(__xludf.DUMMYFUNCTION("SPLIT(A1428,"";"")"),"LE THEATRE DES EGREGORES")</f>
        <v>LE THEATRE DES EGREGORES</v>
      </c>
      <c r="C1428" s="3">
        <f>IFERROR(__xludf.DUMMYFUNCTION("""COMPUTED_VALUE"""),7298.0)</f>
        <v>7298</v>
      </c>
      <c r="D1428" s="1">
        <v>0.0</v>
      </c>
      <c r="E1428" s="2"/>
      <c r="F1428" s="2"/>
      <c r="G1428" s="2"/>
      <c r="H1428" s="2"/>
      <c r="I1428" s="2"/>
    </row>
    <row r="1429">
      <c r="A1429" s="1" t="s">
        <v>826</v>
      </c>
      <c r="B1429" s="1" t="str">
        <f>IFERROR(__xludf.DUMMYFUNCTION("SPLIT(A1429,"";"")"),"LEGATO CIE")</f>
        <v>LEGATO CIE</v>
      </c>
      <c r="C1429" s="3">
        <f>IFERROR(__xludf.DUMMYFUNCTION("""COMPUTED_VALUE"""),1031.0)</f>
        <v>1031</v>
      </c>
      <c r="D1429" s="1">
        <v>0.0</v>
      </c>
      <c r="E1429" s="2"/>
      <c r="F1429" s="2"/>
      <c r="G1429" s="2"/>
      <c r="H1429" s="2"/>
      <c r="I1429" s="2"/>
    </row>
    <row r="1430">
      <c r="A1430" s="1" t="s">
        <v>827</v>
      </c>
      <c r="B1430" s="1" t="str">
        <f>IFERROR(__xludf.DUMMYFUNCTION("SPLIT(A1430,"";"")"),"LEO CLUB BORDEAUX INTERNATIONAL - LBI")</f>
        <v>LEO CLUB BORDEAUX INTERNATIONAL - LBI</v>
      </c>
      <c r="C1430" s="1">
        <f>IFERROR(__xludf.DUMMYFUNCTION("""COMPUTED_VALUE"""),408.0)</f>
        <v>408</v>
      </c>
      <c r="D1430" s="1">
        <v>0.0</v>
      </c>
      <c r="E1430" s="2"/>
      <c r="F1430" s="2"/>
      <c r="G1430" s="2"/>
      <c r="H1430" s="2"/>
      <c r="I1430" s="2"/>
    </row>
    <row r="1431">
      <c r="A1431" s="1" t="s">
        <v>828</v>
      </c>
      <c r="B1431" s="1" t="str">
        <f>IFERROR(__xludf.DUMMYFUNCTION("SPLIT(A1431,"";"")"),"L'EPICERIE")</f>
        <v>L'EPICERIE</v>
      </c>
      <c r="C1431" s="3">
        <f>IFERROR(__xludf.DUMMYFUNCTION("""COMPUTED_VALUE"""),1020.0)</f>
        <v>1020</v>
      </c>
      <c r="D1431" s="1">
        <v>0.0</v>
      </c>
      <c r="E1431" s="2"/>
      <c r="F1431" s="2"/>
      <c r="G1431" s="2"/>
      <c r="H1431" s="2"/>
      <c r="I1431" s="2"/>
    </row>
    <row r="1432">
      <c r="A1432" s="1" t="s">
        <v>829</v>
      </c>
      <c r="B1432" s="1" t="str">
        <f>IFERROR(__xludf.DUMMYFUNCTION("SPLIT(A1432,"";"")"),"L'ERE H")</f>
        <v>L'ERE H</v>
      </c>
      <c r="C1432" s="1">
        <f>IFERROR(__xludf.DUMMYFUNCTION("""COMPUTED_VALUE"""),286.0)</f>
        <v>286</v>
      </c>
      <c r="D1432" s="1">
        <v>0.0</v>
      </c>
      <c r="E1432" s="2"/>
      <c r="F1432" s="2"/>
      <c r="G1432" s="2"/>
      <c r="H1432" s="2"/>
      <c r="I1432" s="2"/>
    </row>
    <row r="1433">
      <c r="A1433" s="1" t="s">
        <v>830</v>
      </c>
      <c r="B1433" s="1" t="str">
        <f>IFERROR(__xludf.DUMMYFUNCTION("SPLIT(A1433,"";"")"),"LES AMIS AQUITAINS DES SEMAINES SOCIALES DE France")</f>
        <v>LES AMIS AQUITAINS DES SEMAINES SOCIALES DE France</v>
      </c>
      <c r="C1433" s="1">
        <f>IFERROR(__xludf.DUMMYFUNCTION("""COMPUTED_VALUE"""),112.0)</f>
        <v>112</v>
      </c>
      <c r="D1433" s="1">
        <v>0.0</v>
      </c>
      <c r="E1433" s="2"/>
      <c r="F1433" s="2"/>
      <c r="G1433" s="2"/>
      <c r="H1433" s="2"/>
      <c r="I1433" s="2"/>
    </row>
    <row r="1434">
      <c r="A1434" s="1" t="s">
        <v>831</v>
      </c>
      <c r="B1434" s="1" t="str">
        <f>IFERROR(__xludf.DUMMYFUNCTION("SPLIT(A1434,"";"")"),"LES AMIS DE BORDEAUX-SUD")</f>
        <v>LES AMIS DE BORDEAUX-SUD</v>
      </c>
      <c r="C1434" s="1">
        <f>IFERROR(__xludf.DUMMYFUNCTION("""COMPUTED_VALUE"""),27.0)</f>
        <v>27</v>
      </c>
      <c r="D1434" s="1">
        <v>0.0</v>
      </c>
      <c r="E1434" s="2"/>
      <c r="F1434" s="2"/>
      <c r="G1434" s="2"/>
      <c r="H1434" s="2"/>
      <c r="I1434" s="2"/>
    </row>
    <row r="1435">
      <c r="A1435" s="1" t="s">
        <v>832</v>
      </c>
      <c r="B1435" s="1" t="str">
        <f>IFERROR(__xludf.DUMMYFUNCTION("SPLIT(A1435,"";"")"),"LES AMIS DE LA RUE KLEBER")</f>
        <v>LES AMIS DE LA RUE KLEBER</v>
      </c>
      <c r="C1435" s="1">
        <f>IFERROR(__xludf.DUMMYFUNCTION("""COMPUTED_VALUE"""),24.0)</f>
        <v>24</v>
      </c>
      <c r="D1435" s="1">
        <v>0.0</v>
      </c>
      <c r="E1435" s="2"/>
      <c r="F1435" s="2"/>
      <c r="G1435" s="2"/>
      <c r="H1435" s="2"/>
      <c r="I1435" s="2"/>
    </row>
    <row r="1436">
      <c r="A1436" s="1" t="s">
        <v>833</v>
      </c>
      <c r="B1436" s="1" t="str">
        <f>IFERROR(__xludf.DUMMYFUNCTION("SPLIT(A1436,"";"")"),"LES AMIS DE LA TERRE GIRONDE")</f>
        <v>LES AMIS DE LA TERRE GIRONDE</v>
      </c>
      <c r="C1436" s="1">
        <f>IFERROR(__xludf.DUMMYFUNCTION("""COMPUTED_VALUE"""),521.0)</f>
        <v>521</v>
      </c>
      <c r="D1436" s="1">
        <v>0.0</v>
      </c>
      <c r="E1436" s="2"/>
      <c r="F1436" s="2"/>
      <c r="G1436" s="2"/>
      <c r="H1436" s="2"/>
      <c r="I1436" s="2"/>
    </row>
    <row r="1437">
      <c r="A1437" s="1" t="s">
        <v>834</v>
      </c>
      <c r="B1437" s="1" t="str">
        <f>IFERROR(__xludf.DUMMYFUNCTION("SPLIT(A1437,"";"")"),"LES AMIS DE SAINTE GENEVIEVE (ASG)")</f>
        <v>LES AMIS DE SAINTE GENEVIEVE (ASG)</v>
      </c>
      <c r="C1437" s="1">
        <f>IFERROR(__xludf.DUMMYFUNCTION("""COMPUTED_VALUE"""),927.0)</f>
        <v>927</v>
      </c>
      <c r="D1437" s="1">
        <v>18.0</v>
      </c>
      <c r="E1437" s="2"/>
      <c r="F1437" s="2"/>
      <c r="G1437" s="2"/>
      <c r="H1437" s="2"/>
      <c r="I1437" s="2"/>
    </row>
    <row r="1438">
      <c r="A1438" s="1" t="s">
        <v>835</v>
      </c>
      <c r="B1438" s="1" t="str">
        <f>IFERROR(__xludf.DUMMYFUNCTION("SPLIT(A1438,"";"")"),"LES AMIS DE SUPERCOOP")</f>
        <v>LES AMIS DE SUPERCOOP</v>
      </c>
      <c r="C1438" s="1">
        <f>IFERROR(__xludf.DUMMYFUNCTION("""COMPUTED_VALUE"""),89.0)</f>
        <v>89</v>
      </c>
      <c r="D1438" s="1">
        <v>0.0</v>
      </c>
      <c r="E1438" s="2"/>
      <c r="F1438" s="2"/>
      <c r="G1438" s="2"/>
      <c r="H1438" s="2"/>
      <c r="I1438" s="2"/>
    </row>
    <row r="1439">
      <c r="A1439" s="1" t="s">
        <v>836</v>
      </c>
      <c r="B1439" s="1" t="str">
        <f>IFERROR(__xludf.DUMMYFUNCTION("SPLIT(A1439,"";"")"),"LES AMIS DU GRAND THEATRE - OPERA DE BORDEAUX")</f>
        <v>LES AMIS DU GRAND THEATRE - OPERA DE BORDEAUX</v>
      </c>
      <c r="C1439" s="3">
        <f>IFERROR(__xludf.DUMMYFUNCTION("""COMPUTED_VALUE"""),11641.0)</f>
        <v>11641</v>
      </c>
      <c r="D1439" s="1">
        <v>0.0</v>
      </c>
      <c r="E1439" s="2"/>
      <c r="F1439" s="2"/>
      <c r="G1439" s="2"/>
      <c r="H1439" s="2"/>
      <c r="I1439" s="2"/>
    </row>
    <row r="1440">
      <c r="A1440" s="1" t="s">
        <v>837</v>
      </c>
      <c r="B1440" s="1" t="str">
        <f>IFERROR(__xludf.DUMMYFUNCTION("SPLIT(A1440,"";"")"),"LES ANCIENS DE BACALAN CLAVEAU")</f>
        <v>LES ANCIENS DE BACALAN CLAVEAU</v>
      </c>
      <c r="C1440" s="3">
        <f>IFERROR(__xludf.DUMMYFUNCTION("""COMPUTED_VALUE"""),3080.0)</f>
        <v>3080</v>
      </c>
      <c r="D1440" s="1">
        <v>44.0</v>
      </c>
      <c r="E1440" s="2"/>
      <c r="F1440" s="2"/>
      <c r="G1440" s="2"/>
      <c r="H1440" s="2"/>
      <c r="I1440" s="2"/>
    </row>
    <row r="1441">
      <c r="A1441" s="1" t="s">
        <v>838</v>
      </c>
      <c r="B1441" s="1" t="str">
        <f>IFERROR(__xludf.DUMMYFUNCTION("SPLIT(A1441,"";"")"),"LES ANNALES DE L'ESPRIT")</f>
        <v>LES ANNALES DE L'ESPRIT</v>
      </c>
      <c r="C1441" s="1">
        <f>IFERROR(__xludf.DUMMYFUNCTION("""COMPUTED_VALUE"""),102.0)</f>
        <v>102</v>
      </c>
      <c r="D1441" s="1">
        <v>0.0</v>
      </c>
      <c r="E1441" s="2"/>
      <c r="F1441" s="2"/>
      <c r="G1441" s="2"/>
      <c r="H1441" s="2"/>
      <c r="I1441" s="2"/>
    </row>
    <row r="1442">
      <c r="A1442" s="1" t="s">
        <v>839</v>
      </c>
      <c r="B1442" s="1" t="str">
        <f>IFERROR(__xludf.DUMMYFUNCTION("SPLIT(A1442,"";"")"),"LES ARCHERS DE GUYENNE")</f>
        <v>LES ARCHERS DE GUYENNE</v>
      </c>
      <c r="C1442" s="3">
        <f>IFERROR(__xludf.DUMMYFUNCTION("""COMPUTED_VALUE"""),2928.0)</f>
        <v>2928</v>
      </c>
      <c r="D1442" s="1">
        <v>83.0</v>
      </c>
      <c r="E1442" s="2"/>
      <c r="F1442" s="2"/>
      <c r="G1442" s="2"/>
      <c r="H1442" s="2"/>
      <c r="I1442" s="2"/>
    </row>
    <row r="1443">
      <c r="A1443" s="1" t="s">
        <v>840</v>
      </c>
      <c r="B1443" s="1" t="str">
        <f>IFERROR(__xludf.DUMMYFUNCTION("SPLIT(A1443,"";"")"),"LES BORDELUCHES")</f>
        <v>LES BORDELUCHES</v>
      </c>
      <c r="C1443" s="3">
        <f>IFERROR(__xludf.DUMMYFUNCTION("""COMPUTED_VALUE"""),2997.0)</f>
        <v>2997</v>
      </c>
      <c r="D1443" s="1">
        <v>0.0</v>
      </c>
      <c r="E1443" s="2"/>
      <c r="F1443" s="2"/>
      <c r="G1443" s="2"/>
      <c r="H1443" s="2"/>
      <c r="I1443" s="2"/>
    </row>
    <row r="1444">
      <c r="A1444" s="1" t="s">
        <v>841</v>
      </c>
      <c r="B1444" s="1" t="str">
        <f>IFERROR(__xludf.DUMMYFUNCTION("SPLIT(A1444,"";"")"),"LES BRUITS DE LA RUE")</f>
        <v>LES BRUITS DE LA RUE</v>
      </c>
      <c r="C1444" s="3">
        <f>IFERROR(__xludf.DUMMYFUNCTION("""COMPUTED_VALUE"""),1189.0)</f>
        <v>1189</v>
      </c>
      <c r="D1444" s="1">
        <v>0.0</v>
      </c>
      <c r="E1444" s="2"/>
      <c r="F1444" s="2"/>
      <c r="G1444" s="2"/>
      <c r="H1444" s="2"/>
      <c r="I1444" s="2"/>
    </row>
    <row r="1445">
      <c r="A1445" s="1" t="s">
        <v>842</v>
      </c>
      <c r="B1445" s="1" t="str">
        <f>IFERROR(__xludf.DUMMYFUNCTION("SPLIT(A1445,"";"")"),"LES CLOWNS STETHOSCOPES")</f>
        <v>LES CLOWNS STETHOSCOPES</v>
      </c>
      <c r="C1445" s="3">
        <f>IFERROR(__xludf.DUMMYFUNCTION("""COMPUTED_VALUE"""),1365.0)</f>
        <v>1365</v>
      </c>
      <c r="D1445" s="1">
        <v>86.0</v>
      </c>
      <c r="E1445" s="2"/>
      <c r="F1445" s="2"/>
      <c r="G1445" s="2"/>
      <c r="H1445" s="2"/>
      <c r="I1445" s="2"/>
    </row>
    <row r="1446">
      <c r="A1446" s="1" t="s">
        <v>843</v>
      </c>
      <c r="B1446" s="1" t="str">
        <f>IFERROR(__xludf.DUMMYFUNCTION("SPLIT(A1446,"";"")"),"LES COLCHIQUES DE CONDORCET")</f>
        <v>LES COLCHIQUES DE CONDORCET</v>
      </c>
      <c r="C1446" s="1">
        <f>IFERROR(__xludf.DUMMYFUNCTION("""COMPUTED_VALUE"""),34.0)</f>
        <v>34</v>
      </c>
      <c r="D1446" s="1">
        <v>0.0</v>
      </c>
      <c r="E1446" s="2"/>
      <c r="F1446" s="2"/>
      <c r="G1446" s="2"/>
      <c r="H1446" s="2"/>
      <c r="I1446" s="2"/>
    </row>
    <row r="1447">
      <c r="A1447" s="1" t="s">
        <v>844</v>
      </c>
      <c r="B1447" s="1" t="str">
        <f>IFERROR(__xludf.DUMMYFUNCTION("SPLIT(A1447,"";"")"),"LES COQS ROUGES")</f>
        <v>LES COQS ROUGES</v>
      </c>
      <c r="C1447" s="3">
        <f>IFERROR(__xludf.DUMMYFUNCTION("""COMPUTED_VALUE"""),41646.0)</f>
        <v>41646</v>
      </c>
      <c r="D1447" s="1">
        <v>27.0</v>
      </c>
      <c r="E1447" s="2"/>
      <c r="F1447" s="2"/>
      <c r="G1447" s="2"/>
      <c r="H1447" s="2"/>
      <c r="I1447" s="2"/>
    </row>
    <row r="1448">
      <c r="A1448" s="1" t="s">
        <v>845</v>
      </c>
      <c r="B1448" s="1" t="str">
        <f>IFERROR(__xludf.DUMMYFUNCTION("SPLIT(A1448,"";"")"),"LES COQUELICOTS")</f>
        <v>LES COQUELICOTS</v>
      </c>
      <c r="C1448" s="1">
        <f>IFERROR(__xludf.DUMMYFUNCTION("""COMPUTED_VALUE"""),265.0)</f>
        <v>265</v>
      </c>
      <c r="D1448" s="1">
        <v>0.0</v>
      </c>
      <c r="E1448" s="2"/>
      <c r="F1448" s="2"/>
      <c r="G1448" s="2"/>
      <c r="H1448" s="2"/>
      <c r="I1448" s="2"/>
    </row>
    <row r="1449">
      <c r="A1449" s="1" t="s">
        <v>846</v>
      </c>
      <c r="B1449" s="1" t="str">
        <f>IFERROR(__xludf.DUMMYFUNCTION("SPLIT(A1449,"";"")"),"LES COUCOUS")</f>
        <v>LES COUCOUS</v>
      </c>
      <c r="C1449" s="1">
        <f>IFERROR(__xludf.DUMMYFUNCTION("""COMPUTED_VALUE"""),51.0)</f>
        <v>51</v>
      </c>
      <c r="D1449" s="1">
        <v>0.0</v>
      </c>
      <c r="E1449" s="2"/>
      <c r="F1449" s="2"/>
      <c r="G1449" s="2"/>
      <c r="H1449" s="2"/>
      <c r="I1449" s="2"/>
    </row>
    <row r="1450">
      <c r="A1450" s="1" t="s">
        <v>847</v>
      </c>
      <c r="B1450" s="1" t="str">
        <f>IFERROR(__xludf.DUMMYFUNCTION("SPLIT(A1450,"";"")"),"LES DOSSIERS D'AQUITAINE ET D'AILLEURS")</f>
        <v>LES DOSSIERS D'AQUITAINE ET D'AILLEURS</v>
      </c>
      <c r="C1450" s="1">
        <f>IFERROR(__xludf.DUMMYFUNCTION("""COMPUTED_VALUE"""),407.0)</f>
        <v>407</v>
      </c>
      <c r="D1450" s="1">
        <v>70.0</v>
      </c>
      <c r="E1450" s="2"/>
      <c r="F1450" s="2"/>
      <c r="G1450" s="2"/>
      <c r="H1450" s="2"/>
      <c r="I1450" s="2"/>
    </row>
    <row r="1451">
      <c r="A1451" s="1" t="s">
        <v>848</v>
      </c>
      <c r="B1451" s="1" t="str">
        <f>IFERROR(__xludf.DUMMYFUNCTION("SPLIT(A1451,"";"")"),"LES ENTREPRENEURS ET DIRIGEANTS CHRETIENS")</f>
        <v>LES ENTREPRENEURS ET DIRIGEANTS CHRETIENS</v>
      </c>
      <c r="C1451" s="1">
        <f>IFERROR(__xludf.DUMMYFUNCTION("""COMPUTED_VALUE"""),444.0)</f>
        <v>444</v>
      </c>
      <c r="D1451" s="1">
        <v>0.0</v>
      </c>
      <c r="E1451" s="2"/>
      <c r="F1451" s="2"/>
      <c r="G1451" s="2"/>
      <c r="H1451" s="2"/>
      <c r="I1451" s="2"/>
    </row>
    <row r="1452">
      <c r="A1452" s="1" t="s">
        <v>849</v>
      </c>
      <c r="B1452" s="1" t="str">
        <f>IFERROR(__xludf.DUMMYFUNCTION("SPLIT(A1452,"";"")"),"LES FEES REIKI")</f>
        <v>LES FEES REIKI</v>
      </c>
      <c r="C1452" s="1">
        <f>IFERROR(__xludf.DUMMYFUNCTION("""COMPUTED_VALUE"""),56.0)</f>
        <v>56</v>
      </c>
      <c r="D1452" s="1">
        <v>0.0</v>
      </c>
      <c r="E1452" s="2"/>
      <c r="F1452" s="2"/>
      <c r="G1452" s="2"/>
      <c r="H1452" s="2"/>
      <c r="I1452" s="2"/>
    </row>
    <row r="1453">
      <c r="A1453" s="1" t="s">
        <v>850</v>
      </c>
      <c r="B1453" s="1" t="str">
        <f>IFERROR(__xludf.DUMMYFUNCTION("SPLIT(A1453,"";"")"),"LES FEES RUE")</f>
        <v>LES FEES RUE</v>
      </c>
      <c r="C1453" s="1">
        <f>IFERROR(__xludf.DUMMYFUNCTION("""COMPUTED_VALUE"""),14.0)</f>
        <v>14</v>
      </c>
      <c r="D1453" s="1">
        <v>0.0</v>
      </c>
      <c r="E1453" s="2"/>
      <c r="F1453" s="2"/>
      <c r="G1453" s="2"/>
      <c r="H1453" s="2"/>
      <c r="I1453" s="2"/>
    </row>
    <row r="1454">
      <c r="A1454" s="1" t="s">
        <v>851</v>
      </c>
      <c r="B1454" s="1" t="str">
        <f>IFERROR(__xludf.DUMMYFUNCTION("SPLIT(A1454,"";"")"),"LES FILLES D'A COTE")</f>
        <v>LES FILLES D'A COTE</v>
      </c>
      <c r="C1454" s="3">
        <f>IFERROR(__xludf.DUMMYFUNCTION("""COMPUTED_VALUE"""),2501.0)</f>
        <v>2501</v>
      </c>
      <c r="D1454" s="1">
        <v>0.0</v>
      </c>
      <c r="E1454" s="2"/>
      <c r="F1454" s="2"/>
      <c r="G1454" s="2"/>
      <c r="H1454" s="2"/>
      <c r="I1454" s="2"/>
    </row>
    <row r="1455">
      <c r="A1455" s="1" t="s">
        <v>852</v>
      </c>
      <c r="B1455" s="1" t="str">
        <f>IFERROR(__xludf.DUMMYFUNCTION("SPLIT(A1455,"";"")"),"LES GIRONDINS DE BORDEAUX")</f>
        <v>LES GIRONDINS DE BORDEAUX</v>
      </c>
      <c r="C1455" s="3">
        <f>IFERROR(__xludf.DUMMYFUNCTION("""COMPUTED_VALUE"""),335279.0)</f>
        <v>335279</v>
      </c>
      <c r="D1455" s="1">
        <v>39.0</v>
      </c>
      <c r="E1455" s="2"/>
      <c r="F1455" s="2"/>
      <c r="G1455" s="2"/>
      <c r="H1455" s="2"/>
      <c r="I1455" s="2"/>
    </row>
    <row r="1456">
      <c r="A1456" s="1" t="s">
        <v>853</v>
      </c>
      <c r="B1456" s="1" t="str">
        <f>IFERROR(__xludf.DUMMYFUNCTION("SPLIT(A1456,"";"")"),"LES GOUPILS")</f>
        <v>LES GOUPILS</v>
      </c>
      <c r="C1456" s="3">
        <f>IFERROR(__xludf.DUMMYFUNCTION("""COMPUTED_VALUE"""),3441.0)</f>
        <v>3441</v>
      </c>
      <c r="D1456" s="1">
        <v>0.0</v>
      </c>
      <c r="E1456" s="2"/>
      <c r="F1456" s="2"/>
      <c r="G1456" s="2"/>
      <c r="H1456" s="2"/>
      <c r="I1456" s="2"/>
    </row>
    <row r="1457">
      <c r="A1457" s="1" t="s">
        <v>854</v>
      </c>
      <c r="B1457" s="1" t="str">
        <f>IFERROR(__xludf.DUMMYFUNCTION("SPLIT(A1457,"";"")"),"LES HABITANTS ET RIVERAINS DU QUARTIER SAINT-GENES-BOURSE DU TRAVAIL - COSTEDOAT")</f>
        <v>LES HABITANTS ET RIVERAINS DU QUARTIER SAINT-GENES-BOURSE DU TRAVAIL - COSTEDOAT</v>
      </c>
      <c r="C1457" s="3">
        <f>IFERROR(__xludf.DUMMYFUNCTION("""COMPUTED_VALUE"""),1313.0)</f>
        <v>1313</v>
      </c>
      <c r="D1457" s="1">
        <v>71.0</v>
      </c>
      <c r="E1457" s="2"/>
      <c r="F1457" s="2"/>
      <c r="G1457" s="2"/>
      <c r="H1457" s="2"/>
      <c r="I1457" s="2"/>
    </row>
    <row r="1458">
      <c r="A1458" s="1" t="s">
        <v>855</v>
      </c>
      <c r="B1458" s="1" t="str">
        <f>IFERROR(__xludf.DUMMYFUNCTION("SPLIT(A1458,"";"")"),"LES IMPROVISATEURS ANONYMES")</f>
        <v>LES IMPROVISATEURS ANONYMES</v>
      </c>
      <c r="C1458" s="1">
        <f>IFERROR(__xludf.DUMMYFUNCTION("""COMPUTED_VALUE"""),530.0)</f>
        <v>530</v>
      </c>
      <c r="D1458" s="1">
        <v>0.0</v>
      </c>
      <c r="E1458" s="2"/>
      <c r="F1458" s="2"/>
      <c r="G1458" s="2"/>
      <c r="H1458" s="2"/>
      <c r="I1458" s="2"/>
    </row>
    <row r="1459">
      <c r="A1459" s="1" t="s">
        <v>856</v>
      </c>
      <c r="B1459" s="1" t="str">
        <f>IFERROR(__xludf.DUMMYFUNCTION("SPLIT(A1459,"";"")"),"LES INDEPENDANTS PLASTICIENS DE BORDEAUX")</f>
        <v>LES INDEPENDANTS PLASTICIENS DE BORDEAUX</v>
      </c>
      <c r="C1459" s="1">
        <f>IFERROR(__xludf.DUMMYFUNCTION("""COMPUTED_VALUE"""),966.0)</f>
        <v>966</v>
      </c>
      <c r="D1459" s="1">
        <v>0.0</v>
      </c>
      <c r="E1459" s="2"/>
      <c r="F1459" s="2"/>
      <c r="G1459" s="2"/>
      <c r="H1459" s="2"/>
      <c r="I1459" s="2"/>
    </row>
    <row r="1460">
      <c r="A1460" s="1" t="s">
        <v>857</v>
      </c>
      <c r="B1460" s="1" t="str">
        <f>IFERROR(__xludf.DUMMYFUNCTION("SPLIT(A1460,"";"")"),"LES INSTRUMENTS ANCIENS DE BORDEAUX")</f>
        <v>LES INSTRUMENTS ANCIENS DE BORDEAUX</v>
      </c>
      <c r="C1460" s="1">
        <f>IFERROR(__xludf.DUMMYFUNCTION("""COMPUTED_VALUE"""),24.0)</f>
        <v>24</v>
      </c>
      <c r="D1460" s="1">
        <v>0.0</v>
      </c>
      <c r="E1460" s="2"/>
      <c r="F1460" s="2"/>
      <c r="G1460" s="2"/>
      <c r="H1460" s="2"/>
      <c r="I1460" s="2"/>
    </row>
    <row r="1461">
      <c r="A1461" s="1" t="s">
        <v>858</v>
      </c>
      <c r="B1461" s="1" t="str">
        <f>IFERROR(__xludf.DUMMYFUNCTION("SPLIT(A1461,"";"")"),"LES JARDINS D'AUJOURD'HUI")</f>
        <v>LES JARDINS D'AUJOURD'HUI</v>
      </c>
      <c r="C1461" s="3">
        <f>IFERROR(__xludf.DUMMYFUNCTION("""COMPUTED_VALUE"""),115874.0)</f>
        <v>115874</v>
      </c>
      <c r="D1461" s="1">
        <v>68.0</v>
      </c>
      <c r="E1461" s="2"/>
      <c r="F1461" s="2"/>
      <c r="G1461" s="2"/>
      <c r="H1461" s="2"/>
      <c r="I1461" s="2"/>
    </row>
    <row r="1462">
      <c r="A1462" s="1" t="s">
        <v>859</v>
      </c>
      <c r="B1462" s="1" t="str">
        <f>IFERROR(__xludf.DUMMYFUNCTION("SPLIT(A1462,"";"")"),"LES JEUNES DE SAINT AUGUSTIN - JSA")</f>
        <v>LES JEUNES DE SAINT AUGUSTIN - JSA</v>
      </c>
      <c r="C1462" s="3">
        <f>IFERROR(__xludf.DUMMYFUNCTION("""COMPUTED_VALUE"""),388767.0)</f>
        <v>388767</v>
      </c>
      <c r="D1462" s="1">
        <v>81.0</v>
      </c>
      <c r="E1462" s="2"/>
      <c r="F1462" s="2"/>
      <c r="G1462" s="2"/>
      <c r="H1462" s="2"/>
      <c r="I1462" s="2"/>
    </row>
    <row r="1463">
      <c r="A1463" s="1" t="s">
        <v>860</v>
      </c>
      <c r="B1463" s="1" t="str">
        <f>IFERROR(__xludf.DUMMYFUNCTION("SPLIT(A1463,"";"")"),"LES JOIES HUMAINES")</f>
        <v>LES JOIES HUMAINES</v>
      </c>
      <c r="C1463" s="1">
        <f>IFERROR(__xludf.DUMMYFUNCTION("""COMPUTED_VALUE"""),191.0)</f>
        <v>191</v>
      </c>
      <c r="D1463" s="1">
        <v>0.0</v>
      </c>
      <c r="E1463" s="2"/>
      <c r="F1463" s="2"/>
      <c r="G1463" s="2"/>
      <c r="H1463" s="2"/>
      <c r="I1463" s="2"/>
    </row>
    <row r="1464">
      <c r="A1464" s="1" t="s">
        <v>861</v>
      </c>
      <c r="B1464" s="1" t="str">
        <f>IFERROR(__xludf.DUMMYFUNCTION("SPLIT(A1464,"";"")"),"LES LEOPARDS DE GUYENNE")</f>
        <v>LES LEOPARDS DE GUYENNE</v>
      </c>
      <c r="C1464" s="3">
        <f>IFERROR(__xludf.DUMMYFUNCTION("""COMPUTED_VALUE"""),9054.0)</f>
        <v>9054</v>
      </c>
      <c r="D1464" s="1">
        <v>0.0</v>
      </c>
      <c r="E1464" s="2"/>
      <c r="F1464" s="2"/>
      <c r="G1464" s="2"/>
      <c r="H1464" s="2"/>
      <c r="I1464" s="2"/>
    </row>
    <row r="1465">
      <c r="A1465" s="1" t="s">
        <v>862</v>
      </c>
      <c r="B1465" s="1" t="str">
        <f>IFERROR(__xludf.DUMMYFUNCTION("SPLIT(A1465,"";"")"),"LES MORPHOGENISTES")</f>
        <v>LES MORPHOGENISTES</v>
      </c>
      <c r="C1465" s="1">
        <f>IFERROR(__xludf.DUMMYFUNCTION("""COMPUTED_VALUE"""),300.0)</f>
        <v>300</v>
      </c>
      <c r="D1465" s="1">
        <v>0.0</v>
      </c>
      <c r="E1465" s="2"/>
      <c r="F1465" s="2"/>
      <c r="G1465" s="2"/>
      <c r="H1465" s="2"/>
      <c r="I1465" s="2"/>
    </row>
    <row r="1466">
      <c r="A1466" s="1" t="s">
        <v>863</v>
      </c>
      <c r="B1466" s="1" t="str">
        <f>IFERROR(__xludf.DUMMYFUNCTION("SPLIT(A1466,"";"")"),"LES MUSCLES BORDELAIS")</f>
        <v>LES MUSCLES BORDELAIS</v>
      </c>
      <c r="C1466" s="1">
        <f>IFERROR(__xludf.DUMMYFUNCTION("""COMPUTED_VALUE"""),98.0)</f>
        <v>98</v>
      </c>
      <c r="D1466" s="1">
        <v>0.0</v>
      </c>
      <c r="E1466" s="2"/>
      <c r="F1466" s="2"/>
      <c r="G1466" s="2"/>
      <c r="H1466" s="2"/>
      <c r="I1466" s="2"/>
    </row>
    <row r="1467">
      <c r="A1467" s="1" t="s">
        <v>794</v>
      </c>
      <c r="B1467" s="1" t="str">
        <f>IFERROR(__xludf.DUMMYFUNCTION("SPLIT(A1467,"";"")"),"L'AMICALE DES CHINOIS DU SUD-OUEST (ADCSO)")</f>
        <v>L'AMICALE DES CHINOIS DU SUD-OUEST (ADCSO)</v>
      </c>
      <c r="C1467" s="3">
        <f>IFERROR(__xludf.DUMMYFUNCTION("""COMPUTED_VALUE"""),1369.0)</f>
        <v>1369</v>
      </c>
      <c r="D1467" s="1">
        <v>60.0</v>
      </c>
      <c r="E1467" s="2"/>
      <c r="F1467" s="2"/>
      <c r="G1467" s="2"/>
      <c r="H1467" s="2"/>
      <c r="I1467" s="2"/>
    </row>
    <row r="1468">
      <c r="A1468" s="1" t="s">
        <v>795</v>
      </c>
      <c r="B1468" s="1" t="str">
        <f>IFERROR(__xludf.DUMMYFUNCTION("SPLIT(A1468,"";"")"),"L'ASSOCIATION DES BISSAU-GUINEENS")</f>
        <v>L'ASSOCIATION DES BISSAU-GUINEENS</v>
      </c>
      <c r="C1468" s="1">
        <f>IFERROR(__xludf.DUMMYFUNCTION("""COMPUTED_VALUE"""),238.0)</f>
        <v>238</v>
      </c>
      <c r="D1468" s="1">
        <v>0.0</v>
      </c>
      <c r="E1468" s="2"/>
      <c r="F1468" s="2"/>
      <c r="G1468" s="2"/>
      <c r="H1468" s="2"/>
      <c r="I1468" s="2"/>
    </row>
    <row r="1469">
      <c r="A1469" s="1" t="s">
        <v>796</v>
      </c>
      <c r="B1469" s="1" t="str">
        <f>IFERROR(__xludf.DUMMYFUNCTION("SPLIT(A1469,"";"")"),"L'ASSOCIATION SLAVE")</f>
        <v>L'ASSOCIATION SLAVE</v>
      </c>
      <c r="C1469" s="3">
        <f>IFERROR(__xludf.DUMMYFUNCTION("""COMPUTED_VALUE"""),1164.0)</f>
        <v>1164</v>
      </c>
      <c r="D1469" s="1">
        <v>90.0</v>
      </c>
      <c r="E1469" s="2"/>
      <c r="F1469" s="2"/>
      <c r="G1469" s="2"/>
      <c r="H1469" s="2"/>
      <c r="I1469" s="2"/>
    </row>
    <row r="1470">
      <c r="A1470" s="1" t="s">
        <v>797</v>
      </c>
      <c r="B1470" s="1" t="str">
        <f>IFERROR(__xludf.DUMMYFUNCTION("SPLIT(A1470,"";"")"),"L'ASSOS DIET")</f>
        <v>L'ASSOS DIET</v>
      </c>
      <c r="C1470" s="1">
        <f>IFERROR(__xludf.DUMMYFUNCTION("""COMPUTED_VALUE"""),884.0)</f>
        <v>884</v>
      </c>
      <c r="D1470" s="1">
        <v>0.0</v>
      </c>
      <c r="E1470" s="2"/>
      <c r="F1470" s="2"/>
      <c r="G1470" s="2"/>
      <c r="H1470" s="2"/>
      <c r="I1470" s="2"/>
    </row>
    <row r="1471">
      <c r="A1471" s="1" t="s">
        <v>798</v>
      </c>
      <c r="B1471" s="1" t="str">
        <f>IFERROR(__xludf.DUMMYFUNCTION("SPLIT(A1471,"";"")"),"L'ATELIER BUDGETAIRE")</f>
        <v>L'ATELIER BUDGETAIRE</v>
      </c>
      <c r="C1471" s="1">
        <f>IFERROR(__xludf.DUMMYFUNCTION("""COMPUTED_VALUE"""),24.0)</f>
        <v>24</v>
      </c>
      <c r="D1471" s="1">
        <v>0.0</v>
      </c>
      <c r="E1471" s="2"/>
      <c r="F1471" s="2"/>
      <c r="G1471" s="2"/>
      <c r="H1471" s="2"/>
      <c r="I1471" s="2"/>
    </row>
    <row r="1472">
      <c r="A1472" s="1" t="s">
        <v>799</v>
      </c>
      <c r="B1472" s="1" t="str">
        <f>IFERROR(__xludf.DUMMYFUNCTION("SPLIT(A1472,"";"")"),"L'ATELIER CHOREGRAPHIQUE")</f>
        <v>L'ATELIER CHOREGRAPHIQUE</v>
      </c>
      <c r="C1472" s="1">
        <f>IFERROR(__xludf.DUMMYFUNCTION("""COMPUTED_VALUE"""),774.0)</f>
        <v>774</v>
      </c>
      <c r="D1472" s="1">
        <v>0.0</v>
      </c>
      <c r="E1472" s="2"/>
      <c r="F1472" s="2"/>
      <c r="G1472" s="2"/>
      <c r="H1472" s="2"/>
      <c r="I1472" s="2"/>
    </row>
    <row r="1473">
      <c r="A1473" s="1" t="s">
        <v>800</v>
      </c>
      <c r="B1473" s="1" t="str">
        <f>IFERROR(__xludf.DUMMYFUNCTION("SPLIT(A1473,"";"")"),"L'ATELIER REMUMENAGE")</f>
        <v>L'ATELIER REMUMENAGE</v>
      </c>
      <c r="C1473" s="3">
        <f>IFERROR(__xludf.DUMMYFUNCTION("""COMPUTED_VALUE"""),1103.0)</f>
        <v>1103</v>
      </c>
      <c r="D1473" s="1">
        <v>0.0</v>
      </c>
      <c r="E1473" s="2"/>
      <c r="F1473" s="2"/>
      <c r="G1473" s="2"/>
      <c r="H1473" s="2"/>
      <c r="I1473" s="2"/>
    </row>
    <row r="1474">
      <c r="A1474" s="1" t="s">
        <v>801</v>
      </c>
      <c r="B1474" s="1" t="str">
        <f>IFERROR(__xludf.DUMMYFUNCTION("SPLIT(A1474,"";"")"),"L'ATELIER VIDEO PIRATE")</f>
        <v>L'ATELIER VIDEO PIRATE</v>
      </c>
      <c r="C1474" s="1">
        <f>IFERROR(__xludf.DUMMYFUNCTION("""COMPUTED_VALUE"""),615.0)</f>
        <v>615</v>
      </c>
      <c r="D1474" s="1">
        <v>0.0</v>
      </c>
      <c r="E1474" s="2"/>
      <c r="F1474" s="2"/>
      <c r="G1474" s="2"/>
      <c r="H1474" s="2"/>
      <c r="I1474" s="2"/>
    </row>
    <row r="1475">
      <c r="A1475" s="1" t="s">
        <v>802</v>
      </c>
      <c r="B1475" s="1" t="str">
        <f>IFERROR(__xludf.DUMMYFUNCTION("SPLIT(A1475,"";"")"),"L'ATEUL")</f>
        <v>L'ATEUL</v>
      </c>
      <c r="C1475" s="1">
        <f>IFERROR(__xludf.DUMMYFUNCTION("""COMPUTED_VALUE"""),506.0)</f>
        <v>506</v>
      </c>
      <c r="D1475" s="1">
        <v>19.0</v>
      </c>
      <c r="E1475" s="2"/>
      <c r="F1475" s="2"/>
      <c r="G1475" s="2"/>
      <c r="H1475" s="2"/>
      <c r="I1475" s="2"/>
    </row>
    <row r="1476">
      <c r="A1476" s="1" t="s">
        <v>803</v>
      </c>
      <c r="B1476" s="1" t="str">
        <f>IFERROR(__xludf.DUMMYFUNCTION("SPLIT(A1476,"";"")"),"LATINO MEX BORDEAUX")</f>
        <v>LATINO MEX BORDEAUX</v>
      </c>
      <c r="C1476" s="3">
        <f>IFERROR(__xludf.DUMMYFUNCTION("""COMPUTED_VALUE"""),1293.0)</f>
        <v>1293</v>
      </c>
      <c r="D1476" s="1">
        <v>0.0</v>
      </c>
      <c r="E1476" s="2"/>
      <c r="F1476" s="2"/>
      <c r="G1476" s="2"/>
      <c r="H1476" s="2"/>
      <c r="I1476" s="2"/>
    </row>
    <row r="1477">
      <c r="A1477" s="1" t="s">
        <v>804</v>
      </c>
      <c r="B1477" s="1" t="str">
        <f>IFERROR(__xludf.DUMMYFUNCTION("SPLIT(A1477,"";"")"),"L'AUTRE - ASSOCIATION DES ETUDIANTS EN ANTHROPOLOGIE SOCIALE ET CULTURELLE")</f>
        <v>L'AUTRE - ASSOCIATION DES ETUDIANTS EN ANTHROPOLOGIE SOCIALE ET CULTURELLE</v>
      </c>
      <c r="C1477" s="1">
        <f>IFERROR(__xludf.DUMMYFUNCTION("""COMPUTED_VALUE"""),313.0)</f>
        <v>313</v>
      </c>
      <c r="D1477" s="1">
        <v>0.0</v>
      </c>
      <c r="E1477" s="2"/>
      <c r="F1477" s="2"/>
      <c r="G1477" s="2"/>
      <c r="H1477" s="2"/>
      <c r="I1477" s="2"/>
    </row>
    <row r="1478">
      <c r="A1478" s="1" t="s">
        <v>805</v>
      </c>
      <c r="B1478" s="1" t="str">
        <f>IFERROR(__xludf.DUMMYFUNCTION("SPLIT(A1478,"";"")"),"LAXMI GIRONDE")</f>
        <v>LAXMI GIRONDE</v>
      </c>
      <c r="C1478" s="1">
        <f>IFERROR(__xludf.DUMMYFUNCTION("""COMPUTED_VALUE"""),464.0)</f>
        <v>464</v>
      </c>
      <c r="D1478" s="1">
        <v>42.0</v>
      </c>
      <c r="E1478" s="2"/>
      <c r="F1478" s="2"/>
      <c r="G1478" s="2"/>
      <c r="H1478" s="2"/>
      <c r="I1478" s="2"/>
    </row>
    <row r="1479">
      <c r="A1479" s="1" t="s">
        <v>806</v>
      </c>
      <c r="B1479" s="1" t="str">
        <f>IFERROR(__xludf.DUMMYFUNCTION("SPLIT(A1479,"";"")"),"LE 4 DE BORDEAUX")</f>
        <v>LE 4 DE BORDEAUX</v>
      </c>
      <c r="C1479" s="3">
        <f>IFERROR(__xludf.DUMMYFUNCTION("""COMPUTED_VALUE"""),14452.0)</f>
        <v>14452</v>
      </c>
      <c r="D1479" s="1">
        <v>57.0</v>
      </c>
      <c r="E1479" s="2"/>
      <c r="F1479" s="2"/>
      <c r="G1479" s="2"/>
      <c r="H1479" s="2"/>
      <c r="I1479" s="2"/>
    </row>
    <row r="1480">
      <c r="A1480" s="1" t="s">
        <v>807</v>
      </c>
      <c r="B1480" s="1" t="str">
        <f>IFERROR(__xludf.DUMMYFUNCTION("SPLIT(A1480,"";"")"),"LE CANNELE D'ADRESSES")</f>
        <v>LE CANNELE D'ADRESSES</v>
      </c>
      <c r="C1480" s="3">
        <f>IFERROR(__xludf.DUMMYFUNCTION("""COMPUTED_VALUE"""),2960.0)</f>
        <v>2960</v>
      </c>
      <c r="D1480" s="1">
        <v>17.0</v>
      </c>
      <c r="E1480" s="2"/>
      <c r="F1480" s="2"/>
      <c r="G1480" s="2"/>
      <c r="H1480" s="2"/>
      <c r="I1480" s="2"/>
    </row>
    <row r="1481">
      <c r="A1481" s="1" t="s">
        <v>808</v>
      </c>
      <c r="B1481" s="1" t="str">
        <f>IFERROR(__xludf.DUMMYFUNCTION("SPLIT(A1481,"";"")"),"LE CHAINON MANQUANT")</f>
        <v>LE CHAINON MANQUANT</v>
      </c>
      <c r="C1481" s="1">
        <f>IFERROR(__xludf.DUMMYFUNCTION("""COMPUTED_VALUE"""),359.0)</f>
        <v>359</v>
      </c>
      <c r="D1481" s="1">
        <v>10.0</v>
      </c>
      <c r="E1481" s="2"/>
      <c r="F1481" s="2"/>
      <c r="G1481" s="2"/>
      <c r="H1481" s="2"/>
      <c r="I1481" s="2"/>
    </row>
    <row r="1482">
      <c r="A1482" s="1" t="s">
        <v>809</v>
      </c>
      <c r="B1482" s="1" t="str">
        <f>IFERROR(__xludf.DUMMYFUNCTION("SPLIT(A1482,"";"")"),"LE CHOEUR DES ECLUSES")</f>
        <v>LE CHOEUR DES ECLUSES</v>
      </c>
      <c r="C1482" s="3">
        <f>IFERROR(__xludf.DUMMYFUNCTION("""COMPUTED_VALUE"""),1216.0)</f>
        <v>1216</v>
      </c>
      <c r="D1482" s="1">
        <v>0.0</v>
      </c>
      <c r="E1482" s="2"/>
      <c r="F1482" s="2"/>
      <c r="G1482" s="2"/>
      <c r="H1482" s="2"/>
      <c r="I1482" s="2"/>
    </row>
    <row r="1483">
      <c r="A1483" s="1" t="s">
        <v>810</v>
      </c>
      <c r="B1483" s="1" t="str">
        <f>IFERROR(__xludf.DUMMYFUNCTION("SPLIT(A1483,"";"")"),"LE CHOEUR VOYAGEUR")</f>
        <v>LE CHOEUR VOYAGEUR</v>
      </c>
      <c r="C1483" s="1">
        <f>IFERROR(__xludf.DUMMYFUNCTION("""COMPUTED_VALUE"""),554.0)</f>
        <v>554</v>
      </c>
      <c r="D1483" s="1">
        <v>8.0</v>
      </c>
      <c r="E1483" s="2"/>
      <c r="F1483" s="2"/>
      <c r="G1483" s="2"/>
      <c r="H1483" s="2"/>
      <c r="I1483" s="2"/>
    </row>
    <row r="1484">
      <c r="A1484" s="1" t="s">
        <v>811</v>
      </c>
      <c r="B1484" s="1" t="str">
        <f>IFERROR(__xludf.DUMMYFUNCTION("SPLIT(A1484,"";"")"),"LE FESTIN")</f>
        <v>LE FESTIN</v>
      </c>
      <c r="C1484" s="3">
        <f>IFERROR(__xludf.DUMMYFUNCTION("""COMPUTED_VALUE"""),8238.0)</f>
        <v>8238</v>
      </c>
      <c r="D1484" s="1">
        <v>8.0</v>
      </c>
      <c r="E1484" s="2"/>
      <c r="F1484" s="2"/>
      <c r="G1484" s="2"/>
      <c r="H1484" s="2"/>
      <c r="I1484" s="2"/>
    </row>
    <row r="1485">
      <c r="A1485" s="1" t="s">
        <v>812</v>
      </c>
      <c r="B1485" s="1" t="str">
        <f>IFERROR(__xludf.DUMMYFUNCTION("SPLIT(A1485,"";"")"),"LE GIROFARD")</f>
        <v>LE GIROFARD</v>
      </c>
      <c r="C1485" s="3">
        <f>IFERROR(__xludf.DUMMYFUNCTION("""COMPUTED_VALUE"""),7781.0)</f>
        <v>7781</v>
      </c>
      <c r="D1485" s="1">
        <v>11.0</v>
      </c>
      <c r="E1485" s="2"/>
      <c r="F1485" s="2"/>
      <c r="G1485" s="2"/>
      <c r="H1485" s="2"/>
      <c r="I1485" s="2"/>
    </row>
    <row r="1486">
      <c r="A1486" s="1" t="s">
        <v>813</v>
      </c>
      <c r="B1486" s="1" t="str">
        <f>IFERROR(__xludf.DUMMYFUNCTION("SPLIT(A1486,"";"")"),"LE KFE DES FAMILLES")</f>
        <v>LE KFE DES FAMILLES</v>
      </c>
      <c r="C1486" s="3">
        <f>IFERROR(__xludf.DUMMYFUNCTION("""COMPUTED_VALUE"""),3451.0)</f>
        <v>3451</v>
      </c>
      <c r="D1486" s="1">
        <v>24.0</v>
      </c>
      <c r="E1486" s="2"/>
      <c r="F1486" s="2"/>
      <c r="G1486" s="2"/>
      <c r="H1486" s="2"/>
      <c r="I1486" s="2"/>
    </row>
    <row r="1487">
      <c r="A1487" s="1" t="s">
        <v>814</v>
      </c>
      <c r="B1487" s="1" t="str">
        <f>IFERROR(__xludf.DUMMYFUNCTION("SPLIT(A1487,"";"")"),"LE KIOSQUE CULTURE")</f>
        <v>LE KIOSQUE CULTURE</v>
      </c>
      <c r="C1487" s="3">
        <f>IFERROR(__xludf.DUMMYFUNCTION("""COMPUTED_VALUE"""),3150.0)</f>
        <v>3150</v>
      </c>
      <c r="D1487" s="1">
        <v>0.0</v>
      </c>
      <c r="E1487" s="2"/>
      <c r="F1487" s="2"/>
      <c r="G1487" s="2"/>
      <c r="H1487" s="2"/>
      <c r="I1487" s="2"/>
    </row>
    <row r="1488">
      <c r="A1488" s="1" t="s">
        <v>815</v>
      </c>
      <c r="B1488" s="1" t="str">
        <f>IFERROR(__xludf.DUMMYFUNCTION("SPLIT(A1488,"";"")"),"LE LABO DES HISTOIRES section Sud-Atlantique")</f>
        <v>LE LABO DES HISTOIRES section Sud-Atlantique</v>
      </c>
      <c r="C1488" s="3">
        <f>IFERROR(__xludf.DUMMYFUNCTION("""COMPUTED_VALUE"""),4880.0)</f>
        <v>4880</v>
      </c>
      <c r="D1488" s="1">
        <v>0.0</v>
      </c>
      <c r="E1488" s="2"/>
      <c r="F1488" s="2"/>
      <c r="G1488" s="2"/>
      <c r="H1488" s="2"/>
      <c r="I1488" s="2"/>
    </row>
    <row r="1489">
      <c r="A1489" s="1" t="s">
        <v>816</v>
      </c>
      <c r="B1489" s="1" t="str">
        <f>IFERROR(__xludf.DUMMYFUNCTION("SPLIT(A1489,"";"")"),"LE LABO DES LETTRES")</f>
        <v>LE LABO DES LETTRES</v>
      </c>
      <c r="C1489" s="1">
        <f>IFERROR(__xludf.DUMMYFUNCTION("""COMPUTED_VALUE"""),21.0)</f>
        <v>21</v>
      </c>
      <c r="D1489" s="1">
        <v>0.0</v>
      </c>
      <c r="E1489" s="2"/>
      <c r="F1489" s="2"/>
      <c r="G1489" s="2"/>
      <c r="H1489" s="2"/>
      <c r="I1489" s="2"/>
    </row>
    <row r="1490">
      <c r="A1490" s="1" t="s">
        <v>817</v>
      </c>
      <c r="B1490" s="1" t="str">
        <f>IFERROR(__xludf.DUMMYFUNCTION("SPLIT(A1490,"";"")"),"LE LABO")</f>
        <v>LE LABO</v>
      </c>
      <c r="C1490" s="1"/>
      <c r="D1490" s="1" t="s">
        <v>818</v>
      </c>
      <c r="E1490" s="1">
        <v>8.0</v>
      </c>
      <c r="F1490" s="2"/>
      <c r="G1490" s="2"/>
      <c r="H1490" s="2"/>
      <c r="I1490" s="2"/>
    </row>
    <row r="1491">
      <c r="A1491" s="1" t="s">
        <v>819</v>
      </c>
      <c r="B1491" s="1" t="str">
        <f>IFERROR(__xludf.DUMMYFUNCTION("SPLIT(A1491,"";"")"),"LE LYS ET LE LEOPARD")</f>
        <v>LE LYS ET LE LEOPARD</v>
      </c>
      <c r="C1491" s="3">
        <f>IFERROR(__xludf.DUMMYFUNCTION("""COMPUTED_VALUE"""),4440.0)</f>
        <v>4440</v>
      </c>
      <c r="D1491" s="1">
        <v>0.0</v>
      </c>
      <c r="E1491" s="2"/>
      <c r="F1491" s="2"/>
      <c r="G1491" s="2"/>
      <c r="H1491" s="2"/>
      <c r="I1491" s="2"/>
    </row>
    <row r="1492">
      <c r="A1492" s="1" t="s">
        <v>820</v>
      </c>
      <c r="B1492" s="1" t="str">
        <f>IFERROR(__xludf.DUMMYFUNCTION("SPLIT(A1492,"";"")"),"LE PETIT INSTITUT DE CHINE : ECOLE D'ARTS MARTIAUX ET CULTURE CHINOISE")</f>
        <v>LE PETIT INSTITUT DE CHINE : ECOLE D'ARTS MARTIAUX ET CULTURE CHINOISE</v>
      </c>
      <c r="C1492" s="3">
        <f>IFERROR(__xludf.DUMMYFUNCTION("""COMPUTED_VALUE"""),4980.0)</f>
        <v>4980</v>
      </c>
      <c r="D1492" s="1">
        <v>50.0</v>
      </c>
      <c r="E1492" s="2"/>
      <c r="F1492" s="2"/>
      <c r="G1492" s="2"/>
      <c r="H1492" s="2"/>
      <c r="I1492" s="2"/>
    </row>
    <row r="1493">
      <c r="A1493" s="1" t="s">
        <v>821</v>
      </c>
      <c r="B1493" s="1" t="str">
        <f>IFERROR(__xludf.DUMMYFUNCTION("SPLIT(A1493,"";"")"),"LE POQUELIN THEATRE")</f>
        <v>LE POQUELIN THEATRE</v>
      </c>
      <c r="C1493" s="3">
        <f>IFERROR(__xludf.DUMMYFUNCTION("""COMPUTED_VALUE"""),2284.0)</f>
        <v>2284</v>
      </c>
      <c r="D1493" s="1">
        <v>29.0</v>
      </c>
      <c r="E1493" s="2"/>
      <c r="F1493" s="2"/>
      <c r="G1493" s="2"/>
      <c r="H1493" s="2"/>
      <c r="I1493" s="2"/>
    </row>
    <row r="1494">
      <c r="A1494" s="1" t="s">
        <v>822</v>
      </c>
      <c r="B1494" s="1" t="str">
        <f>IFERROR(__xludf.DUMMYFUNCTION("SPLIT(A1494,"";"")"),"LE P'TIT BOUT DE QUARTIER")</f>
        <v>LE P'TIT BOUT DE QUARTIER</v>
      </c>
      <c r="C1494" s="1">
        <f>IFERROR(__xludf.DUMMYFUNCTION("""COMPUTED_VALUE"""),655.0)</f>
        <v>655</v>
      </c>
      <c r="D1494" s="1">
        <v>29.0</v>
      </c>
      <c r="E1494" s="2"/>
      <c r="F1494" s="2"/>
      <c r="G1494" s="2"/>
      <c r="H1494" s="2"/>
      <c r="I1494" s="2"/>
    </row>
    <row r="1495">
      <c r="A1495" s="1" t="s">
        <v>823</v>
      </c>
      <c r="B1495" s="1" t="str">
        <f>IFERROR(__xludf.DUMMYFUNCTION("SPLIT(A1495,"";"")"),"LE RELAIS GIRONDE")</f>
        <v>LE RELAIS GIRONDE</v>
      </c>
      <c r="C1495" s="3">
        <f>IFERROR(__xludf.DUMMYFUNCTION("""COMPUTED_VALUE"""),1239.0)</f>
        <v>1239</v>
      </c>
      <c r="D1495" s="1">
        <v>46.0</v>
      </c>
      <c r="E1495" s="2"/>
      <c r="F1495" s="2"/>
      <c r="G1495" s="2"/>
      <c r="H1495" s="2"/>
      <c r="I1495" s="2"/>
    </row>
    <row r="1496">
      <c r="A1496" s="1" t="s">
        <v>824</v>
      </c>
      <c r="B1496" s="1" t="str">
        <f>IFERROR(__xludf.DUMMYFUNCTION("SPLIT(A1496,"";"")"),"LE SPORTING-CLUB DE LA BASTIDIENNE")</f>
        <v>LE SPORTING-CLUB DE LA BASTIDIENNE</v>
      </c>
      <c r="C1496" s="3">
        <f>IFERROR(__xludf.DUMMYFUNCTION("""COMPUTED_VALUE"""),50177.0)</f>
        <v>50177</v>
      </c>
      <c r="D1496" s="1">
        <v>64.0</v>
      </c>
      <c r="E1496" s="2"/>
      <c r="F1496" s="2"/>
      <c r="G1496" s="2"/>
      <c r="H1496" s="2"/>
      <c r="I1496" s="2"/>
    </row>
    <row r="1497">
      <c r="A1497" s="1" t="s">
        <v>825</v>
      </c>
      <c r="B1497" s="1" t="str">
        <f>IFERROR(__xludf.DUMMYFUNCTION("SPLIT(A1497,"";"")"),"LE THEATRE DES EGREGORES")</f>
        <v>LE THEATRE DES EGREGORES</v>
      </c>
      <c r="C1497" s="3">
        <f>IFERROR(__xludf.DUMMYFUNCTION("""COMPUTED_VALUE"""),7298.0)</f>
        <v>7298</v>
      </c>
      <c r="D1497" s="1">
        <v>0.0</v>
      </c>
      <c r="E1497" s="2"/>
      <c r="F1497" s="2"/>
      <c r="G1497" s="2"/>
      <c r="H1497" s="2"/>
      <c r="I1497" s="2"/>
    </row>
    <row r="1498">
      <c r="A1498" s="1" t="s">
        <v>826</v>
      </c>
      <c r="B1498" s="1" t="str">
        <f>IFERROR(__xludf.DUMMYFUNCTION("SPLIT(A1498,"";"")"),"LEGATO CIE")</f>
        <v>LEGATO CIE</v>
      </c>
      <c r="C1498" s="3">
        <f>IFERROR(__xludf.DUMMYFUNCTION("""COMPUTED_VALUE"""),1031.0)</f>
        <v>1031</v>
      </c>
      <c r="D1498" s="1">
        <v>0.0</v>
      </c>
      <c r="E1498" s="2"/>
      <c r="F1498" s="2"/>
      <c r="G1498" s="2"/>
      <c r="H1498" s="2"/>
      <c r="I1498" s="2"/>
    </row>
    <row r="1499">
      <c r="A1499" s="1" t="s">
        <v>827</v>
      </c>
      <c r="B1499" s="1" t="str">
        <f>IFERROR(__xludf.DUMMYFUNCTION("SPLIT(A1499,"";"")"),"LEO CLUB BORDEAUX INTERNATIONAL - LBI")</f>
        <v>LEO CLUB BORDEAUX INTERNATIONAL - LBI</v>
      </c>
      <c r="C1499" s="1">
        <f>IFERROR(__xludf.DUMMYFUNCTION("""COMPUTED_VALUE"""),408.0)</f>
        <v>408</v>
      </c>
      <c r="D1499" s="1">
        <v>0.0</v>
      </c>
      <c r="E1499" s="2"/>
      <c r="F1499" s="2"/>
      <c r="G1499" s="2"/>
      <c r="H1499" s="2"/>
      <c r="I1499" s="2"/>
    </row>
    <row r="1500">
      <c r="A1500" s="1" t="s">
        <v>828</v>
      </c>
      <c r="B1500" s="1" t="str">
        <f>IFERROR(__xludf.DUMMYFUNCTION("SPLIT(A1500,"";"")"),"L'EPICERIE")</f>
        <v>L'EPICERIE</v>
      </c>
      <c r="C1500" s="3">
        <f>IFERROR(__xludf.DUMMYFUNCTION("""COMPUTED_VALUE"""),1020.0)</f>
        <v>1020</v>
      </c>
      <c r="D1500" s="1">
        <v>0.0</v>
      </c>
      <c r="E1500" s="2"/>
      <c r="F1500" s="2"/>
      <c r="G1500" s="2"/>
      <c r="H1500" s="2"/>
      <c r="I1500" s="2"/>
    </row>
    <row r="1501">
      <c r="A1501" s="1" t="s">
        <v>829</v>
      </c>
      <c r="B1501" s="1" t="str">
        <f>IFERROR(__xludf.DUMMYFUNCTION("SPLIT(A1501,"";"")"),"L'ERE H")</f>
        <v>L'ERE H</v>
      </c>
      <c r="C1501" s="1">
        <f>IFERROR(__xludf.DUMMYFUNCTION("""COMPUTED_VALUE"""),286.0)</f>
        <v>286</v>
      </c>
      <c r="D1501" s="1">
        <v>0.0</v>
      </c>
      <c r="E1501" s="2"/>
      <c r="F1501" s="2"/>
      <c r="G1501" s="2"/>
      <c r="H1501" s="2"/>
      <c r="I1501" s="2"/>
    </row>
    <row r="1502">
      <c r="A1502" s="1" t="s">
        <v>830</v>
      </c>
      <c r="B1502" s="1" t="str">
        <f>IFERROR(__xludf.DUMMYFUNCTION("SPLIT(A1502,"";"")"),"LES AMIS AQUITAINS DES SEMAINES SOCIALES DE France")</f>
        <v>LES AMIS AQUITAINS DES SEMAINES SOCIALES DE France</v>
      </c>
      <c r="C1502" s="1">
        <f>IFERROR(__xludf.DUMMYFUNCTION("""COMPUTED_VALUE"""),112.0)</f>
        <v>112</v>
      </c>
      <c r="D1502" s="1">
        <v>0.0</v>
      </c>
      <c r="E1502" s="2"/>
      <c r="F1502" s="2"/>
      <c r="G1502" s="2"/>
      <c r="H1502" s="2"/>
      <c r="I1502" s="2"/>
    </row>
    <row r="1503">
      <c r="A1503" s="1" t="s">
        <v>831</v>
      </c>
      <c r="B1503" s="1" t="str">
        <f>IFERROR(__xludf.DUMMYFUNCTION("SPLIT(A1503,"";"")"),"LES AMIS DE BORDEAUX-SUD")</f>
        <v>LES AMIS DE BORDEAUX-SUD</v>
      </c>
      <c r="C1503" s="1">
        <f>IFERROR(__xludf.DUMMYFUNCTION("""COMPUTED_VALUE"""),27.0)</f>
        <v>27</v>
      </c>
      <c r="D1503" s="1">
        <v>0.0</v>
      </c>
      <c r="E1503" s="2"/>
      <c r="F1503" s="2"/>
      <c r="G1503" s="2"/>
      <c r="H1503" s="2"/>
      <c r="I1503" s="2"/>
    </row>
    <row r="1504">
      <c r="A1504" s="1" t="s">
        <v>832</v>
      </c>
      <c r="B1504" s="1" t="str">
        <f>IFERROR(__xludf.DUMMYFUNCTION("SPLIT(A1504,"";"")"),"LES AMIS DE LA RUE KLEBER")</f>
        <v>LES AMIS DE LA RUE KLEBER</v>
      </c>
      <c r="C1504" s="1">
        <f>IFERROR(__xludf.DUMMYFUNCTION("""COMPUTED_VALUE"""),24.0)</f>
        <v>24</v>
      </c>
      <c r="D1504" s="1">
        <v>0.0</v>
      </c>
      <c r="E1504" s="2"/>
      <c r="F1504" s="2"/>
      <c r="G1504" s="2"/>
      <c r="H1504" s="2"/>
      <c r="I1504" s="2"/>
    </row>
    <row r="1505">
      <c r="A1505" s="1" t="s">
        <v>833</v>
      </c>
      <c r="B1505" s="1" t="str">
        <f>IFERROR(__xludf.DUMMYFUNCTION("SPLIT(A1505,"";"")"),"LES AMIS DE LA TERRE GIRONDE")</f>
        <v>LES AMIS DE LA TERRE GIRONDE</v>
      </c>
      <c r="C1505" s="1">
        <f>IFERROR(__xludf.DUMMYFUNCTION("""COMPUTED_VALUE"""),521.0)</f>
        <v>521</v>
      </c>
      <c r="D1505" s="1">
        <v>0.0</v>
      </c>
      <c r="E1505" s="2"/>
      <c r="F1505" s="2"/>
      <c r="G1505" s="2"/>
      <c r="H1505" s="2"/>
      <c r="I1505" s="2"/>
    </row>
    <row r="1506">
      <c r="A1506" s="1" t="s">
        <v>834</v>
      </c>
      <c r="B1506" s="1" t="str">
        <f>IFERROR(__xludf.DUMMYFUNCTION("SPLIT(A1506,"";"")"),"LES AMIS DE SAINTE GENEVIEVE (ASG)")</f>
        <v>LES AMIS DE SAINTE GENEVIEVE (ASG)</v>
      </c>
      <c r="C1506" s="1">
        <f>IFERROR(__xludf.DUMMYFUNCTION("""COMPUTED_VALUE"""),927.0)</f>
        <v>927</v>
      </c>
      <c r="D1506" s="1">
        <v>18.0</v>
      </c>
      <c r="E1506" s="2"/>
      <c r="F1506" s="2"/>
      <c r="G1506" s="2"/>
      <c r="H1506" s="2"/>
      <c r="I1506" s="2"/>
    </row>
    <row r="1507">
      <c r="A1507" s="1" t="s">
        <v>835</v>
      </c>
      <c r="B1507" s="1" t="str">
        <f>IFERROR(__xludf.DUMMYFUNCTION("SPLIT(A1507,"";"")"),"LES AMIS DE SUPERCOOP")</f>
        <v>LES AMIS DE SUPERCOOP</v>
      </c>
      <c r="C1507" s="1">
        <f>IFERROR(__xludf.DUMMYFUNCTION("""COMPUTED_VALUE"""),89.0)</f>
        <v>89</v>
      </c>
      <c r="D1507" s="1">
        <v>0.0</v>
      </c>
      <c r="E1507" s="2"/>
      <c r="F1507" s="2"/>
      <c r="G1507" s="2"/>
      <c r="H1507" s="2"/>
      <c r="I1507" s="2"/>
    </row>
    <row r="1508">
      <c r="A1508" s="1" t="s">
        <v>836</v>
      </c>
      <c r="B1508" s="1" t="str">
        <f>IFERROR(__xludf.DUMMYFUNCTION("SPLIT(A1508,"";"")"),"LES AMIS DU GRAND THEATRE - OPERA DE BORDEAUX")</f>
        <v>LES AMIS DU GRAND THEATRE - OPERA DE BORDEAUX</v>
      </c>
      <c r="C1508" s="3">
        <f>IFERROR(__xludf.DUMMYFUNCTION("""COMPUTED_VALUE"""),11641.0)</f>
        <v>11641</v>
      </c>
      <c r="D1508" s="1">
        <v>0.0</v>
      </c>
      <c r="E1508" s="2"/>
      <c r="F1508" s="2"/>
      <c r="G1508" s="2"/>
      <c r="H1508" s="2"/>
      <c r="I1508" s="2"/>
    </row>
    <row r="1509">
      <c r="A1509" s="1" t="s">
        <v>837</v>
      </c>
      <c r="B1509" s="1" t="str">
        <f>IFERROR(__xludf.DUMMYFUNCTION("SPLIT(A1509,"";"")"),"LES ANCIENS DE BACALAN CLAVEAU")</f>
        <v>LES ANCIENS DE BACALAN CLAVEAU</v>
      </c>
      <c r="C1509" s="3">
        <f>IFERROR(__xludf.DUMMYFUNCTION("""COMPUTED_VALUE"""),3080.0)</f>
        <v>3080</v>
      </c>
      <c r="D1509" s="1">
        <v>44.0</v>
      </c>
      <c r="E1509" s="2"/>
      <c r="F1509" s="2"/>
      <c r="G1509" s="2"/>
      <c r="H1509" s="2"/>
      <c r="I1509" s="2"/>
    </row>
    <row r="1510">
      <c r="A1510" s="1" t="s">
        <v>838</v>
      </c>
      <c r="B1510" s="1" t="str">
        <f>IFERROR(__xludf.DUMMYFUNCTION("SPLIT(A1510,"";"")"),"LES ANNALES DE L'ESPRIT")</f>
        <v>LES ANNALES DE L'ESPRIT</v>
      </c>
      <c r="C1510" s="1">
        <f>IFERROR(__xludf.DUMMYFUNCTION("""COMPUTED_VALUE"""),102.0)</f>
        <v>102</v>
      </c>
      <c r="D1510" s="1">
        <v>0.0</v>
      </c>
      <c r="E1510" s="2"/>
      <c r="F1510" s="2"/>
      <c r="G1510" s="2"/>
      <c r="H1510" s="2"/>
      <c r="I1510" s="2"/>
    </row>
    <row r="1511">
      <c r="A1511" s="1" t="s">
        <v>839</v>
      </c>
      <c r="B1511" s="1" t="str">
        <f>IFERROR(__xludf.DUMMYFUNCTION("SPLIT(A1511,"";"")"),"LES ARCHERS DE GUYENNE")</f>
        <v>LES ARCHERS DE GUYENNE</v>
      </c>
      <c r="C1511" s="3">
        <f>IFERROR(__xludf.DUMMYFUNCTION("""COMPUTED_VALUE"""),2928.0)</f>
        <v>2928</v>
      </c>
      <c r="D1511" s="1">
        <v>83.0</v>
      </c>
      <c r="E1511" s="2"/>
      <c r="F1511" s="2"/>
      <c r="G1511" s="2"/>
      <c r="H1511" s="2"/>
      <c r="I1511" s="2"/>
    </row>
    <row r="1512">
      <c r="A1512" s="1" t="s">
        <v>840</v>
      </c>
      <c r="B1512" s="1" t="str">
        <f>IFERROR(__xludf.DUMMYFUNCTION("SPLIT(A1512,"";"")"),"LES BORDELUCHES")</f>
        <v>LES BORDELUCHES</v>
      </c>
      <c r="C1512" s="3">
        <f>IFERROR(__xludf.DUMMYFUNCTION("""COMPUTED_VALUE"""),2997.0)</f>
        <v>2997</v>
      </c>
      <c r="D1512" s="1">
        <v>0.0</v>
      </c>
      <c r="E1512" s="2"/>
      <c r="F1512" s="2"/>
      <c r="G1512" s="2"/>
      <c r="H1512" s="2"/>
      <c r="I1512" s="2"/>
    </row>
    <row r="1513">
      <c r="A1513" s="1" t="s">
        <v>841</v>
      </c>
      <c r="B1513" s="1" t="str">
        <f>IFERROR(__xludf.DUMMYFUNCTION("SPLIT(A1513,"";"")"),"LES BRUITS DE LA RUE")</f>
        <v>LES BRUITS DE LA RUE</v>
      </c>
      <c r="C1513" s="3">
        <f>IFERROR(__xludf.DUMMYFUNCTION("""COMPUTED_VALUE"""),1189.0)</f>
        <v>1189</v>
      </c>
      <c r="D1513" s="1">
        <v>0.0</v>
      </c>
      <c r="E1513" s="2"/>
      <c r="F1513" s="2"/>
      <c r="G1513" s="2"/>
      <c r="H1513" s="2"/>
      <c r="I1513" s="2"/>
    </row>
    <row r="1514">
      <c r="A1514" s="1" t="s">
        <v>842</v>
      </c>
      <c r="B1514" s="1" t="str">
        <f>IFERROR(__xludf.DUMMYFUNCTION("SPLIT(A1514,"";"")"),"LES CLOWNS STETHOSCOPES")</f>
        <v>LES CLOWNS STETHOSCOPES</v>
      </c>
      <c r="C1514" s="3">
        <f>IFERROR(__xludf.DUMMYFUNCTION("""COMPUTED_VALUE"""),1365.0)</f>
        <v>1365</v>
      </c>
      <c r="D1514" s="1">
        <v>86.0</v>
      </c>
      <c r="E1514" s="2"/>
      <c r="F1514" s="2"/>
      <c r="G1514" s="2"/>
      <c r="H1514" s="2"/>
      <c r="I1514" s="2"/>
    </row>
    <row r="1515">
      <c r="A1515" s="1" t="s">
        <v>843</v>
      </c>
      <c r="B1515" s="1" t="str">
        <f>IFERROR(__xludf.DUMMYFUNCTION("SPLIT(A1515,"";"")"),"LES COLCHIQUES DE CONDORCET")</f>
        <v>LES COLCHIQUES DE CONDORCET</v>
      </c>
      <c r="C1515" s="1">
        <f>IFERROR(__xludf.DUMMYFUNCTION("""COMPUTED_VALUE"""),34.0)</f>
        <v>34</v>
      </c>
      <c r="D1515" s="1">
        <v>0.0</v>
      </c>
      <c r="E1515" s="2"/>
      <c r="F1515" s="2"/>
      <c r="G1515" s="2"/>
      <c r="H1515" s="2"/>
      <c r="I1515" s="2"/>
    </row>
    <row r="1516">
      <c r="A1516" s="1" t="s">
        <v>844</v>
      </c>
      <c r="B1516" s="1" t="str">
        <f>IFERROR(__xludf.DUMMYFUNCTION("SPLIT(A1516,"";"")"),"LES COQS ROUGES")</f>
        <v>LES COQS ROUGES</v>
      </c>
      <c r="C1516" s="3">
        <f>IFERROR(__xludf.DUMMYFUNCTION("""COMPUTED_VALUE"""),41646.0)</f>
        <v>41646</v>
      </c>
      <c r="D1516" s="1">
        <v>27.0</v>
      </c>
      <c r="E1516" s="2"/>
      <c r="F1516" s="2"/>
      <c r="G1516" s="2"/>
      <c r="H1516" s="2"/>
      <c r="I1516" s="2"/>
    </row>
    <row r="1517">
      <c r="A1517" s="1" t="s">
        <v>845</v>
      </c>
      <c r="B1517" s="1" t="str">
        <f>IFERROR(__xludf.DUMMYFUNCTION("SPLIT(A1517,"";"")"),"LES COQUELICOTS")</f>
        <v>LES COQUELICOTS</v>
      </c>
      <c r="C1517" s="1">
        <f>IFERROR(__xludf.DUMMYFUNCTION("""COMPUTED_VALUE"""),265.0)</f>
        <v>265</v>
      </c>
      <c r="D1517" s="1">
        <v>0.0</v>
      </c>
      <c r="E1517" s="2"/>
      <c r="F1517" s="2"/>
      <c r="G1517" s="2"/>
      <c r="H1517" s="2"/>
      <c r="I1517" s="2"/>
    </row>
    <row r="1518">
      <c r="A1518" s="1" t="s">
        <v>846</v>
      </c>
      <c r="B1518" s="1" t="str">
        <f>IFERROR(__xludf.DUMMYFUNCTION("SPLIT(A1518,"";"")"),"LES COUCOUS")</f>
        <v>LES COUCOUS</v>
      </c>
      <c r="C1518" s="1">
        <f>IFERROR(__xludf.DUMMYFUNCTION("""COMPUTED_VALUE"""),51.0)</f>
        <v>51</v>
      </c>
      <c r="D1518" s="1">
        <v>0.0</v>
      </c>
      <c r="E1518" s="2"/>
      <c r="F1518" s="2"/>
      <c r="G1518" s="2"/>
      <c r="H1518" s="2"/>
      <c r="I1518" s="2"/>
    </row>
    <row r="1519">
      <c r="A1519" s="1" t="s">
        <v>847</v>
      </c>
      <c r="B1519" s="1" t="str">
        <f>IFERROR(__xludf.DUMMYFUNCTION("SPLIT(A1519,"";"")"),"LES DOSSIERS D'AQUITAINE ET D'AILLEURS")</f>
        <v>LES DOSSIERS D'AQUITAINE ET D'AILLEURS</v>
      </c>
      <c r="C1519" s="1">
        <f>IFERROR(__xludf.DUMMYFUNCTION("""COMPUTED_VALUE"""),407.0)</f>
        <v>407</v>
      </c>
      <c r="D1519" s="1">
        <v>70.0</v>
      </c>
      <c r="E1519" s="2"/>
      <c r="F1519" s="2"/>
      <c r="G1519" s="2"/>
      <c r="H1519" s="2"/>
      <c r="I1519" s="2"/>
    </row>
    <row r="1520">
      <c r="A1520" s="1" t="s">
        <v>848</v>
      </c>
      <c r="B1520" s="1" t="str">
        <f>IFERROR(__xludf.DUMMYFUNCTION("SPLIT(A1520,"";"")"),"LES ENTREPRENEURS ET DIRIGEANTS CHRETIENS")</f>
        <v>LES ENTREPRENEURS ET DIRIGEANTS CHRETIENS</v>
      </c>
      <c r="C1520" s="1">
        <f>IFERROR(__xludf.DUMMYFUNCTION("""COMPUTED_VALUE"""),444.0)</f>
        <v>444</v>
      </c>
      <c r="D1520" s="1">
        <v>0.0</v>
      </c>
      <c r="E1520" s="2"/>
      <c r="F1520" s="2"/>
      <c r="G1520" s="2"/>
      <c r="H1520" s="2"/>
      <c r="I1520" s="2"/>
    </row>
    <row r="1521">
      <c r="A1521" s="1" t="s">
        <v>849</v>
      </c>
      <c r="B1521" s="1" t="str">
        <f>IFERROR(__xludf.DUMMYFUNCTION("SPLIT(A1521,"";"")"),"LES FEES REIKI")</f>
        <v>LES FEES REIKI</v>
      </c>
      <c r="C1521" s="1">
        <f>IFERROR(__xludf.DUMMYFUNCTION("""COMPUTED_VALUE"""),56.0)</f>
        <v>56</v>
      </c>
      <c r="D1521" s="1">
        <v>0.0</v>
      </c>
      <c r="E1521" s="2"/>
      <c r="F1521" s="2"/>
      <c r="G1521" s="2"/>
      <c r="H1521" s="2"/>
      <c r="I1521" s="2"/>
    </row>
    <row r="1522">
      <c r="A1522" s="1" t="s">
        <v>850</v>
      </c>
      <c r="B1522" s="1" t="str">
        <f>IFERROR(__xludf.DUMMYFUNCTION("SPLIT(A1522,"";"")"),"LES FEES RUE")</f>
        <v>LES FEES RUE</v>
      </c>
      <c r="C1522" s="1">
        <f>IFERROR(__xludf.DUMMYFUNCTION("""COMPUTED_VALUE"""),14.0)</f>
        <v>14</v>
      </c>
      <c r="D1522" s="1">
        <v>0.0</v>
      </c>
      <c r="E1522" s="2"/>
      <c r="F1522" s="2"/>
      <c r="G1522" s="2"/>
      <c r="H1522" s="2"/>
      <c r="I1522" s="2"/>
    </row>
    <row r="1523">
      <c r="A1523" s="1" t="s">
        <v>851</v>
      </c>
      <c r="B1523" s="1" t="str">
        <f>IFERROR(__xludf.DUMMYFUNCTION("SPLIT(A1523,"";"")"),"LES FILLES D'A COTE")</f>
        <v>LES FILLES D'A COTE</v>
      </c>
      <c r="C1523" s="3">
        <f>IFERROR(__xludf.DUMMYFUNCTION("""COMPUTED_VALUE"""),2501.0)</f>
        <v>2501</v>
      </c>
      <c r="D1523" s="1">
        <v>0.0</v>
      </c>
      <c r="E1523" s="2"/>
      <c r="F1523" s="2"/>
      <c r="G1523" s="2"/>
      <c r="H1523" s="2"/>
      <c r="I1523" s="2"/>
    </row>
    <row r="1524">
      <c r="A1524" s="1" t="s">
        <v>852</v>
      </c>
      <c r="B1524" s="1" t="str">
        <f>IFERROR(__xludf.DUMMYFUNCTION("SPLIT(A1524,"";"")"),"LES GIRONDINS DE BORDEAUX")</f>
        <v>LES GIRONDINS DE BORDEAUX</v>
      </c>
      <c r="C1524" s="3">
        <f>IFERROR(__xludf.DUMMYFUNCTION("""COMPUTED_VALUE"""),335279.0)</f>
        <v>335279</v>
      </c>
      <c r="D1524" s="1">
        <v>39.0</v>
      </c>
      <c r="E1524" s="2"/>
      <c r="F1524" s="2"/>
      <c r="G1524" s="2"/>
      <c r="H1524" s="2"/>
      <c r="I1524" s="2"/>
    </row>
    <row r="1525">
      <c r="A1525" s="1" t="s">
        <v>853</v>
      </c>
      <c r="B1525" s="1" t="str">
        <f>IFERROR(__xludf.DUMMYFUNCTION("SPLIT(A1525,"";"")"),"LES GOUPILS")</f>
        <v>LES GOUPILS</v>
      </c>
      <c r="C1525" s="3">
        <f>IFERROR(__xludf.DUMMYFUNCTION("""COMPUTED_VALUE"""),3441.0)</f>
        <v>3441</v>
      </c>
      <c r="D1525" s="1">
        <v>0.0</v>
      </c>
      <c r="E1525" s="2"/>
      <c r="F1525" s="2"/>
      <c r="G1525" s="2"/>
      <c r="H1525" s="2"/>
      <c r="I1525" s="2"/>
    </row>
    <row r="1526">
      <c r="A1526" s="1" t="s">
        <v>854</v>
      </c>
      <c r="B1526" s="1" t="str">
        <f>IFERROR(__xludf.DUMMYFUNCTION("SPLIT(A1526,"";"")"),"LES HABITANTS ET RIVERAINS DU QUARTIER SAINT-GENES-BOURSE DU TRAVAIL - COSTEDOAT")</f>
        <v>LES HABITANTS ET RIVERAINS DU QUARTIER SAINT-GENES-BOURSE DU TRAVAIL - COSTEDOAT</v>
      </c>
      <c r="C1526" s="3">
        <f>IFERROR(__xludf.DUMMYFUNCTION("""COMPUTED_VALUE"""),1313.0)</f>
        <v>1313</v>
      </c>
      <c r="D1526" s="1">
        <v>71.0</v>
      </c>
      <c r="E1526" s="2"/>
      <c r="F1526" s="2"/>
      <c r="G1526" s="2"/>
      <c r="H1526" s="2"/>
      <c r="I1526" s="2"/>
    </row>
    <row r="1527">
      <c r="A1527" s="1" t="s">
        <v>855</v>
      </c>
      <c r="B1527" s="1" t="str">
        <f>IFERROR(__xludf.DUMMYFUNCTION("SPLIT(A1527,"";"")"),"LES IMPROVISATEURS ANONYMES")</f>
        <v>LES IMPROVISATEURS ANONYMES</v>
      </c>
      <c r="C1527" s="1">
        <f>IFERROR(__xludf.DUMMYFUNCTION("""COMPUTED_VALUE"""),530.0)</f>
        <v>530</v>
      </c>
      <c r="D1527" s="1">
        <v>0.0</v>
      </c>
      <c r="E1527" s="2"/>
      <c r="F1527" s="2"/>
      <c r="G1527" s="2"/>
      <c r="H1527" s="2"/>
      <c r="I1527" s="2"/>
    </row>
    <row r="1528">
      <c r="A1528" s="1" t="s">
        <v>856</v>
      </c>
      <c r="B1528" s="1" t="str">
        <f>IFERROR(__xludf.DUMMYFUNCTION("SPLIT(A1528,"";"")"),"LES INDEPENDANTS PLASTICIENS DE BORDEAUX")</f>
        <v>LES INDEPENDANTS PLASTICIENS DE BORDEAUX</v>
      </c>
      <c r="C1528" s="1">
        <f>IFERROR(__xludf.DUMMYFUNCTION("""COMPUTED_VALUE"""),966.0)</f>
        <v>966</v>
      </c>
      <c r="D1528" s="1">
        <v>0.0</v>
      </c>
      <c r="E1528" s="2"/>
      <c r="F1528" s="2"/>
      <c r="G1528" s="2"/>
      <c r="H1528" s="2"/>
      <c r="I1528" s="2"/>
    </row>
    <row r="1529">
      <c r="A1529" s="1" t="s">
        <v>857</v>
      </c>
      <c r="B1529" s="1" t="str">
        <f>IFERROR(__xludf.DUMMYFUNCTION("SPLIT(A1529,"";"")"),"LES INSTRUMENTS ANCIENS DE BORDEAUX")</f>
        <v>LES INSTRUMENTS ANCIENS DE BORDEAUX</v>
      </c>
      <c r="C1529" s="1">
        <f>IFERROR(__xludf.DUMMYFUNCTION("""COMPUTED_VALUE"""),24.0)</f>
        <v>24</v>
      </c>
      <c r="D1529" s="1">
        <v>0.0</v>
      </c>
      <c r="E1529" s="2"/>
      <c r="F1529" s="2"/>
      <c r="G1529" s="2"/>
      <c r="H1529" s="2"/>
      <c r="I1529" s="2"/>
    </row>
    <row r="1530">
      <c r="A1530" s="1" t="s">
        <v>858</v>
      </c>
      <c r="B1530" s="1" t="str">
        <f>IFERROR(__xludf.DUMMYFUNCTION("SPLIT(A1530,"";"")"),"LES JARDINS D'AUJOURD'HUI")</f>
        <v>LES JARDINS D'AUJOURD'HUI</v>
      </c>
      <c r="C1530" s="3">
        <f>IFERROR(__xludf.DUMMYFUNCTION("""COMPUTED_VALUE"""),115874.0)</f>
        <v>115874</v>
      </c>
      <c r="D1530" s="1">
        <v>68.0</v>
      </c>
      <c r="E1530" s="2"/>
      <c r="F1530" s="2"/>
      <c r="G1530" s="2"/>
      <c r="H1530" s="2"/>
      <c r="I1530" s="2"/>
    </row>
    <row r="1531">
      <c r="A1531" s="1" t="s">
        <v>859</v>
      </c>
      <c r="B1531" s="1" t="str">
        <f>IFERROR(__xludf.DUMMYFUNCTION("SPLIT(A1531,"";"")"),"LES JEUNES DE SAINT AUGUSTIN - JSA")</f>
        <v>LES JEUNES DE SAINT AUGUSTIN - JSA</v>
      </c>
      <c r="C1531" s="3">
        <f>IFERROR(__xludf.DUMMYFUNCTION("""COMPUTED_VALUE"""),388767.0)</f>
        <v>388767</v>
      </c>
      <c r="D1531" s="1">
        <v>81.0</v>
      </c>
      <c r="E1531" s="2"/>
      <c r="F1531" s="2"/>
      <c r="G1531" s="2"/>
      <c r="H1531" s="2"/>
      <c r="I1531" s="2"/>
    </row>
    <row r="1532">
      <c r="A1532" s="1" t="s">
        <v>860</v>
      </c>
      <c r="B1532" s="1" t="str">
        <f>IFERROR(__xludf.DUMMYFUNCTION("SPLIT(A1532,"";"")"),"LES JOIES HUMAINES")</f>
        <v>LES JOIES HUMAINES</v>
      </c>
      <c r="C1532" s="1">
        <f>IFERROR(__xludf.DUMMYFUNCTION("""COMPUTED_VALUE"""),191.0)</f>
        <v>191</v>
      </c>
      <c r="D1532" s="1">
        <v>0.0</v>
      </c>
      <c r="E1532" s="2"/>
      <c r="F1532" s="2"/>
      <c r="G1532" s="2"/>
      <c r="H1532" s="2"/>
      <c r="I1532" s="2"/>
    </row>
    <row r="1533">
      <c r="A1533" s="1" t="s">
        <v>861</v>
      </c>
      <c r="B1533" s="1" t="str">
        <f>IFERROR(__xludf.DUMMYFUNCTION("SPLIT(A1533,"";"")"),"LES LEOPARDS DE GUYENNE")</f>
        <v>LES LEOPARDS DE GUYENNE</v>
      </c>
      <c r="C1533" s="3">
        <f>IFERROR(__xludf.DUMMYFUNCTION("""COMPUTED_VALUE"""),9054.0)</f>
        <v>9054</v>
      </c>
      <c r="D1533" s="1">
        <v>0.0</v>
      </c>
      <c r="E1533" s="2"/>
      <c r="F1533" s="2"/>
      <c r="G1533" s="2"/>
      <c r="H1533" s="2"/>
      <c r="I1533" s="2"/>
    </row>
    <row r="1534">
      <c r="A1534" s="1" t="s">
        <v>862</v>
      </c>
      <c r="B1534" s="1" t="str">
        <f>IFERROR(__xludf.DUMMYFUNCTION("SPLIT(A1534,"";"")"),"LES MORPHOGENISTES")</f>
        <v>LES MORPHOGENISTES</v>
      </c>
      <c r="C1534" s="1">
        <f>IFERROR(__xludf.DUMMYFUNCTION("""COMPUTED_VALUE"""),300.0)</f>
        <v>300</v>
      </c>
      <c r="D1534" s="1">
        <v>0.0</v>
      </c>
      <c r="E1534" s="2"/>
      <c r="F1534" s="2"/>
      <c r="G1534" s="2"/>
      <c r="H1534" s="2"/>
      <c r="I1534" s="2"/>
    </row>
    <row r="1535">
      <c r="A1535" s="1" t="s">
        <v>863</v>
      </c>
      <c r="B1535" s="1" t="str">
        <f>IFERROR(__xludf.DUMMYFUNCTION("SPLIT(A1535,"";"")"),"LES MUSCLES BORDELAIS")</f>
        <v>LES MUSCLES BORDELAIS</v>
      </c>
      <c r="C1535" s="1">
        <f>IFERROR(__xludf.DUMMYFUNCTION("""COMPUTED_VALUE"""),98.0)</f>
        <v>98</v>
      </c>
      <c r="D1535" s="1">
        <v>0.0</v>
      </c>
      <c r="E1535" s="2"/>
      <c r="F1535" s="2"/>
      <c r="G1535" s="2"/>
      <c r="H1535" s="2"/>
      <c r="I1535" s="2"/>
    </row>
    <row r="1536">
      <c r="A1536" s="1" t="s">
        <v>864</v>
      </c>
      <c r="B1536" s="1" t="str">
        <f>IFERROR(__xludf.DUMMYFUNCTION("SPLIT(A1536,"";"")"),"LES PETITS DEBROUILLARDS AQUITAINE")</f>
        <v>LES PETITS DEBROUILLARDS AQUITAINE</v>
      </c>
      <c r="C1536" s="3">
        <f>IFERROR(__xludf.DUMMYFUNCTION("""COMPUTED_VALUE"""),2687.0)</f>
        <v>2687</v>
      </c>
      <c r="D1536" s="1">
        <v>24.0</v>
      </c>
      <c r="E1536" s="2"/>
      <c r="F1536" s="2"/>
      <c r="G1536" s="2"/>
      <c r="H1536" s="2"/>
      <c r="I1536" s="2"/>
    </row>
    <row r="1537">
      <c r="A1537" s="1" t="s">
        <v>865</v>
      </c>
      <c r="B1537" s="1" t="str">
        <f>IFERROR(__xludf.DUMMYFUNCTION("SPLIT(A1537,"";"")"),"LES PETITS FRERES DES PAUVRES DE BORDEAUX")</f>
        <v>LES PETITS FRERES DES PAUVRES DE BORDEAUX</v>
      </c>
      <c r="C1537" s="1">
        <f>IFERROR(__xludf.DUMMYFUNCTION("""COMPUTED_VALUE"""),126.0)</f>
        <v>126</v>
      </c>
      <c r="D1537" s="1">
        <v>0.0</v>
      </c>
      <c r="E1537" s="2"/>
      <c r="F1537" s="2"/>
      <c r="G1537" s="2"/>
      <c r="H1537" s="2"/>
      <c r="I1537" s="2"/>
    </row>
    <row r="1538">
      <c r="A1538" s="1" t="s">
        <v>866</v>
      </c>
      <c r="B1538" s="1" t="str">
        <f>IFERROR(__xludf.DUMMYFUNCTION("SPLIT(A1538,"";"")"),"LES PETITS TRETEAUX")</f>
        <v>LES PETITS TRETEAUX</v>
      </c>
      <c r="C1538" s="1">
        <f>IFERROR(__xludf.DUMMYFUNCTION("""COMPUTED_VALUE"""),160.0)</f>
        <v>160</v>
      </c>
      <c r="D1538" s="1">
        <v>0.0</v>
      </c>
      <c r="E1538" s="2"/>
      <c r="F1538" s="2"/>
      <c r="G1538" s="2"/>
      <c r="H1538" s="2"/>
      <c r="I1538" s="2"/>
    </row>
    <row r="1539">
      <c r="A1539" s="1" t="s">
        <v>867</v>
      </c>
      <c r="B1539" s="1" t="str">
        <f>IFERROR(__xludf.DUMMYFUNCTION("SPLIT(A1539,"";"")"),"LES PINSONS")</f>
        <v>LES PINSONS</v>
      </c>
      <c r="C1539" s="1">
        <f>IFERROR(__xludf.DUMMYFUNCTION("""COMPUTED_VALUE"""),366.0)</f>
        <v>366</v>
      </c>
      <c r="D1539" s="1">
        <v>0.0</v>
      </c>
      <c r="E1539" s="2"/>
      <c r="F1539" s="2"/>
      <c r="G1539" s="2"/>
      <c r="H1539" s="2"/>
      <c r="I1539" s="2"/>
    </row>
    <row r="1540">
      <c r="A1540" s="1" t="s">
        <v>868</v>
      </c>
      <c r="B1540" s="1" t="str">
        <f>IFERROR(__xludf.DUMMYFUNCTION("SPLIT(A1540,"";"")"),"LES PRODUCTIONS DE L'ANGE")</f>
        <v>LES PRODUCTIONS DE L'ANGE</v>
      </c>
      <c r="C1540" s="1">
        <f>IFERROR(__xludf.DUMMYFUNCTION("""COMPUTED_VALUE"""),487.0)</f>
        <v>487</v>
      </c>
      <c r="D1540" s="1">
        <v>0.0</v>
      </c>
      <c r="E1540" s="2"/>
      <c r="F1540" s="2"/>
      <c r="G1540" s="2"/>
      <c r="H1540" s="2"/>
      <c r="I1540" s="2"/>
    </row>
    <row r="1541">
      <c r="A1541" s="1" t="s">
        <v>869</v>
      </c>
      <c r="B1541" s="1" t="str">
        <f>IFERROR(__xludf.DUMMYFUNCTION("SPLIT(A1541,"";"")"),"LES P'TITS GRATTEURS")</f>
        <v>LES P'TITS GRATTEURS</v>
      </c>
      <c r="C1541" s="3">
        <f>IFERROR(__xludf.DUMMYFUNCTION("""COMPUTED_VALUE"""),9174.0)</f>
        <v>9174</v>
      </c>
      <c r="D1541" s="1">
        <v>70.0</v>
      </c>
      <c r="E1541" s="2"/>
      <c r="F1541" s="2"/>
      <c r="G1541" s="2"/>
      <c r="H1541" s="2"/>
      <c r="I1541" s="2"/>
    </row>
    <row r="1542">
      <c r="A1542" s="1" t="s">
        <v>870</v>
      </c>
      <c r="B1542" s="1" t="str">
        <f>IFERROR(__xludf.DUMMYFUNCTION("SPLIT(A1542,"";"")"),"LES RIVERAINS DU STADE PROMIS")</f>
        <v>LES RIVERAINS DU STADE PROMIS</v>
      </c>
      <c r="C1542" s="1">
        <f>IFERROR(__xludf.DUMMYFUNCTION("""COMPUTED_VALUE"""),68.0)</f>
        <v>68</v>
      </c>
      <c r="D1542" s="1">
        <v>0.0</v>
      </c>
      <c r="E1542" s="2"/>
      <c r="F1542" s="2"/>
      <c r="G1542" s="2"/>
      <c r="H1542" s="2"/>
      <c r="I1542" s="2"/>
    </row>
    <row r="1543">
      <c r="A1543" s="1" t="s">
        <v>871</v>
      </c>
      <c r="B1543" s="1" t="str">
        <f>IFERROR(__xludf.DUMMYFUNCTION("SPLIT(A1543,"";"")"),"LES ROSES DE DAMAS")</f>
        <v>LES ROSES DE DAMAS</v>
      </c>
      <c r="C1543" s="3">
        <f>IFERROR(__xludf.DUMMYFUNCTION("""COMPUTED_VALUE"""),1268.0)</f>
        <v>1268</v>
      </c>
      <c r="D1543" s="1">
        <v>0.0</v>
      </c>
      <c r="E1543" s="2"/>
      <c r="F1543" s="2"/>
      <c r="G1543" s="2"/>
      <c r="H1543" s="2"/>
      <c r="I1543" s="2"/>
    </row>
    <row r="1544">
      <c r="A1544" s="1" t="s">
        <v>872</v>
      </c>
      <c r="B1544" s="1" t="str">
        <f>IFERROR(__xludf.DUMMYFUNCTION("SPLIT(A1544,"";"")"),"LES SURPRISES")</f>
        <v>LES SURPRISES</v>
      </c>
      <c r="C1544" s="1">
        <f>IFERROR(__xludf.DUMMYFUNCTION("""COMPUTED_VALUE"""),640.0)</f>
        <v>640</v>
      </c>
      <c r="D1544" s="1">
        <v>0.0</v>
      </c>
      <c r="E1544" s="2"/>
      <c r="F1544" s="2"/>
      <c r="G1544" s="2"/>
      <c r="H1544" s="2"/>
      <c r="I1544" s="2"/>
    </row>
    <row r="1545">
      <c r="A1545" s="1" t="s">
        <v>873</v>
      </c>
      <c r="B1545" s="1" t="str">
        <f>IFERROR(__xludf.DUMMYFUNCTION("SPLIT(A1545,"";"")"),"LES VAILLANTS DE SAINT SEURIN")</f>
        <v>LES VAILLANTS DE SAINT SEURIN</v>
      </c>
      <c r="C1545" s="1">
        <f>IFERROR(__xludf.DUMMYFUNCTION("""COMPUTED_VALUE"""),182.0)</f>
        <v>182</v>
      </c>
      <c r="D1545" s="1">
        <v>33.0</v>
      </c>
      <c r="E1545" s="2"/>
      <c r="F1545" s="2"/>
      <c r="G1545" s="2"/>
      <c r="H1545" s="2"/>
      <c r="I1545" s="2"/>
    </row>
    <row r="1546">
      <c r="A1546" s="1" t="s">
        <v>874</v>
      </c>
      <c r="B1546" s="1" t="str">
        <f>IFERROR(__xludf.DUMMYFUNCTION("SPLIT(A1546,"";"")"),"LES VIVRES DE L'ART")</f>
        <v>LES VIVRES DE L'ART</v>
      </c>
      <c r="C1546" s="3">
        <f>IFERROR(__xludf.DUMMYFUNCTION("""COMPUTED_VALUE"""),12445.0)</f>
        <v>12445</v>
      </c>
      <c r="D1546" s="1">
        <v>26.0</v>
      </c>
      <c r="E1546" s="2"/>
      <c r="F1546" s="2"/>
      <c r="G1546" s="2"/>
      <c r="H1546" s="2"/>
      <c r="I1546" s="2"/>
    </row>
    <row r="1547">
      <c r="A1547" s="1" t="s">
        <v>875</v>
      </c>
      <c r="B1547" s="1" t="str">
        <f>IFERROR(__xludf.DUMMYFUNCTION("SPLIT(A1547,"";"")"),"LES Z'ARPETES")</f>
        <v>LES Z'ARPETES</v>
      </c>
      <c r="C1547" s="1">
        <f>IFERROR(__xludf.DUMMYFUNCTION("""COMPUTED_VALUE"""),366.0)</f>
        <v>366</v>
      </c>
      <c r="D1547" s="1">
        <v>35.0</v>
      </c>
      <c r="E1547" s="2"/>
      <c r="F1547" s="2"/>
      <c r="G1547" s="2"/>
      <c r="H1547" s="2"/>
      <c r="I1547" s="2"/>
    </row>
    <row r="1548">
      <c r="A1548" s="1" t="s">
        <v>876</v>
      </c>
      <c r="B1548" s="1" t="str">
        <f>IFERROR(__xludf.DUMMYFUNCTION("SPLIT(A1548,"";"")"),"LESBIAN &amp; GAY PRIDE BORDEAUX DITE AUSSI LGP BORDEAUX")</f>
        <v>LESBIAN &amp; GAY PRIDE BORDEAUX DITE AUSSI LGP BORDEAUX</v>
      </c>
      <c r="C1548" s="3">
        <f>IFERROR(__xludf.DUMMYFUNCTION("""COMPUTED_VALUE"""),1818.0)</f>
        <v>1818</v>
      </c>
      <c r="D1548" s="1">
        <v>86.0</v>
      </c>
      <c r="E1548" s="2"/>
      <c r="F1548" s="2"/>
      <c r="G1548" s="2"/>
      <c r="H1548" s="2"/>
      <c r="I1548" s="2"/>
    </row>
    <row r="1549">
      <c r="A1549" s="1" t="s">
        <v>877</v>
      </c>
      <c r="B1549" s="1" t="str">
        <f>IFERROR(__xludf.DUMMYFUNCTION("SPLIT(A1549,"";"")"),"L'ESPRIT DU PIANO")</f>
        <v>L'ESPRIT DU PIANO</v>
      </c>
      <c r="C1549" s="3">
        <f>IFERROR(__xludf.DUMMYFUNCTION("""COMPUTED_VALUE"""),4825.0)</f>
        <v>4825</v>
      </c>
      <c r="D1549" s="1">
        <v>0.0</v>
      </c>
      <c r="E1549" s="2"/>
      <c r="F1549" s="2"/>
      <c r="G1549" s="2"/>
      <c r="H1549" s="2"/>
      <c r="I1549" s="2"/>
    </row>
    <row r="1550">
      <c r="A1550" s="1" t="s">
        <v>878</v>
      </c>
      <c r="B1550" s="1" t="str">
        <f>IFERROR(__xludf.DUMMYFUNCTION("SPLIT(A1550,"";"")"),"L'ESTEY")</f>
        <v>L'ESTEY</v>
      </c>
      <c r="C1550" s="1">
        <f>IFERROR(__xludf.DUMMYFUNCTION("""COMPUTED_VALUE"""),783.0)</f>
        <v>783</v>
      </c>
      <c r="D1550" s="1">
        <v>0.0</v>
      </c>
      <c r="E1550" s="2"/>
      <c r="F1550" s="2"/>
      <c r="G1550" s="2"/>
      <c r="H1550" s="2"/>
      <c r="I1550" s="2"/>
    </row>
    <row r="1551">
      <c r="A1551" s="1" t="s">
        <v>879</v>
      </c>
      <c r="B1551" s="1" t="str">
        <f>IFERROR(__xludf.DUMMYFUNCTION("SPLIT(A1551,"";"")"),"LETTRES DU MONDE")</f>
        <v>LETTRES DU MONDE</v>
      </c>
      <c r="C1551" s="3">
        <f>IFERROR(__xludf.DUMMYFUNCTION("""COMPUTED_VALUE"""),23407.0)</f>
        <v>23407</v>
      </c>
      <c r="D1551" s="1">
        <v>0.0</v>
      </c>
      <c r="E1551" s="2"/>
      <c r="F1551" s="2"/>
      <c r="G1551" s="2"/>
      <c r="H1551" s="2"/>
      <c r="I1551" s="2"/>
    </row>
    <row r="1552">
      <c r="A1552" s="1" t="s">
        <v>880</v>
      </c>
      <c r="B1552" s="1" t="str">
        <f>IFERROR(__xludf.DUMMYFUNCTION("SPLIT(A1552,"";"")"),"LIBRE PENSEE")</f>
        <v>LIBRE PENSEE</v>
      </c>
      <c r="C1552" s="1">
        <f>IFERROR(__xludf.DUMMYFUNCTION("""COMPUTED_VALUE"""),68.0)</f>
        <v>68</v>
      </c>
      <c r="D1552" s="1">
        <v>0.0</v>
      </c>
      <c r="E1552" s="2"/>
      <c r="F1552" s="2"/>
      <c r="G1552" s="2"/>
      <c r="H1552" s="2"/>
      <c r="I1552" s="2"/>
    </row>
    <row r="1553">
      <c r="A1553" s="1" t="s">
        <v>881</v>
      </c>
      <c r="B1553" s="1" t="str">
        <f>IFERROR(__xludf.DUMMYFUNCTION("SPLIT(A1553,"";"")"),"LICHORE")</f>
        <v>LICHORE</v>
      </c>
      <c r="C1553" s="1">
        <f>IFERROR(__xludf.DUMMYFUNCTION("""COMPUTED_VALUE"""),46.0)</f>
        <v>46</v>
      </c>
      <c r="D1553" s="1">
        <v>0.0</v>
      </c>
      <c r="E1553" s="2"/>
      <c r="F1553" s="2"/>
      <c r="G1553" s="2"/>
      <c r="H1553" s="2"/>
      <c r="I1553" s="2"/>
    </row>
    <row r="1554">
      <c r="A1554" s="1" t="s">
        <v>882</v>
      </c>
      <c r="B1554" s="1" t="str">
        <f>IFERROR(__xludf.DUMMYFUNCTION("SPLIT(A1554,"";"")"),"LIGUE CONTRE LE CANCER")</f>
        <v>LIGUE CONTRE LE CANCER</v>
      </c>
      <c r="C1554" s="3">
        <f>IFERROR(__xludf.DUMMYFUNCTION("""COMPUTED_VALUE"""),2389.0)</f>
        <v>2389</v>
      </c>
      <c r="D1554" s="1">
        <v>63.0</v>
      </c>
      <c r="E1554" s="2"/>
      <c r="F1554" s="2"/>
      <c r="G1554" s="2"/>
      <c r="H1554" s="2"/>
      <c r="I1554" s="2"/>
    </row>
    <row r="1555">
      <c r="A1555" s="1" t="s">
        <v>883</v>
      </c>
      <c r="B1555" s="1" t="str">
        <f>IFERROR(__xludf.DUMMYFUNCTION("SPLIT(A1555,"";"")"),"LIGUE D'AQUITAINE DE HANDBALL")</f>
        <v>LIGUE D'AQUITAINE DE HANDBALL</v>
      </c>
      <c r="C1555" s="3">
        <f>IFERROR(__xludf.DUMMYFUNCTION("""COMPUTED_VALUE"""),2342.0)</f>
        <v>2342</v>
      </c>
      <c r="D1555" s="1">
        <v>59.0</v>
      </c>
      <c r="E1555" s="2"/>
      <c r="F1555" s="2"/>
      <c r="G1555" s="2"/>
      <c r="H1555" s="2"/>
      <c r="I1555" s="2"/>
    </row>
    <row r="1556">
      <c r="A1556" s="1" t="s">
        <v>884</v>
      </c>
      <c r="B1556" s="1" t="str">
        <f>IFERROR(__xludf.DUMMYFUNCTION("SPLIT(A1556,"";"")"),"LIGUE D'AQUITAINE DE VOLLEY BALL")</f>
        <v>LIGUE D'AQUITAINE DE VOLLEY BALL</v>
      </c>
      <c r="C1556" s="3">
        <f>IFERROR(__xludf.DUMMYFUNCTION("""COMPUTED_VALUE"""),1522.0)</f>
        <v>1522</v>
      </c>
      <c r="D1556" s="1">
        <v>20.0</v>
      </c>
      <c r="E1556" s="2"/>
      <c r="F1556" s="2"/>
      <c r="G1556" s="2"/>
      <c r="H1556" s="2"/>
      <c r="I1556" s="2"/>
    </row>
    <row r="1557">
      <c r="A1557" s="1" t="s">
        <v>885</v>
      </c>
      <c r="B1557" s="1" t="str">
        <f>IFERROR(__xludf.DUMMYFUNCTION("SPLIT(A1557,"";"")"),"LIGUE DE L'ENSEIGNEMENT")</f>
        <v>LIGUE DE L'ENSEIGNEMENT</v>
      </c>
      <c r="C1557" s="3">
        <f>IFERROR(__xludf.DUMMYFUNCTION("""COMPUTED_VALUE"""),2355.0)</f>
        <v>2355</v>
      </c>
      <c r="D1557" s="1">
        <v>32.0</v>
      </c>
      <c r="E1557" s="2"/>
      <c r="F1557" s="2"/>
      <c r="G1557" s="2"/>
      <c r="H1557" s="2"/>
      <c r="I1557" s="2"/>
    </row>
    <row r="1558">
      <c r="A1558" s="1" t="s">
        <v>886</v>
      </c>
      <c r="B1558" s="1" t="str">
        <f>IFERROR(__xludf.DUMMYFUNCTION("SPLIT(A1558,"";"")"),"LIGUE FRANÇAISE POUR LA DEFENSE DES DROITS DE L'HOMME ET DU CITOYEN (LDH) ET LIGUE DES DROITS DE L'HOMME")</f>
        <v>LIGUE FRANÇAISE POUR LA DEFENSE DES DROITS DE L'HOMME ET DU CITOYEN (LDH) ET LIGUE DES DROITS DE L'HOMME</v>
      </c>
      <c r="C1558" s="3">
        <f>IFERROR(__xludf.DUMMYFUNCTION("""COMPUTED_VALUE"""),1915.0)</f>
        <v>1915</v>
      </c>
      <c r="D1558" s="1">
        <v>0.0</v>
      </c>
      <c r="E1558" s="2"/>
      <c r="F1558" s="2"/>
      <c r="G1558" s="2"/>
      <c r="H1558" s="2"/>
      <c r="I1558" s="2"/>
    </row>
    <row r="1559">
      <c r="A1559" s="1" t="s">
        <v>887</v>
      </c>
      <c r="B1559" s="1" t="str">
        <f>IFERROR(__xludf.DUMMYFUNCTION("SPLIT(A1559,"";"")"),"LIGUE INTERNATIONALE CONTRE LE RACISME ET L'ANTISEMITISME - SECTION BORDEAUX &amp; GIRONDE - LICRA")</f>
        <v>LIGUE INTERNATIONALE CONTRE LE RACISME ET L'ANTISEMITISME - SECTION BORDEAUX &amp; GIRONDE - LICRA</v>
      </c>
      <c r="C1559" s="1">
        <f>IFERROR(__xludf.DUMMYFUNCTION("""COMPUTED_VALUE"""),730.0)</f>
        <v>730</v>
      </c>
      <c r="D1559" s="1">
        <v>39.0</v>
      </c>
      <c r="E1559" s="2"/>
      <c r="F1559" s="2"/>
      <c r="G1559" s="2"/>
      <c r="H1559" s="2"/>
      <c r="I1559" s="2"/>
    </row>
    <row r="1560">
      <c r="A1560" s="1" t="s">
        <v>888</v>
      </c>
      <c r="B1560" s="1" t="str">
        <f>IFERROR(__xludf.DUMMYFUNCTION("SPLIT(A1560,"";"")"),"LIGUE NATIONAL DE RUGBY")</f>
        <v>LIGUE NATIONAL DE RUGBY</v>
      </c>
      <c r="C1560" s="1">
        <f>IFERROR(__xludf.DUMMYFUNCTION("""COMPUTED_VALUE"""),40.0)</f>
        <v>40</v>
      </c>
      <c r="D1560" s="1">
        <v>50.0</v>
      </c>
      <c r="E1560" s="2"/>
      <c r="F1560" s="2"/>
      <c r="G1560" s="2"/>
      <c r="H1560" s="2"/>
      <c r="I1560" s="2"/>
    </row>
    <row r="1561">
      <c r="A1561" s="1" t="s">
        <v>889</v>
      </c>
      <c r="B1561" s="1" t="str">
        <f>IFERROR(__xludf.DUMMYFUNCTION("SPLIT(A1561,"";"")"),"L'INSTITUT BORDELAIS DE STYLISME MODELISME")</f>
        <v>L'INSTITUT BORDELAIS DE STYLISME MODELISME</v>
      </c>
      <c r="C1561" s="1">
        <f>IFERROR(__xludf.DUMMYFUNCTION("""COMPUTED_VALUE"""),331.0)</f>
        <v>331</v>
      </c>
      <c r="D1561" s="1">
        <v>80.0</v>
      </c>
      <c r="E1561" s="2"/>
      <c r="F1561" s="2"/>
      <c r="G1561" s="2"/>
      <c r="H1561" s="2"/>
      <c r="I1561" s="2"/>
    </row>
    <row r="1562">
      <c r="A1562" s="1" t="s">
        <v>890</v>
      </c>
      <c r="B1562" s="1" t="str">
        <f>IFERROR(__xludf.DUMMYFUNCTION("SPLIT(A1562,"";"")"),"LIONS BORDEAUX SAINT AUGUSTIN")</f>
        <v>LIONS BORDEAUX SAINT AUGUSTIN</v>
      </c>
      <c r="C1562" s="3">
        <f>IFERROR(__xludf.DUMMYFUNCTION("""COMPUTED_VALUE"""),7606.0)</f>
        <v>7606</v>
      </c>
      <c r="D1562" s="1">
        <v>81.0</v>
      </c>
      <c r="E1562" s="2"/>
      <c r="F1562" s="2"/>
      <c r="G1562" s="2"/>
      <c r="H1562" s="2"/>
      <c r="I1562" s="2"/>
    </row>
    <row r="1563">
      <c r="A1563" s="1" t="s">
        <v>891</v>
      </c>
      <c r="B1563" s="1" t="str">
        <f>IFERROR(__xludf.DUMMYFUNCTION("SPLIT(A1563,"";"")"),"LIONS CLUB BORDEAUX - EUROPE - DISTRICT 103 SUD-OUEST")</f>
        <v>LIONS CLUB BORDEAUX - EUROPE - DISTRICT 103 SUD-OUEST</v>
      </c>
      <c r="C1563" s="3">
        <f>IFERROR(__xludf.DUMMYFUNCTION("""COMPUTED_VALUE"""),1089.0)</f>
        <v>1089</v>
      </c>
      <c r="D1563" s="1">
        <v>14.0</v>
      </c>
      <c r="E1563" s="2"/>
      <c r="F1563" s="2"/>
      <c r="G1563" s="2"/>
      <c r="H1563" s="2"/>
      <c r="I1563" s="2"/>
    </row>
    <row r="1564">
      <c r="A1564" s="1" t="s">
        <v>892</v>
      </c>
      <c r="B1564" s="1" t="str">
        <f>IFERROR(__xludf.DUMMYFUNCTION("SPLIT(A1564,"";"")"),"LIONS CLUB BORDEAUX LE BOUSCAT")</f>
        <v>LIONS CLUB BORDEAUX LE BOUSCAT</v>
      </c>
      <c r="C1564" s="1">
        <f>IFERROR(__xludf.DUMMYFUNCTION("""COMPUTED_VALUE"""),265.0)</f>
        <v>265</v>
      </c>
      <c r="D1564" s="1">
        <v>0.0</v>
      </c>
      <c r="E1564" s="2"/>
      <c r="F1564" s="2"/>
      <c r="G1564" s="2"/>
      <c r="H1564" s="2"/>
      <c r="I1564" s="2"/>
    </row>
    <row r="1565">
      <c r="A1565" s="1" t="s">
        <v>893</v>
      </c>
      <c r="B1565" s="1" t="str">
        <f>IFERROR(__xludf.DUMMYFUNCTION("SPLIT(A1565,"";"")"),"LIONS CLUB BORDEAUX RIVE-GAUCHE")</f>
        <v>LIONS CLUB BORDEAUX RIVE-GAUCHE</v>
      </c>
      <c r="C1565" s="1">
        <f>IFERROR(__xludf.DUMMYFUNCTION("""COMPUTED_VALUE"""),317.0)</f>
        <v>317</v>
      </c>
      <c r="D1565" s="1">
        <v>36.0</v>
      </c>
      <c r="E1565" s="2"/>
      <c r="F1565" s="2"/>
      <c r="G1565" s="2"/>
      <c r="H1565" s="2"/>
      <c r="I1565" s="2"/>
    </row>
    <row r="1566">
      <c r="A1566" s="1" t="s">
        <v>894</v>
      </c>
      <c r="B1566" s="1" t="str">
        <f>IFERROR(__xludf.DUMMYFUNCTION("SPLIT(A1566,"";"")"),"LIONS CLUB BORDEAUX TOURNY")</f>
        <v>LIONS CLUB BORDEAUX TOURNY</v>
      </c>
      <c r="C1566" s="1">
        <f>IFERROR(__xludf.DUMMYFUNCTION("""COMPUTED_VALUE"""),802.0)</f>
        <v>802</v>
      </c>
      <c r="D1566" s="1">
        <v>6.0</v>
      </c>
      <c r="E1566" s="2"/>
      <c r="F1566" s="2"/>
      <c r="G1566" s="2"/>
      <c r="H1566" s="2"/>
      <c r="I1566" s="2"/>
    </row>
    <row r="1567">
      <c r="A1567" s="1" t="s">
        <v>895</v>
      </c>
      <c r="B1567" s="1" t="str">
        <f>IFERROR(__xludf.DUMMYFUNCTION("SPLIT(A1567,"";"")"),"LIONS CLUB DE BORDEAUX LA FAYETTE")</f>
        <v>LIONS CLUB DE BORDEAUX LA FAYETTE</v>
      </c>
      <c r="C1567" s="1">
        <f>IFERROR(__xludf.DUMMYFUNCTION("""COMPUTED_VALUE"""),912.0)</f>
        <v>912</v>
      </c>
      <c r="D1567" s="1">
        <v>1.0</v>
      </c>
      <c r="E1567" s="2"/>
      <c r="F1567" s="2"/>
      <c r="G1567" s="2"/>
      <c r="H1567" s="2"/>
      <c r="I1567" s="2"/>
    </row>
    <row r="1568">
      <c r="A1568" s="1" t="s">
        <v>896</v>
      </c>
      <c r="B1568" s="1" t="str">
        <f>IFERROR(__xludf.DUMMYFUNCTION("SPLIT(A1568,"";"")"),"LIONS-CLUB DE BORDEAUX CAUDERAN")</f>
        <v>LIONS-CLUB DE BORDEAUX CAUDERAN</v>
      </c>
      <c r="C1568" s="1">
        <f>IFERROR(__xludf.DUMMYFUNCTION("""COMPUTED_VALUE"""),488.0)</f>
        <v>488</v>
      </c>
      <c r="D1568" s="1">
        <v>36.0</v>
      </c>
      <c r="E1568" s="2"/>
      <c r="F1568" s="2"/>
      <c r="G1568" s="2"/>
      <c r="H1568" s="2"/>
      <c r="I1568" s="2"/>
    </row>
    <row r="1569">
      <c r="A1569" s="1" t="s">
        <v>897</v>
      </c>
      <c r="B1569" s="1" t="str">
        <f>IFERROR(__xludf.DUMMYFUNCTION("SPLIT(A1569,"";"")"),"L'OLYMPIQUE-CLUB BORDELAIS - OCB")</f>
        <v>L'OLYMPIQUE-CLUB BORDELAIS - OCB</v>
      </c>
      <c r="C1569" s="1">
        <f>IFERROR(__xludf.DUMMYFUNCTION("""COMPUTED_VALUE"""),288.0)</f>
        <v>288</v>
      </c>
      <c r="D1569" s="1">
        <v>0.0</v>
      </c>
      <c r="E1569" s="2"/>
      <c r="F1569" s="2"/>
      <c r="G1569" s="2"/>
      <c r="H1569" s="2"/>
      <c r="I1569" s="2"/>
    </row>
    <row r="1570">
      <c r="A1570" s="1" t="s">
        <v>898</v>
      </c>
      <c r="B1570" s="1" t="str">
        <f>IFERROR(__xludf.DUMMYFUNCTION("SPLIT(A1570,"";"")"),"L'ORANGEADE")</f>
        <v>L'ORANGEADE</v>
      </c>
      <c r="C1570" s="1">
        <f>IFERROR(__xludf.DUMMYFUNCTION("""COMPUTED_VALUE"""),166.0)</f>
        <v>166</v>
      </c>
      <c r="D1570" s="1">
        <v>86.0</v>
      </c>
      <c r="E1570" s="2"/>
      <c r="F1570" s="2"/>
      <c r="G1570" s="2"/>
      <c r="H1570" s="2"/>
      <c r="I1570" s="2"/>
    </row>
    <row r="1571">
      <c r="A1571" s="1" t="s">
        <v>899</v>
      </c>
      <c r="B1571" s="1" t="str">
        <f>IFERROR(__xludf.DUMMYFUNCTION("SPLIT(A1571,"";"")"),"LOS TREINTA Y TRES")</f>
        <v>LOS TREINTA Y TRES</v>
      </c>
      <c r="C1571" s="1">
        <f>IFERROR(__xludf.DUMMYFUNCTION("""COMPUTED_VALUE"""),485.0)</f>
        <v>485</v>
      </c>
      <c r="D1571" s="1">
        <v>38.0</v>
      </c>
      <c r="E1571" s="2"/>
      <c r="F1571" s="2"/>
      <c r="G1571" s="2"/>
      <c r="H1571" s="2"/>
      <c r="I1571" s="2"/>
    </row>
    <row r="1572">
      <c r="A1572" s="1" t="s">
        <v>900</v>
      </c>
      <c r="B1572" s="1" t="str">
        <f>IFERROR(__xludf.DUMMYFUNCTION("SPLIT(A1572,"";"")"),"L'OSTAU OCCITAN")</f>
        <v>L'OSTAU OCCITAN</v>
      </c>
      <c r="C1572" s="3">
        <f>IFERROR(__xludf.DUMMYFUNCTION("""COMPUTED_VALUE"""),1329.0)</f>
        <v>1329</v>
      </c>
      <c r="D1572" s="1">
        <v>79.0</v>
      </c>
      <c r="E1572" s="2"/>
      <c r="F1572" s="2"/>
      <c r="G1572" s="2"/>
      <c r="H1572" s="2"/>
      <c r="I1572" s="2"/>
    </row>
    <row r="1573">
      <c r="A1573" s="1" t="s">
        <v>901</v>
      </c>
      <c r="B1573" s="1" t="str">
        <f>IFERROR(__xludf.DUMMYFUNCTION("SPLIT(A1573,"";"")"),"L'OUMIGMAG")</f>
        <v>L'OUMIGMAG</v>
      </c>
      <c r="C1573" s="3">
        <f>IFERROR(__xludf.DUMMYFUNCTION("""COMPUTED_VALUE"""),1272.0)</f>
        <v>1272</v>
      </c>
      <c r="D1573" s="1">
        <v>0.0</v>
      </c>
      <c r="E1573" s="2"/>
      <c r="F1573" s="2"/>
      <c r="G1573" s="2"/>
      <c r="H1573" s="2"/>
      <c r="I1573" s="2"/>
    </row>
    <row r="1574">
      <c r="A1574" s="1" t="s">
        <v>902</v>
      </c>
      <c r="B1574" s="1" t="str">
        <f>IFERROR(__xludf.DUMMYFUNCTION("SPLIT(A1574,"";"")"),"LOUONS L'ETERNEL")</f>
        <v>LOUONS L'ETERNEL</v>
      </c>
      <c r="C1574" s="3">
        <f>IFERROR(__xludf.DUMMYFUNCTION("""COMPUTED_VALUE"""),2877.0)</f>
        <v>2877</v>
      </c>
      <c r="D1574" s="1">
        <v>0.0</v>
      </c>
      <c r="E1574" s="2"/>
      <c r="F1574" s="2"/>
      <c r="G1574" s="2"/>
      <c r="H1574" s="2"/>
      <c r="I1574" s="2"/>
    </row>
    <row r="1575">
      <c r="A1575" s="1" t="s">
        <v>903</v>
      </c>
      <c r="B1575" s="1" t="str">
        <f>IFERROR(__xludf.DUMMYFUNCTION("SPLIT(A1575,"";"")"),"LUDOLUDIK")</f>
        <v>LUDOLUDIK</v>
      </c>
      <c r="C1575" s="3">
        <f>IFERROR(__xludf.DUMMYFUNCTION("""COMPUTED_VALUE"""),3006.0)</f>
        <v>3006</v>
      </c>
      <c r="D1575" s="1">
        <v>22.0</v>
      </c>
      <c r="E1575" s="2"/>
      <c r="F1575" s="2"/>
      <c r="G1575" s="2"/>
      <c r="H1575" s="2"/>
      <c r="I1575" s="2"/>
    </row>
    <row r="1576">
      <c r="A1576" s="1" t="s">
        <v>904</v>
      </c>
      <c r="B1576" s="1" t="str">
        <f>IFERROR(__xludf.DUMMYFUNCTION("SPLIT(A1576,"";"")"),"LUNA D'AIGA")</f>
        <v>LUNA D'AIGA</v>
      </c>
      <c r="C1576" s="3">
        <f>IFERROR(__xludf.DUMMYFUNCTION("""COMPUTED_VALUE"""),3382.0)</f>
        <v>3382</v>
      </c>
      <c r="D1576" s="1">
        <v>0.0</v>
      </c>
      <c r="E1576" s="2"/>
      <c r="F1576" s="2"/>
      <c r="G1576" s="2"/>
      <c r="H1576" s="2"/>
      <c r="I1576" s="2"/>
    </row>
    <row r="1577">
      <c r="A1577" s="1" t="s">
        <v>905</v>
      </c>
      <c r="B1577" s="1" t="str">
        <f>IFERROR(__xludf.DUMMYFUNCTION("SPLIT(A1577,"";"")"),"LUPUS DE FRANCE")</f>
        <v>LUPUS DE FRANCE</v>
      </c>
      <c r="C1577" s="1">
        <f>IFERROR(__xludf.DUMMYFUNCTION("""COMPUTED_VALUE"""),265.0)</f>
        <v>265</v>
      </c>
      <c r="D1577" s="1">
        <v>0.0</v>
      </c>
      <c r="E1577" s="2"/>
      <c r="F1577" s="2"/>
      <c r="G1577" s="2"/>
      <c r="H1577" s="2"/>
      <c r="I1577" s="2"/>
    </row>
    <row r="1578">
      <c r="A1578" s="1" t="s">
        <v>906</v>
      </c>
      <c r="B1578" s="1" t="str">
        <f>IFERROR(__xludf.DUMMYFUNCTION("SPLIT(A1578,"";"")"),"MACCABI SPORTS DE BORDEAUX")</f>
        <v>MACCABI SPORTS DE BORDEAUX</v>
      </c>
      <c r="C1578" s="1">
        <f>IFERROR(__xludf.DUMMYFUNCTION("""COMPUTED_VALUE"""),892.0)</f>
        <v>892</v>
      </c>
      <c r="D1578" s="1">
        <v>72.0</v>
      </c>
      <c r="E1578" s="2"/>
      <c r="F1578" s="2"/>
      <c r="G1578" s="2"/>
      <c r="H1578" s="2"/>
      <c r="I1578" s="2"/>
    </row>
    <row r="1579">
      <c r="A1579" s="1" t="s">
        <v>907</v>
      </c>
      <c r="B1579" s="1" t="str">
        <f>IFERROR(__xludf.DUMMYFUNCTION("SPLIT(A1579,"";"")"),"MADE IN MOVEMENT")</f>
        <v>MADE IN MOVEMENT</v>
      </c>
      <c r="C1579" s="3">
        <f>IFERROR(__xludf.DUMMYFUNCTION("""COMPUTED_VALUE"""),9458.0)</f>
        <v>9458</v>
      </c>
      <c r="D1579" s="1">
        <v>0.0</v>
      </c>
      <c r="E1579" s="2"/>
      <c r="F1579" s="2"/>
      <c r="G1579" s="2"/>
      <c r="H1579" s="2"/>
      <c r="I1579" s="2"/>
    </row>
    <row r="1580">
      <c r="A1580" s="1" t="s">
        <v>908</v>
      </c>
      <c r="B1580" s="1" t="str">
        <f>IFERROR(__xludf.DUMMYFUNCTION("SPLIT(A1580,"";"")"),"MAGNETOGRAMMES ASSOCIATION")</f>
        <v>MAGNETOGRAMMES ASSOCIATION</v>
      </c>
      <c r="C1580" s="3">
        <f>IFERROR(__xludf.DUMMYFUNCTION("""COMPUTED_VALUE"""),7298.0)</f>
        <v>7298</v>
      </c>
      <c r="D1580" s="1">
        <v>0.0</v>
      </c>
      <c r="E1580" s="2"/>
      <c r="F1580" s="2"/>
      <c r="G1580" s="2"/>
      <c r="H1580" s="2"/>
      <c r="I1580" s="2"/>
    </row>
    <row r="1581">
      <c r="A1581" s="1" t="s">
        <v>909</v>
      </c>
      <c r="B1581" s="1" t="str">
        <f>IFERROR(__xludf.DUMMYFUNCTION("SPLIT(A1581,"";"")"),"MAISON D'ALGERIE EN AQUITAINE")</f>
        <v>MAISON D'ALGERIE EN AQUITAINE</v>
      </c>
      <c r="C1581" s="3">
        <f>IFERROR(__xludf.DUMMYFUNCTION("""COMPUTED_VALUE"""),1016.0)</f>
        <v>1016</v>
      </c>
      <c r="D1581" s="1">
        <v>22.0</v>
      </c>
      <c r="E1581" s="2"/>
      <c r="F1581" s="2"/>
      <c r="G1581" s="2"/>
      <c r="H1581" s="2"/>
      <c r="I1581" s="2"/>
    </row>
    <row r="1582">
      <c r="A1582" s="1" t="s">
        <v>910</v>
      </c>
      <c r="B1582" s="1" t="str">
        <f>IFERROR(__xludf.DUMMYFUNCTION("SPLIT(A1582,"";"")"),"MAISON DE LA NATURE ET DE L'ENVIRONNEMENT")</f>
        <v>MAISON DE LA NATURE ET DE L'ENVIRONNEMENT</v>
      </c>
      <c r="C1582" s="3">
        <f>IFERROR(__xludf.DUMMYFUNCTION("""COMPUTED_VALUE"""),33185.0)</f>
        <v>33185</v>
      </c>
      <c r="D1582" s="1">
        <v>0.0</v>
      </c>
      <c r="E1582" s="2"/>
      <c r="F1582" s="2"/>
      <c r="G1582" s="2"/>
      <c r="H1582" s="2"/>
      <c r="I1582" s="2"/>
    </row>
    <row r="1583">
      <c r="A1583" s="1" t="s">
        <v>911</v>
      </c>
      <c r="B1583" s="1" t="str">
        <f>IFERROR(__xludf.DUMMYFUNCTION("SPLIT(A1583,"";"")"),"MAISON DE L'EUROPE BORDEAUX-AQUITAINE (MEBA)")</f>
        <v>MAISON DE L'EUROPE BORDEAUX-AQUITAINE (MEBA)</v>
      </c>
      <c r="C1583" s="3">
        <f>IFERROR(__xludf.DUMMYFUNCTION("""COMPUTED_VALUE"""),42924.0)</f>
        <v>42924</v>
      </c>
      <c r="D1583" s="1">
        <v>0.0</v>
      </c>
      <c r="E1583" s="2"/>
      <c r="F1583" s="2"/>
      <c r="G1583" s="2"/>
      <c r="H1583" s="2"/>
      <c r="I1583" s="2"/>
    </row>
    <row r="1584">
      <c r="A1584" s="1" t="s">
        <v>912</v>
      </c>
      <c r="B1584" s="1" t="str">
        <f>IFERROR(__xludf.DUMMYFUNCTION("SPLIT(A1584,"";"")"),"MAISON DE L'INITIATIVE ET DE L'ENTREPRENEURIAT - MIE")</f>
        <v>MAISON DE L'INITIATIVE ET DE L'ENTREPRENEURIAT - MIE</v>
      </c>
      <c r="C1584" s="1">
        <f>IFERROR(__xludf.DUMMYFUNCTION("""COMPUTED_VALUE"""),117.0)</f>
        <v>117</v>
      </c>
      <c r="D1584" s="1">
        <v>60.0</v>
      </c>
      <c r="E1584" s="2"/>
      <c r="F1584" s="2"/>
      <c r="G1584" s="2"/>
      <c r="H1584" s="2"/>
      <c r="I1584" s="2"/>
    </row>
    <row r="1585">
      <c r="A1585" s="1" t="s">
        <v>913</v>
      </c>
      <c r="B1585" s="1" t="str">
        <f>IFERROR(__xludf.DUMMYFUNCTION("SPLIT(A1585,"";"")"),"MAISON DES ADOLESCENTS DE LA GIRONDE")</f>
        <v>MAISON DES ADOLESCENTS DE LA GIRONDE</v>
      </c>
      <c r="C1585" s="3">
        <f>IFERROR(__xludf.DUMMYFUNCTION("""COMPUTED_VALUE"""),7981.0)</f>
        <v>7981</v>
      </c>
      <c r="D1585" s="1">
        <v>18.0</v>
      </c>
      <c r="E1585" s="2"/>
      <c r="F1585" s="2"/>
      <c r="G1585" s="2"/>
      <c r="H1585" s="2"/>
      <c r="I1585" s="2"/>
    </row>
    <row r="1586">
      <c r="A1586" s="1" t="s">
        <v>914</v>
      </c>
      <c r="B1586" s="1" t="str">
        <f>IFERROR(__xludf.DUMMYFUNCTION("SPLIT(A1586,"";"")"),"MAISON DES FEMMES DE BORDEAUX")</f>
        <v>MAISON DES FEMMES DE BORDEAUX</v>
      </c>
      <c r="C1586" s="3">
        <f>IFERROR(__xludf.DUMMYFUNCTION("""COMPUTED_VALUE"""),1978.0)</f>
        <v>1978</v>
      </c>
      <c r="D1586" s="1">
        <v>94.0</v>
      </c>
      <c r="E1586" s="2"/>
      <c r="F1586" s="2"/>
      <c r="G1586" s="2"/>
      <c r="H1586" s="2"/>
      <c r="I1586" s="2"/>
    </row>
    <row r="1587">
      <c r="A1587" s="1" t="s">
        <v>915</v>
      </c>
      <c r="B1587" s="1" t="str">
        <f>IFERROR(__xludf.DUMMYFUNCTION("SPLIT(A1587,"";"")"),"MAISON DES JEUNES ET DE LA CULTURE CENTRE DE LOISIRS DES DEUX VILLES - MJC CL2V")</f>
        <v>MAISON DES JEUNES ET DE LA CULTURE CENTRE DE LOISIRS DES DEUX VILLES - MJC CL2V</v>
      </c>
      <c r="C1587" s="1">
        <f>IFERROR(__xludf.DUMMYFUNCTION("""COMPUTED_VALUE"""),178.0)</f>
        <v>178</v>
      </c>
      <c r="D1587" s="1">
        <v>14.0</v>
      </c>
      <c r="E1587" s="2"/>
      <c r="F1587" s="2"/>
      <c r="G1587" s="2"/>
      <c r="H1587" s="2"/>
      <c r="I1587" s="2"/>
    </row>
    <row r="1588">
      <c r="A1588" s="1" t="s">
        <v>916</v>
      </c>
      <c r="B1588" s="1" t="str">
        <f>IFERROR(__xludf.DUMMYFUNCTION("SPLIT(A1588,"";"")"),"MAISON DES METIERS DE L'IMPRIMERIE")</f>
        <v>MAISON DES METIERS DE L'IMPRIMERIE</v>
      </c>
      <c r="C1588" s="3">
        <f>IFERROR(__xludf.DUMMYFUNCTION("""COMPUTED_VALUE"""),26136.0)</f>
        <v>26136</v>
      </c>
      <c r="D1588" s="1">
        <v>0.0</v>
      </c>
      <c r="E1588" s="2"/>
      <c r="F1588" s="2"/>
      <c r="G1588" s="2"/>
      <c r="H1588" s="2"/>
      <c r="I1588" s="2"/>
    </row>
    <row r="1589">
      <c r="A1589" s="1" t="s">
        <v>917</v>
      </c>
      <c r="B1589" s="1" t="str">
        <f>IFERROR(__xludf.DUMMYFUNCTION("SPLIT(A1589,"";"")"),"MAISON DES SOURDS DE LA GIRONDE - MS 33")</f>
        <v>MAISON DES SOURDS DE LA GIRONDE - MS 33</v>
      </c>
      <c r="C1589" s="3">
        <f>IFERROR(__xludf.DUMMYFUNCTION("""COMPUTED_VALUE"""),6406.0)</f>
        <v>6406</v>
      </c>
      <c r="D1589" s="1">
        <v>0.0</v>
      </c>
      <c r="E1589" s="2"/>
      <c r="F1589" s="2"/>
      <c r="G1589" s="2"/>
      <c r="H1589" s="2"/>
      <c r="I1589" s="2"/>
    </row>
    <row r="1590">
      <c r="A1590" s="1" t="s">
        <v>918</v>
      </c>
      <c r="B1590" s="1" t="str">
        <f>IFERROR(__xludf.DUMMYFUNCTION("SPLIT(A1590,"";"")"),"MAISON DUPEUX")</f>
        <v>MAISON DUPEUX</v>
      </c>
      <c r="C1590" s="1">
        <f>IFERROR(__xludf.DUMMYFUNCTION("""COMPUTED_VALUE"""),117.0)</f>
        <v>117</v>
      </c>
      <c r="D1590" s="1">
        <v>42.0</v>
      </c>
      <c r="E1590" s="2"/>
      <c r="F1590" s="2"/>
      <c r="G1590" s="2"/>
      <c r="H1590" s="2"/>
      <c r="I1590" s="2"/>
    </row>
    <row r="1591">
      <c r="A1591" s="1" t="s">
        <v>919</v>
      </c>
      <c r="B1591" s="1" t="str">
        <f>IFERROR(__xludf.DUMMYFUNCTION("SPLIT(A1591,"";"")"),"MAJ")</f>
        <v>MAJ</v>
      </c>
      <c r="C1591" s="1">
        <f>IFERROR(__xludf.DUMMYFUNCTION("""COMPUTED_VALUE"""),984.0)</f>
        <v>984</v>
      </c>
      <c r="D1591" s="1">
        <v>0.0</v>
      </c>
      <c r="E1591" s="2"/>
      <c r="F1591" s="2"/>
      <c r="G1591" s="2"/>
      <c r="H1591" s="2"/>
      <c r="I1591" s="2"/>
    </row>
    <row r="1592">
      <c r="A1592" s="1" t="s">
        <v>920</v>
      </c>
      <c r="B1592" s="1" t="str">
        <f>IFERROR(__xludf.DUMMYFUNCTION("SPLIT(A1592,"";"")"),"MAM'OURS")</f>
        <v>MAM'OURS</v>
      </c>
      <c r="C1592" s="1">
        <f>IFERROR(__xludf.DUMMYFUNCTION("""COMPUTED_VALUE"""),120.0)</f>
        <v>120</v>
      </c>
      <c r="D1592" s="1">
        <v>78.0</v>
      </c>
      <c r="E1592" s="2"/>
      <c r="F1592" s="2"/>
      <c r="G1592" s="2"/>
      <c r="H1592" s="2"/>
      <c r="I1592" s="2"/>
    </row>
    <row r="1593">
      <c r="A1593" s="1" t="s">
        <v>921</v>
      </c>
      <c r="B1593" s="1" t="str">
        <f>IFERROR(__xludf.DUMMYFUNCTION("SPLIT(A1593,"";"")"),"MANA")</f>
        <v>MANA</v>
      </c>
      <c r="C1593" s="3">
        <f>IFERROR(__xludf.DUMMYFUNCTION("""COMPUTED_VALUE"""),1939.0)</f>
        <v>1939</v>
      </c>
      <c r="D1593" s="1">
        <v>40.0</v>
      </c>
      <c r="E1593" s="2"/>
      <c r="F1593" s="2"/>
      <c r="G1593" s="2"/>
      <c r="H1593" s="2"/>
      <c r="I1593" s="2"/>
    </row>
    <row r="1594">
      <c r="A1594" s="1" t="s">
        <v>922</v>
      </c>
      <c r="B1594" s="1" t="str">
        <f>IFERROR(__xludf.DUMMYFUNCTION("SPLIT(A1594,"";"")"),"MANDORA")</f>
        <v>MANDORA</v>
      </c>
      <c r="C1594" s="3">
        <f>IFERROR(__xludf.DUMMYFUNCTION("""COMPUTED_VALUE"""),8192.0)</f>
        <v>8192</v>
      </c>
      <c r="D1594" s="1">
        <v>3.0</v>
      </c>
      <c r="E1594" s="2"/>
      <c r="F1594" s="2"/>
      <c r="G1594" s="2"/>
      <c r="H1594" s="2"/>
      <c r="I1594" s="2"/>
    </row>
    <row r="1595">
      <c r="A1595" s="1" t="s">
        <v>923</v>
      </c>
      <c r="B1595" s="1" t="str">
        <f>IFERROR(__xludf.DUMMYFUNCTION("SPLIT(A1595,"";"")"),"MANTA PLONGEE")</f>
        <v>MANTA PLONGEE</v>
      </c>
      <c r="C1595" s="3">
        <f>IFERROR(__xludf.DUMMYFUNCTION("""COMPUTED_VALUE"""),5581.0)</f>
        <v>5581</v>
      </c>
      <c r="D1595" s="1">
        <v>26.0</v>
      </c>
      <c r="E1595" s="2"/>
      <c r="F1595" s="2"/>
      <c r="G1595" s="2"/>
      <c r="H1595" s="2"/>
      <c r="I1595" s="2"/>
    </row>
    <row r="1596">
      <c r="A1596" s="1" t="s">
        <v>924</v>
      </c>
      <c r="B1596" s="1" t="str">
        <f>IFERROR(__xludf.DUMMYFUNCTION("SPLIT(A1596,"";"")"),"MARATHON JOB EUROPA")</f>
        <v>MARATHON JOB EUROPA</v>
      </c>
      <c r="C1596" s="1">
        <f>IFERROR(__xludf.DUMMYFUNCTION("""COMPUTED_VALUE"""),777.0)</f>
        <v>777</v>
      </c>
      <c r="D1596" s="1">
        <v>48.0</v>
      </c>
      <c r="E1596" s="2"/>
      <c r="F1596" s="2"/>
      <c r="G1596" s="2"/>
      <c r="H1596" s="2"/>
      <c r="I1596" s="2"/>
    </row>
    <row r="1597">
      <c r="A1597" s="1" t="s">
        <v>925</v>
      </c>
      <c r="B1597" s="1" t="str">
        <f>IFERROR(__xludf.DUMMYFUNCTION("SPLIT(A1597,"";"")"),"MAROC")</f>
        <v>MAROC</v>
      </c>
      <c r="C1597" s="1"/>
      <c r="D1597" s="1" t="s">
        <v>926</v>
      </c>
      <c r="E1597" s="1">
        <v>72.0</v>
      </c>
      <c r="F1597" s="2"/>
      <c r="G1597" s="2"/>
      <c r="H1597" s="2"/>
      <c r="I1597" s="2"/>
    </row>
    <row r="1598">
      <c r="A1598" s="1" t="s">
        <v>927</v>
      </c>
      <c r="B1598" s="1" t="str">
        <f>IFERROR(__xludf.DUMMYFUNCTION("SPLIT(A1598,"";"")"),"MASCARETS")</f>
        <v>MASCARETS</v>
      </c>
      <c r="C1598" s="3">
        <f>IFERROR(__xludf.DUMMYFUNCTION("""COMPUTED_VALUE"""),13872.0)</f>
        <v>13872</v>
      </c>
      <c r="D1598" s="1">
        <v>1.0</v>
      </c>
      <c r="E1598" s="2"/>
      <c r="F1598" s="2"/>
      <c r="G1598" s="2"/>
      <c r="H1598" s="2"/>
      <c r="I1598" s="2"/>
    </row>
    <row r="1599">
      <c r="A1599" s="1" t="s">
        <v>928</v>
      </c>
      <c r="B1599" s="1" t="str">
        <f>IFERROR(__xludf.DUMMYFUNCTION("SPLIT(A1599,"";"")"),"MAWA DE GIRONDE")</f>
        <v>MAWA DE GIRONDE</v>
      </c>
      <c r="C1599" s="1">
        <f>IFERROR(__xludf.DUMMYFUNCTION("""COMPUTED_VALUE"""),587.0)</f>
        <v>587</v>
      </c>
      <c r="D1599" s="1">
        <v>0.0</v>
      </c>
      <c r="E1599" s="2"/>
      <c r="F1599" s="2"/>
      <c r="G1599" s="2"/>
      <c r="H1599" s="2"/>
      <c r="I1599" s="2"/>
    </row>
    <row r="1600">
      <c r="A1600" s="1" t="s">
        <v>929</v>
      </c>
      <c r="B1600" s="1" t="str">
        <f>IFERROR(__xludf.DUMMYFUNCTION("SPLIT(A1600,"";"")"),"MBOLO ASSOCIATION DES GABONAIS DE LA GIRONDE")</f>
        <v>MBOLO ASSOCIATION DES GABONAIS DE LA GIRONDE</v>
      </c>
      <c r="C1600" s="1">
        <f>IFERROR(__xludf.DUMMYFUNCTION("""COMPUTED_VALUE"""),491.0)</f>
        <v>491</v>
      </c>
      <c r="D1600" s="1">
        <v>0.0</v>
      </c>
      <c r="E1600" s="2"/>
      <c r="F1600" s="2"/>
      <c r="G1600" s="2"/>
      <c r="H1600" s="2"/>
      <c r="I1600" s="2"/>
    </row>
    <row r="1601">
      <c r="A1601" s="1" t="s">
        <v>930</v>
      </c>
      <c r="B1601" s="1" t="str">
        <f>IFERROR(__xludf.DUMMYFUNCTION("SPLIT(A1601,"";"")"),"MEDECINS DU MONDE")</f>
        <v>MEDECINS DU MONDE</v>
      </c>
      <c r="C1601" s="3">
        <f>IFERROR(__xludf.DUMMYFUNCTION("""COMPUTED_VALUE"""),2684.0)</f>
        <v>2684</v>
      </c>
      <c r="D1601" s="1">
        <v>20.0</v>
      </c>
      <c r="E1601" s="2"/>
      <c r="F1601" s="2"/>
      <c r="G1601" s="2"/>
      <c r="H1601" s="2"/>
      <c r="I1601" s="2"/>
    </row>
    <row r="1602">
      <c r="A1602" s="1" t="s">
        <v>931</v>
      </c>
      <c r="B1602" s="1" t="str">
        <f>IFERROR(__xludf.DUMMYFUNCTION("SPLIT(A1602,"";"")"),"MELTING SIGNES")</f>
        <v>MELTING SIGNES</v>
      </c>
      <c r="C1602" s="1">
        <f>IFERROR(__xludf.DUMMYFUNCTION("""COMPUTED_VALUE"""),420.0)</f>
        <v>420</v>
      </c>
      <c r="D1602" s="1">
        <v>0.0</v>
      </c>
      <c r="E1602" s="2"/>
      <c r="F1602" s="2"/>
      <c r="G1602" s="2"/>
      <c r="H1602" s="2"/>
      <c r="I1602" s="2"/>
    </row>
    <row r="1603">
      <c r="A1603" s="1" t="s">
        <v>932</v>
      </c>
      <c r="B1603" s="1" t="str">
        <f>IFERROR(__xludf.DUMMYFUNCTION("SPLIT(A1603,"";"")"),"MENSA AQUITAINE")</f>
        <v>MENSA AQUITAINE</v>
      </c>
      <c r="C1603" s="1">
        <f>IFERROR(__xludf.DUMMYFUNCTION("""COMPUTED_VALUE"""),587.0)</f>
        <v>587</v>
      </c>
      <c r="D1603" s="1">
        <v>0.0</v>
      </c>
      <c r="E1603" s="2"/>
      <c r="F1603" s="2"/>
      <c r="G1603" s="2"/>
      <c r="H1603" s="2"/>
      <c r="I1603" s="2"/>
    </row>
    <row r="1604">
      <c r="A1604" s="1" t="s">
        <v>933</v>
      </c>
      <c r="B1604" s="1" t="str">
        <f>IFERROR(__xludf.DUMMYFUNCTION("SPLIT(A1604,"";"")"),"MERCI GERTRUDE")</f>
        <v>MERCI GERTRUDE</v>
      </c>
      <c r="C1604" s="3">
        <f>IFERROR(__xludf.DUMMYFUNCTION("""COMPUTED_VALUE"""),2432.0)</f>
        <v>2432</v>
      </c>
      <c r="D1604" s="1">
        <v>69.0</v>
      </c>
      <c r="E1604" s="2"/>
      <c r="F1604" s="2"/>
      <c r="G1604" s="2"/>
      <c r="H1604" s="2"/>
      <c r="I1604" s="2"/>
    </row>
    <row r="1605">
      <c r="A1605" s="1" t="s">
        <v>864</v>
      </c>
      <c r="B1605" s="1" t="str">
        <f>IFERROR(__xludf.DUMMYFUNCTION("SPLIT(A1605,"";"")"),"LES PETITS DEBROUILLARDS AQUITAINE")</f>
        <v>LES PETITS DEBROUILLARDS AQUITAINE</v>
      </c>
      <c r="C1605" s="3">
        <f>IFERROR(__xludf.DUMMYFUNCTION("""COMPUTED_VALUE"""),2687.0)</f>
        <v>2687</v>
      </c>
      <c r="D1605" s="1">
        <v>24.0</v>
      </c>
      <c r="E1605" s="2"/>
      <c r="F1605" s="2"/>
      <c r="G1605" s="2"/>
      <c r="H1605" s="2"/>
      <c r="I1605" s="2"/>
    </row>
    <row r="1606">
      <c r="A1606" s="1" t="s">
        <v>865</v>
      </c>
      <c r="B1606" s="1" t="str">
        <f>IFERROR(__xludf.DUMMYFUNCTION("SPLIT(A1606,"";"")"),"LES PETITS FRERES DES PAUVRES DE BORDEAUX")</f>
        <v>LES PETITS FRERES DES PAUVRES DE BORDEAUX</v>
      </c>
      <c r="C1606" s="1">
        <f>IFERROR(__xludf.DUMMYFUNCTION("""COMPUTED_VALUE"""),126.0)</f>
        <v>126</v>
      </c>
      <c r="D1606" s="1">
        <v>0.0</v>
      </c>
      <c r="E1606" s="2"/>
      <c r="F1606" s="2"/>
      <c r="G1606" s="2"/>
      <c r="H1606" s="2"/>
      <c r="I1606" s="2"/>
    </row>
    <row r="1607">
      <c r="A1607" s="1" t="s">
        <v>866</v>
      </c>
      <c r="B1607" s="1" t="str">
        <f>IFERROR(__xludf.DUMMYFUNCTION("SPLIT(A1607,"";"")"),"LES PETITS TRETEAUX")</f>
        <v>LES PETITS TRETEAUX</v>
      </c>
      <c r="C1607" s="1">
        <f>IFERROR(__xludf.DUMMYFUNCTION("""COMPUTED_VALUE"""),160.0)</f>
        <v>160</v>
      </c>
      <c r="D1607" s="1">
        <v>0.0</v>
      </c>
      <c r="E1607" s="2"/>
      <c r="F1607" s="2"/>
      <c r="G1607" s="2"/>
      <c r="H1607" s="2"/>
      <c r="I1607" s="2"/>
    </row>
    <row r="1608">
      <c r="A1608" s="1" t="s">
        <v>867</v>
      </c>
      <c r="B1608" s="1" t="str">
        <f>IFERROR(__xludf.DUMMYFUNCTION("SPLIT(A1608,"";"")"),"LES PINSONS")</f>
        <v>LES PINSONS</v>
      </c>
      <c r="C1608" s="1">
        <f>IFERROR(__xludf.DUMMYFUNCTION("""COMPUTED_VALUE"""),366.0)</f>
        <v>366</v>
      </c>
      <c r="D1608" s="1">
        <v>0.0</v>
      </c>
      <c r="E1608" s="2"/>
      <c r="F1608" s="2"/>
      <c r="G1608" s="2"/>
      <c r="H1608" s="2"/>
      <c r="I1608" s="2"/>
    </row>
    <row r="1609">
      <c r="A1609" s="1" t="s">
        <v>868</v>
      </c>
      <c r="B1609" s="1" t="str">
        <f>IFERROR(__xludf.DUMMYFUNCTION("SPLIT(A1609,"";"")"),"LES PRODUCTIONS DE L'ANGE")</f>
        <v>LES PRODUCTIONS DE L'ANGE</v>
      </c>
      <c r="C1609" s="1">
        <f>IFERROR(__xludf.DUMMYFUNCTION("""COMPUTED_VALUE"""),487.0)</f>
        <v>487</v>
      </c>
      <c r="D1609" s="1">
        <v>0.0</v>
      </c>
      <c r="E1609" s="2"/>
      <c r="F1609" s="2"/>
      <c r="G1609" s="2"/>
      <c r="H1609" s="2"/>
      <c r="I1609" s="2"/>
    </row>
    <row r="1610">
      <c r="A1610" s="1" t="s">
        <v>869</v>
      </c>
      <c r="B1610" s="1" t="str">
        <f>IFERROR(__xludf.DUMMYFUNCTION("SPLIT(A1610,"";"")"),"LES P'TITS GRATTEURS")</f>
        <v>LES P'TITS GRATTEURS</v>
      </c>
      <c r="C1610" s="3">
        <f>IFERROR(__xludf.DUMMYFUNCTION("""COMPUTED_VALUE"""),9174.0)</f>
        <v>9174</v>
      </c>
      <c r="D1610" s="1">
        <v>70.0</v>
      </c>
      <c r="E1610" s="2"/>
      <c r="F1610" s="2"/>
      <c r="G1610" s="2"/>
      <c r="H1610" s="2"/>
      <c r="I1610" s="2"/>
    </row>
    <row r="1611">
      <c r="A1611" s="1" t="s">
        <v>870</v>
      </c>
      <c r="B1611" s="1" t="str">
        <f>IFERROR(__xludf.DUMMYFUNCTION("SPLIT(A1611,"";"")"),"LES RIVERAINS DU STADE PROMIS")</f>
        <v>LES RIVERAINS DU STADE PROMIS</v>
      </c>
      <c r="C1611" s="1">
        <f>IFERROR(__xludf.DUMMYFUNCTION("""COMPUTED_VALUE"""),68.0)</f>
        <v>68</v>
      </c>
      <c r="D1611" s="1">
        <v>0.0</v>
      </c>
      <c r="E1611" s="2"/>
      <c r="F1611" s="2"/>
      <c r="G1611" s="2"/>
      <c r="H1611" s="2"/>
      <c r="I1611" s="2"/>
    </row>
    <row r="1612">
      <c r="A1612" s="1" t="s">
        <v>871</v>
      </c>
      <c r="B1612" s="1" t="str">
        <f>IFERROR(__xludf.DUMMYFUNCTION("SPLIT(A1612,"";"")"),"LES ROSES DE DAMAS")</f>
        <v>LES ROSES DE DAMAS</v>
      </c>
      <c r="C1612" s="3">
        <f>IFERROR(__xludf.DUMMYFUNCTION("""COMPUTED_VALUE"""),1268.0)</f>
        <v>1268</v>
      </c>
      <c r="D1612" s="1">
        <v>0.0</v>
      </c>
      <c r="E1612" s="2"/>
      <c r="F1612" s="2"/>
      <c r="G1612" s="2"/>
      <c r="H1612" s="2"/>
      <c r="I1612" s="2"/>
    </row>
    <row r="1613">
      <c r="A1613" s="1" t="s">
        <v>872</v>
      </c>
      <c r="B1613" s="1" t="str">
        <f>IFERROR(__xludf.DUMMYFUNCTION("SPLIT(A1613,"";"")"),"LES SURPRISES")</f>
        <v>LES SURPRISES</v>
      </c>
      <c r="C1613" s="1">
        <f>IFERROR(__xludf.DUMMYFUNCTION("""COMPUTED_VALUE"""),640.0)</f>
        <v>640</v>
      </c>
      <c r="D1613" s="1">
        <v>0.0</v>
      </c>
      <c r="E1613" s="2"/>
      <c r="F1613" s="2"/>
      <c r="G1613" s="2"/>
      <c r="H1613" s="2"/>
      <c r="I1613" s="2"/>
    </row>
    <row r="1614">
      <c r="A1614" s="1" t="s">
        <v>873</v>
      </c>
      <c r="B1614" s="1" t="str">
        <f>IFERROR(__xludf.DUMMYFUNCTION("SPLIT(A1614,"";"")"),"LES VAILLANTS DE SAINT SEURIN")</f>
        <v>LES VAILLANTS DE SAINT SEURIN</v>
      </c>
      <c r="C1614" s="1">
        <f>IFERROR(__xludf.DUMMYFUNCTION("""COMPUTED_VALUE"""),182.0)</f>
        <v>182</v>
      </c>
      <c r="D1614" s="1">
        <v>33.0</v>
      </c>
      <c r="E1614" s="2"/>
      <c r="F1614" s="2"/>
      <c r="G1614" s="2"/>
      <c r="H1614" s="2"/>
      <c r="I1614" s="2"/>
    </row>
    <row r="1615">
      <c r="A1615" s="1" t="s">
        <v>874</v>
      </c>
      <c r="B1615" s="1" t="str">
        <f>IFERROR(__xludf.DUMMYFUNCTION("SPLIT(A1615,"";"")"),"LES VIVRES DE L'ART")</f>
        <v>LES VIVRES DE L'ART</v>
      </c>
      <c r="C1615" s="3">
        <f>IFERROR(__xludf.DUMMYFUNCTION("""COMPUTED_VALUE"""),12445.0)</f>
        <v>12445</v>
      </c>
      <c r="D1615" s="1">
        <v>26.0</v>
      </c>
      <c r="E1615" s="2"/>
      <c r="F1615" s="2"/>
      <c r="G1615" s="2"/>
      <c r="H1615" s="2"/>
      <c r="I1615" s="2"/>
    </row>
    <row r="1616">
      <c r="A1616" s="1" t="s">
        <v>875</v>
      </c>
      <c r="B1616" s="1" t="str">
        <f>IFERROR(__xludf.DUMMYFUNCTION("SPLIT(A1616,"";"")"),"LES Z'ARPETES")</f>
        <v>LES Z'ARPETES</v>
      </c>
      <c r="C1616" s="1">
        <f>IFERROR(__xludf.DUMMYFUNCTION("""COMPUTED_VALUE"""),366.0)</f>
        <v>366</v>
      </c>
      <c r="D1616" s="1">
        <v>35.0</v>
      </c>
      <c r="E1616" s="2"/>
      <c r="F1616" s="2"/>
      <c r="G1616" s="2"/>
      <c r="H1616" s="2"/>
      <c r="I1616" s="2"/>
    </row>
    <row r="1617">
      <c r="A1617" s="1" t="s">
        <v>876</v>
      </c>
      <c r="B1617" s="1" t="str">
        <f>IFERROR(__xludf.DUMMYFUNCTION("SPLIT(A1617,"";"")"),"LESBIAN &amp; GAY PRIDE BORDEAUX DITE AUSSI LGP BORDEAUX")</f>
        <v>LESBIAN &amp; GAY PRIDE BORDEAUX DITE AUSSI LGP BORDEAUX</v>
      </c>
      <c r="C1617" s="3">
        <f>IFERROR(__xludf.DUMMYFUNCTION("""COMPUTED_VALUE"""),1818.0)</f>
        <v>1818</v>
      </c>
      <c r="D1617" s="1">
        <v>86.0</v>
      </c>
      <c r="E1617" s="2"/>
      <c r="F1617" s="2"/>
      <c r="G1617" s="2"/>
      <c r="H1617" s="2"/>
      <c r="I1617" s="2"/>
    </row>
    <row r="1618">
      <c r="A1618" s="1" t="s">
        <v>877</v>
      </c>
      <c r="B1618" s="1" t="str">
        <f>IFERROR(__xludf.DUMMYFUNCTION("SPLIT(A1618,"";"")"),"L'ESPRIT DU PIANO")</f>
        <v>L'ESPRIT DU PIANO</v>
      </c>
      <c r="C1618" s="3">
        <f>IFERROR(__xludf.DUMMYFUNCTION("""COMPUTED_VALUE"""),4825.0)</f>
        <v>4825</v>
      </c>
      <c r="D1618" s="1">
        <v>0.0</v>
      </c>
      <c r="E1618" s="2"/>
      <c r="F1618" s="2"/>
      <c r="G1618" s="2"/>
      <c r="H1618" s="2"/>
      <c r="I1618" s="2"/>
    </row>
    <row r="1619">
      <c r="A1619" s="1" t="s">
        <v>878</v>
      </c>
      <c r="B1619" s="1" t="str">
        <f>IFERROR(__xludf.DUMMYFUNCTION("SPLIT(A1619,"";"")"),"L'ESTEY")</f>
        <v>L'ESTEY</v>
      </c>
      <c r="C1619" s="1">
        <f>IFERROR(__xludf.DUMMYFUNCTION("""COMPUTED_VALUE"""),783.0)</f>
        <v>783</v>
      </c>
      <c r="D1619" s="1">
        <v>0.0</v>
      </c>
      <c r="E1619" s="2"/>
      <c r="F1619" s="2"/>
      <c r="G1619" s="2"/>
      <c r="H1619" s="2"/>
      <c r="I1619" s="2"/>
    </row>
    <row r="1620">
      <c r="A1620" s="1" t="s">
        <v>879</v>
      </c>
      <c r="B1620" s="1" t="str">
        <f>IFERROR(__xludf.DUMMYFUNCTION("SPLIT(A1620,"";"")"),"LETTRES DU MONDE")</f>
        <v>LETTRES DU MONDE</v>
      </c>
      <c r="C1620" s="3">
        <f>IFERROR(__xludf.DUMMYFUNCTION("""COMPUTED_VALUE"""),23407.0)</f>
        <v>23407</v>
      </c>
      <c r="D1620" s="1">
        <v>0.0</v>
      </c>
      <c r="E1620" s="2"/>
      <c r="F1620" s="2"/>
      <c r="G1620" s="2"/>
      <c r="H1620" s="2"/>
      <c r="I1620" s="2"/>
    </row>
    <row r="1621">
      <c r="A1621" s="1" t="s">
        <v>880</v>
      </c>
      <c r="B1621" s="1" t="str">
        <f>IFERROR(__xludf.DUMMYFUNCTION("SPLIT(A1621,"";"")"),"LIBRE PENSEE")</f>
        <v>LIBRE PENSEE</v>
      </c>
      <c r="C1621" s="1">
        <f>IFERROR(__xludf.DUMMYFUNCTION("""COMPUTED_VALUE"""),68.0)</f>
        <v>68</v>
      </c>
      <c r="D1621" s="1">
        <v>0.0</v>
      </c>
      <c r="E1621" s="2"/>
      <c r="F1621" s="2"/>
      <c r="G1621" s="2"/>
      <c r="H1621" s="2"/>
      <c r="I1621" s="2"/>
    </row>
    <row r="1622">
      <c r="A1622" s="1" t="s">
        <v>881</v>
      </c>
      <c r="B1622" s="1" t="str">
        <f>IFERROR(__xludf.DUMMYFUNCTION("SPLIT(A1622,"";"")"),"LICHORE")</f>
        <v>LICHORE</v>
      </c>
      <c r="C1622" s="1">
        <f>IFERROR(__xludf.DUMMYFUNCTION("""COMPUTED_VALUE"""),46.0)</f>
        <v>46</v>
      </c>
      <c r="D1622" s="1">
        <v>0.0</v>
      </c>
      <c r="E1622" s="2"/>
      <c r="F1622" s="2"/>
      <c r="G1622" s="2"/>
      <c r="H1622" s="2"/>
      <c r="I1622" s="2"/>
    </row>
    <row r="1623">
      <c r="A1623" s="1" t="s">
        <v>882</v>
      </c>
      <c r="B1623" s="1" t="str">
        <f>IFERROR(__xludf.DUMMYFUNCTION("SPLIT(A1623,"";"")"),"LIGUE CONTRE LE CANCER")</f>
        <v>LIGUE CONTRE LE CANCER</v>
      </c>
      <c r="C1623" s="3">
        <f>IFERROR(__xludf.DUMMYFUNCTION("""COMPUTED_VALUE"""),2389.0)</f>
        <v>2389</v>
      </c>
      <c r="D1623" s="1">
        <v>63.0</v>
      </c>
      <c r="E1623" s="2"/>
      <c r="F1623" s="2"/>
      <c r="G1623" s="2"/>
      <c r="H1623" s="2"/>
      <c r="I1623" s="2"/>
    </row>
    <row r="1624">
      <c r="A1624" s="1" t="s">
        <v>883</v>
      </c>
      <c r="B1624" s="1" t="str">
        <f>IFERROR(__xludf.DUMMYFUNCTION("SPLIT(A1624,"";"")"),"LIGUE D'AQUITAINE DE HANDBALL")</f>
        <v>LIGUE D'AQUITAINE DE HANDBALL</v>
      </c>
      <c r="C1624" s="3">
        <f>IFERROR(__xludf.DUMMYFUNCTION("""COMPUTED_VALUE"""),2342.0)</f>
        <v>2342</v>
      </c>
      <c r="D1624" s="1">
        <v>59.0</v>
      </c>
      <c r="E1624" s="2"/>
      <c r="F1624" s="2"/>
      <c r="G1624" s="2"/>
      <c r="H1624" s="2"/>
      <c r="I1624" s="2"/>
    </row>
    <row r="1625">
      <c r="A1625" s="1" t="s">
        <v>884</v>
      </c>
      <c r="B1625" s="1" t="str">
        <f>IFERROR(__xludf.DUMMYFUNCTION("SPLIT(A1625,"";"")"),"LIGUE D'AQUITAINE DE VOLLEY BALL")</f>
        <v>LIGUE D'AQUITAINE DE VOLLEY BALL</v>
      </c>
      <c r="C1625" s="3">
        <f>IFERROR(__xludf.DUMMYFUNCTION("""COMPUTED_VALUE"""),1522.0)</f>
        <v>1522</v>
      </c>
      <c r="D1625" s="1">
        <v>20.0</v>
      </c>
      <c r="E1625" s="2"/>
      <c r="F1625" s="2"/>
      <c r="G1625" s="2"/>
      <c r="H1625" s="2"/>
      <c r="I1625" s="2"/>
    </row>
    <row r="1626">
      <c r="A1626" s="1" t="s">
        <v>885</v>
      </c>
      <c r="B1626" s="1" t="str">
        <f>IFERROR(__xludf.DUMMYFUNCTION("SPLIT(A1626,"";"")"),"LIGUE DE L'ENSEIGNEMENT")</f>
        <v>LIGUE DE L'ENSEIGNEMENT</v>
      </c>
      <c r="C1626" s="3">
        <f>IFERROR(__xludf.DUMMYFUNCTION("""COMPUTED_VALUE"""),2355.0)</f>
        <v>2355</v>
      </c>
      <c r="D1626" s="1">
        <v>32.0</v>
      </c>
      <c r="E1626" s="2"/>
      <c r="F1626" s="2"/>
      <c r="G1626" s="2"/>
      <c r="H1626" s="2"/>
      <c r="I1626" s="2"/>
    </row>
    <row r="1627">
      <c r="A1627" s="1" t="s">
        <v>886</v>
      </c>
      <c r="B1627" s="1" t="str">
        <f>IFERROR(__xludf.DUMMYFUNCTION("SPLIT(A1627,"";"")"),"LIGUE FRANÇAISE POUR LA DEFENSE DES DROITS DE L'HOMME ET DU CITOYEN (LDH) ET LIGUE DES DROITS DE L'HOMME")</f>
        <v>LIGUE FRANÇAISE POUR LA DEFENSE DES DROITS DE L'HOMME ET DU CITOYEN (LDH) ET LIGUE DES DROITS DE L'HOMME</v>
      </c>
      <c r="C1627" s="3">
        <f>IFERROR(__xludf.DUMMYFUNCTION("""COMPUTED_VALUE"""),1915.0)</f>
        <v>1915</v>
      </c>
      <c r="D1627" s="1">
        <v>0.0</v>
      </c>
      <c r="E1627" s="2"/>
      <c r="F1627" s="2"/>
      <c r="G1627" s="2"/>
      <c r="H1627" s="2"/>
      <c r="I1627" s="2"/>
    </row>
    <row r="1628">
      <c r="A1628" s="1" t="s">
        <v>887</v>
      </c>
      <c r="B1628" s="1" t="str">
        <f>IFERROR(__xludf.DUMMYFUNCTION("SPLIT(A1628,"";"")"),"LIGUE INTERNATIONALE CONTRE LE RACISME ET L'ANTISEMITISME - SECTION BORDEAUX &amp; GIRONDE - LICRA")</f>
        <v>LIGUE INTERNATIONALE CONTRE LE RACISME ET L'ANTISEMITISME - SECTION BORDEAUX &amp; GIRONDE - LICRA</v>
      </c>
      <c r="C1628" s="1">
        <f>IFERROR(__xludf.DUMMYFUNCTION("""COMPUTED_VALUE"""),730.0)</f>
        <v>730</v>
      </c>
      <c r="D1628" s="1">
        <v>39.0</v>
      </c>
      <c r="E1628" s="2"/>
      <c r="F1628" s="2"/>
      <c r="G1628" s="2"/>
      <c r="H1628" s="2"/>
      <c r="I1628" s="2"/>
    </row>
    <row r="1629">
      <c r="A1629" s="1" t="s">
        <v>888</v>
      </c>
      <c r="B1629" s="1" t="str">
        <f>IFERROR(__xludf.DUMMYFUNCTION("SPLIT(A1629,"";"")"),"LIGUE NATIONAL DE RUGBY")</f>
        <v>LIGUE NATIONAL DE RUGBY</v>
      </c>
      <c r="C1629" s="1">
        <f>IFERROR(__xludf.DUMMYFUNCTION("""COMPUTED_VALUE"""),40.0)</f>
        <v>40</v>
      </c>
      <c r="D1629" s="1">
        <v>50.0</v>
      </c>
      <c r="E1629" s="2"/>
      <c r="F1629" s="2"/>
      <c r="G1629" s="2"/>
      <c r="H1629" s="2"/>
      <c r="I1629" s="2"/>
    </row>
    <row r="1630">
      <c r="A1630" s="1" t="s">
        <v>889</v>
      </c>
      <c r="B1630" s="1" t="str">
        <f>IFERROR(__xludf.DUMMYFUNCTION("SPLIT(A1630,"";"")"),"L'INSTITUT BORDELAIS DE STYLISME MODELISME")</f>
        <v>L'INSTITUT BORDELAIS DE STYLISME MODELISME</v>
      </c>
      <c r="C1630" s="1">
        <f>IFERROR(__xludf.DUMMYFUNCTION("""COMPUTED_VALUE"""),331.0)</f>
        <v>331</v>
      </c>
      <c r="D1630" s="1">
        <v>80.0</v>
      </c>
      <c r="E1630" s="2"/>
      <c r="F1630" s="2"/>
      <c r="G1630" s="2"/>
      <c r="H1630" s="2"/>
      <c r="I1630" s="2"/>
    </row>
    <row r="1631">
      <c r="A1631" s="1" t="s">
        <v>890</v>
      </c>
      <c r="B1631" s="1" t="str">
        <f>IFERROR(__xludf.DUMMYFUNCTION("SPLIT(A1631,"";"")"),"LIONS BORDEAUX SAINT AUGUSTIN")</f>
        <v>LIONS BORDEAUX SAINT AUGUSTIN</v>
      </c>
      <c r="C1631" s="3">
        <f>IFERROR(__xludf.DUMMYFUNCTION("""COMPUTED_VALUE"""),7606.0)</f>
        <v>7606</v>
      </c>
      <c r="D1631" s="1">
        <v>81.0</v>
      </c>
      <c r="E1631" s="2"/>
      <c r="F1631" s="2"/>
      <c r="G1631" s="2"/>
      <c r="H1631" s="2"/>
      <c r="I1631" s="2"/>
    </row>
    <row r="1632">
      <c r="A1632" s="1" t="s">
        <v>891</v>
      </c>
      <c r="B1632" s="1" t="str">
        <f>IFERROR(__xludf.DUMMYFUNCTION("SPLIT(A1632,"";"")"),"LIONS CLUB BORDEAUX - EUROPE - DISTRICT 103 SUD-OUEST")</f>
        <v>LIONS CLUB BORDEAUX - EUROPE - DISTRICT 103 SUD-OUEST</v>
      </c>
      <c r="C1632" s="3">
        <f>IFERROR(__xludf.DUMMYFUNCTION("""COMPUTED_VALUE"""),1089.0)</f>
        <v>1089</v>
      </c>
      <c r="D1632" s="1">
        <v>14.0</v>
      </c>
      <c r="E1632" s="2"/>
      <c r="F1632" s="2"/>
      <c r="G1632" s="2"/>
      <c r="H1632" s="2"/>
      <c r="I1632" s="2"/>
    </row>
    <row r="1633">
      <c r="A1633" s="1" t="s">
        <v>892</v>
      </c>
      <c r="B1633" s="1" t="str">
        <f>IFERROR(__xludf.DUMMYFUNCTION("SPLIT(A1633,"";"")"),"LIONS CLUB BORDEAUX LE BOUSCAT")</f>
        <v>LIONS CLUB BORDEAUX LE BOUSCAT</v>
      </c>
      <c r="C1633" s="1">
        <f>IFERROR(__xludf.DUMMYFUNCTION("""COMPUTED_VALUE"""),265.0)</f>
        <v>265</v>
      </c>
      <c r="D1633" s="1">
        <v>0.0</v>
      </c>
      <c r="E1633" s="2"/>
      <c r="F1633" s="2"/>
      <c r="G1633" s="2"/>
      <c r="H1633" s="2"/>
      <c r="I1633" s="2"/>
    </row>
    <row r="1634">
      <c r="A1634" s="1" t="s">
        <v>893</v>
      </c>
      <c r="B1634" s="1" t="str">
        <f>IFERROR(__xludf.DUMMYFUNCTION("SPLIT(A1634,"";"")"),"LIONS CLUB BORDEAUX RIVE-GAUCHE")</f>
        <v>LIONS CLUB BORDEAUX RIVE-GAUCHE</v>
      </c>
      <c r="C1634" s="1">
        <f>IFERROR(__xludf.DUMMYFUNCTION("""COMPUTED_VALUE"""),317.0)</f>
        <v>317</v>
      </c>
      <c r="D1634" s="1">
        <v>36.0</v>
      </c>
      <c r="E1634" s="2"/>
      <c r="F1634" s="2"/>
      <c r="G1634" s="2"/>
      <c r="H1634" s="2"/>
      <c r="I1634" s="2"/>
    </row>
    <row r="1635">
      <c r="A1635" s="1" t="s">
        <v>894</v>
      </c>
      <c r="B1635" s="1" t="str">
        <f>IFERROR(__xludf.DUMMYFUNCTION("SPLIT(A1635,"";"")"),"LIONS CLUB BORDEAUX TOURNY")</f>
        <v>LIONS CLUB BORDEAUX TOURNY</v>
      </c>
      <c r="C1635" s="1">
        <f>IFERROR(__xludf.DUMMYFUNCTION("""COMPUTED_VALUE"""),802.0)</f>
        <v>802</v>
      </c>
      <c r="D1635" s="1">
        <v>6.0</v>
      </c>
      <c r="E1635" s="2"/>
      <c r="F1635" s="2"/>
      <c r="G1635" s="2"/>
      <c r="H1635" s="2"/>
      <c r="I1635" s="2"/>
    </row>
    <row r="1636">
      <c r="A1636" s="1" t="s">
        <v>895</v>
      </c>
      <c r="B1636" s="1" t="str">
        <f>IFERROR(__xludf.DUMMYFUNCTION("SPLIT(A1636,"";"")"),"LIONS CLUB DE BORDEAUX LA FAYETTE")</f>
        <v>LIONS CLUB DE BORDEAUX LA FAYETTE</v>
      </c>
      <c r="C1636" s="1">
        <f>IFERROR(__xludf.DUMMYFUNCTION("""COMPUTED_VALUE"""),912.0)</f>
        <v>912</v>
      </c>
      <c r="D1636" s="1">
        <v>1.0</v>
      </c>
      <c r="E1636" s="2"/>
      <c r="F1636" s="2"/>
      <c r="G1636" s="2"/>
      <c r="H1636" s="2"/>
      <c r="I1636" s="2"/>
    </row>
    <row r="1637">
      <c r="A1637" s="1" t="s">
        <v>896</v>
      </c>
      <c r="B1637" s="1" t="str">
        <f>IFERROR(__xludf.DUMMYFUNCTION("SPLIT(A1637,"";"")"),"LIONS-CLUB DE BORDEAUX CAUDERAN")</f>
        <v>LIONS-CLUB DE BORDEAUX CAUDERAN</v>
      </c>
      <c r="C1637" s="1">
        <f>IFERROR(__xludf.DUMMYFUNCTION("""COMPUTED_VALUE"""),488.0)</f>
        <v>488</v>
      </c>
      <c r="D1637" s="1">
        <v>36.0</v>
      </c>
      <c r="E1637" s="2"/>
      <c r="F1637" s="2"/>
      <c r="G1637" s="2"/>
      <c r="H1637" s="2"/>
      <c r="I1637" s="2"/>
    </row>
    <row r="1638">
      <c r="A1638" s="1" t="s">
        <v>897</v>
      </c>
      <c r="B1638" s="1" t="str">
        <f>IFERROR(__xludf.DUMMYFUNCTION("SPLIT(A1638,"";"")"),"L'OLYMPIQUE-CLUB BORDELAIS - OCB")</f>
        <v>L'OLYMPIQUE-CLUB BORDELAIS - OCB</v>
      </c>
      <c r="C1638" s="1">
        <f>IFERROR(__xludf.DUMMYFUNCTION("""COMPUTED_VALUE"""),288.0)</f>
        <v>288</v>
      </c>
      <c r="D1638" s="1">
        <v>0.0</v>
      </c>
      <c r="E1638" s="2"/>
      <c r="F1638" s="2"/>
      <c r="G1638" s="2"/>
      <c r="H1638" s="2"/>
      <c r="I1638" s="2"/>
    </row>
    <row r="1639">
      <c r="A1639" s="1" t="s">
        <v>898</v>
      </c>
      <c r="B1639" s="1" t="str">
        <f>IFERROR(__xludf.DUMMYFUNCTION("SPLIT(A1639,"";"")"),"L'ORANGEADE")</f>
        <v>L'ORANGEADE</v>
      </c>
      <c r="C1639" s="1">
        <f>IFERROR(__xludf.DUMMYFUNCTION("""COMPUTED_VALUE"""),166.0)</f>
        <v>166</v>
      </c>
      <c r="D1639" s="1">
        <v>86.0</v>
      </c>
      <c r="E1639" s="2"/>
      <c r="F1639" s="2"/>
      <c r="G1639" s="2"/>
      <c r="H1639" s="2"/>
      <c r="I1639" s="2"/>
    </row>
    <row r="1640">
      <c r="A1640" s="1" t="s">
        <v>899</v>
      </c>
      <c r="B1640" s="1" t="str">
        <f>IFERROR(__xludf.DUMMYFUNCTION("SPLIT(A1640,"";"")"),"LOS TREINTA Y TRES")</f>
        <v>LOS TREINTA Y TRES</v>
      </c>
      <c r="C1640" s="1">
        <f>IFERROR(__xludf.DUMMYFUNCTION("""COMPUTED_VALUE"""),485.0)</f>
        <v>485</v>
      </c>
      <c r="D1640" s="1">
        <v>38.0</v>
      </c>
      <c r="E1640" s="2"/>
      <c r="F1640" s="2"/>
      <c r="G1640" s="2"/>
      <c r="H1640" s="2"/>
      <c r="I1640" s="2"/>
    </row>
    <row r="1641">
      <c r="A1641" s="1" t="s">
        <v>900</v>
      </c>
      <c r="B1641" s="1" t="str">
        <f>IFERROR(__xludf.DUMMYFUNCTION("SPLIT(A1641,"";"")"),"L'OSTAU OCCITAN")</f>
        <v>L'OSTAU OCCITAN</v>
      </c>
      <c r="C1641" s="3">
        <f>IFERROR(__xludf.DUMMYFUNCTION("""COMPUTED_VALUE"""),1329.0)</f>
        <v>1329</v>
      </c>
      <c r="D1641" s="1">
        <v>79.0</v>
      </c>
      <c r="E1641" s="2"/>
      <c r="F1641" s="2"/>
      <c r="G1641" s="2"/>
      <c r="H1641" s="2"/>
      <c r="I1641" s="2"/>
    </row>
    <row r="1642">
      <c r="A1642" s="1" t="s">
        <v>901</v>
      </c>
      <c r="B1642" s="1" t="str">
        <f>IFERROR(__xludf.DUMMYFUNCTION("SPLIT(A1642,"";"")"),"L'OUMIGMAG")</f>
        <v>L'OUMIGMAG</v>
      </c>
      <c r="C1642" s="3">
        <f>IFERROR(__xludf.DUMMYFUNCTION("""COMPUTED_VALUE"""),1272.0)</f>
        <v>1272</v>
      </c>
      <c r="D1642" s="1">
        <v>0.0</v>
      </c>
      <c r="E1642" s="2"/>
      <c r="F1642" s="2"/>
      <c r="G1642" s="2"/>
      <c r="H1642" s="2"/>
      <c r="I1642" s="2"/>
    </row>
    <row r="1643">
      <c r="A1643" s="1" t="s">
        <v>902</v>
      </c>
      <c r="B1643" s="1" t="str">
        <f>IFERROR(__xludf.DUMMYFUNCTION("SPLIT(A1643,"";"")"),"LOUONS L'ETERNEL")</f>
        <v>LOUONS L'ETERNEL</v>
      </c>
      <c r="C1643" s="3">
        <f>IFERROR(__xludf.DUMMYFUNCTION("""COMPUTED_VALUE"""),2877.0)</f>
        <v>2877</v>
      </c>
      <c r="D1643" s="1">
        <v>0.0</v>
      </c>
      <c r="E1643" s="2"/>
      <c r="F1643" s="2"/>
      <c r="G1643" s="2"/>
      <c r="H1643" s="2"/>
      <c r="I1643" s="2"/>
    </row>
    <row r="1644">
      <c r="A1644" s="1" t="s">
        <v>903</v>
      </c>
      <c r="B1644" s="1" t="str">
        <f>IFERROR(__xludf.DUMMYFUNCTION("SPLIT(A1644,"";"")"),"LUDOLUDIK")</f>
        <v>LUDOLUDIK</v>
      </c>
      <c r="C1644" s="3">
        <f>IFERROR(__xludf.DUMMYFUNCTION("""COMPUTED_VALUE"""),3006.0)</f>
        <v>3006</v>
      </c>
      <c r="D1644" s="1">
        <v>22.0</v>
      </c>
      <c r="E1644" s="2"/>
      <c r="F1644" s="2"/>
      <c r="G1644" s="2"/>
      <c r="H1644" s="2"/>
      <c r="I1644" s="2"/>
    </row>
    <row r="1645">
      <c r="A1645" s="1" t="s">
        <v>904</v>
      </c>
      <c r="B1645" s="1" t="str">
        <f>IFERROR(__xludf.DUMMYFUNCTION("SPLIT(A1645,"";"")"),"LUNA D'AIGA")</f>
        <v>LUNA D'AIGA</v>
      </c>
      <c r="C1645" s="3">
        <f>IFERROR(__xludf.DUMMYFUNCTION("""COMPUTED_VALUE"""),3382.0)</f>
        <v>3382</v>
      </c>
      <c r="D1645" s="1">
        <v>0.0</v>
      </c>
      <c r="E1645" s="2"/>
      <c r="F1645" s="2"/>
      <c r="G1645" s="2"/>
      <c r="H1645" s="2"/>
      <c r="I1645" s="2"/>
    </row>
    <row r="1646">
      <c r="A1646" s="1" t="s">
        <v>905</v>
      </c>
      <c r="B1646" s="1" t="str">
        <f>IFERROR(__xludf.DUMMYFUNCTION("SPLIT(A1646,"";"")"),"LUPUS DE FRANCE")</f>
        <v>LUPUS DE FRANCE</v>
      </c>
      <c r="C1646" s="1">
        <f>IFERROR(__xludf.DUMMYFUNCTION("""COMPUTED_VALUE"""),265.0)</f>
        <v>265</v>
      </c>
      <c r="D1646" s="1">
        <v>0.0</v>
      </c>
      <c r="E1646" s="2"/>
      <c r="F1646" s="2"/>
      <c r="G1646" s="2"/>
      <c r="H1646" s="2"/>
      <c r="I1646" s="2"/>
    </row>
    <row r="1647">
      <c r="A1647" s="1" t="s">
        <v>906</v>
      </c>
      <c r="B1647" s="1" t="str">
        <f>IFERROR(__xludf.DUMMYFUNCTION("SPLIT(A1647,"";"")"),"MACCABI SPORTS DE BORDEAUX")</f>
        <v>MACCABI SPORTS DE BORDEAUX</v>
      </c>
      <c r="C1647" s="1">
        <f>IFERROR(__xludf.DUMMYFUNCTION("""COMPUTED_VALUE"""),892.0)</f>
        <v>892</v>
      </c>
      <c r="D1647" s="1">
        <v>72.0</v>
      </c>
      <c r="E1647" s="2"/>
      <c r="F1647" s="2"/>
      <c r="G1647" s="2"/>
      <c r="H1647" s="2"/>
      <c r="I1647" s="2"/>
    </row>
    <row r="1648">
      <c r="A1648" s="1" t="s">
        <v>907</v>
      </c>
      <c r="B1648" s="1" t="str">
        <f>IFERROR(__xludf.DUMMYFUNCTION("SPLIT(A1648,"";"")"),"MADE IN MOVEMENT")</f>
        <v>MADE IN MOVEMENT</v>
      </c>
      <c r="C1648" s="3">
        <f>IFERROR(__xludf.DUMMYFUNCTION("""COMPUTED_VALUE"""),9458.0)</f>
        <v>9458</v>
      </c>
      <c r="D1648" s="1">
        <v>0.0</v>
      </c>
      <c r="E1648" s="2"/>
      <c r="F1648" s="2"/>
      <c r="G1648" s="2"/>
      <c r="H1648" s="2"/>
      <c r="I1648" s="2"/>
    </row>
    <row r="1649">
      <c r="A1649" s="1" t="s">
        <v>908</v>
      </c>
      <c r="B1649" s="1" t="str">
        <f>IFERROR(__xludf.DUMMYFUNCTION("SPLIT(A1649,"";"")"),"MAGNETOGRAMMES ASSOCIATION")</f>
        <v>MAGNETOGRAMMES ASSOCIATION</v>
      </c>
      <c r="C1649" s="3">
        <f>IFERROR(__xludf.DUMMYFUNCTION("""COMPUTED_VALUE"""),7298.0)</f>
        <v>7298</v>
      </c>
      <c r="D1649" s="1">
        <v>0.0</v>
      </c>
      <c r="E1649" s="2"/>
      <c r="F1649" s="2"/>
      <c r="G1649" s="2"/>
      <c r="H1649" s="2"/>
      <c r="I1649" s="2"/>
    </row>
    <row r="1650">
      <c r="A1650" s="1" t="s">
        <v>909</v>
      </c>
      <c r="B1650" s="1" t="str">
        <f>IFERROR(__xludf.DUMMYFUNCTION("SPLIT(A1650,"";"")"),"MAISON D'ALGERIE EN AQUITAINE")</f>
        <v>MAISON D'ALGERIE EN AQUITAINE</v>
      </c>
      <c r="C1650" s="3">
        <f>IFERROR(__xludf.DUMMYFUNCTION("""COMPUTED_VALUE"""),1016.0)</f>
        <v>1016</v>
      </c>
      <c r="D1650" s="1">
        <v>22.0</v>
      </c>
      <c r="E1650" s="2"/>
      <c r="F1650" s="2"/>
      <c r="G1650" s="2"/>
      <c r="H1650" s="2"/>
      <c r="I1650" s="2"/>
    </row>
    <row r="1651">
      <c r="A1651" s="1" t="s">
        <v>910</v>
      </c>
      <c r="B1651" s="1" t="str">
        <f>IFERROR(__xludf.DUMMYFUNCTION("SPLIT(A1651,"";"")"),"MAISON DE LA NATURE ET DE L'ENVIRONNEMENT")</f>
        <v>MAISON DE LA NATURE ET DE L'ENVIRONNEMENT</v>
      </c>
      <c r="C1651" s="3">
        <f>IFERROR(__xludf.DUMMYFUNCTION("""COMPUTED_VALUE"""),33185.0)</f>
        <v>33185</v>
      </c>
      <c r="D1651" s="1">
        <v>0.0</v>
      </c>
      <c r="E1651" s="2"/>
      <c r="F1651" s="2"/>
      <c r="G1651" s="2"/>
      <c r="H1651" s="2"/>
      <c r="I1651" s="2"/>
    </row>
    <row r="1652">
      <c r="A1652" s="1" t="s">
        <v>911</v>
      </c>
      <c r="B1652" s="1" t="str">
        <f>IFERROR(__xludf.DUMMYFUNCTION("SPLIT(A1652,"";"")"),"MAISON DE L'EUROPE BORDEAUX-AQUITAINE (MEBA)")</f>
        <v>MAISON DE L'EUROPE BORDEAUX-AQUITAINE (MEBA)</v>
      </c>
      <c r="C1652" s="3">
        <f>IFERROR(__xludf.DUMMYFUNCTION("""COMPUTED_VALUE"""),42924.0)</f>
        <v>42924</v>
      </c>
      <c r="D1652" s="1">
        <v>0.0</v>
      </c>
      <c r="E1652" s="2"/>
      <c r="F1652" s="2"/>
      <c r="G1652" s="2"/>
      <c r="H1652" s="2"/>
      <c r="I1652" s="2"/>
    </row>
    <row r="1653">
      <c r="A1653" s="1" t="s">
        <v>912</v>
      </c>
      <c r="B1653" s="1" t="str">
        <f>IFERROR(__xludf.DUMMYFUNCTION("SPLIT(A1653,"";"")"),"MAISON DE L'INITIATIVE ET DE L'ENTREPRENEURIAT - MIE")</f>
        <v>MAISON DE L'INITIATIVE ET DE L'ENTREPRENEURIAT - MIE</v>
      </c>
      <c r="C1653" s="1">
        <f>IFERROR(__xludf.DUMMYFUNCTION("""COMPUTED_VALUE"""),117.0)</f>
        <v>117</v>
      </c>
      <c r="D1653" s="1">
        <v>60.0</v>
      </c>
      <c r="E1653" s="2"/>
      <c r="F1653" s="2"/>
      <c r="G1653" s="2"/>
      <c r="H1653" s="2"/>
      <c r="I1653" s="2"/>
    </row>
    <row r="1654">
      <c r="A1654" s="1" t="s">
        <v>913</v>
      </c>
      <c r="B1654" s="1" t="str">
        <f>IFERROR(__xludf.DUMMYFUNCTION("SPLIT(A1654,"";"")"),"MAISON DES ADOLESCENTS DE LA GIRONDE")</f>
        <v>MAISON DES ADOLESCENTS DE LA GIRONDE</v>
      </c>
      <c r="C1654" s="3">
        <f>IFERROR(__xludf.DUMMYFUNCTION("""COMPUTED_VALUE"""),7981.0)</f>
        <v>7981</v>
      </c>
      <c r="D1654" s="1">
        <v>18.0</v>
      </c>
      <c r="E1654" s="2"/>
      <c r="F1654" s="2"/>
      <c r="G1654" s="2"/>
      <c r="H1654" s="2"/>
      <c r="I1654" s="2"/>
    </row>
    <row r="1655">
      <c r="A1655" s="1" t="s">
        <v>914</v>
      </c>
      <c r="B1655" s="1" t="str">
        <f>IFERROR(__xludf.DUMMYFUNCTION("SPLIT(A1655,"";"")"),"MAISON DES FEMMES DE BORDEAUX")</f>
        <v>MAISON DES FEMMES DE BORDEAUX</v>
      </c>
      <c r="C1655" s="3">
        <f>IFERROR(__xludf.DUMMYFUNCTION("""COMPUTED_VALUE"""),1978.0)</f>
        <v>1978</v>
      </c>
      <c r="D1655" s="1">
        <v>94.0</v>
      </c>
      <c r="E1655" s="2"/>
      <c r="F1655" s="2"/>
      <c r="G1655" s="2"/>
      <c r="H1655" s="2"/>
      <c r="I1655" s="2"/>
    </row>
    <row r="1656">
      <c r="A1656" s="1" t="s">
        <v>915</v>
      </c>
      <c r="B1656" s="1" t="str">
        <f>IFERROR(__xludf.DUMMYFUNCTION("SPLIT(A1656,"";"")"),"MAISON DES JEUNES ET DE LA CULTURE CENTRE DE LOISIRS DES DEUX VILLES - MJC CL2V")</f>
        <v>MAISON DES JEUNES ET DE LA CULTURE CENTRE DE LOISIRS DES DEUX VILLES - MJC CL2V</v>
      </c>
      <c r="C1656" s="1">
        <f>IFERROR(__xludf.DUMMYFUNCTION("""COMPUTED_VALUE"""),178.0)</f>
        <v>178</v>
      </c>
      <c r="D1656" s="1">
        <v>14.0</v>
      </c>
      <c r="E1656" s="2"/>
      <c r="F1656" s="2"/>
      <c r="G1656" s="2"/>
      <c r="H1656" s="2"/>
      <c r="I1656" s="2"/>
    </row>
    <row r="1657">
      <c r="A1657" s="1" t="s">
        <v>916</v>
      </c>
      <c r="B1657" s="1" t="str">
        <f>IFERROR(__xludf.DUMMYFUNCTION("SPLIT(A1657,"";"")"),"MAISON DES METIERS DE L'IMPRIMERIE")</f>
        <v>MAISON DES METIERS DE L'IMPRIMERIE</v>
      </c>
      <c r="C1657" s="3">
        <f>IFERROR(__xludf.DUMMYFUNCTION("""COMPUTED_VALUE"""),26136.0)</f>
        <v>26136</v>
      </c>
      <c r="D1657" s="1">
        <v>0.0</v>
      </c>
      <c r="E1657" s="2"/>
      <c r="F1657" s="2"/>
      <c r="G1657" s="2"/>
      <c r="H1657" s="2"/>
      <c r="I1657" s="2"/>
    </row>
    <row r="1658">
      <c r="A1658" s="1" t="s">
        <v>917</v>
      </c>
      <c r="B1658" s="1" t="str">
        <f>IFERROR(__xludf.DUMMYFUNCTION("SPLIT(A1658,"";"")"),"MAISON DES SOURDS DE LA GIRONDE - MS 33")</f>
        <v>MAISON DES SOURDS DE LA GIRONDE - MS 33</v>
      </c>
      <c r="C1658" s="3">
        <f>IFERROR(__xludf.DUMMYFUNCTION("""COMPUTED_VALUE"""),6406.0)</f>
        <v>6406</v>
      </c>
      <c r="D1658" s="1">
        <v>0.0</v>
      </c>
      <c r="E1658" s="2"/>
      <c r="F1658" s="2"/>
      <c r="G1658" s="2"/>
      <c r="H1658" s="2"/>
      <c r="I1658" s="2"/>
    </row>
    <row r="1659">
      <c r="A1659" s="1" t="s">
        <v>918</v>
      </c>
      <c r="B1659" s="1" t="str">
        <f>IFERROR(__xludf.DUMMYFUNCTION("SPLIT(A1659,"";"")"),"MAISON DUPEUX")</f>
        <v>MAISON DUPEUX</v>
      </c>
      <c r="C1659" s="1">
        <f>IFERROR(__xludf.DUMMYFUNCTION("""COMPUTED_VALUE"""),117.0)</f>
        <v>117</v>
      </c>
      <c r="D1659" s="1">
        <v>42.0</v>
      </c>
      <c r="E1659" s="2"/>
      <c r="F1659" s="2"/>
      <c r="G1659" s="2"/>
      <c r="H1659" s="2"/>
      <c r="I1659" s="2"/>
    </row>
    <row r="1660">
      <c r="A1660" s="1" t="s">
        <v>919</v>
      </c>
      <c r="B1660" s="1" t="str">
        <f>IFERROR(__xludf.DUMMYFUNCTION("SPLIT(A1660,"";"")"),"MAJ")</f>
        <v>MAJ</v>
      </c>
      <c r="C1660" s="1">
        <f>IFERROR(__xludf.DUMMYFUNCTION("""COMPUTED_VALUE"""),984.0)</f>
        <v>984</v>
      </c>
      <c r="D1660" s="1">
        <v>0.0</v>
      </c>
      <c r="E1660" s="2"/>
      <c r="F1660" s="2"/>
      <c r="G1660" s="2"/>
      <c r="H1660" s="2"/>
      <c r="I1660" s="2"/>
    </row>
    <row r="1661">
      <c r="A1661" s="1" t="s">
        <v>920</v>
      </c>
      <c r="B1661" s="1" t="str">
        <f>IFERROR(__xludf.DUMMYFUNCTION("SPLIT(A1661,"";"")"),"MAM'OURS")</f>
        <v>MAM'OURS</v>
      </c>
      <c r="C1661" s="1">
        <f>IFERROR(__xludf.DUMMYFUNCTION("""COMPUTED_VALUE"""),120.0)</f>
        <v>120</v>
      </c>
      <c r="D1661" s="1">
        <v>78.0</v>
      </c>
      <c r="E1661" s="2"/>
      <c r="F1661" s="2"/>
      <c r="G1661" s="2"/>
      <c r="H1661" s="2"/>
      <c r="I1661" s="2"/>
    </row>
    <row r="1662">
      <c r="A1662" s="1" t="s">
        <v>921</v>
      </c>
      <c r="B1662" s="1" t="str">
        <f>IFERROR(__xludf.DUMMYFUNCTION("SPLIT(A1662,"";"")"),"MANA")</f>
        <v>MANA</v>
      </c>
      <c r="C1662" s="3">
        <f>IFERROR(__xludf.DUMMYFUNCTION("""COMPUTED_VALUE"""),1939.0)</f>
        <v>1939</v>
      </c>
      <c r="D1662" s="1">
        <v>40.0</v>
      </c>
      <c r="E1662" s="2"/>
      <c r="F1662" s="2"/>
      <c r="G1662" s="2"/>
      <c r="H1662" s="2"/>
      <c r="I1662" s="2"/>
    </row>
    <row r="1663">
      <c r="A1663" s="1" t="s">
        <v>922</v>
      </c>
      <c r="B1663" s="1" t="str">
        <f>IFERROR(__xludf.DUMMYFUNCTION("SPLIT(A1663,"";"")"),"MANDORA")</f>
        <v>MANDORA</v>
      </c>
      <c r="C1663" s="3">
        <f>IFERROR(__xludf.DUMMYFUNCTION("""COMPUTED_VALUE"""),8192.0)</f>
        <v>8192</v>
      </c>
      <c r="D1663" s="1">
        <v>3.0</v>
      </c>
      <c r="E1663" s="2"/>
      <c r="F1663" s="2"/>
      <c r="G1663" s="2"/>
      <c r="H1663" s="2"/>
      <c r="I1663" s="2"/>
    </row>
    <row r="1664">
      <c r="A1664" s="1" t="s">
        <v>923</v>
      </c>
      <c r="B1664" s="1" t="str">
        <f>IFERROR(__xludf.DUMMYFUNCTION("SPLIT(A1664,"";"")"),"MANTA PLONGEE")</f>
        <v>MANTA PLONGEE</v>
      </c>
      <c r="C1664" s="3">
        <f>IFERROR(__xludf.DUMMYFUNCTION("""COMPUTED_VALUE"""),5581.0)</f>
        <v>5581</v>
      </c>
      <c r="D1664" s="1">
        <v>26.0</v>
      </c>
      <c r="E1664" s="2"/>
      <c r="F1664" s="2"/>
      <c r="G1664" s="2"/>
      <c r="H1664" s="2"/>
      <c r="I1664" s="2"/>
    </row>
    <row r="1665">
      <c r="A1665" s="1" t="s">
        <v>924</v>
      </c>
      <c r="B1665" s="1" t="str">
        <f>IFERROR(__xludf.DUMMYFUNCTION("SPLIT(A1665,"";"")"),"MARATHON JOB EUROPA")</f>
        <v>MARATHON JOB EUROPA</v>
      </c>
      <c r="C1665" s="1">
        <f>IFERROR(__xludf.DUMMYFUNCTION("""COMPUTED_VALUE"""),777.0)</f>
        <v>777</v>
      </c>
      <c r="D1665" s="1">
        <v>48.0</v>
      </c>
      <c r="E1665" s="2"/>
      <c r="F1665" s="2"/>
      <c r="G1665" s="2"/>
      <c r="H1665" s="2"/>
      <c r="I1665" s="2"/>
    </row>
    <row r="1666">
      <c r="A1666" s="1" t="s">
        <v>925</v>
      </c>
      <c r="B1666" s="1" t="str">
        <f>IFERROR(__xludf.DUMMYFUNCTION("SPLIT(A1666,"";"")"),"MAROC")</f>
        <v>MAROC</v>
      </c>
      <c r="C1666" s="1"/>
      <c r="D1666" s="1" t="s">
        <v>926</v>
      </c>
      <c r="E1666" s="1">
        <v>72.0</v>
      </c>
      <c r="F1666" s="2"/>
      <c r="G1666" s="2"/>
      <c r="H1666" s="2"/>
      <c r="I1666" s="2"/>
    </row>
    <row r="1667">
      <c r="A1667" s="1" t="s">
        <v>927</v>
      </c>
      <c r="B1667" s="1" t="str">
        <f>IFERROR(__xludf.DUMMYFUNCTION("SPLIT(A1667,"";"")"),"MASCARETS")</f>
        <v>MASCARETS</v>
      </c>
      <c r="C1667" s="3">
        <f>IFERROR(__xludf.DUMMYFUNCTION("""COMPUTED_VALUE"""),13872.0)</f>
        <v>13872</v>
      </c>
      <c r="D1667" s="1">
        <v>1.0</v>
      </c>
      <c r="E1667" s="2"/>
      <c r="F1667" s="2"/>
      <c r="G1667" s="2"/>
      <c r="H1667" s="2"/>
      <c r="I1667" s="2"/>
    </row>
    <row r="1668">
      <c r="A1668" s="1" t="s">
        <v>928</v>
      </c>
      <c r="B1668" s="1" t="str">
        <f>IFERROR(__xludf.DUMMYFUNCTION("SPLIT(A1668,"";"")"),"MAWA DE GIRONDE")</f>
        <v>MAWA DE GIRONDE</v>
      </c>
      <c r="C1668" s="1">
        <f>IFERROR(__xludf.DUMMYFUNCTION("""COMPUTED_VALUE"""),587.0)</f>
        <v>587</v>
      </c>
      <c r="D1668" s="1">
        <v>0.0</v>
      </c>
      <c r="E1668" s="2"/>
      <c r="F1668" s="2"/>
      <c r="G1668" s="2"/>
      <c r="H1668" s="2"/>
      <c r="I1668" s="2"/>
    </row>
    <row r="1669">
      <c r="A1669" s="1" t="s">
        <v>929</v>
      </c>
      <c r="B1669" s="1" t="str">
        <f>IFERROR(__xludf.DUMMYFUNCTION("SPLIT(A1669,"";"")"),"MBOLO ASSOCIATION DES GABONAIS DE LA GIRONDE")</f>
        <v>MBOLO ASSOCIATION DES GABONAIS DE LA GIRONDE</v>
      </c>
      <c r="C1669" s="1">
        <f>IFERROR(__xludf.DUMMYFUNCTION("""COMPUTED_VALUE"""),491.0)</f>
        <v>491</v>
      </c>
      <c r="D1669" s="1">
        <v>0.0</v>
      </c>
      <c r="E1669" s="2"/>
      <c r="F1669" s="2"/>
      <c r="G1669" s="2"/>
      <c r="H1669" s="2"/>
      <c r="I1669" s="2"/>
    </row>
    <row r="1670">
      <c r="A1670" s="1" t="s">
        <v>930</v>
      </c>
      <c r="B1670" s="1" t="str">
        <f>IFERROR(__xludf.DUMMYFUNCTION("SPLIT(A1670,"";"")"),"MEDECINS DU MONDE")</f>
        <v>MEDECINS DU MONDE</v>
      </c>
      <c r="C1670" s="3">
        <f>IFERROR(__xludf.DUMMYFUNCTION("""COMPUTED_VALUE"""),2684.0)</f>
        <v>2684</v>
      </c>
      <c r="D1670" s="1">
        <v>20.0</v>
      </c>
      <c r="E1670" s="2"/>
      <c r="F1670" s="2"/>
      <c r="G1670" s="2"/>
      <c r="H1670" s="2"/>
      <c r="I1670" s="2"/>
    </row>
    <row r="1671">
      <c r="A1671" s="1" t="s">
        <v>931</v>
      </c>
      <c r="B1671" s="1" t="str">
        <f>IFERROR(__xludf.DUMMYFUNCTION("SPLIT(A1671,"";"")"),"MELTING SIGNES")</f>
        <v>MELTING SIGNES</v>
      </c>
      <c r="C1671" s="1">
        <f>IFERROR(__xludf.DUMMYFUNCTION("""COMPUTED_VALUE"""),420.0)</f>
        <v>420</v>
      </c>
      <c r="D1671" s="1">
        <v>0.0</v>
      </c>
      <c r="E1671" s="2"/>
      <c r="F1671" s="2"/>
      <c r="G1671" s="2"/>
      <c r="H1671" s="2"/>
      <c r="I1671" s="2"/>
    </row>
    <row r="1672">
      <c r="A1672" s="1" t="s">
        <v>932</v>
      </c>
      <c r="B1672" s="1" t="str">
        <f>IFERROR(__xludf.DUMMYFUNCTION("SPLIT(A1672,"";"")"),"MENSA AQUITAINE")</f>
        <v>MENSA AQUITAINE</v>
      </c>
      <c r="C1672" s="1">
        <f>IFERROR(__xludf.DUMMYFUNCTION("""COMPUTED_VALUE"""),587.0)</f>
        <v>587</v>
      </c>
      <c r="D1672" s="1">
        <v>0.0</v>
      </c>
      <c r="E1672" s="2"/>
      <c r="F1672" s="2"/>
      <c r="G1672" s="2"/>
      <c r="H1672" s="2"/>
      <c r="I1672" s="2"/>
    </row>
    <row r="1673">
      <c r="A1673" s="1" t="s">
        <v>933</v>
      </c>
      <c r="B1673" s="1" t="str">
        <f>IFERROR(__xludf.DUMMYFUNCTION("SPLIT(A1673,"";"")"),"MERCI GERTRUDE")</f>
        <v>MERCI GERTRUDE</v>
      </c>
      <c r="C1673" s="3">
        <f>IFERROR(__xludf.DUMMYFUNCTION("""COMPUTED_VALUE"""),2432.0)</f>
        <v>2432</v>
      </c>
      <c r="D1673" s="1">
        <v>69.0</v>
      </c>
      <c r="E1673" s="2"/>
      <c r="F1673" s="2"/>
      <c r="G1673" s="2"/>
      <c r="H1673" s="2"/>
      <c r="I1673" s="2"/>
    </row>
    <row r="1674">
      <c r="A1674" s="1" t="s">
        <v>934</v>
      </c>
      <c r="B1674" s="1" t="str">
        <f>IFERROR(__xludf.DUMMYFUNCTION("SPLIT(A1674,"";"")"),"MHIGE INSEEC - MISSION INTER GRANDES ECOLES DE L'INSEEC")</f>
        <v>MHIGE INSEEC - MISSION INTER GRANDES ECOLES DE L'INSEEC</v>
      </c>
      <c r="C1674" s="1">
        <f>IFERROR(__xludf.DUMMYFUNCTION("""COMPUTED_VALUE"""),11.0)</f>
        <v>11</v>
      </c>
      <c r="D1674" s="1">
        <v>23.0</v>
      </c>
      <c r="E1674" s="2"/>
      <c r="F1674" s="2"/>
      <c r="G1674" s="2"/>
      <c r="H1674" s="2"/>
      <c r="I1674" s="2"/>
    </row>
    <row r="1675">
      <c r="A1675" s="1" t="s">
        <v>935</v>
      </c>
      <c r="B1675" s="1" t="str">
        <f>IFERROR(__xludf.DUMMYFUNCTION("SPLIT(A1675,"";"")"),"MIGRATIONS CULTURELLES AQUITAINE - AFRIQUES (MC2A)")</f>
        <v>MIGRATIONS CULTURELLES AQUITAINE - AFRIQUES (MC2A)</v>
      </c>
      <c r="C1675" s="3">
        <f>IFERROR(__xludf.DUMMYFUNCTION("""COMPUTED_VALUE"""),35680.0)</f>
        <v>35680</v>
      </c>
      <c r="D1675" s="1">
        <v>96.0</v>
      </c>
      <c r="E1675" s="2"/>
      <c r="F1675" s="2"/>
      <c r="G1675" s="2"/>
      <c r="H1675" s="2"/>
      <c r="I1675" s="2"/>
    </row>
    <row r="1676">
      <c r="A1676" s="1" t="s">
        <v>936</v>
      </c>
      <c r="B1676" s="1" t="str">
        <f>IFERROR(__xludf.DUMMYFUNCTION("SPLIT(A1676,"";"")"),"MINE DE RIEN")</f>
        <v>MINE DE RIEN</v>
      </c>
      <c r="C1676" s="3">
        <f>IFERROR(__xludf.DUMMYFUNCTION("""COMPUTED_VALUE"""),17441.0)</f>
        <v>17441</v>
      </c>
      <c r="D1676" s="1">
        <v>93.0</v>
      </c>
      <c r="E1676" s="2"/>
      <c r="F1676" s="2"/>
      <c r="G1676" s="2"/>
      <c r="H1676" s="2"/>
      <c r="I1676" s="2"/>
    </row>
    <row r="1677">
      <c r="A1677" s="1" t="s">
        <v>937</v>
      </c>
      <c r="B1677" s="1" t="str">
        <f>IFERROR(__xludf.DUMMYFUNCTION("SPLIT(A1677,"";"")"),"MIRAIL INFORMATIQUE")</f>
        <v>MIRAIL INFORMATIQUE</v>
      </c>
      <c r="C1677" s="1">
        <f>IFERROR(__xludf.DUMMYFUNCTION("""COMPUTED_VALUE"""),365.0)</f>
        <v>365</v>
      </c>
      <c r="D1677" s="1">
        <v>40.0</v>
      </c>
      <c r="E1677" s="2"/>
      <c r="F1677" s="2"/>
      <c r="G1677" s="2"/>
      <c r="H1677" s="2"/>
      <c r="I1677" s="2"/>
    </row>
    <row r="1678">
      <c r="A1678" s="1" t="s">
        <v>938</v>
      </c>
      <c r="B1678" s="1" t="str">
        <f>IFERROR(__xludf.DUMMYFUNCTION("SPLIT(A1678,"";"")"),"MISSION LOCALE BORDEAUX AVENIR JEUNES")</f>
        <v>MISSION LOCALE BORDEAUX AVENIR JEUNES</v>
      </c>
      <c r="C1678" s="3">
        <f>IFERROR(__xludf.DUMMYFUNCTION("""COMPUTED_VALUE"""),75165.0)</f>
        <v>75165</v>
      </c>
      <c r="D1678" s="1">
        <v>39.0</v>
      </c>
      <c r="E1678" s="2"/>
      <c r="F1678" s="2"/>
      <c r="G1678" s="2"/>
      <c r="H1678" s="2"/>
      <c r="I1678" s="2"/>
    </row>
    <row r="1679">
      <c r="A1679" s="1" t="s">
        <v>939</v>
      </c>
      <c r="B1679" s="1" t="str">
        <f>IFERROR(__xludf.DUMMYFUNCTION("SPLIT(A1679,"";"")"),"MOI NON PLUS")</f>
        <v>MOI NON PLUS</v>
      </c>
      <c r="C1679" s="3">
        <f>IFERROR(__xludf.DUMMYFUNCTION("""COMPUTED_VALUE"""),7654.0)</f>
        <v>7654</v>
      </c>
      <c r="D1679" s="1">
        <v>0.0</v>
      </c>
      <c r="E1679" s="2"/>
      <c r="F1679" s="2"/>
      <c r="G1679" s="2"/>
      <c r="H1679" s="2"/>
      <c r="I1679" s="2"/>
    </row>
    <row r="1680">
      <c r="A1680" s="1" t="s">
        <v>940</v>
      </c>
      <c r="B1680" s="1" t="str">
        <f>IFERROR(__xludf.DUMMYFUNCTION("SPLIT(A1680,"";"")"),"MONTS ET MERVEILLES")</f>
        <v>MONTS ET MERVEILLES</v>
      </c>
      <c r="C1680" s="1">
        <f>IFERROR(__xludf.DUMMYFUNCTION("""COMPUTED_VALUE"""),265.0)</f>
        <v>265</v>
      </c>
      <c r="D1680" s="1">
        <v>0.0</v>
      </c>
      <c r="E1680" s="2"/>
      <c r="F1680" s="2"/>
      <c r="G1680" s="2"/>
      <c r="H1680" s="2"/>
      <c r="I1680" s="2"/>
    </row>
    <row r="1681">
      <c r="A1681" s="1" t="s">
        <v>941</v>
      </c>
      <c r="B1681" s="1" t="str">
        <f>IFERROR(__xludf.DUMMYFUNCTION("SPLIT(A1681,"";"")"),"MOTO CLUB HEXAGON BORDEAUX")</f>
        <v>MOTO CLUB HEXAGON BORDEAUX</v>
      </c>
      <c r="C1681" s="3">
        <f>IFERROR(__xludf.DUMMYFUNCTION("""COMPUTED_VALUE"""),9920.0)</f>
        <v>9920</v>
      </c>
      <c r="D1681" s="1">
        <v>0.0</v>
      </c>
      <c r="E1681" s="2"/>
      <c r="F1681" s="2"/>
      <c r="G1681" s="2"/>
      <c r="H1681" s="2"/>
      <c r="I1681" s="2"/>
    </row>
    <row r="1682">
      <c r="A1682" s="1" t="s">
        <v>942</v>
      </c>
      <c r="B1682" s="1" t="str">
        <f>IFERROR(__xludf.DUMMYFUNCTION("SPLIT(A1682,"";"")"),"MOTS ET MATIERES(S)")</f>
        <v>MOTS ET MATIERES(S)</v>
      </c>
      <c r="C1682" s="1">
        <f>IFERROR(__xludf.DUMMYFUNCTION("""COMPUTED_VALUE"""),80.0)</f>
        <v>80</v>
      </c>
      <c r="D1682" s="1">
        <v>0.0</v>
      </c>
      <c r="E1682" s="2"/>
      <c r="F1682" s="2"/>
      <c r="G1682" s="2"/>
      <c r="H1682" s="2"/>
      <c r="I1682" s="2"/>
    </row>
    <row r="1683">
      <c r="A1683" s="1" t="s">
        <v>943</v>
      </c>
      <c r="B1683" s="1" t="str">
        <f>IFERROR(__xludf.DUMMYFUNCTION("SPLIT(A1683,"";"")"),"MOUVEMENT ATD QUART MONDE")</f>
        <v>MOUVEMENT ATD QUART MONDE</v>
      </c>
      <c r="C1683" s="3">
        <f>IFERROR(__xludf.DUMMYFUNCTION("""COMPUTED_VALUE"""),21846.0)</f>
        <v>21846</v>
      </c>
      <c r="D1683" s="1">
        <v>78.0</v>
      </c>
      <c r="E1683" s="2"/>
      <c r="F1683" s="2"/>
      <c r="G1683" s="2"/>
      <c r="H1683" s="2"/>
      <c r="I1683" s="2"/>
    </row>
    <row r="1684">
      <c r="A1684" s="1" t="s">
        <v>944</v>
      </c>
      <c r="B1684" s="1" t="str">
        <f>IFERROR(__xludf.DUMMYFUNCTION("SPLIT(A1684,"";"")"),"MOUVEMENT ETUDIANT REPUBLICAIN POUR LE DEBAT ET L'ENGAGEMENT")</f>
        <v>MOUVEMENT ETUDIANT REPUBLICAIN POUR LE DEBAT ET L'ENGAGEMENT</v>
      </c>
      <c r="C1684" s="1">
        <f>IFERROR(__xludf.DUMMYFUNCTION("""COMPUTED_VALUE"""),396.0)</f>
        <v>396</v>
      </c>
      <c r="D1684" s="1">
        <v>0.0</v>
      </c>
      <c r="E1684" s="2"/>
      <c r="F1684" s="2"/>
      <c r="G1684" s="2"/>
      <c r="H1684" s="2"/>
      <c r="I1684" s="2"/>
    </row>
    <row r="1685">
      <c r="A1685" s="1" t="s">
        <v>945</v>
      </c>
      <c r="B1685" s="1" t="str">
        <f>IFERROR(__xludf.DUMMYFUNCTION("SPLIT(A1685,"";"")"),"MOUVEMENT EUROPEEN FRANCE-GIRONDE")</f>
        <v>MOUVEMENT EUROPEEN FRANCE-GIRONDE</v>
      </c>
      <c r="C1685" s="1">
        <f>IFERROR(__xludf.DUMMYFUNCTION("""COMPUTED_VALUE"""),265.0)</f>
        <v>265</v>
      </c>
      <c r="D1685" s="1">
        <v>0.0</v>
      </c>
      <c r="E1685" s="2"/>
      <c r="F1685" s="2"/>
      <c r="G1685" s="2"/>
      <c r="H1685" s="2"/>
      <c r="I1685" s="2"/>
    </row>
    <row r="1686">
      <c r="A1686" s="1" t="s">
        <v>946</v>
      </c>
      <c r="B1686" s="1" t="str">
        <f>IFERROR(__xludf.DUMMYFUNCTION("SPLIT(A1686,"";"")"),"MOUVEMENT FRANCAIS POUR LE PLANNING FAMILIAL - ASSOCIATION DEPARTEMENTALE DE LA GIRONDE")</f>
        <v>MOUVEMENT FRANCAIS POUR LE PLANNING FAMILIAL - ASSOCIATION DEPARTEMENTALE DE LA GIRONDE</v>
      </c>
      <c r="C1686" s="1">
        <f>IFERROR(__xludf.DUMMYFUNCTION("""COMPUTED_VALUE"""),111.0)</f>
        <v>111</v>
      </c>
      <c r="D1686" s="1">
        <v>0.0</v>
      </c>
      <c r="E1686" s="2"/>
      <c r="F1686" s="2"/>
      <c r="G1686" s="2"/>
      <c r="H1686" s="2"/>
      <c r="I1686" s="2"/>
    </row>
    <row r="1687">
      <c r="A1687" s="1" t="s">
        <v>947</v>
      </c>
      <c r="B1687" s="1" t="str">
        <f>IFERROR(__xludf.DUMMYFUNCTION("SPLIT(A1687,"";"")"),"MUSICA IN CATHEDRA")</f>
        <v>MUSICA IN CATHEDRA</v>
      </c>
      <c r="C1687" s="1">
        <f>IFERROR(__xludf.DUMMYFUNCTION("""COMPUTED_VALUE"""),34.0)</f>
        <v>34</v>
      </c>
      <c r="D1687" s="1">
        <v>0.0</v>
      </c>
      <c r="E1687" s="2"/>
      <c r="F1687" s="2"/>
      <c r="G1687" s="2"/>
      <c r="H1687" s="2"/>
      <c r="I1687" s="2"/>
    </row>
    <row r="1688">
      <c r="A1688" s="1" t="s">
        <v>948</v>
      </c>
      <c r="B1688" s="1" t="str">
        <f>IFERROR(__xludf.DUMMYFUNCTION("SPLIT(A1688,"";"")"),"MUSIC'S COOL")</f>
        <v>MUSIC'S COOL</v>
      </c>
      <c r="C1688" s="3">
        <f>IFERROR(__xludf.DUMMYFUNCTION("""COMPUTED_VALUE"""),9650.0)</f>
        <v>9650</v>
      </c>
      <c r="D1688" s="1">
        <v>0.0</v>
      </c>
      <c r="E1688" s="2"/>
      <c r="F1688" s="2"/>
      <c r="G1688" s="2"/>
      <c r="H1688" s="2"/>
      <c r="I1688" s="2"/>
    </row>
    <row r="1689">
      <c r="A1689" s="1" t="s">
        <v>949</v>
      </c>
      <c r="B1689" s="1" t="str">
        <f>IFERROR(__xludf.DUMMYFUNCTION("SPLIT(A1689,"";"")"),"MUSIQUE MUNICIPALE")</f>
        <v>MUSIQUE MUNICIPALE</v>
      </c>
      <c r="C1689" s="3">
        <f>IFERROR(__xludf.DUMMYFUNCTION("""COMPUTED_VALUE"""),1845.0)</f>
        <v>1845</v>
      </c>
      <c r="D1689" s="1">
        <v>0.0</v>
      </c>
      <c r="E1689" s="2"/>
      <c r="F1689" s="2"/>
      <c r="G1689" s="2"/>
      <c r="H1689" s="2"/>
      <c r="I1689" s="2"/>
    </row>
    <row r="1690">
      <c r="A1690" s="1" t="s">
        <v>950</v>
      </c>
      <c r="B1690" s="1" t="str">
        <f>IFERROR(__xludf.DUMMYFUNCTION("SPLIT(A1690,"";"")"),"MUSIQUES DE NUIT - DIFFUSION")</f>
        <v>MUSIQUES DE NUIT - DIFFUSION</v>
      </c>
      <c r="C1690" s="3">
        <f>IFERROR(__xludf.DUMMYFUNCTION("""COMPUTED_VALUE"""),18557.0)</f>
        <v>18557</v>
      </c>
      <c r="D1690" s="1">
        <v>92.0</v>
      </c>
      <c r="E1690" s="2"/>
      <c r="F1690" s="2"/>
      <c r="G1690" s="2"/>
      <c r="H1690" s="2"/>
      <c r="I1690" s="2"/>
    </row>
    <row r="1691">
      <c r="A1691" s="1" t="s">
        <v>951</v>
      </c>
      <c r="B1691" s="1" t="str">
        <f>IFERROR(__xludf.DUMMYFUNCTION("SPLIT(A1691,"";"")"),"MUSIQUES EN ROUTE")</f>
        <v>MUSIQUES EN ROUTE</v>
      </c>
      <c r="C1691" s="3">
        <f>IFERROR(__xludf.DUMMYFUNCTION("""COMPUTED_VALUE"""),1560.0)</f>
        <v>1560</v>
      </c>
      <c r="D1691" s="1">
        <v>0.0</v>
      </c>
      <c r="E1691" s="2"/>
      <c r="F1691" s="2"/>
      <c r="G1691" s="2"/>
      <c r="H1691" s="2"/>
      <c r="I1691" s="2"/>
    </row>
    <row r="1692">
      <c r="A1692" s="1" t="s">
        <v>952</v>
      </c>
      <c r="B1692" s="1" t="str">
        <f>IFERROR(__xludf.DUMMYFUNCTION("SPLIT(A1692,"";"")"),"MY KARTEL")</f>
        <v>MY KARTEL</v>
      </c>
      <c r="C1692" s="3">
        <f>IFERROR(__xludf.DUMMYFUNCTION("""COMPUTED_VALUE"""),1288.0)</f>
        <v>1288</v>
      </c>
      <c r="D1692" s="1">
        <v>80.0</v>
      </c>
      <c r="E1692" s="2"/>
      <c r="F1692" s="2"/>
      <c r="G1692" s="2"/>
      <c r="H1692" s="2"/>
      <c r="I1692" s="2"/>
    </row>
    <row r="1693">
      <c r="A1693" s="1" t="s">
        <v>953</v>
      </c>
      <c r="B1693" s="1" t="str">
        <f>IFERROR(__xludf.DUMMYFUNCTION("SPLIT(A1693,"";"")"),"NACAO PALMARES CAPOEIRA DE BORDEAUX")</f>
        <v>NACAO PALMARES CAPOEIRA DE BORDEAUX</v>
      </c>
      <c r="C1693" s="3">
        <f>IFERROR(__xludf.DUMMYFUNCTION("""COMPUTED_VALUE"""),1539.0)</f>
        <v>1539</v>
      </c>
      <c r="D1693" s="1">
        <v>0.0</v>
      </c>
      <c r="E1693" s="2"/>
      <c r="F1693" s="2"/>
      <c r="G1693" s="2"/>
      <c r="H1693" s="2"/>
      <c r="I1693" s="2"/>
    </row>
    <row r="1694">
      <c r="A1694" s="1" t="s">
        <v>954</v>
      </c>
      <c r="B1694" s="1" t="str">
        <f>IFERROR(__xludf.DUMMYFUNCTION("SPLIT(A1694,"";"")"),"NEW BASKET ATTITUDE")</f>
        <v>NEW BASKET ATTITUDE</v>
      </c>
      <c r="C1694" s="3">
        <f>IFERROR(__xludf.DUMMYFUNCTION("""COMPUTED_VALUE"""),50148.0)</f>
        <v>50148</v>
      </c>
      <c r="D1694" s="1">
        <v>0.0</v>
      </c>
      <c r="E1694" s="2"/>
      <c r="F1694" s="2"/>
      <c r="G1694" s="2"/>
      <c r="H1694" s="2"/>
      <c r="I1694" s="2"/>
    </row>
    <row r="1695">
      <c r="A1695" s="1" t="s">
        <v>955</v>
      </c>
      <c r="B1695" s="1" t="str">
        <f>IFERROR(__xludf.DUMMYFUNCTION("SPLIT(A1695,"";"")"),"NIRE LAGUNA THOMAS")</f>
        <v>NIRE LAGUNA THOMAS</v>
      </c>
      <c r="C1695" s="3">
        <f>IFERROR(__xludf.DUMMYFUNCTION("""COMPUTED_VALUE"""),4200.0)</f>
        <v>4200</v>
      </c>
      <c r="D1695" s="1">
        <v>79.0</v>
      </c>
      <c r="E1695" s="2"/>
      <c r="F1695" s="2"/>
      <c r="G1695" s="2"/>
      <c r="H1695" s="2"/>
      <c r="I1695" s="2"/>
    </row>
    <row r="1696">
      <c r="A1696" s="1" t="s">
        <v>956</v>
      </c>
      <c r="B1696" s="1" t="str">
        <f>IFERROR(__xludf.DUMMYFUNCTION("SPLIT(A1696,"";"")"),"NOTRE DAME DE BARRAILS")</f>
        <v>NOTRE DAME DE BARRAILS</v>
      </c>
      <c r="C1696" s="3">
        <f>IFERROR(__xludf.DUMMYFUNCTION("""COMPUTED_VALUE"""),37520.0)</f>
        <v>37520</v>
      </c>
      <c r="D1696" s="1">
        <v>0.0</v>
      </c>
      <c r="E1696" s="2"/>
      <c r="F1696" s="2"/>
      <c r="G1696" s="2"/>
      <c r="H1696" s="2"/>
      <c r="I1696" s="2"/>
    </row>
    <row r="1697">
      <c r="A1697" s="1" t="s">
        <v>957</v>
      </c>
      <c r="B1697" s="1" t="str">
        <f>IFERROR(__xludf.DUMMYFUNCTION("SPLIT(A1697,"";"")"),"NOTRE ITALIE")</f>
        <v>NOTRE ITALIE</v>
      </c>
      <c r="C1697" s="1">
        <f>IFERROR(__xludf.DUMMYFUNCTION("""COMPUTED_VALUE"""),410.0)</f>
        <v>410</v>
      </c>
      <c r="D1697" s="1">
        <v>0.0</v>
      </c>
      <c r="E1697" s="2"/>
      <c r="F1697" s="2"/>
      <c r="G1697" s="2"/>
      <c r="H1697" s="2"/>
      <c r="I1697" s="2"/>
    </row>
    <row r="1698">
      <c r="A1698" s="1" t="s">
        <v>958</v>
      </c>
      <c r="B1698" s="1" t="str">
        <f>IFERROR(__xludf.DUMMYFUNCTION("SPLIT(A1698,"";"")"),"NOUS CITOYENS")</f>
        <v>NOUS CITOYENS</v>
      </c>
      <c r="C1698" s="1">
        <f>IFERROR(__xludf.DUMMYFUNCTION("""COMPUTED_VALUE"""),468.0)</f>
        <v>468</v>
      </c>
      <c r="D1698" s="1">
        <v>0.0</v>
      </c>
      <c r="E1698" s="2"/>
      <c r="F1698" s="2"/>
      <c r="G1698" s="2"/>
      <c r="H1698" s="2"/>
      <c r="I1698" s="2"/>
    </row>
    <row r="1699">
      <c r="A1699" s="1" t="s">
        <v>959</v>
      </c>
      <c r="B1699" s="1" t="str">
        <f>IFERROR(__xludf.DUMMYFUNCTION("SPLIT(A1699,"";"")"),"NOUS VOULONS LIRE !")</f>
        <v>NOUS VOULONS LIRE !</v>
      </c>
      <c r="C1699" s="3">
        <f>IFERROR(__xludf.DUMMYFUNCTION("""COMPUTED_VALUE"""),11081.0)</f>
        <v>11081</v>
      </c>
      <c r="D1699" s="1">
        <v>0.0</v>
      </c>
      <c r="E1699" s="2"/>
      <c r="F1699" s="2"/>
      <c r="G1699" s="2"/>
      <c r="H1699" s="2"/>
      <c r="I1699" s="2"/>
    </row>
    <row r="1700">
      <c r="A1700" s="1" t="s">
        <v>960</v>
      </c>
      <c r="B1700" s="1" t="str">
        <f>IFERROR(__xludf.DUMMYFUNCTION("SPLIT(A1700,"";"")"),"NOUVEAU COMITE FOIRE AUX PLAISIRS")</f>
        <v>NOUVEAU COMITE FOIRE AUX PLAISIRS</v>
      </c>
      <c r="C1700" s="3">
        <f>IFERROR(__xludf.DUMMYFUNCTION("""COMPUTED_VALUE"""),27180.0)</f>
        <v>27180</v>
      </c>
      <c r="D1700" s="1">
        <v>0.0</v>
      </c>
      <c r="E1700" s="2"/>
      <c r="F1700" s="2"/>
      <c r="G1700" s="2"/>
      <c r="H1700" s="2"/>
      <c r="I1700" s="2"/>
    </row>
    <row r="1701">
      <c r="A1701" s="1" t="s">
        <v>961</v>
      </c>
      <c r="B1701" s="1" t="str">
        <f>IFERROR(__xludf.DUMMYFUNCTION("SPLIT(A1701,"";"")"),"NOUVELLE DONNE")</f>
        <v>NOUVELLE DONNE</v>
      </c>
      <c r="C1701" s="3">
        <f>IFERROR(__xludf.DUMMYFUNCTION("""COMPUTED_VALUE"""),2158.0)</f>
        <v>2158</v>
      </c>
      <c r="D1701" s="1">
        <v>0.0</v>
      </c>
      <c r="E1701" s="2"/>
      <c r="F1701" s="2"/>
      <c r="G1701" s="2"/>
      <c r="H1701" s="2"/>
      <c r="I1701" s="2"/>
    </row>
    <row r="1702">
      <c r="A1702" s="1" t="s">
        <v>962</v>
      </c>
      <c r="B1702" s="1" t="str">
        <f>IFERROR(__xludf.DUMMYFUNCTION("SPLIT(A1702,"";"")"),"NUAGE BLEU")</f>
        <v>NUAGE BLEU</v>
      </c>
      <c r="C1702" s="1">
        <f>IFERROR(__xludf.DUMMYFUNCTION("""COMPUTED_VALUE"""),195.0)</f>
        <v>195</v>
      </c>
      <c r="D1702" s="1">
        <v>0.0</v>
      </c>
      <c r="E1702" s="2"/>
      <c r="F1702" s="2"/>
      <c r="G1702" s="2"/>
      <c r="H1702" s="2"/>
      <c r="I1702" s="2"/>
    </row>
    <row r="1703">
      <c r="A1703" s="1" t="s">
        <v>963</v>
      </c>
      <c r="B1703" s="1" t="str">
        <f>IFERROR(__xludf.DUMMYFUNCTION("SPLIT(A1703,"";"")"),"Ô PLAFOND")</f>
        <v>Ô PLAFOND</v>
      </c>
      <c r="C1703" s="1">
        <f>IFERROR(__xludf.DUMMYFUNCTION("""COMPUTED_VALUE"""),692.0)</f>
        <v>692</v>
      </c>
      <c r="D1703" s="1">
        <v>32.0</v>
      </c>
      <c r="E1703" s="2"/>
      <c r="F1703" s="2"/>
      <c r="G1703" s="2"/>
      <c r="H1703" s="2"/>
      <c r="I1703" s="2"/>
    </row>
    <row r="1704">
      <c r="A1704" s="1" t="s">
        <v>964</v>
      </c>
      <c r="B1704" s="1" t="str">
        <f>IFERROR(__xludf.DUMMYFUNCTION("SPLIT(A1704,"";"")"),"OCCS")</f>
        <v>OCCS</v>
      </c>
      <c r="C1704" s="1">
        <f>IFERROR(__xludf.DUMMYFUNCTION("""COMPUTED_VALUE"""),444.0)</f>
        <v>444</v>
      </c>
      <c r="D1704" s="1">
        <v>0.0</v>
      </c>
      <c r="E1704" s="2"/>
      <c r="F1704" s="2"/>
      <c r="G1704" s="2"/>
      <c r="H1704" s="2"/>
      <c r="I1704" s="2"/>
    </row>
    <row r="1705">
      <c r="A1705" s="1" t="s">
        <v>965</v>
      </c>
      <c r="B1705" s="1" t="str">
        <f>IFERROR(__xludf.DUMMYFUNCTION("SPLIT(A1705,"";"")"),"OCTANDRE")</f>
        <v>OCTANDRE</v>
      </c>
      <c r="C1705" s="3">
        <f>IFERROR(__xludf.DUMMYFUNCTION("""COMPUTED_VALUE"""),1205.0)</f>
        <v>1205</v>
      </c>
      <c r="D1705" s="1">
        <v>96.0</v>
      </c>
      <c r="E1705" s="2"/>
      <c r="F1705" s="2"/>
      <c r="G1705" s="2"/>
      <c r="H1705" s="2"/>
      <c r="I1705" s="2"/>
    </row>
    <row r="1706">
      <c r="A1706" s="1" t="s">
        <v>966</v>
      </c>
      <c r="B1706" s="1" t="str">
        <f>IFERROR(__xludf.DUMMYFUNCTION("SPLIT(A1706,"";"")"),"OFFICE AQUITAIN DE RECHERCHES")</f>
        <v>OFFICE AQUITAIN DE RECHERCHES</v>
      </c>
      <c r="C1706" s="1"/>
      <c r="D1706" s="1" t="s">
        <v>967</v>
      </c>
      <c r="E1706" s="1" t="s">
        <v>968</v>
      </c>
      <c r="F1706" s="2"/>
      <c r="G1706" s="2"/>
      <c r="H1706" s="2"/>
      <c r="I1706" s="2"/>
    </row>
    <row r="1707">
      <c r="A1707" s="1" t="s">
        <v>969</v>
      </c>
      <c r="B1707" s="3">
        <f>IFERROR(__xludf.DUMMYFUNCTION("SPLIT(A1707,"";"")"),43712.0)</f>
        <v>43712</v>
      </c>
      <c r="C1707" s="1"/>
      <c r="D1707" s="1">
        <v>0.0</v>
      </c>
      <c r="E1707" s="2"/>
      <c r="F1707" s="2"/>
      <c r="G1707" s="2"/>
      <c r="H1707" s="2"/>
      <c r="I1707" s="2"/>
    </row>
    <row r="1708">
      <c r="A1708" s="1" t="s">
        <v>970</v>
      </c>
      <c r="B1708" s="1" t="str">
        <f>IFERROR(__xludf.DUMMYFUNCTION("SPLIT(A1708,"";"")"),"OAREIL")</f>
        <v>OAREIL</v>
      </c>
      <c r="C1708" s="2"/>
      <c r="D1708" s="2"/>
      <c r="E1708" s="2"/>
      <c r="F1708" s="2"/>
      <c r="G1708" s="2"/>
      <c r="H1708" s="2"/>
      <c r="I1708" s="2"/>
    </row>
    <row r="1709">
      <c r="A1709" s="1" t="s">
        <v>971</v>
      </c>
      <c r="B1709" s="1" t="str">
        <f>IFERROR(__xludf.DUMMYFUNCTION("SPLIT(A1709,"";"")"),"OFFICE ARTISTIQUE DE REGION AQUITAINE")</f>
        <v>OFFICE ARTISTIQUE DE REGION AQUITAINE</v>
      </c>
      <c r="C1709" s="3">
        <f>IFERROR(__xludf.DUMMYFUNCTION("""COMPUTED_VALUE"""),1200.0)</f>
        <v>1200</v>
      </c>
      <c r="D1709" s="1">
        <v>0.0</v>
      </c>
      <c r="E1709" s="2"/>
      <c r="F1709" s="2"/>
      <c r="G1709" s="2"/>
      <c r="H1709" s="2"/>
      <c r="I1709" s="2"/>
    </row>
    <row r="1710">
      <c r="A1710" s="1" t="s">
        <v>972</v>
      </c>
      <c r="B1710" s="1" t="str">
        <f>IFERROR(__xludf.DUMMYFUNCTION("SPLIT(A1710,"";"")"),"OFFICIERS DE RESERVE")</f>
        <v>OFFICIERS DE RESERVE</v>
      </c>
      <c r="C1710" s="1">
        <f>IFERROR(__xludf.DUMMYFUNCTION("""COMPUTED_VALUE"""),450.0)</f>
        <v>450</v>
      </c>
      <c r="D1710" s="1">
        <v>0.0</v>
      </c>
      <c r="E1710" s="2"/>
      <c r="F1710" s="2"/>
      <c r="G1710" s="2"/>
      <c r="H1710" s="2"/>
      <c r="I1710" s="2"/>
    </row>
    <row r="1711">
      <c r="A1711" s="1" t="s">
        <v>973</v>
      </c>
      <c r="B1711" s="1" t="str">
        <f>IFERROR(__xludf.DUMMYFUNCTION("SPLIT(A1711,"";"")"),"OKIWI")</f>
        <v>OKIWI</v>
      </c>
      <c r="C1711" s="1">
        <f>IFERROR(__xludf.DUMMYFUNCTION("""COMPUTED_VALUE"""),367.0)</f>
        <v>367</v>
      </c>
      <c r="D1711" s="1">
        <v>0.0</v>
      </c>
      <c r="E1711" s="2"/>
      <c r="F1711" s="2"/>
      <c r="G1711" s="2"/>
      <c r="H1711" s="2"/>
      <c r="I1711" s="2"/>
    </row>
    <row r="1712">
      <c r="A1712" s="1" t="s">
        <v>974</v>
      </c>
      <c r="B1712" s="1" t="str">
        <f>IFERROR(__xludf.DUMMYFUNCTION("SPLIT(A1712,"";"")"),"ONG QUISHUAR")</f>
        <v>ONG QUISHUAR</v>
      </c>
      <c r="C1712" s="1">
        <f>IFERROR(__xludf.DUMMYFUNCTION("""COMPUTED_VALUE"""),477.0)</f>
        <v>477</v>
      </c>
      <c r="D1712" s="1">
        <v>0.0</v>
      </c>
      <c r="E1712" s="2"/>
      <c r="F1712" s="2"/>
      <c r="G1712" s="2"/>
      <c r="H1712" s="2"/>
      <c r="I1712" s="2"/>
    </row>
    <row r="1713">
      <c r="A1713" s="1" t="s">
        <v>975</v>
      </c>
      <c r="B1713" s="1" t="str">
        <f>IFERROR(__xludf.DUMMYFUNCTION("SPLIT(A1713,"";"")"),"OPERA BASTIDE")</f>
        <v>OPERA BASTIDE</v>
      </c>
      <c r="C1713" s="1">
        <f>IFERROR(__xludf.DUMMYFUNCTION("""COMPUTED_VALUE"""),970.0)</f>
        <v>970</v>
      </c>
      <c r="D1713" s="1">
        <v>0.0</v>
      </c>
      <c r="E1713" s="2"/>
      <c r="F1713" s="2"/>
      <c r="G1713" s="2"/>
      <c r="H1713" s="2"/>
      <c r="I1713" s="2"/>
    </row>
    <row r="1714">
      <c r="A1714" s="1" t="s">
        <v>976</v>
      </c>
      <c r="B1714" s="1" t="str">
        <f>IFERROR(__xludf.DUMMYFUNCTION("SPLIT(A1714,"";"")"),"OPUS 33")</f>
        <v>OPUS 33</v>
      </c>
      <c r="C1714" s="3">
        <f>IFERROR(__xludf.DUMMYFUNCTION("""COMPUTED_VALUE"""),7826.0)</f>
        <v>7826</v>
      </c>
      <c r="D1714" s="1">
        <v>0.0</v>
      </c>
      <c r="E1714" s="2"/>
      <c r="F1714" s="2"/>
      <c r="G1714" s="2"/>
      <c r="H1714" s="2"/>
      <c r="I1714" s="2"/>
    </row>
    <row r="1715">
      <c r="A1715" s="1" t="s">
        <v>977</v>
      </c>
      <c r="B1715" s="1" t="str">
        <f>IFERROR(__xludf.DUMMYFUNCTION("SPLIT(A1715,"";"")"),"ORGAN PHANTOM")</f>
        <v>ORGAN PHANTOM</v>
      </c>
      <c r="C1715" s="3">
        <f>IFERROR(__xludf.DUMMYFUNCTION("""COMPUTED_VALUE"""),6549.0)</f>
        <v>6549</v>
      </c>
      <c r="D1715" s="1">
        <v>81.0</v>
      </c>
      <c r="E1715" s="2"/>
      <c r="F1715" s="2"/>
      <c r="G1715" s="2"/>
      <c r="H1715" s="2"/>
      <c r="I1715" s="2"/>
    </row>
    <row r="1716">
      <c r="A1716" s="1" t="s">
        <v>978</v>
      </c>
      <c r="B1716" s="1" t="str">
        <f>IFERROR(__xludf.DUMMYFUNCTION("SPLIT(A1716,"";"")"),"ORGANISATION SOCIO-CULTURELLE DE BORDEAUX IV OSB IV")</f>
        <v>ORGANISATION SOCIO-CULTURELLE DE BORDEAUX IV OSB IV</v>
      </c>
      <c r="C1716" s="1">
        <f>IFERROR(__xludf.DUMMYFUNCTION("""COMPUTED_VALUE"""),696.0)</f>
        <v>696</v>
      </c>
      <c r="D1716" s="1">
        <v>0.0</v>
      </c>
      <c r="E1716" s="2"/>
      <c r="F1716" s="2"/>
      <c r="G1716" s="2"/>
      <c r="H1716" s="2"/>
      <c r="I1716" s="2"/>
    </row>
    <row r="1717">
      <c r="A1717" s="1" t="s">
        <v>979</v>
      </c>
      <c r="B1717" s="1" t="str">
        <f>IFERROR(__xludf.DUMMYFUNCTION("SPLIT(A1717,"";"")"),"OSEZ LE FEMINISME 33 !")</f>
        <v>OSEZ LE FEMINISME 33 !</v>
      </c>
      <c r="C1717" s="1">
        <f>IFERROR(__xludf.DUMMYFUNCTION("""COMPUTED_VALUE"""),24.0)</f>
        <v>24</v>
      </c>
      <c r="D1717" s="1">
        <v>0.0</v>
      </c>
      <c r="E1717" s="2"/>
      <c r="F1717" s="2"/>
      <c r="G1717" s="2"/>
      <c r="H1717" s="2"/>
      <c r="I1717" s="2"/>
    </row>
    <row r="1718">
      <c r="A1718" s="1" t="s">
        <v>980</v>
      </c>
      <c r="B1718" s="1" t="str">
        <f>IFERROR(__xludf.DUMMYFUNCTION("SPLIT(A1718,"";"")"),"OSONS")</f>
        <v>OSONS</v>
      </c>
      <c r="C1718" s="1"/>
      <c r="D1718" s="1" t="s">
        <v>981</v>
      </c>
      <c r="E1718" s="1">
        <v>12.0</v>
      </c>
      <c r="F1718" s="2"/>
      <c r="G1718" s="2"/>
      <c r="H1718" s="2"/>
      <c r="I1718" s="2"/>
    </row>
    <row r="1719">
      <c r="A1719" s="1" t="s">
        <v>982</v>
      </c>
      <c r="B1719" s="1" t="str">
        <f>IFERROR(__xludf.DUMMYFUNCTION("SPLIT(A1719,"";"")"),"OUI A LA VIE")</f>
        <v>OUI A LA VIE</v>
      </c>
      <c r="C1719" s="1">
        <f>IFERROR(__xludf.DUMMYFUNCTION("""COMPUTED_VALUE"""),444.0)</f>
        <v>444</v>
      </c>
      <c r="D1719" s="1">
        <v>0.0</v>
      </c>
      <c r="E1719" s="2"/>
      <c r="F1719" s="2"/>
      <c r="G1719" s="2"/>
      <c r="H1719" s="2"/>
      <c r="I1719" s="2"/>
    </row>
    <row r="1720">
      <c r="A1720" s="1" t="s">
        <v>983</v>
      </c>
      <c r="B1720" s="1" t="str">
        <f>IFERROR(__xludf.DUMMYFUNCTION("SPLIT(A1720,"";"")"),"PALLIAQUITAINE")</f>
        <v>PALLIAQUITAINE</v>
      </c>
      <c r="C1720" s="1">
        <f>IFERROR(__xludf.DUMMYFUNCTION("""COMPUTED_VALUE"""),811.0)</f>
        <v>811</v>
      </c>
      <c r="D1720" s="1">
        <v>0.0</v>
      </c>
      <c r="E1720" s="2"/>
      <c r="F1720" s="2"/>
      <c r="G1720" s="2"/>
      <c r="H1720" s="2"/>
      <c r="I1720" s="2"/>
    </row>
    <row r="1721">
      <c r="A1721" s="1" t="s">
        <v>984</v>
      </c>
      <c r="B1721" s="1" t="str">
        <f>IFERROR(__xludf.DUMMYFUNCTION("SPLIT(A1721,"";"")"),"PARALLELES ATTITUDES DIFFUSION - ROCKSCHOOL")</f>
        <v>PARALLELES ATTITUDES DIFFUSION - ROCKSCHOOL</v>
      </c>
      <c r="C1721" s="3">
        <f>IFERROR(__xludf.DUMMYFUNCTION("""COMPUTED_VALUE"""),7867.0)</f>
        <v>7867</v>
      </c>
      <c r="D1721" s="1">
        <v>38.0</v>
      </c>
      <c r="E1721" s="2"/>
      <c r="F1721" s="2"/>
      <c r="G1721" s="2"/>
      <c r="H1721" s="2"/>
      <c r="I1721" s="2"/>
    </row>
    <row r="1722">
      <c r="A1722" s="1" t="s">
        <v>985</v>
      </c>
      <c r="B1722" s="1" t="str">
        <f>IFERROR(__xludf.DUMMYFUNCTION("SPLIT(A1722,"";"")"),"PARRAINAGE 33")</f>
        <v>PARRAINAGE 33</v>
      </c>
      <c r="C1722" s="3">
        <f>IFERROR(__xludf.DUMMYFUNCTION("""COMPUTED_VALUE"""),2009.0)</f>
        <v>2009</v>
      </c>
      <c r="D1722" s="1">
        <v>0.0</v>
      </c>
      <c r="E1722" s="2"/>
      <c r="F1722" s="2"/>
      <c r="G1722" s="2"/>
      <c r="H1722" s="2"/>
      <c r="I1722" s="2"/>
    </row>
    <row r="1723">
      <c r="A1723" s="1" t="s">
        <v>986</v>
      </c>
      <c r="B1723" s="1" t="str">
        <f>IFERROR(__xludf.DUMMYFUNCTION("SPLIT(A1723,"";"")"),"PARTI OUVRIER INDEPENDANT DEMOCRATIQUE DE LA GIRONDE - POID33")</f>
        <v>PARTI OUVRIER INDEPENDANT DEMOCRATIQUE DE LA GIRONDE - POID33</v>
      </c>
      <c r="C1723" s="1">
        <f>IFERROR(__xludf.DUMMYFUNCTION("""COMPUTED_VALUE"""),116.0)</f>
        <v>116</v>
      </c>
      <c r="D1723" s="1">
        <v>0.0</v>
      </c>
      <c r="E1723" s="2"/>
      <c r="F1723" s="2"/>
      <c r="G1723" s="2"/>
      <c r="H1723" s="2"/>
      <c r="I1723" s="2"/>
    </row>
    <row r="1724">
      <c r="A1724" s="1" t="s">
        <v>987</v>
      </c>
      <c r="B1724" s="1" t="str">
        <f>IFERROR(__xludf.DUMMYFUNCTION("SPLIT(A1724,"";"")"),"PASSERELLES ET COMPETENCES")</f>
        <v>PASSERELLES ET COMPETENCES</v>
      </c>
      <c r="C1724" s="1">
        <f>IFERROR(__xludf.DUMMYFUNCTION("""COMPUTED_VALUE"""),568.0)</f>
        <v>568</v>
      </c>
      <c r="D1724" s="1">
        <v>0.0</v>
      </c>
      <c r="E1724" s="2"/>
      <c r="F1724" s="2"/>
      <c r="G1724" s="2"/>
      <c r="H1724" s="2"/>
      <c r="I1724" s="2"/>
    </row>
    <row r="1725">
      <c r="A1725" s="1" t="s">
        <v>988</v>
      </c>
      <c r="B1725" s="1" t="str">
        <f>IFERROR(__xludf.DUMMYFUNCTION("SPLIT(A1725,"";"")"),"PAUSE-CAFE")</f>
        <v>PAUSE-CAFE</v>
      </c>
      <c r="C1725" s="1">
        <f>IFERROR(__xludf.DUMMYFUNCTION("""COMPUTED_VALUE"""),889.0)</f>
        <v>889</v>
      </c>
      <c r="D1725" s="1">
        <v>56.0</v>
      </c>
      <c r="E1725" s="2"/>
      <c r="F1725" s="2"/>
      <c r="G1725" s="2"/>
      <c r="H1725" s="2"/>
      <c r="I1725" s="2"/>
    </row>
    <row r="1726">
      <c r="A1726" s="1" t="s">
        <v>989</v>
      </c>
      <c r="B1726" s="1" t="str">
        <f>IFERROR(__xludf.DUMMYFUNCTION("SPLIT(A1726,"";"")"),"PENA FLAMENCA COPAS Y COMPAS")</f>
        <v>PENA FLAMENCA COPAS Y COMPAS</v>
      </c>
      <c r="C1726" s="1">
        <f>IFERROR(__xludf.DUMMYFUNCTION("""COMPUTED_VALUE"""),587.0)</f>
        <v>587</v>
      </c>
      <c r="D1726" s="1">
        <v>0.0</v>
      </c>
      <c r="E1726" s="2"/>
      <c r="F1726" s="2"/>
      <c r="G1726" s="2"/>
      <c r="H1726" s="2"/>
      <c r="I1726" s="2"/>
    </row>
    <row r="1727">
      <c r="A1727" s="1" t="s">
        <v>990</v>
      </c>
      <c r="B1727" s="1" t="str">
        <f>IFERROR(__xludf.DUMMYFUNCTION("SPLIT(A1727,"";"")"),"PENA MADRIDISTA DE BORDEAUX")</f>
        <v>PENA MADRIDISTA DE BORDEAUX</v>
      </c>
      <c r="C1727" s="1">
        <f>IFERROR(__xludf.DUMMYFUNCTION("""COMPUTED_VALUE"""),676.0)</f>
        <v>676</v>
      </c>
      <c r="D1727" s="1">
        <v>50.0</v>
      </c>
      <c r="E1727" s="2"/>
      <c r="F1727" s="2"/>
      <c r="G1727" s="2"/>
      <c r="H1727" s="2"/>
      <c r="I1727" s="2"/>
    </row>
    <row r="1728">
      <c r="A1728" s="1" t="s">
        <v>991</v>
      </c>
      <c r="B1728" s="1" t="str">
        <f>IFERROR(__xludf.DUMMYFUNCTION("SPLIT(A1728,"";"")"),"PENSION DE FAMILLE")</f>
        <v>PENSION DE FAMILLE</v>
      </c>
      <c r="C1728" s="1">
        <f>IFERROR(__xludf.DUMMYFUNCTION("""COMPUTED_VALUE"""),160.0)</f>
        <v>160</v>
      </c>
      <c r="D1728" s="1">
        <v>0.0</v>
      </c>
      <c r="E1728" s="2"/>
      <c r="F1728" s="2"/>
      <c r="G1728" s="2"/>
      <c r="H1728" s="2"/>
      <c r="I1728" s="2"/>
    </row>
    <row r="1729">
      <c r="A1729" s="1" t="s">
        <v>992</v>
      </c>
      <c r="B1729" s="1" t="str">
        <f>IFERROR(__xludf.DUMMYFUNCTION("SPLIT(A1729,"";"")"),"PERCEPTA - TAI CHI CHUAN ET DEVELOPPEMENT PERSONNEL")</f>
        <v>PERCEPTA - TAI CHI CHUAN ET DEVELOPPEMENT PERSONNEL</v>
      </c>
      <c r="C1729" s="3">
        <f>IFERROR(__xludf.DUMMYFUNCTION("""COMPUTED_VALUE"""),2088.0)</f>
        <v>2088</v>
      </c>
      <c r="D1729" s="1">
        <v>0.0</v>
      </c>
      <c r="E1729" s="2"/>
      <c r="F1729" s="2"/>
      <c r="G1729" s="2"/>
      <c r="H1729" s="2"/>
      <c r="I1729" s="2"/>
    </row>
    <row r="1730">
      <c r="A1730" s="1" t="s">
        <v>993</v>
      </c>
      <c r="B1730" s="1" t="str">
        <f>IFERROR(__xludf.DUMMYFUNCTION("SPLIT(A1730,"";"")"),"PERES &amp; FILS RUGBY 33")</f>
        <v>PERES &amp; FILS RUGBY 33</v>
      </c>
      <c r="C1730" s="3">
        <f>IFERROR(__xludf.DUMMYFUNCTION("""COMPUTED_VALUE"""),2721.0)</f>
        <v>2721</v>
      </c>
      <c r="D1730" s="1">
        <v>43.0</v>
      </c>
      <c r="E1730" s="2"/>
      <c r="F1730" s="2"/>
      <c r="G1730" s="2"/>
      <c r="H1730" s="2"/>
      <c r="I1730" s="2"/>
    </row>
    <row r="1731">
      <c r="A1731" s="1" t="s">
        <v>994</v>
      </c>
      <c r="B1731" s="1" t="str">
        <f>IFERROR(__xludf.DUMMYFUNCTION("SPLIT(A1731,"";"")"),"PERMANENCES DE LA LITTERATURE")</f>
        <v>PERMANENCES DE LA LITTERATURE</v>
      </c>
      <c r="C1731" s="3">
        <f>IFERROR(__xludf.DUMMYFUNCTION("""COMPUTED_VALUE"""),19632.0)</f>
        <v>19632</v>
      </c>
      <c r="D1731" s="1">
        <v>0.0</v>
      </c>
      <c r="E1731" s="2"/>
      <c r="F1731" s="2"/>
      <c r="G1731" s="2"/>
      <c r="H1731" s="2"/>
      <c r="I1731" s="2"/>
    </row>
    <row r="1732">
      <c r="A1732" s="1" t="s">
        <v>995</v>
      </c>
      <c r="B1732" s="1" t="str">
        <f>IFERROR(__xludf.DUMMYFUNCTION("SPLIT(A1732,"";"")"),"PETANQUE BACALANAISE")</f>
        <v>PETANQUE BACALANAISE</v>
      </c>
      <c r="C1732" s="3">
        <f>IFERROR(__xludf.DUMMYFUNCTION("""COMPUTED_VALUE"""),10495.0)</f>
        <v>10495</v>
      </c>
      <c r="D1732" s="1">
        <v>72.0</v>
      </c>
      <c r="E1732" s="2"/>
      <c r="F1732" s="2"/>
      <c r="G1732" s="2"/>
      <c r="H1732" s="2"/>
      <c r="I1732" s="2"/>
    </row>
    <row r="1733">
      <c r="A1733" s="1" t="s">
        <v>996</v>
      </c>
      <c r="B1733" s="1" t="str">
        <f>IFERROR(__xludf.DUMMYFUNCTION("SPLIT(A1733,"";"")"),"PETANQUE CLUB EMILE COMBES")</f>
        <v>PETANQUE CLUB EMILE COMBES</v>
      </c>
      <c r="C1733" s="3">
        <f>IFERROR(__xludf.DUMMYFUNCTION("""COMPUTED_VALUE"""),3789.0)</f>
        <v>3789</v>
      </c>
      <c r="D1733" s="1">
        <v>30.0</v>
      </c>
      <c r="E1733" s="2"/>
      <c r="F1733" s="2"/>
      <c r="G1733" s="2"/>
      <c r="H1733" s="2"/>
      <c r="I1733" s="2"/>
    </row>
    <row r="1734">
      <c r="A1734" s="1" t="s">
        <v>997</v>
      </c>
      <c r="B1734" s="1" t="str">
        <f>IFERROR(__xludf.DUMMYFUNCTION("SPLIT(A1734,"";"")"),"PETANQUE-CLUB DES TROIS")</f>
        <v>PETANQUE-CLUB DES TROIS</v>
      </c>
      <c r="C1734" s="3">
        <f>IFERROR(__xludf.DUMMYFUNCTION("""COMPUTED_VALUE"""),1494.0)</f>
        <v>1494</v>
      </c>
      <c r="D1734" s="1">
        <v>92.0</v>
      </c>
      <c r="E1734" s="2"/>
      <c r="F1734" s="2"/>
      <c r="G1734" s="2"/>
      <c r="H1734" s="2"/>
      <c r="I1734" s="2"/>
    </row>
    <row r="1735">
      <c r="A1735" s="1" t="s">
        <v>998</v>
      </c>
      <c r="B1735" s="1" t="str">
        <f>IFERROR(__xludf.DUMMYFUNCTION("SPLIT(A1735,"";"")"),"PETITES SOEURS DES PAUVRES")</f>
        <v>PETITES SOEURS DES PAUVRES</v>
      </c>
      <c r="C1735" s="3">
        <f>IFERROR(__xludf.DUMMYFUNCTION("""COMPUTED_VALUE"""),1379.0)</f>
        <v>1379</v>
      </c>
      <c r="D1735" s="1">
        <v>78.0</v>
      </c>
      <c r="E1735" s="2"/>
      <c r="F1735" s="2"/>
      <c r="G1735" s="2"/>
      <c r="H1735" s="2"/>
      <c r="I1735" s="2"/>
    </row>
    <row r="1736">
      <c r="A1736" s="1" t="s">
        <v>999</v>
      </c>
      <c r="B1736" s="1" t="str">
        <f>IFERROR(__xludf.DUMMYFUNCTION("SPLIT(A1736,"";"")"),"PEUPLES SOLIDAIRES")</f>
        <v>PEUPLES SOLIDAIRES</v>
      </c>
      <c r="C1736" s="1">
        <f>IFERROR(__xludf.DUMMYFUNCTION("""COMPUTED_VALUE"""),48.0)</f>
        <v>48</v>
      </c>
      <c r="D1736" s="1">
        <v>0.0</v>
      </c>
      <c r="E1736" s="2"/>
      <c r="F1736" s="2"/>
      <c r="G1736" s="2"/>
      <c r="H1736" s="2"/>
      <c r="I1736" s="2"/>
    </row>
    <row r="1737">
      <c r="A1737" s="1" t="s">
        <v>1000</v>
      </c>
      <c r="B1737" s="1" t="str">
        <f>IFERROR(__xludf.DUMMYFUNCTION("SPLIT(A1737,"";"")"),"PHENIX DE BELCIER")</f>
        <v>PHENIX DE BELCIER</v>
      </c>
      <c r="C1737" s="3">
        <f>IFERROR(__xludf.DUMMYFUNCTION("""COMPUTED_VALUE"""),17975.0)</f>
        <v>17975</v>
      </c>
      <c r="D1737" s="1">
        <v>0.0</v>
      </c>
      <c r="E1737" s="2"/>
      <c r="F1737" s="2"/>
      <c r="G1737" s="2"/>
      <c r="H1737" s="2"/>
      <c r="I1737" s="2"/>
    </row>
    <row r="1738">
      <c r="A1738" s="1" t="s">
        <v>1001</v>
      </c>
      <c r="B1738" s="1" t="str">
        <f>IFERROR(__xludf.DUMMYFUNCTION("SPLIT(A1738,"";"")"),"PHENIX ECOUTE ET PAROLES")</f>
        <v>PHENIX ECOUTE ET PAROLES</v>
      </c>
      <c r="C1738" s="3">
        <f>IFERROR(__xludf.DUMMYFUNCTION("""COMPUTED_VALUE"""),5040.0)</f>
        <v>5040</v>
      </c>
      <c r="D1738" s="1">
        <v>0.0</v>
      </c>
      <c r="E1738" s="2"/>
      <c r="F1738" s="2"/>
      <c r="G1738" s="2"/>
      <c r="H1738" s="2"/>
      <c r="I1738" s="2"/>
    </row>
    <row r="1739">
      <c r="A1739" s="1" t="s">
        <v>1002</v>
      </c>
      <c r="B1739" s="1" t="str">
        <f>IFERROR(__xludf.DUMMYFUNCTION("SPLIT(A1739,"";"")"),"PHILOSPHERES")</f>
        <v>PHILOSPHERES</v>
      </c>
      <c r="C1739" s="1">
        <f>IFERROR(__xludf.DUMMYFUNCTION("""COMPUTED_VALUE"""),576.0)</f>
        <v>576</v>
      </c>
      <c r="D1739" s="1">
        <v>0.0</v>
      </c>
      <c r="E1739" s="2"/>
      <c r="F1739" s="2"/>
      <c r="G1739" s="2"/>
      <c r="H1739" s="2"/>
      <c r="I1739" s="2"/>
    </row>
    <row r="1740">
      <c r="A1740" s="1" t="s">
        <v>1003</v>
      </c>
      <c r="B1740" s="1" t="str">
        <f>IFERROR(__xludf.DUMMYFUNCTION("SPLIT(A1740,"";"")"),"PHOTO CLUB DE BORDEAUX")</f>
        <v>PHOTO CLUB DE BORDEAUX</v>
      </c>
      <c r="C1740" s="3">
        <f>IFERROR(__xludf.DUMMYFUNCTION("""COMPUTED_VALUE"""),2674.0)</f>
        <v>2674</v>
      </c>
      <c r="D1740" s="1">
        <v>0.0</v>
      </c>
      <c r="E1740" s="2"/>
      <c r="F1740" s="2"/>
      <c r="G1740" s="2"/>
      <c r="H1740" s="2"/>
      <c r="I1740" s="2"/>
    </row>
    <row r="1741">
      <c r="A1741" s="1" t="s">
        <v>1004</v>
      </c>
      <c r="B1741" s="1" t="str">
        <f>IFERROR(__xludf.DUMMYFUNCTION("SPLIT(A1741,"";"")"),"PICTUR'ART")</f>
        <v>PICTUR'ART</v>
      </c>
      <c r="C1741" s="3">
        <f>IFERROR(__xludf.DUMMYFUNCTION("""COMPUTED_VALUE"""),1258.0)</f>
        <v>1258</v>
      </c>
      <c r="D1741" s="1">
        <v>0.0</v>
      </c>
      <c r="E1741" s="2"/>
      <c r="F1741" s="2"/>
      <c r="G1741" s="2"/>
      <c r="H1741" s="2"/>
      <c r="I1741" s="2"/>
    </row>
    <row r="1742">
      <c r="A1742" s="1" t="s">
        <v>1005</v>
      </c>
      <c r="B1742" s="1" t="str">
        <f>IFERROR(__xludf.DUMMYFUNCTION("SPLIT(A1742,"";"")"),"PLAN INTERNATIONAL FRANCE - PLAN FRANCE")</f>
        <v>PLAN INTERNATIONAL FRANCE - PLAN FRANCE</v>
      </c>
      <c r="C1742" s="1">
        <f>IFERROR(__xludf.DUMMYFUNCTION("""COMPUTED_VALUE"""),34.0)</f>
        <v>34</v>
      </c>
      <c r="D1742" s="1">
        <v>0.0</v>
      </c>
      <c r="E1742" s="2"/>
      <c r="F1742" s="2"/>
      <c r="G1742" s="2"/>
      <c r="H1742" s="2"/>
      <c r="I1742" s="2"/>
    </row>
    <row r="1743">
      <c r="A1743" s="1" t="s">
        <v>1006</v>
      </c>
      <c r="B1743" s="1" t="str">
        <f>IFERROR(__xludf.DUMMYFUNCTION("SPLIT(A1743,"";"")"),"PLANETE BORDEAUX")</f>
        <v>PLANETE BORDEAUX</v>
      </c>
      <c r="C1743" s="1">
        <f>IFERROR(__xludf.DUMMYFUNCTION("""COMPUTED_VALUE"""),198.0)</f>
        <v>198</v>
      </c>
      <c r="D1743" s="1">
        <v>77.0</v>
      </c>
      <c r="E1743" s="2"/>
      <c r="F1743" s="2"/>
      <c r="G1743" s="2"/>
      <c r="H1743" s="2"/>
      <c r="I1743" s="2"/>
    </row>
    <row r="1744">
      <c r="A1744" s="1" t="s">
        <v>934</v>
      </c>
      <c r="B1744" s="1" t="str">
        <f>IFERROR(__xludf.DUMMYFUNCTION("SPLIT(A1744,"";"")"),"MHIGE INSEEC - MISSION INTER GRANDES ECOLES DE L'INSEEC")</f>
        <v>MHIGE INSEEC - MISSION INTER GRANDES ECOLES DE L'INSEEC</v>
      </c>
      <c r="C1744" s="1">
        <f>IFERROR(__xludf.DUMMYFUNCTION("""COMPUTED_VALUE"""),11.0)</f>
        <v>11</v>
      </c>
      <c r="D1744" s="1">
        <v>23.0</v>
      </c>
      <c r="E1744" s="2"/>
      <c r="F1744" s="2"/>
      <c r="G1744" s="2"/>
      <c r="H1744" s="2"/>
      <c r="I1744" s="2"/>
    </row>
    <row r="1745">
      <c r="A1745" s="1" t="s">
        <v>935</v>
      </c>
      <c r="B1745" s="1" t="str">
        <f>IFERROR(__xludf.DUMMYFUNCTION("SPLIT(A1745,"";"")"),"MIGRATIONS CULTURELLES AQUITAINE - AFRIQUES (MC2A)")</f>
        <v>MIGRATIONS CULTURELLES AQUITAINE - AFRIQUES (MC2A)</v>
      </c>
      <c r="C1745" s="3">
        <f>IFERROR(__xludf.DUMMYFUNCTION("""COMPUTED_VALUE"""),35680.0)</f>
        <v>35680</v>
      </c>
      <c r="D1745" s="1">
        <v>96.0</v>
      </c>
      <c r="E1745" s="2"/>
      <c r="F1745" s="2"/>
      <c r="G1745" s="2"/>
      <c r="H1745" s="2"/>
      <c r="I1745" s="2"/>
    </row>
    <row r="1746">
      <c r="A1746" s="1" t="s">
        <v>936</v>
      </c>
      <c r="B1746" s="1" t="str">
        <f>IFERROR(__xludf.DUMMYFUNCTION("SPLIT(A1746,"";"")"),"MINE DE RIEN")</f>
        <v>MINE DE RIEN</v>
      </c>
      <c r="C1746" s="3">
        <f>IFERROR(__xludf.DUMMYFUNCTION("""COMPUTED_VALUE"""),17441.0)</f>
        <v>17441</v>
      </c>
      <c r="D1746" s="1">
        <v>93.0</v>
      </c>
      <c r="E1746" s="2"/>
      <c r="F1746" s="2"/>
      <c r="G1746" s="2"/>
      <c r="H1746" s="2"/>
      <c r="I1746" s="2"/>
    </row>
    <row r="1747">
      <c r="A1747" s="1" t="s">
        <v>937</v>
      </c>
      <c r="B1747" s="1" t="str">
        <f>IFERROR(__xludf.DUMMYFUNCTION("SPLIT(A1747,"";"")"),"MIRAIL INFORMATIQUE")</f>
        <v>MIRAIL INFORMATIQUE</v>
      </c>
      <c r="C1747" s="1">
        <f>IFERROR(__xludf.DUMMYFUNCTION("""COMPUTED_VALUE"""),365.0)</f>
        <v>365</v>
      </c>
      <c r="D1747" s="1">
        <v>40.0</v>
      </c>
      <c r="E1747" s="2"/>
      <c r="F1747" s="2"/>
      <c r="G1747" s="2"/>
      <c r="H1747" s="2"/>
      <c r="I1747" s="2"/>
    </row>
    <row r="1748">
      <c r="A1748" s="1" t="s">
        <v>938</v>
      </c>
      <c r="B1748" s="1" t="str">
        <f>IFERROR(__xludf.DUMMYFUNCTION("SPLIT(A1748,"";"")"),"MISSION LOCALE BORDEAUX AVENIR JEUNES")</f>
        <v>MISSION LOCALE BORDEAUX AVENIR JEUNES</v>
      </c>
      <c r="C1748" s="3">
        <f>IFERROR(__xludf.DUMMYFUNCTION("""COMPUTED_VALUE"""),75165.0)</f>
        <v>75165</v>
      </c>
      <c r="D1748" s="1">
        <v>39.0</v>
      </c>
      <c r="E1748" s="2"/>
      <c r="F1748" s="2"/>
      <c r="G1748" s="2"/>
      <c r="H1748" s="2"/>
      <c r="I1748" s="2"/>
    </row>
    <row r="1749">
      <c r="A1749" s="1" t="s">
        <v>939</v>
      </c>
      <c r="B1749" s="1" t="str">
        <f>IFERROR(__xludf.DUMMYFUNCTION("SPLIT(A1749,"";"")"),"MOI NON PLUS")</f>
        <v>MOI NON PLUS</v>
      </c>
      <c r="C1749" s="3">
        <f>IFERROR(__xludf.DUMMYFUNCTION("""COMPUTED_VALUE"""),7654.0)</f>
        <v>7654</v>
      </c>
      <c r="D1749" s="1">
        <v>0.0</v>
      </c>
      <c r="E1749" s="2"/>
      <c r="F1749" s="2"/>
      <c r="G1749" s="2"/>
      <c r="H1749" s="2"/>
      <c r="I1749" s="2"/>
    </row>
    <row r="1750">
      <c r="A1750" s="1" t="s">
        <v>940</v>
      </c>
      <c r="B1750" s="1" t="str">
        <f>IFERROR(__xludf.DUMMYFUNCTION("SPLIT(A1750,"";"")"),"MONTS ET MERVEILLES")</f>
        <v>MONTS ET MERVEILLES</v>
      </c>
      <c r="C1750" s="1">
        <f>IFERROR(__xludf.DUMMYFUNCTION("""COMPUTED_VALUE"""),265.0)</f>
        <v>265</v>
      </c>
      <c r="D1750" s="1">
        <v>0.0</v>
      </c>
      <c r="E1750" s="2"/>
      <c r="F1750" s="2"/>
      <c r="G1750" s="2"/>
      <c r="H1750" s="2"/>
      <c r="I1750" s="2"/>
    </row>
    <row r="1751">
      <c r="A1751" s="1" t="s">
        <v>941</v>
      </c>
      <c r="B1751" s="1" t="str">
        <f>IFERROR(__xludf.DUMMYFUNCTION("SPLIT(A1751,"";"")"),"MOTO CLUB HEXAGON BORDEAUX")</f>
        <v>MOTO CLUB HEXAGON BORDEAUX</v>
      </c>
      <c r="C1751" s="3">
        <f>IFERROR(__xludf.DUMMYFUNCTION("""COMPUTED_VALUE"""),9920.0)</f>
        <v>9920</v>
      </c>
      <c r="D1751" s="1">
        <v>0.0</v>
      </c>
      <c r="E1751" s="2"/>
      <c r="F1751" s="2"/>
      <c r="G1751" s="2"/>
      <c r="H1751" s="2"/>
      <c r="I1751" s="2"/>
    </row>
    <row r="1752">
      <c r="A1752" s="1" t="s">
        <v>942</v>
      </c>
      <c r="B1752" s="1" t="str">
        <f>IFERROR(__xludf.DUMMYFUNCTION("SPLIT(A1752,"";"")"),"MOTS ET MATIERES(S)")</f>
        <v>MOTS ET MATIERES(S)</v>
      </c>
      <c r="C1752" s="1">
        <f>IFERROR(__xludf.DUMMYFUNCTION("""COMPUTED_VALUE"""),80.0)</f>
        <v>80</v>
      </c>
      <c r="D1752" s="1">
        <v>0.0</v>
      </c>
      <c r="E1752" s="2"/>
      <c r="F1752" s="2"/>
      <c r="G1752" s="2"/>
      <c r="H1752" s="2"/>
      <c r="I1752" s="2"/>
    </row>
    <row r="1753">
      <c r="A1753" s="1" t="s">
        <v>943</v>
      </c>
      <c r="B1753" s="1" t="str">
        <f>IFERROR(__xludf.DUMMYFUNCTION("SPLIT(A1753,"";"")"),"MOUVEMENT ATD QUART MONDE")</f>
        <v>MOUVEMENT ATD QUART MONDE</v>
      </c>
      <c r="C1753" s="3">
        <f>IFERROR(__xludf.DUMMYFUNCTION("""COMPUTED_VALUE"""),21846.0)</f>
        <v>21846</v>
      </c>
      <c r="D1753" s="1">
        <v>78.0</v>
      </c>
      <c r="E1753" s="2"/>
      <c r="F1753" s="2"/>
      <c r="G1753" s="2"/>
      <c r="H1753" s="2"/>
      <c r="I1753" s="2"/>
    </row>
    <row r="1754">
      <c r="A1754" s="1" t="s">
        <v>944</v>
      </c>
      <c r="B1754" s="1" t="str">
        <f>IFERROR(__xludf.DUMMYFUNCTION("SPLIT(A1754,"";"")"),"MOUVEMENT ETUDIANT REPUBLICAIN POUR LE DEBAT ET L'ENGAGEMENT")</f>
        <v>MOUVEMENT ETUDIANT REPUBLICAIN POUR LE DEBAT ET L'ENGAGEMENT</v>
      </c>
      <c r="C1754" s="1">
        <f>IFERROR(__xludf.DUMMYFUNCTION("""COMPUTED_VALUE"""),396.0)</f>
        <v>396</v>
      </c>
      <c r="D1754" s="1">
        <v>0.0</v>
      </c>
      <c r="E1754" s="2"/>
      <c r="F1754" s="2"/>
      <c r="G1754" s="2"/>
      <c r="H1754" s="2"/>
      <c r="I1754" s="2"/>
    </row>
    <row r="1755">
      <c r="A1755" s="1" t="s">
        <v>945</v>
      </c>
      <c r="B1755" s="1" t="str">
        <f>IFERROR(__xludf.DUMMYFUNCTION("SPLIT(A1755,"";"")"),"MOUVEMENT EUROPEEN FRANCE-GIRONDE")</f>
        <v>MOUVEMENT EUROPEEN FRANCE-GIRONDE</v>
      </c>
      <c r="C1755" s="1">
        <f>IFERROR(__xludf.DUMMYFUNCTION("""COMPUTED_VALUE"""),265.0)</f>
        <v>265</v>
      </c>
      <c r="D1755" s="1">
        <v>0.0</v>
      </c>
      <c r="E1755" s="2"/>
      <c r="F1755" s="2"/>
      <c r="G1755" s="2"/>
      <c r="H1755" s="2"/>
      <c r="I1755" s="2"/>
    </row>
    <row r="1756">
      <c r="A1756" s="1" t="s">
        <v>946</v>
      </c>
      <c r="B1756" s="1" t="str">
        <f>IFERROR(__xludf.DUMMYFUNCTION("SPLIT(A1756,"";"")"),"MOUVEMENT FRANCAIS POUR LE PLANNING FAMILIAL - ASSOCIATION DEPARTEMENTALE DE LA GIRONDE")</f>
        <v>MOUVEMENT FRANCAIS POUR LE PLANNING FAMILIAL - ASSOCIATION DEPARTEMENTALE DE LA GIRONDE</v>
      </c>
      <c r="C1756" s="1">
        <f>IFERROR(__xludf.DUMMYFUNCTION("""COMPUTED_VALUE"""),111.0)</f>
        <v>111</v>
      </c>
      <c r="D1756" s="1">
        <v>0.0</v>
      </c>
      <c r="E1756" s="2"/>
      <c r="F1756" s="2"/>
      <c r="G1756" s="2"/>
      <c r="H1756" s="2"/>
      <c r="I1756" s="2"/>
    </row>
    <row r="1757">
      <c r="A1757" s="1" t="s">
        <v>947</v>
      </c>
      <c r="B1757" s="1" t="str">
        <f>IFERROR(__xludf.DUMMYFUNCTION("SPLIT(A1757,"";"")"),"MUSICA IN CATHEDRA")</f>
        <v>MUSICA IN CATHEDRA</v>
      </c>
      <c r="C1757" s="1">
        <f>IFERROR(__xludf.DUMMYFUNCTION("""COMPUTED_VALUE"""),34.0)</f>
        <v>34</v>
      </c>
      <c r="D1757" s="1">
        <v>0.0</v>
      </c>
      <c r="E1757" s="2"/>
      <c r="F1757" s="2"/>
      <c r="G1757" s="2"/>
      <c r="H1757" s="2"/>
      <c r="I1757" s="2"/>
    </row>
    <row r="1758">
      <c r="A1758" s="1" t="s">
        <v>948</v>
      </c>
      <c r="B1758" s="1" t="str">
        <f>IFERROR(__xludf.DUMMYFUNCTION("SPLIT(A1758,"";"")"),"MUSIC'S COOL")</f>
        <v>MUSIC'S COOL</v>
      </c>
      <c r="C1758" s="3">
        <f>IFERROR(__xludf.DUMMYFUNCTION("""COMPUTED_VALUE"""),9650.0)</f>
        <v>9650</v>
      </c>
      <c r="D1758" s="1">
        <v>0.0</v>
      </c>
      <c r="E1758" s="2"/>
      <c r="F1758" s="2"/>
      <c r="G1758" s="2"/>
      <c r="H1758" s="2"/>
      <c r="I1758" s="2"/>
    </row>
    <row r="1759">
      <c r="A1759" s="1" t="s">
        <v>949</v>
      </c>
      <c r="B1759" s="1" t="str">
        <f>IFERROR(__xludf.DUMMYFUNCTION("SPLIT(A1759,"";"")"),"MUSIQUE MUNICIPALE")</f>
        <v>MUSIQUE MUNICIPALE</v>
      </c>
      <c r="C1759" s="3">
        <f>IFERROR(__xludf.DUMMYFUNCTION("""COMPUTED_VALUE"""),1845.0)</f>
        <v>1845</v>
      </c>
      <c r="D1759" s="1">
        <v>0.0</v>
      </c>
      <c r="E1759" s="2"/>
      <c r="F1759" s="2"/>
      <c r="G1759" s="2"/>
      <c r="H1759" s="2"/>
      <c r="I1759" s="2"/>
    </row>
    <row r="1760">
      <c r="A1760" s="1" t="s">
        <v>950</v>
      </c>
      <c r="B1760" s="1" t="str">
        <f>IFERROR(__xludf.DUMMYFUNCTION("SPLIT(A1760,"";"")"),"MUSIQUES DE NUIT - DIFFUSION")</f>
        <v>MUSIQUES DE NUIT - DIFFUSION</v>
      </c>
      <c r="C1760" s="3">
        <f>IFERROR(__xludf.DUMMYFUNCTION("""COMPUTED_VALUE"""),18557.0)</f>
        <v>18557</v>
      </c>
      <c r="D1760" s="1">
        <v>92.0</v>
      </c>
      <c r="E1760" s="2"/>
      <c r="F1760" s="2"/>
      <c r="G1760" s="2"/>
      <c r="H1760" s="2"/>
      <c r="I1760" s="2"/>
    </row>
    <row r="1761">
      <c r="A1761" s="1" t="s">
        <v>951</v>
      </c>
      <c r="B1761" s="1" t="str">
        <f>IFERROR(__xludf.DUMMYFUNCTION("SPLIT(A1761,"";"")"),"MUSIQUES EN ROUTE")</f>
        <v>MUSIQUES EN ROUTE</v>
      </c>
      <c r="C1761" s="3">
        <f>IFERROR(__xludf.DUMMYFUNCTION("""COMPUTED_VALUE"""),1560.0)</f>
        <v>1560</v>
      </c>
      <c r="D1761" s="1">
        <v>0.0</v>
      </c>
      <c r="E1761" s="2"/>
      <c r="F1761" s="2"/>
      <c r="G1761" s="2"/>
      <c r="H1761" s="2"/>
      <c r="I1761" s="2"/>
    </row>
    <row r="1762">
      <c r="A1762" s="1" t="s">
        <v>952</v>
      </c>
      <c r="B1762" s="1" t="str">
        <f>IFERROR(__xludf.DUMMYFUNCTION("SPLIT(A1762,"";"")"),"MY KARTEL")</f>
        <v>MY KARTEL</v>
      </c>
      <c r="C1762" s="3">
        <f>IFERROR(__xludf.DUMMYFUNCTION("""COMPUTED_VALUE"""),1288.0)</f>
        <v>1288</v>
      </c>
      <c r="D1762" s="1">
        <v>80.0</v>
      </c>
      <c r="E1762" s="2"/>
      <c r="F1762" s="2"/>
      <c r="G1762" s="2"/>
      <c r="H1762" s="2"/>
      <c r="I1762" s="2"/>
    </row>
    <row r="1763">
      <c r="A1763" s="1" t="s">
        <v>953</v>
      </c>
      <c r="B1763" s="1" t="str">
        <f>IFERROR(__xludf.DUMMYFUNCTION("SPLIT(A1763,"";"")"),"NACAO PALMARES CAPOEIRA DE BORDEAUX")</f>
        <v>NACAO PALMARES CAPOEIRA DE BORDEAUX</v>
      </c>
      <c r="C1763" s="3">
        <f>IFERROR(__xludf.DUMMYFUNCTION("""COMPUTED_VALUE"""),1539.0)</f>
        <v>1539</v>
      </c>
      <c r="D1763" s="1">
        <v>0.0</v>
      </c>
      <c r="E1763" s="2"/>
      <c r="F1763" s="2"/>
      <c r="G1763" s="2"/>
      <c r="H1763" s="2"/>
      <c r="I1763" s="2"/>
    </row>
    <row r="1764">
      <c r="A1764" s="1" t="s">
        <v>954</v>
      </c>
      <c r="B1764" s="1" t="str">
        <f>IFERROR(__xludf.DUMMYFUNCTION("SPLIT(A1764,"";"")"),"NEW BASKET ATTITUDE")</f>
        <v>NEW BASKET ATTITUDE</v>
      </c>
      <c r="C1764" s="3">
        <f>IFERROR(__xludf.DUMMYFUNCTION("""COMPUTED_VALUE"""),50148.0)</f>
        <v>50148</v>
      </c>
      <c r="D1764" s="1">
        <v>0.0</v>
      </c>
      <c r="E1764" s="2"/>
      <c r="F1764" s="2"/>
      <c r="G1764" s="2"/>
      <c r="H1764" s="2"/>
      <c r="I1764" s="2"/>
    </row>
    <row r="1765">
      <c r="A1765" s="1" t="s">
        <v>955</v>
      </c>
      <c r="B1765" s="1" t="str">
        <f>IFERROR(__xludf.DUMMYFUNCTION("SPLIT(A1765,"";"")"),"NIRE LAGUNA THOMAS")</f>
        <v>NIRE LAGUNA THOMAS</v>
      </c>
      <c r="C1765" s="3">
        <f>IFERROR(__xludf.DUMMYFUNCTION("""COMPUTED_VALUE"""),4200.0)</f>
        <v>4200</v>
      </c>
      <c r="D1765" s="1">
        <v>79.0</v>
      </c>
      <c r="E1765" s="2"/>
      <c r="F1765" s="2"/>
      <c r="G1765" s="2"/>
      <c r="H1765" s="2"/>
      <c r="I1765" s="2"/>
    </row>
    <row r="1766">
      <c r="A1766" s="1" t="s">
        <v>956</v>
      </c>
      <c r="B1766" s="1" t="str">
        <f>IFERROR(__xludf.DUMMYFUNCTION("SPLIT(A1766,"";"")"),"NOTRE DAME DE BARRAILS")</f>
        <v>NOTRE DAME DE BARRAILS</v>
      </c>
      <c r="C1766" s="3">
        <f>IFERROR(__xludf.DUMMYFUNCTION("""COMPUTED_VALUE"""),37520.0)</f>
        <v>37520</v>
      </c>
      <c r="D1766" s="1">
        <v>0.0</v>
      </c>
      <c r="E1766" s="2"/>
      <c r="F1766" s="2"/>
      <c r="G1766" s="2"/>
      <c r="H1766" s="2"/>
      <c r="I1766" s="2"/>
    </row>
    <row r="1767">
      <c r="A1767" s="1" t="s">
        <v>957</v>
      </c>
      <c r="B1767" s="1" t="str">
        <f>IFERROR(__xludf.DUMMYFUNCTION("SPLIT(A1767,"";"")"),"NOTRE ITALIE")</f>
        <v>NOTRE ITALIE</v>
      </c>
      <c r="C1767" s="1">
        <f>IFERROR(__xludf.DUMMYFUNCTION("""COMPUTED_VALUE"""),410.0)</f>
        <v>410</v>
      </c>
      <c r="D1767" s="1">
        <v>0.0</v>
      </c>
      <c r="E1767" s="2"/>
      <c r="F1767" s="2"/>
      <c r="G1767" s="2"/>
      <c r="H1767" s="2"/>
      <c r="I1767" s="2"/>
    </row>
    <row r="1768">
      <c r="A1768" s="1" t="s">
        <v>958</v>
      </c>
      <c r="B1768" s="1" t="str">
        <f>IFERROR(__xludf.DUMMYFUNCTION("SPLIT(A1768,"";"")"),"NOUS CITOYENS")</f>
        <v>NOUS CITOYENS</v>
      </c>
      <c r="C1768" s="1">
        <f>IFERROR(__xludf.DUMMYFUNCTION("""COMPUTED_VALUE"""),468.0)</f>
        <v>468</v>
      </c>
      <c r="D1768" s="1">
        <v>0.0</v>
      </c>
      <c r="E1768" s="2"/>
      <c r="F1768" s="2"/>
      <c r="G1768" s="2"/>
      <c r="H1768" s="2"/>
      <c r="I1768" s="2"/>
    </row>
    <row r="1769">
      <c r="A1769" s="1" t="s">
        <v>959</v>
      </c>
      <c r="B1769" s="1" t="str">
        <f>IFERROR(__xludf.DUMMYFUNCTION("SPLIT(A1769,"";"")"),"NOUS VOULONS LIRE !")</f>
        <v>NOUS VOULONS LIRE !</v>
      </c>
      <c r="C1769" s="3">
        <f>IFERROR(__xludf.DUMMYFUNCTION("""COMPUTED_VALUE"""),11081.0)</f>
        <v>11081</v>
      </c>
      <c r="D1769" s="1">
        <v>0.0</v>
      </c>
      <c r="E1769" s="2"/>
      <c r="F1769" s="2"/>
      <c r="G1769" s="2"/>
      <c r="H1769" s="2"/>
      <c r="I1769" s="2"/>
    </row>
    <row r="1770">
      <c r="A1770" s="1" t="s">
        <v>960</v>
      </c>
      <c r="B1770" s="1" t="str">
        <f>IFERROR(__xludf.DUMMYFUNCTION("SPLIT(A1770,"";"")"),"NOUVEAU COMITE FOIRE AUX PLAISIRS")</f>
        <v>NOUVEAU COMITE FOIRE AUX PLAISIRS</v>
      </c>
      <c r="C1770" s="3">
        <f>IFERROR(__xludf.DUMMYFUNCTION("""COMPUTED_VALUE"""),27180.0)</f>
        <v>27180</v>
      </c>
      <c r="D1770" s="1">
        <v>0.0</v>
      </c>
      <c r="E1770" s="2"/>
      <c r="F1770" s="2"/>
      <c r="G1770" s="2"/>
      <c r="H1770" s="2"/>
      <c r="I1770" s="2"/>
    </row>
    <row r="1771">
      <c r="A1771" s="1" t="s">
        <v>961</v>
      </c>
      <c r="B1771" s="1" t="str">
        <f>IFERROR(__xludf.DUMMYFUNCTION("SPLIT(A1771,"";"")"),"NOUVELLE DONNE")</f>
        <v>NOUVELLE DONNE</v>
      </c>
      <c r="C1771" s="3">
        <f>IFERROR(__xludf.DUMMYFUNCTION("""COMPUTED_VALUE"""),2158.0)</f>
        <v>2158</v>
      </c>
      <c r="D1771" s="1">
        <v>0.0</v>
      </c>
      <c r="E1771" s="2"/>
      <c r="F1771" s="2"/>
      <c r="G1771" s="2"/>
      <c r="H1771" s="2"/>
      <c r="I1771" s="2"/>
    </row>
    <row r="1772">
      <c r="A1772" s="1" t="s">
        <v>962</v>
      </c>
      <c r="B1772" s="1" t="str">
        <f>IFERROR(__xludf.DUMMYFUNCTION("SPLIT(A1772,"";"")"),"NUAGE BLEU")</f>
        <v>NUAGE BLEU</v>
      </c>
      <c r="C1772" s="1">
        <f>IFERROR(__xludf.DUMMYFUNCTION("""COMPUTED_VALUE"""),195.0)</f>
        <v>195</v>
      </c>
      <c r="D1772" s="1">
        <v>0.0</v>
      </c>
      <c r="E1772" s="2"/>
      <c r="F1772" s="2"/>
      <c r="G1772" s="2"/>
      <c r="H1772" s="2"/>
      <c r="I1772" s="2"/>
    </row>
    <row r="1773">
      <c r="A1773" s="1" t="s">
        <v>963</v>
      </c>
      <c r="B1773" s="1" t="str">
        <f>IFERROR(__xludf.DUMMYFUNCTION("SPLIT(A1773,"";"")"),"Ô PLAFOND")</f>
        <v>Ô PLAFOND</v>
      </c>
      <c r="C1773" s="1">
        <f>IFERROR(__xludf.DUMMYFUNCTION("""COMPUTED_VALUE"""),692.0)</f>
        <v>692</v>
      </c>
      <c r="D1773" s="1">
        <v>32.0</v>
      </c>
      <c r="E1773" s="2"/>
      <c r="F1773" s="2"/>
      <c r="G1773" s="2"/>
      <c r="H1773" s="2"/>
      <c r="I1773" s="2"/>
    </row>
    <row r="1774">
      <c r="A1774" s="1" t="s">
        <v>964</v>
      </c>
      <c r="B1774" s="1" t="str">
        <f>IFERROR(__xludf.DUMMYFUNCTION("SPLIT(A1774,"";"")"),"OCCS")</f>
        <v>OCCS</v>
      </c>
      <c r="C1774" s="1">
        <f>IFERROR(__xludf.DUMMYFUNCTION("""COMPUTED_VALUE"""),444.0)</f>
        <v>444</v>
      </c>
      <c r="D1774" s="1">
        <v>0.0</v>
      </c>
      <c r="E1774" s="2"/>
      <c r="F1774" s="2"/>
      <c r="G1774" s="2"/>
      <c r="H1774" s="2"/>
      <c r="I1774" s="2"/>
    </row>
    <row r="1775">
      <c r="A1775" s="1" t="s">
        <v>965</v>
      </c>
      <c r="B1775" s="1" t="str">
        <f>IFERROR(__xludf.DUMMYFUNCTION("SPLIT(A1775,"";"")"),"OCTANDRE")</f>
        <v>OCTANDRE</v>
      </c>
      <c r="C1775" s="3">
        <f>IFERROR(__xludf.DUMMYFUNCTION("""COMPUTED_VALUE"""),1205.0)</f>
        <v>1205</v>
      </c>
      <c r="D1775" s="1">
        <v>96.0</v>
      </c>
      <c r="E1775" s="2"/>
      <c r="F1775" s="2"/>
      <c r="G1775" s="2"/>
      <c r="H1775" s="2"/>
      <c r="I1775" s="2"/>
    </row>
    <row r="1776">
      <c r="A1776" s="1" t="s">
        <v>966</v>
      </c>
      <c r="B1776" s="1" t="str">
        <f>IFERROR(__xludf.DUMMYFUNCTION("SPLIT(A1776,"";"")"),"OFFICE AQUITAIN DE RECHERCHES")</f>
        <v>OFFICE AQUITAIN DE RECHERCHES</v>
      </c>
      <c r="C1776" s="1"/>
      <c r="D1776" s="1" t="s">
        <v>967</v>
      </c>
      <c r="E1776" s="1" t="s">
        <v>968</v>
      </c>
      <c r="F1776" s="2"/>
      <c r="G1776" s="2"/>
      <c r="H1776" s="2"/>
      <c r="I1776" s="2"/>
    </row>
    <row r="1777">
      <c r="A1777" s="1" t="s">
        <v>969</v>
      </c>
      <c r="B1777" s="3">
        <f>IFERROR(__xludf.DUMMYFUNCTION("SPLIT(A1777,"";"")"),43712.0)</f>
        <v>43712</v>
      </c>
      <c r="C1777" s="1"/>
      <c r="D1777" s="1">
        <v>0.0</v>
      </c>
      <c r="E1777" s="2"/>
      <c r="F1777" s="2"/>
      <c r="G1777" s="2"/>
      <c r="H1777" s="2"/>
      <c r="I1777" s="2"/>
    </row>
    <row r="1778">
      <c r="A1778" s="1" t="s">
        <v>970</v>
      </c>
      <c r="B1778" s="1" t="str">
        <f>IFERROR(__xludf.DUMMYFUNCTION("SPLIT(A1778,"";"")"),"OAREIL")</f>
        <v>OAREIL</v>
      </c>
      <c r="C1778" s="2"/>
      <c r="D1778" s="2"/>
      <c r="E1778" s="2"/>
      <c r="F1778" s="2"/>
      <c r="G1778" s="2"/>
      <c r="H1778" s="2"/>
      <c r="I1778" s="2"/>
    </row>
    <row r="1779">
      <c r="A1779" s="1" t="s">
        <v>971</v>
      </c>
      <c r="B1779" s="1" t="str">
        <f>IFERROR(__xludf.DUMMYFUNCTION("SPLIT(A1779,"";"")"),"OFFICE ARTISTIQUE DE REGION AQUITAINE")</f>
        <v>OFFICE ARTISTIQUE DE REGION AQUITAINE</v>
      </c>
      <c r="C1779" s="3">
        <f>IFERROR(__xludf.DUMMYFUNCTION("""COMPUTED_VALUE"""),1200.0)</f>
        <v>1200</v>
      </c>
      <c r="D1779" s="1">
        <v>0.0</v>
      </c>
      <c r="E1779" s="2"/>
      <c r="F1779" s="2"/>
      <c r="G1779" s="2"/>
      <c r="H1779" s="2"/>
      <c r="I1779" s="2"/>
    </row>
    <row r="1780">
      <c r="A1780" s="1" t="s">
        <v>972</v>
      </c>
      <c r="B1780" s="1" t="str">
        <f>IFERROR(__xludf.DUMMYFUNCTION("SPLIT(A1780,"";"")"),"OFFICIERS DE RESERVE")</f>
        <v>OFFICIERS DE RESERVE</v>
      </c>
      <c r="C1780" s="1">
        <f>IFERROR(__xludf.DUMMYFUNCTION("""COMPUTED_VALUE"""),450.0)</f>
        <v>450</v>
      </c>
      <c r="D1780" s="1">
        <v>0.0</v>
      </c>
      <c r="E1780" s="2"/>
      <c r="F1780" s="2"/>
      <c r="G1780" s="2"/>
      <c r="H1780" s="2"/>
      <c r="I1780" s="2"/>
    </row>
    <row r="1781">
      <c r="A1781" s="1" t="s">
        <v>973</v>
      </c>
      <c r="B1781" s="1" t="str">
        <f>IFERROR(__xludf.DUMMYFUNCTION("SPLIT(A1781,"";"")"),"OKIWI")</f>
        <v>OKIWI</v>
      </c>
      <c r="C1781" s="1">
        <f>IFERROR(__xludf.DUMMYFUNCTION("""COMPUTED_VALUE"""),367.0)</f>
        <v>367</v>
      </c>
      <c r="D1781" s="1">
        <v>0.0</v>
      </c>
      <c r="E1781" s="2"/>
      <c r="F1781" s="2"/>
      <c r="G1781" s="2"/>
      <c r="H1781" s="2"/>
      <c r="I1781" s="2"/>
    </row>
    <row r="1782">
      <c r="A1782" s="1" t="s">
        <v>974</v>
      </c>
      <c r="B1782" s="1" t="str">
        <f>IFERROR(__xludf.DUMMYFUNCTION("SPLIT(A1782,"";"")"),"ONG QUISHUAR")</f>
        <v>ONG QUISHUAR</v>
      </c>
      <c r="C1782" s="1">
        <f>IFERROR(__xludf.DUMMYFUNCTION("""COMPUTED_VALUE"""),477.0)</f>
        <v>477</v>
      </c>
      <c r="D1782" s="1">
        <v>0.0</v>
      </c>
      <c r="E1782" s="2"/>
      <c r="F1782" s="2"/>
      <c r="G1782" s="2"/>
      <c r="H1782" s="2"/>
      <c r="I1782" s="2"/>
    </row>
    <row r="1783">
      <c r="A1783" s="1" t="s">
        <v>975</v>
      </c>
      <c r="B1783" s="1" t="str">
        <f>IFERROR(__xludf.DUMMYFUNCTION("SPLIT(A1783,"";"")"),"OPERA BASTIDE")</f>
        <v>OPERA BASTIDE</v>
      </c>
      <c r="C1783" s="1">
        <f>IFERROR(__xludf.DUMMYFUNCTION("""COMPUTED_VALUE"""),970.0)</f>
        <v>970</v>
      </c>
      <c r="D1783" s="1">
        <v>0.0</v>
      </c>
      <c r="E1783" s="2"/>
      <c r="F1783" s="2"/>
      <c r="G1783" s="2"/>
      <c r="H1783" s="2"/>
      <c r="I1783" s="2"/>
    </row>
    <row r="1784">
      <c r="A1784" s="1" t="s">
        <v>976</v>
      </c>
      <c r="B1784" s="1" t="str">
        <f>IFERROR(__xludf.DUMMYFUNCTION("SPLIT(A1784,"";"")"),"OPUS 33")</f>
        <v>OPUS 33</v>
      </c>
      <c r="C1784" s="3">
        <f>IFERROR(__xludf.DUMMYFUNCTION("""COMPUTED_VALUE"""),7826.0)</f>
        <v>7826</v>
      </c>
      <c r="D1784" s="1">
        <v>0.0</v>
      </c>
      <c r="E1784" s="2"/>
      <c r="F1784" s="2"/>
      <c r="G1784" s="2"/>
      <c r="H1784" s="2"/>
      <c r="I1784" s="2"/>
    </row>
    <row r="1785">
      <c r="A1785" s="1" t="s">
        <v>977</v>
      </c>
      <c r="B1785" s="1" t="str">
        <f>IFERROR(__xludf.DUMMYFUNCTION("SPLIT(A1785,"";"")"),"ORGAN PHANTOM")</f>
        <v>ORGAN PHANTOM</v>
      </c>
      <c r="C1785" s="3">
        <f>IFERROR(__xludf.DUMMYFUNCTION("""COMPUTED_VALUE"""),6549.0)</f>
        <v>6549</v>
      </c>
      <c r="D1785" s="1">
        <v>81.0</v>
      </c>
      <c r="E1785" s="2"/>
      <c r="F1785" s="2"/>
      <c r="G1785" s="2"/>
      <c r="H1785" s="2"/>
      <c r="I1785" s="2"/>
    </row>
    <row r="1786">
      <c r="A1786" s="1" t="s">
        <v>978</v>
      </c>
      <c r="B1786" s="1" t="str">
        <f>IFERROR(__xludf.DUMMYFUNCTION("SPLIT(A1786,"";"")"),"ORGANISATION SOCIO-CULTURELLE DE BORDEAUX IV OSB IV")</f>
        <v>ORGANISATION SOCIO-CULTURELLE DE BORDEAUX IV OSB IV</v>
      </c>
      <c r="C1786" s="1">
        <f>IFERROR(__xludf.DUMMYFUNCTION("""COMPUTED_VALUE"""),696.0)</f>
        <v>696</v>
      </c>
      <c r="D1786" s="1">
        <v>0.0</v>
      </c>
      <c r="E1786" s="2"/>
      <c r="F1786" s="2"/>
      <c r="G1786" s="2"/>
      <c r="H1786" s="2"/>
      <c r="I1786" s="2"/>
    </row>
    <row r="1787">
      <c r="A1787" s="1" t="s">
        <v>979</v>
      </c>
      <c r="B1787" s="1" t="str">
        <f>IFERROR(__xludf.DUMMYFUNCTION("SPLIT(A1787,"";"")"),"OSEZ LE FEMINISME 33 !")</f>
        <v>OSEZ LE FEMINISME 33 !</v>
      </c>
      <c r="C1787" s="1">
        <f>IFERROR(__xludf.DUMMYFUNCTION("""COMPUTED_VALUE"""),24.0)</f>
        <v>24</v>
      </c>
      <c r="D1787" s="1">
        <v>0.0</v>
      </c>
      <c r="E1787" s="2"/>
      <c r="F1787" s="2"/>
      <c r="G1787" s="2"/>
      <c r="H1787" s="2"/>
      <c r="I1787" s="2"/>
    </row>
    <row r="1788">
      <c r="A1788" s="1" t="s">
        <v>980</v>
      </c>
      <c r="B1788" s="1" t="str">
        <f>IFERROR(__xludf.DUMMYFUNCTION("SPLIT(A1788,"";"")"),"OSONS")</f>
        <v>OSONS</v>
      </c>
      <c r="C1788" s="1"/>
      <c r="D1788" s="1" t="s">
        <v>981</v>
      </c>
      <c r="E1788" s="1">
        <v>12.0</v>
      </c>
      <c r="F1788" s="2"/>
      <c r="G1788" s="2"/>
      <c r="H1788" s="2"/>
      <c r="I1788" s="2"/>
    </row>
    <row r="1789">
      <c r="A1789" s="1" t="s">
        <v>982</v>
      </c>
      <c r="B1789" s="1" t="str">
        <f>IFERROR(__xludf.DUMMYFUNCTION("SPLIT(A1789,"";"")"),"OUI A LA VIE")</f>
        <v>OUI A LA VIE</v>
      </c>
      <c r="C1789" s="1">
        <f>IFERROR(__xludf.DUMMYFUNCTION("""COMPUTED_VALUE"""),444.0)</f>
        <v>444</v>
      </c>
      <c r="D1789" s="1">
        <v>0.0</v>
      </c>
      <c r="E1789" s="2"/>
      <c r="F1789" s="2"/>
      <c r="G1789" s="2"/>
      <c r="H1789" s="2"/>
      <c r="I1789" s="2"/>
    </row>
    <row r="1790">
      <c r="A1790" s="1" t="s">
        <v>983</v>
      </c>
      <c r="B1790" s="1" t="str">
        <f>IFERROR(__xludf.DUMMYFUNCTION("SPLIT(A1790,"";"")"),"PALLIAQUITAINE")</f>
        <v>PALLIAQUITAINE</v>
      </c>
      <c r="C1790" s="1">
        <f>IFERROR(__xludf.DUMMYFUNCTION("""COMPUTED_VALUE"""),811.0)</f>
        <v>811</v>
      </c>
      <c r="D1790" s="1">
        <v>0.0</v>
      </c>
      <c r="E1790" s="2"/>
      <c r="F1790" s="2"/>
      <c r="G1790" s="2"/>
      <c r="H1790" s="2"/>
      <c r="I1790" s="2"/>
    </row>
    <row r="1791">
      <c r="A1791" s="1" t="s">
        <v>984</v>
      </c>
      <c r="B1791" s="1" t="str">
        <f>IFERROR(__xludf.DUMMYFUNCTION("SPLIT(A1791,"";"")"),"PARALLELES ATTITUDES DIFFUSION - ROCKSCHOOL")</f>
        <v>PARALLELES ATTITUDES DIFFUSION - ROCKSCHOOL</v>
      </c>
      <c r="C1791" s="3">
        <f>IFERROR(__xludf.DUMMYFUNCTION("""COMPUTED_VALUE"""),7867.0)</f>
        <v>7867</v>
      </c>
      <c r="D1791" s="1">
        <v>38.0</v>
      </c>
      <c r="E1791" s="2"/>
      <c r="F1791" s="2"/>
      <c r="G1791" s="2"/>
      <c r="H1791" s="2"/>
      <c r="I1791" s="2"/>
    </row>
    <row r="1792">
      <c r="A1792" s="1" t="s">
        <v>985</v>
      </c>
      <c r="B1792" s="1" t="str">
        <f>IFERROR(__xludf.DUMMYFUNCTION("SPLIT(A1792,"";"")"),"PARRAINAGE 33")</f>
        <v>PARRAINAGE 33</v>
      </c>
      <c r="C1792" s="3">
        <f>IFERROR(__xludf.DUMMYFUNCTION("""COMPUTED_VALUE"""),2009.0)</f>
        <v>2009</v>
      </c>
      <c r="D1792" s="1">
        <v>0.0</v>
      </c>
      <c r="E1792" s="2"/>
      <c r="F1792" s="2"/>
      <c r="G1792" s="2"/>
      <c r="H1792" s="2"/>
      <c r="I1792" s="2"/>
    </row>
    <row r="1793">
      <c r="A1793" s="1" t="s">
        <v>986</v>
      </c>
      <c r="B1793" s="1" t="str">
        <f>IFERROR(__xludf.DUMMYFUNCTION("SPLIT(A1793,"";"")"),"PARTI OUVRIER INDEPENDANT DEMOCRATIQUE DE LA GIRONDE - POID33")</f>
        <v>PARTI OUVRIER INDEPENDANT DEMOCRATIQUE DE LA GIRONDE - POID33</v>
      </c>
      <c r="C1793" s="1">
        <f>IFERROR(__xludf.DUMMYFUNCTION("""COMPUTED_VALUE"""),116.0)</f>
        <v>116</v>
      </c>
      <c r="D1793" s="1">
        <v>0.0</v>
      </c>
      <c r="E1793" s="2"/>
      <c r="F1793" s="2"/>
      <c r="G1793" s="2"/>
      <c r="H1793" s="2"/>
      <c r="I1793" s="2"/>
    </row>
    <row r="1794">
      <c r="A1794" s="1" t="s">
        <v>987</v>
      </c>
      <c r="B1794" s="1" t="str">
        <f>IFERROR(__xludf.DUMMYFUNCTION("SPLIT(A1794,"";"")"),"PASSERELLES ET COMPETENCES")</f>
        <v>PASSERELLES ET COMPETENCES</v>
      </c>
      <c r="C1794" s="1">
        <f>IFERROR(__xludf.DUMMYFUNCTION("""COMPUTED_VALUE"""),568.0)</f>
        <v>568</v>
      </c>
      <c r="D1794" s="1">
        <v>0.0</v>
      </c>
      <c r="E1794" s="2"/>
      <c r="F1794" s="2"/>
      <c r="G1794" s="2"/>
      <c r="H1794" s="2"/>
      <c r="I1794" s="2"/>
    </row>
    <row r="1795">
      <c r="A1795" s="1" t="s">
        <v>988</v>
      </c>
      <c r="B1795" s="1" t="str">
        <f>IFERROR(__xludf.DUMMYFUNCTION("SPLIT(A1795,"";"")"),"PAUSE-CAFE")</f>
        <v>PAUSE-CAFE</v>
      </c>
      <c r="C1795" s="1">
        <f>IFERROR(__xludf.DUMMYFUNCTION("""COMPUTED_VALUE"""),889.0)</f>
        <v>889</v>
      </c>
      <c r="D1795" s="1">
        <v>56.0</v>
      </c>
      <c r="E1795" s="2"/>
      <c r="F1795" s="2"/>
      <c r="G1795" s="2"/>
      <c r="H1795" s="2"/>
      <c r="I1795" s="2"/>
    </row>
    <row r="1796">
      <c r="A1796" s="1" t="s">
        <v>989</v>
      </c>
      <c r="B1796" s="1" t="str">
        <f>IFERROR(__xludf.DUMMYFUNCTION("SPLIT(A1796,"";"")"),"PENA FLAMENCA COPAS Y COMPAS")</f>
        <v>PENA FLAMENCA COPAS Y COMPAS</v>
      </c>
      <c r="C1796" s="1">
        <f>IFERROR(__xludf.DUMMYFUNCTION("""COMPUTED_VALUE"""),587.0)</f>
        <v>587</v>
      </c>
      <c r="D1796" s="1">
        <v>0.0</v>
      </c>
      <c r="E1796" s="2"/>
      <c r="F1796" s="2"/>
      <c r="G1796" s="2"/>
      <c r="H1796" s="2"/>
      <c r="I1796" s="2"/>
    </row>
    <row r="1797">
      <c r="A1797" s="1" t="s">
        <v>990</v>
      </c>
      <c r="B1797" s="1" t="str">
        <f>IFERROR(__xludf.DUMMYFUNCTION("SPLIT(A1797,"";"")"),"PENA MADRIDISTA DE BORDEAUX")</f>
        <v>PENA MADRIDISTA DE BORDEAUX</v>
      </c>
      <c r="C1797" s="1">
        <f>IFERROR(__xludf.DUMMYFUNCTION("""COMPUTED_VALUE"""),676.0)</f>
        <v>676</v>
      </c>
      <c r="D1797" s="1">
        <v>50.0</v>
      </c>
      <c r="E1797" s="2"/>
      <c r="F1797" s="2"/>
      <c r="G1797" s="2"/>
      <c r="H1797" s="2"/>
      <c r="I1797" s="2"/>
    </row>
    <row r="1798">
      <c r="A1798" s="1" t="s">
        <v>991</v>
      </c>
      <c r="B1798" s="1" t="str">
        <f>IFERROR(__xludf.DUMMYFUNCTION("SPLIT(A1798,"";"")"),"PENSION DE FAMILLE")</f>
        <v>PENSION DE FAMILLE</v>
      </c>
      <c r="C1798" s="1">
        <f>IFERROR(__xludf.DUMMYFUNCTION("""COMPUTED_VALUE"""),160.0)</f>
        <v>160</v>
      </c>
      <c r="D1798" s="1">
        <v>0.0</v>
      </c>
      <c r="E1798" s="2"/>
      <c r="F1798" s="2"/>
      <c r="G1798" s="2"/>
      <c r="H1798" s="2"/>
      <c r="I1798" s="2"/>
    </row>
    <row r="1799">
      <c r="A1799" s="1" t="s">
        <v>992</v>
      </c>
      <c r="B1799" s="1" t="str">
        <f>IFERROR(__xludf.DUMMYFUNCTION("SPLIT(A1799,"";"")"),"PERCEPTA - TAI CHI CHUAN ET DEVELOPPEMENT PERSONNEL")</f>
        <v>PERCEPTA - TAI CHI CHUAN ET DEVELOPPEMENT PERSONNEL</v>
      </c>
      <c r="C1799" s="3">
        <f>IFERROR(__xludf.DUMMYFUNCTION("""COMPUTED_VALUE"""),2088.0)</f>
        <v>2088</v>
      </c>
      <c r="D1799" s="1">
        <v>0.0</v>
      </c>
      <c r="E1799" s="2"/>
      <c r="F1799" s="2"/>
      <c r="G1799" s="2"/>
      <c r="H1799" s="2"/>
      <c r="I1799" s="2"/>
    </row>
    <row r="1800">
      <c r="A1800" s="1" t="s">
        <v>993</v>
      </c>
      <c r="B1800" s="1" t="str">
        <f>IFERROR(__xludf.DUMMYFUNCTION("SPLIT(A1800,"";"")"),"PERES &amp; FILS RUGBY 33")</f>
        <v>PERES &amp; FILS RUGBY 33</v>
      </c>
      <c r="C1800" s="3">
        <f>IFERROR(__xludf.DUMMYFUNCTION("""COMPUTED_VALUE"""),2721.0)</f>
        <v>2721</v>
      </c>
      <c r="D1800" s="1">
        <v>43.0</v>
      </c>
      <c r="E1800" s="2"/>
      <c r="F1800" s="2"/>
      <c r="G1800" s="2"/>
      <c r="H1800" s="2"/>
      <c r="I1800" s="2"/>
    </row>
    <row r="1801">
      <c r="A1801" s="1" t="s">
        <v>994</v>
      </c>
      <c r="B1801" s="1" t="str">
        <f>IFERROR(__xludf.DUMMYFUNCTION("SPLIT(A1801,"";"")"),"PERMANENCES DE LA LITTERATURE")</f>
        <v>PERMANENCES DE LA LITTERATURE</v>
      </c>
      <c r="C1801" s="3">
        <f>IFERROR(__xludf.DUMMYFUNCTION("""COMPUTED_VALUE"""),19632.0)</f>
        <v>19632</v>
      </c>
      <c r="D1801" s="1">
        <v>0.0</v>
      </c>
      <c r="E1801" s="2"/>
      <c r="F1801" s="2"/>
      <c r="G1801" s="2"/>
      <c r="H1801" s="2"/>
      <c r="I1801" s="2"/>
    </row>
    <row r="1802">
      <c r="A1802" s="1" t="s">
        <v>995</v>
      </c>
      <c r="B1802" s="1" t="str">
        <f>IFERROR(__xludf.DUMMYFUNCTION("SPLIT(A1802,"";"")"),"PETANQUE BACALANAISE")</f>
        <v>PETANQUE BACALANAISE</v>
      </c>
      <c r="C1802" s="3">
        <f>IFERROR(__xludf.DUMMYFUNCTION("""COMPUTED_VALUE"""),10495.0)</f>
        <v>10495</v>
      </c>
      <c r="D1802" s="1">
        <v>72.0</v>
      </c>
      <c r="E1802" s="2"/>
      <c r="F1802" s="2"/>
      <c r="G1802" s="2"/>
      <c r="H1802" s="2"/>
      <c r="I1802" s="2"/>
    </row>
    <row r="1803">
      <c r="A1803" s="1" t="s">
        <v>996</v>
      </c>
      <c r="B1803" s="1" t="str">
        <f>IFERROR(__xludf.DUMMYFUNCTION("SPLIT(A1803,"";"")"),"PETANQUE CLUB EMILE COMBES")</f>
        <v>PETANQUE CLUB EMILE COMBES</v>
      </c>
      <c r="C1803" s="3">
        <f>IFERROR(__xludf.DUMMYFUNCTION("""COMPUTED_VALUE"""),3789.0)</f>
        <v>3789</v>
      </c>
      <c r="D1803" s="1">
        <v>30.0</v>
      </c>
      <c r="E1803" s="2"/>
      <c r="F1803" s="2"/>
      <c r="G1803" s="2"/>
      <c r="H1803" s="2"/>
      <c r="I1803" s="2"/>
    </row>
    <row r="1804">
      <c r="A1804" s="1" t="s">
        <v>997</v>
      </c>
      <c r="B1804" s="1" t="str">
        <f>IFERROR(__xludf.DUMMYFUNCTION("SPLIT(A1804,"";"")"),"PETANQUE-CLUB DES TROIS")</f>
        <v>PETANQUE-CLUB DES TROIS</v>
      </c>
      <c r="C1804" s="3">
        <f>IFERROR(__xludf.DUMMYFUNCTION("""COMPUTED_VALUE"""),1494.0)</f>
        <v>1494</v>
      </c>
      <c r="D1804" s="1">
        <v>92.0</v>
      </c>
      <c r="E1804" s="2"/>
      <c r="F1804" s="2"/>
      <c r="G1804" s="2"/>
      <c r="H1804" s="2"/>
      <c r="I1804" s="2"/>
    </row>
    <row r="1805">
      <c r="A1805" s="1" t="s">
        <v>998</v>
      </c>
      <c r="B1805" s="1" t="str">
        <f>IFERROR(__xludf.DUMMYFUNCTION("SPLIT(A1805,"";"")"),"PETITES SOEURS DES PAUVRES")</f>
        <v>PETITES SOEURS DES PAUVRES</v>
      </c>
      <c r="C1805" s="3">
        <f>IFERROR(__xludf.DUMMYFUNCTION("""COMPUTED_VALUE"""),1379.0)</f>
        <v>1379</v>
      </c>
      <c r="D1805" s="1">
        <v>78.0</v>
      </c>
      <c r="E1805" s="2"/>
      <c r="F1805" s="2"/>
      <c r="G1805" s="2"/>
      <c r="H1805" s="2"/>
      <c r="I1805" s="2"/>
    </row>
    <row r="1806">
      <c r="A1806" s="1" t="s">
        <v>999</v>
      </c>
      <c r="B1806" s="1" t="str">
        <f>IFERROR(__xludf.DUMMYFUNCTION("SPLIT(A1806,"";"")"),"PEUPLES SOLIDAIRES")</f>
        <v>PEUPLES SOLIDAIRES</v>
      </c>
      <c r="C1806" s="1">
        <f>IFERROR(__xludf.DUMMYFUNCTION("""COMPUTED_VALUE"""),48.0)</f>
        <v>48</v>
      </c>
      <c r="D1806" s="1">
        <v>0.0</v>
      </c>
      <c r="E1806" s="2"/>
      <c r="F1806" s="2"/>
      <c r="G1806" s="2"/>
      <c r="H1806" s="2"/>
      <c r="I1806" s="2"/>
    </row>
    <row r="1807">
      <c r="A1807" s="1" t="s">
        <v>1000</v>
      </c>
      <c r="B1807" s="1" t="str">
        <f>IFERROR(__xludf.DUMMYFUNCTION("SPLIT(A1807,"";"")"),"PHENIX DE BELCIER")</f>
        <v>PHENIX DE BELCIER</v>
      </c>
      <c r="C1807" s="3">
        <f>IFERROR(__xludf.DUMMYFUNCTION("""COMPUTED_VALUE"""),17975.0)</f>
        <v>17975</v>
      </c>
      <c r="D1807" s="1">
        <v>0.0</v>
      </c>
      <c r="E1807" s="2"/>
      <c r="F1807" s="2"/>
      <c r="G1807" s="2"/>
      <c r="H1807" s="2"/>
      <c r="I1807" s="2"/>
    </row>
    <row r="1808">
      <c r="A1808" s="1" t="s">
        <v>1001</v>
      </c>
      <c r="B1808" s="1" t="str">
        <f>IFERROR(__xludf.DUMMYFUNCTION("SPLIT(A1808,"";"")"),"PHENIX ECOUTE ET PAROLES")</f>
        <v>PHENIX ECOUTE ET PAROLES</v>
      </c>
      <c r="C1808" s="3">
        <f>IFERROR(__xludf.DUMMYFUNCTION("""COMPUTED_VALUE"""),5040.0)</f>
        <v>5040</v>
      </c>
      <c r="D1808" s="1">
        <v>0.0</v>
      </c>
      <c r="E1808" s="2"/>
      <c r="F1808" s="2"/>
      <c r="G1808" s="2"/>
      <c r="H1808" s="2"/>
      <c r="I1808" s="2"/>
    </row>
    <row r="1809">
      <c r="A1809" s="1" t="s">
        <v>1002</v>
      </c>
      <c r="B1809" s="1" t="str">
        <f>IFERROR(__xludf.DUMMYFUNCTION("SPLIT(A1809,"";"")"),"PHILOSPHERES")</f>
        <v>PHILOSPHERES</v>
      </c>
      <c r="C1809" s="1">
        <f>IFERROR(__xludf.DUMMYFUNCTION("""COMPUTED_VALUE"""),576.0)</f>
        <v>576</v>
      </c>
      <c r="D1809" s="1">
        <v>0.0</v>
      </c>
      <c r="E1809" s="2"/>
      <c r="F1809" s="2"/>
      <c r="G1809" s="2"/>
      <c r="H1809" s="2"/>
      <c r="I1809" s="2"/>
    </row>
    <row r="1810">
      <c r="A1810" s="1" t="s">
        <v>1003</v>
      </c>
      <c r="B1810" s="1" t="str">
        <f>IFERROR(__xludf.DUMMYFUNCTION("SPLIT(A1810,"";"")"),"PHOTO CLUB DE BORDEAUX")</f>
        <v>PHOTO CLUB DE BORDEAUX</v>
      </c>
      <c r="C1810" s="3">
        <f>IFERROR(__xludf.DUMMYFUNCTION("""COMPUTED_VALUE"""),2674.0)</f>
        <v>2674</v>
      </c>
      <c r="D1810" s="1">
        <v>0.0</v>
      </c>
      <c r="E1810" s="2"/>
      <c r="F1810" s="2"/>
      <c r="G1810" s="2"/>
      <c r="H1810" s="2"/>
      <c r="I1810" s="2"/>
    </row>
    <row r="1811">
      <c r="A1811" s="1" t="s">
        <v>1004</v>
      </c>
      <c r="B1811" s="1" t="str">
        <f>IFERROR(__xludf.DUMMYFUNCTION("SPLIT(A1811,"";"")"),"PICTUR'ART")</f>
        <v>PICTUR'ART</v>
      </c>
      <c r="C1811" s="3">
        <f>IFERROR(__xludf.DUMMYFUNCTION("""COMPUTED_VALUE"""),1258.0)</f>
        <v>1258</v>
      </c>
      <c r="D1811" s="1">
        <v>0.0</v>
      </c>
      <c r="E1811" s="2"/>
      <c r="F1811" s="2"/>
      <c r="G1811" s="2"/>
      <c r="H1811" s="2"/>
      <c r="I1811" s="2"/>
    </row>
    <row r="1812">
      <c r="A1812" s="1" t="s">
        <v>1005</v>
      </c>
      <c r="B1812" s="1" t="str">
        <f>IFERROR(__xludf.DUMMYFUNCTION("SPLIT(A1812,"";"")"),"PLAN INTERNATIONAL FRANCE - PLAN FRANCE")</f>
        <v>PLAN INTERNATIONAL FRANCE - PLAN FRANCE</v>
      </c>
      <c r="C1812" s="1">
        <f>IFERROR(__xludf.DUMMYFUNCTION("""COMPUTED_VALUE"""),34.0)</f>
        <v>34</v>
      </c>
      <c r="D1812" s="1">
        <v>0.0</v>
      </c>
      <c r="E1812" s="2"/>
      <c r="F1812" s="2"/>
      <c r="G1812" s="2"/>
      <c r="H1812" s="2"/>
      <c r="I1812" s="2"/>
    </row>
    <row r="1813">
      <c r="A1813" s="1" t="s">
        <v>1006</v>
      </c>
      <c r="B1813" s="1" t="str">
        <f>IFERROR(__xludf.DUMMYFUNCTION("SPLIT(A1813,"";"")"),"PLANETE BORDEAUX")</f>
        <v>PLANETE BORDEAUX</v>
      </c>
      <c r="C1813" s="1">
        <f>IFERROR(__xludf.DUMMYFUNCTION("""COMPUTED_VALUE"""),198.0)</f>
        <v>198</v>
      </c>
      <c r="D1813" s="1">
        <v>77.0</v>
      </c>
      <c r="E1813" s="2"/>
      <c r="F1813" s="2"/>
      <c r="G1813" s="2"/>
      <c r="H1813" s="2"/>
      <c r="I1813" s="2"/>
    </row>
    <row r="1814">
      <c r="A1814" s="1" t="s">
        <v>1007</v>
      </c>
      <c r="B1814" s="1" t="str">
        <f>IFERROR(__xludf.DUMMYFUNCTION("SPLIT(A1814,"";"")"),"PLENI'OM")</f>
        <v>PLENI'OM</v>
      </c>
      <c r="C1814" s="3">
        <f>IFERROR(__xludf.DUMMYFUNCTION("""COMPUTED_VALUE"""),1640.0)</f>
        <v>1640</v>
      </c>
      <c r="D1814" s="1">
        <v>0.0</v>
      </c>
      <c r="E1814" s="2"/>
      <c r="F1814" s="2"/>
      <c r="G1814" s="2"/>
      <c r="H1814" s="2"/>
      <c r="I1814" s="2"/>
    </row>
    <row r="1815">
      <c r="A1815" s="1" t="s">
        <v>1008</v>
      </c>
      <c r="B1815" s="1" t="str">
        <f>IFERROR(__xludf.DUMMYFUNCTION("SPLIT(A1815,"";"")"),"POINT DE FUITE")</f>
        <v>POINT DE FUITE</v>
      </c>
      <c r="C1815" s="1">
        <f>IFERROR(__xludf.DUMMYFUNCTION("""COMPUTED_VALUE"""),216.0)</f>
        <v>216</v>
      </c>
      <c r="D1815" s="1">
        <v>43.0</v>
      </c>
      <c r="E1815" s="2"/>
      <c r="F1815" s="2"/>
      <c r="G1815" s="2"/>
      <c r="H1815" s="2"/>
      <c r="I1815" s="2"/>
    </row>
    <row r="1816">
      <c r="A1816" s="1" t="s">
        <v>1009</v>
      </c>
      <c r="B1816" s="1" t="str">
        <f>IFERROR(__xludf.DUMMYFUNCTION("SPLIT(A1816,"";"")"),"POINT RENCONTRE DE BORDEAUX")</f>
        <v>POINT RENCONTRE DE BORDEAUX</v>
      </c>
      <c r="C1816" s="3">
        <f>IFERROR(__xludf.DUMMYFUNCTION("""COMPUTED_VALUE"""),1031.0)</f>
        <v>1031</v>
      </c>
      <c r="D1816" s="1">
        <v>0.0</v>
      </c>
      <c r="E1816" s="2"/>
      <c r="F1816" s="2"/>
      <c r="G1816" s="2"/>
      <c r="H1816" s="2"/>
      <c r="I1816" s="2"/>
    </row>
    <row r="1817">
      <c r="A1817" s="1" t="s">
        <v>1010</v>
      </c>
      <c r="B1817" s="1" t="str">
        <f>IFERROR(__xludf.DUMMYFUNCTION("SPLIT(A1817,"";"")"),"POLAR EN CABANES - LES AMIS DE CHESTER HIMES EN AQUITAINE")</f>
        <v>POLAR EN CABANES - LES AMIS DE CHESTER HIMES EN AQUITAINE</v>
      </c>
      <c r="C1817" s="1"/>
      <c r="D1817" s="1" t="s">
        <v>1011</v>
      </c>
      <c r="E1817" s="1">
        <v>0.0</v>
      </c>
      <c r="F1817" s="2"/>
      <c r="G1817" s="2"/>
      <c r="H1817" s="2"/>
      <c r="I1817" s="2"/>
    </row>
    <row r="1818">
      <c r="A1818" s="1" t="s">
        <v>1012</v>
      </c>
      <c r="B1818" s="1" t="str">
        <f>IFERROR(__xludf.DUMMYFUNCTION("SPLIT(A1818,"";"")"),"POLE D'ENSEIGNEMENT SUPERIEUR DE LA MUSIQUE ET DE LA DANSE DE BORDEAUX AQUITAINE - PESMD")</f>
        <v>POLE D'ENSEIGNEMENT SUPERIEUR DE LA MUSIQUE ET DE LA DANSE DE BORDEAUX AQUITAINE - PESMD</v>
      </c>
      <c r="C1818" s="1">
        <f>IFERROR(__xludf.DUMMYFUNCTION("""COMPUTED_VALUE"""),34.0)</f>
        <v>34</v>
      </c>
      <c r="D1818" s="1">
        <v>0.0</v>
      </c>
      <c r="E1818" s="2"/>
      <c r="F1818" s="2"/>
      <c r="G1818" s="2"/>
      <c r="H1818" s="2"/>
      <c r="I1818" s="2"/>
    </row>
    <row r="1819">
      <c r="A1819" s="1" t="s">
        <v>1013</v>
      </c>
      <c r="B1819" s="1" t="str">
        <f>IFERROR(__xludf.DUMMYFUNCTION("SPLIT(A1819,"";"")"),"POLE MAGNETIC")</f>
        <v>POLE MAGNETIC</v>
      </c>
      <c r="C1819" s="3">
        <f>IFERROR(__xludf.DUMMYFUNCTION("""COMPUTED_VALUE"""),4461.0)</f>
        <v>4461</v>
      </c>
      <c r="D1819" s="1">
        <v>60.0</v>
      </c>
      <c r="E1819" s="2"/>
      <c r="F1819" s="2"/>
      <c r="G1819" s="2"/>
      <c r="H1819" s="2"/>
      <c r="I1819" s="2"/>
    </row>
    <row r="1820">
      <c r="A1820" s="1" t="s">
        <v>1014</v>
      </c>
      <c r="B1820" s="1" t="str">
        <f>IFERROR(__xludf.DUMMYFUNCTION("SPLIT(A1820,"";"")"),"POLIFONIA ELIANE LAVAIL")</f>
        <v>POLIFONIA ELIANE LAVAIL</v>
      </c>
      <c r="C1820" s="3">
        <f>IFERROR(__xludf.DUMMYFUNCTION("""COMPUTED_VALUE"""),1001.0)</f>
        <v>1001</v>
      </c>
      <c r="D1820" s="1">
        <v>0.0</v>
      </c>
      <c r="E1820" s="2"/>
      <c r="F1820" s="2"/>
      <c r="G1820" s="2"/>
      <c r="H1820" s="2"/>
      <c r="I1820" s="2"/>
    </row>
    <row r="1821">
      <c r="A1821" s="1" t="s">
        <v>1015</v>
      </c>
      <c r="B1821" s="1" t="str">
        <f>IFERROR(__xludf.DUMMYFUNCTION("SPLIT(A1821,"";"")"),"POLSKIE BORDEAUX")</f>
        <v>POLSKIE BORDEAUX</v>
      </c>
      <c r="C1821" s="1">
        <f>IFERROR(__xludf.DUMMYFUNCTION("""COMPUTED_VALUE"""),111.0)</f>
        <v>111</v>
      </c>
      <c r="D1821" s="1">
        <v>0.0</v>
      </c>
      <c r="E1821" s="2"/>
      <c r="F1821" s="2"/>
      <c r="G1821" s="2"/>
      <c r="H1821" s="2"/>
      <c r="I1821" s="2"/>
    </row>
    <row r="1822">
      <c r="A1822" s="1" t="s">
        <v>1016</v>
      </c>
      <c r="B1822" s="1" t="str">
        <f>IFERROR(__xludf.DUMMYFUNCTION("SPLIT(A1822,"";"")"),"POLYCAP 33")</f>
        <v>POLYCAP 33</v>
      </c>
      <c r="C1822" s="1">
        <f>IFERROR(__xludf.DUMMYFUNCTION("""COMPUTED_VALUE"""),774.0)</f>
        <v>774</v>
      </c>
      <c r="D1822" s="1">
        <v>0.0</v>
      </c>
      <c r="E1822" s="2"/>
      <c r="F1822" s="2"/>
      <c r="G1822" s="2"/>
      <c r="H1822" s="2"/>
      <c r="I1822" s="2"/>
    </row>
    <row r="1823">
      <c r="A1823" s="1" t="s">
        <v>1017</v>
      </c>
      <c r="B1823" s="1" t="str">
        <f>IFERROR(__xludf.DUMMYFUNCTION("SPLIT(A1823,"";"")"),"POUR UN COMMERCE ETHIQUE DE L'ART")</f>
        <v>POUR UN COMMERCE ETHIQUE DE L'ART</v>
      </c>
      <c r="C1823" s="1"/>
      <c r="D1823" s="1" t="s">
        <v>1018</v>
      </c>
      <c r="E1823" s="1" t="s">
        <v>1019</v>
      </c>
      <c r="F1823" s="1">
        <v>96.0</v>
      </c>
      <c r="G1823" s="2"/>
      <c r="H1823" s="2"/>
      <c r="I1823" s="2"/>
    </row>
    <row r="1824">
      <c r="A1824" s="1" t="s">
        <v>1020</v>
      </c>
      <c r="B1824" s="1" t="str">
        <f>IFERROR(__xludf.DUMMYFUNCTION("SPLIT(A1824,"";"")"),"POUR UN SOURIRE D'ENFANT AQUITAINE")</f>
        <v>POUR UN SOURIRE D'ENFANT AQUITAINE</v>
      </c>
      <c r="C1824" s="1">
        <f>IFERROR(__xludf.DUMMYFUNCTION("""COMPUTED_VALUE"""),444.0)</f>
        <v>444</v>
      </c>
      <c r="D1824" s="1">
        <v>0.0</v>
      </c>
      <c r="E1824" s="2"/>
      <c r="F1824" s="2"/>
      <c r="G1824" s="2"/>
      <c r="H1824" s="2"/>
      <c r="I1824" s="2"/>
    </row>
    <row r="1825">
      <c r="A1825" s="1" t="s">
        <v>1021</v>
      </c>
      <c r="B1825" s="1" t="str">
        <f>IFERROR(__xludf.DUMMYFUNCTION("SPLIT(A1825,"";"")"),"PRISME")</f>
        <v>PRISME</v>
      </c>
      <c r="C1825" s="3">
        <f>IFERROR(__xludf.DUMMYFUNCTION("""COMPUTED_VALUE"""),6825.0)</f>
        <v>6825</v>
      </c>
      <c r="D1825" s="1">
        <v>0.0</v>
      </c>
      <c r="E1825" s="2"/>
      <c r="F1825" s="2"/>
      <c r="G1825" s="2"/>
      <c r="H1825" s="2"/>
      <c r="I1825" s="2"/>
    </row>
    <row r="1826">
      <c r="A1826" s="1" t="s">
        <v>1022</v>
      </c>
      <c r="B1826" s="1" t="str">
        <f>IFERROR(__xludf.DUMMYFUNCTION("SPLIT(A1826,"";"")"),"PROF'APA")</f>
        <v>PROF'APA</v>
      </c>
      <c r="C1826" s="1">
        <f>IFERROR(__xludf.DUMMYFUNCTION("""COMPUTED_VALUE"""),342.0)</f>
        <v>342</v>
      </c>
      <c r="D1826" s="1">
        <v>0.0</v>
      </c>
      <c r="E1826" s="2"/>
      <c r="F1826" s="2"/>
      <c r="G1826" s="2"/>
      <c r="H1826" s="2"/>
      <c r="I1826" s="2"/>
    </row>
    <row r="1827">
      <c r="A1827" s="1" t="s">
        <v>1023</v>
      </c>
      <c r="B1827" s="1" t="str">
        <f>IFERROR(__xludf.DUMMYFUNCTION("SPLIT(A1827,"";"")"),"PROJETS HORS LES MURS - PHM")</f>
        <v>PROJETS HORS LES MURS - PHM</v>
      </c>
      <c r="C1827" s="1">
        <f>IFERROR(__xludf.DUMMYFUNCTION("""COMPUTED_VALUE"""),204.0)</f>
        <v>204</v>
      </c>
      <c r="D1827" s="1">
        <v>6.0</v>
      </c>
      <c r="E1827" s="2"/>
      <c r="F1827" s="2"/>
      <c r="G1827" s="2"/>
      <c r="H1827" s="2"/>
      <c r="I1827" s="2"/>
    </row>
    <row r="1828">
      <c r="A1828" s="1" t="s">
        <v>1024</v>
      </c>
      <c r="B1828" s="1" t="str">
        <f>IFERROR(__xludf.DUMMYFUNCTION("SPLIT(A1828,"";"")"),"PROMETHEE")</f>
        <v>PROMETHEE</v>
      </c>
      <c r="C1828" s="1">
        <f>IFERROR(__xludf.DUMMYFUNCTION("""COMPUTED_VALUE"""),61.0)</f>
        <v>61</v>
      </c>
      <c r="D1828" s="1">
        <v>0.0</v>
      </c>
      <c r="E1828" s="2"/>
      <c r="F1828" s="2"/>
      <c r="G1828" s="2"/>
      <c r="H1828" s="2"/>
      <c r="I1828" s="2"/>
    </row>
    <row r="1829">
      <c r="A1829" s="1" t="s">
        <v>1025</v>
      </c>
      <c r="B1829" s="1" t="str">
        <f>IFERROR(__xludf.DUMMYFUNCTION("SPLIT(A1829,"";"")"),"PROMO-FEMMES SAINT MICHEL")</f>
        <v>PROMO-FEMMES SAINT MICHEL</v>
      </c>
      <c r="C1829" s="3">
        <f>IFERROR(__xludf.DUMMYFUNCTION("""COMPUTED_VALUE"""),22507.0)</f>
        <v>22507</v>
      </c>
      <c r="D1829" s="1">
        <v>50.0</v>
      </c>
      <c r="E1829" s="2"/>
      <c r="F1829" s="2"/>
      <c r="G1829" s="2"/>
      <c r="H1829" s="2"/>
      <c r="I1829" s="2"/>
    </row>
    <row r="1830">
      <c r="A1830" s="1" t="s">
        <v>1026</v>
      </c>
      <c r="B1830" s="1" t="str">
        <f>IFERROR(__xludf.DUMMYFUNCTION("SPLIT(A1830,"";"")"),"P'TIT BOUT'CHOU")</f>
        <v>P'TIT BOUT'CHOU</v>
      </c>
      <c r="C1830" s="1">
        <f>IFERROR(__xludf.DUMMYFUNCTION("""COMPUTED_VALUE"""),129.0)</f>
        <v>129</v>
      </c>
      <c r="D1830" s="1">
        <v>78.0</v>
      </c>
      <c r="E1830" s="2"/>
      <c r="F1830" s="2"/>
      <c r="G1830" s="2"/>
      <c r="H1830" s="2"/>
      <c r="I1830" s="2"/>
    </row>
    <row r="1831">
      <c r="A1831" s="1" t="s">
        <v>1027</v>
      </c>
      <c r="B1831" s="1" t="str">
        <f>IFERROR(__xludf.DUMMYFUNCTION("SPLIT(A1831,"";"")"),"QUATUORS A BORDEAUX")</f>
        <v>QUATUORS A BORDEAUX</v>
      </c>
      <c r="C1831" s="3">
        <f>IFERROR(__xludf.DUMMYFUNCTION("""COMPUTED_VALUE"""),9317.0)</f>
        <v>9317</v>
      </c>
      <c r="D1831" s="1">
        <v>10.0</v>
      </c>
      <c r="E1831" s="2"/>
      <c r="F1831" s="2"/>
      <c r="G1831" s="2"/>
      <c r="H1831" s="2"/>
      <c r="I1831" s="2"/>
    </row>
    <row r="1832">
      <c r="A1832" s="1" t="s">
        <v>1028</v>
      </c>
      <c r="B1832" s="1" t="str">
        <f>IFERROR(__xludf.DUMMYFUNCTION("SPLIT(A1832,"";"")"),"QUETZALCOATL")</f>
        <v>QUETZALCOATL</v>
      </c>
      <c r="C1832" s="3">
        <f>IFERROR(__xludf.DUMMYFUNCTION("""COMPUTED_VALUE"""),2852.0)</f>
        <v>2852</v>
      </c>
      <c r="D1832" s="1">
        <v>0.0</v>
      </c>
      <c r="E1832" s="2"/>
      <c r="F1832" s="2"/>
      <c r="G1832" s="2"/>
      <c r="H1832" s="2"/>
      <c r="I1832" s="2"/>
    </row>
    <row r="1833">
      <c r="A1833" s="1" t="s">
        <v>1029</v>
      </c>
      <c r="B1833" s="1" t="str">
        <f>IFERROR(__xludf.DUMMYFUNCTION("SPLIT(A1833,"";"")"),"RACING CLUB DE BORDEAUX METROPOLE")</f>
        <v>RACING CLUB DE BORDEAUX METROPOLE</v>
      </c>
      <c r="C1833" s="3">
        <f>IFERROR(__xludf.DUMMYFUNCTION("""COMPUTED_VALUE"""),24734.0)</f>
        <v>24734</v>
      </c>
      <c r="D1833" s="1">
        <v>80.0</v>
      </c>
      <c r="E1833" s="2"/>
      <c r="F1833" s="2"/>
      <c r="G1833" s="2"/>
      <c r="H1833" s="2"/>
      <c r="I1833" s="2"/>
    </row>
    <row r="1834">
      <c r="A1834" s="1" t="s">
        <v>1030</v>
      </c>
      <c r="B1834" s="1" t="str">
        <f>IFERROR(__xludf.DUMMYFUNCTION("SPLIT(A1834,"";"")"),"RADIO CHU")</f>
        <v>RADIO CHU</v>
      </c>
      <c r="C1834" s="1">
        <f>IFERROR(__xludf.DUMMYFUNCTION("""COMPUTED_VALUE"""),178.0)</f>
        <v>178</v>
      </c>
      <c r="D1834" s="1">
        <v>0.0</v>
      </c>
      <c r="E1834" s="2"/>
      <c r="F1834" s="2"/>
      <c r="G1834" s="2"/>
      <c r="H1834" s="2"/>
      <c r="I1834" s="2"/>
    </row>
    <row r="1835">
      <c r="A1835" s="1" t="s">
        <v>1031</v>
      </c>
      <c r="B1835" s="1" t="str">
        <f>IFERROR(__xludf.DUMMYFUNCTION("SPLIT(A1835,"";"")"),"RASSEMBLEMENT DU PEUPLE SOUVERAIN POUR UNE FRANCE INDEPENDANTE ET UNE REPUBLIQUE SOCIALE")</f>
        <v>RASSEMBLEMENT DU PEUPLE SOUVERAIN POUR UNE FRANCE INDEPENDANTE ET UNE REPUBLIQUE SOCIALE</v>
      </c>
      <c r="C1835" s="1">
        <f>IFERROR(__xludf.DUMMYFUNCTION("""COMPUTED_VALUE"""),444.0)</f>
        <v>444</v>
      </c>
      <c r="D1835" s="1">
        <v>0.0</v>
      </c>
      <c r="E1835" s="2"/>
      <c r="F1835" s="2"/>
      <c r="G1835" s="2"/>
      <c r="H1835" s="2"/>
      <c r="I1835" s="2"/>
    </row>
    <row r="1836">
      <c r="A1836" s="1" t="s">
        <v>1032</v>
      </c>
      <c r="B1836" s="1" t="str">
        <f>IFERROR(__xludf.DUMMYFUNCTION("SPLIT(A1836,"";"")"),"REBATIR LA FRANCE")</f>
        <v>REBATIR LA FRANCE</v>
      </c>
      <c r="C1836" s="1">
        <f>IFERROR(__xludf.DUMMYFUNCTION("""COMPUTED_VALUE"""),444.0)</f>
        <v>444</v>
      </c>
      <c r="D1836" s="1">
        <v>0.0</v>
      </c>
      <c r="E1836" s="2"/>
      <c r="F1836" s="2"/>
      <c r="G1836" s="2"/>
      <c r="H1836" s="2"/>
      <c r="I1836" s="2"/>
    </row>
    <row r="1837">
      <c r="A1837" s="1" t="s">
        <v>1033</v>
      </c>
      <c r="B1837" s="1" t="str">
        <f>IFERROR(__xludf.DUMMYFUNCTION("SPLIT(A1837,"";"")"),"RECUP'R")</f>
        <v>RECUP'R</v>
      </c>
      <c r="C1837" s="1">
        <f>IFERROR(__xludf.DUMMYFUNCTION("""COMPUTED_VALUE"""),702.0)</f>
        <v>702</v>
      </c>
      <c r="D1837" s="1">
        <v>90.0</v>
      </c>
      <c r="E1837" s="2"/>
      <c r="F1837" s="2"/>
      <c r="G1837" s="2"/>
      <c r="H1837" s="2"/>
      <c r="I1837" s="2"/>
    </row>
    <row r="1838">
      <c r="A1838" s="1" t="s">
        <v>1034</v>
      </c>
      <c r="B1838" s="1" t="str">
        <f>IFERROR(__xludf.DUMMYFUNCTION("SPLIT(A1838,"";"")"),"REG'ARTS D'AILLEURS")</f>
        <v>REG'ARTS D'AILLEURS</v>
      </c>
      <c r="C1838" s="1">
        <f>IFERROR(__xludf.DUMMYFUNCTION("""COMPUTED_VALUE"""),224.0)</f>
        <v>224</v>
      </c>
      <c r="D1838" s="1">
        <v>40.0</v>
      </c>
      <c r="E1838" s="2"/>
      <c r="F1838" s="2"/>
      <c r="G1838" s="2"/>
      <c r="H1838" s="2"/>
      <c r="I1838" s="2"/>
    </row>
    <row r="1839">
      <c r="A1839" s="1" t="s">
        <v>1035</v>
      </c>
      <c r="B1839" s="1" t="str">
        <f>IFERROR(__xludf.DUMMYFUNCTION("SPLIT(A1839,"";"")"),"REGGAE SUN SKA")</f>
        <v>REGGAE SUN SKA</v>
      </c>
      <c r="C1839" s="3">
        <f>IFERROR(__xludf.DUMMYFUNCTION("""COMPUTED_VALUE"""),9843.0)</f>
        <v>9843</v>
      </c>
      <c r="D1839" s="1">
        <v>20.0</v>
      </c>
      <c r="E1839" s="2"/>
      <c r="F1839" s="2"/>
      <c r="G1839" s="2"/>
      <c r="H1839" s="2"/>
      <c r="I1839" s="2"/>
    </row>
    <row r="1840">
      <c r="A1840" s="1" t="s">
        <v>1036</v>
      </c>
      <c r="B1840" s="1" t="str">
        <f>IFERROR(__xludf.DUMMYFUNCTION("SPLIT(A1840,"";"")"),"REGIE DE QUARTIER HABITER BACALAN")</f>
        <v>REGIE DE QUARTIER HABITER BACALAN</v>
      </c>
      <c r="C1840" s="3">
        <f>IFERROR(__xludf.DUMMYFUNCTION("""COMPUTED_VALUE"""),1216.0)</f>
        <v>1216</v>
      </c>
      <c r="D1840" s="1">
        <v>0.0</v>
      </c>
      <c r="E1840" s="2"/>
      <c r="F1840" s="2"/>
      <c r="G1840" s="2"/>
      <c r="H1840" s="2"/>
      <c r="I1840" s="2"/>
    </row>
    <row r="1841">
      <c r="A1841" s="1" t="s">
        <v>1037</v>
      </c>
      <c r="B1841" s="1" t="str">
        <f>IFERROR(__xludf.DUMMYFUNCTION("SPLIT(A1841,"";"")"),"RELAIS AMICAL MALAKOFF MEDERIC BORDEAUX AQUITAINE")</f>
        <v>RELAIS AMICAL MALAKOFF MEDERIC BORDEAUX AQUITAINE</v>
      </c>
      <c r="C1841" s="3">
        <f>IFERROR(__xludf.DUMMYFUNCTION("""COMPUTED_VALUE"""),1355.0)</f>
        <v>1355</v>
      </c>
      <c r="D1841" s="1">
        <v>70.0</v>
      </c>
      <c r="E1841" s="2"/>
      <c r="F1841" s="2"/>
      <c r="G1841" s="2"/>
      <c r="H1841" s="2"/>
      <c r="I1841" s="2"/>
    </row>
    <row r="1842">
      <c r="A1842" s="1" t="s">
        <v>1038</v>
      </c>
      <c r="B1842" s="1" t="str">
        <f>IFERROR(__xludf.DUMMYFUNCTION("SPLIT(A1842,"";"")"),"RENAISSANCE DE L'ORGUE A BORDEAUX")</f>
        <v>RENAISSANCE DE L'ORGUE A BORDEAUX</v>
      </c>
      <c r="C1842" s="3">
        <f>IFERROR(__xludf.DUMMYFUNCTION("""COMPUTED_VALUE"""),8442.0)</f>
        <v>8442</v>
      </c>
      <c r="D1842" s="1">
        <v>67.0</v>
      </c>
      <c r="E1842" s="2"/>
      <c r="F1842" s="2"/>
      <c r="G1842" s="2"/>
      <c r="H1842" s="2"/>
      <c r="I1842" s="2"/>
    </row>
    <row r="1843">
      <c r="A1843" s="1" t="s">
        <v>1039</v>
      </c>
      <c r="B1843" s="1" t="str">
        <f>IFERROR(__xludf.DUMMYFUNCTION("SPLIT(A1843,"";"")"),"RESEAU AQUITAIN DES MUSIQUES ACTUELLES - RAMA")</f>
        <v>RESEAU AQUITAIN DES MUSIQUES ACTUELLES - RAMA</v>
      </c>
      <c r="C1843" s="1">
        <f>IFERROR(__xludf.DUMMYFUNCTION("""COMPUTED_VALUE"""),587.0)</f>
        <v>587</v>
      </c>
      <c r="D1843" s="1">
        <v>0.0</v>
      </c>
      <c r="E1843" s="2"/>
      <c r="F1843" s="2"/>
      <c r="G1843" s="2"/>
      <c r="H1843" s="2"/>
      <c r="I1843" s="2"/>
    </row>
    <row r="1844">
      <c r="A1844" s="1" t="s">
        <v>1040</v>
      </c>
      <c r="B1844" s="1" t="str">
        <f>IFERROR(__xludf.DUMMYFUNCTION("SPLIT(A1844,"";"")"),"RESEAU ENTREPRENDRE AQUITAINE")</f>
        <v>RESEAU ENTREPRENDRE AQUITAINE</v>
      </c>
      <c r="C1844" s="3">
        <f>IFERROR(__xludf.DUMMYFUNCTION("""COMPUTED_VALUE"""),1287.0)</f>
        <v>1287</v>
      </c>
      <c r="D1844" s="1">
        <v>40.0</v>
      </c>
      <c r="E1844" s="2"/>
      <c r="F1844" s="2"/>
      <c r="G1844" s="2"/>
      <c r="H1844" s="2"/>
      <c r="I1844" s="2"/>
    </row>
    <row r="1845">
      <c r="A1845" s="1" t="s">
        <v>1041</v>
      </c>
      <c r="B1845" s="1" t="str">
        <f>IFERROR(__xludf.DUMMYFUNCTION("SPLIT(A1845,"";"")"),"RESEAU FRANCAIS SUR L’ENTENTE DE VOIX (REV FRANCE)")</f>
        <v>RESEAU FRANCAIS SUR L’ENTENTE DE VOIX (REV FRANCE)</v>
      </c>
      <c r="C1845" s="1">
        <f>IFERROR(__xludf.DUMMYFUNCTION("""COMPUTED_VALUE"""),314.0)</f>
        <v>314</v>
      </c>
      <c r="D1845" s="1">
        <v>0.0</v>
      </c>
      <c r="E1845" s="2"/>
      <c r="F1845" s="2"/>
      <c r="G1845" s="2"/>
      <c r="H1845" s="2"/>
      <c r="I1845" s="2"/>
    </row>
    <row r="1846">
      <c r="A1846" s="1" t="s">
        <v>1042</v>
      </c>
      <c r="B1846" s="1" t="str">
        <f>IFERROR(__xludf.DUMMYFUNCTION("SPLIT(A1846,"";"")"),"RESEAUX ADOS GIRONDE")</f>
        <v>RESEAUX ADOS GIRONDE</v>
      </c>
      <c r="C1846" s="1">
        <f>IFERROR(__xludf.DUMMYFUNCTION("""COMPUTED_VALUE"""),34.0)</f>
        <v>34</v>
      </c>
      <c r="D1846" s="1">
        <v>0.0</v>
      </c>
      <c r="E1846" s="2"/>
      <c r="F1846" s="2"/>
      <c r="G1846" s="2"/>
      <c r="H1846" s="2"/>
      <c r="I1846" s="2"/>
    </row>
    <row r="1847">
      <c r="A1847" s="1" t="s">
        <v>1043</v>
      </c>
      <c r="B1847" s="1" t="str">
        <f>IFERROR(__xludf.DUMMYFUNCTION("SPLIT(A1847,"";"")"),"RESTAURANTS DU COEUR - RELAIS DU COEUR DE LA GIRONDE")</f>
        <v>RESTAURANTS DU COEUR - RELAIS DU COEUR DE LA GIRONDE</v>
      </c>
      <c r="C1847" s="3">
        <f>IFERROR(__xludf.DUMMYFUNCTION("""COMPUTED_VALUE"""),24342.0)</f>
        <v>24342</v>
      </c>
      <c r="D1847" s="1">
        <v>0.0</v>
      </c>
      <c r="E1847" s="2"/>
      <c r="F1847" s="2"/>
      <c r="G1847" s="2"/>
      <c r="H1847" s="2"/>
      <c r="I1847" s="2"/>
    </row>
    <row r="1848">
      <c r="A1848" s="1" t="s">
        <v>1044</v>
      </c>
      <c r="B1848" s="1" t="str">
        <f>IFERROR(__xludf.DUMMYFUNCTION("SPLIT(A1848,"";"")"),"RESTONS CALMES ! (DANS LA DIGNITE)")</f>
        <v>RESTONS CALMES ! (DANS LA DIGNITE)</v>
      </c>
      <c r="C1848" s="3">
        <f>IFERROR(__xludf.DUMMYFUNCTION("""COMPUTED_VALUE"""),13714.0)</f>
        <v>13714</v>
      </c>
      <c r="D1848" s="1">
        <v>32.0</v>
      </c>
      <c r="E1848" s="2"/>
      <c r="F1848" s="2"/>
      <c r="G1848" s="2"/>
      <c r="H1848" s="2"/>
      <c r="I1848" s="2"/>
    </row>
    <row r="1849">
      <c r="A1849" s="1" t="s">
        <v>1045</v>
      </c>
      <c r="B1849" s="1" t="str">
        <f>IFERROR(__xludf.DUMMYFUNCTION("SPLIT(A1849,"";"")"),"RICOCHET SONORE")</f>
        <v>RICOCHET SONORE</v>
      </c>
      <c r="C1849" s="3">
        <f>IFERROR(__xludf.DUMMYFUNCTION("""COMPUTED_VALUE"""),1118.0)</f>
        <v>1118</v>
      </c>
      <c r="D1849" s="1">
        <v>53.0</v>
      </c>
      <c r="E1849" s="2"/>
      <c r="F1849" s="2"/>
      <c r="G1849" s="2"/>
      <c r="H1849" s="2"/>
      <c r="I1849" s="2"/>
    </row>
    <row r="1850">
      <c r="A1850" s="1" t="s">
        <v>1046</v>
      </c>
      <c r="B1850" s="1" t="str">
        <f>IFERROR(__xludf.DUMMYFUNCTION("SPLIT(A1850,"";"")"),"RIVE DROITE 2000")</f>
        <v>RIVE DROITE 2000</v>
      </c>
      <c r="C1850" s="1">
        <f>IFERROR(__xludf.DUMMYFUNCTION("""COMPUTED_VALUE"""),97.0)</f>
        <v>97</v>
      </c>
      <c r="D1850" s="1">
        <v>37.0</v>
      </c>
      <c r="E1850" s="2"/>
      <c r="F1850" s="2"/>
      <c r="G1850" s="2"/>
      <c r="H1850" s="2"/>
      <c r="I1850" s="2"/>
    </row>
    <row r="1851">
      <c r="A1851" s="1" t="s">
        <v>1047</v>
      </c>
      <c r="B1851" s="1" t="str">
        <f>IFERROR(__xludf.DUMMYFUNCTION("SPLIT(A1851,"";"")"),"ROLLER DERBY BORDEAUX CLUB")</f>
        <v>ROLLER DERBY BORDEAUX CLUB</v>
      </c>
      <c r="C1851" s="1">
        <f>IFERROR(__xludf.DUMMYFUNCTION("""COMPUTED_VALUE"""),46.0)</f>
        <v>46</v>
      </c>
      <c r="D1851" s="1">
        <v>0.0</v>
      </c>
      <c r="E1851" s="2"/>
      <c r="F1851" s="2"/>
      <c r="G1851" s="2"/>
      <c r="H1851" s="2"/>
      <c r="I1851" s="2"/>
    </row>
    <row r="1852">
      <c r="A1852" s="1" t="s">
        <v>1048</v>
      </c>
      <c r="B1852" s="1" t="str">
        <f>IFERROR(__xludf.DUMMYFUNCTION("SPLIT(A1852,"";"")"),"ROSE ATTITUDE BORDEAUX")</f>
        <v>ROSE ATTITUDE BORDEAUX</v>
      </c>
      <c r="C1852" s="1">
        <f>IFERROR(__xludf.DUMMYFUNCTION("""COMPUTED_VALUE"""),963.0)</f>
        <v>963</v>
      </c>
      <c r="D1852" s="1">
        <v>0.0</v>
      </c>
      <c r="E1852" s="2"/>
      <c r="F1852" s="2"/>
      <c r="G1852" s="2"/>
      <c r="H1852" s="2"/>
      <c r="I1852" s="2"/>
    </row>
    <row r="1853">
      <c r="A1853" s="1" t="s">
        <v>1049</v>
      </c>
      <c r="B1853" s="1" t="str">
        <f>IFERROR(__xludf.DUMMYFUNCTION("SPLIT(A1853,"";"")"),"ROTARY CLUB DE BORDEAUX-OUEST")</f>
        <v>ROTARY CLUB DE BORDEAUX-OUEST</v>
      </c>
      <c r="C1853" s="1">
        <f>IFERROR(__xludf.DUMMYFUNCTION("""COMPUTED_VALUE"""),135.0)</f>
        <v>135</v>
      </c>
      <c r="D1853" s="1">
        <v>0.0</v>
      </c>
      <c r="E1853" s="2"/>
      <c r="F1853" s="2"/>
      <c r="G1853" s="2"/>
      <c r="H1853" s="2"/>
      <c r="I1853" s="2"/>
    </row>
    <row r="1854">
      <c r="A1854" s="1" t="s">
        <v>1050</v>
      </c>
      <c r="B1854" s="1" t="str">
        <f>IFERROR(__xludf.DUMMYFUNCTION("SPLIT(A1854,"";"")"),"ROTARY-CLUB DE BORDEAUX-SUD")</f>
        <v>ROTARY-CLUB DE BORDEAUX-SUD</v>
      </c>
      <c r="C1854" s="3">
        <f>IFERROR(__xludf.DUMMYFUNCTION("""COMPUTED_VALUE"""),3049.0)</f>
        <v>3049</v>
      </c>
      <c r="D1854" s="1">
        <v>8.0</v>
      </c>
      <c r="E1854" s="2"/>
      <c r="F1854" s="2"/>
      <c r="G1854" s="2"/>
      <c r="H1854" s="2"/>
      <c r="I1854" s="2"/>
    </row>
    <row r="1855">
      <c r="A1855" s="1" t="s">
        <v>1051</v>
      </c>
      <c r="B1855" s="1" t="str">
        <f>IFERROR(__xludf.DUMMYFUNCTION("SPLIT(A1855,"";"")"),"RUELLE (RELAIS URBAIN D'ECHANGES ET DE LUTTE CONTRE L'EXPLOITATION)")</f>
        <v>RUELLE (RELAIS URBAIN D'ECHANGES ET DE LUTTE CONTRE L'EXPLOITATION)</v>
      </c>
      <c r="C1855" s="1">
        <f>IFERROR(__xludf.DUMMYFUNCTION("""COMPUTED_VALUE"""),238.0)</f>
        <v>238</v>
      </c>
      <c r="D1855" s="1">
        <v>0.0</v>
      </c>
      <c r="E1855" s="2"/>
      <c r="F1855" s="2"/>
      <c r="G1855" s="2"/>
      <c r="H1855" s="2"/>
      <c r="I1855" s="2"/>
    </row>
    <row r="1856">
      <c r="A1856" s="1" t="s">
        <v>1052</v>
      </c>
      <c r="B1856" s="1" t="str">
        <f>IFERROR(__xludf.DUMMYFUNCTION("SPLIT(A1856,"";"")"),"RUGBYTOTS")</f>
        <v>RUGBYTOTS</v>
      </c>
      <c r="C1856" s="3">
        <f>IFERROR(__xludf.DUMMYFUNCTION("""COMPUTED_VALUE"""),1944.0)</f>
        <v>1944</v>
      </c>
      <c r="D1856" s="1">
        <v>0.0</v>
      </c>
      <c r="E1856" s="2"/>
      <c r="F1856" s="2"/>
      <c r="G1856" s="2"/>
      <c r="H1856" s="2"/>
      <c r="I1856" s="2"/>
    </row>
    <row r="1857">
      <c r="A1857" s="1" t="s">
        <v>1053</v>
      </c>
      <c r="B1857" s="1" t="str">
        <f>IFERROR(__xludf.DUMMYFUNCTION("SPLIT(A1857,"";"")"),"SAAPERLIPOPETTE")</f>
        <v>SAAPERLIPOPETTE</v>
      </c>
      <c r="C1857" s="3">
        <f>IFERROR(__xludf.DUMMYFUNCTION("""COMPUTED_VALUE"""),12655.0)</f>
        <v>12655</v>
      </c>
      <c r="D1857" s="1">
        <v>70.0</v>
      </c>
      <c r="E1857" s="2"/>
      <c r="F1857" s="2"/>
      <c r="G1857" s="2"/>
      <c r="H1857" s="2"/>
      <c r="I1857" s="2"/>
    </row>
    <row r="1858">
      <c r="A1858" s="1" t="s">
        <v>1054</v>
      </c>
      <c r="B1858" s="1" t="str">
        <f>IFERROR(__xludf.DUMMYFUNCTION("SPLIT(A1858,"";"")"),"SAINT AUGUSTIN 2015")</f>
        <v>SAINT AUGUSTIN 2015</v>
      </c>
      <c r="C1858" s="3">
        <f>IFERROR(__xludf.DUMMYFUNCTION("""COMPUTED_VALUE"""),4927.0)</f>
        <v>4927</v>
      </c>
      <c r="D1858" s="1">
        <v>48.0</v>
      </c>
      <c r="E1858" s="2"/>
      <c r="F1858" s="2"/>
      <c r="G1858" s="2"/>
      <c r="H1858" s="2"/>
      <c r="I1858" s="2"/>
    </row>
    <row r="1859">
      <c r="A1859" s="1" t="s">
        <v>1055</v>
      </c>
      <c r="B1859" s="1" t="str">
        <f>IFERROR(__xludf.DUMMYFUNCTION("SPLIT(A1859,"";"")"),"SAINT MARTIN BORDEAUX CULTURAL CONNECTIONS")</f>
        <v>SAINT MARTIN BORDEAUX CULTURAL CONNECTIONS</v>
      </c>
      <c r="C1859" s="1">
        <f>IFERROR(__xludf.DUMMYFUNCTION("""COMPUTED_VALUE"""),443.0)</f>
        <v>443</v>
      </c>
      <c r="D1859" s="1">
        <v>0.0</v>
      </c>
      <c r="E1859" s="2"/>
      <c r="F1859" s="2"/>
      <c r="G1859" s="2"/>
      <c r="H1859" s="2"/>
      <c r="I1859" s="2"/>
    </row>
    <row r="1860">
      <c r="A1860" s="1" t="s">
        <v>1056</v>
      </c>
      <c r="B1860" s="1" t="str">
        <f>IFERROR(__xludf.DUMMYFUNCTION("SPLIT(A1860,"";"")"),"SALAM")</f>
        <v>SALAM</v>
      </c>
      <c r="C1860" s="3">
        <f>IFERROR(__xludf.DUMMYFUNCTION("""COMPUTED_VALUE"""),2934.0)</f>
        <v>2934</v>
      </c>
      <c r="D1860" s="1">
        <v>0.0</v>
      </c>
      <c r="E1860" s="2"/>
      <c r="F1860" s="2"/>
      <c r="G1860" s="2"/>
      <c r="H1860" s="2"/>
      <c r="I1860" s="2"/>
    </row>
    <row r="1861">
      <c r="A1861" s="1" t="s">
        <v>1057</v>
      </c>
      <c r="B1861" s="1" t="str">
        <f>IFERROR(__xludf.DUMMYFUNCTION("SPLIT(A1861,"";"")"),"SASP FOOTBALL CLUB DES GIRONDINS DE BORDEAUX")</f>
        <v>SASP FOOTBALL CLUB DES GIRONDINS DE BORDEAUX</v>
      </c>
      <c r="C1861" s="3">
        <f>IFERROR(__xludf.DUMMYFUNCTION("""COMPUTED_VALUE"""),6499.0)</f>
        <v>6499</v>
      </c>
      <c r="D1861" s="1">
        <v>20.0</v>
      </c>
      <c r="E1861" s="2"/>
      <c r="F1861" s="2"/>
      <c r="G1861" s="2"/>
      <c r="H1861" s="2"/>
      <c r="I1861" s="2"/>
    </row>
    <row r="1862">
      <c r="A1862" s="1" t="s">
        <v>1058</v>
      </c>
      <c r="B1862" s="1" t="str">
        <f>IFERROR(__xludf.DUMMYFUNCTION("SPLIT(A1862,"";"")"),"SASP JSA BORDEAUX METROPOLE")</f>
        <v>SASP JSA BORDEAUX METROPOLE</v>
      </c>
      <c r="C1862" s="1">
        <f>IFERROR(__xludf.DUMMYFUNCTION("""COMPUTED_VALUE"""),334.0)</f>
        <v>334</v>
      </c>
      <c r="D1862" s="1">
        <v>74.0</v>
      </c>
      <c r="E1862" s="2"/>
      <c r="F1862" s="2"/>
      <c r="G1862" s="2"/>
      <c r="H1862" s="2"/>
      <c r="I1862" s="2"/>
    </row>
    <row r="1863">
      <c r="A1863" s="1" t="s">
        <v>1059</v>
      </c>
      <c r="B1863" s="1" t="str">
        <f>IFERROR(__xludf.DUMMYFUNCTION("SPLIT(A1863,"";"")"),"SASP UNION BORDEAUX BEGLES")</f>
        <v>SASP UNION BORDEAUX BEGLES</v>
      </c>
      <c r="C1863" s="3">
        <f>IFERROR(__xludf.DUMMYFUNCTION("""COMPUTED_VALUE"""),3073.0)</f>
        <v>3073</v>
      </c>
      <c r="D1863" s="1">
        <v>97.0</v>
      </c>
      <c r="E1863" s="2"/>
      <c r="F1863" s="2"/>
      <c r="G1863" s="2"/>
      <c r="H1863" s="2"/>
      <c r="I1863" s="2"/>
    </row>
    <row r="1864">
      <c r="A1864" s="1" t="s">
        <v>1060</v>
      </c>
      <c r="B1864" s="1" t="str">
        <f>IFERROR(__xludf.DUMMYFUNCTION("SPLIT(A1864,"";"")"),"SAVATE BOXE FRANÇAISE DE BORDEAUX - SBFB")</f>
        <v>SAVATE BOXE FRANÇAISE DE BORDEAUX - SBFB</v>
      </c>
      <c r="C1864" s="3">
        <f>IFERROR(__xludf.DUMMYFUNCTION("""COMPUTED_VALUE"""),9801.0)</f>
        <v>9801</v>
      </c>
      <c r="D1864" s="1">
        <v>0.0</v>
      </c>
      <c r="E1864" s="2"/>
      <c r="F1864" s="2"/>
      <c r="G1864" s="2"/>
      <c r="H1864" s="2"/>
      <c r="I1864" s="2"/>
    </row>
    <row r="1865">
      <c r="A1865" s="1" t="s">
        <v>1061</v>
      </c>
      <c r="B1865" s="1" t="str">
        <f>IFERROR(__xludf.DUMMYFUNCTION("SPLIT(A1865,"";"")"),"SCOUTS ET GUIDES DE FRANCE - Section de Tarbes")</f>
        <v>SCOUTS ET GUIDES DE FRANCE - Section de Tarbes</v>
      </c>
      <c r="C1865" s="1">
        <f>IFERROR(__xludf.DUMMYFUNCTION("""COMPUTED_VALUE"""),609.0)</f>
        <v>609</v>
      </c>
      <c r="D1865" s="1">
        <v>0.0</v>
      </c>
      <c r="E1865" s="2"/>
      <c r="F1865" s="2"/>
      <c r="G1865" s="2"/>
      <c r="H1865" s="2"/>
      <c r="I1865" s="2"/>
    </row>
    <row r="1866">
      <c r="A1866" s="1" t="s">
        <v>1062</v>
      </c>
      <c r="B1866" s="1" t="str">
        <f>IFERROR(__xludf.DUMMYFUNCTION("SPLIT(A1866,"";"")"),"SE CANTO BASTIDE")</f>
        <v>SE CANTO BASTIDE</v>
      </c>
      <c r="C1866" s="3">
        <f>IFERROR(__xludf.DUMMYFUNCTION("""COMPUTED_VALUE"""),1530.0)</f>
        <v>1530</v>
      </c>
      <c r="D1866" s="1">
        <v>0.0</v>
      </c>
      <c r="E1866" s="2"/>
      <c r="F1866" s="2"/>
      <c r="G1866" s="2"/>
      <c r="H1866" s="2"/>
      <c r="I1866" s="2"/>
    </row>
    <row r="1867">
      <c r="A1867" s="1" t="s">
        <v>1063</v>
      </c>
      <c r="B1867" s="1" t="str">
        <f>IFERROR(__xludf.DUMMYFUNCTION("SPLIT(A1867,"";"")"),"SECOURS CATHOLIQUE-CARITAS FRANCE (DELEGATION DE LA GIRONDE)")</f>
        <v>SECOURS CATHOLIQUE-CARITAS FRANCE (DELEGATION DE LA GIRONDE)</v>
      </c>
      <c r="C1867" s="3">
        <f>IFERROR(__xludf.DUMMYFUNCTION("""COMPUTED_VALUE"""),10043.0)</f>
        <v>10043</v>
      </c>
      <c r="D1867" s="1">
        <v>84.0</v>
      </c>
      <c r="E1867" s="2"/>
      <c r="F1867" s="2"/>
      <c r="G1867" s="2"/>
      <c r="H1867" s="2"/>
      <c r="I1867" s="2"/>
    </row>
    <row r="1868">
      <c r="A1868" s="1" t="s">
        <v>1064</v>
      </c>
      <c r="B1868" s="1" t="str">
        <f>IFERROR(__xludf.DUMMYFUNCTION("SPLIT(A1868,"";"")"),"SECUCAF BORDEAUX FOOTBALL D'ENTREPRISE")</f>
        <v>SECUCAF BORDEAUX FOOTBALL D'ENTREPRISE</v>
      </c>
      <c r="C1868" s="3">
        <f>IFERROR(__xludf.DUMMYFUNCTION("""COMPUTED_VALUE"""),3053.0)</f>
        <v>3053</v>
      </c>
      <c r="D1868" s="1">
        <v>0.0</v>
      </c>
      <c r="E1868" s="2"/>
      <c r="F1868" s="2"/>
      <c r="G1868" s="2"/>
      <c r="H1868" s="2"/>
      <c r="I1868" s="2"/>
    </row>
    <row r="1869">
      <c r="A1869" s="1" t="s">
        <v>1065</v>
      </c>
      <c r="B1869" s="1" t="str">
        <f>IFERROR(__xludf.DUMMYFUNCTION("SPLIT(A1869,"";"")"),"SEMER LE DOUTE")</f>
        <v>SEMER LE DOUTE</v>
      </c>
      <c r="C1869" s="3">
        <f>IFERROR(__xludf.DUMMYFUNCTION("""COMPUTED_VALUE"""),91175.0)</f>
        <v>91175</v>
      </c>
      <c r="D1869" s="1">
        <v>26.0</v>
      </c>
      <c r="E1869" s="2"/>
      <c r="F1869" s="2"/>
      <c r="G1869" s="2"/>
      <c r="H1869" s="2"/>
      <c r="I1869" s="2"/>
    </row>
    <row r="1870">
      <c r="A1870" s="1" t="s">
        <v>1066</v>
      </c>
      <c r="B1870" s="1" t="str">
        <f>IFERROR(__xludf.DUMMYFUNCTION("SPLIT(A1870,"";"")"),"SERVICE DEPARTEMENTAL D'INCENDIE ET DE SECOURS DE LA GIRONDE")</f>
        <v>SERVICE DEPARTEMENTAL D'INCENDIE ET DE SECOURS DE LA GIRONDE</v>
      </c>
      <c r="C1870" s="1">
        <f>IFERROR(__xludf.DUMMYFUNCTION("""COMPUTED_VALUE"""),135.0)</f>
        <v>135</v>
      </c>
      <c r="D1870" s="1">
        <v>90.0</v>
      </c>
      <c r="E1870" s="2"/>
      <c r="F1870" s="2"/>
      <c r="G1870" s="2"/>
      <c r="H1870" s="2"/>
      <c r="I1870" s="2"/>
    </row>
    <row r="1871">
      <c r="A1871" s="1" t="s">
        <v>1067</v>
      </c>
      <c r="B1871" s="1" t="str">
        <f>IFERROR(__xludf.DUMMYFUNCTION("SPLIT(A1871,"";"")"),"SERVICE UNIVERSITAIRE DES ACTIVITES PHYSIQUES ET SPORTIVES (SUAPS)")</f>
        <v>SERVICE UNIVERSITAIRE DES ACTIVITES PHYSIQUES ET SPORTIVES (SUAPS)</v>
      </c>
      <c r="C1871" s="3">
        <f>IFERROR(__xludf.DUMMYFUNCTION("""COMPUTED_VALUE"""),27153.0)</f>
        <v>27153</v>
      </c>
      <c r="D1871" s="1">
        <v>0.0</v>
      </c>
      <c r="E1871" s="2"/>
      <c r="F1871" s="2"/>
      <c r="G1871" s="2"/>
      <c r="H1871" s="2"/>
      <c r="I1871" s="2"/>
    </row>
    <row r="1872">
      <c r="A1872" s="1" t="s">
        <v>1068</v>
      </c>
      <c r="B1872" s="1" t="str">
        <f>IFERROR(__xludf.DUMMYFUNCTION("SPLIT(A1872,"";"")"),"SEW &amp; LAINE")</f>
        <v>SEW &amp; LAINE</v>
      </c>
      <c r="C1872" s="3">
        <f>IFERROR(__xludf.DUMMYFUNCTION("""COMPUTED_VALUE"""),4695.0)</f>
        <v>4695</v>
      </c>
      <c r="D1872" s="1">
        <v>51.0</v>
      </c>
      <c r="E1872" s="2"/>
      <c r="F1872" s="2"/>
      <c r="G1872" s="2"/>
      <c r="H1872" s="2"/>
      <c r="I1872" s="2"/>
    </row>
    <row r="1873">
      <c r="A1873" s="1" t="s">
        <v>1069</v>
      </c>
      <c r="B1873" s="1" t="str">
        <f>IFERROR(__xludf.DUMMYFUNCTION("SPLIT(A1873,"";"")"),"SIDACTION")</f>
        <v>SIDACTION</v>
      </c>
      <c r="C1873" s="3">
        <f>IFERROR(__xludf.DUMMYFUNCTION("""COMPUTED_VALUE"""),7500.0)</f>
        <v>7500</v>
      </c>
      <c r="D1873" s="1">
        <v>0.0</v>
      </c>
      <c r="E1873" s="2"/>
      <c r="F1873" s="2"/>
      <c r="G1873" s="2"/>
      <c r="H1873" s="2"/>
      <c r="I1873" s="2"/>
    </row>
    <row r="1874">
      <c r="A1874" s="1" t="s">
        <v>1070</v>
      </c>
      <c r="B1874" s="1" t="str">
        <f>IFERROR(__xludf.DUMMYFUNCTION("SPLIT(A1874,"";"")"),"SMART COMPAGNIE")</f>
        <v>SMART COMPAGNIE</v>
      </c>
      <c r="C1874" s="1">
        <f>IFERROR(__xludf.DUMMYFUNCTION("""COMPUTED_VALUE"""),136.0)</f>
        <v>136</v>
      </c>
      <c r="D1874" s="1">
        <v>0.0</v>
      </c>
      <c r="E1874" s="2"/>
      <c r="F1874" s="2"/>
      <c r="G1874" s="2"/>
      <c r="H1874" s="2"/>
      <c r="I1874" s="2"/>
    </row>
    <row r="1875">
      <c r="A1875" s="1" t="s">
        <v>1071</v>
      </c>
      <c r="B1875" s="1" t="str">
        <f>IFERROR(__xludf.DUMMYFUNCTION("SPLIT(A1875,"";"")"),"SOCIETE ARCHEOLOGIQUE DE BORDEAUX")</f>
        <v>SOCIETE ARCHEOLOGIQUE DE BORDEAUX</v>
      </c>
      <c r="C1875" s="3">
        <f>IFERROR(__xludf.DUMMYFUNCTION("""COMPUTED_VALUE"""),2062.0)</f>
        <v>2062</v>
      </c>
      <c r="D1875" s="1">
        <v>0.0</v>
      </c>
      <c r="E1875" s="2"/>
      <c r="F1875" s="2"/>
      <c r="G1875" s="2"/>
      <c r="H1875" s="2"/>
      <c r="I1875" s="2"/>
    </row>
    <row r="1876">
      <c r="A1876" s="1" t="s">
        <v>1072</v>
      </c>
      <c r="B1876" s="1" t="str">
        <f>IFERROR(__xludf.DUMMYFUNCTION("SPLIT(A1876,"";"")"),"SOCIETE BORDELAISE D'AQUARELLE")</f>
        <v>SOCIETE BORDELAISE D'AQUARELLE</v>
      </c>
      <c r="C1876" s="3">
        <f>IFERROR(__xludf.DUMMYFUNCTION("""COMPUTED_VALUE"""),1814.0)</f>
        <v>1814</v>
      </c>
      <c r="D1876" s="1">
        <v>0.0</v>
      </c>
      <c r="E1876" s="2"/>
      <c r="F1876" s="2"/>
      <c r="G1876" s="2"/>
      <c r="H1876" s="2"/>
      <c r="I1876" s="2"/>
    </row>
    <row r="1877">
      <c r="A1877" s="1" t="s">
        <v>1073</v>
      </c>
      <c r="B1877" s="1" t="str">
        <f>IFERROR(__xludf.DUMMYFUNCTION("SPLIT(A1877,"";"")"),"SOCIETE DE GEOGRAPHIE DE BORDEAUX")</f>
        <v>SOCIETE DE GEOGRAPHIE DE BORDEAUX</v>
      </c>
      <c r="C1877" s="3">
        <f>IFERROR(__xludf.DUMMYFUNCTION("""COMPUTED_VALUE"""),8196.0)</f>
        <v>8196</v>
      </c>
      <c r="D1877" s="1">
        <v>0.0</v>
      </c>
      <c r="E1877" s="2"/>
      <c r="F1877" s="2"/>
      <c r="G1877" s="2"/>
      <c r="H1877" s="2"/>
      <c r="I1877" s="2"/>
    </row>
    <row r="1878">
      <c r="A1878" s="1" t="s">
        <v>1074</v>
      </c>
      <c r="B1878" s="1" t="str">
        <f>IFERROR(__xludf.DUMMYFUNCTION("SPLIT(A1878,"";"")"),"SOCIETE DE SAINT-VINCENT-DE-PAUL - CONSEIL DEPARTEMENTAL DE LA GIRONDE")</f>
        <v>SOCIETE DE SAINT-VINCENT-DE-PAUL - CONSEIL DEPARTEMENTAL DE LA GIRONDE</v>
      </c>
      <c r="C1878" s="3">
        <f>IFERROR(__xludf.DUMMYFUNCTION("""COMPUTED_VALUE"""),10568.0)</f>
        <v>10568</v>
      </c>
      <c r="D1878" s="1">
        <v>61.0</v>
      </c>
      <c r="E1878" s="2"/>
      <c r="F1878" s="2"/>
      <c r="G1878" s="2"/>
      <c r="H1878" s="2"/>
      <c r="I1878" s="2"/>
    </row>
    <row r="1879">
      <c r="A1879" s="1" t="s">
        <v>1075</v>
      </c>
      <c r="B1879" s="1" t="str">
        <f>IFERROR(__xludf.DUMMYFUNCTION("SPLIT(A1879,"";"")"),"SOCIETE D'ENTRAIDE DES MEMBRES DE LA LEGION D'HONNEUR COMITE DE BORDEAUX SECTEUR CAUDERAN")</f>
        <v>SOCIETE D'ENTRAIDE DES MEMBRES DE LA LEGION D'HONNEUR COMITE DE BORDEAUX SECTEUR CAUDERAN</v>
      </c>
      <c r="C1879" s="1">
        <f>IFERROR(__xludf.DUMMYFUNCTION("""COMPUTED_VALUE"""),72.0)</f>
        <v>72</v>
      </c>
      <c r="D1879" s="1">
        <v>0.0</v>
      </c>
      <c r="E1879" s="2"/>
      <c r="F1879" s="2"/>
      <c r="G1879" s="2"/>
      <c r="H1879" s="2"/>
      <c r="I1879" s="2"/>
    </row>
    <row r="1880">
      <c r="A1880" s="1" t="s">
        <v>1076</v>
      </c>
      <c r="B1880" s="1" t="str">
        <f>IFERROR(__xludf.DUMMYFUNCTION("SPLIT(A1880,"";"")"),"SOCIETE DES AMIS DU MUSEE DES BEAUX-ARTS DE BORDEAUX")</f>
        <v>SOCIETE DES AMIS DU MUSEE DES BEAUX-ARTS DE BORDEAUX</v>
      </c>
      <c r="C1880" s="3">
        <f>IFERROR(__xludf.DUMMYFUNCTION("""COMPUTED_VALUE"""),11592.0)</f>
        <v>11592</v>
      </c>
      <c r="D1880" s="1">
        <v>0.0</v>
      </c>
      <c r="E1880" s="2"/>
      <c r="F1880" s="2"/>
      <c r="G1880" s="2"/>
      <c r="H1880" s="2"/>
      <c r="I1880" s="2"/>
    </row>
    <row r="1881">
      <c r="A1881" s="1" t="s">
        <v>1077</v>
      </c>
      <c r="B1881" s="1" t="str">
        <f>IFERROR(__xludf.DUMMYFUNCTION("SPLIT(A1881,"";"")"),"SOCIETE DES BIBLIOPHILES DE GUYENNE")</f>
        <v>SOCIETE DES BIBLIOPHILES DE GUYENNE</v>
      </c>
      <c r="C1881" s="3">
        <f>IFERROR(__xludf.DUMMYFUNCTION("""COMPUTED_VALUE"""),6640.0)</f>
        <v>6640</v>
      </c>
      <c r="D1881" s="1">
        <v>0.0</v>
      </c>
      <c r="E1881" s="2"/>
      <c r="F1881" s="2"/>
      <c r="G1881" s="2"/>
      <c r="H1881" s="2"/>
      <c r="I1881" s="2"/>
    </row>
    <row r="1882">
      <c r="A1882" s="1" t="s">
        <v>1078</v>
      </c>
      <c r="B1882" s="1" t="str">
        <f>IFERROR(__xludf.DUMMYFUNCTION("SPLIT(A1882,"";"")"),"SOCIETE DES COMPAGNONS DU TOUR DE France DU DEVOIR EGALITAIRE - CHAMBRE COMPAGNONALE DE BORDEAUX")</f>
        <v>SOCIETE DES COMPAGNONS DU TOUR DE France DU DEVOIR EGALITAIRE - CHAMBRE COMPAGNONALE DE BORDEAUX</v>
      </c>
      <c r="C1882" s="3">
        <f>IFERROR(__xludf.DUMMYFUNCTION("""COMPUTED_VALUE"""),76160.0)</f>
        <v>76160</v>
      </c>
      <c r="D1882" s="1">
        <v>0.0</v>
      </c>
      <c r="E1882" s="2"/>
      <c r="F1882" s="2"/>
      <c r="G1882" s="2"/>
      <c r="H1882" s="2"/>
      <c r="I1882" s="2"/>
    </row>
    <row r="1883">
      <c r="A1883" s="1" t="s">
        <v>1007</v>
      </c>
      <c r="B1883" s="1" t="str">
        <f>IFERROR(__xludf.DUMMYFUNCTION("SPLIT(A1883,"";"")"),"PLENI'OM")</f>
        <v>PLENI'OM</v>
      </c>
      <c r="C1883" s="3">
        <f>IFERROR(__xludf.DUMMYFUNCTION("""COMPUTED_VALUE"""),1640.0)</f>
        <v>1640</v>
      </c>
      <c r="D1883" s="1">
        <v>0.0</v>
      </c>
      <c r="E1883" s="2"/>
      <c r="F1883" s="2"/>
      <c r="G1883" s="2"/>
      <c r="H1883" s="2"/>
      <c r="I1883" s="2"/>
    </row>
    <row r="1884">
      <c r="A1884" s="1" t="s">
        <v>1008</v>
      </c>
      <c r="B1884" s="1" t="str">
        <f>IFERROR(__xludf.DUMMYFUNCTION("SPLIT(A1884,"";"")"),"POINT DE FUITE")</f>
        <v>POINT DE FUITE</v>
      </c>
      <c r="C1884" s="1">
        <f>IFERROR(__xludf.DUMMYFUNCTION("""COMPUTED_VALUE"""),216.0)</f>
        <v>216</v>
      </c>
      <c r="D1884" s="1">
        <v>43.0</v>
      </c>
      <c r="E1884" s="2"/>
      <c r="F1884" s="2"/>
      <c r="G1884" s="2"/>
      <c r="H1884" s="2"/>
      <c r="I1884" s="2"/>
    </row>
    <row r="1885">
      <c r="A1885" s="1" t="s">
        <v>1009</v>
      </c>
      <c r="B1885" s="1" t="str">
        <f>IFERROR(__xludf.DUMMYFUNCTION("SPLIT(A1885,"";"")"),"POINT RENCONTRE DE BORDEAUX")</f>
        <v>POINT RENCONTRE DE BORDEAUX</v>
      </c>
      <c r="C1885" s="3">
        <f>IFERROR(__xludf.DUMMYFUNCTION("""COMPUTED_VALUE"""),1031.0)</f>
        <v>1031</v>
      </c>
      <c r="D1885" s="1">
        <v>0.0</v>
      </c>
      <c r="E1885" s="2"/>
      <c r="F1885" s="2"/>
      <c r="G1885" s="2"/>
      <c r="H1885" s="2"/>
      <c r="I1885" s="2"/>
    </row>
    <row r="1886">
      <c r="A1886" s="1" t="s">
        <v>1010</v>
      </c>
      <c r="B1886" s="1" t="str">
        <f>IFERROR(__xludf.DUMMYFUNCTION("SPLIT(A1886,"";"")"),"POLAR EN CABANES - LES AMIS DE CHESTER HIMES EN AQUITAINE")</f>
        <v>POLAR EN CABANES - LES AMIS DE CHESTER HIMES EN AQUITAINE</v>
      </c>
      <c r="C1886" s="1"/>
      <c r="D1886" s="1" t="s">
        <v>1011</v>
      </c>
      <c r="E1886" s="1">
        <v>0.0</v>
      </c>
      <c r="F1886" s="2"/>
      <c r="G1886" s="2"/>
      <c r="H1886" s="2"/>
      <c r="I1886" s="2"/>
    </row>
    <row r="1887">
      <c r="A1887" s="1" t="s">
        <v>1012</v>
      </c>
      <c r="B1887" s="1" t="str">
        <f>IFERROR(__xludf.DUMMYFUNCTION("SPLIT(A1887,"";"")"),"POLE D'ENSEIGNEMENT SUPERIEUR DE LA MUSIQUE ET DE LA DANSE DE BORDEAUX AQUITAINE - PESMD")</f>
        <v>POLE D'ENSEIGNEMENT SUPERIEUR DE LA MUSIQUE ET DE LA DANSE DE BORDEAUX AQUITAINE - PESMD</v>
      </c>
      <c r="C1887" s="1">
        <f>IFERROR(__xludf.DUMMYFUNCTION("""COMPUTED_VALUE"""),34.0)</f>
        <v>34</v>
      </c>
      <c r="D1887" s="1">
        <v>0.0</v>
      </c>
      <c r="E1887" s="2"/>
      <c r="F1887" s="2"/>
      <c r="G1887" s="2"/>
      <c r="H1887" s="2"/>
      <c r="I1887" s="2"/>
    </row>
    <row r="1888">
      <c r="A1888" s="1" t="s">
        <v>1013</v>
      </c>
      <c r="B1888" s="1" t="str">
        <f>IFERROR(__xludf.DUMMYFUNCTION("SPLIT(A1888,"";"")"),"POLE MAGNETIC")</f>
        <v>POLE MAGNETIC</v>
      </c>
      <c r="C1888" s="3">
        <f>IFERROR(__xludf.DUMMYFUNCTION("""COMPUTED_VALUE"""),4461.0)</f>
        <v>4461</v>
      </c>
      <c r="D1888" s="1">
        <v>60.0</v>
      </c>
      <c r="E1888" s="2"/>
      <c r="F1888" s="2"/>
      <c r="G1888" s="2"/>
      <c r="H1888" s="2"/>
      <c r="I1888" s="2"/>
    </row>
    <row r="1889">
      <c r="A1889" s="1" t="s">
        <v>1014</v>
      </c>
      <c r="B1889" s="1" t="str">
        <f>IFERROR(__xludf.DUMMYFUNCTION("SPLIT(A1889,"";"")"),"POLIFONIA ELIANE LAVAIL")</f>
        <v>POLIFONIA ELIANE LAVAIL</v>
      </c>
      <c r="C1889" s="3">
        <f>IFERROR(__xludf.DUMMYFUNCTION("""COMPUTED_VALUE"""),1001.0)</f>
        <v>1001</v>
      </c>
      <c r="D1889" s="1">
        <v>0.0</v>
      </c>
      <c r="E1889" s="2"/>
      <c r="F1889" s="2"/>
      <c r="G1889" s="2"/>
      <c r="H1889" s="2"/>
      <c r="I1889" s="2"/>
    </row>
    <row r="1890">
      <c r="A1890" s="1" t="s">
        <v>1015</v>
      </c>
      <c r="B1890" s="1" t="str">
        <f>IFERROR(__xludf.DUMMYFUNCTION("SPLIT(A1890,"";"")"),"POLSKIE BORDEAUX")</f>
        <v>POLSKIE BORDEAUX</v>
      </c>
      <c r="C1890" s="1">
        <f>IFERROR(__xludf.DUMMYFUNCTION("""COMPUTED_VALUE"""),111.0)</f>
        <v>111</v>
      </c>
      <c r="D1890" s="1">
        <v>0.0</v>
      </c>
      <c r="E1890" s="2"/>
      <c r="F1890" s="2"/>
      <c r="G1890" s="2"/>
      <c r="H1890" s="2"/>
      <c r="I1890" s="2"/>
    </row>
    <row r="1891">
      <c r="A1891" s="1" t="s">
        <v>1016</v>
      </c>
      <c r="B1891" s="1" t="str">
        <f>IFERROR(__xludf.DUMMYFUNCTION("SPLIT(A1891,"";"")"),"POLYCAP 33")</f>
        <v>POLYCAP 33</v>
      </c>
      <c r="C1891" s="1">
        <f>IFERROR(__xludf.DUMMYFUNCTION("""COMPUTED_VALUE"""),774.0)</f>
        <v>774</v>
      </c>
      <c r="D1891" s="1">
        <v>0.0</v>
      </c>
      <c r="E1891" s="2"/>
      <c r="F1891" s="2"/>
      <c r="G1891" s="2"/>
      <c r="H1891" s="2"/>
      <c r="I1891" s="2"/>
    </row>
    <row r="1892">
      <c r="A1892" s="1" t="s">
        <v>1017</v>
      </c>
      <c r="B1892" s="1" t="str">
        <f>IFERROR(__xludf.DUMMYFUNCTION("SPLIT(A1892,"";"")"),"POUR UN COMMERCE ETHIQUE DE L'ART")</f>
        <v>POUR UN COMMERCE ETHIQUE DE L'ART</v>
      </c>
      <c r="C1892" s="1"/>
      <c r="D1892" s="1" t="s">
        <v>1018</v>
      </c>
      <c r="E1892" s="1" t="s">
        <v>1019</v>
      </c>
      <c r="F1892" s="1">
        <v>96.0</v>
      </c>
      <c r="G1892" s="2"/>
      <c r="H1892" s="2"/>
      <c r="I1892" s="2"/>
    </row>
    <row r="1893">
      <c r="A1893" s="1" t="s">
        <v>1020</v>
      </c>
      <c r="B1893" s="1" t="str">
        <f>IFERROR(__xludf.DUMMYFUNCTION("SPLIT(A1893,"";"")"),"POUR UN SOURIRE D'ENFANT AQUITAINE")</f>
        <v>POUR UN SOURIRE D'ENFANT AQUITAINE</v>
      </c>
      <c r="C1893" s="1">
        <f>IFERROR(__xludf.DUMMYFUNCTION("""COMPUTED_VALUE"""),444.0)</f>
        <v>444</v>
      </c>
      <c r="D1893" s="1">
        <v>0.0</v>
      </c>
      <c r="E1893" s="2"/>
      <c r="F1893" s="2"/>
      <c r="G1893" s="2"/>
      <c r="H1893" s="2"/>
      <c r="I1893" s="2"/>
    </row>
    <row r="1894">
      <c r="A1894" s="1" t="s">
        <v>1021</v>
      </c>
      <c r="B1894" s="1" t="str">
        <f>IFERROR(__xludf.DUMMYFUNCTION("SPLIT(A1894,"";"")"),"PRISME")</f>
        <v>PRISME</v>
      </c>
      <c r="C1894" s="3">
        <f>IFERROR(__xludf.DUMMYFUNCTION("""COMPUTED_VALUE"""),6825.0)</f>
        <v>6825</v>
      </c>
      <c r="D1894" s="1">
        <v>0.0</v>
      </c>
      <c r="E1894" s="2"/>
      <c r="F1894" s="2"/>
      <c r="G1894" s="2"/>
      <c r="H1894" s="2"/>
      <c r="I1894" s="2"/>
    </row>
    <row r="1895">
      <c r="A1895" s="1" t="s">
        <v>1022</v>
      </c>
      <c r="B1895" s="1" t="str">
        <f>IFERROR(__xludf.DUMMYFUNCTION("SPLIT(A1895,"";"")"),"PROF'APA")</f>
        <v>PROF'APA</v>
      </c>
      <c r="C1895" s="1">
        <f>IFERROR(__xludf.DUMMYFUNCTION("""COMPUTED_VALUE"""),342.0)</f>
        <v>342</v>
      </c>
      <c r="D1895" s="1">
        <v>0.0</v>
      </c>
      <c r="E1895" s="2"/>
      <c r="F1895" s="2"/>
      <c r="G1895" s="2"/>
      <c r="H1895" s="2"/>
      <c r="I1895" s="2"/>
    </row>
    <row r="1896">
      <c r="A1896" s="1" t="s">
        <v>1023</v>
      </c>
      <c r="B1896" s="1" t="str">
        <f>IFERROR(__xludf.DUMMYFUNCTION("SPLIT(A1896,"";"")"),"PROJETS HORS LES MURS - PHM")</f>
        <v>PROJETS HORS LES MURS - PHM</v>
      </c>
      <c r="C1896" s="1">
        <f>IFERROR(__xludf.DUMMYFUNCTION("""COMPUTED_VALUE"""),204.0)</f>
        <v>204</v>
      </c>
      <c r="D1896" s="1">
        <v>6.0</v>
      </c>
      <c r="E1896" s="2"/>
      <c r="F1896" s="2"/>
      <c r="G1896" s="2"/>
      <c r="H1896" s="2"/>
      <c r="I1896" s="2"/>
    </row>
    <row r="1897">
      <c r="A1897" s="1" t="s">
        <v>1024</v>
      </c>
      <c r="B1897" s="1" t="str">
        <f>IFERROR(__xludf.DUMMYFUNCTION("SPLIT(A1897,"";"")"),"PROMETHEE")</f>
        <v>PROMETHEE</v>
      </c>
      <c r="C1897" s="1">
        <f>IFERROR(__xludf.DUMMYFUNCTION("""COMPUTED_VALUE"""),61.0)</f>
        <v>61</v>
      </c>
      <c r="D1897" s="1">
        <v>0.0</v>
      </c>
      <c r="E1897" s="2"/>
      <c r="F1897" s="2"/>
      <c r="G1897" s="2"/>
      <c r="H1897" s="2"/>
      <c r="I1897" s="2"/>
    </row>
    <row r="1898">
      <c r="A1898" s="1" t="s">
        <v>1025</v>
      </c>
      <c r="B1898" s="1" t="str">
        <f>IFERROR(__xludf.DUMMYFUNCTION("SPLIT(A1898,"";"")"),"PROMO-FEMMES SAINT MICHEL")</f>
        <v>PROMO-FEMMES SAINT MICHEL</v>
      </c>
      <c r="C1898" s="3">
        <f>IFERROR(__xludf.DUMMYFUNCTION("""COMPUTED_VALUE"""),22507.0)</f>
        <v>22507</v>
      </c>
      <c r="D1898" s="1">
        <v>50.0</v>
      </c>
      <c r="E1898" s="2"/>
      <c r="F1898" s="2"/>
      <c r="G1898" s="2"/>
      <c r="H1898" s="2"/>
      <c r="I1898" s="2"/>
    </row>
    <row r="1899">
      <c r="A1899" s="1" t="s">
        <v>1026</v>
      </c>
      <c r="B1899" s="1" t="str">
        <f>IFERROR(__xludf.DUMMYFUNCTION("SPLIT(A1899,"";"")"),"P'TIT BOUT'CHOU")</f>
        <v>P'TIT BOUT'CHOU</v>
      </c>
      <c r="C1899" s="1">
        <f>IFERROR(__xludf.DUMMYFUNCTION("""COMPUTED_VALUE"""),129.0)</f>
        <v>129</v>
      </c>
      <c r="D1899" s="1">
        <v>78.0</v>
      </c>
      <c r="E1899" s="2"/>
      <c r="F1899" s="2"/>
      <c r="G1899" s="2"/>
      <c r="H1899" s="2"/>
      <c r="I1899" s="2"/>
    </row>
    <row r="1900">
      <c r="A1900" s="1" t="s">
        <v>1027</v>
      </c>
      <c r="B1900" s="1" t="str">
        <f>IFERROR(__xludf.DUMMYFUNCTION("SPLIT(A1900,"";"")"),"QUATUORS A BORDEAUX")</f>
        <v>QUATUORS A BORDEAUX</v>
      </c>
      <c r="C1900" s="3">
        <f>IFERROR(__xludf.DUMMYFUNCTION("""COMPUTED_VALUE"""),9317.0)</f>
        <v>9317</v>
      </c>
      <c r="D1900" s="1">
        <v>10.0</v>
      </c>
      <c r="E1900" s="2"/>
      <c r="F1900" s="2"/>
      <c r="G1900" s="2"/>
      <c r="H1900" s="2"/>
      <c r="I1900" s="2"/>
    </row>
    <row r="1901">
      <c r="A1901" s="1" t="s">
        <v>1028</v>
      </c>
      <c r="B1901" s="1" t="str">
        <f>IFERROR(__xludf.DUMMYFUNCTION("SPLIT(A1901,"";"")"),"QUETZALCOATL")</f>
        <v>QUETZALCOATL</v>
      </c>
      <c r="C1901" s="3">
        <f>IFERROR(__xludf.DUMMYFUNCTION("""COMPUTED_VALUE"""),2852.0)</f>
        <v>2852</v>
      </c>
      <c r="D1901" s="1">
        <v>0.0</v>
      </c>
      <c r="E1901" s="2"/>
      <c r="F1901" s="2"/>
      <c r="G1901" s="2"/>
      <c r="H1901" s="2"/>
      <c r="I1901" s="2"/>
    </row>
    <row r="1902">
      <c r="A1902" s="1" t="s">
        <v>1029</v>
      </c>
      <c r="B1902" s="1" t="str">
        <f>IFERROR(__xludf.DUMMYFUNCTION("SPLIT(A1902,"";"")"),"RACING CLUB DE BORDEAUX METROPOLE")</f>
        <v>RACING CLUB DE BORDEAUX METROPOLE</v>
      </c>
      <c r="C1902" s="3">
        <f>IFERROR(__xludf.DUMMYFUNCTION("""COMPUTED_VALUE"""),24734.0)</f>
        <v>24734</v>
      </c>
      <c r="D1902" s="1">
        <v>80.0</v>
      </c>
      <c r="E1902" s="2"/>
      <c r="F1902" s="2"/>
      <c r="G1902" s="2"/>
      <c r="H1902" s="2"/>
      <c r="I1902" s="2"/>
    </row>
    <row r="1903">
      <c r="A1903" s="1" t="s">
        <v>1030</v>
      </c>
      <c r="B1903" s="1" t="str">
        <f>IFERROR(__xludf.DUMMYFUNCTION("SPLIT(A1903,"";"")"),"RADIO CHU")</f>
        <v>RADIO CHU</v>
      </c>
      <c r="C1903" s="1">
        <f>IFERROR(__xludf.DUMMYFUNCTION("""COMPUTED_VALUE"""),178.0)</f>
        <v>178</v>
      </c>
      <c r="D1903" s="1">
        <v>0.0</v>
      </c>
      <c r="E1903" s="2"/>
      <c r="F1903" s="2"/>
      <c r="G1903" s="2"/>
      <c r="H1903" s="2"/>
      <c r="I1903" s="2"/>
    </row>
    <row r="1904">
      <c r="A1904" s="1" t="s">
        <v>1031</v>
      </c>
      <c r="B1904" s="1" t="str">
        <f>IFERROR(__xludf.DUMMYFUNCTION("SPLIT(A1904,"";"")"),"RASSEMBLEMENT DU PEUPLE SOUVERAIN POUR UNE FRANCE INDEPENDANTE ET UNE REPUBLIQUE SOCIALE")</f>
        <v>RASSEMBLEMENT DU PEUPLE SOUVERAIN POUR UNE FRANCE INDEPENDANTE ET UNE REPUBLIQUE SOCIALE</v>
      </c>
      <c r="C1904" s="1">
        <f>IFERROR(__xludf.DUMMYFUNCTION("""COMPUTED_VALUE"""),444.0)</f>
        <v>444</v>
      </c>
      <c r="D1904" s="1">
        <v>0.0</v>
      </c>
      <c r="E1904" s="2"/>
      <c r="F1904" s="2"/>
      <c r="G1904" s="2"/>
      <c r="H1904" s="2"/>
      <c r="I1904" s="2"/>
    </row>
    <row r="1905">
      <c r="A1905" s="1" t="s">
        <v>1032</v>
      </c>
      <c r="B1905" s="1" t="str">
        <f>IFERROR(__xludf.DUMMYFUNCTION("SPLIT(A1905,"";"")"),"REBATIR LA FRANCE")</f>
        <v>REBATIR LA FRANCE</v>
      </c>
      <c r="C1905" s="1">
        <f>IFERROR(__xludf.DUMMYFUNCTION("""COMPUTED_VALUE"""),444.0)</f>
        <v>444</v>
      </c>
      <c r="D1905" s="1">
        <v>0.0</v>
      </c>
      <c r="E1905" s="2"/>
      <c r="F1905" s="2"/>
      <c r="G1905" s="2"/>
      <c r="H1905" s="2"/>
      <c r="I1905" s="2"/>
    </row>
    <row r="1906">
      <c r="A1906" s="1" t="s">
        <v>1033</v>
      </c>
      <c r="B1906" s="1" t="str">
        <f>IFERROR(__xludf.DUMMYFUNCTION("SPLIT(A1906,"";"")"),"RECUP'R")</f>
        <v>RECUP'R</v>
      </c>
      <c r="C1906" s="1">
        <f>IFERROR(__xludf.DUMMYFUNCTION("""COMPUTED_VALUE"""),702.0)</f>
        <v>702</v>
      </c>
      <c r="D1906" s="1">
        <v>90.0</v>
      </c>
      <c r="E1906" s="2"/>
      <c r="F1906" s="2"/>
      <c r="G1906" s="2"/>
      <c r="H1906" s="2"/>
      <c r="I1906" s="2"/>
    </row>
    <row r="1907">
      <c r="A1907" s="1" t="s">
        <v>1034</v>
      </c>
      <c r="B1907" s="1" t="str">
        <f>IFERROR(__xludf.DUMMYFUNCTION("SPLIT(A1907,"";"")"),"REG'ARTS D'AILLEURS")</f>
        <v>REG'ARTS D'AILLEURS</v>
      </c>
      <c r="C1907" s="1">
        <f>IFERROR(__xludf.DUMMYFUNCTION("""COMPUTED_VALUE"""),224.0)</f>
        <v>224</v>
      </c>
      <c r="D1907" s="1">
        <v>40.0</v>
      </c>
      <c r="E1907" s="2"/>
      <c r="F1907" s="2"/>
      <c r="G1907" s="2"/>
      <c r="H1907" s="2"/>
      <c r="I1907" s="2"/>
    </row>
    <row r="1908">
      <c r="A1908" s="1" t="s">
        <v>1035</v>
      </c>
      <c r="B1908" s="1" t="str">
        <f>IFERROR(__xludf.DUMMYFUNCTION("SPLIT(A1908,"";"")"),"REGGAE SUN SKA")</f>
        <v>REGGAE SUN SKA</v>
      </c>
      <c r="C1908" s="3">
        <f>IFERROR(__xludf.DUMMYFUNCTION("""COMPUTED_VALUE"""),9843.0)</f>
        <v>9843</v>
      </c>
      <c r="D1908" s="1">
        <v>20.0</v>
      </c>
      <c r="E1908" s="2"/>
      <c r="F1908" s="2"/>
      <c r="G1908" s="2"/>
      <c r="H1908" s="2"/>
      <c r="I1908" s="2"/>
    </row>
    <row r="1909">
      <c r="A1909" s="1" t="s">
        <v>1036</v>
      </c>
      <c r="B1909" s="1" t="str">
        <f>IFERROR(__xludf.DUMMYFUNCTION("SPLIT(A1909,"";"")"),"REGIE DE QUARTIER HABITER BACALAN")</f>
        <v>REGIE DE QUARTIER HABITER BACALAN</v>
      </c>
      <c r="C1909" s="3">
        <f>IFERROR(__xludf.DUMMYFUNCTION("""COMPUTED_VALUE"""),1216.0)</f>
        <v>1216</v>
      </c>
      <c r="D1909" s="1">
        <v>0.0</v>
      </c>
      <c r="E1909" s="2"/>
      <c r="F1909" s="2"/>
      <c r="G1909" s="2"/>
      <c r="H1909" s="2"/>
      <c r="I1909" s="2"/>
    </row>
    <row r="1910">
      <c r="A1910" s="1" t="s">
        <v>1037</v>
      </c>
      <c r="B1910" s="1" t="str">
        <f>IFERROR(__xludf.DUMMYFUNCTION("SPLIT(A1910,"";"")"),"RELAIS AMICAL MALAKOFF MEDERIC BORDEAUX AQUITAINE")</f>
        <v>RELAIS AMICAL MALAKOFF MEDERIC BORDEAUX AQUITAINE</v>
      </c>
      <c r="C1910" s="3">
        <f>IFERROR(__xludf.DUMMYFUNCTION("""COMPUTED_VALUE"""),1355.0)</f>
        <v>1355</v>
      </c>
      <c r="D1910" s="1">
        <v>70.0</v>
      </c>
      <c r="E1910" s="2"/>
      <c r="F1910" s="2"/>
      <c r="G1910" s="2"/>
      <c r="H1910" s="2"/>
      <c r="I1910" s="2"/>
    </row>
    <row r="1911">
      <c r="A1911" s="1" t="s">
        <v>1038</v>
      </c>
      <c r="B1911" s="1" t="str">
        <f>IFERROR(__xludf.DUMMYFUNCTION("SPLIT(A1911,"";"")"),"RENAISSANCE DE L'ORGUE A BORDEAUX")</f>
        <v>RENAISSANCE DE L'ORGUE A BORDEAUX</v>
      </c>
      <c r="C1911" s="3">
        <f>IFERROR(__xludf.DUMMYFUNCTION("""COMPUTED_VALUE"""),8442.0)</f>
        <v>8442</v>
      </c>
      <c r="D1911" s="1">
        <v>67.0</v>
      </c>
      <c r="E1911" s="2"/>
      <c r="F1911" s="2"/>
      <c r="G1911" s="2"/>
      <c r="H1911" s="2"/>
      <c r="I1911" s="2"/>
    </row>
    <row r="1912">
      <c r="A1912" s="1" t="s">
        <v>1039</v>
      </c>
      <c r="B1912" s="1" t="str">
        <f>IFERROR(__xludf.DUMMYFUNCTION("SPLIT(A1912,"";"")"),"RESEAU AQUITAIN DES MUSIQUES ACTUELLES - RAMA")</f>
        <v>RESEAU AQUITAIN DES MUSIQUES ACTUELLES - RAMA</v>
      </c>
      <c r="C1912" s="1">
        <f>IFERROR(__xludf.DUMMYFUNCTION("""COMPUTED_VALUE"""),587.0)</f>
        <v>587</v>
      </c>
      <c r="D1912" s="1">
        <v>0.0</v>
      </c>
      <c r="E1912" s="2"/>
      <c r="F1912" s="2"/>
      <c r="G1912" s="2"/>
      <c r="H1912" s="2"/>
      <c r="I1912" s="2"/>
    </row>
    <row r="1913">
      <c r="A1913" s="1" t="s">
        <v>1040</v>
      </c>
      <c r="B1913" s="1" t="str">
        <f>IFERROR(__xludf.DUMMYFUNCTION("SPLIT(A1913,"";"")"),"RESEAU ENTREPRENDRE AQUITAINE")</f>
        <v>RESEAU ENTREPRENDRE AQUITAINE</v>
      </c>
      <c r="C1913" s="3">
        <f>IFERROR(__xludf.DUMMYFUNCTION("""COMPUTED_VALUE"""),1287.0)</f>
        <v>1287</v>
      </c>
      <c r="D1913" s="1">
        <v>40.0</v>
      </c>
      <c r="E1913" s="2"/>
      <c r="F1913" s="2"/>
      <c r="G1913" s="2"/>
      <c r="H1913" s="2"/>
      <c r="I1913" s="2"/>
    </row>
    <row r="1914">
      <c r="A1914" s="1" t="s">
        <v>1041</v>
      </c>
      <c r="B1914" s="1" t="str">
        <f>IFERROR(__xludf.DUMMYFUNCTION("SPLIT(A1914,"";"")"),"RESEAU FRANCAIS SUR L’ENTENTE DE VOIX (REV FRANCE)")</f>
        <v>RESEAU FRANCAIS SUR L’ENTENTE DE VOIX (REV FRANCE)</v>
      </c>
      <c r="C1914" s="1">
        <f>IFERROR(__xludf.DUMMYFUNCTION("""COMPUTED_VALUE"""),314.0)</f>
        <v>314</v>
      </c>
      <c r="D1914" s="1">
        <v>0.0</v>
      </c>
      <c r="E1914" s="2"/>
      <c r="F1914" s="2"/>
      <c r="G1914" s="2"/>
      <c r="H1914" s="2"/>
      <c r="I1914" s="2"/>
    </row>
    <row r="1915">
      <c r="A1915" s="1" t="s">
        <v>1042</v>
      </c>
      <c r="B1915" s="1" t="str">
        <f>IFERROR(__xludf.DUMMYFUNCTION("SPLIT(A1915,"";"")"),"RESEAUX ADOS GIRONDE")</f>
        <v>RESEAUX ADOS GIRONDE</v>
      </c>
      <c r="C1915" s="1">
        <f>IFERROR(__xludf.DUMMYFUNCTION("""COMPUTED_VALUE"""),34.0)</f>
        <v>34</v>
      </c>
      <c r="D1915" s="1">
        <v>0.0</v>
      </c>
      <c r="E1915" s="2"/>
      <c r="F1915" s="2"/>
      <c r="G1915" s="2"/>
      <c r="H1915" s="2"/>
      <c r="I1915" s="2"/>
    </row>
    <row r="1916">
      <c r="A1916" s="1" t="s">
        <v>1043</v>
      </c>
      <c r="B1916" s="1" t="str">
        <f>IFERROR(__xludf.DUMMYFUNCTION("SPLIT(A1916,"";"")"),"RESTAURANTS DU COEUR - RELAIS DU COEUR DE LA GIRONDE")</f>
        <v>RESTAURANTS DU COEUR - RELAIS DU COEUR DE LA GIRONDE</v>
      </c>
      <c r="C1916" s="3">
        <f>IFERROR(__xludf.DUMMYFUNCTION("""COMPUTED_VALUE"""),24342.0)</f>
        <v>24342</v>
      </c>
      <c r="D1916" s="1">
        <v>0.0</v>
      </c>
      <c r="E1916" s="2"/>
      <c r="F1916" s="2"/>
      <c r="G1916" s="2"/>
      <c r="H1916" s="2"/>
      <c r="I1916" s="2"/>
    </row>
    <row r="1917">
      <c r="A1917" s="1" t="s">
        <v>1044</v>
      </c>
      <c r="B1917" s="1" t="str">
        <f>IFERROR(__xludf.DUMMYFUNCTION("SPLIT(A1917,"";"")"),"RESTONS CALMES ! (DANS LA DIGNITE)")</f>
        <v>RESTONS CALMES ! (DANS LA DIGNITE)</v>
      </c>
      <c r="C1917" s="3">
        <f>IFERROR(__xludf.DUMMYFUNCTION("""COMPUTED_VALUE"""),13714.0)</f>
        <v>13714</v>
      </c>
      <c r="D1917" s="1">
        <v>32.0</v>
      </c>
      <c r="E1917" s="2"/>
      <c r="F1917" s="2"/>
      <c r="G1917" s="2"/>
      <c r="H1917" s="2"/>
      <c r="I1917" s="2"/>
    </row>
    <row r="1918">
      <c r="A1918" s="1" t="s">
        <v>1045</v>
      </c>
      <c r="B1918" s="1" t="str">
        <f>IFERROR(__xludf.DUMMYFUNCTION("SPLIT(A1918,"";"")"),"RICOCHET SONORE")</f>
        <v>RICOCHET SONORE</v>
      </c>
      <c r="C1918" s="3">
        <f>IFERROR(__xludf.DUMMYFUNCTION("""COMPUTED_VALUE"""),1118.0)</f>
        <v>1118</v>
      </c>
      <c r="D1918" s="1">
        <v>53.0</v>
      </c>
      <c r="E1918" s="2"/>
      <c r="F1918" s="2"/>
      <c r="G1918" s="2"/>
      <c r="H1918" s="2"/>
      <c r="I1918" s="2"/>
    </row>
    <row r="1919">
      <c r="A1919" s="1" t="s">
        <v>1046</v>
      </c>
      <c r="B1919" s="1" t="str">
        <f>IFERROR(__xludf.DUMMYFUNCTION("SPLIT(A1919,"";"")"),"RIVE DROITE 2000")</f>
        <v>RIVE DROITE 2000</v>
      </c>
      <c r="C1919" s="1">
        <f>IFERROR(__xludf.DUMMYFUNCTION("""COMPUTED_VALUE"""),97.0)</f>
        <v>97</v>
      </c>
      <c r="D1919" s="1">
        <v>37.0</v>
      </c>
      <c r="E1919" s="2"/>
      <c r="F1919" s="2"/>
      <c r="G1919" s="2"/>
      <c r="H1919" s="2"/>
      <c r="I1919" s="2"/>
    </row>
    <row r="1920">
      <c r="A1920" s="1" t="s">
        <v>1047</v>
      </c>
      <c r="B1920" s="1" t="str">
        <f>IFERROR(__xludf.DUMMYFUNCTION("SPLIT(A1920,"";"")"),"ROLLER DERBY BORDEAUX CLUB")</f>
        <v>ROLLER DERBY BORDEAUX CLUB</v>
      </c>
      <c r="C1920" s="1">
        <f>IFERROR(__xludf.DUMMYFUNCTION("""COMPUTED_VALUE"""),46.0)</f>
        <v>46</v>
      </c>
      <c r="D1920" s="1">
        <v>0.0</v>
      </c>
      <c r="E1920" s="2"/>
      <c r="F1920" s="2"/>
      <c r="G1920" s="2"/>
      <c r="H1920" s="2"/>
      <c r="I1920" s="2"/>
    </row>
    <row r="1921">
      <c r="A1921" s="1" t="s">
        <v>1048</v>
      </c>
      <c r="B1921" s="1" t="str">
        <f>IFERROR(__xludf.DUMMYFUNCTION("SPLIT(A1921,"";"")"),"ROSE ATTITUDE BORDEAUX")</f>
        <v>ROSE ATTITUDE BORDEAUX</v>
      </c>
      <c r="C1921" s="1">
        <f>IFERROR(__xludf.DUMMYFUNCTION("""COMPUTED_VALUE"""),963.0)</f>
        <v>963</v>
      </c>
      <c r="D1921" s="1">
        <v>0.0</v>
      </c>
      <c r="E1921" s="2"/>
      <c r="F1921" s="2"/>
      <c r="G1921" s="2"/>
      <c r="H1921" s="2"/>
      <c r="I1921" s="2"/>
    </row>
    <row r="1922">
      <c r="A1922" s="1" t="s">
        <v>1049</v>
      </c>
      <c r="B1922" s="1" t="str">
        <f>IFERROR(__xludf.DUMMYFUNCTION("SPLIT(A1922,"";"")"),"ROTARY CLUB DE BORDEAUX-OUEST")</f>
        <v>ROTARY CLUB DE BORDEAUX-OUEST</v>
      </c>
      <c r="C1922" s="1">
        <f>IFERROR(__xludf.DUMMYFUNCTION("""COMPUTED_VALUE"""),135.0)</f>
        <v>135</v>
      </c>
      <c r="D1922" s="1">
        <v>0.0</v>
      </c>
      <c r="E1922" s="2"/>
      <c r="F1922" s="2"/>
      <c r="G1922" s="2"/>
      <c r="H1922" s="2"/>
      <c r="I1922" s="2"/>
    </row>
    <row r="1923">
      <c r="A1923" s="1" t="s">
        <v>1050</v>
      </c>
      <c r="B1923" s="1" t="str">
        <f>IFERROR(__xludf.DUMMYFUNCTION("SPLIT(A1923,"";"")"),"ROTARY-CLUB DE BORDEAUX-SUD")</f>
        <v>ROTARY-CLUB DE BORDEAUX-SUD</v>
      </c>
      <c r="C1923" s="3">
        <f>IFERROR(__xludf.DUMMYFUNCTION("""COMPUTED_VALUE"""),3049.0)</f>
        <v>3049</v>
      </c>
      <c r="D1923" s="1">
        <v>8.0</v>
      </c>
      <c r="E1923" s="2"/>
      <c r="F1923" s="2"/>
      <c r="G1923" s="2"/>
      <c r="H1923" s="2"/>
      <c r="I1923" s="2"/>
    </row>
    <row r="1924">
      <c r="A1924" s="1" t="s">
        <v>1051</v>
      </c>
      <c r="B1924" s="1" t="str">
        <f>IFERROR(__xludf.DUMMYFUNCTION("SPLIT(A1924,"";"")"),"RUELLE (RELAIS URBAIN D'ECHANGES ET DE LUTTE CONTRE L'EXPLOITATION)")</f>
        <v>RUELLE (RELAIS URBAIN D'ECHANGES ET DE LUTTE CONTRE L'EXPLOITATION)</v>
      </c>
      <c r="C1924" s="1">
        <f>IFERROR(__xludf.DUMMYFUNCTION("""COMPUTED_VALUE"""),238.0)</f>
        <v>238</v>
      </c>
      <c r="D1924" s="1">
        <v>0.0</v>
      </c>
      <c r="E1924" s="2"/>
      <c r="F1924" s="2"/>
      <c r="G1924" s="2"/>
      <c r="H1924" s="2"/>
      <c r="I1924" s="2"/>
    </row>
    <row r="1925">
      <c r="A1925" s="1" t="s">
        <v>1052</v>
      </c>
      <c r="B1925" s="1" t="str">
        <f>IFERROR(__xludf.DUMMYFUNCTION("SPLIT(A1925,"";"")"),"RUGBYTOTS")</f>
        <v>RUGBYTOTS</v>
      </c>
      <c r="C1925" s="3">
        <f>IFERROR(__xludf.DUMMYFUNCTION("""COMPUTED_VALUE"""),1944.0)</f>
        <v>1944</v>
      </c>
      <c r="D1925" s="1">
        <v>0.0</v>
      </c>
      <c r="E1925" s="2"/>
      <c r="F1925" s="2"/>
      <c r="G1925" s="2"/>
      <c r="H1925" s="2"/>
      <c r="I1925" s="2"/>
    </row>
    <row r="1926">
      <c r="A1926" s="1" t="s">
        <v>1053</v>
      </c>
      <c r="B1926" s="1" t="str">
        <f>IFERROR(__xludf.DUMMYFUNCTION("SPLIT(A1926,"";"")"),"SAAPERLIPOPETTE")</f>
        <v>SAAPERLIPOPETTE</v>
      </c>
      <c r="C1926" s="3">
        <f>IFERROR(__xludf.DUMMYFUNCTION("""COMPUTED_VALUE"""),12655.0)</f>
        <v>12655</v>
      </c>
      <c r="D1926" s="1">
        <v>70.0</v>
      </c>
      <c r="E1926" s="2"/>
      <c r="F1926" s="2"/>
      <c r="G1926" s="2"/>
      <c r="H1926" s="2"/>
      <c r="I1926" s="2"/>
    </row>
    <row r="1927">
      <c r="A1927" s="1" t="s">
        <v>1054</v>
      </c>
      <c r="B1927" s="1" t="str">
        <f>IFERROR(__xludf.DUMMYFUNCTION("SPLIT(A1927,"";"")"),"SAINT AUGUSTIN 2015")</f>
        <v>SAINT AUGUSTIN 2015</v>
      </c>
      <c r="C1927" s="3">
        <f>IFERROR(__xludf.DUMMYFUNCTION("""COMPUTED_VALUE"""),4927.0)</f>
        <v>4927</v>
      </c>
      <c r="D1927" s="1">
        <v>48.0</v>
      </c>
      <c r="E1927" s="2"/>
      <c r="F1927" s="2"/>
      <c r="G1927" s="2"/>
      <c r="H1927" s="2"/>
      <c r="I1927" s="2"/>
    </row>
    <row r="1928">
      <c r="A1928" s="1" t="s">
        <v>1055</v>
      </c>
      <c r="B1928" s="1" t="str">
        <f>IFERROR(__xludf.DUMMYFUNCTION("SPLIT(A1928,"";"")"),"SAINT MARTIN BORDEAUX CULTURAL CONNECTIONS")</f>
        <v>SAINT MARTIN BORDEAUX CULTURAL CONNECTIONS</v>
      </c>
      <c r="C1928" s="1">
        <f>IFERROR(__xludf.DUMMYFUNCTION("""COMPUTED_VALUE"""),443.0)</f>
        <v>443</v>
      </c>
      <c r="D1928" s="1">
        <v>0.0</v>
      </c>
      <c r="E1928" s="2"/>
      <c r="F1928" s="2"/>
      <c r="G1928" s="2"/>
      <c r="H1928" s="2"/>
      <c r="I1928" s="2"/>
    </row>
    <row r="1929">
      <c r="A1929" s="1" t="s">
        <v>1056</v>
      </c>
      <c r="B1929" s="1" t="str">
        <f>IFERROR(__xludf.DUMMYFUNCTION("SPLIT(A1929,"";"")"),"SALAM")</f>
        <v>SALAM</v>
      </c>
      <c r="C1929" s="3">
        <f>IFERROR(__xludf.DUMMYFUNCTION("""COMPUTED_VALUE"""),2934.0)</f>
        <v>2934</v>
      </c>
      <c r="D1929" s="1">
        <v>0.0</v>
      </c>
      <c r="E1929" s="2"/>
      <c r="F1929" s="2"/>
      <c r="G1929" s="2"/>
      <c r="H1929" s="2"/>
      <c r="I1929" s="2"/>
    </row>
    <row r="1930">
      <c r="A1930" s="1" t="s">
        <v>1057</v>
      </c>
      <c r="B1930" s="1" t="str">
        <f>IFERROR(__xludf.DUMMYFUNCTION("SPLIT(A1930,"";"")"),"SASP FOOTBALL CLUB DES GIRONDINS DE BORDEAUX")</f>
        <v>SASP FOOTBALL CLUB DES GIRONDINS DE BORDEAUX</v>
      </c>
      <c r="C1930" s="3">
        <f>IFERROR(__xludf.DUMMYFUNCTION("""COMPUTED_VALUE"""),6499.0)</f>
        <v>6499</v>
      </c>
      <c r="D1930" s="1">
        <v>20.0</v>
      </c>
      <c r="E1930" s="2"/>
      <c r="F1930" s="2"/>
      <c r="G1930" s="2"/>
      <c r="H1930" s="2"/>
      <c r="I1930" s="2"/>
    </row>
    <row r="1931">
      <c r="A1931" s="1" t="s">
        <v>1058</v>
      </c>
      <c r="B1931" s="1" t="str">
        <f>IFERROR(__xludf.DUMMYFUNCTION("SPLIT(A1931,"";"")"),"SASP JSA BORDEAUX METROPOLE")</f>
        <v>SASP JSA BORDEAUX METROPOLE</v>
      </c>
      <c r="C1931" s="1">
        <f>IFERROR(__xludf.DUMMYFUNCTION("""COMPUTED_VALUE"""),334.0)</f>
        <v>334</v>
      </c>
      <c r="D1931" s="1">
        <v>74.0</v>
      </c>
      <c r="E1931" s="2"/>
      <c r="F1931" s="2"/>
      <c r="G1931" s="2"/>
      <c r="H1931" s="2"/>
      <c r="I1931" s="2"/>
    </row>
    <row r="1932">
      <c r="A1932" s="1" t="s">
        <v>1059</v>
      </c>
      <c r="B1932" s="1" t="str">
        <f>IFERROR(__xludf.DUMMYFUNCTION("SPLIT(A1932,"";"")"),"SASP UNION BORDEAUX BEGLES")</f>
        <v>SASP UNION BORDEAUX BEGLES</v>
      </c>
      <c r="C1932" s="3">
        <f>IFERROR(__xludf.DUMMYFUNCTION("""COMPUTED_VALUE"""),3073.0)</f>
        <v>3073</v>
      </c>
      <c r="D1932" s="1">
        <v>97.0</v>
      </c>
      <c r="E1932" s="2"/>
      <c r="F1932" s="2"/>
      <c r="G1932" s="2"/>
      <c r="H1932" s="2"/>
      <c r="I1932" s="2"/>
    </row>
    <row r="1933">
      <c r="A1933" s="1" t="s">
        <v>1060</v>
      </c>
      <c r="B1933" s="1" t="str">
        <f>IFERROR(__xludf.DUMMYFUNCTION("SPLIT(A1933,"";"")"),"SAVATE BOXE FRANÇAISE DE BORDEAUX - SBFB")</f>
        <v>SAVATE BOXE FRANÇAISE DE BORDEAUX - SBFB</v>
      </c>
      <c r="C1933" s="3">
        <f>IFERROR(__xludf.DUMMYFUNCTION("""COMPUTED_VALUE"""),9801.0)</f>
        <v>9801</v>
      </c>
      <c r="D1933" s="1">
        <v>0.0</v>
      </c>
      <c r="E1933" s="2"/>
      <c r="F1933" s="2"/>
      <c r="G1933" s="2"/>
      <c r="H1933" s="2"/>
      <c r="I1933" s="2"/>
    </row>
    <row r="1934">
      <c r="A1934" s="1" t="s">
        <v>1061</v>
      </c>
      <c r="B1934" s="1" t="str">
        <f>IFERROR(__xludf.DUMMYFUNCTION("SPLIT(A1934,"";"")"),"SCOUTS ET GUIDES DE FRANCE - Section de Tarbes")</f>
        <v>SCOUTS ET GUIDES DE FRANCE - Section de Tarbes</v>
      </c>
      <c r="C1934" s="1">
        <f>IFERROR(__xludf.DUMMYFUNCTION("""COMPUTED_VALUE"""),609.0)</f>
        <v>609</v>
      </c>
      <c r="D1934" s="1">
        <v>0.0</v>
      </c>
      <c r="E1934" s="2"/>
      <c r="F1934" s="2"/>
      <c r="G1934" s="2"/>
      <c r="H1934" s="2"/>
      <c r="I1934" s="2"/>
    </row>
    <row r="1935">
      <c r="A1935" s="1" t="s">
        <v>1062</v>
      </c>
      <c r="B1935" s="1" t="str">
        <f>IFERROR(__xludf.DUMMYFUNCTION("SPLIT(A1935,"";"")"),"SE CANTO BASTIDE")</f>
        <v>SE CANTO BASTIDE</v>
      </c>
      <c r="C1935" s="3">
        <f>IFERROR(__xludf.DUMMYFUNCTION("""COMPUTED_VALUE"""),1530.0)</f>
        <v>1530</v>
      </c>
      <c r="D1935" s="1">
        <v>0.0</v>
      </c>
      <c r="E1935" s="2"/>
      <c r="F1935" s="2"/>
      <c r="G1935" s="2"/>
      <c r="H1935" s="2"/>
      <c r="I1935" s="2"/>
    </row>
    <row r="1936">
      <c r="A1936" s="1" t="s">
        <v>1063</v>
      </c>
      <c r="B1936" s="1" t="str">
        <f>IFERROR(__xludf.DUMMYFUNCTION("SPLIT(A1936,"";"")"),"SECOURS CATHOLIQUE-CARITAS FRANCE (DELEGATION DE LA GIRONDE)")</f>
        <v>SECOURS CATHOLIQUE-CARITAS FRANCE (DELEGATION DE LA GIRONDE)</v>
      </c>
      <c r="C1936" s="3">
        <f>IFERROR(__xludf.DUMMYFUNCTION("""COMPUTED_VALUE"""),10043.0)</f>
        <v>10043</v>
      </c>
      <c r="D1936" s="1">
        <v>84.0</v>
      </c>
      <c r="E1936" s="2"/>
      <c r="F1936" s="2"/>
      <c r="G1936" s="2"/>
      <c r="H1936" s="2"/>
      <c r="I1936" s="2"/>
    </row>
    <row r="1937">
      <c r="A1937" s="1" t="s">
        <v>1064</v>
      </c>
      <c r="B1937" s="1" t="str">
        <f>IFERROR(__xludf.DUMMYFUNCTION("SPLIT(A1937,"";"")"),"SECUCAF BORDEAUX FOOTBALL D'ENTREPRISE")</f>
        <v>SECUCAF BORDEAUX FOOTBALL D'ENTREPRISE</v>
      </c>
      <c r="C1937" s="3">
        <f>IFERROR(__xludf.DUMMYFUNCTION("""COMPUTED_VALUE"""),3053.0)</f>
        <v>3053</v>
      </c>
      <c r="D1937" s="1">
        <v>0.0</v>
      </c>
      <c r="E1937" s="2"/>
      <c r="F1937" s="2"/>
      <c r="G1937" s="2"/>
      <c r="H1937" s="2"/>
      <c r="I1937" s="2"/>
    </row>
    <row r="1938">
      <c r="A1938" s="1" t="s">
        <v>1065</v>
      </c>
      <c r="B1938" s="1" t="str">
        <f>IFERROR(__xludf.DUMMYFUNCTION("SPLIT(A1938,"";"")"),"SEMER LE DOUTE")</f>
        <v>SEMER LE DOUTE</v>
      </c>
      <c r="C1938" s="3">
        <f>IFERROR(__xludf.DUMMYFUNCTION("""COMPUTED_VALUE"""),91175.0)</f>
        <v>91175</v>
      </c>
      <c r="D1938" s="1">
        <v>26.0</v>
      </c>
      <c r="E1938" s="2"/>
      <c r="F1938" s="2"/>
      <c r="G1938" s="2"/>
      <c r="H1938" s="2"/>
      <c r="I1938" s="2"/>
    </row>
    <row r="1939">
      <c r="A1939" s="1" t="s">
        <v>1066</v>
      </c>
      <c r="B1939" s="1" t="str">
        <f>IFERROR(__xludf.DUMMYFUNCTION("SPLIT(A1939,"";"")"),"SERVICE DEPARTEMENTAL D'INCENDIE ET DE SECOURS DE LA GIRONDE")</f>
        <v>SERVICE DEPARTEMENTAL D'INCENDIE ET DE SECOURS DE LA GIRONDE</v>
      </c>
      <c r="C1939" s="1">
        <f>IFERROR(__xludf.DUMMYFUNCTION("""COMPUTED_VALUE"""),135.0)</f>
        <v>135</v>
      </c>
      <c r="D1939" s="1">
        <v>90.0</v>
      </c>
      <c r="E1939" s="2"/>
      <c r="F1939" s="2"/>
      <c r="G1939" s="2"/>
      <c r="H1939" s="2"/>
      <c r="I1939" s="2"/>
    </row>
    <row r="1940">
      <c r="A1940" s="1" t="s">
        <v>1067</v>
      </c>
      <c r="B1940" s="1" t="str">
        <f>IFERROR(__xludf.DUMMYFUNCTION("SPLIT(A1940,"";"")"),"SERVICE UNIVERSITAIRE DES ACTIVITES PHYSIQUES ET SPORTIVES (SUAPS)")</f>
        <v>SERVICE UNIVERSITAIRE DES ACTIVITES PHYSIQUES ET SPORTIVES (SUAPS)</v>
      </c>
      <c r="C1940" s="3">
        <f>IFERROR(__xludf.DUMMYFUNCTION("""COMPUTED_VALUE"""),27153.0)</f>
        <v>27153</v>
      </c>
      <c r="D1940" s="1">
        <v>0.0</v>
      </c>
      <c r="E1940" s="2"/>
      <c r="F1940" s="2"/>
      <c r="G1940" s="2"/>
      <c r="H1940" s="2"/>
      <c r="I1940" s="2"/>
    </row>
    <row r="1941">
      <c r="A1941" s="1" t="s">
        <v>1068</v>
      </c>
      <c r="B1941" s="1" t="str">
        <f>IFERROR(__xludf.DUMMYFUNCTION("SPLIT(A1941,"";"")"),"SEW &amp; LAINE")</f>
        <v>SEW &amp; LAINE</v>
      </c>
      <c r="C1941" s="3">
        <f>IFERROR(__xludf.DUMMYFUNCTION("""COMPUTED_VALUE"""),4695.0)</f>
        <v>4695</v>
      </c>
      <c r="D1941" s="1">
        <v>51.0</v>
      </c>
      <c r="E1941" s="2"/>
      <c r="F1941" s="2"/>
      <c r="G1941" s="2"/>
      <c r="H1941" s="2"/>
      <c r="I1941" s="2"/>
    </row>
    <row r="1942">
      <c r="A1942" s="1" t="s">
        <v>1069</v>
      </c>
      <c r="B1942" s="1" t="str">
        <f>IFERROR(__xludf.DUMMYFUNCTION("SPLIT(A1942,"";"")"),"SIDACTION")</f>
        <v>SIDACTION</v>
      </c>
      <c r="C1942" s="3">
        <f>IFERROR(__xludf.DUMMYFUNCTION("""COMPUTED_VALUE"""),7500.0)</f>
        <v>7500</v>
      </c>
      <c r="D1942" s="1">
        <v>0.0</v>
      </c>
      <c r="E1942" s="2"/>
      <c r="F1942" s="2"/>
      <c r="G1942" s="2"/>
      <c r="H1942" s="2"/>
      <c r="I1942" s="2"/>
    </row>
    <row r="1943">
      <c r="A1943" s="1" t="s">
        <v>1070</v>
      </c>
      <c r="B1943" s="1" t="str">
        <f>IFERROR(__xludf.DUMMYFUNCTION("SPLIT(A1943,"";"")"),"SMART COMPAGNIE")</f>
        <v>SMART COMPAGNIE</v>
      </c>
      <c r="C1943" s="1">
        <f>IFERROR(__xludf.DUMMYFUNCTION("""COMPUTED_VALUE"""),136.0)</f>
        <v>136</v>
      </c>
      <c r="D1943" s="1">
        <v>0.0</v>
      </c>
      <c r="E1943" s="2"/>
      <c r="F1943" s="2"/>
      <c r="G1943" s="2"/>
      <c r="H1943" s="2"/>
      <c r="I1943" s="2"/>
    </row>
    <row r="1944">
      <c r="A1944" s="1" t="s">
        <v>1071</v>
      </c>
      <c r="B1944" s="1" t="str">
        <f>IFERROR(__xludf.DUMMYFUNCTION("SPLIT(A1944,"";"")"),"SOCIETE ARCHEOLOGIQUE DE BORDEAUX")</f>
        <v>SOCIETE ARCHEOLOGIQUE DE BORDEAUX</v>
      </c>
      <c r="C1944" s="3">
        <f>IFERROR(__xludf.DUMMYFUNCTION("""COMPUTED_VALUE"""),2062.0)</f>
        <v>2062</v>
      </c>
      <c r="D1944" s="1">
        <v>0.0</v>
      </c>
      <c r="E1944" s="2"/>
      <c r="F1944" s="2"/>
      <c r="G1944" s="2"/>
      <c r="H1944" s="2"/>
      <c r="I1944" s="2"/>
    </row>
    <row r="1945">
      <c r="A1945" s="1" t="s">
        <v>1072</v>
      </c>
      <c r="B1945" s="1" t="str">
        <f>IFERROR(__xludf.DUMMYFUNCTION("SPLIT(A1945,"";"")"),"SOCIETE BORDELAISE D'AQUARELLE")</f>
        <v>SOCIETE BORDELAISE D'AQUARELLE</v>
      </c>
      <c r="C1945" s="3">
        <f>IFERROR(__xludf.DUMMYFUNCTION("""COMPUTED_VALUE"""),1814.0)</f>
        <v>1814</v>
      </c>
      <c r="D1945" s="1">
        <v>0.0</v>
      </c>
      <c r="E1945" s="2"/>
      <c r="F1945" s="2"/>
      <c r="G1945" s="2"/>
      <c r="H1945" s="2"/>
      <c r="I1945" s="2"/>
    </row>
    <row r="1946">
      <c r="A1946" s="1" t="s">
        <v>1073</v>
      </c>
      <c r="B1946" s="1" t="str">
        <f>IFERROR(__xludf.DUMMYFUNCTION("SPLIT(A1946,"";"")"),"SOCIETE DE GEOGRAPHIE DE BORDEAUX")</f>
        <v>SOCIETE DE GEOGRAPHIE DE BORDEAUX</v>
      </c>
      <c r="C1946" s="3">
        <f>IFERROR(__xludf.DUMMYFUNCTION("""COMPUTED_VALUE"""),8196.0)</f>
        <v>8196</v>
      </c>
      <c r="D1946" s="1">
        <v>0.0</v>
      </c>
      <c r="E1946" s="2"/>
      <c r="F1946" s="2"/>
      <c r="G1946" s="2"/>
      <c r="H1946" s="2"/>
      <c r="I1946" s="2"/>
    </row>
    <row r="1947">
      <c r="A1947" s="1" t="s">
        <v>1074</v>
      </c>
      <c r="B1947" s="1" t="str">
        <f>IFERROR(__xludf.DUMMYFUNCTION("SPLIT(A1947,"";"")"),"SOCIETE DE SAINT-VINCENT-DE-PAUL - CONSEIL DEPARTEMENTAL DE LA GIRONDE")</f>
        <v>SOCIETE DE SAINT-VINCENT-DE-PAUL - CONSEIL DEPARTEMENTAL DE LA GIRONDE</v>
      </c>
      <c r="C1947" s="3">
        <f>IFERROR(__xludf.DUMMYFUNCTION("""COMPUTED_VALUE"""),10568.0)</f>
        <v>10568</v>
      </c>
      <c r="D1947" s="1">
        <v>61.0</v>
      </c>
      <c r="E1947" s="2"/>
      <c r="F1947" s="2"/>
      <c r="G1947" s="2"/>
      <c r="H1947" s="2"/>
      <c r="I1947" s="2"/>
    </row>
    <row r="1948">
      <c r="A1948" s="1" t="s">
        <v>1075</v>
      </c>
      <c r="B1948" s="1" t="str">
        <f>IFERROR(__xludf.DUMMYFUNCTION("SPLIT(A1948,"";"")"),"SOCIETE D'ENTRAIDE DES MEMBRES DE LA LEGION D'HONNEUR COMITE DE BORDEAUX SECTEUR CAUDERAN")</f>
        <v>SOCIETE D'ENTRAIDE DES MEMBRES DE LA LEGION D'HONNEUR COMITE DE BORDEAUX SECTEUR CAUDERAN</v>
      </c>
      <c r="C1948" s="1">
        <f>IFERROR(__xludf.DUMMYFUNCTION("""COMPUTED_VALUE"""),72.0)</f>
        <v>72</v>
      </c>
      <c r="D1948" s="1">
        <v>0.0</v>
      </c>
      <c r="E1948" s="2"/>
      <c r="F1948" s="2"/>
      <c r="G1948" s="2"/>
      <c r="H1948" s="2"/>
      <c r="I1948" s="2"/>
    </row>
    <row r="1949">
      <c r="A1949" s="1" t="s">
        <v>1076</v>
      </c>
      <c r="B1949" s="1" t="str">
        <f>IFERROR(__xludf.DUMMYFUNCTION("SPLIT(A1949,"";"")"),"SOCIETE DES AMIS DU MUSEE DES BEAUX-ARTS DE BORDEAUX")</f>
        <v>SOCIETE DES AMIS DU MUSEE DES BEAUX-ARTS DE BORDEAUX</v>
      </c>
      <c r="C1949" s="3">
        <f>IFERROR(__xludf.DUMMYFUNCTION("""COMPUTED_VALUE"""),11592.0)</f>
        <v>11592</v>
      </c>
      <c r="D1949" s="1">
        <v>0.0</v>
      </c>
      <c r="E1949" s="2"/>
      <c r="F1949" s="2"/>
      <c r="G1949" s="2"/>
      <c r="H1949" s="2"/>
      <c r="I1949" s="2"/>
    </row>
    <row r="1950">
      <c r="A1950" s="1" t="s">
        <v>1077</v>
      </c>
      <c r="B1950" s="1" t="str">
        <f>IFERROR(__xludf.DUMMYFUNCTION("SPLIT(A1950,"";"")"),"SOCIETE DES BIBLIOPHILES DE GUYENNE")</f>
        <v>SOCIETE DES BIBLIOPHILES DE GUYENNE</v>
      </c>
      <c r="C1950" s="3">
        <f>IFERROR(__xludf.DUMMYFUNCTION("""COMPUTED_VALUE"""),6640.0)</f>
        <v>6640</v>
      </c>
      <c r="D1950" s="1">
        <v>0.0</v>
      </c>
      <c r="E1950" s="2"/>
      <c r="F1950" s="2"/>
      <c r="G1950" s="2"/>
      <c r="H1950" s="2"/>
      <c r="I1950" s="2"/>
    </row>
    <row r="1951">
      <c r="A1951" s="1" t="s">
        <v>1078</v>
      </c>
      <c r="B1951" s="1" t="str">
        <f>IFERROR(__xludf.DUMMYFUNCTION("SPLIT(A1951,"";"")"),"SOCIETE DES COMPAGNONS DU TOUR DE France DU DEVOIR EGALITAIRE - CHAMBRE COMPAGNONALE DE BORDEAUX")</f>
        <v>SOCIETE DES COMPAGNONS DU TOUR DE France DU DEVOIR EGALITAIRE - CHAMBRE COMPAGNONALE DE BORDEAUX</v>
      </c>
      <c r="C1951" s="3">
        <f>IFERROR(__xludf.DUMMYFUNCTION("""COMPUTED_VALUE"""),76160.0)</f>
        <v>76160</v>
      </c>
      <c r="D1951" s="1">
        <v>0.0</v>
      </c>
      <c r="E1951" s="2"/>
      <c r="F1951" s="2"/>
      <c r="G1951" s="2"/>
      <c r="H1951" s="2"/>
      <c r="I1951" s="2"/>
    </row>
    <row r="1952">
      <c r="A1952" s="1" t="s">
        <v>1079</v>
      </c>
      <c r="B1952" s="1" t="str">
        <f>IFERROR(__xludf.DUMMYFUNCTION("SPLIT(A1952,"";"")"),"SOCIETE DES FETES CAUDERANAISES")</f>
        <v>SOCIETE DES FETES CAUDERANAISES</v>
      </c>
      <c r="C1952" s="1">
        <f>IFERROR(__xludf.DUMMYFUNCTION("""COMPUTED_VALUE"""),265.0)</f>
        <v>265</v>
      </c>
      <c r="D1952" s="1">
        <v>0.0</v>
      </c>
      <c r="E1952" s="2"/>
      <c r="F1952" s="2"/>
      <c r="G1952" s="2"/>
      <c r="H1952" s="2"/>
      <c r="I1952" s="2"/>
    </row>
    <row r="1953">
      <c r="A1953" s="1" t="s">
        <v>1080</v>
      </c>
      <c r="B1953" s="1" t="str">
        <f>IFERROR(__xludf.DUMMYFUNCTION("SPLIT(A1953,"";"")"),"SOCIETE DES NEUROSCIENCES")</f>
        <v>SOCIETE DES NEUROSCIENCES</v>
      </c>
      <c r="C1953" s="1">
        <f>IFERROR(__xludf.DUMMYFUNCTION("""COMPUTED_VALUE"""),444.0)</f>
        <v>444</v>
      </c>
      <c r="D1953" s="1">
        <v>0.0</v>
      </c>
      <c r="E1953" s="2"/>
      <c r="F1953" s="2"/>
      <c r="G1953" s="2"/>
      <c r="H1953" s="2"/>
      <c r="I1953" s="2"/>
    </row>
    <row r="1954">
      <c r="A1954" s="1" t="s">
        <v>1081</v>
      </c>
      <c r="B1954" s="1" t="str">
        <f>IFERROR(__xludf.DUMMYFUNCTION("SPLIT(A1954,"";"")"),"SOCIETE D'HISTOIRE DE BORDEAUX")</f>
        <v>SOCIETE D'HISTOIRE DE BORDEAUX</v>
      </c>
      <c r="C1954" s="3">
        <f>IFERROR(__xludf.DUMMYFUNCTION("""COMPUTED_VALUE"""),1500.0)</f>
        <v>1500</v>
      </c>
      <c r="D1954" s="1">
        <v>0.0</v>
      </c>
      <c r="E1954" s="2"/>
      <c r="F1954" s="2"/>
      <c r="G1954" s="2"/>
      <c r="H1954" s="2"/>
      <c r="I1954" s="2"/>
    </row>
    <row r="1955">
      <c r="A1955" s="1" t="s">
        <v>1082</v>
      </c>
      <c r="B1955" s="1" t="str">
        <f>IFERROR(__xludf.DUMMYFUNCTION("SPLIT(A1955,"";"")"),"SOCIETE D'HORTICULTURE")</f>
        <v>SOCIETE D'HORTICULTURE</v>
      </c>
      <c r="C1955" s="1"/>
      <c r="D1955" s="1" t="s">
        <v>1083</v>
      </c>
      <c r="E1955" s="1">
        <v>0.0</v>
      </c>
      <c r="F1955" s="2"/>
      <c r="G1955" s="2"/>
      <c r="H1955" s="2"/>
      <c r="I1955" s="2"/>
    </row>
    <row r="1956">
      <c r="A1956" s="1" t="s">
        <v>1084</v>
      </c>
      <c r="B1956" s="1" t="str">
        <f>IFERROR(__xludf.DUMMYFUNCTION("SPLIT(A1956,"";"")"),"SOCIETE PHILOMATHIQUE DE BORDEAUX")</f>
        <v>SOCIETE PHILOMATHIQUE DE BORDEAUX</v>
      </c>
      <c r="C1956" s="3">
        <f>IFERROR(__xludf.DUMMYFUNCTION("""COMPUTED_VALUE"""),527900.0)</f>
        <v>527900</v>
      </c>
      <c r="D1956" s="1">
        <v>0.0</v>
      </c>
      <c r="E1956" s="2"/>
      <c r="F1956" s="2"/>
      <c r="G1956" s="2"/>
      <c r="H1956" s="2"/>
      <c r="I1956" s="2"/>
    </row>
    <row r="1957">
      <c r="A1957" s="1" t="s">
        <v>1085</v>
      </c>
      <c r="B1957" s="1" t="str">
        <f>IFERROR(__xludf.DUMMYFUNCTION("SPLIT(A1957,"";"")"),"SOCIETE SYMPHONIQUE DE BORDEAUX-CAUDERAN")</f>
        <v>SOCIETE SYMPHONIQUE DE BORDEAUX-CAUDERAN</v>
      </c>
      <c r="C1957" s="3">
        <f>IFERROR(__xludf.DUMMYFUNCTION("""COMPUTED_VALUE"""),7308.0)</f>
        <v>7308</v>
      </c>
      <c r="D1957" s="1">
        <v>0.0</v>
      </c>
      <c r="E1957" s="2"/>
      <c r="F1957" s="2"/>
      <c r="G1957" s="2"/>
      <c r="H1957" s="2"/>
      <c r="I1957" s="2"/>
    </row>
    <row r="1958">
      <c r="A1958" s="1" t="s">
        <v>1086</v>
      </c>
      <c r="B1958" s="1" t="str">
        <f>IFERROR(__xludf.DUMMYFUNCTION("SPLIT(A1958,"";"")"),"SOLIDARITE ANAIS JEROME EVENEMENTIEL - SAJE")</f>
        <v>SOLIDARITE ANAIS JEROME EVENEMENTIEL - SAJE</v>
      </c>
      <c r="C1958" s="3">
        <f>IFERROR(__xludf.DUMMYFUNCTION("""COMPUTED_VALUE"""),2685.0)</f>
        <v>2685</v>
      </c>
      <c r="D1958" s="1">
        <v>2.0</v>
      </c>
      <c r="E1958" s="2"/>
      <c r="F1958" s="2"/>
      <c r="G1958" s="2"/>
      <c r="H1958" s="2"/>
      <c r="I1958" s="2"/>
    </row>
    <row r="1959">
      <c r="A1959" s="1" t="s">
        <v>1087</v>
      </c>
      <c r="B1959" s="1" t="str">
        <f>IFERROR(__xludf.DUMMYFUNCTION("SPLIT(A1959,"";"")"),"SOLIDARITE-LOGEMENT BORDEAUX-BOULEVARDS")</f>
        <v>SOLIDARITE-LOGEMENT BORDEAUX-BOULEVARDS</v>
      </c>
      <c r="C1959" s="3">
        <f>IFERROR(__xludf.DUMMYFUNCTION("""COMPUTED_VALUE"""),6376.0)</f>
        <v>6376</v>
      </c>
      <c r="D1959" s="1">
        <v>0.0</v>
      </c>
      <c r="E1959" s="2"/>
      <c r="F1959" s="2"/>
      <c r="G1959" s="2"/>
      <c r="H1959" s="2"/>
      <c r="I1959" s="2"/>
    </row>
    <row r="1960">
      <c r="A1960" s="1" t="s">
        <v>1088</v>
      </c>
      <c r="B1960" s="1" t="str">
        <f>IFERROR(__xludf.DUMMYFUNCTION("SPLIT(A1960,"";"")"),"SOLIHA")</f>
        <v>SOLIHA</v>
      </c>
      <c r="C1960" s="1"/>
      <c r="D1960" s="1" t="s">
        <v>1089</v>
      </c>
      <c r="E1960" s="1" t="s">
        <v>1090</v>
      </c>
      <c r="F1960" s="1">
        <v>0.0</v>
      </c>
      <c r="G1960" s="2"/>
      <c r="H1960" s="2"/>
      <c r="I1960" s="2"/>
    </row>
    <row r="1961">
      <c r="A1961" s="1" t="s">
        <v>1091</v>
      </c>
      <c r="B1961" s="1" t="str">
        <f>IFERROR(__xludf.DUMMYFUNCTION("SPLIT(A1961,"";"")"),"SOMATO-PSYCHO-PEDAGOGIE EN AQUITAINE")</f>
        <v>SOMATO-PSYCHO-PEDAGOGIE EN AQUITAINE</v>
      </c>
      <c r="C1961" s="1">
        <f>IFERROR(__xludf.DUMMYFUNCTION("""COMPUTED_VALUE"""),56.0)</f>
        <v>56</v>
      </c>
      <c r="D1961" s="1">
        <v>0.0</v>
      </c>
      <c r="E1961" s="2"/>
      <c r="F1961" s="2"/>
      <c r="G1961" s="2"/>
      <c r="H1961" s="2"/>
      <c r="I1961" s="2"/>
    </row>
    <row r="1962">
      <c r="A1962" s="1" t="s">
        <v>1092</v>
      </c>
      <c r="B1962" s="1" t="str">
        <f>IFERROR(__xludf.DUMMYFUNCTION("SPLIT(A1962,"";"")"),"SONG LONG BORDEAUX")</f>
        <v>SONG LONG BORDEAUX</v>
      </c>
      <c r="C1962" s="3">
        <f>IFERROR(__xludf.DUMMYFUNCTION("""COMPUTED_VALUE"""),5364.0)</f>
        <v>5364</v>
      </c>
      <c r="D1962" s="1">
        <v>0.0</v>
      </c>
      <c r="E1962" s="2"/>
      <c r="F1962" s="2"/>
      <c r="G1962" s="2"/>
      <c r="H1962" s="2"/>
      <c r="I1962" s="2"/>
    </row>
    <row r="1963">
      <c r="A1963" s="1" t="s">
        <v>1093</v>
      </c>
      <c r="B1963" s="1" t="str">
        <f>IFERROR(__xludf.DUMMYFUNCTION("SPLIT(A1963,"";"")"),"SOS AMITIE - REGION DE BORDEAUX AQUITAINE")</f>
        <v>SOS AMITIE - REGION DE BORDEAUX AQUITAINE</v>
      </c>
      <c r="C1963" s="1">
        <f>IFERROR(__xludf.DUMMYFUNCTION("""COMPUTED_VALUE"""),621.0)</f>
        <v>621</v>
      </c>
      <c r="D1963" s="1">
        <v>0.0</v>
      </c>
      <c r="E1963" s="2"/>
      <c r="F1963" s="2"/>
      <c r="G1963" s="2"/>
      <c r="H1963" s="2"/>
      <c r="I1963" s="2"/>
    </row>
    <row r="1964">
      <c r="A1964" s="1" t="s">
        <v>1094</v>
      </c>
      <c r="B1964" s="1" t="str">
        <f>IFERROR(__xludf.DUMMYFUNCTION("SPLIT(A1964,"";"")"),"SOS PLACE GAMBETTA")</f>
        <v>SOS PLACE GAMBETTA</v>
      </c>
      <c r="C1964" s="1">
        <f>IFERROR(__xludf.DUMMYFUNCTION("""COMPUTED_VALUE"""),114.0)</f>
        <v>114</v>
      </c>
      <c r="D1964" s="1">
        <v>0.0</v>
      </c>
      <c r="E1964" s="2"/>
      <c r="F1964" s="2"/>
      <c r="G1964" s="2"/>
      <c r="H1964" s="2"/>
      <c r="I1964" s="2"/>
    </row>
    <row r="1965">
      <c r="A1965" s="1" t="s">
        <v>1095</v>
      </c>
      <c r="B1965" s="1" t="str">
        <f>IFERROR(__xludf.DUMMYFUNCTION("SPLIT(A1965,"";"")"),"SOUTIEN")</f>
        <v>SOUTIEN</v>
      </c>
      <c r="C1965" s="1"/>
      <c r="D1965" s="1" t="s">
        <v>1096</v>
      </c>
      <c r="E1965" s="1">
        <v>18.0</v>
      </c>
      <c r="F1965" s="2"/>
      <c r="G1965" s="2"/>
      <c r="H1965" s="2"/>
      <c r="I1965" s="2"/>
    </row>
    <row r="1966">
      <c r="A1966" s="1" t="s">
        <v>1097</v>
      </c>
      <c r="B1966" s="1" t="str">
        <f>IFERROR(__xludf.DUMMYFUNCTION("SPLIT(A1966,"";"")"),"SPECIAL OLYMPICS FRANCE (SOF)")</f>
        <v>SPECIAL OLYMPICS FRANCE (SOF)</v>
      </c>
      <c r="C1966" s="3">
        <f>IFERROR(__xludf.DUMMYFUNCTION("""COMPUTED_VALUE"""),1140.0)</f>
        <v>1140</v>
      </c>
      <c r="D1966" s="1">
        <v>59.0</v>
      </c>
      <c r="E1966" s="2"/>
      <c r="F1966" s="2"/>
      <c r="G1966" s="2"/>
      <c r="H1966" s="2"/>
      <c r="I1966" s="2"/>
    </row>
    <row r="1967">
      <c r="A1967" s="1" t="s">
        <v>1098</v>
      </c>
      <c r="B1967" s="1" t="str">
        <f>IFERROR(__xludf.DUMMYFUNCTION("SPLIT(A1967,"";"")"),"SPHERE CPP BORDEAUX")</f>
        <v>SPHERE CPP BORDEAUX</v>
      </c>
      <c r="C1967" s="1">
        <f>IFERROR(__xludf.DUMMYFUNCTION("""COMPUTED_VALUE"""),92.0)</f>
        <v>92</v>
      </c>
      <c r="D1967" s="1">
        <v>70.0</v>
      </c>
      <c r="E1967" s="2"/>
      <c r="F1967" s="2"/>
      <c r="G1967" s="2"/>
      <c r="H1967" s="2"/>
      <c r="I1967" s="2"/>
    </row>
    <row r="1968">
      <c r="A1968" s="1" t="s">
        <v>1099</v>
      </c>
      <c r="B1968" s="1" t="str">
        <f>IFERROR(__xludf.DUMMYFUNCTION("SPLIT(A1968,"";"")"),"SPORTING CHANTECLER BORDEAUX NORD LE LAC")</f>
        <v>SPORTING CHANTECLER BORDEAUX NORD LE LAC</v>
      </c>
      <c r="C1968" s="3">
        <f>IFERROR(__xludf.DUMMYFUNCTION("""COMPUTED_VALUE"""),268643.0)</f>
        <v>268643</v>
      </c>
      <c r="D1968" s="1">
        <v>78.0</v>
      </c>
      <c r="E1968" s="2"/>
      <c r="F1968" s="2"/>
      <c r="G1968" s="2"/>
      <c r="H1968" s="2"/>
      <c r="I1968" s="2"/>
    </row>
    <row r="1969">
      <c r="A1969" s="1" t="s">
        <v>1100</v>
      </c>
      <c r="B1969" s="1" t="str">
        <f>IFERROR(__xludf.DUMMYFUNCTION("SPLIT(A1969,"";"")"),"STADE BASTIDE BORDEAUX BENAUGE - S3B")</f>
        <v>STADE BASTIDE BORDEAUX BENAUGE - S3B</v>
      </c>
      <c r="C1969" s="3">
        <f>IFERROR(__xludf.DUMMYFUNCTION("""COMPUTED_VALUE"""),88450.0)</f>
        <v>88450</v>
      </c>
      <c r="D1969" s="1">
        <v>11.0</v>
      </c>
      <c r="E1969" s="2"/>
      <c r="F1969" s="2"/>
      <c r="G1969" s="2"/>
      <c r="H1969" s="2"/>
      <c r="I1969" s="2"/>
    </row>
    <row r="1970">
      <c r="A1970" s="1" t="s">
        <v>1101</v>
      </c>
      <c r="B1970" s="1" t="str">
        <f>IFERROR(__xludf.DUMMYFUNCTION("SPLIT(A1970,"";"")"),"STADE BORDELAIS ASPTT")</f>
        <v>STADE BORDELAIS ASPTT</v>
      </c>
      <c r="C1970" s="3">
        <f>IFERROR(__xludf.DUMMYFUNCTION("""COMPUTED_VALUE"""),496229.0)</f>
        <v>496229</v>
      </c>
      <c r="D1970" s="1">
        <v>44.0</v>
      </c>
      <c r="E1970" s="2"/>
      <c r="F1970" s="2"/>
      <c r="G1970" s="2"/>
      <c r="H1970" s="2"/>
      <c r="I1970" s="2"/>
    </row>
    <row r="1971">
      <c r="A1971" s="1" t="s">
        <v>1102</v>
      </c>
      <c r="B1971" s="1" t="str">
        <f>IFERROR(__xludf.DUMMYFUNCTION("SPLIT(A1971,"";"")"),"STELLA MONTIS")</f>
        <v>STELLA MONTIS</v>
      </c>
      <c r="C1971" s="1">
        <f>IFERROR(__xludf.DUMMYFUNCTION("""COMPUTED_VALUE"""),185.0)</f>
        <v>185</v>
      </c>
      <c r="D1971" s="1">
        <v>10.0</v>
      </c>
      <c r="E1971" s="2"/>
      <c r="F1971" s="2"/>
      <c r="G1971" s="2"/>
      <c r="H1971" s="2"/>
      <c r="I1971" s="2"/>
    </row>
    <row r="1972">
      <c r="A1972" s="1" t="s">
        <v>1103</v>
      </c>
      <c r="B1972" s="1" t="str">
        <f>IFERROR(__xludf.DUMMYFUNCTION("SPLIT(A1972,"";"")"),"STOP AND GO DANCE 33")</f>
        <v>STOP AND GO DANCE 33</v>
      </c>
      <c r="C1972" s="3">
        <f>IFERROR(__xludf.DUMMYFUNCTION("""COMPUTED_VALUE"""),2313.0)</f>
        <v>2313</v>
      </c>
      <c r="D1972" s="1">
        <v>0.0</v>
      </c>
      <c r="E1972" s="2"/>
      <c r="F1972" s="2"/>
      <c r="G1972" s="2"/>
      <c r="H1972" s="2"/>
      <c r="I1972" s="2"/>
    </row>
    <row r="1973">
      <c r="A1973" s="1" t="s">
        <v>1104</v>
      </c>
      <c r="B1973" s="1" t="str">
        <f>IFERROR(__xludf.DUMMYFUNCTION("SPLIT(A1973,"";"")"),"SUKHALI - AIDE AU DEVELOPPEMENT LOCAL PAR LES FEMMES AU SENEGAL")</f>
        <v>SUKHALI - AIDE AU DEVELOPPEMENT LOCAL PAR LES FEMMES AU SENEGAL</v>
      </c>
      <c r="C1973" s="1">
        <f>IFERROR(__xludf.DUMMYFUNCTION("""COMPUTED_VALUE"""),24.0)</f>
        <v>24</v>
      </c>
      <c r="D1973" s="1">
        <v>0.0</v>
      </c>
      <c r="E1973" s="2"/>
      <c r="F1973" s="2"/>
      <c r="G1973" s="2"/>
      <c r="H1973" s="2"/>
      <c r="I1973" s="2"/>
    </row>
    <row r="1974">
      <c r="A1974" s="1" t="s">
        <v>1105</v>
      </c>
      <c r="B1974" s="1" t="str">
        <f>IFERROR(__xludf.DUMMYFUNCTION("SPLIT(A1974,"";"")"),"SURVIE GIRONDE")</f>
        <v>SURVIE GIRONDE</v>
      </c>
      <c r="C1974" s="1">
        <f>IFERROR(__xludf.DUMMYFUNCTION("""COMPUTED_VALUE"""),34.0)</f>
        <v>34</v>
      </c>
      <c r="D1974" s="1">
        <v>0.0</v>
      </c>
      <c r="E1974" s="2"/>
      <c r="F1974" s="2"/>
      <c r="G1974" s="2"/>
      <c r="H1974" s="2"/>
      <c r="I1974" s="2"/>
    </row>
    <row r="1975">
      <c r="A1975" s="1" t="s">
        <v>1106</v>
      </c>
      <c r="B1975" s="1" t="str">
        <f>IFERROR(__xludf.DUMMYFUNCTION("SPLIT(A1975,"";"")"),"SWINGTIME BORDEAUX")</f>
        <v>SWINGTIME BORDEAUX</v>
      </c>
      <c r="C1975" s="3">
        <f>IFERROR(__xludf.DUMMYFUNCTION("""COMPUTED_VALUE"""),2477.0)</f>
        <v>2477</v>
      </c>
      <c r="D1975" s="1">
        <v>32.0</v>
      </c>
      <c r="E1975" s="2"/>
      <c r="F1975" s="2"/>
      <c r="G1975" s="2"/>
      <c r="H1975" s="2"/>
      <c r="I1975" s="2"/>
    </row>
    <row r="1976">
      <c r="A1976" s="1" t="s">
        <v>1107</v>
      </c>
      <c r="B1976" s="1" t="str">
        <f>IFERROR(__xludf.DUMMYFUNCTION("SPLIT(A1976,"";"")"),"SYNDICAT DES QUARTIERS BELCIER")</f>
        <v>SYNDICAT DES QUARTIERS BELCIER</v>
      </c>
      <c r="C1976" s="1"/>
      <c r="D1976" s="1" t="s">
        <v>1108</v>
      </c>
      <c r="E1976" s="1">
        <v>12.0</v>
      </c>
      <c r="F1976" s="2"/>
      <c r="G1976" s="2"/>
      <c r="H1976" s="2"/>
      <c r="I1976" s="2"/>
    </row>
    <row r="1977">
      <c r="A1977" s="1" t="s">
        <v>1109</v>
      </c>
      <c r="B1977" s="1" t="str">
        <f>IFERROR(__xludf.DUMMYFUNCTION("SPLIT(A1977,"";"")"),"T.E.A. TIME - TALENTUEUX EMOTIFS ANONYMES")</f>
        <v>T.E.A. TIME - TALENTUEUX EMOTIFS ANONYMES</v>
      </c>
      <c r="C1977" s="3">
        <f>IFERROR(__xludf.DUMMYFUNCTION("""COMPUTED_VALUE"""),1261.0)</f>
        <v>1261</v>
      </c>
      <c r="D1977" s="1">
        <v>13.0</v>
      </c>
      <c r="E1977" s="2"/>
      <c r="F1977" s="2"/>
      <c r="G1977" s="2"/>
      <c r="H1977" s="2"/>
      <c r="I1977" s="2"/>
    </row>
    <row r="1978">
      <c r="A1978" s="1" t="s">
        <v>1110</v>
      </c>
      <c r="B1978" s="1" t="str">
        <f>IFERROR(__xludf.DUMMYFUNCTION("SPLIT(A1978,"";"")"),"TANGO BORDEAUX")</f>
        <v>TANGO BORDEAUX</v>
      </c>
      <c r="C1978" s="3">
        <f>IFERROR(__xludf.DUMMYFUNCTION("""COMPUTED_VALUE"""),5908.0)</f>
        <v>5908</v>
      </c>
      <c r="D1978" s="1">
        <v>40.0</v>
      </c>
      <c r="E1978" s="2"/>
      <c r="F1978" s="2"/>
      <c r="G1978" s="2"/>
      <c r="H1978" s="2"/>
      <c r="I1978" s="2"/>
    </row>
    <row r="1979">
      <c r="A1979" s="1" t="s">
        <v>1111</v>
      </c>
      <c r="B1979" s="1" t="str">
        <f>IFERROR(__xludf.DUMMYFUNCTION("SPLIT(A1979,"";"")"),"TANGO HOY")</f>
        <v>TANGO HOY</v>
      </c>
      <c r="C1979" s="3">
        <f>IFERROR(__xludf.DUMMYFUNCTION("""COMPUTED_VALUE"""),1372.0)</f>
        <v>1372</v>
      </c>
      <c r="D1979" s="1">
        <v>0.0</v>
      </c>
      <c r="E1979" s="2"/>
      <c r="F1979" s="2"/>
      <c r="G1979" s="2"/>
      <c r="H1979" s="2"/>
      <c r="I1979" s="2"/>
    </row>
    <row r="1980">
      <c r="A1980" s="1" t="s">
        <v>1112</v>
      </c>
      <c r="B1980" s="1" t="str">
        <f>IFERROR(__xludf.DUMMYFUNCTION("SPLIT(A1980,"";"")"),"TANGO MILONGUERO BORDEAUX")</f>
        <v>TANGO MILONGUERO BORDEAUX</v>
      </c>
      <c r="C1980" s="1">
        <f>IFERROR(__xludf.DUMMYFUNCTION("""COMPUTED_VALUE"""),111.0)</f>
        <v>111</v>
      </c>
      <c r="D1980" s="1">
        <v>0.0</v>
      </c>
      <c r="E1980" s="2"/>
      <c r="F1980" s="2"/>
      <c r="G1980" s="2"/>
      <c r="H1980" s="2"/>
      <c r="I1980" s="2"/>
    </row>
    <row r="1981">
      <c r="A1981" s="1" t="s">
        <v>1113</v>
      </c>
      <c r="B1981" s="1" t="str">
        <f>IFERROR(__xludf.DUMMYFUNCTION("SPLIT(A1981,"";"")"),"TANGO NOMADE")</f>
        <v>TANGO NOMADE</v>
      </c>
      <c r="C1981" s="3">
        <f>IFERROR(__xludf.DUMMYFUNCTION("""COMPUTED_VALUE"""),6365.0)</f>
        <v>6365</v>
      </c>
      <c r="D1981" s="1">
        <v>0.0</v>
      </c>
      <c r="E1981" s="2"/>
      <c r="F1981" s="2"/>
      <c r="G1981" s="2"/>
      <c r="H1981" s="2"/>
      <c r="I1981" s="2"/>
    </row>
    <row r="1982">
      <c r="A1982" s="1" t="s">
        <v>1114</v>
      </c>
      <c r="B1982" s="1" t="str">
        <f>IFERROR(__xludf.DUMMYFUNCTION("SPLIT(A1982,"";"")"),"TASHI DELEK BORDEAUX ASSOCIATION GIRONDINE POUR LE TIBET")</f>
        <v>TASHI DELEK BORDEAUX ASSOCIATION GIRONDINE POUR LE TIBET</v>
      </c>
      <c r="C1982" s="3">
        <f>IFERROR(__xludf.DUMMYFUNCTION("""COMPUTED_VALUE"""),1432.0)</f>
        <v>1432</v>
      </c>
      <c r="D1982" s="1">
        <v>0.0</v>
      </c>
      <c r="E1982" s="2"/>
      <c r="F1982" s="2"/>
      <c r="G1982" s="2"/>
      <c r="H1982" s="2"/>
      <c r="I1982" s="2"/>
    </row>
    <row r="1983">
      <c r="A1983" s="1" t="s">
        <v>1115</v>
      </c>
      <c r="B1983" s="1" t="str">
        <f>IFERROR(__xludf.DUMMYFUNCTION("SPLIT(A1983,"";"")"),"TATHATA- VRINDHAM AQUITAINE")</f>
        <v>TATHATA- VRINDHAM AQUITAINE</v>
      </c>
      <c r="C1983" s="1">
        <f>IFERROR(__xludf.DUMMYFUNCTION("""COMPUTED_VALUE"""),34.0)</f>
        <v>34</v>
      </c>
      <c r="D1983" s="1">
        <v>0.0</v>
      </c>
      <c r="E1983" s="2"/>
      <c r="F1983" s="2"/>
      <c r="G1983" s="2"/>
      <c r="H1983" s="2"/>
      <c r="I1983" s="2"/>
    </row>
    <row r="1984">
      <c r="A1984" s="1" t="s">
        <v>1116</v>
      </c>
      <c r="B1984" s="1" t="str">
        <f>IFERROR(__xludf.DUMMYFUNCTION("SPLIT(A1984,"";"")"),"TCHERNOBLAYE")</f>
        <v>TCHERNOBLAYE</v>
      </c>
      <c r="C1984" s="1">
        <f>IFERROR(__xludf.DUMMYFUNCTION("""COMPUTED_VALUE"""),444.0)</f>
        <v>444</v>
      </c>
      <c r="D1984" s="1">
        <v>0.0</v>
      </c>
      <c r="E1984" s="2"/>
      <c r="F1984" s="2"/>
      <c r="G1984" s="2"/>
      <c r="H1984" s="2"/>
      <c r="I1984" s="2"/>
    </row>
    <row r="1985">
      <c r="A1985" s="1" t="s">
        <v>1117</v>
      </c>
      <c r="B1985" s="1" t="str">
        <f>IFERROR(__xludf.DUMMYFUNCTION("SPLIT(A1985,"";"")"),"TEMPS DE PAROLE ASSOCIATION SANTE ET SECURITE PROFESSIONNELLES")</f>
        <v>TEMPS DE PAROLE ASSOCIATION SANTE ET SECURITE PROFESSIONNELLES</v>
      </c>
      <c r="C1985" s="1">
        <f>IFERROR(__xludf.DUMMYFUNCTION("""COMPUTED_VALUE"""),98.0)</f>
        <v>98</v>
      </c>
      <c r="D1985" s="1">
        <v>0.0</v>
      </c>
      <c r="E1985" s="2"/>
      <c r="F1985" s="2"/>
      <c r="G1985" s="2"/>
      <c r="H1985" s="2"/>
      <c r="I1985" s="2"/>
    </row>
    <row r="1986">
      <c r="A1986" s="1" t="s">
        <v>1118</v>
      </c>
      <c r="B1986" s="1" t="str">
        <f>IFERROR(__xludf.DUMMYFUNCTION("SPLIT(A1986,"";"")"),"TENNIS CLUB BORDEAUX BASTIDE")</f>
        <v>TENNIS CLUB BORDEAUX BASTIDE</v>
      </c>
      <c r="C1986" s="3">
        <f>IFERROR(__xludf.DUMMYFUNCTION("""COMPUTED_VALUE"""),54406.0)</f>
        <v>54406</v>
      </c>
      <c r="D1986" s="1">
        <v>0.0</v>
      </c>
      <c r="E1986" s="2"/>
      <c r="F1986" s="2"/>
      <c r="G1986" s="2"/>
      <c r="H1986" s="2"/>
      <c r="I1986" s="2"/>
    </row>
    <row r="1987">
      <c r="A1987" s="1" t="s">
        <v>1119</v>
      </c>
      <c r="B1987" s="1" t="str">
        <f>IFERROR(__xludf.DUMMYFUNCTION("SPLIT(A1987,"";"")"),"TENNIS CLUB DE BORDEAUX")</f>
        <v>TENNIS CLUB DE BORDEAUX</v>
      </c>
      <c r="C1987" s="3">
        <f>IFERROR(__xludf.DUMMYFUNCTION("""COMPUTED_VALUE"""),12998.0)</f>
        <v>12998</v>
      </c>
      <c r="D1987" s="1">
        <v>12.0</v>
      </c>
      <c r="E1987" s="2"/>
      <c r="F1987" s="2"/>
      <c r="G1987" s="2"/>
      <c r="H1987" s="2"/>
      <c r="I1987" s="2"/>
    </row>
    <row r="1988">
      <c r="A1988" s="1" t="s">
        <v>1120</v>
      </c>
      <c r="B1988" s="1" t="str">
        <f>IFERROR(__xludf.DUMMYFUNCTION("SPLIT(A1988,"";"")"),"TERANGA")</f>
        <v>TERANGA</v>
      </c>
      <c r="C1988" s="1">
        <f>IFERROR(__xludf.DUMMYFUNCTION("""COMPUTED_VALUE"""),277.0)</f>
        <v>277</v>
      </c>
      <c r="D1988" s="1">
        <v>0.0</v>
      </c>
      <c r="E1988" s="2"/>
      <c r="F1988" s="2"/>
      <c r="G1988" s="2"/>
      <c r="H1988" s="2"/>
      <c r="I1988" s="2"/>
    </row>
    <row r="1989">
      <c r="A1989" s="1" t="s">
        <v>1121</v>
      </c>
      <c r="B1989" s="1" t="str">
        <f>IFERROR(__xludf.DUMMYFUNCTION("SPLIT(A1989,"";"")"),"TERANUI TAHITI")</f>
        <v>TERANUI TAHITI</v>
      </c>
      <c r="C1989" s="1">
        <f>IFERROR(__xludf.DUMMYFUNCTION("""COMPUTED_VALUE"""),12.0)</f>
        <v>12</v>
      </c>
      <c r="D1989" s="1">
        <v>0.0</v>
      </c>
      <c r="E1989" s="2"/>
      <c r="F1989" s="2"/>
      <c r="G1989" s="2"/>
      <c r="H1989" s="2"/>
      <c r="I1989" s="2"/>
    </row>
    <row r="1990">
      <c r="A1990" s="1" t="s">
        <v>1122</v>
      </c>
      <c r="B1990" s="1" t="str">
        <f>IFERROR(__xludf.DUMMYFUNCTION("SPLIT(A1990,"";"")"),"TERIYA")</f>
        <v>TERIYA</v>
      </c>
      <c r="C1990" s="3">
        <f>IFERROR(__xludf.DUMMYFUNCTION("""COMPUTED_VALUE"""),2501.0)</f>
        <v>2501</v>
      </c>
      <c r="D1990" s="1">
        <v>0.0</v>
      </c>
      <c r="E1990" s="2"/>
      <c r="F1990" s="2"/>
      <c r="G1990" s="2"/>
      <c r="H1990" s="2"/>
      <c r="I1990" s="2"/>
    </row>
    <row r="1991">
      <c r="A1991" s="1" t="s">
        <v>1123</v>
      </c>
      <c r="B1991" s="1" t="str">
        <f>IFERROR(__xludf.DUMMYFUNCTION("SPLIT(A1991,"";"")"),"TERRA FEES")</f>
        <v>TERRA FEES</v>
      </c>
      <c r="C1991" s="1">
        <f>IFERROR(__xludf.DUMMYFUNCTION("""COMPUTED_VALUE"""),437.0)</f>
        <v>437</v>
      </c>
      <c r="D1991" s="1">
        <v>22.0</v>
      </c>
      <c r="E1991" s="2"/>
      <c r="F1991" s="2"/>
      <c r="G1991" s="2"/>
      <c r="H1991" s="2"/>
      <c r="I1991" s="2"/>
    </row>
    <row r="1992">
      <c r="A1992" s="1" t="s">
        <v>1124</v>
      </c>
      <c r="B1992" s="1" t="str">
        <f>IFERROR(__xludf.DUMMYFUNCTION("SPLIT(A1992,"";"")"),"TERRE ET OCEAN")</f>
        <v>TERRE ET OCEAN</v>
      </c>
      <c r="C1992" s="3">
        <f>IFERROR(__xludf.DUMMYFUNCTION("""COMPUTED_VALUE"""),6458.0)</f>
        <v>6458</v>
      </c>
      <c r="D1992" s="1">
        <v>60.0</v>
      </c>
      <c r="E1992" s="2"/>
      <c r="F1992" s="2"/>
      <c r="G1992" s="2"/>
      <c r="H1992" s="2"/>
      <c r="I1992" s="2"/>
    </row>
    <row r="1993">
      <c r="A1993" s="1" t="s">
        <v>1125</v>
      </c>
      <c r="B1993" s="1" t="str">
        <f>IFERROR(__xludf.DUMMYFUNCTION("SPLIT(A1993,"";"")"),"THEATR'ACTION")</f>
        <v>THEATR'ACTION</v>
      </c>
      <c r="C1993" s="3">
        <f>IFERROR(__xludf.DUMMYFUNCTION("""COMPUTED_VALUE"""),1939.0)</f>
        <v>1939</v>
      </c>
      <c r="D1993" s="1">
        <v>0.0</v>
      </c>
      <c r="E1993" s="2"/>
      <c r="F1993" s="2"/>
      <c r="G1993" s="2"/>
      <c r="H1993" s="2"/>
      <c r="I1993" s="2"/>
    </row>
    <row r="1994">
      <c r="A1994" s="1" t="s">
        <v>1126</v>
      </c>
      <c r="B1994" s="1" t="str">
        <f>IFERROR(__xludf.DUMMYFUNCTION("SPLIT(A1994,"";"")"),"THEATRE DE L'ESCALE")</f>
        <v>THEATRE DE L'ESCALE</v>
      </c>
      <c r="C1994" s="1">
        <f>IFERROR(__xludf.DUMMYFUNCTION("""COMPUTED_VALUE"""),242.0)</f>
        <v>242</v>
      </c>
      <c r="D1994" s="1">
        <v>60.0</v>
      </c>
      <c r="E1994" s="2"/>
      <c r="F1994" s="2"/>
      <c r="G1994" s="2"/>
      <c r="H1994" s="2"/>
      <c r="I1994" s="2"/>
    </row>
    <row r="1995">
      <c r="A1995" s="1" t="s">
        <v>1127</v>
      </c>
      <c r="B1995" s="1" t="str">
        <f>IFERROR(__xludf.DUMMYFUNCTION("SPLIT(A1995,"";"")"),"THEATRE DES TAFURS")</f>
        <v>THEATRE DES TAFURS</v>
      </c>
      <c r="C1995" s="3">
        <f>IFERROR(__xludf.DUMMYFUNCTION("""COMPUTED_VALUE"""),6240.0)</f>
        <v>6240</v>
      </c>
      <c r="D1995" s="1">
        <v>0.0</v>
      </c>
      <c r="E1995" s="2"/>
      <c r="F1995" s="2"/>
      <c r="G1995" s="2"/>
      <c r="H1995" s="2"/>
      <c r="I1995" s="2"/>
    </row>
    <row r="1996">
      <c r="A1996" s="1" t="s">
        <v>1128</v>
      </c>
      <c r="B1996" s="1" t="str">
        <f>IFERROR(__xludf.DUMMYFUNCTION("SPLIT(A1996,"";"")"),"THEATRE FEMINA")</f>
        <v>THEATRE FEMINA</v>
      </c>
      <c r="C1996" s="1">
        <f>IFERROR(__xludf.DUMMYFUNCTION("""COMPUTED_VALUE"""),100.0)</f>
        <v>100</v>
      </c>
      <c r="D1996" s="1">
        <v>80.0</v>
      </c>
      <c r="E1996" s="2"/>
      <c r="F1996" s="2"/>
      <c r="G1996" s="2"/>
      <c r="H1996" s="2"/>
      <c r="I1996" s="2"/>
    </row>
    <row r="1997">
      <c r="A1997" s="1" t="s">
        <v>1129</v>
      </c>
      <c r="B1997" s="1" t="str">
        <f>IFERROR(__xludf.DUMMYFUNCTION("SPLIT(A1997,"";"")"),"THEATRE NATIONAL DE BORDEAUX EN AQUITAINE - TNBA")</f>
        <v>THEATRE NATIONAL DE BORDEAUX EN AQUITAINE - TNBA</v>
      </c>
      <c r="C1997" s="3">
        <f>IFERROR(__xludf.DUMMYFUNCTION("""COMPUTED_VALUE"""),8414.0)</f>
        <v>8414</v>
      </c>
      <c r="D1997" s="1">
        <v>0.0</v>
      </c>
      <c r="E1997" s="2"/>
      <c r="F1997" s="2"/>
      <c r="G1997" s="2"/>
      <c r="H1997" s="2"/>
      <c r="I1997" s="2"/>
    </row>
    <row r="1998">
      <c r="A1998" s="1" t="s">
        <v>1130</v>
      </c>
      <c r="B1998" s="1" t="str">
        <f>IFERROR(__xludf.DUMMYFUNCTION("SPLIT(A1998,"";"")"),"THEATRE POPULAIRE JOB")</f>
        <v>THEATRE POPULAIRE JOB</v>
      </c>
      <c r="C1998" s="1">
        <f>IFERROR(__xludf.DUMMYFUNCTION("""COMPUTED_VALUE"""),515.0)</f>
        <v>515</v>
      </c>
      <c r="D1998" s="1">
        <v>0.0</v>
      </c>
      <c r="E1998" s="2"/>
      <c r="F1998" s="2"/>
      <c r="G1998" s="2"/>
      <c r="H1998" s="2"/>
      <c r="I1998" s="2"/>
    </row>
    <row r="1999">
      <c r="A1999" s="1" t="s">
        <v>1131</v>
      </c>
      <c r="B1999" s="1" t="str">
        <f>IFERROR(__xludf.DUMMYFUNCTION("SPLIT(A1999,"";"")"),"THEATRE-EDUCATION-AQUITAINE")</f>
        <v>THEATRE-EDUCATION-AQUITAINE</v>
      </c>
      <c r="C1999" s="1">
        <f>IFERROR(__xludf.DUMMYFUNCTION("""COMPUTED_VALUE"""),56.0)</f>
        <v>56</v>
      </c>
      <c r="D1999" s="1">
        <v>0.0</v>
      </c>
      <c r="E1999" s="2"/>
      <c r="F1999" s="2"/>
      <c r="G1999" s="2"/>
      <c r="H1999" s="2"/>
      <c r="I1999" s="2"/>
    </row>
    <row r="2000">
      <c r="A2000" s="1" t="s">
        <v>1132</v>
      </c>
      <c r="B2000" s="1" t="str">
        <f>IFERROR(__xludf.DUMMYFUNCTION("SPLIT(A2000,"";"")"),"THEATRIUM")</f>
        <v>THEATRIUM</v>
      </c>
      <c r="C2000" s="1">
        <f>IFERROR(__xludf.DUMMYFUNCTION("""COMPUTED_VALUE"""),443.0)</f>
        <v>443</v>
      </c>
      <c r="D2000" s="1">
        <v>0.0</v>
      </c>
      <c r="E2000" s="2"/>
      <c r="F2000" s="2"/>
      <c r="G2000" s="2"/>
      <c r="H2000" s="2"/>
      <c r="I2000" s="2"/>
    </row>
    <row r="2001">
      <c r="A2001" s="1" t="s">
        <v>1133</v>
      </c>
      <c r="B2001" s="1" t="str">
        <f>IFERROR(__xludf.DUMMYFUNCTION("SPLIT(A2001,"";"")"),"THIANT GUI")</f>
        <v>THIANT GUI</v>
      </c>
      <c r="C2001" s="3">
        <f>IFERROR(__xludf.DUMMYFUNCTION("""COMPUTED_VALUE"""),1224.0)</f>
        <v>1224</v>
      </c>
      <c r="D2001" s="1">
        <v>0.0</v>
      </c>
      <c r="E2001" s="2"/>
      <c r="F2001" s="2"/>
      <c r="G2001" s="2"/>
      <c r="H2001" s="2"/>
      <c r="I2001" s="2"/>
    </row>
    <row r="2002">
      <c r="A2002" s="1" t="s">
        <v>1134</v>
      </c>
      <c r="B2002" s="1" t="str">
        <f>IFERROR(__xludf.DUMMYFUNCTION("SPLIT(A2002,"";"")"),"THOTH CIVILISATION SANS FRONTIERES")</f>
        <v>THOTH CIVILISATION SANS FRONTIERES</v>
      </c>
      <c r="C2002" s="1">
        <f>IFERROR(__xludf.DUMMYFUNCTION("""COMPUTED_VALUE"""),646.0)</f>
        <v>646</v>
      </c>
      <c r="D2002" s="1">
        <v>0.0</v>
      </c>
      <c r="E2002" s="2"/>
      <c r="F2002" s="2"/>
      <c r="G2002" s="2"/>
      <c r="H2002" s="2"/>
      <c r="I2002" s="2"/>
    </row>
    <row r="2003">
      <c r="A2003" s="1" t="s">
        <v>1135</v>
      </c>
      <c r="B2003" s="1" t="str">
        <f>IFERROR(__xludf.DUMMYFUNCTION("SPLIT(A2003,"";"")"),"TIMELESS BALLET")</f>
        <v>TIMELESS BALLET</v>
      </c>
      <c r="C2003" s="3">
        <f>IFERROR(__xludf.DUMMYFUNCTION("""COMPUTED_VALUE"""),5000.0)</f>
        <v>5000</v>
      </c>
      <c r="D2003" s="1">
        <v>0.0</v>
      </c>
      <c r="E2003" s="2"/>
      <c r="F2003" s="2"/>
      <c r="G2003" s="2"/>
      <c r="H2003" s="2"/>
      <c r="I2003" s="2"/>
    </row>
    <row r="2004">
      <c r="A2004" s="1" t="s">
        <v>1136</v>
      </c>
      <c r="B2004" s="1" t="str">
        <f>IFERROR(__xludf.DUMMYFUNCTION("SPLIT(A2004,"";"")"),"TOOBORDO")</f>
        <v>TOOBORDO</v>
      </c>
      <c r="C2004" s="1">
        <f>IFERROR(__xludf.DUMMYFUNCTION("""COMPUTED_VALUE"""),153.0)</f>
        <v>153</v>
      </c>
      <c r="D2004" s="1">
        <v>0.0</v>
      </c>
      <c r="E2004" s="2"/>
      <c r="F2004" s="2"/>
      <c r="G2004" s="2"/>
      <c r="H2004" s="2"/>
      <c r="I2004" s="2"/>
    </row>
    <row r="2005">
      <c r="A2005" s="1" t="s">
        <v>1137</v>
      </c>
      <c r="B2005" s="1" t="str">
        <f>IFERROR(__xludf.DUMMYFUNCTION("SPLIT(A2005,"";"")"),"TOURING PEDESTRE BORDELAIS")</f>
        <v>TOURING PEDESTRE BORDELAIS</v>
      </c>
      <c r="C2005" s="1">
        <f>IFERROR(__xludf.DUMMYFUNCTION("""COMPUTED_VALUE"""),412.0)</f>
        <v>412</v>
      </c>
      <c r="D2005" s="1">
        <v>0.0</v>
      </c>
      <c r="E2005" s="2"/>
      <c r="F2005" s="2"/>
      <c r="G2005" s="2"/>
      <c r="H2005" s="2"/>
      <c r="I2005" s="2"/>
    </row>
    <row r="2006">
      <c r="A2006" s="1" t="s">
        <v>1138</v>
      </c>
      <c r="B2006" s="1" t="str">
        <f>IFERROR(__xludf.DUMMYFUNCTION("SPLIT(A2006,"";"")"),"TOUT ART FAIRE")</f>
        <v>TOUT ART FAIRE</v>
      </c>
      <c r="C2006" s="3">
        <f>IFERROR(__xludf.DUMMYFUNCTION("""COMPUTED_VALUE"""),1980.0)</f>
        <v>1980</v>
      </c>
      <c r="D2006" s="1">
        <v>0.0</v>
      </c>
      <c r="E2006" s="2"/>
      <c r="F2006" s="2"/>
      <c r="G2006" s="2"/>
      <c r="H2006" s="2"/>
      <c r="I2006" s="2"/>
    </row>
    <row r="2007">
      <c r="A2007" s="1" t="s">
        <v>1139</v>
      </c>
      <c r="B2007" s="1" t="str">
        <f>IFERROR(__xludf.DUMMYFUNCTION("SPLIT(A2007,"";"")"),"TRACE UNE DIAGONALE")</f>
        <v>TRACE UNE DIAGONALE</v>
      </c>
      <c r="C2007" s="3">
        <f>IFERROR(__xludf.DUMMYFUNCTION("""COMPUTED_VALUE"""),1332.0)</f>
        <v>1332</v>
      </c>
      <c r="D2007" s="1">
        <v>0.0</v>
      </c>
      <c r="E2007" s="2"/>
      <c r="F2007" s="2"/>
      <c r="G2007" s="2"/>
      <c r="H2007" s="2"/>
      <c r="I2007" s="2"/>
    </row>
    <row r="2008">
      <c r="A2008" s="1" t="s">
        <v>1140</v>
      </c>
      <c r="B2008" s="1" t="str">
        <f>IFERROR(__xludf.DUMMYFUNCTION("SPLIT(A2008,"";"")"),"TRADOBORDELEAU")</f>
        <v>TRADOBORDELEAU</v>
      </c>
      <c r="C2008" s="1">
        <f>IFERROR(__xludf.DUMMYFUNCTION("""COMPUTED_VALUE"""),21.0)</f>
        <v>21</v>
      </c>
      <c r="D2008" s="1">
        <v>0.0</v>
      </c>
      <c r="E2008" s="2"/>
      <c r="F2008" s="2"/>
      <c r="G2008" s="2"/>
      <c r="H2008" s="2"/>
      <c r="I2008" s="2"/>
    </row>
    <row r="2009">
      <c r="A2009" s="1" t="s">
        <v>1141</v>
      </c>
      <c r="B2009" s="1" t="str">
        <f>IFERROR(__xludf.DUMMYFUNCTION("SPLIT(A2009,"";"")"),"TRANSFERT")</f>
        <v>TRANSFERT</v>
      </c>
      <c r="C2009" s="3">
        <f>IFERROR(__xludf.DUMMYFUNCTION("""COMPUTED_VALUE"""),13962.0)</f>
        <v>13962</v>
      </c>
      <c r="D2009" s="1">
        <v>92.0</v>
      </c>
      <c r="E2009" s="2"/>
      <c r="F2009" s="2"/>
      <c r="G2009" s="2"/>
      <c r="H2009" s="2"/>
      <c r="I2009" s="2"/>
    </row>
    <row r="2010">
      <c r="A2010" s="1" t="s">
        <v>1142</v>
      </c>
      <c r="B2010" s="1" t="str">
        <f>IFERROR(__xludf.DUMMYFUNCTION("SPLIT(A2010,"";"")"),"TRANZIT KREOL")</f>
        <v>TRANZIT KREOL</v>
      </c>
      <c r="C2010" s="1">
        <f>IFERROR(__xludf.DUMMYFUNCTION("""COMPUTED_VALUE"""),754.0)</f>
        <v>754</v>
      </c>
      <c r="D2010" s="1">
        <v>0.0</v>
      </c>
      <c r="E2010" s="2"/>
      <c r="F2010" s="2"/>
      <c r="G2010" s="2"/>
      <c r="H2010" s="2"/>
      <c r="I2010" s="2"/>
    </row>
    <row r="2011">
      <c r="A2011" s="1" t="s">
        <v>1143</v>
      </c>
      <c r="B2011" s="1" t="str">
        <f>IFERROR(__xludf.DUMMYFUNCTION("SPLIT(A2011,"";"")"),"TRAUMATISES CRANIENS ASSISTANCE")</f>
        <v>TRAUMATISES CRANIENS ASSISTANCE</v>
      </c>
      <c r="C2011" s="1">
        <f>IFERROR(__xludf.DUMMYFUNCTION("""COMPUTED_VALUE"""),550.0)</f>
        <v>550</v>
      </c>
      <c r="D2011" s="1">
        <v>70.0</v>
      </c>
      <c r="E2011" s="2"/>
      <c r="F2011" s="2"/>
      <c r="G2011" s="2"/>
      <c r="H2011" s="2"/>
      <c r="I2011" s="2"/>
    </row>
    <row r="2012">
      <c r="A2012" s="1" t="s">
        <v>1144</v>
      </c>
      <c r="B2012" s="1" t="str">
        <f>IFERROR(__xludf.DUMMYFUNCTION("SPLIT(A2012,"";"")"),"TREMPLIN UTC")</f>
        <v>TREMPLIN UTC</v>
      </c>
      <c r="C2012" s="1">
        <f>IFERROR(__xludf.DUMMYFUNCTION("""COMPUTED_VALUE"""),40.0)</f>
        <v>40</v>
      </c>
      <c r="D2012" s="1">
        <v>0.0</v>
      </c>
      <c r="E2012" s="2"/>
      <c r="F2012" s="2"/>
      <c r="G2012" s="2"/>
      <c r="H2012" s="2"/>
      <c r="I2012" s="2"/>
    </row>
    <row r="2013">
      <c r="A2013" s="1" t="s">
        <v>1145</v>
      </c>
      <c r="B2013" s="1" t="str">
        <f>IFERROR(__xludf.DUMMYFUNCTION("SPLIT(A2013,"";"")"),"ULCR")</f>
        <v>ULCR</v>
      </c>
      <c r="C2013" s="1">
        <f>IFERROR(__xludf.DUMMYFUNCTION("""COMPUTED_VALUE"""),60.0)</f>
        <v>60</v>
      </c>
      <c r="D2013" s="1">
        <v>0.0</v>
      </c>
      <c r="E2013" s="2"/>
      <c r="F2013" s="2"/>
      <c r="G2013" s="2"/>
      <c r="H2013" s="2"/>
      <c r="I2013" s="2"/>
    </row>
    <row r="2014">
      <c r="A2014" s="1" t="s">
        <v>1146</v>
      </c>
      <c r="B2014" s="1" t="str">
        <f>IFERROR(__xludf.DUMMYFUNCTION("SPLIT(A2014,"";"")"),"ULTRAS BB")</f>
        <v>ULTRAS BB</v>
      </c>
      <c r="C2014" s="1">
        <f>IFERROR(__xludf.DUMMYFUNCTION("""COMPUTED_VALUE"""),34.0)</f>
        <v>34</v>
      </c>
      <c r="D2014" s="1">
        <v>0.0</v>
      </c>
      <c r="E2014" s="2"/>
      <c r="F2014" s="2"/>
      <c r="G2014" s="2"/>
      <c r="H2014" s="2"/>
      <c r="I2014" s="2"/>
    </row>
    <row r="2015">
      <c r="A2015" s="1" t="s">
        <v>1147</v>
      </c>
      <c r="B2015" s="1" t="str">
        <f>IFERROR(__xludf.DUMMYFUNCTION("SPLIT(A2015,"";"")"),"UNICEF")</f>
        <v>UNICEF</v>
      </c>
      <c r="C2015" s="3">
        <f>IFERROR(__xludf.DUMMYFUNCTION("""COMPUTED_VALUE"""),19440.0)</f>
        <v>19440</v>
      </c>
      <c r="D2015" s="1">
        <v>0.0</v>
      </c>
      <c r="E2015" s="2"/>
      <c r="F2015" s="2"/>
      <c r="G2015" s="2"/>
      <c r="H2015" s="2"/>
      <c r="I2015" s="2"/>
    </row>
    <row r="2016">
      <c r="A2016" s="1" t="s">
        <v>1148</v>
      </c>
      <c r="B2016" s="1" t="str">
        <f>IFERROR(__xludf.DUMMYFUNCTION("SPLIT(A2016,"";"")"),"UNION ALCOOLIQUES ANONYMES")</f>
        <v>UNION ALCOOLIQUES ANONYMES</v>
      </c>
      <c r="C2016" s="3">
        <f>IFERROR(__xludf.DUMMYFUNCTION("""COMPUTED_VALUE"""),1008.0)</f>
        <v>1008</v>
      </c>
      <c r="D2016" s="1">
        <v>0.0</v>
      </c>
      <c r="E2016" s="2"/>
      <c r="F2016" s="2"/>
      <c r="G2016" s="2"/>
      <c r="H2016" s="2"/>
      <c r="I2016" s="2"/>
    </row>
    <row r="2017">
      <c r="A2017" s="1" t="s">
        <v>1149</v>
      </c>
      <c r="B2017" s="1" t="str">
        <f>IFERROR(__xludf.DUMMYFUNCTION("SPLIT(A2017,"";"")"),"UNION AU DEVELOPPEMENT AFRICAIN - UDA")</f>
        <v>UNION AU DEVELOPPEMENT AFRICAIN - UDA</v>
      </c>
      <c r="C2017" s="1">
        <f>IFERROR(__xludf.DUMMYFUNCTION("""COMPUTED_VALUE"""),114.0)</f>
        <v>114</v>
      </c>
      <c r="D2017" s="1">
        <v>0.0</v>
      </c>
      <c r="E2017" s="2"/>
      <c r="F2017" s="2"/>
      <c r="G2017" s="2"/>
      <c r="H2017" s="2"/>
      <c r="I2017" s="2"/>
    </row>
    <row r="2018">
      <c r="A2018" s="1" t="s">
        <v>1150</v>
      </c>
      <c r="B2018" s="1" t="str">
        <f>IFERROR(__xludf.DUMMYFUNCTION("SPLIT(A2018,"";"")"),"UNION BORDEAUX METROPOLE - UBM")</f>
        <v>UNION BORDEAUX METROPOLE - UBM</v>
      </c>
      <c r="C2018" s="3">
        <f>IFERROR(__xludf.DUMMYFUNCTION("""COMPUTED_VALUE"""),13141.0)</f>
        <v>13141</v>
      </c>
      <c r="D2018" s="1">
        <v>0.0</v>
      </c>
      <c r="E2018" s="2"/>
      <c r="F2018" s="2"/>
      <c r="G2018" s="2"/>
      <c r="H2018" s="2"/>
      <c r="I2018" s="2"/>
    </row>
    <row r="2019">
      <c r="A2019" s="1" t="s">
        <v>1151</v>
      </c>
      <c r="B2019" s="1" t="str">
        <f>IFERROR(__xludf.DUMMYFUNCTION("SPLIT(A2019,"";"")"),"UNION COOP DE LA PAGE BLANCHE")</f>
        <v>UNION COOP DE LA PAGE BLANCHE</v>
      </c>
      <c r="C2019" s="1">
        <f>IFERROR(__xludf.DUMMYFUNCTION("""COMPUTED_VALUE"""),660.0)</f>
        <v>660</v>
      </c>
      <c r="D2019" s="1">
        <v>0.0</v>
      </c>
      <c r="E2019" s="2"/>
      <c r="F2019" s="2"/>
      <c r="G2019" s="2"/>
      <c r="H2019" s="2"/>
      <c r="I2019" s="2"/>
    </row>
    <row r="2020">
      <c r="A2020" s="1" t="s">
        <v>1152</v>
      </c>
      <c r="B2020" s="1" t="str">
        <f>IFERROR(__xludf.DUMMYFUNCTION("SPLIT(A2020,"";"")"),"UNION DEPARTEMENTALE CFDT DE LA GIRONDE")</f>
        <v>UNION DEPARTEMENTALE CFDT DE LA GIRONDE</v>
      </c>
      <c r="C2020" s="1">
        <f>IFERROR(__xludf.DUMMYFUNCTION("""COMPUTED_VALUE"""),444.0)</f>
        <v>444</v>
      </c>
      <c r="D2020" s="1">
        <v>0.0</v>
      </c>
      <c r="E2020" s="2"/>
      <c r="F2020" s="2"/>
      <c r="G2020" s="2"/>
      <c r="H2020" s="2"/>
      <c r="I2020" s="2"/>
    </row>
    <row r="2021">
      <c r="A2021" s="1" t="s">
        <v>1079</v>
      </c>
      <c r="B2021" s="1" t="str">
        <f>IFERROR(__xludf.DUMMYFUNCTION("SPLIT(A2021,"";"")"),"SOCIETE DES FETES CAUDERANAISES")</f>
        <v>SOCIETE DES FETES CAUDERANAISES</v>
      </c>
      <c r="C2021" s="1">
        <f>IFERROR(__xludf.DUMMYFUNCTION("""COMPUTED_VALUE"""),265.0)</f>
        <v>265</v>
      </c>
      <c r="D2021" s="1">
        <v>0.0</v>
      </c>
      <c r="E2021" s="2"/>
      <c r="F2021" s="2"/>
      <c r="G2021" s="2"/>
      <c r="H2021" s="2"/>
      <c r="I2021" s="2"/>
    </row>
    <row r="2022">
      <c r="A2022" s="1" t="s">
        <v>1080</v>
      </c>
      <c r="B2022" s="1" t="str">
        <f>IFERROR(__xludf.DUMMYFUNCTION("SPLIT(A2022,"";"")"),"SOCIETE DES NEUROSCIENCES")</f>
        <v>SOCIETE DES NEUROSCIENCES</v>
      </c>
      <c r="C2022" s="1">
        <f>IFERROR(__xludf.DUMMYFUNCTION("""COMPUTED_VALUE"""),444.0)</f>
        <v>444</v>
      </c>
      <c r="D2022" s="1">
        <v>0.0</v>
      </c>
      <c r="E2022" s="2"/>
      <c r="F2022" s="2"/>
      <c r="G2022" s="2"/>
      <c r="H2022" s="2"/>
      <c r="I2022" s="2"/>
    </row>
    <row r="2023">
      <c r="A2023" s="1" t="s">
        <v>1081</v>
      </c>
      <c r="B2023" s="1" t="str">
        <f>IFERROR(__xludf.DUMMYFUNCTION("SPLIT(A2023,"";"")"),"SOCIETE D'HISTOIRE DE BORDEAUX")</f>
        <v>SOCIETE D'HISTOIRE DE BORDEAUX</v>
      </c>
      <c r="C2023" s="3">
        <f>IFERROR(__xludf.DUMMYFUNCTION("""COMPUTED_VALUE"""),1500.0)</f>
        <v>1500</v>
      </c>
      <c r="D2023" s="1">
        <v>0.0</v>
      </c>
      <c r="E2023" s="2"/>
      <c r="F2023" s="2"/>
      <c r="G2023" s="2"/>
      <c r="H2023" s="2"/>
      <c r="I2023" s="2"/>
    </row>
    <row r="2024">
      <c r="A2024" s="1" t="s">
        <v>1082</v>
      </c>
      <c r="B2024" s="1" t="str">
        <f>IFERROR(__xludf.DUMMYFUNCTION("SPLIT(A2024,"";"")"),"SOCIETE D'HORTICULTURE")</f>
        <v>SOCIETE D'HORTICULTURE</v>
      </c>
      <c r="C2024" s="1"/>
      <c r="D2024" s="1" t="s">
        <v>1083</v>
      </c>
      <c r="E2024" s="1">
        <v>0.0</v>
      </c>
      <c r="F2024" s="2"/>
      <c r="G2024" s="2"/>
      <c r="H2024" s="2"/>
      <c r="I2024" s="2"/>
    </row>
    <row r="2025">
      <c r="A2025" s="1" t="s">
        <v>1084</v>
      </c>
      <c r="B2025" s="1" t="str">
        <f>IFERROR(__xludf.DUMMYFUNCTION("SPLIT(A2025,"";"")"),"SOCIETE PHILOMATHIQUE DE BORDEAUX")</f>
        <v>SOCIETE PHILOMATHIQUE DE BORDEAUX</v>
      </c>
      <c r="C2025" s="3">
        <f>IFERROR(__xludf.DUMMYFUNCTION("""COMPUTED_VALUE"""),527900.0)</f>
        <v>527900</v>
      </c>
      <c r="D2025" s="1">
        <v>0.0</v>
      </c>
      <c r="E2025" s="2"/>
      <c r="F2025" s="2"/>
      <c r="G2025" s="2"/>
      <c r="H2025" s="2"/>
      <c r="I2025" s="2"/>
    </row>
    <row r="2026">
      <c r="A2026" s="1" t="s">
        <v>1085</v>
      </c>
      <c r="B2026" s="1" t="str">
        <f>IFERROR(__xludf.DUMMYFUNCTION("SPLIT(A2026,"";"")"),"SOCIETE SYMPHONIQUE DE BORDEAUX-CAUDERAN")</f>
        <v>SOCIETE SYMPHONIQUE DE BORDEAUX-CAUDERAN</v>
      </c>
      <c r="C2026" s="3">
        <f>IFERROR(__xludf.DUMMYFUNCTION("""COMPUTED_VALUE"""),7308.0)</f>
        <v>7308</v>
      </c>
      <c r="D2026" s="1">
        <v>0.0</v>
      </c>
      <c r="E2026" s="2"/>
      <c r="F2026" s="2"/>
      <c r="G2026" s="2"/>
      <c r="H2026" s="2"/>
      <c r="I2026" s="2"/>
    </row>
    <row r="2027">
      <c r="A2027" s="1" t="s">
        <v>1086</v>
      </c>
      <c r="B2027" s="1" t="str">
        <f>IFERROR(__xludf.DUMMYFUNCTION("SPLIT(A2027,"";"")"),"SOLIDARITE ANAIS JEROME EVENEMENTIEL - SAJE")</f>
        <v>SOLIDARITE ANAIS JEROME EVENEMENTIEL - SAJE</v>
      </c>
      <c r="C2027" s="3">
        <f>IFERROR(__xludf.DUMMYFUNCTION("""COMPUTED_VALUE"""),2685.0)</f>
        <v>2685</v>
      </c>
      <c r="D2027" s="1">
        <v>2.0</v>
      </c>
      <c r="E2027" s="2"/>
      <c r="F2027" s="2"/>
      <c r="G2027" s="2"/>
      <c r="H2027" s="2"/>
      <c r="I2027" s="2"/>
    </row>
    <row r="2028">
      <c r="A2028" s="1" t="s">
        <v>1087</v>
      </c>
      <c r="B2028" s="1" t="str">
        <f>IFERROR(__xludf.DUMMYFUNCTION("SPLIT(A2028,"";"")"),"SOLIDARITE-LOGEMENT BORDEAUX-BOULEVARDS")</f>
        <v>SOLIDARITE-LOGEMENT BORDEAUX-BOULEVARDS</v>
      </c>
      <c r="C2028" s="3">
        <f>IFERROR(__xludf.DUMMYFUNCTION("""COMPUTED_VALUE"""),6376.0)</f>
        <v>6376</v>
      </c>
      <c r="D2028" s="1">
        <v>0.0</v>
      </c>
      <c r="E2028" s="2"/>
      <c r="F2028" s="2"/>
      <c r="G2028" s="2"/>
      <c r="H2028" s="2"/>
      <c r="I2028" s="2"/>
    </row>
    <row r="2029">
      <c r="A2029" s="1" t="s">
        <v>1088</v>
      </c>
      <c r="B2029" s="1" t="str">
        <f>IFERROR(__xludf.DUMMYFUNCTION("SPLIT(A2029,"";"")"),"SOLIHA")</f>
        <v>SOLIHA</v>
      </c>
      <c r="C2029" s="1"/>
      <c r="D2029" s="1" t="s">
        <v>1089</v>
      </c>
      <c r="E2029" s="1" t="s">
        <v>1090</v>
      </c>
      <c r="F2029" s="1">
        <v>0.0</v>
      </c>
      <c r="G2029" s="2"/>
      <c r="H2029" s="2"/>
      <c r="I2029" s="2"/>
    </row>
    <row r="2030">
      <c r="A2030" s="1" t="s">
        <v>1091</v>
      </c>
      <c r="B2030" s="1" t="str">
        <f>IFERROR(__xludf.DUMMYFUNCTION("SPLIT(A2030,"";"")"),"SOMATO-PSYCHO-PEDAGOGIE EN AQUITAINE")</f>
        <v>SOMATO-PSYCHO-PEDAGOGIE EN AQUITAINE</v>
      </c>
      <c r="C2030" s="1">
        <f>IFERROR(__xludf.DUMMYFUNCTION("""COMPUTED_VALUE"""),56.0)</f>
        <v>56</v>
      </c>
      <c r="D2030" s="1">
        <v>0.0</v>
      </c>
      <c r="E2030" s="2"/>
      <c r="F2030" s="2"/>
      <c r="G2030" s="2"/>
      <c r="H2030" s="2"/>
      <c r="I2030" s="2"/>
    </row>
    <row r="2031">
      <c r="A2031" s="1" t="s">
        <v>1092</v>
      </c>
      <c r="B2031" s="1" t="str">
        <f>IFERROR(__xludf.DUMMYFUNCTION("SPLIT(A2031,"";"")"),"SONG LONG BORDEAUX")</f>
        <v>SONG LONG BORDEAUX</v>
      </c>
      <c r="C2031" s="3">
        <f>IFERROR(__xludf.DUMMYFUNCTION("""COMPUTED_VALUE"""),5364.0)</f>
        <v>5364</v>
      </c>
      <c r="D2031" s="1">
        <v>0.0</v>
      </c>
      <c r="E2031" s="2"/>
      <c r="F2031" s="2"/>
      <c r="G2031" s="2"/>
      <c r="H2031" s="2"/>
      <c r="I2031" s="2"/>
    </row>
    <row r="2032">
      <c r="A2032" s="1" t="s">
        <v>1093</v>
      </c>
      <c r="B2032" s="1" t="str">
        <f>IFERROR(__xludf.DUMMYFUNCTION("SPLIT(A2032,"";"")"),"SOS AMITIE - REGION DE BORDEAUX AQUITAINE")</f>
        <v>SOS AMITIE - REGION DE BORDEAUX AQUITAINE</v>
      </c>
      <c r="C2032" s="1">
        <f>IFERROR(__xludf.DUMMYFUNCTION("""COMPUTED_VALUE"""),621.0)</f>
        <v>621</v>
      </c>
      <c r="D2032" s="1">
        <v>0.0</v>
      </c>
      <c r="E2032" s="2"/>
      <c r="F2032" s="2"/>
      <c r="G2032" s="2"/>
      <c r="H2032" s="2"/>
      <c r="I2032" s="2"/>
    </row>
    <row r="2033">
      <c r="A2033" s="1" t="s">
        <v>1094</v>
      </c>
      <c r="B2033" s="1" t="str">
        <f>IFERROR(__xludf.DUMMYFUNCTION("SPLIT(A2033,"";"")"),"SOS PLACE GAMBETTA")</f>
        <v>SOS PLACE GAMBETTA</v>
      </c>
      <c r="C2033" s="1">
        <f>IFERROR(__xludf.DUMMYFUNCTION("""COMPUTED_VALUE"""),114.0)</f>
        <v>114</v>
      </c>
      <c r="D2033" s="1">
        <v>0.0</v>
      </c>
      <c r="E2033" s="2"/>
      <c r="F2033" s="2"/>
      <c r="G2033" s="2"/>
      <c r="H2033" s="2"/>
      <c r="I2033" s="2"/>
    </row>
    <row r="2034">
      <c r="A2034" s="1" t="s">
        <v>1095</v>
      </c>
      <c r="B2034" s="1" t="str">
        <f>IFERROR(__xludf.DUMMYFUNCTION("SPLIT(A2034,"";"")"),"SOUTIEN")</f>
        <v>SOUTIEN</v>
      </c>
      <c r="C2034" s="1"/>
      <c r="D2034" s="1" t="s">
        <v>1096</v>
      </c>
      <c r="E2034" s="1">
        <v>18.0</v>
      </c>
      <c r="F2034" s="2"/>
      <c r="G2034" s="2"/>
      <c r="H2034" s="2"/>
      <c r="I2034" s="2"/>
    </row>
    <row r="2035">
      <c r="A2035" s="1" t="s">
        <v>1097</v>
      </c>
      <c r="B2035" s="1" t="str">
        <f>IFERROR(__xludf.DUMMYFUNCTION("SPLIT(A2035,"";"")"),"SPECIAL OLYMPICS FRANCE (SOF)")</f>
        <v>SPECIAL OLYMPICS FRANCE (SOF)</v>
      </c>
      <c r="C2035" s="3">
        <f>IFERROR(__xludf.DUMMYFUNCTION("""COMPUTED_VALUE"""),1140.0)</f>
        <v>1140</v>
      </c>
      <c r="D2035" s="1">
        <v>59.0</v>
      </c>
      <c r="E2035" s="2"/>
      <c r="F2035" s="2"/>
      <c r="G2035" s="2"/>
      <c r="H2035" s="2"/>
      <c r="I2035" s="2"/>
    </row>
    <row r="2036">
      <c r="A2036" s="1" t="s">
        <v>1098</v>
      </c>
      <c r="B2036" s="1" t="str">
        <f>IFERROR(__xludf.DUMMYFUNCTION("SPLIT(A2036,"";"")"),"SPHERE CPP BORDEAUX")</f>
        <v>SPHERE CPP BORDEAUX</v>
      </c>
      <c r="C2036" s="1">
        <f>IFERROR(__xludf.DUMMYFUNCTION("""COMPUTED_VALUE"""),92.0)</f>
        <v>92</v>
      </c>
      <c r="D2036" s="1">
        <v>70.0</v>
      </c>
      <c r="E2036" s="2"/>
      <c r="F2036" s="2"/>
      <c r="G2036" s="2"/>
      <c r="H2036" s="2"/>
      <c r="I2036" s="2"/>
    </row>
    <row r="2037">
      <c r="A2037" s="1" t="s">
        <v>1099</v>
      </c>
      <c r="B2037" s="1" t="str">
        <f>IFERROR(__xludf.DUMMYFUNCTION("SPLIT(A2037,"";"")"),"SPORTING CHANTECLER BORDEAUX NORD LE LAC")</f>
        <v>SPORTING CHANTECLER BORDEAUX NORD LE LAC</v>
      </c>
      <c r="C2037" s="3">
        <f>IFERROR(__xludf.DUMMYFUNCTION("""COMPUTED_VALUE"""),268643.0)</f>
        <v>268643</v>
      </c>
      <c r="D2037" s="1">
        <v>78.0</v>
      </c>
      <c r="E2037" s="2"/>
      <c r="F2037" s="2"/>
      <c r="G2037" s="2"/>
      <c r="H2037" s="2"/>
      <c r="I2037" s="2"/>
    </row>
    <row r="2038">
      <c r="A2038" s="1" t="s">
        <v>1100</v>
      </c>
      <c r="B2038" s="1" t="str">
        <f>IFERROR(__xludf.DUMMYFUNCTION("SPLIT(A2038,"";"")"),"STADE BASTIDE BORDEAUX BENAUGE - S3B")</f>
        <v>STADE BASTIDE BORDEAUX BENAUGE - S3B</v>
      </c>
      <c r="C2038" s="3">
        <f>IFERROR(__xludf.DUMMYFUNCTION("""COMPUTED_VALUE"""),88450.0)</f>
        <v>88450</v>
      </c>
      <c r="D2038" s="1">
        <v>11.0</v>
      </c>
      <c r="E2038" s="2"/>
      <c r="F2038" s="2"/>
      <c r="G2038" s="2"/>
      <c r="H2038" s="2"/>
      <c r="I2038" s="2"/>
    </row>
    <row r="2039">
      <c r="A2039" s="1" t="s">
        <v>1101</v>
      </c>
      <c r="B2039" s="1" t="str">
        <f>IFERROR(__xludf.DUMMYFUNCTION("SPLIT(A2039,"";"")"),"STADE BORDELAIS ASPTT")</f>
        <v>STADE BORDELAIS ASPTT</v>
      </c>
      <c r="C2039" s="3">
        <f>IFERROR(__xludf.DUMMYFUNCTION("""COMPUTED_VALUE"""),496229.0)</f>
        <v>496229</v>
      </c>
      <c r="D2039" s="1">
        <v>44.0</v>
      </c>
      <c r="E2039" s="2"/>
      <c r="F2039" s="2"/>
      <c r="G2039" s="2"/>
      <c r="H2039" s="2"/>
      <c r="I2039" s="2"/>
    </row>
    <row r="2040">
      <c r="A2040" s="1" t="s">
        <v>1102</v>
      </c>
      <c r="B2040" s="1" t="str">
        <f>IFERROR(__xludf.DUMMYFUNCTION("SPLIT(A2040,"";"")"),"STELLA MONTIS")</f>
        <v>STELLA MONTIS</v>
      </c>
      <c r="C2040" s="1">
        <f>IFERROR(__xludf.DUMMYFUNCTION("""COMPUTED_VALUE"""),185.0)</f>
        <v>185</v>
      </c>
      <c r="D2040" s="1">
        <v>10.0</v>
      </c>
      <c r="E2040" s="2"/>
      <c r="F2040" s="2"/>
      <c r="G2040" s="2"/>
      <c r="H2040" s="2"/>
      <c r="I2040" s="2"/>
    </row>
    <row r="2041">
      <c r="A2041" s="1" t="s">
        <v>1103</v>
      </c>
      <c r="B2041" s="1" t="str">
        <f>IFERROR(__xludf.DUMMYFUNCTION("SPLIT(A2041,"";"")"),"STOP AND GO DANCE 33")</f>
        <v>STOP AND GO DANCE 33</v>
      </c>
      <c r="C2041" s="3">
        <f>IFERROR(__xludf.DUMMYFUNCTION("""COMPUTED_VALUE"""),2313.0)</f>
        <v>2313</v>
      </c>
      <c r="D2041" s="1">
        <v>0.0</v>
      </c>
      <c r="E2041" s="2"/>
      <c r="F2041" s="2"/>
      <c r="G2041" s="2"/>
      <c r="H2041" s="2"/>
      <c r="I2041" s="2"/>
    </row>
    <row r="2042">
      <c r="A2042" s="1" t="s">
        <v>1104</v>
      </c>
      <c r="B2042" s="1" t="str">
        <f>IFERROR(__xludf.DUMMYFUNCTION("SPLIT(A2042,"";"")"),"SUKHALI - AIDE AU DEVELOPPEMENT LOCAL PAR LES FEMMES AU SENEGAL")</f>
        <v>SUKHALI - AIDE AU DEVELOPPEMENT LOCAL PAR LES FEMMES AU SENEGAL</v>
      </c>
      <c r="C2042" s="1">
        <f>IFERROR(__xludf.DUMMYFUNCTION("""COMPUTED_VALUE"""),24.0)</f>
        <v>24</v>
      </c>
      <c r="D2042" s="1">
        <v>0.0</v>
      </c>
      <c r="E2042" s="2"/>
      <c r="F2042" s="2"/>
      <c r="G2042" s="2"/>
      <c r="H2042" s="2"/>
      <c r="I2042" s="2"/>
    </row>
    <row r="2043">
      <c r="A2043" s="1" t="s">
        <v>1105</v>
      </c>
      <c r="B2043" s="1" t="str">
        <f>IFERROR(__xludf.DUMMYFUNCTION("SPLIT(A2043,"";"")"),"SURVIE GIRONDE")</f>
        <v>SURVIE GIRONDE</v>
      </c>
      <c r="C2043" s="1">
        <f>IFERROR(__xludf.DUMMYFUNCTION("""COMPUTED_VALUE"""),34.0)</f>
        <v>34</v>
      </c>
      <c r="D2043" s="1">
        <v>0.0</v>
      </c>
      <c r="E2043" s="2"/>
      <c r="F2043" s="2"/>
      <c r="G2043" s="2"/>
      <c r="H2043" s="2"/>
      <c r="I2043" s="2"/>
    </row>
    <row r="2044">
      <c r="A2044" s="1" t="s">
        <v>1106</v>
      </c>
      <c r="B2044" s="1" t="str">
        <f>IFERROR(__xludf.DUMMYFUNCTION("SPLIT(A2044,"";"")"),"SWINGTIME BORDEAUX")</f>
        <v>SWINGTIME BORDEAUX</v>
      </c>
      <c r="C2044" s="3">
        <f>IFERROR(__xludf.DUMMYFUNCTION("""COMPUTED_VALUE"""),2477.0)</f>
        <v>2477</v>
      </c>
      <c r="D2044" s="1">
        <v>32.0</v>
      </c>
      <c r="E2044" s="2"/>
      <c r="F2044" s="2"/>
      <c r="G2044" s="2"/>
      <c r="H2044" s="2"/>
      <c r="I2044" s="2"/>
    </row>
    <row r="2045">
      <c r="A2045" s="1" t="s">
        <v>1107</v>
      </c>
      <c r="B2045" s="1" t="str">
        <f>IFERROR(__xludf.DUMMYFUNCTION("SPLIT(A2045,"";"")"),"SYNDICAT DES QUARTIERS BELCIER")</f>
        <v>SYNDICAT DES QUARTIERS BELCIER</v>
      </c>
      <c r="C2045" s="1"/>
      <c r="D2045" s="1" t="s">
        <v>1108</v>
      </c>
      <c r="E2045" s="1">
        <v>12.0</v>
      </c>
      <c r="F2045" s="2"/>
      <c r="G2045" s="2"/>
      <c r="H2045" s="2"/>
      <c r="I2045" s="2"/>
    </row>
    <row r="2046">
      <c r="A2046" s="1" t="s">
        <v>1109</v>
      </c>
      <c r="B2046" s="1" t="str">
        <f>IFERROR(__xludf.DUMMYFUNCTION("SPLIT(A2046,"";"")"),"T.E.A. TIME - TALENTUEUX EMOTIFS ANONYMES")</f>
        <v>T.E.A. TIME - TALENTUEUX EMOTIFS ANONYMES</v>
      </c>
      <c r="C2046" s="3">
        <f>IFERROR(__xludf.DUMMYFUNCTION("""COMPUTED_VALUE"""),1261.0)</f>
        <v>1261</v>
      </c>
      <c r="D2046" s="1">
        <v>13.0</v>
      </c>
      <c r="E2046" s="2"/>
      <c r="F2046" s="2"/>
      <c r="G2046" s="2"/>
      <c r="H2046" s="2"/>
      <c r="I2046" s="2"/>
    </row>
    <row r="2047">
      <c r="A2047" s="1" t="s">
        <v>1110</v>
      </c>
      <c r="B2047" s="1" t="str">
        <f>IFERROR(__xludf.DUMMYFUNCTION("SPLIT(A2047,"";"")"),"TANGO BORDEAUX")</f>
        <v>TANGO BORDEAUX</v>
      </c>
      <c r="C2047" s="3">
        <f>IFERROR(__xludf.DUMMYFUNCTION("""COMPUTED_VALUE"""),5908.0)</f>
        <v>5908</v>
      </c>
      <c r="D2047" s="1">
        <v>40.0</v>
      </c>
      <c r="E2047" s="2"/>
      <c r="F2047" s="2"/>
      <c r="G2047" s="2"/>
      <c r="H2047" s="2"/>
      <c r="I2047" s="2"/>
    </row>
    <row r="2048">
      <c r="A2048" s="1" t="s">
        <v>1111</v>
      </c>
      <c r="B2048" s="1" t="str">
        <f>IFERROR(__xludf.DUMMYFUNCTION("SPLIT(A2048,"";"")"),"TANGO HOY")</f>
        <v>TANGO HOY</v>
      </c>
      <c r="C2048" s="3">
        <f>IFERROR(__xludf.DUMMYFUNCTION("""COMPUTED_VALUE"""),1372.0)</f>
        <v>1372</v>
      </c>
      <c r="D2048" s="1">
        <v>0.0</v>
      </c>
      <c r="E2048" s="2"/>
      <c r="F2048" s="2"/>
      <c r="G2048" s="2"/>
      <c r="H2048" s="2"/>
      <c r="I2048" s="2"/>
    </row>
    <row r="2049">
      <c r="A2049" s="1" t="s">
        <v>1112</v>
      </c>
      <c r="B2049" s="1" t="str">
        <f>IFERROR(__xludf.DUMMYFUNCTION("SPLIT(A2049,"";"")"),"TANGO MILONGUERO BORDEAUX")</f>
        <v>TANGO MILONGUERO BORDEAUX</v>
      </c>
      <c r="C2049" s="1">
        <f>IFERROR(__xludf.DUMMYFUNCTION("""COMPUTED_VALUE"""),111.0)</f>
        <v>111</v>
      </c>
      <c r="D2049" s="1">
        <v>0.0</v>
      </c>
      <c r="E2049" s="2"/>
      <c r="F2049" s="2"/>
      <c r="G2049" s="2"/>
      <c r="H2049" s="2"/>
      <c r="I2049" s="2"/>
    </row>
    <row r="2050">
      <c r="A2050" s="1" t="s">
        <v>1113</v>
      </c>
      <c r="B2050" s="1" t="str">
        <f>IFERROR(__xludf.DUMMYFUNCTION("SPLIT(A2050,"";"")"),"TANGO NOMADE")</f>
        <v>TANGO NOMADE</v>
      </c>
      <c r="C2050" s="3">
        <f>IFERROR(__xludf.DUMMYFUNCTION("""COMPUTED_VALUE"""),6365.0)</f>
        <v>6365</v>
      </c>
      <c r="D2050" s="1">
        <v>0.0</v>
      </c>
      <c r="E2050" s="2"/>
      <c r="F2050" s="2"/>
      <c r="G2050" s="2"/>
      <c r="H2050" s="2"/>
      <c r="I2050" s="2"/>
    </row>
    <row r="2051">
      <c r="A2051" s="1" t="s">
        <v>1114</v>
      </c>
      <c r="B2051" s="1" t="str">
        <f>IFERROR(__xludf.DUMMYFUNCTION("SPLIT(A2051,"";"")"),"TASHI DELEK BORDEAUX ASSOCIATION GIRONDINE POUR LE TIBET")</f>
        <v>TASHI DELEK BORDEAUX ASSOCIATION GIRONDINE POUR LE TIBET</v>
      </c>
      <c r="C2051" s="3">
        <f>IFERROR(__xludf.DUMMYFUNCTION("""COMPUTED_VALUE"""),1432.0)</f>
        <v>1432</v>
      </c>
      <c r="D2051" s="1">
        <v>0.0</v>
      </c>
      <c r="E2051" s="2"/>
      <c r="F2051" s="2"/>
      <c r="G2051" s="2"/>
      <c r="H2051" s="2"/>
      <c r="I2051" s="2"/>
    </row>
    <row r="2052">
      <c r="A2052" s="1" t="s">
        <v>1115</v>
      </c>
      <c r="B2052" s="1" t="str">
        <f>IFERROR(__xludf.DUMMYFUNCTION("SPLIT(A2052,"";"")"),"TATHATA- VRINDHAM AQUITAINE")</f>
        <v>TATHATA- VRINDHAM AQUITAINE</v>
      </c>
      <c r="C2052" s="1">
        <f>IFERROR(__xludf.DUMMYFUNCTION("""COMPUTED_VALUE"""),34.0)</f>
        <v>34</v>
      </c>
      <c r="D2052" s="1">
        <v>0.0</v>
      </c>
      <c r="E2052" s="2"/>
      <c r="F2052" s="2"/>
      <c r="G2052" s="2"/>
      <c r="H2052" s="2"/>
      <c r="I2052" s="2"/>
    </row>
    <row r="2053">
      <c r="A2053" s="1" t="s">
        <v>1116</v>
      </c>
      <c r="B2053" s="1" t="str">
        <f>IFERROR(__xludf.DUMMYFUNCTION("SPLIT(A2053,"";"")"),"TCHERNOBLAYE")</f>
        <v>TCHERNOBLAYE</v>
      </c>
      <c r="C2053" s="1">
        <f>IFERROR(__xludf.DUMMYFUNCTION("""COMPUTED_VALUE"""),444.0)</f>
        <v>444</v>
      </c>
      <c r="D2053" s="1">
        <v>0.0</v>
      </c>
      <c r="E2053" s="2"/>
      <c r="F2053" s="2"/>
      <c r="G2053" s="2"/>
      <c r="H2053" s="2"/>
      <c r="I2053" s="2"/>
    </row>
    <row r="2054">
      <c r="A2054" s="1" t="s">
        <v>1117</v>
      </c>
      <c r="B2054" s="1" t="str">
        <f>IFERROR(__xludf.DUMMYFUNCTION("SPLIT(A2054,"";"")"),"TEMPS DE PAROLE ASSOCIATION SANTE ET SECURITE PROFESSIONNELLES")</f>
        <v>TEMPS DE PAROLE ASSOCIATION SANTE ET SECURITE PROFESSIONNELLES</v>
      </c>
      <c r="C2054" s="1">
        <f>IFERROR(__xludf.DUMMYFUNCTION("""COMPUTED_VALUE"""),98.0)</f>
        <v>98</v>
      </c>
      <c r="D2054" s="1">
        <v>0.0</v>
      </c>
      <c r="E2054" s="2"/>
      <c r="F2054" s="2"/>
      <c r="G2054" s="2"/>
      <c r="H2054" s="2"/>
      <c r="I2054" s="2"/>
    </row>
    <row r="2055">
      <c r="A2055" s="1" t="s">
        <v>1118</v>
      </c>
      <c r="B2055" s="1" t="str">
        <f>IFERROR(__xludf.DUMMYFUNCTION("SPLIT(A2055,"";"")"),"TENNIS CLUB BORDEAUX BASTIDE")</f>
        <v>TENNIS CLUB BORDEAUX BASTIDE</v>
      </c>
      <c r="C2055" s="3">
        <f>IFERROR(__xludf.DUMMYFUNCTION("""COMPUTED_VALUE"""),54406.0)</f>
        <v>54406</v>
      </c>
      <c r="D2055" s="1">
        <v>0.0</v>
      </c>
      <c r="E2055" s="2"/>
      <c r="F2055" s="2"/>
      <c r="G2055" s="2"/>
      <c r="H2055" s="2"/>
      <c r="I2055" s="2"/>
    </row>
    <row r="2056">
      <c r="A2056" s="1" t="s">
        <v>1119</v>
      </c>
      <c r="B2056" s="1" t="str">
        <f>IFERROR(__xludf.DUMMYFUNCTION("SPLIT(A2056,"";"")"),"TENNIS CLUB DE BORDEAUX")</f>
        <v>TENNIS CLUB DE BORDEAUX</v>
      </c>
      <c r="C2056" s="3">
        <f>IFERROR(__xludf.DUMMYFUNCTION("""COMPUTED_VALUE"""),12998.0)</f>
        <v>12998</v>
      </c>
      <c r="D2056" s="1">
        <v>12.0</v>
      </c>
      <c r="E2056" s="2"/>
      <c r="F2056" s="2"/>
      <c r="G2056" s="2"/>
      <c r="H2056" s="2"/>
      <c r="I2056" s="2"/>
    </row>
    <row r="2057">
      <c r="A2057" s="1" t="s">
        <v>1120</v>
      </c>
      <c r="B2057" s="1" t="str">
        <f>IFERROR(__xludf.DUMMYFUNCTION("SPLIT(A2057,"";"")"),"TERANGA")</f>
        <v>TERANGA</v>
      </c>
      <c r="C2057" s="1">
        <f>IFERROR(__xludf.DUMMYFUNCTION("""COMPUTED_VALUE"""),277.0)</f>
        <v>277</v>
      </c>
      <c r="D2057" s="1">
        <v>0.0</v>
      </c>
      <c r="E2057" s="2"/>
      <c r="F2057" s="2"/>
      <c r="G2057" s="2"/>
      <c r="H2057" s="2"/>
      <c r="I2057" s="2"/>
    </row>
    <row r="2058">
      <c r="A2058" s="1" t="s">
        <v>1121</v>
      </c>
      <c r="B2058" s="1" t="str">
        <f>IFERROR(__xludf.DUMMYFUNCTION("SPLIT(A2058,"";"")"),"TERANUI TAHITI")</f>
        <v>TERANUI TAHITI</v>
      </c>
      <c r="C2058" s="1">
        <f>IFERROR(__xludf.DUMMYFUNCTION("""COMPUTED_VALUE"""),12.0)</f>
        <v>12</v>
      </c>
      <c r="D2058" s="1">
        <v>0.0</v>
      </c>
      <c r="E2058" s="2"/>
      <c r="F2058" s="2"/>
      <c r="G2058" s="2"/>
      <c r="H2058" s="2"/>
      <c r="I2058" s="2"/>
    </row>
    <row r="2059">
      <c r="A2059" s="1" t="s">
        <v>1122</v>
      </c>
      <c r="B2059" s="1" t="str">
        <f>IFERROR(__xludf.DUMMYFUNCTION("SPLIT(A2059,"";"")"),"TERIYA")</f>
        <v>TERIYA</v>
      </c>
      <c r="C2059" s="3">
        <f>IFERROR(__xludf.DUMMYFUNCTION("""COMPUTED_VALUE"""),2501.0)</f>
        <v>2501</v>
      </c>
      <c r="D2059" s="1">
        <v>0.0</v>
      </c>
      <c r="E2059" s="2"/>
      <c r="F2059" s="2"/>
      <c r="G2059" s="2"/>
      <c r="H2059" s="2"/>
      <c r="I2059" s="2"/>
    </row>
    <row r="2060">
      <c r="A2060" s="1" t="s">
        <v>1123</v>
      </c>
      <c r="B2060" s="1" t="str">
        <f>IFERROR(__xludf.DUMMYFUNCTION("SPLIT(A2060,"";"")"),"TERRA FEES")</f>
        <v>TERRA FEES</v>
      </c>
      <c r="C2060" s="1">
        <f>IFERROR(__xludf.DUMMYFUNCTION("""COMPUTED_VALUE"""),437.0)</f>
        <v>437</v>
      </c>
      <c r="D2060" s="1">
        <v>22.0</v>
      </c>
      <c r="E2060" s="2"/>
      <c r="F2060" s="2"/>
      <c r="G2060" s="2"/>
      <c r="H2060" s="2"/>
      <c r="I2060" s="2"/>
    </row>
    <row r="2061">
      <c r="A2061" s="1" t="s">
        <v>1124</v>
      </c>
      <c r="B2061" s="1" t="str">
        <f>IFERROR(__xludf.DUMMYFUNCTION("SPLIT(A2061,"";"")"),"TERRE ET OCEAN")</f>
        <v>TERRE ET OCEAN</v>
      </c>
      <c r="C2061" s="3">
        <f>IFERROR(__xludf.DUMMYFUNCTION("""COMPUTED_VALUE"""),6458.0)</f>
        <v>6458</v>
      </c>
      <c r="D2061" s="1">
        <v>60.0</v>
      </c>
      <c r="E2061" s="2"/>
      <c r="F2061" s="2"/>
      <c r="G2061" s="2"/>
      <c r="H2061" s="2"/>
      <c r="I2061" s="2"/>
    </row>
    <row r="2062">
      <c r="A2062" s="1" t="s">
        <v>1125</v>
      </c>
      <c r="B2062" s="1" t="str">
        <f>IFERROR(__xludf.DUMMYFUNCTION("SPLIT(A2062,"";"")"),"THEATR'ACTION")</f>
        <v>THEATR'ACTION</v>
      </c>
      <c r="C2062" s="3">
        <f>IFERROR(__xludf.DUMMYFUNCTION("""COMPUTED_VALUE"""),1939.0)</f>
        <v>1939</v>
      </c>
      <c r="D2062" s="1">
        <v>0.0</v>
      </c>
      <c r="E2062" s="2"/>
      <c r="F2062" s="2"/>
      <c r="G2062" s="2"/>
      <c r="H2062" s="2"/>
      <c r="I2062" s="2"/>
    </row>
    <row r="2063">
      <c r="A2063" s="1" t="s">
        <v>1126</v>
      </c>
      <c r="B2063" s="1" t="str">
        <f>IFERROR(__xludf.DUMMYFUNCTION("SPLIT(A2063,"";"")"),"THEATRE DE L'ESCALE")</f>
        <v>THEATRE DE L'ESCALE</v>
      </c>
      <c r="C2063" s="1">
        <f>IFERROR(__xludf.DUMMYFUNCTION("""COMPUTED_VALUE"""),242.0)</f>
        <v>242</v>
      </c>
      <c r="D2063" s="1">
        <v>60.0</v>
      </c>
      <c r="E2063" s="2"/>
      <c r="F2063" s="2"/>
      <c r="G2063" s="2"/>
      <c r="H2063" s="2"/>
      <c r="I2063" s="2"/>
    </row>
    <row r="2064">
      <c r="A2064" s="1" t="s">
        <v>1127</v>
      </c>
      <c r="B2064" s="1" t="str">
        <f>IFERROR(__xludf.DUMMYFUNCTION("SPLIT(A2064,"";"")"),"THEATRE DES TAFURS")</f>
        <v>THEATRE DES TAFURS</v>
      </c>
      <c r="C2064" s="3">
        <f>IFERROR(__xludf.DUMMYFUNCTION("""COMPUTED_VALUE"""),6240.0)</f>
        <v>6240</v>
      </c>
      <c r="D2064" s="1">
        <v>0.0</v>
      </c>
      <c r="E2064" s="2"/>
      <c r="F2064" s="2"/>
      <c r="G2064" s="2"/>
      <c r="H2064" s="2"/>
      <c r="I2064" s="2"/>
    </row>
    <row r="2065">
      <c r="A2065" s="1" t="s">
        <v>1128</v>
      </c>
      <c r="B2065" s="1" t="str">
        <f>IFERROR(__xludf.DUMMYFUNCTION("SPLIT(A2065,"";"")"),"THEATRE FEMINA")</f>
        <v>THEATRE FEMINA</v>
      </c>
      <c r="C2065" s="1">
        <f>IFERROR(__xludf.DUMMYFUNCTION("""COMPUTED_VALUE"""),100.0)</f>
        <v>100</v>
      </c>
      <c r="D2065" s="1">
        <v>80.0</v>
      </c>
      <c r="E2065" s="2"/>
      <c r="F2065" s="2"/>
      <c r="G2065" s="2"/>
      <c r="H2065" s="2"/>
      <c r="I2065" s="2"/>
    </row>
    <row r="2066">
      <c r="A2066" s="1" t="s">
        <v>1129</v>
      </c>
      <c r="B2066" s="1" t="str">
        <f>IFERROR(__xludf.DUMMYFUNCTION("SPLIT(A2066,"";"")"),"THEATRE NATIONAL DE BORDEAUX EN AQUITAINE - TNBA")</f>
        <v>THEATRE NATIONAL DE BORDEAUX EN AQUITAINE - TNBA</v>
      </c>
      <c r="C2066" s="3">
        <f>IFERROR(__xludf.DUMMYFUNCTION("""COMPUTED_VALUE"""),8414.0)</f>
        <v>8414</v>
      </c>
      <c r="D2066" s="1">
        <v>0.0</v>
      </c>
      <c r="E2066" s="2"/>
      <c r="F2066" s="2"/>
      <c r="G2066" s="2"/>
      <c r="H2066" s="2"/>
      <c r="I2066" s="2"/>
    </row>
    <row r="2067">
      <c r="A2067" s="1" t="s">
        <v>1130</v>
      </c>
      <c r="B2067" s="1" t="str">
        <f>IFERROR(__xludf.DUMMYFUNCTION("SPLIT(A2067,"";"")"),"THEATRE POPULAIRE JOB")</f>
        <v>THEATRE POPULAIRE JOB</v>
      </c>
      <c r="C2067" s="1">
        <f>IFERROR(__xludf.DUMMYFUNCTION("""COMPUTED_VALUE"""),515.0)</f>
        <v>515</v>
      </c>
      <c r="D2067" s="1">
        <v>0.0</v>
      </c>
      <c r="E2067" s="2"/>
      <c r="F2067" s="2"/>
      <c r="G2067" s="2"/>
      <c r="H2067" s="2"/>
      <c r="I2067" s="2"/>
    </row>
    <row r="2068">
      <c r="A2068" s="1" t="s">
        <v>1131</v>
      </c>
      <c r="B2068" s="1" t="str">
        <f>IFERROR(__xludf.DUMMYFUNCTION("SPLIT(A2068,"";"")"),"THEATRE-EDUCATION-AQUITAINE")</f>
        <v>THEATRE-EDUCATION-AQUITAINE</v>
      </c>
      <c r="C2068" s="1">
        <f>IFERROR(__xludf.DUMMYFUNCTION("""COMPUTED_VALUE"""),56.0)</f>
        <v>56</v>
      </c>
      <c r="D2068" s="1">
        <v>0.0</v>
      </c>
      <c r="E2068" s="2"/>
      <c r="F2068" s="2"/>
      <c r="G2068" s="2"/>
      <c r="H2068" s="2"/>
      <c r="I2068" s="2"/>
    </row>
    <row r="2069">
      <c r="A2069" s="1" t="s">
        <v>1132</v>
      </c>
      <c r="B2069" s="1" t="str">
        <f>IFERROR(__xludf.DUMMYFUNCTION("SPLIT(A2069,"";"")"),"THEATRIUM")</f>
        <v>THEATRIUM</v>
      </c>
      <c r="C2069" s="1">
        <f>IFERROR(__xludf.DUMMYFUNCTION("""COMPUTED_VALUE"""),443.0)</f>
        <v>443</v>
      </c>
      <c r="D2069" s="1">
        <v>0.0</v>
      </c>
      <c r="E2069" s="2"/>
      <c r="F2069" s="2"/>
      <c r="G2069" s="2"/>
      <c r="H2069" s="2"/>
      <c r="I2069" s="2"/>
    </row>
    <row r="2070">
      <c r="A2070" s="1" t="s">
        <v>1133</v>
      </c>
      <c r="B2070" s="1" t="str">
        <f>IFERROR(__xludf.DUMMYFUNCTION("SPLIT(A2070,"";"")"),"THIANT GUI")</f>
        <v>THIANT GUI</v>
      </c>
      <c r="C2070" s="3">
        <f>IFERROR(__xludf.DUMMYFUNCTION("""COMPUTED_VALUE"""),1224.0)</f>
        <v>1224</v>
      </c>
      <c r="D2070" s="1">
        <v>0.0</v>
      </c>
      <c r="E2070" s="2"/>
      <c r="F2070" s="2"/>
      <c r="G2070" s="2"/>
      <c r="H2070" s="2"/>
      <c r="I2070" s="2"/>
    </row>
    <row r="2071">
      <c r="A2071" s="1" t="s">
        <v>1134</v>
      </c>
      <c r="B2071" s="1" t="str">
        <f>IFERROR(__xludf.DUMMYFUNCTION("SPLIT(A2071,"";"")"),"THOTH CIVILISATION SANS FRONTIERES")</f>
        <v>THOTH CIVILISATION SANS FRONTIERES</v>
      </c>
      <c r="C2071" s="1">
        <f>IFERROR(__xludf.DUMMYFUNCTION("""COMPUTED_VALUE"""),646.0)</f>
        <v>646</v>
      </c>
      <c r="D2071" s="1">
        <v>0.0</v>
      </c>
      <c r="E2071" s="2"/>
      <c r="F2071" s="2"/>
      <c r="G2071" s="2"/>
      <c r="H2071" s="2"/>
      <c r="I2071" s="2"/>
    </row>
    <row r="2072">
      <c r="A2072" s="1" t="s">
        <v>1135</v>
      </c>
      <c r="B2072" s="1" t="str">
        <f>IFERROR(__xludf.DUMMYFUNCTION("SPLIT(A2072,"";"")"),"TIMELESS BALLET")</f>
        <v>TIMELESS BALLET</v>
      </c>
      <c r="C2072" s="3">
        <f>IFERROR(__xludf.DUMMYFUNCTION("""COMPUTED_VALUE"""),5000.0)</f>
        <v>5000</v>
      </c>
      <c r="D2072" s="1">
        <v>0.0</v>
      </c>
      <c r="E2072" s="2"/>
      <c r="F2072" s="2"/>
      <c r="G2072" s="2"/>
      <c r="H2072" s="2"/>
      <c r="I2072" s="2"/>
    </row>
    <row r="2073">
      <c r="A2073" s="1" t="s">
        <v>1136</v>
      </c>
      <c r="B2073" s="1" t="str">
        <f>IFERROR(__xludf.DUMMYFUNCTION("SPLIT(A2073,"";"")"),"TOOBORDO")</f>
        <v>TOOBORDO</v>
      </c>
      <c r="C2073" s="1">
        <f>IFERROR(__xludf.DUMMYFUNCTION("""COMPUTED_VALUE"""),153.0)</f>
        <v>153</v>
      </c>
      <c r="D2073" s="1">
        <v>0.0</v>
      </c>
      <c r="E2073" s="2"/>
      <c r="F2073" s="2"/>
      <c r="G2073" s="2"/>
      <c r="H2073" s="2"/>
      <c r="I2073" s="2"/>
    </row>
    <row r="2074">
      <c r="A2074" s="1" t="s">
        <v>1137</v>
      </c>
      <c r="B2074" s="1" t="str">
        <f>IFERROR(__xludf.DUMMYFUNCTION("SPLIT(A2074,"";"")"),"TOURING PEDESTRE BORDELAIS")</f>
        <v>TOURING PEDESTRE BORDELAIS</v>
      </c>
      <c r="C2074" s="1">
        <f>IFERROR(__xludf.DUMMYFUNCTION("""COMPUTED_VALUE"""),412.0)</f>
        <v>412</v>
      </c>
      <c r="D2074" s="1">
        <v>0.0</v>
      </c>
      <c r="E2074" s="2"/>
      <c r="F2074" s="2"/>
      <c r="G2074" s="2"/>
      <c r="H2074" s="2"/>
      <c r="I2074" s="2"/>
    </row>
    <row r="2075">
      <c r="A2075" s="1" t="s">
        <v>1138</v>
      </c>
      <c r="B2075" s="1" t="str">
        <f>IFERROR(__xludf.DUMMYFUNCTION("SPLIT(A2075,"";"")"),"TOUT ART FAIRE")</f>
        <v>TOUT ART FAIRE</v>
      </c>
      <c r="C2075" s="3">
        <f>IFERROR(__xludf.DUMMYFUNCTION("""COMPUTED_VALUE"""),1980.0)</f>
        <v>1980</v>
      </c>
      <c r="D2075" s="1">
        <v>0.0</v>
      </c>
      <c r="E2075" s="2"/>
      <c r="F2075" s="2"/>
      <c r="G2075" s="2"/>
      <c r="H2075" s="2"/>
      <c r="I2075" s="2"/>
    </row>
    <row r="2076">
      <c r="A2076" s="1" t="s">
        <v>1139</v>
      </c>
      <c r="B2076" s="1" t="str">
        <f>IFERROR(__xludf.DUMMYFUNCTION("SPLIT(A2076,"";"")"),"TRACE UNE DIAGONALE")</f>
        <v>TRACE UNE DIAGONALE</v>
      </c>
      <c r="C2076" s="3">
        <f>IFERROR(__xludf.DUMMYFUNCTION("""COMPUTED_VALUE"""),1332.0)</f>
        <v>1332</v>
      </c>
      <c r="D2076" s="1">
        <v>0.0</v>
      </c>
      <c r="E2076" s="2"/>
      <c r="F2076" s="2"/>
      <c r="G2076" s="2"/>
      <c r="H2076" s="2"/>
      <c r="I2076" s="2"/>
    </row>
    <row r="2077">
      <c r="A2077" s="1" t="s">
        <v>1140</v>
      </c>
      <c r="B2077" s="1" t="str">
        <f>IFERROR(__xludf.DUMMYFUNCTION("SPLIT(A2077,"";"")"),"TRADOBORDELEAU")</f>
        <v>TRADOBORDELEAU</v>
      </c>
      <c r="C2077" s="1">
        <f>IFERROR(__xludf.DUMMYFUNCTION("""COMPUTED_VALUE"""),21.0)</f>
        <v>21</v>
      </c>
      <c r="D2077" s="1">
        <v>0.0</v>
      </c>
      <c r="E2077" s="2"/>
      <c r="F2077" s="2"/>
      <c r="G2077" s="2"/>
      <c r="H2077" s="2"/>
      <c r="I2077" s="2"/>
    </row>
    <row r="2078">
      <c r="A2078" s="1" t="s">
        <v>1141</v>
      </c>
      <c r="B2078" s="1" t="str">
        <f>IFERROR(__xludf.DUMMYFUNCTION("SPLIT(A2078,"";"")"),"TRANSFERT")</f>
        <v>TRANSFERT</v>
      </c>
      <c r="C2078" s="3">
        <f>IFERROR(__xludf.DUMMYFUNCTION("""COMPUTED_VALUE"""),13962.0)</f>
        <v>13962</v>
      </c>
      <c r="D2078" s="1">
        <v>92.0</v>
      </c>
      <c r="E2078" s="2"/>
      <c r="F2078" s="2"/>
      <c r="G2078" s="2"/>
      <c r="H2078" s="2"/>
      <c r="I2078" s="2"/>
    </row>
    <row r="2079">
      <c r="A2079" s="1" t="s">
        <v>1142</v>
      </c>
      <c r="B2079" s="1" t="str">
        <f>IFERROR(__xludf.DUMMYFUNCTION("SPLIT(A2079,"";"")"),"TRANZIT KREOL")</f>
        <v>TRANZIT KREOL</v>
      </c>
      <c r="C2079" s="1">
        <f>IFERROR(__xludf.DUMMYFUNCTION("""COMPUTED_VALUE"""),754.0)</f>
        <v>754</v>
      </c>
      <c r="D2079" s="1">
        <v>0.0</v>
      </c>
      <c r="E2079" s="2"/>
      <c r="F2079" s="2"/>
      <c r="G2079" s="2"/>
      <c r="H2079" s="2"/>
      <c r="I2079" s="2"/>
    </row>
    <row r="2080">
      <c r="A2080" s="1" t="s">
        <v>1143</v>
      </c>
      <c r="B2080" s="1" t="str">
        <f>IFERROR(__xludf.DUMMYFUNCTION("SPLIT(A2080,"";"")"),"TRAUMATISES CRANIENS ASSISTANCE")</f>
        <v>TRAUMATISES CRANIENS ASSISTANCE</v>
      </c>
      <c r="C2080" s="1">
        <f>IFERROR(__xludf.DUMMYFUNCTION("""COMPUTED_VALUE"""),550.0)</f>
        <v>550</v>
      </c>
      <c r="D2080" s="1">
        <v>70.0</v>
      </c>
      <c r="E2080" s="2"/>
      <c r="F2080" s="2"/>
      <c r="G2080" s="2"/>
      <c r="H2080" s="2"/>
      <c r="I2080" s="2"/>
    </row>
    <row r="2081">
      <c r="A2081" s="1" t="s">
        <v>1144</v>
      </c>
      <c r="B2081" s="1" t="str">
        <f>IFERROR(__xludf.DUMMYFUNCTION("SPLIT(A2081,"";"")"),"TREMPLIN UTC")</f>
        <v>TREMPLIN UTC</v>
      </c>
      <c r="C2081" s="1">
        <f>IFERROR(__xludf.DUMMYFUNCTION("""COMPUTED_VALUE"""),40.0)</f>
        <v>40</v>
      </c>
      <c r="D2081" s="1">
        <v>0.0</v>
      </c>
      <c r="E2081" s="2"/>
      <c r="F2081" s="2"/>
      <c r="G2081" s="2"/>
      <c r="H2081" s="2"/>
      <c r="I2081" s="2"/>
    </row>
    <row r="2082">
      <c r="A2082" s="1" t="s">
        <v>1145</v>
      </c>
      <c r="B2082" s="1" t="str">
        <f>IFERROR(__xludf.DUMMYFUNCTION("SPLIT(A2082,"";"")"),"ULCR")</f>
        <v>ULCR</v>
      </c>
      <c r="C2082" s="1">
        <f>IFERROR(__xludf.DUMMYFUNCTION("""COMPUTED_VALUE"""),60.0)</f>
        <v>60</v>
      </c>
      <c r="D2082" s="1">
        <v>0.0</v>
      </c>
      <c r="E2082" s="2"/>
      <c r="F2082" s="2"/>
      <c r="G2082" s="2"/>
      <c r="H2082" s="2"/>
      <c r="I2082" s="2"/>
    </row>
    <row r="2083">
      <c r="A2083" s="1" t="s">
        <v>1146</v>
      </c>
      <c r="B2083" s="1" t="str">
        <f>IFERROR(__xludf.DUMMYFUNCTION("SPLIT(A2083,"";"")"),"ULTRAS BB")</f>
        <v>ULTRAS BB</v>
      </c>
      <c r="C2083" s="1">
        <f>IFERROR(__xludf.DUMMYFUNCTION("""COMPUTED_VALUE"""),34.0)</f>
        <v>34</v>
      </c>
      <c r="D2083" s="1">
        <v>0.0</v>
      </c>
      <c r="E2083" s="2"/>
      <c r="F2083" s="2"/>
      <c r="G2083" s="2"/>
      <c r="H2083" s="2"/>
      <c r="I2083" s="2"/>
    </row>
    <row r="2084">
      <c r="A2084" s="1" t="s">
        <v>1147</v>
      </c>
      <c r="B2084" s="1" t="str">
        <f>IFERROR(__xludf.DUMMYFUNCTION("SPLIT(A2084,"";"")"),"UNICEF")</f>
        <v>UNICEF</v>
      </c>
      <c r="C2084" s="3">
        <f>IFERROR(__xludf.DUMMYFUNCTION("""COMPUTED_VALUE"""),19440.0)</f>
        <v>19440</v>
      </c>
      <c r="D2084" s="1">
        <v>0.0</v>
      </c>
      <c r="E2084" s="2"/>
      <c r="F2084" s="2"/>
      <c r="G2084" s="2"/>
      <c r="H2084" s="2"/>
      <c r="I2084" s="2"/>
    </row>
    <row r="2085">
      <c r="A2085" s="1" t="s">
        <v>1148</v>
      </c>
      <c r="B2085" s="1" t="str">
        <f>IFERROR(__xludf.DUMMYFUNCTION("SPLIT(A2085,"";"")"),"UNION ALCOOLIQUES ANONYMES")</f>
        <v>UNION ALCOOLIQUES ANONYMES</v>
      </c>
      <c r="C2085" s="3">
        <f>IFERROR(__xludf.DUMMYFUNCTION("""COMPUTED_VALUE"""),1008.0)</f>
        <v>1008</v>
      </c>
      <c r="D2085" s="1">
        <v>0.0</v>
      </c>
      <c r="E2085" s="2"/>
      <c r="F2085" s="2"/>
      <c r="G2085" s="2"/>
      <c r="H2085" s="2"/>
      <c r="I2085" s="2"/>
    </row>
    <row r="2086">
      <c r="A2086" s="1" t="s">
        <v>1149</v>
      </c>
      <c r="B2086" s="1" t="str">
        <f>IFERROR(__xludf.DUMMYFUNCTION("SPLIT(A2086,"";"")"),"UNION AU DEVELOPPEMENT AFRICAIN - UDA")</f>
        <v>UNION AU DEVELOPPEMENT AFRICAIN - UDA</v>
      </c>
      <c r="C2086" s="1">
        <f>IFERROR(__xludf.DUMMYFUNCTION("""COMPUTED_VALUE"""),114.0)</f>
        <v>114</v>
      </c>
      <c r="D2086" s="1">
        <v>0.0</v>
      </c>
      <c r="E2086" s="2"/>
      <c r="F2086" s="2"/>
      <c r="G2086" s="2"/>
      <c r="H2086" s="2"/>
      <c r="I2086" s="2"/>
    </row>
    <row r="2087">
      <c r="A2087" s="1" t="s">
        <v>1150</v>
      </c>
      <c r="B2087" s="1" t="str">
        <f>IFERROR(__xludf.DUMMYFUNCTION("SPLIT(A2087,"";"")"),"UNION BORDEAUX METROPOLE - UBM")</f>
        <v>UNION BORDEAUX METROPOLE - UBM</v>
      </c>
      <c r="C2087" s="3">
        <f>IFERROR(__xludf.DUMMYFUNCTION("""COMPUTED_VALUE"""),13141.0)</f>
        <v>13141</v>
      </c>
      <c r="D2087" s="1">
        <v>0.0</v>
      </c>
      <c r="E2087" s="2"/>
      <c r="F2087" s="2"/>
      <c r="G2087" s="2"/>
      <c r="H2087" s="2"/>
      <c r="I2087" s="2"/>
    </row>
    <row r="2088">
      <c r="A2088" s="1" t="s">
        <v>1151</v>
      </c>
      <c r="B2088" s="1" t="str">
        <f>IFERROR(__xludf.DUMMYFUNCTION("SPLIT(A2088,"";"")"),"UNION COOP DE LA PAGE BLANCHE")</f>
        <v>UNION COOP DE LA PAGE BLANCHE</v>
      </c>
      <c r="C2088" s="1">
        <f>IFERROR(__xludf.DUMMYFUNCTION("""COMPUTED_VALUE"""),660.0)</f>
        <v>660</v>
      </c>
      <c r="D2088" s="1">
        <v>0.0</v>
      </c>
      <c r="E2088" s="2"/>
      <c r="F2088" s="2"/>
      <c r="G2088" s="2"/>
      <c r="H2088" s="2"/>
      <c r="I2088" s="2"/>
    </row>
    <row r="2089">
      <c r="A2089" s="1" t="s">
        <v>1152</v>
      </c>
      <c r="B2089" s="1" t="str">
        <f>IFERROR(__xludf.DUMMYFUNCTION("SPLIT(A2089,"";"")"),"UNION DEPARTEMENTALE CFDT DE LA GIRONDE")</f>
        <v>UNION DEPARTEMENTALE CFDT DE LA GIRONDE</v>
      </c>
      <c r="C2089" s="1">
        <f>IFERROR(__xludf.DUMMYFUNCTION("""COMPUTED_VALUE"""),444.0)</f>
        <v>444</v>
      </c>
      <c r="D2089" s="1">
        <v>0.0</v>
      </c>
      <c r="E2089" s="2"/>
      <c r="F2089" s="2"/>
      <c r="G2089" s="2"/>
      <c r="H2089" s="2"/>
      <c r="I2089" s="2"/>
    </row>
    <row r="2090">
      <c r="A2090" s="1" t="s">
        <v>1153</v>
      </c>
      <c r="B2090" s="1" t="str">
        <f>IFERROR(__xludf.DUMMYFUNCTION("SPLIT(A2090,"";"")"),"UNION DEPARTEMENTALE DES ASSOCIATIONS FAMILIALES - UDAF")</f>
        <v>UNION DEPARTEMENTALE DES ASSOCIATIONS FAMILIALES - UDAF</v>
      </c>
      <c r="C2090" s="1">
        <f>IFERROR(__xludf.DUMMYFUNCTION("""COMPUTED_VALUE"""),400.0)</f>
        <v>400</v>
      </c>
      <c r="D2090" s="1">
        <v>0.0</v>
      </c>
      <c r="E2090" s="2"/>
      <c r="F2090" s="2"/>
      <c r="G2090" s="2"/>
      <c r="H2090" s="2"/>
      <c r="I2090" s="2"/>
    </row>
    <row r="2091">
      <c r="A2091" s="1" t="s">
        <v>1154</v>
      </c>
      <c r="B2091" s="1" t="str">
        <f>IFERROR(__xludf.DUMMYFUNCTION("SPLIT(A2091,"";"")"),"UNION DES AVEUGLES ET DEFICIENTS VISUELS")</f>
        <v>UNION DES AVEUGLES ET DEFICIENTS VISUELS</v>
      </c>
      <c r="C2091" s="3">
        <f>IFERROR(__xludf.DUMMYFUNCTION("""COMPUTED_VALUE"""),2534.0)</f>
        <v>2534</v>
      </c>
      <c r="D2091" s="1">
        <v>84.0</v>
      </c>
      <c r="E2091" s="2"/>
      <c r="F2091" s="2"/>
      <c r="G2091" s="2"/>
      <c r="H2091" s="2"/>
      <c r="I2091" s="2"/>
    </row>
    <row r="2092">
      <c r="A2092" s="1" t="s">
        <v>1155</v>
      </c>
      <c r="B2092" s="1" t="str">
        <f>IFERROR(__xludf.DUMMYFUNCTION("SPLIT(A2092,"";"")"),"UNION DES TRAVAILLEURS IVOIRIENS DE FRANCE - UTIF")</f>
        <v>UNION DES TRAVAILLEURS IVOIRIENS DE FRANCE - UTIF</v>
      </c>
      <c r="C2092" s="1">
        <f>IFERROR(__xludf.DUMMYFUNCTION("""COMPUTED_VALUE"""),302.0)</f>
        <v>302</v>
      </c>
      <c r="D2092" s="1">
        <v>0.0</v>
      </c>
      <c r="E2092" s="2"/>
      <c r="F2092" s="2"/>
      <c r="G2092" s="2"/>
      <c r="H2092" s="2"/>
      <c r="I2092" s="2"/>
    </row>
    <row r="2093">
      <c r="A2093" s="1" t="s">
        <v>1156</v>
      </c>
      <c r="B2093" s="1" t="str">
        <f>IFERROR(__xludf.DUMMYFUNCTION("SPLIT(A2093,"";"")"),"UNION GENERALE SPORTIVE DE L'ENSEIGNEMENT LIBRE DE LA GIRONDE")</f>
        <v>UNION GENERALE SPORTIVE DE L'ENSEIGNEMENT LIBRE DE LA GIRONDE</v>
      </c>
      <c r="C2093" s="3">
        <f>IFERROR(__xludf.DUMMYFUNCTION("""COMPUTED_VALUE"""),7304.0)</f>
        <v>7304</v>
      </c>
      <c r="D2093" s="1">
        <v>65.0</v>
      </c>
      <c r="E2093" s="2"/>
      <c r="F2093" s="2"/>
      <c r="G2093" s="2"/>
      <c r="H2093" s="2"/>
      <c r="I2093" s="2"/>
    </row>
    <row r="2094">
      <c r="A2094" s="1" t="s">
        <v>1157</v>
      </c>
      <c r="B2094" s="1" t="str">
        <f>IFERROR(__xludf.DUMMYFUNCTION("SPLIT(A2094,"";"")"),"UNION GIRONDINE DES RETRAITES MILITAIRES")</f>
        <v>UNION GIRONDINE DES RETRAITES MILITAIRES</v>
      </c>
      <c r="C2094" s="1"/>
      <c r="D2094" s="1" t="s">
        <v>1158</v>
      </c>
      <c r="E2094" s="1">
        <v>0.0</v>
      </c>
      <c r="F2094" s="2"/>
      <c r="G2094" s="2"/>
      <c r="H2094" s="2"/>
      <c r="I2094" s="2"/>
    </row>
    <row r="2095">
      <c r="A2095" s="1" t="s">
        <v>1159</v>
      </c>
      <c r="B2095" s="1" t="str">
        <f>IFERROR(__xludf.DUMMYFUNCTION("SPLIT(A2095,"";"")"),"UNION NATIONALE DES AMIS ET FAMILLES DE MALADES PSYCHIQUES - UNAFAM")</f>
        <v>UNION NATIONALE DES AMIS ET FAMILLES DE MALADES PSYCHIQUES - UNAFAM</v>
      </c>
      <c r="C2095" s="3">
        <f>IFERROR(__xludf.DUMMYFUNCTION("""COMPUTED_VALUE"""),2160.0)</f>
        <v>2160</v>
      </c>
      <c r="D2095" s="1">
        <v>0.0</v>
      </c>
      <c r="E2095" s="2"/>
      <c r="F2095" s="2"/>
      <c r="G2095" s="2"/>
      <c r="H2095" s="2"/>
      <c r="I2095" s="2"/>
    </row>
    <row r="2096">
      <c r="A2096" s="1" t="s">
        <v>1160</v>
      </c>
      <c r="B2096" s="1" t="str">
        <f>IFERROR(__xludf.DUMMYFUNCTION("SPLIT(A2096,"";"")"),"UNION NATIONALE DES COMBATTANTS DE BORDEAUX RIVE-DROITE - UNC")</f>
        <v>UNION NATIONALE DES COMBATTANTS DE BORDEAUX RIVE-DROITE - UNC</v>
      </c>
      <c r="C2096" s="1">
        <f>IFERROR(__xludf.DUMMYFUNCTION("""COMPUTED_VALUE"""),259.0)</f>
        <v>259</v>
      </c>
      <c r="D2096" s="1">
        <v>74.0</v>
      </c>
      <c r="E2096" s="2"/>
      <c r="F2096" s="2"/>
      <c r="G2096" s="2"/>
      <c r="H2096" s="2"/>
      <c r="I2096" s="2"/>
    </row>
    <row r="2097">
      <c r="A2097" s="1" t="s">
        <v>1161</v>
      </c>
      <c r="B2097" s="1" t="str">
        <f>IFERROR(__xludf.DUMMYFUNCTION("SPLIT(A2097,"";"")"),"UNION NATIONALE DES COMBATTANTS DE BORDEAUX-CAUDERAN-LE BOUSCAT (UNC)")</f>
        <v>UNION NATIONALE DES COMBATTANTS DE BORDEAUX-CAUDERAN-LE BOUSCAT (UNC)</v>
      </c>
      <c r="C2097" s="1">
        <f>IFERROR(__xludf.DUMMYFUNCTION("""COMPUTED_VALUE"""),496.0)</f>
        <v>496</v>
      </c>
      <c r="D2097" s="1">
        <v>0.0</v>
      </c>
      <c r="E2097" s="2"/>
      <c r="F2097" s="2"/>
      <c r="G2097" s="2"/>
      <c r="H2097" s="2"/>
      <c r="I2097" s="2"/>
    </row>
    <row r="2098">
      <c r="A2098" s="1" t="s">
        <v>1162</v>
      </c>
      <c r="B2098" s="1" t="str">
        <f>IFERROR(__xludf.DUMMYFUNCTION("SPLIT(A2098,"";"")"),"UNION NATIONALE DU SPORT SCOLAIRE - DIRECTION REGIONALE")</f>
        <v>UNION NATIONALE DU SPORT SCOLAIRE - DIRECTION REGIONALE</v>
      </c>
      <c r="C2098" s="3">
        <f>IFERROR(__xludf.DUMMYFUNCTION("""COMPUTED_VALUE"""),10888.0)</f>
        <v>10888</v>
      </c>
      <c r="D2098" s="1">
        <v>20.0</v>
      </c>
      <c r="E2098" s="2"/>
      <c r="F2098" s="2"/>
      <c r="G2098" s="2"/>
      <c r="H2098" s="2"/>
      <c r="I2098" s="2"/>
    </row>
    <row r="2099">
      <c r="A2099" s="1" t="s">
        <v>1163</v>
      </c>
      <c r="B2099" s="1" t="str">
        <f>IFERROR(__xludf.DUMMYFUNCTION("SPLIT(A2099,"";"")"),"UNION REGIONALE D'AQUITAINE DE L'UNION EUROPEENNE FEMININE SECTION FRANÇAISE")</f>
        <v>UNION REGIONALE D'AQUITAINE DE L'UNION EUROPEENNE FEMININE SECTION FRANÇAISE</v>
      </c>
      <c r="C2099" s="1">
        <f>IFERROR(__xludf.DUMMYFUNCTION("""COMPUTED_VALUE"""),58.0)</f>
        <v>58</v>
      </c>
      <c r="D2099" s="1">
        <v>0.0</v>
      </c>
      <c r="E2099" s="2"/>
      <c r="F2099" s="2"/>
      <c r="G2099" s="2"/>
      <c r="H2099" s="2"/>
      <c r="I2099" s="2"/>
    </row>
    <row r="2100">
      <c r="A2100" s="1" t="s">
        <v>1164</v>
      </c>
      <c r="B2100" s="1" t="str">
        <f>IFERROR(__xludf.DUMMYFUNCTION("SPLIT(A2100,"";"")"),"UNION REGIONALE DES INGENIEURS ET DES SCIENTIFIQUES D'AQUITAINE - URISA")</f>
        <v>UNION REGIONALE DES INGENIEURS ET DES SCIENTIFIQUES D'AQUITAINE - URISA</v>
      </c>
      <c r="C2100" s="1">
        <f>IFERROR(__xludf.DUMMYFUNCTION("""COMPUTED_VALUE"""),265.0)</f>
        <v>265</v>
      </c>
      <c r="D2100" s="1">
        <v>0.0</v>
      </c>
      <c r="E2100" s="2"/>
      <c r="F2100" s="2"/>
      <c r="G2100" s="2"/>
      <c r="H2100" s="2"/>
      <c r="I2100" s="2"/>
    </row>
    <row r="2101">
      <c r="A2101" s="1" t="s">
        <v>1165</v>
      </c>
      <c r="B2101" s="1" t="str">
        <f>IFERROR(__xludf.DUMMYFUNCTION("SPLIT(A2101,"";"")"),"UNION REGIONALE PACT HABITAT ET DEVELOPPEMENT DE LA REGION AQUITAINE")</f>
        <v>UNION REGIONALE PACT HABITAT ET DEVELOPPEMENT DE LA REGION AQUITAINE</v>
      </c>
      <c r="C2101" s="1">
        <f>IFERROR(__xludf.DUMMYFUNCTION("""COMPUTED_VALUE"""),236.0)</f>
        <v>236</v>
      </c>
      <c r="D2101" s="1">
        <v>0.0</v>
      </c>
      <c r="E2101" s="2"/>
      <c r="F2101" s="2"/>
      <c r="G2101" s="2"/>
      <c r="H2101" s="2"/>
      <c r="I2101" s="2"/>
    </row>
    <row r="2102">
      <c r="A2102" s="1" t="s">
        <v>1166</v>
      </c>
      <c r="B2102" s="1" t="str">
        <f>IFERROR(__xludf.DUMMYFUNCTION("SPLIT(A2102,"";"")"),"UNION SAINT JEAN - MAISON DE QUARTIER")</f>
        <v>UNION SAINT JEAN - MAISON DE QUARTIER</v>
      </c>
      <c r="C2102" s="3">
        <f>IFERROR(__xludf.DUMMYFUNCTION("""COMPUTED_VALUE"""),80138.0)</f>
        <v>80138</v>
      </c>
      <c r="D2102" s="1">
        <v>80.0</v>
      </c>
      <c r="E2102" s="2"/>
      <c r="F2102" s="2"/>
      <c r="G2102" s="2"/>
      <c r="H2102" s="2"/>
      <c r="I2102" s="2"/>
    </row>
    <row r="2103">
      <c r="A2103" s="1" t="s">
        <v>1167</v>
      </c>
      <c r="B2103" s="1" t="str">
        <f>IFERROR(__xludf.DUMMYFUNCTION("SPLIT(A2103,"";"")"),"UNION SAINT-BRUNO")</f>
        <v>UNION SAINT-BRUNO</v>
      </c>
      <c r="C2103" s="3">
        <f>IFERROR(__xludf.DUMMYFUNCTION("""COMPUTED_VALUE"""),739980.0)</f>
        <v>739980</v>
      </c>
      <c r="D2103" s="1">
        <v>69.0</v>
      </c>
      <c r="E2103" s="2"/>
      <c r="F2103" s="2"/>
      <c r="G2103" s="2"/>
      <c r="H2103" s="2"/>
      <c r="I2103" s="2"/>
    </row>
    <row r="2104">
      <c r="A2104" s="1" t="s">
        <v>1168</v>
      </c>
      <c r="B2104" s="1" t="str">
        <f>IFERROR(__xludf.DUMMYFUNCTION("SPLIT(A2104,"";"")"),"UNION SPORTIVE JEUNES DE SAINT-AUGUSTIN - CLUB PYRENEES-AQUITAINE (US JSA-CPA)")</f>
        <v>UNION SPORTIVE JEUNES DE SAINT-AUGUSTIN - CLUB PYRENEES-AQUITAINE (US JSA-CPA)</v>
      </c>
      <c r="C2104" s="1">
        <f>IFERROR(__xludf.DUMMYFUNCTION("""COMPUTED_VALUE"""),789.0)</f>
        <v>789</v>
      </c>
      <c r="D2104" s="1">
        <v>85.0</v>
      </c>
      <c r="E2104" s="2"/>
      <c r="F2104" s="2"/>
      <c r="G2104" s="2"/>
      <c r="H2104" s="2"/>
      <c r="I2104" s="2"/>
    </row>
    <row r="2105">
      <c r="A2105" s="1" t="s">
        <v>1169</v>
      </c>
      <c r="B2105" s="1" t="str">
        <f>IFERROR(__xludf.DUMMYFUNCTION("SPLIT(A2105,"";"")"),"UNION SPORTIVE LES CHARTRONS")</f>
        <v>UNION SPORTIVE LES CHARTRONS</v>
      </c>
      <c r="C2105" s="3">
        <f>IFERROR(__xludf.DUMMYFUNCTION("""COMPUTED_VALUE"""),180543.0)</f>
        <v>180543</v>
      </c>
      <c r="D2105" s="1">
        <v>2.0</v>
      </c>
      <c r="E2105" s="2"/>
      <c r="F2105" s="2"/>
      <c r="G2105" s="2"/>
      <c r="H2105" s="2"/>
      <c r="I2105" s="2"/>
    </row>
    <row r="2106">
      <c r="A2106" s="1" t="s">
        <v>1170</v>
      </c>
      <c r="B2106" s="1" t="str">
        <f>IFERROR(__xludf.DUMMYFUNCTION("SPLIT(A2106,"";"")"),"UNIS CITE")</f>
        <v>UNIS CITE</v>
      </c>
      <c r="C2106" s="3">
        <f>IFERROR(__xludf.DUMMYFUNCTION("""COMPUTED_VALUE"""),2882.0)</f>
        <v>2882</v>
      </c>
      <c r="D2106" s="1">
        <v>66.0</v>
      </c>
      <c r="E2106" s="2"/>
      <c r="F2106" s="2"/>
      <c r="G2106" s="2"/>
      <c r="H2106" s="2"/>
      <c r="I2106" s="2"/>
    </row>
    <row r="2107">
      <c r="A2107" s="1" t="s">
        <v>1171</v>
      </c>
      <c r="B2107" s="1" t="str">
        <f>IFERROR(__xludf.DUMMYFUNCTION("SPLIT(A2107,"";"")"),"UNIVERSEUL")</f>
        <v>UNIVERSEUL</v>
      </c>
      <c r="C2107" s="1">
        <f>IFERROR(__xludf.DUMMYFUNCTION("""COMPUTED_VALUE"""),18.0)</f>
        <v>18</v>
      </c>
      <c r="D2107" s="1">
        <v>0.0</v>
      </c>
      <c r="E2107" s="2"/>
      <c r="F2107" s="2"/>
      <c r="G2107" s="2"/>
      <c r="H2107" s="2"/>
      <c r="I2107" s="2"/>
    </row>
    <row r="2108">
      <c r="A2108" s="1" t="s">
        <v>1172</v>
      </c>
      <c r="B2108" s="1" t="str">
        <f>IFERROR(__xludf.DUMMYFUNCTION("SPLIT(A2108,"";"")"),"UNIVERSITE BORDEAUX MONTAIGNE BORDEAUX III - BIBLIOTHEQUE FRANCO-ALLEMANDE (BIFA)")</f>
        <v>UNIVERSITE BORDEAUX MONTAIGNE BORDEAUX III - BIBLIOTHEQUE FRANCO-ALLEMANDE (BIFA)</v>
      </c>
      <c r="C2108" s="1">
        <f>IFERROR(__xludf.DUMMYFUNCTION("""COMPUTED_VALUE"""),251.0)</f>
        <v>251</v>
      </c>
      <c r="D2108" s="1">
        <v>89.0</v>
      </c>
      <c r="E2108" s="2"/>
      <c r="F2108" s="2"/>
      <c r="G2108" s="2"/>
      <c r="H2108" s="2"/>
      <c r="I2108" s="2"/>
    </row>
    <row r="2109">
      <c r="A2109" s="1" t="s">
        <v>1173</v>
      </c>
      <c r="B2109" s="1" t="str">
        <f>IFERROR(__xludf.DUMMYFUNCTION("SPLIT(A2109,"";"")"),"UNIVERSITE DE BORDEAUX")</f>
        <v>UNIVERSITE DE BORDEAUX</v>
      </c>
      <c r="C2109" s="3">
        <f>IFERROR(__xludf.DUMMYFUNCTION("""COMPUTED_VALUE"""),17411.0)</f>
        <v>17411</v>
      </c>
      <c r="D2109" s="1">
        <v>50.0</v>
      </c>
      <c r="E2109" s="2"/>
      <c r="F2109" s="2"/>
      <c r="G2109" s="2"/>
      <c r="H2109" s="2"/>
      <c r="I2109" s="2"/>
    </row>
    <row r="2110">
      <c r="A2110" s="1" t="s">
        <v>1174</v>
      </c>
      <c r="B2110" s="1" t="str">
        <f>IFERROR(__xludf.DUMMYFUNCTION("SPLIT(A2110,"";"")"),"UNIVERSITE POPULAIRE DE BORDEAUX - UPB")</f>
        <v>UNIVERSITE POPULAIRE DE BORDEAUX - UPB</v>
      </c>
      <c r="C2110" s="1">
        <f>IFERROR(__xludf.DUMMYFUNCTION("""COMPUTED_VALUE"""),657.0)</f>
        <v>657</v>
      </c>
      <c r="D2110" s="1">
        <v>0.0</v>
      </c>
      <c r="E2110" s="2"/>
      <c r="F2110" s="2"/>
      <c r="G2110" s="2"/>
      <c r="H2110" s="2"/>
      <c r="I2110" s="2"/>
    </row>
    <row r="2111">
      <c r="A2111" s="1" t="s">
        <v>1175</v>
      </c>
      <c r="B2111" s="1" t="str">
        <f>IFERROR(__xludf.DUMMYFUNCTION("SPLIT(A2111,"";"")"),"URBAN VIBRATIONS SCHOOL")</f>
        <v>URBAN VIBRATIONS SCHOOL</v>
      </c>
      <c r="C2111" s="1">
        <f>IFERROR(__xludf.DUMMYFUNCTION("""COMPUTED_VALUE"""),511.0)</f>
        <v>511</v>
      </c>
      <c r="D2111" s="1">
        <v>2.0</v>
      </c>
      <c r="E2111" s="2"/>
      <c r="F2111" s="2"/>
      <c r="G2111" s="2"/>
      <c r="H2111" s="2"/>
      <c r="I2111" s="2"/>
    </row>
    <row r="2112">
      <c r="A2112" s="1" t="s">
        <v>1176</v>
      </c>
      <c r="B2112" s="1" t="str">
        <f>IFERROR(__xludf.DUMMYFUNCTION("SPLIT(A2112,"";"")"),"URPS - AQUITAINE")</f>
        <v>URPS - AQUITAINE</v>
      </c>
      <c r="C2112" s="1">
        <f>IFERROR(__xludf.DUMMYFUNCTION("""COMPUTED_VALUE"""),774.0)</f>
        <v>774</v>
      </c>
      <c r="D2112" s="1">
        <v>0.0</v>
      </c>
      <c r="E2112" s="2"/>
      <c r="F2112" s="2"/>
      <c r="G2112" s="2"/>
      <c r="H2112" s="2"/>
      <c r="I2112" s="2"/>
    </row>
    <row r="2113">
      <c r="A2113" s="1" t="s">
        <v>1177</v>
      </c>
      <c r="B2113" s="1" t="str">
        <f>IFERROR(__xludf.DUMMYFUNCTION("SPLIT(A2113,"";"")"),"UTOPIA")</f>
        <v>UTOPIA</v>
      </c>
      <c r="C2113" s="1">
        <f>IFERROR(__xludf.DUMMYFUNCTION("""COMPUTED_VALUE"""),24.0)</f>
        <v>24</v>
      </c>
      <c r="D2113" s="1">
        <v>0.0</v>
      </c>
      <c r="E2113" s="2"/>
      <c r="F2113" s="2"/>
      <c r="G2113" s="2"/>
      <c r="H2113" s="2"/>
      <c r="I2113" s="2"/>
    </row>
    <row r="2114">
      <c r="A2114" s="1" t="s">
        <v>1178</v>
      </c>
      <c r="B2114" s="1" t="str">
        <f>IFERROR(__xludf.DUMMYFUNCTION("SPLIT(A2114,"";"")"),"VA K BAND")</f>
        <v>VA K BAND</v>
      </c>
      <c r="C2114" s="1">
        <f>IFERROR(__xludf.DUMMYFUNCTION("""COMPUTED_VALUE"""),645.0)</f>
        <v>645</v>
      </c>
      <c r="D2114" s="1">
        <v>0.0</v>
      </c>
      <c r="E2114" s="2"/>
      <c r="F2114" s="2"/>
      <c r="G2114" s="2"/>
      <c r="H2114" s="2"/>
      <c r="I2114" s="2"/>
    </row>
    <row r="2115">
      <c r="A2115" s="1" t="s">
        <v>1179</v>
      </c>
      <c r="B2115" s="1" t="str">
        <f>IFERROR(__xludf.DUMMYFUNCTION("SPLIT(A2115,"";"")"),"VACANCES ANIMATION LOISIRS TOURISME DE LA GIRONDE")</f>
        <v>VACANCES ANIMATION LOISIRS TOURISME DE LA GIRONDE</v>
      </c>
      <c r="C2115" s="1">
        <f>IFERROR(__xludf.DUMMYFUNCTION("""COMPUTED_VALUE"""),281.0)</f>
        <v>281</v>
      </c>
      <c r="D2115" s="1">
        <v>0.0</v>
      </c>
      <c r="E2115" s="2"/>
      <c r="F2115" s="2"/>
      <c r="G2115" s="2"/>
      <c r="H2115" s="2"/>
      <c r="I2115" s="2"/>
    </row>
    <row r="2116">
      <c r="A2116" s="1" t="s">
        <v>1180</v>
      </c>
      <c r="B2116" s="1" t="str">
        <f>IFERROR(__xludf.DUMMYFUNCTION("SPLIT(A2116,"";"")"),"VACANCES TOURISME FAMILLES - VTF")</f>
        <v>VACANCES TOURISME FAMILLES - VTF</v>
      </c>
      <c r="C2116" s="1">
        <f>IFERROR(__xludf.DUMMYFUNCTION("""COMPUTED_VALUE"""),178.0)</f>
        <v>178</v>
      </c>
      <c r="D2116" s="1">
        <v>0.0</v>
      </c>
      <c r="E2116" s="2"/>
      <c r="F2116" s="2"/>
      <c r="G2116" s="2"/>
      <c r="H2116" s="2"/>
      <c r="I2116" s="2"/>
    </row>
    <row r="2117">
      <c r="A2117" s="1" t="s">
        <v>1181</v>
      </c>
      <c r="B2117" s="1" t="str">
        <f>IFERROR(__xludf.DUMMYFUNCTION("SPLIT(A2117,"";"")"),"VAHINE ORA")</f>
        <v>VAHINE ORA</v>
      </c>
      <c r="C2117" s="1">
        <f>IFERROR(__xludf.DUMMYFUNCTION("""COMPUTED_VALUE"""),774.0)</f>
        <v>774</v>
      </c>
      <c r="D2117" s="1">
        <v>0.0</v>
      </c>
      <c r="E2117" s="2"/>
      <c r="F2117" s="2"/>
      <c r="G2117" s="2"/>
      <c r="H2117" s="2"/>
      <c r="I2117" s="2"/>
    </row>
    <row r="2118">
      <c r="A2118" s="1" t="s">
        <v>1182</v>
      </c>
      <c r="B2118" s="1" t="str">
        <f>IFERROR(__xludf.DUMMYFUNCTION("SPLIT(A2118,"";"")"),"VARIANCE MELODIE")</f>
        <v>VARIANCE MELODIE</v>
      </c>
      <c r="C2118" s="3">
        <f>IFERROR(__xludf.DUMMYFUNCTION("""COMPUTED_VALUE"""),10455.0)</f>
        <v>10455</v>
      </c>
      <c r="D2118" s="1">
        <v>0.0</v>
      </c>
      <c r="E2118" s="2"/>
      <c r="F2118" s="2"/>
      <c r="G2118" s="2"/>
      <c r="H2118" s="2"/>
      <c r="I2118" s="2"/>
    </row>
    <row r="2119">
      <c r="A2119" s="1" t="s">
        <v>1183</v>
      </c>
      <c r="B2119" s="1" t="str">
        <f>IFERROR(__xludf.DUMMYFUNCTION("SPLIT(A2119,"";"")"),"VELO CITE")</f>
        <v>VELO CITE</v>
      </c>
      <c r="C2119" s="3">
        <f>IFERROR(__xludf.DUMMYFUNCTION("""COMPUTED_VALUE"""),1683.0)</f>
        <v>1683</v>
      </c>
      <c r="D2119" s="1">
        <v>76.0</v>
      </c>
      <c r="E2119" s="2"/>
      <c r="F2119" s="2"/>
      <c r="G2119" s="2"/>
      <c r="H2119" s="2"/>
      <c r="I2119" s="2"/>
    </row>
    <row r="2120">
      <c r="A2120" s="1" t="s">
        <v>1184</v>
      </c>
      <c r="B2120" s="1" t="str">
        <f>IFERROR(__xludf.DUMMYFUNCTION("SPLIT(A2120,"";"")"),"VIE ET TRAVAIL A BORDEAUX BACALAN")</f>
        <v>VIE ET TRAVAIL A BORDEAUX BACALAN</v>
      </c>
      <c r="C2120" s="3">
        <f>IFERROR(__xludf.DUMMYFUNCTION("""COMPUTED_VALUE"""),2186.0)</f>
        <v>2186</v>
      </c>
      <c r="D2120" s="1">
        <v>0.0</v>
      </c>
      <c r="E2120" s="2"/>
      <c r="F2120" s="2"/>
      <c r="G2120" s="2"/>
      <c r="H2120" s="2"/>
      <c r="I2120" s="2"/>
    </row>
    <row r="2121">
      <c r="A2121" s="1" t="s">
        <v>1185</v>
      </c>
      <c r="B2121" s="1" t="str">
        <f>IFERROR(__xludf.DUMMYFUNCTION("SPLIT(A2121,"";"")"),"VIE LIBRE")</f>
        <v>VIE LIBRE</v>
      </c>
      <c r="C2121" s="3">
        <f>IFERROR(__xludf.DUMMYFUNCTION("""COMPUTED_VALUE"""),1128.0)</f>
        <v>1128</v>
      </c>
      <c r="D2121" s="1">
        <v>0.0</v>
      </c>
      <c r="E2121" s="2"/>
      <c r="F2121" s="2"/>
      <c r="G2121" s="2"/>
      <c r="H2121" s="2"/>
      <c r="I2121" s="2"/>
    </row>
    <row r="2122">
      <c r="A2122" s="1" t="s">
        <v>1186</v>
      </c>
      <c r="B2122" s="1" t="str">
        <f>IFERROR(__xludf.DUMMYFUNCTION("SPLIT(A2122,"";"")"),"VILLA 88")</f>
        <v>VILLA 88</v>
      </c>
      <c r="C2122" s="1">
        <f>IFERROR(__xludf.DUMMYFUNCTION("""COMPUTED_VALUE"""),710.0)</f>
        <v>710</v>
      </c>
      <c r="D2122" s="1">
        <v>28.0</v>
      </c>
      <c r="E2122" s="2"/>
      <c r="F2122" s="2"/>
      <c r="G2122" s="2"/>
      <c r="H2122" s="2"/>
      <c r="I2122" s="2"/>
    </row>
    <row r="2123">
      <c r="A2123" s="1" t="s">
        <v>1187</v>
      </c>
      <c r="B2123" s="1" t="str">
        <f>IFERROR(__xludf.DUMMYFUNCTION("SPLIT(A2123,"";"")"),"VILLA PRIMROSE")</f>
        <v>VILLA PRIMROSE</v>
      </c>
      <c r="C2123" s="3">
        <f>IFERROR(__xludf.DUMMYFUNCTION("""COMPUTED_VALUE"""),58390.0)</f>
        <v>58390</v>
      </c>
      <c r="D2123" s="1">
        <v>13.0</v>
      </c>
      <c r="E2123" s="2"/>
      <c r="F2123" s="2"/>
      <c r="G2123" s="2"/>
      <c r="H2123" s="2"/>
      <c r="I2123" s="2"/>
    </row>
    <row r="2124">
      <c r="A2124" s="1" t="s">
        <v>1188</v>
      </c>
      <c r="B2124" s="1" t="str">
        <f>IFERROR(__xludf.DUMMYFUNCTION("SPLIT(A2124,"";"")"),"VILLAGE D'AUDEGE")</f>
        <v>VILLAGE D'AUDEGE</v>
      </c>
      <c r="C2124" s="1">
        <f>IFERROR(__xludf.DUMMYFUNCTION("""COMPUTED_VALUE"""),259.0)</f>
        <v>259</v>
      </c>
      <c r="D2124" s="1">
        <v>80.0</v>
      </c>
      <c r="E2124" s="2"/>
      <c r="F2124" s="2"/>
      <c r="G2124" s="2"/>
      <c r="H2124" s="2"/>
      <c r="I2124" s="2"/>
    </row>
    <row r="2125">
      <c r="A2125" s="1" t="s">
        <v>1189</v>
      </c>
      <c r="B2125" s="1" t="str">
        <f>IFERROR(__xludf.DUMMYFUNCTION("SPLIT(A2125,"";"")"),"VILLAGE DE LA GROSSE CLOCHE")</f>
        <v>VILLAGE DE LA GROSSE CLOCHE</v>
      </c>
      <c r="C2125" s="3">
        <f>IFERROR(__xludf.DUMMYFUNCTION("""COMPUTED_VALUE"""),8377.0)</f>
        <v>8377</v>
      </c>
      <c r="D2125" s="1">
        <v>59.0</v>
      </c>
      <c r="E2125" s="2"/>
      <c r="F2125" s="2"/>
      <c r="G2125" s="2"/>
      <c r="H2125" s="2"/>
      <c r="I2125" s="2"/>
    </row>
    <row r="2126">
      <c r="A2126" s="1" t="s">
        <v>1190</v>
      </c>
      <c r="B2126" s="1" t="str">
        <f>IFERROR(__xludf.DUMMYFUNCTION("SPLIT(A2126,"";"")"),"V'INSEEC BORDEAUX")</f>
        <v>V'INSEEC BORDEAUX</v>
      </c>
      <c r="C2126" s="1"/>
      <c r="D2126" s="1" t="s">
        <v>1191</v>
      </c>
      <c r="E2126" s="1">
        <v>71.0</v>
      </c>
      <c r="F2126" s="2"/>
      <c r="G2126" s="2"/>
      <c r="H2126" s="2"/>
      <c r="I2126" s="2"/>
    </row>
    <row r="2127">
      <c r="A2127" s="1" t="s">
        <v>1192</v>
      </c>
      <c r="B2127" s="1" t="str">
        <f>IFERROR(__xludf.DUMMYFUNCTION("SPLIT(A2127,"";"")"),"VISIONS CROISEES")</f>
        <v>VISIONS CROISEES</v>
      </c>
      <c r="C2127" s="1">
        <f>IFERROR(__xludf.DUMMYFUNCTION("""COMPUTED_VALUE"""),120.0)</f>
        <v>120</v>
      </c>
      <c r="D2127" s="1">
        <v>0.0</v>
      </c>
      <c r="E2127" s="2"/>
      <c r="F2127" s="2"/>
      <c r="G2127" s="2"/>
      <c r="H2127" s="2"/>
      <c r="I2127" s="2"/>
    </row>
    <row r="2128">
      <c r="A2128" s="1" t="s">
        <v>1193</v>
      </c>
      <c r="B2128" s="1" t="str">
        <f>IFERROR(__xludf.DUMMYFUNCTION("SPLIT(A2128,"";"")"),"VISIONS PARTAGEES")</f>
        <v>VISIONS PARTAGEES</v>
      </c>
      <c r="C2128" s="1">
        <f>IFERROR(__xludf.DUMMYFUNCTION("""COMPUTED_VALUE"""),768.0)</f>
        <v>768</v>
      </c>
      <c r="D2128" s="1">
        <v>0.0</v>
      </c>
      <c r="E2128" s="2"/>
      <c r="F2128" s="2"/>
      <c r="G2128" s="2"/>
      <c r="H2128" s="2"/>
      <c r="I2128" s="2"/>
    </row>
    <row r="2129">
      <c r="A2129" s="1" t="s">
        <v>1194</v>
      </c>
      <c r="B2129" s="1" t="str">
        <f>IFERROR(__xludf.DUMMYFUNCTION("SPLIT(A2129,"";"")"),"VISITE DES MALADES DANS LES ETABLISSEMENTS HOSPITALIERS DU DEPARTEMENT DE LA GIRONDE - VMEH")</f>
        <v>VISITE DES MALADES DANS LES ETABLISSEMENTS HOSPITALIERS DU DEPARTEMENT DE LA GIRONDE - VMEH</v>
      </c>
      <c r="C2129" s="3">
        <f>IFERROR(__xludf.DUMMYFUNCTION("""COMPUTED_VALUE"""),1820.0)</f>
        <v>1820</v>
      </c>
      <c r="D2129" s="1">
        <v>0.0</v>
      </c>
      <c r="E2129" s="2"/>
      <c r="F2129" s="2"/>
      <c r="G2129" s="2"/>
      <c r="H2129" s="2"/>
      <c r="I2129" s="2"/>
    </row>
    <row r="2130">
      <c r="A2130" s="1" t="s">
        <v>1195</v>
      </c>
      <c r="B2130" s="1" t="str">
        <f>IFERROR(__xludf.DUMMYFUNCTION("SPLIT(A2130,"";"")"),"VIVONS LA BASTIDE")</f>
        <v>VIVONS LA BASTIDE</v>
      </c>
      <c r="C2130" s="3">
        <f>IFERROR(__xludf.DUMMYFUNCTION("""COMPUTED_VALUE"""),1172.0)</f>
        <v>1172</v>
      </c>
      <c r="D2130" s="1">
        <v>12.0</v>
      </c>
      <c r="E2130" s="2"/>
      <c r="F2130" s="2"/>
      <c r="G2130" s="2"/>
      <c r="H2130" s="2"/>
      <c r="I2130" s="2"/>
    </row>
    <row r="2131">
      <c r="A2131" s="1" t="s">
        <v>1196</v>
      </c>
      <c r="B2131" s="1" t="str">
        <f>IFERROR(__xludf.DUMMYFUNCTION("SPLIT(A2131,"";"")"),"VIVRE A CAUDERAN")</f>
        <v>VIVRE A CAUDERAN</v>
      </c>
      <c r="C2131" s="3">
        <f>IFERROR(__xludf.DUMMYFUNCTION("""COMPUTED_VALUE"""),17985.0)</f>
        <v>17985</v>
      </c>
      <c r="D2131" s="1">
        <v>36.0</v>
      </c>
      <c r="E2131" s="2"/>
      <c r="F2131" s="2"/>
      <c r="G2131" s="2"/>
      <c r="H2131" s="2"/>
      <c r="I2131" s="2"/>
    </row>
    <row r="2132">
      <c r="A2132" s="1" t="s">
        <v>1197</v>
      </c>
      <c r="B2132" s="1" t="str">
        <f>IFERROR(__xludf.DUMMYFUNCTION("SPLIT(A2132,"";"")"),"VIVRE AVEC - SOLIDARITES INTERGENERATIONNELLES")</f>
        <v>VIVRE AVEC - SOLIDARITES INTERGENERATIONNELLES</v>
      </c>
      <c r="C2132" s="3">
        <f>IFERROR(__xludf.DUMMYFUNCTION("""COMPUTED_VALUE"""),3681.0)</f>
        <v>3681</v>
      </c>
      <c r="D2132" s="1">
        <v>0.0</v>
      </c>
      <c r="E2132" s="2"/>
      <c r="F2132" s="2"/>
      <c r="G2132" s="2"/>
      <c r="H2132" s="2"/>
      <c r="I2132" s="2"/>
    </row>
    <row r="2133">
      <c r="A2133" s="1" t="s">
        <v>1198</v>
      </c>
      <c r="B2133" s="1" t="str">
        <f>IFERROR(__xludf.DUMMYFUNCTION("SPLIT(A2133,"";"")"),"VIVRE COMME AVANT")</f>
        <v>VIVRE COMME AVANT</v>
      </c>
      <c r="C2133" s="1">
        <f>IFERROR(__xludf.DUMMYFUNCTION("""COMPUTED_VALUE"""),24.0)</f>
        <v>24</v>
      </c>
      <c r="D2133" s="1">
        <v>0.0</v>
      </c>
      <c r="E2133" s="2"/>
      <c r="F2133" s="2"/>
      <c r="G2133" s="2"/>
      <c r="H2133" s="2"/>
      <c r="I2133" s="2"/>
    </row>
    <row r="2134">
      <c r="A2134" s="1" t="s">
        <v>1199</v>
      </c>
      <c r="B2134" s="1" t="str">
        <f>IFERROR(__xludf.DUMMYFUNCTION("SPLIT(A2134,"";"")"),"VOCATION SOCIOLOGUE")</f>
        <v>VOCATION SOCIOLOGUE</v>
      </c>
      <c r="C2134" s="1">
        <f>IFERROR(__xludf.DUMMYFUNCTION("""COMPUTED_VALUE"""),888.0)</f>
        <v>888</v>
      </c>
      <c r="D2134" s="1">
        <v>26.0</v>
      </c>
      <c r="E2134" s="2"/>
      <c r="F2134" s="2"/>
      <c r="G2134" s="2"/>
      <c r="H2134" s="2"/>
      <c r="I2134" s="2"/>
    </row>
    <row r="2135">
      <c r="A2135" s="1" t="s">
        <v>1200</v>
      </c>
      <c r="B2135" s="1" t="str">
        <f>IFERROR(__xludf.DUMMYFUNCTION("SPLIT(A2135,"";"")"),"VOVINAM VIET VO DAO-CLUB DE BORDEAUX")</f>
        <v>VOVINAM VIET VO DAO-CLUB DE BORDEAUX</v>
      </c>
      <c r="C2135" s="3">
        <f>IFERROR(__xludf.DUMMYFUNCTION("""COMPUTED_VALUE"""),3024.0)</f>
        <v>3024</v>
      </c>
      <c r="D2135" s="1">
        <v>0.0</v>
      </c>
      <c r="E2135" s="2"/>
      <c r="F2135" s="2"/>
      <c r="G2135" s="2"/>
      <c r="H2135" s="2"/>
      <c r="I2135" s="2"/>
    </row>
    <row r="2136">
      <c r="A2136" s="1" t="s">
        <v>1201</v>
      </c>
      <c r="B2136" s="1" t="str">
        <f>IFERROR(__xludf.DUMMYFUNCTION("SPLIT(A2136,"";"")"),"WEJOB")</f>
        <v>WEJOB</v>
      </c>
      <c r="C2136" s="1">
        <f>IFERROR(__xludf.DUMMYFUNCTION("""COMPUTED_VALUE"""),421.0)</f>
        <v>421</v>
      </c>
      <c r="D2136" s="1">
        <v>0.0</v>
      </c>
      <c r="E2136" s="2"/>
      <c r="F2136" s="2"/>
      <c r="G2136" s="2"/>
      <c r="H2136" s="2"/>
      <c r="I2136" s="2"/>
    </row>
    <row r="2137">
      <c r="A2137" s="1" t="s">
        <v>1202</v>
      </c>
      <c r="B2137" s="1" t="str">
        <f>IFERROR(__xludf.DUMMYFUNCTION("SPLIT(A2137,"";"")"),"WISE")</f>
        <v>WISE</v>
      </c>
      <c r="C2137" s="3">
        <f>IFERROR(__xludf.DUMMYFUNCTION("""COMPUTED_VALUE"""),2152.0)</f>
        <v>2152</v>
      </c>
      <c r="D2137" s="1">
        <v>0.0</v>
      </c>
      <c r="E2137" s="2"/>
      <c r="F2137" s="2"/>
      <c r="G2137" s="2"/>
      <c r="H2137" s="2"/>
      <c r="I2137" s="2"/>
    </row>
    <row r="2138">
      <c r="A2138" s="1" t="s">
        <v>1203</v>
      </c>
      <c r="B2138" s="1" t="str">
        <f>IFERROR(__xludf.DUMMYFUNCTION("SPLIT(A2138,"";"")"),"WOUXIA CLAN")</f>
        <v>WOUXIA CLAN</v>
      </c>
      <c r="C2138" s="3">
        <f>IFERROR(__xludf.DUMMYFUNCTION("""COMPUTED_VALUE"""),1188.0)</f>
        <v>1188</v>
      </c>
      <c r="D2138" s="1">
        <v>0.0</v>
      </c>
      <c r="E2138" s="2"/>
      <c r="F2138" s="2"/>
      <c r="G2138" s="2"/>
      <c r="H2138" s="2"/>
      <c r="I2138" s="2"/>
    </row>
    <row r="2139">
      <c r="A2139" s="1" t="s">
        <v>1204</v>
      </c>
      <c r="B2139" s="1" t="str">
        <f>IFERROR(__xludf.DUMMYFUNCTION("SPLIT(A2139,"";"")"),"YA DLA JOIE ET DL'EMPLOI (YDLJE)")</f>
        <v>YA DLA JOIE ET DL'EMPLOI (YDLJE)</v>
      </c>
      <c r="C2139" s="1">
        <f>IFERROR(__xludf.DUMMYFUNCTION("""COMPUTED_VALUE"""),24.0)</f>
        <v>24</v>
      </c>
      <c r="D2139" s="1">
        <v>0.0</v>
      </c>
      <c r="E2139" s="2"/>
      <c r="F2139" s="2"/>
      <c r="G2139" s="2"/>
      <c r="H2139" s="2"/>
      <c r="I2139" s="2"/>
    </row>
    <row r="2140">
      <c r="A2140" s="1" t="s">
        <v>1205</v>
      </c>
      <c r="B2140" s="1" t="str">
        <f>IFERROR(__xludf.DUMMYFUNCTION("SPLIT(A2140,"";"")"),"YAKAFAUCON")</f>
        <v>YAKAFAUCON</v>
      </c>
      <c r="C2140" s="3">
        <f>IFERROR(__xludf.DUMMYFUNCTION("""COMPUTED_VALUE"""),1656.0)</f>
        <v>1656</v>
      </c>
      <c r="D2140" s="1">
        <v>84.0</v>
      </c>
      <c r="E2140" s="2"/>
      <c r="F2140" s="2"/>
      <c r="G2140" s="2"/>
      <c r="H2140" s="2"/>
      <c r="I2140" s="2"/>
    </row>
    <row r="2141">
      <c r="A2141" s="1" t="s">
        <v>1206</v>
      </c>
      <c r="B2141" s="1" t="str">
        <f>IFERROR(__xludf.DUMMYFUNCTION("SPLIT(A2141,"";"")"),"YAWATA ASSOCIATION DES ECHANGES DE PROCEDES ARTISTIQUES")</f>
        <v>YAWATA ASSOCIATION DES ECHANGES DE PROCEDES ARTISTIQUES</v>
      </c>
      <c r="C2141" s="1">
        <f>IFERROR(__xludf.DUMMYFUNCTION("""COMPUTED_VALUE"""),134.0)</f>
        <v>134</v>
      </c>
      <c r="D2141" s="1">
        <v>72.0</v>
      </c>
      <c r="E2141" s="2"/>
      <c r="F2141" s="2"/>
      <c r="G2141" s="2"/>
      <c r="H2141" s="2"/>
      <c r="I2141" s="2"/>
    </row>
    <row r="2142">
      <c r="A2142" s="1" t="s">
        <v>1207</v>
      </c>
      <c r="B2142" s="1" t="str">
        <f>IFERROR(__xludf.DUMMYFUNCTION("SPLIT(A2142,"";"")"),"YOBALEMA")</f>
        <v>YOBALEMA</v>
      </c>
      <c r="C2142" s="3">
        <f>IFERROR(__xludf.DUMMYFUNCTION("""COMPUTED_VALUE"""),11156.0)</f>
        <v>11156</v>
      </c>
      <c r="D2142" s="1">
        <v>6.0</v>
      </c>
      <c r="E2142" s="2"/>
      <c r="F2142" s="2"/>
      <c r="G2142" s="2"/>
      <c r="H2142" s="2"/>
      <c r="I2142" s="2"/>
    </row>
    <row r="2143">
      <c r="A2143" s="1" t="s">
        <v>1208</v>
      </c>
      <c r="B2143" s="1" t="str">
        <f>IFERROR(__xludf.DUMMYFUNCTION("SPLIT(A2143,"";"")"),"YOGA ET YOGA")</f>
        <v>YOGA ET YOGA</v>
      </c>
      <c r="C2143" s="3">
        <f>IFERROR(__xludf.DUMMYFUNCTION("""COMPUTED_VALUE"""),1173.0)</f>
        <v>1173</v>
      </c>
      <c r="D2143" s="1">
        <v>0.0</v>
      </c>
      <c r="E2143" s="2"/>
      <c r="F2143" s="2"/>
      <c r="G2143" s="2"/>
      <c r="H2143" s="2"/>
      <c r="I2143" s="2"/>
    </row>
    <row r="2144">
      <c r="A2144" s="1" t="s">
        <v>1209</v>
      </c>
      <c r="B2144" s="1" t="str">
        <f>IFERROR(__xludf.DUMMYFUNCTION("SPLIT(A2144,"";"")"),"YOGALBEDO")</f>
        <v>YOGALBEDO</v>
      </c>
      <c r="C2144" s="1">
        <f>IFERROR(__xludf.DUMMYFUNCTION("""COMPUTED_VALUE"""),379.0)</f>
        <v>379</v>
      </c>
      <c r="D2144" s="1">
        <v>0.0</v>
      </c>
      <c r="E2144" s="2"/>
      <c r="F2144" s="2"/>
      <c r="G2144" s="2"/>
      <c r="H2144" s="2"/>
      <c r="I2144" s="2"/>
    </row>
    <row r="2145">
      <c r="A2145" s="1" t="s">
        <v>1210</v>
      </c>
      <c r="B2145" s="1" t="str">
        <f>IFERROR(__xludf.DUMMYFUNCTION("SPLIT(A2145,"";"")"),"YOGHINY")</f>
        <v>YOGHINY</v>
      </c>
      <c r="C2145" s="3">
        <f>IFERROR(__xludf.DUMMYFUNCTION("""COMPUTED_VALUE"""),4266.0)</f>
        <v>4266</v>
      </c>
      <c r="D2145" s="1">
        <v>0.0</v>
      </c>
      <c r="E2145" s="2"/>
      <c r="F2145" s="2"/>
      <c r="G2145" s="2"/>
      <c r="H2145" s="2"/>
      <c r="I2145" s="2"/>
    </row>
    <row r="2146">
      <c r="A2146" s="1" t="s">
        <v>1211</v>
      </c>
      <c r="B2146" s="1" t="str">
        <f>IFERROR(__xludf.DUMMYFUNCTION("SPLIT(A2146,"";"")"),"ZANSHIN CLUB")</f>
        <v>ZANSHIN CLUB</v>
      </c>
      <c r="C2146" s="3">
        <f>IFERROR(__xludf.DUMMYFUNCTION("""COMPUTED_VALUE"""),14625.0)</f>
        <v>14625</v>
      </c>
      <c r="D2146" s="1">
        <v>0.0</v>
      </c>
      <c r="E2146" s="2"/>
      <c r="F2146" s="2"/>
      <c r="G2146" s="2"/>
      <c r="H2146" s="2"/>
      <c r="I2146" s="2"/>
    </row>
    <row r="2147">
      <c r="A2147" s="1" t="s">
        <v>1212</v>
      </c>
      <c r="B2147" s="1" t="str">
        <f>IFERROR(__xludf.DUMMYFUNCTION("SPLIT(A2147,"";"")"),"ZEBRA 3")</f>
        <v>ZEBRA 3</v>
      </c>
      <c r="C2147" s="3">
        <f>IFERROR(__xludf.DUMMYFUNCTION("""COMPUTED_VALUE"""),2200.0)</f>
        <v>2200</v>
      </c>
      <c r="D2147" s="1">
        <v>0.0</v>
      </c>
      <c r="E2147" s="2"/>
      <c r="F2147" s="2"/>
      <c r="G2147" s="2"/>
      <c r="H2147" s="2"/>
      <c r="I2147" s="2"/>
    </row>
    <row r="2148">
      <c r="A2148" s="1" t="s">
        <v>1153</v>
      </c>
      <c r="B2148" s="1" t="str">
        <f>IFERROR(__xludf.DUMMYFUNCTION("SPLIT(A2148,"";"")"),"UNION DEPARTEMENTALE DES ASSOCIATIONS FAMILIALES - UDAF")</f>
        <v>UNION DEPARTEMENTALE DES ASSOCIATIONS FAMILIALES - UDAF</v>
      </c>
      <c r="C2148" s="1">
        <f>IFERROR(__xludf.DUMMYFUNCTION("""COMPUTED_VALUE"""),400.0)</f>
        <v>400</v>
      </c>
      <c r="D2148" s="1">
        <v>0.0</v>
      </c>
      <c r="E2148" s="2"/>
      <c r="F2148" s="2"/>
      <c r="G2148" s="2"/>
      <c r="H2148" s="2"/>
      <c r="I2148" s="2"/>
    </row>
    <row r="2149">
      <c r="A2149" s="1" t="s">
        <v>1154</v>
      </c>
      <c r="B2149" s="1" t="str">
        <f>IFERROR(__xludf.DUMMYFUNCTION("SPLIT(A2149,"";"")"),"UNION DES AVEUGLES ET DEFICIENTS VISUELS")</f>
        <v>UNION DES AVEUGLES ET DEFICIENTS VISUELS</v>
      </c>
      <c r="C2149" s="3">
        <f>IFERROR(__xludf.DUMMYFUNCTION("""COMPUTED_VALUE"""),2534.0)</f>
        <v>2534</v>
      </c>
      <c r="D2149" s="1">
        <v>84.0</v>
      </c>
      <c r="E2149" s="2"/>
      <c r="F2149" s="2"/>
      <c r="G2149" s="2"/>
      <c r="H2149" s="2"/>
      <c r="I2149" s="2"/>
    </row>
    <row r="2150">
      <c r="A2150" s="1" t="s">
        <v>1155</v>
      </c>
      <c r="B2150" s="1" t="str">
        <f>IFERROR(__xludf.DUMMYFUNCTION("SPLIT(A2150,"";"")"),"UNION DES TRAVAILLEURS IVOIRIENS DE FRANCE - UTIF")</f>
        <v>UNION DES TRAVAILLEURS IVOIRIENS DE FRANCE - UTIF</v>
      </c>
      <c r="C2150" s="1">
        <f>IFERROR(__xludf.DUMMYFUNCTION("""COMPUTED_VALUE"""),302.0)</f>
        <v>302</v>
      </c>
      <c r="D2150" s="1">
        <v>0.0</v>
      </c>
      <c r="E2150" s="2"/>
      <c r="F2150" s="2"/>
      <c r="G2150" s="2"/>
      <c r="H2150" s="2"/>
      <c r="I2150" s="2"/>
    </row>
    <row r="2151">
      <c r="A2151" s="1" t="s">
        <v>1156</v>
      </c>
      <c r="B2151" s="1" t="str">
        <f>IFERROR(__xludf.DUMMYFUNCTION("SPLIT(A2151,"";"")"),"UNION GENERALE SPORTIVE DE L'ENSEIGNEMENT LIBRE DE LA GIRONDE")</f>
        <v>UNION GENERALE SPORTIVE DE L'ENSEIGNEMENT LIBRE DE LA GIRONDE</v>
      </c>
      <c r="C2151" s="3">
        <f>IFERROR(__xludf.DUMMYFUNCTION("""COMPUTED_VALUE"""),7304.0)</f>
        <v>7304</v>
      </c>
      <c r="D2151" s="1">
        <v>65.0</v>
      </c>
      <c r="E2151" s="2"/>
      <c r="F2151" s="2"/>
      <c r="G2151" s="2"/>
      <c r="H2151" s="2"/>
      <c r="I2151" s="2"/>
    </row>
    <row r="2152">
      <c r="A2152" s="1" t="s">
        <v>1157</v>
      </c>
      <c r="B2152" s="1" t="str">
        <f>IFERROR(__xludf.DUMMYFUNCTION("SPLIT(A2152,"";"")"),"UNION GIRONDINE DES RETRAITES MILITAIRES")</f>
        <v>UNION GIRONDINE DES RETRAITES MILITAIRES</v>
      </c>
      <c r="C2152" s="1"/>
      <c r="D2152" s="1" t="s">
        <v>1158</v>
      </c>
      <c r="E2152" s="1">
        <v>0.0</v>
      </c>
      <c r="F2152" s="2"/>
      <c r="G2152" s="2"/>
      <c r="H2152" s="2"/>
      <c r="I2152" s="2"/>
    </row>
    <row r="2153">
      <c r="A2153" s="1" t="s">
        <v>1159</v>
      </c>
      <c r="B2153" s="1" t="str">
        <f>IFERROR(__xludf.DUMMYFUNCTION("SPLIT(A2153,"";"")"),"UNION NATIONALE DES AMIS ET FAMILLES DE MALADES PSYCHIQUES - UNAFAM")</f>
        <v>UNION NATIONALE DES AMIS ET FAMILLES DE MALADES PSYCHIQUES - UNAFAM</v>
      </c>
      <c r="C2153" s="3">
        <f>IFERROR(__xludf.DUMMYFUNCTION("""COMPUTED_VALUE"""),2160.0)</f>
        <v>2160</v>
      </c>
      <c r="D2153" s="1">
        <v>0.0</v>
      </c>
      <c r="E2153" s="2"/>
      <c r="F2153" s="2"/>
      <c r="G2153" s="2"/>
      <c r="H2153" s="2"/>
      <c r="I2153" s="2"/>
    </row>
    <row r="2154">
      <c r="A2154" s="1" t="s">
        <v>1160</v>
      </c>
      <c r="B2154" s="1" t="str">
        <f>IFERROR(__xludf.DUMMYFUNCTION("SPLIT(A2154,"";"")"),"UNION NATIONALE DES COMBATTANTS DE BORDEAUX RIVE-DROITE - UNC")</f>
        <v>UNION NATIONALE DES COMBATTANTS DE BORDEAUX RIVE-DROITE - UNC</v>
      </c>
      <c r="C2154" s="1">
        <f>IFERROR(__xludf.DUMMYFUNCTION("""COMPUTED_VALUE"""),259.0)</f>
        <v>259</v>
      </c>
      <c r="D2154" s="1">
        <v>74.0</v>
      </c>
      <c r="E2154" s="2"/>
      <c r="F2154" s="2"/>
      <c r="G2154" s="2"/>
      <c r="H2154" s="2"/>
      <c r="I2154" s="2"/>
    </row>
    <row r="2155">
      <c r="A2155" s="1" t="s">
        <v>1161</v>
      </c>
      <c r="B2155" s="1" t="str">
        <f>IFERROR(__xludf.DUMMYFUNCTION("SPLIT(A2155,"";"")"),"UNION NATIONALE DES COMBATTANTS DE BORDEAUX-CAUDERAN-LE BOUSCAT (UNC)")</f>
        <v>UNION NATIONALE DES COMBATTANTS DE BORDEAUX-CAUDERAN-LE BOUSCAT (UNC)</v>
      </c>
      <c r="C2155" s="1">
        <f>IFERROR(__xludf.DUMMYFUNCTION("""COMPUTED_VALUE"""),496.0)</f>
        <v>496</v>
      </c>
      <c r="D2155" s="1">
        <v>0.0</v>
      </c>
      <c r="E2155" s="2"/>
      <c r="F2155" s="2"/>
      <c r="G2155" s="2"/>
      <c r="H2155" s="2"/>
      <c r="I2155" s="2"/>
    </row>
    <row r="2156">
      <c r="A2156" s="1" t="s">
        <v>1162</v>
      </c>
      <c r="B2156" s="1" t="str">
        <f>IFERROR(__xludf.DUMMYFUNCTION("SPLIT(A2156,"";"")"),"UNION NATIONALE DU SPORT SCOLAIRE - DIRECTION REGIONALE")</f>
        <v>UNION NATIONALE DU SPORT SCOLAIRE - DIRECTION REGIONALE</v>
      </c>
      <c r="C2156" s="3">
        <f>IFERROR(__xludf.DUMMYFUNCTION("""COMPUTED_VALUE"""),10888.0)</f>
        <v>10888</v>
      </c>
      <c r="D2156" s="1">
        <v>20.0</v>
      </c>
      <c r="E2156" s="2"/>
      <c r="F2156" s="2"/>
      <c r="G2156" s="2"/>
      <c r="H2156" s="2"/>
      <c r="I2156" s="2"/>
    </row>
    <row r="2157">
      <c r="A2157" s="1" t="s">
        <v>1163</v>
      </c>
      <c r="B2157" s="1" t="str">
        <f>IFERROR(__xludf.DUMMYFUNCTION("SPLIT(A2157,"";"")"),"UNION REGIONALE D'AQUITAINE DE L'UNION EUROPEENNE FEMININE SECTION FRANÇAISE")</f>
        <v>UNION REGIONALE D'AQUITAINE DE L'UNION EUROPEENNE FEMININE SECTION FRANÇAISE</v>
      </c>
      <c r="C2157" s="1">
        <f>IFERROR(__xludf.DUMMYFUNCTION("""COMPUTED_VALUE"""),58.0)</f>
        <v>58</v>
      </c>
      <c r="D2157" s="1">
        <v>0.0</v>
      </c>
      <c r="E2157" s="2"/>
      <c r="F2157" s="2"/>
      <c r="G2157" s="2"/>
      <c r="H2157" s="2"/>
      <c r="I2157" s="2"/>
    </row>
    <row r="2158">
      <c r="A2158" s="1" t="s">
        <v>1164</v>
      </c>
      <c r="B2158" s="1" t="str">
        <f>IFERROR(__xludf.DUMMYFUNCTION("SPLIT(A2158,"";"")"),"UNION REGIONALE DES INGENIEURS ET DES SCIENTIFIQUES D'AQUITAINE - URISA")</f>
        <v>UNION REGIONALE DES INGENIEURS ET DES SCIENTIFIQUES D'AQUITAINE - URISA</v>
      </c>
      <c r="C2158" s="1">
        <f>IFERROR(__xludf.DUMMYFUNCTION("""COMPUTED_VALUE"""),265.0)</f>
        <v>265</v>
      </c>
      <c r="D2158" s="1">
        <v>0.0</v>
      </c>
      <c r="E2158" s="2"/>
      <c r="F2158" s="2"/>
      <c r="G2158" s="2"/>
      <c r="H2158" s="2"/>
      <c r="I2158" s="2"/>
    </row>
    <row r="2159">
      <c r="A2159" s="1" t="s">
        <v>1165</v>
      </c>
      <c r="B2159" s="1" t="str">
        <f>IFERROR(__xludf.DUMMYFUNCTION("SPLIT(A2159,"";"")"),"UNION REGIONALE PACT HABITAT ET DEVELOPPEMENT DE LA REGION AQUITAINE")</f>
        <v>UNION REGIONALE PACT HABITAT ET DEVELOPPEMENT DE LA REGION AQUITAINE</v>
      </c>
      <c r="C2159" s="1">
        <f>IFERROR(__xludf.DUMMYFUNCTION("""COMPUTED_VALUE"""),236.0)</f>
        <v>236</v>
      </c>
      <c r="D2159" s="1">
        <v>0.0</v>
      </c>
      <c r="E2159" s="2"/>
      <c r="F2159" s="2"/>
      <c r="G2159" s="2"/>
      <c r="H2159" s="2"/>
      <c r="I2159" s="2"/>
    </row>
    <row r="2160">
      <c r="A2160" s="1" t="s">
        <v>1166</v>
      </c>
      <c r="B2160" s="1" t="str">
        <f>IFERROR(__xludf.DUMMYFUNCTION("SPLIT(A2160,"";"")"),"UNION SAINT JEAN - MAISON DE QUARTIER")</f>
        <v>UNION SAINT JEAN - MAISON DE QUARTIER</v>
      </c>
      <c r="C2160" s="3">
        <f>IFERROR(__xludf.DUMMYFUNCTION("""COMPUTED_VALUE"""),80138.0)</f>
        <v>80138</v>
      </c>
      <c r="D2160" s="1">
        <v>80.0</v>
      </c>
      <c r="E2160" s="2"/>
      <c r="F2160" s="2"/>
      <c r="G2160" s="2"/>
      <c r="H2160" s="2"/>
      <c r="I2160" s="2"/>
    </row>
    <row r="2161">
      <c r="A2161" s="1" t="s">
        <v>1167</v>
      </c>
      <c r="B2161" s="1" t="str">
        <f>IFERROR(__xludf.DUMMYFUNCTION("SPLIT(A2161,"";"")"),"UNION SAINT-BRUNO")</f>
        <v>UNION SAINT-BRUNO</v>
      </c>
      <c r="C2161" s="3">
        <f>IFERROR(__xludf.DUMMYFUNCTION("""COMPUTED_VALUE"""),739980.0)</f>
        <v>739980</v>
      </c>
      <c r="D2161" s="1">
        <v>69.0</v>
      </c>
      <c r="E2161" s="2"/>
      <c r="F2161" s="2"/>
      <c r="G2161" s="2"/>
      <c r="H2161" s="2"/>
      <c r="I2161" s="2"/>
    </row>
    <row r="2162">
      <c r="A2162" s="1" t="s">
        <v>1168</v>
      </c>
      <c r="B2162" s="1" t="str">
        <f>IFERROR(__xludf.DUMMYFUNCTION("SPLIT(A2162,"";"")"),"UNION SPORTIVE JEUNES DE SAINT-AUGUSTIN - CLUB PYRENEES-AQUITAINE (US JSA-CPA)")</f>
        <v>UNION SPORTIVE JEUNES DE SAINT-AUGUSTIN - CLUB PYRENEES-AQUITAINE (US JSA-CPA)</v>
      </c>
      <c r="C2162" s="1">
        <f>IFERROR(__xludf.DUMMYFUNCTION("""COMPUTED_VALUE"""),789.0)</f>
        <v>789</v>
      </c>
      <c r="D2162" s="1">
        <v>85.0</v>
      </c>
      <c r="E2162" s="2"/>
      <c r="F2162" s="2"/>
      <c r="G2162" s="2"/>
      <c r="H2162" s="2"/>
      <c r="I2162" s="2"/>
    </row>
    <row r="2163">
      <c r="A2163" s="1" t="s">
        <v>1169</v>
      </c>
      <c r="B2163" s="1" t="str">
        <f>IFERROR(__xludf.DUMMYFUNCTION("SPLIT(A2163,"";"")"),"UNION SPORTIVE LES CHARTRONS")</f>
        <v>UNION SPORTIVE LES CHARTRONS</v>
      </c>
      <c r="C2163" s="3">
        <f>IFERROR(__xludf.DUMMYFUNCTION("""COMPUTED_VALUE"""),180543.0)</f>
        <v>180543</v>
      </c>
      <c r="D2163" s="1">
        <v>2.0</v>
      </c>
      <c r="E2163" s="2"/>
      <c r="F2163" s="2"/>
      <c r="G2163" s="2"/>
      <c r="H2163" s="2"/>
      <c r="I2163" s="2"/>
    </row>
    <row r="2164">
      <c r="A2164" s="1" t="s">
        <v>1170</v>
      </c>
      <c r="B2164" s="1" t="str">
        <f>IFERROR(__xludf.DUMMYFUNCTION("SPLIT(A2164,"";"")"),"UNIS CITE")</f>
        <v>UNIS CITE</v>
      </c>
      <c r="C2164" s="3">
        <f>IFERROR(__xludf.DUMMYFUNCTION("""COMPUTED_VALUE"""),2882.0)</f>
        <v>2882</v>
      </c>
      <c r="D2164" s="1">
        <v>66.0</v>
      </c>
      <c r="E2164" s="2"/>
      <c r="F2164" s="2"/>
      <c r="G2164" s="2"/>
      <c r="H2164" s="2"/>
      <c r="I2164" s="2"/>
    </row>
    <row r="2165">
      <c r="A2165" s="1" t="s">
        <v>1171</v>
      </c>
      <c r="B2165" s="1" t="str">
        <f>IFERROR(__xludf.DUMMYFUNCTION("SPLIT(A2165,"";"")"),"UNIVERSEUL")</f>
        <v>UNIVERSEUL</v>
      </c>
      <c r="C2165" s="1">
        <f>IFERROR(__xludf.DUMMYFUNCTION("""COMPUTED_VALUE"""),18.0)</f>
        <v>18</v>
      </c>
      <c r="D2165" s="1">
        <v>0.0</v>
      </c>
      <c r="E2165" s="2"/>
      <c r="F2165" s="2"/>
      <c r="G2165" s="2"/>
      <c r="H2165" s="2"/>
      <c r="I2165" s="2"/>
    </row>
    <row r="2166">
      <c r="A2166" s="1" t="s">
        <v>1172</v>
      </c>
      <c r="B2166" s="1" t="str">
        <f>IFERROR(__xludf.DUMMYFUNCTION("SPLIT(A2166,"";"")"),"UNIVERSITE BORDEAUX MONTAIGNE BORDEAUX III - BIBLIOTHEQUE FRANCO-ALLEMANDE (BIFA)")</f>
        <v>UNIVERSITE BORDEAUX MONTAIGNE BORDEAUX III - BIBLIOTHEQUE FRANCO-ALLEMANDE (BIFA)</v>
      </c>
      <c r="C2166" s="1">
        <f>IFERROR(__xludf.DUMMYFUNCTION("""COMPUTED_VALUE"""),251.0)</f>
        <v>251</v>
      </c>
      <c r="D2166" s="1">
        <v>89.0</v>
      </c>
      <c r="E2166" s="2"/>
      <c r="F2166" s="2"/>
      <c r="G2166" s="2"/>
      <c r="H2166" s="2"/>
      <c r="I2166" s="2"/>
    </row>
    <row r="2167">
      <c r="A2167" s="1" t="s">
        <v>1173</v>
      </c>
      <c r="B2167" s="1" t="str">
        <f>IFERROR(__xludf.DUMMYFUNCTION("SPLIT(A2167,"";"")"),"UNIVERSITE DE BORDEAUX")</f>
        <v>UNIVERSITE DE BORDEAUX</v>
      </c>
      <c r="C2167" s="3">
        <f>IFERROR(__xludf.DUMMYFUNCTION("""COMPUTED_VALUE"""),17411.0)</f>
        <v>17411</v>
      </c>
      <c r="D2167" s="1">
        <v>50.0</v>
      </c>
      <c r="E2167" s="2"/>
      <c r="F2167" s="2"/>
      <c r="G2167" s="2"/>
      <c r="H2167" s="2"/>
      <c r="I2167" s="2"/>
    </row>
    <row r="2168">
      <c r="A2168" s="1" t="s">
        <v>1174</v>
      </c>
      <c r="B2168" s="1" t="str">
        <f>IFERROR(__xludf.DUMMYFUNCTION("SPLIT(A2168,"";"")"),"UNIVERSITE POPULAIRE DE BORDEAUX - UPB")</f>
        <v>UNIVERSITE POPULAIRE DE BORDEAUX - UPB</v>
      </c>
      <c r="C2168" s="1">
        <f>IFERROR(__xludf.DUMMYFUNCTION("""COMPUTED_VALUE"""),657.0)</f>
        <v>657</v>
      </c>
      <c r="D2168" s="1">
        <v>0.0</v>
      </c>
      <c r="E2168" s="2"/>
      <c r="F2168" s="2"/>
      <c r="G2168" s="2"/>
      <c r="H2168" s="2"/>
      <c r="I2168" s="2"/>
    </row>
    <row r="2169">
      <c r="A2169" s="1" t="s">
        <v>1175</v>
      </c>
      <c r="B2169" s="1" t="str">
        <f>IFERROR(__xludf.DUMMYFUNCTION("SPLIT(A2169,"";"")"),"URBAN VIBRATIONS SCHOOL")</f>
        <v>URBAN VIBRATIONS SCHOOL</v>
      </c>
      <c r="C2169" s="1">
        <f>IFERROR(__xludf.DUMMYFUNCTION("""COMPUTED_VALUE"""),511.0)</f>
        <v>511</v>
      </c>
      <c r="D2169" s="1">
        <v>2.0</v>
      </c>
      <c r="E2169" s="2"/>
      <c r="F2169" s="2"/>
      <c r="G2169" s="2"/>
      <c r="H2169" s="2"/>
      <c r="I2169" s="2"/>
    </row>
    <row r="2170">
      <c r="A2170" s="1" t="s">
        <v>1176</v>
      </c>
      <c r="B2170" s="1" t="str">
        <f>IFERROR(__xludf.DUMMYFUNCTION("SPLIT(A2170,"";"")"),"URPS - AQUITAINE")</f>
        <v>URPS - AQUITAINE</v>
      </c>
      <c r="C2170" s="1">
        <f>IFERROR(__xludf.DUMMYFUNCTION("""COMPUTED_VALUE"""),774.0)</f>
        <v>774</v>
      </c>
      <c r="D2170" s="1">
        <v>0.0</v>
      </c>
      <c r="E2170" s="2"/>
      <c r="F2170" s="2"/>
      <c r="G2170" s="2"/>
      <c r="H2170" s="2"/>
      <c r="I2170" s="2"/>
    </row>
    <row r="2171">
      <c r="A2171" s="1" t="s">
        <v>1177</v>
      </c>
      <c r="B2171" s="1" t="str">
        <f>IFERROR(__xludf.DUMMYFUNCTION("SPLIT(A2171,"";"")"),"UTOPIA")</f>
        <v>UTOPIA</v>
      </c>
      <c r="C2171" s="1">
        <f>IFERROR(__xludf.DUMMYFUNCTION("""COMPUTED_VALUE"""),24.0)</f>
        <v>24</v>
      </c>
      <c r="D2171" s="1">
        <v>0.0</v>
      </c>
      <c r="E2171" s="2"/>
      <c r="F2171" s="2"/>
      <c r="G2171" s="2"/>
      <c r="H2171" s="2"/>
      <c r="I2171" s="2"/>
    </row>
    <row r="2172">
      <c r="A2172" s="1" t="s">
        <v>1178</v>
      </c>
      <c r="B2172" s="1" t="str">
        <f>IFERROR(__xludf.DUMMYFUNCTION("SPLIT(A2172,"";"")"),"VA K BAND")</f>
        <v>VA K BAND</v>
      </c>
      <c r="C2172" s="1">
        <f>IFERROR(__xludf.DUMMYFUNCTION("""COMPUTED_VALUE"""),645.0)</f>
        <v>645</v>
      </c>
      <c r="D2172" s="1">
        <v>0.0</v>
      </c>
      <c r="E2172" s="2"/>
      <c r="F2172" s="2"/>
      <c r="G2172" s="2"/>
      <c r="H2172" s="2"/>
      <c r="I2172" s="2"/>
    </row>
    <row r="2173">
      <c r="A2173" s="1" t="s">
        <v>1179</v>
      </c>
      <c r="B2173" s="1" t="str">
        <f>IFERROR(__xludf.DUMMYFUNCTION("SPLIT(A2173,"";"")"),"VACANCES ANIMATION LOISIRS TOURISME DE LA GIRONDE")</f>
        <v>VACANCES ANIMATION LOISIRS TOURISME DE LA GIRONDE</v>
      </c>
      <c r="C2173" s="1">
        <f>IFERROR(__xludf.DUMMYFUNCTION("""COMPUTED_VALUE"""),281.0)</f>
        <v>281</v>
      </c>
      <c r="D2173" s="1">
        <v>0.0</v>
      </c>
      <c r="E2173" s="2"/>
      <c r="F2173" s="2"/>
      <c r="G2173" s="2"/>
      <c r="H2173" s="2"/>
      <c r="I2173" s="2"/>
    </row>
    <row r="2174">
      <c r="A2174" s="1" t="s">
        <v>1180</v>
      </c>
      <c r="B2174" s="1" t="str">
        <f>IFERROR(__xludf.DUMMYFUNCTION("SPLIT(A2174,"";"")"),"VACANCES TOURISME FAMILLES - VTF")</f>
        <v>VACANCES TOURISME FAMILLES - VTF</v>
      </c>
      <c r="C2174" s="1">
        <f>IFERROR(__xludf.DUMMYFUNCTION("""COMPUTED_VALUE"""),178.0)</f>
        <v>178</v>
      </c>
      <c r="D2174" s="1">
        <v>0.0</v>
      </c>
      <c r="E2174" s="2"/>
      <c r="F2174" s="2"/>
      <c r="G2174" s="2"/>
      <c r="H2174" s="2"/>
      <c r="I2174" s="2"/>
    </row>
    <row r="2175">
      <c r="A2175" s="1" t="s">
        <v>1181</v>
      </c>
      <c r="B2175" s="1" t="str">
        <f>IFERROR(__xludf.DUMMYFUNCTION("SPLIT(A2175,"";"")"),"VAHINE ORA")</f>
        <v>VAHINE ORA</v>
      </c>
      <c r="C2175" s="1">
        <f>IFERROR(__xludf.DUMMYFUNCTION("""COMPUTED_VALUE"""),774.0)</f>
        <v>774</v>
      </c>
      <c r="D2175" s="1">
        <v>0.0</v>
      </c>
      <c r="E2175" s="2"/>
      <c r="F2175" s="2"/>
      <c r="G2175" s="2"/>
      <c r="H2175" s="2"/>
      <c r="I2175" s="2"/>
    </row>
    <row r="2176">
      <c r="A2176" s="1" t="s">
        <v>1182</v>
      </c>
      <c r="B2176" s="1" t="str">
        <f>IFERROR(__xludf.DUMMYFUNCTION("SPLIT(A2176,"";"")"),"VARIANCE MELODIE")</f>
        <v>VARIANCE MELODIE</v>
      </c>
      <c r="C2176" s="3">
        <f>IFERROR(__xludf.DUMMYFUNCTION("""COMPUTED_VALUE"""),10455.0)</f>
        <v>10455</v>
      </c>
      <c r="D2176" s="1">
        <v>0.0</v>
      </c>
      <c r="E2176" s="2"/>
      <c r="F2176" s="2"/>
      <c r="G2176" s="2"/>
      <c r="H2176" s="2"/>
      <c r="I2176" s="2"/>
    </row>
    <row r="2177">
      <c r="A2177" s="1" t="s">
        <v>1183</v>
      </c>
      <c r="B2177" s="1" t="str">
        <f>IFERROR(__xludf.DUMMYFUNCTION("SPLIT(A2177,"";"")"),"VELO CITE")</f>
        <v>VELO CITE</v>
      </c>
      <c r="C2177" s="3">
        <f>IFERROR(__xludf.DUMMYFUNCTION("""COMPUTED_VALUE"""),1683.0)</f>
        <v>1683</v>
      </c>
      <c r="D2177" s="1">
        <v>76.0</v>
      </c>
      <c r="E2177" s="2"/>
      <c r="F2177" s="2"/>
      <c r="G2177" s="2"/>
      <c r="H2177" s="2"/>
      <c r="I2177" s="2"/>
    </row>
    <row r="2178">
      <c r="A2178" s="1" t="s">
        <v>1184</v>
      </c>
      <c r="B2178" s="1" t="str">
        <f>IFERROR(__xludf.DUMMYFUNCTION("SPLIT(A2178,"";"")"),"VIE ET TRAVAIL A BORDEAUX BACALAN")</f>
        <v>VIE ET TRAVAIL A BORDEAUX BACALAN</v>
      </c>
      <c r="C2178" s="3">
        <f>IFERROR(__xludf.DUMMYFUNCTION("""COMPUTED_VALUE"""),2186.0)</f>
        <v>2186</v>
      </c>
      <c r="D2178" s="1">
        <v>0.0</v>
      </c>
      <c r="E2178" s="2"/>
      <c r="F2178" s="2"/>
      <c r="G2178" s="2"/>
      <c r="H2178" s="2"/>
      <c r="I2178" s="2"/>
    </row>
    <row r="2179">
      <c r="A2179" s="1" t="s">
        <v>1185</v>
      </c>
      <c r="B2179" s="1" t="str">
        <f>IFERROR(__xludf.DUMMYFUNCTION("SPLIT(A2179,"";"")"),"VIE LIBRE")</f>
        <v>VIE LIBRE</v>
      </c>
      <c r="C2179" s="3">
        <f>IFERROR(__xludf.DUMMYFUNCTION("""COMPUTED_VALUE"""),1128.0)</f>
        <v>1128</v>
      </c>
      <c r="D2179" s="1">
        <v>0.0</v>
      </c>
      <c r="E2179" s="2"/>
      <c r="F2179" s="2"/>
      <c r="G2179" s="2"/>
      <c r="H2179" s="2"/>
      <c r="I2179" s="2"/>
    </row>
    <row r="2180">
      <c r="A2180" s="1" t="s">
        <v>1186</v>
      </c>
      <c r="B2180" s="1" t="str">
        <f>IFERROR(__xludf.DUMMYFUNCTION("SPLIT(A2180,"";"")"),"VILLA 88")</f>
        <v>VILLA 88</v>
      </c>
      <c r="C2180" s="1">
        <f>IFERROR(__xludf.DUMMYFUNCTION("""COMPUTED_VALUE"""),710.0)</f>
        <v>710</v>
      </c>
      <c r="D2180" s="1">
        <v>28.0</v>
      </c>
      <c r="E2180" s="2"/>
      <c r="F2180" s="2"/>
      <c r="G2180" s="2"/>
      <c r="H2180" s="2"/>
      <c r="I2180" s="2"/>
    </row>
    <row r="2181">
      <c r="A2181" s="1" t="s">
        <v>1187</v>
      </c>
      <c r="B2181" s="1" t="str">
        <f>IFERROR(__xludf.DUMMYFUNCTION("SPLIT(A2181,"";"")"),"VILLA PRIMROSE")</f>
        <v>VILLA PRIMROSE</v>
      </c>
      <c r="C2181" s="3">
        <f>IFERROR(__xludf.DUMMYFUNCTION("""COMPUTED_VALUE"""),58390.0)</f>
        <v>58390</v>
      </c>
      <c r="D2181" s="1">
        <v>13.0</v>
      </c>
      <c r="E2181" s="2"/>
      <c r="F2181" s="2"/>
      <c r="G2181" s="2"/>
      <c r="H2181" s="2"/>
      <c r="I2181" s="2"/>
    </row>
    <row r="2182">
      <c r="A2182" s="1" t="s">
        <v>1188</v>
      </c>
      <c r="B2182" s="1" t="str">
        <f>IFERROR(__xludf.DUMMYFUNCTION("SPLIT(A2182,"";"")"),"VILLAGE D'AUDEGE")</f>
        <v>VILLAGE D'AUDEGE</v>
      </c>
      <c r="C2182" s="1">
        <f>IFERROR(__xludf.DUMMYFUNCTION("""COMPUTED_VALUE"""),259.0)</f>
        <v>259</v>
      </c>
      <c r="D2182" s="1">
        <v>80.0</v>
      </c>
      <c r="E2182" s="2"/>
      <c r="F2182" s="2"/>
      <c r="G2182" s="2"/>
      <c r="H2182" s="2"/>
      <c r="I2182" s="2"/>
    </row>
    <row r="2183">
      <c r="A2183" s="1" t="s">
        <v>1189</v>
      </c>
      <c r="B2183" s="1" t="str">
        <f>IFERROR(__xludf.DUMMYFUNCTION("SPLIT(A2183,"";"")"),"VILLAGE DE LA GROSSE CLOCHE")</f>
        <v>VILLAGE DE LA GROSSE CLOCHE</v>
      </c>
      <c r="C2183" s="3">
        <f>IFERROR(__xludf.DUMMYFUNCTION("""COMPUTED_VALUE"""),8377.0)</f>
        <v>8377</v>
      </c>
      <c r="D2183" s="1">
        <v>59.0</v>
      </c>
      <c r="E2183" s="2"/>
      <c r="F2183" s="2"/>
      <c r="G2183" s="2"/>
      <c r="H2183" s="2"/>
      <c r="I2183" s="2"/>
    </row>
    <row r="2184">
      <c r="A2184" s="1" t="s">
        <v>1190</v>
      </c>
      <c r="B2184" s="1" t="str">
        <f>IFERROR(__xludf.DUMMYFUNCTION("SPLIT(A2184,"";"")"),"V'INSEEC BORDEAUX")</f>
        <v>V'INSEEC BORDEAUX</v>
      </c>
      <c r="C2184" s="1"/>
      <c r="D2184" s="1" t="s">
        <v>1191</v>
      </c>
      <c r="E2184" s="1">
        <v>71.0</v>
      </c>
      <c r="F2184" s="2"/>
      <c r="G2184" s="2"/>
      <c r="H2184" s="2"/>
      <c r="I2184" s="2"/>
    </row>
    <row r="2185">
      <c r="A2185" s="1" t="s">
        <v>1192</v>
      </c>
      <c r="B2185" s="1" t="str">
        <f>IFERROR(__xludf.DUMMYFUNCTION("SPLIT(A2185,"";"")"),"VISIONS CROISEES")</f>
        <v>VISIONS CROISEES</v>
      </c>
      <c r="C2185" s="1">
        <f>IFERROR(__xludf.DUMMYFUNCTION("""COMPUTED_VALUE"""),120.0)</f>
        <v>120</v>
      </c>
      <c r="D2185" s="1">
        <v>0.0</v>
      </c>
      <c r="E2185" s="2"/>
      <c r="F2185" s="2"/>
      <c r="G2185" s="2"/>
      <c r="H2185" s="2"/>
      <c r="I2185" s="2"/>
    </row>
    <row r="2186">
      <c r="A2186" s="1" t="s">
        <v>1193</v>
      </c>
      <c r="B2186" s="1" t="str">
        <f>IFERROR(__xludf.DUMMYFUNCTION("SPLIT(A2186,"";"")"),"VISIONS PARTAGEES")</f>
        <v>VISIONS PARTAGEES</v>
      </c>
      <c r="C2186" s="1">
        <f>IFERROR(__xludf.DUMMYFUNCTION("""COMPUTED_VALUE"""),768.0)</f>
        <v>768</v>
      </c>
      <c r="D2186" s="1">
        <v>0.0</v>
      </c>
      <c r="E2186" s="2"/>
      <c r="F2186" s="2"/>
      <c r="G2186" s="2"/>
      <c r="H2186" s="2"/>
      <c r="I2186" s="2"/>
    </row>
    <row r="2187">
      <c r="A2187" s="1" t="s">
        <v>1194</v>
      </c>
      <c r="B2187" s="1" t="str">
        <f>IFERROR(__xludf.DUMMYFUNCTION("SPLIT(A2187,"";"")"),"VISITE DES MALADES DANS LES ETABLISSEMENTS HOSPITALIERS DU DEPARTEMENT DE LA GIRONDE - VMEH")</f>
        <v>VISITE DES MALADES DANS LES ETABLISSEMENTS HOSPITALIERS DU DEPARTEMENT DE LA GIRONDE - VMEH</v>
      </c>
      <c r="C2187" s="3">
        <f>IFERROR(__xludf.DUMMYFUNCTION("""COMPUTED_VALUE"""),1820.0)</f>
        <v>1820</v>
      </c>
      <c r="D2187" s="1">
        <v>0.0</v>
      </c>
      <c r="E2187" s="2"/>
      <c r="F2187" s="2"/>
      <c r="G2187" s="2"/>
      <c r="H2187" s="2"/>
      <c r="I2187" s="2"/>
    </row>
    <row r="2188">
      <c r="A2188" s="1" t="s">
        <v>1195</v>
      </c>
      <c r="B2188" s="1" t="str">
        <f>IFERROR(__xludf.DUMMYFUNCTION("SPLIT(A2188,"";"")"),"VIVONS LA BASTIDE")</f>
        <v>VIVONS LA BASTIDE</v>
      </c>
      <c r="C2188" s="3">
        <f>IFERROR(__xludf.DUMMYFUNCTION("""COMPUTED_VALUE"""),1172.0)</f>
        <v>1172</v>
      </c>
      <c r="D2188" s="1">
        <v>12.0</v>
      </c>
      <c r="E2188" s="2"/>
      <c r="F2188" s="2"/>
      <c r="G2188" s="2"/>
      <c r="H2188" s="2"/>
      <c r="I2188" s="2"/>
    </row>
    <row r="2189">
      <c r="A2189" s="1" t="s">
        <v>1196</v>
      </c>
      <c r="B2189" s="1" t="str">
        <f>IFERROR(__xludf.DUMMYFUNCTION("SPLIT(A2189,"";"")"),"VIVRE A CAUDERAN")</f>
        <v>VIVRE A CAUDERAN</v>
      </c>
      <c r="C2189" s="3">
        <f>IFERROR(__xludf.DUMMYFUNCTION("""COMPUTED_VALUE"""),17985.0)</f>
        <v>17985</v>
      </c>
      <c r="D2189" s="1">
        <v>36.0</v>
      </c>
      <c r="E2189" s="2"/>
      <c r="F2189" s="2"/>
      <c r="G2189" s="2"/>
      <c r="H2189" s="2"/>
      <c r="I2189" s="2"/>
    </row>
    <row r="2190">
      <c r="A2190" s="1" t="s">
        <v>1197</v>
      </c>
      <c r="B2190" s="1" t="str">
        <f>IFERROR(__xludf.DUMMYFUNCTION("SPLIT(A2190,"";"")"),"VIVRE AVEC - SOLIDARITES INTERGENERATIONNELLES")</f>
        <v>VIVRE AVEC - SOLIDARITES INTERGENERATIONNELLES</v>
      </c>
      <c r="C2190" s="3">
        <f>IFERROR(__xludf.DUMMYFUNCTION("""COMPUTED_VALUE"""),3681.0)</f>
        <v>3681</v>
      </c>
      <c r="D2190" s="1">
        <v>0.0</v>
      </c>
      <c r="E2190" s="2"/>
      <c r="F2190" s="2"/>
      <c r="G2190" s="2"/>
      <c r="H2190" s="2"/>
      <c r="I2190" s="2"/>
    </row>
    <row r="2191">
      <c r="A2191" s="1" t="s">
        <v>1198</v>
      </c>
      <c r="B2191" s="1" t="str">
        <f>IFERROR(__xludf.DUMMYFUNCTION("SPLIT(A2191,"";"")"),"VIVRE COMME AVANT")</f>
        <v>VIVRE COMME AVANT</v>
      </c>
      <c r="C2191" s="1">
        <f>IFERROR(__xludf.DUMMYFUNCTION("""COMPUTED_VALUE"""),24.0)</f>
        <v>24</v>
      </c>
      <c r="D2191" s="1">
        <v>0.0</v>
      </c>
      <c r="E2191" s="2"/>
      <c r="F2191" s="2"/>
      <c r="G2191" s="2"/>
      <c r="H2191" s="2"/>
      <c r="I2191" s="2"/>
    </row>
    <row r="2192">
      <c r="A2192" s="1" t="s">
        <v>1199</v>
      </c>
      <c r="B2192" s="1" t="str">
        <f>IFERROR(__xludf.DUMMYFUNCTION("SPLIT(A2192,"";"")"),"VOCATION SOCIOLOGUE")</f>
        <v>VOCATION SOCIOLOGUE</v>
      </c>
      <c r="C2192" s="1">
        <f>IFERROR(__xludf.DUMMYFUNCTION("""COMPUTED_VALUE"""),888.0)</f>
        <v>888</v>
      </c>
      <c r="D2192" s="1">
        <v>26.0</v>
      </c>
      <c r="E2192" s="2"/>
      <c r="F2192" s="2"/>
      <c r="G2192" s="2"/>
      <c r="H2192" s="2"/>
      <c r="I2192" s="2"/>
    </row>
    <row r="2193">
      <c r="A2193" s="1" t="s">
        <v>1200</v>
      </c>
      <c r="B2193" s="1" t="str">
        <f>IFERROR(__xludf.DUMMYFUNCTION("SPLIT(A2193,"";"")"),"VOVINAM VIET VO DAO-CLUB DE BORDEAUX")</f>
        <v>VOVINAM VIET VO DAO-CLUB DE BORDEAUX</v>
      </c>
      <c r="C2193" s="3">
        <f>IFERROR(__xludf.DUMMYFUNCTION("""COMPUTED_VALUE"""),3024.0)</f>
        <v>3024</v>
      </c>
      <c r="D2193" s="1">
        <v>0.0</v>
      </c>
      <c r="E2193" s="2"/>
      <c r="F2193" s="2"/>
      <c r="G2193" s="2"/>
      <c r="H2193" s="2"/>
      <c r="I2193" s="2"/>
    </row>
    <row r="2194">
      <c r="A2194" s="1" t="s">
        <v>1201</v>
      </c>
      <c r="B2194" s="1" t="str">
        <f>IFERROR(__xludf.DUMMYFUNCTION("SPLIT(A2194,"";"")"),"WEJOB")</f>
        <v>WEJOB</v>
      </c>
      <c r="C2194" s="1">
        <f>IFERROR(__xludf.DUMMYFUNCTION("""COMPUTED_VALUE"""),421.0)</f>
        <v>421</v>
      </c>
      <c r="D2194" s="1">
        <v>0.0</v>
      </c>
      <c r="E2194" s="2"/>
      <c r="F2194" s="2"/>
      <c r="G2194" s="2"/>
      <c r="H2194" s="2"/>
      <c r="I2194" s="2"/>
    </row>
    <row r="2195">
      <c r="A2195" s="1" t="s">
        <v>1202</v>
      </c>
      <c r="B2195" s="1" t="str">
        <f>IFERROR(__xludf.DUMMYFUNCTION("SPLIT(A2195,"";"")"),"WISE")</f>
        <v>WISE</v>
      </c>
      <c r="C2195" s="3">
        <f>IFERROR(__xludf.DUMMYFUNCTION("""COMPUTED_VALUE"""),2152.0)</f>
        <v>2152</v>
      </c>
      <c r="D2195" s="1">
        <v>0.0</v>
      </c>
      <c r="E2195" s="2"/>
      <c r="F2195" s="2"/>
      <c r="G2195" s="2"/>
      <c r="H2195" s="2"/>
      <c r="I2195" s="2"/>
    </row>
    <row r="2196">
      <c r="A2196" s="1" t="s">
        <v>1203</v>
      </c>
      <c r="B2196" s="1" t="str">
        <f>IFERROR(__xludf.DUMMYFUNCTION("SPLIT(A2196,"";"")"),"WOUXIA CLAN")</f>
        <v>WOUXIA CLAN</v>
      </c>
      <c r="C2196" s="3">
        <f>IFERROR(__xludf.DUMMYFUNCTION("""COMPUTED_VALUE"""),1188.0)</f>
        <v>1188</v>
      </c>
      <c r="D2196" s="1">
        <v>0.0</v>
      </c>
      <c r="E2196" s="2"/>
      <c r="F2196" s="2"/>
      <c r="G2196" s="2"/>
      <c r="H2196" s="2"/>
      <c r="I2196" s="2"/>
    </row>
    <row r="2197">
      <c r="A2197" s="1" t="s">
        <v>1204</v>
      </c>
      <c r="B2197" s="1" t="str">
        <f>IFERROR(__xludf.DUMMYFUNCTION("SPLIT(A2197,"";"")"),"YA DLA JOIE ET DL'EMPLOI (YDLJE)")</f>
        <v>YA DLA JOIE ET DL'EMPLOI (YDLJE)</v>
      </c>
      <c r="C2197" s="1">
        <f>IFERROR(__xludf.DUMMYFUNCTION("""COMPUTED_VALUE"""),24.0)</f>
        <v>24</v>
      </c>
      <c r="D2197" s="1">
        <v>0.0</v>
      </c>
      <c r="E2197" s="2"/>
      <c r="F2197" s="2"/>
      <c r="G2197" s="2"/>
      <c r="H2197" s="2"/>
      <c r="I2197" s="2"/>
    </row>
    <row r="2198">
      <c r="A2198" s="1" t="s">
        <v>1205</v>
      </c>
      <c r="B2198" s="1" t="str">
        <f>IFERROR(__xludf.DUMMYFUNCTION("SPLIT(A2198,"";"")"),"YAKAFAUCON")</f>
        <v>YAKAFAUCON</v>
      </c>
      <c r="C2198" s="3">
        <f>IFERROR(__xludf.DUMMYFUNCTION("""COMPUTED_VALUE"""),1656.0)</f>
        <v>1656</v>
      </c>
      <c r="D2198" s="1">
        <v>84.0</v>
      </c>
      <c r="E2198" s="2"/>
      <c r="F2198" s="2"/>
      <c r="G2198" s="2"/>
      <c r="H2198" s="2"/>
      <c r="I2198" s="2"/>
    </row>
    <row r="2199">
      <c r="A2199" s="1" t="s">
        <v>1206</v>
      </c>
      <c r="B2199" s="1" t="str">
        <f>IFERROR(__xludf.DUMMYFUNCTION("SPLIT(A2199,"";"")"),"YAWATA ASSOCIATION DES ECHANGES DE PROCEDES ARTISTIQUES")</f>
        <v>YAWATA ASSOCIATION DES ECHANGES DE PROCEDES ARTISTIQUES</v>
      </c>
      <c r="C2199" s="1">
        <f>IFERROR(__xludf.DUMMYFUNCTION("""COMPUTED_VALUE"""),134.0)</f>
        <v>134</v>
      </c>
      <c r="D2199" s="1">
        <v>72.0</v>
      </c>
      <c r="E2199" s="2"/>
      <c r="F2199" s="2"/>
      <c r="G2199" s="2"/>
      <c r="H2199" s="2"/>
      <c r="I2199" s="2"/>
    </row>
    <row r="2200">
      <c r="A2200" s="1" t="s">
        <v>1207</v>
      </c>
      <c r="B2200" s="1" t="str">
        <f>IFERROR(__xludf.DUMMYFUNCTION("SPLIT(A2200,"";"")"),"YOBALEMA")</f>
        <v>YOBALEMA</v>
      </c>
      <c r="C2200" s="3">
        <f>IFERROR(__xludf.DUMMYFUNCTION("""COMPUTED_VALUE"""),11156.0)</f>
        <v>11156</v>
      </c>
      <c r="D2200" s="1">
        <v>6.0</v>
      </c>
      <c r="E2200" s="2"/>
      <c r="F2200" s="2"/>
      <c r="G2200" s="2"/>
      <c r="H2200" s="2"/>
      <c r="I2200" s="2"/>
    </row>
    <row r="2201">
      <c r="A2201" s="1" t="s">
        <v>1208</v>
      </c>
      <c r="B2201" s="1" t="str">
        <f>IFERROR(__xludf.DUMMYFUNCTION("SPLIT(A2201,"";"")"),"YOGA ET YOGA")</f>
        <v>YOGA ET YOGA</v>
      </c>
      <c r="C2201" s="3">
        <f>IFERROR(__xludf.DUMMYFUNCTION("""COMPUTED_VALUE"""),1173.0)</f>
        <v>1173</v>
      </c>
      <c r="D2201" s="1">
        <v>0.0</v>
      </c>
      <c r="E2201" s="2"/>
      <c r="F2201" s="2"/>
      <c r="G2201" s="2"/>
      <c r="H2201" s="2"/>
      <c r="I2201" s="2"/>
    </row>
    <row r="2202">
      <c r="A2202" s="1" t="s">
        <v>1209</v>
      </c>
      <c r="B2202" s="1" t="str">
        <f>IFERROR(__xludf.DUMMYFUNCTION("SPLIT(A2202,"";"")"),"YOGALBEDO")</f>
        <v>YOGALBEDO</v>
      </c>
      <c r="C2202" s="1">
        <f>IFERROR(__xludf.DUMMYFUNCTION("""COMPUTED_VALUE"""),379.0)</f>
        <v>379</v>
      </c>
      <c r="D2202" s="1">
        <v>0.0</v>
      </c>
      <c r="E2202" s="2"/>
      <c r="F2202" s="2"/>
      <c r="G2202" s="2"/>
      <c r="H2202" s="2"/>
      <c r="I2202" s="2"/>
    </row>
    <row r="2203">
      <c r="A2203" s="1" t="s">
        <v>1210</v>
      </c>
      <c r="B2203" s="1" t="str">
        <f>IFERROR(__xludf.DUMMYFUNCTION("SPLIT(A2203,"";"")"),"YOGHINY")</f>
        <v>YOGHINY</v>
      </c>
      <c r="C2203" s="3">
        <f>IFERROR(__xludf.DUMMYFUNCTION("""COMPUTED_VALUE"""),4266.0)</f>
        <v>4266</v>
      </c>
      <c r="D2203" s="1">
        <v>0.0</v>
      </c>
      <c r="E2203" s="2"/>
      <c r="F2203" s="2"/>
      <c r="G2203" s="2"/>
      <c r="H2203" s="2"/>
      <c r="I2203" s="2"/>
    </row>
    <row r="2204">
      <c r="A2204" s="1" t="s">
        <v>1211</v>
      </c>
      <c r="B2204" s="1" t="str">
        <f>IFERROR(__xludf.DUMMYFUNCTION("SPLIT(A2204,"";"")"),"ZANSHIN CLUB")</f>
        <v>ZANSHIN CLUB</v>
      </c>
      <c r="C2204" s="3">
        <f>IFERROR(__xludf.DUMMYFUNCTION("""COMPUTED_VALUE"""),14625.0)</f>
        <v>14625</v>
      </c>
      <c r="D2204" s="1">
        <v>0.0</v>
      </c>
      <c r="E2204" s="2"/>
      <c r="F2204" s="2"/>
      <c r="G2204" s="2"/>
      <c r="H2204" s="2"/>
      <c r="I2204" s="2"/>
    </row>
    <row r="2205">
      <c r="A2205" s="1" t="s">
        <v>1212</v>
      </c>
      <c r="B2205" s="1" t="str">
        <f>IFERROR(__xludf.DUMMYFUNCTION("SPLIT(A2205,"";"")"),"ZEBRA 3")</f>
        <v>ZEBRA 3</v>
      </c>
      <c r="C2205" s="3">
        <f>IFERROR(__xludf.DUMMYFUNCTION("""COMPUTED_VALUE"""),2200.0)</f>
        <v>2200</v>
      </c>
      <c r="D2205" s="1">
        <v>0.0</v>
      </c>
      <c r="E2205" s="2"/>
      <c r="F2205" s="2"/>
      <c r="G2205" s="2"/>
      <c r="H2205" s="2"/>
      <c r="I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</row>
  </sheetData>
  <conditionalFormatting sqref="B1:D2207">
    <cfRule type="cellIs" dxfId="0" priority="1" operator="greater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4.0"/>
    <col customWidth="1" min="3" max="3" width="30.38"/>
  </cols>
  <sheetData>
    <row r="1">
      <c r="A1" s="1" t="s">
        <v>0</v>
      </c>
      <c r="B1" s="1"/>
      <c r="C1" s="2"/>
      <c r="D1" s="2"/>
      <c r="E1" s="2"/>
      <c r="F1" s="2"/>
      <c r="G1" s="2"/>
      <c r="H1" s="2"/>
    </row>
    <row r="2">
      <c r="A2" s="1" t="s">
        <v>1</v>
      </c>
      <c r="B2" s="1"/>
      <c r="C2" s="2"/>
      <c r="D2" s="2"/>
      <c r="E2" s="2"/>
      <c r="F2" s="2"/>
      <c r="G2" s="2"/>
      <c r="H2" s="2"/>
    </row>
    <row r="3">
      <c r="A3" s="1" t="s">
        <v>2</v>
      </c>
      <c r="B3" s="1"/>
      <c r="C3" s="2"/>
      <c r="D3" s="2"/>
      <c r="E3" s="2"/>
      <c r="F3" s="2"/>
      <c r="G3" s="2"/>
      <c r="H3" s="2"/>
    </row>
    <row r="4">
      <c r="A4" s="1" t="s">
        <v>3</v>
      </c>
      <c r="B4" s="1"/>
      <c r="C4" s="2"/>
      <c r="D4" s="2"/>
      <c r="E4" s="2"/>
      <c r="F4" s="2"/>
      <c r="G4" s="2"/>
      <c r="H4" s="2"/>
    </row>
    <row r="5">
      <c r="A5" s="1" t="s">
        <v>4</v>
      </c>
      <c r="B5" s="1" t="str">
        <f>IFERROR(__xludf.DUMMYFUNCTION("SPLIT(A5,,)"),"#VALUE!")</f>
        <v>#VALUE!</v>
      </c>
      <c r="C5" s="1">
        <v>0.0</v>
      </c>
      <c r="D5" s="2"/>
      <c r="E5" s="2"/>
      <c r="F5" s="2"/>
      <c r="G5" s="2"/>
      <c r="H5" s="2"/>
    </row>
    <row r="6">
      <c r="A6" s="1" t="s">
        <v>5</v>
      </c>
      <c r="B6" s="1"/>
      <c r="C6" s="1">
        <v>52.0</v>
      </c>
      <c r="D6" s="2"/>
      <c r="E6" s="2"/>
      <c r="F6" s="2"/>
      <c r="G6" s="2"/>
      <c r="H6" s="2"/>
    </row>
    <row r="7">
      <c r="A7" s="1" t="s">
        <v>6</v>
      </c>
      <c r="B7" s="1"/>
      <c r="C7" s="1">
        <v>0.0</v>
      </c>
      <c r="D7" s="2"/>
      <c r="E7" s="2"/>
      <c r="F7" s="2"/>
      <c r="G7" s="2"/>
      <c r="H7" s="2"/>
    </row>
    <row r="8">
      <c r="A8" s="1" t="s">
        <v>7</v>
      </c>
      <c r="B8" s="1"/>
      <c r="C8" s="1">
        <v>0.0</v>
      </c>
      <c r="D8" s="2"/>
      <c r="E8" s="2"/>
      <c r="F8" s="2"/>
      <c r="G8" s="2"/>
      <c r="H8" s="2"/>
    </row>
    <row r="9">
      <c r="A9" s="1" t="s">
        <v>8</v>
      </c>
      <c r="B9" s="1"/>
      <c r="C9" s="1">
        <v>0.0</v>
      </c>
      <c r="D9" s="2"/>
      <c r="E9" s="2"/>
      <c r="F9" s="2"/>
      <c r="G9" s="2"/>
      <c r="H9" s="2"/>
    </row>
    <row r="10">
      <c r="A10" s="1" t="s">
        <v>9</v>
      </c>
      <c r="B10" s="1"/>
      <c r="C10" s="1">
        <v>0.0</v>
      </c>
      <c r="D10" s="2"/>
      <c r="E10" s="2"/>
      <c r="F10" s="2"/>
      <c r="G10" s="2"/>
      <c r="H10" s="2"/>
    </row>
    <row r="11">
      <c r="A11" s="1" t="s">
        <v>10</v>
      </c>
      <c r="B11" s="1"/>
      <c r="C11" s="1">
        <v>0.0</v>
      </c>
      <c r="D11" s="2"/>
      <c r="E11" s="2"/>
      <c r="F11" s="2"/>
      <c r="G11" s="2"/>
      <c r="H11" s="2"/>
    </row>
    <row r="12">
      <c r="A12" s="1" t="s">
        <v>11</v>
      </c>
      <c r="B12" s="1"/>
      <c r="C12" s="1">
        <v>0.0</v>
      </c>
      <c r="D12" s="2"/>
      <c r="E12" s="2"/>
      <c r="F12" s="2"/>
      <c r="G12" s="2"/>
      <c r="H12" s="2"/>
    </row>
    <row r="13">
      <c r="A13" s="1" t="s">
        <v>12</v>
      </c>
      <c r="B13" s="1"/>
      <c r="C13" s="1">
        <v>67.0</v>
      </c>
      <c r="D13" s="2"/>
      <c r="E13" s="2"/>
      <c r="F13" s="2"/>
      <c r="G13" s="2"/>
      <c r="H13" s="2"/>
    </row>
    <row r="14">
      <c r="A14" s="1" t="s">
        <v>13</v>
      </c>
      <c r="B14" s="1"/>
      <c r="C14" s="1">
        <v>0.0</v>
      </c>
      <c r="D14" s="2"/>
      <c r="E14" s="2"/>
      <c r="F14" s="2"/>
      <c r="G14" s="2"/>
      <c r="H14" s="2"/>
    </row>
    <row r="15">
      <c r="A15" s="1" t="s">
        <v>14</v>
      </c>
      <c r="B15" s="1"/>
      <c r="C15" s="1">
        <v>0.0</v>
      </c>
      <c r="D15" s="2"/>
      <c r="E15" s="2"/>
      <c r="F15" s="2"/>
      <c r="G15" s="2"/>
      <c r="H15" s="2"/>
    </row>
    <row r="16">
      <c r="A16" s="1" t="s">
        <v>15</v>
      </c>
      <c r="B16" s="1"/>
      <c r="C16" s="1" t="s">
        <v>16</v>
      </c>
      <c r="D16" s="1">
        <v>97.0</v>
      </c>
      <c r="E16" s="2"/>
      <c r="F16" s="2"/>
      <c r="G16" s="2"/>
      <c r="H16" s="2"/>
    </row>
    <row r="17">
      <c r="A17" s="1" t="s">
        <v>17</v>
      </c>
      <c r="B17" s="1"/>
      <c r="C17" s="1">
        <v>0.0</v>
      </c>
      <c r="D17" s="2"/>
      <c r="E17" s="2"/>
      <c r="F17" s="2"/>
      <c r="G17" s="2"/>
      <c r="H17" s="2"/>
    </row>
    <row r="18">
      <c r="A18" s="1" t="s">
        <v>18</v>
      </c>
      <c r="B18" s="1"/>
      <c r="C18" s="1">
        <v>23.0</v>
      </c>
      <c r="D18" s="2"/>
      <c r="E18" s="2"/>
      <c r="F18" s="2"/>
      <c r="G18" s="2"/>
      <c r="H18" s="2"/>
    </row>
    <row r="19">
      <c r="A19" s="1" t="s">
        <v>19</v>
      </c>
      <c r="B19" s="1"/>
      <c r="C19" s="1">
        <v>0.0</v>
      </c>
      <c r="D19" s="2"/>
      <c r="E19" s="2"/>
      <c r="F19" s="2"/>
      <c r="G19" s="2"/>
      <c r="H19" s="2"/>
    </row>
    <row r="20">
      <c r="A20" s="1" t="s">
        <v>20</v>
      </c>
      <c r="B20" s="1"/>
      <c r="C20" s="1">
        <v>0.0</v>
      </c>
      <c r="D20" s="2"/>
      <c r="E20" s="2"/>
      <c r="F20" s="2"/>
      <c r="G20" s="2"/>
      <c r="H20" s="2"/>
    </row>
    <row r="21">
      <c r="A21" s="1" t="s">
        <v>21</v>
      </c>
      <c r="B21" s="1"/>
      <c r="C21" s="1">
        <v>0.0</v>
      </c>
      <c r="D21" s="2"/>
      <c r="E21" s="2"/>
      <c r="F21" s="2"/>
      <c r="G21" s="2"/>
      <c r="H21" s="2"/>
    </row>
    <row r="22">
      <c r="A22" s="1" t="s">
        <v>22</v>
      </c>
      <c r="B22" s="1"/>
      <c r="C22" s="1">
        <v>0.0</v>
      </c>
      <c r="D22" s="2"/>
      <c r="E22" s="2"/>
      <c r="F22" s="2"/>
      <c r="G22" s="2"/>
      <c r="H22" s="2"/>
    </row>
    <row r="23">
      <c r="A23" s="1" t="s">
        <v>23</v>
      </c>
      <c r="B23" s="1"/>
      <c r="C23" s="1" t="s">
        <v>24</v>
      </c>
      <c r="D23" s="1">
        <v>0.0</v>
      </c>
      <c r="E23" s="2"/>
      <c r="F23" s="2"/>
      <c r="G23" s="2"/>
      <c r="H23" s="2"/>
    </row>
    <row r="24">
      <c r="A24" s="1" t="s">
        <v>25</v>
      </c>
      <c r="B24" s="1"/>
      <c r="C24" s="1">
        <v>0.0</v>
      </c>
      <c r="D24" s="2"/>
      <c r="E24" s="2"/>
      <c r="F24" s="2"/>
      <c r="G24" s="2"/>
      <c r="H24" s="2"/>
    </row>
    <row r="25">
      <c r="A25" s="1" t="s">
        <v>26</v>
      </c>
      <c r="B25" s="1"/>
      <c r="C25" s="1">
        <v>0.0</v>
      </c>
      <c r="D25" s="2"/>
      <c r="E25" s="2"/>
      <c r="F25" s="2"/>
      <c r="G25" s="2"/>
      <c r="H25" s="2"/>
    </row>
    <row r="26">
      <c r="A26" s="1" t="s">
        <v>27</v>
      </c>
      <c r="B26" s="1"/>
      <c r="C26" s="1">
        <v>0.0</v>
      </c>
      <c r="D26" s="2"/>
      <c r="E26" s="2"/>
      <c r="F26" s="2"/>
      <c r="G26" s="2"/>
      <c r="H26" s="2"/>
    </row>
    <row r="27">
      <c r="A27" s="1" t="s">
        <v>28</v>
      </c>
      <c r="B27" s="1"/>
      <c r="C27" s="1">
        <v>0.0</v>
      </c>
      <c r="D27" s="2"/>
      <c r="E27" s="2"/>
      <c r="F27" s="2"/>
      <c r="G27" s="2"/>
      <c r="H27" s="2"/>
    </row>
    <row r="28">
      <c r="A28" s="1" t="s">
        <v>29</v>
      </c>
      <c r="B28" s="1"/>
      <c r="C28" s="1" t="s">
        <v>30</v>
      </c>
      <c r="D28" s="1" t="s">
        <v>31</v>
      </c>
      <c r="E28" s="2"/>
      <c r="F28" s="2"/>
      <c r="G28" s="2"/>
      <c r="H28" s="2"/>
    </row>
    <row r="29">
      <c r="A29" s="1" t="s">
        <v>32</v>
      </c>
      <c r="B29" s="1"/>
      <c r="C29" s="1">
        <v>0.0</v>
      </c>
      <c r="D29" s="2"/>
      <c r="E29" s="2"/>
      <c r="F29" s="2"/>
      <c r="G29" s="2"/>
      <c r="H29" s="2"/>
    </row>
    <row r="30">
      <c r="A30" s="1" t="s">
        <v>33</v>
      </c>
      <c r="B30" s="1"/>
      <c r="C30" s="1" t="s">
        <v>34</v>
      </c>
      <c r="D30" s="2"/>
      <c r="E30" s="2"/>
      <c r="F30" s="2"/>
      <c r="G30" s="2"/>
      <c r="H30" s="2"/>
    </row>
    <row r="31">
      <c r="A31" s="1" t="s">
        <v>35</v>
      </c>
      <c r="B31" s="1"/>
      <c r="C31" s="1">
        <v>10.0</v>
      </c>
      <c r="D31" s="2"/>
      <c r="E31" s="2"/>
      <c r="F31" s="2"/>
      <c r="G31" s="2"/>
      <c r="H31" s="2"/>
    </row>
    <row r="32">
      <c r="A32" s="1" t="s">
        <v>36</v>
      </c>
      <c r="B32" s="1"/>
      <c r="C32" s="1">
        <v>0.0</v>
      </c>
      <c r="D32" s="2"/>
      <c r="E32" s="2"/>
      <c r="F32" s="2"/>
      <c r="G32" s="2"/>
      <c r="H32" s="2"/>
    </row>
    <row r="33">
      <c r="A33" s="1" t="s">
        <v>37</v>
      </c>
      <c r="B33" s="1"/>
      <c r="C33" s="1">
        <v>5.0</v>
      </c>
      <c r="D33" s="2"/>
      <c r="E33" s="2"/>
      <c r="F33" s="2"/>
      <c r="G33" s="2"/>
      <c r="H33" s="2"/>
    </row>
    <row r="34">
      <c r="A34" s="1" t="s">
        <v>38</v>
      </c>
      <c r="B34" s="1"/>
      <c r="C34" s="1">
        <v>86.0</v>
      </c>
      <c r="D34" s="2"/>
      <c r="E34" s="2"/>
      <c r="F34" s="2"/>
      <c r="G34" s="2"/>
      <c r="H34" s="2"/>
    </row>
    <row r="35">
      <c r="A35" s="1" t="s">
        <v>39</v>
      </c>
      <c r="B35" s="1"/>
      <c r="C35" s="1">
        <v>0.0</v>
      </c>
      <c r="D35" s="2"/>
      <c r="E35" s="2"/>
      <c r="F35" s="2"/>
      <c r="G35" s="2"/>
      <c r="H35" s="2"/>
    </row>
    <row r="36">
      <c r="A36" s="1" t="s">
        <v>40</v>
      </c>
      <c r="B36" s="1"/>
      <c r="C36" s="1">
        <v>0.0</v>
      </c>
      <c r="D36" s="2"/>
      <c r="E36" s="2"/>
      <c r="F36" s="2"/>
      <c r="G36" s="2"/>
      <c r="H36" s="2"/>
    </row>
    <row r="37">
      <c r="A37" s="1" t="s">
        <v>41</v>
      </c>
      <c r="B37" s="1"/>
      <c r="C37" s="1">
        <v>0.0</v>
      </c>
      <c r="D37" s="2"/>
      <c r="E37" s="2"/>
      <c r="F37" s="2"/>
      <c r="G37" s="2"/>
      <c r="H37" s="2"/>
    </row>
    <row r="38">
      <c r="A38" s="1" t="s">
        <v>42</v>
      </c>
      <c r="B38" s="1"/>
      <c r="C38" s="1">
        <v>18.0</v>
      </c>
      <c r="D38" s="2"/>
      <c r="E38" s="2"/>
      <c r="F38" s="2"/>
      <c r="G38" s="2"/>
      <c r="H38" s="2"/>
    </row>
    <row r="39">
      <c r="A39" s="1" t="s">
        <v>43</v>
      </c>
      <c r="B39" s="1"/>
      <c r="C39" s="1">
        <v>0.0</v>
      </c>
      <c r="D39" s="2"/>
      <c r="E39" s="2"/>
      <c r="F39" s="2"/>
      <c r="G39" s="2"/>
      <c r="H39" s="2"/>
    </row>
    <row r="40">
      <c r="A40" s="1" t="s">
        <v>44</v>
      </c>
      <c r="B40" s="1"/>
      <c r="C40" s="1" t="s">
        <v>45</v>
      </c>
      <c r="D40" s="1">
        <v>0.0</v>
      </c>
      <c r="E40" s="2"/>
      <c r="F40" s="2"/>
      <c r="G40" s="2"/>
      <c r="H40" s="2"/>
    </row>
    <row r="41">
      <c r="A41" s="1" t="s">
        <v>46</v>
      </c>
      <c r="B41" s="1"/>
      <c r="C41" s="1">
        <v>0.0</v>
      </c>
      <c r="D41" s="2"/>
      <c r="E41" s="2"/>
      <c r="F41" s="2"/>
      <c r="G41" s="2"/>
      <c r="H41" s="2"/>
    </row>
    <row r="42">
      <c r="A42" s="1" t="s">
        <v>47</v>
      </c>
      <c r="B42" s="1"/>
      <c r="C42" s="1">
        <v>0.0</v>
      </c>
      <c r="D42" s="2"/>
      <c r="E42" s="2"/>
      <c r="F42" s="2"/>
      <c r="G42" s="2"/>
      <c r="H42" s="2"/>
    </row>
    <row r="43">
      <c r="A43" s="1" t="s">
        <v>48</v>
      </c>
      <c r="B43" s="1"/>
      <c r="C43" s="1">
        <v>67.0</v>
      </c>
      <c r="D43" s="2"/>
      <c r="E43" s="2"/>
      <c r="F43" s="2"/>
      <c r="G43" s="2"/>
      <c r="H43" s="2"/>
    </row>
    <row r="44">
      <c r="A44" s="1" t="s">
        <v>49</v>
      </c>
      <c r="B44" s="1"/>
      <c r="C44" s="1">
        <v>0.0</v>
      </c>
      <c r="D44" s="2"/>
      <c r="E44" s="2"/>
      <c r="F44" s="2"/>
      <c r="G44" s="2"/>
      <c r="H44" s="2"/>
    </row>
    <row r="45">
      <c r="A45" s="1" t="s">
        <v>50</v>
      </c>
      <c r="B45" s="1"/>
      <c r="C45" s="1">
        <v>0.0</v>
      </c>
      <c r="D45" s="2"/>
      <c r="E45" s="2"/>
      <c r="F45" s="2"/>
      <c r="G45" s="2"/>
      <c r="H45" s="2"/>
    </row>
    <row r="46">
      <c r="A46" s="1" t="s">
        <v>51</v>
      </c>
      <c r="B46" s="1"/>
      <c r="C46" s="1">
        <v>0.0</v>
      </c>
      <c r="D46" s="2"/>
      <c r="E46" s="2"/>
      <c r="F46" s="2"/>
      <c r="G46" s="2"/>
      <c r="H46" s="2"/>
    </row>
    <row r="47">
      <c r="A47" s="1" t="s">
        <v>52</v>
      </c>
      <c r="B47" s="1"/>
      <c r="C47" s="1">
        <v>0.0</v>
      </c>
      <c r="D47" s="2"/>
      <c r="E47" s="2"/>
      <c r="F47" s="2"/>
      <c r="G47" s="2"/>
      <c r="H47" s="2"/>
    </row>
    <row r="48">
      <c r="A48" s="1" t="s">
        <v>53</v>
      </c>
      <c r="B48" s="1"/>
      <c r="C48" s="1">
        <v>0.0</v>
      </c>
      <c r="D48" s="2"/>
      <c r="E48" s="2"/>
      <c r="F48" s="2"/>
      <c r="G48" s="2"/>
      <c r="H48" s="2"/>
    </row>
    <row r="49">
      <c r="A49" s="1" t="s">
        <v>54</v>
      </c>
      <c r="B49" s="1"/>
      <c r="C49" s="1">
        <v>0.0</v>
      </c>
      <c r="D49" s="2"/>
      <c r="E49" s="2"/>
      <c r="F49" s="2"/>
      <c r="G49" s="2"/>
      <c r="H49" s="2"/>
    </row>
    <row r="50">
      <c r="A50" s="1" t="s">
        <v>55</v>
      </c>
      <c r="B50" s="1"/>
      <c r="C50" s="1">
        <v>0.0</v>
      </c>
      <c r="D50" s="2"/>
      <c r="E50" s="2"/>
      <c r="F50" s="2"/>
      <c r="G50" s="2"/>
      <c r="H50" s="2"/>
    </row>
    <row r="51">
      <c r="A51" s="1" t="s">
        <v>56</v>
      </c>
      <c r="B51" s="1"/>
      <c r="C51" s="1">
        <v>0.0</v>
      </c>
      <c r="D51" s="2"/>
      <c r="E51" s="2"/>
      <c r="F51" s="2"/>
      <c r="G51" s="2"/>
      <c r="H51" s="2"/>
    </row>
    <row r="52">
      <c r="A52" s="1" t="s">
        <v>57</v>
      </c>
      <c r="B52" s="1"/>
      <c r="C52" s="1">
        <v>14.0</v>
      </c>
      <c r="D52" s="2"/>
      <c r="E52" s="2"/>
      <c r="F52" s="2"/>
      <c r="G52" s="2"/>
      <c r="H52" s="2"/>
    </row>
    <row r="53">
      <c r="A53" s="1" t="s">
        <v>58</v>
      </c>
      <c r="B53" s="1"/>
      <c r="C53" s="1" t="s">
        <v>59</v>
      </c>
      <c r="D53" s="1">
        <v>0.0</v>
      </c>
      <c r="E53" s="2"/>
      <c r="F53" s="2"/>
      <c r="G53" s="2"/>
      <c r="H53" s="2"/>
    </row>
    <row r="54">
      <c r="A54" s="1" t="s">
        <v>60</v>
      </c>
      <c r="B54" s="1"/>
      <c r="C54" s="1">
        <v>0.0</v>
      </c>
      <c r="D54" s="2"/>
      <c r="E54" s="2"/>
      <c r="F54" s="2"/>
      <c r="G54" s="2"/>
      <c r="H54" s="2"/>
    </row>
    <row r="55">
      <c r="A55" s="1" t="s">
        <v>61</v>
      </c>
      <c r="B55" s="1"/>
      <c r="C55" s="1">
        <v>26.0</v>
      </c>
      <c r="D55" s="2"/>
      <c r="E55" s="2"/>
      <c r="F55" s="2"/>
      <c r="G55" s="2"/>
      <c r="H55" s="2"/>
    </row>
    <row r="56">
      <c r="A56" s="1" t="s">
        <v>62</v>
      </c>
      <c r="B56" s="1"/>
      <c r="C56" s="1">
        <v>5.0</v>
      </c>
      <c r="D56" s="2"/>
      <c r="E56" s="2"/>
      <c r="F56" s="2"/>
      <c r="G56" s="2"/>
      <c r="H56" s="2"/>
    </row>
    <row r="57">
      <c r="A57" s="1" t="s">
        <v>63</v>
      </c>
      <c r="B57" s="1"/>
      <c r="C57" s="1">
        <v>0.0</v>
      </c>
      <c r="D57" s="2"/>
      <c r="E57" s="2"/>
      <c r="F57" s="2"/>
      <c r="G57" s="2"/>
      <c r="H57" s="2"/>
    </row>
    <row r="58">
      <c r="A58" s="1" t="s">
        <v>64</v>
      </c>
      <c r="B58" s="1"/>
      <c r="C58" s="1">
        <v>0.0</v>
      </c>
      <c r="D58" s="2"/>
      <c r="E58" s="2"/>
      <c r="F58" s="2"/>
      <c r="G58" s="2"/>
      <c r="H58" s="2"/>
    </row>
    <row r="59">
      <c r="A59" s="1" t="s">
        <v>65</v>
      </c>
      <c r="B59" s="1"/>
      <c r="C59" s="1">
        <v>0.0</v>
      </c>
      <c r="D59" s="2"/>
      <c r="E59" s="2"/>
      <c r="F59" s="2"/>
      <c r="G59" s="2"/>
      <c r="H59" s="2"/>
    </row>
    <row r="60">
      <c r="A60" s="1" t="s">
        <v>66</v>
      </c>
      <c r="B60" s="1"/>
      <c r="C60" s="1">
        <v>0.0</v>
      </c>
      <c r="D60" s="2"/>
      <c r="E60" s="2"/>
      <c r="F60" s="2"/>
      <c r="G60" s="2"/>
      <c r="H60" s="2"/>
    </row>
    <row r="61">
      <c r="A61" s="1" t="s">
        <v>67</v>
      </c>
      <c r="B61" s="1"/>
      <c r="C61" s="1">
        <v>0.0</v>
      </c>
      <c r="D61" s="2"/>
      <c r="E61" s="2"/>
      <c r="F61" s="2"/>
      <c r="G61" s="2"/>
      <c r="H61" s="2"/>
    </row>
    <row r="62">
      <c r="A62" s="1" t="s">
        <v>68</v>
      </c>
      <c r="B62" s="1"/>
      <c r="C62" s="1">
        <v>0.0</v>
      </c>
      <c r="D62" s="2"/>
      <c r="E62" s="2"/>
      <c r="F62" s="2"/>
      <c r="G62" s="2"/>
      <c r="H62" s="2"/>
    </row>
    <row r="63">
      <c r="A63" s="1" t="s">
        <v>69</v>
      </c>
      <c r="B63" s="1"/>
      <c r="C63" s="1">
        <v>40.0</v>
      </c>
      <c r="D63" s="2"/>
      <c r="E63" s="2"/>
      <c r="F63" s="2"/>
      <c r="G63" s="2"/>
      <c r="H63" s="2"/>
    </row>
    <row r="64">
      <c r="A64" s="1" t="s">
        <v>70</v>
      </c>
      <c r="B64" s="1"/>
      <c r="C64" s="1">
        <v>0.0</v>
      </c>
      <c r="D64" s="2"/>
      <c r="E64" s="2"/>
      <c r="F64" s="2"/>
      <c r="G64" s="2"/>
      <c r="H64" s="2"/>
    </row>
    <row r="65">
      <c r="A65" s="1" t="s">
        <v>71</v>
      </c>
      <c r="B65" s="1"/>
      <c r="C65" s="1">
        <v>0.0</v>
      </c>
      <c r="D65" s="2"/>
      <c r="E65" s="2"/>
      <c r="F65" s="2"/>
      <c r="G65" s="2"/>
      <c r="H65" s="2"/>
    </row>
    <row r="66">
      <c r="A66" s="1" t="s">
        <v>72</v>
      </c>
      <c r="B66" s="1"/>
      <c r="C66" s="1">
        <v>68.0</v>
      </c>
      <c r="D66" s="2"/>
      <c r="E66" s="2"/>
      <c r="F66" s="2"/>
      <c r="G66" s="2"/>
      <c r="H66" s="2"/>
    </row>
    <row r="67">
      <c r="A67" s="1" t="s">
        <v>73</v>
      </c>
      <c r="B67" s="1"/>
      <c r="C67" s="1">
        <v>0.0</v>
      </c>
      <c r="D67" s="2"/>
      <c r="E67" s="2"/>
      <c r="F67" s="2"/>
      <c r="G67" s="2"/>
      <c r="H67" s="2"/>
    </row>
    <row r="68">
      <c r="A68" s="1" t="s">
        <v>74</v>
      </c>
      <c r="B68" s="1"/>
      <c r="C68" s="1">
        <v>13.0</v>
      </c>
      <c r="D68" s="2"/>
      <c r="E68" s="2"/>
      <c r="F68" s="2"/>
      <c r="G68" s="2"/>
      <c r="H68" s="2"/>
    </row>
    <row r="69">
      <c r="A69" s="1" t="s">
        <v>75</v>
      </c>
      <c r="B69" s="1"/>
      <c r="C69" s="1">
        <v>29.0</v>
      </c>
      <c r="D69" s="2"/>
      <c r="E69" s="2"/>
      <c r="F69" s="2"/>
      <c r="G69" s="2"/>
      <c r="H69" s="2"/>
    </row>
    <row r="70">
      <c r="A70" s="1" t="s">
        <v>76</v>
      </c>
      <c r="B70" s="1"/>
      <c r="C70" s="1">
        <v>0.0</v>
      </c>
      <c r="D70" s="2"/>
      <c r="E70" s="2"/>
      <c r="F70" s="2"/>
      <c r="G70" s="2"/>
      <c r="H70" s="2"/>
    </row>
    <row r="71">
      <c r="A71" s="1" t="s">
        <v>77</v>
      </c>
      <c r="B71" s="1"/>
      <c r="C71" s="1">
        <v>84.0</v>
      </c>
      <c r="D71" s="2"/>
      <c r="E71" s="2"/>
      <c r="F71" s="2"/>
      <c r="G71" s="2"/>
      <c r="H71" s="2"/>
    </row>
    <row r="72">
      <c r="A72" s="1" t="s">
        <v>78</v>
      </c>
      <c r="B72" s="1"/>
      <c r="C72" s="1">
        <v>58.0</v>
      </c>
      <c r="D72" s="2"/>
      <c r="E72" s="2"/>
      <c r="F72" s="2"/>
      <c r="G72" s="2"/>
      <c r="H72" s="2"/>
    </row>
    <row r="73">
      <c r="A73" s="1" t="s">
        <v>79</v>
      </c>
      <c r="B73" s="1"/>
      <c r="C73" s="1">
        <v>0.0</v>
      </c>
      <c r="D73" s="2"/>
      <c r="E73" s="2"/>
      <c r="F73" s="2"/>
      <c r="G73" s="2"/>
      <c r="H73" s="2"/>
    </row>
    <row r="74">
      <c r="A74" s="1" t="s">
        <v>80</v>
      </c>
      <c r="B74" s="1"/>
      <c r="C74" s="1">
        <v>12.0</v>
      </c>
      <c r="D74" s="2"/>
      <c r="E74" s="2"/>
      <c r="F74" s="2"/>
      <c r="G74" s="2"/>
      <c r="H74" s="2"/>
    </row>
    <row r="75">
      <c r="A75" s="1" t="s">
        <v>81</v>
      </c>
      <c r="B75" s="1"/>
      <c r="C75" s="1">
        <v>5.0</v>
      </c>
      <c r="D75" s="2"/>
      <c r="E75" s="2"/>
      <c r="F75" s="2"/>
      <c r="G75" s="2"/>
      <c r="H75" s="2"/>
    </row>
    <row r="76">
      <c r="A76" s="1" t="s">
        <v>82</v>
      </c>
      <c r="B76" s="1"/>
      <c r="C76" s="1">
        <v>70.0</v>
      </c>
      <c r="D76" s="2"/>
      <c r="E76" s="2"/>
      <c r="F76" s="2"/>
      <c r="G76" s="2"/>
      <c r="H76" s="2"/>
    </row>
    <row r="77">
      <c r="A77" s="1" t="s">
        <v>83</v>
      </c>
      <c r="B77" s="1"/>
      <c r="C77" s="1">
        <v>13.0</v>
      </c>
      <c r="D77" s="2"/>
      <c r="E77" s="2"/>
      <c r="F77" s="2"/>
      <c r="G77" s="2"/>
      <c r="H77" s="2"/>
    </row>
    <row r="78">
      <c r="A78" s="1" t="s">
        <v>84</v>
      </c>
      <c r="B78" s="1"/>
      <c r="C78" s="1">
        <v>0.0</v>
      </c>
      <c r="D78" s="2"/>
      <c r="E78" s="2"/>
      <c r="F78" s="2"/>
      <c r="G78" s="2"/>
      <c r="H78" s="2"/>
    </row>
    <row r="79">
      <c r="A79" s="1" t="s">
        <v>85</v>
      </c>
      <c r="B79" s="1"/>
      <c r="C79" s="1">
        <v>94.0</v>
      </c>
      <c r="D79" s="2"/>
      <c r="E79" s="2"/>
      <c r="F79" s="2"/>
      <c r="G79" s="2"/>
      <c r="H79" s="2"/>
    </row>
    <row r="80">
      <c r="A80" s="1" t="s">
        <v>86</v>
      </c>
      <c r="B80" s="1"/>
      <c r="C80" s="1">
        <v>36.0</v>
      </c>
      <c r="D80" s="2"/>
      <c r="E80" s="2"/>
      <c r="F80" s="2"/>
      <c r="G80" s="2"/>
      <c r="H80" s="2"/>
    </row>
    <row r="81">
      <c r="A81" s="1" t="s">
        <v>87</v>
      </c>
      <c r="B81" s="1"/>
      <c r="C81" s="1">
        <v>0.0</v>
      </c>
      <c r="D81" s="2"/>
      <c r="E81" s="2"/>
      <c r="F81" s="2"/>
      <c r="G81" s="2"/>
      <c r="H81" s="2"/>
    </row>
    <row r="82">
      <c r="A82" s="1" t="s">
        <v>88</v>
      </c>
      <c r="B82" s="1"/>
      <c r="C82" s="1">
        <v>50.0</v>
      </c>
      <c r="D82" s="2"/>
      <c r="E82" s="2"/>
      <c r="F82" s="2"/>
      <c r="G82" s="2"/>
      <c r="H82" s="2"/>
    </row>
    <row r="83">
      <c r="A83" s="1" t="s">
        <v>89</v>
      </c>
      <c r="B83" s="1"/>
      <c r="C83" s="1">
        <v>0.0</v>
      </c>
      <c r="D83" s="2"/>
      <c r="E83" s="2"/>
      <c r="F83" s="2"/>
      <c r="G83" s="2"/>
      <c r="H83" s="2"/>
    </row>
    <row r="84">
      <c r="A84" s="1" t="s">
        <v>90</v>
      </c>
      <c r="B84" s="1"/>
      <c r="C84" s="1">
        <v>0.0</v>
      </c>
      <c r="D84" s="2"/>
      <c r="E84" s="2"/>
      <c r="F84" s="2"/>
      <c r="G84" s="2"/>
      <c r="H84" s="2"/>
    </row>
    <row r="85">
      <c r="A85" s="1" t="s">
        <v>91</v>
      </c>
      <c r="B85" s="1"/>
      <c r="C85" s="1">
        <v>0.0</v>
      </c>
      <c r="D85" s="2"/>
      <c r="E85" s="2"/>
      <c r="F85" s="2"/>
      <c r="G85" s="2"/>
      <c r="H85" s="2"/>
    </row>
    <row r="86">
      <c r="A86" s="1" t="s">
        <v>92</v>
      </c>
      <c r="B86" s="1"/>
      <c r="C86" s="1">
        <v>0.0</v>
      </c>
      <c r="D86" s="2"/>
      <c r="E86" s="2"/>
      <c r="F86" s="2"/>
      <c r="G86" s="2"/>
      <c r="H86" s="2"/>
    </row>
    <row r="87">
      <c r="A87" s="1" t="s">
        <v>93</v>
      </c>
      <c r="B87" s="1"/>
      <c r="C87" s="1">
        <v>68.0</v>
      </c>
      <c r="D87" s="2"/>
      <c r="E87" s="2"/>
      <c r="F87" s="2"/>
      <c r="G87" s="2"/>
      <c r="H87" s="2"/>
    </row>
    <row r="88">
      <c r="A88" s="1" t="s">
        <v>94</v>
      </c>
      <c r="B88" s="1"/>
      <c r="C88" s="1">
        <v>34.0</v>
      </c>
      <c r="D88" s="2"/>
      <c r="E88" s="2"/>
      <c r="F88" s="2"/>
      <c r="G88" s="2"/>
      <c r="H88" s="2"/>
    </row>
    <row r="89">
      <c r="A89" s="1" t="s">
        <v>95</v>
      </c>
      <c r="B89" s="1"/>
      <c r="C89" s="1">
        <v>0.0</v>
      </c>
      <c r="D89" s="2"/>
      <c r="E89" s="2"/>
      <c r="F89" s="2"/>
      <c r="G89" s="2"/>
      <c r="H89" s="2"/>
    </row>
    <row r="90">
      <c r="A90" s="1" t="s">
        <v>96</v>
      </c>
      <c r="B90" s="1"/>
      <c r="C90" s="1">
        <v>72.0</v>
      </c>
      <c r="D90" s="2"/>
      <c r="E90" s="2"/>
      <c r="F90" s="2"/>
      <c r="G90" s="2"/>
      <c r="H90" s="2"/>
    </row>
    <row r="91">
      <c r="A91" s="1" t="s">
        <v>97</v>
      </c>
      <c r="B91" s="1"/>
      <c r="C91" s="1">
        <v>0.0</v>
      </c>
      <c r="D91" s="2"/>
      <c r="E91" s="2"/>
      <c r="F91" s="2"/>
      <c r="G91" s="2"/>
      <c r="H91" s="2"/>
    </row>
    <row r="92">
      <c r="A92" s="1" t="s">
        <v>98</v>
      </c>
      <c r="B92" s="1"/>
      <c r="C92" s="1">
        <v>0.0</v>
      </c>
      <c r="D92" s="2"/>
      <c r="E92" s="2"/>
      <c r="F92" s="2"/>
      <c r="G92" s="2"/>
      <c r="H92" s="2"/>
    </row>
    <row r="93">
      <c r="A93" s="1" t="s">
        <v>99</v>
      </c>
      <c r="B93" s="1"/>
      <c r="C93" s="1">
        <v>0.0</v>
      </c>
      <c r="D93" s="2"/>
      <c r="E93" s="2"/>
      <c r="F93" s="2"/>
      <c r="G93" s="2"/>
      <c r="H93" s="2"/>
    </row>
    <row r="94">
      <c r="A94" s="1" t="s">
        <v>100</v>
      </c>
      <c r="B94" s="1"/>
      <c r="C94" s="1">
        <v>0.0</v>
      </c>
      <c r="D94" s="2"/>
      <c r="E94" s="2"/>
      <c r="F94" s="2"/>
      <c r="G94" s="2"/>
      <c r="H94" s="2"/>
    </row>
    <row r="95">
      <c r="A95" s="1" t="s">
        <v>101</v>
      </c>
      <c r="B95" s="1"/>
      <c r="C95" s="1">
        <v>0.0</v>
      </c>
      <c r="D95" s="2"/>
      <c r="E95" s="2"/>
      <c r="F95" s="2"/>
      <c r="G95" s="2"/>
      <c r="H95" s="2"/>
    </row>
    <row r="96">
      <c r="A96" s="1" t="s">
        <v>102</v>
      </c>
      <c r="B96" s="1"/>
      <c r="C96" s="1" t="s">
        <v>103</v>
      </c>
      <c r="D96" s="1">
        <v>0.0</v>
      </c>
      <c r="E96" s="2"/>
      <c r="F96" s="2"/>
      <c r="G96" s="2"/>
      <c r="H96" s="2"/>
    </row>
    <row r="97">
      <c r="A97" s="1" t="s">
        <v>104</v>
      </c>
      <c r="B97" s="1"/>
      <c r="C97" s="1">
        <v>0.0</v>
      </c>
      <c r="D97" s="2"/>
      <c r="E97" s="2"/>
      <c r="F97" s="2"/>
      <c r="G97" s="2"/>
      <c r="H97" s="2"/>
    </row>
    <row r="98">
      <c r="A98" s="1" t="s">
        <v>105</v>
      </c>
      <c r="B98" s="1"/>
      <c r="C98" s="1">
        <v>0.0</v>
      </c>
      <c r="D98" s="2"/>
      <c r="E98" s="2"/>
      <c r="F98" s="2"/>
      <c r="G98" s="2"/>
      <c r="H98" s="2"/>
    </row>
    <row r="99">
      <c r="A99" s="1" t="s">
        <v>106</v>
      </c>
      <c r="B99" s="1"/>
      <c r="C99" s="1">
        <v>0.0</v>
      </c>
      <c r="D99" s="2"/>
      <c r="E99" s="2"/>
      <c r="F99" s="2"/>
      <c r="G99" s="2"/>
      <c r="H99" s="2"/>
    </row>
    <row r="100">
      <c r="A100" s="1" t="s">
        <v>107</v>
      </c>
      <c r="B100" s="1"/>
      <c r="C100" s="1">
        <v>0.0</v>
      </c>
      <c r="D100" s="2"/>
      <c r="E100" s="2"/>
      <c r="F100" s="2"/>
      <c r="G100" s="2"/>
      <c r="H100" s="2"/>
    </row>
    <row r="101">
      <c r="A101" s="1" t="s">
        <v>108</v>
      </c>
      <c r="B101" s="1"/>
      <c r="C101" s="1">
        <v>0.0</v>
      </c>
      <c r="D101" s="2"/>
      <c r="E101" s="2"/>
      <c r="F101" s="2"/>
      <c r="G101" s="2"/>
      <c r="H101" s="2"/>
    </row>
    <row r="102">
      <c r="A102" s="1" t="s">
        <v>109</v>
      </c>
      <c r="B102" s="1"/>
      <c r="C102" s="1">
        <v>0.0</v>
      </c>
      <c r="D102" s="2"/>
      <c r="E102" s="2"/>
      <c r="F102" s="2"/>
      <c r="G102" s="2"/>
      <c r="H102" s="2"/>
    </row>
    <row r="103">
      <c r="A103" s="1" t="s">
        <v>110</v>
      </c>
      <c r="B103" s="1"/>
      <c r="C103" s="1">
        <v>0.0</v>
      </c>
      <c r="D103" s="2"/>
      <c r="E103" s="2"/>
      <c r="F103" s="2"/>
      <c r="G103" s="2"/>
      <c r="H103" s="2"/>
    </row>
    <row r="104">
      <c r="A104" s="1" t="s">
        <v>111</v>
      </c>
      <c r="B104" s="1"/>
      <c r="C104" s="1">
        <v>0.0</v>
      </c>
      <c r="D104" s="2"/>
      <c r="E104" s="2"/>
      <c r="F104" s="2"/>
      <c r="G104" s="2"/>
      <c r="H104" s="2"/>
    </row>
    <row r="105">
      <c r="A105" s="1" t="s">
        <v>112</v>
      </c>
      <c r="B105" s="1"/>
      <c r="C105" s="1">
        <v>7.0</v>
      </c>
      <c r="D105" s="2"/>
      <c r="E105" s="2"/>
      <c r="F105" s="2"/>
      <c r="G105" s="2"/>
      <c r="H105" s="2"/>
    </row>
    <row r="106">
      <c r="A106" s="1" t="s">
        <v>113</v>
      </c>
      <c r="B106" s="1"/>
      <c r="C106" s="1">
        <v>77.0</v>
      </c>
      <c r="D106" s="2"/>
      <c r="E106" s="2"/>
      <c r="F106" s="2"/>
      <c r="G106" s="2"/>
      <c r="H106" s="2"/>
    </row>
    <row r="107">
      <c r="A107" s="1" t="s">
        <v>114</v>
      </c>
      <c r="B107" s="1"/>
      <c r="C107" s="1">
        <v>0.0</v>
      </c>
      <c r="D107" s="2"/>
      <c r="E107" s="2"/>
      <c r="F107" s="2"/>
      <c r="G107" s="2"/>
      <c r="H107" s="2"/>
    </row>
    <row r="108">
      <c r="A108" s="1" t="s">
        <v>115</v>
      </c>
      <c r="B108" s="1"/>
      <c r="C108" s="1">
        <v>14.0</v>
      </c>
      <c r="D108" s="2"/>
      <c r="E108" s="2"/>
      <c r="F108" s="2"/>
      <c r="G108" s="2"/>
      <c r="H108" s="2"/>
    </row>
    <row r="109">
      <c r="A109" s="1" t="s">
        <v>116</v>
      </c>
      <c r="B109" s="1"/>
      <c r="C109" s="1">
        <v>0.0</v>
      </c>
      <c r="D109" s="2"/>
      <c r="E109" s="2"/>
      <c r="F109" s="2"/>
      <c r="G109" s="2"/>
      <c r="H109" s="2"/>
    </row>
    <row r="110">
      <c r="A110" s="1" t="s">
        <v>117</v>
      </c>
      <c r="B110" s="1"/>
      <c r="C110" s="1">
        <v>42.0</v>
      </c>
      <c r="D110" s="2"/>
      <c r="E110" s="2"/>
      <c r="F110" s="2"/>
      <c r="G110" s="2"/>
      <c r="H110" s="2"/>
    </row>
    <row r="111">
      <c r="A111" s="1" t="s">
        <v>118</v>
      </c>
      <c r="B111" s="1"/>
      <c r="C111" s="1">
        <v>0.0</v>
      </c>
      <c r="D111" s="2"/>
      <c r="E111" s="2"/>
      <c r="F111" s="2"/>
      <c r="G111" s="2"/>
      <c r="H111" s="2"/>
    </row>
    <row r="112">
      <c r="A112" s="1" t="s">
        <v>119</v>
      </c>
      <c r="B112" s="1"/>
      <c r="C112" s="1">
        <v>0.0</v>
      </c>
      <c r="D112" s="2"/>
      <c r="E112" s="2"/>
      <c r="F112" s="2"/>
      <c r="G112" s="2"/>
      <c r="H112" s="2"/>
    </row>
    <row r="113">
      <c r="A113" s="1" t="s">
        <v>120</v>
      </c>
      <c r="B113" s="1"/>
      <c r="C113" s="1">
        <v>0.0</v>
      </c>
      <c r="D113" s="2"/>
      <c r="E113" s="2"/>
      <c r="F113" s="2"/>
      <c r="G113" s="2"/>
      <c r="H113" s="2"/>
    </row>
    <row r="114">
      <c r="A114" s="1" t="s">
        <v>121</v>
      </c>
      <c r="B114" s="1"/>
      <c r="C114" s="1">
        <v>0.0</v>
      </c>
      <c r="D114" s="2"/>
      <c r="E114" s="2"/>
      <c r="F114" s="2"/>
      <c r="G114" s="2"/>
      <c r="H114" s="2"/>
    </row>
    <row r="115">
      <c r="A115" s="1" t="s">
        <v>122</v>
      </c>
      <c r="B115" s="1"/>
      <c r="C115" s="1">
        <v>14.0</v>
      </c>
      <c r="D115" s="2"/>
      <c r="E115" s="2"/>
      <c r="F115" s="2"/>
      <c r="G115" s="2"/>
      <c r="H115" s="2"/>
    </row>
    <row r="116">
      <c r="A116" s="1" t="s">
        <v>123</v>
      </c>
      <c r="B116" s="1"/>
      <c r="C116" s="1">
        <v>0.0</v>
      </c>
      <c r="D116" s="2"/>
      <c r="E116" s="2"/>
      <c r="F116" s="2"/>
      <c r="G116" s="2"/>
      <c r="H116" s="2"/>
    </row>
    <row r="117">
      <c r="A117" s="1" t="s">
        <v>124</v>
      </c>
      <c r="B117" s="1"/>
      <c r="C117" s="1">
        <v>42.0</v>
      </c>
      <c r="D117" s="2"/>
      <c r="E117" s="2"/>
      <c r="F117" s="2"/>
      <c r="G117" s="2"/>
      <c r="H117" s="2"/>
    </row>
    <row r="118">
      <c r="A118" s="1" t="s">
        <v>125</v>
      </c>
      <c r="B118" s="1"/>
      <c r="C118" s="1">
        <v>80.0</v>
      </c>
      <c r="D118" s="2"/>
      <c r="E118" s="2"/>
      <c r="F118" s="2"/>
      <c r="G118" s="2"/>
      <c r="H118" s="2"/>
    </row>
    <row r="119">
      <c r="A119" s="1" t="s">
        <v>126</v>
      </c>
      <c r="B119" s="1"/>
      <c r="C119" s="1">
        <v>0.0</v>
      </c>
      <c r="D119" s="2"/>
      <c r="E119" s="2"/>
      <c r="F119" s="2"/>
      <c r="G119" s="2"/>
      <c r="H119" s="2"/>
    </row>
    <row r="120">
      <c r="A120" s="1" t="s">
        <v>127</v>
      </c>
      <c r="B120" s="1"/>
      <c r="C120" s="1">
        <v>0.0</v>
      </c>
      <c r="D120" s="2"/>
      <c r="E120" s="2"/>
      <c r="F120" s="2"/>
      <c r="G120" s="2"/>
      <c r="H120" s="2"/>
    </row>
    <row r="121">
      <c r="A121" s="1" t="s">
        <v>128</v>
      </c>
      <c r="B121" s="1"/>
      <c r="C121" s="1">
        <v>0.0</v>
      </c>
      <c r="D121" s="2"/>
      <c r="E121" s="2"/>
      <c r="F121" s="2"/>
      <c r="G121" s="2"/>
      <c r="H121" s="2"/>
    </row>
    <row r="122">
      <c r="A122" s="1" t="s">
        <v>129</v>
      </c>
      <c r="B122" s="1"/>
      <c r="C122" s="1">
        <v>0.0</v>
      </c>
      <c r="D122" s="2"/>
      <c r="E122" s="2"/>
      <c r="F122" s="2"/>
      <c r="G122" s="2"/>
      <c r="H122" s="2"/>
    </row>
    <row r="123">
      <c r="A123" s="1" t="s">
        <v>130</v>
      </c>
      <c r="B123" s="1"/>
      <c r="C123" s="1">
        <v>0.0</v>
      </c>
      <c r="D123" s="2"/>
      <c r="E123" s="2"/>
      <c r="F123" s="2"/>
      <c r="G123" s="2"/>
      <c r="H123" s="2"/>
    </row>
    <row r="124">
      <c r="A124" s="1" t="s">
        <v>131</v>
      </c>
      <c r="B124" s="1"/>
      <c r="C124" s="1">
        <v>0.0</v>
      </c>
      <c r="D124" s="2"/>
      <c r="E124" s="2"/>
      <c r="F124" s="2"/>
      <c r="G124" s="2"/>
      <c r="H124" s="2"/>
    </row>
    <row r="125">
      <c r="A125" s="1" t="s">
        <v>132</v>
      </c>
      <c r="B125" s="1"/>
      <c r="C125" s="1">
        <v>84.0</v>
      </c>
      <c r="D125" s="2"/>
      <c r="E125" s="2"/>
      <c r="F125" s="2"/>
      <c r="G125" s="2"/>
      <c r="H125" s="2"/>
    </row>
    <row r="126">
      <c r="A126" s="1" t="s">
        <v>133</v>
      </c>
      <c r="B126" s="1"/>
      <c r="C126" s="1">
        <v>0.0</v>
      </c>
      <c r="D126" s="2"/>
      <c r="E126" s="2"/>
      <c r="F126" s="2"/>
      <c r="G126" s="2"/>
      <c r="H126" s="2"/>
    </row>
    <row r="127">
      <c r="A127" s="1" t="s">
        <v>134</v>
      </c>
      <c r="B127" s="1"/>
      <c r="C127" s="1">
        <v>65.0</v>
      </c>
      <c r="D127" s="2"/>
      <c r="E127" s="2"/>
      <c r="F127" s="2"/>
      <c r="G127" s="2"/>
      <c r="H127" s="2"/>
    </row>
    <row r="128">
      <c r="A128" s="1" t="s">
        <v>135</v>
      </c>
      <c r="B128" s="1"/>
      <c r="C128" s="1">
        <v>0.0</v>
      </c>
      <c r="D128" s="2"/>
      <c r="E128" s="2"/>
      <c r="F128" s="2"/>
      <c r="G128" s="2"/>
      <c r="H128" s="2"/>
    </row>
    <row r="129">
      <c r="A129" s="1" t="s">
        <v>136</v>
      </c>
      <c r="B129" s="1"/>
      <c r="C129" s="1">
        <v>0.0</v>
      </c>
      <c r="D129" s="2"/>
      <c r="E129" s="2"/>
      <c r="F129" s="2"/>
      <c r="G129" s="2"/>
      <c r="H129" s="2"/>
    </row>
    <row r="130">
      <c r="A130" s="1" t="s">
        <v>137</v>
      </c>
      <c r="B130" s="1"/>
      <c r="C130" s="1">
        <v>42.0</v>
      </c>
      <c r="D130" s="2"/>
      <c r="E130" s="2"/>
      <c r="F130" s="2"/>
      <c r="G130" s="2"/>
      <c r="H130" s="2"/>
    </row>
    <row r="131">
      <c r="A131" s="1" t="s">
        <v>138</v>
      </c>
      <c r="B131" s="1"/>
      <c r="C131" s="1">
        <v>0.0</v>
      </c>
      <c r="D131" s="2"/>
      <c r="E131" s="2"/>
      <c r="F131" s="2"/>
      <c r="G131" s="2"/>
      <c r="H131" s="2"/>
    </row>
    <row r="132">
      <c r="A132" s="1" t="s">
        <v>139</v>
      </c>
      <c r="B132" s="1"/>
      <c r="C132" s="1">
        <v>0.0</v>
      </c>
      <c r="D132" s="2"/>
      <c r="E132" s="2"/>
      <c r="F132" s="2"/>
      <c r="G132" s="2"/>
      <c r="H132" s="2"/>
    </row>
    <row r="133">
      <c r="A133" s="1" t="s">
        <v>140</v>
      </c>
      <c r="B133" s="1"/>
      <c r="C133" s="1">
        <v>82.0</v>
      </c>
      <c r="D133" s="2"/>
      <c r="E133" s="2"/>
      <c r="F133" s="2"/>
      <c r="G133" s="2"/>
      <c r="H133" s="2"/>
    </row>
    <row r="134">
      <c r="A134" s="1" t="s">
        <v>141</v>
      </c>
      <c r="B134" s="1"/>
      <c r="C134" s="1">
        <v>0.0</v>
      </c>
      <c r="D134" s="2"/>
      <c r="E134" s="2"/>
      <c r="F134" s="2"/>
      <c r="G134" s="2"/>
      <c r="H134" s="2"/>
    </row>
    <row r="135">
      <c r="A135" s="1" t="s">
        <v>142</v>
      </c>
      <c r="B135" s="1"/>
      <c r="C135" s="1">
        <v>0.0</v>
      </c>
      <c r="D135" s="2"/>
      <c r="E135" s="2"/>
      <c r="F135" s="2"/>
      <c r="G135" s="2"/>
      <c r="H135" s="2"/>
    </row>
    <row r="136">
      <c r="A136" s="1" t="s">
        <v>143</v>
      </c>
      <c r="B136" s="1"/>
      <c r="C136" s="1">
        <v>0.0</v>
      </c>
      <c r="D136" s="2"/>
      <c r="E136" s="2"/>
      <c r="F136" s="2"/>
      <c r="G136" s="2"/>
      <c r="H136" s="2"/>
    </row>
    <row r="137">
      <c r="A137" s="1" t="s">
        <v>144</v>
      </c>
      <c r="B137" s="1"/>
      <c r="C137" s="1">
        <v>0.0</v>
      </c>
      <c r="D137" s="2"/>
      <c r="E137" s="2"/>
      <c r="F137" s="2"/>
      <c r="G137" s="2"/>
      <c r="H137" s="2"/>
    </row>
    <row r="138">
      <c r="A138" s="1" t="s">
        <v>145</v>
      </c>
      <c r="B138" s="1"/>
      <c r="C138" s="1">
        <v>0.0</v>
      </c>
      <c r="D138" s="2"/>
      <c r="E138" s="2"/>
      <c r="F138" s="2"/>
      <c r="G138" s="2"/>
      <c r="H138" s="2"/>
    </row>
    <row r="139">
      <c r="A139" s="1" t="s">
        <v>146</v>
      </c>
      <c r="B139" s="1"/>
      <c r="C139" s="2"/>
      <c r="D139" s="2"/>
      <c r="E139" s="2"/>
      <c r="F139" s="2"/>
      <c r="G139" s="2"/>
      <c r="H139" s="2"/>
    </row>
    <row r="140">
      <c r="A140" s="1" t="s">
        <v>147</v>
      </c>
      <c r="B140" s="1"/>
      <c r="C140" s="1">
        <v>0.0</v>
      </c>
      <c r="D140" s="2"/>
      <c r="E140" s="2"/>
      <c r="F140" s="2"/>
      <c r="G140" s="2"/>
      <c r="H140" s="2"/>
    </row>
    <row r="141">
      <c r="A141" s="1" t="s">
        <v>148</v>
      </c>
      <c r="B141" s="1"/>
      <c r="C141" s="2"/>
      <c r="D141" s="2"/>
      <c r="E141" s="2"/>
      <c r="F141" s="2"/>
      <c r="G141" s="2"/>
      <c r="H141" s="2"/>
    </row>
    <row r="142">
      <c r="A142" s="1" t="s">
        <v>149</v>
      </c>
      <c r="B142" s="1"/>
      <c r="C142" s="1">
        <v>0.0</v>
      </c>
      <c r="D142" s="2"/>
      <c r="E142" s="2"/>
      <c r="F142" s="2"/>
      <c r="G142" s="2"/>
      <c r="H142" s="2"/>
    </row>
    <row r="143">
      <c r="A143" s="1" t="s">
        <v>150</v>
      </c>
      <c r="B143" s="1"/>
      <c r="C143" s="1">
        <v>0.0</v>
      </c>
      <c r="D143" s="2"/>
      <c r="E143" s="2"/>
      <c r="F143" s="2"/>
      <c r="G143" s="2"/>
      <c r="H143" s="2"/>
    </row>
    <row r="144">
      <c r="A144" s="1" t="s">
        <v>151</v>
      </c>
      <c r="B144" s="1"/>
      <c r="C144" s="1">
        <v>0.0</v>
      </c>
      <c r="D144" s="2"/>
      <c r="E144" s="2"/>
      <c r="F144" s="2"/>
      <c r="G144" s="2"/>
      <c r="H144" s="2"/>
    </row>
    <row r="145">
      <c r="A145" s="1" t="s">
        <v>152</v>
      </c>
      <c r="B145" s="1"/>
      <c r="C145" s="1">
        <v>0.0</v>
      </c>
      <c r="D145" s="2"/>
      <c r="E145" s="2"/>
      <c r="F145" s="2"/>
      <c r="G145" s="2"/>
      <c r="H145" s="2"/>
    </row>
    <row r="146">
      <c r="A146" s="1" t="s">
        <v>153</v>
      </c>
      <c r="B146" s="1"/>
      <c r="C146" s="1">
        <v>0.0</v>
      </c>
      <c r="D146" s="2"/>
      <c r="E146" s="2"/>
      <c r="F146" s="2"/>
      <c r="G146" s="2"/>
      <c r="H146" s="2"/>
    </row>
    <row r="147">
      <c r="A147" s="1" t="s">
        <v>154</v>
      </c>
      <c r="B147" s="1"/>
      <c r="C147" s="1">
        <v>0.0</v>
      </c>
      <c r="D147" s="2"/>
      <c r="E147" s="2"/>
      <c r="F147" s="2"/>
      <c r="G147" s="2"/>
      <c r="H147" s="2"/>
    </row>
    <row r="148">
      <c r="A148" s="1" t="s">
        <v>155</v>
      </c>
      <c r="B148" s="1"/>
      <c r="C148" s="1">
        <v>26.0</v>
      </c>
      <c r="D148" s="2"/>
      <c r="E148" s="2"/>
      <c r="F148" s="2"/>
      <c r="G148" s="2"/>
      <c r="H148" s="2"/>
    </row>
    <row r="149">
      <c r="A149" s="1" t="s">
        <v>156</v>
      </c>
      <c r="B149" s="1"/>
      <c r="C149" s="1">
        <v>0.0</v>
      </c>
      <c r="D149" s="2"/>
      <c r="E149" s="2"/>
      <c r="F149" s="2"/>
      <c r="G149" s="2"/>
      <c r="H149" s="2"/>
    </row>
    <row r="150">
      <c r="A150" s="1" t="s">
        <v>157</v>
      </c>
      <c r="B150" s="1"/>
      <c r="C150" s="1">
        <v>0.0</v>
      </c>
      <c r="D150" s="2"/>
      <c r="E150" s="2"/>
      <c r="F150" s="2"/>
      <c r="G150" s="2"/>
      <c r="H150" s="2"/>
    </row>
    <row r="151">
      <c r="A151" s="1" t="s">
        <v>158</v>
      </c>
      <c r="B151" s="1"/>
      <c r="C151" s="2"/>
      <c r="D151" s="2"/>
      <c r="E151" s="2"/>
      <c r="F151" s="2"/>
      <c r="G151" s="2"/>
      <c r="H151" s="2"/>
    </row>
    <row r="152">
      <c r="A152" s="1" t="s">
        <v>159</v>
      </c>
      <c r="B152" s="1"/>
      <c r="C152" s="1">
        <v>6.0</v>
      </c>
      <c r="D152" s="2"/>
      <c r="E152" s="2"/>
      <c r="F152" s="2"/>
      <c r="G152" s="2"/>
      <c r="H152" s="2"/>
    </row>
    <row r="153">
      <c r="A153" s="1" t="s">
        <v>160</v>
      </c>
      <c r="B153" s="1"/>
      <c r="C153" s="2"/>
      <c r="D153" s="2"/>
      <c r="E153" s="2"/>
      <c r="F153" s="2"/>
      <c r="G153" s="2"/>
      <c r="H153" s="2"/>
    </row>
    <row r="154">
      <c r="A154" s="1" t="s">
        <v>161</v>
      </c>
      <c r="B154" s="1"/>
      <c r="C154" s="1">
        <v>0.0</v>
      </c>
      <c r="D154" s="2"/>
      <c r="E154" s="2"/>
      <c r="F154" s="2"/>
      <c r="G154" s="2"/>
      <c r="H154" s="2"/>
    </row>
    <row r="155">
      <c r="A155" s="1" t="s">
        <v>162</v>
      </c>
      <c r="B155" s="1"/>
      <c r="C155" s="1">
        <v>0.0</v>
      </c>
      <c r="D155" s="2"/>
      <c r="E155" s="2"/>
      <c r="F155" s="2"/>
      <c r="G155" s="2"/>
      <c r="H155" s="2"/>
    </row>
    <row r="156">
      <c r="A156" s="1" t="s">
        <v>163</v>
      </c>
      <c r="B156" s="1"/>
      <c r="C156" s="1">
        <v>0.0</v>
      </c>
      <c r="D156" s="2"/>
      <c r="E156" s="2"/>
      <c r="F156" s="2"/>
      <c r="G156" s="2"/>
      <c r="H156" s="2"/>
    </row>
    <row r="157">
      <c r="A157" s="1" t="s">
        <v>164</v>
      </c>
      <c r="B157" s="1"/>
      <c r="C157" s="1">
        <v>0.0</v>
      </c>
      <c r="D157" s="2"/>
      <c r="E157" s="2"/>
      <c r="F157" s="2"/>
      <c r="G157" s="2"/>
      <c r="H157" s="2"/>
    </row>
    <row r="158">
      <c r="A158" s="1" t="s">
        <v>165</v>
      </c>
      <c r="B158" s="1"/>
      <c r="C158" s="1">
        <v>24.0</v>
      </c>
      <c r="D158" s="2"/>
      <c r="E158" s="2"/>
      <c r="F158" s="2"/>
      <c r="G158" s="2"/>
      <c r="H158" s="2"/>
    </row>
    <row r="159">
      <c r="A159" s="1" t="s">
        <v>166</v>
      </c>
      <c r="B159" s="1"/>
      <c r="C159" s="1">
        <v>17.0</v>
      </c>
      <c r="D159" s="2"/>
      <c r="E159" s="2"/>
      <c r="F159" s="2"/>
      <c r="G159" s="2"/>
      <c r="H159" s="2"/>
    </row>
    <row r="160">
      <c r="A160" s="1" t="s">
        <v>167</v>
      </c>
      <c r="B160" s="1"/>
      <c r="C160" s="1">
        <v>0.0</v>
      </c>
      <c r="D160" s="2"/>
      <c r="E160" s="2"/>
      <c r="F160" s="2"/>
      <c r="G160" s="2"/>
      <c r="H160" s="2"/>
    </row>
    <row r="161">
      <c r="A161" s="1" t="s">
        <v>168</v>
      </c>
      <c r="B161" s="1"/>
      <c r="C161" s="1">
        <v>0.0</v>
      </c>
      <c r="D161" s="2"/>
      <c r="E161" s="2"/>
      <c r="F161" s="2"/>
      <c r="G161" s="2"/>
      <c r="H161" s="2"/>
    </row>
    <row r="162">
      <c r="A162" s="1" t="s">
        <v>169</v>
      </c>
      <c r="B162" s="1"/>
      <c r="C162" s="1">
        <v>23.0</v>
      </c>
      <c r="D162" s="2"/>
      <c r="E162" s="2"/>
      <c r="F162" s="2"/>
      <c r="G162" s="2"/>
      <c r="H162" s="2"/>
    </row>
    <row r="163">
      <c r="A163" s="1" t="s">
        <v>170</v>
      </c>
      <c r="B163" s="1"/>
      <c r="C163" s="1">
        <v>6.0</v>
      </c>
      <c r="D163" s="2"/>
      <c r="E163" s="2"/>
      <c r="F163" s="2"/>
      <c r="G163" s="2"/>
      <c r="H163" s="2"/>
    </row>
    <row r="164">
      <c r="A164" s="1" t="s">
        <v>171</v>
      </c>
      <c r="B164" s="1"/>
      <c r="C164" s="1">
        <v>92.0</v>
      </c>
      <c r="D164" s="2"/>
      <c r="E164" s="2"/>
      <c r="F164" s="2"/>
      <c r="G164" s="2"/>
      <c r="H164" s="2"/>
    </row>
    <row r="165">
      <c r="A165" s="1" t="s">
        <v>172</v>
      </c>
      <c r="B165" s="1"/>
      <c r="C165" s="1">
        <v>77.0</v>
      </c>
      <c r="D165" s="2"/>
      <c r="E165" s="2"/>
      <c r="F165" s="2"/>
      <c r="G165" s="2"/>
      <c r="H165" s="2"/>
    </row>
    <row r="166">
      <c r="A166" s="1" t="s">
        <v>173</v>
      </c>
      <c r="B166" s="1"/>
      <c r="C166" s="1">
        <v>34.0</v>
      </c>
      <c r="D166" s="2"/>
      <c r="E166" s="2"/>
      <c r="F166" s="2"/>
      <c r="G166" s="2"/>
      <c r="H166" s="2"/>
    </row>
    <row r="167">
      <c r="A167" s="1" t="s">
        <v>174</v>
      </c>
      <c r="B167" s="1"/>
      <c r="C167" s="1">
        <v>42.0</v>
      </c>
      <c r="D167" s="2"/>
      <c r="E167" s="2"/>
      <c r="F167" s="2"/>
      <c r="G167" s="2"/>
      <c r="H167" s="2"/>
    </row>
    <row r="168">
      <c r="A168" s="1" t="s">
        <v>175</v>
      </c>
      <c r="B168" s="1"/>
      <c r="C168" s="1">
        <v>72.0</v>
      </c>
      <c r="D168" s="2"/>
      <c r="E168" s="2"/>
      <c r="F168" s="2"/>
      <c r="G168" s="2"/>
      <c r="H168" s="2"/>
    </row>
    <row r="169">
      <c r="A169" s="1" t="s">
        <v>176</v>
      </c>
      <c r="B169" s="1"/>
      <c r="C169" s="1">
        <v>11.0</v>
      </c>
      <c r="D169" s="2"/>
      <c r="E169" s="2"/>
      <c r="F169" s="2"/>
      <c r="G169" s="2"/>
      <c r="H169" s="2"/>
    </row>
    <row r="170">
      <c r="A170" s="1" t="s">
        <v>177</v>
      </c>
      <c r="B170" s="1"/>
      <c r="C170" s="1">
        <v>31.0</v>
      </c>
      <c r="D170" s="2"/>
      <c r="E170" s="2"/>
      <c r="F170" s="2"/>
      <c r="G170" s="2"/>
      <c r="H170" s="2"/>
    </row>
    <row r="171">
      <c r="A171" s="1" t="s">
        <v>178</v>
      </c>
      <c r="B171" s="1"/>
      <c r="C171" s="1">
        <v>53.0</v>
      </c>
      <c r="D171" s="2"/>
      <c r="E171" s="2"/>
      <c r="F171" s="2"/>
      <c r="G171" s="2"/>
      <c r="H171" s="2"/>
    </row>
    <row r="172">
      <c r="A172" s="1" t="s">
        <v>179</v>
      </c>
      <c r="B172" s="1"/>
      <c r="C172" s="1">
        <v>8.0</v>
      </c>
      <c r="D172" s="2"/>
      <c r="E172" s="2"/>
      <c r="F172" s="2"/>
      <c r="G172" s="2"/>
      <c r="H172" s="2"/>
    </row>
    <row r="173">
      <c r="A173" s="1" t="s">
        <v>180</v>
      </c>
      <c r="B173" s="1"/>
      <c r="C173" s="1">
        <v>54.0</v>
      </c>
      <c r="D173" s="2"/>
      <c r="E173" s="2"/>
      <c r="F173" s="2"/>
      <c r="G173" s="2"/>
      <c r="H173" s="2"/>
    </row>
    <row r="174">
      <c r="A174" s="1" t="s">
        <v>181</v>
      </c>
      <c r="B174" s="1"/>
      <c r="C174" s="1">
        <v>0.0</v>
      </c>
      <c r="D174" s="2"/>
      <c r="E174" s="2"/>
      <c r="F174" s="2"/>
      <c r="G174" s="2"/>
      <c r="H174" s="2"/>
    </row>
    <row r="175">
      <c r="A175" s="1" t="s">
        <v>182</v>
      </c>
      <c r="B175" s="1"/>
      <c r="C175" s="1">
        <v>0.0</v>
      </c>
      <c r="D175" s="2"/>
      <c r="E175" s="2"/>
      <c r="F175" s="2"/>
      <c r="G175" s="2"/>
      <c r="H175" s="2"/>
    </row>
    <row r="176">
      <c r="A176" s="1" t="s">
        <v>183</v>
      </c>
      <c r="B176" s="1"/>
      <c r="C176" s="1">
        <v>37.0</v>
      </c>
      <c r="D176" s="2"/>
      <c r="E176" s="2"/>
      <c r="F176" s="2"/>
      <c r="G176" s="2"/>
      <c r="H176" s="2"/>
    </row>
    <row r="177">
      <c r="A177" s="1" t="s">
        <v>184</v>
      </c>
      <c r="B177" s="1"/>
      <c r="C177" s="1">
        <v>0.0</v>
      </c>
      <c r="D177" s="2"/>
      <c r="E177" s="2"/>
      <c r="F177" s="2"/>
      <c r="G177" s="2"/>
      <c r="H177" s="2"/>
    </row>
    <row r="178">
      <c r="A178" s="1" t="s">
        <v>185</v>
      </c>
      <c r="B178" s="1"/>
      <c r="C178" s="2"/>
      <c r="D178" s="2"/>
      <c r="E178" s="2"/>
      <c r="F178" s="2"/>
      <c r="G178" s="2"/>
      <c r="H178" s="2"/>
    </row>
    <row r="179">
      <c r="A179" s="1" t="s">
        <v>186</v>
      </c>
      <c r="B179" s="1"/>
      <c r="C179" s="1">
        <v>29.0</v>
      </c>
      <c r="D179" s="2"/>
      <c r="E179" s="2"/>
      <c r="F179" s="2"/>
      <c r="G179" s="2"/>
      <c r="H179" s="2"/>
    </row>
    <row r="180">
      <c r="A180" s="1" t="s">
        <v>187</v>
      </c>
      <c r="B180" s="1"/>
      <c r="C180" s="2"/>
      <c r="D180" s="2"/>
      <c r="E180" s="2"/>
      <c r="F180" s="2"/>
      <c r="G180" s="2"/>
      <c r="H180" s="2"/>
    </row>
    <row r="181">
      <c r="A181" s="1" t="s">
        <v>188</v>
      </c>
      <c r="B181" s="1"/>
      <c r="C181" s="1">
        <v>0.0</v>
      </c>
      <c r="D181" s="2"/>
      <c r="E181" s="2"/>
      <c r="F181" s="2"/>
      <c r="G181" s="2"/>
      <c r="H181" s="2"/>
    </row>
    <row r="182">
      <c r="A182" s="1" t="s">
        <v>189</v>
      </c>
      <c r="B182" s="1"/>
      <c r="C182" s="1">
        <v>0.0</v>
      </c>
      <c r="D182" s="2"/>
      <c r="E182" s="2"/>
      <c r="F182" s="2"/>
      <c r="G182" s="2"/>
      <c r="H182" s="2"/>
    </row>
    <row r="183">
      <c r="A183" s="1" t="s">
        <v>190</v>
      </c>
      <c r="B183" s="1"/>
      <c r="C183" s="1">
        <v>0.0</v>
      </c>
      <c r="D183" s="2"/>
      <c r="E183" s="2"/>
      <c r="F183" s="2"/>
      <c r="G183" s="2"/>
      <c r="H183" s="2"/>
    </row>
    <row r="184">
      <c r="A184" s="1" t="s">
        <v>191</v>
      </c>
      <c r="B184" s="1"/>
      <c r="C184" s="1">
        <v>0.0</v>
      </c>
      <c r="D184" s="2"/>
      <c r="E184" s="2"/>
      <c r="F184" s="2"/>
      <c r="G184" s="2"/>
      <c r="H184" s="2"/>
    </row>
    <row r="185">
      <c r="A185" s="1" t="s">
        <v>192</v>
      </c>
      <c r="B185" s="1"/>
      <c r="C185" s="1">
        <v>0.0</v>
      </c>
      <c r="D185" s="2"/>
      <c r="E185" s="2"/>
      <c r="F185" s="2"/>
      <c r="G185" s="2"/>
      <c r="H185" s="2"/>
    </row>
    <row r="186">
      <c r="A186" s="1" t="s">
        <v>193</v>
      </c>
      <c r="B186" s="1"/>
      <c r="C186" s="1">
        <v>0.0</v>
      </c>
      <c r="D186" s="2"/>
      <c r="E186" s="2"/>
      <c r="F186" s="2"/>
      <c r="G186" s="2"/>
      <c r="H186" s="2"/>
    </row>
    <row r="187">
      <c r="A187" s="1" t="s">
        <v>194</v>
      </c>
      <c r="B187" s="1"/>
      <c r="C187" s="1">
        <v>28.0</v>
      </c>
      <c r="D187" s="2"/>
      <c r="E187" s="2"/>
      <c r="F187" s="2"/>
      <c r="G187" s="2"/>
      <c r="H187" s="2"/>
    </row>
    <row r="188">
      <c r="A188" s="1" t="s">
        <v>195</v>
      </c>
      <c r="B188" s="1"/>
      <c r="C188" s="1">
        <v>80.0</v>
      </c>
      <c r="D188" s="2"/>
      <c r="E188" s="2"/>
      <c r="F188" s="2"/>
      <c r="G188" s="2"/>
      <c r="H188" s="2"/>
    </row>
    <row r="189">
      <c r="A189" s="1" t="s">
        <v>196</v>
      </c>
      <c r="B189" s="1"/>
      <c r="C189" s="1">
        <v>0.0</v>
      </c>
      <c r="D189" s="2"/>
      <c r="E189" s="2"/>
      <c r="F189" s="2"/>
      <c r="G189" s="2"/>
      <c r="H189" s="2"/>
    </row>
    <row r="190">
      <c r="A190" s="1" t="s">
        <v>197</v>
      </c>
      <c r="B190" s="1"/>
      <c r="C190" s="1">
        <v>0.0</v>
      </c>
      <c r="D190" s="2"/>
      <c r="E190" s="2"/>
      <c r="F190" s="2"/>
      <c r="G190" s="2"/>
      <c r="H190" s="2"/>
    </row>
    <row r="191">
      <c r="A191" s="1" t="s">
        <v>198</v>
      </c>
      <c r="B191" s="1"/>
      <c r="C191" s="1">
        <v>84.0</v>
      </c>
      <c r="D191" s="2"/>
      <c r="E191" s="2"/>
      <c r="F191" s="2"/>
      <c r="G191" s="2"/>
      <c r="H191" s="2"/>
    </row>
    <row r="192">
      <c r="A192" s="1" t="s">
        <v>199</v>
      </c>
      <c r="B192" s="1"/>
      <c r="C192" s="1">
        <v>0.0</v>
      </c>
      <c r="D192" s="2"/>
      <c r="E192" s="2"/>
      <c r="F192" s="2"/>
      <c r="G192" s="2"/>
      <c r="H192" s="2"/>
    </row>
    <row r="193">
      <c r="A193" s="1" t="s">
        <v>200</v>
      </c>
      <c r="B193" s="1"/>
      <c r="C193" s="1">
        <v>0.0</v>
      </c>
      <c r="D193" s="2"/>
      <c r="E193" s="2"/>
      <c r="F193" s="2"/>
      <c r="G193" s="2"/>
      <c r="H193" s="2"/>
    </row>
    <row r="194">
      <c r="A194" s="1" t="s">
        <v>201</v>
      </c>
      <c r="B194" s="1"/>
      <c r="C194" s="1">
        <v>86.0</v>
      </c>
      <c r="D194" s="2"/>
      <c r="E194" s="2"/>
      <c r="F194" s="2"/>
      <c r="G194" s="2"/>
      <c r="H194" s="2"/>
    </row>
    <row r="195">
      <c r="A195" s="1" t="s">
        <v>202</v>
      </c>
      <c r="B195" s="1"/>
      <c r="C195" s="1">
        <v>0.0</v>
      </c>
      <c r="D195" s="2"/>
      <c r="E195" s="2"/>
      <c r="F195" s="2"/>
      <c r="G195" s="2"/>
      <c r="H195" s="2"/>
    </row>
    <row r="196">
      <c r="A196" s="1" t="s">
        <v>203</v>
      </c>
      <c r="B196" s="1"/>
      <c r="C196" s="1">
        <v>0.0</v>
      </c>
      <c r="D196" s="2"/>
      <c r="E196" s="2"/>
      <c r="F196" s="2"/>
      <c r="G196" s="2"/>
      <c r="H196" s="2"/>
    </row>
    <row r="197">
      <c r="A197" s="1" t="s">
        <v>204</v>
      </c>
      <c r="B197" s="1"/>
      <c r="C197" s="1">
        <v>14.0</v>
      </c>
      <c r="D197" s="2"/>
      <c r="E197" s="2"/>
      <c r="F197" s="2"/>
      <c r="G197" s="2"/>
      <c r="H197" s="2"/>
    </row>
    <row r="198">
      <c r="A198" s="1" t="s">
        <v>205</v>
      </c>
      <c r="B198" s="1"/>
      <c r="C198" s="1">
        <v>54.0</v>
      </c>
      <c r="D198" s="2"/>
      <c r="E198" s="2"/>
      <c r="F198" s="2"/>
      <c r="G198" s="2"/>
      <c r="H198" s="2"/>
    </row>
    <row r="199">
      <c r="A199" s="1" t="s">
        <v>206</v>
      </c>
      <c r="B199" s="1"/>
      <c r="C199" s="1">
        <v>71.0</v>
      </c>
      <c r="D199" s="2"/>
      <c r="E199" s="2"/>
      <c r="F199" s="2"/>
      <c r="G199" s="2"/>
      <c r="H199" s="2"/>
    </row>
    <row r="200">
      <c r="A200" s="1" t="s">
        <v>207</v>
      </c>
      <c r="B200" s="1"/>
      <c r="C200" s="1">
        <v>0.0</v>
      </c>
      <c r="D200" s="2"/>
      <c r="E200" s="2"/>
      <c r="F200" s="2"/>
      <c r="G200" s="2"/>
      <c r="H200" s="2"/>
    </row>
    <row r="201">
      <c r="A201" s="1" t="s">
        <v>208</v>
      </c>
      <c r="B201" s="1"/>
      <c r="C201" s="1">
        <v>40.0</v>
      </c>
      <c r="D201" s="2"/>
      <c r="E201" s="2"/>
      <c r="F201" s="2"/>
      <c r="G201" s="2"/>
      <c r="H201" s="2"/>
    </row>
    <row r="202">
      <c r="A202" s="1" t="s">
        <v>209</v>
      </c>
      <c r="B202" s="1"/>
      <c r="C202" s="1">
        <v>34.0</v>
      </c>
      <c r="D202" s="2"/>
      <c r="E202" s="2"/>
      <c r="F202" s="2"/>
      <c r="G202" s="2"/>
      <c r="H202" s="2"/>
    </row>
    <row r="203">
      <c r="A203" s="1" t="s">
        <v>210</v>
      </c>
      <c r="B203" s="1"/>
      <c r="C203" s="1">
        <v>0.0</v>
      </c>
      <c r="D203" s="2"/>
      <c r="E203" s="2"/>
      <c r="F203" s="2"/>
      <c r="G203" s="2"/>
      <c r="H203" s="2"/>
    </row>
    <row r="204">
      <c r="A204" s="1" t="s">
        <v>211</v>
      </c>
      <c r="B204" s="1"/>
      <c r="C204" s="1">
        <v>62.0</v>
      </c>
      <c r="D204" s="2"/>
      <c r="E204" s="2"/>
      <c r="F204" s="2"/>
      <c r="G204" s="2"/>
      <c r="H204" s="2"/>
    </row>
    <row r="205">
      <c r="A205" s="1" t="s">
        <v>212</v>
      </c>
      <c r="B205" s="1"/>
      <c r="C205" s="1">
        <v>40.0</v>
      </c>
      <c r="D205" s="2"/>
      <c r="E205" s="2"/>
      <c r="F205" s="2"/>
      <c r="G205" s="2"/>
      <c r="H205" s="2"/>
    </row>
    <row r="206">
      <c r="A206" s="1" t="s">
        <v>213</v>
      </c>
      <c r="B206" s="1"/>
      <c r="C206" s="1">
        <v>0.0</v>
      </c>
      <c r="D206" s="2"/>
      <c r="E206" s="2"/>
      <c r="F206" s="2"/>
      <c r="G206" s="2"/>
      <c r="H206" s="2"/>
    </row>
    <row r="207">
      <c r="A207" s="1" t="s">
        <v>214</v>
      </c>
      <c r="B207" s="1"/>
      <c r="C207" s="1">
        <v>0.0</v>
      </c>
      <c r="D207" s="2"/>
      <c r="E207" s="2"/>
      <c r="F207" s="2"/>
      <c r="G207" s="2"/>
      <c r="H207" s="2"/>
    </row>
    <row r="208">
      <c r="A208" s="1" t="s">
        <v>215</v>
      </c>
      <c r="B208" s="1"/>
      <c r="C208" s="1">
        <v>0.0</v>
      </c>
      <c r="D208" s="2"/>
      <c r="E208" s="2"/>
      <c r="F208" s="2"/>
      <c r="G208" s="2"/>
      <c r="H208" s="2"/>
    </row>
    <row r="209">
      <c r="A209" s="1" t="s">
        <v>216</v>
      </c>
      <c r="B209" s="1"/>
      <c r="C209" s="1">
        <v>4.0</v>
      </c>
      <c r="D209" s="2"/>
      <c r="E209" s="2"/>
      <c r="F209" s="2"/>
      <c r="G209" s="2"/>
      <c r="H209" s="2"/>
    </row>
    <row r="210">
      <c r="A210" s="1" t="s">
        <v>217</v>
      </c>
      <c r="B210" s="1"/>
      <c r="C210" s="1">
        <v>0.0</v>
      </c>
      <c r="D210" s="2"/>
      <c r="E210" s="2"/>
      <c r="F210" s="2"/>
      <c r="G210" s="2"/>
      <c r="H210" s="2"/>
    </row>
    <row r="211">
      <c r="A211" s="1" t="s">
        <v>145</v>
      </c>
      <c r="B211" s="1"/>
      <c r="C211" s="1">
        <v>0.0</v>
      </c>
      <c r="D211" s="2"/>
      <c r="E211" s="2"/>
      <c r="F211" s="2"/>
      <c r="G211" s="2"/>
      <c r="H211" s="2"/>
    </row>
    <row r="212">
      <c r="A212" s="1" t="s">
        <v>146</v>
      </c>
      <c r="B212" s="1"/>
      <c r="C212" s="2"/>
      <c r="D212" s="2"/>
      <c r="E212" s="2"/>
      <c r="F212" s="2"/>
      <c r="G212" s="2"/>
      <c r="H212" s="2"/>
    </row>
    <row r="213">
      <c r="A213" s="1" t="s">
        <v>147</v>
      </c>
      <c r="B213" s="1"/>
      <c r="C213" s="1">
        <v>0.0</v>
      </c>
      <c r="D213" s="2"/>
      <c r="E213" s="2"/>
      <c r="F213" s="2"/>
      <c r="G213" s="2"/>
      <c r="H213" s="2"/>
    </row>
    <row r="214">
      <c r="A214" s="1" t="s">
        <v>148</v>
      </c>
      <c r="B214" s="1"/>
      <c r="C214" s="2"/>
      <c r="D214" s="2"/>
      <c r="E214" s="2"/>
      <c r="F214" s="2"/>
      <c r="G214" s="2"/>
      <c r="H214" s="2"/>
    </row>
    <row r="215">
      <c r="A215" s="1" t="s">
        <v>149</v>
      </c>
      <c r="B215" s="1"/>
      <c r="C215" s="1">
        <v>0.0</v>
      </c>
      <c r="D215" s="2"/>
      <c r="E215" s="2"/>
      <c r="F215" s="2"/>
      <c r="G215" s="2"/>
      <c r="H215" s="2"/>
    </row>
    <row r="216">
      <c r="A216" s="1" t="s">
        <v>150</v>
      </c>
      <c r="B216" s="1"/>
      <c r="C216" s="1">
        <v>0.0</v>
      </c>
      <c r="D216" s="2"/>
      <c r="E216" s="2"/>
      <c r="F216" s="2"/>
      <c r="G216" s="2"/>
      <c r="H216" s="2"/>
    </row>
    <row r="217">
      <c r="A217" s="1" t="s">
        <v>151</v>
      </c>
      <c r="B217" s="1"/>
      <c r="C217" s="1">
        <v>0.0</v>
      </c>
      <c r="D217" s="2"/>
      <c r="E217" s="2"/>
      <c r="F217" s="2"/>
      <c r="G217" s="2"/>
      <c r="H217" s="2"/>
    </row>
    <row r="218">
      <c r="A218" s="1" t="s">
        <v>152</v>
      </c>
      <c r="B218" s="1"/>
      <c r="C218" s="1">
        <v>0.0</v>
      </c>
      <c r="D218" s="2"/>
      <c r="E218" s="2"/>
      <c r="F218" s="2"/>
      <c r="G218" s="2"/>
      <c r="H218" s="2"/>
    </row>
    <row r="219">
      <c r="A219" s="1" t="s">
        <v>153</v>
      </c>
      <c r="B219" s="1"/>
      <c r="C219" s="1">
        <v>0.0</v>
      </c>
      <c r="D219" s="2"/>
      <c r="E219" s="2"/>
      <c r="F219" s="2"/>
      <c r="G219" s="2"/>
      <c r="H219" s="2"/>
    </row>
    <row r="220">
      <c r="A220" s="1" t="s">
        <v>154</v>
      </c>
      <c r="B220" s="1"/>
      <c r="C220" s="1">
        <v>0.0</v>
      </c>
      <c r="D220" s="2"/>
      <c r="E220" s="2"/>
      <c r="F220" s="2"/>
      <c r="G220" s="2"/>
      <c r="H220" s="2"/>
    </row>
    <row r="221">
      <c r="A221" s="1" t="s">
        <v>155</v>
      </c>
      <c r="B221" s="1"/>
      <c r="C221" s="1">
        <v>26.0</v>
      </c>
      <c r="D221" s="2"/>
      <c r="E221" s="2"/>
      <c r="F221" s="2"/>
      <c r="G221" s="2"/>
      <c r="H221" s="2"/>
    </row>
    <row r="222">
      <c r="A222" s="1" t="s">
        <v>156</v>
      </c>
      <c r="B222" s="1"/>
      <c r="C222" s="1">
        <v>0.0</v>
      </c>
      <c r="D222" s="2"/>
      <c r="E222" s="2"/>
      <c r="F222" s="2"/>
      <c r="G222" s="2"/>
      <c r="H222" s="2"/>
    </row>
    <row r="223">
      <c r="A223" s="1" t="s">
        <v>157</v>
      </c>
      <c r="B223" s="1"/>
      <c r="C223" s="1">
        <v>0.0</v>
      </c>
      <c r="D223" s="2"/>
      <c r="E223" s="2"/>
      <c r="F223" s="2"/>
      <c r="G223" s="2"/>
      <c r="H223" s="2"/>
    </row>
    <row r="224">
      <c r="A224" s="1" t="s">
        <v>158</v>
      </c>
      <c r="B224" s="1"/>
      <c r="C224" s="2"/>
      <c r="D224" s="2"/>
      <c r="E224" s="2"/>
      <c r="F224" s="2"/>
      <c r="G224" s="2"/>
      <c r="H224" s="2"/>
    </row>
    <row r="225">
      <c r="A225" s="1" t="s">
        <v>159</v>
      </c>
      <c r="B225" s="1"/>
      <c r="C225" s="1">
        <v>6.0</v>
      </c>
      <c r="D225" s="2"/>
      <c r="E225" s="2"/>
      <c r="F225" s="2"/>
      <c r="G225" s="2"/>
      <c r="H225" s="2"/>
    </row>
    <row r="226">
      <c r="A226" s="1" t="s">
        <v>160</v>
      </c>
      <c r="B226" s="1"/>
      <c r="C226" s="2"/>
      <c r="D226" s="2"/>
      <c r="E226" s="2"/>
      <c r="F226" s="2"/>
      <c r="G226" s="2"/>
      <c r="H226" s="2"/>
    </row>
    <row r="227">
      <c r="A227" s="1" t="s">
        <v>161</v>
      </c>
      <c r="B227" s="1"/>
      <c r="C227" s="1">
        <v>0.0</v>
      </c>
      <c r="D227" s="2"/>
      <c r="E227" s="2"/>
      <c r="F227" s="2"/>
      <c r="G227" s="2"/>
      <c r="H227" s="2"/>
    </row>
    <row r="228">
      <c r="A228" s="1" t="s">
        <v>162</v>
      </c>
      <c r="B228" s="1"/>
      <c r="C228" s="1">
        <v>0.0</v>
      </c>
      <c r="D228" s="2"/>
      <c r="E228" s="2"/>
      <c r="F228" s="2"/>
      <c r="G228" s="2"/>
      <c r="H228" s="2"/>
    </row>
    <row r="229">
      <c r="A229" s="1" t="s">
        <v>163</v>
      </c>
      <c r="B229" s="1"/>
      <c r="C229" s="1">
        <v>0.0</v>
      </c>
      <c r="D229" s="2"/>
      <c r="E229" s="2"/>
      <c r="F229" s="2"/>
      <c r="G229" s="2"/>
      <c r="H229" s="2"/>
    </row>
    <row r="230">
      <c r="A230" s="1" t="s">
        <v>164</v>
      </c>
      <c r="B230" s="1"/>
      <c r="C230" s="1">
        <v>0.0</v>
      </c>
      <c r="D230" s="2"/>
      <c r="E230" s="2"/>
      <c r="F230" s="2"/>
      <c r="G230" s="2"/>
      <c r="H230" s="2"/>
    </row>
    <row r="231">
      <c r="A231" s="1" t="s">
        <v>165</v>
      </c>
      <c r="B231" s="1"/>
      <c r="C231" s="1">
        <v>24.0</v>
      </c>
      <c r="D231" s="2"/>
      <c r="E231" s="2"/>
      <c r="F231" s="2"/>
      <c r="G231" s="2"/>
      <c r="H231" s="2"/>
    </row>
    <row r="232">
      <c r="A232" s="1" t="s">
        <v>166</v>
      </c>
      <c r="B232" s="1"/>
      <c r="C232" s="1">
        <v>17.0</v>
      </c>
      <c r="D232" s="2"/>
      <c r="E232" s="2"/>
      <c r="F232" s="2"/>
      <c r="G232" s="2"/>
      <c r="H232" s="2"/>
    </row>
    <row r="233">
      <c r="A233" s="1" t="s">
        <v>167</v>
      </c>
      <c r="B233" s="1"/>
      <c r="C233" s="1">
        <v>0.0</v>
      </c>
      <c r="D233" s="2"/>
      <c r="E233" s="2"/>
      <c r="F233" s="2"/>
      <c r="G233" s="2"/>
      <c r="H233" s="2"/>
    </row>
    <row r="234">
      <c r="A234" s="1" t="s">
        <v>168</v>
      </c>
      <c r="B234" s="1"/>
      <c r="C234" s="1">
        <v>0.0</v>
      </c>
      <c r="D234" s="2"/>
      <c r="E234" s="2"/>
      <c r="F234" s="2"/>
      <c r="G234" s="2"/>
      <c r="H234" s="2"/>
    </row>
    <row r="235">
      <c r="A235" s="1" t="s">
        <v>169</v>
      </c>
      <c r="B235" s="1"/>
      <c r="C235" s="1">
        <v>23.0</v>
      </c>
      <c r="D235" s="2"/>
      <c r="E235" s="2"/>
      <c r="F235" s="2"/>
      <c r="G235" s="2"/>
      <c r="H235" s="2"/>
    </row>
    <row r="236">
      <c r="A236" s="1" t="s">
        <v>170</v>
      </c>
      <c r="B236" s="1"/>
      <c r="C236" s="1">
        <v>6.0</v>
      </c>
      <c r="D236" s="2"/>
      <c r="E236" s="2"/>
      <c r="F236" s="2"/>
      <c r="G236" s="2"/>
      <c r="H236" s="2"/>
    </row>
    <row r="237">
      <c r="A237" s="1" t="s">
        <v>171</v>
      </c>
      <c r="B237" s="1"/>
      <c r="C237" s="1">
        <v>92.0</v>
      </c>
      <c r="D237" s="2"/>
      <c r="E237" s="2"/>
      <c r="F237" s="2"/>
      <c r="G237" s="2"/>
      <c r="H237" s="2"/>
    </row>
    <row r="238">
      <c r="A238" s="1" t="s">
        <v>172</v>
      </c>
      <c r="B238" s="1"/>
      <c r="C238" s="1">
        <v>77.0</v>
      </c>
      <c r="D238" s="2"/>
      <c r="E238" s="2"/>
      <c r="F238" s="2"/>
      <c r="G238" s="2"/>
      <c r="H238" s="2"/>
    </row>
    <row r="239">
      <c r="A239" s="1" t="s">
        <v>173</v>
      </c>
      <c r="B239" s="1"/>
      <c r="C239" s="1">
        <v>34.0</v>
      </c>
      <c r="D239" s="2"/>
      <c r="E239" s="2"/>
      <c r="F239" s="2"/>
      <c r="G239" s="2"/>
      <c r="H239" s="2"/>
    </row>
    <row r="240">
      <c r="A240" s="1" t="s">
        <v>174</v>
      </c>
      <c r="B240" s="1"/>
      <c r="C240" s="1">
        <v>42.0</v>
      </c>
      <c r="D240" s="2"/>
      <c r="E240" s="2"/>
      <c r="F240" s="2"/>
      <c r="G240" s="2"/>
      <c r="H240" s="2"/>
    </row>
    <row r="241">
      <c r="A241" s="1" t="s">
        <v>175</v>
      </c>
      <c r="B241" s="1"/>
      <c r="C241" s="1">
        <v>72.0</v>
      </c>
      <c r="D241" s="2"/>
      <c r="E241" s="2"/>
      <c r="F241" s="2"/>
      <c r="G241" s="2"/>
      <c r="H241" s="2"/>
    </row>
    <row r="242">
      <c r="A242" s="1" t="s">
        <v>176</v>
      </c>
      <c r="B242" s="1"/>
      <c r="C242" s="1">
        <v>11.0</v>
      </c>
      <c r="D242" s="2"/>
      <c r="E242" s="2"/>
      <c r="F242" s="2"/>
      <c r="G242" s="2"/>
      <c r="H242" s="2"/>
    </row>
    <row r="243">
      <c r="A243" s="1" t="s">
        <v>177</v>
      </c>
      <c r="B243" s="1"/>
      <c r="C243" s="1">
        <v>31.0</v>
      </c>
      <c r="D243" s="2"/>
      <c r="E243" s="2"/>
      <c r="F243" s="2"/>
      <c r="G243" s="2"/>
      <c r="H243" s="2"/>
    </row>
    <row r="244">
      <c r="A244" s="1" t="s">
        <v>178</v>
      </c>
      <c r="B244" s="1"/>
      <c r="C244" s="1">
        <v>53.0</v>
      </c>
      <c r="D244" s="2"/>
      <c r="E244" s="2"/>
      <c r="F244" s="2"/>
      <c r="G244" s="2"/>
      <c r="H244" s="2"/>
    </row>
    <row r="245">
      <c r="A245" s="1" t="s">
        <v>179</v>
      </c>
      <c r="B245" s="1"/>
      <c r="C245" s="1">
        <v>8.0</v>
      </c>
      <c r="D245" s="2"/>
      <c r="E245" s="2"/>
      <c r="F245" s="2"/>
      <c r="G245" s="2"/>
      <c r="H245" s="2"/>
    </row>
    <row r="246">
      <c r="A246" s="1" t="s">
        <v>180</v>
      </c>
      <c r="B246" s="1"/>
      <c r="C246" s="1">
        <v>54.0</v>
      </c>
      <c r="D246" s="2"/>
      <c r="E246" s="2"/>
      <c r="F246" s="2"/>
      <c r="G246" s="2"/>
      <c r="H246" s="2"/>
    </row>
    <row r="247">
      <c r="A247" s="1" t="s">
        <v>181</v>
      </c>
      <c r="B247" s="1"/>
      <c r="C247" s="1">
        <v>0.0</v>
      </c>
      <c r="D247" s="2"/>
      <c r="E247" s="2"/>
      <c r="F247" s="2"/>
      <c r="G247" s="2"/>
      <c r="H247" s="2"/>
    </row>
    <row r="248">
      <c r="A248" s="1" t="s">
        <v>182</v>
      </c>
      <c r="B248" s="1"/>
      <c r="C248" s="1">
        <v>0.0</v>
      </c>
      <c r="D248" s="2"/>
      <c r="E248" s="2"/>
      <c r="F248" s="2"/>
      <c r="G248" s="2"/>
      <c r="H248" s="2"/>
    </row>
    <row r="249">
      <c r="A249" s="1" t="s">
        <v>183</v>
      </c>
      <c r="B249" s="1"/>
      <c r="C249" s="1">
        <v>37.0</v>
      </c>
      <c r="D249" s="2"/>
      <c r="E249" s="2"/>
      <c r="F249" s="2"/>
      <c r="G249" s="2"/>
      <c r="H249" s="2"/>
    </row>
    <row r="250">
      <c r="A250" s="1" t="s">
        <v>184</v>
      </c>
      <c r="B250" s="1"/>
      <c r="C250" s="1">
        <v>0.0</v>
      </c>
      <c r="D250" s="2"/>
      <c r="E250" s="2"/>
      <c r="F250" s="2"/>
      <c r="G250" s="2"/>
      <c r="H250" s="2"/>
    </row>
    <row r="251">
      <c r="A251" s="1" t="s">
        <v>185</v>
      </c>
      <c r="B251" s="1"/>
      <c r="C251" s="2"/>
      <c r="D251" s="2"/>
      <c r="E251" s="2"/>
      <c r="F251" s="2"/>
      <c r="G251" s="2"/>
      <c r="H251" s="2"/>
    </row>
    <row r="252">
      <c r="A252" s="1" t="s">
        <v>186</v>
      </c>
      <c r="B252" s="1"/>
      <c r="C252" s="1">
        <v>29.0</v>
      </c>
      <c r="D252" s="2"/>
      <c r="E252" s="2"/>
      <c r="F252" s="2"/>
      <c r="G252" s="2"/>
      <c r="H252" s="2"/>
    </row>
    <row r="253">
      <c r="A253" s="1" t="s">
        <v>187</v>
      </c>
      <c r="B253" s="1"/>
      <c r="C253" s="2"/>
      <c r="D253" s="2"/>
      <c r="E253" s="2"/>
      <c r="F253" s="2"/>
      <c r="G253" s="2"/>
      <c r="H253" s="2"/>
    </row>
    <row r="254">
      <c r="A254" s="1" t="s">
        <v>188</v>
      </c>
      <c r="B254" s="1"/>
      <c r="C254" s="1">
        <v>0.0</v>
      </c>
      <c r="D254" s="2"/>
      <c r="E254" s="2"/>
      <c r="F254" s="2"/>
      <c r="G254" s="2"/>
      <c r="H254" s="2"/>
    </row>
    <row r="255">
      <c r="A255" s="1" t="s">
        <v>189</v>
      </c>
      <c r="B255" s="1"/>
      <c r="C255" s="1">
        <v>0.0</v>
      </c>
      <c r="D255" s="2"/>
      <c r="E255" s="2"/>
      <c r="F255" s="2"/>
      <c r="G255" s="2"/>
      <c r="H255" s="2"/>
    </row>
    <row r="256">
      <c r="A256" s="1" t="s">
        <v>190</v>
      </c>
      <c r="B256" s="1"/>
      <c r="C256" s="1">
        <v>0.0</v>
      </c>
      <c r="D256" s="2"/>
      <c r="E256" s="2"/>
      <c r="F256" s="2"/>
      <c r="G256" s="2"/>
      <c r="H256" s="2"/>
    </row>
    <row r="257">
      <c r="A257" s="1" t="s">
        <v>191</v>
      </c>
      <c r="B257" s="1"/>
      <c r="C257" s="1">
        <v>0.0</v>
      </c>
      <c r="D257" s="2"/>
      <c r="E257" s="2"/>
      <c r="F257" s="2"/>
      <c r="G257" s="2"/>
      <c r="H257" s="2"/>
    </row>
    <row r="258">
      <c r="A258" s="1" t="s">
        <v>192</v>
      </c>
      <c r="B258" s="1"/>
      <c r="C258" s="1">
        <v>0.0</v>
      </c>
      <c r="D258" s="2"/>
      <c r="E258" s="2"/>
      <c r="F258" s="2"/>
      <c r="G258" s="2"/>
      <c r="H258" s="2"/>
    </row>
    <row r="259">
      <c r="A259" s="1" t="s">
        <v>193</v>
      </c>
      <c r="B259" s="1"/>
      <c r="C259" s="1">
        <v>0.0</v>
      </c>
      <c r="D259" s="2"/>
      <c r="E259" s="2"/>
      <c r="F259" s="2"/>
      <c r="G259" s="2"/>
      <c r="H259" s="2"/>
    </row>
    <row r="260">
      <c r="A260" s="1" t="s">
        <v>194</v>
      </c>
      <c r="B260" s="1"/>
      <c r="C260" s="1">
        <v>28.0</v>
      </c>
      <c r="D260" s="2"/>
      <c r="E260" s="2"/>
      <c r="F260" s="2"/>
      <c r="G260" s="2"/>
      <c r="H260" s="2"/>
    </row>
    <row r="261">
      <c r="A261" s="1" t="s">
        <v>195</v>
      </c>
      <c r="B261" s="1"/>
      <c r="C261" s="1">
        <v>80.0</v>
      </c>
      <c r="D261" s="2"/>
      <c r="E261" s="2"/>
      <c r="F261" s="2"/>
      <c r="G261" s="2"/>
      <c r="H261" s="2"/>
    </row>
    <row r="262">
      <c r="A262" s="1" t="s">
        <v>196</v>
      </c>
      <c r="B262" s="1"/>
      <c r="C262" s="1">
        <v>0.0</v>
      </c>
      <c r="D262" s="2"/>
      <c r="E262" s="2"/>
      <c r="F262" s="2"/>
      <c r="G262" s="2"/>
      <c r="H262" s="2"/>
    </row>
    <row r="263">
      <c r="A263" s="1" t="s">
        <v>197</v>
      </c>
      <c r="B263" s="1"/>
      <c r="C263" s="1">
        <v>0.0</v>
      </c>
      <c r="D263" s="2"/>
      <c r="E263" s="2"/>
      <c r="F263" s="2"/>
      <c r="G263" s="2"/>
      <c r="H263" s="2"/>
    </row>
    <row r="264">
      <c r="A264" s="1" t="s">
        <v>198</v>
      </c>
      <c r="B264" s="1"/>
      <c r="C264" s="1">
        <v>84.0</v>
      </c>
      <c r="D264" s="2"/>
      <c r="E264" s="2"/>
      <c r="F264" s="2"/>
      <c r="G264" s="2"/>
      <c r="H264" s="2"/>
    </row>
    <row r="265">
      <c r="A265" s="1" t="s">
        <v>199</v>
      </c>
      <c r="B265" s="1"/>
      <c r="C265" s="1">
        <v>0.0</v>
      </c>
      <c r="D265" s="2"/>
      <c r="E265" s="2"/>
      <c r="F265" s="2"/>
      <c r="G265" s="2"/>
      <c r="H265" s="2"/>
    </row>
    <row r="266">
      <c r="A266" s="1" t="s">
        <v>200</v>
      </c>
      <c r="B266" s="1"/>
      <c r="C266" s="1">
        <v>0.0</v>
      </c>
      <c r="D266" s="2"/>
      <c r="E266" s="2"/>
      <c r="F266" s="2"/>
      <c r="G266" s="2"/>
      <c r="H266" s="2"/>
    </row>
    <row r="267">
      <c r="A267" s="1" t="s">
        <v>201</v>
      </c>
      <c r="B267" s="1"/>
      <c r="C267" s="1">
        <v>86.0</v>
      </c>
      <c r="D267" s="2"/>
      <c r="E267" s="2"/>
      <c r="F267" s="2"/>
      <c r="G267" s="2"/>
      <c r="H267" s="2"/>
    </row>
    <row r="268">
      <c r="A268" s="1" t="s">
        <v>202</v>
      </c>
      <c r="B268" s="1"/>
      <c r="C268" s="1">
        <v>0.0</v>
      </c>
      <c r="D268" s="2"/>
      <c r="E268" s="2"/>
      <c r="F268" s="2"/>
      <c r="G268" s="2"/>
      <c r="H268" s="2"/>
    </row>
    <row r="269">
      <c r="A269" s="1" t="s">
        <v>203</v>
      </c>
      <c r="B269" s="1"/>
      <c r="C269" s="1">
        <v>0.0</v>
      </c>
      <c r="D269" s="2"/>
      <c r="E269" s="2"/>
      <c r="F269" s="2"/>
      <c r="G269" s="2"/>
      <c r="H269" s="2"/>
    </row>
    <row r="270">
      <c r="A270" s="1" t="s">
        <v>204</v>
      </c>
      <c r="B270" s="1"/>
      <c r="C270" s="1">
        <v>14.0</v>
      </c>
      <c r="D270" s="2"/>
      <c r="E270" s="2"/>
      <c r="F270" s="2"/>
      <c r="G270" s="2"/>
      <c r="H270" s="2"/>
    </row>
    <row r="271">
      <c r="A271" s="1" t="s">
        <v>205</v>
      </c>
      <c r="B271" s="1"/>
      <c r="C271" s="1">
        <v>54.0</v>
      </c>
      <c r="D271" s="2"/>
      <c r="E271" s="2"/>
      <c r="F271" s="2"/>
      <c r="G271" s="2"/>
      <c r="H271" s="2"/>
    </row>
    <row r="272">
      <c r="A272" s="1" t="s">
        <v>206</v>
      </c>
      <c r="B272" s="1"/>
      <c r="C272" s="1">
        <v>71.0</v>
      </c>
      <c r="D272" s="2"/>
      <c r="E272" s="2"/>
      <c r="F272" s="2"/>
      <c r="G272" s="2"/>
      <c r="H272" s="2"/>
    </row>
    <row r="273">
      <c r="A273" s="1" t="s">
        <v>207</v>
      </c>
      <c r="B273" s="1"/>
      <c r="C273" s="1">
        <v>0.0</v>
      </c>
      <c r="D273" s="2"/>
      <c r="E273" s="2"/>
      <c r="F273" s="2"/>
      <c r="G273" s="2"/>
      <c r="H273" s="2"/>
    </row>
    <row r="274">
      <c r="A274" s="1" t="s">
        <v>208</v>
      </c>
      <c r="B274" s="1"/>
      <c r="C274" s="1">
        <v>40.0</v>
      </c>
      <c r="D274" s="2"/>
      <c r="E274" s="2"/>
      <c r="F274" s="2"/>
      <c r="G274" s="2"/>
      <c r="H274" s="2"/>
    </row>
    <row r="275">
      <c r="A275" s="1" t="s">
        <v>209</v>
      </c>
      <c r="B275" s="1"/>
      <c r="C275" s="1">
        <v>34.0</v>
      </c>
      <c r="D275" s="2"/>
      <c r="E275" s="2"/>
      <c r="F275" s="2"/>
      <c r="G275" s="2"/>
      <c r="H275" s="2"/>
    </row>
    <row r="276">
      <c r="A276" s="1" t="s">
        <v>210</v>
      </c>
      <c r="B276" s="1"/>
      <c r="C276" s="1">
        <v>0.0</v>
      </c>
      <c r="D276" s="2"/>
      <c r="E276" s="2"/>
      <c r="F276" s="2"/>
      <c r="G276" s="2"/>
      <c r="H276" s="2"/>
    </row>
    <row r="277">
      <c r="A277" s="1" t="s">
        <v>211</v>
      </c>
      <c r="B277" s="1"/>
      <c r="C277" s="1">
        <v>62.0</v>
      </c>
      <c r="D277" s="2"/>
      <c r="E277" s="2"/>
      <c r="F277" s="2"/>
      <c r="G277" s="2"/>
      <c r="H277" s="2"/>
    </row>
    <row r="278">
      <c r="A278" s="1" t="s">
        <v>212</v>
      </c>
      <c r="B278" s="1"/>
      <c r="C278" s="1">
        <v>40.0</v>
      </c>
      <c r="D278" s="2"/>
      <c r="E278" s="2"/>
      <c r="F278" s="2"/>
      <c r="G278" s="2"/>
      <c r="H278" s="2"/>
    </row>
    <row r="279">
      <c r="A279" s="1" t="s">
        <v>213</v>
      </c>
      <c r="B279" s="1"/>
      <c r="C279" s="1">
        <v>0.0</v>
      </c>
      <c r="D279" s="2"/>
      <c r="E279" s="2"/>
      <c r="F279" s="2"/>
      <c r="G279" s="2"/>
      <c r="H279" s="2"/>
    </row>
    <row r="280">
      <c r="A280" s="1" t="s">
        <v>214</v>
      </c>
      <c r="B280" s="1"/>
      <c r="C280" s="1">
        <v>0.0</v>
      </c>
      <c r="D280" s="2"/>
      <c r="E280" s="2"/>
      <c r="F280" s="2"/>
      <c r="G280" s="2"/>
      <c r="H280" s="2"/>
    </row>
    <row r="281">
      <c r="A281" s="1" t="s">
        <v>215</v>
      </c>
      <c r="B281" s="1"/>
      <c r="C281" s="1">
        <v>0.0</v>
      </c>
      <c r="D281" s="2"/>
      <c r="E281" s="2"/>
      <c r="F281" s="2"/>
      <c r="G281" s="2"/>
      <c r="H281" s="2"/>
    </row>
    <row r="282">
      <c r="A282" s="1" t="s">
        <v>216</v>
      </c>
      <c r="B282" s="1"/>
      <c r="C282" s="1">
        <v>4.0</v>
      </c>
      <c r="D282" s="2"/>
      <c r="E282" s="2"/>
      <c r="F282" s="2"/>
      <c r="G282" s="2"/>
      <c r="H282" s="2"/>
    </row>
    <row r="283">
      <c r="A283" s="1" t="s">
        <v>217</v>
      </c>
      <c r="B283" s="1"/>
      <c r="C283" s="1">
        <v>0.0</v>
      </c>
      <c r="D283" s="2"/>
      <c r="E283" s="2"/>
      <c r="F283" s="2"/>
      <c r="G283" s="2"/>
      <c r="H283" s="2"/>
    </row>
    <row r="284">
      <c r="A284" s="1" t="s">
        <v>218</v>
      </c>
      <c r="B284" s="1"/>
      <c r="C284" s="1">
        <v>0.0</v>
      </c>
      <c r="D284" s="2"/>
      <c r="E284" s="2"/>
      <c r="F284" s="2"/>
      <c r="G284" s="2"/>
      <c r="H284" s="2"/>
    </row>
    <row r="285">
      <c r="A285" s="1" t="s">
        <v>219</v>
      </c>
      <c r="B285" s="1"/>
      <c r="C285" s="1">
        <v>13.0</v>
      </c>
      <c r="D285" s="2"/>
      <c r="E285" s="2"/>
      <c r="F285" s="2"/>
      <c r="G285" s="2"/>
      <c r="H285" s="2"/>
    </row>
    <row r="286">
      <c r="A286" s="1" t="s">
        <v>220</v>
      </c>
      <c r="B286" s="1"/>
      <c r="C286" s="1">
        <v>0.0</v>
      </c>
      <c r="D286" s="2"/>
      <c r="E286" s="2"/>
      <c r="F286" s="2"/>
      <c r="G286" s="2"/>
      <c r="H286" s="2"/>
    </row>
    <row r="287">
      <c r="A287" s="1" t="s">
        <v>221</v>
      </c>
      <c r="B287" s="1"/>
      <c r="C287" s="1">
        <v>0.0</v>
      </c>
      <c r="D287" s="2"/>
      <c r="E287" s="2"/>
      <c r="F287" s="2"/>
      <c r="G287" s="2"/>
      <c r="H287" s="2"/>
    </row>
    <row r="288">
      <c r="A288" s="1" t="s">
        <v>222</v>
      </c>
      <c r="B288" s="1"/>
      <c r="C288" s="1">
        <v>0.0</v>
      </c>
      <c r="D288" s="2"/>
      <c r="E288" s="2"/>
      <c r="F288" s="2"/>
      <c r="G288" s="2"/>
      <c r="H288" s="2"/>
    </row>
    <row r="289">
      <c r="A289" s="1" t="s">
        <v>223</v>
      </c>
      <c r="B289" s="1"/>
      <c r="C289" s="1">
        <v>0.0</v>
      </c>
      <c r="D289" s="2"/>
      <c r="E289" s="2"/>
      <c r="F289" s="2"/>
      <c r="G289" s="2"/>
      <c r="H289" s="2"/>
    </row>
    <row r="290">
      <c r="A290" s="1" t="s">
        <v>224</v>
      </c>
      <c r="B290" s="1"/>
      <c r="C290" s="1">
        <v>0.0</v>
      </c>
      <c r="D290" s="2"/>
      <c r="E290" s="2"/>
      <c r="F290" s="2"/>
      <c r="G290" s="2"/>
      <c r="H290" s="2"/>
    </row>
    <row r="291">
      <c r="A291" s="1" t="s">
        <v>225</v>
      </c>
      <c r="B291" s="1"/>
      <c r="C291" s="1">
        <v>0.0</v>
      </c>
      <c r="D291" s="2"/>
      <c r="E291" s="2"/>
      <c r="F291" s="2"/>
      <c r="G291" s="2"/>
      <c r="H291" s="2"/>
    </row>
    <row r="292">
      <c r="A292" s="1" t="s">
        <v>226</v>
      </c>
      <c r="B292" s="1"/>
      <c r="C292" s="2"/>
      <c r="D292" s="2"/>
      <c r="E292" s="2"/>
      <c r="F292" s="2"/>
      <c r="G292" s="2"/>
      <c r="H292" s="2"/>
    </row>
    <row r="293">
      <c r="A293" s="1" t="s">
        <v>227</v>
      </c>
      <c r="B293" s="1"/>
      <c r="C293" s="1">
        <v>0.0</v>
      </c>
      <c r="D293" s="2"/>
      <c r="E293" s="2"/>
      <c r="F293" s="2"/>
      <c r="G293" s="2"/>
      <c r="H293" s="2"/>
    </row>
    <row r="294">
      <c r="A294" s="1" t="s">
        <v>228</v>
      </c>
      <c r="B294" s="1"/>
      <c r="C294" s="2"/>
      <c r="D294" s="2"/>
      <c r="E294" s="2"/>
      <c r="F294" s="2"/>
      <c r="G294" s="2"/>
      <c r="H294" s="2"/>
    </row>
    <row r="295">
      <c r="A295" s="1" t="s">
        <v>229</v>
      </c>
      <c r="B295" s="1"/>
      <c r="C295" s="1">
        <v>0.0</v>
      </c>
      <c r="D295" s="2"/>
      <c r="E295" s="2"/>
      <c r="F295" s="2"/>
      <c r="G295" s="2"/>
      <c r="H295" s="2"/>
    </row>
    <row r="296">
      <c r="A296" s="1" t="s">
        <v>230</v>
      </c>
      <c r="B296" s="1"/>
      <c r="C296" s="1">
        <v>50.0</v>
      </c>
      <c r="D296" s="2"/>
      <c r="E296" s="2"/>
      <c r="F296" s="2"/>
      <c r="G296" s="2"/>
      <c r="H296" s="2"/>
    </row>
    <row r="297">
      <c r="A297" s="1" t="s">
        <v>231</v>
      </c>
      <c r="B297" s="1"/>
      <c r="C297" s="1">
        <v>0.0</v>
      </c>
      <c r="D297" s="2"/>
      <c r="E297" s="2"/>
      <c r="F297" s="2"/>
      <c r="G297" s="2"/>
      <c r="H297" s="2"/>
    </row>
    <row r="298">
      <c r="A298" s="1" t="s">
        <v>232</v>
      </c>
      <c r="B298" s="1"/>
      <c r="C298" s="1">
        <v>0.0</v>
      </c>
      <c r="D298" s="2"/>
      <c r="E298" s="2"/>
      <c r="F298" s="2"/>
      <c r="G298" s="2"/>
      <c r="H298" s="2"/>
    </row>
    <row r="299">
      <c r="A299" s="1" t="s">
        <v>233</v>
      </c>
      <c r="B299" s="1"/>
      <c r="C299" s="1">
        <v>0.0</v>
      </c>
      <c r="D299" s="2"/>
      <c r="E299" s="2"/>
      <c r="F299" s="2"/>
      <c r="G299" s="2"/>
      <c r="H299" s="2"/>
    </row>
    <row r="300">
      <c r="A300" s="1" t="s">
        <v>234</v>
      </c>
      <c r="B300" s="1"/>
      <c r="C300" s="1" t="s">
        <v>235</v>
      </c>
      <c r="D300" s="1">
        <v>0.0</v>
      </c>
      <c r="E300" s="2"/>
      <c r="F300" s="2"/>
      <c r="G300" s="2"/>
      <c r="H300" s="2"/>
    </row>
    <row r="301">
      <c r="A301" s="1" t="s">
        <v>236</v>
      </c>
      <c r="B301" s="1"/>
      <c r="C301" s="1">
        <v>59.0</v>
      </c>
      <c r="D301" s="2"/>
      <c r="E301" s="2"/>
      <c r="F301" s="2"/>
      <c r="G301" s="2"/>
      <c r="H301" s="2"/>
    </row>
    <row r="302">
      <c r="A302" s="1" t="s">
        <v>237</v>
      </c>
      <c r="B302" s="1"/>
      <c r="C302" s="1">
        <v>0.0</v>
      </c>
      <c r="D302" s="2"/>
      <c r="E302" s="2"/>
      <c r="F302" s="2"/>
      <c r="G302" s="2"/>
      <c r="H302" s="2"/>
    </row>
    <row r="303">
      <c r="A303" s="1" t="s">
        <v>238</v>
      </c>
      <c r="B303" s="1"/>
      <c r="C303" s="1">
        <v>80.0</v>
      </c>
      <c r="D303" s="2"/>
      <c r="E303" s="2"/>
      <c r="F303" s="2"/>
      <c r="G303" s="2"/>
      <c r="H303" s="2"/>
    </row>
    <row r="304">
      <c r="A304" s="1" t="s">
        <v>239</v>
      </c>
      <c r="B304" s="1"/>
      <c r="C304" s="1">
        <v>50.0</v>
      </c>
      <c r="D304" s="2"/>
      <c r="E304" s="2"/>
      <c r="F304" s="2"/>
      <c r="G304" s="2"/>
      <c r="H304" s="2"/>
    </row>
    <row r="305">
      <c r="A305" s="1" t="s">
        <v>240</v>
      </c>
      <c r="B305" s="1"/>
      <c r="C305" s="1">
        <v>0.0</v>
      </c>
      <c r="D305" s="2"/>
      <c r="E305" s="2"/>
      <c r="F305" s="2"/>
      <c r="G305" s="2"/>
      <c r="H305" s="2"/>
    </row>
    <row r="306">
      <c r="A306" s="1" t="s">
        <v>241</v>
      </c>
      <c r="B306" s="1"/>
      <c r="C306" s="1">
        <v>0.0</v>
      </c>
      <c r="D306" s="2"/>
      <c r="E306" s="2"/>
      <c r="F306" s="2"/>
      <c r="G306" s="2"/>
      <c r="H306" s="2"/>
    </row>
    <row r="307">
      <c r="A307" s="1" t="s">
        <v>242</v>
      </c>
      <c r="B307" s="1"/>
      <c r="C307" s="1">
        <v>0.0</v>
      </c>
      <c r="D307" s="2"/>
      <c r="E307" s="2"/>
      <c r="F307" s="2"/>
      <c r="G307" s="2"/>
      <c r="H307" s="2"/>
    </row>
    <row r="308">
      <c r="A308" s="1" t="s">
        <v>243</v>
      </c>
      <c r="B308" s="1"/>
      <c r="C308" s="1">
        <v>0.0</v>
      </c>
      <c r="D308" s="2"/>
      <c r="E308" s="2"/>
      <c r="F308" s="2"/>
      <c r="G308" s="2"/>
      <c r="H308" s="2"/>
    </row>
    <row r="309">
      <c r="A309" s="1" t="s">
        <v>244</v>
      </c>
      <c r="B309" s="1"/>
      <c r="C309" s="1">
        <v>0.0</v>
      </c>
      <c r="D309" s="2"/>
      <c r="E309" s="2"/>
      <c r="F309" s="2"/>
      <c r="G309" s="2"/>
      <c r="H309" s="2"/>
    </row>
    <row r="310">
      <c r="A310" s="1" t="s">
        <v>245</v>
      </c>
      <c r="B310" s="1"/>
      <c r="C310" s="1">
        <v>0.0</v>
      </c>
      <c r="D310" s="2"/>
      <c r="E310" s="2"/>
      <c r="F310" s="2"/>
      <c r="G310" s="2"/>
      <c r="H310" s="2"/>
    </row>
    <row r="311">
      <c r="A311" s="1" t="s">
        <v>246</v>
      </c>
      <c r="B311" s="1"/>
      <c r="C311" s="1">
        <v>0.0</v>
      </c>
      <c r="D311" s="2"/>
      <c r="E311" s="2"/>
      <c r="F311" s="2"/>
      <c r="G311" s="2"/>
      <c r="H311" s="2"/>
    </row>
    <row r="312">
      <c r="A312" s="1" t="s">
        <v>247</v>
      </c>
      <c r="B312" s="1"/>
      <c r="C312" s="1">
        <v>0.0</v>
      </c>
      <c r="D312" s="2"/>
      <c r="E312" s="2"/>
      <c r="F312" s="2"/>
      <c r="G312" s="2"/>
      <c r="H312" s="2"/>
    </row>
    <row r="313">
      <c r="A313" s="1" t="s">
        <v>248</v>
      </c>
      <c r="B313" s="1"/>
      <c r="C313" s="1">
        <v>0.0</v>
      </c>
      <c r="D313" s="2"/>
      <c r="E313" s="2"/>
      <c r="F313" s="2"/>
      <c r="G313" s="2"/>
      <c r="H313" s="2"/>
    </row>
    <row r="314">
      <c r="A314" s="1" t="s">
        <v>249</v>
      </c>
      <c r="B314" s="1"/>
      <c r="C314" s="1">
        <v>0.0</v>
      </c>
      <c r="D314" s="2"/>
      <c r="E314" s="2"/>
      <c r="F314" s="2"/>
      <c r="G314" s="2"/>
      <c r="H314" s="2"/>
    </row>
    <row r="315">
      <c r="A315" s="1" t="s">
        <v>250</v>
      </c>
      <c r="B315" s="1"/>
      <c r="C315" s="1">
        <v>0.0</v>
      </c>
      <c r="D315" s="2"/>
      <c r="E315" s="2"/>
      <c r="F315" s="2"/>
      <c r="G315" s="2"/>
      <c r="H315" s="2"/>
    </row>
    <row r="316">
      <c r="A316" s="1" t="s">
        <v>251</v>
      </c>
      <c r="B316" s="1"/>
      <c r="C316" s="1">
        <v>0.0</v>
      </c>
      <c r="D316" s="2"/>
      <c r="E316" s="2"/>
      <c r="F316" s="2"/>
      <c r="G316" s="2"/>
      <c r="H316" s="2"/>
    </row>
    <row r="317">
      <c r="A317" s="1" t="s">
        <v>252</v>
      </c>
      <c r="B317" s="1"/>
      <c r="C317" s="1">
        <v>0.0</v>
      </c>
      <c r="D317" s="2"/>
      <c r="E317" s="2"/>
      <c r="F317" s="2"/>
      <c r="G317" s="2"/>
      <c r="H317" s="2"/>
    </row>
    <row r="318">
      <c r="A318" s="1" t="s">
        <v>253</v>
      </c>
      <c r="B318" s="1"/>
      <c r="C318" s="1">
        <v>0.0</v>
      </c>
      <c r="D318" s="2"/>
      <c r="E318" s="2"/>
      <c r="F318" s="2"/>
      <c r="G318" s="2"/>
      <c r="H318" s="2"/>
    </row>
    <row r="319">
      <c r="A319" s="1" t="s">
        <v>254</v>
      </c>
      <c r="B319" s="1"/>
      <c r="C319" s="1">
        <v>66.0</v>
      </c>
      <c r="D319" s="2"/>
      <c r="E319" s="2"/>
      <c r="F319" s="2"/>
      <c r="G319" s="2"/>
      <c r="H319" s="2"/>
    </row>
    <row r="320">
      <c r="A320" s="1" t="s">
        <v>255</v>
      </c>
      <c r="B320" s="1"/>
      <c r="C320" s="1">
        <v>0.0</v>
      </c>
      <c r="D320" s="2"/>
      <c r="E320" s="2"/>
      <c r="F320" s="2"/>
      <c r="G320" s="2"/>
      <c r="H320" s="2"/>
    </row>
    <row r="321">
      <c r="A321" s="1" t="s">
        <v>256</v>
      </c>
      <c r="B321" s="1"/>
      <c r="C321" s="1">
        <v>0.0</v>
      </c>
      <c r="D321" s="2"/>
      <c r="E321" s="2"/>
      <c r="F321" s="2"/>
      <c r="G321" s="2"/>
      <c r="H321" s="2"/>
    </row>
    <row r="322">
      <c r="A322" s="1" t="s">
        <v>257</v>
      </c>
      <c r="B322" s="1"/>
      <c r="C322" s="1">
        <v>23.0</v>
      </c>
      <c r="D322" s="2"/>
      <c r="E322" s="2"/>
      <c r="F322" s="2"/>
      <c r="G322" s="2"/>
      <c r="H322" s="2"/>
    </row>
    <row r="323">
      <c r="A323" s="1" t="s">
        <v>258</v>
      </c>
      <c r="B323" s="1"/>
      <c r="C323" s="1">
        <v>0.0</v>
      </c>
      <c r="D323" s="2"/>
      <c r="E323" s="2"/>
      <c r="F323" s="2"/>
      <c r="G323" s="2"/>
      <c r="H323" s="2"/>
    </row>
    <row r="324">
      <c r="A324" s="1" t="s">
        <v>259</v>
      </c>
      <c r="B324" s="1"/>
      <c r="C324" s="1">
        <v>0.0</v>
      </c>
      <c r="D324" s="2"/>
      <c r="E324" s="2"/>
      <c r="F324" s="2"/>
      <c r="G324" s="2"/>
      <c r="H324" s="2"/>
    </row>
    <row r="325">
      <c r="A325" s="1" t="s">
        <v>260</v>
      </c>
      <c r="B325" s="1"/>
      <c r="C325" s="1" t="s">
        <v>261</v>
      </c>
      <c r="D325" s="1">
        <v>0.0</v>
      </c>
      <c r="E325" s="2"/>
      <c r="F325" s="2"/>
      <c r="G325" s="2"/>
      <c r="H325" s="2"/>
    </row>
    <row r="326">
      <c r="A326" s="1" t="s">
        <v>262</v>
      </c>
      <c r="B326" s="1"/>
      <c r="C326" s="1">
        <v>39.0</v>
      </c>
      <c r="D326" s="2"/>
      <c r="E326" s="2"/>
      <c r="F326" s="2"/>
      <c r="G326" s="2"/>
      <c r="H326" s="2"/>
    </row>
    <row r="327">
      <c r="A327" s="1" t="s">
        <v>263</v>
      </c>
      <c r="B327" s="1"/>
      <c r="C327" s="1">
        <v>0.0</v>
      </c>
      <c r="D327" s="2"/>
      <c r="E327" s="2"/>
      <c r="F327" s="2"/>
      <c r="G327" s="2"/>
      <c r="H327" s="2"/>
    </row>
    <row r="328">
      <c r="A328" s="1" t="s">
        <v>264</v>
      </c>
      <c r="B328" s="1"/>
      <c r="C328" s="1">
        <v>0.0</v>
      </c>
      <c r="D328" s="2"/>
      <c r="E328" s="2"/>
      <c r="F328" s="2"/>
      <c r="G328" s="2"/>
      <c r="H328" s="2"/>
    </row>
    <row r="329">
      <c r="A329" s="1" t="s">
        <v>265</v>
      </c>
      <c r="B329" s="1"/>
      <c r="C329" s="1">
        <v>0.0</v>
      </c>
      <c r="D329" s="2"/>
      <c r="E329" s="2"/>
      <c r="F329" s="2"/>
      <c r="G329" s="2"/>
      <c r="H329" s="2"/>
    </row>
    <row r="330">
      <c r="A330" s="1" t="s">
        <v>266</v>
      </c>
      <c r="B330" s="1"/>
      <c r="C330" s="1">
        <v>0.0</v>
      </c>
      <c r="D330" s="2"/>
      <c r="E330" s="2"/>
      <c r="F330" s="2"/>
      <c r="G330" s="2"/>
      <c r="H330" s="2"/>
    </row>
    <row r="331">
      <c r="A331" s="1" t="s">
        <v>267</v>
      </c>
      <c r="B331" s="1"/>
      <c r="C331" s="1">
        <v>30.0</v>
      </c>
      <c r="D331" s="2"/>
      <c r="E331" s="2"/>
      <c r="F331" s="2"/>
      <c r="G331" s="2"/>
      <c r="H331" s="2"/>
    </row>
    <row r="332">
      <c r="A332" s="1" t="s">
        <v>268</v>
      </c>
      <c r="B332" s="1"/>
      <c r="C332" s="1">
        <v>3.0</v>
      </c>
      <c r="D332" s="2"/>
      <c r="E332" s="2"/>
      <c r="F332" s="2"/>
      <c r="G332" s="2"/>
      <c r="H332" s="2"/>
    </row>
    <row r="333">
      <c r="A333" s="1" t="s">
        <v>269</v>
      </c>
      <c r="B333" s="1"/>
      <c r="C333" s="1">
        <v>0.0</v>
      </c>
      <c r="D333" s="2"/>
      <c r="E333" s="2"/>
      <c r="F333" s="2"/>
      <c r="G333" s="2"/>
      <c r="H333" s="2"/>
    </row>
    <row r="334">
      <c r="A334" s="1" t="s">
        <v>270</v>
      </c>
      <c r="B334" s="1"/>
      <c r="C334" s="1">
        <v>0.0</v>
      </c>
      <c r="D334" s="2"/>
      <c r="E334" s="2"/>
      <c r="F334" s="2"/>
      <c r="G334" s="2"/>
      <c r="H334" s="2"/>
    </row>
    <row r="335">
      <c r="A335" s="1" t="s">
        <v>271</v>
      </c>
      <c r="B335" s="1"/>
      <c r="C335" s="1">
        <v>66.0</v>
      </c>
      <c r="D335" s="2"/>
      <c r="E335" s="2"/>
      <c r="F335" s="2"/>
      <c r="G335" s="2"/>
      <c r="H335" s="2"/>
    </row>
    <row r="336">
      <c r="A336" s="1" t="s">
        <v>272</v>
      </c>
      <c r="B336" s="1"/>
      <c r="C336" s="1">
        <v>0.0</v>
      </c>
      <c r="D336" s="2"/>
      <c r="E336" s="2"/>
      <c r="F336" s="2"/>
      <c r="G336" s="2"/>
      <c r="H336" s="2"/>
    </row>
    <row r="337">
      <c r="A337" s="1" t="s">
        <v>273</v>
      </c>
      <c r="B337" s="1"/>
      <c r="C337" s="1">
        <v>0.0</v>
      </c>
      <c r="D337" s="2"/>
      <c r="E337" s="2"/>
      <c r="F337" s="2"/>
      <c r="G337" s="2"/>
      <c r="H337" s="2"/>
    </row>
    <row r="338">
      <c r="A338" s="1" t="s">
        <v>274</v>
      </c>
      <c r="B338" s="1"/>
      <c r="C338" s="1">
        <v>0.0</v>
      </c>
      <c r="D338" s="2"/>
      <c r="E338" s="2"/>
      <c r="F338" s="2"/>
      <c r="G338" s="2"/>
      <c r="H338" s="2"/>
    </row>
    <row r="339">
      <c r="A339" s="1" t="s">
        <v>275</v>
      </c>
      <c r="B339" s="1"/>
      <c r="C339" s="1">
        <v>0.0</v>
      </c>
      <c r="D339" s="2"/>
      <c r="E339" s="2"/>
      <c r="F339" s="2"/>
      <c r="G339" s="2"/>
      <c r="H339" s="2"/>
    </row>
    <row r="340">
      <c r="A340" s="1" t="s">
        <v>276</v>
      </c>
      <c r="B340" s="1"/>
      <c r="C340" s="1">
        <v>58.0</v>
      </c>
      <c r="D340" s="2"/>
      <c r="E340" s="2"/>
      <c r="F340" s="2"/>
      <c r="G340" s="2"/>
      <c r="H340" s="2"/>
    </row>
    <row r="341">
      <c r="A341" s="1" t="s">
        <v>277</v>
      </c>
      <c r="B341" s="1"/>
      <c r="C341" s="1">
        <v>99.0</v>
      </c>
      <c r="D341" s="2"/>
      <c r="E341" s="2"/>
      <c r="F341" s="2"/>
      <c r="G341" s="2"/>
      <c r="H341" s="2"/>
    </row>
    <row r="342">
      <c r="A342" s="1" t="s">
        <v>278</v>
      </c>
      <c r="B342" s="1"/>
      <c r="C342" s="1">
        <v>0.0</v>
      </c>
      <c r="D342" s="2"/>
      <c r="E342" s="2"/>
      <c r="F342" s="2"/>
      <c r="G342" s="2"/>
      <c r="H342" s="2"/>
    </row>
    <row r="343">
      <c r="A343" s="1" t="s">
        <v>279</v>
      </c>
      <c r="B343" s="1"/>
      <c r="C343" s="1">
        <v>0.0</v>
      </c>
      <c r="D343" s="2"/>
      <c r="E343" s="2"/>
      <c r="F343" s="2"/>
      <c r="G343" s="2"/>
      <c r="H343" s="2"/>
    </row>
    <row r="344">
      <c r="A344" s="1" t="s">
        <v>280</v>
      </c>
      <c r="B344" s="1"/>
      <c r="C344" s="1">
        <v>0.0</v>
      </c>
      <c r="D344" s="2"/>
      <c r="E344" s="2"/>
      <c r="F344" s="2"/>
      <c r="G344" s="2"/>
      <c r="H344" s="2"/>
    </row>
    <row r="345">
      <c r="A345" s="1" t="s">
        <v>281</v>
      </c>
      <c r="B345" s="1"/>
      <c r="C345" s="1">
        <v>0.0</v>
      </c>
      <c r="D345" s="2"/>
      <c r="E345" s="2"/>
      <c r="F345" s="2"/>
      <c r="G345" s="2"/>
      <c r="H345" s="2"/>
    </row>
    <row r="346">
      <c r="A346" s="1" t="s">
        <v>282</v>
      </c>
      <c r="B346" s="1"/>
      <c r="C346" s="1">
        <v>5.0</v>
      </c>
      <c r="D346" s="2"/>
      <c r="E346" s="2"/>
      <c r="F346" s="2"/>
      <c r="G346" s="2"/>
      <c r="H346" s="2"/>
    </row>
    <row r="347">
      <c r="A347" s="1" t="s">
        <v>283</v>
      </c>
      <c r="B347" s="1"/>
      <c r="C347" s="1">
        <v>48.0</v>
      </c>
      <c r="D347" s="2"/>
      <c r="E347" s="2"/>
      <c r="F347" s="2"/>
      <c r="G347" s="2"/>
      <c r="H347" s="2"/>
    </row>
    <row r="348">
      <c r="A348" s="1" t="s">
        <v>284</v>
      </c>
      <c r="B348" s="1"/>
      <c r="C348" s="1">
        <v>0.0</v>
      </c>
      <c r="D348" s="2"/>
      <c r="E348" s="2"/>
      <c r="F348" s="2"/>
      <c r="G348" s="2"/>
      <c r="H348" s="2"/>
    </row>
    <row r="349">
      <c r="A349" s="1" t="s">
        <v>285</v>
      </c>
      <c r="B349" s="1"/>
      <c r="C349" s="1">
        <v>0.0</v>
      </c>
      <c r="D349" s="2"/>
      <c r="E349" s="2"/>
      <c r="F349" s="2"/>
      <c r="G349" s="2"/>
      <c r="H349" s="2"/>
    </row>
    <row r="350">
      <c r="A350" s="1" t="s">
        <v>286</v>
      </c>
      <c r="B350" s="1"/>
      <c r="C350" s="1">
        <v>0.0</v>
      </c>
      <c r="D350" s="2"/>
      <c r="E350" s="2"/>
      <c r="F350" s="2"/>
      <c r="G350" s="2"/>
      <c r="H350" s="2"/>
    </row>
    <row r="351">
      <c r="A351" s="1" t="s">
        <v>287</v>
      </c>
      <c r="B351" s="1"/>
      <c r="C351" s="1">
        <v>0.0</v>
      </c>
      <c r="D351" s="2"/>
      <c r="E351" s="2"/>
      <c r="F351" s="2"/>
      <c r="G351" s="2"/>
      <c r="H351" s="2"/>
    </row>
    <row r="352">
      <c r="A352" s="1" t="s">
        <v>288</v>
      </c>
      <c r="B352" s="1"/>
      <c r="C352" s="1">
        <v>0.0</v>
      </c>
      <c r="D352" s="2"/>
      <c r="E352" s="2"/>
      <c r="F352" s="2"/>
      <c r="G352" s="2"/>
      <c r="H352" s="2"/>
    </row>
    <row r="353">
      <c r="A353" s="1" t="s">
        <v>289</v>
      </c>
      <c r="B353" s="1"/>
      <c r="C353" s="1">
        <v>0.0</v>
      </c>
      <c r="D353" s="2"/>
      <c r="E353" s="2"/>
      <c r="F353" s="2"/>
      <c r="G353" s="2"/>
      <c r="H353" s="2"/>
    </row>
    <row r="354">
      <c r="A354" s="1" t="s">
        <v>218</v>
      </c>
      <c r="B354" s="1"/>
      <c r="C354" s="1">
        <v>0.0</v>
      </c>
      <c r="D354" s="2"/>
      <c r="E354" s="2"/>
      <c r="F354" s="2"/>
      <c r="G354" s="2"/>
      <c r="H354" s="2"/>
    </row>
    <row r="355">
      <c r="A355" s="1" t="s">
        <v>219</v>
      </c>
      <c r="B355" s="1"/>
      <c r="C355" s="1">
        <v>13.0</v>
      </c>
      <c r="D355" s="2"/>
      <c r="E355" s="2"/>
      <c r="F355" s="2"/>
      <c r="G355" s="2"/>
      <c r="H355" s="2"/>
    </row>
    <row r="356">
      <c r="A356" s="1" t="s">
        <v>220</v>
      </c>
      <c r="B356" s="1"/>
      <c r="C356" s="1">
        <v>0.0</v>
      </c>
      <c r="D356" s="2"/>
      <c r="E356" s="2"/>
      <c r="F356" s="2"/>
      <c r="G356" s="2"/>
      <c r="H356" s="2"/>
    </row>
    <row r="357">
      <c r="A357" s="1" t="s">
        <v>221</v>
      </c>
      <c r="B357" s="1"/>
      <c r="C357" s="1">
        <v>0.0</v>
      </c>
      <c r="D357" s="2"/>
      <c r="E357" s="2"/>
      <c r="F357" s="2"/>
      <c r="G357" s="2"/>
      <c r="H357" s="2"/>
    </row>
    <row r="358">
      <c r="A358" s="1" t="s">
        <v>222</v>
      </c>
      <c r="B358" s="1"/>
      <c r="C358" s="1">
        <v>0.0</v>
      </c>
      <c r="D358" s="2"/>
      <c r="E358" s="2"/>
      <c r="F358" s="2"/>
      <c r="G358" s="2"/>
      <c r="H358" s="2"/>
    </row>
    <row r="359">
      <c r="A359" s="1" t="s">
        <v>223</v>
      </c>
      <c r="B359" s="1"/>
      <c r="C359" s="1">
        <v>0.0</v>
      </c>
      <c r="D359" s="2"/>
      <c r="E359" s="2"/>
      <c r="F359" s="2"/>
      <c r="G359" s="2"/>
      <c r="H359" s="2"/>
    </row>
    <row r="360">
      <c r="A360" s="1" t="s">
        <v>224</v>
      </c>
      <c r="B360" s="1"/>
      <c r="C360" s="1">
        <v>0.0</v>
      </c>
      <c r="D360" s="2"/>
      <c r="E360" s="2"/>
      <c r="F360" s="2"/>
      <c r="G360" s="2"/>
      <c r="H360" s="2"/>
    </row>
    <row r="361">
      <c r="A361" s="1" t="s">
        <v>225</v>
      </c>
      <c r="B361" s="1"/>
      <c r="C361" s="1">
        <v>0.0</v>
      </c>
      <c r="D361" s="2"/>
      <c r="E361" s="2"/>
      <c r="F361" s="2"/>
      <c r="G361" s="2"/>
      <c r="H361" s="2"/>
    </row>
    <row r="362">
      <c r="A362" s="1" t="s">
        <v>226</v>
      </c>
      <c r="B362" s="1"/>
      <c r="C362" s="2"/>
      <c r="D362" s="2"/>
      <c r="E362" s="2"/>
      <c r="F362" s="2"/>
      <c r="G362" s="2"/>
      <c r="H362" s="2"/>
    </row>
    <row r="363">
      <c r="A363" s="1" t="s">
        <v>227</v>
      </c>
      <c r="B363" s="1"/>
      <c r="C363" s="1">
        <v>0.0</v>
      </c>
      <c r="D363" s="2"/>
      <c r="E363" s="2"/>
      <c r="F363" s="2"/>
      <c r="G363" s="2"/>
      <c r="H363" s="2"/>
    </row>
    <row r="364">
      <c r="A364" s="1" t="s">
        <v>228</v>
      </c>
      <c r="B364" s="1"/>
      <c r="C364" s="2"/>
      <c r="D364" s="2"/>
      <c r="E364" s="2"/>
      <c r="F364" s="2"/>
      <c r="G364" s="2"/>
      <c r="H364" s="2"/>
    </row>
    <row r="365">
      <c r="A365" s="1" t="s">
        <v>229</v>
      </c>
      <c r="B365" s="1"/>
      <c r="C365" s="1">
        <v>0.0</v>
      </c>
      <c r="D365" s="2"/>
      <c r="E365" s="2"/>
      <c r="F365" s="2"/>
      <c r="G365" s="2"/>
      <c r="H365" s="2"/>
    </row>
    <row r="366">
      <c r="A366" s="1" t="s">
        <v>230</v>
      </c>
      <c r="B366" s="1"/>
      <c r="C366" s="1">
        <v>50.0</v>
      </c>
      <c r="D366" s="2"/>
      <c r="E366" s="2"/>
      <c r="F366" s="2"/>
      <c r="G366" s="2"/>
      <c r="H366" s="2"/>
    </row>
    <row r="367">
      <c r="A367" s="1" t="s">
        <v>231</v>
      </c>
      <c r="B367" s="1"/>
      <c r="C367" s="1">
        <v>0.0</v>
      </c>
      <c r="D367" s="2"/>
      <c r="E367" s="2"/>
      <c r="F367" s="2"/>
      <c r="G367" s="2"/>
      <c r="H367" s="2"/>
    </row>
    <row r="368">
      <c r="A368" s="1" t="s">
        <v>232</v>
      </c>
      <c r="B368" s="1"/>
      <c r="C368" s="1">
        <v>0.0</v>
      </c>
      <c r="D368" s="2"/>
      <c r="E368" s="2"/>
      <c r="F368" s="2"/>
      <c r="G368" s="2"/>
      <c r="H368" s="2"/>
    </row>
    <row r="369">
      <c r="A369" s="1" t="s">
        <v>233</v>
      </c>
      <c r="B369" s="1"/>
      <c r="C369" s="1">
        <v>0.0</v>
      </c>
      <c r="D369" s="2"/>
      <c r="E369" s="2"/>
      <c r="F369" s="2"/>
      <c r="G369" s="2"/>
      <c r="H369" s="2"/>
    </row>
    <row r="370">
      <c r="A370" s="1" t="s">
        <v>234</v>
      </c>
      <c r="B370" s="1"/>
      <c r="C370" s="1" t="s">
        <v>235</v>
      </c>
      <c r="D370" s="1">
        <v>0.0</v>
      </c>
      <c r="E370" s="2"/>
      <c r="F370" s="2"/>
      <c r="G370" s="2"/>
      <c r="H370" s="2"/>
    </row>
    <row r="371">
      <c r="A371" s="1" t="s">
        <v>236</v>
      </c>
      <c r="B371" s="1"/>
      <c r="C371" s="1">
        <v>59.0</v>
      </c>
      <c r="D371" s="2"/>
      <c r="E371" s="2"/>
      <c r="F371" s="2"/>
      <c r="G371" s="2"/>
      <c r="H371" s="2"/>
    </row>
    <row r="372">
      <c r="A372" s="1" t="s">
        <v>237</v>
      </c>
      <c r="B372" s="1"/>
      <c r="C372" s="1">
        <v>0.0</v>
      </c>
      <c r="D372" s="2"/>
      <c r="E372" s="2"/>
      <c r="F372" s="2"/>
      <c r="G372" s="2"/>
      <c r="H372" s="2"/>
    </row>
    <row r="373">
      <c r="A373" s="1" t="s">
        <v>238</v>
      </c>
      <c r="B373" s="1"/>
      <c r="C373" s="1">
        <v>80.0</v>
      </c>
      <c r="D373" s="2"/>
      <c r="E373" s="2"/>
      <c r="F373" s="2"/>
      <c r="G373" s="2"/>
      <c r="H373" s="2"/>
    </row>
    <row r="374">
      <c r="A374" s="1" t="s">
        <v>239</v>
      </c>
      <c r="B374" s="1"/>
      <c r="C374" s="1">
        <v>50.0</v>
      </c>
      <c r="D374" s="2"/>
      <c r="E374" s="2"/>
      <c r="F374" s="2"/>
      <c r="G374" s="2"/>
      <c r="H374" s="2"/>
    </row>
    <row r="375">
      <c r="A375" s="1" t="s">
        <v>240</v>
      </c>
      <c r="B375" s="1"/>
      <c r="C375" s="1">
        <v>0.0</v>
      </c>
      <c r="D375" s="2"/>
      <c r="E375" s="2"/>
      <c r="F375" s="2"/>
      <c r="G375" s="2"/>
      <c r="H375" s="2"/>
    </row>
    <row r="376">
      <c r="A376" s="1" t="s">
        <v>241</v>
      </c>
      <c r="B376" s="1"/>
      <c r="C376" s="1">
        <v>0.0</v>
      </c>
      <c r="D376" s="2"/>
      <c r="E376" s="2"/>
      <c r="F376" s="2"/>
      <c r="G376" s="2"/>
      <c r="H376" s="2"/>
    </row>
    <row r="377">
      <c r="A377" s="1" t="s">
        <v>242</v>
      </c>
      <c r="B377" s="1"/>
      <c r="C377" s="1">
        <v>0.0</v>
      </c>
      <c r="D377" s="2"/>
      <c r="E377" s="2"/>
      <c r="F377" s="2"/>
      <c r="G377" s="2"/>
      <c r="H377" s="2"/>
    </row>
    <row r="378">
      <c r="A378" s="1" t="s">
        <v>243</v>
      </c>
      <c r="B378" s="1"/>
      <c r="C378" s="1">
        <v>0.0</v>
      </c>
      <c r="D378" s="2"/>
      <c r="E378" s="2"/>
      <c r="F378" s="2"/>
      <c r="G378" s="2"/>
      <c r="H378" s="2"/>
    </row>
    <row r="379">
      <c r="A379" s="1" t="s">
        <v>244</v>
      </c>
      <c r="B379" s="1"/>
      <c r="C379" s="1">
        <v>0.0</v>
      </c>
      <c r="D379" s="2"/>
      <c r="E379" s="2"/>
      <c r="F379" s="2"/>
      <c r="G379" s="2"/>
      <c r="H379" s="2"/>
    </row>
    <row r="380">
      <c r="A380" s="1" t="s">
        <v>245</v>
      </c>
      <c r="B380" s="1"/>
      <c r="C380" s="1">
        <v>0.0</v>
      </c>
      <c r="D380" s="2"/>
      <c r="E380" s="2"/>
      <c r="F380" s="2"/>
      <c r="G380" s="2"/>
      <c r="H380" s="2"/>
    </row>
    <row r="381">
      <c r="A381" s="1" t="s">
        <v>246</v>
      </c>
      <c r="B381" s="1"/>
      <c r="C381" s="1">
        <v>0.0</v>
      </c>
      <c r="D381" s="2"/>
      <c r="E381" s="2"/>
      <c r="F381" s="2"/>
      <c r="G381" s="2"/>
      <c r="H381" s="2"/>
    </row>
    <row r="382">
      <c r="A382" s="1" t="s">
        <v>247</v>
      </c>
      <c r="B382" s="1"/>
      <c r="C382" s="1">
        <v>0.0</v>
      </c>
      <c r="D382" s="2"/>
      <c r="E382" s="2"/>
      <c r="F382" s="2"/>
      <c r="G382" s="2"/>
      <c r="H382" s="2"/>
    </row>
    <row r="383">
      <c r="A383" s="1" t="s">
        <v>248</v>
      </c>
      <c r="B383" s="1"/>
      <c r="C383" s="1">
        <v>0.0</v>
      </c>
      <c r="D383" s="2"/>
      <c r="E383" s="2"/>
      <c r="F383" s="2"/>
      <c r="G383" s="2"/>
      <c r="H383" s="2"/>
    </row>
    <row r="384">
      <c r="A384" s="1" t="s">
        <v>249</v>
      </c>
      <c r="B384" s="1"/>
      <c r="C384" s="1">
        <v>0.0</v>
      </c>
      <c r="D384" s="2"/>
      <c r="E384" s="2"/>
      <c r="F384" s="2"/>
      <c r="G384" s="2"/>
      <c r="H384" s="2"/>
    </row>
    <row r="385">
      <c r="A385" s="1" t="s">
        <v>250</v>
      </c>
      <c r="B385" s="1"/>
      <c r="C385" s="1">
        <v>0.0</v>
      </c>
      <c r="D385" s="2"/>
      <c r="E385" s="2"/>
      <c r="F385" s="2"/>
      <c r="G385" s="2"/>
      <c r="H385" s="2"/>
    </row>
    <row r="386">
      <c r="A386" s="1" t="s">
        <v>251</v>
      </c>
      <c r="B386" s="1"/>
      <c r="C386" s="1">
        <v>0.0</v>
      </c>
      <c r="D386" s="2"/>
      <c r="E386" s="2"/>
      <c r="F386" s="2"/>
      <c r="G386" s="2"/>
      <c r="H386" s="2"/>
    </row>
    <row r="387">
      <c r="A387" s="1" t="s">
        <v>252</v>
      </c>
      <c r="B387" s="1"/>
      <c r="C387" s="1">
        <v>0.0</v>
      </c>
      <c r="D387" s="2"/>
      <c r="E387" s="2"/>
      <c r="F387" s="2"/>
      <c r="G387" s="2"/>
      <c r="H387" s="2"/>
    </row>
    <row r="388">
      <c r="A388" s="1" t="s">
        <v>253</v>
      </c>
      <c r="B388" s="1"/>
      <c r="C388" s="1">
        <v>0.0</v>
      </c>
      <c r="D388" s="2"/>
      <c r="E388" s="2"/>
      <c r="F388" s="2"/>
      <c r="G388" s="2"/>
      <c r="H388" s="2"/>
    </row>
    <row r="389">
      <c r="A389" s="1" t="s">
        <v>254</v>
      </c>
      <c r="B389" s="1"/>
      <c r="C389" s="1">
        <v>66.0</v>
      </c>
      <c r="D389" s="2"/>
      <c r="E389" s="2"/>
      <c r="F389" s="2"/>
      <c r="G389" s="2"/>
      <c r="H389" s="2"/>
    </row>
    <row r="390">
      <c r="A390" s="1" t="s">
        <v>255</v>
      </c>
      <c r="B390" s="1"/>
      <c r="C390" s="1">
        <v>0.0</v>
      </c>
      <c r="D390" s="2"/>
      <c r="E390" s="2"/>
      <c r="F390" s="2"/>
      <c r="G390" s="2"/>
      <c r="H390" s="2"/>
    </row>
    <row r="391">
      <c r="A391" s="1" t="s">
        <v>256</v>
      </c>
      <c r="B391" s="1"/>
      <c r="C391" s="1">
        <v>0.0</v>
      </c>
      <c r="D391" s="2"/>
      <c r="E391" s="2"/>
      <c r="F391" s="2"/>
      <c r="G391" s="2"/>
      <c r="H391" s="2"/>
    </row>
    <row r="392">
      <c r="A392" s="1" t="s">
        <v>257</v>
      </c>
      <c r="B392" s="1"/>
      <c r="C392" s="1">
        <v>23.0</v>
      </c>
      <c r="D392" s="2"/>
      <c r="E392" s="2"/>
      <c r="F392" s="2"/>
      <c r="G392" s="2"/>
      <c r="H392" s="2"/>
    </row>
    <row r="393">
      <c r="A393" s="1" t="s">
        <v>258</v>
      </c>
      <c r="B393" s="1"/>
      <c r="C393" s="1">
        <v>0.0</v>
      </c>
      <c r="D393" s="2"/>
      <c r="E393" s="2"/>
      <c r="F393" s="2"/>
      <c r="G393" s="2"/>
      <c r="H393" s="2"/>
    </row>
    <row r="394">
      <c r="A394" s="1" t="s">
        <v>259</v>
      </c>
      <c r="B394" s="1"/>
      <c r="C394" s="1">
        <v>0.0</v>
      </c>
      <c r="D394" s="2"/>
      <c r="E394" s="2"/>
      <c r="F394" s="2"/>
      <c r="G394" s="2"/>
      <c r="H394" s="2"/>
    </row>
    <row r="395">
      <c r="A395" s="1" t="s">
        <v>260</v>
      </c>
      <c r="B395" s="1"/>
      <c r="C395" s="1" t="s">
        <v>261</v>
      </c>
      <c r="D395" s="1">
        <v>0.0</v>
      </c>
      <c r="E395" s="2"/>
      <c r="F395" s="2"/>
      <c r="G395" s="2"/>
      <c r="H395" s="2"/>
    </row>
    <row r="396">
      <c r="A396" s="1" t="s">
        <v>262</v>
      </c>
      <c r="B396" s="1"/>
      <c r="C396" s="1">
        <v>39.0</v>
      </c>
      <c r="D396" s="2"/>
      <c r="E396" s="2"/>
      <c r="F396" s="2"/>
      <c r="G396" s="2"/>
      <c r="H396" s="2"/>
    </row>
    <row r="397">
      <c r="A397" s="1" t="s">
        <v>263</v>
      </c>
      <c r="B397" s="1"/>
      <c r="C397" s="1">
        <v>0.0</v>
      </c>
      <c r="D397" s="2"/>
      <c r="E397" s="2"/>
      <c r="F397" s="2"/>
      <c r="G397" s="2"/>
      <c r="H397" s="2"/>
    </row>
    <row r="398">
      <c r="A398" s="1" t="s">
        <v>264</v>
      </c>
      <c r="B398" s="1"/>
      <c r="C398" s="1">
        <v>0.0</v>
      </c>
      <c r="D398" s="2"/>
      <c r="E398" s="2"/>
      <c r="F398" s="2"/>
      <c r="G398" s="2"/>
      <c r="H398" s="2"/>
    </row>
    <row r="399">
      <c r="A399" s="1" t="s">
        <v>265</v>
      </c>
      <c r="B399" s="1"/>
      <c r="C399" s="1">
        <v>0.0</v>
      </c>
      <c r="D399" s="2"/>
      <c r="E399" s="2"/>
      <c r="F399" s="2"/>
      <c r="G399" s="2"/>
      <c r="H399" s="2"/>
    </row>
    <row r="400">
      <c r="A400" s="1" t="s">
        <v>266</v>
      </c>
      <c r="B400" s="1"/>
      <c r="C400" s="1">
        <v>0.0</v>
      </c>
      <c r="D400" s="2"/>
      <c r="E400" s="2"/>
      <c r="F400" s="2"/>
      <c r="G400" s="2"/>
      <c r="H400" s="2"/>
    </row>
    <row r="401">
      <c r="A401" s="1" t="s">
        <v>267</v>
      </c>
      <c r="B401" s="1"/>
      <c r="C401" s="1">
        <v>30.0</v>
      </c>
      <c r="D401" s="2"/>
      <c r="E401" s="2"/>
      <c r="F401" s="2"/>
      <c r="G401" s="2"/>
      <c r="H401" s="2"/>
    </row>
    <row r="402">
      <c r="A402" s="1" t="s">
        <v>268</v>
      </c>
      <c r="B402" s="1"/>
      <c r="C402" s="1">
        <v>3.0</v>
      </c>
      <c r="D402" s="2"/>
      <c r="E402" s="2"/>
      <c r="F402" s="2"/>
      <c r="G402" s="2"/>
      <c r="H402" s="2"/>
    </row>
    <row r="403">
      <c r="A403" s="1" t="s">
        <v>269</v>
      </c>
      <c r="B403" s="1"/>
      <c r="C403" s="1">
        <v>0.0</v>
      </c>
      <c r="D403" s="2"/>
      <c r="E403" s="2"/>
      <c r="F403" s="2"/>
      <c r="G403" s="2"/>
      <c r="H403" s="2"/>
    </row>
    <row r="404">
      <c r="A404" s="1" t="s">
        <v>270</v>
      </c>
      <c r="B404" s="1"/>
      <c r="C404" s="1">
        <v>0.0</v>
      </c>
      <c r="D404" s="2"/>
      <c r="E404" s="2"/>
      <c r="F404" s="2"/>
      <c r="G404" s="2"/>
      <c r="H404" s="2"/>
    </row>
    <row r="405">
      <c r="A405" s="1" t="s">
        <v>271</v>
      </c>
      <c r="B405" s="1"/>
      <c r="C405" s="1">
        <v>66.0</v>
      </c>
      <c r="D405" s="2"/>
      <c r="E405" s="2"/>
      <c r="F405" s="2"/>
      <c r="G405" s="2"/>
      <c r="H405" s="2"/>
    </row>
    <row r="406">
      <c r="A406" s="1" t="s">
        <v>272</v>
      </c>
      <c r="B406" s="1"/>
      <c r="C406" s="1">
        <v>0.0</v>
      </c>
      <c r="D406" s="2"/>
      <c r="E406" s="2"/>
      <c r="F406" s="2"/>
      <c r="G406" s="2"/>
      <c r="H406" s="2"/>
    </row>
    <row r="407">
      <c r="A407" s="1" t="s">
        <v>273</v>
      </c>
      <c r="B407" s="1"/>
      <c r="C407" s="1">
        <v>0.0</v>
      </c>
      <c r="D407" s="2"/>
      <c r="E407" s="2"/>
      <c r="F407" s="2"/>
      <c r="G407" s="2"/>
      <c r="H407" s="2"/>
    </row>
    <row r="408">
      <c r="A408" s="1" t="s">
        <v>274</v>
      </c>
      <c r="B408" s="1"/>
      <c r="C408" s="1">
        <v>0.0</v>
      </c>
      <c r="D408" s="2"/>
      <c r="E408" s="2"/>
      <c r="F408" s="2"/>
      <c r="G408" s="2"/>
      <c r="H408" s="2"/>
    </row>
    <row r="409">
      <c r="A409" s="1" t="s">
        <v>275</v>
      </c>
      <c r="B409" s="1"/>
      <c r="C409" s="1">
        <v>0.0</v>
      </c>
      <c r="D409" s="2"/>
      <c r="E409" s="2"/>
      <c r="F409" s="2"/>
      <c r="G409" s="2"/>
      <c r="H409" s="2"/>
    </row>
    <row r="410">
      <c r="A410" s="1" t="s">
        <v>276</v>
      </c>
      <c r="B410" s="1"/>
      <c r="C410" s="1">
        <v>58.0</v>
      </c>
      <c r="D410" s="2"/>
      <c r="E410" s="2"/>
      <c r="F410" s="2"/>
      <c r="G410" s="2"/>
      <c r="H410" s="2"/>
    </row>
    <row r="411">
      <c r="A411" s="1" t="s">
        <v>277</v>
      </c>
      <c r="B411" s="1"/>
      <c r="C411" s="1">
        <v>99.0</v>
      </c>
      <c r="D411" s="2"/>
      <c r="E411" s="2"/>
      <c r="F411" s="2"/>
      <c r="G411" s="2"/>
      <c r="H411" s="2"/>
    </row>
    <row r="412">
      <c r="A412" s="1" t="s">
        <v>278</v>
      </c>
      <c r="B412" s="1"/>
      <c r="C412" s="1">
        <v>0.0</v>
      </c>
      <c r="D412" s="2"/>
      <c r="E412" s="2"/>
      <c r="F412" s="2"/>
      <c r="G412" s="2"/>
      <c r="H412" s="2"/>
    </row>
    <row r="413">
      <c r="A413" s="1" t="s">
        <v>279</v>
      </c>
      <c r="B413" s="1"/>
      <c r="C413" s="1">
        <v>0.0</v>
      </c>
      <c r="D413" s="2"/>
      <c r="E413" s="2"/>
      <c r="F413" s="2"/>
      <c r="G413" s="2"/>
      <c r="H413" s="2"/>
    </row>
    <row r="414">
      <c r="A414" s="1" t="s">
        <v>280</v>
      </c>
      <c r="B414" s="1"/>
      <c r="C414" s="1">
        <v>0.0</v>
      </c>
      <c r="D414" s="2"/>
      <c r="E414" s="2"/>
      <c r="F414" s="2"/>
      <c r="G414" s="2"/>
      <c r="H414" s="2"/>
    </row>
    <row r="415">
      <c r="A415" s="1" t="s">
        <v>281</v>
      </c>
      <c r="B415" s="1"/>
      <c r="C415" s="1">
        <v>0.0</v>
      </c>
      <c r="D415" s="2"/>
      <c r="E415" s="2"/>
      <c r="F415" s="2"/>
      <c r="G415" s="2"/>
      <c r="H415" s="2"/>
    </row>
    <row r="416">
      <c r="A416" s="1" t="s">
        <v>282</v>
      </c>
      <c r="B416" s="1"/>
      <c r="C416" s="1">
        <v>5.0</v>
      </c>
      <c r="D416" s="2"/>
      <c r="E416" s="2"/>
      <c r="F416" s="2"/>
      <c r="G416" s="2"/>
      <c r="H416" s="2"/>
    </row>
    <row r="417">
      <c r="A417" s="1" t="s">
        <v>283</v>
      </c>
      <c r="B417" s="1"/>
      <c r="C417" s="1">
        <v>48.0</v>
      </c>
      <c r="D417" s="2"/>
      <c r="E417" s="2"/>
      <c r="F417" s="2"/>
      <c r="G417" s="2"/>
      <c r="H417" s="2"/>
    </row>
    <row r="418">
      <c r="A418" s="1" t="s">
        <v>284</v>
      </c>
      <c r="B418" s="1"/>
      <c r="C418" s="1">
        <v>0.0</v>
      </c>
      <c r="D418" s="2"/>
      <c r="E418" s="2"/>
      <c r="F418" s="2"/>
      <c r="G418" s="2"/>
      <c r="H418" s="2"/>
    </row>
    <row r="419">
      <c r="A419" s="1" t="s">
        <v>285</v>
      </c>
      <c r="B419" s="1"/>
      <c r="C419" s="1">
        <v>0.0</v>
      </c>
      <c r="D419" s="2"/>
      <c r="E419" s="2"/>
      <c r="F419" s="2"/>
      <c r="G419" s="2"/>
      <c r="H419" s="2"/>
    </row>
    <row r="420">
      <c r="A420" s="1" t="s">
        <v>286</v>
      </c>
      <c r="B420" s="1"/>
      <c r="C420" s="1">
        <v>0.0</v>
      </c>
      <c r="D420" s="2"/>
      <c r="E420" s="2"/>
      <c r="F420" s="2"/>
      <c r="G420" s="2"/>
      <c r="H420" s="2"/>
    </row>
    <row r="421">
      <c r="A421" s="1" t="s">
        <v>287</v>
      </c>
      <c r="B421" s="1"/>
      <c r="C421" s="1">
        <v>0.0</v>
      </c>
      <c r="D421" s="2"/>
      <c r="E421" s="2"/>
      <c r="F421" s="2"/>
      <c r="G421" s="2"/>
      <c r="H421" s="2"/>
    </row>
    <row r="422">
      <c r="A422" s="1" t="s">
        <v>288</v>
      </c>
      <c r="B422" s="1"/>
      <c r="C422" s="1">
        <v>0.0</v>
      </c>
      <c r="D422" s="2"/>
      <c r="E422" s="2"/>
      <c r="F422" s="2"/>
      <c r="G422" s="2"/>
      <c r="H422" s="2"/>
    </row>
    <row r="423">
      <c r="A423" s="1" t="s">
        <v>289</v>
      </c>
      <c r="B423" s="1"/>
      <c r="C423" s="1">
        <v>0.0</v>
      </c>
      <c r="D423" s="2"/>
      <c r="E423" s="2"/>
      <c r="F423" s="2"/>
      <c r="G423" s="2"/>
      <c r="H423" s="2"/>
    </row>
    <row r="424">
      <c r="A424" s="1" t="s">
        <v>290</v>
      </c>
      <c r="B424" s="1"/>
      <c r="C424" s="1">
        <v>75.0</v>
      </c>
      <c r="D424" s="2"/>
      <c r="E424" s="2"/>
      <c r="F424" s="2"/>
      <c r="G424" s="2"/>
      <c r="H424" s="2"/>
    </row>
    <row r="425">
      <c r="A425" s="1" t="s">
        <v>291</v>
      </c>
      <c r="B425" s="1"/>
      <c r="C425" s="1">
        <v>0.0</v>
      </c>
      <c r="D425" s="2"/>
      <c r="E425" s="2"/>
      <c r="F425" s="2"/>
      <c r="G425" s="2"/>
      <c r="H425" s="2"/>
    </row>
    <row r="426">
      <c r="A426" s="1" t="s">
        <v>292</v>
      </c>
      <c r="B426" s="1"/>
      <c r="C426" s="1">
        <v>0.0</v>
      </c>
      <c r="D426" s="2"/>
      <c r="E426" s="2"/>
      <c r="F426" s="2"/>
      <c r="G426" s="2"/>
      <c r="H426" s="2"/>
    </row>
    <row r="427">
      <c r="A427" s="1" t="s">
        <v>293</v>
      </c>
      <c r="B427" s="1"/>
      <c r="C427" s="1">
        <v>30.0</v>
      </c>
      <c r="D427" s="2"/>
      <c r="E427" s="2"/>
      <c r="F427" s="2"/>
      <c r="G427" s="2"/>
      <c r="H427" s="2"/>
    </row>
    <row r="428">
      <c r="A428" s="1" t="s">
        <v>294</v>
      </c>
      <c r="B428" s="1"/>
      <c r="C428" s="1">
        <v>39.0</v>
      </c>
      <c r="D428" s="2"/>
      <c r="E428" s="2"/>
      <c r="F428" s="2"/>
      <c r="G428" s="2"/>
      <c r="H428" s="2"/>
    </row>
    <row r="429">
      <c r="A429" s="1" t="s">
        <v>295</v>
      </c>
      <c r="B429" s="1"/>
      <c r="C429" s="1">
        <v>50.0</v>
      </c>
      <c r="D429" s="2"/>
      <c r="E429" s="2"/>
      <c r="F429" s="2"/>
      <c r="G429" s="2"/>
      <c r="H429" s="2"/>
    </row>
    <row r="430">
      <c r="A430" s="1" t="s">
        <v>296</v>
      </c>
      <c r="B430" s="1"/>
      <c r="C430" s="1">
        <v>0.0</v>
      </c>
      <c r="D430" s="2"/>
      <c r="E430" s="2"/>
      <c r="F430" s="2"/>
      <c r="G430" s="2"/>
      <c r="H430" s="2"/>
    </row>
    <row r="431">
      <c r="A431" s="1" t="s">
        <v>297</v>
      </c>
      <c r="B431" s="1"/>
      <c r="C431" s="1">
        <v>0.0</v>
      </c>
      <c r="D431" s="2"/>
      <c r="E431" s="2"/>
      <c r="F431" s="2"/>
      <c r="G431" s="2"/>
      <c r="H431" s="2"/>
    </row>
    <row r="432">
      <c r="A432" s="1" t="s">
        <v>298</v>
      </c>
      <c r="B432" s="1"/>
      <c r="C432" s="1">
        <v>62.0</v>
      </c>
      <c r="D432" s="2"/>
      <c r="E432" s="2"/>
      <c r="F432" s="2"/>
      <c r="G432" s="2"/>
      <c r="H432" s="2"/>
    </row>
    <row r="433">
      <c r="A433" s="1" t="s">
        <v>299</v>
      </c>
      <c r="B433" s="1"/>
      <c r="C433" s="1">
        <v>0.0</v>
      </c>
      <c r="D433" s="2"/>
      <c r="E433" s="2"/>
      <c r="F433" s="2"/>
      <c r="G433" s="2"/>
      <c r="H433" s="2"/>
    </row>
    <row r="434">
      <c r="A434" s="1" t="s">
        <v>300</v>
      </c>
      <c r="B434" s="1"/>
      <c r="C434" s="1">
        <v>50.0</v>
      </c>
      <c r="D434" s="2"/>
      <c r="E434" s="2"/>
      <c r="F434" s="2"/>
      <c r="G434" s="2"/>
      <c r="H434" s="2"/>
    </row>
    <row r="435">
      <c r="A435" s="1" t="s">
        <v>301</v>
      </c>
      <c r="B435" s="1"/>
      <c r="C435" s="1">
        <v>0.0</v>
      </c>
      <c r="D435" s="2"/>
      <c r="E435" s="2"/>
      <c r="F435" s="2"/>
      <c r="G435" s="2"/>
      <c r="H435" s="2"/>
    </row>
    <row r="436">
      <c r="A436" s="1" t="s">
        <v>302</v>
      </c>
      <c r="B436" s="1"/>
      <c r="C436" s="1">
        <v>0.0</v>
      </c>
      <c r="D436" s="2"/>
      <c r="E436" s="2"/>
      <c r="F436" s="2"/>
      <c r="G436" s="2"/>
      <c r="H436" s="2"/>
    </row>
    <row r="437">
      <c r="A437" s="1" t="s">
        <v>303</v>
      </c>
      <c r="B437" s="1"/>
      <c r="C437" s="1">
        <v>96.0</v>
      </c>
      <c r="D437" s="2"/>
      <c r="E437" s="2"/>
      <c r="F437" s="2"/>
      <c r="G437" s="2"/>
      <c r="H437" s="2"/>
    </row>
    <row r="438">
      <c r="A438" s="1" t="s">
        <v>304</v>
      </c>
      <c r="B438" s="1"/>
      <c r="C438" s="1">
        <v>57.0</v>
      </c>
      <c r="D438" s="2"/>
      <c r="E438" s="2"/>
      <c r="F438" s="2"/>
      <c r="G438" s="2"/>
      <c r="H438" s="2"/>
    </row>
    <row r="439">
      <c r="A439" s="1" t="s">
        <v>305</v>
      </c>
      <c r="B439" s="1"/>
      <c r="C439" s="1">
        <v>0.0</v>
      </c>
      <c r="D439" s="2"/>
      <c r="E439" s="2"/>
      <c r="F439" s="2"/>
      <c r="G439" s="2"/>
      <c r="H439" s="2"/>
    </row>
    <row r="440">
      <c r="A440" s="1" t="s">
        <v>306</v>
      </c>
      <c r="B440" s="1"/>
      <c r="C440" s="1">
        <v>34.0</v>
      </c>
      <c r="D440" s="2"/>
      <c r="E440" s="2"/>
      <c r="F440" s="2"/>
      <c r="G440" s="2"/>
      <c r="H440" s="2"/>
    </row>
    <row r="441">
      <c r="A441" s="1" t="s">
        <v>307</v>
      </c>
      <c r="B441" s="1"/>
      <c r="C441" s="1">
        <v>68.0</v>
      </c>
      <c r="D441" s="2"/>
      <c r="E441" s="2"/>
      <c r="F441" s="2"/>
      <c r="G441" s="2"/>
      <c r="H441" s="2"/>
    </row>
    <row r="442">
      <c r="A442" s="1" t="s">
        <v>308</v>
      </c>
      <c r="B442" s="1"/>
      <c r="C442" s="1">
        <v>78.0</v>
      </c>
      <c r="D442" s="2"/>
      <c r="E442" s="2"/>
      <c r="F442" s="2"/>
      <c r="G442" s="2"/>
      <c r="H442" s="2"/>
    </row>
    <row r="443">
      <c r="A443" s="1" t="s">
        <v>309</v>
      </c>
      <c r="B443" s="1"/>
      <c r="C443" s="2"/>
      <c r="D443" s="2"/>
      <c r="E443" s="2"/>
      <c r="F443" s="2"/>
      <c r="G443" s="2"/>
      <c r="H443" s="2"/>
    </row>
    <row r="444">
      <c r="A444" s="1" t="s">
        <v>310</v>
      </c>
      <c r="B444" s="1"/>
      <c r="C444" s="1">
        <v>12.0</v>
      </c>
      <c r="D444" s="2"/>
      <c r="E444" s="2"/>
      <c r="F444" s="2"/>
      <c r="G444" s="2"/>
      <c r="H444" s="2"/>
    </row>
    <row r="445">
      <c r="A445" s="1" t="s">
        <v>311</v>
      </c>
      <c r="B445" s="1"/>
      <c r="C445" s="2"/>
      <c r="D445" s="2"/>
      <c r="E445" s="2"/>
      <c r="F445" s="2"/>
      <c r="G445" s="2"/>
      <c r="H445" s="2"/>
    </row>
    <row r="446">
      <c r="A446" s="1" t="s">
        <v>312</v>
      </c>
      <c r="B446" s="1"/>
      <c r="C446" s="1">
        <v>0.0</v>
      </c>
      <c r="D446" s="2"/>
      <c r="E446" s="2"/>
      <c r="F446" s="2"/>
      <c r="G446" s="2"/>
      <c r="H446" s="2"/>
    </row>
    <row r="447">
      <c r="A447" s="1" t="s">
        <v>313</v>
      </c>
      <c r="B447" s="1"/>
      <c r="C447" s="1">
        <v>82.0</v>
      </c>
      <c r="D447" s="2"/>
      <c r="E447" s="2"/>
      <c r="F447" s="2"/>
      <c r="G447" s="2"/>
      <c r="H447" s="2"/>
    </row>
    <row r="448">
      <c r="A448" s="1" t="s">
        <v>314</v>
      </c>
      <c r="B448" s="1"/>
      <c r="C448" s="1">
        <v>0.0</v>
      </c>
      <c r="D448" s="2"/>
      <c r="E448" s="2"/>
      <c r="F448" s="2"/>
      <c r="G448" s="2"/>
      <c r="H448" s="2"/>
    </row>
    <row r="449">
      <c r="A449" s="1" t="s">
        <v>315</v>
      </c>
      <c r="B449" s="1"/>
      <c r="C449" s="1">
        <v>0.0</v>
      </c>
      <c r="D449" s="2"/>
      <c r="E449" s="2"/>
      <c r="F449" s="2"/>
      <c r="G449" s="2"/>
      <c r="H449" s="2"/>
    </row>
    <row r="450">
      <c r="A450" s="1" t="s">
        <v>316</v>
      </c>
      <c r="B450" s="1"/>
      <c r="C450" s="1">
        <v>0.0</v>
      </c>
      <c r="D450" s="2"/>
      <c r="E450" s="2"/>
      <c r="F450" s="2"/>
      <c r="G450" s="2"/>
      <c r="H450" s="2"/>
    </row>
    <row r="451">
      <c r="A451" s="1" t="s">
        <v>317</v>
      </c>
      <c r="B451" s="1"/>
      <c r="C451" s="1">
        <v>0.0</v>
      </c>
      <c r="D451" s="2"/>
      <c r="E451" s="2"/>
      <c r="F451" s="2"/>
      <c r="G451" s="2"/>
      <c r="H451" s="2"/>
    </row>
    <row r="452">
      <c r="A452" s="1" t="s">
        <v>318</v>
      </c>
      <c r="B452" s="1"/>
      <c r="C452" s="1">
        <v>8.0</v>
      </c>
      <c r="D452" s="2"/>
      <c r="E452" s="2"/>
      <c r="F452" s="2"/>
      <c r="G452" s="2"/>
      <c r="H452" s="2"/>
    </row>
    <row r="453">
      <c r="A453" s="1" t="s">
        <v>319</v>
      </c>
      <c r="B453" s="1"/>
      <c r="C453" s="1">
        <v>0.0</v>
      </c>
      <c r="D453" s="2"/>
      <c r="E453" s="2"/>
      <c r="F453" s="2"/>
      <c r="G453" s="2"/>
      <c r="H453" s="2"/>
    </row>
    <row r="454">
      <c r="A454" s="1" t="s">
        <v>320</v>
      </c>
      <c r="B454" s="1"/>
      <c r="C454" s="1">
        <v>0.0</v>
      </c>
      <c r="D454" s="2"/>
      <c r="E454" s="2"/>
      <c r="F454" s="2"/>
      <c r="G454" s="2"/>
      <c r="H454" s="2"/>
    </row>
    <row r="455">
      <c r="A455" s="1" t="s">
        <v>321</v>
      </c>
      <c r="B455" s="1"/>
      <c r="C455" s="1">
        <v>0.0</v>
      </c>
      <c r="D455" s="2"/>
      <c r="E455" s="2"/>
      <c r="F455" s="2"/>
      <c r="G455" s="2"/>
      <c r="H455" s="2"/>
    </row>
    <row r="456">
      <c r="A456" s="1" t="s">
        <v>322</v>
      </c>
      <c r="B456" s="1"/>
      <c r="C456" s="1">
        <v>14.0</v>
      </c>
      <c r="D456" s="2"/>
      <c r="E456" s="2"/>
      <c r="F456" s="2"/>
      <c r="G456" s="2"/>
      <c r="H456" s="2"/>
    </row>
    <row r="457">
      <c r="A457" s="1" t="s">
        <v>323</v>
      </c>
      <c r="B457" s="1"/>
      <c r="C457" s="1">
        <v>0.0</v>
      </c>
      <c r="D457" s="2"/>
      <c r="E457" s="2"/>
      <c r="F457" s="2"/>
      <c r="G457" s="2"/>
      <c r="H457" s="2"/>
    </row>
    <row r="458">
      <c r="A458" s="1" t="s">
        <v>324</v>
      </c>
      <c r="B458" s="1"/>
      <c r="C458" s="1">
        <v>86.0</v>
      </c>
      <c r="D458" s="2"/>
      <c r="E458" s="2"/>
      <c r="F458" s="2"/>
      <c r="G458" s="2"/>
      <c r="H458" s="2"/>
    </row>
    <row r="459">
      <c r="A459" s="1" t="s">
        <v>325</v>
      </c>
      <c r="B459" s="1"/>
      <c r="C459" s="1">
        <v>66.0</v>
      </c>
      <c r="D459" s="2"/>
      <c r="E459" s="2"/>
      <c r="F459" s="2"/>
      <c r="G459" s="2"/>
      <c r="H459" s="2"/>
    </row>
    <row r="460">
      <c r="A460" s="1" t="s">
        <v>326</v>
      </c>
      <c r="B460" s="1"/>
      <c r="C460" s="1">
        <v>0.0</v>
      </c>
      <c r="D460" s="2"/>
      <c r="E460" s="2"/>
      <c r="F460" s="2"/>
      <c r="G460" s="2"/>
      <c r="H460" s="2"/>
    </row>
    <row r="461">
      <c r="A461" s="1" t="s">
        <v>327</v>
      </c>
      <c r="B461" s="1"/>
      <c r="C461" s="1">
        <v>94.0</v>
      </c>
      <c r="D461" s="2"/>
      <c r="E461" s="2"/>
      <c r="F461" s="2"/>
      <c r="G461" s="2"/>
      <c r="H461" s="2"/>
    </row>
    <row r="462">
      <c r="A462" s="1" t="s">
        <v>328</v>
      </c>
      <c r="B462" s="1"/>
      <c r="C462" s="1">
        <v>36.0</v>
      </c>
      <c r="D462" s="2"/>
      <c r="E462" s="2"/>
      <c r="F462" s="2"/>
      <c r="G462" s="2"/>
      <c r="H462" s="2"/>
    </row>
    <row r="463">
      <c r="A463" s="1" t="s">
        <v>329</v>
      </c>
      <c r="B463" s="1"/>
      <c r="C463" s="1">
        <v>0.0</v>
      </c>
      <c r="D463" s="2"/>
      <c r="E463" s="2"/>
      <c r="F463" s="2"/>
      <c r="G463" s="2"/>
      <c r="H463" s="2"/>
    </row>
    <row r="464">
      <c r="A464" s="1" t="s">
        <v>330</v>
      </c>
      <c r="B464" s="1"/>
      <c r="C464" s="1">
        <v>0.0</v>
      </c>
      <c r="D464" s="2"/>
      <c r="E464" s="2"/>
      <c r="F464" s="2"/>
      <c r="G464" s="2"/>
      <c r="H464" s="2"/>
    </row>
    <row r="465">
      <c r="A465" s="1" t="s">
        <v>331</v>
      </c>
      <c r="B465" s="1"/>
      <c r="C465" s="1">
        <v>0.0</v>
      </c>
      <c r="D465" s="2"/>
      <c r="E465" s="2"/>
      <c r="F465" s="2"/>
      <c r="G465" s="2"/>
      <c r="H465" s="2"/>
    </row>
    <row r="466">
      <c r="A466" s="1" t="s">
        <v>332</v>
      </c>
      <c r="B466" s="1"/>
      <c r="C466" s="1">
        <v>0.0</v>
      </c>
      <c r="D466" s="2"/>
      <c r="E466" s="2"/>
      <c r="F466" s="2"/>
      <c r="G466" s="2"/>
      <c r="H466" s="2"/>
    </row>
    <row r="467">
      <c r="A467" s="1" t="s">
        <v>333</v>
      </c>
      <c r="B467" s="1"/>
      <c r="C467" s="1">
        <v>0.0</v>
      </c>
      <c r="D467" s="2"/>
      <c r="E467" s="2"/>
      <c r="F467" s="2"/>
      <c r="G467" s="2"/>
      <c r="H467" s="2"/>
    </row>
    <row r="468">
      <c r="A468" s="1" t="s">
        <v>334</v>
      </c>
      <c r="B468" s="1"/>
      <c r="C468" s="1">
        <v>0.0</v>
      </c>
      <c r="D468" s="2"/>
      <c r="E468" s="2"/>
      <c r="F468" s="2"/>
      <c r="G468" s="2"/>
      <c r="H468" s="2"/>
    </row>
    <row r="469">
      <c r="A469" s="1" t="s">
        <v>335</v>
      </c>
      <c r="B469" s="1"/>
      <c r="C469" s="1">
        <v>14.0</v>
      </c>
      <c r="D469" s="2"/>
      <c r="E469" s="2"/>
      <c r="F469" s="2"/>
      <c r="G469" s="2"/>
      <c r="H469" s="2"/>
    </row>
    <row r="470">
      <c r="A470" s="1" t="s">
        <v>336</v>
      </c>
      <c r="B470" s="1"/>
      <c r="C470" s="1">
        <v>14.0</v>
      </c>
      <c r="D470" s="2"/>
      <c r="E470" s="2"/>
      <c r="F470" s="2"/>
      <c r="G470" s="2"/>
      <c r="H470" s="2"/>
    </row>
    <row r="471">
      <c r="A471" s="1" t="s">
        <v>337</v>
      </c>
      <c r="B471" s="1"/>
      <c r="C471" s="1">
        <v>0.0</v>
      </c>
      <c r="D471" s="2"/>
      <c r="E471" s="2"/>
      <c r="F471" s="2"/>
      <c r="G471" s="2"/>
      <c r="H471" s="2"/>
    </row>
    <row r="472">
      <c r="A472" s="1" t="s">
        <v>338</v>
      </c>
      <c r="B472" s="1"/>
      <c r="C472" s="1">
        <v>55.0</v>
      </c>
      <c r="D472" s="2"/>
      <c r="E472" s="2"/>
      <c r="F472" s="2"/>
      <c r="G472" s="2"/>
      <c r="H472" s="2"/>
    </row>
    <row r="473">
      <c r="A473" s="1" t="s">
        <v>339</v>
      </c>
      <c r="B473" s="1"/>
      <c r="C473" s="1">
        <v>0.0</v>
      </c>
      <c r="D473" s="2"/>
      <c r="E473" s="2"/>
      <c r="F473" s="2"/>
      <c r="G473" s="2"/>
      <c r="H473" s="2"/>
    </row>
    <row r="474">
      <c r="A474" s="1" t="s">
        <v>340</v>
      </c>
      <c r="B474" s="1"/>
      <c r="C474" s="1">
        <v>14.0</v>
      </c>
      <c r="D474" s="2"/>
      <c r="E474" s="2"/>
      <c r="F474" s="2"/>
      <c r="G474" s="2"/>
      <c r="H474" s="2"/>
    </row>
    <row r="475">
      <c r="A475" s="1" t="s">
        <v>341</v>
      </c>
      <c r="B475" s="1"/>
      <c r="C475" s="1">
        <v>0.0</v>
      </c>
      <c r="D475" s="2"/>
      <c r="E475" s="2"/>
      <c r="F475" s="2"/>
      <c r="G475" s="2"/>
      <c r="H475" s="2"/>
    </row>
    <row r="476">
      <c r="A476" s="1" t="s">
        <v>342</v>
      </c>
      <c r="B476" s="1"/>
      <c r="C476" s="1">
        <v>0.0</v>
      </c>
      <c r="D476" s="2"/>
      <c r="E476" s="2"/>
      <c r="F476" s="2"/>
      <c r="G476" s="2"/>
      <c r="H476" s="2"/>
    </row>
    <row r="477">
      <c r="A477" s="1" t="s">
        <v>343</v>
      </c>
      <c r="B477" s="1"/>
      <c r="C477" s="1">
        <v>99.0</v>
      </c>
      <c r="D477" s="2"/>
      <c r="E477" s="2"/>
      <c r="F477" s="2"/>
      <c r="G477" s="2"/>
      <c r="H477" s="2"/>
    </row>
    <row r="478">
      <c r="A478" s="1" t="s">
        <v>344</v>
      </c>
      <c r="B478" s="1"/>
      <c r="C478" s="1">
        <v>74.0</v>
      </c>
      <c r="D478" s="2"/>
      <c r="E478" s="2"/>
      <c r="F478" s="2"/>
      <c r="G478" s="2"/>
      <c r="H478" s="2"/>
    </row>
    <row r="479">
      <c r="A479" s="1" t="s">
        <v>345</v>
      </c>
      <c r="B479" s="1"/>
      <c r="C479" s="1">
        <v>18.0</v>
      </c>
      <c r="D479" s="2"/>
      <c r="E479" s="2"/>
      <c r="F479" s="2"/>
      <c r="G479" s="2"/>
      <c r="H479" s="2"/>
    </row>
    <row r="480">
      <c r="A480" s="1" t="s">
        <v>346</v>
      </c>
      <c r="B480" s="1"/>
      <c r="C480" s="1">
        <v>0.0</v>
      </c>
      <c r="D480" s="2"/>
      <c r="E480" s="2"/>
      <c r="F480" s="2"/>
      <c r="G480" s="2"/>
      <c r="H480" s="2"/>
    </row>
    <row r="481">
      <c r="A481" s="1" t="s">
        <v>347</v>
      </c>
      <c r="B481" s="1"/>
      <c r="C481" s="1">
        <v>0.0</v>
      </c>
      <c r="D481" s="2"/>
      <c r="E481" s="2"/>
      <c r="F481" s="2"/>
      <c r="G481" s="2"/>
      <c r="H481" s="2"/>
    </row>
    <row r="482">
      <c r="A482" s="1" t="s">
        <v>348</v>
      </c>
      <c r="B482" s="1"/>
      <c r="C482" s="1">
        <v>70.0</v>
      </c>
      <c r="D482" s="2"/>
      <c r="E482" s="2"/>
      <c r="F482" s="2"/>
      <c r="G482" s="2"/>
      <c r="H482" s="2"/>
    </row>
    <row r="483">
      <c r="A483" s="1" t="s">
        <v>349</v>
      </c>
      <c r="B483" s="1"/>
      <c r="C483" s="1">
        <v>0.0</v>
      </c>
      <c r="D483" s="2"/>
      <c r="E483" s="2"/>
      <c r="F483" s="2"/>
      <c r="G483" s="2"/>
      <c r="H483" s="2"/>
    </row>
    <row r="484">
      <c r="A484" s="1" t="s">
        <v>350</v>
      </c>
      <c r="B484" s="1"/>
      <c r="C484" s="1">
        <v>0.0</v>
      </c>
      <c r="D484" s="2"/>
      <c r="E484" s="2"/>
      <c r="F484" s="2"/>
      <c r="G484" s="2"/>
      <c r="H484" s="2"/>
    </row>
    <row r="485">
      <c r="A485" s="1" t="s">
        <v>351</v>
      </c>
      <c r="B485" s="1"/>
      <c r="C485" s="1">
        <v>44.0</v>
      </c>
      <c r="D485" s="2"/>
      <c r="E485" s="2"/>
      <c r="F485" s="2"/>
      <c r="G485" s="2"/>
      <c r="H485" s="2"/>
    </row>
    <row r="486">
      <c r="A486" s="1" t="s">
        <v>352</v>
      </c>
      <c r="B486" s="1"/>
      <c r="C486" s="1">
        <v>50.0</v>
      </c>
      <c r="D486" s="2"/>
      <c r="E486" s="2"/>
      <c r="F486" s="2"/>
      <c r="G486" s="2"/>
      <c r="H486" s="2"/>
    </row>
    <row r="487">
      <c r="A487" s="1" t="s">
        <v>353</v>
      </c>
      <c r="B487" s="1"/>
      <c r="C487" s="1">
        <v>0.0</v>
      </c>
      <c r="D487" s="2"/>
      <c r="E487" s="2"/>
      <c r="F487" s="2"/>
      <c r="G487" s="2"/>
      <c r="H487" s="2"/>
    </row>
    <row r="488">
      <c r="A488" s="1" t="s">
        <v>354</v>
      </c>
      <c r="B488" s="1"/>
      <c r="C488" s="1">
        <v>72.0</v>
      </c>
      <c r="D488" s="2"/>
      <c r="E488" s="2"/>
      <c r="F488" s="2"/>
      <c r="G488" s="2"/>
      <c r="H488" s="2"/>
    </row>
    <row r="489">
      <c r="A489" s="1" t="s">
        <v>355</v>
      </c>
      <c r="B489" s="1"/>
      <c r="C489" s="1">
        <v>6.0</v>
      </c>
      <c r="D489" s="2"/>
      <c r="E489" s="2"/>
      <c r="F489" s="2"/>
      <c r="G489" s="2"/>
      <c r="H489" s="2"/>
    </row>
    <row r="490">
      <c r="A490" s="1" t="s">
        <v>356</v>
      </c>
      <c r="B490" s="1"/>
      <c r="C490" s="1">
        <v>0.0</v>
      </c>
      <c r="D490" s="2"/>
      <c r="E490" s="2"/>
      <c r="F490" s="2"/>
      <c r="G490" s="2"/>
      <c r="H490" s="2"/>
    </row>
    <row r="491">
      <c r="A491" s="1" t="s">
        <v>357</v>
      </c>
      <c r="B491" s="1"/>
      <c r="C491" s="1">
        <v>0.0</v>
      </c>
      <c r="D491" s="2"/>
      <c r="E491" s="2"/>
      <c r="F491" s="2"/>
      <c r="G491" s="2"/>
      <c r="H491" s="2"/>
    </row>
    <row r="492">
      <c r="A492" s="1" t="s">
        <v>358</v>
      </c>
      <c r="B492" s="1"/>
      <c r="C492" s="1">
        <v>71.0</v>
      </c>
      <c r="D492" s="2"/>
      <c r="E492" s="2"/>
      <c r="F492" s="2"/>
      <c r="G492" s="2"/>
      <c r="H492" s="2"/>
    </row>
    <row r="493">
      <c r="A493" s="1" t="s">
        <v>359</v>
      </c>
      <c r="B493" s="1"/>
      <c r="C493" s="1">
        <v>25.0</v>
      </c>
      <c r="D493" s="2"/>
      <c r="E493" s="2"/>
      <c r="F493" s="2"/>
      <c r="G493" s="2"/>
      <c r="H493" s="2"/>
    </row>
    <row r="494">
      <c r="A494" s="1" t="s">
        <v>290</v>
      </c>
      <c r="B494" s="1"/>
      <c r="C494" s="1">
        <v>75.0</v>
      </c>
      <c r="D494" s="2"/>
      <c r="E494" s="2"/>
      <c r="F494" s="2"/>
      <c r="G494" s="2"/>
      <c r="H494" s="2"/>
    </row>
    <row r="495">
      <c r="A495" s="1" t="s">
        <v>291</v>
      </c>
      <c r="B495" s="1"/>
      <c r="C495" s="1">
        <v>0.0</v>
      </c>
      <c r="D495" s="2"/>
      <c r="E495" s="2"/>
      <c r="F495" s="2"/>
      <c r="G495" s="2"/>
      <c r="H495" s="2"/>
    </row>
    <row r="496">
      <c r="A496" s="1" t="s">
        <v>292</v>
      </c>
      <c r="B496" s="1"/>
      <c r="C496" s="1">
        <v>0.0</v>
      </c>
      <c r="D496" s="2"/>
      <c r="E496" s="2"/>
      <c r="F496" s="2"/>
      <c r="G496" s="2"/>
      <c r="H496" s="2"/>
    </row>
    <row r="497">
      <c r="A497" s="1" t="s">
        <v>293</v>
      </c>
      <c r="B497" s="1"/>
      <c r="C497" s="1">
        <v>30.0</v>
      </c>
      <c r="D497" s="2"/>
      <c r="E497" s="2"/>
      <c r="F497" s="2"/>
      <c r="G497" s="2"/>
      <c r="H497" s="2"/>
    </row>
    <row r="498">
      <c r="A498" s="1" t="s">
        <v>294</v>
      </c>
      <c r="B498" s="1"/>
      <c r="C498" s="1">
        <v>39.0</v>
      </c>
      <c r="D498" s="2"/>
      <c r="E498" s="2"/>
      <c r="F498" s="2"/>
      <c r="G498" s="2"/>
      <c r="H498" s="2"/>
    </row>
    <row r="499">
      <c r="A499" s="1" t="s">
        <v>295</v>
      </c>
      <c r="B499" s="1"/>
      <c r="C499" s="1">
        <v>50.0</v>
      </c>
      <c r="D499" s="2"/>
      <c r="E499" s="2"/>
      <c r="F499" s="2"/>
      <c r="G499" s="2"/>
      <c r="H499" s="2"/>
    </row>
    <row r="500">
      <c r="A500" s="1" t="s">
        <v>296</v>
      </c>
      <c r="B500" s="1"/>
      <c r="C500" s="1">
        <v>0.0</v>
      </c>
      <c r="D500" s="2"/>
      <c r="E500" s="2"/>
      <c r="F500" s="2"/>
      <c r="G500" s="2"/>
      <c r="H500" s="2"/>
    </row>
    <row r="501">
      <c r="A501" s="1" t="s">
        <v>297</v>
      </c>
      <c r="B501" s="1"/>
      <c r="C501" s="1">
        <v>0.0</v>
      </c>
      <c r="D501" s="2"/>
      <c r="E501" s="2"/>
      <c r="F501" s="2"/>
      <c r="G501" s="2"/>
      <c r="H501" s="2"/>
    </row>
    <row r="502">
      <c r="A502" s="1" t="s">
        <v>298</v>
      </c>
      <c r="B502" s="1"/>
      <c r="C502" s="1">
        <v>62.0</v>
      </c>
      <c r="D502" s="2"/>
      <c r="E502" s="2"/>
      <c r="F502" s="2"/>
      <c r="G502" s="2"/>
      <c r="H502" s="2"/>
    </row>
    <row r="503">
      <c r="A503" s="1" t="s">
        <v>299</v>
      </c>
      <c r="B503" s="1"/>
      <c r="C503" s="1">
        <v>0.0</v>
      </c>
      <c r="D503" s="2"/>
      <c r="E503" s="2"/>
      <c r="F503" s="2"/>
      <c r="G503" s="2"/>
      <c r="H503" s="2"/>
    </row>
    <row r="504">
      <c r="A504" s="1" t="s">
        <v>300</v>
      </c>
      <c r="B504" s="1"/>
      <c r="C504" s="1">
        <v>50.0</v>
      </c>
      <c r="D504" s="2"/>
      <c r="E504" s="2"/>
      <c r="F504" s="2"/>
      <c r="G504" s="2"/>
      <c r="H504" s="2"/>
    </row>
    <row r="505">
      <c r="A505" s="1" t="s">
        <v>301</v>
      </c>
      <c r="B505" s="1"/>
      <c r="C505" s="1">
        <v>0.0</v>
      </c>
      <c r="D505" s="2"/>
      <c r="E505" s="2"/>
      <c r="F505" s="2"/>
      <c r="G505" s="2"/>
      <c r="H505" s="2"/>
    </row>
    <row r="506">
      <c r="A506" s="1" t="s">
        <v>302</v>
      </c>
      <c r="B506" s="1"/>
      <c r="C506" s="1">
        <v>0.0</v>
      </c>
      <c r="D506" s="2"/>
      <c r="E506" s="2"/>
      <c r="F506" s="2"/>
      <c r="G506" s="2"/>
      <c r="H506" s="2"/>
    </row>
    <row r="507">
      <c r="A507" s="1" t="s">
        <v>303</v>
      </c>
      <c r="B507" s="1"/>
      <c r="C507" s="1">
        <v>96.0</v>
      </c>
      <c r="D507" s="2"/>
      <c r="E507" s="2"/>
      <c r="F507" s="2"/>
      <c r="G507" s="2"/>
      <c r="H507" s="2"/>
    </row>
    <row r="508">
      <c r="A508" s="1" t="s">
        <v>304</v>
      </c>
      <c r="B508" s="1"/>
      <c r="C508" s="1">
        <v>57.0</v>
      </c>
      <c r="D508" s="2"/>
      <c r="E508" s="2"/>
      <c r="F508" s="2"/>
      <c r="G508" s="2"/>
      <c r="H508" s="2"/>
    </row>
    <row r="509">
      <c r="A509" s="1" t="s">
        <v>305</v>
      </c>
      <c r="B509" s="1"/>
      <c r="C509" s="1">
        <v>0.0</v>
      </c>
      <c r="D509" s="2"/>
      <c r="E509" s="2"/>
      <c r="F509" s="2"/>
      <c r="G509" s="2"/>
      <c r="H509" s="2"/>
    </row>
    <row r="510">
      <c r="A510" s="1" t="s">
        <v>306</v>
      </c>
      <c r="B510" s="1"/>
      <c r="C510" s="1">
        <v>34.0</v>
      </c>
      <c r="D510" s="2"/>
      <c r="E510" s="2"/>
      <c r="F510" s="2"/>
      <c r="G510" s="2"/>
      <c r="H510" s="2"/>
    </row>
    <row r="511">
      <c r="A511" s="1" t="s">
        <v>307</v>
      </c>
      <c r="B511" s="1"/>
      <c r="C511" s="1">
        <v>68.0</v>
      </c>
      <c r="D511" s="2"/>
      <c r="E511" s="2"/>
      <c r="F511" s="2"/>
      <c r="G511" s="2"/>
      <c r="H511" s="2"/>
    </row>
    <row r="512">
      <c r="A512" s="1" t="s">
        <v>308</v>
      </c>
      <c r="B512" s="1"/>
      <c r="C512" s="1">
        <v>78.0</v>
      </c>
      <c r="D512" s="2"/>
      <c r="E512" s="2"/>
      <c r="F512" s="2"/>
      <c r="G512" s="2"/>
      <c r="H512" s="2"/>
    </row>
    <row r="513">
      <c r="A513" s="1" t="s">
        <v>309</v>
      </c>
      <c r="B513" s="1"/>
      <c r="C513" s="2"/>
      <c r="D513" s="2"/>
      <c r="E513" s="2"/>
      <c r="F513" s="2"/>
      <c r="G513" s="2"/>
      <c r="H513" s="2"/>
    </row>
    <row r="514">
      <c r="A514" s="1" t="s">
        <v>310</v>
      </c>
      <c r="B514" s="1"/>
      <c r="C514" s="1">
        <v>12.0</v>
      </c>
      <c r="D514" s="2"/>
      <c r="E514" s="2"/>
      <c r="F514" s="2"/>
      <c r="G514" s="2"/>
      <c r="H514" s="2"/>
    </row>
    <row r="515">
      <c r="A515" s="1" t="s">
        <v>311</v>
      </c>
      <c r="B515" s="1"/>
      <c r="C515" s="2"/>
      <c r="D515" s="2"/>
      <c r="E515" s="2"/>
      <c r="F515" s="2"/>
      <c r="G515" s="2"/>
      <c r="H515" s="2"/>
    </row>
    <row r="516">
      <c r="A516" s="1" t="s">
        <v>312</v>
      </c>
      <c r="B516" s="1"/>
      <c r="C516" s="1">
        <v>0.0</v>
      </c>
      <c r="D516" s="2"/>
      <c r="E516" s="2"/>
      <c r="F516" s="2"/>
      <c r="G516" s="2"/>
      <c r="H516" s="2"/>
    </row>
    <row r="517">
      <c r="A517" s="1" t="s">
        <v>313</v>
      </c>
      <c r="B517" s="1"/>
      <c r="C517" s="1">
        <v>82.0</v>
      </c>
      <c r="D517" s="2"/>
      <c r="E517" s="2"/>
      <c r="F517" s="2"/>
      <c r="G517" s="2"/>
      <c r="H517" s="2"/>
    </row>
    <row r="518">
      <c r="A518" s="1" t="s">
        <v>314</v>
      </c>
      <c r="B518" s="1"/>
      <c r="C518" s="1">
        <v>0.0</v>
      </c>
      <c r="D518" s="2"/>
      <c r="E518" s="2"/>
      <c r="F518" s="2"/>
      <c r="G518" s="2"/>
      <c r="H518" s="2"/>
    </row>
    <row r="519">
      <c r="A519" s="1" t="s">
        <v>315</v>
      </c>
      <c r="B519" s="1"/>
      <c r="C519" s="1">
        <v>0.0</v>
      </c>
      <c r="D519" s="2"/>
      <c r="E519" s="2"/>
      <c r="F519" s="2"/>
      <c r="G519" s="2"/>
      <c r="H519" s="2"/>
    </row>
    <row r="520">
      <c r="A520" s="1" t="s">
        <v>316</v>
      </c>
      <c r="B520" s="1"/>
      <c r="C520" s="1">
        <v>0.0</v>
      </c>
      <c r="D520" s="2"/>
      <c r="E520" s="2"/>
      <c r="F520" s="2"/>
      <c r="G520" s="2"/>
      <c r="H520" s="2"/>
    </row>
    <row r="521">
      <c r="A521" s="1" t="s">
        <v>317</v>
      </c>
      <c r="B521" s="1"/>
      <c r="C521" s="1">
        <v>0.0</v>
      </c>
      <c r="D521" s="2"/>
      <c r="E521" s="2"/>
      <c r="F521" s="2"/>
      <c r="G521" s="2"/>
      <c r="H521" s="2"/>
    </row>
    <row r="522">
      <c r="A522" s="1" t="s">
        <v>318</v>
      </c>
      <c r="B522" s="1"/>
      <c r="C522" s="1">
        <v>8.0</v>
      </c>
      <c r="D522" s="2"/>
      <c r="E522" s="2"/>
      <c r="F522" s="2"/>
      <c r="G522" s="2"/>
      <c r="H522" s="2"/>
    </row>
    <row r="523">
      <c r="A523" s="1" t="s">
        <v>319</v>
      </c>
      <c r="B523" s="1"/>
      <c r="C523" s="1">
        <v>0.0</v>
      </c>
      <c r="D523" s="2"/>
      <c r="E523" s="2"/>
      <c r="F523" s="2"/>
      <c r="G523" s="2"/>
      <c r="H523" s="2"/>
    </row>
    <row r="524">
      <c r="A524" s="1" t="s">
        <v>320</v>
      </c>
      <c r="B524" s="1"/>
      <c r="C524" s="1">
        <v>0.0</v>
      </c>
      <c r="D524" s="2"/>
      <c r="E524" s="2"/>
      <c r="F524" s="2"/>
      <c r="G524" s="2"/>
      <c r="H524" s="2"/>
    </row>
    <row r="525">
      <c r="A525" s="1" t="s">
        <v>321</v>
      </c>
      <c r="B525" s="1"/>
      <c r="C525" s="1">
        <v>0.0</v>
      </c>
      <c r="D525" s="2"/>
      <c r="E525" s="2"/>
      <c r="F525" s="2"/>
      <c r="G525" s="2"/>
      <c r="H525" s="2"/>
    </row>
    <row r="526">
      <c r="A526" s="1" t="s">
        <v>322</v>
      </c>
      <c r="B526" s="1"/>
      <c r="C526" s="1">
        <v>14.0</v>
      </c>
      <c r="D526" s="2"/>
      <c r="E526" s="2"/>
      <c r="F526" s="2"/>
      <c r="G526" s="2"/>
      <c r="H526" s="2"/>
    </row>
    <row r="527">
      <c r="A527" s="1" t="s">
        <v>323</v>
      </c>
      <c r="B527" s="1"/>
      <c r="C527" s="1">
        <v>0.0</v>
      </c>
      <c r="D527" s="2"/>
      <c r="E527" s="2"/>
      <c r="F527" s="2"/>
      <c r="G527" s="2"/>
      <c r="H527" s="2"/>
    </row>
    <row r="528">
      <c r="A528" s="1" t="s">
        <v>324</v>
      </c>
      <c r="B528" s="1"/>
      <c r="C528" s="1">
        <v>86.0</v>
      </c>
      <c r="D528" s="2"/>
      <c r="E528" s="2"/>
      <c r="F528" s="2"/>
      <c r="G528" s="2"/>
      <c r="H528" s="2"/>
    </row>
    <row r="529">
      <c r="A529" s="1" t="s">
        <v>325</v>
      </c>
      <c r="B529" s="1"/>
      <c r="C529" s="1">
        <v>66.0</v>
      </c>
      <c r="D529" s="2"/>
      <c r="E529" s="2"/>
      <c r="F529" s="2"/>
      <c r="G529" s="2"/>
      <c r="H529" s="2"/>
    </row>
    <row r="530">
      <c r="A530" s="1" t="s">
        <v>326</v>
      </c>
      <c r="B530" s="1"/>
      <c r="C530" s="1">
        <v>0.0</v>
      </c>
      <c r="D530" s="2"/>
      <c r="E530" s="2"/>
      <c r="F530" s="2"/>
      <c r="G530" s="2"/>
      <c r="H530" s="2"/>
    </row>
    <row r="531">
      <c r="A531" s="1" t="s">
        <v>327</v>
      </c>
      <c r="B531" s="1"/>
      <c r="C531" s="1">
        <v>94.0</v>
      </c>
      <c r="D531" s="2"/>
      <c r="E531" s="2"/>
      <c r="F531" s="2"/>
      <c r="G531" s="2"/>
      <c r="H531" s="2"/>
    </row>
    <row r="532">
      <c r="A532" s="1" t="s">
        <v>328</v>
      </c>
      <c r="B532" s="1"/>
      <c r="C532" s="1">
        <v>36.0</v>
      </c>
      <c r="D532" s="2"/>
      <c r="E532" s="2"/>
      <c r="F532" s="2"/>
      <c r="G532" s="2"/>
      <c r="H532" s="2"/>
    </row>
    <row r="533">
      <c r="A533" s="1" t="s">
        <v>329</v>
      </c>
      <c r="B533" s="1"/>
      <c r="C533" s="1">
        <v>0.0</v>
      </c>
      <c r="D533" s="2"/>
      <c r="E533" s="2"/>
      <c r="F533" s="2"/>
      <c r="G533" s="2"/>
      <c r="H533" s="2"/>
    </row>
    <row r="534">
      <c r="A534" s="1" t="s">
        <v>330</v>
      </c>
      <c r="B534" s="1"/>
      <c r="C534" s="1">
        <v>0.0</v>
      </c>
      <c r="D534" s="2"/>
      <c r="E534" s="2"/>
      <c r="F534" s="2"/>
      <c r="G534" s="2"/>
      <c r="H534" s="2"/>
    </row>
    <row r="535">
      <c r="A535" s="1" t="s">
        <v>331</v>
      </c>
      <c r="B535" s="1"/>
      <c r="C535" s="1">
        <v>0.0</v>
      </c>
      <c r="D535" s="2"/>
      <c r="E535" s="2"/>
      <c r="F535" s="2"/>
      <c r="G535" s="2"/>
      <c r="H535" s="2"/>
    </row>
    <row r="536">
      <c r="A536" s="1" t="s">
        <v>332</v>
      </c>
      <c r="B536" s="1"/>
      <c r="C536" s="1">
        <v>0.0</v>
      </c>
      <c r="D536" s="2"/>
      <c r="E536" s="2"/>
      <c r="F536" s="2"/>
      <c r="G536" s="2"/>
      <c r="H536" s="2"/>
    </row>
    <row r="537">
      <c r="A537" s="1" t="s">
        <v>333</v>
      </c>
      <c r="B537" s="1"/>
      <c r="C537" s="1">
        <v>0.0</v>
      </c>
      <c r="D537" s="2"/>
      <c r="E537" s="2"/>
      <c r="F537" s="2"/>
      <c r="G537" s="2"/>
      <c r="H537" s="2"/>
    </row>
    <row r="538">
      <c r="A538" s="1" t="s">
        <v>334</v>
      </c>
      <c r="B538" s="1"/>
      <c r="C538" s="1">
        <v>0.0</v>
      </c>
      <c r="D538" s="2"/>
      <c r="E538" s="2"/>
      <c r="F538" s="2"/>
      <c r="G538" s="2"/>
      <c r="H538" s="2"/>
    </row>
    <row r="539">
      <c r="A539" s="1" t="s">
        <v>335</v>
      </c>
      <c r="B539" s="1"/>
      <c r="C539" s="1">
        <v>14.0</v>
      </c>
      <c r="D539" s="2"/>
      <c r="E539" s="2"/>
      <c r="F539" s="2"/>
      <c r="G539" s="2"/>
      <c r="H539" s="2"/>
    </row>
    <row r="540">
      <c r="A540" s="1" t="s">
        <v>336</v>
      </c>
      <c r="B540" s="1"/>
      <c r="C540" s="1">
        <v>14.0</v>
      </c>
      <c r="D540" s="2"/>
      <c r="E540" s="2"/>
      <c r="F540" s="2"/>
      <c r="G540" s="2"/>
      <c r="H540" s="2"/>
    </row>
    <row r="541">
      <c r="A541" s="1" t="s">
        <v>337</v>
      </c>
      <c r="B541" s="1"/>
      <c r="C541" s="1">
        <v>0.0</v>
      </c>
      <c r="D541" s="2"/>
      <c r="E541" s="2"/>
      <c r="F541" s="2"/>
      <c r="G541" s="2"/>
      <c r="H541" s="2"/>
    </row>
    <row r="542">
      <c r="A542" s="1" t="s">
        <v>338</v>
      </c>
      <c r="B542" s="1"/>
      <c r="C542" s="1">
        <v>55.0</v>
      </c>
      <c r="D542" s="2"/>
      <c r="E542" s="2"/>
      <c r="F542" s="2"/>
      <c r="G542" s="2"/>
      <c r="H542" s="2"/>
    </row>
    <row r="543">
      <c r="A543" s="1" t="s">
        <v>339</v>
      </c>
      <c r="B543" s="1"/>
      <c r="C543" s="1">
        <v>0.0</v>
      </c>
      <c r="D543" s="2"/>
      <c r="E543" s="2"/>
      <c r="F543" s="2"/>
      <c r="G543" s="2"/>
      <c r="H543" s="2"/>
    </row>
    <row r="544">
      <c r="A544" s="1" t="s">
        <v>340</v>
      </c>
      <c r="B544" s="1"/>
      <c r="C544" s="1">
        <v>14.0</v>
      </c>
      <c r="D544" s="2"/>
      <c r="E544" s="2"/>
      <c r="F544" s="2"/>
      <c r="G544" s="2"/>
      <c r="H544" s="2"/>
    </row>
    <row r="545">
      <c r="A545" s="1" t="s">
        <v>341</v>
      </c>
      <c r="B545" s="1"/>
      <c r="C545" s="1">
        <v>0.0</v>
      </c>
      <c r="D545" s="2"/>
      <c r="E545" s="2"/>
      <c r="F545" s="2"/>
      <c r="G545" s="2"/>
      <c r="H545" s="2"/>
    </row>
    <row r="546">
      <c r="A546" s="1" t="s">
        <v>342</v>
      </c>
      <c r="B546" s="1"/>
      <c r="C546" s="1">
        <v>0.0</v>
      </c>
      <c r="D546" s="2"/>
      <c r="E546" s="2"/>
      <c r="F546" s="2"/>
      <c r="G546" s="2"/>
      <c r="H546" s="2"/>
    </row>
    <row r="547">
      <c r="A547" s="1" t="s">
        <v>343</v>
      </c>
      <c r="B547" s="1"/>
      <c r="C547" s="1">
        <v>99.0</v>
      </c>
      <c r="D547" s="2"/>
      <c r="E547" s="2"/>
      <c r="F547" s="2"/>
      <c r="G547" s="2"/>
      <c r="H547" s="2"/>
    </row>
    <row r="548">
      <c r="A548" s="1" t="s">
        <v>344</v>
      </c>
      <c r="B548" s="1"/>
      <c r="C548" s="1">
        <v>74.0</v>
      </c>
      <c r="D548" s="2"/>
      <c r="E548" s="2"/>
      <c r="F548" s="2"/>
      <c r="G548" s="2"/>
      <c r="H548" s="2"/>
    </row>
    <row r="549">
      <c r="A549" s="1" t="s">
        <v>345</v>
      </c>
      <c r="B549" s="1"/>
      <c r="C549" s="1">
        <v>18.0</v>
      </c>
      <c r="D549" s="2"/>
      <c r="E549" s="2"/>
      <c r="F549" s="2"/>
      <c r="G549" s="2"/>
      <c r="H549" s="2"/>
    </row>
    <row r="550">
      <c r="A550" s="1" t="s">
        <v>346</v>
      </c>
      <c r="B550" s="1"/>
      <c r="C550" s="1">
        <v>0.0</v>
      </c>
      <c r="D550" s="2"/>
      <c r="E550" s="2"/>
      <c r="F550" s="2"/>
      <c r="G550" s="2"/>
      <c r="H550" s="2"/>
    </row>
    <row r="551">
      <c r="A551" s="1" t="s">
        <v>347</v>
      </c>
      <c r="B551" s="1"/>
      <c r="C551" s="1">
        <v>0.0</v>
      </c>
      <c r="D551" s="2"/>
      <c r="E551" s="2"/>
      <c r="F551" s="2"/>
      <c r="G551" s="2"/>
      <c r="H551" s="2"/>
    </row>
    <row r="552">
      <c r="A552" s="1" t="s">
        <v>348</v>
      </c>
      <c r="B552" s="1"/>
      <c r="C552" s="1">
        <v>70.0</v>
      </c>
      <c r="D552" s="2"/>
      <c r="E552" s="2"/>
      <c r="F552" s="2"/>
      <c r="G552" s="2"/>
      <c r="H552" s="2"/>
    </row>
    <row r="553">
      <c r="A553" s="1" t="s">
        <v>349</v>
      </c>
      <c r="B553" s="1"/>
      <c r="C553" s="1">
        <v>0.0</v>
      </c>
      <c r="D553" s="2"/>
      <c r="E553" s="2"/>
      <c r="F553" s="2"/>
      <c r="G553" s="2"/>
      <c r="H553" s="2"/>
    </row>
    <row r="554">
      <c r="A554" s="1" t="s">
        <v>350</v>
      </c>
      <c r="B554" s="1"/>
      <c r="C554" s="1">
        <v>0.0</v>
      </c>
      <c r="D554" s="2"/>
      <c r="E554" s="2"/>
      <c r="F554" s="2"/>
      <c r="G554" s="2"/>
      <c r="H554" s="2"/>
    </row>
    <row r="555">
      <c r="A555" s="1" t="s">
        <v>351</v>
      </c>
      <c r="B555" s="1"/>
      <c r="C555" s="1">
        <v>44.0</v>
      </c>
      <c r="D555" s="2"/>
      <c r="E555" s="2"/>
      <c r="F555" s="2"/>
      <c r="G555" s="2"/>
      <c r="H555" s="2"/>
    </row>
    <row r="556">
      <c r="A556" s="1" t="s">
        <v>352</v>
      </c>
      <c r="B556" s="1"/>
      <c r="C556" s="1">
        <v>50.0</v>
      </c>
      <c r="D556" s="2"/>
      <c r="E556" s="2"/>
      <c r="F556" s="2"/>
      <c r="G556" s="2"/>
      <c r="H556" s="2"/>
    </row>
    <row r="557">
      <c r="A557" s="1" t="s">
        <v>353</v>
      </c>
      <c r="B557" s="1"/>
      <c r="C557" s="1">
        <v>0.0</v>
      </c>
      <c r="D557" s="2"/>
      <c r="E557" s="2"/>
      <c r="F557" s="2"/>
      <c r="G557" s="2"/>
      <c r="H557" s="2"/>
    </row>
    <row r="558">
      <c r="A558" s="1" t="s">
        <v>354</v>
      </c>
      <c r="B558" s="1"/>
      <c r="C558" s="1">
        <v>72.0</v>
      </c>
      <c r="D558" s="2"/>
      <c r="E558" s="2"/>
      <c r="F558" s="2"/>
      <c r="G558" s="2"/>
      <c r="H558" s="2"/>
    </row>
    <row r="559">
      <c r="A559" s="1" t="s">
        <v>355</v>
      </c>
      <c r="B559" s="1"/>
      <c r="C559" s="1">
        <v>6.0</v>
      </c>
      <c r="D559" s="2"/>
      <c r="E559" s="2"/>
      <c r="F559" s="2"/>
      <c r="G559" s="2"/>
      <c r="H559" s="2"/>
    </row>
    <row r="560">
      <c r="A560" s="1" t="s">
        <v>356</v>
      </c>
      <c r="B560" s="1"/>
      <c r="C560" s="1">
        <v>0.0</v>
      </c>
      <c r="D560" s="2"/>
      <c r="E560" s="2"/>
      <c r="F560" s="2"/>
      <c r="G560" s="2"/>
      <c r="H560" s="2"/>
    </row>
    <row r="561">
      <c r="A561" s="1" t="s">
        <v>357</v>
      </c>
      <c r="B561" s="1"/>
      <c r="C561" s="1">
        <v>0.0</v>
      </c>
      <c r="D561" s="2"/>
      <c r="E561" s="2"/>
      <c r="F561" s="2"/>
      <c r="G561" s="2"/>
      <c r="H561" s="2"/>
    </row>
    <row r="562">
      <c r="A562" s="1" t="s">
        <v>358</v>
      </c>
      <c r="B562" s="1"/>
      <c r="C562" s="1">
        <v>71.0</v>
      </c>
      <c r="D562" s="2"/>
      <c r="E562" s="2"/>
      <c r="F562" s="2"/>
      <c r="G562" s="2"/>
      <c r="H562" s="2"/>
    </row>
    <row r="563">
      <c r="A563" s="1" t="s">
        <v>359</v>
      </c>
      <c r="B563" s="1"/>
      <c r="C563" s="1">
        <v>25.0</v>
      </c>
      <c r="D563" s="2"/>
      <c r="E563" s="2"/>
      <c r="F563" s="2"/>
      <c r="G563" s="2"/>
      <c r="H563" s="2"/>
    </row>
    <row r="564">
      <c r="A564" s="1" t="s">
        <v>360</v>
      </c>
      <c r="B564" s="1"/>
      <c r="C564" s="1">
        <v>5.0</v>
      </c>
      <c r="D564" s="2"/>
      <c r="E564" s="2"/>
      <c r="F564" s="2"/>
      <c r="G564" s="2"/>
      <c r="H564" s="2"/>
    </row>
    <row r="565">
      <c r="A565" s="1" t="s">
        <v>361</v>
      </c>
      <c r="B565" s="1"/>
      <c r="C565" s="1">
        <v>0.0</v>
      </c>
      <c r="D565" s="2"/>
      <c r="E565" s="2"/>
      <c r="F565" s="2"/>
      <c r="G565" s="2"/>
      <c r="H565" s="2"/>
    </row>
    <row r="566">
      <c r="A566" s="1" t="s">
        <v>362</v>
      </c>
      <c r="B566" s="1"/>
      <c r="C566" s="1">
        <v>0.0</v>
      </c>
      <c r="D566" s="2"/>
      <c r="E566" s="2"/>
      <c r="F566" s="2"/>
      <c r="G566" s="2"/>
      <c r="H566" s="2"/>
    </row>
    <row r="567">
      <c r="A567" s="1" t="s">
        <v>363</v>
      </c>
      <c r="B567" s="1"/>
      <c r="C567" s="1">
        <v>0.0</v>
      </c>
      <c r="D567" s="2"/>
      <c r="E567" s="2"/>
      <c r="F567" s="2"/>
      <c r="G567" s="2"/>
      <c r="H567" s="2"/>
    </row>
    <row r="568">
      <c r="A568" s="1" t="s">
        <v>364</v>
      </c>
      <c r="B568" s="1"/>
      <c r="C568" s="1">
        <v>92.0</v>
      </c>
      <c r="D568" s="2"/>
      <c r="E568" s="2"/>
      <c r="F568" s="2"/>
      <c r="G568" s="2"/>
      <c r="H568" s="2"/>
    </row>
    <row r="569">
      <c r="A569" s="1" t="s">
        <v>365</v>
      </c>
      <c r="B569" s="1"/>
      <c r="C569" s="1">
        <v>0.0</v>
      </c>
      <c r="D569" s="2"/>
      <c r="E569" s="2"/>
      <c r="F569" s="2"/>
      <c r="G569" s="2"/>
      <c r="H569" s="2"/>
    </row>
    <row r="570">
      <c r="A570" s="1" t="s">
        <v>366</v>
      </c>
      <c r="B570" s="1"/>
      <c r="C570" s="1">
        <v>0.0</v>
      </c>
      <c r="D570" s="2"/>
      <c r="E570" s="2"/>
      <c r="F570" s="2"/>
      <c r="G570" s="2"/>
      <c r="H570" s="2"/>
    </row>
    <row r="571">
      <c r="A571" s="1" t="s">
        <v>367</v>
      </c>
      <c r="B571" s="1"/>
      <c r="C571" s="1">
        <v>0.0</v>
      </c>
      <c r="D571" s="2"/>
      <c r="E571" s="2"/>
      <c r="F571" s="2"/>
      <c r="G571" s="2"/>
      <c r="H571" s="2"/>
    </row>
    <row r="572">
      <c r="A572" s="1" t="s">
        <v>368</v>
      </c>
      <c r="B572" s="1"/>
      <c r="C572" s="1">
        <v>80.0</v>
      </c>
      <c r="D572" s="2"/>
      <c r="E572" s="2"/>
      <c r="F572" s="2"/>
      <c r="G572" s="2"/>
      <c r="H572" s="2"/>
    </row>
    <row r="573">
      <c r="A573" s="1" t="s">
        <v>369</v>
      </c>
      <c r="B573" s="1"/>
      <c r="C573" s="1">
        <v>0.0</v>
      </c>
      <c r="D573" s="2"/>
      <c r="E573" s="2"/>
      <c r="F573" s="2"/>
      <c r="G573" s="2"/>
      <c r="H573" s="2"/>
    </row>
    <row r="574">
      <c r="A574" s="1" t="s">
        <v>370</v>
      </c>
      <c r="B574" s="1"/>
      <c r="C574" s="1">
        <v>0.0</v>
      </c>
      <c r="D574" s="2"/>
      <c r="E574" s="2"/>
      <c r="F574" s="2"/>
      <c r="G574" s="2"/>
      <c r="H574" s="2"/>
    </row>
    <row r="575">
      <c r="A575" s="1" t="s">
        <v>371</v>
      </c>
      <c r="B575" s="1"/>
      <c r="C575" s="1">
        <v>52.0</v>
      </c>
      <c r="D575" s="2"/>
      <c r="E575" s="2"/>
      <c r="F575" s="2"/>
      <c r="G575" s="2"/>
      <c r="H575" s="2"/>
    </row>
    <row r="576">
      <c r="A576" s="1" t="s">
        <v>372</v>
      </c>
      <c r="B576" s="1"/>
      <c r="C576" s="1">
        <v>0.0</v>
      </c>
      <c r="D576" s="2"/>
      <c r="E576" s="2"/>
      <c r="F576" s="2"/>
      <c r="G576" s="2"/>
      <c r="H576" s="2"/>
    </row>
    <row r="577">
      <c r="A577" s="1" t="s">
        <v>373</v>
      </c>
      <c r="B577" s="1"/>
      <c r="C577" s="1">
        <v>0.0</v>
      </c>
      <c r="D577" s="2"/>
      <c r="E577" s="2"/>
      <c r="F577" s="2"/>
      <c r="G577" s="2"/>
      <c r="H577" s="2"/>
    </row>
    <row r="578">
      <c r="A578" s="1" t="s">
        <v>374</v>
      </c>
      <c r="B578" s="1"/>
      <c r="C578" s="1">
        <v>6.0</v>
      </c>
      <c r="D578" s="2"/>
      <c r="E578" s="2"/>
      <c r="F578" s="2"/>
      <c r="G578" s="2"/>
      <c r="H578" s="2"/>
    </row>
    <row r="579">
      <c r="A579" s="1" t="s">
        <v>375</v>
      </c>
      <c r="B579" s="1"/>
      <c r="C579" s="1">
        <v>35.0</v>
      </c>
      <c r="D579" s="2"/>
      <c r="E579" s="2"/>
      <c r="F579" s="2"/>
      <c r="G579" s="2"/>
      <c r="H579" s="2"/>
    </row>
    <row r="580">
      <c r="A580" s="1" t="s">
        <v>376</v>
      </c>
      <c r="B580" s="1"/>
      <c r="C580" s="1">
        <v>40.0</v>
      </c>
      <c r="D580" s="2"/>
      <c r="E580" s="2"/>
      <c r="F580" s="2"/>
      <c r="G580" s="2"/>
      <c r="H580" s="2"/>
    </row>
    <row r="581">
      <c r="A581" s="1" t="s">
        <v>377</v>
      </c>
      <c r="B581" s="1"/>
      <c r="C581" s="1">
        <v>75.0</v>
      </c>
      <c r="D581" s="2"/>
      <c r="E581" s="2"/>
      <c r="F581" s="2"/>
      <c r="G581" s="2"/>
      <c r="H581" s="2"/>
    </row>
    <row r="582">
      <c r="A582" s="1" t="s">
        <v>378</v>
      </c>
      <c r="B582" s="1"/>
      <c r="C582" s="1">
        <v>62.0</v>
      </c>
      <c r="D582" s="2"/>
      <c r="E582" s="2"/>
      <c r="F582" s="2"/>
      <c r="G582" s="2"/>
      <c r="H582" s="2"/>
    </row>
    <row r="583">
      <c r="A583" s="1" t="s">
        <v>379</v>
      </c>
      <c r="B583" s="1"/>
      <c r="C583" s="1">
        <v>0.0</v>
      </c>
      <c r="D583" s="2"/>
      <c r="E583" s="2"/>
      <c r="F583" s="2"/>
      <c r="G583" s="2"/>
      <c r="H583" s="2"/>
    </row>
    <row r="584">
      <c r="A584" s="1" t="s">
        <v>380</v>
      </c>
      <c r="B584" s="1"/>
      <c r="C584" s="1">
        <v>0.0</v>
      </c>
      <c r="D584" s="2"/>
      <c r="E584" s="2"/>
      <c r="F584" s="2"/>
      <c r="G584" s="2"/>
      <c r="H584" s="2"/>
    </row>
    <row r="585">
      <c r="A585" s="1" t="s">
        <v>381</v>
      </c>
      <c r="B585" s="1"/>
      <c r="C585" s="1">
        <v>14.0</v>
      </c>
      <c r="D585" s="2"/>
      <c r="E585" s="2"/>
      <c r="F585" s="2"/>
      <c r="G585" s="2"/>
      <c r="H585" s="2"/>
    </row>
    <row r="586">
      <c r="A586" s="1" t="s">
        <v>382</v>
      </c>
      <c r="B586" s="1"/>
      <c r="C586" s="1">
        <v>0.0</v>
      </c>
      <c r="D586" s="2"/>
      <c r="E586" s="2"/>
      <c r="F586" s="2"/>
      <c r="G586" s="2"/>
      <c r="H586" s="2"/>
    </row>
    <row r="587">
      <c r="A587" s="1" t="s">
        <v>383</v>
      </c>
      <c r="B587" s="1"/>
      <c r="C587" s="1">
        <v>0.0</v>
      </c>
      <c r="D587" s="2"/>
      <c r="E587" s="2"/>
      <c r="F587" s="2"/>
      <c r="G587" s="2"/>
      <c r="H587" s="2"/>
    </row>
    <row r="588">
      <c r="A588" s="1" t="s">
        <v>384</v>
      </c>
      <c r="B588" s="1"/>
      <c r="C588" s="1">
        <v>0.0</v>
      </c>
      <c r="D588" s="2"/>
      <c r="E588" s="2"/>
      <c r="F588" s="2"/>
      <c r="G588" s="2"/>
      <c r="H588" s="2"/>
    </row>
    <row r="589">
      <c r="A589" s="1" t="s">
        <v>385</v>
      </c>
      <c r="B589" s="1"/>
      <c r="C589" s="1">
        <v>20.0</v>
      </c>
      <c r="D589" s="2"/>
      <c r="E589" s="2"/>
      <c r="F589" s="2"/>
      <c r="G589" s="2"/>
      <c r="H589" s="2"/>
    </row>
    <row r="590">
      <c r="A590" s="1" t="s">
        <v>386</v>
      </c>
      <c r="B590" s="1"/>
      <c r="C590" s="1">
        <v>0.0</v>
      </c>
      <c r="D590" s="2"/>
      <c r="E590" s="2"/>
      <c r="F590" s="2"/>
      <c r="G590" s="2"/>
      <c r="H590" s="2"/>
    </row>
    <row r="591">
      <c r="A591" s="1" t="s">
        <v>387</v>
      </c>
      <c r="B591" s="1"/>
      <c r="C591" s="1">
        <v>0.0</v>
      </c>
      <c r="D591" s="2"/>
      <c r="E591" s="2"/>
      <c r="F591" s="2"/>
      <c r="G591" s="2"/>
      <c r="H591" s="2"/>
    </row>
    <row r="592">
      <c r="A592" s="1" t="s">
        <v>388</v>
      </c>
      <c r="B592" s="1"/>
      <c r="C592" s="1" t="s">
        <v>389</v>
      </c>
      <c r="D592" s="1">
        <v>37.0</v>
      </c>
      <c r="E592" s="2"/>
      <c r="F592" s="2"/>
      <c r="G592" s="2"/>
      <c r="H592" s="2"/>
    </row>
    <row r="593">
      <c r="A593" s="1" t="s">
        <v>390</v>
      </c>
      <c r="B593" s="1"/>
      <c r="C593" s="1">
        <v>0.0</v>
      </c>
      <c r="D593" s="2"/>
      <c r="E593" s="2"/>
      <c r="F593" s="2"/>
      <c r="G593" s="2"/>
      <c r="H593" s="2"/>
    </row>
    <row r="594">
      <c r="A594" s="1" t="s">
        <v>391</v>
      </c>
      <c r="B594" s="1"/>
      <c r="C594" s="1">
        <v>40.0</v>
      </c>
      <c r="D594" s="2"/>
      <c r="E594" s="2"/>
      <c r="F594" s="2"/>
      <c r="G594" s="2"/>
      <c r="H594" s="2"/>
    </row>
    <row r="595">
      <c r="A595" s="1" t="s">
        <v>392</v>
      </c>
      <c r="B595" s="1"/>
      <c r="C595" s="1">
        <v>45.0</v>
      </c>
      <c r="D595" s="2"/>
      <c r="E595" s="2"/>
      <c r="F595" s="2"/>
      <c r="G595" s="2"/>
      <c r="H595" s="2"/>
    </row>
    <row r="596">
      <c r="A596" s="1" t="s">
        <v>393</v>
      </c>
      <c r="B596" s="1"/>
      <c r="C596" s="1">
        <v>0.0</v>
      </c>
      <c r="D596" s="2"/>
      <c r="E596" s="2"/>
      <c r="F596" s="2"/>
      <c r="G596" s="2"/>
      <c r="H596" s="2"/>
    </row>
    <row r="597">
      <c r="A597" s="1" t="s">
        <v>394</v>
      </c>
      <c r="B597" s="1"/>
      <c r="C597" s="1">
        <v>0.0</v>
      </c>
      <c r="D597" s="2"/>
      <c r="E597" s="2"/>
      <c r="F597" s="2"/>
      <c r="G597" s="2"/>
      <c r="H597" s="2"/>
    </row>
    <row r="598">
      <c r="A598" s="1" t="s">
        <v>395</v>
      </c>
      <c r="B598" s="1"/>
      <c r="C598" s="1">
        <v>0.0</v>
      </c>
      <c r="D598" s="2"/>
      <c r="E598" s="2"/>
      <c r="F598" s="2"/>
      <c r="G598" s="2"/>
      <c r="H598" s="2"/>
    </row>
    <row r="599">
      <c r="A599" s="1" t="s">
        <v>396</v>
      </c>
      <c r="B599" s="1"/>
      <c r="C599" s="1">
        <v>0.0</v>
      </c>
      <c r="D599" s="2"/>
      <c r="E599" s="2"/>
      <c r="F599" s="2"/>
      <c r="G599" s="2"/>
      <c r="H599" s="2"/>
    </row>
    <row r="600">
      <c r="A600" s="1" t="s">
        <v>397</v>
      </c>
      <c r="B600" s="1"/>
      <c r="C600" s="1">
        <v>40.0</v>
      </c>
      <c r="D600" s="2"/>
      <c r="E600" s="2"/>
      <c r="F600" s="2"/>
      <c r="G600" s="2"/>
      <c r="H600" s="2"/>
    </row>
    <row r="601">
      <c r="A601" s="1" t="s">
        <v>398</v>
      </c>
      <c r="B601" s="1"/>
      <c r="C601" s="1">
        <v>0.0</v>
      </c>
      <c r="D601" s="2"/>
      <c r="E601" s="2"/>
      <c r="F601" s="2"/>
      <c r="G601" s="2"/>
      <c r="H601" s="2"/>
    </row>
    <row r="602">
      <c r="A602" s="1" t="s">
        <v>399</v>
      </c>
      <c r="B602" s="1"/>
      <c r="C602" s="1" t="s">
        <v>400</v>
      </c>
      <c r="D602" s="1">
        <v>0.0</v>
      </c>
      <c r="E602" s="2"/>
      <c r="F602" s="2"/>
      <c r="G602" s="2"/>
      <c r="H602" s="2"/>
    </row>
    <row r="603">
      <c r="A603" s="1" t="s">
        <v>401</v>
      </c>
      <c r="B603" s="1"/>
      <c r="C603" s="1">
        <v>0.0</v>
      </c>
      <c r="D603" s="2"/>
      <c r="E603" s="2"/>
      <c r="F603" s="2"/>
      <c r="G603" s="2"/>
      <c r="H603" s="2"/>
    </row>
    <row r="604">
      <c r="A604" s="1" t="s">
        <v>402</v>
      </c>
      <c r="B604" s="1"/>
      <c r="C604" s="1">
        <v>50.0</v>
      </c>
      <c r="D604" s="2"/>
      <c r="E604" s="2"/>
      <c r="F604" s="2"/>
      <c r="G604" s="2"/>
      <c r="H604" s="2"/>
    </row>
    <row r="605">
      <c r="A605" s="1" t="s">
        <v>403</v>
      </c>
      <c r="B605" s="1"/>
      <c r="C605" s="1">
        <v>0.0</v>
      </c>
      <c r="D605" s="2"/>
      <c r="E605" s="2"/>
      <c r="F605" s="2"/>
      <c r="G605" s="2"/>
      <c r="H605" s="2"/>
    </row>
    <row r="606">
      <c r="A606" s="1" t="s">
        <v>404</v>
      </c>
      <c r="B606" s="1"/>
      <c r="C606" s="1">
        <v>0.0</v>
      </c>
      <c r="D606" s="2"/>
      <c r="E606" s="2"/>
      <c r="F606" s="2"/>
      <c r="G606" s="2"/>
      <c r="H606" s="2"/>
    </row>
    <row r="607">
      <c r="A607" s="1" t="s">
        <v>405</v>
      </c>
      <c r="B607" s="1"/>
      <c r="C607" s="1">
        <v>0.0</v>
      </c>
      <c r="D607" s="2"/>
      <c r="E607" s="2"/>
      <c r="F607" s="2"/>
      <c r="G607" s="2"/>
      <c r="H607" s="2"/>
    </row>
    <row r="608">
      <c r="A608" s="1" t="s">
        <v>406</v>
      </c>
      <c r="B608" s="1"/>
      <c r="C608" s="1">
        <v>0.0</v>
      </c>
      <c r="D608" s="2"/>
      <c r="E608" s="2"/>
      <c r="F608" s="2"/>
      <c r="G608" s="2"/>
      <c r="H608" s="2"/>
    </row>
    <row r="609">
      <c r="A609" s="1" t="s">
        <v>407</v>
      </c>
      <c r="B609" s="1"/>
      <c r="C609" s="1">
        <v>0.0</v>
      </c>
      <c r="D609" s="2"/>
      <c r="E609" s="2"/>
      <c r="F609" s="2"/>
      <c r="G609" s="2"/>
      <c r="H609" s="2"/>
    </row>
    <row r="610">
      <c r="A610" s="1" t="s">
        <v>408</v>
      </c>
      <c r="B610" s="1"/>
      <c r="C610" s="1">
        <v>0.0</v>
      </c>
      <c r="D610" s="2"/>
      <c r="E610" s="2"/>
      <c r="F610" s="2"/>
      <c r="G610" s="2"/>
      <c r="H610" s="2"/>
    </row>
    <row r="611">
      <c r="A611" s="1" t="s">
        <v>409</v>
      </c>
      <c r="B611" s="1"/>
      <c r="C611" s="1">
        <v>0.0</v>
      </c>
      <c r="D611" s="2"/>
      <c r="E611" s="2"/>
      <c r="F611" s="2"/>
      <c r="G611" s="2"/>
      <c r="H611" s="2"/>
    </row>
    <row r="612">
      <c r="A612" s="1" t="s">
        <v>410</v>
      </c>
      <c r="B612" s="1"/>
      <c r="C612" s="1">
        <v>70.0</v>
      </c>
      <c r="D612" s="2"/>
      <c r="E612" s="2"/>
      <c r="F612" s="2"/>
      <c r="G612" s="2"/>
      <c r="H612" s="2"/>
    </row>
    <row r="613">
      <c r="A613" s="1" t="s">
        <v>411</v>
      </c>
      <c r="B613" s="1"/>
      <c r="C613" s="1">
        <v>0.0</v>
      </c>
      <c r="D613" s="2"/>
      <c r="E613" s="2"/>
      <c r="F613" s="2"/>
      <c r="G613" s="2"/>
      <c r="H613" s="2"/>
    </row>
    <row r="614">
      <c r="A614" s="1" t="s">
        <v>412</v>
      </c>
      <c r="B614" s="1"/>
      <c r="C614" s="1">
        <v>58.0</v>
      </c>
      <c r="D614" s="2"/>
      <c r="E614" s="2"/>
      <c r="F614" s="2"/>
      <c r="G614" s="2"/>
      <c r="H614" s="2"/>
    </row>
    <row r="615">
      <c r="A615" s="1" t="s">
        <v>413</v>
      </c>
      <c r="B615" s="1"/>
      <c r="C615" s="1">
        <v>70.0</v>
      </c>
      <c r="D615" s="2"/>
      <c r="E615" s="2"/>
      <c r="F615" s="2"/>
      <c r="G615" s="2"/>
      <c r="H615" s="2"/>
    </row>
    <row r="616">
      <c r="A616" s="1" t="s">
        <v>414</v>
      </c>
      <c r="B616" s="1"/>
      <c r="C616" s="1">
        <v>0.0</v>
      </c>
      <c r="D616" s="2"/>
      <c r="E616" s="2"/>
      <c r="F616" s="2"/>
      <c r="G616" s="2"/>
      <c r="H616" s="2"/>
    </row>
    <row r="617">
      <c r="A617" s="1" t="s">
        <v>415</v>
      </c>
      <c r="B617" s="1"/>
      <c r="C617" s="1">
        <v>0.0</v>
      </c>
      <c r="D617" s="2"/>
      <c r="E617" s="2"/>
      <c r="F617" s="2"/>
      <c r="G617" s="2"/>
      <c r="H617" s="2"/>
    </row>
    <row r="618">
      <c r="A618" s="1" t="s">
        <v>416</v>
      </c>
      <c r="B618" s="1"/>
      <c r="C618" s="1">
        <v>21.0</v>
      </c>
      <c r="D618" s="2"/>
      <c r="E618" s="2"/>
      <c r="F618" s="2"/>
      <c r="G618" s="2"/>
      <c r="H618" s="2"/>
    </row>
    <row r="619">
      <c r="A619" s="1" t="s">
        <v>417</v>
      </c>
      <c r="B619" s="1"/>
      <c r="C619" s="1">
        <v>0.0</v>
      </c>
      <c r="D619" s="2"/>
      <c r="E619" s="2"/>
      <c r="F619" s="2"/>
      <c r="G619" s="2"/>
      <c r="H619" s="2"/>
    </row>
    <row r="620">
      <c r="A620" s="1" t="s">
        <v>418</v>
      </c>
      <c r="B620" s="1"/>
      <c r="C620" s="1">
        <v>0.0</v>
      </c>
      <c r="D620" s="2"/>
      <c r="E620" s="2"/>
      <c r="F620" s="2"/>
      <c r="G620" s="2"/>
      <c r="H620" s="2"/>
    </row>
    <row r="621">
      <c r="A621" s="1" t="s">
        <v>419</v>
      </c>
      <c r="B621" s="1"/>
      <c r="C621" s="1">
        <v>0.0</v>
      </c>
      <c r="D621" s="2"/>
      <c r="E621" s="2"/>
      <c r="F621" s="2"/>
      <c r="G621" s="2"/>
      <c r="H621" s="2"/>
    </row>
    <row r="622">
      <c r="A622" s="1" t="s">
        <v>420</v>
      </c>
      <c r="B622" s="1"/>
      <c r="C622" s="1">
        <v>0.0</v>
      </c>
      <c r="D622" s="2"/>
      <c r="E622" s="2"/>
      <c r="F622" s="2"/>
      <c r="G622" s="2"/>
      <c r="H622" s="2"/>
    </row>
    <row r="623">
      <c r="A623" s="1" t="s">
        <v>421</v>
      </c>
      <c r="B623" s="1"/>
      <c r="C623" s="1">
        <v>0.0</v>
      </c>
      <c r="D623" s="2"/>
      <c r="E623" s="2"/>
      <c r="F623" s="2"/>
      <c r="G623" s="2"/>
      <c r="H623" s="2"/>
    </row>
    <row r="624">
      <c r="A624" s="1" t="s">
        <v>422</v>
      </c>
      <c r="B624" s="1"/>
      <c r="C624" s="1">
        <v>0.0</v>
      </c>
      <c r="D624" s="2"/>
      <c r="E624" s="2"/>
      <c r="F624" s="2"/>
      <c r="G624" s="2"/>
      <c r="H624" s="2"/>
    </row>
    <row r="625">
      <c r="A625" s="1" t="s">
        <v>423</v>
      </c>
      <c r="B625" s="1"/>
      <c r="C625" s="1">
        <v>0.0</v>
      </c>
      <c r="D625" s="2"/>
      <c r="E625" s="2"/>
      <c r="F625" s="2"/>
      <c r="G625" s="2"/>
      <c r="H625" s="2"/>
    </row>
    <row r="626">
      <c r="A626" s="1" t="s">
        <v>424</v>
      </c>
      <c r="B626" s="1"/>
      <c r="C626" s="1">
        <v>0.0</v>
      </c>
      <c r="D626" s="2"/>
      <c r="E626" s="2"/>
      <c r="F626" s="2"/>
      <c r="G626" s="2"/>
      <c r="H626" s="2"/>
    </row>
    <row r="627">
      <c r="A627" s="1" t="s">
        <v>425</v>
      </c>
      <c r="B627" s="1"/>
      <c r="C627" s="1">
        <v>0.0</v>
      </c>
      <c r="D627" s="2"/>
      <c r="E627" s="2"/>
      <c r="F627" s="2"/>
      <c r="G627" s="2"/>
      <c r="H627" s="2"/>
    </row>
    <row r="628">
      <c r="A628" s="1" t="s">
        <v>426</v>
      </c>
      <c r="B628" s="1"/>
      <c r="C628" s="1">
        <v>0.0</v>
      </c>
      <c r="D628" s="2"/>
      <c r="E628" s="2"/>
      <c r="F628" s="2"/>
      <c r="G628" s="2"/>
      <c r="H628" s="2"/>
    </row>
    <row r="629">
      <c r="A629" s="1" t="s">
        <v>427</v>
      </c>
      <c r="B629" s="1"/>
      <c r="C629" s="1">
        <v>0.0</v>
      </c>
      <c r="D629" s="2"/>
      <c r="E629" s="2"/>
      <c r="F629" s="2"/>
      <c r="G629" s="2"/>
      <c r="H629" s="2"/>
    </row>
    <row r="630">
      <c r="A630" s="1" t="s">
        <v>428</v>
      </c>
      <c r="B630" s="1"/>
      <c r="C630" s="1">
        <v>0.0</v>
      </c>
      <c r="D630" s="2"/>
      <c r="E630" s="2"/>
      <c r="F630" s="2"/>
      <c r="G630" s="2"/>
      <c r="H630" s="2"/>
    </row>
    <row r="631">
      <c r="A631" s="1" t="s">
        <v>429</v>
      </c>
      <c r="B631" s="1"/>
      <c r="C631" s="1">
        <v>50.0</v>
      </c>
      <c r="D631" s="2"/>
      <c r="E631" s="2"/>
      <c r="F631" s="2"/>
      <c r="G631" s="2"/>
      <c r="H631" s="2"/>
    </row>
    <row r="632">
      <c r="A632" s="1" t="s">
        <v>430</v>
      </c>
      <c r="B632" s="1"/>
      <c r="C632" s="1">
        <v>0.0</v>
      </c>
      <c r="D632" s="2"/>
      <c r="E632" s="2"/>
      <c r="F632" s="2"/>
      <c r="G632" s="2"/>
      <c r="H632" s="2"/>
    </row>
    <row r="633">
      <c r="A633" s="1" t="s">
        <v>360</v>
      </c>
      <c r="B633" s="1"/>
      <c r="C633" s="1">
        <v>5.0</v>
      </c>
      <c r="D633" s="2"/>
      <c r="E633" s="2"/>
      <c r="F633" s="2"/>
      <c r="G633" s="2"/>
      <c r="H633" s="2"/>
    </row>
    <row r="634">
      <c r="A634" s="1" t="s">
        <v>361</v>
      </c>
      <c r="B634" s="1"/>
      <c r="C634" s="1">
        <v>0.0</v>
      </c>
      <c r="D634" s="2"/>
      <c r="E634" s="2"/>
      <c r="F634" s="2"/>
      <c r="G634" s="2"/>
      <c r="H634" s="2"/>
    </row>
    <row r="635">
      <c r="A635" s="1" t="s">
        <v>362</v>
      </c>
      <c r="B635" s="1"/>
      <c r="C635" s="1">
        <v>0.0</v>
      </c>
      <c r="D635" s="2"/>
      <c r="E635" s="2"/>
      <c r="F635" s="2"/>
      <c r="G635" s="2"/>
      <c r="H635" s="2"/>
    </row>
    <row r="636">
      <c r="A636" s="1" t="s">
        <v>363</v>
      </c>
      <c r="B636" s="1"/>
      <c r="C636" s="1">
        <v>0.0</v>
      </c>
      <c r="D636" s="2"/>
      <c r="E636" s="2"/>
      <c r="F636" s="2"/>
      <c r="G636" s="2"/>
      <c r="H636" s="2"/>
    </row>
    <row r="637">
      <c r="A637" s="1" t="s">
        <v>364</v>
      </c>
      <c r="B637" s="1"/>
      <c r="C637" s="1">
        <v>92.0</v>
      </c>
      <c r="D637" s="2"/>
      <c r="E637" s="2"/>
      <c r="F637" s="2"/>
      <c r="G637" s="2"/>
      <c r="H637" s="2"/>
    </row>
    <row r="638">
      <c r="A638" s="1" t="s">
        <v>365</v>
      </c>
      <c r="B638" s="1"/>
      <c r="C638" s="1">
        <v>0.0</v>
      </c>
      <c r="D638" s="2"/>
      <c r="E638" s="2"/>
      <c r="F638" s="2"/>
      <c r="G638" s="2"/>
      <c r="H638" s="2"/>
    </row>
    <row r="639">
      <c r="A639" s="1" t="s">
        <v>366</v>
      </c>
      <c r="B639" s="1"/>
      <c r="C639" s="1">
        <v>0.0</v>
      </c>
      <c r="D639" s="2"/>
      <c r="E639" s="2"/>
      <c r="F639" s="2"/>
      <c r="G639" s="2"/>
      <c r="H639" s="2"/>
    </row>
    <row r="640">
      <c r="A640" s="1" t="s">
        <v>367</v>
      </c>
      <c r="B640" s="1"/>
      <c r="C640" s="1">
        <v>0.0</v>
      </c>
      <c r="D640" s="2"/>
      <c r="E640" s="2"/>
      <c r="F640" s="2"/>
      <c r="G640" s="2"/>
      <c r="H640" s="2"/>
    </row>
    <row r="641">
      <c r="A641" s="1" t="s">
        <v>368</v>
      </c>
      <c r="B641" s="1"/>
      <c r="C641" s="1">
        <v>80.0</v>
      </c>
      <c r="D641" s="2"/>
      <c r="E641" s="2"/>
      <c r="F641" s="2"/>
      <c r="G641" s="2"/>
      <c r="H641" s="2"/>
    </row>
    <row r="642">
      <c r="A642" s="1" t="s">
        <v>369</v>
      </c>
      <c r="B642" s="1"/>
      <c r="C642" s="1">
        <v>0.0</v>
      </c>
      <c r="D642" s="2"/>
      <c r="E642" s="2"/>
      <c r="F642" s="2"/>
      <c r="G642" s="2"/>
      <c r="H642" s="2"/>
    </row>
    <row r="643">
      <c r="A643" s="1" t="s">
        <v>370</v>
      </c>
      <c r="B643" s="1"/>
      <c r="C643" s="1">
        <v>0.0</v>
      </c>
      <c r="D643" s="2"/>
      <c r="E643" s="2"/>
      <c r="F643" s="2"/>
      <c r="G643" s="2"/>
      <c r="H643" s="2"/>
    </row>
    <row r="644">
      <c r="A644" s="1" t="s">
        <v>371</v>
      </c>
      <c r="B644" s="1"/>
      <c r="C644" s="1">
        <v>52.0</v>
      </c>
      <c r="D644" s="2"/>
      <c r="E644" s="2"/>
      <c r="F644" s="2"/>
      <c r="G644" s="2"/>
      <c r="H644" s="2"/>
    </row>
    <row r="645">
      <c r="A645" s="1" t="s">
        <v>372</v>
      </c>
      <c r="B645" s="1"/>
      <c r="C645" s="1">
        <v>0.0</v>
      </c>
      <c r="D645" s="2"/>
      <c r="E645" s="2"/>
      <c r="F645" s="2"/>
      <c r="G645" s="2"/>
      <c r="H645" s="2"/>
    </row>
    <row r="646">
      <c r="A646" s="1" t="s">
        <v>373</v>
      </c>
      <c r="B646" s="1"/>
      <c r="C646" s="1">
        <v>0.0</v>
      </c>
      <c r="D646" s="2"/>
      <c r="E646" s="2"/>
      <c r="F646" s="2"/>
      <c r="G646" s="2"/>
      <c r="H646" s="2"/>
    </row>
    <row r="647">
      <c r="A647" s="1" t="s">
        <v>374</v>
      </c>
      <c r="B647" s="1"/>
      <c r="C647" s="1">
        <v>6.0</v>
      </c>
      <c r="D647" s="2"/>
      <c r="E647" s="2"/>
      <c r="F647" s="2"/>
      <c r="G647" s="2"/>
      <c r="H647" s="2"/>
    </row>
    <row r="648">
      <c r="A648" s="1" t="s">
        <v>375</v>
      </c>
      <c r="B648" s="1"/>
      <c r="C648" s="1">
        <v>35.0</v>
      </c>
      <c r="D648" s="2"/>
      <c r="E648" s="2"/>
      <c r="F648" s="2"/>
      <c r="G648" s="2"/>
      <c r="H648" s="2"/>
    </row>
    <row r="649">
      <c r="A649" s="1" t="s">
        <v>376</v>
      </c>
      <c r="B649" s="1"/>
      <c r="C649" s="1">
        <v>40.0</v>
      </c>
      <c r="D649" s="2"/>
      <c r="E649" s="2"/>
      <c r="F649" s="2"/>
      <c r="G649" s="2"/>
      <c r="H649" s="2"/>
    </row>
    <row r="650">
      <c r="A650" s="1" t="s">
        <v>377</v>
      </c>
      <c r="B650" s="1"/>
      <c r="C650" s="1">
        <v>75.0</v>
      </c>
      <c r="D650" s="2"/>
      <c r="E650" s="2"/>
      <c r="F650" s="2"/>
      <c r="G650" s="2"/>
      <c r="H650" s="2"/>
    </row>
    <row r="651">
      <c r="A651" s="1" t="s">
        <v>378</v>
      </c>
      <c r="B651" s="1"/>
      <c r="C651" s="1">
        <v>62.0</v>
      </c>
      <c r="D651" s="2"/>
      <c r="E651" s="2"/>
      <c r="F651" s="2"/>
      <c r="G651" s="2"/>
      <c r="H651" s="2"/>
    </row>
    <row r="652">
      <c r="A652" s="1" t="s">
        <v>379</v>
      </c>
      <c r="B652" s="1"/>
      <c r="C652" s="1">
        <v>0.0</v>
      </c>
      <c r="D652" s="2"/>
      <c r="E652" s="2"/>
      <c r="F652" s="2"/>
      <c r="G652" s="2"/>
      <c r="H652" s="2"/>
    </row>
    <row r="653">
      <c r="A653" s="1" t="s">
        <v>380</v>
      </c>
      <c r="B653" s="1"/>
      <c r="C653" s="1">
        <v>0.0</v>
      </c>
      <c r="D653" s="2"/>
      <c r="E653" s="2"/>
      <c r="F653" s="2"/>
      <c r="G653" s="2"/>
      <c r="H653" s="2"/>
    </row>
    <row r="654">
      <c r="A654" s="1" t="s">
        <v>381</v>
      </c>
      <c r="B654" s="1"/>
      <c r="C654" s="1">
        <v>14.0</v>
      </c>
      <c r="D654" s="2"/>
      <c r="E654" s="2"/>
      <c r="F654" s="2"/>
      <c r="G654" s="2"/>
      <c r="H654" s="2"/>
    </row>
    <row r="655">
      <c r="A655" s="1" t="s">
        <v>382</v>
      </c>
      <c r="B655" s="1"/>
      <c r="C655" s="1">
        <v>0.0</v>
      </c>
      <c r="D655" s="2"/>
      <c r="E655" s="2"/>
      <c r="F655" s="2"/>
      <c r="G655" s="2"/>
      <c r="H655" s="2"/>
    </row>
    <row r="656">
      <c r="A656" s="1" t="s">
        <v>383</v>
      </c>
      <c r="B656" s="1"/>
      <c r="C656" s="1">
        <v>0.0</v>
      </c>
      <c r="D656" s="2"/>
      <c r="E656" s="2"/>
      <c r="F656" s="2"/>
      <c r="G656" s="2"/>
      <c r="H656" s="2"/>
    </row>
    <row r="657">
      <c r="A657" s="1" t="s">
        <v>384</v>
      </c>
      <c r="B657" s="1"/>
      <c r="C657" s="1">
        <v>0.0</v>
      </c>
      <c r="D657" s="2"/>
      <c r="E657" s="2"/>
      <c r="F657" s="2"/>
      <c r="G657" s="2"/>
      <c r="H657" s="2"/>
    </row>
    <row r="658">
      <c r="A658" s="1" t="s">
        <v>385</v>
      </c>
      <c r="B658" s="1"/>
      <c r="C658" s="1">
        <v>20.0</v>
      </c>
      <c r="D658" s="2"/>
      <c r="E658" s="2"/>
      <c r="F658" s="2"/>
      <c r="G658" s="2"/>
      <c r="H658" s="2"/>
    </row>
    <row r="659">
      <c r="A659" s="1" t="s">
        <v>386</v>
      </c>
      <c r="B659" s="1"/>
      <c r="C659" s="1">
        <v>0.0</v>
      </c>
      <c r="D659" s="2"/>
      <c r="E659" s="2"/>
      <c r="F659" s="2"/>
      <c r="G659" s="2"/>
      <c r="H659" s="2"/>
    </row>
    <row r="660">
      <c r="A660" s="1" t="s">
        <v>387</v>
      </c>
      <c r="B660" s="1"/>
      <c r="C660" s="1">
        <v>0.0</v>
      </c>
      <c r="D660" s="2"/>
      <c r="E660" s="2"/>
      <c r="F660" s="2"/>
      <c r="G660" s="2"/>
      <c r="H660" s="2"/>
    </row>
    <row r="661">
      <c r="A661" s="1" t="s">
        <v>388</v>
      </c>
      <c r="B661" s="1"/>
      <c r="C661" s="1" t="s">
        <v>389</v>
      </c>
      <c r="D661" s="1">
        <v>37.0</v>
      </c>
      <c r="E661" s="2"/>
      <c r="F661" s="2"/>
      <c r="G661" s="2"/>
      <c r="H661" s="2"/>
    </row>
    <row r="662">
      <c r="A662" s="1" t="s">
        <v>390</v>
      </c>
      <c r="B662" s="1"/>
      <c r="C662" s="1">
        <v>0.0</v>
      </c>
      <c r="D662" s="2"/>
      <c r="E662" s="2"/>
      <c r="F662" s="2"/>
      <c r="G662" s="2"/>
      <c r="H662" s="2"/>
    </row>
    <row r="663">
      <c r="A663" s="1" t="s">
        <v>391</v>
      </c>
      <c r="B663" s="1"/>
      <c r="C663" s="1">
        <v>40.0</v>
      </c>
      <c r="D663" s="2"/>
      <c r="E663" s="2"/>
      <c r="F663" s="2"/>
      <c r="G663" s="2"/>
      <c r="H663" s="2"/>
    </row>
    <row r="664">
      <c r="A664" s="1" t="s">
        <v>392</v>
      </c>
      <c r="B664" s="1"/>
      <c r="C664" s="1">
        <v>45.0</v>
      </c>
      <c r="D664" s="2"/>
      <c r="E664" s="2"/>
      <c r="F664" s="2"/>
      <c r="G664" s="2"/>
      <c r="H664" s="2"/>
    </row>
    <row r="665">
      <c r="A665" s="1" t="s">
        <v>393</v>
      </c>
      <c r="B665" s="1"/>
      <c r="C665" s="1">
        <v>0.0</v>
      </c>
      <c r="D665" s="2"/>
      <c r="E665" s="2"/>
      <c r="F665" s="2"/>
      <c r="G665" s="2"/>
      <c r="H665" s="2"/>
    </row>
    <row r="666">
      <c r="A666" s="1" t="s">
        <v>394</v>
      </c>
      <c r="B666" s="1"/>
      <c r="C666" s="1">
        <v>0.0</v>
      </c>
      <c r="D666" s="2"/>
      <c r="E666" s="2"/>
      <c r="F666" s="2"/>
      <c r="G666" s="2"/>
      <c r="H666" s="2"/>
    </row>
    <row r="667">
      <c r="A667" s="1" t="s">
        <v>395</v>
      </c>
      <c r="B667" s="1"/>
      <c r="C667" s="1">
        <v>0.0</v>
      </c>
      <c r="D667" s="2"/>
      <c r="E667" s="2"/>
      <c r="F667" s="2"/>
      <c r="G667" s="2"/>
      <c r="H667" s="2"/>
    </row>
    <row r="668">
      <c r="A668" s="1" t="s">
        <v>396</v>
      </c>
      <c r="B668" s="1"/>
      <c r="C668" s="1">
        <v>0.0</v>
      </c>
      <c r="D668" s="2"/>
      <c r="E668" s="2"/>
      <c r="F668" s="2"/>
      <c r="G668" s="2"/>
      <c r="H668" s="2"/>
    </row>
    <row r="669">
      <c r="A669" s="1" t="s">
        <v>397</v>
      </c>
      <c r="B669" s="1"/>
      <c r="C669" s="1">
        <v>40.0</v>
      </c>
      <c r="D669" s="2"/>
      <c r="E669" s="2"/>
      <c r="F669" s="2"/>
      <c r="G669" s="2"/>
      <c r="H669" s="2"/>
    </row>
    <row r="670">
      <c r="A670" s="1" t="s">
        <v>398</v>
      </c>
      <c r="B670" s="1"/>
      <c r="C670" s="1">
        <v>0.0</v>
      </c>
      <c r="D670" s="2"/>
      <c r="E670" s="2"/>
      <c r="F670" s="2"/>
      <c r="G670" s="2"/>
      <c r="H670" s="2"/>
    </row>
    <row r="671">
      <c r="A671" s="1" t="s">
        <v>399</v>
      </c>
      <c r="B671" s="1"/>
      <c r="C671" s="1" t="s">
        <v>400</v>
      </c>
      <c r="D671" s="1">
        <v>0.0</v>
      </c>
      <c r="E671" s="2"/>
      <c r="F671" s="2"/>
      <c r="G671" s="2"/>
      <c r="H671" s="2"/>
    </row>
    <row r="672">
      <c r="A672" s="1" t="s">
        <v>401</v>
      </c>
      <c r="B672" s="1"/>
      <c r="C672" s="1">
        <v>0.0</v>
      </c>
      <c r="D672" s="2"/>
      <c r="E672" s="2"/>
      <c r="F672" s="2"/>
      <c r="G672" s="2"/>
      <c r="H672" s="2"/>
    </row>
    <row r="673">
      <c r="A673" s="1" t="s">
        <v>402</v>
      </c>
      <c r="B673" s="1"/>
      <c r="C673" s="1">
        <v>50.0</v>
      </c>
      <c r="D673" s="2"/>
      <c r="E673" s="2"/>
      <c r="F673" s="2"/>
      <c r="G673" s="2"/>
      <c r="H673" s="2"/>
    </row>
    <row r="674">
      <c r="A674" s="1" t="s">
        <v>403</v>
      </c>
      <c r="B674" s="1"/>
      <c r="C674" s="1">
        <v>0.0</v>
      </c>
      <c r="D674" s="2"/>
      <c r="E674" s="2"/>
      <c r="F674" s="2"/>
      <c r="G674" s="2"/>
      <c r="H674" s="2"/>
    </row>
    <row r="675">
      <c r="A675" s="1" t="s">
        <v>404</v>
      </c>
      <c r="B675" s="1"/>
      <c r="C675" s="1">
        <v>0.0</v>
      </c>
      <c r="D675" s="2"/>
      <c r="E675" s="2"/>
      <c r="F675" s="2"/>
      <c r="G675" s="2"/>
      <c r="H675" s="2"/>
    </row>
    <row r="676">
      <c r="A676" s="1" t="s">
        <v>405</v>
      </c>
      <c r="B676" s="1"/>
      <c r="C676" s="1">
        <v>0.0</v>
      </c>
      <c r="D676" s="2"/>
      <c r="E676" s="2"/>
      <c r="F676" s="2"/>
      <c r="G676" s="2"/>
      <c r="H676" s="2"/>
    </row>
    <row r="677">
      <c r="A677" s="1" t="s">
        <v>406</v>
      </c>
      <c r="B677" s="1"/>
      <c r="C677" s="1">
        <v>0.0</v>
      </c>
      <c r="D677" s="2"/>
      <c r="E677" s="2"/>
      <c r="F677" s="2"/>
      <c r="G677" s="2"/>
      <c r="H677" s="2"/>
    </row>
    <row r="678">
      <c r="A678" s="1" t="s">
        <v>407</v>
      </c>
      <c r="B678" s="1"/>
      <c r="C678" s="1">
        <v>0.0</v>
      </c>
      <c r="D678" s="2"/>
      <c r="E678" s="2"/>
      <c r="F678" s="2"/>
      <c r="G678" s="2"/>
      <c r="H678" s="2"/>
    </row>
    <row r="679">
      <c r="A679" s="1" t="s">
        <v>408</v>
      </c>
      <c r="B679" s="1"/>
      <c r="C679" s="1">
        <v>0.0</v>
      </c>
      <c r="D679" s="2"/>
      <c r="E679" s="2"/>
      <c r="F679" s="2"/>
      <c r="G679" s="2"/>
      <c r="H679" s="2"/>
    </row>
    <row r="680">
      <c r="A680" s="1" t="s">
        <v>409</v>
      </c>
      <c r="B680" s="1"/>
      <c r="C680" s="1">
        <v>0.0</v>
      </c>
      <c r="D680" s="2"/>
      <c r="E680" s="2"/>
      <c r="F680" s="2"/>
      <c r="G680" s="2"/>
      <c r="H680" s="2"/>
    </row>
    <row r="681">
      <c r="A681" s="1" t="s">
        <v>410</v>
      </c>
      <c r="B681" s="1"/>
      <c r="C681" s="1">
        <v>70.0</v>
      </c>
      <c r="D681" s="2"/>
      <c r="E681" s="2"/>
      <c r="F681" s="2"/>
      <c r="G681" s="2"/>
      <c r="H681" s="2"/>
    </row>
    <row r="682">
      <c r="A682" s="1" t="s">
        <v>411</v>
      </c>
      <c r="B682" s="1"/>
      <c r="C682" s="1">
        <v>0.0</v>
      </c>
      <c r="D682" s="2"/>
      <c r="E682" s="2"/>
      <c r="F682" s="2"/>
      <c r="G682" s="2"/>
      <c r="H682" s="2"/>
    </row>
    <row r="683">
      <c r="A683" s="1" t="s">
        <v>412</v>
      </c>
      <c r="B683" s="1"/>
      <c r="C683" s="1">
        <v>58.0</v>
      </c>
      <c r="D683" s="2"/>
      <c r="E683" s="2"/>
      <c r="F683" s="2"/>
      <c r="G683" s="2"/>
      <c r="H683" s="2"/>
    </row>
    <row r="684">
      <c r="A684" s="1" t="s">
        <v>413</v>
      </c>
      <c r="B684" s="1"/>
      <c r="C684" s="1">
        <v>70.0</v>
      </c>
      <c r="D684" s="2"/>
      <c r="E684" s="2"/>
      <c r="F684" s="2"/>
      <c r="G684" s="2"/>
      <c r="H684" s="2"/>
    </row>
    <row r="685">
      <c r="A685" s="1" t="s">
        <v>414</v>
      </c>
      <c r="B685" s="1"/>
      <c r="C685" s="1">
        <v>0.0</v>
      </c>
      <c r="D685" s="2"/>
      <c r="E685" s="2"/>
      <c r="F685" s="2"/>
      <c r="G685" s="2"/>
      <c r="H685" s="2"/>
    </row>
    <row r="686">
      <c r="A686" s="1" t="s">
        <v>415</v>
      </c>
      <c r="B686" s="1"/>
      <c r="C686" s="1">
        <v>0.0</v>
      </c>
      <c r="D686" s="2"/>
      <c r="E686" s="2"/>
      <c r="F686" s="2"/>
      <c r="G686" s="2"/>
      <c r="H686" s="2"/>
    </row>
    <row r="687">
      <c r="A687" s="1" t="s">
        <v>416</v>
      </c>
      <c r="B687" s="1"/>
      <c r="C687" s="1">
        <v>21.0</v>
      </c>
      <c r="D687" s="2"/>
      <c r="E687" s="2"/>
      <c r="F687" s="2"/>
      <c r="G687" s="2"/>
      <c r="H687" s="2"/>
    </row>
    <row r="688">
      <c r="A688" s="1" t="s">
        <v>417</v>
      </c>
      <c r="B688" s="1"/>
      <c r="C688" s="1">
        <v>0.0</v>
      </c>
      <c r="D688" s="2"/>
      <c r="E688" s="2"/>
      <c r="F688" s="2"/>
      <c r="G688" s="2"/>
      <c r="H688" s="2"/>
    </row>
    <row r="689">
      <c r="A689" s="1" t="s">
        <v>418</v>
      </c>
      <c r="B689" s="1"/>
      <c r="C689" s="1">
        <v>0.0</v>
      </c>
      <c r="D689" s="2"/>
      <c r="E689" s="2"/>
      <c r="F689" s="2"/>
      <c r="G689" s="2"/>
      <c r="H689" s="2"/>
    </row>
    <row r="690">
      <c r="A690" s="1" t="s">
        <v>419</v>
      </c>
      <c r="B690" s="1"/>
      <c r="C690" s="1">
        <v>0.0</v>
      </c>
      <c r="D690" s="2"/>
      <c r="E690" s="2"/>
      <c r="F690" s="2"/>
      <c r="G690" s="2"/>
      <c r="H690" s="2"/>
    </row>
    <row r="691">
      <c r="A691" s="1" t="s">
        <v>420</v>
      </c>
      <c r="B691" s="1"/>
      <c r="C691" s="1">
        <v>0.0</v>
      </c>
      <c r="D691" s="2"/>
      <c r="E691" s="2"/>
      <c r="F691" s="2"/>
      <c r="G691" s="2"/>
      <c r="H691" s="2"/>
    </row>
    <row r="692">
      <c r="A692" s="1" t="s">
        <v>421</v>
      </c>
      <c r="B692" s="1"/>
      <c r="C692" s="1">
        <v>0.0</v>
      </c>
      <c r="D692" s="2"/>
      <c r="E692" s="2"/>
      <c r="F692" s="2"/>
      <c r="G692" s="2"/>
      <c r="H692" s="2"/>
    </row>
    <row r="693">
      <c r="A693" s="1" t="s">
        <v>422</v>
      </c>
      <c r="B693" s="1"/>
      <c r="C693" s="1">
        <v>0.0</v>
      </c>
      <c r="D693" s="2"/>
      <c r="E693" s="2"/>
      <c r="F693" s="2"/>
      <c r="G693" s="2"/>
      <c r="H693" s="2"/>
    </row>
    <row r="694">
      <c r="A694" s="1" t="s">
        <v>423</v>
      </c>
      <c r="B694" s="1"/>
      <c r="C694" s="1">
        <v>0.0</v>
      </c>
      <c r="D694" s="2"/>
      <c r="E694" s="2"/>
      <c r="F694" s="2"/>
      <c r="G694" s="2"/>
      <c r="H694" s="2"/>
    </row>
    <row r="695">
      <c r="A695" s="1" t="s">
        <v>424</v>
      </c>
      <c r="B695" s="1"/>
      <c r="C695" s="1">
        <v>0.0</v>
      </c>
      <c r="D695" s="2"/>
      <c r="E695" s="2"/>
      <c r="F695" s="2"/>
      <c r="G695" s="2"/>
      <c r="H695" s="2"/>
    </row>
    <row r="696">
      <c r="A696" s="1" t="s">
        <v>425</v>
      </c>
      <c r="B696" s="1"/>
      <c r="C696" s="1">
        <v>0.0</v>
      </c>
      <c r="D696" s="2"/>
      <c r="E696" s="2"/>
      <c r="F696" s="2"/>
      <c r="G696" s="2"/>
      <c r="H696" s="2"/>
    </row>
    <row r="697">
      <c r="A697" s="1" t="s">
        <v>426</v>
      </c>
      <c r="B697" s="1"/>
      <c r="C697" s="1">
        <v>0.0</v>
      </c>
      <c r="D697" s="2"/>
      <c r="E697" s="2"/>
      <c r="F697" s="2"/>
      <c r="G697" s="2"/>
      <c r="H697" s="2"/>
    </row>
    <row r="698">
      <c r="A698" s="1" t="s">
        <v>427</v>
      </c>
      <c r="B698" s="1"/>
      <c r="C698" s="1">
        <v>0.0</v>
      </c>
      <c r="D698" s="2"/>
      <c r="E698" s="2"/>
      <c r="F698" s="2"/>
      <c r="G698" s="2"/>
      <c r="H698" s="2"/>
    </row>
    <row r="699">
      <c r="A699" s="1" t="s">
        <v>428</v>
      </c>
      <c r="B699" s="1"/>
      <c r="C699" s="1">
        <v>0.0</v>
      </c>
      <c r="D699" s="2"/>
      <c r="E699" s="2"/>
      <c r="F699" s="2"/>
      <c r="G699" s="2"/>
      <c r="H699" s="2"/>
    </row>
    <row r="700">
      <c r="A700" s="1" t="s">
        <v>429</v>
      </c>
      <c r="B700" s="1"/>
      <c r="C700" s="1">
        <v>50.0</v>
      </c>
      <c r="D700" s="2"/>
      <c r="E700" s="2"/>
      <c r="F700" s="2"/>
      <c r="G700" s="2"/>
      <c r="H700" s="2"/>
    </row>
    <row r="701">
      <c r="A701" s="1" t="s">
        <v>430</v>
      </c>
      <c r="B701" s="1"/>
      <c r="C701" s="1">
        <v>0.0</v>
      </c>
      <c r="D701" s="2"/>
      <c r="E701" s="2"/>
      <c r="F701" s="2"/>
      <c r="G701" s="2"/>
      <c r="H701" s="2"/>
    </row>
    <row r="702">
      <c r="A702" s="1" t="s">
        <v>431</v>
      </c>
      <c r="B702" s="1"/>
      <c r="C702" s="1">
        <v>53.0</v>
      </c>
      <c r="D702" s="2"/>
      <c r="E702" s="2"/>
      <c r="F702" s="2"/>
      <c r="G702" s="2"/>
      <c r="H702" s="2"/>
    </row>
    <row r="703">
      <c r="A703" s="1" t="s">
        <v>432</v>
      </c>
      <c r="B703" s="1"/>
      <c r="C703" s="1">
        <v>73.0</v>
      </c>
      <c r="D703" s="2"/>
      <c r="E703" s="2"/>
      <c r="F703" s="2"/>
      <c r="G703" s="2"/>
      <c r="H703" s="2"/>
    </row>
    <row r="704">
      <c r="A704" s="1" t="s">
        <v>433</v>
      </c>
      <c r="B704" s="1"/>
      <c r="C704" s="1">
        <v>0.0</v>
      </c>
      <c r="D704" s="2"/>
      <c r="E704" s="2"/>
      <c r="F704" s="2"/>
      <c r="G704" s="2"/>
      <c r="H704" s="2"/>
    </row>
    <row r="705">
      <c r="A705" s="1" t="s">
        <v>434</v>
      </c>
      <c r="B705" s="1"/>
      <c r="C705" s="1">
        <v>50.0</v>
      </c>
      <c r="D705" s="2"/>
      <c r="E705" s="2"/>
      <c r="F705" s="2"/>
      <c r="G705" s="2"/>
      <c r="H705" s="2"/>
    </row>
    <row r="706">
      <c r="A706" s="1" t="s">
        <v>435</v>
      </c>
      <c r="B706" s="1"/>
      <c r="C706" s="1">
        <v>0.0</v>
      </c>
      <c r="D706" s="2"/>
      <c r="E706" s="2"/>
      <c r="F706" s="2"/>
      <c r="G706" s="2"/>
      <c r="H706" s="2"/>
    </row>
    <row r="707">
      <c r="A707" s="1" t="s">
        <v>436</v>
      </c>
      <c r="B707" s="1"/>
      <c r="C707" s="1">
        <v>0.0</v>
      </c>
      <c r="D707" s="2"/>
      <c r="E707" s="2"/>
      <c r="F707" s="2"/>
      <c r="G707" s="2"/>
      <c r="H707" s="2"/>
    </row>
    <row r="708">
      <c r="A708" s="1" t="s">
        <v>437</v>
      </c>
      <c r="B708" s="1"/>
      <c r="C708" s="1">
        <v>0.0</v>
      </c>
      <c r="D708" s="2"/>
      <c r="E708" s="2"/>
      <c r="F708" s="2"/>
      <c r="G708" s="2"/>
      <c r="H708" s="2"/>
    </row>
    <row r="709">
      <c r="A709" s="1" t="s">
        <v>438</v>
      </c>
      <c r="B709" s="1"/>
      <c r="C709" s="1">
        <v>0.0</v>
      </c>
      <c r="D709" s="2"/>
      <c r="E709" s="2"/>
      <c r="F709" s="2"/>
      <c r="G709" s="2"/>
      <c r="H709" s="2"/>
    </row>
    <row r="710">
      <c r="A710" s="1" t="s">
        <v>439</v>
      </c>
      <c r="B710" s="1"/>
      <c r="C710" s="1">
        <v>0.0</v>
      </c>
      <c r="D710" s="2"/>
      <c r="E710" s="2"/>
      <c r="F710" s="2"/>
      <c r="G710" s="2"/>
      <c r="H710" s="2"/>
    </row>
    <row r="711">
      <c r="A711" s="1" t="s">
        <v>440</v>
      </c>
      <c r="B711" s="1"/>
      <c r="C711" s="1">
        <v>0.0</v>
      </c>
      <c r="D711" s="2"/>
      <c r="E711" s="2"/>
      <c r="F711" s="2"/>
      <c r="G711" s="2"/>
      <c r="H711" s="2"/>
    </row>
    <row r="712">
      <c r="A712" s="1" t="s">
        <v>441</v>
      </c>
      <c r="B712" s="1"/>
      <c r="C712" s="1">
        <v>0.0</v>
      </c>
      <c r="D712" s="2"/>
      <c r="E712" s="2"/>
      <c r="F712" s="2"/>
      <c r="G712" s="2"/>
      <c r="H712" s="2"/>
    </row>
    <row r="713">
      <c r="A713" s="1" t="s">
        <v>442</v>
      </c>
      <c r="B713" s="1"/>
      <c r="C713" s="1">
        <v>0.0</v>
      </c>
      <c r="D713" s="2"/>
      <c r="E713" s="2"/>
      <c r="F713" s="2"/>
      <c r="G713" s="2"/>
      <c r="H713" s="2"/>
    </row>
    <row r="714">
      <c r="A714" s="1" t="s">
        <v>443</v>
      </c>
      <c r="B714" s="1"/>
      <c r="C714" s="1">
        <v>42.0</v>
      </c>
      <c r="D714" s="2"/>
      <c r="E714" s="2"/>
      <c r="F714" s="2"/>
      <c r="G714" s="2"/>
      <c r="H714" s="2"/>
    </row>
    <row r="715">
      <c r="A715" s="1" t="s">
        <v>444</v>
      </c>
      <c r="B715" s="1"/>
      <c r="C715" s="1">
        <v>50.0</v>
      </c>
      <c r="D715" s="2"/>
      <c r="E715" s="2"/>
      <c r="F715" s="2"/>
      <c r="G715" s="2"/>
      <c r="H715" s="2"/>
    </row>
    <row r="716">
      <c r="A716" s="1" t="s">
        <v>445</v>
      </c>
      <c r="B716" s="1"/>
      <c r="C716" s="1">
        <v>0.0</v>
      </c>
      <c r="D716" s="2"/>
      <c r="E716" s="2"/>
      <c r="F716" s="2"/>
      <c r="G716" s="2"/>
      <c r="H716" s="2"/>
    </row>
    <row r="717">
      <c r="A717" s="1" t="s">
        <v>446</v>
      </c>
      <c r="B717" s="1"/>
      <c r="C717" s="1">
        <v>92.0</v>
      </c>
      <c r="D717" s="2"/>
      <c r="E717" s="2"/>
      <c r="F717" s="2"/>
      <c r="G717" s="2"/>
      <c r="H717" s="2"/>
    </row>
    <row r="718">
      <c r="A718" s="1" t="s">
        <v>447</v>
      </c>
      <c r="B718" s="1"/>
      <c r="C718" s="1">
        <v>0.0</v>
      </c>
      <c r="D718" s="2"/>
      <c r="E718" s="2"/>
      <c r="F718" s="2"/>
      <c r="G718" s="2"/>
      <c r="H718" s="2"/>
    </row>
    <row r="719">
      <c r="A719" s="1" t="s">
        <v>448</v>
      </c>
      <c r="B719" s="1"/>
      <c r="C719" s="1">
        <v>0.0</v>
      </c>
      <c r="D719" s="2"/>
      <c r="E719" s="2"/>
      <c r="F719" s="2"/>
      <c r="G719" s="2"/>
      <c r="H719" s="2"/>
    </row>
    <row r="720">
      <c r="A720" s="1" t="s">
        <v>449</v>
      </c>
      <c r="B720" s="1"/>
      <c r="C720" s="1">
        <v>89.0</v>
      </c>
      <c r="D720" s="2"/>
      <c r="E720" s="2"/>
      <c r="F720" s="2"/>
      <c r="G720" s="2"/>
      <c r="H720" s="2"/>
    </row>
    <row r="721">
      <c r="A721" s="1" t="s">
        <v>450</v>
      </c>
      <c r="B721" s="1"/>
      <c r="C721" s="1">
        <v>0.0</v>
      </c>
      <c r="D721" s="2"/>
      <c r="E721" s="2"/>
      <c r="F721" s="2"/>
      <c r="G721" s="2"/>
      <c r="H721" s="2"/>
    </row>
    <row r="722">
      <c r="A722" s="1" t="s">
        <v>451</v>
      </c>
      <c r="B722" s="1"/>
      <c r="C722" s="1">
        <v>9.0</v>
      </c>
      <c r="D722" s="2"/>
      <c r="E722" s="2"/>
      <c r="F722" s="2"/>
      <c r="G722" s="2"/>
      <c r="H722" s="2"/>
    </row>
    <row r="723">
      <c r="A723" s="1" t="s">
        <v>452</v>
      </c>
      <c r="B723" s="1"/>
      <c r="C723" s="1">
        <v>40.0</v>
      </c>
      <c r="D723" s="2"/>
      <c r="E723" s="2"/>
      <c r="F723" s="2"/>
      <c r="G723" s="2"/>
      <c r="H723" s="2"/>
    </row>
    <row r="724">
      <c r="A724" s="1" t="s">
        <v>453</v>
      </c>
      <c r="B724" s="1"/>
      <c r="C724" s="1">
        <v>90.0</v>
      </c>
      <c r="D724" s="2"/>
      <c r="E724" s="2"/>
      <c r="F724" s="2"/>
      <c r="G724" s="2"/>
      <c r="H724" s="2"/>
    </row>
    <row r="725">
      <c r="A725" s="1" t="s">
        <v>454</v>
      </c>
      <c r="B725" s="1"/>
      <c r="C725" s="1">
        <v>0.0</v>
      </c>
      <c r="D725" s="2"/>
      <c r="E725" s="2"/>
      <c r="F725" s="2"/>
      <c r="G725" s="2"/>
      <c r="H725" s="2"/>
    </row>
    <row r="726">
      <c r="A726" s="1" t="s">
        <v>455</v>
      </c>
      <c r="B726" s="1"/>
      <c r="C726" s="1">
        <v>32.0</v>
      </c>
      <c r="D726" s="2"/>
      <c r="E726" s="2"/>
      <c r="F726" s="2"/>
      <c r="G726" s="2"/>
      <c r="H726" s="2"/>
    </row>
    <row r="727">
      <c r="A727" s="1" t="s">
        <v>456</v>
      </c>
      <c r="B727" s="1"/>
      <c r="C727" s="1">
        <v>48.0</v>
      </c>
      <c r="D727" s="2"/>
      <c r="E727" s="2"/>
      <c r="F727" s="2"/>
      <c r="G727" s="2"/>
      <c r="H727" s="2"/>
    </row>
    <row r="728">
      <c r="A728" s="1" t="s">
        <v>457</v>
      </c>
      <c r="B728" s="1"/>
      <c r="C728" s="1">
        <v>0.0</v>
      </c>
      <c r="D728" s="2"/>
      <c r="E728" s="2"/>
      <c r="F728" s="2"/>
      <c r="G728" s="2"/>
      <c r="H728" s="2"/>
    </row>
    <row r="729">
      <c r="A729" s="1" t="s">
        <v>458</v>
      </c>
      <c r="B729" s="1"/>
      <c r="C729" s="1">
        <v>0.0</v>
      </c>
      <c r="D729" s="2"/>
      <c r="E729" s="2"/>
      <c r="F729" s="2"/>
      <c r="G729" s="2"/>
      <c r="H729" s="2"/>
    </row>
    <row r="730">
      <c r="A730" s="1" t="s">
        <v>459</v>
      </c>
      <c r="B730" s="1"/>
      <c r="C730" s="1">
        <v>50.0</v>
      </c>
      <c r="D730" s="2"/>
      <c r="E730" s="2"/>
      <c r="F730" s="2"/>
      <c r="G730" s="2"/>
      <c r="H730" s="2"/>
    </row>
    <row r="731">
      <c r="A731" s="1" t="s">
        <v>460</v>
      </c>
      <c r="B731" s="1"/>
      <c r="C731" s="1">
        <v>0.0</v>
      </c>
      <c r="D731" s="2"/>
      <c r="E731" s="2"/>
      <c r="F731" s="2"/>
      <c r="G731" s="2"/>
      <c r="H731" s="2"/>
    </row>
    <row r="732">
      <c r="A732" s="1" t="s">
        <v>461</v>
      </c>
      <c r="B732" s="1"/>
      <c r="C732" s="1" t="s">
        <v>462</v>
      </c>
      <c r="D732" s="1" t="s">
        <v>463</v>
      </c>
      <c r="E732" s="1">
        <v>62.0</v>
      </c>
      <c r="F732" s="2"/>
      <c r="G732" s="2"/>
      <c r="H732" s="2"/>
    </row>
    <row r="733">
      <c r="A733" s="1" t="s">
        <v>464</v>
      </c>
      <c r="B733" s="1"/>
      <c r="C733" s="1" t="s">
        <v>465</v>
      </c>
      <c r="D733" s="1">
        <v>0.0</v>
      </c>
      <c r="E733" s="2"/>
      <c r="F733" s="2"/>
      <c r="G733" s="2"/>
      <c r="H733" s="2"/>
    </row>
    <row r="734">
      <c r="A734" s="1" t="s">
        <v>466</v>
      </c>
      <c r="B734" s="1"/>
      <c r="C734" s="1">
        <v>0.0</v>
      </c>
      <c r="D734" s="2"/>
      <c r="E734" s="2"/>
      <c r="F734" s="2"/>
      <c r="G734" s="2"/>
      <c r="H734" s="2"/>
    </row>
    <row r="735">
      <c r="A735" s="1" t="s">
        <v>467</v>
      </c>
      <c r="B735" s="1"/>
      <c r="C735" s="1">
        <v>0.0</v>
      </c>
      <c r="D735" s="2"/>
      <c r="E735" s="2"/>
      <c r="F735" s="2"/>
      <c r="G735" s="2"/>
      <c r="H735" s="2"/>
    </row>
    <row r="736">
      <c r="A736" s="1" t="s">
        <v>468</v>
      </c>
      <c r="B736" s="1"/>
      <c r="C736" s="1">
        <v>0.0</v>
      </c>
      <c r="D736" s="2"/>
      <c r="E736" s="2"/>
      <c r="F736" s="2"/>
      <c r="G736" s="2"/>
      <c r="H736" s="2"/>
    </row>
    <row r="737">
      <c r="A737" s="1" t="s">
        <v>469</v>
      </c>
      <c r="B737" s="1"/>
      <c r="C737" s="1">
        <v>0.0</v>
      </c>
      <c r="D737" s="2"/>
      <c r="E737" s="2"/>
      <c r="F737" s="2"/>
      <c r="G737" s="2"/>
      <c r="H737" s="2"/>
    </row>
    <row r="738">
      <c r="A738" s="1" t="s">
        <v>470</v>
      </c>
      <c r="B738" s="1"/>
      <c r="C738" s="1">
        <v>10.0</v>
      </c>
      <c r="D738" s="2"/>
      <c r="E738" s="2"/>
      <c r="F738" s="2"/>
      <c r="G738" s="2"/>
      <c r="H738" s="2"/>
    </row>
    <row r="739">
      <c r="A739" s="1" t="s">
        <v>471</v>
      </c>
      <c r="B739" s="1"/>
      <c r="C739" s="1">
        <v>0.0</v>
      </c>
      <c r="D739" s="2"/>
      <c r="E739" s="2"/>
      <c r="F739" s="2"/>
      <c r="G739" s="2"/>
      <c r="H739" s="2"/>
    </row>
    <row r="740">
      <c r="A740" s="1" t="s">
        <v>472</v>
      </c>
      <c r="B740" s="1"/>
      <c r="C740" s="1">
        <v>29.0</v>
      </c>
      <c r="D740" s="2"/>
      <c r="E740" s="2"/>
      <c r="F740" s="2"/>
      <c r="G740" s="2"/>
      <c r="H740" s="2"/>
    </row>
    <row r="741">
      <c r="A741" s="1" t="s">
        <v>473</v>
      </c>
      <c r="B741" s="1"/>
      <c r="C741" s="1">
        <v>0.0</v>
      </c>
      <c r="D741" s="2"/>
      <c r="E741" s="2"/>
      <c r="F741" s="2"/>
      <c r="G741" s="2"/>
      <c r="H741" s="2"/>
    </row>
    <row r="742">
      <c r="A742" s="1" t="s">
        <v>474</v>
      </c>
      <c r="B742" s="1"/>
      <c r="C742" s="1">
        <v>65.0</v>
      </c>
      <c r="D742" s="2"/>
      <c r="E742" s="2"/>
      <c r="F742" s="2"/>
      <c r="G742" s="2"/>
      <c r="H742" s="2"/>
    </row>
    <row r="743">
      <c r="A743" s="1" t="s">
        <v>475</v>
      </c>
      <c r="B743" s="1"/>
      <c r="C743" s="1">
        <v>0.0</v>
      </c>
      <c r="D743" s="2"/>
      <c r="E743" s="2"/>
      <c r="F743" s="2"/>
      <c r="G743" s="2"/>
      <c r="H743" s="2"/>
    </row>
    <row r="744">
      <c r="A744" s="1" t="s">
        <v>476</v>
      </c>
      <c r="B744" s="1"/>
      <c r="C744" s="1">
        <v>0.0</v>
      </c>
      <c r="D744" s="2"/>
      <c r="E744" s="2"/>
      <c r="F744" s="2"/>
      <c r="G744" s="2"/>
      <c r="H744" s="2"/>
    </row>
    <row r="745">
      <c r="A745" s="1" t="s">
        <v>477</v>
      </c>
      <c r="B745" s="1"/>
      <c r="C745" s="1">
        <v>0.0</v>
      </c>
      <c r="D745" s="2"/>
      <c r="E745" s="2"/>
      <c r="F745" s="2"/>
      <c r="G745" s="2"/>
      <c r="H745" s="2"/>
    </row>
    <row r="746">
      <c r="A746" s="1" t="s">
        <v>478</v>
      </c>
      <c r="B746" s="1"/>
      <c r="C746" s="1">
        <v>0.0</v>
      </c>
      <c r="D746" s="2"/>
      <c r="E746" s="2"/>
      <c r="F746" s="2"/>
      <c r="G746" s="2"/>
      <c r="H746" s="2"/>
    </row>
    <row r="747">
      <c r="A747" s="1" t="s">
        <v>479</v>
      </c>
      <c r="B747" s="1"/>
      <c r="C747" s="1">
        <v>12.0</v>
      </c>
      <c r="D747" s="2"/>
      <c r="E747" s="2"/>
      <c r="F747" s="2"/>
      <c r="G747" s="2"/>
      <c r="H747" s="2"/>
    </row>
    <row r="748">
      <c r="A748" s="1" t="s">
        <v>480</v>
      </c>
      <c r="B748" s="1"/>
      <c r="C748" s="1">
        <v>0.0</v>
      </c>
      <c r="D748" s="2"/>
      <c r="E748" s="2"/>
      <c r="F748" s="2"/>
      <c r="G748" s="2"/>
      <c r="H748" s="2"/>
    </row>
    <row r="749">
      <c r="A749" s="1" t="s">
        <v>481</v>
      </c>
      <c r="B749" s="1"/>
      <c r="C749" s="1" t="s">
        <v>482</v>
      </c>
      <c r="D749" s="1">
        <v>95.0</v>
      </c>
      <c r="E749" s="2"/>
      <c r="F749" s="2"/>
      <c r="G749" s="2"/>
      <c r="H749" s="2"/>
    </row>
    <row r="750">
      <c r="A750" s="1" t="s">
        <v>483</v>
      </c>
      <c r="B750" s="1"/>
      <c r="C750" s="1">
        <v>0.0</v>
      </c>
      <c r="D750" s="2"/>
      <c r="E750" s="2"/>
      <c r="F750" s="2"/>
      <c r="G750" s="2"/>
      <c r="H750" s="2"/>
    </row>
    <row r="751">
      <c r="A751" s="1" t="s">
        <v>484</v>
      </c>
      <c r="B751" s="1"/>
      <c r="C751" s="1">
        <v>11.0</v>
      </c>
      <c r="D751" s="2"/>
      <c r="E751" s="2"/>
      <c r="F751" s="2"/>
      <c r="G751" s="2"/>
      <c r="H751" s="2"/>
    </row>
    <row r="752">
      <c r="A752" s="1" t="s">
        <v>485</v>
      </c>
      <c r="B752" s="1"/>
      <c r="C752" s="1">
        <v>0.0</v>
      </c>
      <c r="D752" s="2"/>
      <c r="E752" s="2"/>
      <c r="F752" s="2"/>
      <c r="G752" s="2"/>
      <c r="H752" s="2"/>
    </row>
    <row r="753">
      <c r="A753" s="1" t="s">
        <v>486</v>
      </c>
      <c r="B753" s="1"/>
      <c r="C753" s="1" t="s">
        <v>487</v>
      </c>
      <c r="D753" s="2"/>
      <c r="E753" s="2"/>
      <c r="F753" s="2"/>
      <c r="G753" s="2"/>
      <c r="H753" s="2"/>
    </row>
    <row r="754">
      <c r="A754" s="1" t="s">
        <v>488</v>
      </c>
      <c r="B754" s="1"/>
      <c r="C754" s="1">
        <v>31.0</v>
      </c>
      <c r="D754" s="2"/>
      <c r="E754" s="2"/>
      <c r="F754" s="2"/>
      <c r="G754" s="2"/>
      <c r="H754" s="2"/>
    </row>
    <row r="755">
      <c r="A755" s="1" t="s">
        <v>489</v>
      </c>
      <c r="B755" s="1"/>
      <c r="C755" s="2"/>
      <c r="D755" s="2"/>
      <c r="E755" s="2"/>
      <c r="F755" s="2"/>
      <c r="G755" s="2"/>
      <c r="H755" s="2"/>
    </row>
    <row r="756">
      <c r="A756" s="1" t="s">
        <v>490</v>
      </c>
      <c r="B756" s="1"/>
      <c r="C756" s="1">
        <v>0.0</v>
      </c>
      <c r="D756" s="2"/>
      <c r="E756" s="2"/>
      <c r="F756" s="2"/>
      <c r="G756" s="2"/>
      <c r="H756" s="2"/>
    </row>
    <row r="757">
      <c r="A757" s="1" t="s">
        <v>491</v>
      </c>
      <c r="B757" s="1"/>
      <c r="C757" s="1">
        <v>0.0</v>
      </c>
      <c r="D757" s="2"/>
      <c r="E757" s="2"/>
      <c r="F757" s="2"/>
      <c r="G757" s="2"/>
      <c r="H757" s="2"/>
    </row>
    <row r="758">
      <c r="A758" s="1" t="s">
        <v>492</v>
      </c>
      <c r="B758" s="1"/>
      <c r="C758" s="1">
        <v>0.0</v>
      </c>
      <c r="D758" s="2"/>
      <c r="E758" s="2"/>
      <c r="F758" s="2"/>
      <c r="G758" s="2"/>
      <c r="H758" s="2"/>
    </row>
    <row r="759">
      <c r="A759" s="1" t="s">
        <v>493</v>
      </c>
      <c r="B759" s="1"/>
      <c r="C759" s="1">
        <v>9.0</v>
      </c>
      <c r="D759" s="2"/>
      <c r="E759" s="2"/>
      <c r="F759" s="2"/>
      <c r="G759" s="2"/>
      <c r="H759" s="2"/>
    </row>
    <row r="760">
      <c r="A760" s="1" t="s">
        <v>494</v>
      </c>
      <c r="B760" s="1"/>
      <c r="C760" s="1">
        <v>0.0</v>
      </c>
      <c r="D760" s="2"/>
      <c r="E760" s="2"/>
      <c r="F760" s="2"/>
      <c r="G760" s="2"/>
      <c r="H760" s="2"/>
    </row>
    <row r="761">
      <c r="A761" s="1" t="s">
        <v>495</v>
      </c>
      <c r="B761" s="1"/>
      <c r="C761" s="1">
        <v>0.0</v>
      </c>
      <c r="D761" s="2"/>
      <c r="E761" s="2"/>
      <c r="F761" s="2"/>
      <c r="G761" s="2"/>
      <c r="H761" s="2"/>
    </row>
    <row r="762">
      <c r="A762" s="1" t="s">
        <v>496</v>
      </c>
      <c r="B762" s="1"/>
      <c r="C762" s="1">
        <v>80.0</v>
      </c>
      <c r="D762" s="2"/>
      <c r="E762" s="2"/>
      <c r="F762" s="2"/>
      <c r="G762" s="2"/>
      <c r="H762" s="2"/>
    </row>
    <row r="763">
      <c r="A763" s="1" t="s">
        <v>497</v>
      </c>
      <c r="B763" s="1"/>
      <c r="C763" s="1">
        <v>0.0</v>
      </c>
      <c r="D763" s="2"/>
      <c r="E763" s="2"/>
      <c r="F763" s="2"/>
      <c r="G763" s="2"/>
      <c r="H763" s="2"/>
    </row>
    <row r="764">
      <c r="A764" s="1" t="s">
        <v>498</v>
      </c>
      <c r="B764" s="1"/>
      <c r="C764" s="1">
        <v>14.0</v>
      </c>
      <c r="D764" s="2"/>
      <c r="E764" s="2"/>
      <c r="F764" s="2"/>
      <c r="G764" s="2"/>
      <c r="H764" s="2"/>
    </row>
    <row r="765">
      <c r="A765" s="1" t="s">
        <v>499</v>
      </c>
      <c r="B765" s="1"/>
      <c r="C765" s="1" t="s">
        <v>500</v>
      </c>
      <c r="D765" s="1">
        <v>18.0</v>
      </c>
      <c r="E765" s="2"/>
      <c r="F765" s="2"/>
      <c r="G765" s="2"/>
      <c r="H765" s="2"/>
    </row>
    <row r="766">
      <c r="A766" s="1" t="s">
        <v>501</v>
      </c>
      <c r="B766" s="1"/>
      <c r="C766" s="1" t="s">
        <v>502</v>
      </c>
      <c r="D766" s="2"/>
      <c r="E766" s="2"/>
      <c r="F766" s="2"/>
      <c r="G766" s="2"/>
      <c r="H766" s="2"/>
    </row>
    <row r="767">
      <c r="A767" s="1" t="s">
        <v>503</v>
      </c>
      <c r="B767" s="1"/>
      <c r="C767" s="1">
        <v>90.0</v>
      </c>
      <c r="D767" s="2"/>
      <c r="E767" s="2"/>
      <c r="F767" s="2"/>
      <c r="G767" s="2"/>
      <c r="H767" s="2"/>
    </row>
    <row r="768">
      <c r="A768" s="1" t="s">
        <v>504</v>
      </c>
      <c r="B768" s="1"/>
      <c r="C768" s="2"/>
      <c r="D768" s="2"/>
      <c r="E768" s="2"/>
      <c r="F768" s="2"/>
      <c r="G768" s="2"/>
      <c r="H768" s="2"/>
    </row>
    <row r="769">
      <c r="A769" s="1" t="s">
        <v>505</v>
      </c>
      <c r="B769" s="1"/>
      <c r="C769" s="1">
        <v>53.0</v>
      </c>
      <c r="D769" s="2"/>
      <c r="E769" s="2"/>
      <c r="F769" s="2"/>
      <c r="G769" s="2"/>
      <c r="H769" s="2"/>
    </row>
    <row r="770">
      <c r="A770" s="1" t="s">
        <v>506</v>
      </c>
      <c r="B770" s="1"/>
      <c r="C770" s="1">
        <v>82.0</v>
      </c>
      <c r="D770" s="2"/>
      <c r="E770" s="2"/>
      <c r="F770" s="2"/>
      <c r="G770" s="2"/>
      <c r="H770" s="2"/>
    </row>
    <row r="771">
      <c r="A771" s="1" t="s">
        <v>507</v>
      </c>
      <c r="B771" s="1"/>
      <c r="C771" s="1">
        <v>0.0</v>
      </c>
      <c r="D771" s="2"/>
      <c r="E771" s="2"/>
      <c r="F771" s="2"/>
      <c r="G771" s="2"/>
      <c r="H771" s="2"/>
    </row>
    <row r="772">
      <c r="A772" s="1" t="s">
        <v>508</v>
      </c>
      <c r="B772" s="1"/>
      <c r="C772" s="1">
        <v>70.0</v>
      </c>
      <c r="D772" s="2"/>
      <c r="E772" s="2"/>
      <c r="F772" s="2"/>
      <c r="G772" s="2"/>
      <c r="H772" s="2"/>
    </row>
    <row r="773">
      <c r="A773" s="1" t="s">
        <v>509</v>
      </c>
      <c r="B773" s="1"/>
      <c r="C773" s="1">
        <v>0.0</v>
      </c>
      <c r="D773" s="2"/>
      <c r="E773" s="2"/>
      <c r="F773" s="2"/>
      <c r="G773" s="2"/>
      <c r="H773" s="2"/>
    </row>
    <row r="774">
      <c r="A774" s="1" t="s">
        <v>431</v>
      </c>
      <c r="B774" s="1"/>
      <c r="C774" s="1">
        <v>53.0</v>
      </c>
      <c r="D774" s="2"/>
      <c r="E774" s="2"/>
      <c r="F774" s="2"/>
      <c r="G774" s="2"/>
      <c r="H774" s="2"/>
    </row>
    <row r="775">
      <c r="A775" s="1" t="s">
        <v>432</v>
      </c>
      <c r="B775" s="1"/>
      <c r="C775" s="1">
        <v>73.0</v>
      </c>
      <c r="D775" s="2"/>
      <c r="E775" s="2"/>
      <c r="F775" s="2"/>
      <c r="G775" s="2"/>
      <c r="H775" s="2"/>
    </row>
    <row r="776">
      <c r="A776" s="1" t="s">
        <v>433</v>
      </c>
      <c r="B776" s="1"/>
      <c r="C776" s="1">
        <v>0.0</v>
      </c>
      <c r="D776" s="2"/>
      <c r="E776" s="2"/>
      <c r="F776" s="2"/>
      <c r="G776" s="2"/>
      <c r="H776" s="2"/>
    </row>
    <row r="777">
      <c r="A777" s="1" t="s">
        <v>434</v>
      </c>
      <c r="B777" s="1"/>
      <c r="C777" s="1">
        <v>50.0</v>
      </c>
      <c r="D777" s="2"/>
      <c r="E777" s="2"/>
      <c r="F777" s="2"/>
      <c r="G777" s="2"/>
      <c r="H777" s="2"/>
    </row>
    <row r="778">
      <c r="A778" s="1" t="s">
        <v>435</v>
      </c>
      <c r="B778" s="1"/>
      <c r="C778" s="1">
        <v>0.0</v>
      </c>
      <c r="D778" s="2"/>
      <c r="E778" s="2"/>
      <c r="F778" s="2"/>
      <c r="G778" s="2"/>
      <c r="H778" s="2"/>
    </row>
    <row r="779">
      <c r="A779" s="1" t="s">
        <v>436</v>
      </c>
      <c r="B779" s="1"/>
      <c r="C779" s="1">
        <v>0.0</v>
      </c>
      <c r="D779" s="2"/>
      <c r="E779" s="2"/>
      <c r="F779" s="2"/>
      <c r="G779" s="2"/>
      <c r="H779" s="2"/>
    </row>
    <row r="780">
      <c r="A780" s="1" t="s">
        <v>437</v>
      </c>
      <c r="B780" s="1"/>
      <c r="C780" s="1">
        <v>0.0</v>
      </c>
      <c r="D780" s="2"/>
      <c r="E780" s="2"/>
      <c r="F780" s="2"/>
      <c r="G780" s="2"/>
      <c r="H780" s="2"/>
    </row>
    <row r="781">
      <c r="A781" s="1" t="s">
        <v>438</v>
      </c>
      <c r="B781" s="1"/>
      <c r="C781" s="1">
        <v>0.0</v>
      </c>
      <c r="D781" s="2"/>
      <c r="E781" s="2"/>
      <c r="F781" s="2"/>
      <c r="G781" s="2"/>
      <c r="H781" s="2"/>
    </row>
    <row r="782">
      <c r="A782" s="1" t="s">
        <v>439</v>
      </c>
      <c r="B782" s="1"/>
      <c r="C782" s="1">
        <v>0.0</v>
      </c>
      <c r="D782" s="2"/>
      <c r="E782" s="2"/>
      <c r="F782" s="2"/>
      <c r="G782" s="2"/>
      <c r="H782" s="2"/>
    </row>
    <row r="783">
      <c r="A783" s="1" t="s">
        <v>440</v>
      </c>
      <c r="B783" s="1"/>
      <c r="C783" s="1">
        <v>0.0</v>
      </c>
      <c r="D783" s="2"/>
      <c r="E783" s="2"/>
      <c r="F783" s="2"/>
      <c r="G783" s="2"/>
      <c r="H783" s="2"/>
    </row>
    <row r="784">
      <c r="A784" s="1" t="s">
        <v>441</v>
      </c>
      <c r="B784" s="1"/>
      <c r="C784" s="1">
        <v>0.0</v>
      </c>
      <c r="D784" s="2"/>
      <c r="E784" s="2"/>
      <c r="F784" s="2"/>
      <c r="G784" s="2"/>
      <c r="H784" s="2"/>
    </row>
    <row r="785">
      <c r="A785" s="1" t="s">
        <v>442</v>
      </c>
      <c r="B785" s="1"/>
      <c r="C785" s="1">
        <v>0.0</v>
      </c>
      <c r="D785" s="2"/>
      <c r="E785" s="2"/>
      <c r="F785" s="2"/>
      <c r="G785" s="2"/>
      <c r="H785" s="2"/>
    </row>
    <row r="786">
      <c r="A786" s="1" t="s">
        <v>443</v>
      </c>
      <c r="B786" s="1"/>
      <c r="C786" s="1">
        <v>42.0</v>
      </c>
      <c r="D786" s="2"/>
      <c r="E786" s="2"/>
      <c r="F786" s="2"/>
      <c r="G786" s="2"/>
      <c r="H786" s="2"/>
    </row>
    <row r="787">
      <c r="A787" s="1" t="s">
        <v>444</v>
      </c>
      <c r="B787" s="1"/>
      <c r="C787" s="1">
        <v>50.0</v>
      </c>
      <c r="D787" s="2"/>
      <c r="E787" s="2"/>
      <c r="F787" s="2"/>
      <c r="G787" s="2"/>
      <c r="H787" s="2"/>
    </row>
    <row r="788">
      <c r="A788" s="1" t="s">
        <v>445</v>
      </c>
      <c r="B788" s="1"/>
      <c r="C788" s="1">
        <v>0.0</v>
      </c>
      <c r="D788" s="2"/>
      <c r="E788" s="2"/>
      <c r="F788" s="2"/>
      <c r="G788" s="2"/>
      <c r="H788" s="2"/>
    </row>
    <row r="789">
      <c r="A789" s="1" t="s">
        <v>446</v>
      </c>
      <c r="B789" s="1"/>
      <c r="C789" s="1">
        <v>92.0</v>
      </c>
      <c r="D789" s="2"/>
      <c r="E789" s="2"/>
      <c r="F789" s="2"/>
      <c r="G789" s="2"/>
      <c r="H789" s="2"/>
    </row>
    <row r="790">
      <c r="A790" s="1" t="s">
        <v>447</v>
      </c>
      <c r="B790" s="1"/>
      <c r="C790" s="1">
        <v>0.0</v>
      </c>
      <c r="D790" s="2"/>
      <c r="E790" s="2"/>
      <c r="F790" s="2"/>
      <c r="G790" s="2"/>
      <c r="H790" s="2"/>
    </row>
    <row r="791">
      <c r="A791" s="1" t="s">
        <v>448</v>
      </c>
      <c r="B791" s="1"/>
      <c r="C791" s="1">
        <v>0.0</v>
      </c>
      <c r="D791" s="2"/>
      <c r="E791" s="2"/>
      <c r="F791" s="2"/>
      <c r="G791" s="2"/>
      <c r="H791" s="2"/>
    </row>
    <row r="792">
      <c r="A792" s="1" t="s">
        <v>449</v>
      </c>
      <c r="B792" s="1"/>
      <c r="C792" s="1">
        <v>89.0</v>
      </c>
      <c r="D792" s="2"/>
      <c r="E792" s="2"/>
      <c r="F792" s="2"/>
      <c r="G792" s="2"/>
      <c r="H792" s="2"/>
    </row>
    <row r="793">
      <c r="A793" s="1" t="s">
        <v>450</v>
      </c>
      <c r="B793" s="1"/>
      <c r="C793" s="1">
        <v>0.0</v>
      </c>
      <c r="D793" s="2"/>
      <c r="E793" s="2"/>
      <c r="F793" s="2"/>
      <c r="G793" s="2"/>
      <c r="H793" s="2"/>
    </row>
    <row r="794">
      <c r="A794" s="1" t="s">
        <v>451</v>
      </c>
      <c r="B794" s="1"/>
      <c r="C794" s="1">
        <v>9.0</v>
      </c>
      <c r="D794" s="2"/>
      <c r="E794" s="2"/>
      <c r="F794" s="2"/>
      <c r="G794" s="2"/>
      <c r="H794" s="2"/>
    </row>
    <row r="795">
      <c r="A795" s="1" t="s">
        <v>452</v>
      </c>
      <c r="B795" s="1"/>
      <c r="C795" s="1">
        <v>40.0</v>
      </c>
      <c r="D795" s="2"/>
      <c r="E795" s="2"/>
      <c r="F795" s="2"/>
      <c r="G795" s="2"/>
      <c r="H795" s="2"/>
    </row>
    <row r="796">
      <c r="A796" s="1" t="s">
        <v>453</v>
      </c>
      <c r="B796" s="1"/>
      <c r="C796" s="1">
        <v>90.0</v>
      </c>
      <c r="D796" s="2"/>
      <c r="E796" s="2"/>
      <c r="F796" s="2"/>
      <c r="G796" s="2"/>
      <c r="H796" s="2"/>
    </row>
    <row r="797">
      <c r="A797" s="1" t="s">
        <v>454</v>
      </c>
      <c r="B797" s="1"/>
      <c r="C797" s="1">
        <v>0.0</v>
      </c>
      <c r="D797" s="2"/>
      <c r="E797" s="2"/>
      <c r="F797" s="2"/>
      <c r="G797" s="2"/>
      <c r="H797" s="2"/>
    </row>
    <row r="798">
      <c r="A798" s="1" t="s">
        <v>455</v>
      </c>
      <c r="B798" s="1"/>
      <c r="C798" s="1">
        <v>32.0</v>
      </c>
      <c r="D798" s="2"/>
      <c r="E798" s="2"/>
      <c r="F798" s="2"/>
      <c r="G798" s="2"/>
      <c r="H798" s="2"/>
    </row>
    <row r="799">
      <c r="A799" s="1" t="s">
        <v>456</v>
      </c>
      <c r="B799" s="1"/>
      <c r="C799" s="1">
        <v>48.0</v>
      </c>
      <c r="D799" s="2"/>
      <c r="E799" s="2"/>
      <c r="F799" s="2"/>
      <c r="G799" s="2"/>
      <c r="H799" s="2"/>
    </row>
    <row r="800">
      <c r="A800" s="1" t="s">
        <v>457</v>
      </c>
      <c r="B800" s="1"/>
      <c r="C800" s="1">
        <v>0.0</v>
      </c>
      <c r="D800" s="2"/>
      <c r="E800" s="2"/>
      <c r="F800" s="2"/>
      <c r="G800" s="2"/>
      <c r="H800" s="2"/>
    </row>
    <row r="801">
      <c r="A801" s="1" t="s">
        <v>458</v>
      </c>
      <c r="B801" s="1"/>
      <c r="C801" s="1">
        <v>0.0</v>
      </c>
      <c r="D801" s="2"/>
      <c r="E801" s="2"/>
      <c r="F801" s="2"/>
      <c r="G801" s="2"/>
      <c r="H801" s="2"/>
    </row>
    <row r="802">
      <c r="A802" s="1" t="s">
        <v>459</v>
      </c>
      <c r="B802" s="1"/>
      <c r="C802" s="1">
        <v>50.0</v>
      </c>
      <c r="D802" s="2"/>
      <c r="E802" s="2"/>
      <c r="F802" s="2"/>
      <c r="G802" s="2"/>
      <c r="H802" s="2"/>
    </row>
    <row r="803">
      <c r="A803" s="1" t="s">
        <v>460</v>
      </c>
      <c r="B803" s="1"/>
      <c r="C803" s="1">
        <v>0.0</v>
      </c>
      <c r="D803" s="2"/>
      <c r="E803" s="2"/>
      <c r="F803" s="2"/>
      <c r="G803" s="2"/>
      <c r="H803" s="2"/>
    </row>
    <row r="804">
      <c r="A804" s="1" t="s">
        <v>461</v>
      </c>
      <c r="B804" s="1"/>
      <c r="C804" s="1" t="s">
        <v>462</v>
      </c>
      <c r="D804" s="1" t="s">
        <v>463</v>
      </c>
      <c r="E804" s="1">
        <v>62.0</v>
      </c>
      <c r="F804" s="2"/>
      <c r="G804" s="2"/>
      <c r="H804" s="2"/>
    </row>
    <row r="805">
      <c r="A805" s="1" t="s">
        <v>464</v>
      </c>
      <c r="B805" s="1"/>
      <c r="C805" s="1" t="s">
        <v>465</v>
      </c>
      <c r="D805" s="1">
        <v>0.0</v>
      </c>
      <c r="E805" s="2"/>
      <c r="F805" s="2"/>
      <c r="G805" s="2"/>
      <c r="H805" s="2"/>
    </row>
    <row r="806">
      <c r="A806" s="1" t="s">
        <v>466</v>
      </c>
      <c r="B806" s="1"/>
      <c r="C806" s="1">
        <v>0.0</v>
      </c>
      <c r="D806" s="2"/>
      <c r="E806" s="2"/>
      <c r="F806" s="2"/>
      <c r="G806" s="2"/>
      <c r="H806" s="2"/>
    </row>
    <row r="807">
      <c r="A807" s="1" t="s">
        <v>467</v>
      </c>
      <c r="B807" s="1"/>
      <c r="C807" s="1">
        <v>0.0</v>
      </c>
      <c r="D807" s="2"/>
      <c r="E807" s="2"/>
      <c r="F807" s="2"/>
      <c r="G807" s="2"/>
      <c r="H807" s="2"/>
    </row>
    <row r="808">
      <c r="A808" s="1" t="s">
        <v>468</v>
      </c>
      <c r="B808" s="1"/>
      <c r="C808" s="1">
        <v>0.0</v>
      </c>
      <c r="D808" s="2"/>
      <c r="E808" s="2"/>
      <c r="F808" s="2"/>
      <c r="G808" s="2"/>
      <c r="H808" s="2"/>
    </row>
    <row r="809">
      <c r="A809" s="1" t="s">
        <v>469</v>
      </c>
      <c r="B809" s="1"/>
      <c r="C809" s="1">
        <v>0.0</v>
      </c>
      <c r="D809" s="2"/>
      <c r="E809" s="2"/>
      <c r="F809" s="2"/>
      <c r="G809" s="2"/>
      <c r="H809" s="2"/>
    </row>
    <row r="810">
      <c r="A810" s="1" t="s">
        <v>470</v>
      </c>
      <c r="B810" s="1"/>
      <c r="C810" s="1">
        <v>10.0</v>
      </c>
      <c r="D810" s="2"/>
      <c r="E810" s="2"/>
      <c r="F810" s="2"/>
      <c r="G810" s="2"/>
      <c r="H810" s="2"/>
    </row>
    <row r="811">
      <c r="A811" s="1" t="s">
        <v>471</v>
      </c>
      <c r="B811" s="1"/>
      <c r="C811" s="1">
        <v>0.0</v>
      </c>
      <c r="D811" s="2"/>
      <c r="E811" s="2"/>
      <c r="F811" s="2"/>
      <c r="G811" s="2"/>
      <c r="H811" s="2"/>
    </row>
    <row r="812">
      <c r="A812" s="1" t="s">
        <v>472</v>
      </c>
      <c r="B812" s="1"/>
      <c r="C812" s="1">
        <v>29.0</v>
      </c>
      <c r="D812" s="2"/>
      <c r="E812" s="2"/>
      <c r="F812" s="2"/>
      <c r="G812" s="2"/>
      <c r="H812" s="2"/>
    </row>
    <row r="813">
      <c r="A813" s="1" t="s">
        <v>473</v>
      </c>
      <c r="B813" s="1"/>
      <c r="C813" s="1">
        <v>0.0</v>
      </c>
      <c r="D813" s="2"/>
      <c r="E813" s="2"/>
      <c r="F813" s="2"/>
      <c r="G813" s="2"/>
      <c r="H813" s="2"/>
    </row>
    <row r="814">
      <c r="A814" s="1" t="s">
        <v>474</v>
      </c>
      <c r="B814" s="1"/>
      <c r="C814" s="1">
        <v>65.0</v>
      </c>
      <c r="D814" s="2"/>
      <c r="E814" s="2"/>
      <c r="F814" s="2"/>
      <c r="G814" s="2"/>
      <c r="H814" s="2"/>
    </row>
    <row r="815">
      <c r="A815" s="1" t="s">
        <v>475</v>
      </c>
      <c r="B815" s="1"/>
      <c r="C815" s="1">
        <v>0.0</v>
      </c>
      <c r="D815" s="2"/>
      <c r="E815" s="2"/>
      <c r="F815" s="2"/>
      <c r="G815" s="2"/>
      <c r="H815" s="2"/>
    </row>
    <row r="816">
      <c r="A816" s="1" t="s">
        <v>476</v>
      </c>
      <c r="B816" s="1"/>
      <c r="C816" s="1">
        <v>0.0</v>
      </c>
      <c r="D816" s="2"/>
      <c r="E816" s="2"/>
      <c r="F816" s="2"/>
      <c r="G816" s="2"/>
      <c r="H816" s="2"/>
    </row>
    <row r="817">
      <c r="A817" s="1" t="s">
        <v>477</v>
      </c>
      <c r="B817" s="1"/>
      <c r="C817" s="1">
        <v>0.0</v>
      </c>
      <c r="D817" s="2"/>
      <c r="E817" s="2"/>
      <c r="F817" s="2"/>
      <c r="G817" s="2"/>
      <c r="H817" s="2"/>
    </row>
    <row r="818">
      <c r="A818" s="1" t="s">
        <v>478</v>
      </c>
      <c r="B818" s="1"/>
      <c r="C818" s="1">
        <v>0.0</v>
      </c>
      <c r="D818" s="2"/>
      <c r="E818" s="2"/>
      <c r="F818" s="2"/>
      <c r="G818" s="2"/>
      <c r="H818" s="2"/>
    </row>
    <row r="819">
      <c r="A819" s="1" t="s">
        <v>479</v>
      </c>
      <c r="B819" s="1"/>
      <c r="C819" s="1">
        <v>12.0</v>
      </c>
      <c r="D819" s="2"/>
      <c r="E819" s="2"/>
      <c r="F819" s="2"/>
      <c r="G819" s="2"/>
      <c r="H819" s="2"/>
    </row>
    <row r="820">
      <c r="A820" s="1" t="s">
        <v>480</v>
      </c>
      <c r="B820" s="1"/>
      <c r="C820" s="1">
        <v>0.0</v>
      </c>
      <c r="D820" s="2"/>
      <c r="E820" s="2"/>
      <c r="F820" s="2"/>
      <c r="G820" s="2"/>
      <c r="H820" s="2"/>
    </row>
    <row r="821">
      <c r="A821" s="1" t="s">
        <v>481</v>
      </c>
      <c r="B821" s="1"/>
      <c r="C821" s="1" t="s">
        <v>482</v>
      </c>
      <c r="D821" s="1">
        <v>95.0</v>
      </c>
      <c r="E821" s="2"/>
      <c r="F821" s="2"/>
      <c r="G821" s="2"/>
      <c r="H821" s="2"/>
    </row>
    <row r="822">
      <c r="A822" s="1" t="s">
        <v>483</v>
      </c>
      <c r="B822" s="1"/>
      <c r="C822" s="1">
        <v>0.0</v>
      </c>
      <c r="D822" s="2"/>
      <c r="E822" s="2"/>
      <c r="F822" s="2"/>
      <c r="G822" s="2"/>
      <c r="H822" s="2"/>
    </row>
    <row r="823">
      <c r="A823" s="1" t="s">
        <v>484</v>
      </c>
      <c r="B823" s="1"/>
      <c r="C823" s="1">
        <v>11.0</v>
      </c>
      <c r="D823" s="2"/>
      <c r="E823" s="2"/>
      <c r="F823" s="2"/>
      <c r="G823" s="2"/>
      <c r="H823" s="2"/>
    </row>
    <row r="824">
      <c r="A824" s="1" t="s">
        <v>485</v>
      </c>
      <c r="B824" s="1"/>
      <c r="C824" s="1">
        <v>0.0</v>
      </c>
      <c r="D824" s="2"/>
      <c r="E824" s="2"/>
      <c r="F824" s="2"/>
      <c r="G824" s="2"/>
      <c r="H824" s="2"/>
    </row>
    <row r="825">
      <c r="A825" s="1" t="s">
        <v>486</v>
      </c>
      <c r="B825" s="1"/>
      <c r="C825" s="1" t="s">
        <v>487</v>
      </c>
      <c r="D825" s="2"/>
      <c r="E825" s="2"/>
      <c r="F825" s="2"/>
      <c r="G825" s="2"/>
      <c r="H825" s="2"/>
    </row>
    <row r="826">
      <c r="A826" s="1" t="s">
        <v>488</v>
      </c>
      <c r="B826" s="1"/>
      <c r="C826" s="1">
        <v>31.0</v>
      </c>
      <c r="D826" s="2"/>
      <c r="E826" s="2"/>
      <c r="F826" s="2"/>
      <c r="G826" s="2"/>
      <c r="H826" s="2"/>
    </row>
    <row r="827">
      <c r="A827" s="1" t="s">
        <v>489</v>
      </c>
      <c r="B827" s="1"/>
      <c r="C827" s="2"/>
      <c r="D827" s="2"/>
      <c r="E827" s="2"/>
      <c r="F827" s="2"/>
      <c r="G827" s="2"/>
      <c r="H827" s="2"/>
    </row>
    <row r="828">
      <c r="A828" s="1" t="s">
        <v>490</v>
      </c>
      <c r="B828" s="1"/>
      <c r="C828" s="1">
        <v>0.0</v>
      </c>
      <c r="D828" s="2"/>
      <c r="E828" s="2"/>
      <c r="F828" s="2"/>
      <c r="G828" s="2"/>
      <c r="H828" s="2"/>
    </row>
    <row r="829">
      <c r="A829" s="1" t="s">
        <v>491</v>
      </c>
      <c r="B829" s="1"/>
      <c r="C829" s="1">
        <v>0.0</v>
      </c>
      <c r="D829" s="2"/>
      <c r="E829" s="2"/>
      <c r="F829" s="2"/>
      <c r="G829" s="2"/>
      <c r="H829" s="2"/>
    </row>
    <row r="830">
      <c r="A830" s="1" t="s">
        <v>492</v>
      </c>
      <c r="B830" s="1"/>
      <c r="C830" s="1">
        <v>0.0</v>
      </c>
      <c r="D830" s="2"/>
      <c r="E830" s="2"/>
      <c r="F830" s="2"/>
      <c r="G830" s="2"/>
      <c r="H830" s="2"/>
    </row>
    <row r="831">
      <c r="A831" s="1" t="s">
        <v>493</v>
      </c>
      <c r="B831" s="1"/>
      <c r="C831" s="1">
        <v>9.0</v>
      </c>
      <c r="D831" s="2"/>
      <c r="E831" s="2"/>
      <c r="F831" s="2"/>
      <c r="G831" s="2"/>
      <c r="H831" s="2"/>
    </row>
    <row r="832">
      <c r="A832" s="1" t="s">
        <v>494</v>
      </c>
      <c r="B832" s="1"/>
      <c r="C832" s="1">
        <v>0.0</v>
      </c>
      <c r="D832" s="2"/>
      <c r="E832" s="2"/>
      <c r="F832" s="2"/>
      <c r="G832" s="2"/>
      <c r="H832" s="2"/>
    </row>
    <row r="833">
      <c r="A833" s="1" t="s">
        <v>495</v>
      </c>
      <c r="B833" s="1"/>
      <c r="C833" s="1">
        <v>0.0</v>
      </c>
      <c r="D833" s="2"/>
      <c r="E833" s="2"/>
      <c r="F833" s="2"/>
      <c r="G833" s="2"/>
      <c r="H833" s="2"/>
    </row>
    <row r="834">
      <c r="A834" s="1" t="s">
        <v>496</v>
      </c>
      <c r="B834" s="1"/>
      <c r="C834" s="1">
        <v>80.0</v>
      </c>
      <c r="D834" s="2"/>
      <c r="E834" s="2"/>
      <c r="F834" s="2"/>
      <c r="G834" s="2"/>
      <c r="H834" s="2"/>
    </row>
    <row r="835">
      <c r="A835" s="1" t="s">
        <v>497</v>
      </c>
      <c r="B835" s="1"/>
      <c r="C835" s="1">
        <v>0.0</v>
      </c>
      <c r="D835" s="2"/>
      <c r="E835" s="2"/>
      <c r="F835" s="2"/>
      <c r="G835" s="2"/>
      <c r="H835" s="2"/>
    </row>
    <row r="836">
      <c r="A836" s="1" t="s">
        <v>498</v>
      </c>
      <c r="B836" s="1"/>
      <c r="C836" s="1">
        <v>14.0</v>
      </c>
      <c r="D836" s="2"/>
      <c r="E836" s="2"/>
      <c r="F836" s="2"/>
      <c r="G836" s="2"/>
      <c r="H836" s="2"/>
    </row>
    <row r="837">
      <c r="A837" s="1" t="s">
        <v>499</v>
      </c>
      <c r="B837" s="1"/>
      <c r="C837" s="1" t="s">
        <v>500</v>
      </c>
      <c r="D837" s="1">
        <v>18.0</v>
      </c>
      <c r="E837" s="2"/>
      <c r="F837" s="2"/>
      <c r="G837" s="2"/>
      <c r="H837" s="2"/>
    </row>
    <row r="838">
      <c r="A838" s="1" t="s">
        <v>501</v>
      </c>
      <c r="B838" s="1"/>
      <c r="C838" s="1" t="s">
        <v>502</v>
      </c>
      <c r="D838" s="2"/>
      <c r="E838" s="2"/>
      <c r="F838" s="2"/>
      <c r="G838" s="2"/>
      <c r="H838" s="2"/>
    </row>
    <row r="839">
      <c r="A839" s="1" t="s">
        <v>503</v>
      </c>
      <c r="B839" s="1"/>
      <c r="C839" s="1">
        <v>90.0</v>
      </c>
      <c r="D839" s="2"/>
      <c r="E839" s="2"/>
      <c r="F839" s="2"/>
      <c r="G839" s="2"/>
      <c r="H839" s="2"/>
    </row>
    <row r="840">
      <c r="A840" s="1" t="s">
        <v>504</v>
      </c>
      <c r="B840" s="1"/>
      <c r="C840" s="2"/>
      <c r="D840" s="2"/>
      <c r="E840" s="2"/>
      <c r="F840" s="2"/>
      <c r="G840" s="2"/>
      <c r="H840" s="2"/>
    </row>
    <row r="841">
      <c r="A841" s="1" t="s">
        <v>505</v>
      </c>
      <c r="B841" s="1"/>
      <c r="C841" s="1">
        <v>53.0</v>
      </c>
      <c r="D841" s="2"/>
      <c r="E841" s="2"/>
      <c r="F841" s="2"/>
      <c r="G841" s="2"/>
      <c r="H841" s="2"/>
    </row>
    <row r="842">
      <c r="A842" s="1" t="s">
        <v>506</v>
      </c>
      <c r="B842" s="1"/>
      <c r="C842" s="1">
        <v>82.0</v>
      </c>
      <c r="D842" s="2"/>
      <c r="E842" s="2"/>
      <c r="F842" s="2"/>
      <c r="G842" s="2"/>
      <c r="H842" s="2"/>
    </row>
    <row r="843">
      <c r="A843" s="1" t="s">
        <v>507</v>
      </c>
      <c r="B843" s="1"/>
      <c r="C843" s="1">
        <v>0.0</v>
      </c>
      <c r="D843" s="2"/>
      <c r="E843" s="2"/>
      <c r="F843" s="2"/>
      <c r="G843" s="2"/>
      <c r="H843" s="2"/>
    </row>
    <row r="844">
      <c r="A844" s="1" t="s">
        <v>508</v>
      </c>
      <c r="B844" s="1"/>
      <c r="C844" s="1">
        <v>70.0</v>
      </c>
      <c r="D844" s="2"/>
      <c r="E844" s="2"/>
      <c r="F844" s="2"/>
      <c r="G844" s="2"/>
      <c r="H844" s="2"/>
    </row>
    <row r="845">
      <c r="A845" s="1" t="s">
        <v>509</v>
      </c>
      <c r="B845" s="1"/>
      <c r="C845" s="1">
        <v>0.0</v>
      </c>
      <c r="D845" s="2"/>
      <c r="E845" s="2"/>
      <c r="F845" s="2"/>
      <c r="G845" s="2"/>
      <c r="H845" s="2"/>
    </row>
    <row r="846">
      <c r="A846" s="1" t="s">
        <v>510</v>
      </c>
      <c r="B846" s="1"/>
      <c r="C846" s="1">
        <v>0.0</v>
      </c>
      <c r="D846" s="2"/>
      <c r="E846" s="2"/>
      <c r="F846" s="2"/>
      <c r="G846" s="2"/>
      <c r="H846" s="2"/>
    </row>
    <row r="847">
      <c r="A847" s="1" t="s">
        <v>511</v>
      </c>
      <c r="B847" s="1"/>
      <c r="C847" s="1">
        <v>99.0</v>
      </c>
      <c r="D847" s="2"/>
      <c r="E847" s="2"/>
      <c r="F847" s="2"/>
      <c r="G847" s="2"/>
      <c r="H847" s="2"/>
    </row>
    <row r="848">
      <c r="A848" s="1" t="s">
        <v>512</v>
      </c>
      <c r="B848" s="1"/>
      <c r="C848" s="1">
        <v>15.0</v>
      </c>
      <c r="D848" s="2"/>
      <c r="E848" s="2"/>
      <c r="F848" s="2"/>
      <c r="G848" s="2"/>
      <c r="H848" s="2"/>
    </row>
    <row r="849">
      <c r="A849" s="1" t="s">
        <v>513</v>
      </c>
      <c r="B849" s="1"/>
      <c r="C849" s="1">
        <v>0.0</v>
      </c>
      <c r="D849" s="2"/>
      <c r="E849" s="2"/>
      <c r="F849" s="2"/>
      <c r="G849" s="2"/>
      <c r="H849" s="2"/>
    </row>
    <row r="850">
      <c r="A850" s="1" t="s">
        <v>514</v>
      </c>
      <c r="B850" s="1"/>
      <c r="C850" s="1">
        <v>0.0</v>
      </c>
      <c r="D850" s="2"/>
      <c r="E850" s="2"/>
      <c r="F850" s="2"/>
      <c r="G850" s="2"/>
      <c r="H850" s="2"/>
    </row>
    <row r="851">
      <c r="A851" s="1" t="s">
        <v>515</v>
      </c>
      <c r="B851" s="1"/>
      <c r="C851" s="1">
        <v>64.0</v>
      </c>
      <c r="D851" s="2"/>
      <c r="E851" s="2"/>
      <c r="F851" s="2"/>
      <c r="G851" s="2"/>
      <c r="H851" s="2"/>
    </row>
    <row r="852">
      <c r="A852" s="1" t="s">
        <v>516</v>
      </c>
      <c r="B852" s="1"/>
      <c r="C852" s="1">
        <v>0.0</v>
      </c>
      <c r="D852" s="2"/>
      <c r="E852" s="2"/>
      <c r="F852" s="2"/>
      <c r="G852" s="2"/>
      <c r="H852" s="2"/>
    </row>
    <row r="853">
      <c r="A853" s="1" t="s">
        <v>517</v>
      </c>
      <c r="B853" s="1"/>
      <c r="C853" s="1">
        <v>0.0</v>
      </c>
      <c r="D853" s="2"/>
      <c r="E853" s="2"/>
      <c r="F853" s="2"/>
      <c r="G853" s="2"/>
      <c r="H853" s="2"/>
    </row>
    <row r="854">
      <c r="A854" s="1" t="s">
        <v>518</v>
      </c>
      <c r="B854" s="1"/>
      <c r="C854" s="1">
        <v>0.0</v>
      </c>
      <c r="D854" s="2"/>
      <c r="E854" s="2"/>
      <c r="F854" s="2"/>
      <c r="G854" s="2"/>
      <c r="H854" s="2"/>
    </row>
    <row r="855">
      <c r="A855" s="1" t="s">
        <v>519</v>
      </c>
      <c r="B855" s="1"/>
      <c r="C855" s="1">
        <v>0.0</v>
      </c>
      <c r="D855" s="2"/>
      <c r="E855" s="2"/>
      <c r="F855" s="2"/>
      <c r="G855" s="2"/>
      <c r="H855" s="2"/>
    </row>
    <row r="856">
      <c r="A856" s="1" t="s">
        <v>520</v>
      </c>
      <c r="B856" s="1"/>
      <c r="C856" s="1">
        <v>0.0</v>
      </c>
      <c r="D856" s="2"/>
      <c r="E856" s="2"/>
      <c r="F856" s="2"/>
      <c r="G856" s="2"/>
      <c r="H856" s="2"/>
    </row>
    <row r="857">
      <c r="A857" s="1" t="s">
        <v>521</v>
      </c>
      <c r="B857" s="1"/>
      <c r="C857" s="1">
        <v>62.0</v>
      </c>
      <c r="D857" s="2"/>
      <c r="E857" s="2"/>
      <c r="F857" s="2"/>
      <c r="G857" s="2"/>
      <c r="H857" s="2"/>
    </row>
    <row r="858">
      <c r="A858" s="1" t="s">
        <v>522</v>
      </c>
      <c r="B858" s="1"/>
      <c r="C858" s="1">
        <v>82.0</v>
      </c>
      <c r="D858" s="2"/>
      <c r="E858" s="2"/>
      <c r="F858" s="2"/>
      <c r="G858" s="2"/>
      <c r="H858" s="2"/>
    </row>
    <row r="859">
      <c r="A859" s="1" t="s">
        <v>523</v>
      </c>
      <c r="B859" s="1"/>
      <c r="C859" s="1">
        <v>0.0</v>
      </c>
      <c r="D859" s="2"/>
      <c r="E859" s="2"/>
      <c r="F859" s="2"/>
      <c r="G859" s="2"/>
      <c r="H859" s="2"/>
    </row>
    <row r="860">
      <c r="A860" s="1" t="s">
        <v>524</v>
      </c>
      <c r="B860" s="1"/>
      <c r="C860" s="1">
        <v>60.0</v>
      </c>
      <c r="D860" s="2"/>
      <c r="E860" s="2"/>
      <c r="F860" s="2"/>
      <c r="G860" s="2"/>
      <c r="H860" s="2"/>
    </row>
    <row r="861">
      <c r="A861" s="1" t="s">
        <v>525</v>
      </c>
      <c r="B861" s="1"/>
      <c r="C861" s="1">
        <v>0.0</v>
      </c>
      <c r="D861" s="2"/>
      <c r="E861" s="2"/>
      <c r="F861" s="2"/>
      <c r="G861" s="2"/>
      <c r="H861" s="2"/>
    </row>
    <row r="862">
      <c r="A862" s="1" t="s">
        <v>526</v>
      </c>
      <c r="B862" s="1"/>
      <c r="C862" s="1">
        <v>90.0</v>
      </c>
      <c r="D862" s="2"/>
      <c r="E862" s="2"/>
      <c r="F862" s="2"/>
      <c r="G862" s="2"/>
      <c r="H862" s="2"/>
    </row>
    <row r="863">
      <c r="A863" s="1" t="s">
        <v>527</v>
      </c>
      <c r="B863" s="1"/>
      <c r="C863" s="1">
        <v>0.0</v>
      </c>
      <c r="D863" s="2"/>
      <c r="E863" s="2"/>
      <c r="F863" s="2"/>
      <c r="G863" s="2"/>
      <c r="H863" s="2"/>
    </row>
    <row r="864">
      <c r="A864" s="1" t="s">
        <v>528</v>
      </c>
      <c r="B864" s="1"/>
      <c r="C864" s="1">
        <v>0.0</v>
      </c>
      <c r="D864" s="2"/>
      <c r="E864" s="2"/>
      <c r="F864" s="2"/>
      <c r="G864" s="2"/>
      <c r="H864" s="2"/>
    </row>
    <row r="865">
      <c r="A865" s="1" t="s">
        <v>529</v>
      </c>
      <c r="B865" s="1"/>
      <c r="C865" s="1">
        <v>0.0</v>
      </c>
      <c r="D865" s="2"/>
      <c r="E865" s="2"/>
      <c r="F865" s="2"/>
      <c r="G865" s="2"/>
      <c r="H865" s="2"/>
    </row>
    <row r="866">
      <c r="A866" s="1" t="s">
        <v>530</v>
      </c>
      <c r="B866" s="1"/>
      <c r="C866" s="1">
        <v>0.0</v>
      </c>
      <c r="D866" s="2"/>
      <c r="E866" s="2"/>
      <c r="F866" s="2"/>
      <c r="G866" s="2"/>
      <c r="H866" s="2"/>
    </row>
    <row r="867">
      <c r="A867" s="1" t="s">
        <v>531</v>
      </c>
      <c r="B867" s="1"/>
      <c r="C867" s="1">
        <v>0.0</v>
      </c>
      <c r="D867" s="2"/>
      <c r="E867" s="2"/>
      <c r="F867" s="2"/>
      <c r="G867" s="2"/>
      <c r="H867" s="2"/>
    </row>
    <row r="868">
      <c r="A868" s="1" t="s">
        <v>532</v>
      </c>
      <c r="B868" s="1"/>
      <c r="C868" s="1">
        <v>24.0</v>
      </c>
      <c r="D868" s="2"/>
      <c r="E868" s="2"/>
      <c r="F868" s="2"/>
      <c r="G868" s="2"/>
      <c r="H868" s="2"/>
    </row>
    <row r="869">
      <c r="A869" s="1" t="s">
        <v>533</v>
      </c>
      <c r="B869" s="1"/>
      <c r="C869" s="1">
        <v>21.0</v>
      </c>
      <c r="D869" s="2"/>
      <c r="E869" s="2"/>
      <c r="F869" s="2"/>
      <c r="G869" s="2"/>
      <c r="H869" s="2"/>
    </row>
    <row r="870">
      <c r="A870" s="1" t="s">
        <v>534</v>
      </c>
      <c r="B870" s="1"/>
      <c r="C870" s="1">
        <v>0.0</v>
      </c>
      <c r="D870" s="2"/>
      <c r="E870" s="2"/>
      <c r="F870" s="2"/>
      <c r="G870" s="2"/>
      <c r="H870" s="2"/>
    </row>
    <row r="871">
      <c r="A871" s="1" t="s">
        <v>535</v>
      </c>
      <c r="B871" s="1"/>
      <c r="C871" s="1">
        <v>28.0</v>
      </c>
      <c r="D871" s="2"/>
      <c r="E871" s="2"/>
      <c r="F871" s="2"/>
      <c r="G871" s="2"/>
      <c r="H871" s="2"/>
    </row>
    <row r="872">
      <c r="A872" s="1" t="s">
        <v>536</v>
      </c>
      <c r="B872" s="1"/>
      <c r="C872" s="1">
        <v>0.0</v>
      </c>
      <c r="D872" s="2"/>
      <c r="E872" s="2"/>
      <c r="F872" s="2"/>
      <c r="G872" s="2"/>
      <c r="H872" s="2"/>
    </row>
    <row r="873">
      <c r="A873" s="1" t="s">
        <v>537</v>
      </c>
      <c r="B873" s="1"/>
      <c r="C873" s="1">
        <v>0.0</v>
      </c>
      <c r="D873" s="2"/>
      <c r="E873" s="2"/>
      <c r="F873" s="2"/>
      <c r="G873" s="2"/>
      <c r="H873" s="2"/>
    </row>
    <row r="874">
      <c r="A874" s="1" t="s">
        <v>538</v>
      </c>
      <c r="B874" s="1"/>
      <c r="C874" s="1">
        <v>50.0</v>
      </c>
      <c r="D874" s="2"/>
      <c r="E874" s="2"/>
      <c r="F874" s="2"/>
      <c r="G874" s="2"/>
      <c r="H874" s="2"/>
    </row>
    <row r="875">
      <c r="A875" s="1" t="s">
        <v>539</v>
      </c>
      <c r="B875" s="1"/>
      <c r="C875" s="1">
        <v>58.0</v>
      </c>
      <c r="D875" s="2"/>
      <c r="E875" s="2"/>
      <c r="F875" s="2"/>
      <c r="G875" s="2"/>
      <c r="H875" s="2"/>
    </row>
    <row r="876">
      <c r="A876" s="1" t="s">
        <v>540</v>
      </c>
      <c r="B876" s="1"/>
      <c r="C876" s="1">
        <v>0.0</v>
      </c>
      <c r="D876" s="2"/>
      <c r="E876" s="2"/>
      <c r="F876" s="2"/>
      <c r="G876" s="2"/>
      <c r="H876" s="2"/>
    </row>
    <row r="877">
      <c r="A877" s="1" t="s">
        <v>541</v>
      </c>
      <c r="B877" s="1"/>
      <c r="C877" s="1">
        <v>0.0</v>
      </c>
      <c r="D877" s="2"/>
      <c r="E877" s="2"/>
      <c r="F877" s="2"/>
      <c r="G877" s="2"/>
      <c r="H877" s="2"/>
    </row>
    <row r="878">
      <c r="A878" s="1" t="s">
        <v>542</v>
      </c>
      <c r="B878" s="1"/>
      <c r="C878" s="1">
        <v>0.0</v>
      </c>
      <c r="D878" s="2"/>
      <c r="E878" s="2"/>
      <c r="F878" s="2"/>
      <c r="G878" s="2"/>
      <c r="H878" s="2"/>
    </row>
    <row r="879">
      <c r="A879" s="1" t="s">
        <v>543</v>
      </c>
      <c r="B879" s="1"/>
      <c r="C879" s="1">
        <v>0.0</v>
      </c>
      <c r="D879" s="2"/>
      <c r="E879" s="2"/>
      <c r="F879" s="2"/>
      <c r="G879" s="2"/>
      <c r="H879" s="2"/>
    </row>
    <row r="880">
      <c r="A880" s="1" t="s">
        <v>544</v>
      </c>
      <c r="B880" s="1"/>
      <c r="C880" s="1">
        <v>85.0</v>
      </c>
      <c r="D880" s="2"/>
      <c r="E880" s="2"/>
      <c r="F880" s="2"/>
      <c r="G880" s="2"/>
      <c r="H880" s="2"/>
    </row>
    <row r="881">
      <c r="A881" s="1" t="s">
        <v>545</v>
      </c>
      <c r="B881" s="1"/>
      <c r="C881" s="1">
        <v>0.0</v>
      </c>
      <c r="D881" s="2"/>
      <c r="E881" s="2"/>
      <c r="F881" s="2"/>
      <c r="G881" s="2"/>
      <c r="H881" s="2"/>
    </row>
    <row r="882">
      <c r="A882" s="1" t="s">
        <v>546</v>
      </c>
      <c r="B882" s="1"/>
      <c r="C882" s="1">
        <v>5.0</v>
      </c>
      <c r="D882" s="2"/>
      <c r="E882" s="2"/>
      <c r="F882" s="2"/>
      <c r="G882" s="2"/>
      <c r="H882" s="2"/>
    </row>
    <row r="883">
      <c r="A883" s="1" t="s">
        <v>547</v>
      </c>
      <c r="B883" s="1"/>
      <c r="C883" s="1">
        <v>0.0</v>
      </c>
      <c r="D883" s="2"/>
      <c r="E883" s="2"/>
      <c r="F883" s="2"/>
      <c r="G883" s="2"/>
      <c r="H883" s="2"/>
    </row>
    <row r="884">
      <c r="A884" s="1" t="s">
        <v>548</v>
      </c>
      <c r="B884" s="1"/>
      <c r="C884" s="1">
        <v>0.0</v>
      </c>
      <c r="D884" s="2"/>
      <c r="E884" s="2"/>
      <c r="F884" s="2"/>
      <c r="G884" s="2"/>
      <c r="H884" s="2"/>
    </row>
    <row r="885">
      <c r="A885" s="1" t="s">
        <v>549</v>
      </c>
      <c r="B885" s="1"/>
      <c r="C885" s="1" t="s">
        <v>550</v>
      </c>
      <c r="D885" s="1">
        <v>0.0</v>
      </c>
      <c r="E885" s="2"/>
      <c r="F885" s="2"/>
      <c r="G885" s="2"/>
      <c r="H885" s="2"/>
    </row>
    <row r="886">
      <c r="A886" s="1" t="s">
        <v>551</v>
      </c>
      <c r="B886" s="1"/>
      <c r="C886" s="1" t="s">
        <v>552</v>
      </c>
      <c r="D886" s="1">
        <v>18.0</v>
      </c>
      <c r="E886" s="2"/>
      <c r="F886" s="2"/>
      <c r="G886" s="2"/>
      <c r="H886" s="2"/>
    </row>
    <row r="887">
      <c r="A887" s="1" t="s">
        <v>553</v>
      </c>
      <c r="B887" s="1"/>
      <c r="C887" s="1">
        <v>0.0</v>
      </c>
      <c r="D887" s="2"/>
      <c r="E887" s="2"/>
      <c r="F887" s="2"/>
      <c r="G887" s="2"/>
      <c r="H887" s="2"/>
    </row>
    <row r="888">
      <c r="A888" s="1" t="s">
        <v>554</v>
      </c>
      <c r="B888" s="1"/>
      <c r="C888" s="1">
        <v>0.0</v>
      </c>
      <c r="D888" s="2"/>
      <c r="E888" s="2"/>
      <c r="F888" s="2"/>
      <c r="G888" s="2"/>
      <c r="H888" s="2"/>
    </row>
    <row r="889">
      <c r="A889" s="1" t="s">
        <v>555</v>
      </c>
      <c r="B889" s="1"/>
      <c r="C889" s="1">
        <v>46.0</v>
      </c>
      <c r="D889" s="2"/>
      <c r="E889" s="2"/>
      <c r="F889" s="2"/>
      <c r="G889" s="2"/>
      <c r="H889" s="2"/>
    </row>
    <row r="890">
      <c r="A890" s="1" t="s">
        <v>556</v>
      </c>
      <c r="B890" s="1"/>
      <c r="C890" s="1">
        <v>0.0</v>
      </c>
      <c r="D890" s="2"/>
      <c r="E890" s="2"/>
      <c r="F890" s="2"/>
      <c r="G890" s="2"/>
      <c r="H890" s="2"/>
    </row>
    <row r="891">
      <c r="A891" s="1" t="s">
        <v>557</v>
      </c>
      <c r="B891" s="1"/>
      <c r="C891" s="1">
        <v>0.0</v>
      </c>
      <c r="D891" s="2"/>
      <c r="E891" s="2"/>
      <c r="F891" s="2"/>
      <c r="G891" s="2"/>
      <c r="H891" s="2"/>
    </row>
    <row r="892">
      <c r="A892" s="1" t="s">
        <v>558</v>
      </c>
      <c r="B892" s="1"/>
      <c r="C892" s="1">
        <v>0.0</v>
      </c>
      <c r="D892" s="2"/>
      <c r="E892" s="2"/>
      <c r="F892" s="2"/>
      <c r="G892" s="2"/>
      <c r="H892" s="2"/>
    </row>
    <row r="893">
      <c r="A893" s="1" t="s">
        <v>559</v>
      </c>
      <c r="B893" s="1"/>
      <c r="C893" s="1">
        <v>0.0</v>
      </c>
      <c r="D893" s="2"/>
      <c r="E893" s="2"/>
      <c r="F893" s="2"/>
      <c r="G893" s="2"/>
      <c r="H893" s="2"/>
    </row>
    <row r="894">
      <c r="A894" s="1" t="s">
        <v>560</v>
      </c>
      <c r="B894" s="1"/>
      <c r="C894" s="1">
        <v>58.0</v>
      </c>
      <c r="D894" s="2"/>
      <c r="E894" s="2"/>
      <c r="F894" s="2"/>
      <c r="G894" s="2"/>
      <c r="H894" s="2"/>
    </row>
    <row r="895">
      <c r="A895" s="1" t="s">
        <v>561</v>
      </c>
      <c r="B895" s="1"/>
      <c r="C895" s="1">
        <v>0.0</v>
      </c>
      <c r="D895" s="2"/>
      <c r="E895" s="2"/>
      <c r="F895" s="2"/>
      <c r="G895" s="2"/>
      <c r="H895" s="2"/>
    </row>
    <row r="896">
      <c r="A896" s="1" t="s">
        <v>562</v>
      </c>
      <c r="B896" s="1"/>
      <c r="C896" s="1">
        <v>60.0</v>
      </c>
      <c r="D896" s="2"/>
      <c r="E896" s="2"/>
      <c r="F896" s="2"/>
      <c r="G896" s="2"/>
      <c r="H896" s="2"/>
    </row>
    <row r="897">
      <c r="A897" s="1" t="s">
        <v>563</v>
      </c>
      <c r="B897" s="1"/>
      <c r="C897" s="1">
        <v>0.0</v>
      </c>
      <c r="D897" s="2"/>
      <c r="E897" s="2"/>
      <c r="F897" s="2"/>
      <c r="G897" s="2"/>
      <c r="H897" s="2"/>
    </row>
    <row r="898">
      <c r="A898" s="1" t="s">
        <v>564</v>
      </c>
      <c r="B898" s="1"/>
      <c r="C898" s="1">
        <v>21.0</v>
      </c>
      <c r="D898" s="2"/>
      <c r="E898" s="2"/>
      <c r="F898" s="2"/>
      <c r="G898" s="2"/>
      <c r="H898" s="2"/>
    </row>
    <row r="899">
      <c r="A899" s="1" t="s">
        <v>565</v>
      </c>
      <c r="B899" s="1"/>
      <c r="C899" s="1">
        <v>0.0</v>
      </c>
      <c r="D899" s="2"/>
      <c r="E899" s="2"/>
      <c r="F899" s="2"/>
      <c r="G899" s="2"/>
      <c r="H899" s="2"/>
    </row>
    <row r="900">
      <c r="A900" s="1" t="s">
        <v>566</v>
      </c>
      <c r="B900" s="1"/>
      <c r="C900" s="1">
        <v>0.0</v>
      </c>
      <c r="D900" s="2"/>
      <c r="E900" s="2"/>
      <c r="F900" s="2"/>
      <c r="G900" s="2"/>
      <c r="H900" s="2"/>
    </row>
    <row r="901">
      <c r="A901" s="1" t="s">
        <v>567</v>
      </c>
      <c r="B901" s="1"/>
      <c r="C901" s="1">
        <v>0.0</v>
      </c>
      <c r="D901" s="2"/>
      <c r="E901" s="2"/>
      <c r="F901" s="2"/>
      <c r="G901" s="2"/>
      <c r="H901" s="2"/>
    </row>
    <row r="902">
      <c r="A902" s="1" t="s">
        <v>568</v>
      </c>
      <c r="B902" s="1"/>
      <c r="C902" s="1">
        <v>60.0</v>
      </c>
      <c r="D902" s="2"/>
      <c r="E902" s="2"/>
      <c r="F902" s="2"/>
      <c r="G902" s="2"/>
      <c r="H902" s="2"/>
    </row>
    <row r="903">
      <c r="A903" s="1" t="s">
        <v>569</v>
      </c>
      <c r="B903" s="1"/>
      <c r="C903" s="1">
        <v>50.0</v>
      </c>
      <c r="D903" s="2"/>
      <c r="E903" s="2"/>
      <c r="F903" s="2"/>
      <c r="G903" s="2"/>
      <c r="H903" s="2"/>
    </row>
    <row r="904">
      <c r="A904" s="1" t="s">
        <v>570</v>
      </c>
      <c r="B904" s="1"/>
      <c r="C904" s="1">
        <v>30.0</v>
      </c>
      <c r="D904" s="2"/>
      <c r="E904" s="2"/>
      <c r="F904" s="2"/>
      <c r="G904" s="2"/>
      <c r="H904" s="2"/>
    </row>
    <row r="905">
      <c r="A905" s="1" t="s">
        <v>571</v>
      </c>
      <c r="B905" s="1"/>
      <c r="C905" s="1">
        <v>0.0</v>
      </c>
      <c r="D905" s="2"/>
      <c r="E905" s="2"/>
      <c r="F905" s="2"/>
      <c r="G905" s="2"/>
      <c r="H905" s="2"/>
    </row>
    <row r="906">
      <c r="A906" s="1" t="s">
        <v>572</v>
      </c>
      <c r="B906" s="1"/>
      <c r="C906" s="1">
        <v>0.0</v>
      </c>
      <c r="D906" s="2"/>
      <c r="E906" s="2"/>
      <c r="F906" s="2"/>
      <c r="G906" s="2"/>
      <c r="H906" s="2"/>
    </row>
    <row r="907">
      <c r="A907" s="1" t="s">
        <v>573</v>
      </c>
      <c r="B907" s="1"/>
      <c r="C907" s="1" t="s">
        <v>574</v>
      </c>
      <c r="D907" s="1">
        <v>0.0</v>
      </c>
      <c r="E907" s="2"/>
      <c r="F907" s="2"/>
      <c r="G907" s="2"/>
      <c r="H907" s="2"/>
    </row>
    <row r="908">
      <c r="A908" s="1" t="s">
        <v>575</v>
      </c>
      <c r="B908" s="1"/>
      <c r="C908" s="1">
        <v>0.0</v>
      </c>
      <c r="D908" s="2"/>
      <c r="E908" s="2"/>
      <c r="F908" s="2"/>
      <c r="G908" s="2"/>
      <c r="H908" s="2"/>
    </row>
    <row r="909">
      <c r="A909" s="1" t="s">
        <v>576</v>
      </c>
      <c r="B909" s="1"/>
      <c r="C909" s="1">
        <v>0.0</v>
      </c>
      <c r="D909" s="2"/>
      <c r="E909" s="2"/>
      <c r="F909" s="2"/>
      <c r="G909" s="2"/>
      <c r="H909" s="2"/>
    </row>
    <row r="910">
      <c r="A910" s="1" t="s">
        <v>577</v>
      </c>
      <c r="B910" s="1"/>
      <c r="C910" s="1">
        <v>0.0</v>
      </c>
      <c r="D910" s="2"/>
      <c r="E910" s="2"/>
      <c r="F910" s="2"/>
      <c r="G910" s="2"/>
      <c r="H910" s="2"/>
    </row>
    <row r="911">
      <c r="A911" s="1" t="s">
        <v>578</v>
      </c>
      <c r="B911" s="1"/>
      <c r="C911" s="1">
        <v>0.0</v>
      </c>
      <c r="D911" s="2"/>
      <c r="E911" s="2"/>
      <c r="F911" s="2"/>
      <c r="G911" s="2"/>
      <c r="H911" s="2"/>
    </row>
    <row r="912">
      <c r="A912" s="1" t="s">
        <v>579</v>
      </c>
      <c r="B912" s="1"/>
      <c r="C912" s="1">
        <v>0.0</v>
      </c>
      <c r="D912" s="2"/>
      <c r="E912" s="2"/>
      <c r="F912" s="2"/>
      <c r="G912" s="2"/>
      <c r="H912" s="2"/>
    </row>
    <row r="913">
      <c r="A913" s="1" t="s">
        <v>580</v>
      </c>
      <c r="B913" s="1"/>
      <c r="C913" s="1">
        <v>0.0</v>
      </c>
      <c r="D913" s="2"/>
      <c r="E913" s="2"/>
      <c r="F913" s="2"/>
      <c r="G913" s="2"/>
      <c r="H913" s="2"/>
    </row>
    <row r="914">
      <c r="A914" s="1" t="s">
        <v>581</v>
      </c>
      <c r="B914" s="1"/>
      <c r="C914" s="1">
        <v>0.0</v>
      </c>
      <c r="D914" s="2"/>
      <c r="E914" s="2"/>
      <c r="F914" s="2"/>
      <c r="G914" s="2"/>
      <c r="H914" s="2"/>
    </row>
    <row r="915">
      <c r="A915" s="1" t="s">
        <v>510</v>
      </c>
      <c r="B915" s="1"/>
      <c r="C915" s="1">
        <v>0.0</v>
      </c>
      <c r="D915" s="2"/>
      <c r="E915" s="2"/>
      <c r="F915" s="2"/>
      <c r="G915" s="2"/>
      <c r="H915" s="2"/>
    </row>
    <row r="916">
      <c r="A916" s="1" t="s">
        <v>511</v>
      </c>
      <c r="B916" s="1"/>
      <c r="C916" s="1">
        <v>99.0</v>
      </c>
      <c r="D916" s="2"/>
      <c r="E916" s="2"/>
      <c r="F916" s="2"/>
      <c r="G916" s="2"/>
      <c r="H916" s="2"/>
    </row>
    <row r="917">
      <c r="A917" s="1" t="s">
        <v>512</v>
      </c>
      <c r="B917" s="1"/>
      <c r="C917" s="1">
        <v>15.0</v>
      </c>
      <c r="D917" s="2"/>
      <c r="E917" s="2"/>
      <c r="F917" s="2"/>
      <c r="G917" s="2"/>
      <c r="H917" s="2"/>
    </row>
    <row r="918">
      <c r="A918" s="1" t="s">
        <v>513</v>
      </c>
      <c r="B918" s="1"/>
      <c r="C918" s="1">
        <v>0.0</v>
      </c>
      <c r="D918" s="2"/>
      <c r="E918" s="2"/>
      <c r="F918" s="2"/>
      <c r="G918" s="2"/>
      <c r="H918" s="2"/>
    </row>
    <row r="919">
      <c r="A919" s="1" t="s">
        <v>514</v>
      </c>
      <c r="B919" s="1"/>
      <c r="C919" s="1">
        <v>0.0</v>
      </c>
      <c r="D919" s="2"/>
      <c r="E919" s="2"/>
      <c r="F919" s="2"/>
      <c r="G919" s="2"/>
      <c r="H919" s="2"/>
    </row>
    <row r="920">
      <c r="A920" s="1" t="s">
        <v>515</v>
      </c>
      <c r="B920" s="1"/>
      <c r="C920" s="1">
        <v>64.0</v>
      </c>
      <c r="D920" s="2"/>
      <c r="E920" s="2"/>
      <c r="F920" s="2"/>
      <c r="G920" s="2"/>
      <c r="H920" s="2"/>
    </row>
    <row r="921">
      <c r="A921" s="1" t="s">
        <v>516</v>
      </c>
      <c r="B921" s="1"/>
      <c r="C921" s="1">
        <v>0.0</v>
      </c>
      <c r="D921" s="2"/>
      <c r="E921" s="2"/>
      <c r="F921" s="2"/>
      <c r="G921" s="2"/>
      <c r="H921" s="2"/>
    </row>
    <row r="922">
      <c r="A922" s="1" t="s">
        <v>517</v>
      </c>
      <c r="B922" s="1"/>
      <c r="C922" s="1">
        <v>0.0</v>
      </c>
      <c r="D922" s="2"/>
      <c r="E922" s="2"/>
      <c r="F922" s="2"/>
      <c r="G922" s="2"/>
      <c r="H922" s="2"/>
    </row>
    <row r="923">
      <c r="A923" s="1" t="s">
        <v>518</v>
      </c>
      <c r="B923" s="1"/>
      <c r="C923" s="1">
        <v>0.0</v>
      </c>
      <c r="D923" s="2"/>
      <c r="E923" s="2"/>
      <c r="F923" s="2"/>
      <c r="G923" s="2"/>
      <c r="H923" s="2"/>
    </row>
    <row r="924">
      <c r="A924" s="1" t="s">
        <v>519</v>
      </c>
      <c r="B924" s="1"/>
      <c r="C924" s="1">
        <v>0.0</v>
      </c>
      <c r="D924" s="2"/>
      <c r="E924" s="2"/>
      <c r="F924" s="2"/>
      <c r="G924" s="2"/>
      <c r="H924" s="2"/>
    </row>
    <row r="925">
      <c r="A925" s="1" t="s">
        <v>520</v>
      </c>
      <c r="B925" s="1"/>
      <c r="C925" s="1">
        <v>0.0</v>
      </c>
      <c r="D925" s="2"/>
      <c r="E925" s="2"/>
      <c r="F925" s="2"/>
      <c r="G925" s="2"/>
      <c r="H925" s="2"/>
    </row>
    <row r="926">
      <c r="A926" s="1" t="s">
        <v>521</v>
      </c>
      <c r="B926" s="1"/>
      <c r="C926" s="1">
        <v>62.0</v>
      </c>
      <c r="D926" s="2"/>
      <c r="E926" s="2"/>
      <c r="F926" s="2"/>
      <c r="G926" s="2"/>
      <c r="H926" s="2"/>
    </row>
    <row r="927">
      <c r="A927" s="1" t="s">
        <v>522</v>
      </c>
      <c r="B927" s="1"/>
      <c r="C927" s="1">
        <v>82.0</v>
      </c>
      <c r="D927" s="2"/>
      <c r="E927" s="2"/>
      <c r="F927" s="2"/>
      <c r="G927" s="2"/>
      <c r="H927" s="2"/>
    </row>
    <row r="928">
      <c r="A928" s="1" t="s">
        <v>523</v>
      </c>
      <c r="B928" s="1"/>
      <c r="C928" s="1">
        <v>0.0</v>
      </c>
      <c r="D928" s="2"/>
      <c r="E928" s="2"/>
      <c r="F928" s="2"/>
      <c r="G928" s="2"/>
      <c r="H928" s="2"/>
    </row>
    <row r="929">
      <c r="A929" s="1" t="s">
        <v>524</v>
      </c>
      <c r="B929" s="1"/>
      <c r="C929" s="1">
        <v>60.0</v>
      </c>
      <c r="D929" s="2"/>
      <c r="E929" s="2"/>
      <c r="F929" s="2"/>
      <c r="G929" s="2"/>
      <c r="H929" s="2"/>
    </row>
    <row r="930">
      <c r="A930" s="1" t="s">
        <v>525</v>
      </c>
      <c r="B930" s="1"/>
      <c r="C930" s="1">
        <v>0.0</v>
      </c>
      <c r="D930" s="2"/>
      <c r="E930" s="2"/>
      <c r="F930" s="2"/>
      <c r="G930" s="2"/>
      <c r="H930" s="2"/>
    </row>
    <row r="931">
      <c r="A931" s="1" t="s">
        <v>526</v>
      </c>
      <c r="B931" s="1"/>
      <c r="C931" s="1">
        <v>90.0</v>
      </c>
      <c r="D931" s="2"/>
      <c r="E931" s="2"/>
      <c r="F931" s="2"/>
      <c r="G931" s="2"/>
      <c r="H931" s="2"/>
    </row>
    <row r="932">
      <c r="A932" s="1" t="s">
        <v>527</v>
      </c>
      <c r="B932" s="1"/>
      <c r="C932" s="1">
        <v>0.0</v>
      </c>
      <c r="D932" s="2"/>
      <c r="E932" s="2"/>
      <c r="F932" s="2"/>
      <c r="G932" s="2"/>
      <c r="H932" s="2"/>
    </row>
    <row r="933">
      <c r="A933" s="1" t="s">
        <v>528</v>
      </c>
      <c r="B933" s="1"/>
      <c r="C933" s="1">
        <v>0.0</v>
      </c>
      <c r="D933" s="2"/>
      <c r="E933" s="2"/>
      <c r="F933" s="2"/>
      <c r="G933" s="2"/>
      <c r="H933" s="2"/>
    </row>
    <row r="934">
      <c r="A934" s="1" t="s">
        <v>529</v>
      </c>
      <c r="B934" s="1"/>
      <c r="C934" s="1">
        <v>0.0</v>
      </c>
      <c r="D934" s="2"/>
      <c r="E934" s="2"/>
      <c r="F934" s="2"/>
      <c r="G934" s="2"/>
      <c r="H934" s="2"/>
    </row>
    <row r="935">
      <c r="A935" s="1" t="s">
        <v>530</v>
      </c>
      <c r="B935" s="1"/>
      <c r="C935" s="1">
        <v>0.0</v>
      </c>
      <c r="D935" s="2"/>
      <c r="E935" s="2"/>
      <c r="F935" s="2"/>
      <c r="G935" s="2"/>
      <c r="H935" s="2"/>
    </row>
    <row r="936">
      <c r="A936" s="1" t="s">
        <v>531</v>
      </c>
      <c r="B936" s="1"/>
      <c r="C936" s="1">
        <v>0.0</v>
      </c>
      <c r="D936" s="2"/>
      <c r="E936" s="2"/>
      <c r="F936" s="2"/>
      <c r="G936" s="2"/>
      <c r="H936" s="2"/>
    </row>
    <row r="937">
      <c r="A937" s="1" t="s">
        <v>532</v>
      </c>
      <c r="B937" s="1"/>
      <c r="C937" s="1">
        <v>24.0</v>
      </c>
      <c r="D937" s="2"/>
      <c r="E937" s="2"/>
      <c r="F937" s="2"/>
      <c r="G937" s="2"/>
      <c r="H937" s="2"/>
    </row>
    <row r="938">
      <c r="A938" s="1" t="s">
        <v>533</v>
      </c>
      <c r="B938" s="1"/>
      <c r="C938" s="1">
        <v>21.0</v>
      </c>
      <c r="D938" s="2"/>
      <c r="E938" s="2"/>
      <c r="F938" s="2"/>
      <c r="G938" s="2"/>
      <c r="H938" s="2"/>
    </row>
    <row r="939">
      <c r="A939" s="1" t="s">
        <v>534</v>
      </c>
      <c r="B939" s="1"/>
      <c r="C939" s="1">
        <v>0.0</v>
      </c>
      <c r="D939" s="2"/>
      <c r="E939" s="2"/>
      <c r="F939" s="2"/>
      <c r="G939" s="2"/>
      <c r="H939" s="2"/>
    </row>
    <row r="940">
      <c r="A940" s="1" t="s">
        <v>535</v>
      </c>
      <c r="B940" s="1"/>
      <c r="C940" s="1">
        <v>28.0</v>
      </c>
      <c r="D940" s="2"/>
      <c r="E940" s="2"/>
      <c r="F940" s="2"/>
      <c r="G940" s="2"/>
      <c r="H940" s="2"/>
    </row>
    <row r="941">
      <c r="A941" s="1" t="s">
        <v>536</v>
      </c>
      <c r="B941" s="1"/>
      <c r="C941" s="1">
        <v>0.0</v>
      </c>
      <c r="D941" s="2"/>
      <c r="E941" s="2"/>
      <c r="F941" s="2"/>
      <c r="G941" s="2"/>
      <c r="H941" s="2"/>
    </row>
    <row r="942">
      <c r="A942" s="1" t="s">
        <v>537</v>
      </c>
      <c r="B942" s="1"/>
      <c r="C942" s="1">
        <v>0.0</v>
      </c>
      <c r="D942" s="2"/>
      <c r="E942" s="2"/>
      <c r="F942" s="2"/>
      <c r="G942" s="2"/>
      <c r="H942" s="2"/>
    </row>
    <row r="943">
      <c r="A943" s="1" t="s">
        <v>538</v>
      </c>
      <c r="B943" s="1"/>
      <c r="C943" s="1">
        <v>50.0</v>
      </c>
      <c r="D943" s="2"/>
      <c r="E943" s="2"/>
      <c r="F943" s="2"/>
      <c r="G943" s="2"/>
      <c r="H943" s="2"/>
    </row>
    <row r="944">
      <c r="A944" s="1" t="s">
        <v>539</v>
      </c>
      <c r="B944" s="1"/>
      <c r="C944" s="1">
        <v>58.0</v>
      </c>
      <c r="D944" s="2"/>
      <c r="E944" s="2"/>
      <c r="F944" s="2"/>
      <c r="G944" s="2"/>
      <c r="H944" s="2"/>
    </row>
    <row r="945">
      <c r="A945" s="1" t="s">
        <v>540</v>
      </c>
      <c r="B945" s="1"/>
      <c r="C945" s="1">
        <v>0.0</v>
      </c>
      <c r="D945" s="2"/>
      <c r="E945" s="2"/>
      <c r="F945" s="2"/>
      <c r="G945" s="2"/>
      <c r="H945" s="2"/>
    </row>
    <row r="946">
      <c r="A946" s="1" t="s">
        <v>541</v>
      </c>
      <c r="B946" s="1"/>
      <c r="C946" s="1">
        <v>0.0</v>
      </c>
      <c r="D946" s="2"/>
      <c r="E946" s="2"/>
      <c r="F946" s="2"/>
      <c r="G946" s="2"/>
      <c r="H946" s="2"/>
    </row>
    <row r="947">
      <c r="A947" s="1" t="s">
        <v>542</v>
      </c>
      <c r="B947" s="1"/>
      <c r="C947" s="1">
        <v>0.0</v>
      </c>
      <c r="D947" s="2"/>
      <c r="E947" s="2"/>
      <c r="F947" s="2"/>
      <c r="G947" s="2"/>
      <c r="H947" s="2"/>
    </row>
    <row r="948">
      <c r="A948" s="1" t="s">
        <v>543</v>
      </c>
      <c r="B948" s="1"/>
      <c r="C948" s="1">
        <v>0.0</v>
      </c>
      <c r="D948" s="2"/>
      <c r="E948" s="2"/>
      <c r="F948" s="2"/>
      <c r="G948" s="2"/>
      <c r="H948" s="2"/>
    </row>
    <row r="949">
      <c r="A949" s="1" t="s">
        <v>544</v>
      </c>
      <c r="B949" s="1"/>
      <c r="C949" s="1">
        <v>85.0</v>
      </c>
      <c r="D949" s="2"/>
      <c r="E949" s="2"/>
      <c r="F949" s="2"/>
      <c r="G949" s="2"/>
      <c r="H949" s="2"/>
    </row>
    <row r="950">
      <c r="A950" s="1" t="s">
        <v>545</v>
      </c>
      <c r="B950" s="1"/>
      <c r="C950" s="1">
        <v>0.0</v>
      </c>
      <c r="D950" s="2"/>
      <c r="E950" s="2"/>
      <c r="F950" s="2"/>
      <c r="G950" s="2"/>
      <c r="H950" s="2"/>
    </row>
    <row r="951">
      <c r="A951" s="1" t="s">
        <v>546</v>
      </c>
      <c r="B951" s="1"/>
      <c r="C951" s="1">
        <v>5.0</v>
      </c>
      <c r="D951" s="2"/>
      <c r="E951" s="2"/>
      <c r="F951" s="2"/>
      <c r="G951" s="2"/>
      <c r="H951" s="2"/>
    </row>
    <row r="952">
      <c r="A952" s="1" t="s">
        <v>547</v>
      </c>
      <c r="B952" s="1"/>
      <c r="C952" s="1">
        <v>0.0</v>
      </c>
      <c r="D952" s="2"/>
      <c r="E952" s="2"/>
      <c r="F952" s="2"/>
      <c r="G952" s="2"/>
      <c r="H952" s="2"/>
    </row>
    <row r="953">
      <c r="A953" s="1" t="s">
        <v>548</v>
      </c>
      <c r="B953" s="1"/>
      <c r="C953" s="1">
        <v>0.0</v>
      </c>
      <c r="D953" s="2"/>
      <c r="E953" s="2"/>
      <c r="F953" s="2"/>
      <c r="G953" s="2"/>
      <c r="H953" s="2"/>
    </row>
    <row r="954">
      <c r="A954" s="1" t="s">
        <v>549</v>
      </c>
      <c r="B954" s="1"/>
      <c r="C954" s="1" t="s">
        <v>550</v>
      </c>
      <c r="D954" s="1">
        <v>0.0</v>
      </c>
      <c r="E954" s="2"/>
      <c r="F954" s="2"/>
      <c r="G954" s="2"/>
      <c r="H954" s="2"/>
    </row>
    <row r="955">
      <c r="A955" s="1" t="s">
        <v>551</v>
      </c>
      <c r="B955" s="1"/>
      <c r="C955" s="1" t="s">
        <v>552</v>
      </c>
      <c r="D955" s="1">
        <v>18.0</v>
      </c>
      <c r="E955" s="2"/>
      <c r="F955" s="2"/>
      <c r="G955" s="2"/>
      <c r="H955" s="2"/>
    </row>
    <row r="956">
      <c r="A956" s="1" t="s">
        <v>553</v>
      </c>
      <c r="B956" s="1"/>
      <c r="C956" s="1">
        <v>0.0</v>
      </c>
      <c r="D956" s="2"/>
      <c r="E956" s="2"/>
      <c r="F956" s="2"/>
      <c r="G956" s="2"/>
      <c r="H956" s="2"/>
    </row>
    <row r="957">
      <c r="A957" s="1" t="s">
        <v>554</v>
      </c>
      <c r="B957" s="1"/>
      <c r="C957" s="1">
        <v>0.0</v>
      </c>
      <c r="D957" s="2"/>
      <c r="E957" s="2"/>
      <c r="F957" s="2"/>
      <c r="G957" s="2"/>
      <c r="H957" s="2"/>
    </row>
    <row r="958">
      <c r="A958" s="1" t="s">
        <v>555</v>
      </c>
      <c r="B958" s="1"/>
      <c r="C958" s="1">
        <v>46.0</v>
      </c>
      <c r="D958" s="2"/>
      <c r="E958" s="2"/>
      <c r="F958" s="2"/>
      <c r="G958" s="2"/>
      <c r="H958" s="2"/>
    </row>
    <row r="959">
      <c r="A959" s="1" t="s">
        <v>556</v>
      </c>
      <c r="B959" s="1"/>
      <c r="C959" s="1">
        <v>0.0</v>
      </c>
      <c r="D959" s="2"/>
      <c r="E959" s="2"/>
      <c r="F959" s="2"/>
      <c r="G959" s="2"/>
      <c r="H959" s="2"/>
    </row>
    <row r="960">
      <c r="A960" s="1" t="s">
        <v>557</v>
      </c>
      <c r="B960" s="1"/>
      <c r="C960" s="1">
        <v>0.0</v>
      </c>
      <c r="D960" s="2"/>
      <c r="E960" s="2"/>
      <c r="F960" s="2"/>
      <c r="G960" s="2"/>
      <c r="H960" s="2"/>
    </row>
    <row r="961">
      <c r="A961" s="1" t="s">
        <v>558</v>
      </c>
      <c r="B961" s="1"/>
      <c r="C961" s="1">
        <v>0.0</v>
      </c>
      <c r="D961" s="2"/>
      <c r="E961" s="2"/>
      <c r="F961" s="2"/>
      <c r="G961" s="2"/>
      <c r="H961" s="2"/>
    </row>
    <row r="962">
      <c r="A962" s="1" t="s">
        <v>559</v>
      </c>
      <c r="B962" s="1"/>
      <c r="C962" s="1">
        <v>0.0</v>
      </c>
      <c r="D962" s="2"/>
      <c r="E962" s="2"/>
      <c r="F962" s="2"/>
      <c r="G962" s="2"/>
      <c r="H962" s="2"/>
    </row>
    <row r="963">
      <c r="A963" s="1" t="s">
        <v>560</v>
      </c>
      <c r="B963" s="1"/>
      <c r="C963" s="1">
        <v>58.0</v>
      </c>
      <c r="D963" s="2"/>
      <c r="E963" s="2"/>
      <c r="F963" s="2"/>
      <c r="G963" s="2"/>
      <c r="H963" s="2"/>
    </row>
    <row r="964">
      <c r="A964" s="1" t="s">
        <v>561</v>
      </c>
      <c r="B964" s="1"/>
      <c r="C964" s="1">
        <v>0.0</v>
      </c>
      <c r="D964" s="2"/>
      <c r="E964" s="2"/>
      <c r="F964" s="2"/>
      <c r="G964" s="2"/>
      <c r="H964" s="2"/>
    </row>
    <row r="965">
      <c r="A965" s="1" t="s">
        <v>562</v>
      </c>
      <c r="B965" s="1"/>
      <c r="C965" s="1">
        <v>60.0</v>
      </c>
      <c r="D965" s="2"/>
      <c r="E965" s="2"/>
      <c r="F965" s="2"/>
      <c r="G965" s="2"/>
      <c r="H965" s="2"/>
    </row>
    <row r="966">
      <c r="A966" s="1" t="s">
        <v>563</v>
      </c>
      <c r="B966" s="1"/>
      <c r="C966" s="1">
        <v>0.0</v>
      </c>
      <c r="D966" s="2"/>
      <c r="E966" s="2"/>
      <c r="F966" s="2"/>
      <c r="G966" s="2"/>
      <c r="H966" s="2"/>
    </row>
    <row r="967">
      <c r="A967" s="1" t="s">
        <v>564</v>
      </c>
      <c r="B967" s="1"/>
      <c r="C967" s="1">
        <v>21.0</v>
      </c>
      <c r="D967" s="2"/>
      <c r="E967" s="2"/>
      <c r="F967" s="2"/>
      <c r="G967" s="2"/>
      <c r="H967" s="2"/>
    </row>
    <row r="968">
      <c r="A968" s="1" t="s">
        <v>565</v>
      </c>
      <c r="B968" s="1"/>
      <c r="C968" s="1">
        <v>0.0</v>
      </c>
      <c r="D968" s="2"/>
      <c r="E968" s="2"/>
      <c r="F968" s="2"/>
      <c r="G968" s="2"/>
      <c r="H968" s="2"/>
    </row>
    <row r="969">
      <c r="A969" s="1" t="s">
        <v>566</v>
      </c>
      <c r="B969" s="1"/>
      <c r="C969" s="1">
        <v>0.0</v>
      </c>
      <c r="D969" s="2"/>
      <c r="E969" s="2"/>
      <c r="F969" s="2"/>
      <c r="G969" s="2"/>
      <c r="H969" s="2"/>
    </row>
    <row r="970">
      <c r="A970" s="1" t="s">
        <v>567</v>
      </c>
      <c r="B970" s="1"/>
      <c r="C970" s="1">
        <v>0.0</v>
      </c>
      <c r="D970" s="2"/>
      <c r="E970" s="2"/>
      <c r="F970" s="2"/>
      <c r="G970" s="2"/>
      <c r="H970" s="2"/>
    </row>
    <row r="971">
      <c r="A971" s="1" t="s">
        <v>568</v>
      </c>
      <c r="B971" s="1"/>
      <c r="C971" s="1">
        <v>60.0</v>
      </c>
      <c r="D971" s="2"/>
      <c r="E971" s="2"/>
      <c r="F971" s="2"/>
      <c r="G971" s="2"/>
      <c r="H971" s="2"/>
    </row>
    <row r="972">
      <c r="A972" s="1" t="s">
        <v>569</v>
      </c>
      <c r="B972" s="1"/>
      <c r="C972" s="1">
        <v>50.0</v>
      </c>
      <c r="D972" s="2"/>
      <c r="E972" s="2"/>
      <c r="F972" s="2"/>
      <c r="G972" s="2"/>
      <c r="H972" s="2"/>
    </row>
    <row r="973">
      <c r="A973" s="1" t="s">
        <v>570</v>
      </c>
      <c r="B973" s="1"/>
      <c r="C973" s="1">
        <v>30.0</v>
      </c>
      <c r="D973" s="2"/>
      <c r="E973" s="2"/>
      <c r="F973" s="2"/>
      <c r="G973" s="2"/>
      <c r="H973" s="2"/>
    </row>
    <row r="974">
      <c r="A974" s="1" t="s">
        <v>571</v>
      </c>
      <c r="B974" s="1"/>
      <c r="C974" s="1">
        <v>0.0</v>
      </c>
      <c r="D974" s="2"/>
      <c r="E974" s="2"/>
      <c r="F974" s="2"/>
      <c r="G974" s="2"/>
      <c r="H974" s="2"/>
    </row>
    <row r="975">
      <c r="A975" s="1" t="s">
        <v>572</v>
      </c>
      <c r="B975" s="1"/>
      <c r="C975" s="1">
        <v>0.0</v>
      </c>
      <c r="D975" s="2"/>
      <c r="E975" s="2"/>
      <c r="F975" s="2"/>
      <c r="G975" s="2"/>
      <c r="H975" s="2"/>
    </row>
    <row r="976">
      <c r="A976" s="1" t="s">
        <v>573</v>
      </c>
      <c r="B976" s="1"/>
      <c r="C976" s="1" t="s">
        <v>574</v>
      </c>
      <c r="D976" s="1">
        <v>0.0</v>
      </c>
      <c r="E976" s="2"/>
      <c r="F976" s="2"/>
      <c r="G976" s="2"/>
      <c r="H976" s="2"/>
    </row>
    <row r="977">
      <c r="A977" s="1" t="s">
        <v>575</v>
      </c>
      <c r="B977" s="1"/>
      <c r="C977" s="1">
        <v>0.0</v>
      </c>
      <c r="D977" s="2"/>
      <c r="E977" s="2"/>
      <c r="F977" s="2"/>
      <c r="G977" s="2"/>
      <c r="H977" s="2"/>
    </row>
    <row r="978">
      <c r="A978" s="1" t="s">
        <v>576</v>
      </c>
      <c r="B978" s="1"/>
      <c r="C978" s="1">
        <v>0.0</v>
      </c>
      <c r="D978" s="2"/>
      <c r="E978" s="2"/>
      <c r="F978" s="2"/>
      <c r="G978" s="2"/>
      <c r="H978" s="2"/>
    </row>
    <row r="979">
      <c r="A979" s="1" t="s">
        <v>577</v>
      </c>
      <c r="B979" s="1"/>
      <c r="C979" s="1">
        <v>0.0</v>
      </c>
      <c r="D979" s="2"/>
      <c r="E979" s="2"/>
      <c r="F979" s="2"/>
      <c r="G979" s="2"/>
      <c r="H979" s="2"/>
    </row>
    <row r="980">
      <c r="A980" s="1" t="s">
        <v>578</v>
      </c>
      <c r="B980" s="1"/>
      <c r="C980" s="1">
        <v>0.0</v>
      </c>
      <c r="D980" s="2"/>
      <c r="E980" s="2"/>
      <c r="F980" s="2"/>
      <c r="G980" s="2"/>
      <c r="H980" s="2"/>
    </row>
    <row r="981">
      <c r="A981" s="1" t="s">
        <v>579</v>
      </c>
      <c r="B981" s="1"/>
      <c r="C981" s="1">
        <v>0.0</v>
      </c>
      <c r="D981" s="2"/>
      <c r="E981" s="2"/>
      <c r="F981" s="2"/>
      <c r="G981" s="2"/>
      <c r="H981" s="2"/>
    </row>
    <row r="982">
      <c r="A982" s="1" t="s">
        <v>580</v>
      </c>
      <c r="B982" s="1"/>
      <c r="C982" s="1">
        <v>0.0</v>
      </c>
      <c r="D982" s="2"/>
      <c r="E982" s="2"/>
      <c r="F982" s="2"/>
      <c r="G982" s="2"/>
      <c r="H982" s="2"/>
    </row>
    <row r="983">
      <c r="A983" s="1" t="s">
        <v>581</v>
      </c>
      <c r="B983" s="1"/>
      <c r="C983" s="1">
        <v>0.0</v>
      </c>
      <c r="D983" s="2"/>
      <c r="E983" s="2"/>
      <c r="F983" s="2"/>
      <c r="G983" s="2"/>
      <c r="H983" s="2"/>
    </row>
    <row r="984">
      <c r="A984" s="1" t="s">
        <v>582</v>
      </c>
      <c r="B984" s="1"/>
      <c r="C984" s="1">
        <v>0.0</v>
      </c>
      <c r="D984" s="2"/>
      <c r="E984" s="2"/>
      <c r="F984" s="2"/>
      <c r="G984" s="2"/>
      <c r="H984" s="2"/>
    </row>
    <row r="985">
      <c r="A985" s="1" t="s">
        <v>583</v>
      </c>
      <c r="B985" s="1"/>
      <c r="C985" s="1">
        <v>62.0</v>
      </c>
      <c r="D985" s="2"/>
      <c r="E985" s="2"/>
      <c r="F985" s="2"/>
      <c r="G985" s="2"/>
      <c r="H985" s="2"/>
    </row>
    <row r="986">
      <c r="A986" s="1" t="s">
        <v>584</v>
      </c>
      <c r="B986" s="1"/>
      <c r="C986" s="1">
        <v>0.0</v>
      </c>
      <c r="D986" s="2"/>
      <c r="E986" s="2"/>
      <c r="F986" s="2"/>
      <c r="G986" s="2"/>
      <c r="H986" s="2"/>
    </row>
    <row r="987">
      <c r="A987" s="1" t="s">
        <v>585</v>
      </c>
      <c r="B987" s="1"/>
      <c r="C987" s="1">
        <v>0.0</v>
      </c>
      <c r="D987" s="2"/>
      <c r="E987" s="2"/>
      <c r="F987" s="2"/>
      <c r="G987" s="2"/>
      <c r="H987" s="2"/>
    </row>
    <row r="988">
      <c r="A988" s="1" t="s">
        <v>586</v>
      </c>
      <c r="B988" s="1"/>
      <c r="C988" s="1">
        <v>0.0</v>
      </c>
      <c r="D988" s="2"/>
      <c r="E988" s="2"/>
      <c r="F988" s="2"/>
      <c r="G988" s="2"/>
      <c r="H988" s="2"/>
    </row>
    <row r="989">
      <c r="A989" s="1" t="s">
        <v>587</v>
      </c>
      <c r="B989" s="1"/>
      <c r="C989" s="1">
        <v>78.0</v>
      </c>
      <c r="D989" s="2"/>
      <c r="E989" s="2"/>
      <c r="F989" s="2"/>
      <c r="G989" s="2"/>
      <c r="H989" s="2"/>
    </row>
    <row r="990">
      <c r="A990" s="1" t="s">
        <v>588</v>
      </c>
      <c r="B990" s="1"/>
      <c r="C990" s="1">
        <v>0.0</v>
      </c>
      <c r="D990" s="2"/>
      <c r="E990" s="2"/>
      <c r="F990" s="2"/>
      <c r="G990" s="2"/>
      <c r="H990" s="2"/>
    </row>
    <row r="991">
      <c r="A991" s="1" t="s">
        <v>589</v>
      </c>
      <c r="B991" s="1"/>
      <c r="C991" s="1">
        <v>0.0</v>
      </c>
      <c r="D991" s="2"/>
      <c r="E991" s="2"/>
      <c r="F991" s="2"/>
      <c r="G991" s="2"/>
      <c r="H991" s="2"/>
    </row>
    <row r="992">
      <c r="A992" s="1" t="s">
        <v>590</v>
      </c>
      <c r="B992" s="1"/>
      <c r="C992" s="1">
        <v>0.0</v>
      </c>
      <c r="D992" s="2"/>
      <c r="E992" s="2"/>
      <c r="F992" s="2"/>
      <c r="G992" s="2"/>
      <c r="H992" s="2"/>
    </row>
    <row r="993">
      <c r="A993" s="1" t="s">
        <v>591</v>
      </c>
      <c r="B993" s="1"/>
      <c r="C993" s="1">
        <v>0.0</v>
      </c>
      <c r="D993" s="2"/>
      <c r="E993" s="2"/>
      <c r="F993" s="2"/>
      <c r="G993" s="2"/>
      <c r="H993" s="2"/>
    </row>
    <row r="994">
      <c r="A994" s="1" t="s">
        <v>592</v>
      </c>
      <c r="B994" s="1"/>
      <c r="C994" s="1">
        <v>0.0</v>
      </c>
      <c r="D994" s="2"/>
      <c r="E994" s="2"/>
      <c r="F994" s="2"/>
      <c r="G994" s="2"/>
      <c r="H994" s="2"/>
    </row>
    <row r="995">
      <c r="A995" s="1" t="s">
        <v>593</v>
      </c>
      <c r="B995" s="1"/>
      <c r="C995" s="1">
        <v>46.0</v>
      </c>
      <c r="D995" s="2"/>
      <c r="E995" s="2"/>
      <c r="F995" s="2"/>
      <c r="G995" s="2"/>
      <c r="H995" s="2"/>
    </row>
    <row r="996">
      <c r="A996" s="1" t="s">
        <v>594</v>
      </c>
      <c r="B996" s="1"/>
      <c r="C996" s="1">
        <v>38.0</v>
      </c>
      <c r="D996" s="2"/>
      <c r="E996" s="2"/>
      <c r="F996" s="2"/>
      <c r="G996" s="2"/>
      <c r="H996" s="2"/>
    </row>
    <row r="997">
      <c r="A997" s="1" t="s">
        <v>595</v>
      </c>
      <c r="B997" s="1"/>
      <c r="C997" s="1">
        <v>79.0</v>
      </c>
      <c r="D997" s="2"/>
      <c r="E997" s="2"/>
      <c r="F997" s="2"/>
      <c r="G997" s="2"/>
      <c r="H997" s="2"/>
    </row>
    <row r="998">
      <c r="A998" s="1" t="s">
        <v>596</v>
      </c>
      <c r="B998" s="1"/>
      <c r="C998" s="1">
        <v>0.0</v>
      </c>
      <c r="D998" s="2"/>
      <c r="E998" s="2"/>
      <c r="F998" s="2"/>
      <c r="G998" s="2"/>
      <c r="H998" s="2"/>
    </row>
    <row r="999">
      <c r="A999" s="1" t="s">
        <v>597</v>
      </c>
      <c r="B999" s="1"/>
      <c r="C999" s="1">
        <v>47.0</v>
      </c>
      <c r="D999" s="2"/>
      <c r="E999" s="2"/>
      <c r="F999" s="2"/>
      <c r="G999" s="2"/>
      <c r="H999" s="2"/>
    </row>
    <row r="1000">
      <c r="A1000" s="1" t="s">
        <v>598</v>
      </c>
      <c r="B1000" s="1"/>
      <c r="C1000" s="1">
        <v>0.0</v>
      </c>
      <c r="D1000" s="2"/>
      <c r="E1000" s="2"/>
      <c r="F1000" s="2"/>
      <c r="G1000" s="2"/>
      <c r="H1000" s="2"/>
    </row>
    <row r="1001">
      <c r="A1001" s="1" t="s">
        <v>599</v>
      </c>
      <c r="B1001" s="1"/>
      <c r="C1001" s="1">
        <v>0.0</v>
      </c>
      <c r="D1001" s="2"/>
      <c r="E1001" s="2"/>
      <c r="F1001" s="2"/>
      <c r="G1001" s="2"/>
      <c r="H1001" s="2"/>
    </row>
    <row r="1002">
      <c r="A1002" s="1" t="s">
        <v>600</v>
      </c>
      <c r="B1002" s="1"/>
      <c r="C1002" s="1">
        <v>0.0</v>
      </c>
      <c r="D1002" s="2"/>
      <c r="E1002" s="2"/>
      <c r="F1002" s="2"/>
      <c r="G1002" s="2"/>
      <c r="H1002" s="2"/>
    </row>
    <row r="1003">
      <c r="A1003" s="1" t="s">
        <v>601</v>
      </c>
      <c r="B1003" s="1"/>
      <c r="C1003" s="1">
        <v>0.0</v>
      </c>
      <c r="D1003" s="2"/>
      <c r="E1003" s="2"/>
      <c r="F1003" s="2"/>
      <c r="G1003" s="2"/>
      <c r="H1003" s="2"/>
    </row>
    <row r="1004">
      <c r="A1004" s="1" t="s">
        <v>602</v>
      </c>
      <c r="B1004" s="1"/>
      <c r="C1004" s="1">
        <v>24.0</v>
      </c>
      <c r="D1004" s="2"/>
      <c r="E1004" s="2"/>
      <c r="F1004" s="2"/>
      <c r="G1004" s="2"/>
      <c r="H1004" s="2"/>
    </row>
    <row r="1005">
      <c r="A1005" s="1" t="s">
        <v>603</v>
      </c>
      <c r="B1005" s="1"/>
      <c r="C1005" s="1">
        <v>66.0</v>
      </c>
      <c r="D1005" s="2"/>
      <c r="E1005" s="2"/>
      <c r="F1005" s="2"/>
      <c r="G1005" s="2"/>
      <c r="H1005" s="2"/>
    </row>
    <row r="1006">
      <c r="A1006" s="1" t="s">
        <v>604</v>
      </c>
      <c r="B1006" s="1"/>
      <c r="C1006" s="1">
        <v>0.0</v>
      </c>
      <c r="D1006" s="2"/>
      <c r="E1006" s="2"/>
      <c r="F1006" s="2"/>
      <c r="G1006" s="2"/>
      <c r="H1006" s="2"/>
    </row>
    <row r="1007">
      <c r="A1007" s="1" t="s">
        <v>605</v>
      </c>
      <c r="B1007" s="1"/>
      <c r="C1007" s="1">
        <v>67.0</v>
      </c>
      <c r="D1007" s="2"/>
      <c r="E1007" s="2"/>
      <c r="F1007" s="2"/>
      <c r="G1007" s="2"/>
      <c r="H1007" s="2"/>
    </row>
    <row r="1008">
      <c r="A1008" s="1" t="s">
        <v>606</v>
      </c>
      <c r="B1008" s="1"/>
      <c r="C1008" s="1">
        <v>0.0</v>
      </c>
      <c r="D1008" s="2"/>
      <c r="E1008" s="2"/>
      <c r="F1008" s="2"/>
      <c r="G1008" s="2"/>
      <c r="H1008" s="2"/>
    </row>
    <row r="1009">
      <c r="A1009" s="1" t="s">
        <v>607</v>
      </c>
      <c r="B1009" s="1"/>
      <c r="C1009" s="1" t="s">
        <v>608</v>
      </c>
      <c r="D1009" s="1">
        <v>0.0</v>
      </c>
      <c r="E1009" s="2"/>
      <c r="F1009" s="2"/>
      <c r="G1009" s="2"/>
      <c r="H1009" s="2"/>
    </row>
    <row r="1010">
      <c r="A1010" s="1" t="s">
        <v>609</v>
      </c>
      <c r="B1010" s="1"/>
      <c r="C1010" s="1">
        <v>0.0</v>
      </c>
      <c r="D1010" s="2"/>
      <c r="E1010" s="2"/>
      <c r="F1010" s="2"/>
      <c r="G1010" s="2"/>
      <c r="H1010" s="2"/>
    </row>
    <row r="1011">
      <c r="A1011" s="1" t="s">
        <v>610</v>
      </c>
      <c r="B1011" s="1"/>
      <c r="C1011" s="1">
        <v>0.0</v>
      </c>
      <c r="D1011" s="2"/>
      <c r="E1011" s="2"/>
      <c r="F1011" s="2"/>
      <c r="G1011" s="2"/>
      <c r="H1011" s="2"/>
    </row>
    <row r="1012">
      <c r="A1012" s="1" t="s">
        <v>611</v>
      </c>
      <c r="B1012" s="1"/>
      <c r="C1012" s="1">
        <v>0.0</v>
      </c>
      <c r="D1012" s="2"/>
      <c r="E1012" s="2"/>
      <c r="F1012" s="2"/>
      <c r="G1012" s="2"/>
      <c r="H1012" s="2"/>
    </row>
    <row r="1013">
      <c r="A1013" s="1" t="s">
        <v>612</v>
      </c>
      <c r="B1013" s="1"/>
      <c r="C1013" s="1">
        <v>32.0</v>
      </c>
      <c r="D1013" s="2"/>
      <c r="E1013" s="2"/>
      <c r="F1013" s="2"/>
      <c r="G1013" s="2"/>
      <c r="H1013" s="2"/>
    </row>
    <row r="1014">
      <c r="A1014" s="1" t="s">
        <v>613</v>
      </c>
      <c r="B1014" s="1"/>
      <c r="C1014" s="1">
        <v>0.0</v>
      </c>
      <c r="D1014" s="2"/>
      <c r="E1014" s="2"/>
      <c r="F1014" s="2"/>
      <c r="G1014" s="2"/>
      <c r="H1014" s="2"/>
    </row>
    <row r="1015">
      <c r="A1015" s="1" t="s">
        <v>614</v>
      </c>
      <c r="B1015" s="1"/>
      <c r="C1015" s="1">
        <v>0.0</v>
      </c>
      <c r="D1015" s="2"/>
      <c r="E1015" s="2"/>
      <c r="F1015" s="2"/>
      <c r="G1015" s="2"/>
      <c r="H1015" s="2"/>
    </row>
    <row r="1016">
      <c r="A1016" s="1" t="s">
        <v>615</v>
      </c>
      <c r="B1016" s="1"/>
      <c r="C1016" s="1">
        <v>0.0</v>
      </c>
      <c r="D1016" s="2"/>
      <c r="E1016" s="2"/>
      <c r="F1016" s="2"/>
      <c r="G1016" s="2"/>
      <c r="H1016" s="2"/>
    </row>
    <row r="1017">
      <c r="A1017" s="1" t="s">
        <v>616</v>
      </c>
      <c r="B1017" s="1"/>
      <c r="C1017" s="1">
        <v>0.0</v>
      </c>
      <c r="D1017" s="2"/>
      <c r="E1017" s="2"/>
      <c r="F1017" s="2"/>
      <c r="G1017" s="2"/>
      <c r="H1017" s="2"/>
    </row>
    <row r="1018">
      <c r="A1018" s="1" t="s">
        <v>617</v>
      </c>
      <c r="B1018" s="1"/>
      <c r="C1018" s="1">
        <v>0.0</v>
      </c>
      <c r="D1018" s="2"/>
      <c r="E1018" s="2"/>
      <c r="F1018" s="2"/>
      <c r="G1018" s="2"/>
      <c r="H1018" s="2"/>
    </row>
    <row r="1019">
      <c r="A1019" s="1" t="s">
        <v>618</v>
      </c>
      <c r="B1019" s="1"/>
      <c r="C1019" s="1">
        <v>0.0</v>
      </c>
      <c r="D1019" s="2"/>
      <c r="E1019" s="2"/>
      <c r="F1019" s="2"/>
      <c r="G1019" s="2"/>
      <c r="H1019" s="2"/>
    </row>
    <row r="1020">
      <c r="A1020" s="1" t="s">
        <v>619</v>
      </c>
      <c r="B1020" s="1"/>
      <c r="C1020" s="1">
        <v>87.0</v>
      </c>
      <c r="D1020" s="2"/>
      <c r="E1020" s="2"/>
      <c r="F1020" s="2"/>
      <c r="G1020" s="2"/>
      <c r="H1020" s="2"/>
    </row>
    <row r="1021">
      <c r="A1021" s="1" t="s">
        <v>620</v>
      </c>
      <c r="B1021" s="1"/>
      <c r="C1021" s="1">
        <v>0.0</v>
      </c>
      <c r="D1021" s="2"/>
      <c r="E1021" s="2"/>
      <c r="F1021" s="2"/>
      <c r="G1021" s="2"/>
      <c r="H1021" s="2"/>
    </row>
    <row r="1022">
      <c r="A1022" s="1" t="s">
        <v>621</v>
      </c>
      <c r="B1022" s="1"/>
      <c r="C1022" s="1">
        <v>0.0</v>
      </c>
      <c r="D1022" s="2"/>
      <c r="E1022" s="2"/>
      <c r="F1022" s="2"/>
      <c r="G1022" s="2"/>
      <c r="H1022" s="2"/>
    </row>
    <row r="1023">
      <c r="A1023" s="1" t="s">
        <v>622</v>
      </c>
      <c r="B1023" s="1"/>
      <c r="C1023" s="1">
        <v>0.0</v>
      </c>
      <c r="D1023" s="2"/>
      <c r="E1023" s="2"/>
      <c r="F1023" s="2"/>
      <c r="G1023" s="2"/>
      <c r="H1023" s="2"/>
    </row>
    <row r="1024">
      <c r="A1024" s="1" t="s">
        <v>623</v>
      </c>
      <c r="B1024" s="1"/>
      <c r="C1024" s="1">
        <v>14.0</v>
      </c>
      <c r="D1024" s="2"/>
      <c r="E1024" s="2"/>
      <c r="F1024" s="2"/>
      <c r="G1024" s="2"/>
      <c r="H1024" s="2"/>
    </row>
    <row r="1025">
      <c r="A1025" s="1" t="s">
        <v>624</v>
      </c>
      <c r="B1025" s="1"/>
      <c r="C1025" s="1">
        <v>76.0</v>
      </c>
      <c r="D1025" s="2"/>
      <c r="E1025" s="2"/>
      <c r="F1025" s="2"/>
      <c r="G1025" s="2"/>
      <c r="H1025" s="2"/>
    </row>
    <row r="1026">
      <c r="A1026" s="1" t="s">
        <v>625</v>
      </c>
      <c r="B1026" s="1"/>
      <c r="C1026" s="1">
        <v>20.0</v>
      </c>
      <c r="D1026" s="2"/>
      <c r="E1026" s="2"/>
      <c r="F1026" s="2"/>
      <c r="G1026" s="2"/>
      <c r="H1026" s="2"/>
    </row>
    <row r="1027">
      <c r="A1027" s="1" t="s">
        <v>626</v>
      </c>
      <c r="B1027" s="1"/>
      <c r="C1027" s="1">
        <v>0.0</v>
      </c>
      <c r="D1027" s="2"/>
      <c r="E1027" s="2"/>
      <c r="F1027" s="2"/>
      <c r="G1027" s="2"/>
      <c r="H1027" s="2"/>
    </row>
    <row r="1028">
      <c r="A1028" s="1" t="s">
        <v>627</v>
      </c>
      <c r="B1028" s="1"/>
      <c r="C1028" s="1">
        <v>0.0</v>
      </c>
      <c r="D1028" s="2"/>
      <c r="E1028" s="2"/>
      <c r="F1028" s="2"/>
      <c r="G1028" s="2"/>
      <c r="H1028" s="2"/>
    </row>
    <row r="1029">
      <c r="A1029" s="1" t="s">
        <v>628</v>
      </c>
      <c r="B1029" s="1"/>
      <c r="C1029" s="1">
        <v>8.0</v>
      </c>
      <c r="D1029" s="2"/>
      <c r="E1029" s="2"/>
      <c r="F1029" s="2"/>
      <c r="G1029" s="2"/>
      <c r="H1029" s="2"/>
    </row>
    <row r="1030">
      <c r="A1030" s="1" t="s">
        <v>629</v>
      </c>
      <c r="B1030" s="1"/>
      <c r="C1030" s="1">
        <v>0.0</v>
      </c>
      <c r="D1030" s="2"/>
      <c r="E1030" s="2"/>
      <c r="F1030" s="2"/>
      <c r="G1030" s="2"/>
      <c r="H1030" s="2"/>
    </row>
    <row r="1031">
      <c r="A1031" s="1" t="s">
        <v>630</v>
      </c>
      <c r="B1031" s="1"/>
      <c r="C1031" s="1">
        <v>0.0</v>
      </c>
      <c r="D1031" s="2"/>
      <c r="E1031" s="2"/>
      <c r="F1031" s="2"/>
      <c r="G1031" s="2"/>
      <c r="H1031" s="2"/>
    </row>
    <row r="1032">
      <c r="A1032" s="1" t="s">
        <v>631</v>
      </c>
      <c r="B1032" s="1"/>
      <c r="C1032" s="1">
        <v>0.0</v>
      </c>
      <c r="D1032" s="2"/>
      <c r="E1032" s="2"/>
      <c r="F1032" s="2"/>
      <c r="G1032" s="2"/>
      <c r="H1032" s="2"/>
    </row>
    <row r="1033">
      <c r="A1033" s="1" t="s">
        <v>632</v>
      </c>
      <c r="B1033" s="1"/>
      <c r="C1033" s="1">
        <v>78.0</v>
      </c>
      <c r="D1033" s="2"/>
      <c r="E1033" s="2"/>
      <c r="F1033" s="2"/>
      <c r="G1033" s="2"/>
      <c r="H1033" s="2"/>
    </row>
    <row r="1034">
      <c r="A1034" s="1" t="s">
        <v>633</v>
      </c>
      <c r="B1034" s="1"/>
      <c r="C1034" s="1">
        <v>6.0</v>
      </c>
      <c r="D1034" s="2"/>
      <c r="E1034" s="2"/>
      <c r="F1034" s="2"/>
      <c r="G1034" s="2"/>
      <c r="H1034" s="2"/>
    </row>
    <row r="1035">
      <c r="A1035" s="1" t="s">
        <v>634</v>
      </c>
      <c r="B1035" s="1"/>
      <c r="C1035" s="1">
        <v>89.0</v>
      </c>
      <c r="D1035" s="2"/>
      <c r="E1035" s="2"/>
      <c r="F1035" s="2"/>
      <c r="G1035" s="2"/>
      <c r="H1035" s="2"/>
    </row>
    <row r="1036">
      <c r="A1036" s="1" t="s">
        <v>635</v>
      </c>
      <c r="B1036" s="1"/>
      <c r="C1036" s="1">
        <v>38.0</v>
      </c>
      <c r="D1036" s="2"/>
      <c r="E1036" s="2"/>
      <c r="F1036" s="2"/>
      <c r="G1036" s="2"/>
      <c r="H1036" s="2"/>
    </row>
    <row r="1037">
      <c r="A1037" s="1" t="s">
        <v>636</v>
      </c>
      <c r="B1037" s="1"/>
      <c r="C1037" s="1">
        <v>68.0</v>
      </c>
      <c r="D1037" s="2"/>
      <c r="E1037" s="2"/>
      <c r="F1037" s="2"/>
      <c r="G1037" s="2"/>
      <c r="H1037" s="2"/>
    </row>
    <row r="1038">
      <c r="A1038" s="1" t="s">
        <v>637</v>
      </c>
      <c r="B1038" s="1"/>
      <c r="C1038" s="1">
        <v>0.0</v>
      </c>
      <c r="D1038" s="2"/>
      <c r="E1038" s="2"/>
      <c r="F1038" s="2"/>
      <c r="G1038" s="2"/>
      <c r="H1038" s="2"/>
    </row>
    <row r="1039">
      <c r="A1039" s="1" t="s">
        <v>638</v>
      </c>
      <c r="B1039" s="1"/>
      <c r="C1039" s="1">
        <v>0.0</v>
      </c>
      <c r="D1039" s="2"/>
      <c r="E1039" s="2"/>
      <c r="F1039" s="2"/>
      <c r="G1039" s="2"/>
      <c r="H1039" s="2"/>
    </row>
    <row r="1040">
      <c r="A1040" s="1" t="s">
        <v>639</v>
      </c>
      <c r="B1040" s="1"/>
      <c r="C1040" s="1">
        <v>0.0</v>
      </c>
      <c r="D1040" s="2"/>
      <c r="E1040" s="2"/>
      <c r="F1040" s="2"/>
      <c r="G1040" s="2"/>
      <c r="H1040" s="2"/>
    </row>
    <row r="1041">
      <c r="A1041" s="1" t="s">
        <v>640</v>
      </c>
      <c r="B1041" s="1"/>
      <c r="C1041" s="1">
        <v>90.0</v>
      </c>
      <c r="D1041" s="2"/>
      <c r="E1041" s="2"/>
      <c r="F1041" s="2"/>
      <c r="G1041" s="2"/>
      <c r="H1041" s="2"/>
    </row>
    <row r="1042">
      <c r="A1042" s="1" t="s">
        <v>641</v>
      </c>
      <c r="B1042" s="1"/>
      <c r="C1042" s="1">
        <v>0.0</v>
      </c>
      <c r="D1042" s="2"/>
      <c r="E1042" s="2"/>
      <c r="F1042" s="2"/>
      <c r="G1042" s="2"/>
      <c r="H1042" s="2"/>
    </row>
    <row r="1043">
      <c r="A1043" s="1" t="s">
        <v>642</v>
      </c>
      <c r="B1043" s="1"/>
      <c r="C1043" s="1">
        <v>0.0</v>
      </c>
      <c r="D1043" s="2"/>
      <c r="E1043" s="2"/>
      <c r="F1043" s="2"/>
      <c r="G1043" s="2"/>
      <c r="H1043" s="2"/>
    </row>
    <row r="1044">
      <c r="A1044" s="1" t="s">
        <v>643</v>
      </c>
      <c r="B1044" s="1"/>
      <c r="C1044" s="1">
        <v>57.0</v>
      </c>
      <c r="D1044" s="2"/>
      <c r="E1044" s="2"/>
      <c r="F1044" s="2"/>
      <c r="G1044" s="2"/>
      <c r="H1044" s="2"/>
    </row>
    <row r="1045">
      <c r="A1045" s="1" t="s">
        <v>644</v>
      </c>
      <c r="B1045" s="1"/>
      <c r="C1045" s="1">
        <v>20.0</v>
      </c>
      <c r="D1045" s="2"/>
      <c r="E1045" s="2"/>
      <c r="F1045" s="2"/>
      <c r="G1045" s="2"/>
      <c r="H1045" s="2"/>
    </row>
    <row r="1046">
      <c r="A1046" s="1" t="s">
        <v>645</v>
      </c>
      <c r="B1046" s="1"/>
      <c r="C1046" s="1">
        <v>0.0</v>
      </c>
      <c r="D1046" s="2"/>
      <c r="E1046" s="2"/>
      <c r="F1046" s="2"/>
      <c r="G1046" s="2"/>
      <c r="H1046" s="2"/>
    </row>
    <row r="1047">
      <c r="A1047" s="1" t="s">
        <v>646</v>
      </c>
      <c r="B1047" s="1"/>
      <c r="C1047" s="1">
        <v>50.0</v>
      </c>
      <c r="D1047" s="2"/>
      <c r="E1047" s="2"/>
      <c r="F1047" s="2"/>
      <c r="G1047" s="2"/>
      <c r="H1047" s="2"/>
    </row>
    <row r="1048">
      <c r="A1048" s="1" t="s">
        <v>647</v>
      </c>
      <c r="B1048" s="1"/>
      <c r="C1048" s="1">
        <v>0.0</v>
      </c>
      <c r="D1048" s="2"/>
      <c r="E1048" s="2"/>
      <c r="F1048" s="2"/>
      <c r="G1048" s="2"/>
      <c r="H1048" s="2"/>
    </row>
    <row r="1049">
      <c r="A1049" s="1" t="s">
        <v>648</v>
      </c>
      <c r="B1049" s="1"/>
      <c r="C1049" s="1">
        <v>0.0</v>
      </c>
      <c r="D1049" s="2"/>
      <c r="E1049" s="2"/>
      <c r="F1049" s="2"/>
      <c r="G1049" s="2"/>
      <c r="H1049" s="2"/>
    </row>
    <row r="1050">
      <c r="A1050" s="1" t="s">
        <v>649</v>
      </c>
      <c r="B1050" s="1"/>
      <c r="C1050" s="1">
        <v>0.0</v>
      </c>
      <c r="D1050" s="2"/>
      <c r="E1050" s="2"/>
      <c r="F1050" s="2"/>
      <c r="G1050" s="2"/>
      <c r="H1050" s="2"/>
    </row>
    <row r="1051">
      <c r="A1051" s="1" t="s">
        <v>650</v>
      </c>
      <c r="B1051" s="1"/>
      <c r="C1051" s="1">
        <v>0.0</v>
      </c>
      <c r="D1051" s="2"/>
      <c r="E1051" s="2"/>
      <c r="F1051" s="2"/>
      <c r="G1051" s="2"/>
      <c r="H1051" s="2"/>
    </row>
    <row r="1052">
      <c r="A1052" s="1" t="s">
        <v>651</v>
      </c>
      <c r="B1052" s="1"/>
      <c r="C1052" s="1">
        <v>0.0</v>
      </c>
      <c r="D1052" s="2"/>
      <c r="E1052" s="2"/>
      <c r="F1052" s="2"/>
      <c r="G1052" s="2"/>
      <c r="H1052" s="2"/>
    </row>
    <row r="1053">
      <c r="A1053" s="1" t="s">
        <v>582</v>
      </c>
      <c r="B1053" s="1"/>
      <c r="C1053" s="1">
        <v>0.0</v>
      </c>
      <c r="D1053" s="2"/>
      <c r="E1053" s="2"/>
      <c r="F1053" s="2"/>
      <c r="G1053" s="2"/>
      <c r="H1053" s="2"/>
    </row>
    <row r="1054">
      <c r="A1054" s="1" t="s">
        <v>583</v>
      </c>
      <c r="B1054" s="1"/>
      <c r="C1054" s="1">
        <v>62.0</v>
      </c>
      <c r="D1054" s="2"/>
      <c r="E1054" s="2"/>
      <c r="F1054" s="2"/>
      <c r="G1054" s="2"/>
      <c r="H1054" s="2"/>
    </row>
    <row r="1055">
      <c r="A1055" s="1" t="s">
        <v>584</v>
      </c>
      <c r="B1055" s="1"/>
      <c r="C1055" s="1">
        <v>0.0</v>
      </c>
      <c r="D1055" s="2"/>
      <c r="E1055" s="2"/>
      <c r="F1055" s="2"/>
      <c r="G1055" s="2"/>
      <c r="H1055" s="2"/>
    </row>
    <row r="1056">
      <c r="A1056" s="1" t="s">
        <v>585</v>
      </c>
      <c r="B1056" s="1"/>
      <c r="C1056" s="1">
        <v>0.0</v>
      </c>
      <c r="D1056" s="2"/>
      <c r="E1056" s="2"/>
      <c r="F1056" s="2"/>
      <c r="G1056" s="2"/>
      <c r="H1056" s="2"/>
    </row>
    <row r="1057">
      <c r="A1057" s="1" t="s">
        <v>586</v>
      </c>
      <c r="B1057" s="1"/>
      <c r="C1057" s="1">
        <v>0.0</v>
      </c>
      <c r="D1057" s="2"/>
      <c r="E1057" s="2"/>
      <c r="F1057" s="2"/>
      <c r="G1057" s="2"/>
      <c r="H1057" s="2"/>
    </row>
    <row r="1058">
      <c r="A1058" s="1" t="s">
        <v>587</v>
      </c>
      <c r="B1058" s="1"/>
      <c r="C1058" s="1">
        <v>78.0</v>
      </c>
      <c r="D1058" s="2"/>
      <c r="E1058" s="2"/>
      <c r="F1058" s="2"/>
      <c r="G1058" s="2"/>
      <c r="H1058" s="2"/>
    </row>
    <row r="1059">
      <c r="A1059" s="1" t="s">
        <v>588</v>
      </c>
      <c r="B1059" s="1"/>
      <c r="C1059" s="1">
        <v>0.0</v>
      </c>
      <c r="D1059" s="2"/>
      <c r="E1059" s="2"/>
      <c r="F1059" s="2"/>
      <c r="G1059" s="2"/>
      <c r="H1059" s="2"/>
    </row>
    <row r="1060">
      <c r="A1060" s="1" t="s">
        <v>589</v>
      </c>
      <c r="B1060" s="1"/>
      <c r="C1060" s="1">
        <v>0.0</v>
      </c>
      <c r="D1060" s="2"/>
      <c r="E1060" s="2"/>
      <c r="F1060" s="2"/>
      <c r="G1060" s="2"/>
      <c r="H1060" s="2"/>
    </row>
    <row r="1061">
      <c r="A1061" s="1" t="s">
        <v>590</v>
      </c>
      <c r="B1061" s="1"/>
      <c r="C1061" s="1">
        <v>0.0</v>
      </c>
      <c r="D1061" s="2"/>
      <c r="E1061" s="2"/>
      <c r="F1061" s="2"/>
      <c r="G1061" s="2"/>
      <c r="H1061" s="2"/>
    </row>
    <row r="1062">
      <c r="A1062" s="1" t="s">
        <v>591</v>
      </c>
      <c r="B1062" s="1"/>
      <c r="C1062" s="1">
        <v>0.0</v>
      </c>
      <c r="D1062" s="2"/>
      <c r="E1062" s="2"/>
      <c r="F1062" s="2"/>
      <c r="G1062" s="2"/>
      <c r="H1062" s="2"/>
    </row>
    <row r="1063">
      <c r="A1063" s="1" t="s">
        <v>592</v>
      </c>
      <c r="B1063" s="1"/>
      <c r="C1063" s="1">
        <v>0.0</v>
      </c>
      <c r="D1063" s="2"/>
      <c r="E1063" s="2"/>
      <c r="F1063" s="2"/>
      <c r="G1063" s="2"/>
      <c r="H1063" s="2"/>
    </row>
    <row r="1064">
      <c r="A1064" s="1" t="s">
        <v>593</v>
      </c>
      <c r="B1064" s="1"/>
      <c r="C1064" s="1">
        <v>46.0</v>
      </c>
      <c r="D1064" s="2"/>
      <c r="E1064" s="2"/>
      <c r="F1064" s="2"/>
      <c r="G1064" s="2"/>
      <c r="H1064" s="2"/>
    </row>
    <row r="1065">
      <c r="A1065" s="1" t="s">
        <v>594</v>
      </c>
      <c r="B1065" s="1"/>
      <c r="C1065" s="1">
        <v>38.0</v>
      </c>
      <c r="D1065" s="2"/>
      <c r="E1065" s="2"/>
      <c r="F1065" s="2"/>
      <c r="G1065" s="2"/>
      <c r="H1065" s="2"/>
    </row>
    <row r="1066">
      <c r="A1066" s="1" t="s">
        <v>595</v>
      </c>
      <c r="B1066" s="1"/>
      <c r="C1066" s="1">
        <v>79.0</v>
      </c>
      <c r="D1066" s="2"/>
      <c r="E1066" s="2"/>
      <c r="F1066" s="2"/>
      <c r="G1066" s="2"/>
      <c r="H1066" s="2"/>
    </row>
    <row r="1067">
      <c r="A1067" s="1" t="s">
        <v>596</v>
      </c>
      <c r="B1067" s="1"/>
      <c r="C1067" s="1">
        <v>0.0</v>
      </c>
      <c r="D1067" s="2"/>
      <c r="E1067" s="2"/>
      <c r="F1067" s="2"/>
      <c r="G1067" s="2"/>
      <c r="H1067" s="2"/>
    </row>
    <row r="1068">
      <c r="A1068" s="1" t="s">
        <v>597</v>
      </c>
      <c r="B1068" s="1"/>
      <c r="C1068" s="1">
        <v>47.0</v>
      </c>
      <c r="D1068" s="2"/>
      <c r="E1068" s="2"/>
      <c r="F1068" s="2"/>
      <c r="G1068" s="2"/>
      <c r="H1068" s="2"/>
    </row>
    <row r="1069">
      <c r="A1069" s="1" t="s">
        <v>598</v>
      </c>
      <c r="B1069" s="1"/>
      <c r="C1069" s="1">
        <v>0.0</v>
      </c>
      <c r="D1069" s="2"/>
      <c r="E1069" s="2"/>
      <c r="F1069" s="2"/>
      <c r="G1069" s="2"/>
      <c r="H1069" s="2"/>
    </row>
    <row r="1070">
      <c r="A1070" s="1" t="s">
        <v>599</v>
      </c>
      <c r="B1070" s="1"/>
      <c r="C1070" s="1">
        <v>0.0</v>
      </c>
      <c r="D1070" s="2"/>
      <c r="E1070" s="2"/>
      <c r="F1070" s="2"/>
      <c r="G1070" s="2"/>
      <c r="H1070" s="2"/>
    </row>
    <row r="1071">
      <c r="A1071" s="1" t="s">
        <v>600</v>
      </c>
      <c r="B1071" s="1"/>
      <c r="C1071" s="1">
        <v>0.0</v>
      </c>
      <c r="D1071" s="2"/>
      <c r="E1071" s="2"/>
      <c r="F1071" s="2"/>
      <c r="G1071" s="2"/>
      <c r="H1071" s="2"/>
    </row>
    <row r="1072">
      <c r="A1072" s="1" t="s">
        <v>601</v>
      </c>
      <c r="B1072" s="1"/>
      <c r="C1072" s="1">
        <v>0.0</v>
      </c>
      <c r="D1072" s="2"/>
      <c r="E1072" s="2"/>
      <c r="F1072" s="2"/>
      <c r="G1072" s="2"/>
      <c r="H1072" s="2"/>
    </row>
    <row r="1073">
      <c r="A1073" s="1" t="s">
        <v>602</v>
      </c>
      <c r="B1073" s="1"/>
      <c r="C1073" s="1">
        <v>24.0</v>
      </c>
      <c r="D1073" s="2"/>
      <c r="E1073" s="2"/>
      <c r="F1073" s="2"/>
      <c r="G1073" s="2"/>
      <c r="H1073" s="2"/>
    </row>
    <row r="1074">
      <c r="A1074" s="1" t="s">
        <v>603</v>
      </c>
      <c r="B1074" s="1"/>
      <c r="C1074" s="1">
        <v>66.0</v>
      </c>
      <c r="D1074" s="2"/>
      <c r="E1074" s="2"/>
      <c r="F1074" s="2"/>
      <c r="G1074" s="2"/>
      <c r="H1074" s="2"/>
    </row>
    <row r="1075">
      <c r="A1075" s="1" t="s">
        <v>604</v>
      </c>
      <c r="B1075" s="1"/>
      <c r="C1075" s="1">
        <v>0.0</v>
      </c>
      <c r="D1075" s="2"/>
      <c r="E1075" s="2"/>
      <c r="F1075" s="2"/>
      <c r="G1075" s="2"/>
      <c r="H1075" s="2"/>
    </row>
    <row r="1076">
      <c r="A1076" s="1" t="s">
        <v>605</v>
      </c>
      <c r="B1076" s="1"/>
      <c r="C1076" s="1">
        <v>67.0</v>
      </c>
      <c r="D1076" s="2"/>
      <c r="E1076" s="2"/>
      <c r="F1076" s="2"/>
      <c r="G1076" s="2"/>
      <c r="H1076" s="2"/>
    </row>
    <row r="1077">
      <c r="A1077" s="1" t="s">
        <v>606</v>
      </c>
      <c r="B1077" s="1"/>
      <c r="C1077" s="1">
        <v>0.0</v>
      </c>
      <c r="D1077" s="2"/>
      <c r="E1077" s="2"/>
      <c r="F1077" s="2"/>
      <c r="G1077" s="2"/>
      <c r="H1077" s="2"/>
    </row>
    <row r="1078">
      <c r="A1078" s="1" t="s">
        <v>607</v>
      </c>
      <c r="B1078" s="1"/>
      <c r="C1078" s="1" t="s">
        <v>608</v>
      </c>
      <c r="D1078" s="1">
        <v>0.0</v>
      </c>
      <c r="E1078" s="2"/>
      <c r="F1078" s="2"/>
      <c r="G1078" s="2"/>
      <c r="H1078" s="2"/>
    </row>
    <row r="1079">
      <c r="A1079" s="1" t="s">
        <v>609</v>
      </c>
      <c r="B1079" s="1"/>
      <c r="C1079" s="1">
        <v>0.0</v>
      </c>
      <c r="D1079" s="2"/>
      <c r="E1079" s="2"/>
      <c r="F1079" s="2"/>
      <c r="G1079" s="2"/>
      <c r="H1079" s="2"/>
    </row>
    <row r="1080">
      <c r="A1080" s="1" t="s">
        <v>610</v>
      </c>
      <c r="B1080" s="1"/>
      <c r="C1080" s="1">
        <v>0.0</v>
      </c>
      <c r="D1080" s="2"/>
      <c r="E1080" s="2"/>
      <c r="F1080" s="2"/>
      <c r="G1080" s="2"/>
      <c r="H1080" s="2"/>
    </row>
    <row r="1081">
      <c r="A1081" s="1" t="s">
        <v>611</v>
      </c>
      <c r="B1081" s="1"/>
      <c r="C1081" s="1">
        <v>0.0</v>
      </c>
      <c r="D1081" s="2"/>
      <c r="E1081" s="2"/>
      <c r="F1081" s="2"/>
      <c r="G1081" s="2"/>
      <c r="H1081" s="2"/>
    </row>
    <row r="1082">
      <c r="A1082" s="1" t="s">
        <v>612</v>
      </c>
      <c r="B1082" s="1"/>
      <c r="C1082" s="1">
        <v>32.0</v>
      </c>
      <c r="D1082" s="2"/>
      <c r="E1082" s="2"/>
      <c r="F1082" s="2"/>
      <c r="G1082" s="2"/>
      <c r="H1082" s="2"/>
    </row>
    <row r="1083">
      <c r="A1083" s="1" t="s">
        <v>613</v>
      </c>
      <c r="B1083" s="1"/>
      <c r="C1083" s="1">
        <v>0.0</v>
      </c>
      <c r="D1083" s="2"/>
      <c r="E1083" s="2"/>
      <c r="F1083" s="2"/>
      <c r="G1083" s="2"/>
      <c r="H1083" s="2"/>
    </row>
    <row r="1084">
      <c r="A1084" s="1" t="s">
        <v>614</v>
      </c>
      <c r="B1084" s="1"/>
      <c r="C1084" s="1">
        <v>0.0</v>
      </c>
      <c r="D1084" s="2"/>
      <c r="E1084" s="2"/>
      <c r="F1084" s="2"/>
      <c r="G1084" s="2"/>
      <c r="H1084" s="2"/>
    </row>
    <row r="1085">
      <c r="A1085" s="1" t="s">
        <v>615</v>
      </c>
      <c r="B1085" s="1"/>
      <c r="C1085" s="1">
        <v>0.0</v>
      </c>
      <c r="D1085" s="2"/>
      <c r="E1085" s="2"/>
      <c r="F1085" s="2"/>
      <c r="G1085" s="2"/>
      <c r="H1085" s="2"/>
    </row>
    <row r="1086">
      <c r="A1086" s="1" t="s">
        <v>616</v>
      </c>
      <c r="B1086" s="1"/>
      <c r="C1086" s="1">
        <v>0.0</v>
      </c>
      <c r="D1086" s="2"/>
      <c r="E1086" s="2"/>
      <c r="F1086" s="2"/>
      <c r="G1086" s="2"/>
      <c r="H1086" s="2"/>
    </row>
    <row r="1087">
      <c r="A1087" s="1" t="s">
        <v>617</v>
      </c>
      <c r="B1087" s="1"/>
      <c r="C1087" s="1">
        <v>0.0</v>
      </c>
      <c r="D1087" s="2"/>
      <c r="E1087" s="2"/>
      <c r="F1087" s="2"/>
      <c r="G1087" s="2"/>
      <c r="H1087" s="2"/>
    </row>
    <row r="1088">
      <c r="A1088" s="1" t="s">
        <v>618</v>
      </c>
      <c r="B1088" s="1"/>
      <c r="C1088" s="1">
        <v>0.0</v>
      </c>
      <c r="D1088" s="2"/>
      <c r="E1088" s="2"/>
      <c r="F1088" s="2"/>
      <c r="G1088" s="2"/>
      <c r="H1088" s="2"/>
    </row>
    <row r="1089">
      <c r="A1089" s="1" t="s">
        <v>619</v>
      </c>
      <c r="B1089" s="1"/>
      <c r="C1089" s="1">
        <v>87.0</v>
      </c>
      <c r="D1089" s="2"/>
      <c r="E1089" s="2"/>
      <c r="F1089" s="2"/>
      <c r="G1089" s="2"/>
      <c r="H1089" s="2"/>
    </row>
    <row r="1090">
      <c r="A1090" s="1" t="s">
        <v>620</v>
      </c>
      <c r="B1090" s="1"/>
      <c r="C1090" s="1">
        <v>0.0</v>
      </c>
      <c r="D1090" s="2"/>
      <c r="E1090" s="2"/>
      <c r="F1090" s="2"/>
      <c r="G1090" s="2"/>
      <c r="H1090" s="2"/>
    </row>
    <row r="1091">
      <c r="A1091" s="1" t="s">
        <v>621</v>
      </c>
      <c r="B1091" s="1"/>
      <c r="C1091" s="1">
        <v>0.0</v>
      </c>
      <c r="D1091" s="2"/>
      <c r="E1091" s="2"/>
      <c r="F1091" s="2"/>
      <c r="G1091" s="2"/>
      <c r="H1091" s="2"/>
    </row>
    <row r="1092">
      <c r="A1092" s="1" t="s">
        <v>622</v>
      </c>
      <c r="B1092" s="1"/>
      <c r="C1092" s="1">
        <v>0.0</v>
      </c>
      <c r="D1092" s="2"/>
      <c r="E1092" s="2"/>
      <c r="F1092" s="2"/>
      <c r="G1092" s="2"/>
      <c r="H1092" s="2"/>
    </row>
    <row r="1093">
      <c r="A1093" s="1" t="s">
        <v>623</v>
      </c>
      <c r="B1093" s="1"/>
      <c r="C1093" s="1">
        <v>14.0</v>
      </c>
      <c r="D1093" s="2"/>
      <c r="E1093" s="2"/>
      <c r="F1093" s="2"/>
      <c r="G1093" s="2"/>
      <c r="H1093" s="2"/>
    </row>
    <row r="1094">
      <c r="A1094" s="1" t="s">
        <v>624</v>
      </c>
      <c r="B1094" s="1"/>
      <c r="C1094" s="1">
        <v>76.0</v>
      </c>
      <c r="D1094" s="2"/>
      <c r="E1094" s="2"/>
      <c r="F1094" s="2"/>
      <c r="G1094" s="2"/>
      <c r="H1094" s="2"/>
    </row>
    <row r="1095">
      <c r="A1095" s="1" t="s">
        <v>625</v>
      </c>
      <c r="B1095" s="1"/>
      <c r="C1095" s="1">
        <v>20.0</v>
      </c>
      <c r="D1095" s="2"/>
      <c r="E1095" s="2"/>
      <c r="F1095" s="2"/>
      <c r="G1095" s="2"/>
      <c r="H1095" s="2"/>
    </row>
    <row r="1096">
      <c r="A1096" s="1" t="s">
        <v>626</v>
      </c>
      <c r="B1096" s="1"/>
      <c r="C1096" s="1">
        <v>0.0</v>
      </c>
      <c r="D1096" s="2"/>
      <c r="E1096" s="2"/>
      <c r="F1096" s="2"/>
      <c r="G1096" s="2"/>
      <c r="H1096" s="2"/>
    </row>
    <row r="1097">
      <c r="A1097" s="1" t="s">
        <v>627</v>
      </c>
      <c r="B1097" s="1"/>
      <c r="C1097" s="1">
        <v>0.0</v>
      </c>
      <c r="D1097" s="2"/>
      <c r="E1097" s="2"/>
      <c r="F1097" s="2"/>
      <c r="G1097" s="2"/>
      <c r="H1097" s="2"/>
    </row>
    <row r="1098">
      <c r="A1098" s="1" t="s">
        <v>628</v>
      </c>
      <c r="B1098" s="1"/>
      <c r="C1098" s="1">
        <v>8.0</v>
      </c>
      <c r="D1098" s="2"/>
      <c r="E1098" s="2"/>
      <c r="F1098" s="2"/>
      <c r="G1098" s="2"/>
      <c r="H1098" s="2"/>
    </row>
    <row r="1099">
      <c r="A1099" s="1" t="s">
        <v>629</v>
      </c>
      <c r="B1099" s="1"/>
      <c r="C1099" s="1">
        <v>0.0</v>
      </c>
      <c r="D1099" s="2"/>
      <c r="E1099" s="2"/>
      <c r="F1099" s="2"/>
      <c r="G1099" s="2"/>
      <c r="H1099" s="2"/>
    </row>
    <row r="1100">
      <c r="A1100" s="1" t="s">
        <v>630</v>
      </c>
      <c r="B1100" s="1"/>
      <c r="C1100" s="1">
        <v>0.0</v>
      </c>
      <c r="D1100" s="2"/>
      <c r="E1100" s="2"/>
      <c r="F1100" s="2"/>
      <c r="G1100" s="2"/>
      <c r="H1100" s="2"/>
    </row>
    <row r="1101">
      <c r="A1101" s="1" t="s">
        <v>631</v>
      </c>
      <c r="B1101" s="1"/>
      <c r="C1101" s="1">
        <v>0.0</v>
      </c>
      <c r="D1101" s="2"/>
      <c r="E1101" s="2"/>
      <c r="F1101" s="2"/>
      <c r="G1101" s="2"/>
      <c r="H1101" s="2"/>
    </row>
    <row r="1102">
      <c r="A1102" s="1" t="s">
        <v>632</v>
      </c>
      <c r="B1102" s="1"/>
      <c r="C1102" s="1">
        <v>78.0</v>
      </c>
      <c r="D1102" s="2"/>
      <c r="E1102" s="2"/>
      <c r="F1102" s="2"/>
      <c r="G1102" s="2"/>
      <c r="H1102" s="2"/>
    </row>
    <row r="1103">
      <c r="A1103" s="1" t="s">
        <v>633</v>
      </c>
      <c r="B1103" s="1"/>
      <c r="C1103" s="1">
        <v>6.0</v>
      </c>
      <c r="D1103" s="2"/>
      <c r="E1103" s="2"/>
      <c r="F1103" s="2"/>
      <c r="G1103" s="2"/>
      <c r="H1103" s="2"/>
    </row>
    <row r="1104">
      <c r="A1104" s="1" t="s">
        <v>634</v>
      </c>
      <c r="B1104" s="1"/>
      <c r="C1104" s="1">
        <v>89.0</v>
      </c>
      <c r="D1104" s="2"/>
      <c r="E1104" s="2"/>
      <c r="F1104" s="2"/>
      <c r="G1104" s="2"/>
      <c r="H1104" s="2"/>
    </row>
    <row r="1105">
      <c r="A1105" s="1" t="s">
        <v>635</v>
      </c>
      <c r="B1105" s="1"/>
      <c r="C1105" s="1">
        <v>38.0</v>
      </c>
      <c r="D1105" s="2"/>
      <c r="E1105" s="2"/>
      <c r="F1105" s="2"/>
      <c r="G1105" s="2"/>
      <c r="H1105" s="2"/>
    </row>
    <row r="1106">
      <c r="A1106" s="1" t="s">
        <v>636</v>
      </c>
      <c r="B1106" s="1"/>
      <c r="C1106" s="1">
        <v>68.0</v>
      </c>
      <c r="D1106" s="2"/>
      <c r="E1106" s="2"/>
      <c r="F1106" s="2"/>
      <c r="G1106" s="2"/>
      <c r="H1106" s="2"/>
    </row>
    <row r="1107">
      <c r="A1107" s="1" t="s">
        <v>637</v>
      </c>
      <c r="B1107" s="1"/>
      <c r="C1107" s="1">
        <v>0.0</v>
      </c>
      <c r="D1107" s="2"/>
      <c r="E1107" s="2"/>
      <c r="F1107" s="2"/>
      <c r="G1107" s="2"/>
      <c r="H1107" s="2"/>
    </row>
    <row r="1108">
      <c r="A1108" s="1" t="s">
        <v>638</v>
      </c>
      <c r="B1108" s="1"/>
      <c r="C1108" s="1">
        <v>0.0</v>
      </c>
      <c r="D1108" s="2"/>
      <c r="E1108" s="2"/>
      <c r="F1108" s="2"/>
      <c r="G1108" s="2"/>
      <c r="H1108" s="2"/>
    </row>
    <row r="1109">
      <c r="A1109" s="1" t="s">
        <v>639</v>
      </c>
      <c r="B1109" s="1"/>
      <c r="C1109" s="1">
        <v>0.0</v>
      </c>
      <c r="D1109" s="2"/>
      <c r="E1109" s="2"/>
      <c r="F1109" s="2"/>
      <c r="G1109" s="2"/>
      <c r="H1109" s="2"/>
    </row>
    <row r="1110">
      <c r="A1110" s="1" t="s">
        <v>640</v>
      </c>
      <c r="B1110" s="1"/>
      <c r="C1110" s="1">
        <v>90.0</v>
      </c>
      <c r="D1110" s="2"/>
      <c r="E1110" s="2"/>
      <c r="F1110" s="2"/>
      <c r="G1110" s="2"/>
      <c r="H1110" s="2"/>
    </row>
    <row r="1111">
      <c r="A1111" s="1" t="s">
        <v>641</v>
      </c>
      <c r="B1111" s="1"/>
      <c r="C1111" s="1">
        <v>0.0</v>
      </c>
      <c r="D1111" s="2"/>
      <c r="E1111" s="2"/>
      <c r="F1111" s="2"/>
      <c r="G1111" s="2"/>
      <c r="H1111" s="2"/>
    </row>
    <row r="1112">
      <c r="A1112" s="1" t="s">
        <v>642</v>
      </c>
      <c r="B1112" s="1"/>
      <c r="C1112" s="1">
        <v>0.0</v>
      </c>
      <c r="D1112" s="2"/>
      <c r="E1112" s="2"/>
      <c r="F1112" s="2"/>
      <c r="G1112" s="2"/>
      <c r="H1112" s="2"/>
    </row>
    <row r="1113">
      <c r="A1113" s="1" t="s">
        <v>643</v>
      </c>
      <c r="B1113" s="1"/>
      <c r="C1113" s="1">
        <v>57.0</v>
      </c>
      <c r="D1113" s="2"/>
      <c r="E1113" s="2"/>
      <c r="F1113" s="2"/>
      <c r="G1113" s="2"/>
      <c r="H1113" s="2"/>
    </row>
    <row r="1114">
      <c r="A1114" s="1" t="s">
        <v>644</v>
      </c>
      <c r="B1114" s="1"/>
      <c r="C1114" s="1">
        <v>20.0</v>
      </c>
      <c r="D1114" s="2"/>
      <c r="E1114" s="2"/>
      <c r="F1114" s="2"/>
      <c r="G1114" s="2"/>
      <c r="H1114" s="2"/>
    </row>
    <row r="1115">
      <c r="A1115" s="1" t="s">
        <v>645</v>
      </c>
      <c r="B1115" s="1"/>
      <c r="C1115" s="1">
        <v>0.0</v>
      </c>
      <c r="D1115" s="2"/>
      <c r="E1115" s="2"/>
      <c r="F1115" s="2"/>
      <c r="G1115" s="2"/>
      <c r="H1115" s="2"/>
    </row>
    <row r="1116">
      <c r="A1116" s="1" t="s">
        <v>646</v>
      </c>
      <c r="B1116" s="1"/>
      <c r="C1116" s="1">
        <v>50.0</v>
      </c>
      <c r="D1116" s="2"/>
      <c r="E1116" s="2"/>
      <c r="F1116" s="2"/>
      <c r="G1116" s="2"/>
      <c r="H1116" s="2"/>
    </row>
    <row r="1117">
      <c r="A1117" s="1" t="s">
        <v>647</v>
      </c>
      <c r="B1117" s="1"/>
      <c r="C1117" s="1">
        <v>0.0</v>
      </c>
      <c r="D1117" s="2"/>
      <c r="E1117" s="2"/>
      <c r="F1117" s="2"/>
      <c r="G1117" s="2"/>
      <c r="H1117" s="2"/>
    </row>
    <row r="1118">
      <c r="A1118" s="1" t="s">
        <v>648</v>
      </c>
      <c r="B1118" s="1"/>
      <c r="C1118" s="1">
        <v>0.0</v>
      </c>
      <c r="D1118" s="2"/>
      <c r="E1118" s="2"/>
      <c r="F1118" s="2"/>
      <c r="G1118" s="2"/>
      <c r="H1118" s="2"/>
    </row>
    <row r="1119">
      <c r="A1119" s="1" t="s">
        <v>649</v>
      </c>
      <c r="B1119" s="1"/>
      <c r="C1119" s="1">
        <v>0.0</v>
      </c>
      <c r="D1119" s="2"/>
      <c r="E1119" s="2"/>
      <c r="F1119" s="2"/>
      <c r="G1119" s="2"/>
      <c r="H1119" s="2"/>
    </row>
    <row r="1120">
      <c r="A1120" s="1" t="s">
        <v>650</v>
      </c>
      <c r="B1120" s="1"/>
      <c r="C1120" s="1">
        <v>0.0</v>
      </c>
      <c r="D1120" s="2"/>
      <c r="E1120" s="2"/>
      <c r="F1120" s="2"/>
      <c r="G1120" s="2"/>
      <c r="H1120" s="2"/>
    </row>
    <row r="1121">
      <c r="A1121" s="1" t="s">
        <v>651</v>
      </c>
      <c r="B1121" s="1"/>
      <c r="C1121" s="1">
        <v>0.0</v>
      </c>
      <c r="D1121" s="2"/>
      <c r="E1121" s="2"/>
      <c r="F1121" s="2"/>
      <c r="G1121" s="2"/>
      <c r="H1121" s="2"/>
    </row>
    <row r="1122">
      <c r="A1122" s="1" t="s">
        <v>652</v>
      </c>
      <c r="B1122" s="1"/>
      <c r="C1122" s="1">
        <v>0.0</v>
      </c>
      <c r="D1122" s="2"/>
      <c r="E1122" s="2"/>
      <c r="F1122" s="2"/>
      <c r="G1122" s="2"/>
      <c r="H1122" s="2"/>
    </row>
    <row r="1123">
      <c r="A1123" s="1" t="s">
        <v>653</v>
      </c>
      <c r="B1123" s="1"/>
      <c r="C1123" s="1">
        <v>0.0</v>
      </c>
      <c r="D1123" s="2"/>
      <c r="E1123" s="2"/>
      <c r="F1123" s="2"/>
      <c r="G1123" s="2"/>
      <c r="H1123" s="2"/>
    </row>
    <row r="1124">
      <c r="A1124" s="1" t="s">
        <v>654</v>
      </c>
      <c r="B1124" s="1"/>
      <c r="C1124" s="1">
        <v>0.0</v>
      </c>
      <c r="D1124" s="2"/>
      <c r="E1124" s="2"/>
      <c r="F1124" s="2"/>
      <c r="G1124" s="2"/>
      <c r="H1124" s="2"/>
    </row>
    <row r="1125">
      <c r="A1125" s="1" t="s">
        <v>655</v>
      </c>
      <c r="B1125" s="1"/>
      <c r="C1125" s="1">
        <v>92.0</v>
      </c>
      <c r="D1125" s="2"/>
      <c r="E1125" s="2"/>
      <c r="F1125" s="2"/>
      <c r="G1125" s="2"/>
      <c r="H1125" s="2"/>
    </row>
    <row r="1126">
      <c r="A1126" s="1" t="s">
        <v>656</v>
      </c>
      <c r="B1126" s="1"/>
      <c r="C1126" s="1">
        <v>0.0</v>
      </c>
      <c r="D1126" s="2"/>
      <c r="E1126" s="2"/>
      <c r="F1126" s="2"/>
      <c r="G1126" s="2"/>
      <c r="H1126" s="2"/>
    </row>
    <row r="1127">
      <c r="A1127" s="1" t="s">
        <v>657</v>
      </c>
      <c r="B1127" s="1"/>
      <c r="C1127" s="1">
        <v>0.0</v>
      </c>
      <c r="D1127" s="2"/>
      <c r="E1127" s="2"/>
      <c r="F1127" s="2"/>
      <c r="G1127" s="2"/>
      <c r="H1127" s="2"/>
    </row>
    <row r="1128">
      <c r="A1128" s="1" t="s">
        <v>658</v>
      </c>
      <c r="B1128" s="1"/>
      <c r="C1128" s="1">
        <v>0.0</v>
      </c>
      <c r="D1128" s="2"/>
      <c r="E1128" s="2"/>
      <c r="F1128" s="2"/>
      <c r="G1128" s="2"/>
      <c r="H1128" s="2"/>
    </row>
    <row r="1129">
      <c r="A1129" s="1" t="s">
        <v>659</v>
      </c>
      <c r="B1129" s="1"/>
      <c r="C1129" s="1">
        <v>0.0</v>
      </c>
      <c r="D1129" s="2"/>
      <c r="E1129" s="2"/>
      <c r="F1129" s="2"/>
      <c r="G1129" s="2"/>
      <c r="H1129" s="2"/>
    </row>
    <row r="1130">
      <c r="A1130" s="1" t="s">
        <v>660</v>
      </c>
      <c r="B1130" s="1"/>
      <c r="C1130" s="1">
        <v>0.0</v>
      </c>
      <c r="D1130" s="2"/>
      <c r="E1130" s="2"/>
      <c r="F1130" s="2"/>
      <c r="G1130" s="2"/>
      <c r="H1130" s="2"/>
    </row>
    <row r="1131">
      <c r="A1131" s="1" t="s">
        <v>661</v>
      </c>
      <c r="B1131" s="1"/>
      <c r="C1131" s="1">
        <v>0.0</v>
      </c>
      <c r="D1131" s="2"/>
      <c r="E1131" s="2"/>
      <c r="F1131" s="2"/>
      <c r="G1131" s="2"/>
      <c r="H1131" s="2"/>
    </row>
    <row r="1132">
      <c r="A1132" s="1" t="s">
        <v>662</v>
      </c>
      <c r="B1132" s="1"/>
      <c r="C1132" s="1">
        <v>0.0</v>
      </c>
      <c r="D1132" s="2"/>
      <c r="E1132" s="2"/>
      <c r="F1132" s="2"/>
      <c r="G1132" s="2"/>
      <c r="H1132" s="2"/>
    </row>
    <row r="1133">
      <c r="A1133" s="1" t="s">
        <v>663</v>
      </c>
      <c r="B1133" s="1"/>
      <c r="C1133" s="1" t="s">
        <v>664</v>
      </c>
      <c r="D1133" s="1">
        <v>0.0</v>
      </c>
      <c r="E1133" s="2"/>
      <c r="F1133" s="2"/>
      <c r="G1133" s="2"/>
      <c r="H1133" s="2"/>
    </row>
    <row r="1134">
      <c r="A1134" s="1" t="s">
        <v>665</v>
      </c>
      <c r="B1134" s="1"/>
      <c r="C1134" s="1">
        <v>0.0</v>
      </c>
      <c r="D1134" s="2"/>
      <c r="E1134" s="2"/>
      <c r="F1134" s="2"/>
      <c r="G1134" s="2"/>
      <c r="H1134" s="2"/>
    </row>
    <row r="1135">
      <c r="A1135" s="1" t="s">
        <v>666</v>
      </c>
      <c r="B1135" s="1"/>
      <c r="C1135" s="1">
        <v>0.0</v>
      </c>
      <c r="D1135" s="2"/>
      <c r="E1135" s="2"/>
      <c r="F1135" s="2"/>
      <c r="G1135" s="2"/>
      <c r="H1135" s="2"/>
    </row>
    <row r="1136">
      <c r="A1136" s="1" t="s">
        <v>667</v>
      </c>
      <c r="B1136" s="1"/>
      <c r="C1136" s="1">
        <v>68.0</v>
      </c>
      <c r="D1136" s="2"/>
      <c r="E1136" s="2"/>
      <c r="F1136" s="2"/>
      <c r="G1136" s="2"/>
      <c r="H1136" s="2"/>
    </row>
    <row r="1137">
      <c r="A1137" s="1" t="s">
        <v>668</v>
      </c>
      <c r="B1137" s="1"/>
      <c r="C1137" s="1">
        <v>0.0</v>
      </c>
      <c r="D1137" s="2"/>
      <c r="E1137" s="2"/>
      <c r="F1137" s="2"/>
      <c r="G1137" s="2"/>
      <c r="H1137" s="2"/>
    </row>
    <row r="1138">
      <c r="A1138" s="1" t="s">
        <v>669</v>
      </c>
      <c r="B1138" s="1"/>
      <c r="C1138" s="1">
        <v>0.0</v>
      </c>
      <c r="D1138" s="2"/>
      <c r="E1138" s="2"/>
      <c r="F1138" s="2"/>
      <c r="G1138" s="2"/>
      <c r="H1138" s="2"/>
    </row>
    <row r="1139">
      <c r="A1139" s="1" t="s">
        <v>670</v>
      </c>
      <c r="B1139" s="1"/>
      <c r="C1139" s="1">
        <v>0.0</v>
      </c>
      <c r="D1139" s="2"/>
      <c r="E1139" s="2"/>
      <c r="F1139" s="2"/>
      <c r="G1139" s="2"/>
      <c r="H1139" s="2"/>
    </row>
    <row r="1140">
      <c r="A1140" s="1" t="s">
        <v>671</v>
      </c>
      <c r="B1140" s="1"/>
      <c r="C1140" s="1">
        <v>0.0</v>
      </c>
      <c r="D1140" s="2"/>
      <c r="E1140" s="2"/>
      <c r="F1140" s="2"/>
      <c r="G1140" s="2"/>
      <c r="H1140" s="2"/>
    </row>
    <row r="1141">
      <c r="A1141" s="1" t="s">
        <v>672</v>
      </c>
      <c r="B1141" s="1"/>
      <c r="C1141" s="1">
        <v>95.0</v>
      </c>
      <c r="D1141" s="2"/>
      <c r="E1141" s="2"/>
      <c r="F1141" s="2"/>
      <c r="G1141" s="2"/>
      <c r="H1141" s="2"/>
    </row>
    <row r="1142">
      <c r="A1142" s="1" t="s">
        <v>673</v>
      </c>
      <c r="B1142" s="1"/>
      <c r="C1142" s="1">
        <v>32.0</v>
      </c>
      <c r="D1142" s="2"/>
      <c r="E1142" s="2"/>
      <c r="F1142" s="2"/>
      <c r="G1142" s="2"/>
      <c r="H1142" s="2"/>
    </row>
    <row r="1143">
      <c r="A1143" s="1" t="s">
        <v>674</v>
      </c>
      <c r="B1143" s="1"/>
      <c r="C1143" s="1">
        <v>79.0</v>
      </c>
      <c r="D1143" s="2"/>
      <c r="E1143" s="2"/>
      <c r="F1143" s="2"/>
      <c r="G1143" s="2"/>
      <c r="H1143" s="2"/>
    </row>
    <row r="1144">
      <c r="A1144" s="1" t="s">
        <v>675</v>
      </c>
      <c r="B1144" s="1"/>
      <c r="C1144" s="1">
        <v>4.0</v>
      </c>
      <c r="D1144" s="2"/>
      <c r="E1144" s="2"/>
      <c r="F1144" s="2"/>
      <c r="G1144" s="2"/>
      <c r="H1144" s="2"/>
    </row>
    <row r="1145">
      <c r="A1145" s="1" t="s">
        <v>676</v>
      </c>
      <c r="B1145" s="1"/>
      <c r="C1145" s="1">
        <v>0.0</v>
      </c>
      <c r="D1145" s="2"/>
      <c r="E1145" s="2"/>
      <c r="F1145" s="2"/>
      <c r="G1145" s="2"/>
      <c r="H1145" s="2"/>
    </row>
    <row r="1146">
      <c r="A1146" s="1" t="s">
        <v>677</v>
      </c>
      <c r="B1146" s="1"/>
      <c r="C1146" s="1">
        <v>82.0</v>
      </c>
      <c r="D1146" s="2"/>
      <c r="E1146" s="2"/>
      <c r="F1146" s="2"/>
      <c r="G1146" s="2"/>
      <c r="H1146" s="2"/>
    </row>
    <row r="1147">
      <c r="A1147" s="1" t="s">
        <v>678</v>
      </c>
      <c r="B1147" s="1"/>
      <c r="C1147" s="1">
        <v>0.0</v>
      </c>
      <c r="D1147" s="2"/>
      <c r="E1147" s="2"/>
      <c r="F1147" s="2"/>
      <c r="G1147" s="2"/>
      <c r="H1147" s="2"/>
    </row>
    <row r="1148">
      <c r="A1148" s="1" t="s">
        <v>679</v>
      </c>
      <c r="B1148" s="1"/>
      <c r="C1148" s="1">
        <v>0.0</v>
      </c>
      <c r="D1148" s="2"/>
      <c r="E1148" s="2"/>
      <c r="F1148" s="2"/>
      <c r="G1148" s="2"/>
      <c r="H1148" s="2"/>
    </row>
    <row r="1149">
      <c r="A1149" s="1" t="s">
        <v>680</v>
      </c>
      <c r="B1149" s="1"/>
      <c r="C1149" s="1">
        <v>0.0</v>
      </c>
      <c r="D1149" s="2"/>
      <c r="E1149" s="2"/>
      <c r="F1149" s="2"/>
      <c r="G1149" s="2"/>
      <c r="H1149" s="2"/>
    </row>
    <row r="1150">
      <c r="A1150" s="1" t="s">
        <v>681</v>
      </c>
      <c r="B1150" s="1"/>
      <c r="C1150" s="1">
        <v>0.0</v>
      </c>
      <c r="D1150" s="2"/>
      <c r="E1150" s="2"/>
      <c r="F1150" s="2"/>
      <c r="G1150" s="2"/>
      <c r="H1150" s="2"/>
    </row>
    <row r="1151">
      <c r="A1151" s="1" t="s">
        <v>682</v>
      </c>
      <c r="B1151" s="1"/>
      <c r="C1151" s="1">
        <v>0.0</v>
      </c>
      <c r="D1151" s="2"/>
      <c r="E1151" s="2"/>
      <c r="F1151" s="2"/>
      <c r="G1151" s="2"/>
      <c r="H1151" s="2"/>
    </row>
    <row r="1152">
      <c r="A1152" s="1" t="s">
        <v>683</v>
      </c>
      <c r="B1152" s="1"/>
      <c r="C1152" s="1">
        <v>72.0</v>
      </c>
      <c r="D1152" s="2"/>
      <c r="E1152" s="2"/>
      <c r="F1152" s="2"/>
      <c r="G1152" s="2"/>
      <c r="H1152" s="2"/>
    </row>
    <row r="1153">
      <c r="A1153" s="1" t="s">
        <v>684</v>
      </c>
      <c r="B1153" s="1"/>
      <c r="C1153" s="1">
        <v>0.0</v>
      </c>
      <c r="D1153" s="2"/>
      <c r="E1153" s="2"/>
      <c r="F1153" s="2"/>
      <c r="G1153" s="2"/>
      <c r="H1153" s="2"/>
    </row>
    <row r="1154">
      <c r="A1154" s="1" t="s">
        <v>685</v>
      </c>
      <c r="B1154" s="1"/>
      <c r="C1154" s="1">
        <v>0.0</v>
      </c>
      <c r="D1154" s="2"/>
      <c r="E1154" s="2"/>
      <c r="F1154" s="2"/>
      <c r="G1154" s="2"/>
      <c r="H1154" s="2"/>
    </row>
    <row r="1155">
      <c r="A1155" s="1" t="s">
        <v>686</v>
      </c>
      <c r="B1155" s="1"/>
      <c r="C1155" s="1">
        <v>17.0</v>
      </c>
      <c r="D1155" s="2"/>
      <c r="E1155" s="2"/>
      <c r="F1155" s="2"/>
      <c r="G1155" s="2"/>
      <c r="H1155" s="2"/>
    </row>
    <row r="1156">
      <c r="A1156" s="1" t="s">
        <v>687</v>
      </c>
      <c r="B1156" s="1"/>
      <c r="C1156" s="1">
        <v>50.0</v>
      </c>
      <c r="D1156" s="2"/>
      <c r="E1156" s="2"/>
      <c r="F1156" s="2"/>
      <c r="G1156" s="2"/>
      <c r="H1156" s="2"/>
    </row>
    <row r="1157">
      <c r="A1157" s="1" t="s">
        <v>688</v>
      </c>
      <c r="B1157" s="1"/>
      <c r="C1157" s="1">
        <v>0.0</v>
      </c>
      <c r="D1157" s="2"/>
      <c r="E1157" s="2"/>
      <c r="F1157" s="2"/>
      <c r="G1157" s="2"/>
      <c r="H1157" s="2"/>
    </row>
    <row r="1158">
      <c r="A1158" s="1" t="s">
        <v>689</v>
      </c>
      <c r="B1158" s="1"/>
      <c r="C1158" s="1">
        <v>0.0</v>
      </c>
      <c r="D1158" s="2"/>
      <c r="E1158" s="2"/>
      <c r="F1158" s="2"/>
      <c r="G1158" s="2"/>
      <c r="H1158" s="2"/>
    </row>
    <row r="1159">
      <c r="A1159" s="1" t="s">
        <v>690</v>
      </c>
      <c r="B1159" s="1"/>
      <c r="C1159" s="1">
        <v>0.0</v>
      </c>
      <c r="D1159" s="2"/>
      <c r="E1159" s="2"/>
      <c r="F1159" s="2"/>
      <c r="G1159" s="2"/>
      <c r="H1159" s="2"/>
    </row>
    <row r="1160">
      <c r="A1160" s="1" t="s">
        <v>691</v>
      </c>
      <c r="B1160" s="1"/>
      <c r="C1160" s="1">
        <v>50.0</v>
      </c>
      <c r="D1160" s="2"/>
      <c r="E1160" s="2"/>
      <c r="F1160" s="2"/>
      <c r="G1160" s="2"/>
      <c r="H1160" s="2"/>
    </row>
    <row r="1161">
      <c r="A1161" s="1" t="s">
        <v>692</v>
      </c>
      <c r="B1161" s="1"/>
      <c r="C1161" s="1">
        <v>0.0</v>
      </c>
      <c r="D1161" s="2"/>
      <c r="E1161" s="2"/>
      <c r="F1161" s="2"/>
      <c r="G1161" s="2"/>
      <c r="H1161" s="2"/>
    </row>
    <row r="1162">
      <c r="A1162" s="1" t="s">
        <v>693</v>
      </c>
      <c r="B1162" s="1"/>
      <c r="C1162" s="1">
        <v>0.0</v>
      </c>
      <c r="D1162" s="2"/>
      <c r="E1162" s="2"/>
      <c r="F1162" s="2"/>
      <c r="G1162" s="2"/>
      <c r="H1162" s="2"/>
    </row>
    <row r="1163">
      <c r="A1163" s="1" t="s">
        <v>694</v>
      </c>
      <c r="B1163" s="1"/>
      <c r="C1163" s="1">
        <v>35.0</v>
      </c>
      <c r="D1163" s="2"/>
      <c r="E1163" s="2"/>
      <c r="F1163" s="2"/>
      <c r="G1163" s="2"/>
      <c r="H1163" s="2"/>
    </row>
    <row r="1164">
      <c r="A1164" s="1" t="s">
        <v>695</v>
      </c>
      <c r="B1164" s="1"/>
      <c r="C1164" s="1">
        <v>0.0</v>
      </c>
      <c r="D1164" s="2"/>
      <c r="E1164" s="2"/>
      <c r="F1164" s="2"/>
      <c r="G1164" s="2"/>
      <c r="H1164" s="2"/>
    </row>
    <row r="1165">
      <c r="A1165" s="1" t="s">
        <v>696</v>
      </c>
      <c r="B1165" s="1"/>
      <c r="C1165" s="1">
        <v>48.0</v>
      </c>
      <c r="D1165" s="2"/>
      <c r="E1165" s="2"/>
      <c r="F1165" s="2"/>
      <c r="G1165" s="2"/>
      <c r="H1165" s="2"/>
    </row>
    <row r="1166">
      <c r="A1166" s="1" t="s">
        <v>697</v>
      </c>
      <c r="B1166" s="1"/>
      <c r="C1166" s="1">
        <v>0.0</v>
      </c>
      <c r="D1166" s="2"/>
      <c r="E1166" s="2"/>
      <c r="F1166" s="2"/>
      <c r="G1166" s="2"/>
      <c r="H1166" s="2"/>
    </row>
    <row r="1167">
      <c r="A1167" s="1" t="s">
        <v>698</v>
      </c>
      <c r="B1167" s="1"/>
      <c r="C1167" s="1">
        <v>50.0</v>
      </c>
      <c r="D1167" s="2"/>
      <c r="E1167" s="2"/>
      <c r="F1167" s="2"/>
      <c r="G1167" s="2"/>
      <c r="H1167" s="2"/>
    </row>
    <row r="1168">
      <c r="A1168" s="1" t="s">
        <v>699</v>
      </c>
      <c r="B1168" s="1"/>
      <c r="C1168" s="1">
        <v>56.0</v>
      </c>
      <c r="D1168" s="2"/>
      <c r="E1168" s="2"/>
      <c r="F1168" s="2"/>
      <c r="G1168" s="2"/>
      <c r="H1168" s="2"/>
    </row>
    <row r="1169">
      <c r="A1169" s="1" t="s">
        <v>700</v>
      </c>
      <c r="B1169" s="1"/>
      <c r="C1169" s="1">
        <v>0.0</v>
      </c>
      <c r="D1169" s="2"/>
      <c r="E1169" s="2"/>
      <c r="F1169" s="2"/>
      <c r="G1169" s="2"/>
      <c r="H1169" s="2"/>
    </row>
    <row r="1170">
      <c r="A1170" s="1" t="s">
        <v>701</v>
      </c>
      <c r="B1170" s="1"/>
      <c r="C1170" s="1">
        <v>0.0</v>
      </c>
      <c r="D1170" s="2"/>
      <c r="E1170" s="2"/>
      <c r="F1170" s="2"/>
      <c r="G1170" s="2"/>
      <c r="H1170" s="2"/>
    </row>
    <row r="1171">
      <c r="A1171" s="1" t="s">
        <v>702</v>
      </c>
      <c r="B1171" s="1"/>
      <c r="C1171" s="1">
        <v>0.0</v>
      </c>
      <c r="D1171" s="2"/>
      <c r="E1171" s="2"/>
      <c r="F1171" s="2"/>
      <c r="G1171" s="2"/>
      <c r="H1171" s="2"/>
    </row>
    <row r="1172">
      <c r="A1172" s="1" t="s">
        <v>703</v>
      </c>
      <c r="B1172" s="1"/>
      <c r="C1172" s="1">
        <v>0.0</v>
      </c>
      <c r="D1172" s="2"/>
      <c r="E1172" s="2"/>
      <c r="F1172" s="2"/>
      <c r="G1172" s="2"/>
      <c r="H1172" s="2"/>
    </row>
    <row r="1173">
      <c r="A1173" s="1" t="s">
        <v>704</v>
      </c>
      <c r="B1173" s="1"/>
      <c r="C1173" s="1">
        <v>15.0</v>
      </c>
      <c r="D1173" s="2"/>
      <c r="E1173" s="2"/>
      <c r="F1173" s="2"/>
      <c r="G1173" s="2"/>
      <c r="H1173" s="2"/>
    </row>
    <row r="1174">
      <c r="A1174" s="1" t="s">
        <v>705</v>
      </c>
      <c r="B1174" s="1"/>
      <c r="C1174" s="1">
        <v>70.0</v>
      </c>
      <c r="D1174" s="2"/>
      <c r="E1174" s="2"/>
      <c r="F1174" s="2"/>
      <c r="G1174" s="2"/>
      <c r="H1174" s="2"/>
    </row>
    <row r="1175">
      <c r="A1175" s="1" t="s">
        <v>706</v>
      </c>
      <c r="B1175" s="1"/>
      <c r="C1175" s="1">
        <v>0.0</v>
      </c>
      <c r="D1175" s="2"/>
      <c r="E1175" s="2"/>
      <c r="F1175" s="2"/>
      <c r="G1175" s="2"/>
      <c r="H1175" s="2"/>
    </row>
    <row r="1176">
      <c r="A1176" s="1" t="s">
        <v>707</v>
      </c>
      <c r="B1176" s="1"/>
      <c r="C1176" s="1">
        <v>0.0</v>
      </c>
      <c r="D1176" s="2"/>
      <c r="E1176" s="2"/>
      <c r="F1176" s="2"/>
      <c r="G1176" s="2"/>
      <c r="H1176" s="2"/>
    </row>
    <row r="1177">
      <c r="A1177" s="1" t="s">
        <v>708</v>
      </c>
      <c r="B1177" s="1"/>
      <c r="C1177" s="1">
        <v>0.0</v>
      </c>
      <c r="D1177" s="2"/>
      <c r="E1177" s="2"/>
      <c r="F1177" s="2"/>
      <c r="G1177" s="2"/>
      <c r="H1177" s="2"/>
    </row>
    <row r="1178">
      <c r="A1178" s="1" t="s">
        <v>709</v>
      </c>
      <c r="B1178" s="1"/>
      <c r="C1178" s="1">
        <v>0.0</v>
      </c>
      <c r="D1178" s="2"/>
      <c r="E1178" s="2"/>
      <c r="F1178" s="2"/>
      <c r="G1178" s="2"/>
      <c r="H1178" s="2"/>
    </row>
    <row r="1179">
      <c r="A1179" s="1" t="s">
        <v>710</v>
      </c>
      <c r="B1179" s="1"/>
      <c r="C1179" s="1">
        <v>0.0</v>
      </c>
      <c r="D1179" s="2"/>
      <c r="E1179" s="2"/>
      <c r="F1179" s="2"/>
      <c r="G1179" s="2"/>
      <c r="H1179" s="2"/>
    </row>
    <row r="1180">
      <c r="A1180" s="1" t="s">
        <v>711</v>
      </c>
      <c r="B1180" s="1"/>
      <c r="C1180" s="1">
        <v>0.0</v>
      </c>
      <c r="D1180" s="2"/>
      <c r="E1180" s="2"/>
      <c r="F1180" s="2"/>
      <c r="G1180" s="2"/>
      <c r="H1180" s="2"/>
    </row>
    <row r="1181">
      <c r="A1181" s="1" t="s">
        <v>712</v>
      </c>
      <c r="B1181" s="1"/>
      <c r="C1181" s="1">
        <v>80.0</v>
      </c>
      <c r="D1181" s="2"/>
      <c r="E1181" s="2"/>
      <c r="F1181" s="2"/>
      <c r="G1181" s="2"/>
      <c r="H1181" s="2"/>
    </row>
    <row r="1182">
      <c r="A1182" s="1" t="s">
        <v>713</v>
      </c>
      <c r="B1182" s="1"/>
      <c r="C1182" s="1">
        <v>12.0</v>
      </c>
      <c r="D1182" s="2"/>
      <c r="E1182" s="2"/>
      <c r="F1182" s="2"/>
      <c r="G1182" s="2"/>
      <c r="H1182" s="2"/>
    </row>
    <row r="1183">
      <c r="A1183" s="1" t="s">
        <v>714</v>
      </c>
      <c r="B1183" s="1"/>
      <c r="C1183" s="1">
        <v>0.0</v>
      </c>
      <c r="D1183" s="2"/>
      <c r="E1183" s="2"/>
      <c r="F1183" s="2"/>
      <c r="G1183" s="2"/>
      <c r="H1183" s="2"/>
    </row>
    <row r="1184">
      <c r="A1184" s="1" t="s">
        <v>715</v>
      </c>
      <c r="B1184" s="1"/>
      <c r="C1184" s="1">
        <v>0.0</v>
      </c>
      <c r="D1184" s="2"/>
      <c r="E1184" s="2"/>
      <c r="F1184" s="2"/>
      <c r="G1184" s="2"/>
      <c r="H1184" s="2"/>
    </row>
    <row r="1185">
      <c r="A1185" s="1" t="s">
        <v>716</v>
      </c>
      <c r="B1185" s="1"/>
      <c r="C1185" s="1">
        <v>20.0</v>
      </c>
      <c r="D1185" s="2"/>
      <c r="E1185" s="2"/>
      <c r="F1185" s="2"/>
      <c r="G1185" s="2"/>
      <c r="H1185" s="2"/>
    </row>
    <row r="1186">
      <c r="A1186" s="1" t="s">
        <v>717</v>
      </c>
      <c r="B1186" s="1"/>
      <c r="C1186" s="1">
        <v>0.0</v>
      </c>
      <c r="D1186" s="2"/>
      <c r="E1186" s="2"/>
      <c r="F1186" s="2"/>
      <c r="G1186" s="2"/>
      <c r="H1186" s="2"/>
    </row>
    <row r="1187">
      <c r="A1187" s="1" t="s">
        <v>718</v>
      </c>
      <c r="B1187" s="1"/>
      <c r="C1187" s="1">
        <v>0.0</v>
      </c>
      <c r="D1187" s="2"/>
      <c r="E1187" s="2"/>
      <c r="F1187" s="2"/>
      <c r="G1187" s="2"/>
      <c r="H1187" s="2"/>
    </row>
    <row r="1188">
      <c r="A1188" s="1" t="s">
        <v>719</v>
      </c>
      <c r="B1188" s="1"/>
      <c r="C1188" s="1">
        <v>0.0</v>
      </c>
      <c r="D1188" s="2"/>
      <c r="E1188" s="2"/>
      <c r="F1188" s="2"/>
      <c r="G1188" s="2"/>
      <c r="H1188" s="2"/>
    </row>
    <row r="1189">
      <c r="A1189" s="1" t="s">
        <v>720</v>
      </c>
      <c r="B1189" s="1"/>
      <c r="C1189" s="1">
        <v>24.0</v>
      </c>
      <c r="D1189" s="2"/>
      <c r="E1189" s="2"/>
      <c r="F1189" s="2"/>
      <c r="G1189" s="2"/>
      <c r="H1189" s="2"/>
    </row>
    <row r="1190">
      <c r="A1190" s="1" t="s">
        <v>721</v>
      </c>
      <c r="B1190" s="1"/>
      <c r="C1190" s="1">
        <v>0.0</v>
      </c>
      <c r="D1190" s="2"/>
      <c r="E1190" s="2"/>
      <c r="F1190" s="2"/>
      <c r="G1190" s="2"/>
      <c r="H1190" s="2"/>
    </row>
    <row r="1191">
      <c r="A1191" s="1" t="s">
        <v>652</v>
      </c>
      <c r="B1191" s="1"/>
      <c r="C1191" s="1">
        <v>0.0</v>
      </c>
      <c r="D1191" s="2"/>
      <c r="E1191" s="2"/>
      <c r="F1191" s="2"/>
      <c r="G1191" s="2"/>
      <c r="H1191" s="2"/>
    </row>
    <row r="1192">
      <c r="A1192" s="1" t="s">
        <v>653</v>
      </c>
      <c r="B1192" s="1"/>
      <c r="C1192" s="1">
        <v>0.0</v>
      </c>
      <c r="D1192" s="2"/>
      <c r="E1192" s="2"/>
      <c r="F1192" s="2"/>
      <c r="G1192" s="2"/>
      <c r="H1192" s="2"/>
    </row>
    <row r="1193">
      <c r="A1193" s="1" t="s">
        <v>654</v>
      </c>
      <c r="B1193" s="1"/>
      <c r="C1193" s="1">
        <v>0.0</v>
      </c>
      <c r="D1193" s="2"/>
      <c r="E1193" s="2"/>
      <c r="F1193" s="2"/>
      <c r="G1193" s="2"/>
      <c r="H1193" s="2"/>
    </row>
    <row r="1194">
      <c r="A1194" s="1" t="s">
        <v>655</v>
      </c>
      <c r="B1194" s="1"/>
      <c r="C1194" s="1">
        <v>92.0</v>
      </c>
      <c r="D1194" s="2"/>
      <c r="E1194" s="2"/>
      <c r="F1194" s="2"/>
      <c r="G1194" s="2"/>
      <c r="H1194" s="2"/>
    </row>
    <row r="1195">
      <c r="A1195" s="1" t="s">
        <v>656</v>
      </c>
      <c r="B1195" s="1"/>
      <c r="C1195" s="1">
        <v>0.0</v>
      </c>
      <c r="D1195" s="2"/>
      <c r="E1195" s="2"/>
      <c r="F1195" s="2"/>
      <c r="G1195" s="2"/>
      <c r="H1195" s="2"/>
    </row>
    <row r="1196">
      <c r="A1196" s="1" t="s">
        <v>657</v>
      </c>
      <c r="B1196" s="1"/>
      <c r="C1196" s="1">
        <v>0.0</v>
      </c>
      <c r="D1196" s="2"/>
      <c r="E1196" s="2"/>
      <c r="F1196" s="2"/>
      <c r="G1196" s="2"/>
      <c r="H1196" s="2"/>
    </row>
    <row r="1197">
      <c r="A1197" s="1" t="s">
        <v>658</v>
      </c>
      <c r="B1197" s="1"/>
      <c r="C1197" s="1">
        <v>0.0</v>
      </c>
      <c r="D1197" s="2"/>
      <c r="E1197" s="2"/>
      <c r="F1197" s="2"/>
      <c r="G1197" s="2"/>
      <c r="H1197" s="2"/>
    </row>
    <row r="1198">
      <c r="A1198" s="1" t="s">
        <v>659</v>
      </c>
      <c r="B1198" s="1"/>
      <c r="C1198" s="1">
        <v>0.0</v>
      </c>
      <c r="D1198" s="2"/>
      <c r="E1198" s="2"/>
      <c r="F1198" s="2"/>
      <c r="G1198" s="2"/>
      <c r="H1198" s="2"/>
    </row>
    <row r="1199">
      <c r="A1199" s="1" t="s">
        <v>660</v>
      </c>
      <c r="B1199" s="1"/>
      <c r="C1199" s="1">
        <v>0.0</v>
      </c>
      <c r="D1199" s="2"/>
      <c r="E1199" s="2"/>
      <c r="F1199" s="2"/>
      <c r="G1199" s="2"/>
      <c r="H1199" s="2"/>
    </row>
    <row r="1200">
      <c r="A1200" s="1" t="s">
        <v>661</v>
      </c>
      <c r="B1200" s="1"/>
      <c r="C1200" s="1">
        <v>0.0</v>
      </c>
      <c r="D1200" s="2"/>
      <c r="E1200" s="2"/>
      <c r="F1200" s="2"/>
      <c r="G1200" s="2"/>
      <c r="H1200" s="2"/>
    </row>
    <row r="1201">
      <c r="A1201" s="1" t="s">
        <v>662</v>
      </c>
      <c r="B1201" s="1"/>
      <c r="C1201" s="1">
        <v>0.0</v>
      </c>
      <c r="D1201" s="2"/>
      <c r="E1201" s="2"/>
      <c r="F1201" s="2"/>
      <c r="G1201" s="2"/>
      <c r="H1201" s="2"/>
    </row>
    <row r="1202">
      <c r="A1202" s="1" t="s">
        <v>663</v>
      </c>
      <c r="B1202" s="1"/>
      <c r="C1202" s="1" t="s">
        <v>664</v>
      </c>
      <c r="D1202" s="1">
        <v>0.0</v>
      </c>
      <c r="E1202" s="2"/>
      <c r="F1202" s="2"/>
      <c r="G1202" s="2"/>
      <c r="H1202" s="2"/>
    </row>
    <row r="1203">
      <c r="A1203" s="1" t="s">
        <v>665</v>
      </c>
      <c r="B1203" s="1"/>
      <c r="C1203" s="1">
        <v>0.0</v>
      </c>
      <c r="D1203" s="2"/>
      <c r="E1203" s="2"/>
      <c r="F1203" s="2"/>
      <c r="G1203" s="2"/>
      <c r="H1203" s="2"/>
    </row>
    <row r="1204">
      <c r="A1204" s="1" t="s">
        <v>666</v>
      </c>
      <c r="B1204" s="1"/>
      <c r="C1204" s="1">
        <v>0.0</v>
      </c>
      <c r="D1204" s="2"/>
      <c r="E1204" s="2"/>
      <c r="F1204" s="2"/>
      <c r="G1204" s="2"/>
      <c r="H1204" s="2"/>
    </row>
    <row r="1205">
      <c r="A1205" s="1" t="s">
        <v>667</v>
      </c>
      <c r="B1205" s="1"/>
      <c r="C1205" s="1">
        <v>68.0</v>
      </c>
      <c r="D1205" s="2"/>
      <c r="E1205" s="2"/>
      <c r="F1205" s="2"/>
      <c r="G1205" s="2"/>
      <c r="H1205" s="2"/>
    </row>
    <row r="1206">
      <c r="A1206" s="1" t="s">
        <v>668</v>
      </c>
      <c r="B1206" s="1"/>
      <c r="C1206" s="1">
        <v>0.0</v>
      </c>
      <c r="D1206" s="2"/>
      <c r="E1206" s="2"/>
      <c r="F1206" s="2"/>
      <c r="G1206" s="2"/>
      <c r="H1206" s="2"/>
    </row>
    <row r="1207">
      <c r="A1207" s="1" t="s">
        <v>669</v>
      </c>
      <c r="B1207" s="1"/>
      <c r="C1207" s="1">
        <v>0.0</v>
      </c>
      <c r="D1207" s="2"/>
      <c r="E1207" s="2"/>
      <c r="F1207" s="2"/>
      <c r="G1207" s="2"/>
      <c r="H1207" s="2"/>
    </row>
    <row r="1208">
      <c r="A1208" s="1" t="s">
        <v>670</v>
      </c>
      <c r="B1208" s="1"/>
      <c r="C1208" s="1">
        <v>0.0</v>
      </c>
      <c r="D1208" s="2"/>
      <c r="E1208" s="2"/>
      <c r="F1208" s="2"/>
      <c r="G1208" s="2"/>
      <c r="H1208" s="2"/>
    </row>
    <row r="1209">
      <c r="A1209" s="1" t="s">
        <v>671</v>
      </c>
      <c r="B1209" s="1"/>
      <c r="C1209" s="1">
        <v>0.0</v>
      </c>
      <c r="D1209" s="2"/>
      <c r="E1209" s="2"/>
      <c r="F1209" s="2"/>
      <c r="G1209" s="2"/>
      <c r="H1209" s="2"/>
    </row>
    <row r="1210">
      <c r="A1210" s="1" t="s">
        <v>672</v>
      </c>
      <c r="B1210" s="1"/>
      <c r="C1210" s="1">
        <v>95.0</v>
      </c>
      <c r="D1210" s="2"/>
      <c r="E1210" s="2"/>
      <c r="F1210" s="2"/>
      <c r="G1210" s="2"/>
      <c r="H1210" s="2"/>
    </row>
    <row r="1211">
      <c r="A1211" s="1" t="s">
        <v>673</v>
      </c>
      <c r="B1211" s="1"/>
      <c r="C1211" s="1">
        <v>32.0</v>
      </c>
      <c r="D1211" s="2"/>
      <c r="E1211" s="2"/>
      <c r="F1211" s="2"/>
      <c r="G1211" s="2"/>
      <c r="H1211" s="2"/>
    </row>
    <row r="1212">
      <c r="A1212" s="1" t="s">
        <v>674</v>
      </c>
      <c r="B1212" s="1"/>
      <c r="C1212" s="1">
        <v>79.0</v>
      </c>
      <c r="D1212" s="2"/>
      <c r="E1212" s="2"/>
      <c r="F1212" s="2"/>
      <c r="G1212" s="2"/>
      <c r="H1212" s="2"/>
    </row>
    <row r="1213">
      <c r="A1213" s="1" t="s">
        <v>675</v>
      </c>
      <c r="B1213" s="1"/>
      <c r="C1213" s="1">
        <v>4.0</v>
      </c>
      <c r="D1213" s="2"/>
      <c r="E1213" s="2"/>
      <c r="F1213" s="2"/>
      <c r="G1213" s="2"/>
      <c r="H1213" s="2"/>
    </row>
    <row r="1214">
      <c r="A1214" s="1" t="s">
        <v>676</v>
      </c>
      <c r="B1214" s="1"/>
      <c r="C1214" s="1">
        <v>0.0</v>
      </c>
      <c r="D1214" s="2"/>
      <c r="E1214" s="2"/>
      <c r="F1214" s="2"/>
      <c r="G1214" s="2"/>
      <c r="H1214" s="2"/>
    </row>
    <row r="1215">
      <c r="A1215" s="1" t="s">
        <v>677</v>
      </c>
      <c r="B1215" s="1"/>
      <c r="C1215" s="1">
        <v>82.0</v>
      </c>
      <c r="D1215" s="2"/>
      <c r="E1215" s="2"/>
      <c r="F1215" s="2"/>
      <c r="G1215" s="2"/>
      <c r="H1215" s="2"/>
    </row>
    <row r="1216">
      <c r="A1216" s="1" t="s">
        <v>678</v>
      </c>
      <c r="B1216" s="1"/>
      <c r="C1216" s="1">
        <v>0.0</v>
      </c>
      <c r="D1216" s="2"/>
      <c r="E1216" s="2"/>
      <c r="F1216" s="2"/>
      <c r="G1216" s="2"/>
      <c r="H1216" s="2"/>
    </row>
    <row r="1217">
      <c r="A1217" s="1" t="s">
        <v>679</v>
      </c>
      <c r="B1217" s="1"/>
      <c r="C1217" s="1">
        <v>0.0</v>
      </c>
      <c r="D1217" s="2"/>
      <c r="E1217" s="2"/>
      <c r="F1217" s="2"/>
      <c r="G1217" s="2"/>
      <c r="H1217" s="2"/>
    </row>
    <row r="1218">
      <c r="A1218" s="1" t="s">
        <v>680</v>
      </c>
      <c r="B1218" s="1"/>
      <c r="C1218" s="1">
        <v>0.0</v>
      </c>
      <c r="D1218" s="2"/>
      <c r="E1218" s="2"/>
      <c r="F1218" s="2"/>
      <c r="G1218" s="2"/>
      <c r="H1218" s="2"/>
    </row>
    <row r="1219">
      <c r="A1219" s="1" t="s">
        <v>681</v>
      </c>
      <c r="B1219" s="1"/>
      <c r="C1219" s="1">
        <v>0.0</v>
      </c>
      <c r="D1219" s="2"/>
      <c r="E1219" s="2"/>
      <c r="F1219" s="2"/>
      <c r="G1219" s="2"/>
      <c r="H1219" s="2"/>
    </row>
    <row r="1220">
      <c r="A1220" s="1" t="s">
        <v>682</v>
      </c>
      <c r="B1220" s="1"/>
      <c r="C1220" s="1">
        <v>0.0</v>
      </c>
      <c r="D1220" s="2"/>
      <c r="E1220" s="2"/>
      <c r="F1220" s="2"/>
      <c r="G1220" s="2"/>
      <c r="H1220" s="2"/>
    </row>
    <row r="1221">
      <c r="A1221" s="1" t="s">
        <v>683</v>
      </c>
      <c r="B1221" s="1"/>
      <c r="C1221" s="1">
        <v>72.0</v>
      </c>
      <c r="D1221" s="2"/>
      <c r="E1221" s="2"/>
      <c r="F1221" s="2"/>
      <c r="G1221" s="2"/>
      <c r="H1221" s="2"/>
    </row>
    <row r="1222">
      <c r="A1222" s="1" t="s">
        <v>684</v>
      </c>
      <c r="B1222" s="1"/>
      <c r="C1222" s="1">
        <v>0.0</v>
      </c>
      <c r="D1222" s="2"/>
      <c r="E1222" s="2"/>
      <c r="F1222" s="2"/>
      <c r="G1222" s="2"/>
      <c r="H1222" s="2"/>
    </row>
    <row r="1223">
      <c r="A1223" s="1" t="s">
        <v>685</v>
      </c>
      <c r="B1223" s="1"/>
      <c r="C1223" s="1">
        <v>0.0</v>
      </c>
      <c r="D1223" s="2"/>
      <c r="E1223" s="2"/>
      <c r="F1223" s="2"/>
      <c r="G1223" s="2"/>
      <c r="H1223" s="2"/>
    </row>
    <row r="1224">
      <c r="A1224" s="1" t="s">
        <v>686</v>
      </c>
      <c r="B1224" s="1"/>
      <c r="C1224" s="1">
        <v>17.0</v>
      </c>
      <c r="D1224" s="2"/>
      <c r="E1224" s="2"/>
      <c r="F1224" s="2"/>
      <c r="G1224" s="2"/>
      <c r="H1224" s="2"/>
    </row>
    <row r="1225">
      <c r="A1225" s="1" t="s">
        <v>687</v>
      </c>
      <c r="B1225" s="1"/>
      <c r="C1225" s="1">
        <v>50.0</v>
      </c>
      <c r="D1225" s="2"/>
      <c r="E1225" s="2"/>
      <c r="F1225" s="2"/>
      <c r="G1225" s="2"/>
      <c r="H1225" s="2"/>
    </row>
    <row r="1226">
      <c r="A1226" s="1" t="s">
        <v>688</v>
      </c>
      <c r="B1226" s="1"/>
      <c r="C1226" s="1">
        <v>0.0</v>
      </c>
      <c r="D1226" s="2"/>
      <c r="E1226" s="2"/>
      <c r="F1226" s="2"/>
      <c r="G1226" s="2"/>
      <c r="H1226" s="2"/>
    </row>
    <row r="1227">
      <c r="A1227" s="1" t="s">
        <v>689</v>
      </c>
      <c r="B1227" s="1"/>
      <c r="C1227" s="1">
        <v>0.0</v>
      </c>
      <c r="D1227" s="2"/>
      <c r="E1227" s="2"/>
      <c r="F1227" s="2"/>
      <c r="G1227" s="2"/>
      <c r="H1227" s="2"/>
    </row>
    <row r="1228">
      <c r="A1228" s="1" t="s">
        <v>690</v>
      </c>
      <c r="B1228" s="1"/>
      <c r="C1228" s="1">
        <v>0.0</v>
      </c>
      <c r="D1228" s="2"/>
      <c r="E1228" s="2"/>
      <c r="F1228" s="2"/>
      <c r="G1228" s="2"/>
      <c r="H1228" s="2"/>
    </row>
    <row r="1229">
      <c r="A1229" s="1" t="s">
        <v>691</v>
      </c>
      <c r="B1229" s="1"/>
      <c r="C1229" s="1">
        <v>50.0</v>
      </c>
      <c r="D1229" s="2"/>
      <c r="E1229" s="2"/>
      <c r="F1229" s="2"/>
      <c r="G1229" s="2"/>
      <c r="H1229" s="2"/>
    </row>
    <row r="1230">
      <c r="A1230" s="1" t="s">
        <v>692</v>
      </c>
      <c r="B1230" s="1"/>
      <c r="C1230" s="1">
        <v>0.0</v>
      </c>
      <c r="D1230" s="2"/>
      <c r="E1230" s="2"/>
      <c r="F1230" s="2"/>
      <c r="G1230" s="2"/>
      <c r="H1230" s="2"/>
    </row>
    <row r="1231">
      <c r="A1231" s="1" t="s">
        <v>693</v>
      </c>
      <c r="B1231" s="1"/>
      <c r="C1231" s="1">
        <v>0.0</v>
      </c>
      <c r="D1231" s="2"/>
      <c r="E1231" s="2"/>
      <c r="F1231" s="2"/>
      <c r="G1231" s="2"/>
      <c r="H1231" s="2"/>
    </row>
    <row r="1232">
      <c r="A1232" s="1" t="s">
        <v>694</v>
      </c>
      <c r="B1232" s="1"/>
      <c r="C1232" s="1">
        <v>35.0</v>
      </c>
      <c r="D1232" s="2"/>
      <c r="E1232" s="2"/>
      <c r="F1232" s="2"/>
      <c r="G1232" s="2"/>
      <c r="H1232" s="2"/>
    </row>
    <row r="1233">
      <c r="A1233" s="1" t="s">
        <v>695</v>
      </c>
      <c r="B1233" s="1"/>
      <c r="C1233" s="1">
        <v>0.0</v>
      </c>
      <c r="D1233" s="2"/>
      <c r="E1233" s="2"/>
      <c r="F1233" s="2"/>
      <c r="G1233" s="2"/>
      <c r="H1233" s="2"/>
    </row>
    <row r="1234">
      <c r="A1234" s="1" t="s">
        <v>696</v>
      </c>
      <c r="B1234" s="1"/>
      <c r="C1234" s="1">
        <v>48.0</v>
      </c>
      <c r="D1234" s="2"/>
      <c r="E1234" s="2"/>
      <c r="F1234" s="2"/>
      <c r="G1234" s="2"/>
      <c r="H1234" s="2"/>
    </row>
    <row r="1235">
      <c r="A1235" s="1" t="s">
        <v>697</v>
      </c>
      <c r="B1235" s="1"/>
      <c r="C1235" s="1">
        <v>0.0</v>
      </c>
      <c r="D1235" s="2"/>
      <c r="E1235" s="2"/>
      <c r="F1235" s="2"/>
      <c r="G1235" s="2"/>
      <c r="H1235" s="2"/>
    </row>
    <row r="1236">
      <c r="A1236" s="1" t="s">
        <v>698</v>
      </c>
      <c r="B1236" s="1"/>
      <c r="C1236" s="1">
        <v>50.0</v>
      </c>
      <c r="D1236" s="2"/>
      <c r="E1236" s="2"/>
      <c r="F1236" s="2"/>
      <c r="G1236" s="2"/>
      <c r="H1236" s="2"/>
    </row>
    <row r="1237">
      <c r="A1237" s="1" t="s">
        <v>699</v>
      </c>
      <c r="B1237" s="1"/>
      <c r="C1237" s="1">
        <v>56.0</v>
      </c>
      <c r="D1237" s="2"/>
      <c r="E1237" s="2"/>
      <c r="F1237" s="2"/>
      <c r="G1237" s="2"/>
      <c r="H1237" s="2"/>
    </row>
    <row r="1238">
      <c r="A1238" s="1" t="s">
        <v>700</v>
      </c>
      <c r="B1238" s="1"/>
      <c r="C1238" s="1">
        <v>0.0</v>
      </c>
      <c r="D1238" s="2"/>
      <c r="E1238" s="2"/>
      <c r="F1238" s="2"/>
      <c r="G1238" s="2"/>
      <c r="H1238" s="2"/>
    </row>
    <row r="1239">
      <c r="A1239" s="1" t="s">
        <v>701</v>
      </c>
      <c r="B1239" s="1"/>
      <c r="C1239" s="1">
        <v>0.0</v>
      </c>
      <c r="D1239" s="2"/>
      <c r="E1239" s="2"/>
      <c r="F1239" s="2"/>
      <c r="G1239" s="2"/>
      <c r="H1239" s="2"/>
    </row>
    <row r="1240">
      <c r="A1240" s="1" t="s">
        <v>702</v>
      </c>
      <c r="B1240" s="1"/>
      <c r="C1240" s="1">
        <v>0.0</v>
      </c>
      <c r="D1240" s="2"/>
      <c r="E1240" s="2"/>
      <c r="F1240" s="2"/>
      <c r="G1240" s="2"/>
      <c r="H1240" s="2"/>
    </row>
    <row r="1241">
      <c r="A1241" s="1" t="s">
        <v>703</v>
      </c>
      <c r="B1241" s="1"/>
      <c r="C1241" s="1">
        <v>0.0</v>
      </c>
      <c r="D1241" s="2"/>
      <c r="E1241" s="2"/>
      <c r="F1241" s="2"/>
      <c r="G1241" s="2"/>
      <c r="H1241" s="2"/>
    </row>
    <row r="1242">
      <c r="A1242" s="1" t="s">
        <v>704</v>
      </c>
      <c r="B1242" s="1"/>
      <c r="C1242" s="1">
        <v>15.0</v>
      </c>
      <c r="D1242" s="2"/>
      <c r="E1242" s="2"/>
      <c r="F1242" s="2"/>
      <c r="G1242" s="2"/>
      <c r="H1242" s="2"/>
    </row>
    <row r="1243">
      <c r="A1243" s="1" t="s">
        <v>705</v>
      </c>
      <c r="B1243" s="1"/>
      <c r="C1243" s="1">
        <v>70.0</v>
      </c>
      <c r="D1243" s="2"/>
      <c r="E1243" s="2"/>
      <c r="F1243" s="2"/>
      <c r="G1243" s="2"/>
      <c r="H1243" s="2"/>
    </row>
    <row r="1244">
      <c r="A1244" s="1" t="s">
        <v>706</v>
      </c>
      <c r="B1244" s="1"/>
      <c r="C1244" s="1">
        <v>0.0</v>
      </c>
      <c r="D1244" s="2"/>
      <c r="E1244" s="2"/>
      <c r="F1244" s="2"/>
      <c r="G1244" s="2"/>
      <c r="H1244" s="2"/>
    </row>
    <row r="1245">
      <c r="A1245" s="1" t="s">
        <v>707</v>
      </c>
      <c r="B1245" s="1"/>
      <c r="C1245" s="1">
        <v>0.0</v>
      </c>
      <c r="D1245" s="2"/>
      <c r="E1245" s="2"/>
      <c r="F1245" s="2"/>
      <c r="G1245" s="2"/>
      <c r="H1245" s="2"/>
    </row>
    <row r="1246">
      <c r="A1246" s="1" t="s">
        <v>708</v>
      </c>
      <c r="B1246" s="1"/>
      <c r="C1246" s="1">
        <v>0.0</v>
      </c>
      <c r="D1246" s="2"/>
      <c r="E1246" s="2"/>
      <c r="F1246" s="2"/>
      <c r="G1246" s="2"/>
      <c r="H1246" s="2"/>
    </row>
    <row r="1247">
      <c r="A1247" s="1" t="s">
        <v>709</v>
      </c>
      <c r="B1247" s="1"/>
      <c r="C1247" s="1">
        <v>0.0</v>
      </c>
      <c r="D1247" s="2"/>
      <c r="E1247" s="2"/>
      <c r="F1247" s="2"/>
      <c r="G1247" s="2"/>
      <c r="H1247" s="2"/>
    </row>
    <row r="1248">
      <c r="A1248" s="1" t="s">
        <v>710</v>
      </c>
      <c r="B1248" s="1"/>
      <c r="C1248" s="1">
        <v>0.0</v>
      </c>
      <c r="D1248" s="2"/>
      <c r="E1248" s="2"/>
      <c r="F1248" s="2"/>
      <c r="G1248" s="2"/>
      <c r="H1248" s="2"/>
    </row>
    <row r="1249">
      <c r="A1249" s="1" t="s">
        <v>711</v>
      </c>
      <c r="B1249" s="1"/>
      <c r="C1249" s="1">
        <v>0.0</v>
      </c>
      <c r="D1249" s="2"/>
      <c r="E1249" s="2"/>
      <c r="F1249" s="2"/>
      <c r="G1249" s="2"/>
      <c r="H1249" s="2"/>
    </row>
    <row r="1250">
      <c r="A1250" s="1" t="s">
        <v>712</v>
      </c>
      <c r="B1250" s="1"/>
      <c r="C1250" s="1">
        <v>80.0</v>
      </c>
      <c r="D1250" s="2"/>
      <c r="E1250" s="2"/>
      <c r="F1250" s="2"/>
      <c r="G1250" s="2"/>
      <c r="H1250" s="2"/>
    </row>
    <row r="1251">
      <c r="A1251" s="1" t="s">
        <v>713</v>
      </c>
      <c r="B1251" s="1"/>
      <c r="C1251" s="1">
        <v>12.0</v>
      </c>
      <c r="D1251" s="2"/>
      <c r="E1251" s="2"/>
      <c r="F1251" s="2"/>
      <c r="G1251" s="2"/>
      <c r="H1251" s="2"/>
    </row>
    <row r="1252">
      <c r="A1252" s="1" t="s">
        <v>714</v>
      </c>
      <c r="B1252" s="1"/>
      <c r="C1252" s="1">
        <v>0.0</v>
      </c>
      <c r="D1252" s="2"/>
      <c r="E1252" s="2"/>
      <c r="F1252" s="2"/>
      <c r="G1252" s="2"/>
      <c r="H1252" s="2"/>
    </row>
    <row r="1253">
      <c r="A1253" s="1" t="s">
        <v>715</v>
      </c>
      <c r="B1253" s="1"/>
      <c r="C1253" s="1">
        <v>0.0</v>
      </c>
      <c r="D1253" s="2"/>
      <c r="E1253" s="2"/>
      <c r="F1253" s="2"/>
      <c r="G1253" s="2"/>
      <c r="H1253" s="2"/>
    </row>
    <row r="1254">
      <c r="A1254" s="1" t="s">
        <v>716</v>
      </c>
      <c r="B1254" s="1"/>
      <c r="C1254" s="1">
        <v>20.0</v>
      </c>
      <c r="D1254" s="2"/>
      <c r="E1254" s="2"/>
      <c r="F1254" s="2"/>
      <c r="G1254" s="2"/>
      <c r="H1254" s="2"/>
    </row>
    <row r="1255">
      <c r="A1255" s="1" t="s">
        <v>717</v>
      </c>
      <c r="B1255" s="1"/>
      <c r="C1255" s="1">
        <v>0.0</v>
      </c>
      <c r="D1255" s="2"/>
      <c r="E1255" s="2"/>
      <c r="F1255" s="2"/>
      <c r="G1255" s="2"/>
      <c r="H1255" s="2"/>
    </row>
    <row r="1256">
      <c r="A1256" s="1" t="s">
        <v>718</v>
      </c>
      <c r="B1256" s="1"/>
      <c r="C1256" s="1">
        <v>0.0</v>
      </c>
      <c r="D1256" s="2"/>
      <c r="E1256" s="2"/>
      <c r="F1256" s="2"/>
      <c r="G1256" s="2"/>
      <c r="H1256" s="2"/>
    </row>
    <row r="1257">
      <c r="A1257" s="1" t="s">
        <v>719</v>
      </c>
      <c r="B1257" s="1"/>
      <c r="C1257" s="1">
        <v>0.0</v>
      </c>
      <c r="D1257" s="2"/>
      <c r="E1257" s="2"/>
      <c r="F1257" s="2"/>
      <c r="G1257" s="2"/>
      <c r="H1257" s="2"/>
    </row>
    <row r="1258">
      <c r="A1258" s="1" t="s">
        <v>720</v>
      </c>
      <c r="B1258" s="1"/>
      <c r="C1258" s="1">
        <v>24.0</v>
      </c>
      <c r="D1258" s="2"/>
      <c r="E1258" s="2"/>
      <c r="F1258" s="2"/>
      <c r="G1258" s="2"/>
      <c r="H1258" s="2"/>
    </row>
    <row r="1259">
      <c r="A1259" s="1" t="s">
        <v>721</v>
      </c>
      <c r="B1259" s="1"/>
      <c r="C1259" s="1">
        <v>0.0</v>
      </c>
      <c r="D1259" s="2"/>
      <c r="E1259" s="2"/>
      <c r="F1259" s="2"/>
      <c r="G1259" s="2"/>
      <c r="H1259" s="2"/>
    </row>
    <row r="1260">
      <c r="A1260" s="1" t="s">
        <v>722</v>
      </c>
      <c r="B1260" s="1"/>
      <c r="C1260" s="1" t="s">
        <v>723</v>
      </c>
      <c r="D1260" s="1" t="s">
        <v>724</v>
      </c>
      <c r="E1260" s="1" t="s">
        <v>725</v>
      </c>
      <c r="F1260" s="1">
        <v>0.0</v>
      </c>
      <c r="G1260" s="2"/>
      <c r="H1260" s="2"/>
    </row>
    <row r="1261">
      <c r="A1261" s="1" t="s">
        <v>726</v>
      </c>
      <c r="B1261" s="1"/>
      <c r="C1261" s="1">
        <v>48.0</v>
      </c>
      <c r="D1261" s="2"/>
      <c r="E1261" s="2"/>
      <c r="F1261" s="2"/>
      <c r="G1261" s="2"/>
      <c r="H1261" s="2"/>
    </row>
    <row r="1262">
      <c r="A1262" s="1" t="s">
        <v>727</v>
      </c>
      <c r="B1262" s="1"/>
      <c r="C1262" s="1">
        <v>0.0</v>
      </c>
      <c r="D1262" s="2"/>
      <c r="E1262" s="2"/>
      <c r="F1262" s="2"/>
      <c r="G1262" s="2"/>
      <c r="H1262" s="2"/>
    </row>
    <row r="1263">
      <c r="A1263" s="1" t="s">
        <v>728</v>
      </c>
      <c r="B1263" s="1"/>
      <c r="C1263" s="1">
        <v>0.0</v>
      </c>
      <c r="D1263" s="2"/>
      <c r="E1263" s="2"/>
      <c r="F1263" s="2"/>
      <c r="G1263" s="2"/>
      <c r="H1263" s="2"/>
    </row>
    <row r="1264">
      <c r="A1264" s="1" t="s">
        <v>729</v>
      </c>
      <c r="B1264" s="1"/>
      <c r="C1264" s="1">
        <v>0.0</v>
      </c>
      <c r="D1264" s="2"/>
      <c r="E1264" s="2"/>
      <c r="F1264" s="2"/>
      <c r="G1264" s="2"/>
      <c r="H1264" s="2"/>
    </row>
    <row r="1265">
      <c r="A1265" s="1" t="s">
        <v>730</v>
      </c>
      <c r="B1265" s="1"/>
      <c r="C1265" s="1">
        <v>0.0</v>
      </c>
      <c r="D1265" s="2"/>
      <c r="E1265" s="2"/>
      <c r="F1265" s="2"/>
      <c r="G1265" s="2"/>
      <c r="H1265" s="2"/>
    </row>
    <row r="1266">
      <c r="A1266" s="1" t="s">
        <v>731</v>
      </c>
      <c r="B1266" s="1"/>
      <c r="C1266" s="1">
        <v>0.0</v>
      </c>
      <c r="D1266" s="2"/>
      <c r="E1266" s="2"/>
      <c r="F1266" s="2"/>
      <c r="G1266" s="2"/>
      <c r="H1266" s="2"/>
    </row>
    <row r="1267">
      <c r="A1267" s="1" t="s">
        <v>732</v>
      </c>
      <c r="B1267" s="1"/>
      <c r="C1267" s="1">
        <v>0.0</v>
      </c>
      <c r="D1267" s="2"/>
      <c r="E1267" s="2"/>
      <c r="F1267" s="2"/>
      <c r="G1267" s="2"/>
      <c r="H1267" s="2"/>
    </row>
    <row r="1268">
      <c r="A1268" s="1" t="s">
        <v>733</v>
      </c>
      <c r="B1268" s="1"/>
      <c r="C1268" s="1">
        <v>95.0</v>
      </c>
      <c r="D1268" s="2"/>
      <c r="E1268" s="2"/>
      <c r="F1268" s="2"/>
      <c r="G1268" s="2"/>
      <c r="H1268" s="2"/>
    </row>
    <row r="1269">
      <c r="A1269" s="1" t="s">
        <v>734</v>
      </c>
      <c r="B1269" s="1"/>
      <c r="C1269" s="1">
        <v>0.0</v>
      </c>
      <c r="D1269" s="2"/>
      <c r="E1269" s="2"/>
      <c r="F1269" s="2"/>
      <c r="G1269" s="2"/>
      <c r="H1269" s="2"/>
    </row>
    <row r="1270">
      <c r="A1270" s="1" t="s">
        <v>735</v>
      </c>
      <c r="B1270" s="1"/>
      <c r="C1270" s="1">
        <v>47.0</v>
      </c>
      <c r="D1270" s="2"/>
      <c r="E1270" s="2"/>
      <c r="F1270" s="2"/>
      <c r="G1270" s="2"/>
      <c r="H1270" s="2"/>
    </row>
    <row r="1271">
      <c r="A1271" s="1" t="s">
        <v>736</v>
      </c>
      <c r="B1271" s="1"/>
      <c r="C1271" s="1">
        <v>0.0</v>
      </c>
      <c r="D1271" s="2"/>
      <c r="E1271" s="2"/>
      <c r="F1271" s="2"/>
      <c r="G1271" s="2"/>
      <c r="H1271" s="2"/>
    </row>
    <row r="1272">
      <c r="A1272" s="1" t="s">
        <v>737</v>
      </c>
      <c r="B1272" s="1"/>
      <c r="C1272" s="1">
        <v>0.0</v>
      </c>
      <c r="D1272" s="2"/>
      <c r="E1272" s="2"/>
      <c r="F1272" s="2"/>
      <c r="G1272" s="2"/>
      <c r="H1272" s="2"/>
    </row>
    <row r="1273">
      <c r="A1273" s="1" t="s">
        <v>738</v>
      </c>
      <c r="B1273" s="1"/>
      <c r="C1273" s="1">
        <v>0.0</v>
      </c>
      <c r="D1273" s="2"/>
      <c r="E1273" s="2"/>
      <c r="F1273" s="2"/>
      <c r="G1273" s="2"/>
      <c r="H1273" s="2"/>
    </row>
    <row r="1274">
      <c r="A1274" s="1" t="s">
        <v>739</v>
      </c>
      <c r="B1274" s="1"/>
      <c r="C1274" s="1">
        <v>0.0</v>
      </c>
      <c r="D1274" s="2"/>
      <c r="E1274" s="2"/>
      <c r="F1274" s="2"/>
      <c r="G1274" s="2"/>
      <c r="H1274" s="2"/>
    </row>
    <row r="1275">
      <c r="A1275" s="1" t="s">
        <v>740</v>
      </c>
      <c r="B1275" s="1"/>
      <c r="C1275" s="1">
        <v>0.0</v>
      </c>
      <c r="D1275" s="2"/>
      <c r="E1275" s="2"/>
      <c r="F1275" s="2"/>
      <c r="G1275" s="2"/>
      <c r="H1275" s="2"/>
    </row>
    <row r="1276">
      <c r="A1276" s="1" t="s">
        <v>741</v>
      </c>
      <c r="B1276" s="1"/>
      <c r="C1276" s="1">
        <v>0.0</v>
      </c>
      <c r="D1276" s="2"/>
      <c r="E1276" s="2"/>
      <c r="F1276" s="2"/>
      <c r="G1276" s="2"/>
      <c r="H1276" s="2"/>
    </row>
    <row r="1277">
      <c r="A1277" s="1" t="s">
        <v>742</v>
      </c>
      <c r="B1277" s="1"/>
      <c r="C1277" s="1">
        <v>0.0</v>
      </c>
      <c r="D1277" s="2"/>
      <c r="E1277" s="2"/>
      <c r="F1277" s="2"/>
      <c r="G1277" s="2"/>
      <c r="H1277" s="2"/>
    </row>
    <row r="1278">
      <c r="A1278" s="1" t="s">
        <v>743</v>
      </c>
      <c r="B1278" s="1"/>
      <c r="C1278" s="1">
        <v>0.0</v>
      </c>
      <c r="D1278" s="2"/>
      <c r="E1278" s="2"/>
      <c r="F1278" s="2"/>
      <c r="G1278" s="2"/>
      <c r="H1278" s="2"/>
    </row>
    <row r="1279">
      <c r="A1279" s="1" t="s">
        <v>744</v>
      </c>
      <c r="B1279" s="1"/>
      <c r="C1279" s="1">
        <v>0.0</v>
      </c>
      <c r="D1279" s="2"/>
      <c r="E1279" s="2"/>
      <c r="F1279" s="2"/>
      <c r="G1279" s="2"/>
      <c r="H1279" s="2"/>
    </row>
    <row r="1280">
      <c r="A1280" s="1" t="s">
        <v>745</v>
      </c>
      <c r="B1280" s="1"/>
      <c r="C1280" s="1">
        <v>28.0</v>
      </c>
      <c r="D1280" s="2"/>
      <c r="E1280" s="2"/>
      <c r="F1280" s="2"/>
      <c r="G1280" s="2"/>
      <c r="H1280" s="2"/>
    </row>
    <row r="1281">
      <c r="A1281" s="1" t="s">
        <v>746</v>
      </c>
      <c r="B1281" s="1"/>
      <c r="C1281" s="1">
        <v>0.0</v>
      </c>
      <c r="D1281" s="2"/>
      <c r="E1281" s="2"/>
      <c r="F1281" s="2"/>
      <c r="G1281" s="2"/>
      <c r="H1281" s="2"/>
    </row>
    <row r="1282">
      <c r="A1282" s="1" t="s">
        <v>747</v>
      </c>
      <c r="B1282" s="1"/>
      <c r="C1282" s="1">
        <v>0.0</v>
      </c>
      <c r="D1282" s="2"/>
      <c r="E1282" s="2"/>
      <c r="F1282" s="2"/>
      <c r="G1282" s="2"/>
      <c r="H1282" s="2"/>
    </row>
    <row r="1283">
      <c r="A1283" s="1" t="s">
        <v>748</v>
      </c>
      <c r="B1283" s="1"/>
      <c r="C1283" s="1">
        <v>0.0</v>
      </c>
      <c r="D1283" s="2"/>
      <c r="E1283" s="2"/>
      <c r="F1283" s="2"/>
      <c r="G1283" s="2"/>
      <c r="H1283" s="2"/>
    </row>
    <row r="1284">
      <c r="A1284" s="1" t="s">
        <v>749</v>
      </c>
      <c r="B1284" s="1"/>
      <c r="C1284" s="1">
        <v>22.0</v>
      </c>
      <c r="D1284" s="2"/>
      <c r="E1284" s="2"/>
      <c r="F1284" s="2"/>
      <c r="G1284" s="2"/>
      <c r="H1284" s="2"/>
    </row>
    <row r="1285">
      <c r="A1285" s="1" t="s">
        <v>750</v>
      </c>
      <c r="B1285" s="1"/>
      <c r="C1285" s="1">
        <v>0.0</v>
      </c>
      <c r="D1285" s="2"/>
      <c r="E1285" s="2"/>
      <c r="F1285" s="2"/>
      <c r="G1285" s="2"/>
      <c r="H1285" s="2"/>
    </row>
    <row r="1286">
      <c r="A1286" s="1" t="s">
        <v>751</v>
      </c>
      <c r="B1286" s="1"/>
      <c r="C1286" s="1">
        <v>66.0</v>
      </c>
      <c r="D1286" s="2"/>
      <c r="E1286" s="2"/>
      <c r="F1286" s="2"/>
      <c r="G1286" s="2"/>
      <c r="H1286" s="2"/>
    </row>
    <row r="1287">
      <c r="A1287" s="1" t="s">
        <v>752</v>
      </c>
      <c r="B1287" s="1"/>
      <c r="C1287" s="1">
        <v>0.0</v>
      </c>
      <c r="D1287" s="2"/>
      <c r="E1287" s="2"/>
      <c r="F1287" s="2"/>
      <c r="G1287" s="2"/>
      <c r="H1287" s="2"/>
    </row>
    <row r="1288">
      <c r="A1288" s="1" t="s">
        <v>753</v>
      </c>
      <c r="B1288" s="1"/>
      <c r="C1288" s="1">
        <v>0.0</v>
      </c>
      <c r="D1288" s="2"/>
      <c r="E1288" s="2"/>
      <c r="F1288" s="2"/>
      <c r="G1288" s="2"/>
      <c r="H1288" s="2"/>
    </row>
    <row r="1289">
      <c r="A1289" s="1" t="s">
        <v>754</v>
      </c>
      <c r="B1289" s="1"/>
      <c r="C1289" s="1">
        <v>0.0</v>
      </c>
      <c r="D1289" s="2"/>
      <c r="E1289" s="2"/>
      <c r="F1289" s="2"/>
      <c r="G1289" s="2"/>
      <c r="H1289" s="2"/>
    </row>
    <row r="1290">
      <c r="A1290" s="1" t="s">
        <v>755</v>
      </c>
      <c r="B1290" s="1"/>
      <c r="C1290" s="1">
        <v>0.0</v>
      </c>
      <c r="D1290" s="2"/>
      <c r="E1290" s="2"/>
      <c r="F1290" s="2"/>
      <c r="G1290" s="2"/>
      <c r="H1290" s="2"/>
    </row>
    <row r="1291">
      <c r="A1291" s="1" t="s">
        <v>756</v>
      </c>
      <c r="B1291" s="1"/>
      <c r="C1291" s="1">
        <v>0.0</v>
      </c>
      <c r="D1291" s="2"/>
      <c r="E1291" s="2"/>
      <c r="F1291" s="2"/>
      <c r="G1291" s="2"/>
      <c r="H1291" s="2"/>
    </row>
    <row r="1292">
      <c r="A1292" s="1" t="s">
        <v>757</v>
      </c>
      <c r="B1292" s="1"/>
      <c r="C1292" s="1">
        <v>0.0</v>
      </c>
      <c r="D1292" s="2"/>
      <c r="E1292" s="2"/>
      <c r="F1292" s="2"/>
      <c r="G1292" s="2"/>
      <c r="H1292" s="2"/>
    </row>
    <row r="1293">
      <c r="A1293" s="1" t="s">
        <v>758</v>
      </c>
      <c r="B1293" s="1"/>
      <c r="C1293" s="1">
        <v>0.0</v>
      </c>
      <c r="D1293" s="2"/>
      <c r="E1293" s="2"/>
      <c r="F1293" s="2"/>
      <c r="G1293" s="2"/>
      <c r="H1293" s="2"/>
    </row>
    <row r="1294">
      <c r="A1294" s="1" t="s">
        <v>759</v>
      </c>
      <c r="B1294" s="1"/>
      <c r="C1294" s="1">
        <v>66.0</v>
      </c>
      <c r="D1294" s="2"/>
      <c r="E1294" s="2"/>
      <c r="F1294" s="2"/>
      <c r="G1294" s="2"/>
      <c r="H1294" s="2"/>
    </row>
    <row r="1295">
      <c r="A1295" s="1" t="s">
        <v>760</v>
      </c>
      <c r="B1295" s="1"/>
      <c r="C1295" s="1">
        <v>0.0</v>
      </c>
      <c r="D1295" s="2"/>
      <c r="E1295" s="2"/>
      <c r="F1295" s="2"/>
      <c r="G1295" s="2"/>
      <c r="H1295" s="2"/>
    </row>
    <row r="1296">
      <c r="A1296" s="1" t="s">
        <v>761</v>
      </c>
      <c r="B1296" s="1"/>
      <c r="C1296" s="1">
        <v>0.0</v>
      </c>
      <c r="D1296" s="2"/>
      <c r="E1296" s="2"/>
      <c r="F1296" s="2"/>
      <c r="G1296" s="2"/>
      <c r="H1296" s="2"/>
    </row>
    <row r="1297">
      <c r="A1297" s="1" t="s">
        <v>762</v>
      </c>
      <c r="B1297" s="1"/>
      <c r="C1297" s="1">
        <v>20.0</v>
      </c>
      <c r="D1297" s="2"/>
      <c r="E1297" s="2"/>
      <c r="F1297" s="2"/>
      <c r="G1297" s="2"/>
      <c r="H1297" s="2"/>
    </row>
    <row r="1298">
      <c r="A1298" s="1" t="s">
        <v>763</v>
      </c>
      <c r="B1298" s="1"/>
      <c r="C1298" s="1">
        <v>10.0</v>
      </c>
      <c r="D1298" s="2"/>
      <c r="E1298" s="2"/>
      <c r="F1298" s="2"/>
      <c r="G1298" s="2"/>
      <c r="H1298" s="2"/>
    </row>
    <row r="1299">
      <c r="A1299" s="1" t="s">
        <v>764</v>
      </c>
      <c r="B1299" s="1"/>
      <c r="C1299" s="1">
        <v>0.0</v>
      </c>
      <c r="D1299" s="2"/>
      <c r="E1299" s="2"/>
      <c r="F1299" s="2"/>
      <c r="G1299" s="2"/>
      <c r="H1299" s="2"/>
    </row>
    <row r="1300">
      <c r="A1300" s="1" t="s">
        <v>765</v>
      </c>
      <c r="B1300" s="1"/>
      <c r="C1300" s="1">
        <v>0.0</v>
      </c>
      <c r="D1300" s="2"/>
      <c r="E1300" s="2"/>
      <c r="F1300" s="2"/>
      <c r="G1300" s="2"/>
      <c r="H1300" s="2"/>
    </row>
    <row r="1301">
      <c r="A1301" s="1" t="s">
        <v>766</v>
      </c>
      <c r="B1301" s="1"/>
      <c r="C1301" s="1">
        <v>0.0</v>
      </c>
      <c r="D1301" s="2"/>
      <c r="E1301" s="2"/>
      <c r="F1301" s="2"/>
      <c r="G1301" s="2"/>
      <c r="H1301" s="2"/>
    </row>
    <row r="1302">
      <c r="A1302" s="1" t="s">
        <v>767</v>
      </c>
      <c r="B1302" s="1"/>
      <c r="C1302" s="1">
        <v>0.0</v>
      </c>
      <c r="D1302" s="2"/>
      <c r="E1302" s="2"/>
      <c r="F1302" s="2"/>
      <c r="G1302" s="2"/>
      <c r="H1302" s="2"/>
    </row>
    <row r="1303">
      <c r="A1303" s="1" t="s">
        <v>768</v>
      </c>
      <c r="B1303" s="1"/>
      <c r="C1303" s="1">
        <v>0.0</v>
      </c>
      <c r="D1303" s="2"/>
      <c r="E1303" s="2"/>
      <c r="F1303" s="2"/>
      <c r="G1303" s="2"/>
      <c r="H1303" s="2"/>
    </row>
    <row r="1304">
      <c r="A1304" s="1" t="s">
        <v>769</v>
      </c>
      <c r="B1304" s="1"/>
      <c r="C1304" s="1">
        <v>88.0</v>
      </c>
      <c r="D1304" s="2"/>
      <c r="E1304" s="2"/>
      <c r="F1304" s="2"/>
      <c r="G1304" s="2"/>
      <c r="H1304" s="2"/>
    </row>
    <row r="1305">
      <c r="A1305" s="1" t="s">
        <v>770</v>
      </c>
      <c r="B1305" s="1"/>
      <c r="C1305" s="1">
        <v>0.0</v>
      </c>
      <c r="D1305" s="2"/>
      <c r="E1305" s="2"/>
      <c r="F1305" s="2"/>
      <c r="G1305" s="2"/>
      <c r="H1305" s="2"/>
    </row>
    <row r="1306">
      <c r="A1306" s="1" t="s">
        <v>771</v>
      </c>
      <c r="B1306" s="1"/>
      <c r="C1306" s="1">
        <v>0.0</v>
      </c>
      <c r="D1306" s="2"/>
      <c r="E1306" s="2"/>
      <c r="F1306" s="2"/>
      <c r="G1306" s="2"/>
      <c r="H1306" s="2"/>
    </row>
    <row r="1307">
      <c r="A1307" s="1" t="s">
        <v>772</v>
      </c>
      <c r="B1307" s="1"/>
      <c r="C1307" s="1">
        <v>46.0</v>
      </c>
      <c r="D1307" s="2"/>
      <c r="E1307" s="2"/>
      <c r="F1307" s="2"/>
      <c r="G1307" s="2"/>
      <c r="H1307" s="2"/>
    </row>
    <row r="1308">
      <c r="A1308" s="1" t="s">
        <v>773</v>
      </c>
      <c r="B1308" s="1"/>
      <c r="C1308" s="1">
        <v>67.0</v>
      </c>
      <c r="D1308" s="2"/>
      <c r="E1308" s="2"/>
      <c r="F1308" s="2"/>
      <c r="G1308" s="2"/>
      <c r="H1308" s="2"/>
    </row>
    <row r="1309">
      <c r="A1309" s="1" t="s">
        <v>774</v>
      </c>
      <c r="B1309" s="1"/>
      <c r="C1309" s="1">
        <v>40.0</v>
      </c>
      <c r="D1309" s="2"/>
      <c r="E1309" s="2"/>
      <c r="F1309" s="2"/>
      <c r="G1309" s="2"/>
      <c r="H1309" s="2"/>
    </row>
    <row r="1310">
      <c r="A1310" s="1" t="s">
        <v>775</v>
      </c>
      <c r="B1310" s="1"/>
      <c r="C1310" s="1">
        <v>0.0</v>
      </c>
      <c r="D1310" s="2"/>
      <c r="E1310" s="2"/>
      <c r="F1310" s="2"/>
      <c r="G1310" s="2"/>
      <c r="H1310" s="2"/>
    </row>
    <row r="1311">
      <c r="A1311" s="1" t="s">
        <v>776</v>
      </c>
      <c r="B1311" s="1"/>
      <c r="C1311" s="1">
        <v>0.0</v>
      </c>
      <c r="D1311" s="2"/>
      <c r="E1311" s="2"/>
      <c r="F1311" s="2"/>
      <c r="G1311" s="2"/>
      <c r="H1311" s="2"/>
    </row>
    <row r="1312">
      <c r="A1312" s="1" t="s">
        <v>777</v>
      </c>
      <c r="B1312" s="1"/>
      <c r="C1312" s="1">
        <v>0.0</v>
      </c>
      <c r="D1312" s="2"/>
      <c r="E1312" s="2"/>
      <c r="F1312" s="2"/>
      <c r="G1312" s="2"/>
      <c r="H1312" s="2"/>
    </row>
    <row r="1313">
      <c r="A1313" s="1" t="s">
        <v>778</v>
      </c>
      <c r="B1313" s="1"/>
      <c r="C1313" s="1">
        <v>80.0</v>
      </c>
      <c r="D1313" s="2"/>
      <c r="E1313" s="2"/>
      <c r="F1313" s="2"/>
      <c r="G1313" s="2"/>
      <c r="H1313" s="2"/>
    </row>
    <row r="1314">
      <c r="A1314" s="1" t="s">
        <v>779</v>
      </c>
      <c r="B1314" s="1"/>
      <c r="C1314" s="1">
        <v>32.0</v>
      </c>
      <c r="D1314" s="2"/>
      <c r="E1314" s="2"/>
      <c r="F1314" s="2"/>
      <c r="G1314" s="2"/>
      <c r="H1314" s="2"/>
    </row>
    <row r="1315">
      <c r="A1315" s="1" t="s">
        <v>780</v>
      </c>
      <c r="B1315" s="1"/>
      <c r="C1315" s="1">
        <v>0.0</v>
      </c>
      <c r="D1315" s="2"/>
      <c r="E1315" s="2"/>
      <c r="F1315" s="2"/>
      <c r="G1315" s="2"/>
      <c r="H1315" s="2"/>
    </row>
    <row r="1316">
      <c r="A1316" s="1" t="s">
        <v>781</v>
      </c>
      <c r="B1316" s="1"/>
      <c r="C1316" s="1">
        <v>0.0</v>
      </c>
      <c r="D1316" s="2"/>
      <c r="E1316" s="2"/>
      <c r="F1316" s="2"/>
      <c r="G1316" s="2"/>
      <c r="H1316" s="2"/>
    </row>
    <row r="1317">
      <c r="A1317" s="1" t="s">
        <v>782</v>
      </c>
      <c r="B1317" s="1"/>
      <c r="C1317" s="1">
        <v>57.0</v>
      </c>
      <c r="D1317" s="2"/>
      <c r="E1317" s="2"/>
      <c r="F1317" s="2"/>
      <c r="G1317" s="2"/>
      <c r="H1317" s="2"/>
    </row>
    <row r="1318">
      <c r="A1318" s="1" t="s">
        <v>783</v>
      </c>
      <c r="B1318" s="1"/>
      <c r="C1318" s="1">
        <v>71.0</v>
      </c>
      <c r="D1318" s="2"/>
      <c r="E1318" s="2"/>
      <c r="F1318" s="2"/>
      <c r="G1318" s="2"/>
      <c r="H1318" s="2"/>
    </row>
    <row r="1319">
      <c r="A1319" s="1" t="s">
        <v>784</v>
      </c>
      <c r="B1319" s="1"/>
      <c r="C1319" s="1">
        <v>32.0</v>
      </c>
      <c r="D1319" s="2"/>
      <c r="E1319" s="2"/>
      <c r="F1319" s="2"/>
      <c r="G1319" s="2"/>
      <c r="H1319" s="2"/>
    </row>
    <row r="1320">
      <c r="A1320" s="1" t="s">
        <v>785</v>
      </c>
      <c r="B1320" s="1"/>
      <c r="C1320" s="1">
        <v>0.0</v>
      </c>
      <c r="D1320" s="2"/>
      <c r="E1320" s="2"/>
      <c r="F1320" s="2"/>
      <c r="G1320" s="2"/>
      <c r="H1320" s="2"/>
    </row>
    <row r="1321">
      <c r="A1321" s="1" t="s">
        <v>786</v>
      </c>
      <c r="B1321" s="1"/>
      <c r="C1321" s="1">
        <v>4.0</v>
      </c>
      <c r="D1321" s="2"/>
      <c r="E1321" s="2"/>
      <c r="F1321" s="2"/>
      <c r="G1321" s="2"/>
      <c r="H1321" s="2"/>
    </row>
    <row r="1322">
      <c r="A1322" s="1" t="s">
        <v>787</v>
      </c>
      <c r="B1322" s="1"/>
      <c r="C1322" s="1">
        <v>12.0</v>
      </c>
      <c r="D1322" s="2"/>
      <c r="E1322" s="2"/>
      <c r="F1322" s="2"/>
      <c r="G1322" s="2"/>
      <c r="H1322" s="2"/>
    </row>
    <row r="1323">
      <c r="A1323" s="1" t="s">
        <v>788</v>
      </c>
      <c r="B1323" s="1"/>
      <c r="C1323" s="1">
        <v>0.0</v>
      </c>
      <c r="D1323" s="2"/>
      <c r="E1323" s="2"/>
      <c r="F1323" s="2"/>
      <c r="G1323" s="2"/>
      <c r="H1323" s="2"/>
    </row>
    <row r="1324">
      <c r="A1324" s="1" t="s">
        <v>789</v>
      </c>
      <c r="B1324" s="1"/>
      <c r="C1324" s="1">
        <v>0.0</v>
      </c>
      <c r="D1324" s="2"/>
      <c r="E1324" s="2"/>
      <c r="F1324" s="2"/>
      <c r="G1324" s="2"/>
      <c r="H1324" s="2"/>
    </row>
    <row r="1325">
      <c r="A1325" s="1" t="s">
        <v>790</v>
      </c>
      <c r="B1325" s="1"/>
      <c r="C1325" s="1">
        <v>0.0</v>
      </c>
      <c r="D1325" s="2"/>
      <c r="E1325" s="2"/>
      <c r="F1325" s="2"/>
      <c r="G1325" s="2"/>
      <c r="H1325" s="2"/>
    </row>
    <row r="1326">
      <c r="A1326" s="1" t="s">
        <v>791</v>
      </c>
      <c r="B1326" s="1"/>
      <c r="C1326" s="1">
        <v>0.0</v>
      </c>
      <c r="D1326" s="2"/>
      <c r="E1326" s="2"/>
      <c r="F1326" s="2"/>
      <c r="G1326" s="2"/>
      <c r="H1326" s="2"/>
    </row>
    <row r="1327">
      <c r="A1327" s="1" t="s">
        <v>792</v>
      </c>
      <c r="B1327" s="1"/>
      <c r="C1327" s="1">
        <v>80.0</v>
      </c>
      <c r="D1327" s="2"/>
      <c r="E1327" s="2"/>
      <c r="F1327" s="2"/>
      <c r="G1327" s="2"/>
      <c r="H1327" s="2"/>
    </row>
    <row r="1328">
      <c r="A1328" s="1" t="s">
        <v>793</v>
      </c>
      <c r="B1328" s="1"/>
      <c r="C1328" s="1">
        <v>0.0</v>
      </c>
      <c r="D1328" s="2"/>
      <c r="E1328" s="2"/>
      <c r="F1328" s="2"/>
      <c r="G1328" s="2"/>
      <c r="H1328" s="2"/>
    </row>
    <row r="1329">
      <c r="A1329" s="1" t="s">
        <v>722</v>
      </c>
      <c r="B1329" s="1"/>
      <c r="C1329" s="1" t="s">
        <v>723</v>
      </c>
      <c r="D1329" s="1" t="s">
        <v>724</v>
      </c>
      <c r="E1329" s="1" t="s">
        <v>725</v>
      </c>
      <c r="F1329" s="1">
        <v>0.0</v>
      </c>
      <c r="G1329" s="2"/>
      <c r="H1329" s="2"/>
    </row>
    <row r="1330">
      <c r="A1330" s="1" t="s">
        <v>726</v>
      </c>
      <c r="B1330" s="1"/>
      <c r="C1330" s="1">
        <v>48.0</v>
      </c>
      <c r="D1330" s="2"/>
      <c r="E1330" s="2"/>
      <c r="F1330" s="2"/>
      <c r="G1330" s="2"/>
      <c r="H1330" s="2"/>
    </row>
    <row r="1331">
      <c r="A1331" s="1" t="s">
        <v>727</v>
      </c>
      <c r="B1331" s="1"/>
      <c r="C1331" s="1">
        <v>0.0</v>
      </c>
      <c r="D1331" s="2"/>
      <c r="E1331" s="2"/>
      <c r="F1331" s="2"/>
      <c r="G1331" s="2"/>
      <c r="H1331" s="2"/>
    </row>
    <row r="1332">
      <c r="A1332" s="1" t="s">
        <v>728</v>
      </c>
      <c r="B1332" s="1"/>
      <c r="C1332" s="1">
        <v>0.0</v>
      </c>
      <c r="D1332" s="2"/>
      <c r="E1332" s="2"/>
      <c r="F1332" s="2"/>
      <c r="G1332" s="2"/>
      <c r="H1332" s="2"/>
    </row>
    <row r="1333">
      <c r="A1333" s="1" t="s">
        <v>729</v>
      </c>
      <c r="B1333" s="1"/>
      <c r="C1333" s="1">
        <v>0.0</v>
      </c>
      <c r="D1333" s="2"/>
      <c r="E1333" s="2"/>
      <c r="F1333" s="2"/>
      <c r="G1333" s="2"/>
      <c r="H1333" s="2"/>
    </row>
    <row r="1334">
      <c r="A1334" s="1" t="s">
        <v>730</v>
      </c>
      <c r="B1334" s="1"/>
      <c r="C1334" s="1">
        <v>0.0</v>
      </c>
      <c r="D1334" s="2"/>
      <c r="E1334" s="2"/>
      <c r="F1334" s="2"/>
      <c r="G1334" s="2"/>
      <c r="H1334" s="2"/>
    </row>
    <row r="1335">
      <c r="A1335" s="1" t="s">
        <v>731</v>
      </c>
      <c r="B1335" s="1"/>
      <c r="C1335" s="1">
        <v>0.0</v>
      </c>
      <c r="D1335" s="2"/>
      <c r="E1335" s="2"/>
      <c r="F1335" s="2"/>
      <c r="G1335" s="2"/>
      <c r="H1335" s="2"/>
    </row>
    <row r="1336">
      <c r="A1336" s="1" t="s">
        <v>732</v>
      </c>
      <c r="B1336" s="1"/>
      <c r="C1336" s="1">
        <v>0.0</v>
      </c>
      <c r="D1336" s="2"/>
      <c r="E1336" s="2"/>
      <c r="F1336" s="2"/>
      <c r="G1336" s="2"/>
      <c r="H1336" s="2"/>
    </row>
    <row r="1337">
      <c r="A1337" s="1" t="s">
        <v>733</v>
      </c>
      <c r="B1337" s="1"/>
      <c r="C1337" s="1">
        <v>95.0</v>
      </c>
      <c r="D1337" s="2"/>
      <c r="E1337" s="2"/>
      <c r="F1337" s="2"/>
      <c r="G1337" s="2"/>
      <c r="H1337" s="2"/>
    </row>
    <row r="1338">
      <c r="A1338" s="1" t="s">
        <v>734</v>
      </c>
      <c r="B1338" s="1"/>
      <c r="C1338" s="1">
        <v>0.0</v>
      </c>
      <c r="D1338" s="2"/>
      <c r="E1338" s="2"/>
      <c r="F1338" s="2"/>
      <c r="G1338" s="2"/>
      <c r="H1338" s="2"/>
    </row>
    <row r="1339">
      <c r="A1339" s="1" t="s">
        <v>735</v>
      </c>
      <c r="B1339" s="1"/>
      <c r="C1339" s="1">
        <v>47.0</v>
      </c>
      <c r="D1339" s="2"/>
      <c r="E1339" s="2"/>
      <c r="F1339" s="2"/>
      <c r="G1339" s="2"/>
      <c r="H1339" s="2"/>
    </row>
    <row r="1340">
      <c r="A1340" s="1" t="s">
        <v>736</v>
      </c>
      <c r="B1340" s="1"/>
      <c r="C1340" s="1">
        <v>0.0</v>
      </c>
      <c r="D1340" s="2"/>
      <c r="E1340" s="2"/>
      <c r="F1340" s="2"/>
      <c r="G1340" s="2"/>
      <c r="H1340" s="2"/>
    </row>
    <row r="1341">
      <c r="A1341" s="1" t="s">
        <v>737</v>
      </c>
      <c r="B1341" s="1"/>
      <c r="C1341" s="1">
        <v>0.0</v>
      </c>
      <c r="D1341" s="2"/>
      <c r="E1341" s="2"/>
      <c r="F1341" s="2"/>
      <c r="G1341" s="2"/>
      <c r="H1341" s="2"/>
    </row>
    <row r="1342">
      <c r="A1342" s="1" t="s">
        <v>738</v>
      </c>
      <c r="B1342" s="1"/>
      <c r="C1342" s="1">
        <v>0.0</v>
      </c>
      <c r="D1342" s="2"/>
      <c r="E1342" s="2"/>
      <c r="F1342" s="2"/>
      <c r="G1342" s="2"/>
      <c r="H1342" s="2"/>
    </row>
    <row r="1343">
      <c r="A1343" s="1" t="s">
        <v>739</v>
      </c>
      <c r="B1343" s="1"/>
      <c r="C1343" s="1">
        <v>0.0</v>
      </c>
      <c r="D1343" s="2"/>
      <c r="E1343" s="2"/>
      <c r="F1343" s="2"/>
      <c r="G1343" s="2"/>
      <c r="H1343" s="2"/>
    </row>
    <row r="1344">
      <c r="A1344" s="1" t="s">
        <v>740</v>
      </c>
      <c r="B1344" s="1"/>
      <c r="C1344" s="1">
        <v>0.0</v>
      </c>
      <c r="D1344" s="2"/>
      <c r="E1344" s="2"/>
      <c r="F1344" s="2"/>
      <c r="G1344" s="2"/>
      <c r="H1344" s="2"/>
    </row>
    <row r="1345">
      <c r="A1345" s="1" t="s">
        <v>741</v>
      </c>
      <c r="B1345" s="1"/>
      <c r="C1345" s="1">
        <v>0.0</v>
      </c>
      <c r="D1345" s="2"/>
      <c r="E1345" s="2"/>
      <c r="F1345" s="2"/>
      <c r="G1345" s="2"/>
      <c r="H1345" s="2"/>
    </row>
    <row r="1346">
      <c r="A1346" s="1" t="s">
        <v>742</v>
      </c>
      <c r="B1346" s="1"/>
      <c r="C1346" s="1">
        <v>0.0</v>
      </c>
      <c r="D1346" s="2"/>
      <c r="E1346" s="2"/>
      <c r="F1346" s="2"/>
      <c r="G1346" s="2"/>
      <c r="H1346" s="2"/>
    </row>
    <row r="1347">
      <c r="A1347" s="1" t="s">
        <v>743</v>
      </c>
      <c r="B1347" s="1"/>
      <c r="C1347" s="1">
        <v>0.0</v>
      </c>
      <c r="D1347" s="2"/>
      <c r="E1347" s="2"/>
      <c r="F1347" s="2"/>
      <c r="G1347" s="2"/>
      <c r="H1347" s="2"/>
    </row>
    <row r="1348">
      <c r="A1348" s="1" t="s">
        <v>744</v>
      </c>
      <c r="B1348" s="1"/>
      <c r="C1348" s="1">
        <v>0.0</v>
      </c>
      <c r="D1348" s="2"/>
      <c r="E1348" s="2"/>
      <c r="F1348" s="2"/>
      <c r="G1348" s="2"/>
      <c r="H1348" s="2"/>
    </row>
    <row r="1349">
      <c r="A1349" s="1" t="s">
        <v>745</v>
      </c>
      <c r="B1349" s="1"/>
      <c r="C1349" s="1">
        <v>28.0</v>
      </c>
      <c r="D1349" s="2"/>
      <c r="E1349" s="2"/>
      <c r="F1349" s="2"/>
      <c r="G1349" s="2"/>
      <c r="H1349" s="2"/>
    </row>
    <row r="1350">
      <c r="A1350" s="1" t="s">
        <v>746</v>
      </c>
      <c r="B1350" s="1"/>
      <c r="C1350" s="1">
        <v>0.0</v>
      </c>
      <c r="D1350" s="2"/>
      <c r="E1350" s="2"/>
      <c r="F1350" s="2"/>
      <c r="G1350" s="2"/>
      <c r="H1350" s="2"/>
    </row>
    <row r="1351">
      <c r="A1351" s="1" t="s">
        <v>747</v>
      </c>
      <c r="B1351" s="1"/>
      <c r="C1351" s="1">
        <v>0.0</v>
      </c>
      <c r="D1351" s="2"/>
      <c r="E1351" s="2"/>
      <c r="F1351" s="2"/>
      <c r="G1351" s="2"/>
      <c r="H1351" s="2"/>
    </row>
    <row r="1352">
      <c r="A1352" s="1" t="s">
        <v>748</v>
      </c>
      <c r="B1352" s="1"/>
      <c r="C1352" s="1">
        <v>0.0</v>
      </c>
      <c r="D1352" s="2"/>
      <c r="E1352" s="2"/>
      <c r="F1352" s="2"/>
      <c r="G1352" s="2"/>
      <c r="H1352" s="2"/>
    </row>
    <row r="1353">
      <c r="A1353" s="1" t="s">
        <v>749</v>
      </c>
      <c r="B1353" s="1"/>
      <c r="C1353" s="1">
        <v>22.0</v>
      </c>
      <c r="D1353" s="2"/>
      <c r="E1353" s="2"/>
      <c r="F1353" s="2"/>
      <c r="G1353" s="2"/>
      <c r="H1353" s="2"/>
    </row>
    <row r="1354">
      <c r="A1354" s="1" t="s">
        <v>750</v>
      </c>
      <c r="B1354" s="1"/>
      <c r="C1354" s="1">
        <v>0.0</v>
      </c>
      <c r="D1354" s="2"/>
      <c r="E1354" s="2"/>
      <c r="F1354" s="2"/>
      <c r="G1354" s="2"/>
      <c r="H1354" s="2"/>
    </row>
    <row r="1355">
      <c r="A1355" s="1" t="s">
        <v>751</v>
      </c>
      <c r="B1355" s="1"/>
      <c r="C1355" s="1">
        <v>66.0</v>
      </c>
      <c r="D1355" s="2"/>
      <c r="E1355" s="2"/>
      <c r="F1355" s="2"/>
      <c r="G1355" s="2"/>
      <c r="H1355" s="2"/>
    </row>
    <row r="1356">
      <c r="A1356" s="1" t="s">
        <v>752</v>
      </c>
      <c r="B1356" s="1"/>
      <c r="C1356" s="1">
        <v>0.0</v>
      </c>
      <c r="D1356" s="2"/>
      <c r="E1356" s="2"/>
      <c r="F1356" s="2"/>
      <c r="G1356" s="2"/>
      <c r="H1356" s="2"/>
    </row>
    <row r="1357">
      <c r="A1357" s="1" t="s">
        <v>753</v>
      </c>
      <c r="B1357" s="1"/>
      <c r="C1357" s="1">
        <v>0.0</v>
      </c>
      <c r="D1357" s="2"/>
      <c r="E1357" s="2"/>
      <c r="F1357" s="2"/>
      <c r="G1357" s="2"/>
      <c r="H1357" s="2"/>
    </row>
    <row r="1358">
      <c r="A1358" s="1" t="s">
        <v>754</v>
      </c>
      <c r="B1358" s="1"/>
      <c r="C1358" s="1">
        <v>0.0</v>
      </c>
      <c r="D1358" s="2"/>
      <c r="E1358" s="2"/>
      <c r="F1358" s="2"/>
      <c r="G1358" s="2"/>
      <c r="H1358" s="2"/>
    </row>
    <row r="1359">
      <c r="A1359" s="1" t="s">
        <v>755</v>
      </c>
      <c r="B1359" s="1"/>
      <c r="C1359" s="1">
        <v>0.0</v>
      </c>
      <c r="D1359" s="2"/>
      <c r="E1359" s="2"/>
      <c r="F1359" s="2"/>
      <c r="G1359" s="2"/>
      <c r="H1359" s="2"/>
    </row>
    <row r="1360">
      <c r="A1360" s="1" t="s">
        <v>756</v>
      </c>
      <c r="B1360" s="1"/>
      <c r="C1360" s="1">
        <v>0.0</v>
      </c>
      <c r="D1360" s="2"/>
      <c r="E1360" s="2"/>
      <c r="F1360" s="2"/>
      <c r="G1360" s="2"/>
      <c r="H1360" s="2"/>
    </row>
    <row r="1361">
      <c r="A1361" s="1" t="s">
        <v>757</v>
      </c>
      <c r="B1361" s="1"/>
      <c r="C1361" s="1">
        <v>0.0</v>
      </c>
      <c r="D1361" s="2"/>
      <c r="E1361" s="2"/>
      <c r="F1361" s="2"/>
      <c r="G1361" s="2"/>
      <c r="H1361" s="2"/>
    </row>
    <row r="1362">
      <c r="A1362" s="1" t="s">
        <v>758</v>
      </c>
      <c r="B1362" s="1"/>
      <c r="C1362" s="1">
        <v>0.0</v>
      </c>
      <c r="D1362" s="2"/>
      <c r="E1362" s="2"/>
      <c r="F1362" s="2"/>
      <c r="G1362" s="2"/>
      <c r="H1362" s="2"/>
    </row>
    <row r="1363">
      <c r="A1363" s="1" t="s">
        <v>759</v>
      </c>
      <c r="B1363" s="1"/>
      <c r="C1363" s="1">
        <v>66.0</v>
      </c>
      <c r="D1363" s="2"/>
      <c r="E1363" s="2"/>
      <c r="F1363" s="2"/>
      <c r="G1363" s="2"/>
      <c r="H1363" s="2"/>
    </row>
    <row r="1364">
      <c r="A1364" s="1" t="s">
        <v>760</v>
      </c>
      <c r="B1364" s="1"/>
      <c r="C1364" s="1">
        <v>0.0</v>
      </c>
      <c r="D1364" s="2"/>
      <c r="E1364" s="2"/>
      <c r="F1364" s="2"/>
      <c r="G1364" s="2"/>
      <c r="H1364" s="2"/>
    </row>
    <row r="1365">
      <c r="A1365" s="1" t="s">
        <v>761</v>
      </c>
      <c r="B1365" s="1"/>
      <c r="C1365" s="1">
        <v>0.0</v>
      </c>
      <c r="D1365" s="2"/>
      <c r="E1365" s="2"/>
      <c r="F1365" s="2"/>
      <c r="G1365" s="2"/>
      <c r="H1365" s="2"/>
    </row>
    <row r="1366">
      <c r="A1366" s="1" t="s">
        <v>762</v>
      </c>
      <c r="B1366" s="1"/>
      <c r="C1366" s="1">
        <v>20.0</v>
      </c>
      <c r="D1366" s="2"/>
      <c r="E1366" s="2"/>
      <c r="F1366" s="2"/>
      <c r="G1366" s="2"/>
      <c r="H1366" s="2"/>
    </row>
    <row r="1367">
      <c r="A1367" s="1" t="s">
        <v>763</v>
      </c>
      <c r="B1367" s="1"/>
      <c r="C1367" s="1">
        <v>10.0</v>
      </c>
      <c r="D1367" s="2"/>
      <c r="E1367" s="2"/>
      <c r="F1367" s="2"/>
      <c r="G1367" s="2"/>
      <c r="H1367" s="2"/>
    </row>
    <row r="1368">
      <c r="A1368" s="1" t="s">
        <v>764</v>
      </c>
      <c r="B1368" s="1"/>
      <c r="C1368" s="1">
        <v>0.0</v>
      </c>
      <c r="D1368" s="2"/>
      <c r="E1368" s="2"/>
      <c r="F1368" s="2"/>
      <c r="G1368" s="2"/>
      <c r="H1368" s="2"/>
    </row>
    <row r="1369">
      <c r="A1369" s="1" t="s">
        <v>765</v>
      </c>
      <c r="B1369" s="1"/>
      <c r="C1369" s="1">
        <v>0.0</v>
      </c>
      <c r="D1369" s="2"/>
      <c r="E1369" s="2"/>
      <c r="F1369" s="2"/>
      <c r="G1369" s="2"/>
      <c r="H1369" s="2"/>
    </row>
    <row r="1370">
      <c r="A1370" s="1" t="s">
        <v>766</v>
      </c>
      <c r="B1370" s="1"/>
      <c r="C1370" s="1">
        <v>0.0</v>
      </c>
      <c r="D1370" s="2"/>
      <c r="E1370" s="2"/>
      <c r="F1370" s="2"/>
      <c r="G1370" s="2"/>
      <c r="H1370" s="2"/>
    </row>
    <row r="1371">
      <c r="A1371" s="1" t="s">
        <v>767</v>
      </c>
      <c r="B1371" s="1"/>
      <c r="C1371" s="1">
        <v>0.0</v>
      </c>
      <c r="D1371" s="2"/>
      <c r="E1371" s="2"/>
      <c r="F1371" s="2"/>
      <c r="G1371" s="2"/>
      <c r="H1371" s="2"/>
    </row>
    <row r="1372">
      <c r="A1372" s="1" t="s">
        <v>768</v>
      </c>
      <c r="B1372" s="1"/>
      <c r="C1372" s="1">
        <v>0.0</v>
      </c>
      <c r="D1372" s="2"/>
      <c r="E1372" s="2"/>
      <c r="F1372" s="2"/>
      <c r="G1372" s="2"/>
      <c r="H1372" s="2"/>
    </row>
    <row r="1373">
      <c r="A1373" s="1" t="s">
        <v>769</v>
      </c>
      <c r="B1373" s="1"/>
      <c r="C1373" s="1">
        <v>88.0</v>
      </c>
      <c r="D1373" s="2"/>
      <c r="E1373" s="2"/>
      <c r="F1373" s="2"/>
      <c r="G1373" s="2"/>
      <c r="H1373" s="2"/>
    </row>
    <row r="1374">
      <c r="A1374" s="1" t="s">
        <v>770</v>
      </c>
      <c r="B1374" s="1"/>
      <c r="C1374" s="1">
        <v>0.0</v>
      </c>
      <c r="D1374" s="2"/>
      <c r="E1374" s="2"/>
      <c r="F1374" s="2"/>
      <c r="G1374" s="2"/>
      <c r="H1374" s="2"/>
    </row>
    <row r="1375">
      <c r="A1375" s="1" t="s">
        <v>771</v>
      </c>
      <c r="B1375" s="1"/>
      <c r="C1375" s="1">
        <v>0.0</v>
      </c>
      <c r="D1375" s="2"/>
      <c r="E1375" s="2"/>
      <c r="F1375" s="2"/>
      <c r="G1375" s="2"/>
      <c r="H1375" s="2"/>
    </row>
    <row r="1376">
      <c r="A1376" s="1" t="s">
        <v>772</v>
      </c>
      <c r="B1376" s="1"/>
      <c r="C1376" s="1">
        <v>46.0</v>
      </c>
      <c r="D1376" s="2"/>
      <c r="E1376" s="2"/>
      <c r="F1376" s="2"/>
      <c r="G1376" s="2"/>
      <c r="H1376" s="2"/>
    </row>
    <row r="1377">
      <c r="A1377" s="1" t="s">
        <v>773</v>
      </c>
      <c r="B1377" s="1"/>
      <c r="C1377" s="1">
        <v>67.0</v>
      </c>
      <c r="D1377" s="2"/>
      <c r="E1377" s="2"/>
      <c r="F1377" s="2"/>
      <c r="G1377" s="2"/>
      <c r="H1377" s="2"/>
    </row>
    <row r="1378">
      <c r="A1378" s="1" t="s">
        <v>774</v>
      </c>
      <c r="B1378" s="1"/>
      <c r="C1378" s="1">
        <v>40.0</v>
      </c>
      <c r="D1378" s="2"/>
      <c r="E1378" s="2"/>
      <c r="F1378" s="2"/>
      <c r="G1378" s="2"/>
      <c r="H1378" s="2"/>
    </row>
    <row r="1379">
      <c r="A1379" s="1" t="s">
        <v>775</v>
      </c>
      <c r="B1379" s="1"/>
      <c r="C1379" s="1">
        <v>0.0</v>
      </c>
      <c r="D1379" s="2"/>
      <c r="E1379" s="2"/>
      <c r="F1379" s="2"/>
      <c r="G1379" s="2"/>
      <c r="H1379" s="2"/>
    </row>
    <row r="1380">
      <c r="A1380" s="1" t="s">
        <v>776</v>
      </c>
      <c r="B1380" s="1"/>
      <c r="C1380" s="1">
        <v>0.0</v>
      </c>
      <c r="D1380" s="2"/>
      <c r="E1380" s="2"/>
      <c r="F1380" s="2"/>
      <c r="G1380" s="2"/>
      <c r="H1380" s="2"/>
    </row>
    <row r="1381">
      <c r="A1381" s="1" t="s">
        <v>777</v>
      </c>
      <c r="B1381" s="1"/>
      <c r="C1381" s="1">
        <v>0.0</v>
      </c>
      <c r="D1381" s="2"/>
      <c r="E1381" s="2"/>
      <c r="F1381" s="2"/>
      <c r="G1381" s="2"/>
      <c r="H1381" s="2"/>
    </row>
    <row r="1382">
      <c r="A1382" s="1" t="s">
        <v>778</v>
      </c>
      <c r="B1382" s="1"/>
      <c r="C1382" s="1">
        <v>80.0</v>
      </c>
      <c r="D1382" s="2"/>
      <c r="E1382" s="2"/>
      <c r="F1382" s="2"/>
      <c r="G1382" s="2"/>
      <c r="H1382" s="2"/>
    </row>
    <row r="1383">
      <c r="A1383" s="1" t="s">
        <v>779</v>
      </c>
      <c r="B1383" s="1"/>
      <c r="C1383" s="1">
        <v>32.0</v>
      </c>
      <c r="D1383" s="2"/>
      <c r="E1383" s="2"/>
      <c r="F1383" s="2"/>
      <c r="G1383" s="2"/>
      <c r="H1383" s="2"/>
    </row>
    <row r="1384">
      <c r="A1384" s="1" t="s">
        <v>780</v>
      </c>
      <c r="B1384" s="1"/>
      <c r="C1384" s="1">
        <v>0.0</v>
      </c>
      <c r="D1384" s="2"/>
      <c r="E1384" s="2"/>
      <c r="F1384" s="2"/>
      <c r="G1384" s="2"/>
      <c r="H1384" s="2"/>
    </row>
    <row r="1385">
      <c r="A1385" s="1" t="s">
        <v>781</v>
      </c>
      <c r="B1385" s="1"/>
      <c r="C1385" s="1">
        <v>0.0</v>
      </c>
      <c r="D1385" s="2"/>
      <c r="E1385" s="2"/>
      <c r="F1385" s="2"/>
      <c r="G1385" s="2"/>
      <c r="H1385" s="2"/>
    </row>
    <row r="1386">
      <c r="A1386" s="1" t="s">
        <v>782</v>
      </c>
      <c r="B1386" s="1"/>
      <c r="C1386" s="1">
        <v>57.0</v>
      </c>
      <c r="D1386" s="2"/>
      <c r="E1386" s="2"/>
      <c r="F1386" s="2"/>
      <c r="G1386" s="2"/>
      <c r="H1386" s="2"/>
    </row>
    <row r="1387">
      <c r="A1387" s="1" t="s">
        <v>783</v>
      </c>
      <c r="B1387" s="1"/>
      <c r="C1387" s="1">
        <v>71.0</v>
      </c>
      <c r="D1387" s="2"/>
      <c r="E1387" s="2"/>
      <c r="F1387" s="2"/>
      <c r="G1387" s="2"/>
      <c r="H1387" s="2"/>
    </row>
    <row r="1388">
      <c r="A1388" s="1" t="s">
        <v>784</v>
      </c>
      <c r="B1388" s="1"/>
      <c r="C1388" s="1">
        <v>32.0</v>
      </c>
      <c r="D1388" s="2"/>
      <c r="E1388" s="2"/>
      <c r="F1388" s="2"/>
      <c r="G1388" s="2"/>
      <c r="H1388" s="2"/>
    </row>
    <row r="1389">
      <c r="A1389" s="1" t="s">
        <v>785</v>
      </c>
      <c r="B1389" s="1"/>
      <c r="C1389" s="1">
        <v>0.0</v>
      </c>
      <c r="D1389" s="2"/>
      <c r="E1389" s="2"/>
      <c r="F1389" s="2"/>
      <c r="G1389" s="2"/>
      <c r="H1389" s="2"/>
    </row>
    <row r="1390">
      <c r="A1390" s="1" t="s">
        <v>786</v>
      </c>
      <c r="B1390" s="1"/>
      <c r="C1390" s="1">
        <v>4.0</v>
      </c>
      <c r="D1390" s="2"/>
      <c r="E1390" s="2"/>
      <c r="F1390" s="2"/>
      <c r="G1390" s="2"/>
      <c r="H1390" s="2"/>
    </row>
    <row r="1391">
      <c r="A1391" s="1" t="s">
        <v>787</v>
      </c>
      <c r="B1391" s="1"/>
      <c r="C1391" s="1">
        <v>12.0</v>
      </c>
      <c r="D1391" s="2"/>
      <c r="E1391" s="2"/>
      <c r="F1391" s="2"/>
      <c r="G1391" s="2"/>
      <c r="H1391" s="2"/>
    </row>
    <row r="1392">
      <c r="A1392" s="1" t="s">
        <v>788</v>
      </c>
      <c r="B1392" s="1"/>
      <c r="C1392" s="1">
        <v>0.0</v>
      </c>
      <c r="D1392" s="2"/>
      <c r="E1392" s="2"/>
      <c r="F1392" s="2"/>
      <c r="G1392" s="2"/>
      <c r="H1392" s="2"/>
    </row>
    <row r="1393">
      <c r="A1393" s="1" t="s">
        <v>789</v>
      </c>
      <c r="B1393" s="1"/>
      <c r="C1393" s="1">
        <v>0.0</v>
      </c>
      <c r="D1393" s="2"/>
      <c r="E1393" s="2"/>
      <c r="F1393" s="2"/>
      <c r="G1393" s="2"/>
      <c r="H1393" s="2"/>
    </row>
    <row r="1394">
      <c r="A1394" s="1" t="s">
        <v>790</v>
      </c>
      <c r="B1394" s="1"/>
      <c r="C1394" s="1">
        <v>0.0</v>
      </c>
      <c r="D1394" s="2"/>
      <c r="E1394" s="2"/>
      <c r="F1394" s="2"/>
      <c r="G1394" s="2"/>
      <c r="H1394" s="2"/>
    </row>
    <row r="1395">
      <c r="A1395" s="1" t="s">
        <v>791</v>
      </c>
      <c r="B1395" s="1"/>
      <c r="C1395" s="1">
        <v>0.0</v>
      </c>
      <c r="D1395" s="2"/>
      <c r="E1395" s="2"/>
      <c r="F1395" s="2"/>
      <c r="G1395" s="2"/>
      <c r="H1395" s="2"/>
    </row>
    <row r="1396">
      <c r="A1396" s="1" t="s">
        <v>792</v>
      </c>
      <c r="B1396" s="1"/>
      <c r="C1396" s="1">
        <v>80.0</v>
      </c>
      <c r="D1396" s="2"/>
      <c r="E1396" s="2"/>
      <c r="F1396" s="2"/>
      <c r="G1396" s="2"/>
      <c r="H1396" s="2"/>
    </row>
    <row r="1397">
      <c r="A1397" s="1" t="s">
        <v>793</v>
      </c>
      <c r="B1397" s="1"/>
      <c r="C1397" s="1">
        <v>0.0</v>
      </c>
      <c r="D1397" s="2"/>
      <c r="E1397" s="2"/>
      <c r="F1397" s="2"/>
      <c r="G1397" s="2"/>
      <c r="H1397" s="2"/>
    </row>
    <row r="1398">
      <c r="A1398" s="1" t="s">
        <v>794</v>
      </c>
      <c r="B1398" s="1"/>
      <c r="C1398" s="1">
        <v>60.0</v>
      </c>
      <c r="D1398" s="2"/>
      <c r="E1398" s="2"/>
      <c r="F1398" s="2"/>
      <c r="G1398" s="2"/>
      <c r="H1398" s="2"/>
    </row>
    <row r="1399">
      <c r="A1399" s="1" t="s">
        <v>795</v>
      </c>
      <c r="B1399" s="1"/>
      <c r="C1399" s="1">
        <v>0.0</v>
      </c>
      <c r="D1399" s="2"/>
      <c r="E1399" s="2"/>
      <c r="F1399" s="2"/>
      <c r="G1399" s="2"/>
      <c r="H1399" s="2"/>
    </row>
    <row r="1400">
      <c r="A1400" s="1" t="s">
        <v>796</v>
      </c>
      <c r="B1400" s="1"/>
      <c r="C1400" s="1">
        <v>90.0</v>
      </c>
      <c r="D1400" s="2"/>
      <c r="E1400" s="2"/>
      <c r="F1400" s="2"/>
      <c r="G1400" s="2"/>
      <c r="H1400" s="2"/>
    </row>
    <row r="1401">
      <c r="A1401" s="1" t="s">
        <v>797</v>
      </c>
      <c r="B1401" s="1"/>
      <c r="C1401" s="1">
        <v>0.0</v>
      </c>
      <c r="D1401" s="2"/>
      <c r="E1401" s="2"/>
      <c r="F1401" s="2"/>
      <c r="G1401" s="2"/>
      <c r="H1401" s="2"/>
    </row>
    <row r="1402">
      <c r="A1402" s="1" t="s">
        <v>798</v>
      </c>
      <c r="B1402" s="1"/>
      <c r="C1402" s="1">
        <v>0.0</v>
      </c>
      <c r="D1402" s="2"/>
      <c r="E1402" s="2"/>
      <c r="F1402" s="2"/>
      <c r="G1402" s="2"/>
      <c r="H1402" s="2"/>
    </row>
    <row r="1403">
      <c r="A1403" s="1" t="s">
        <v>799</v>
      </c>
      <c r="B1403" s="1"/>
      <c r="C1403" s="1">
        <v>0.0</v>
      </c>
      <c r="D1403" s="2"/>
      <c r="E1403" s="2"/>
      <c r="F1403" s="2"/>
      <c r="G1403" s="2"/>
      <c r="H1403" s="2"/>
    </row>
    <row r="1404">
      <c r="A1404" s="1" t="s">
        <v>800</v>
      </c>
      <c r="B1404" s="1"/>
      <c r="C1404" s="1">
        <v>0.0</v>
      </c>
      <c r="D1404" s="2"/>
      <c r="E1404" s="2"/>
      <c r="F1404" s="2"/>
      <c r="G1404" s="2"/>
      <c r="H1404" s="2"/>
    </row>
    <row r="1405">
      <c r="A1405" s="1" t="s">
        <v>801</v>
      </c>
      <c r="B1405" s="1"/>
      <c r="C1405" s="1">
        <v>0.0</v>
      </c>
      <c r="D1405" s="2"/>
      <c r="E1405" s="2"/>
      <c r="F1405" s="2"/>
      <c r="G1405" s="2"/>
      <c r="H1405" s="2"/>
    </row>
    <row r="1406">
      <c r="A1406" s="1" t="s">
        <v>802</v>
      </c>
      <c r="B1406" s="1"/>
      <c r="C1406" s="1">
        <v>19.0</v>
      </c>
      <c r="D1406" s="2"/>
      <c r="E1406" s="2"/>
      <c r="F1406" s="2"/>
      <c r="G1406" s="2"/>
      <c r="H1406" s="2"/>
    </row>
    <row r="1407">
      <c r="A1407" s="1" t="s">
        <v>803</v>
      </c>
      <c r="B1407" s="1"/>
      <c r="C1407" s="1">
        <v>0.0</v>
      </c>
      <c r="D1407" s="2"/>
      <c r="E1407" s="2"/>
      <c r="F1407" s="2"/>
      <c r="G1407" s="2"/>
      <c r="H1407" s="2"/>
    </row>
    <row r="1408">
      <c r="A1408" s="1" t="s">
        <v>804</v>
      </c>
      <c r="B1408" s="1"/>
      <c r="C1408" s="1">
        <v>0.0</v>
      </c>
      <c r="D1408" s="2"/>
      <c r="E1408" s="2"/>
      <c r="F1408" s="2"/>
      <c r="G1408" s="2"/>
      <c r="H1408" s="2"/>
    </row>
    <row r="1409">
      <c r="A1409" s="1" t="s">
        <v>805</v>
      </c>
      <c r="B1409" s="1"/>
      <c r="C1409" s="1">
        <v>42.0</v>
      </c>
      <c r="D1409" s="2"/>
      <c r="E1409" s="2"/>
      <c r="F1409" s="2"/>
      <c r="G1409" s="2"/>
      <c r="H1409" s="2"/>
    </row>
    <row r="1410">
      <c r="A1410" s="1" t="s">
        <v>806</v>
      </c>
      <c r="B1410" s="1"/>
      <c r="C1410" s="1">
        <v>57.0</v>
      </c>
      <c r="D1410" s="2"/>
      <c r="E1410" s="2"/>
      <c r="F1410" s="2"/>
      <c r="G1410" s="2"/>
      <c r="H1410" s="2"/>
    </row>
    <row r="1411">
      <c r="A1411" s="1" t="s">
        <v>807</v>
      </c>
      <c r="B1411" s="1"/>
      <c r="C1411" s="1">
        <v>17.0</v>
      </c>
      <c r="D1411" s="2"/>
      <c r="E1411" s="2"/>
      <c r="F1411" s="2"/>
      <c r="G1411" s="2"/>
      <c r="H1411" s="2"/>
    </row>
    <row r="1412">
      <c r="A1412" s="1" t="s">
        <v>808</v>
      </c>
      <c r="B1412" s="1"/>
      <c r="C1412" s="1">
        <v>10.0</v>
      </c>
      <c r="D1412" s="2"/>
      <c r="E1412" s="2"/>
      <c r="F1412" s="2"/>
      <c r="G1412" s="2"/>
      <c r="H1412" s="2"/>
    </row>
    <row r="1413">
      <c r="A1413" s="1" t="s">
        <v>809</v>
      </c>
      <c r="B1413" s="1"/>
      <c r="C1413" s="1">
        <v>0.0</v>
      </c>
      <c r="D1413" s="2"/>
      <c r="E1413" s="2"/>
      <c r="F1413" s="2"/>
      <c r="G1413" s="2"/>
      <c r="H1413" s="2"/>
    </row>
    <row r="1414">
      <c r="A1414" s="1" t="s">
        <v>810</v>
      </c>
      <c r="B1414" s="1"/>
      <c r="C1414" s="1">
        <v>8.0</v>
      </c>
      <c r="D1414" s="2"/>
      <c r="E1414" s="2"/>
      <c r="F1414" s="2"/>
      <c r="G1414" s="2"/>
      <c r="H1414" s="2"/>
    </row>
    <row r="1415">
      <c r="A1415" s="1" t="s">
        <v>811</v>
      </c>
      <c r="B1415" s="1"/>
      <c r="C1415" s="1">
        <v>8.0</v>
      </c>
      <c r="D1415" s="2"/>
      <c r="E1415" s="2"/>
      <c r="F1415" s="2"/>
      <c r="G1415" s="2"/>
      <c r="H1415" s="2"/>
    </row>
    <row r="1416">
      <c r="A1416" s="1" t="s">
        <v>812</v>
      </c>
      <c r="B1416" s="1"/>
      <c r="C1416" s="1">
        <v>11.0</v>
      </c>
      <c r="D1416" s="2"/>
      <c r="E1416" s="2"/>
      <c r="F1416" s="2"/>
      <c r="G1416" s="2"/>
      <c r="H1416" s="2"/>
    </row>
    <row r="1417">
      <c r="A1417" s="1" t="s">
        <v>813</v>
      </c>
      <c r="B1417" s="1"/>
      <c r="C1417" s="1">
        <v>24.0</v>
      </c>
      <c r="D1417" s="2"/>
      <c r="E1417" s="2"/>
      <c r="F1417" s="2"/>
      <c r="G1417" s="2"/>
      <c r="H1417" s="2"/>
    </row>
    <row r="1418">
      <c r="A1418" s="1" t="s">
        <v>814</v>
      </c>
      <c r="B1418" s="1"/>
      <c r="C1418" s="1">
        <v>0.0</v>
      </c>
      <c r="D1418" s="2"/>
      <c r="E1418" s="2"/>
      <c r="F1418" s="2"/>
      <c r="G1418" s="2"/>
      <c r="H1418" s="2"/>
    </row>
    <row r="1419">
      <c r="A1419" s="1" t="s">
        <v>815</v>
      </c>
      <c r="B1419" s="1"/>
      <c r="C1419" s="1">
        <v>0.0</v>
      </c>
      <c r="D1419" s="2"/>
      <c r="E1419" s="2"/>
      <c r="F1419" s="2"/>
      <c r="G1419" s="2"/>
      <c r="H1419" s="2"/>
    </row>
    <row r="1420">
      <c r="A1420" s="1" t="s">
        <v>816</v>
      </c>
      <c r="B1420" s="1"/>
      <c r="C1420" s="1">
        <v>0.0</v>
      </c>
      <c r="D1420" s="2"/>
      <c r="E1420" s="2"/>
      <c r="F1420" s="2"/>
      <c r="G1420" s="2"/>
      <c r="H1420" s="2"/>
    </row>
    <row r="1421">
      <c r="A1421" s="1" t="s">
        <v>817</v>
      </c>
      <c r="B1421" s="1"/>
      <c r="C1421" s="1" t="s">
        <v>818</v>
      </c>
      <c r="D1421" s="1">
        <v>8.0</v>
      </c>
      <c r="E1421" s="2"/>
      <c r="F1421" s="2"/>
      <c r="G1421" s="2"/>
      <c r="H1421" s="2"/>
    </row>
    <row r="1422">
      <c r="A1422" s="1" t="s">
        <v>819</v>
      </c>
      <c r="B1422" s="1"/>
      <c r="C1422" s="1">
        <v>0.0</v>
      </c>
      <c r="D1422" s="2"/>
      <c r="E1422" s="2"/>
      <c r="F1422" s="2"/>
      <c r="G1422" s="2"/>
      <c r="H1422" s="2"/>
    </row>
    <row r="1423">
      <c r="A1423" s="1" t="s">
        <v>820</v>
      </c>
      <c r="B1423" s="1"/>
      <c r="C1423" s="1">
        <v>50.0</v>
      </c>
      <c r="D1423" s="2"/>
      <c r="E1423" s="2"/>
      <c r="F1423" s="2"/>
      <c r="G1423" s="2"/>
      <c r="H1423" s="2"/>
    </row>
    <row r="1424">
      <c r="A1424" s="1" t="s">
        <v>821</v>
      </c>
      <c r="B1424" s="1"/>
      <c r="C1424" s="1">
        <v>29.0</v>
      </c>
      <c r="D1424" s="2"/>
      <c r="E1424" s="2"/>
      <c r="F1424" s="2"/>
      <c r="G1424" s="2"/>
      <c r="H1424" s="2"/>
    </row>
    <row r="1425">
      <c r="A1425" s="1" t="s">
        <v>822</v>
      </c>
      <c r="B1425" s="1"/>
      <c r="C1425" s="1">
        <v>29.0</v>
      </c>
      <c r="D1425" s="2"/>
      <c r="E1425" s="2"/>
      <c r="F1425" s="2"/>
      <c r="G1425" s="2"/>
      <c r="H1425" s="2"/>
    </row>
    <row r="1426">
      <c r="A1426" s="1" t="s">
        <v>823</v>
      </c>
      <c r="B1426" s="1"/>
      <c r="C1426" s="1">
        <v>46.0</v>
      </c>
      <c r="D1426" s="2"/>
      <c r="E1426" s="2"/>
      <c r="F1426" s="2"/>
      <c r="G1426" s="2"/>
      <c r="H1426" s="2"/>
    </row>
    <row r="1427">
      <c r="A1427" s="1" t="s">
        <v>824</v>
      </c>
      <c r="B1427" s="1"/>
      <c r="C1427" s="1">
        <v>64.0</v>
      </c>
      <c r="D1427" s="2"/>
      <c r="E1427" s="2"/>
      <c r="F1427" s="2"/>
      <c r="G1427" s="2"/>
      <c r="H1427" s="2"/>
    </row>
    <row r="1428">
      <c r="A1428" s="1" t="s">
        <v>825</v>
      </c>
      <c r="B1428" s="1"/>
      <c r="C1428" s="1">
        <v>0.0</v>
      </c>
      <c r="D1428" s="2"/>
      <c r="E1428" s="2"/>
      <c r="F1428" s="2"/>
      <c r="G1428" s="2"/>
      <c r="H1428" s="2"/>
    </row>
    <row r="1429">
      <c r="A1429" s="1" t="s">
        <v>826</v>
      </c>
      <c r="B1429" s="1"/>
      <c r="C1429" s="1">
        <v>0.0</v>
      </c>
      <c r="D1429" s="2"/>
      <c r="E1429" s="2"/>
      <c r="F1429" s="2"/>
      <c r="G1429" s="2"/>
      <c r="H1429" s="2"/>
    </row>
    <row r="1430">
      <c r="A1430" s="1" t="s">
        <v>827</v>
      </c>
      <c r="B1430" s="1"/>
      <c r="C1430" s="1">
        <v>0.0</v>
      </c>
      <c r="D1430" s="2"/>
      <c r="E1430" s="2"/>
      <c r="F1430" s="2"/>
      <c r="G1430" s="2"/>
      <c r="H1430" s="2"/>
    </row>
    <row r="1431">
      <c r="A1431" s="1" t="s">
        <v>828</v>
      </c>
      <c r="B1431" s="1"/>
      <c r="C1431" s="1">
        <v>0.0</v>
      </c>
      <c r="D1431" s="2"/>
      <c r="E1431" s="2"/>
      <c r="F1431" s="2"/>
      <c r="G1431" s="2"/>
      <c r="H1431" s="2"/>
    </row>
    <row r="1432">
      <c r="A1432" s="1" t="s">
        <v>829</v>
      </c>
      <c r="B1432" s="1"/>
      <c r="C1432" s="1">
        <v>0.0</v>
      </c>
      <c r="D1432" s="2"/>
      <c r="E1432" s="2"/>
      <c r="F1432" s="2"/>
      <c r="G1432" s="2"/>
      <c r="H1432" s="2"/>
    </row>
    <row r="1433">
      <c r="A1433" s="1" t="s">
        <v>830</v>
      </c>
      <c r="B1433" s="1"/>
      <c r="C1433" s="1">
        <v>0.0</v>
      </c>
      <c r="D1433" s="2"/>
      <c r="E1433" s="2"/>
      <c r="F1433" s="2"/>
      <c r="G1433" s="2"/>
      <c r="H1433" s="2"/>
    </row>
    <row r="1434">
      <c r="A1434" s="1" t="s">
        <v>831</v>
      </c>
      <c r="B1434" s="1"/>
      <c r="C1434" s="1">
        <v>0.0</v>
      </c>
      <c r="D1434" s="2"/>
      <c r="E1434" s="2"/>
      <c r="F1434" s="2"/>
      <c r="G1434" s="2"/>
      <c r="H1434" s="2"/>
    </row>
    <row r="1435">
      <c r="A1435" s="1" t="s">
        <v>832</v>
      </c>
      <c r="B1435" s="1"/>
      <c r="C1435" s="1">
        <v>0.0</v>
      </c>
      <c r="D1435" s="2"/>
      <c r="E1435" s="2"/>
      <c r="F1435" s="2"/>
      <c r="G1435" s="2"/>
      <c r="H1435" s="2"/>
    </row>
    <row r="1436">
      <c r="A1436" s="1" t="s">
        <v>833</v>
      </c>
      <c r="B1436" s="1"/>
      <c r="C1436" s="1">
        <v>0.0</v>
      </c>
      <c r="D1436" s="2"/>
      <c r="E1436" s="2"/>
      <c r="F1436" s="2"/>
      <c r="G1436" s="2"/>
      <c r="H1436" s="2"/>
    </row>
    <row r="1437">
      <c r="A1437" s="1" t="s">
        <v>834</v>
      </c>
      <c r="B1437" s="1"/>
      <c r="C1437" s="1">
        <v>18.0</v>
      </c>
      <c r="D1437" s="2"/>
      <c r="E1437" s="2"/>
      <c r="F1437" s="2"/>
      <c r="G1437" s="2"/>
      <c r="H1437" s="2"/>
    </row>
    <row r="1438">
      <c r="A1438" s="1" t="s">
        <v>835</v>
      </c>
      <c r="B1438" s="1"/>
      <c r="C1438" s="1">
        <v>0.0</v>
      </c>
      <c r="D1438" s="2"/>
      <c r="E1438" s="2"/>
      <c r="F1438" s="2"/>
      <c r="G1438" s="2"/>
      <c r="H1438" s="2"/>
    </row>
    <row r="1439">
      <c r="A1439" s="1" t="s">
        <v>836</v>
      </c>
      <c r="B1439" s="1"/>
      <c r="C1439" s="1">
        <v>0.0</v>
      </c>
      <c r="D1439" s="2"/>
      <c r="E1439" s="2"/>
      <c r="F1439" s="2"/>
      <c r="G1439" s="2"/>
      <c r="H1439" s="2"/>
    </row>
    <row r="1440">
      <c r="A1440" s="1" t="s">
        <v>837</v>
      </c>
      <c r="B1440" s="1"/>
      <c r="C1440" s="1">
        <v>44.0</v>
      </c>
      <c r="D1440" s="2"/>
      <c r="E1440" s="2"/>
      <c r="F1440" s="2"/>
      <c r="G1440" s="2"/>
      <c r="H1440" s="2"/>
    </row>
    <row r="1441">
      <c r="A1441" s="1" t="s">
        <v>838</v>
      </c>
      <c r="B1441" s="1"/>
      <c r="C1441" s="1">
        <v>0.0</v>
      </c>
      <c r="D1441" s="2"/>
      <c r="E1441" s="2"/>
      <c r="F1441" s="2"/>
      <c r="G1441" s="2"/>
      <c r="H1441" s="2"/>
    </row>
    <row r="1442">
      <c r="A1442" s="1" t="s">
        <v>839</v>
      </c>
      <c r="B1442" s="1"/>
      <c r="C1442" s="1">
        <v>83.0</v>
      </c>
      <c r="D1442" s="2"/>
      <c r="E1442" s="2"/>
      <c r="F1442" s="2"/>
      <c r="G1442" s="2"/>
      <c r="H1442" s="2"/>
    </row>
    <row r="1443">
      <c r="A1443" s="1" t="s">
        <v>840</v>
      </c>
      <c r="B1443" s="1"/>
      <c r="C1443" s="1">
        <v>0.0</v>
      </c>
      <c r="D1443" s="2"/>
      <c r="E1443" s="2"/>
      <c r="F1443" s="2"/>
      <c r="G1443" s="2"/>
      <c r="H1443" s="2"/>
    </row>
    <row r="1444">
      <c r="A1444" s="1" t="s">
        <v>841</v>
      </c>
      <c r="B1444" s="1"/>
      <c r="C1444" s="1">
        <v>0.0</v>
      </c>
      <c r="D1444" s="2"/>
      <c r="E1444" s="2"/>
      <c r="F1444" s="2"/>
      <c r="G1444" s="2"/>
      <c r="H1444" s="2"/>
    </row>
    <row r="1445">
      <c r="A1445" s="1" t="s">
        <v>842</v>
      </c>
      <c r="B1445" s="1"/>
      <c r="C1445" s="1">
        <v>86.0</v>
      </c>
      <c r="D1445" s="2"/>
      <c r="E1445" s="2"/>
      <c r="F1445" s="2"/>
      <c r="G1445" s="2"/>
      <c r="H1445" s="2"/>
    </row>
    <row r="1446">
      <c r="A1446" s="1" t="s">
        <v>843</v>
      </c>
      <c r="B1446" s="1"/>
      <c r="C1446" s="1">
        <v>0.0</v>
      </c>
      <c r="D1446" s="2"/>
      <c r="E1446" s="2"/>
      <c r="F1446" s="2"/>
      <c r="G1446" s="2"/>
      <c r="H1446" s="2"/>
    </row>
    <row r="1447">
      <c r="A1447" s="1" t="s">
        <v>844</v>
      </c>
      <c r="B1447" s="1"/>
      <c r="C1447" s="1">
        <v>27.0</v>
      </c>
      <c r="D1447" s="2"/>
      <c r="E1447" s="2"/>
      <c r="F1447" s="2"/>
      <c r="G1447" s="2"/>
      <c r="H1447" s="2"/>
    </row>
    <row r="1448">
      <c r="A1448" s="1" t="s">
        <v>845</v>
      </c>
      <c r="B1448" s="1"/>
      <c r="C1448" s="1">
        <v>0.0</v>
      </c>
      <c r="D1448" s="2"/>
      <c r="E1448" s="2"/>
      <c r="F1448" s="2"/>
      <c r="G1448" s="2"/>
      <c r="H1448" s="2"/>
    </row>
    <row r="1449">
      <c r="A1449" s="1" t="s">
        <v>846</v>
      </c>
      <c r="B1449" s="1"/>
      <c r="C1449" s="1">
        <v>0.0</v>
      </c>
      <c r="D1449" s="2"/>
      <c r="E1449" s="2"/>
      <c r="F1449" s="2"/>
      <c r="G1449" s="2"/>
      <c r="H1449" s="2"/>
    </row>
    <row r="1450">
      <c r="A1450" s="1" t="s">
        <v>847</v>
      </c>
      <c r="B1450" s="1"/>
      <c r="C1450" s="1">
        <v>70.0</v>
      </c>
      <c r="D1450" s="2"/>
      <c r="E1450" s="2"/>
      <c r="F1450" s="2"/>
      <c r="G1450" s="2"/>
      <c r="H1450" s="2"/>
    </row>
    <row r="1451">
      <c r="A1451" s="1" t="s">
        <v>848</v>
      </c>
      <c r="B1451" s="1"/>
      <c r="C1451" s="1">
        <v>0.0</v>
      </c>
      <c r="D1451" s="2"/>
      <c r="E1451" s="2"/>
      <c r="F1451" s="2"/>
      <c r="G1451" s="2"/>
      <c r="H1451" s="2"/>
    </row>
    <row r="1452">
      <c r="A1452" s="1" t="s">
        <v>849</v>
      </c>
      <c r="B1452" s="1"/>
      <c r="C1452" s="1">
        <v>0.0</v>
      </c>
      <c r="D1452" s="2"/>
      <c r="E1452" s="2"/>
      <c r="F1452" s="2"/>
      <c r="G1452" s="2"/>
      <c r="H1452" s="2"/>
    </row>
    <row r="1453">
      <c r="A1453" s="1" t="s">
        <v>850</v>
      </c>
      <c r="B1453" s="1"/>
      <c r="C1453" s="1">
        <v>0.0</v>
      </c>
      <c r="D1453" s="2"/>
      <c r="E1453" s="2"/>
      <c r="F1453" s="2"/>
      <c r="G1453" s="2"/>
      <c r="H1453" s="2"/>
    </row>
    <row r="1454">
      <c r="A1454" s="1" t="s">
        <v>851</v>
      </c>
      <c r="B1454" s="1"/>
      <c r="C1454" s="1">
        <v>0.0</v>
      </c>
      <c r="D1454" s="2"/>
      <c r="E1454" s="2"/>
      <c r="F1454" s="2"/>
      <c r="G1454" s="2"/>
      <c r="H1454" s="2"/>
    </row>
    <row r="1455">
      <c r="A1455" s="1" t="s">
        <v>852</v>
      </c>
      <c r="B1455" s="1"/>
      <c r="C1455" s="1">
        <v>39.0</v>
      </c>
      <c r="D1455" s="2"/>
      <c r="E1455" s="2"/>
      <c r="F1455" s="2"/>
      <c r="G1455" s="2"/>
      <c r="H1455" s="2"/>
    </row>
    <row r="1456">
      <c r="A1456" s="1" t="s">
        <v>853</v>
      </c>
      <c r="B1456" s="1"/>
      <c r="C1456" s="1">
        <v>0.0</v>
      </c>
      <c r="D1456" s="2"/>
      <c r="E1456" s="2"/>
      <c r="F1456" s="2"/>
      <c r="G1456" s="2"/>
      <c r="H1456" s="2"/>
    </row>
    <row r="1457">
      <c r="A1457" s="1" t="s">
        <v>854</v>
      </c>
      <c r="B1457" s="1"/>
      <c r="C1457" s="1">
        <v>71.0</v>
      </c>
      <c r="D1457" s="2"/>
      <c r="E1457" s="2"/>
      <c r="F1457" s="2"/>
      <c r="G1457" s="2"/>
      <c r="H1457" s="2"/>
    </row>
    <row r="1458">
      <c r="A1458" s="1" t="s">
        <v>855</v>
      </c>
      <c r="B1458" s="1"/>
      <c r="C1458" s="1">
        <v>0.0</v>
      </c>
      <c r="D1458" s="2"/>
      <c r="E1458" s="2"/>
      <c r="F1458" s="2"/>
      <c r="G1458" s="2"/>
      <c r="H1458" s="2"/>
    </row>
    <row r="1459">
      <c r="A1459" s="1" t="s">
        <v>856</v>
      </c>
      <c r="B1459" s="1"/>
      <c r="C1459" s="1">
        <v>0.0</v>
      </c>
      <c r="D1459" s="2"/>
      <c r="E1459" s="2"/>
      <c r="F1459" s="2"/>
      <c r="G1459" s="2"/>
      <c r="H1459" s="2"/>
    </row>
    <row r="1460">
      <c r="A1460" s="1" t="s">
        <v>857</v>
      </c>
      <c r="B1460" s="1"/>
      <c r="C1460" s="1">
        <v>0.0</v>
      </c>
      <c r="D1460" s="2"/>
      <c r="E1460" s="2"/>
      <c r="F1460" s="2"/>
      <c r="G1460" s="2"/>
      <c r="H1460" s="2"/>
    </row>
    <row r="1461">
      <c r="A1461" s="1" t="s">
        <v>858</v>
      </c>
      <c r="B1461" s="1"/>
      <c r="C1461" s="1">
        <v>68.0</v>
      </c>
      <c r="D1461" s="2"/>
      <c r="E1461" s="2"/>
      <c r="F1461" s="2"/>
      <c r="G1461" s="2"/>
      <c r="H1461" s="2"/>
    </row>
    <row r="1462">
      <c r="A1462" s="1" t="s">
        <v>859</v>
      </c>
      <c r="B1462" s="1"/>
      <c r="C1462" s="1">
        <v>81.0</v>
      </c>
      <c r="D1462" s="2"/>
      <c r="E1462" s="2"/>
      <c r="F1462" s="2"/>
      <c r="G1462" s="2"/>
      <c r="H1462" s="2"/>
    </row>
    <row r="1463">
      <c r="A1463" s="1" t="s">
        <v>860</v>
      </c>
      <c r="B1463" s="1"/>
      <c r="C1463" s="1">
        <v>0.0</v>
      </c>
      <c r="D1463" s="2"/>
      <c r="E1463" s="2"/>
      <c r="F1463" s="2"/>
      <c r="G1463" s="2"/>
      <c r="H1463" s="2"/>
    </row>
    <row r="1464">
      <c r="A1464" s="1" t="s">
        <v>861</v>
      </c>
      <c r="B1464" s="1"/>
      <c r="C1464" s="1">
        <v>0.0</v>
      </c>
      <c r="D1464" s="2"/>
      <c r="E1464" s="2"/>
      <c r="F1464" s="2"/>
      <c r="G1464" s="2"/>
      <c r="H1464" s="2"/>
    </row>
    <row r="1465">
      <c r="A1465" s="1" t="s">
        <v>862</v>
      </c>
      <c r="B1465" s="1"/>
      <c r="C1465" s="1">
        <v>0.0</v>
      </c>
      <c r="D1465" s="2"/>
      <c r="E1465" s="2"/>
      <c r="F1465" s="2"/>
      <c r="G1465" s="2"/>
      <c r="H1465" s="2"/>
    </row>
    <row r="1466">
      <c r="A1466" s="1" t="s">
        <v>863</v>
      </c>
      <c r="B1466" s="1"/>
      <c r="C1466" s="1">
        <v>0.0</v>
      </c>
      <c r="D1466" s="2"/>
      <c r="E1466" s="2"/>
      <c r="F1466" s="2"/>
      <c r="G1466" s="2"/>
      <c r="H1466" s="2"/>
    </row>
    <row r="1467">
      <c r="A1467" s="1" t="s">
        <v>794</v>
      </c>
      <c r="B1467" s="1"/>
      <c r="C1467" s="1">
        <v>60.0</v>
      </c>
      <c r="D1467" s="2"/>
      <c r="E1467" s="2"/>
      <c r="F1467" s="2"/>
      <c r="G1467" s="2"/>
      <c r="H1467" s="2"/>
    </row>
    <row r="1468">
      <c r="A1468" s="1" t="s">
        <v>795</v>
      </c>
      <c r="B1468" s="1"/>
      <c r="C1468" s="1">
        <v>0.0</v>
      </c>
      <c r="D1468" s="2"/>
      <c r="E1468" s="2"/>
      <c r="F1468" s="2"/>
      <c r="G1468" s="2"/>
      <c r="H1468" s="2"/>
    </row>
    <row r="1469">
      <c r="A1469" s="1" t="s">
        <v>796</v>
      </c>
      <c r="B1469" s="1"/>
      <c r="C1469" s="1">
        <v>90.0</v>
      </c>
      <c r="D1469" s="2"/>
      <c r="E1469" s="2"/>
      <c r="F1469" s="2"/>
      <c r="G1469" s="2"/>
      <c r="H1469" s="2"/>
    </row>
    <row r="1470">
      <c r="A1470" s="1" t="s">
        <v>797</v>
      </c>
      <c r="B1470" s="1"/>
      <c r="C1470" s="1">
        <v>0.0</v>
      </c>
      <c r="D1470" s="2"/>
      <c r="E1470" s="2"/>
      <c r="F1470" s="2"/>
      <c r="G1470" s="2"/>
      <c r="H1470" s="2"/>
    </row>
    <row r="1471">
      <c r="A1471" s="1" t="s">
        <v>798</v>
      </c>
      <c r="B1471" s="1"/>
      <c r="C1471" s="1">
        <v>0.0</v>
      </c>
      <c r="D1471" s="2"/>
      <c r="E1471" s="2"/>
      <c r="F1471" s="2"/>
      <c r="G1471" s="2"/>
      <c r="H1471" s="2"/>
    </row>
    <row r="1472">
      <c r="A1472" s="1" t="s">
        <v>799</v>
      </c>
      <c r="B1472" s="1"/>
      <c r="C1472" s="1">
        <v>0.0</v>
      </c>
      <c r="D1472" s="2"/>
      <c r="E1472" s="2"/>
      <c r="F1472" s="2"/>
      <c r="G1472" s="2"/>
      <c r="H1472" s="2"/>
    </row>
    <row r="1473">
      <c r="A1473" s="1" t="s">
        <v>800</v>
      </c>
      <c r="B1473" s="1"/>
      <c r="C1473" s="1">
        <v>0.0</v>
      </c>
      <c r="D1473" s="2"/>
      <c r="E1473" s="2"/>
      <c r="F1473" s="2"/>
      <c r="G1473" s="2"/>
      <c r="H1473" s="2"/>
    </row>
    <row r="1474">
      <c r="A1474" s="1" t="s">
        <v>801</v>
      </c>
      <c r="B1474" s="1"/>
      <c r="C1474" s="1">
        <v>0.0</v>
      </c>
      <c r="D1474" s="2"/>
      <c r="E1474" s="2"/>
      <c r="F1474" s="2"/>
      <c r="G1474" s="2"/>
      <c r="H1474" s="2"/>
    </row>
    <row r="1475">
      <c r="A1475" s="1" t="s">
        <v>802</v>
      </c>
      <c r="B1475" s="1"/>
      <c r="C1475" s="1">
        <v>19.0</v>
      </c>
      <c r="D1475" s="2"/>
      <c r="E1475" s="2"/>
      <c r="F1475" s="2"/>
      <c r="G1475" s="2"/>
      <c r="H1475" s="2"/>
    </row>
    <row r="1476">
      <c r="A1476" s="1" t="s">
        <v>803</v>
      </c>
      <c r="B1476" s="1"/>
      <c r="C1476" s="1">
        <v>0.0</v>
      </c>
      <c r="D1476" s="2"/>
      <c r="E1476" s="2"/>
      <c r="F1476" s="2"/>
      <c r="G1476" s="2"/>
      <c r="H1476" s="2"/>
    </row>
    <row r="1477">
      <c r="A1477" s="1" t="s">
        <v>804</v>
      </c>
      <c r="B1477" s="1"/>
      <c r="C1477" s="1">
        <v>0.0</v>
      </c>
      <c r="D1477" s="2"/>
      <c r="E1477" s="2"/>
      <c r="F1477" s="2"/>
      <c r="G1477" s="2"/>
      <c r="H1477" s="2"/>
    </row>
    <row r="1478">
      <c r="A1478" s="1" t="s">
        <v>805</v>
      </c>
      <c r="B1478" s="1"/>
      <c r="C1478" s="1">
        <v>42.0</v>
      </c>
      <c r="D1478" s="2"/>
      <c r="E1478" s="2"/>
      <c r="F1478" s="2"/>
      <c r="G1478" s="2"/>
      <c r="H1478" s="2"/>
    </row>
    <row r="1479">
      <c r="A1479" s="1" t="s">
        <v>806</v>
      </c>
      <c r="B1479" s="1"/>
      <c r="C1479" s="1">
        <v>57.0</v>
      </c>
      <c r="D1479" s="2"/>
      <c r="E1479" s="2"/>
      <c r="F1479" s="2"/>
      <c r="G1479" s="2"/>
      <c r="H1479" s="2"/>
    </row>
    <row r="1480">
      <c r="A1480" s="1" t="s">
        <v>807</v>
      </c>
      <c r="B1480" s="1"/>
      <c r="C1480" s="1">
        <v>17.0</v>
      </c>
      <c r="D1480" s="2"/>
      <c r="E1480" s="2"/>
      <c r="F1480" s="2"/>
      <c r="G1480" s="2"/>
      <c r="H1480" s="2"/>
    </row>
    <row r="1481">
      <c r="A1481" s="1" t="s">
        <v>808</v>
      </c>
      <c r="B1481" s="1"/>
      <c r="C1481" s="1">
        <v>10.0</v>
      </c>
      <c r="D1481" s="2"/>
      <c r="E1481" s="2"/>
      <c r="F1481" s="2"/>
      <c r="G1481" s="2"/>
      <c r="H1481" s="2"/>
    </row>
    <row r="1482">
      <c r="A1482" s="1" t="s">
        <v>809</v>
      </c>
      <c r="B1482" s="1"/>
      <c r="C1482" s="1">
        <v>0.0</v>
      </c>
      <c r="D1482" s="2"/>
      <c r="E1482" s="2"/>
      <c r="F1482" s="2"/>
      <c r="G1482" s="2"/>
      <c r="H1482" s="2"/>
    </row>
    <row r="1483">
      <c r="A1483" s="1" t="s">
        <v>810</v>
      </c>
      <c r="B1483" s="1"/>
      <c r="C1483" s="1">
        <v>8.0</v>
      </c>
      <c r="D1483" s="2"/>
      <c r="E1483" s="2"/>
      <c r="F1483" s="2"/>
      <c r="G1483" s="2"/>
      <c r="H1483" s="2"/>
    </row>
    <row r="1484">
      <c r="A1484" s="1" t="s">
        <v>811</v>
      </c>
      <c r="B1484" s="1"/>
      <c r="C1484" s="1">
        <v>8.0</v>
      </c>
      <c r="D1484" s="2"/>
      <c r="E1484" s="2"/>
      <c r="F1484" s="2"/>
      <c r="G1484" s="2"/>
      <c r="H1484" s="2"/>
    </row>
    <row r="1485">
      <c r="A1485" s="1" t="s">
        <v>812</v>
      </c>
      <c r="B1485" s="1"/>
      <c r="C1485" s="1">
        <v>11.0</v>
      </c>
      <c r="D1485" s="2"/>
      <c r="E1485" s="2"/>
      <c r="F1485" s="2"/>
      <c r="G1485" s="2"/>
      <c r="H1485" s="2"/>
    </row>
    <row r="1486">
      <c r="A1486" s="1" t="s">
        <v>813</v>
      </c>
      <c r="B1486" s="1"/>
      <c r="C1486" s="1">
        <v>24.0</v>
      </c>
      <c r="D1486" s="2"/>
      <c r="E1486" s="2"/>
      <c r="F1486" s="2"/>
      <c r="G1486" s="2"/>
      <c r="H1486" s="2"/>
    </row>
    <row r="1487">
      <c r="A1487" s="1" t="s">
        <v>814</v>
      </c>
      <c r="B1487" s="1"/>
      <c r="C1487" s="1">
        <v>0.0</v>
      </c>
      <c r="D1487" s="2"/>
      <c r="E1487" s="2"/>
      <c r="F1487" s="2"/>
      <c r="G1487" s="2"/>
      <c r="H1487" s="2"/>
    </row>
    <row r="1488">
      <c r="A1488" s="1" t="s">
        <v>815</v>
      </c>
      <c r="B1488" s="1"/>
      <c r="C1488" s="1">
        <v>0.0</v>
      </c>
      <c r="D1488" s="2"/>
      <c r="E1488" s="2"/>
      <c r="F1488" s="2"/>
      <c r="G1488" s="2"/>
      <c r="H1488" s="2"/>
    </row>
    <row r="1489">
      <c r="A1489" s="1" t="s">
        <v>816</v>
      </c>
      <c r="B1489" s="1"/>
      <c r="C1489" s="1">
        <v>0.0</v>
      </c>
      <c r="D1489" s="2"/>
      <c r="E1489" s="2"/>
      <c r="F1489" s="2"/>
      <c r="G1489" s="2"/>
      <c r="H1489" s="2"/>
    </row>
    <row r="1490">
      <c r="A1490" s="1" t="s">
        <v>817</v>
      </c>
      <c r="B1490" s="1"/>
      <c r="C1490" s="1" t="s">
        <v>818</v>
      </c>
      <c r="D1490" s="1">
        <v>8.0</v>
      </c>
      <c r="E1490" s="2"/>
      <c r="F1490" s="2"/>
      <c r="G1490" s="2"/>
      <c r="H1490" s="2"/>
    </row>
    <row r="1491">
      <c r="A1491" s="1" t="s">
        <v>819</v>
      </c>
      <c r="B1491" s="1"/>
      <c r="C1491" s="1">
        <v>0.0</v>
      </c>
      <c r="D1491" s="2"/>
      <c r="E1491" s="2"/>
      <c r="F1491" s="2"/>
      <c r="G1491" s="2"/>
      <c r="H1491" s="2"/>
    </row>
    <row r="1492">
      <c r="A1492" s="1" t="s">
        <v>820</v>
      </c>
      <c r="B1492" s="1"/>
      <c r="C1492" s="1">
        <v>50.0</v>
      </c>
      <c r="D1492" s="2"/>
      <c r="E1492" s="2"/>
      <c r="F1492" s="2"/>
      <c r="G1492" s="2"/>
      <c r="H1492" s="2"/>
    </row>
    <row r="1493">
      <c r="A1493" s="1" t="s">
        <v>821</v>
      </c>
      <c r="B1493" s="1"/>
      <c r="C1493" s="1">
        <v>29.0</v>
      </c>
      <c r="D1493" s="2"/>
      <c r="E1493" s="2"/>
      <c r="F1493" s="2"/>
      <c r="G1493" s="2"/>
      <c r="H1493" s="2"/>
    </row>
    <row r="1494">
      <c r="A1494" s="1" t="s">
        <v>822</v>
      </c>
      <c r="B1494" s="1"/>
      <c r="C1494" s="1">
        <v>29.0</v>
      </c>
      <c r="D1494" s="2"/>
      <c r="E1494" s="2"/>
      <c r="F1494" s="2"/>
      <c r="G1494" s="2"/>
      <c r="H1494" s="2"/>
    </row>
    <row r="1495">
      <c r="A1495" s="1" t="s">
        <v>823</v>
      </c>
      <c r="B1495" s="1"/>
      <c r="C1495" s="1">
        <v>46.0</v>
      </c>
      <c r="D1495" s="2"/>
      <c r="E1495" s="2"/>
      <c r="F1495" s="2"/>
      <c r="G1495" s="2"/>
      <c r="H1495" s="2"/>
    </row>
    <row r="1496">
      <c r="A1496" s="1" t="s">
        <v>824</v>
      </c>
      <c r="B1496" s="1"/>
      <c r="C1496" s="1">
        <v>64.0</v>
      </c>
      <c r="D1496" s="2"/>
      <c r="E1496" s="2"/>
      <c r="F1496" s="2"/>
      <c r="G1496" s="2"/>
      <c r="H1496" s="2"/>
    </row>
    <row r="1497">
      <c r="A1497" s="1" t="s">
        <v>825</v>
      </c>
      <c r="B1497" s="1"/>
      <c r="C1497" s="1">
        <v>0.0</v>
      </c>
      <c r="D1497" s="2"/>
      <c r="E1497" s="2"/>
      <c r="F1497" s="2"/>
      <c r="G1497" s="2"/>
      <c r="H1497" s="2"/>
    </row>
    <row r="1498">
      <c r="A1498" s="1" t="s">
        <v>826</v>
      </c>
      <c r="B1498" s="1"/>
      <c r="C1498" s="1">
        <v>0.0</v>
      </c>
      <c r="D1498" s="2"/>
      <c r="E1498" s="2"/>
      <c r="F1498" s="2"/>
      <c r="G1498" s="2"/>
      <c r="H1498" s="2"/>
    </row>
    <row r="1499">
      <c r="A1499" s="1" t="s">
        <v>827</v>
      </c>
      <c r="B1499" s="1"/>
      <c r="C1499" s="1">
        <v>0.0</v>
      </c>
      <c r="D1499" s="2"/>
      <c r="E1499" s="2"/>
      <c r="F1499" s="2"/>
      <c r="G1499" s="2"/>
      <c r="H1499" s="2"/>
    </row>
    <row r="1500">
      <c r="A1500" s="1" t="s">
        <v>828</v>
      </c>
      <c r="B1500" s="1"/>
      <c r="C1500" s="1">
        <v>0.0</v>
      </c>
      <c r="D1500" s="2"/>
      <c r="E1500" s="2"/>
      <c r="F1500" s="2"/>
      <c r="G1500" s="2"/>
      <c r="H1500" s="2"/>
    </row>
    <row r="1501">
      <c r="A1501" s="1" t="s">
        <v>829</v>
      </c>
      <c r="B1501" s="1"/>
      <c r="C1501" s="1">
        <v>0.0</v>
      </c>
      <c r="D1501" s="2"/>
      <c r="E1501" s="2"/>
      <c r="F1501" s="2"/>
      <c r="G1501" s="2"/>
      <c r="H1501" s="2"/>
    </row>
    <row r="1502">
      <c r="A1502" s="1" t="s">
        <v>830</v>
      </c>
      <c r="B1502" s="1"/>
      <c r="C1502" s="1">
        <v>0.0</v>
      </c>
      <c r="D1502" s="2"/>
      <c r="E1502" s="2"/>
      <c r="F1502" s="2"/>
      <c r="G1502" s="2"/>
      <c r="H1502" s="2"/>
    </row>
    <row r="1503">
      <c r="A1503" s="1" t="s">
        <v>831</v>
      </c>
      <c r="B1503" s="1"/>
      <c r="C1503" s="1">
        <v>0.0</v>
      </c>
      <c r="D1503" s="2"/>
      <c r="E1503" s="2"/>
      <c r="F1503" s="2"/>
      <c r="G1503" s="2"/>
      <c r="H1503" s="2"/>
    </row>
    <row r="1504">
      <c r="A1504" s="1" t="s">
        <v>832</v>
      </c>
      <c r="B1504" s="1"/>
      <c r="C1504" s="1">
        <v>0.0</v>
      </c>
      <c r="D1504" s="2"/>
      <c r="E1504" s="2"/>
      <c r="F1504" s="2"/>
      <c r="G1504" s="2"/>
      <c r="H1504" s="2"/>
    </row>
    <row r="1505">
      <c r="A1505" s="1" t="s">
        <v>833</v>
      </c>
      <c r="B1505" s="1"/>
      <c r="C1505" s="1">
        <v>0.0</v>
      </c>
      <c r="D1505" s="2"/>
      <c r="E1505" s="2"/>
      <c r="F1505" s="2"/>
      <c r="G1505" s="2"/>
      <c r="H1505" s="2"/>
    </row>
    <row r="1506">
      <c r="A1506" s="1" t="s">
        <v>834</v>
      </c>
      <c r="B1506" s="1"/>
      <c r="C1506" s="1">
        <v>18.0</v>
      </c>
      <c r="D1506" s="2"/>
      <c r="E1506" s="2"/>
      <c r="F1506" s="2"/>
      <c r="G1506" s="2"/>
      <c r="H1506" s="2"/>
    </row>
    <row r="1507">
      <c r="A1507" s="1" t="s">
        <v>835</v>
      </c>
      <c r="B1507" s="1"/>
      <c r="C1507" s="1">
        <v>0.0</v>
      </c>
      <c r="D1507" s="2"/>
      <c r="E1507" s="2"/>
      <c r="F1507" s="2"/>
      <c r="G1507" s="2"/>
      <c r="H1507" s="2"/>
    </row>
    <row r="1508">
      <c r="A1508" s="1" t="s">
        <v>836</v>
      </c>
      <c r="B1508" s="1"/>
      <c r="C1508" s="1">
        <v>0.0</v>
      </c>
      <c r="D1508" s="2"/>
      <c r="E1508" s="2"/>
      <c r="F1508" s="2"/>
      <c r="G1508" s="2"/>
      <c r="H1508" s="2"/>
    </row>
    <row r="1509">
      <c r="A1509" s="1" t="s">
        <v>837</v>
      </c>
      <c r="B1509" s="1"/>
      <c r="C1509" s="1">
        <v>44.0</v>
      </c>
      <c r="D1509" s="2"/>
      <c r="E1509" s="2"/>
      <c r="F1509" s="2"/>
      <c r="G1509" s="2"/>
      <c r="H1509" s="2"/>
    </row>
    <row r="1510">
      <c r="A1510" s="1" t="s">
        <v>838</v>
      </c>
      <c r="B1510" s="1"/>
      <c r="C1510" s="1">
        <v>0.0</v>
      </c>
      <c r="D1510" s="2"/>
      <c r="E1510" s="2"/>
      <c r="F1510" s="2"/>
      <c r="G1510" s="2"/>
      <c r="H1510" s="2"/>
    </row>
    <row r="1511">
      <c r="A1511" s="1" t="s">
        <v>839</v>
      </c>
      <c r="B1511" s="1"/>
      <c r="C1511" s="1">
        <v>83.0</v>
      </c>
      <c r="D1511" s="2"/>
      <c r="E1511" s="2"/>
      <c r="F1511" s="2"/>
      <c r="G1511" s="2"/>
      <c r="H1511" s="2"/>
    </row>
    <row r="1512">
      <c r="A1512" s="1" t="s">
        <v>840</v>
      </c>
      <c r="B1512" s="1"/>
      <c r="C1512" s="1">
        <v>0.0</v>
      </c>
      <c r="D1512" s="2"/>
      <c r="E1512" s="2"/>
      <c r="F1512" s="2"/>
      <c r="G1512" s="2"/>
      <c r="H1512" s="2"/>
    </row>
    <row r="1513">
      <c r="A1513" s="1" t="s">
        <v>841</v>
      </c>
      <c r="B1513" s="1"/>
      <c r="C1513" s="1">
        <v>0.0</v>
      </c>
      <c r="D1513" s="2"/>
      <c r="E1513" s="2"/>
      <c r="F1513" s="2"/>
      <c r="G1513" s="2"/>
      <c r="H1513" s="2"/>
    </row>
    <row r="1514">
      <c r="A1514" s="1" t="s">
        <v>842</v>
      </c>
      <c r="B1514" s="1"/>
      <c r="C1514" s="1">
        <v>86.0</v>
      </c>
      <c r="D1514" s="2"/>
      <c r="E1514" s="2"/>
      <c r="F1514" s="2"/>
      <c r="G1514" s="2"/>
      <c r="H1514" s="2"/>
    </row>
    <row r="1515">
      <c r="A1515" s="1" t="s">
        <v>843</v>
      </c>
      <c r="B1515" s="1"/>
      <c r="C1515" s="1">
        <v>0.0</v>
      </c>
      <c r="D1515" s="2"/>
      <c r="E1515" s="2"/>
      <c r="F1515" s="2"/>
      <c r="G1515" s="2"/>
      <c r="H1515" s="2"/>
    </row>
    <row r="1516">
      <c r="A1516" s="1" t="s">
        <v>844</v>
      </c>
      <c r="B1516" s="1"/>
      <c r="C1516" s="1">
        <v>27.0</v>
      </c>
      <c r="D1516" s="2"/>
      <c r="E1516" s="2"/>
      <c r="F1516" s="2"/>
      <c r="G1516" s="2"/>
      <c r="H1516" s="2"/>
    </row>
    <row r="1517">
      <c r="A1517" s="1" t="s">
        <v>845</v>
      </c>
      <c r="B1517" s="1"/>
      <c r="C1517" s="1">
        <v>0.0</v>
      </c>
      <c r="D1517" s="2"/>
      <c r="E1517" s="2"/>
      <c r="F1517" s="2"/>
      <c r="G1517" s="2"/>
      <c r="H1517" s="2"/>
    </row>
    <row r="1518">
      <c r="A1518" s="1" t="s">
        <v>846</v>
      </c>
      <c r="B1518" s="1"/>
      <c r="C1518" s="1">
        <v>0.0</v>
      </c>
      <c r="D1518" s="2"/>
      <c r="E1518" s="2"/>
      <c r="F1518" s="2"/>
      <c r="G1518" s="2"/>
      <c r="H1518" s="2"/>
    </row>
    <row r="1519">
      <c r="A1519" s="1" t="s">
        <v>847</v>
      </c>
      <c r="B1519" s="1"/>
      <c r="C1519" s="1">
        <v>70.0</v>
      </c>
      <c r="D1519" s="2"/>
      <c r="E1519" s="2"/>
      <c r="F1519" s="2"/>
      <c r="G1519" s="2"/>
      <c r="H1519" s="2"/>
    </row>
    <row r="1520">
      <c r="A1520" s="1" t="s">
        <v>848</v>
      </c>
      <c r="B1520" s="1"/>
      <c r="C1520" s="1">
        <v>0.0</v>
      </c>
      <c r="D1520" s="2"/>
      <c r="E1520" s="2"/>
      <c r="F1520" s="2"/>
      <c r="G1520" s="2"/>
      <c r="H1520" s="2"/>
    </row>
    <row r="1521">
      <c r="A1521" s="1" t="s">
        <v>849</v>
      </c>
      <c r="B1521" s="1"/>
      <c r="C1521" s="1">
        <v>0.0</v>
      </c>
      <c r="D1521" s="2"/>
      <c r="E1521" s="2"/>
      <c r="F1521" s="2"/>
      <c r="G1521" s="2"/>
      <c r="H1521" s="2"/>
    </row>
    <row r="1522">
      <c r="A1522" s="1" t="s">
        <v>850</v>
      </c>
      <c r="B1522" s="1"/>
      <c r="C1522" s="1">
        <v>0.0</v>
      </c>
      <c r="D1522" s="2"/>
      <c r="E1522" s="2"/>
      <c r="F1522" s="2"/>
      <c r="G1522" s="2"/>
      <c r="H1522" s="2"/>
    </row>
    <row r="1523">
      <c r="A1523" s="1" t="s">
        <v>851</v>
      </c>
      <c r="B1523" s="1"/>
      <c r="C1523" s="1">
        <v>0.0</v>
      </c>
      <c r="D1523" s="2"/>
      <c r="E1523" s="2"/>
      <c r="F1523" s="2"/>
      <c r="G1523" s="2"/>
      <c r="H1523" s="2"/>
    </row>
    <row r="1524">
      <c r="A1524" s="1" t="s">
        <v>852</v>
      </c>
      <c r="B1524" s="1"/>
      <c r="C1524" s="1">
        <v>39.0</v>
      </c>
      <c r="D1524" s="2"/>
      <c r="E1524" s="2"/>
      <c r="F1524" s="2"/>
      <c r="G1524" s="2"/>
      <c r="H1524" s="2"/>
    </row>
    <row r="1525">
      <c r="A1525" s="1" t="s">
        <v>853</v>
      </c>
      <c r="B1525" s="1"/>
      <c r="C1525" s="1">
        <v>0.0</v>
      </c>
      <c r="D1525" s="2"/>
      <c r="E1525" s="2"/>
      <c r="F1525" s="2"/>
      <c r="G1525" s="2"/>
      <c r="H1525" s="2"/>
    </row>
    <row r="1526">
      <c r="A1526" s="1" t="s">
        <v>854</v>
      </c>
      <c r="B1526" s="1"/>
      <c r="C1526" s="1">
        <v>71.0</v>
      </c>
      <c r="D1526" s="2"/>
      <c r="E1526" s="2"/>
      <c r="F1526" s="2"/>
      <c r="G1526" s="2"/>
      <c r="H1526" s="2"/>
    </row>
    <row r="1527">
      <c r="A1527" s="1" t="s">
        <v>855</v>
      </c>
      <c r="B1527" s="1"/>
      <c r="C1527" s="1">
        <v>0.0</v>
      </c>
      <c r="D1527" s="2"/>
      <c r="E1527" s="2"/>
      <c r="F1527" s="2"/>
      <c r="G1527" s="2"/>
      <c r="H1527" s="2"/>
    </row>
    <row r="1528">
      <c r="A1528" s="1" t="s">
        <v>856</v>
      </c>
      <c r="B1528" s="1"/>
      <c r="C1528" s="1">
        <v>0.0</v>
      </c>
      <c r="D1528" s="2"/>
      <c r="E1528" s="2"/>
      <c r="F1528" s="2"/>
      <c r="G1528" s="2"/>
      <c r="H1528" s="2"/>
    </row>
    <row r="1529">
      <c r="A1529" s="1" t="s">
        <v>857</v>
      </c>
      <c r="B1529" s="1"/>
      <c r="C1529" s="1">
        <v>0.0</v>
      </c>
      <c r="D1529" s="2"/>
      <c r="E1529" s="2"/>
      <c r="F1529" s="2"/>
      <c r="G1529" s="2"/>
      <c r="H1529" s="2"/>
    </row>
    <row r="1530">
      <c r="A1530" s="1" t="s">
        <v>858</v>
      </c>
      <c r="B1530" s="1"/>
      <c r="C1530" s="1">
        <v>68.0</v>
      </c>
      <c r="D1530" s="2"/>
      <c r="E1530" s="2"/>
      <c r="F1530" s="2"/>
      <c r="G1530" s="2"/>
      <c r="H1530" s="2"/>
    </row>
    <row r="1531">
      <c r="A1531" s="1" t="s">
        <v>859</v>
      </c>
      <c r="B1531" s="1"/>
      <c r="C1531" s="1">
        <v>81.0</v>
      </c>
      <c r="D1531" s="2"/>
      <c r="E1531" s="2"/>
      <c r="F1531" s="2"/>
      <c r="G1531" s="2"/>
      <c r="H1531" s="2"/>
    </row>
    <row r="1532">
      <c r="A1532" s="1" t="s">
        <v>860</v>
      </c>
      <c r="B1532" s="1"/>
      <c r="C1532" s="1">
        <v>0.0</v>
      </c>
      <c r="D1532" s="2"/>
      <c r="E1532" s="2"/>
      <c r="F1532" s="2"/>
      <c r="G1532" s="2"/>
      <c r="H1532" s="2"/>
    </row>
    <row r="1533">
      <c r="A1533" s="1" t="s">
        <v>861</v>
      </c>
      <c r="B1533" s="1"/>
      <c r="C1533" s="1">
        <v>0.0</v>
      </c>
      <c r="D1533" s="2"/>
      <c r="E1533" s="2"/>
      <c r="F1533" s="2"/>
      <c r="G1533" s="2"/>
      <c r="H1533" s="2"/>
    </row>
    <row r="1534">
      <c r="A1534" s="1" t="s">
        <v>862</v>
      </c>
      <c r="B1534" s="1"/>
      <c r="C1534" s="1">
        <v>0.0</v>
      </c>
      <c r="D1534" s="2"/>
      <c r="E1534" s="2"/>
      <c r="F1534" s="2"/>
      <c r="G1534" s="2"/>
      <c r="H1534" s="2"/>
    </row>
    <row r="1535">
      <c r="A1535" s="1" t="s">
        <v>863</v>
      </c>
      <c r="B1535" s="1"/>
      <c r="C1535" s="1">
        <v>0.0</v>
      </c>
      <c r="D1535" s="2"/>
      <c r="E1535" s="2"/>
      <c r="F1535" s="2"/>
      <c r="G1535" s="2"/>
      <c r="H1535" s="2"/>
    </row>
    <row r="1536">
      <c r="A1536" s="1" t="s">
        <v>864</v>
      </c>
      <c r="B1536" s="1"/>
      <c r="C1536" s="1">
        <v>24.0</v>
      </c>
      <c r="D1536" s="2"/>
      <c r="E1536" s="2"/>
      <c r="F1536" s="2"/>
      <c r="G1536" s="2"/>
      <c r="H1536" s="2"/>
    </row>
    <row r="1537">
      <c r="A1537" s="1" t="s">
        <v>865</v>
      </c>
      <c r="B1537" s="1"/>
      <c r="C1537" s="1">
        <v>0.0</v>
      </c>
      <c r="D1537" s="2"/>
      <c r="E1537" s="2"/>
      <c r="F1537" s="2"/>
      <c r="G1537" s="2"/>
      <c r="H1537" s="2"/>
    </row>
    <row r="1538">
      <c r="A1538" s="1" t="s">
        <v>866</v>
      </c>
      <c r="B1538" s="1"/>
      <c r="C1538" s="1">
        <v>0.0</v>
      </c>
      <c r="D1538" s="2"/>
      <c r="E1538" s="2"/>
      <c r="F1538" s="2"/>
      <c r="G1538" s="2"/>
      <c r="H1538" s="2"/>
    </row>
    <row r="1539">
      <c r="A1539" s="1" t="s">
        <v>867</v>
      </c>
      <c r="B1539" s="1"/>
      <c r="C1539" s="1">
        <v>0.0</v>
      </c>
      <c r="D1539" s="2"/>
      <c r="E1539" s="2"/>
      <c r="F1539" s="2"/>
      <c r="G1539" s="2"/>
      <c r="H1539" s="2"/>
    </row>
    <row r="1540">
      <c r="A1540" s="1" t="s">
        <v>868</v>
      </c>
      <c r="B1540" s="1"/>
      <c r="C1540" s="1">
        <v>0.0</v>
      </c>
      <c r="D1540" s="2"/>
      <c r="E1540" s="2"/>
      <c r="F1540" s="2"/>
      <c r="G1540" s="2"/>
      <c r="H1540" s="2"/>
    </row>
    <row r="1541">
      <c r="A1541" s="1" t="s">
        <v>869</v>
      </c>
      <c r="B1541" s="1"/>
      <c r="C1541" s="1">
        <v>70.0</v>
      </c>
      <c r="D1541" s="2"/>
      <c r="E1541" s="2"/>
      <c r="F1541" s="2"/>
      <c r="G1541" s="2"/>
      <c r="H1541" s="2"/>
    </row>
    <row r="1542">
      <c r="A1542" s="1" t="s">
        <v>870</v>
      </c>
      <c r="B1542" s="1"/>
      <c r="C1542" s="1">
        <v>0.0</v>
      </c>
      <c r="D1542" s="2"/>
      <c r="E1542" s="2"/>
      <c r="F1542" s="2"/>
      <c r="G1542" s="2"/>
      <c r="H1542" s="2"/>
    </row>
    <row r="1543">
      <c r="A1543" s="1" t="s">
        <v>871</v>
      </c>
      <c r="B1543" s="1"/>
      <c r="C1543" s="1">
        <v>0.0</v>
      </c>
      <c r="D1543" s="2"/>
      <c r="E1543" s="2"/>
      <c r="F1543" s="2"/>
      <c r="G1543" s="2"/>
      <c r="H1543" s="2"/>
    </row>
    <row r="1544">
      <c r="A1544" s="1" t="s">
        <v>872</v>
      </c>
      <c r="B1544" s="1"/>
      <c r="C1544" s="1">
        <v>0.0</v>
      </c>
      <c r="D1544" s="2"/>
      <c r="E1544" s="2"/>
      <c r="F1544" s="2"/>
      <c r="G1544" s="2"/>
      <c r="H1544" s="2"/>
    </row>
    <row r="1545">
      <c r="A1545" s="1" t="s">
        <v>873</v>
      </c>
      <c r="B1545" s="1"/>
      <c r="C1545" s="1">
        <v>33.0</v>
      </c>
      <c r="D1545" s="2"/>
      <c r="E1545" s="2"/>
      <c r="F1545" s="2"/>
      <c r="G1545" s="2"/>
      <c r="H1545" s="2"/>
    </row>
    <row r="1546">
      <c r="A1546" s="1" t="s">
        <v>874</v>
      </c>
      <c r="B1546" s="1"/>
      <c r="C1546" s="1">
        <v>26.0</v>
      </c>
      <c r="D1546" s="2"/>
      <c r="E1546" s="2"/>
      <c r="F1546" s="2"/>
      <c r="G1546" s="2"/>
      <c r="H1546" s="2"/>
    </row>
    <row r="1547">
      <c r="A1547" s="1" t="s">
        <v>875</v>
      </c>
      <c r="B1547" s="1"/>
      <c r="C1547" s="1">
        <v>35.0</v>
      </c>
      <c r="D1547" s="2"/>
      <c r="E1547" s="2"/>
      <c r="F1547" s="2"/>
      <c r="G1547" s="2"/>
      <c r="H1547" s="2"/>
    </row>
    <row r="1548">
      <c r="A1548" s="1" t="s">
        <v>876</v>
      </c>
      <c r="B1548" s="1"/>
      <c r="C1548" s="1">
        <v>86.0</v>
      </c>
      <c r="D1548" s="2"/>
      <c r="E1548" s="2"/>
      <c r="F1548" s="2"/>
      <c r="G1548" s="2"/>
      <c r="H1548" s="2"/>
    </row>
    <row r="1549">
      <c r="A1549" s="1" t="s">
        <v>877</v>
      </c>
      <c r="B1549" s="1"/>
      <c r="C1549" s="1">
        <v>0.0</v>
      </c>
      <c r="D1549" s="2"/>
      <c r="E1549" s="2"/>
      <c r="F1549" s="2"/>
      <c r="G1549" s="2"/>
      <c r="H1549" s="2"/>
    </row>
    <row r="1550">
      <c r="A1550" s="1" t="s">
        <v>878</v>
      </c>
      <c r="B1550" s="1"/>
      <c r="C1550" s="1">
        <v>0.0</v>
      </c>
      <c r="D1550" s="2"/>
      <c r="E1550" s="2"/>
      <c r="F1550" s="2"/>
      <c r="G1550" s="2"/>
      <c r="H1550" s="2"/>
    </row>
    <row r="1551">
      <c r="A1551" s="1" t="s">
        <v>879</v>
      </c>
      <c r="B1551" s="1"/>
      <c r="C1551" s="1">
        <v>0.0</v>
      </c>
      <c r="D1551" s="2"/>
      <c r="E1551" s="2"/>
      <c r="F1551" s="2"/>
      <c r="G1551" s="2"/>
      <c r="H1551" s="2"/>
    </row>
    <row r="1552">
      <c r="A1552" s="1" t="s">
        <v>880</v>
      </c>
      <c r="B1552" s="1"/>
      <c r="C1552" s="1">
        <v>0.0</v>
      </c>
      <c r="D1552" s="2"/>
      <c r="E1552" s="2"/>
      <c r="F1552" s="2"/>
      <c r="G1552" s="2"/>
      <c r="H1552" s="2"/>
    </row>
    <row r="1553">
      <c r="A1553" s="1" t="s">
        <v>881</v>
      </c>
      <c r="B1553" s="1"/>
      <c r="C1553" s="1">
        <v>0.0</v>
      </c>
      <c r="D1553" s="2"/>
      <c r="E1553" s="2"/>
      <c r="F1553" s="2"/>
      <c r="G1553" s="2"/>
      <c r="H1553" s="2"/>
    </row>
    <row r="1554">
      <c r="A1554" s="1" t="s">
        <v>882</v>
      </c>
      <c r="B1554" s="1"/>
      <c r="C1554" s="1">
        <v>63.0</v>
      </c>
      <c r="D1554" s="2"/>
      <c r="E1554" s="2"/>
      <c r="F1554" s="2"/>
      <c r="G1554" s="2"/>
      <c r="H1554" s="2"/>
    </row>
    <row r="1555">
      <c r="A1555" s="1" t="s">
        <v>883</v>
      </c>
      <c r="B1555" s="1"/>
      <c r="C1555" s="1">
        <v>59.0</v>
      </c>
      <c r="D1555" s="2"/>
      <c r="E1555" s="2"/>
      <c r="F1555" s="2"/>
      <c r="G1555" s="2"/>
      <c r="H1555" s="2"/>
    </row>
    <row r="1556">
      <c r="A1556" s="1" t="s">
        <v>884</v>
      </c>
      <c r="B1556" s="1"/>
      <c r="C1556" s="1">
        <v>20.0</v>
      </c>
      <c r="D1556" s="2"/>
      <c r="E1556" s="2"/>
      <c r="F1556" s="2"/>
      <c r="G1556" s="2"/>
      <c r="H1556" s="2"/>
    </row>
    <row r="1557">
      <c r="A1557" s="1" t="s">
        <v>885</v>
      </c>
      <c r="B1557" s="1"/>
      <c r="C1557" s="1">
        <v>32.0</v>
      </c>
      <c r="D1557" s="2"/>
      <c r="E1557" s="2"/>
      <c r="F1557" s="2"/>
      <c r="G1557" s="2"/>
      <c r="H1557" s="2"/>
    </row>
    <row r="1558">
      <c r="A1558" s="1" t="s">
        <v>886</v>
      </c>
      <c r="B1558" s="1"/>
      <c r="C1558" s="1">
        <v>0.0</v>
      </c>
      <c r="D1558" s="2"/>
      <c r="E1558" s="2"/>
      <c r="F1558" s="2"/>
      <c r="G1558" s="2"/>
      <c r="H1558" s="2"/>
    </row>
    <row r="1559">
      <c r="A1559" s="1" t="s">
        <v>887</v>
      </c>
      <c r="B1559" s="1"/>
      <c r="C1559" s="1">
        <v>39.0</v>
      </c>
      <c r="D1559" s="2"/>
      <c r="E1559" s="2"/>
      <c r="F1559" s="2"/>
      <c r="G1559" s="2"/>
      <c r="H1559" s="2"/>
    </row>
    <row r="1560">
      <c r="A1560" s="1" t="s">
        <v>888</v>
      </c>
      <c r="B1560" s="1"/>
      <c r="C1560" s="1">
        <v>50.0</v>
      </c>
      <c r="D1560" s="2"/>
      <c r="E1560" s="2"/>
      <c r="F1560" s="2"/>
      <c r="G1560" s="2"/>
      <c r="H1560" s="2"/>
    </row>
    <row r="1561">
      <c r="A1561" s="1" t="s">
        <v>889</v>
      </c>
      <c r="B1561" s="1"/>
      <c r="C1561" s="1">
        <v>80.0</v>
      </c>
      <c r="D1561" s="2"/>
      <c r="E1561" s="2"/>
      <c r="F1561" s="2"/>
      <c r="G1561" s="2"/>
      <c r="H1561" s="2"/>
    </row>
    <row r="1562">
      <c r="A1562" s="1" t="s">
        <v>890</v>
      </c>
      <c r="B1562" s="1"/>
      <c r="C1562" s="1">
        <v>81.0</v>
      </c>
      <c r="D1562" s="2"/>
      <c r="E1562" s="2"/>
      <c r="F1562" s="2"/>
      <c r="G1562" s="2"/>
      <c r="H1562" s="2"/>
    </row>
    <row r="1563">
      <c r="A1563" s="1" t="s">
        <v>891</v>
      </c>
      <c r="B1563" s="1"/>
      <c r="C1563" s="1">
        <v>14.0</v>
      </c>
      <c r="D1563" s="2"/>
      <c r="E1563" s="2"/>
      <c r="F1563" s="2"/>
      <c r="G1563" s="2"/>
      <c r="H1563" s="2"/>
    </row>
    <row r="1564">
      <c r="A1564" s="1" t="s">
        <v>892</v>
      </c>
      <c r="B1564" s="1"/>
      <c r="C1564" s="1">
        <v>0.0</v>
      </c>
      <c r="D1564" s="2"/>
      <c r="E1564" s="2"/>
      <c r="F1564" s="2"/>
      <c r="G1564" s="2"/>
      <c r="H1564" s="2"/>
    </row>
    <row r="1565">
      <c r="A1565" s="1" t="s">
        <v>893</v>
      </c>
      <c r="B1565" s="1"/>
      <c r="C1565" s="1">
        <v>36.0</v>
      </c>
      <c r="D1565" s="2"/>
      <c r="E1565" s="2"/>
      <c r="F1565" s="2"/>
      <c r="G1565" s="2"/>
      <c r="H1565" s="2"/>
    </row>
    <row r="1566">
      <c r="A1566" s="1" t="s">
        <v>894</v>
      </c>
      <c r="B1566" s="1"/>
      <c r="C1566" s="1">
        <v>6.0</v>
      </c>
      <c r="D1566" s="2"/>
      <c r="E1566" s="2"/>
      <c r="F1566" s="2"/>
      <c r="G1566" s="2"/>
      <c r="H1566" s="2"/>
    </row>
    <row r="1567">
      <c r="A1567" s="1" t="s">
        <v>895</v>
      </c>
      <c r="B1567" s="1"/>
      <c r="C1567" s="1">
        <v>1.0</v>
      </c>
      <c r="D1567" s="2"/>
      <c r="E1567" s="2"/>
      <c r="F1567" s="2"/>
      <c r="G1567" s="2"/>
      <c r="H1567" s="2"/>
    </row>
    <row r="1568">
      <c r="A1568" s="1" t="s">
        <v>896</v>
      </c>
      <c r="B1568" s="1"/>
      <c r="C1568" s="1">
        <v>36.0</v>
      </c>
      <c r="D1568" s="2"/>
      <c r="E1568" s="2"/>
      <c r="F1568" s="2"/>
      <c r="G1568" s="2"/>
      <c r="H1568" s="2"/>
    </row>
    <row r="1569">
      <c r="A1569" s="1" t="s">
        <v>897</v>
      </c>
      <c r="B1569" s="1"/>
      <c r="C1569" s="1">
        <v>0.0</v>
      </c>
      <c r="D1569" s="2"/>
      <c r="E1569" s="2"/>
      <c r="F1569" s="2"/>
      <c r="G1569" s="2"/>
      <c r="H1569" s="2"/>
    </row>
    <row r="1570">
      <c r="A1570" s="1" t="s">
        <v>898</v>
      </c>
      <c r="B1570" s="1"/>
      <c r="C1570" s="1">
        <v>86.0</v>
      </c>
      <c r="D1570" s="2"/>
      <c r="E1570" s="2"/>
      <c r="F1570" s="2"/>
      <c r="G1570" s="2"/>
      <c r="H1570" s="2"/>
    </row>
    <row r="1571">
      <c r="A1571" s="1" t="s">
        <v>899</v>
      </c>
      <c r="B1571" s="1"/>
      <c r="C1571" s="1">
        <v>38.0</v>
      </c>
      <c r="D1571" s="2"/>
      <c r="E1571" s="2"/>
      <c r="F1571" s="2"/>
      <c r="G1571" s="2"/>
      <c r="H1571" s="2"/>
    </row>
    <row r="1572">
      <c r="A1572" s="1" t="s">
        <v>900</v>
      </c>
      <c r="B1572" s="1"/>
      <c r="C1572" s="1">
        <v>79.0</v>
      </c>
      <c r="D1572" s="2"/>
      <c r="E1572" s="2"/>
      <c r="F1572" s="2"/>
      <c r="G1572" s="2"/>
      <c r="H1572" s="2"/>
    </row>
    <row r="1573">
      <c r="A1573" s="1" t="s">
        <v>901</v>
      </c>
      <c r="B1573" s="1"/>
      <c r="C1573" s="1">
        <v>0.0</v>
      </c>
      <c r="D1573" s="2"/>
      <c r="E1573" s="2"/>
      <c r="F1573" s="2"/>
      <c r="G1573" s="2"/>
      <c r="H1573" s="2"/>
    </row>
    <row r="1574">
      <c r="A1574" s="1" t="s">
        <v>902</v>
      </c>
      <c r="B1574" s="1"/>
      <c r="C1574" s="1">
        <v>0.0</v>
      </c>
      <c r="D1574" s="2"/>
      <c r="E1574" s="2"/>
      <c r="F1574" s="2"/>
      <c r="G1574" s="2"/>
      <c r="H1574" s="2"/>
    </row>
    <row r="1575">
      <c r="A1575" s="1" t="s">
        <v>903</v>
      </c>
      <c r="B1575" s="1"/>
      <c r="C1575" s="1">
        <v>22.0</v>
      </c>
      <c r="D1575" s="2"/>
      <c r="E1575" s="2"/>
      <c r="F1575" s="2"/>
      <c r="G1575" s="2"/>
      <c r="H1575" s="2"/>
    </row>
    <row r="1576">
      <c r="A1576" s="1" t="s">
        <v>904</v>
      </c>
      <c r="B1576" s="1"/>
      <c r="C1576" s="1">
        <v>0.0</v>
      </c>
      <c r="D1576" s="2"/>
      <c r="E1576" s="2"/>
      <c r="F1576" s="2"/>
      <c r="G1576" s="2"/>
      <c r="H1576" s="2"/>
    </row>
    <row r="1577">
      <c r="A1577" s="1" t="s">
        <v>905</v>
      </c>
      <c r="B1577" s="1"/>
      <c r="C1577" s="1">
        <v>0.0</v>
      </c>
      <c r="D1577" s="2"/>
      <c r="E1577" s="2"/>
      <c r="F1577" s="2"/>
      <c r="G1577" s="2"/>
      <c r="H1577" s="2"/>
    </row>
    <row r="1578">
      <c r="A1578" s="1" t="s">
        <v>906</v>
      </c>
      <c r="B1578" s="1"/>
      <c r="C1578" s="1">
        <v>72.0</v>
      </c>
      <c r="D1578" s="2"/>
      <c r="E1578" s="2"/>
      <c r="F1578" s="2"/>
      <c r="G1578" s="2"/>
      <c r="H1578" s="2"/>
    </row>
    <row r="1579">
      <c r="A1579" s="1" t="s">
        <v>907</v>
      </c>
      <c r="B1579" s="1"/>
      <c r="C1579" s="1">
        <v>0.0</v>
      </c>
      <c r="D1579" s="2"/>
      <c r="E1579" s="2"/>
      <c r="F1579" s="2"/>
      <c r="G1579" s="2"/>
      <c r="H1579" s="2"/>
    </row>
    <row r="1580">
      <c r="A1580" s="1" t="s">
        <v>908</v>
      </c>
      <c r="B1580" s="1"/>
      <c r="C1580" s="1">
        <v>0.0</v>
      </c>
      <c r="D1580" s="2"/>
      <c r="E1580" s="2"/>
      <c r="F1580" s="2"/>
      <c r="G1580" s="2"/>
      <c r="H1580" s="2"/>
    </row>
    <row r="1581">
      <c r="A1581" s="1" t="s">
        <v>909</v>
      </c>
      <c r="B1581" s="1"/>
      <c r="C1581" s="1">
        <v>22.0</v>
      </c>
      <c r="D1581" s="2"/>
      <c r="E1581" s="2"/>
      <c r="F1581" s="2"/>
      <c r="G1581" s="2"/>
      <c r="H1581" s="2"/>
    </row>
    <row r="1582">
      <c r="A1582" s="1" t="s">
        <v>910</v>
      </c>
      <c r="B1582" s="1"/>
      <c r="C1582" s="1">
        <v>0.0</v>
      </c>
      <c r="D1582" s="2"/>
      <c r="E1582" s="2"/>
      <c r="F1582" s="2"/>
      <c r="G1582" s="2"/>
      <c r="H1582" s="2"/>
    </row>
    <row r="1583">
      <c r="A1583" s="1" t="s">
        <v>911</v>
      </c>
      <c r="B1583" s="1"/>
      <c r="C1583" s="1">
        <v>0.0</v>
      </c>
      <c r="D1583" s="2"/>
      <c r="E1583" s="2"/>
      <c r="F1583" s="2"/>
      <c r="G1583" s="2"/>
      <c r="H1583" s="2"/>
    </row>
    <row r="1584">
      <c r="A1584" s="1" t="s">
        <v>912</v>
      </c>
      <c r="B1584" s="1"/>
      <c r="C1584" s="1">
        <v>60.0</v>
      </c>
      <c r="D1584" s="2"/>
      <c r="E1584" s="2"/>
      <c r="F1584" s="2"/>
      <c r="G1584" s="2"/>
      <c r="H1584" s="2"/>
    </row>
    <row r="1585">
      <c r="A1585" s="1" t="s">
        <v>913</v>
      </c>
      <c r="B1585" s="1"/>
      <c r="C1585" s="1">
        <v>18.0</v>
      </c>
      <c r="D1585" s="2"/>
      <c r="E1585" s="2"/>
      <c r="F1585" s="2"/>
      <c r="G1585" s="2"/>
      <c r="H1585" s="2"/>
    </row>
    <row r="1586">
      <c r="A1586" s="1" t="s">
        <v>914</v>
      </c>
      <c r="B1586" s="1"/>
      <c r="C1586" s="1">
        <v>94.0</v>
      </c>
      <c r="D1586" s="2"/>
      <c r="E1586" s="2"/>
      <c r="F1586" s="2"/>
      <c r="G1586" s="2"/>
      <c r="H1586" s="2"/>
    </row>
    <row r="1587">
      <c r="A1587" s="1" t="s">
        <v>915</v>
      </c>
      <c r="B1587" s="1"/>
      <c r="C1587" s="1">
        <v>14.0</v>
      </c>
      <c r="D1587" s="2"/>
      <c r="E1587" s="2"/>
      <c r="F1587" s="2"/>
      <c r="G1587" s="2"/>
      <c r="H1587" s="2"/>
    </row>
    <row r="1588">
      <c r="A1588" s="1" t="s">
        <v>916</v>
      </c>
      <c r="B1588" s="1"/>
      <c r="C1588" s="1">
        <v>0.0</v>
      </c>
      <c r="D1588" s="2"/>
      <c r="E1588" s="2"/>
      <c r="F1588" s="2"/>
      <c r="G1588" s="2"/>
      <c r="H1588" s="2"/>
    </row>
    <row r="1589">
      <c r="A1589" s="1" t="s">
        <v>917</v>
      </c>
      <c r="B1589" s="1"/>
      <c r="C1589" s="1">
        <v>0.0</v>
      </c>
      <c r="D1589" s="2"/>
      <c r="E1589" s="2"/>
      <c r="F1589" s="2"/>
      <c r="G1589" s="2"/>
      <c r="H1589" s="2"/>
    </row>
    <row r="1590">
      <c r="A1590" s="1" t="s">
        <v>918</v>
      </c>
      <c r="B1590" s="1"/>
      <c r="C1590" s="1">
        <v>42.0</v>
      </c>
      <c r="D1590" s="2"/>
      <c r="E1590" s="2"/>
      <c r="F1590" s="2"/>
      <c r="G1590" s="2"/>
      <c r="H1590" s="2"/>
    </row>
    <row r="1591">
      <c r="A1591" s="1" t="s">
        <v>919</v>
      </c>
      <c r="B1591" s="1"/>
      <c r="C1591" s="1">
        <v>0.0</v>
      </c>
      <c r="D1591" s="2"/>
      <c r="E1591" s="2"/>
      <c r="F1591" s="2"/>
      <c r="G1591" s="2"/>
      <c r="H1591" s="2"/>
    </row>
    <row r="1592">
      <c r="A1592" s="1" t="s">
        <v>920</v>
      </c>
      <c r="B1592" s="1"/>
      <c r="C1592" s="1">
        <v>78.0</v>
      </c>
      <c r="D1592" s="2"/>
      <c r="E1592" s="2"/>
      <c r="F1592" s="2"/>
      <c r="G1592" s="2"/>
      <c r="H1592" s="2"/>
    </row>
    <row r="1593">
      <c r="A1593" s="1" t="s">
        <v>921</v>
      </c>
      <c r="B1593" s="1"/>
      <c r="C1593" s="1">
        <v>40.0</v>
      </c>
      <c r="D1593" s="2"/>
      <c r="E1593" s="2"/>
      <c r="F1593" s="2"/>
      <c r="G1593" s="2"/>
      <c r="H1593" s="2"/>
    </row>
    <row r="1594">
      <c r="A1594" s="1" t="s">
        <v>922</v>
      </c>
      <c r="B1594" s="1"/>
      <c r="C1594" s="1">
        <v>3.0</v>
      </c>
      <c r="D1594" s="2"/>
      <c r="E1594" s="2"/>
      <c r="F1594" s="2"/>
      <c r="G1594" s="2"/>
      <c r="H1594" s="2"/>
    </row>
    <row r="1595">
      <c r="A1595" s="1" t="s">
        <v>923</v>
      </c>
      <c r="B1595" s="1"/>
      <c r="C1595" s="1">
        <v>26.0</v>
      </c>
      <c r="D1595" s="2"/>
      <c r="E1595" s="2"/>
      <c r="F1595" s="2"/>
      <c r="G1595" s="2"/>
      <c r="H1595" s="2"/>
    </row>
    <row r="1596">
      <c r="A1596" s="1" t="s">
        <v>924</v>
      </c>
      <c r="B1596" s="1"/>
      <c r="C1596" s="1">
        <v>48.0</v>
      </c>
      <c r="D1596" s="2"/>
      <c r="E1596" s="2"/>
      <c r="F1596" s="2"/>
      <c r="G1596" s="2"/>
      <c r="H1596" s="2"/>
    </row>
    <row r="1597">
      <c r="A1597" s="1" t="s">
        <v>925</v>
      </c>
      <c r="B1597" s="1"/>
      <c r="C1597" s="1" t="s">
        <v>926</v>
      </c>
      <c r="D1597" s="1">
        <v>72.0</v>
      </c>
      <c r="E1597" s="2"/>
      <c r="F1597" s="2"/>
      <c r="G1597" s="2"/>
      <c r="H1597" s="2"/>
    </row>
    <row r="1598">
      <c r="A1598" s="1" t="s">
        <v>927</v>
      </c>
      <c r="B1598" s="1"/>
      <c r="C1598" s="1">
        <v>1.0</v>
      </c>
      <c r="D1598" s="2"/>
      <c r="E1598" s="2"/>
      <c r="F1598" s="2"/>
      <c r="G1598" s="2"/>
      <c r="H1598" s="2"/>
    </row>
    <row r="1599">
      <c r="A1599" s="1" t="s">
        <v>928</v>
      </c>
      <c r="B1599" s="1"/>
      <c r="C1599" s="1">
        <v>0.0</v>
      </c>
      <c r="D1599" s="2"/>
      <c r="E1599" s="2"/>
      <c r="F1599" s="2"/>
      <c r="G1599" s="2"/>
      <c r="H1599" s="2"/>
    </row>
    <row r="1600">
      <c r="A1600" s="1" t="s">
        <v>929</v>
      </c>
      <c r="B1600" s="1"/>
      <c r="C1600" s="1">
        <v>0.0</v>
      </c>
      <c r="D1600" s="2"/>
      <c r="E1600" s="2"/>
      <c r="F1600" s="2"/>
      <c r="G1600" s="2"/>
      <c r="H1600" s="2"/>
    </row>
    <row r="1601">
      <c r="A1601" s="1" t="s">
        <v>930</v>
      </c>
      <c r="B1601" s="1"/>
      <c r="C1601" s="1">
        <v>20.0</v>
      </c>
      <c r="D1601" s="2"/>
      <c r="E1601" s="2"/>
      <c r="F1601" s="2"/>
      <c r="G1601" s="2"/>
      <c r="H1601" s="2"/>
    </row>
    <row r="1602">
      <c r="A1602" s="1" t="s">
        <v>931</v>
      </c>
      <c r="B1602" s="1"/>
      <c r="C1602" s="1">
        <v>0.0</v>
      </c>
      <c r="D1602" s="2"/>
      <c r="E1602" s="2"/>
      <c r="F1602" s="2"/>
      <c r="G1602" s="2"/>
      <c r="H1602" s="2"/>
    </row>
    <row r="1603">
      <c r="A1603" s="1" t="s">
        <v>932</v>
      </c>
      <c r="B1603" s="1"/>
      <c r="C1603" s="1">
        <v>0.0</v>
      </c>
      <c r="D1603" s="2"/>
      <c r="E1603" s="2"/>
      <c r="F1603" s="2"/>
      <c r="G1603" s="2"/>
      <c r="H1603" s="2"/>
    </row>
    <row r="1604">
      <c r="A1604" s="1" t="s">
        <v>933</v>
      </c>
      <c r="B1604" s="1"/>
      <c r="C1604" s="1">
        <v>69.0</v>
      </c>
      <c r="D1604" s="2"/>
      <c r="E1604" s="2"/>
      <c r="F1604" s="2"/>
      <c r="G1604" s="2"/>
      <c r="H1604" s="2"/>
    </row>
    <row r="1605">
      <c r="A1605" s="1" t="s">
        <v>864</v>
      </c>
      <c r="B1605" s="1"/>
      <c r="C1605" s="1">
        <v>24.0</v>
      </c>
      <c r="D1605" s="2"/>
      <c r="E1605" s="2"/>
      <c r="F1605" s="2"/>
      <c r="G1605" s="2"/>
      <c r="H1605" s="2"/>
    </row>
    <row r="1606">
      <c r="A1606" s="1" t="s">
        <v>865</v>
      </c>
      <c r="B1606" s="1"/>
      <c r="C1606" s="1">
        <v>0.0</v>
      </c>
      <c r="D1606" s="2"/>
      <c r="E1606" s="2"/>
      <c r="F1606" s="2"/>
      <c r="G1606" s="2"/>
      <c r="H1606" s="2"/>
    </row>
    <row r="1607">
      <c r="A1607" s="1" t="s">
        <v>866</v>
      </c>
      <c r="B1607" s="1"/>
      <c r="C1607" s="1">
        <v>0.0</v>
      </c>
      <c r="D1607" s="2"/>
      <c r="E1607" s="2"/>
      <c r="F1607" s="2"/>
      <c r="G1607" s="2"/>
      <c r="H1607" s="2"/>
    </row>
    <row r="1608">
      <c r="A1608" s="1" t="s">
        <v>867</v>
      </c>
      <c r="B1608" s="1"/>
      <c r="C1608" s="1">
        <v>0.0</v>
      </c>
      <c r="D1608" s="2"/>
      <c r="E1608" s="2"/>
      <c r="F1608" s="2"/>
      <c r="G1608" s="2"/>
      <c r="H1608" s="2"/>
    </row>
    <row r="1609">
      <c r="A1609" s="1" t="s">
        <v>868</v>
      </c>
      <c r="B1609" s="1"/>
      <c r="C1609" s="1">
        <v>0.0</v>
      </c>
      <c r="D1609" s="2"/>
      <c r="E1609" s="2"/>
      <c r="F1609" s="2"/>
      <c r="G1609" s="2"/>
      <c r="H1609" s="2"/>
    </row>
    <row r="1610">
      <c r="A1610" s="1" t="s">
        <v>869</v>
      </c>
      <c r="B1610" s="1"/>
      <c r="C1610" s="1">
        <v>70.0</v>
      </c>
      <c r="D1610" s="2"/>
      <c r="E1610" s="2"/>
      <c r="F1610" s="2"/>
      <c r="G1610" s="2"/>
      <c r="H1610" s="2"/>
    </row>
    <row r="1611">
      <c r="A1611" s="1" t="s">
        <v>870</v>
      </c>
      <c r="B1611" s="1"/>
      <c r="C1611" s="1">
        <v>0.0</v>
      </c>
      <c r="D1611" s="2"/>
      <c r="E1611" s="2"/>
      <c r="F1611" s="2"/>
      <c r="G1611" s="2"/>
      <c r="H1611" s="2"/>
    </row>
    <row r="1612">
      <c r="A1612" s="1" t="s">
        <v>871</v>
      </c>
      <c r="B1612" s="1"/>
      <c r="C1612" s="1">
        <v>0.0</v>
      </c>
      <c r="D1612" s="2"/>
      <c r="E1612" s="2"/>
      <c r="F1612" s="2"/>
      <c r="G1612" s="2"/>
      <c r="H1612" s="2"/>
    </row>
    <row r="1613">
      <c r="A1613" s="1" t="s">
        <v>872</v>
      </c>
      <c r="B1613" s="1"/>
      <c r="C1613" s="1">
        <v>0.0</v>
      </c>
      <c r="D1613" s="2"/>
      <c r="E1613" s="2"/>
      <c r="F1613" s="2"/>
      <c r="G1613" s="2"/>
      <c r="H1613" s="2"/>
    </row>
    <row r="1614">
      <c r="A1614" s="1" t="s">
        <v>873</v>
      </c>
      <c r="B1614" s="1"/>
      <c r="C1614" s="1">
        <v>33.0</v>
      </c>
      <c r="D1614" s="2"/>
      <c r="E1614" s="2"/>
      <c r="F1614" s="2"/>
      <c r="G1614" s="2"/>
      <c r="H1614" s="2"/>
    </row>
    <row r="1615">
      <c r="A1615" s="1" t="s">
        <v>874</v>
      </c>
      <c r="B1615" s="1"/>
      <c r="C1615" s="1">
        <v>26.0</v>
      </c>
      <c r="D1615" s="2"/>
      <c r="E1615" s="2"/>
      <c r="F1615" s="2"/>
      <c r="G1615" s="2"/>
      <c r="H1615" s="2"/>
    </row>
    <row r="1616">
      <c r="A1616" s="1" t="s">
        <v>875</v>
      </c>
      <c r="B1616" s="1"/>
      <c r="C1616" s="1">
        <v>35.0</v>
      </c>
      <c r="D1616" s="2"/>
      <c r="E1616" s="2"/>
      <c r="F1616" s="2"/>
      <c r="G1616" s="2"/>
      <c r="H1616" s="2"/>
    </row>
    <row r="1617">
      <c r="A1617" s="1" t="s">
        <v>876</v>
      </c>
      <c r="B1617" s="1"/>
      <c r="C1617" s="1">
        <v>86.0</v>
      </c>
      <c r="D1617" s="2"/>
      <c r="E1617" s="2"/>
      <c r="F1617" s="2"/>
      <c r="G1617" s="2"/>
      <c r="H1617" s="2"/>
    </row>
    <row r="1618">
      <c r="A1618" s="1" t="s">
        <v>877</v>
      </c>
      <c r="B1618" s="1"/>
      <c r="C1618" s="1">
        <v>0.0</v>
      </c>
      <c r="D1618" s="2"/>
      <c r="E1618" s="2"/>
      <c r="F1618" s="2"/>
      <c r="G1618" s="2"/>
      <c r="H1618" s="2"/>
    </row>
    <row r="1619">
      <c r="A1619" s="1" t="s">
        <v>878</v>
      </c>
      <c r="B1619" s="1"/>
      <c r="C1619" s="1">
        <v>0.0</v>
      </c>
      <c r="D1619" s="2"/>
      <c r="E1619" s="2"/>
      <c r="F1619" s="2"/>
      <c r="G1619" s="2"/>
      <c r="H1619" s="2"/>
    </row>
    <row r="1620">
      <c r="A1620" s="1" t="s">
        <v>879</v>
      </c>
      <c r="B1620" s="1"/>
      <c r="C1620" s="1">
        <v>0.0</v>
      </c>
      <c r="D1620" s="2"/>
      <c r="E1620" s="2"/>
      <c r="F1620" s="2"/>
      <c r="G1620" s="2"/>
      <c r="H1620" s="2"/>
    </row>
    <row r="1621">
      <c r="A1621" s="1" t="s">
        <v>880</v>
      </c>
      <c r="B1621" s="1"/>
      <c r="C1621" s="1">
        <v>0.0</v>
      </c>
      <c r="D1621" s="2"/>
      <c r="E1621" s="2"/>
      <c r="F1621" s="2"/>
      <c r="G1621" s="2"/>
      <c r="H1621" s="2"/>
    </row>
    <row r="1622">
      <c r="A1622" s="1" t="s">
        <v>881</v>
      </c>
      <c r="B1622" s="1"/>
      <c r="C1622" s="1">
        <v>0.0</v>
      </c>
      <c r="D1622" s="2"/>
      <c r="E1622" s="2"/>
      <c r="F1622" s="2"/>
      <c r="G1622" s="2"/>
      <c r="H1622" s="2"/>
    </row>
    <row r="1623">
      <c r="A1623" s="1" t="s">
        <v>882</v>
      </c>
      <c r="B1623" s="1"/>
      <c r="C1623" s="1">
        <v>63.0</v>
      </c>
      <c r="D1623" s="2"/>
      <c r="E1623" s="2"/>
      <c r="F1623" s="2"/>
      <c r="G1623" s="2"/>
      <c r="H1623" s="2"/>
    </row>
    <row r="1624">
      <c r="A1624" s="1" t="s">
        <v>883</v>
      </c>
      <c r="B1624" s="1"/>
      <c r="C1624" s="1">
        <v>59.0</v>
      </c>
      <c r="D1624" s="2"/>
      <c r="E1624" s="2"/>
      <c r="F1624" s="2"/>
      <c r="G1624" s="2"/>
      <c r="H1624" s="2"/>
    </row>
    <row r="1625">
      <c r="A1625" s="1" t="s">
        <v>884</v>
      </c>
      <c r="B1625" s="1"/>
      <c r="C1625" s="1">
        <v>20.0</v>
      </c>
      <c r="D1625" s="2"/>
      <c r="E1625" s="2"/>
      <c r="F1625" s="2"/>
      <c r="G1625" s="2"/>
      <c r="H1625" s="2"/>
    </row>
    <row r="1626">
      <c r="A1626" s="1" t="s">
        <v>885</v>
      </c>
      <c r="B1626" s="1"/>
      <c r="C1626" s="1">
        <v>32.0</v>
      </c>
      <c r="D1626" s="2"/>
      <c r="E1626" s="2"/>
      <c r="F1626" s="2"/>
      <c r="G1626" s="2"/>
      <c r="H1626" s="2"/>
    </row>
    <row r="1627">
      <c r="A1627" s="1" t="s">
        <v>886</v>
      </c>
      <c r="B1627" s="1"/>
      <c r="C1627" s="1">
        <v>0.0</v>
      </c>
      <c r="D1627" s="2"/>
      <c r="E1627" s="2"/>
      <c r="F1627" s="2"/>
      <c r="G1627" s="2"/>
      <c r="H1627" s="2"/>
    </row>
    <row r="1628">
      <c r="A1628" s="1" t="s">
        <v>887</v>
      </c>
      <c r="B1628" s="1"/>
      <c r="C1628" s="1">
        <v>39.0</v>
      </c>
      <c r="D1628" s="2"/>
      <c r="E1628" s="2"/>
      <c r="F1628" s="2"/>
      <c r="G1628" s="2"/>
      <c r="H1628" s="2"/>
    </row>
    <row r="1629">
      <c r="A1629" s="1" t="s">
        <v>888</v>
      </c>
      <c r="B1629" s="1"/>
      <c r="C1629" s="1">
        <v>50.0</v>
      </c>
      <c r="D1629" s="2"/>
      <c r="E1629" s="2"/>
      <c r="F1629" s="2"/>
      <c r="G1629" s="2"/>
      <c r="H1629" s="2"/>
    </row>
    <row r="1630">
      <c r="A1630" s="1" t="s">
        <v>889</v>
      </c>
      <c r="B1630" s="1"/>
      <c r="C1630" s="1">
        <v>80.0</v>
      </c>
      <c r="D1630" s="2"/>
      <c r="E1630" s="2"/>
      <c r="F1630" s="2"/>
      <c r="G1630" s="2"/>
      <c r="H1630" s="2"/>
    </row>
    <row r="1631">
      <c r="A1631" s="1" t="s">
        <v>890</v>
      </c>
      <c r="B1631" s="1"/>
      <c r="C1631" s="1">
        <v>81.0</v>
      </c>
      <c r="D1631" s="2"/>
      <c r="E1631" s="2"/>
      <c r="F1631" s="2"/>
      <c r="G1631" s="2"/>
      <c r="H1631" s="2"/>
    </row>
    <row r="1632">
      <c r="A1632" s="1" t="s">
        <v>891</v>
      </c>
      <c r="B1632" s="1"/>
      <c r="C1632" s="1">
        <v>14.0</v>
      </c>
      <c r="D1632" s="2"/>
      <c r="E1632" s="2"/>
      <c r="F1632" s="2"/>
      <c r="G1632" s="2"/>
      <c r="H1632" s="2"/>
    </row>
    <row r="1633">
      <c r="A1633" s="1" t="s">
        <v>892</v>
      </c>
      <c r="B1633" s="1"/>
      <c r="C1633" s="1">
        <v>0.0</v>
      </c>
      <c r="D1633" s="2"/>
      <c r="E1633" s="2"/>
      <c r="F1633" s="2"/>
      <c r="G1633" s="2"/>
      <c r="H1633" s="2"/>
    </row>
    <row r="1634">
      <c r="A1634" s="1" t="s">
        <v>893</v>
      </c>
      <c r="B1634" s="1"/>
      <c r="C1634" s="1">
        <v>36.0</v>
      </c>
      <c r="D1634" s="2"/>
      <c r="E1634" s="2"/>
      <c r="F1634" s="2"/>
      <c r="G1634" s="2"/>
      <c r="H1634" s="2"/>
    </row>
    <row r="1635">
      <c r="A1635" s="1" t="s">
        <v>894</v>
      </c>
      <c r="B1635" s="1"/>
      <c r="C1635" s="1">
        <v>6.0</v>
      </c>
      <c r="D1635" s="2"/>
      <c r="E1635" s="2"/>
      <c r="F1635" s="2"/>
      <c r="G1635" s="2"/>
      <c r="H1635" s="2"/>
    </row>
    <row r="1636">
      <c r="A1636" s="1" t="s">
        <v>895</v>
      </c>
      <c r="B1636" s="1"/>
      <c r="C1636" s="1">
        <v>1.0</v>
      </c>
      <c r="D1636" s="2"/>
      <c r="E1636" s="2"/>
      <c r="F1636" s="2"/>
      <c r="G1636" s="2"/>
      <c r="H1636" s="2"/>
    </row>
    <row r="1637">
      <c r="A1637" s="1" t="s">
        <v>896</v>
      </c>
      <c r="B1637" s="1"/>
      <c r="C1637" s="1">
        <v>36.0</v>
      </c>
      <c r="D1637" s="2"/>
      <c r="E1637" s="2"/>
      <c r="F1637" s="2"/>
      <c r="G1637" s="2"/>
      <c r="H1637" s="2"/>
    </row>
    <row r="1638">
      <c r="A1638" s="1" t="s">
        <v>897</v>
      </c>
      <c r="B1638" s="1"/>
      <c r="C1638" s="1">
        <v>0.0</v>
      </c>
      <c r="D1638" s="2"/>
      <c r="E1638" s="2"/>
      <c r="F1638" s="2"/>
      <c r="G1638" s="2"/>
      <c r="H1638" s="2"/>
    </row>
    <row r="1639">
      <c r="A1639" s="1" t="s">
        <v>898</v>
      </c>
      <c r="B1639" s="1"/>
      <c r="C1639" s="1">
        <v>86.0</v>
      </c>
      <c r="D1639" s="2"/>
      <c r="E1639" s="2"/>
      <c r="F1639" s="2"/>
      <c r="G1639" s="2"/>
      <c r="H1639" s="2"/>
    </row>
    <row r="1640">
      <c r="A1640" s="1" t="s">
        <v>899</v>
      </c>
      <c r="B1640" s="1"/>
      <c r="C1640" s="1">
        <v>38.0</v>
      </c>
      <c r="D1640" s="2"/>
      <c r="E1640" s="2"/>
      <c r="F1640" s="2"/>
      <c r="G1640" s="2"/>
      <c r="H1640" s="2"/>
    </row>
    <row r="1641">
      <c r="A1641" s="1" t="s">
        <v>900</v>
      </c>
      <c r="B1641" s="1"/>
      <c r="C1641" s="1">
        <v>79.0</v>
      </c>
      <c r="D1641" s="2"/>
      <c r="E1641" s="2"/>
      <c r="F1641" s="2"/>
      <c r="G1641" s="2"/>
      <c r="H1641" s="2"/>
    </row>
    <row r="1642">
      <c r="A1642" s="1" t="s">
        <v>901</v>
      </c>
      <c r="B1642" s="1"/>
      <c r="C1642" s="1">
        <v>0.0</v>
      </c>
      <c r="D1642" s="2"/>
      <c r="E1642" s="2"/>
      <c r="F1642" s="2"/>
      <c r="G1642" s="2"/>
      <c r="H1642" s="2"/>
    </row>
    <row r="1643">
      <c r="A1643" s="1" t="s">
        <v>902</v>
      </c>
      <c r="B1643" s="1"/>
      <c r="C1643" s="1">
        <v>0.0</v>
      </c>
      <c r="D1643" s="2"/>
      <c r="E1643" s="2"/>
      <c r="F1643" s="2"/>
      <c r="G1643" s="2"/>
      <c r="H1643" s="2"/>
    </row>
    <row r="1644">
      <c r="A1644" s="1" t="s">
        <v>903</v>
      </c>
      <c r="B1644" s="1"/>
      <c r="C1644" s="1">
        <v>22.0</v>
      </c>
      <c r="D1644" s="2"/>
      <c r="E1644" s="2"/>
      <c r="F1644" s="2"/>
      <c r="G1644" s="2"/>
      <c r="H1644" s="2"/>
    </row>
    <row r="1645">
      <c r="A1645" s="1" t="s">
        <v>904</v>
      </c>
      <c r="B1645" s="1"/>
      <c r="C1645" s="1">
        <v>0.0</v>
      </c>
      <c r="D1645" s="2"/>
      <c r="E1645" s="2"/>
      <c r="F1645" s="2"/>
      <c r="G1645" s="2"/>
      <c r="H1645" s="2"/>
    </row>
    <row r="1646">
      <c r="A1646" s="1" t="s">
        <v>905</v>
      </c>
      <c r="B1646" s="1"/>
      <c r="C1646" s="1">
        <v>0.0</v>
      </c>
      <c r="D1646" s="2"/>
      <c r="E1646" s="2"/>
      <c r="F1646" s="2"/>
      <c r="G1646" s="2"/>
      <c r="H1646" s="2"/>
    </row>
    <row r="1647">
      <c r="A1647" s="1" t="s">
        <v>906</v>
      </c>
      <c r="B1647" s="1"/>
      <c r="C1647" s="1">
        <v>72.0</v>
      </c>
      <c r="D1647" s="2"/>
      <c r="E1647" s="2"/>
      <c r="F1647" s="2"/>
      <c r="G1647" s="2"/>
      <c r="H1647" s="2"/>
    </row>
    <row r="1648">
      <c r="A1648" s="1" t="s">
        <v>907</v>
      </c>
      <c r="B1648" s="1"/>
      <c r="C1648" s="1">
        <v>0.0</v>
      </c>
      <c r="D1648" s="2"/>
      <c r="E1648" s="2"/>
      <c r="F1648" s="2"/>
      <c r="G1648" s="2"/>
      <c r="H1648" s="2"/>
    </row>
    <row r="1649">
      <c r="A1649" s="1" t="s">
        <v>908</v>
      </c>
      <c r="B1649" s="1"/>
      <c r="C1649" s="1">
        <v>0.0</v>
      </c>
      <c r="D1649" s="2"/>
      <c r="E1649" s="2"/>
      <c r="F1649" s="2"/>
      <c r="G1649" s="2"/>
      <c r="H1649" s="2"/>
    </row>
    <row r="1650">
      <c r="A1650" s="1" t="s">
        <v>909</v>
      </c>
      <c r="B1650" s="1"/>
      <c r="C1650" s="1">
        <v>22.0</v>
      </c>
      <c r="D1650" s="2"/>
      <c r="E1650" s="2"/>
      <c r="F1650" s="2"/>
      <c r="G1650" s="2"/>
      <c r="H1650" s="2"/>
    </row>
    <row r="1651">
      <c r="A1651" s="1" t="s">
        <v>910</v>
      </c>
      <c r="B1651" s="1"/>
      <c r="C1651" s="1">
        <v>0.0</v>
      </c>
      <c r="D1651" s="2"/>
      <c r="E1651" s="2"/>
      <c r="F1651" s="2"/>
      <c r="G1651" s="2"/>
      <c r="H1651" s="2"/>
    </row>
    <row r="1652">
      <c r="A1652" s="1" t="s">
        <v>911</v>
      </c>
      <c r="B1652" s="1"/>
      <c r="C1652" s="1">
        <v>0.0</v>
      </c>
      <c r="D1652" s="2"/>
      <c r="E1652" s="2"/>
      <c r="F1652" s="2"/>
      <c r="G1652" s="2"/>
      <c r="H1652" s="2"/>
    </row>
    <row r="1653">
      <c r="A1653" s="1" t="s">
        <v>912</v>
      </c>
      <c r="B1653" s="1"/>
      <c r="C1653" s="1">
        <v>60.0</v>
      </c>
      <c r="D1653" s="2"/>
      <c r="E1653" s="2"/>
      <c r="F1653" s="2"/>
      <c r="G1653" s="2"/>
      <c r="H1653" s="2"/>
    </row>
    <row r="1654">
      <c r="A1654" s="1" t="s">
        <v>913</v>
      </c>
      <c r="B1654" s="1"/>
      <c r="C1654" s="1">
        <v>18.0</v>
      </c>
      <c r="D1654" s="2"/>
      <c r="E1654" s="2"/>
      <c r="F1654" s="2"/>
      <c r="G1654" s="2"/>
      <c r="H1654" s="2"/>
    </row>
    <row r="1655">
      <c r="A1655" s="1" t="s">
        <v>914</v>
      </c>
      <c r="B1655" s="1"/>
      <c r="C1655" s="1">
        <v>94.0</v>
      </c>
      <c r="D1655" s="2"/>
      <c r="E1655" s="2"/>
      <c r="F1655" s="2"/>
      <c r="G1655" s="2"/>
      <c r="H1655" s="2"/>
    </row>
    <row r="1656">
      <c r="A1656" s="1" t="s">
        <v>915</v>
      </c>
      <c r="B1656" s="1"/>
      <c r="C1656" s="1">
        <v>14.0</v>
      </c>
      <c r="D1656" s="2"/>
      <c r="E1656" s="2"/>
      <c r="F1656" s="2"/>
      <c r="G1656" s="2"/>
      <c r="H1656" s="2"/>
    </row>
    <row r="1657">
      <c r="A1657" s="1" t="s">
        <v>916</v>
      </c>
      <c r="B1657" s="1"/>
      <c r="C1657" s="1">
        <v>0.0</v>
      </c>
      <c r="D1657" s="2"/>
      <c r="E1657" s="2"/>
      <c r="F1657" s="2"/>
      <c r="G1657" s="2"/>
      <c r="H1657" s="2"/>
    </row>
    <row r="1658">
      <c r="A1658" s="1" t="s">
        <v>917</v>
      </c>
      <c r="B1658" s="1"/>
      <c r="C1658" s="1">
        <v>0.0</v>
      </c>
      <c r="D1658" s="2"/>
      <c r="E1658" s="2"/>
      <c r="F1658" s="2"/>
      <c r="G1658" s="2"/>
      <c r="H1658" s="2"/>
    </row>
    <row r="1659">
      <c r="A1659" s="1" t="s">
        <v>918</v>
      </c>
      <c r="B1659" s="1"/>
      <c r="C1659" s="1">
        <v>42.0</v>
      </c>
      <c r="D1659" s="2"/>
      <c r="E1659" s="2"/>
      <c r="F1659" s="2"/>
      <c r="G1659" s="2"/>
      <c r="H1659" s="2"/>
    </row>
    <row r="1660">
      <c r="A1660" s="1" t="s">
        <v>919</v>
      </c>
      <c r="B1660" s="1"/>
      <c r="C1660" s="1">
        <v>0.0</v>
      </c>
      <c r="D1660" s="2"/>
      <c r="E1660" s="2"/>
      <c r="F1660" s="2"/>
      <c r="G1660" s="2"/>
      <c r="H1660" s="2"/>
    </row>
    <row r="1661">
      <c r="A1661" s="1" t="s">
        <v>920</v>
      </c>
      <c r="B1661" s="1"/>
      <c r="C1661" s="1">
        <v>78.0</v>
      </c>
      <c r="D1661" s="2"/>
      <c r="E1661" s="2"/>
      <c r="F1661" s="2"/>
      <c r="G1661" s="2"/>
      <c r="H1661" s="2"/>
    </row>
    <row r="1662">
      <c r="A1662" s="1" t="s">
        <v>921</v>
      </c>
      <c r="B1662" s="1"/>
      <c r="C1662" s="1">
        <v>40.0</v>
      </c>
      <c r="D1662" s="2"/>
      <c r="E1662" s="2"/>
      <c r="F1662" s="2"/>
      <c r="G1662" s="2"/>
      <c r="H1662" s="2"/>
    </row>
    <row r="1663">
      <c r="A1663" s="1" t="s">
        <v>922</v>
      </c>
      <c r="B1663" s="1"/>
      <c r="C1663" s="1">
        <v>3.0</v>
      </c>
      <c r="D1663" s="2"/>
      <c r="E1663" s="2"/>
      <c r="F1663" s="2"/>
      <c r="G1663" s="2"/>
      <c r="H1663" s="2"/>
    </row>
    <row r="1664">
      <c r="A1664" s="1" t="s">
        <v>923</v>
      </c>
      <c r="B1664" s="1"/>
      <c r="C1664" s="1">
        <v>26.0</v>
      </c>
      <c r="D1664" s="2"/>
      <c r="E1664" s="2"/>
      <c r="F1664" s="2"/>
      <c r="G1664" s="2"/>
      <c r="H1664" s="2"/>
    </row>
    <row r="1665">
      <c r="A1665" s="1" t="s">
        <v>924</v>
      </c>
      <c r="B1665" s="1"/>
      <c r="C1665" s="1">
        <v>48.0</v>
      </c>
      <c r="D1665" s="2"/>
      <c r="E1665" s="2"/>
      <c r="F1665" s="2"/>
      <c r="G1665" s="2"/>
      <c r="H1665" s="2"/>
    </row>
    <row r="1666">
      <c r="A1666" s="1" t="s">
        <v>925</v>
      </c>
      <c r="B1666" s="1"/>
      <c r="C1666" s="1" t="s">
        <v>926</v>
      </c>
      <c r="D1666" s="1">
        <v>72.0</v>
      </c>
      <c r="E1666" s="2"/>
      <c r="F1666" s="2"/>
      <c r="G1666" s="2"/>
      <c r="H1666" s="2"/>
    </row>
    <row r="1667">
      <c r="A1667" s="1" t="s">
        <v>927</v>
      </c>
      <c r="B1667" s="1"/>
      <c r="C1667" s="1">
        <v>1.0</v>
      </c>
      <c r="D1667" s="2"/>
      <c r="E1667" s="2"/>
      <c r="F1667" s="2"/>
      <c r="G1667" s="2"/>
      <c r="H1667" s="2"/>
    </row>
    <row r="1668">
      <c r="A1668" s="1" t="s">
        <v>928</v>
      </c>
      <c r="B1668" s="1"/>
      <c r="C1668" s="1">
        <v>0.0</v>
      </c>
      <c r="D1668" s="2"/>
      <c r="E1668" s="2"/>
      <c r="F1668" s="2"/>
      <c r="G1668" s="2"/>
      <c r="H1668" s="2"/>
    </row>
    <row r="1669">
      <c r="A1669" s="1" t="s">
        <v>929</v>
      </c>
      <c r="B1669" s="1"/>
      <c r="C1669" s="1">
        <v>0.0</v>
      </c>
      <c r="D1669" s="2"/>
      <c r="E1669" s="2"/>
      <c r="F1669" s="2"/>
      <c r="G1669" s="2"/>
      <c r="H1669" s="2"/>
    </row>
    <row r="1670">
      <c r="A1670" s="1" t="s">
        <v>930</v>
      </c>
      <c r="B1670" s="1"/>
      <c r="C1670" s="1">
        <v>20.0</v>
      </c>
      <c r="D1670" s="2"/>
      <c r="E1670" s="2"/>
      <c r="F1670" s="2"/>
      <c r="G1670" s="2"/>
      <c r="H1670" s="2"/>
    </row>
    <row r="1671">
      <c r="A1671" s="1" t="s">
        <v>931</v>
      </c>
      <c r="B1671" s="1"/>
      <c r="C1671" s="1">
        <v>0.0</v>
      </c>
      <c r="D1671" s="2"/>
      <c r="E1671" s="2"/>
      <c r="F1671" s="2"/>
      <c r="G1671" s="2"/>
      <c r="H1671" s="2"/>
    </row>
    <row r="1672">
      <c r="A1672" s="1" t="s">
        <v>932</v>
      </c>
      <c r="B1672" s="1"/>
      <c r="C1672" s="1">
        <v>0.0</v>
      </c>
      <c r="D1672" s="2"/>
      <c r="E1672" s="2"/>
      <c r="F1672" s="2"/>
      <c r="G1672" s="2"/>
      <c r="H1672" s="2"/>
    </row>
    <row r="1673">
      <c r="A1673" s="1" t="s">
        <v>933</v>
      </c>
      <c r="B1673" s="1"/>
      <c r="C1673" s="1">
        <v>69.0</v>
      </c>
      <c r="D1673" s="2"/>
      <c r="E1673" s="2"/>
      <c r="F1673" s="2"/>
      <c r="G1673" s="2"/>
      <c r="H1673" s="2"/>
    </row>
    <row r="1674">
      <c r="A1674" s="1" t="s">
        <v>934</v>
      </c>
      <c r="B1674" s="1"/>
      <c r="C1674" s="1">
        <v>23.0</v>
      </c>
      <c r="D1674" s="2"/>
      <c r="E1674" s="2"/>
      <c r="F1674" s="2"/>
      <c r="G1674" s="2"/>
      <c r="H1674" s="2"/>
    </row>
    <row r="1675">
      <c r="A1675" s="1" t="s">
        <v>935</v>
      </c>
      <c r="B1675" s="1"/>
      <c r="C1675" s="1">
        <v>96.0</v>
      </c>
      <c r="D1675" s="2"/>
      <c r="E1675" s="2"/>
      <c r="F1675" s="2"/>
      <c r="G1675" s="2"/>
      <c r="H1675" s="2"/>
    </row>
    <row r="1676">
      <c r="A1676" s="1" t="s">
        <v>936</v>
      </c>
      <c r="B1676" s="1"/>
      <c r="C1676" s="1">
        <v>93.0</v>
      </c>
      <c r="D1676" s="2"/>
      <c r="E1676" s="2"/>
      <c r="F1676" s="2"/>
      <c r="G1676" s="2"/>
      <c r="H1676" s="2"/>
    </row>
    <row r="1677">
      <c r="A1677" s="1" t="s">
        <v>937</v>
      </c>
      <c r="B1677" s="1"/>
      <c r="C1677" s="1">
        <v>40.0</v>
      </c>
      <c r="D1677" s="2"/>
      <c r="E1677" s="2"/>
      <c r="F1677" s="2"/>
      <c r="G1677" s="2"/>
      <c r="H1677" s="2"/>
    </row>
    <row r="1678">
      <c r="A1678" s="1" t="s">
        <v>938</v>
      </c>
      <c r="B1678" s="1"/>
      <c r="C1678" s="1">
        <v>39.0</v>
      </c>
      <c r="D1678" s="2"/>
      <c r="E1678" s="2"/>
      <c r="F1678" s="2"/>
      <c r="G1678" s="2"/>
      <c r="H1678" s="2"/>
    </row>
    <row r="1679">
      <c r="A1679" s="1" t="s">
        <v>939</v>
      </c>
      <c r="B1679" s="1"/>
      <c r="C1679" s="1">
        <v>0.0</v>
      </c>
      <c r="D1679" s="2"/>
      <c r="E1679" s="2"/>
      <c r="F1679" s="2"/>
      <c r="G1679" s="2"/>
      <c r="H1679" s="2"/>
    </row>
    <row r="1680">
      <c r="A1680" s="1" t="s">
        <v>940</v>
      </c>
      <c r="B1680" s="1"/>
      <c r="C1680" s="1">
        <v>0.0</v>
      </c>
      <c r="D1680" s="2"/>
      <c r="E1680" s="2"/>
      <c r="F1680" s="2"/>
      <c r="G1680" s="2"/>
      <c r="H1680" s="2"/>
    </row>
    <row r="1681">
      <c r="A1681" s="1" t="s">
        <v>941</v>
      </c>
      <c r="B1681" s="1"/>
      <c r="C1681" s="1">
        <v>0.0</v>
      </c>
      <c r="D1681" s="2"/>
      <c r="E1681" s="2"/>
      <c r="F1681" s="2"/>
      <c r="G1681" s="2"/>
      <c r="H1681" s="2"/>
    </row>
    <row r="1682">
      <c r="A1682" s="1" t="s">
        <v>942</v>
      </c>
      <c r="B1682" s="1"/>
      <c r="C1682" s="1">
        <v>0.0</v>
      </c>
      <c r="D1682" s="2"/>
      <c r="E1682" s="2"/>
      <c r="F1682" s="2"/>
      <c r="G1682" s="2"/>
      <c r="H1682" s="2"/>
    </row>
    <row r="1683">
      <c r="A1683" s="1" t="s">
        <v>943</v>
      </c>
      <c r="B1683" s="1"/>
      <c r="C1683" s="1">
        <v>78.0</v>
      </c>
      <c r="D1683" s="2"/>
      <c r="E1683" s="2"/>
      <c r="F1683" s="2"/>
      <c r="G1683" s="2"/>
      <c r="H1683" s="2"/>
    </row>
    <row r="1684">
      <c r="A1684" s="1" t="s">
        <v>944</v>
      </c>
      <c r="B1684" s="1"/>
      <c r="C1684" s="1">
        <v>0.0</v>
      </c>
      <c r="D1684" s="2"/>
      <c r="E1684" s="2"/>
      <c r="F1684" s="2"/>
      <c r="G1684" s="2"/>
      <c r="H1684" s="2"/>
    </row>
    <row r="1685">
      <c r="A1685" s="1" t="s">
        <v>945</v>
      </c>
      <c r="B1685" s="1"/>
      <c r="C1685" s="1">
        <v>0.0</v>
      </c>
      <c r="D1685" s="2"/>
      <c r="E1685" s="2"/>
      <c r="F1685" s="2"/>
      <c r="G1685" s="2"/>
      <c r="H1685" s="2"/>
    </row>
    <row r="1686">
      <c r="A1686" s="1" t="s">
        <v>946</v>
      </c>
      <c r="B1686" s="1"/>
      <c r="C1686" s="1">
        <v>0.0</v>
      </c>
      <c r="D1686" s="2"/>
      <c r="E1686" s="2"/>
      <c r="F1686" s="2"/>
      <c r="G1686" s="2"/>
      <c r="H1686" s="2"/>
    </row>
    <row r="1687">
      <c r="A1687" s="1" t="s">
        <v>947</v>
      </c>
      <c r="B1687" s="1"/>
      <c r="C1687" s="1">
        <v>0.0</v>
      </c>
      <c r="D1687" s="2"/>
      <c r="E1687" s="2"/>
      <c r="F1687" s="2"/>
      <c r="G1687" s="2"/>
      <c r="H1687" s="2"/>
    </row>
    <row r="1688">
      <c r="A1688" s="1" t="s">
        <v>948</v>
      </c>
      <c r="B1688" s="1"/>
      <c r="C1688" s="1">
        <v>0.0</v>
      </c>
      <c r="D1688" s="2"/>
      <c r="E1688" s="2"/>
      <c r="F1688" s="2"/>
      <c r="G1688" s="2"/>
      <c r="H1688" s="2"/>
    </row>
    <row r="1689">
      <c r="A1689" s="1" t="s">
        <v>949</v>
      </c>
      <c r="B1689" s="1"/>
      <c r="C1689" s="1">
        <v>0.0</v>
      </c>
      <c r="D1689" s="2"/>
      <c r="E1689" s="2"/>
      <c r="F1689" s="2"/>
      <c r="G1689" s="2"/>
      <c r="H1689" s="2"/>
    </row>
    <row r="1690">
      <c r="A1690" s="1" t="s">
        <v>950</v>
      </c>
      <c r="B1690" s="1"/>
      <c r="C1690" s="1">
        <v>92.0</v>
      </c>
      <c r="D1690" s="2"/>
      <c r="E1690" s="2"/>
      <c r="F1690" s="2"/>
      <c r="G1690" s="2"/>
      <c r="H1690" s="2"/>
    </row>
    <row r="1691">
      <c r="A1691" s="1" t="s">
        <v>951</v>
      </c>
      <c r="B1691" s="1"/>
      <c r="C1691" s="1">
        <v>0.0</v>
      </c>
      <c r="D1691" s="2"/>
      <c r="E1691" s="2"/>
      <c r="F1691" s="2"/>
      <c r="G1691" s="2"/>
      <c r="H1691" s="2"/>
    </row>
    <row r="1692">
      <c r="A1692" s="1" t="s">
        <v>952</v>
      </c>
      <c r="B1692" s="1"/>
      <c r="C1692" s="1">
        <v>80.0</v>
      </c>
      <c r="D1692" s="2"/>
      <c r="E1692" s="2"/>
      <c r="F1692" s="2"/>
      <c r="G1692" s="2"/>
      <c r="H1692" s="2"/>
    </row>
    <row r="1693">
      <c r="A1693" s="1" t="s">
        <v>953</v>
      </c>
      <c r="B1693" s="1"/>
      <c r="C1693" s="1">
        <v>0.0</v>
      </c>
      <c r="D1693" s="2"/>
      <c r="E1693" s="2"/>
      <c r="F1693" s="2"/>
      <c r="G1693" s="2"/>
      <c r="H1693" s="2"/>
    </row>
    <row r="1694">
      <c r="A1694" s="1" t="s">
        <v>954</v>
      </c>
      <c r="B1694" s="1"/>
      <c r="C1694" s="1">
        <v>0.0</v>
      </c>
      <c r="D1694" s="2"/>
      <c r="E1694" s="2"/>
      <c r="F1694" s="2"/>
      <c r="G1694" s="2"/>
      <c r="H1694" s="2"/>
    </row>
    <row r="1695">
      <c r="A1695" s="1" t="s">
        <v>955</v>
      </c>
      <c r="B1695" s="1"/>
      <c r="C1695" s="1">
        <v>79.0</v>
      </c>
      <c r="D1695" s="2"/>
      <c r="E1695" s="2"/>
      <c r="F1695" s="2"/>
      <c r="G1695" s="2"/>
      <c r="H1695" s="2"/>
    </row>
    <row r="1696">
      <c r="A1696" s="1" t="s">
        <v>956</v>
      </c>
      <c r="B1696" s="1"/>
      <c r="C1696" s="1">
        <v>0.0</v>
      </c>
      <c r="D1696" s="2"/>
      <c r="E1696" s="2"/>
      <c r="F1696" s="2"/>
      <c r="G1696" s="2"/>
      <c r="H1696" s="2"/>
    </row>
    <row r="1697">
      <c r="A1697" s="1" t="s">
        <v>957</v>
      </c>
      <c r="B1697" s="1"/>
      <c r="C1697" s="1">
        <v>0.0</v>
      </c>
      <c r="D1697" s="2"/>
      <c r="E1697" s="2"/>
      <c r="F1697" s="2"/>
      <c r="G1697" s="2"/>
      <c r="H1697" s="2"/>
    </row>
    <row r="1698">
      <c r="A1698" s="1" t="s">
        <v>958</v>
      </c>
      <c r="B1698" s="1"/>
      <c r="C1698" s="1">
        <v>0.0</v>
      </c>
      <c r="D1698" s="2"/>
      <c r="E1698" s="2"/>
      <c r="F1698" s="2"/>
      <c r="G1698" s="2"/>
      <c r="H1698" s="2"/>
    </row>
    <row r="1699">
      <c r="A1699" s="1" t="s">
        <v>959</v>
      </c>
      <c r="B1699" s="1"/>
      <c r="C1699" s="1">
        <v>0.0</v>
      </c>
      <c r="D1699" s="2"/>
      <c r="E1699" s="2"/>
      <c r="F1699" s="2"/>
      <c r="G1699" s="2"/>
      <c r="H1699" s="2"/>
    </row>
    <row r="1700">
      <c r="A1700" s="1" t="s">
        <v>960</v>
      </c>
      <c r="B1700" s="1"/>
      <c r="C1700" s="1">
        <v>0.0</v>
      </c>
      <c r="D1700" s="2"/>
      <c r="E1700" s="2"/>
      <c r="F1700" s="2"/>
      <c r="G1700" s="2"/>
      <c r="H1700" s="2"/>
    </row>
    <row r="1701">
      <c r="A1701" s="1" t="s">
        <v>961</v>
      </c>
      <c r="B1701" s="1"/>
      <c r="C1701" s="1">
        <v>0.0</v>
      </c>
      <c r="D1701" s="2"/>
      <c r="E1701" s="2"/>
      <c r="F1701" s="2"/>
      <c r="G1701" s="2"/>
      <c r="H1701" s="2"/>
    </row>
    <row r="1702">
      <c r="A1702" s="1" t="s">
        <v>962</v>
      </c>
      <c r="B1702" s="1"/>
      <c r="C1702" s="1">
        <v>0.0</v>
      </c>
      <c r="D1702" s="2"/>
      <c r="E1702" s="2"/>
      <c r="F1702" s="2"/>
      <c r="G1702" s="2"/>
      <c r="H1702" s="2"/>
    </row>
    <row r="1703">
      <c r="A1703" s="1" t="s">
        <v>963</v>
      </c>
      <c r="B1703" s="1"/>
      <c r="C1703" s="1">
        <v>32.0</v>
      </c>
      <c r="D1703" s="2"/>
      <c r="E1703" s="2"/>
      <c r="F1703" s="2"/>
      <c r="G1703" s="2"/>
      <c r="H1703" s="2"/>
    </row>
    <row r="1704">
      <c r="A1704" s="1" t="s">
        <v>964</v>
      </c>
      <c r="B1704" s="1"/>
      <c r="C1704" s="1">
        <v>0.0</v>
      </c>
      <c r="D1704" s="2"/>
      <c r="E1704" s="2"/>
      <c r="F1704" s="2"/>
      <c r="G1704" s="2"/>
      <c r="H1704" s="2"/>
    </row>
    <row r="1705">
      <c r="A1705" s="1" t="s">
        <v>965</v>
      </c>
      <c r="B1705" s="1"/>
      <c r="C1705" s="1">
        <v>96.0</v>
      </c>
      <c r="D1705" s="2"/>
      <c r="E1705" s="2"/>
      <c r="F1705" s="2"/>
      <c r="G1705" s="2"/>
      <c r="H1705" s="2"/>
    </row>
    <row r="1706">
      <c r="A1706" s="1" t="s">
        <v>966</v>
      </c>
      <c r="B1706" s="1"/>
      <c r="C1706" s="1" t="s">
        <v>967</v>
      </c>
      <c r="D1706" s="1" t="s">
        <v>968</v>
      </c>
      <c r="E1706" s="2"/>
      <c r="F1706" s="2"/>
      <c r="G1706" s="2"/>
      <c r="H1706" s="2"/>
    </row>
    <row r="1707">
      <c r="A1707" s="1" t="s">
        <v>969</v>
      </c>
      <c r="B1707" s="1"/>
      <c r="C1707" s="1">
        <v>0.0</v>
      </c>
      <c r="D1707" s="2"/>
      <c r="E1707" s="2"/>
      <c r="F1707" s="2"/>
      <c r="G1707" s="2"/>
      <c r="H1707" s="2"/>
    </row>
    <row r="1708">
      <c r="A1708" s="1" t="s">
        <v>970</v>
      </c>
      <c r="B1708" s="1"/>
      <c r="C1708" s="2"/>
      <c r="D1708" s="2"/>
      <c r="E1708" s="2"/>
      <c r="F1708" s="2"/>
      <c r="G1708" s="2"/>
      <c r="H1708" s="2"/>
    </row>
    <row r="1709">
      <c r="A1709" s="1" t="s">
        <v>971</v>
      </c>
      <c r="B1709" s="1"/>
      <c r="C1709" s="1">
        <v>0.0</v>
      </c>
      <c r="D1709" s="2"/>
      <c r="E1709" s="2"/>
      <c r="F1709" s="2"/>
      <c r="G1709" s="2"/>
      <c r="H1709" s="2"/>
    </row>
    <row r="1710">
      <c r="A1710" s="1" t="s">
        <v>972</v>
      </c>
      <c r="B1710" s="1"/>
      <c r="C1710" s="1">
        <v>0.0</v>
      </c>
      <c r="D1710" s="2"/>
      <c r="E1710" s="2"/>
      <c r="F1710" s="2"/>
      <c r="G1710" s="2"/>
      <c r="H1710" s="2"/>
    </row>
    <row r="1711">
      <c r="A1711" s="1" t="s">
        <v>973</v>
      </c>
      <c r="B1711" s="1"/>
      <c r="C1711" s="1">
        <v>0.0</v>
      </c>
      <c r="D1711" s="2"/>
      <c r="E1711" s="2"/>
      <c r="F1711" s="2"/>
      <c r="G1711" s="2"/>
      <c r="H1711" s="2"/>
    </row>
    <row r="1712">
      <c r="A1712" s="1" t="s">
        <v>974</v>
      </c>
      <c r="B1712" s="1"/>
      <c r="C1712" s="1">
        <v>0.0</v>
      </c>
      <c r="D1712" s="2"/>
      <c r="E1712" s="2"/>
      <c r="F1712" s="2"/>
      <c r="G1712" s="2"/>
      <c r="H1712" s="2"/>
    </row>
    <row r="1713">
      <c r="A1713" s="1" t="s">
        <v>975</v>
      </c>
      <c r="B1713" s="1"/>
      <c r="C1713" s="1">
        <v>0.0</v>
      </c>
      <c r="D1713" s="2"/>
      <c r="E1713" s="2"/>
      <c r="F1713" s="2"/>
      <c r="G1713" s="2"/>
      <c r="H1713" s="2"/>
    </row>
    <row r="1714">
      <c r="A1714" s="1" t="s">
        <v>976</v>
      </c>
      <c r="B1714" s="1"/>
      <c r="C1714" s="1">
        <v>0.0</v>
      </c>
      <c r="D1714" s="2"/>
      <c r="E1714" s="2"/>
      <c r="F1714" s="2"/>
      <c r="G1714" s="2"/>
      <c r="H1714" s="2"/>
    </row>
    <row r="1715">
      <c r="A1715" s="1" t="s">
        <v>977</v>
      </c>
      <c r="B1715" s="1"/>
      <c r="C1715" s="1">
        <v>81.0</v>
      </c>
      <c r="D1715" s="2"/>
      <c r="E1715" s="2"/>
      <c r="F1715" s="2"/>
      <c r="G1715" s="2"/>
      <c r="H1715" s="2"/>
    </row>
    <row r="1716">
      <c r="A1716" s="1" t="s">
        <v>978</v>
      </c>
      <c r="B1716" s="1"/>
      <c r="C1716" s="1">
        <v>0.0</v>
      </c>
      <c r="D1716" s="2"/>
      <c r="E1716" s="2"/>
      <c r="F1716" s="2"/>
      <c r="G1716" s="2"/>
      <c r="H1716" s="2"/>
    </row>
    <row r="1717">
      <c r="A1717" s="1" t="s">
        <v>979</v>
      </c>
      <c r="B1717" s="1"/>
      <c r="C1717" s="1">
        <v>0.0</v>
      </c>
      <c r="D1717" s="2"/>
      <c r="E1717" s="2"/>
      <c r="F1717" s="2"/>
      <c r="G1717" s="2"/>
      <c r="H1717" s="2"/>
    </row>
    <row r="1718">
      <c r="A1718" s="1" t="s">
        <v>980</v>
      </c>
      <c r="B1718" s="1"/>
      <c r="C1718" s="1" t="s">
        <v>981</v>
      </c>
      <c r="D1718" s="1">
        <v>12.0</v>
      </c>
      <c r="E1718" s="2"/>
      <c r="F1718" s="2"/>
      <c r="G1718" s="2"/>
      <c r="H1718" s="2"/>
    </row>
    <row r="1719">
      <c r="A1719" s="1" t="s">
        <v>982</v>
      </c>
      <c r="B1719" s="1"/>
      <c r="C1719" s="1">
        <v>0.0</v>
      </c>
      <c r="D1719" s="2"/>
      <c r="E1719" s="2"/>
      <c r="F1719" s="2"/>
      <c r="G1719" s="2"/>
      <c r="H1719" s="2"/>
    </row>
    <row r="1720">
      <c r="A1720" s="1" t="s">
        <v>983</v>
      </c>
      <c r="B1720" s="1"/>
      <c r="C1720" s="1">
        <v>0.0</v>
      </c>
      <c r="D1720" s="2"/>
      <c r="E1720" s="2"/>
      <c r="F1720" s="2"/>
      <c r="G1720" s="2"/>
      <c r="H1720" s="2"/>
    </row>
    <row r="1721">
      <c r="A1721" s="1" t="s">
        <v>984</v>
      </c>
      <c r="B1721" s="1"/>
      <c r="C1721" s="1">
        <v>38.0</v>
      </c>
      <c r="D1721" s="2"/>
      <c r="E1721" s="2"/>
      <c r="F1721" s="2"/>
      <c r="G1721" s="2"/>
      <c r="H1721" s="2"/>
    </row>
    <row r="1722">
      <c r="A1722" s="1" t="s">
        <v>985</v>
      </c>
      <c r="B1722" s="1"/>
      <c r="C1722" s="1">
        <v>0.0</v>
      </c>
      <c r="D1722" s="2"/>
      <c r="E1722" s="2"/>
      <c r="F1722" s="2"/>
      <c r="G1722" s="2"/>
      <c r="H1722" s="2"/>
    </row>
    <row r="1723">
      <c r="A1723" s="1" t="s">
        <v>986</v>
      </c>
      <c r="B1723" s="1"/>
      <c r="C1723" s="1">
        <v>0.0</v>
      </c>
      <c r="D1723" s="2"/>
      <c r="E1723" s="2"/>
      <c r="F1723" s="2"/>
      <c r="G1723" s="2"/>
      <c r="H1723" s="2"/>
    </row>
    <row r="1724">
      <c r="A1724" s="1" t="s">
        <v>987</v>
      </c>
      <c r="B1724" s="1"/>
      <c r="C1724" s="1">
        <v>0.0</v>
      </c>
      <c r="D1724" s="2"/>
      <c r="E1724" s="2"/>
      <c r="F1724" s="2"/>
      <c r="G1724" s="2"/>
      <c r="H1724" s="2"/>
    </row>
    <row r="1725">
      <c r="A1725" s="1" t="s">
        <v>988</v>
      </c>
      <c r="B1725" s="1"/>
      <c r="C1725" s="1">
        <v>56.0</v>
      </c>
      <c r="D1725" s="2"/>
      <c r="E1725" s="2"/>
      <c r="F1725" s="2"/>
      <c r="G1725" s="2"/>
      <c r="H1725" s="2"/>
    </row>
    <row r="1726">
      <c r="A1726" s="1" t="s">
        <v>989</v>
      </c>
      <c r="B1726" s="1"/>
      <c r="C1726" s="1">
        <v>0.0</v>
      </c>
      <c r="D1726" s="2"/>
      <c r="E1726" s="2"/>
      <c r="F1726" s="2"/>
      <c r="G1726" s="2"/>
      <c r="H1726" s="2"/>
    </row>
    <row r="1727">
      <c r="A1727" s="1" t="s">
        <v>990</v>
      </c>
      <c r="B1727" s="1"/>
      <c r="C1727" s="1">
        <v>50.0</v>
      </c>
      <c r="D1727" s="2"/>
      <c r="E1727" s="2"/>
      <c r="F1727" s="2"/>
      <c r="G1727" s="2"/>
      <c r="H1727" s="2"/>
    </row>
    <row r="1728">
      <c r="A1728" s="1" t="s">
        <v>991</v>
      </c>
      <c r="B1728" s="1"/>
      <c r="C1728" s="1">
        <v>0.0</v>
      </c>
      <c r="D1728" s="2"/>
      <c r="E1728" s="2"/>
      <c r="F1728" s="2"/>
      <c r="G1728" s="2"/>
      <c r="H1728" s="2"/>
    </row>
    <row r="1729">
      <c r="A1729" s="1" t="s">
        <v>992</v>
      </c>
      <c r="B1729" s="1"/>
      <c r="C1729" s="1">
        <v>0.0</v>
      </c>
      <c r="D1729" s="2"/>
      <c r="E1729" s="2"/>
      <c r="F1729" s="2"/>
      <c r="G1729" s="2"/>
      <c r="H1729" s="2"/>
    </row>
    <row r="1730">
      <c r="A1730" s="1" t="s">
        <v>993</v>
      </c>
      <c r="B1730" s="1"/>
      <c r="C1730" s="1">
        <v>43.0</v>
      </c>
      <c r="D1730" s="2"/>
      <c r="E1730" s="2"/>
      <c r="F1730" s="2"/>
      <c r="G1730" s="2"/>
      <c r="H1730" s="2"/>
    </row>
    <row r="1731">
      <c r="A1731" s="1" t="s">
        <v>994</v>
      </c>
      <c r="B1731" s="1"/>
      <c r="C1731" s="1">
        <v>0.0</v>
      </c>
      <c r="D1731" s="2"/>
      <c r="E1731" s="2"/>
      <c r="F1731" s="2"/>
      <c r="G1731" s="2"/>
      <c r="H1731" s="2"/>
    </row>
    <row r="1732">
      <c r="A1732" s="1" t="s">
        <v>995</v>
      </c>
      <c r="B1732" s="1"/>
      <c r="C1732" s="1">
        <v>72.0</v>
      </c>
      <c r="D1732" s="2"/>
      <c r="E1732" s="2"/>
      <c r="F1732" s="2"/>
      <c r="G1732" s="2"/>
      <c r="H1732" s="2"/>
    </row>
    <row r="1733">
      <c r="A1733" s="1" t="s">
        <v>996</v>
      </c>
      <c r="B1733" s="1"/>
      <c r="C1733" s="1">
        <v>30.0</v>
      </c>
      <c r="D1733" s="2"/>
      <c r="E1733" s="2"/>
      <c r="F1733" s="2"/>
      <c r="G1733" s="2"/>
      <c r="H1733" s="2"/>
    </row>
    <row r="1734">
      <c r="A1734" s="1" t="s">
        <v>997</v>
      </c>
      <c r="B1734" s="1"/>
      <c r="C1734" s="1">
        <v>92.0</v>
      </c>
      <c r="D1734" s="2"/>
      <c r="E1734" s="2"/>
      <c r="F1734" s="2"/>
      <c r="G1734" s="2"/>
      <c r="H1734" s="2"/>
    </row>
    <row r="1735">
      <c r="A1735" s="1" t="s">
        <v>998</v>
      </c>
      <c r="B1735" s="1"/>
      <c r="C1735" s="1">
        <v>78.0</v>
      </c>
      <c r="D1735" s="2"/>
      <c r="E1735" s="2"/>
      <c r="F1735" s="2"/>
      <c r="G1735" s="2"/>
      <c r="H1735" s="2"/>
    </row>
    <row r="1736">
      <c r="A1736" s="1" t="s">
        <v>999</v>
      </c>
      <c r="B1736" s="1"/>
      <c r="C1736" s="1">
        <v>0.0</v>
      </c>
      <c r="D1736" s="2"/>
      <c r="E1736" s="2"/>
      <c r="F1736" s="2"/>
      <c r="G1736" s="2"/>
      <c r="H1736" s="2"/>
    </row>
    <row r="1737">
      <c r="A1737" s="1" t="s">
        <v>1000</v>
      </c>
      <c r="B1737" s="1"/>
      <c r="C1737" s="1">
        <v>0.0</v>
      </c>
      <c r="D1737" s="2"/>
      <c r="E1737" s="2"/>
      <c r="F1737" s="2"/>
      <c r="G1737" s="2"/>
      <c r="H1737" s="2"/>
    </row>
    <row r="1738">
      <c r="A1738" s="1" t="s">
        <v>1001</v>
      </c>
      <c r="B1738" s="1"/>
      <c r="C1738" s="1">
        <v>0.0</v>
      </c>
      <c r="D1738" s="2"/>
      <c r="E1738" s="2"/>
      <c r="F1738" s="2"/>
      <c r="G1738" s="2"/>
      <c r="H1738" s="2"/>
    </row>
    <row r="1739">
      <c r="A1739" s="1" t="s">
        <v>1002</v>
      </c>
      <c r="B1739" s="1"/>
      <c r="C1739" s="1">
        <v>0.0</v>
      </c>
      <c r="D1739" s="2"/>
      <c r="E1739" s="2"/>
      <c r="F1739" s="2"/>
      <c r="G1739" s="2"/>
      <c r="H1739" s="2"/>
    </row>
    <row r="1740">
      <c r="A1740" s="1" t="s">
        <v>1003</v>
      </c>
      <c r="B1740" s="1"/>
      <c r="C1740" s="1">
        <v>0.0</v>
      </c>
      <c r="D1740" s="2"/>
      <c r="E1740" s="2"/>
      <c r="F1740" s="2"/>
      <c r="G1740" s="2"/>
      <c r="H1740" s="2"/>
    </row>
    <row r="1741">
      <c r="A1741" s="1" t="s">
        <v>1004</v>
      </c>
      <c r="B1741" s="1"/>
      <c r="C1741" s="1">
        <v>0.0</v>
      </c>
      <c r="D1741" s="2"/>
      <c r="E1741" s="2"/>
      <c r="F1741" s="2"/>
      <c r="G1741" s="2"/>
      <c r="H1741" s="2"/>
    </row>
    <row r="1742">
      <c r="A1742" s="1" t="s">
        <v>1005</v>
      </c>
      <c r="B1742" s="1"/>
      <c r="C1742" s="1">
        <v>0.0</v>
      </c>
      <c r="D1742" s="2"/>
      <c r="E1742" s="2"/>
      <c r="F1742" s="2"/>
      <c r="G1742" s="2"/>
      <c r="H1742" s="2"/>
    </row>
    <row r="1743">
      <c r="A1743" s="1" t="s">
        <v>1006</v>
      </c>
      <c r="B1743" s="1"/>
      <c r="C1743" s="1">
        <v>77.0</v>
      </c>
      <c r="D1743" s="2"/>
      <c r="E1743" s="2"/>
      <c r="F1743" s="2"/>
      <c r="G1743" s="2"/>
      <c r="H1743" s="2"/>
    </row>
    <row r="1744">
      <c r="A1744" s="1" t="s">
        <v>934</v>
      </c>
      <c r="B1744" s="1"/>
      <c r="C1744" s="1">
        <v>23.0</v>
      </c>
      <c r="D1744" s="2"/>
      <c r="E1744" s="2"/>
      <c r="F1744" s="2"/>
      <c r="G1744" s="2"/>
      <c r="H1744" s="2"/>
    </row>
    <row r="1745">
      <c r="A1745" s="1" t="s">
        <v>935</v>
      </c>
      <c r="B1745" s="1"/>
      <c r="C1745" s="1">
        <v>96.0</v>
      </c>
      <c r="D1745" s="2"/>
      <c r="E1745" s="2"/>
      <c r="F1745" s="2"/>
      <c r="G1745" s="2"/>
      <c r="H1745" s="2"/>
    </row>
    <row r="1746">
      <c r="A1746" s="1" t="s">
        <v>936</v>
      </c>
      <c r="B1746" s="1"/>
      <c r="C1746" s="1">
        <v>93.0</v>
      </c>
      <c r="D1746" s="2"/>
      <c r="E1746" s="2"/>
      <c r="F1746" s="2"/>
      <c r="G1746" s="2"/>
      <c r="H1746" s="2"/>
    </row>
    <row r="1747">
      <c r="A1747" s="1" t="s">
        <v>937</v>
      </c>
      <c r="B1747" s="1"/>
      <c r="C1747" s="1">
        <v>40.0</v>
      </c>
      <c r="D1747" s="2"/>
      <c r="E1747" s="2"/>
      <c r="F1747" s="2"/>
      <c r="G1747" s="2"/>
      <c r="H1747" s="2"/>
    </row>
    <row r="1748">
      <c r="A1748" s="1" t="s">
        <v>938</v>
      </c>
      <c r="B1748" s="1"/>
      <c r="C1748" s="1">
        <v>39.0</v>
      </c>
      <c r="D1748" s="2"/>
      <c r="E1748" s="2"/>
      <c r="F1748" s="2"/>
      <c r="G1748" s="2"/>
      <c r="H1748" s="2"/>
    </row>
    <row r="1749">
      <c r="A1749" s="1" t="s">
        <v>939</v>
      </c>
      <c r="B1749" s="1"/>
      <c r="C1749" s="1">
        <v>0.0</v>
      </c>
      <c r="D1749" s="2"/>
      <c r="E1749" s="2"/>
      <c r="F1749" s="2"/>
      <c r="G1749" s="2"/>
      <c r="H1749" s="2"/>
    </row>
    <row r="1750">
      <c r="A1750" s="1" t="s">
        <v>940</v>
      </c>
      <c r="B1750" s="1"/>
      <c r="C1750" s="1">
        <v>0.0</v>
      </c>
      <c r="D1750" s="2"/>
      <c r="E1750" s="2"/>
      <c r="F1750" s="2"/>
      <c r="G1750" s="2"/>
      <c r="H1750" s="2"/>
    </row>
    <row r="1751">
      <c r="A1751" s="1" t="s">
        <v>941</v>
      </c>
      <c r="B1751" s="1"/>
      <c r="C1751" s="1">
        <v>0.0</v>
      </c>
      <c r="D1751" s="2"/>
      <c r="E1751" s="2"/>
      <c r="F1751" s="2"/>
      <c r="G1751" s="2"/>
      <c r="H1751" s="2"/>
    </row>
    <row r="1752">
      <c r="A1752" s="1" t="s">
        <v>942</v>
      </c>
      <c r="B1752" s="1"/>
      <c r="C1752" s="1">
        <v>0.0</v>
      </c>
      <c r="D1752" s="2"/>
      <c r="E1752" s="2"/>
      <c r="F1752" s="2"/>
      <c r="G1752" s="2"/>
      <c r="H1752" s="2"/>
    </row>
    <row r="1753">
      <c r="A1753" s="1" t="s">
        <v>943</v>
      </c>
      <c r="B1753" s="1"/>
      <c r="C1753" s="1">
        <v>78.0</v>
      </c>
      <c r="D1753" s="2"/>
      <c r="E1753" s="2"/>
      <c r="F1753" s="2"/>
      <c r="G1753" s="2"/>
      <c r="H1753" s="2"/>
    </row>
    <row r="1754">
      <c r="A1754" s="1" t="s">
        <v>944</v>
      </c>
      <c r="B1754" s="1"/>
      <c r="C1754" s="1">
        <v>0.0</v>
      </c>
      <c r="D1754" s="2"/>
      <c r="E1754" s="2"/>
      <c r="F1754" s="2"/>
      <c r="G1754" s="2"/>
      <c r="H1754" s="2"/>
    </row>
    <row r="1755">
      <c r="A1755" s="1" t="s">
        <v>945</v>
      </c>
      <c r="B1755" s="1"/>
      <c r="C1755" s="1">
        <v>0.0</v>
      </c>
      <c r="D1755" s="2"/>
      <c r="E1755" s="2"/>
      <c r="F1755" s="2"/>
      <c r="G1755" s="2"/>
      <c r="H1755" s="2"/>
    </row>
    <row r="1756">
      <c r="A1756" s="1" t="s">
        <v>946</v>
      </c>
      <c r="B1756" s="1"/>
      <c r="C1756" s="1">
        <v>0.0</v>
      </c>
      <c r="D1756" s="2"/>
      <c r="E1756" s="2"/>
      <c r="F1756" s="2"/>
      <c r="G1756" s="2"/>
      <c r="H1756" s="2"/>
    </row>
    <row r="1757">
      <c r="A1757" s="1" t="s">
        <v>947</v>
      </c>
      <c r="B1757" s="1"/>
      <c r="C1757" s="1">
        <v>0.0</v>
      </c>
      <c r="D1757" s="2"/>
      <c r="E1757" s="2"/>
      <c r="F1757" s="2"/>
      <c r="G1757" s="2"/>
      <c r="H1757" s="2"/>
    </row>
    <row r="1758">
      <c r="A1758" s="1" t="s">
        <v>948</v>
      </c>
      <c r="B1758" s="1"/>
      <c r="C1758" s="1">
        <v>0.0</v>
      </c>
      <c r="D1758" s="2"/>
      <c r="E1758" s="2"/>
      <c r="F1758" s="2"/>
      <c r="G1758" s="2"/>
      <c r="H1758" s="2"/>
    </row>
    <row r="1759">
      <c r="A1759" s="1" t="s">
        <v>949</v>
      </c>
      <c r="B1759" s="1"/>
      <c r="C1759" s="1">
        <v>0.0</v>
      </c>
      <c r="D1759" s="2"/>
      <c r="E1759" s="2"/>
      <c r="F1759" s="2"/>
      <c r="G1759" s="2"/>
      <c r="H1759" s="2"/>
    </row>
    <row r="1760">
      <c r="A1760" s="1" t="s">
        <v>950</v>
      </c>
      <c r="B1760" s="1"/>
      <c r="C1760" s="1">
        <v>92.0</v>
      </c>
      <c r="D1760" s="2"/>
      <c r="E1760" s="2"/>
      <c r="F1760" s="2"/>
      <c r="G1760" s="2"/>
      <c r="H1760" s="2"/>
    </row>
    <row r="1761">
      <c r="A1761" s="1" t="s">
        <v>951</v>
      </c>
      <c r="B1761" s="1"/>
      <c r="C1761" s="1">
        <v>0.0</v>
      </c>
      <c r="D1761" s="2"/>
      <c r="E1761" s="2"/>
      <c r="F1761" s="2"/>
      <c r="G1761" s="2"/>
      <c r="H1761" s="2"/>
    </row>
    <row r="1762">
      <c r="A1762" s="1" t="s">
        <v>952</v>
      </c>
      <c r="B1762" s="1"/>
      <c r="C1762" s="1">
        <v>80.0</v>
      </c>
      <c r="D1762" s="2"/>
      <c r="E1762" s="2"/>
      <c r="F1762" s="2"/>
      <c r="G1762" s="2"/>
      <c r="H1762" s="2"/>
    </row>
    <row r="1763">
      <c r="A1763" s="1" t="s">
        <v>953</v>
      </c>
      <c r="B1763" s="1"/>
      <c r="C1763" s="1">
        <v>0.0</v>
      </c>
      <c r="D1763" s="2"/>
      <c r="E1763" s="2"/>
      <c r="F1763" s="2"/>
      <c r="G1763" s="2"/>
      <c r="H1763" s="2"/>
    </row>
    <row r="1764">
      <c r="A1764" s="1" t="s">
        <v>954</v>
      </c>
      <c r="B1764" s="1"/>
      <c r="C1764" s="1">
        <v>0.0</v>
      </c>
      <c r="D1764" s="2"/>
      <c r="E1764" s="2"/>
      <c r="F1764" s="2"/>
      <c r="G1764" s="2"/>
      <c r="H1764" s="2"/>
    </row>
    <row r="1765">
      <c r="A1765" s="1" t="s">
        <v>955</v>
      </c>
      <c r="B1765" s="1"/>
      <c r="C1765" s="1">
        <v>79.0</v>
      </c>
      <c r="D1765" s="2"/>
      <c r="E1765" s="2"/>
      <c r="F1765" s="2"/>
      <c r="G1765" s="2"/>
      <c r="H1765" s="2"/>
    </row>
    <row r="1766">
      <c r="A1766" s="1" t="s">
        <v>956</v>
      </c>
      <c r="B1766" s="1"/>
      <c r="C1766" s="1">
        <v>0.0</v>
      </c>
      <c r="D1766" s="2"/>
      <c r="E1766" s="2"/>
      <c r="F1766" s="2"/>
      <c r="G1766" s="2"/>
      <c r="H1766" s="2"/>
    </row>
    <row r="1767">
      <c r="A1767" s="1" t="s">
        <v>957</v>
      </c>
      <c r="B1767" s="1"/>
      <c r="C1767" s="1">
        <v>0.0</v>
      </c>
      <c r="D1767" s="2"/>
      <c r="E1767" s="2"/>
      <c r="F1767" s="2"/>
      <c r="G1767" s="2"/>
      <c r="H1767" s="2"/>
    </row>
    <row r="1768">
      <c r="A1768" s="1" t="s">
        <v>958</v>
      </c>
      <c r="B1768" s="1"/>
      <c r="C1768" s="1">
        <v>0.0</v>
      </c>
      <c r="D1768" s="2"/>
      <c r="E1768" s="2"/>
      <c r="F1768" s="2"/>
      <c r="G1768" s="2"/>
      <c r="H1768" s="2"/>
    </row>
    <row r="1769">
      <c r="A1769" s="1" t="s">
        <v>959</v>
      </c>
      <c r="B1769" s="1"/>
      <c r="C1769" s="1">
        <v>0.0</v>
      </c>
      <c r="D1769" s="2"/>
      <c r="E1769" s="2"/>
      <c r="F1769" s="2"/>
      <c r="G1769" s="2"/>
      <c r="H1769" s="2"/>
    </row>
    <row r="1770">
      <c r="A1770" s="1" t="s">
        <v>960</v>
      </c>
      <c r="B1770" s="1"/>
      <c r="C1770" s="1">
        <v>0.0</v>
      </c>
      <c r="D1770" s="2"/>
      <c r="E1770" s="2"/>
      <c r="F1770" s="2"/>
      <c r="G1770" s="2"/>
      <c r="H1770" s="2"/>
    </row>
    <row r="1771">
      <c r="A1771" s="1" t="s">
        <v>961</v>
      </c>
      <c r="B1771" s="1"/>
      <c r="C1771" s="1">
        <v>0.0</v>
      </c>
      <c r="D1771" s="2"/>
      <c r="E1771" s="2"/>
      <c r="F1771" s="2"/>
      <c r="G1771" s="2"/>
      <c r="H1771" s="2"/>
    </row>
    <row r="1772">
      <c r="A1772" s="1" t="s">
        <v>962</v>
      </c>
      <c r="B1772" s="1"/>
      <c r="C1772" s="1">
        <v>0.0</v>
      </c>
      <c r="D1772" s="2"/>
      <c r="E1772" s="2"/>
      <c r="F1772" s="2"/>
      <c r="G1772" s="2"/>
      <c r="H1772" s="2"/>
    </row>
    <row r="1773">
      <c r="A1773" s="1" t="s">
        <v>963</v>
      </c>
      <c r="B1773" s="1"/>
      <c r="C1773" s="1">
        <v>32.0</v>
      </c>
      <c r="D1773" s="2"/>
      <c r="E1773" s="2"/>
      <c r="F1773" s="2"/>
      <c r="G1773" s="2"/>
      <c r="H1773" s="2"/>
    </row>
    <row r="1774">
      <c r="A1774" s="1" t="s">
        <v>964</v>
      </c>
      <c r="B1774" s="1"/>
      <c r="C1774" s="1">
        <v>0.0</v>
      </c>
      <c r="D1774" s="2"/>
      <c r="E1774" s="2"/>
      <c r="F1774" s="2"/>
      <c r="G1774" s="2"/>
      <c r="H1774" s="2"/>
    </row>
    <row r="1775">
      <c r="A1775" s="1" t="s">
        <v>965</v>
      </c>
      <c r="B1775" s="1"/>
      <c r="C1775" s="1">
        <v>96.0</v>
      </c>
      <c r="D1775" s="2"/>
      <c r="E1775" s="2"/>
      <c r="F1775" s="2"/>
      <c r="G1775" s="2"/>
      <c r="H1775" s="2"/>
    </row>
    <row r="1776">
      <c r="A1776" s="1" t="s">
        <v>966</v>
      </c>
      <c r="B1776" s="1"/>
      <c r="C1776" s="1" t="s">
        <v>967</v>
      </c>
      <c r="D1776" s="1" t="s">
        <v>968</v>
      </c>
      <c r="E1776" s="2"/>
      <c r="F1776" s="2"/>
      <c r="G1776" s="2"/>
      <c r="H1776" s="2"/>
    </row>
    <row r="1777">
      <c r="A1777" s="1" t="s">
        <v>969</v>
      </c>
      <c r="B1777" s="1"/>
      <c r="C1777" s="1">
        <v>0.0</v>
      </c>
      <c r="D1777" s="2"/>
      <c r="E1777" s="2"/>
      <c r="F1777" s="2"/>
      <c r="G1777" s="2"/>
      <c r="H1777" s="2"/>
    </row>
    <row r="1778">
      <c r="A1778" s="1" t="s">
        <v>970</v>
      </c>
      <c r="B1778" s="1"/>
      <c r="C1778" s="2"/>
      <c r="D1778" s="2"/>
      <c r="E1778" s="2"/>
      <c r="F1778" s="2"/>
      <c r="G1778" s="2"/>
      <c r="H1778" s="2"/>
    </row>
    <row r="1779">
      <c r="A1779" s="1" t="s">
        <v>971</v>
      </c>
      <c r="B1779" s="1"/>
      <c r="C1779" s="1">
        <v>0.0</v>
      </c>
      <c r="D1779" s="2"/>
      <c r="E1779" s="2"/>
      <c r="F1779" s="2"/>
      <c r="G1779" s="2"/>
      <c r="H1779" s="2"/>
    </row>
    <row r="1780">
      <c r="A1780" s="1" t="s">
        <v>972</v>
      </c>
      <c r="B1780" s="1"/>
      <c r="C1780" s="1">
        <v>0.0</v>
      </c>
      <c r="D1780" s="2"/>
      <c r="E1780" s="2"/>
      <c r="F1780" s="2"/>
      <c r="G1780" s="2"/>
      <c r="H1780" s="2"/>
    </row>
    <row r="1781">
      <c r="A1781" s="1" t="s">
        <v>973</v>
      </c>
      <c r="B1781" s="1"/>
      <c r="C1781" s="1">
        <v>0.0</v>
      </c>
      <c r="D1781" s="2"/>
      <c r="E1781" s="2"/>
      <c r="F1781" s="2"/>
      <c r="G1781" s="2"/>
      <c r="H1781" s="2"/>
    </row>
    <row r="1782">
      <c r="A1782" s="1" t="s">
        <v>974</v>
      </c>
      <c r="B1782" s="1"/>
      <c r="C1782" s="1">
        <v>0.0</v>
      </c>
      <c r="D1782" s="2"/>
      <c r="E1782" s="2"/>
      <c r="F1782" s="2"/>
      <c r="G1782" s="2"/>
      <c r="H1782" s="2"/>
    </row>
    <row r="1783">
      <c r="A1783" s="1" t="s">
        <v>975</v>
      </c>
      <c r="B1783" s="1"/>
      <c r="C1783" s="1">
        <v>0.0</v>
      </c>
      <c r="D1783" s="2"/>
      <c r="E1783" s="2"/>
      <c r="F1783" s="2"/>
      <c r="G1783" s="2"/>
      <c r="H1783" s="2"/>
    </row>
    <row r="1784">
      <c r="A1784" s="1" t="s">
        <v>976</v>
      </c>
      <c r="B1784" s="1"/>
      <c r="C1784" s="1">
        <v>0.0</v>
      </c>
      <c r="D1784" s="2"/>
      <c r="E1784" s="2"/>
      <c r="F1784" s="2"/>
      <c r="G1784" s="2"/>
      <c r="H1784" s="2"/>
    </row>
    <row r="1785">
      <c r="A1785" s="1" t="s">
        <v>977</v>
      </c>
      <c r="B1785" s="1"/>
      <c r="C1785" s="1">
        <v>81.0</v>
      </c>
      <c r="D1785" s="2"/>
      <c r="E1785" s="2"/>
      <c r="F1785" s="2"/>
      <c r="G1785" s="2"/>
      <c r="H1785" s="2"/>
    </row>
    <row r="1786">
      <c r="A1786" s="1" t="s">
        <v>978</v>
      </c>
      <c r="B1786" s="1"/>
      <c r="C1786" s="1">
        <v>0.0</v>
      </c>
      <c r="D1786" s="2"/>
      <c r="E1786" s="2"/>
      <c r="F1786" s="2"/>
      <c r="G1786" s="2"/>
      <c r="H1786" s="2"/>
    </row>
    <row r="1787">
      <c r="A1787" s="1" t="s">
        <v>979</v>
      </c>
      <c r="B1787" s="1"/>
      <c r="C1787" s="1">
        <v>0.0</v>
      </c>
      <c r="D1787" s="2"/>
      <c r="E1787" s="2"/>
      <c r="F1787" s="2"/>
      <c r="G1787" s="2"/>
      <c r="H1787" s="2"/>
    </row>
    <row r="1788">
      <c r="A1788" s="1" t="s">
        <v>980</v>
      </c>
      <c r="B1788" s="1"/>
      <c r="C1788" s="1" t="s">
        <v>981</v>
      </c>
      <c r="D1788" s="1">
        <v>12.0</v>
      </c>
      <c r="E1788" s="2"/>
      <c r="F1788" s="2"/>
      <c r="G1788" s="2"/>
      <c r="H1788" s="2"/>
    </row>
    <row r="1789">
      <c r="A1789" s="1" t="s">
        <v>982</v>
      </c>
      <c r="B1789" s="1"/>
      <c r="C1789" s="1">
        <v>0.0</v>
      </c>
      <c r="D1789" s="2"/>
      <c r="E1789" s="2"/>
      <c r="F1789" s="2"/>
      <c r="G1789" s="2"/>
      <c r="H1789" s="2"/>
    </row>
    <row r="1790">
      <c r="A1790" s="1" t="s">
        <v>983</v>
      </c>
      <c r="B1790" s="1"/>
      <c r="C1790" s="1">
        <v>0.0</v>
      </c>
      <c r="D1790" s="2"/>
      <c r="E1790" s="2"/>
      <c r="F1790" s="2"/>
      <c r="G1790" s="2"/>
      <c r="H1790" s="2"/>
    </row>
    <row r="1791">
      <c r="A1791" s="1" t="s">
        <v>984</v>
      </c>
      <c r="B1791" s="1"/>
      <c r="C1791" s="1">
        <v>38.0</v>
      </c>
      <c r="D1791" s="2"/>
      <c r="E1791" s="2"/>
      <c r="F1791" s="2"/>
      <c r="G1791" s="2"/>
      <c r="H1791" s="2"/>
    </row>
    <row r="1792">
      <c r="A1792" s="1" t="s">
        <v>985</v>
      </c>
      <c r="B1792" s="1"/>
      <c r="C1792" s="1">
        <v>0.0</v>
      </c>
      <c r="D1792" s="2"/>
      <c r="E1792" s="2"/>
      <c r="F1792" s="2"/>
      <c r="G1792" s="2"/>
      <c r="H1792" s="2"/>
    </row>
    <row r="1793">
      <c r="A1793" s="1" t="s">
        <v>986</v>
      </c>
      <c r="B1793" s="1"/>
      <c r="C1793" s="1">
        <v>0.0</v>
      </c>
      <c r="D1793" s="2"/>
      <c r="E1793" s="2"/>
      <c r="F1793" s="2"/>
      <c r="G1793" s="2"/>
      <c r="H1793" s="2"/>
    </row>
    <row r="1794">
      <c r="A1794" s="1" t="s">
        <v>987</v>
      </c>
      <c r="B1794" s="1"/>
      <c r="C1794" s="1">
        <v>0.0</v>
      </c>
      <c r="D1794" s="2"/>
      <c r="E1794" s="2"/>
      <c r="F1794" s="2"/>
      <c r="G1794" s="2"/>
      <c r="H1794" s="2"/>
    </row>
    <row r="1795">
      <c r="A1795" s="1" t="s">
        <v>988</v>
      </c>
      <c r="B1795" s="1"/>
      <c r="C1795" s="1">
        <v>56.0</v>
      </c>
      <c r="D1795" s="2"/>
      <c r="E1795" s="2"/>
      <c r="F1795" s="2"/>
      <c r="G1795" s="2"/>
      <c r="H1795" s="2"/>
    </row>
    <row r="1796">
      <c r="A1796" s="1" t="s">
        <v>989</v>
      </c>
      <c r="B1796" s="1"/>
      <c r="C1796" s="1">
        <v>0.0</v>
      </c>
      <c r="D1796" s="2"/>
      <c r="E1796" s="2"/>
      <c r="F1796" s="2"/>
      <c r="G1796" s="2"/>
      <c r="H1796" s="2"/>
    </row>
    <row r="1797">
      <c r="A1797" s="1" t="s">
        <v>990</v>
      </c>
      <c r="B1797" s="1"/>
      <c r="C1797" s="1">
        <v>50.0</v>
      </c>
      <c r="D1797" s="2"/>
      <c r="E1797" s="2"/>
      <c r="F1797" s="2"/>
      <c r="G1797" s="2"/>
      <c r="H1797" s="2"/>
    </row>
    <row r="1798">
      <c r="A1798" s="1" t="s">
        <v>991</v>
      </c>
      <c r="B1798" s="1"/>
      <c r="C1798" s="1">
        <v>0.0</v>
      </c>
      <c r="D1798" s="2"/>
      <c r="E1798" s="2"/>
      <c r="F1798" s="2"/>
      <c r="G1798" s="2"/>
      <c r="H1798" s="2"/>
    </row>
    <row r="1799">
      <c r="A1799" s="1" t="s">
        <v>992</v>
      </c>
      <c r="B1799" s="1"/>
      <c r="C1799" s="1">
        <v>0.0</v>
      </c>
      <c r="D1799" s="2"/>
      <c r="E1799" s="2"/>
      <c r="F1799" s="2"/>
      <c r="G1799" s="2"/>
      <c r="H1799" s="2"/>
    </row>
    <row r="1800">
      <c r="A1800" s="1" t="s">
        <v>993</v>
      </c>
      <c r="B1800" s="1"/>
      <c r="C1800" s="1">
        <v>43.0</v>
      </c>
      <c r="D1800" s="2"/>
      <c r="E1800" s="2"/>
      <c r="F1800" s="2"/>
      <c r="G1800" s="2"/>
      <c r="H1800" s="2"/>
    </row>
    <row r="1801">
      <c r="A1801" s="1" t="s">
        <v>994</v>
      </c>
      <c r="B1801" s="1"/>
      <c r="C1801" s="1">
        <v>0.0</v>
      </c>
      <c r="D1801" s="2"/>
      <c r="E1801" s="2"/>
      <c r="F1801" s="2"/>
      <c r="G1801" s="2"/>
      <c r="H1801" s="2"/>
    </row>
    <row r="1802">
      <c r="A1802" s="1" t="s">
        <v>995</v>
      </c>
      <c r="B1802" s="1"/>
      <c r="C1802" s="1">
        <v>72.0</v>
      </c>
      <c r="D1802" s="2"/>
      <c r="E1802" s="2"/>
      <c r="F1802" s="2"/>
      <c r="G1802" s="2"/>
      <c r="H1802" s="2"/>
    </row>
    <row r="1803">
      <c r="A1803" s="1" t="s">
        <v>996</v>
      </c>
      <c r="B1803" s="1"/>
      <c r="C1803" s="1">
        <v>30.0</v>
      </c>
      <c r="D1803" s="2"/>
      <c r="E1803" s="2"/>
      <c r="F1803" s="2"/>
      <c r="G1803" s="2"/>
      <c r="H1803" s="2"/>
    </row>
    <row r="1804">
      <c r="A1804" s="1" t="s">
        <v>997</v>
      </c>
      <c r="B1804" s="1"/>
      <c r="C1804" s="1">
        <v>92.0</v>
      </c>
      <c r="D1804" s="2"/>
      <c r="E1804" s="2"/>
      <c r="F1804" s="2"/>
      <c r="G1804" s="2"/>
      <c r="H1804" s="2"/>
    </row>
    <row r="1805">
      <c r="A1805" s="1" t="s">
        <v>998</v>
      </c>
      <c r="B1805" s="1"/>
      <c r="C1805" s="1">
        <v>78.0</v>
      </c>
      <c r="D1805" s="2"/>
      <c r="E1805" s="2"/>
      <c r="F1805" s="2"/>
      <c r="G1805" s="2"/>
      <c r="H1805" s="2"/>
    </row>
    <row r="1806">
      <c r="A1806" s="1" t="s">
        <v>999</v>
      </c>
      <c r="B1806" s="1"/>
      <c r="C1806" s="1">
        <v>0.0</v>
      </c>
      <c r="D1806" s="2"/>
      <c r="E1806" s="2"/>
      <c r="F1806" s="2"/>
      <c r="G1806" s="2"/>
      <c r="H1806" s="2"/>
    </row>
    <row r="1807">
      <c r="A1807" s="1" t="s">
        <v>1000</v>
      </c>
      <c r="B1807" s="1"/>
      <c r="C1807" s="1">
        <v>0.0</v>
      </c>
      <c r="D1807" s="2"/>
      <c r="E1807" s="2"/>
      <c r="F1807" s="2"/>
      <c r="G1807" s="2"/>
      <c r="H1807" s="2"/>
    </row>
    <row r="1808">
      <c r="A1808" s="1" t="s">
        <v>1001</v>
      </c>
      <c r="B1808" s="1"/>
      <c r="C1808" s="1">
        <v>0.0</v>
      </c>
      <c r="D1808" s="2"/>
      <c r="E1808" s="2"/>
      <c r="F1808" s="2"/>
      <c r="G1808" s="2"/>
      <c r="H1808" s="2"/>
    </row>
    <row r="1809">
      <c r="A1809" s="1" t="s">
        <v>1002</v>
      </c>
      <c r="B1809" s="1"/>
      <c r="C1809" s="1">
        <v>0.0</v>
      </c>
      <c r="D1809" s="2"/>
      <c r="E1809" s="2"/>
      <c r="F1809" s="2"/>
      <c r="G1809" s="2"/>
      <c r="H1809" s="2"/>
    </row>
    <row r="1810">
      <c r="A1810" s="1" t="s">
        <v>1003</v>
      </c>
      <c r="B1810" s="1"/>
      <c r="C1810" s="1">
        <v>0.0</v>
      </c>
      <c r="D1810" s="2"/>
      <c r="E1810" s="2"/>
      <c r="F1810" s="2"/>
      <c r="G1810" s="2"/>
      <c r="H1810" s="2"/>
    </row>
    <row r="1811">
      <c r="A1811" s="1" t="s">
        <v>1004</v>
      </c>
      <c r="B1811" s="1"/>
      <c r="C1811" s="1">
        <v>0.0</v>
      </c>
      <c r="D1811" s="2"/>
      <c r="E1811" s="2"/>
      <c r="F1811" s="2"/>
      <c r="G1811" s="2"/>
      <c r="H1811" s="2"/>
    </row>
    <row r="1812">
      <c r="A1812" s="1" t="s">
        <v>1005</v>
      </c>
      <c r="B1812" s="1"/>
      <c r="C1812" s="1">
        <v>0.0</v>
      </c>
      <c r="D1812" s="2"/>
      <c r="E1812" s="2"/>
      <c r="F1812" s="2"/>
      <c r="G1812" s="2"/>
      <c r="H1812" s="2"/>
    </row>
    <row r="1813">
      <c r="A1813" s="1" t="s">
        <v>1006</v>
      </c>
      <c r="B1813" s="1"/>
      <c r="C1813" s="1">
        <v>77.0</v>
      </c>
      <c r="D1813" s="2"/>
      <c r="E1813" s="2"/>
      <c r="F1813" s="2"/>
      <c r="G1813" s="2"/>
      <c r="H1813" s="2"/>
    </row>
    <row r="1814">
      <c r="A1814" s="1" t="s">
        <v>1007</v>
      </c>
      <c r="B1814" s="1"/>
      <c r="C1814" s="1">
        <v>0.0</v>
      </c>
      <c r="D1814" s="2"/>
      <c r="E1814" s="2"/>
      <c r="F1814" s="2"/>
      <c r="G1814" s="2"/>
      <c r="H1814" s="2"/>
    </row>
    <row r="1815">
      <c r="A1815" s="1" t="s">
        <v>1008</v>
      </c>
      <c r="B1815" s="1"/>
      <c r="C1815" s="1">
        <v>43.0</v>
      </c>
      <c r="D1815" s="2"/>
      <c r="E1815" s="2"/>
      <c r="F1815" s="2"/>
      <c r="G1815" s="2"/>
      <c r="H1815" s="2"/>
    </row>
    <row r="1816">
      <c r="A1816" s="1" t="s">
        <v>1009</v>
      </c>
      <c r="B1816" s="1"/>
      <c r="C1816" s="1">
        <v>0.0</v>
      </c>
      <c r="D1816" s="2"/>
      <c r="E1816" s="2"/>
      <c r="F1816" s="2"/>
      <c r="G1816" s="2"/>
      <c r="H1816" s="2"/>
    </row>
    <row r="1817">
      <c r="A1817" s="1" t="s">
        <v>1010</v>
      </c>
      <c r="B1817" s="1"/>
      <c r="C1817" s="1" t="s">
        <v>1011</v>
      </c>
      <c r="D1817" s="1">
        <v>0.0</v>
      </c>
      <c r="E1817" s="2"/>
      <c r="F1817" s="2"/>
      <c r="G1817" s="2"/>
      <c r="H1817" s="2"/>
    </row>
    <row r="1818">
      <c r="A1818" s="1" t="s">
        <v>1012</v>
      </c>
      <c r="B1818" s="1"/>
      <c r="C1818" s="1">
        <v>0.0</v>
      </c>
      <c r="D1818" s="2"/>
      <c r="E1818" s="2"/>
      <c r="F1818" s="2"/>
      <c r="G1818" s="2"/>
      <c r="H1818" s="2"/>
    </row>
    <row r="1819">
      <c r="A1819" s="1" t="s">
        <v>1013</v>
      </c>
      <c r="B1819" s="1"/>
      <c r="C1819" s="1">
        <v>60.0</v>
      </c>
      <c r="D1819" s="2"/>
      <c r="E1819" s="2"/>
      <c r="F1819" s="2"/>
      <c r="G1819" s="2"/>
      <c r="H1819" s="2"/>
    </row>
    <row r="1820">
      <c r="A1820" s="1" t="s">
        <v>1014</v>
      </c>
      <c r="B1820" s="1"/>
      <c r="C1820" s="1">
        <v>0.0</v>
      </c>
      <c r="D1820" s="2"/>
      <c r="E1820" s="2"/>
      <c r="F1820" s="2"/>
      <c r="G1820" s="2"/>
      <c r="H1820" s="2"/>
    </row>
    <row r="1821">
      <c r="A1821" s="1" t="s">
        <v>1015</v>
      </c>
      <c r="B1821" s="1"/>
      <c r="C1821" s="1">
        <v>0.0</v>
      </c>
      <c r="D1821" s="2"/>
      <c r="E1821" s="2"/>
      <c r="F1821" s="2"/>
      <c r="G1821" s="2"/>
      <c r="H1821" s="2"/>
    </row>
    <row r="1822">
      <c r="A1822" s="1" t="s">
        <v>1016</v>
      </c>
      <c r="B1822" s="1"/>
      <c r="C1822" s="1">
        <v>0.0</v>
      </c>
      <c r="D1822" s="2"/>
      <c r="E1822" s="2"/>
      <c r="F1822" s="2"/>
      <c r="G1822" s="2"/>
      <c r="H1822" s="2"/>
    </row>
    <row r="1823">
      <c r="A1823" s="1" t="s">
        <v>1017</v>
      </c>
      <c r="B1823" s="1"/>
      <c r="C1823" s="1" t="s">
        <v>1018</v>
      </c>
      <c r="D1823" s="1" t="s">
        <v>1019</v>
      </c>
      <c r="E1823" s="1">
        <v>96.0</v>
      </c>
      <c r="F1823" s="2"/>
      <c r="G1823" s="2"/>
      <c r="H1823" s="2"/>
    </row>
    <row r="1824">
      <c r="A1824" s="1" t="s">
        <v>1020</v>
      </c>
      <c r="B1824" s="1"/>
      <c r="C1824" s="1">
        <v>0.0</v>
      </c>
      <c r="D1824" s="2"/>
      <c r="E1824" s="2"/>
      <c r="F1824" s="2"/>
      <c r="G1824" s="2"/>
      <c r="H1824" s="2"/>
    </row>
    <row r="1825">
      <c r="A1825" s="1" t="s">
        <v>1021</v>
      </c>
      <c r="B1825" s="1"/>
      <c r="C1825" s="1">
        <v>0.0</v>
      </c>
      <c r="D1825" s="2"/>
      <c r="E1825" s="2"/>
      <c r="F1825" s="2"/>
      <c r="G1825" s="2"/>
      <c r="H1825" s="2"/>
    </row>
    <row r="1826">
      <c r="A1826" s="1" t="s">
        <v>1022</v>
      </c>
      <c r="B1826" s="1"/>
      <c r="C1826" s="1">
        <v>0.0</v>
      </c>
      <c r="D1826" s="2"/>
      <c r="E1826" s="2"/>
      <c r="F1826" s="2"/>
      <c r="G1826" s="2"/>
      <c r="H1826" s="2"/>
    </row>
    <row r="1827">
      <c r="A1827" s="1" t="s">
        <v>1023</v>
      </c>
      <c r="B1827" s="1"/>
      <c r="C1827" s="1">
        <v>6.0</v>
      </c>
      <c r="D1827" s="2"/>
      <c r="E1827" s="2"/>
      <c r="F1827" s="2"/>
      <c r="G1827" s="2"/>
      <c r="H1827" s="2"/>
    </row>
    <row r="1828">
      <c r="A1828" s="1" t="s">
        <v>1024</v>
      </c>
      <c r="B1828" s="1"/>
      <c r="C1828" s="1">
        <v>0.0</v>
      </c>
      <c r="D1828" s="2"/>
      <c r="E1828" s="2"/>
      <c r="F1828" s="2"/>
      <c r="G1828" s="2"/>
      <c r="H1828" s="2"/>
    </row>
    <row r="1829">
      <c r="A1829" s="1" t="s">
        <v>1025</v>
      </c>
      <c r="B1829" s="1"/>
      <c r="C1829" s="1">
        <v>50.0</v>
      </c>
      <c r="D1829" s="2"/>
      <c r="E1829" s="2"/>
      <c r="F1829" s="2"/>
      <c r="G1829" s="2"/>
      <c r="H1829" s="2"/>
    </row>
    <row r="1830">
      <c r="A1830" s="1" t="s">
        <v>1026</v>
      </c>
      <c r="B1830" s="1"/>
      <c r="C1830" s="1">
        <v>78.0</v>
      </c>
      <c r="D1830" s="2"/>
      <c r="E1830" s="2"/>
      <c r="F1830" s="2"/>
      <c r="G1830" s="2"/>
      <c r="H1830" s="2"/>
    </row>
    <row r="1831">
      <c r="A1831" s="1" t="s">
        <v>1027</v>
      </c>
      <c r="B1831" s="1"/>
      <c r="C1831" s="1">
        <v>10.0</v>
      </c>
      <c r="D1831" s="2"/>
      <c r="E1831" s="2"/>
      <c r="F1831" s="2"/>
      <c r="G1831" s="2"/>
      <c r="H1831" s="2"/>
    </row>
    <row r="1832">
      <c r="A1832" s="1" t="s">
        <v>1028</v>
      </c>
      <c r="B1832" s="1"/>
      <c r="C1832" s="1">
        <v>0.0</v>
      </c>
      <c r="D1832" s="2"/>
      <c r="E1832" s="2"/>
      <c r="F1832" s="2"/>
      <c r="G1832" s="2"/>
      <c r="H1832" s="2"/>
    </row>
    <row r="1833">
      <c r="A1833" s="1" t="s">
        <v>1029</v>
      </c>
      <c r="B1833" s="1"/>
      <c r="C1833" s="1">
        <v>80.0</v>
      </c>
      <c r="D1833" s="2"/>
      <c r="E1833" s="2"/>
      <c r="F1833" s="2"/>
      <c r="G1833" s="2"/>
      <c r="H1833" s="2"/>
    </row>
    <row r="1834">
      <c r="A1834" s="1" t="s">
        <v>1030</v>
      </c>
      <c r="B1834" s="1"/>
      <c r="C1834" s="1">
        <v>0.0</v>
      </c>
      <c r="D1834" s="2"/>
      <c r="E1834" s="2"/>
      <c r="F1834" s="2"/>
      <c r="G1834" s="2"/>
      <c r="H1834" s="2"/>
    </row>
    <row r="1835">
      <c r="A1835" s="1" t="s">
        <v>1031</v>
      </c>
      <c r="B1835" s="1"/>
      <c r="C1835" s="1">
        <v>0.0</v>
      </c>
      <c r="D1835" s="2"/>
      <c r="E1835" s="2"/>
      <c r="F1835" s="2"/>
      <c r="G1835" s="2"/>
      <c r="H1835" s="2"/>
    </row>
    <row r="1836">
      <c r="A1836" s="1" t="s">
        <v>1032</v>
      </c>
      <c r="B1836" s="1"/>
      <c r="C1836" s="1">
        <v>0.0</v>
      </c>
      <c r="D1836" s="2"/>
      <c r="E1836" s="2"/>
      <c r="F1836" s="2"/>
      <c r="G1836" s="2"/>
      <c r="H1836" s="2"/>
    </row>
    <row r="1837">
      <c r="A1837" s="1" t="s">
        <v>1033</v>
      </c>
      <c r="B1837" s="1"/>
      <c r="C1837" s="1">
        <v>90.0</v>
      </c>
      <c r="D1837" s="2"/>
      <c r="E1837" s="2"/>
      <c r="F1837" s="2"/>
      <c r="G1837" s="2"/>
      <c r="H1837" s="2"/>
    </row>
    <row r="1838">
      <c r="A1838" s="1" t="s">
        <v>1034</v>
      </c>
      <c r="B1838" s="1"/>
      <c r="C1838" s="1">
        <v>40.0</v>
      </c>
      <c r="D1838" s="2"/>
      <c r="E1838" s="2"/>
      <c r="F1838" s="2"/>
      <c r="G1838" s="2"/>
      <c r="H1838" s="2"/>
    </row>
    <row r="1839">
      <c r="A1839" s="1" t="s">
        <v>1035</v>
      </c>
      <c r="B1839" s="1"/>
      <c r="C1839" s="1">
        <v>20.0</v>
      </c>
      <c r="D1839" s="2"/>
      <c r="E1839" s="2"/>
      <c r="F1839" s="2"/>
      <c r="G1839" s="2"/>
      <c r="H1839" s="2"/>
    </row>
    <row r="1840">
      <c r="A1840" s="1" t="s">
        <v>1036</v>
      </c>
      <c r="B1840" s="1"/>
      <c r="C1840" s="1">
        <v>0.0</v>
      </c>
      <c r="D1840" s="2"/>
      <c r="E1840" s="2"/>
      <c r="F1840" s="2"/>
      <c r="G1840" s="2"/>
      <c r="H1840" s="2"/>
    </row>
    <row r="1841">
      <c r="A1841" s="1" t="s">
        <v>1037</v>
      </c>
      <c r="B1841" s="1"/>
      <c r="C1841" s="1">
        <v>70.0</v>
      </c>
      <c r="D1841" s="2"/>
      <c r="E1841" s="2"/>
      <c r="F1841" s="2"/>
      <c r="G1841" s="2"/>
      <c r="H1841" s="2"/>
    </row>
    <row r="1842">
      <c r="A1842" s="1" t="s">
        <v>1038</v>
      </c>
      <c r="B1842" s="1"/>
      <c r="C1842" s="1">
        <v>67.0</v>
      </c>
      <c r="D1842" s="2"/>
      <c r="E1842" s="2"/>
      <c r="F1842" s="2"/>
      <c r="G1842" s="2"/>
      <c r="H1842" s="2"/>
    </row>
    <row r="1843">
      <c r="A1843" s="1" t="s">
        <v>1039</v>
      </c>
      <c r="B1843" s="1"/>
      <c r="C1843" s="1">
        <v>0.0</v>
      </c>
      <c r="D1843" s="2"/>
      <c r="E1843" s="2"/>
      <c r="F1843" s="2"/>
      <c r="G1843" s="2"/>
      <c r="H1843" s="2"/>
    </row>
    <row r="1844">
      <c r="A1844" s="1" t="s">
        <v>1040</v>
      </c>
      <c r="B1844" s="1"/>
      <c r="C1844" s="1">
        <v>40.0</v>
      </c>
      <c r="D1844" s="2"/>
      <c r="E1844" s="2"/>
      <c r="F1844" s="2"/>
      <c r="G1844" s="2"/>
      <c r="H1844" s="2"/>
    </row>
    <row r="1845">
      <c r="A1845" s="1" t="s">
        <v>1041</v>
      </c>
      <c r="B1845" s="1"/>
      <c r="C1845" s="1">
        <v>0.0</v>
      </c>
      <c r="D1845" s="2"/>
      <c r="E1845" s="2"/>
      <c r="F1845" s="2"/>
      <c r="G1845" s="2"/>
      <c r="H1845" s="2"/>
    </row>
    <row r="1846">
      <c r="A1846" s="1" t="s">
        <v>1042</v>
      </c>
      <c r="B1846" s="1"/>
      <c r="C1846" s="1">
        <v>0.0</v>
      </c>
      <c r="D1846" s="2"/>
      <c r="E1846" s="2"/>
      <c r="F1846" s="2"/>
      <c r="G1846" s="2"/>
      <c r="H1846" s="2"/>
    </row>
    <row r="1847">
      <c r="A1847" s="1" t="s">
        <v>1043</v>
      </c>
      <c r="B1847" s="1"/>
      <c r="C1847" s="1">
        <v>0.0</v>
      </c>
      <c r="D1847" s="2"/>
      <c r="E1847" s="2"/>
      <c r="F1847" s="2"/>
      <c r="G1847" s="2"/>
      <c r="H1847" s="2"/>
    </row>
    <row r="1848">
      <c r="A1848" s="1" t="s">
        <v>1044</v>
      </c>
      <c r="B1848" s="1"/>
      <c r="C1848" s="1">
        <v>32.0</v>
      </c>
      <c r="D1848" s="2"/>
      <c r="E1848" s="2"/>
      <c r="F1848" s="2"/>
      <c r="G1848" s="2"/>
      <c r="H1848" s="2"/>
    </row>
    <row r="1849">
      <c r="A1849" s="1" t="s">
        <v>1045</v>
      </c>
      <c r="B1849" s="1"/>
      <c r="C1849" s="1">
        <v>53.0</v>
      </c>
      <c r="D1849" s="2"/>
      <c r="E1849" s="2"/>
      <c r="F1849" s="2"/>
      <c r="G1849" s="2"/>
      <c r="H1849" s="2"/>
    </row>
    <row r="1850">
      <c r="A1850" s="1" t="s">
        <v>1046</v>
      </c>
      <c r="B1850" s="1"/>
      <c r="C1850" s="1">
        <v>37.0</v>
      </c>
      <c r="D1850" s="2"/>
      <c r="E1850" s="2"/>
      <c r="F1850" s="2"/>
      <c r="G1850" s="2"/>
      <c r="H1850" s="2"/>
    </row>
    <row r="1851">
      <c r="A1851" s="1" t="s">
        <v>1047</v>
      </c>
      <c r="B1851" s="1"/>
      <c r="C1851" s="1">
        <v>0.0</v>
      </c>
      <c r="D1851" s="2"/>
      <c r="E1851" s="2"/>
      <c r="F1851" s="2"/>
      <c r="G1851" s="2"/>
      <c r="H1851" s="2"/>
    </row>
    <row r="1852">
      <c r="A1852" s="1" t="s">
        <v>1048</v>
      </c>
      <c r="B1852" s="1"/>
      <c r="C1852" s="1">
        <v>0.0</v>
      </c>
      <c r="D1852" s="2"/>
      <c r="E1852" s="2"/>
      <c r="F1852" s="2"/>
      <c r="G1852" s="2"/>
      <c r="H1852" s="2"/>
    </row>
    <row r="1853">
      <c r="A1853" s="1" t="s">
        <v>1049</v>
      </c>
      <c r="B1853" s="1"/>
      <c r="C1853" s="1">
        <v>0.0</v>
      </c>
      <c r="D1853" s="2"/>
      <c r="E1853" s="2"/>
      <c r="F1853" s="2"/>
      <c r="G1853" s="2"/>
      <c r="H1853" s="2"/>
    </row>
    <row r="1854">
      <c r="A1854" s="1" t="s">
        <v>1050</v>
      </c>
      <c r="B1854" s="1"/>
      <c r="C1854" s="1">
        <v>8.0</v>
      </c>
      <c r="D1854" s="2"/>
      <c r="E1854" s="2"/>
      <c r="F1854" s="2"/>
      <c r="G1854" s="2"/>
      <c r="H1854" s="2"/>
    </row>
    <row r="1855">
      <c r="A1855" s="1" t="s">
        <v>1051</v>
      </c>
      <c r="B1855" s="1"/>
      <c r="C1855" s="1">
        <v>0.0</v>
      </c>
      <c r="D1855" s="2"/>
      <c r="E1855" s="2"/>
      <c r="F1855" s="2"/>
      <c r="G1855" s="2"/>
      <c r="H1855" s="2"/>
    </row>
    <row r="1856">
      <c r="A1856" s="1" t="s">
        <v>1052</v>
      </c>
      <c r="B1856" s="1"/>
      <c r="C1856" s="1">
        <v>0.0</v>
      </c>
      <c r="D1856" s="2"/>
      <c r="E1856" s="2"/>
      <c r="F1856" s="2"/>
      <c r="G1856" s="2"/>
      <c r="H1856" s="2"/>
    </row>
    <row r="1857">
      <c r="A1857" s="1" t="s">
        <v>1053</v>
      </c>
      <c r="B1857" s="1"/>
      <c r="C1857" s="1">
        <v>70.0</v>
      </c>
      <c r="D1857" s="2"/>
      <c r="E1857" s="2"/>
      <c r="F1857" s="2"/>
      <c r="G1857" s="2"/>
      <c r="H1857" s="2"/>
    </row>
    <row r="1858">
      <c r="A1858" s="1" t="s">
        <v>1054</v>
      </c>
      <c r="B1858" s="1"/>
      <c r="C1858" s="1">
        <v>48.0</v>
      </c>
      <c r="D1858" s="2"/>
      <c r="E1858" s="2"/>
      <c r="F1858" s="2"/>
      <c r="G1858" s="2"/>
      <c r="H1858" s="2"/>
    </row>
    <row r="1859">
      <c r="A1859" s="1" t="s">
        <v>1055</v>
      </c>
      <c r="B1859" s="1"/>
      <c r="C1859" s="1">
        <v>0.0</v>
      </c>
      <c r="D1859" s="2"/>
      <c r="E1859" s="2"/>
      <c r="F1859" s="2"/>
      <c r="G1859" s="2"/>
      <c r="H1859" s="2"/>
    </row>
    <row r="1860">
      <c r="A1860" s="1" t="s">
        <v>1056</v>
      </c>
      <c r="B1860" s="1"/>
      <c r="C1860" s="1">
        <v>0.0</v>
      </c>
      <c r="D1860" s="2"/>
      <c r="E1860" s="2"/>
      <c r="F1860" s="2"/>
      <c r="G1860" s="2"/>
      <c r="H1860" s="2"/>
    </row>
    <row r="1861">
      <c r="A1861" s="1" t="s">
        <v>1057</v>
      </c>
      <c r="B1861" s="1"/>
      <c r="C1861" s="1">
        <v>20.0</v>
      </c>
      <c r="D1861" s="2"/>
      <c r="E1861" s="2"/>
      <c r="F1861" s="2"/>
      <c r="G1861" s="2"/>
      <c r="H1861" s="2"/>
    </row>
    <row r="1862">
      <c r="A1862" s="1" t="s">
        <v>1058</v>
      </c>
      <c r="B1862" s="1"/>
      <c r="C1862" s="1">
        <v>74.0</v>
      </c>
      <c r="D1862" s="2"/>
      <c r="E1862" s="2"/>
      <c r="F1862" s="2"/>
      <c r="G1862" s="2"/>
      <c r="H1862" s="2"/>
    </row>
    <row r="1863">
      <c r="A1863" s="1" t="s">
        <v>1059</v>
      </c>
      <c r="B1863" s="1"/>
      <c r="C1863" s="1">
        <v>97.0</v>
      </c>
      <c r="D1863" s="2"/>
      <c r="E1863" s="2"/>
      <c r="F1863" s="2"/>
      <c r="G1863" s="2"/>
      <c r="H1863" s="2"/>
    </row>
    <row r="1864">
      <c r="A1864" s="1" t="s">
        <v>1060</v>
      </c>
      <c r="B1864" s="1"/>
      <c r="C1864" s="1">
        <v>0.0</v>
      </c>
      <c r="D1864" s="2"/>
      <c r="E1864" s="2"/>
      <c r="F1864" s="2"/>
      <c r="G1864" s="2"/>
      <c r="H1864" s="2"/>
    </row>
    <row r="1865">
      <c r="A1865" s="1" t="s">
        <v>1061</v>
      </c>
      <c r="B1865" s="1"/>
      <c r="C1865" s="1">
        <v>0.0</v>
      </c>
      <c r="D1865" s="2"/>
      <c r="E1865" s="2"/>
      <c r="F1865" s="2"/>
      <c r="G1865" s="2"/>
      <c r="H1865" s="2"/>
    </row>
    <row r="1866">
      <c r="A1866" s="1" t="s">
        <v>1062</v>
      </c>
      <c r="B1866" s="1"/>
      <c r="C1866" s="1">
        <v>0.0</v>
      </c>
      <c r="D1866" s="2"/>
      <c r="E1866" s="2"/>
      <c r="F1866" s="2"/>
      <c r="G1866" s="2"/>
      <c r="H1866" s="2"/>
    </row>
    <row r="1867">
      <c r="A1867" s="1" t="s">
        <v>1063</v>
      </c>
      <c r="B1867" s="1"/>
      <c r="C1867" s="1">
        <v>84.0</v>
      </c>
      <c r="D1867" s="2"/>
      <c r="E1867" s="2"/>
      <c r="F1867" s="2"/>
      <c r="G1867" s="2"/>
      <c r="H1867" s="2"/>
    </row>
    <row r="1868">
      <c r="A1868" s="1" t="s">
        <v>1064</v>
      </c>
      <c r="B1868" s="1"/>
      <c r="C1868" s="1">
        <v>0.0</v>
      </c>
      <c r="D1868" s="2"/>
      <c r="E1868" s="2"/>
      <c r="F1868" s="2"/>
      <c r="G1868" s="2"/>
      <c r="H1868" s="2"/>
    </row>
    <row r="1869">
      <c r="A1869" s="1" t="s">
        <v>1065</v>
      </c>
      <c r="B1869" s="1"/>
      <c r="C1869" s="1">
        <v>26.0</v>
      </c>
      <c r="D1869" s="2"/>
      <c r="E1869" s="2"/>
      <c r="F1869" s="2"/>
      <c r="G1869" s="2"/>
      <c r="H1869" s="2"/>
    </row>
    <row r="1870">
      <c r="A1870" s="1" t="s">
        <v>1066</v>
      </c>
      <c r="B1870" s="1"/>
      <c r="C1870" s="1">
        <v>90.0</v>
      </c>
      <c r="D1870" s="2"/>
      <c r="E1870" s="2"/>
      <c r="F1870" s="2"/>
      <c r="G1870" s="2"/>
      <c r="H1870" s="2"/>
    </row>
    <row r="1871">
      <c r="A1871" s="1" t="s">
        <v>1067</v>
      </c>
      <c r="B1871" s="1"/>
      <c r="C1871" s="1">
        <v>0.0</v>
      </c>
      <c r="D1871" s="2"/>
      <c r="E1871" s="2"/>
      <c r="F1871" s="2"/>
      <c r="G1871" s="2"/>
      <c r="H1871" s="2"/>
    </row>
    <row r="1872">
      <c r="A1872" s="1" t="s">
        <v>1068</v>
      </c>
      <c r="B1872" s="1"/>
      <c r="C1872" s="1">
        <v>51.0</v>
      </c>
      <c r="D1872" s="2"/>
      <c r="E1872" s="2"/>
      <c r="F1872" s="2"/>
      <c r="G1872" s="2"/>
      <c r="H1872" s="2"/>
    </row>
    <row r="1873">
      <c r="A1873" s="1" t="s">
        <v>1069</v>
      </c>
      <c r="B1873" s="1"/>
      <c r="C1873" s="1">
        <v>0.0</v>
      </c>
      <c r="D1873" s="2"/>
      <c r="E1873" s="2"/>
      <c r="F1873" s="2"/>
      <c r="G1873" s="2"/>
      <c r="H1873" s="2"/>
    </row>
    <row r="1874">
      <c r="A1874" s="1" t="s">
        <v>1070</v>
      </c>
      <c r="B1874" s="1"/>
      <c r="C1874" s="1">
        <v>0.0</v>
      </c>
      <c r="D1874" s="2"/>
      <c r="E1874" s="2"/>
      <c r="F1874" s="2"/>
      <c r="G1874" s="2"/>
      <c r="H1874" s="2"/>
    </row>
    <row r="1875">
      <c r="A1875" s="1" t="s">
        <v>1071</v>
      </c>
      <c r="B1875" s="1"/>
      <c r="C1875" s="1">
        <v>0.0</v>
      </c>
      <c r="D1875" s="2"/>
      <c r="E1875" s="2"/>
      <c r="F1875" s="2"/>
      <c r="G1875" s="2"/>
      <c r="H1875" s="2"/>
    </row>
    <row r="1876">
      <c r="A1876" s="1" t="s">
        <v>1072</v>
      </c>
      <c r="B1876" s="1"/>
      <c r="C1876" s="1">
        <v>0.0</v>
      </c>
      <c r="D1876" s="2"/>
      <c r="E1876" s="2"/>
      <c r="F1876" s="2"/>
      <c r="G1876" s="2"/>
      <c r="H1876" s="2"/>
    </row>
    <row r="1877">
      <c r="A1877" s="1" t="s">
        <v>1073</v>
      </c>
      <c r="B1877" s="1"/>
      <c r="C1877" s="1">
        <v>0.0</v>
      </c>
      <c r="D1877" s="2"/>
      <c r="E1877" s="2"/>
      <c r="F1877" s="2"/>
      <c r="G1877" s="2"/>
      <c r="H1877" s="2"/>
    </row>
    <row r="1878">
      <c r="A1878" s="1" t="s">
        <v>1074</v>
      </c>
      <c r="B1878" s="1"/>
      <c r="C1878" s="1">
        <v>61.0</v>
      </c>
      <c r="D1878" s="2"/>
      <c r="E1878" s="2"/>
      <c r="F1878" s="2"/>
      <c r="G1878" s="2"/>
      <c r="H1878" s="2"/>
    </row>
    <row r="1879">
      <c r="A1879" s="1" t="s">
        <v>1075</v>
      </c>
      <c r="B1879" s="1"/>
      <c r="C1879" s="1">
        <v>0.0</v>
      </c>
      <c r="D1879" s="2"/>
      <c r="E1879" s="2"/>
      <c r="F1879" s="2"/>
      <c r="G1879" s="2"/>
      <c r="H1879" s="2"/>
    </row>
    <row r="1880">
      <c r="A1880" s="1" t="s">
        <v>1076</v>
      </c>
      <c r="B1880" s="1"/>
      <c r="C1880" s="1">
        <v>0.0</v>
      </c>
      <c r="D1880" s="2"/>
      <c r="E1880" s="2"/>
      <c r="F1880" s="2"/>
      <c r="G1880" s="2"/>
      <c r="H1880" s="2"/>
    </row>
    <row r="1881">
      <c r="A1881" s="1" t="s">
        <v>1077</v>
      </c>
      <c r="B1881" s="1"/>
      <c r="C1881" s="1">
        <v>0.0</v>
      </c>
      <c r="D1881" s="2"/>
      <c r="E1881" s="2"/>
      <c r="F1881" s="2"/>
      <c r="G1881" s="2"/>
      <c r="H1881" s="2"/>
    </row>
    <row r="1882">
      <c r="A1882" s="1" t="s">
        <v>1078</v>
      </c>
      <c r="B1882" s="1"/>
      <c r="C1882" s="1">
        <v>0.0</v>
      </c>
      <c r="D1882" s="2"/>
      <c r="E1882" s="2"/>
      <c r="F1882" s="2"/>
      <c r="G1882" s="2"/>
      <c r="H1882" s="2"/>
    </row>
    <row r="1883">
      <c r="A1883" s="1" t="s">
        <v>1007</v>
      </c>
      <c r="B1883" s="1"/>
      <c r="C1883" s="1">
        <v>0.0</v>
      </c>
      <c r="D1883" s="2"/>
      <c r="E1883" s="2"/>
      <c r="F1883" s="2"/>
      <c r="G1883" s="2"/>
      <c r="H1883" s="2"/>
    </row>
    <row r="1884">
      <c r="A1884" s="1" t="s">
        <v>1008</v>
      </c>
      <c r="B1884" s="1"/>
      <c r="C1884" s="1">
        <v>43.0</v>
      </c>
      <c r="D1884" s="2"/>
      <c r="E1884" s="2"/>
      <c r="F1884" s="2"/>
      <c r="G1884" s="2"/>
      <c r="H1884" s="2"/>
    </row>
    <row r="1885">
      <c r="A1885" s="1" t="s">
        <v>1009</v>
      </c>
      <c r="B1885" s="1"/>
      <c r="C1885" s="1">
        <v>0.0</v>
      </c>
      <c r="D1885" s="2"/>
      <c r="E1885" s="2"/>
      <c r="F1885" s="2"/>
      <c r="G1885" s="2"/>
      <c r="H1885" s="2"/>
    </row>
    <row r="1886">
      <c r="A1886" s="1" t="s">
        <v>1010</v>
      </c>
      <c r="B1886" s="1"/>
      <c r="C1886" s="1" t="s">
        <v>1011</v>
      </c>
      <c r="D1886" s="1">
        <v>0.0</v>
      </c>
      <c r="E1886" s="2"/>
      <c r="F1886" s="2"/>
      <c r="G1886" s="2"/>
      <c r="H1886" s="2"/>
    </row>
    <row r="1887">
      <c r="A1887" s="1" t="s">
        <v>1012</v>
      </c>
      <c r="B1887" s="1"/>
      <c r="C1887" s="1">
        <v>0.0</v>
      </c>
      <c r="D1887" s="2"/>
      <c r="E1887" s="2"/>
      <c r="F1887" s="2"/>
      <c r="G1887" s="2"/>
      <c r="H1887" s="2"/>
    </row>
    <row r="1888">
      <c r="A1888" s="1" t="s">
        <v>1013</v>
      </c>
      <c r="B1888" s="1"/>
      <c r="C1888" s="1">
        <v>60.0</v>
      </c>
      <c r="D1888" s="2"/>
      <c r="E1888" s="2"/>
      <c r="F1888" s="2"/>
      <c r="G1888" s="2"/>
      <c r="H1888" s="2"/>
    </row>
    <row r="1889">
      <c r="A1889" s="1" t="s">
        <v>1014</v>
      </c>
      <c r="B1889" s="1"/>
      <c r="C1889" s="1">
        <v>0.0</v>
      </c>
      <c r="D1889" s="2"/>
      <c r="E1889" s="2"/>
      <c r="F1889" s="2"/>
      <c r="G1889" s="2"/>
      <c r="H1889" s="2"/>
    </row>
    <row r="1890">
      <c r="A1890" s="1" t="s">
        <v>1015</v>
      </c>
      <c r="B1890" s="1"/>
      <c r="C1890" s="1">
        <v>0.0</v>
      </c>
      <c r="D1890" s="2"/>
      <c r="E1890" s="2"/>
      <c r="F1890" s="2"/>
      <c r="G1890" s="2"/>
      <c r="H1890" s="2"/>
    </row>
    <row r="1891">
      <c r="A1891" s="1" t="s">
        <v>1016</v>
      </c>
      <c r="B1891" s="1"/>
      <c r="C1891" s="1">
        <v>0.0</v>
      </c>
      <c r="D1891" s="2"/>
      <c r="E1891" s="2"/>
      <c r="F1891" s="2"/>
      <c r="G1891" s="2"/>
      <c r="H1891" s="2"/>
    </row>
    <row r="1892">
      <c r="A1892" s="1" t="s">
        <v>1017</v>
      </c>
      <c r="B1892" s="1"/>
      <c r="C1892" s="1" t="s">
        <v>1018</v>
      </c>
      <c r="D1892" s="1" t="s">
        <v>1019</v>
      </c>
      <c r="E1892" s="1">
        <v>96.0</v>
      </c>
      <c r="F1892" s="2"/>
      <c r="G1892" s="2"/>
      <c r="H1892" s="2"/>
    </row>
    <row r="1893">
      <c r="A1893" s="1" t="s">
        <v>1020</v>
      </c>
      <c r="B1893" s="1"/>
      <c r="C1893" s="1">
        <v>0.0</v>
      </c>
      <c r="D1893" s="2"/>
      <c r="E1893" s="2"/>
      <c r="F1893" s="2"/>
      <c r="G1893" s="2"/>
      <c r="H1893" s="2"/>
    </row>
    <row r="1894">
      <c r="A1894" s="1" t="s">
        <v>1021</v>
      </c>
      <c r="B1894" s="1"/>
      <c r="C1894" s="1">
        <v>0.0</v>
      </c>
      <c r="D1894" s="2"/>
      <c r="E1894" s="2"/>
      <c r="F1894" s="2"/>
      <c r="G1894" s="2"/>
      <c r="H1894" s="2"/>
    </row>
    <row r="1895">
      <c r="A1895" s="1" t="s">
        <v>1022</v>
      </c>
      <c r="B1895" s="1"/>
      <c r="C1895" s="1">
        <v>0.0</v>
      </c>
      <c r="D1895" s="2"/>
      <c r="E1895" s="2"/>
      <c r="F1895" s="2"/>
      <c r="G1895" s="2"/>
      <c r="H1895" s="2"/>
    </row>
    <row r="1896">
      <c r="A1896" s="1" t="s">
        <v>1023</v>
      </c>
      <c r="B1896" s="1"/>
      <c r="C1896" s="1">
        <v>6.0</v>
      </c>
      <c r="D1896" s="2"/>
      <c r="E1896" s="2"/>
      <c r="F1896" s="2"/>
      <c r="G1896" s="2"/>
      <c r="H1896" s="2"/>
    </row>
    <row r="1897">
      <c r="A1897" s="1" t="s">
        <v>1024</v>
      </c>
      <c r="B1897" s="1"/>
      <c r="C1897" s="1">
        <v>0.0</v>
      </c>
      <c r="D1897" s="2"/>
      <c r="E1897" s="2"/>
      <c r="F1897" s="2"/>
      <c r="G1897" s="2"/>
      <c r="H1897" s="2"/>
    </row>
    <row r="1898">
      <c r="A1898" s="1" t="s">
        <v>1025</v>
      </c>
      <c r="B1898" s="1"/>
      <c r="C1898" s="1">
        <v>50.0</v>
      </c>
      <c r="D1898" s="2"/>
      <c r="E1898" s="2"/>
      <c r="F1898" s="2"/>
      <c r="G1898" s="2"/>
      <c r="H1898" s="2"/>
    </row>
    <row r="1899">
      <c r="A1899" s="1" t="s">
        <v>1026</v>
      </c>
      <c r="B1899" s="1"/>
      <c r="C1899" s="1">
        <v>78.0</v>
      </c>
      <c r="D1899" s="2"/>
      <c r="E1899" s="2"/>
      <c r="F1899" s="2"/>
      <c r="G1899" s="2"/>
      <c r="H1899" s="2"/>
    </row>
    <row r="1900">
      <c r="A1900" s="1" t="s">
        <v>1027</v>
      </c>
      <c r="B1900" s="1"/>
      <c r="C1900" s="1">
        <v>10.0</v>
      </c>
      <c r="D1900" s="2"/>
      <c r="E1900" s="2"/>
      <c r="F1900" s="2"/>
      <c r="G1900" s="2"/>
      <c r="H1900" s="2"/>
    </row>
    <row r="1901">
      <c r="A1901" s="1" t="s">
        <v>1028</v>
      </c>
      <c r="B1901" s="1"/>
      <c r="C1901" s="1">
        <v>0.0</v>
      </c>
      <c r="D1901" s="2"/>
      <c r="E1901" s="2"/>
      <c r="F1901" s="2"/>
      <c r="G1901" s="2"/>
      <c r="H1901" s="2"/>
    </row>
    <row r="1902">
      <c r="A1902" s="1" t="s">
        <v>1029</v>
      </c>
      <c r="B1902" s="1"/>
      <c r="C1902" s="1">
        <v>80.0</v>
      </c>
      <c r="D1902" s="2"/>
      <c r="E1902" s="2"/>
      <c r="F1902" s="2"/>
      <c r="G1902" s="2"/>
      <c r="H1902" s="2"/>
    </row>
    <row r="1903">
      <c r="A1903" s="1" t="s">
        <v>1030</v>
      </c>
      <c r="B1903" s="1"/>
      <c r="C1903" s="1">
        <v>0.0</v>
      </c>
      <c r="D1903" s="2"/>
      <c r="E1903" s="2"/>
      <c r="F1903" s="2"/>
      <c r="G1903" s="2"/>
      <c r="H1903" s="2"/>
    </row>
    <row r="1904">
      <c r="A1904" s="1" t="s">
        <v>1031</v>
      </c>
      <c r="B1904" s="1"/>
      <c r="C1904" s="1">
        <v>0.0</v>
      </c>
      <c r="D1904" s="2"/>
      <c r="E1904" s="2"/>
      <c r="F1904" s="2"/>
      <c r="G1904" s="2"/>
      <c r="H1904" s="2"/>
    </row>
    <row r="1905">
      <c r="A1905" s="1" t="s">
        <v>1032</v>
      </c>
      <c r="B1905" s="1"/>
      <c r="C1905" s="1">
        <v>0.0</v>
      </c>
      <c r="D1905" s="2"/>
      <c r="E1905" s="2"/>
      <c r="F1905" s="2"/>
      <c r="G1905" s="2"/>
      <c r="H1905" s="2"/>
    </row>
    <row r="1906">
      <c r="A1906" s="1" t="s">
        <v>1033</v>
      </c>
      <c r="B1906" s="1"/>
      <c r="C1906" s="1">
        <v>90.0</v>
      </c>
      <c r="D1906" s="2"/>
      <c r="E1906" s="2"/>
      <c r="F1906" s="2"/>
      <c r="G1906" s="2"/>
      <c r="H1906" s="2"/>
    </row>
    <row r="1907">
      <c r="A1907" s="1" t="s">
        <v>1034</v>
      </c>
      <c r="B1907" s="1"/>
      <c r="C1907" s="1">
        <v>40.0</v>
      </c>
      <c r="D1907" s="2"/>
      <c r="E1907" s="2"/>
      <c r="F1907" s="2"/>
      <c r="G1907" s="2"/>
      <c r="H1907" s="2"/>
    </row>
    <row r="1908">
      <c r="A1908" s="1" t="s">
        <v>1035</v>
      </c>
      <c r="B1908" s="1"/>
      <c r="C1908" s="1">
        <v>20.0</v>
      </c>
      <c r="D1908" s="2"/>
      <c r="E1908" s="2"/>
      <c r="F1908" s="2"/>
      <c r="G1908" s="2"/>
      <c r="H1908" s="2"/>
    </row>
    <row r="1909">
      <c r="A1909" s="1" t="s">
        <v>1036</v>
      </c>
      <c r="B1909" s="1"/>
      <c r="C1909" s="1">
        <v>0.0</v>
      </c>
      <c r="D1909" s="2"/>
      <c r="E1909" s="2"/>
      <c r="F1909" s="2"/>
      <c r="G1909" s="2"/>
      <c r="H1909" s="2"/>
    </row>
    <row r="1910">
      <c r="A1910" s="1" t="s">
        <v>1037</v>
      </c>
      <c r="B1910" s="1"/>
      <c r="C1910" s="1">
        <v>70.0</v>
      </c>
      <c r="D1910" s="2"/>
      <c r="E1910" s="2"/>
      <c r="F1910" s="2"/>
      <c r="G1910" s="2"/>
      <c r="H1910" s="2"/>
    </row>
    <row r="1911">
      <c r="A1911" s="1" t="s">
        <v>1038</v>
      </c>
      <c r="B1911" s="1"/>
      <c r="C1911" s="1">
        <v>67.0</v>
      </c>
      <c r="D1911" s="2"/>
      <c r="E1911" s="2"/>
      <c r="F1911" s="2"/>
      <c r="G1911" s="2"/>
      <c r="H1911" s="2"/>
    </row>
    <row r="1912">
      <c r="A1912" s="1" t="s">
        <v>1039</v>
      </c>
      <c r="B1912" s="1"/>
      <c r="C1912" s="1">
        <v>0.0</v>
      </c>
      <c r="D1912" s="2"/>
      <c r="E1912" s="2"/>
      <c r="F1912" s="2"/>
      <c r="G1912" s="2"/>
      <c r="H1912" s="2"/>
    </row>
    <row r="1913">
      <c r="A1913" s="1" t="s">
        <v>1040</v>
      </c>
      <c r="B1913" s="1"/>
      <c r="C1913" s="1">
        <v>40.0</v>
      </c>
      <c r="D1913" s="2"/>
      <c r="E1913" s="2"/>
      <c r="F1913" s="2"/>
      <c r="G1913" s="2"/>
      <c r="H1913" s="2"/>
    </row>
    <row r="1914">
      <c r="A1914" s="1" t="s">
        <v>1041</v>
      </c>
      <c r="B1914" s="1"/>
      <c r="C1914" s="1">
        <v>0.0</v>
      </c>
      <c r="D1914" s="2"/>
      <c r="E1914" s="2"/>
      <c r="F1914" s="2"/>
      <c r="G1914" s="2"/>
      <c r="H1914" s="2"/>
    </row>
    <row r="1915">
      <c r="A1915" s="1" t="s">
        <v>1042</v>
      </c>
      <c r="B1915" s="1"/>
      <c r="C1915" s="1">
        <v>0.0</v>
      </c>
      <c r="D1915" s="2"/>
      <c r="E1915" s="2"/>
      <c r="F1915" s="2"/>
      <c r="G1915" s="2"/>
      <c r="H1915" s="2"/>
    </row>
    <row r="1916">
      <c r="A1916" s="1" t="s">
        <v>1043</v>
      </c>
      <c r="B1916" s="1"/>
      <c r="C1916" s="1">
        <v>0.0</v>
      </c>
      <c r="D1916" s="2"/>
      <c r="E1916" s="2"/>
      <c r="F1916" s="2"/>
      <c r="G1916" s="2"/>
      <c r="H1916" s="2"/>
    </row>
    <row r="1917">
      <c r="A1917" s="1" t="s">
        <v>1044</v>
      </c>
      <c r="B1917" s="1"/>
      <c r="C1917" s="1">
        <v>32.0</v>
      </c>
      <c r="D1917" s="2"/>
      <c r="E1917" s="2"/>
      <c r="F1917" s="2"/>
      <c r="G1917" s="2"/>
      <c r="H1917" s="2"/>
    </row>
    <row r="1918">
      <c r="A1918" s="1" t="s">
        <v>1045</v>
      </c>
      <c r="B1918" s="1"/>
      <c r="C1918" s="1">
        <v>53.0</v>
      </c>
      <c r="D1918" s="2"/>
      <c r="E1918" s="2"/>
      <c r="F1918" s="2"/>
      <c r="G1918" s="2"/>
      <c r="H1918" s="2"/>
    </row>
    <row r="1919">
      <c r="A1919" s="1" t="s">
        <v>1046</v>
      </c>
      <c r="B1919" s="1"/>
      <c r="C1919" s="1">
        <v>37.0</v>
      </c>
      <c r="D1919" s="2"/>
      <c r="E1919" s="2"/>
      <c r="F1919" s="2"/>
      <c r="G1919" s="2"/>
      <c r="H1919" s="2"/>
    </row>
    <row r="1920">
      <c r="A1920" s="1" t="s">
        <v>1047</v>
      </c>
      <c r="B1920" s="1"/>
      <c r="C1920" s="1">
        <v>0.0</v>
      </c>
      <c r="D1920" s="2"/>
      <c r="E1920" s="2"/>
      <c r="F1920" s="2"/>
      <c r="G1920" s="2"/>
      <c r="H1920" s="2"/>
    </row>
    <row r="1921">
      <c r="A1921" s="1" t="s">
        <v>1048</v>
      </c>
      <c r="B1921" s="1"/>
      <c r="C1921" s="1">
        <v>0.0</v>
      </c>
      <c r="D1921" s="2"/>
      <c r="E1921" s="2"/>
      <c r="F1921" s="2"/>
      <c r="G1921" s="2"/>
      <c r="H1921" s="2"/>
    </row>
    <row r="1922">
      <c r="A1922" s="1" t="s">
        <v>1049</v>
      </c>
      <c r="B1922" s="1"/>
      <c r="C1922" s="1">
        <v>0.0</v>
      </c>
      <c r="D1922" s="2"/>
      <c r="E1922" s="2"/>
      <c r="F1922" s="2"/>
      <c r="G1922" s="2"/>
      <c r="H1922" s="2"/>
    </row>
    <row r="1923">
      <c r="A1923" s="1" t="s">
        <v>1050</v>
      </c>
      <c r="B1923" s="1"/>
      <c r="C1923" s="1">
        <v>8.0</v>
      </c>
      <c r="D1923" s="2"/>
      <c r="E1923" s="2"/>
      <c r="F1923" s="2"/>
      <c r="G1923" s="2"/>
      <c r="H1923" s="2"/>
    </row>
    <row r="1924">
      <c r="A1924" s="1" t="s">
        <v>1051</v>
      </c>
      <c r="B1924" s="1"/>
      <c r="C1924" s="1">
        <v>0.0</v>
      </c>
      <c r="D1924" s="2"/>
      <c r="E1924" s="2"/>
      <c r="F1924" s="2"/>
      <c r="G1924" s="2"/>
      <c r="H1924" s="2"/>
    </row>
    <row r="1925">
      <c r="A1925" s="1" t="s">
        <v>1052</v>
      </c>
      <c r="B1925" s="1"/>
      <c r="C1925" s="1">
        <v>0.0</v>
      </c>
      <c r="D1925" s="2"/>
      <c r="E1925" s="2"/>
      <c r="F1925" s="2"/>
      <c r="G1925" s="2"/>
      <c r="H1925" s="2"/>
    </row>
    <row r="1926">
      <c r="A1926" s="1" t="s">
        <v>1053</v>
      </c>
      <c r="B1926" s="1"/>
      <c r="C1926" s="1">
        <v>70.0</v>
      </c>
      <c r="D1926" s="2"/>
      <c r="E1926" s="2"/>
      <c r="F1926" s="2"/>
      <c r="G1926" s="2"/>
      <c r="H1926" s="2"/>
    </row>
    <row r="1927">
      <c r="A1927" s="1" t="s">
        <v>1054</v>
      </c>
      <c r="B1927" s="1"/>
      <c r="C1927" s="1">
        <v>48.0</v>
      </c>
      <c r="D1927" s="2"/>
      <c r="E1927" s="2"/>
      <c r="F1927" s="2"/>
      <c r="G1927" s="2"/>
      <c r="H1927" s="2"/>
    </row>
    <row r="1928">
      <c r="A1928" s="1" t="s">
        <v>1055</v>
      </c>
      <c r="B1928" s="1"/>
      <c r="C1928" s="1">
        <v>0.0</v>
      </c>
      <c r="D1928" s="2"/>
      <c r="E1928" s="2"/>
      <c r="F1928" s="2"/>
      <c r="G1928" s="2"/>
      <c r="H1928" s="2"/>
    </row>
    <row r="1929">
      <c r="A1929" s="1" t="s">
        <v>1056</v>
      </c>
      <c r="B1929" s="1"/>
      <c r="C1929" s="1">
        <v>0.0</v>
      </c>
      <c r="D1929" s="2"/>
      <c r="E1929" s="2"/>
      <c r="F1929" s="2"/>
      <c r="G1929" s="2"/>
      <c r="H1929" s="2"/>
    </row>
    <row r="1930">
      <c r="A1930" s="1" t="s">
        <v>1057</v>
      </c>
      <c r="B1930" s="1"/>
      <c r="C1930" s="1">
        <v>20.0</v>
      </c>
      <c r="D1930" s="2"/>
      <c r="E1930" s="2"/>
      <c r="F1930" s="2"/>
      <c r="G1930" s="2"/>
      <c r="H1930" s="2"/>
    </row>
    <row r="1931">
      <c r="A1931" s="1" t="s">
        <v>1058</v>
      </c>
      <c r="B1931" s="1"/>
      <c r="C1931" s="1">
        <v>74.0</v>
      </c>
      <c r="D1931" s="2"/>
      <c r="E1931" s="2"/>
      <c r="F1931" s="2"/>
      <c r="G1931" s="2"/>
      <c r="H1931" s="2"/>
    </row>
    <row r="1932">
      <c r="A1932" s="1" t="s">
        <v>1059</v>
      </c>
      <c r="B1932" s="1"/>
      <c r="C1932" s="1">
        <v>97.0</v>
      </c>
      <c r="D1932" s="2"/>
      <c r="E1932" s="2"/>
      <c r="F1932" s="2"/>
      <c r="G1932" s="2"/>
      <c r="H1932" s="2"/>
    </row>
    <row r="1933">
      <c r="A1933" s="1" t="s">
        <v>1060</v>
      </c>
      <c r="B1933" s="1"/>
      <c r="C1933" s="1">
        <v>0.0</v>
      </c>
      <c r="D1933" s="2"/>
      <c r="E1933" s="2"/>
      <c r="F1933" s="2"/>
      <c r="G1933" s="2"/>
      <c r="H1933" s="2"/>
    </row>
    <row r="1934">
      <c r="A1934" s="1" t="s">
        <v>1061</v>
      </c>
      <c r="B1934" s="1"/>
      <c r="C1934" s="1">
        <v>0.0</v>
      </c>
      <c r="D1934" s="2"/>
      <c r="E1934" s="2"/>
      <c r="F1934" s="2"/>
      <c r="G1934" s="2"/>
      <c r="H1934" s="2"/>
    </row>
    <row r="1935">
      <c r="A1935" s="1" t="s">
        <v>1062</v>
      </c>
      <c r="B1935" s="1"/>
      <c r="C1935" s="1">
        <v>0.0</v>
      </c>
      <c r="D1935" s="2"/>
      <c r="E1935" s="2"/>
      <c r="F1935" s="2"/>
      <c r="G1935" s="2"/>
      <c r="H1935" s="2"/>
    </row>
    <row r="1936">
      <c r="A1936" s="1" t="s">
        <v>1063</v>
      </c>
      <c r="B1936" s="1"/>
      <c r="C1936" s="1">
        <v>84.0</v>
      </c>
      <c r="D1936" s="2"/>
      <c r="E1936" s="2"/>
      <c r="F1936" s="2"/>
      <c r="G1936" s="2"/>
      <c r="H1936" s="2"/>
    </row>
    <row r="1937">
      <c r="A1937" s="1" t="s">
        <v>1064</v>
      </c>
      <c r="B1937" s="1"/>
      <c r="C1937" s="1">
        <v>0.0</v>
      </c>
      <c r="D1937" s="2"/>
      <c r="E1937" s="2"/>
      <c r="F1937" s="2"/>
      <c r="G1937" s="2"/>
      <c r="H1937" s="2"/>
    </row>
    <row r="1938">
      <c r="A1938" s="1" t="s">
        <v>1065</v>
      </c>
      <c r="B1938" s="1"/>
      <c r="C1938" s="1">
        <v>26.0</v>
      </c>
      <c r="D1938" s="2"/>
      <c r="E1938" s="2"/>
      <c r="F1938" s="2"/>
      <c r="G1938" s="2"/>
      <c r="H1938" s="2"/>
    </row>
    <row r="1939">
      <c r="A1939" s="1" t="s">
        <v>1066</v>
      </c>
      <c r="B1939" s="1"/>
      <c r="C1939" s="1">
        <v>90.0</v>
      </c>
      <c r="D1939" s="2"/>
      <c r="E1939" s="2"/>
      <c r="F1939" s="2"/>
      <c r="G1939" s="2"/>
      <c r="H1939" s="2"/>
    </row>
    <row r="1940">
      <c r="A1940" s="1" t="s">
        <v>1067</v>
      </c>
      <c r="B1940" s="1"/>
      <c r="C1940" s="1">
        <v>0.0</v>
      </c>
      <c r="D1940" s="2"/>
      <c r="E1940" s="2"/>
      <c r="F1940" s="2"/>
      <c r="G1940" s="2"/>
      <c r="H1940" s="2"/>
    </row>
    <row r="1941">
      <c r="A1941" s="1" t="s">
        <v>1068</v>
      </c>
      <c r="B1941" s="1"/>
      <c r="C1941" s="1">
        <v>51.0</v>
      </c>
      <c r="D1941" s="2"/>
      <c r="E1941" s="2"/>
      <c r="F1941" s="2"/>
      <c r="G1941" s="2"/>
      <c r="H1941" s="2"/>
    </row>
    <row r="1942">
      <c r="A1942" s="1" t="s">
        <v>1069</v>
      </c>
      <c r="B1942" s="1"/>
      <c r="C1942" s="1">
        <v>0.0</v>
      </c>
      <c r="D1942" s="2"/>
      <c r="E1942" s="2"/>
      <c r="F1942" s="2"/>
      <c r="G1942" s="2"/>
      <c r="H1942" s="2"/>
    </row>
    <row r="1943">
      <c r="A1943" s="1" t="s">
        <v>1070</v>
      </c>
      <c r="B1943" s="1"/>
      <c r="C1943" s="1">
        <v>0.0</v>
      </c>
      <c r="D1943" s="2"/>
      <c r="E1943" s="2"/>
      <c r="F1943" s="2"/>
      <c r="G1943" s="2"/>
      <c r="H1943" s="2"/>
    </row>
    <row r="1944">
      <c r="A1944" s="1" t="s">
        <v>1071</v>
      </c>
      <c r="B1944" s="1"/>
      <c r="C1944" s="1">
        <v>0.0</v>
      </c>
      <c r="D1944" s="2"/>
      <c r="E1944" s="2"/>
      <c r="F1944" s="2"/>
      <c r="G1944" s="2"/>
      <c r="H1944" s="2"/>
    </row>
    <row r="1945">
      <c r="A1945" s="1" t="s">
        <v>1072</v>
      </c>
      <c r="B1945" s="1"/>
      <c r="C1945" s="1">
        <v>0.0</v>
      </c>
      <c r="D1945" s="2"/>
      <c r="E1945" s="2"/>
      <c r="F1945" s="2"/>
      <c r="G1945" s="2"/>
      <c r="H1945" s="2"/>
    </row>
    <row r="1946">
      <c r="A1946" s="1" t="s">
        <v>1073</v>
      </c>
      <c r="B1946" s="1"/>
      <c r="C1946" s="1">
        <v>0.0</v>
      </c>
      <c r="D1946" s="2"/>
      <c r="E1946" s="2"/>
      <c r="F1946" s="2"/>
      <c r="G1946" s="2"/>
      <c r="H1946" s="2"/>
    </row>
    <row r="1947">
      <c r="A1947" s="1" t="s">
        <v>1074</v>
      </c>
      <c r="B1947" s="1"/>
      <c r="C1947" s="1">
        <v>61.0</v>
      </c>
      <c r="D1947" s="2"/>
      <c r="E1947" s="2"/>
      <c r="F1947" s="2"/>
      <c r="G1947" s="2"/>
      <c r="H1947" s="2"/>
    </row>
    <row r="1948">
      <c r="A1948" s="1" t="s">
        <v>1075</v>
      </c>
      <c r="B1948" s="1"/>
      <c r="C1948" s="1">
        <v>0.0</v>
      </c>
      <c r="D1948" s="2"/>
      <c r="E1948" s="2"/>
      <c r="F1948" s="2"/>
      <c r="G1948" s="2"/>
      <c r="H1948" s="2"/>
    </row>
    <row r="1949">
      <c r="A1949" s="1" t="s">
        <v>1076</v>
      </c>
      <c r="B1949" s="1"/>
      <c r="C1949" s="1">
        <v>0.0</v>
      </c>
      <c r="D1949" s="2"/>
      <c r="E1949" s="2"/>
      <c r="F1949" s="2"/>
      <c r="G1949" s="2"/>
      <c r="H1949" s="2"/>
    </row>
    <row r="1950">
      <c r="A1950" s="1" t="s">
        <v>1077</v>
      </c>
      <c r="B1950" s="1"/>
      <c r="C1950" s="1">
        <v>0.0</v>
      </c>
      <c r="D1950" s="2"/>
      <c r="E1950" s="2"/>
      <c r="F1950" s="2"/>
      <c r="G1950" s="2"/>
      <c r="H1950" s="2"/>
    </row>
    <row r="1951">
      <c r="A1951" s="1" t="s">
        <v>1078</v>
      </c>
      <c r="B1951" s="1"/>
      <c r="C1951" s="1">
        <v>0.0</v>
      </c>
      <c r="D1951" s="2"/>
      <c r="E1951" s="2"/>
      <c r="F1951" s="2"/>
      <c r="G1951" s="2"/>
      <c r="H1951" s="2"/>
    </row>
    <row r="1952">
      <c r="A1952" s="1" t="s">
        <v>1079</v>
      </c>
      <c r="B1952" s="1"/>
      <c r="C1952" s="1">
        <v>0.0</v>
      </c>
      <c r="D1952" s="2"/>
      <c r="E1952" s="2"/>
      <c r="F1952" s="2"/>
      <c r="G1952" s="2"/>
      <c r="H1952" s="2"/>
    </row>
    <row r="1953">
      <c r="A1953" s="1" t="s">
        <v>1080</v>
      </c>
      <c r="B1953" s="1"/>
      <c r="C1953" s="1">
        <v>0.0</v>
      </c>
      <c r="D1953" s="2"/>
      <c r="E1953" s="2"/>
      <c r="F1953" s="2"/>
      <c r="G1953" s="2"/>
      <c r="H1953" s="2"/>
    </row>
    <row r="1954">
      <c r="A1954" s="1" t="s">
        <v>1081</v>
      </c>
      <c r="B1954" s="1"/>
      <c r="C1954" s="1">
        <v>0.0</v>
      </c>
      <c r="D1954" s="2"/>
      <c r="E1954" s="2"/>
      <c r="F1954" s="2"/>
      <c r="G1954" s="2"/>
      <c r="H1954" s="2"/>
    </row>
    <row r="1955">
      <c r="A1955" s="1" t="s">
        <v>1082</v>
      </c>
      <c r="B1955" s="1"/>
      <c r="C1955" s="1" t="s">
        <v>1083</v>
      </c>
      <c r="D1955" s="1">
        <v>0.0</v>
      </c>
      <c r="E1955" s="2"/>
      <c r="F1955" s="2"/>
      <c r="G1955" s="2"/>
      <c r="H1955" s="2"/>
    </row>
    <row r="1956">
      <c r="A1956" s="1" t="s">
        <v>1084</v>
      </c>
      <c r="B1956" s="1"/>
      <c r="C1956" s="1">
        <v>0.0</v>
      </c>
      <c r="D1956" s="2"/>
      <c r="E1956" s="2"/>
      <c r="F1956" s="2"/>
      <c r="G1956" s="2"/>
      <c r="H1956" s="2"/>
    </row>
    <row r="1957">
      <c r="A1957" s="1" t="s">
        <v>1085</v>
      </c>
      <c r="B1957" s="1"/>
      <c r="C1957" s="1">
        <v>0.0</v>
      </c>
      <c r="D1957" s="2"/>
      <c r="E1957" s="2"/>
      <c r="F1957" s="2"/>
      <c r="G1957" s="2"/>
      <c r="H1957" s="2"/>
    </row>
    <row r="1958">
      <c r="A1958" s="1" t="s">
        <v>1086</v>
      </c>
      <c r="B1958" s="1"/>
      <c r="C1958" s="1">
        <v>2.0</v>
      </c>
      <c r="D1958" s="2"/>
      <c r="E1958" s="2"/>
      <c r="F1958" s="2"/>
      <c r="G1958" s="2"/>
      <c r="H1958" s="2"/>
    </row>
    <row r="1959">
      <c r="A1959" s="1" t="s">
        <v>1087</v>
      </c>
      <c r="B1959" s="1"/>
      <c r="C1959" s="1">
        <v>0.0</v>
      </c>
      <c r="D1959" s="2"/>
      <c r="E1959" s="2"/>
      <c r="F1959" s="2"/>
      <c r="G1959" s="2"/>
      <c r="H1959" s="2"/>
    </row>
    <row r="1960">
      <c r="A1960" s="1" t="s">
        <v>1088</v>
      </c>
      <c r="B1960" s="1"/>
      <c r="C1960" s="1" t="s">
        <v>1089</v>
      </c>
      <c r="D1960" s="1" t="s">
        <v>1090</v>
      </c>
      <c r="E1960" s="1">
        <v>0.0</v>
      </c>
      <c r="F1960" s="2"/>
      <c r="G1960" s="2"/>
      <c r="H1960" s="2"/>
    </row>
    <row r="1961">
      <c r="A1961" s="1" t="s">
        <v>1091</v>
      </c>
      <c r="B1961" s="1"/>
      <c r="C1961" s="1">
        <v>0.0</v>
      </c>
      <c r="D1961" s="2"/>
      <c r="E1961" s="2"/>
      <c r="F1961" s="2"/>
      <c r="G1961" s="2"/>
      <c r="H1961" s="2"/>
    </row>
    <row r="1962">
      <c r="A1962" s="1" t="s">
        <v>1092</v>
      </c>
      <c r="B1962" s="1"/>
      <c r="C1962" s="1">
        <v>0.0</v>
      </c>
      <c r="D1962" s="2"/>
      <c r="E1962" s="2"/>
      <c r="F1962" s="2"/>
      <c r="G1962" s="2"/>
      <c r="H1962" s="2"/>
    </row>
    <row r="1963">
      <c r="A1963" s="1" t="s">
        <v>1093</v>
      </c>
      <c r="B1963" s="1"/>
      <c r="C1963" s="1">
        <v>0.0</v>
      </c>
      <c r="D1963" s="2"/>
      <c r="E1963" s="2"/>
      <c r="F1963" s="2"/>
      <c r="G1963" s="2"/>
      <c r="H1963" s="2"/>
    </row>
    <row r="1964">
      <c r="A1964" s="1" t="s">
        <v>1094</v>
      </c>
      <c r="B1964" s="1"/>
      <c r="C1964" s="1">
        <v>0.0</v>
      </c>
      <c r="D1964" s="2"/>
      <c r="E1964" s="2"/>
      <c r="F1964" s="2"/>
      <c r="G1964" s="2"/>
      <c r="H1964" s="2"/>
    </row>
    <row r="1965">
      <c r="A1965" s="1" t="s">
        <v>1095</v>
      </c>
      <c r="B1965" s="1"/>
      <c r="C1965" s="1" t="s">
        <v>1096</v>
      </c>
      <c r="D1965" s="1">
        <v>18.0</v>
      </c>
      <c r="E1965" s="2"/>
      <c r="F1965" s="2"/>
      <c r="G1965" s="2"/>
      <c r="H1965" s="2"/>
    </row>
    <row r="1966">
      <c r="A1966" s="1" t="s">
        <v>1097</v>
      </c>
      <c r="B1966" s="1"/>
      <c r="C1966" s="1">
        <v>59.0</v>
      </c>
      <c r="D1966" s="2"/>
      <c r="E1966" s="2"/>
      <c r="F1966" s="2"/>
      <c r="G1966" s="2"/>
      <c r="H1966" s="2"/>
    </row>
    <row r="1967">
      <c r="A1967" s="1" t="s">
        <v>1098</v>
      </c>
      <c r="B1967" s="1"/>
      <c r="C1967" s="1">
        <v>70.0</v>
      </c>
      <c r="D1967" s="2"/>
      <c r="E1967" s="2"/>
      <c r="F1967" s="2"/>
      <c r="G1967" s="2"/>
      <c r="H1967" s="2"/>
    </row>
    <row r="1968">
      <c r="A1968" s="1" t="s">
        <v>1099</v>
      </c>
      <c r="B1968" s="1"/>
      <c r="C1968" s="1">
        <v>78.0</v>
      </c>
      <c r="D1968" s="2"/>
      <c r="E1968" s="2"/>
      <c r="F1968" s="2"/>
      <c r="G1968" s="2"/>
      <c r="H1968" s="2"/>
    </row>
    <row r="1969">
      <c r="A1969" s="1" t="s">
        <v>1100</v>
      </c>
      <c r="B1969" s="1"/>
      <c r="C1969" s="1">
        <v>11.0</v>
      </c>
      <c r="D1969" s="2"/>
      <c r="E1969" s="2"/>
      <c r="F1969" s="2"/>
      <c r="G1969" s="2"/>
      <c r="H1969" s="2"/>
    </row>
    <row r="1970">
      <c r="A1970" s="1" t="s">
        <v>1101</v>
      </c>
      <c r="B1970" s="1"/>
      <c r="C1970" s="1">
        <v>44.0</v>
      </c>
      <c r="D1970" s="2"/>
      <c r="E1970" s="2"/>
      <c r="F1970" s="2"/>
      <c r="G1970" s="2"/>
      <c r="H1970" s="2"/>
    </row>
    <row r="1971">
      <c r="A1971" s="1" t="s">
        <v>1102</v>
      </c>
      <c r="B1971" s="1"/>
      <c r="C1971" s="1">
        <v>10.0</v>
      </c>
      <c r="D1971" s="2"/>
      <c r="E1971" s="2"/>
      <c r="F1971" s="2"/>
      <c r="G1971" s="2"/>
      <c r="H1971" s="2"/>
    </row>
    <row r="1972">
      <c r="A1972" s="1" t="s">
        <v>1103</v>
      </c>
      <c r="B1972" s="1"/>
      <c r="C1972" s="1">
        <v>0.0</v>
      </c>
      <c r="D1972" s="2"/>
      <c r="E1972" s="2"/>
      <c r="F1972" s="2"/>
      <c r="G1972" s="2"/>
      <c r="H1972" s="2"/>
    </row>
    <row r="1973">
      <c r="A1973" s="1" t="s">
        <v>1104</v>
      </c>
      <c r="B1973" s="1"/>
      <c r="C1973" s="1">
        <v>0.0</v>
      </c>
      <c r="D1973" s="2"/>
      <c r="E1973" s="2"/>
      <c r="F1973" s="2"/>
      <c r="G1973" s="2"/>
      <c r="H1973" s="2"/>
    </row>
    <row r="1974">
      <c r="A1974" s="1" t="s">
        <v>1105</v>
      </c>
      <c r="B1974" s="1"/>
      <c r="C1974" s="1">
        <v>0.0</v>
      </c>
      <c r="D1974" s="2"/>
      <c r="E1974" s="2"/>
      <c r="F1974" s="2"/>
      <c r="G1974" s="2"/>
      <c r="H1974" s="2"/>
    </row>
    <row r="1975">
      <c r="A1975" s="1" t="s">
        <v>1106</v>
      </c>
      <c r="B1975" s="1"/>
      <c r="C1975" s="1">
        <v>32.0</v>
      </c>
      <c r="D1975" s="2"/>
      <c r="E1975" s="2"/>
      <c r="F1975" s="2"/>
      <c r="G1975" s="2"/>
      <c r="H1975" s="2"/>
    </row>
    <row r="1976">
      <c r="A1976" s="1" t="s">
        <v>1107</v>
      </c>
      <c r="B1976" s="1"/>
      <c r="C1976" s="1" t="s">
        <v>1108</v>
      </c>
      <c r="D1976" s="1">
        <v>12.0</v>
      </c>
      <c r="E1976" s="2"/>
      <c r="F1976" s="2"/>
      <c r="G1976" s="2"/>
      <c r="H1976" s="2"/>
    </row>
    <row r="1977">
      <c r="A1977" s="1" t="s">
        <v>1109</v>
      </c>
      <c r="B1977" s="1"/>
      <c r="C1977" s="1">
        <v>13.0</v>
      </c>
      <c r="D1977" s="2"/>
      <c r="E1977" s="2"/>
      <c r="F1977" s="2"/>
      <c r="G1977" s="2"/>
      <c r="H1977" s="2"/>
    </row>
    <row r="1978">
      <c r="A1978" s="1" t="s">
        <v>1110</v>
      </c>
      <c r="B1978" s="1"/>
      <c r="C1978" s="1">
        <v>40.0</v>
      </c>
      <c r="D1978" s="2"/>
      <c r="E1978" s="2"/>
      <c r="F1978" s="2"/>
      <c r="G1978" s="2"/>
      <c r="H1978" s="2"/>
    </row>
    <row r="1979">
      <c r="A1979" s="1" t="s">
        <v>1111</v>
      </c>
      <c r="B1979" s="1"/>
      <c r="C1979" s="1">
        <v>0.0</v>
      </c>
      <c r="D1979" s="2"/>
      <c r="E1979" s="2"/>
      <c r="F1979" s="2"/>
      <c r="G1979" s="2"/>
      <c r="H1979" s="2"/>
    </row>
    <row r="1980">
      <c r="A1980" s="1" t="s">
        <v>1112</v>
      </c>
      <c r="B1980" s="1"/>
      <c r="C1980" s="1">
        <v>0.0</v>
      </c>
      <c r="D1980" s="2"/>
      <c r="E1980" s="2"/>
      <c r="F1980" s="2"/>
      <c r="G1980" s="2"/>
      <c r="H1980" s="2"/>
    </row>
    <row r="1981">
      <c r="A1981" s="1" t="s">
        <v>1113</v>
      </c>
      <c r="B1981" s="1"/>
      <c r="C1981" s="1">
        <v>0.0</v>
      </c>
      <c r="D1981" s="2"/>
      <c r="E1981" s="2"/>
      <c r="F1981" s="2"/>
      <c r="G1981" s="2"/>
      <c r="H1981" s="2"/>
    </row>
    <row r="1982">
      <c r="A1982" s="1" t="s">
        <v>1114</v>
      </c>
      <c r="B1982" s="1"/>
      <c r="C1982" s="1">
        <v>0.0</v>
      </c>
      <c r="D1982" s="2"/>
      <c r="E1982" s="2"/>
      <c r="F1982" s="2"/>
      <c r="G1982" s="2"/>
      <c r="H1982" s="2"/>
    </row>
    <row r="1983">
      <c r="A1983" s="1" t="s">
        <v>1115</v>
      </c>
      <c r="B1983" s="1"/>
      <c r="C1983" s="1">
        <v>0.0</v>
      </c>
      <c r="D1983" s="2"/>
      <c r="E1983" s="2"/>
      <c r="F1983" s="2"/>
      <c r="G1983" s="2"/>
      <c r="H1983" s="2"/>
    </row>
    <row r="1984">
      <c r="A1984" s="1" t="s">
        <v>1116</v>
      </c>
      <c r="B1984" s="1"/>
      <c r="C1984" s="1">
        <v>0.0</v>
      </c>
      <c r="D1984" s="2"/>
      <c r="E1984" s="2"/>
      <c r="F1984" s="2"/>
      <c r="G1984" s="2"/>
      <c r="H1984" s="2"/>
    </row>
    <row r="1985">
      <c r="A1985" s="1" t="s">
        <v>1117</v>
      </c>
      <c r="B1985" s="1"/>
      <c r="C1985" s="1">
        <v>0.0</v>
      </c>
      <c r="D1985" s="2"/>
      <c r="E1985" s="2"/>
      <c r="F1985" s="2"/>
      <c r="G1985" s="2"/>
      <c r="H1985" s="2"/>
    </row>
    <row r="1986">
      <c r="A1986" s="1" t="s">
        <v>1118</v>
      </c>
      <c r="B1986" s="1"/>
      <c r="C1986" s="1">
        <v>0.0</v>
      </c>
      <c r="D1986" s="2"/>
      <c r="E1986" s="2"/>
      <c r="F1986" s="2"/>
      <c r="G1986" s="2"/>
      <c r="H1986" s="2"/>
    </row>
    <row r="1987">
      <c r="A1987" s="1" t="s">
        <v>1119</v>
      </c>
      <c r="B1987" s="1"/>
      <c r="C1987" s="1">
        <v>12.0</v>
      </c>
      <c r="D1987" s="2"/>
      <c r="E1987" s="2"/>
      <c r="F1987" s="2"/>
      <c r="G1987" s="2"/>
      <c r="H1987" s="2"/>
    </row>
    <row r="1988">
      <c r="A1988" s="1" t="s">
        <v>1120</v>
      </c>
      <c r="B1988" s="1"/>
      <c r="C1988" s="1">
        <v>0.0</v>
      </c>
      <c r="D1988" s="2"/>
      <c r="E1988" s="2"/>
      <c r="F1988" s="2"/>
      <c r="G1988" s="2"/>
      <c r="H1988" s="2"/>
    </row>
    <row r="1989">
      <c r="A1989" s="1" t="s">
        <v>1121</v>
      </c>
      <c r="B1989" s="1"/>
      <c r="C1989" s="1">
        <v>0.0</v>
      </c>
      <c r="D1989" s="2"/>
      <c r="E1989" s="2"/>
      <c r="F1989" s="2"/>
      <c r="G1989" s="2"/>
      <c r="H1989" s="2"/>
    </row>
    <row r="1990">
      <c r="A1990" s="1" t="s">
        <v>1122</v>
      </c>
      <c r="B1990" s="1"/>
      <c r="C1990" s="1">
        <v>0.0</v>
      </c>
      <c r="D1990" s="2"/>
      <c r="E1990" s="2"/>
      <c r="F1990" s="2"/>
      <c r="G1990" s="2"/>
      <c r="H1990" s="2"/>
    </row>
    <row r="1991">
      <c r="A1991" s="1" t="s">
        <v>1123</v>
      </c>
      <c r="B1991" s="1"/>
      <c r="C1991" s="1">
        <v>22.0</v>
      </c>
      <c r="D1991" s="2"/>
      <c r="E1991" s="2"/>
      <c r="F1991" s="2"/>
      <c r="G1991" s="2"/>
      <c r="H1991" s="2"/>
    </row>
    <row r="1992">
      <c r="A1992" s="1" t="s">
        <v>1124</v>
      </c>
      <c r="B1992" s="1"/>
      <c r="C1992" s="1">
        <v>60.0</v>
      </c>
      <c r="D1992" s="2"/>
      <c r="E1992" s="2"/>
      <c r="F1992" s="2"/>
      <c r="G1992" s="2"/>
      <c r="H1992" s="2"/>
    </row>
    <row r="1993">
      <c r="A1993" s="1" t="s">
        <v>1125</v>
      </c>
      <c r="B1993" s="1"/>
      <c r="C1993" s="1">
        <v>0.0</v>
      </c>
      <c r="D1993" s="2"/>
      <c r="E1993" s="2"/>
      <c r="F1993" s="2"/>
      <c r="G1993" s="2"/>
      <c r="H1993" s="2"/>
    </row>
    <row r="1994">
      <c r="A1994" s="1" t="s">
        <v>1126</v>
      </c>
      <c r="B1994" s="1"/>
      <c r="C1994" s="1">
        <v>60.0</v>
      </c>
      <c r="D1994" s="2"/>
      <c r="E1994" s="2"/>
      <c r="F1994" s="2"/>
      <c r="G1994" s="2"/>
      <c r="H1994" s="2"/>
    </row>
    <row r="1995">
      <c r="A1995" s="1" t="s">
        <v>1127</v>
      </c>
      <c r="B1995" s="1"/>
      <c r="C1995" s="1">
        <v>0.0</v>
      </c>
      <c r="D1995" s="2"/>
      <c r="E1995" s="2"/>
      <c r="F1995" s="2"/>
      <c r="G1995" s="2"/>
      <c r="H1995" s="2"/>
    </row>
    <row r="1996">
      <c r="A1996" s="1" t="s">
        <v>1128</v>
      </c>
      <c r="B1996" s="1"/>
      <c r="C1996" s="1">
        <v>80.0</v>
      </c>
      <c r="D1996" s="2"/>
      <c r="E1996" s="2"/>
      <c r="F1996" s="2"/>
      <c r="G1996" s="2"/>
      <c r="H1996" s="2"/>
    </row>
    <row r="1997">
      <c r="A1997" s="1" t="s">
        <v>1129</v>
      </c>
      <c r="B1997" s="1"/>
      <c r="C1997" s="1">
        <v>0.0</v>
      </c>
      <c r="D1997" s="2"/>
      <c r="E1997" s="2"/>
      <c r="F1997" s="2"/>
      <c r="G1997" s="2"/>
      <c r="H1997" s="2"/>
    </row>
    <row r="1998">
      <c r="A1998" s="1" t="s">
        <v>1130</v>
      </c>
      <c r="B1998" s="1"/>
      <c r="C1998" s="1">
        <v>0.0</v>
      </c>
      <c r="D1998" s="2"/>
      <c r="E1998" s="2"/>
      <c r="F1998" s="2"/>
      <c r="G1998" s="2"/>
      <c r="H1998" s="2"/>
    </row>
    <row r="1999">
      <c r="A1999" s="1" t="s">
        <v>1131</v>
      </c>
      <c r="B1999" s="1"/>
      <c r="C1999" s="1">
        <v>0.0</v>
      </c>
      <c r="D1999" s="2"/>
      <c r="E1999" s="2"/>
      <c r="F1999" s="2"/>
      <c r="G1999" s="2"/>
      <c r="H1999" s="2"/>
    </row>
    <row r="2000">
      <c r="A2000" s="1" t="s">
        <v>1132</v>
      </c>
      <c r="B2000" s="1"/>
      <c r="C2000" s="1">
        <v>0.0</v>
      </c>
      <c r="D2000" s="2"/>
      <c r="E2000" s="2"/>
      <c r="F2000" s="2"/>
      <c r="G2000" s="2"/>
      <c r="H2000" s="2"/>
    </row>
    <row r="2001">
      <c r="A2001" s="1" t="s">
        <v>1133</v>
      </c>
      <c r="B2001" s="1"/>
      <c r="C2001" s="1">
        <v>0.0</v>
      </c>
      <c r="D2001" s="2"/>
      <c r="E2001" s="2"/>
      <c r="F2001" s="2"/>
      <c r="G2001" s="2"/>
      <c r="H2001" s="2"/>
    </row>
    <row r="2002">
      <c r="A2002" s="1" t="s">
        <v>1134</v>
      </c>
      <c r="B2002" s="1"/>
      <c r="C2002" s="1">
        <v>0.0</v>
      </c>
      <c r="D2002" s="2"/>
      <c r="E2002" s="2"/>
      <c r="F2002" s="2"/>
      <c r="G2002" s="2"/>
      <c r="H2002" s="2"/>
    </row>
    <row r="2003">
      <c r="A2003" s="1" t="s">
        <v>1135</v>
      </c>
      <c r="B2003" s="1"/>
      <c r="C2003" s="1">
        <v>0.0</v>
      </c>
      <c r="D2003" s="2"/>
      <c r="E2003" s="2"/>
      <c r="F2003" s="2"/>
      <c r="G2003" s="2"/>
      <c r="H2003" s="2"/>
    </row>
    <row r="2004">
      <c r="A2004" s="1" t="s">
        <v>1136</v>
      </c>
      <c r="B2004" s="1"/>
      <c r="C2004" s="1">
        <v>0.0</v>
      </c>
      <c r="D2004" s="2"/>
      <c r="E2004" s="2"/>
      <c r="F2004" s="2"/>
      <c r="G2004" s="2"/>
      <c r="H2004" s="2"/>
    </row>
    <row r="2005">
      <c r="A2005" s="1" t="s">
        <v>1137</v>
      </c>
      <c r="B2005" s="1"/>
      <c r="C2005" s="1">
        <v>0.0</v>
      </c>
      <c r="D2005" s="2"/>
      <c r="E2005" s="2"/>
      <c r="F2005" s="2"/>
      <c r="G2005" s="2"/>
      <c r="H2005" s="2"/>
    </row>
    <row r="2006">
      <c r="A2006" s="1" t="s">
        <v>1138</v>
      </c>
      <c r="B2006" s="1"/>
      <c r="C2006" s="1">
        <v>0.0</v>
      </c>
      <c r="D2006" s="2"/>
      <c r="E2006" s="2"/>
      <c r="F2006" s="2"/>
      <c r="G2006" s="2"/>
      <c r="H2006" s="2"/>
    </row>
    <row r="2007">
      <c r="A2007" s="1" t="s">
        <v>1139</v>
      </c>
      <c r="B2007" s="1"/>
      <c r="C2007" s="1">
        <v>0.0</v>
      </c>
      <c r="D2007" s="2"/>
      <c r="E2007" s="2"/>
      <c r="F2007" s="2"/>
      <c r="G2007" s="2"/>
      <c r="H2007" s="2"/>
    </row>
    <row r="2008">
      <c r="A2008" s="1" t="s">
        <v>1140</v>
      </c>
      <c r="B2008" s="1"/>
      <c r="C2008" s="1">
        <v>0.0</v>
      </c>
      <c r="D2008" s="2"/>
      <c r="E2008" s="2"/>
      <c r="F2008" s="2"/>
      <c r="G2008" s="2"/>
      <c r="H2008" s="2"/>
    </row>
    <row r="2009">
      <c r="A2009" s="1" t="s">
        <v>1141</v>
      </c>
      <c r="B2009" s="1"/>
      <c r="C2009" s="1">
        <v>92.0</v>
      </c>
      <c r="D2009" s="2"/>
      <c r="E2009" s="2"/>
      <c r="F2009" s="2"/>
      <c r="G2009" s="2"/>
      <c r="H2009" s="2"/>
    </row>
    <row r="2010">
      <c r="A2010" s="1" t="s">
        <v>1142</v>
      </c>
      <c r="B2010" s="1"/>
      <c r="C2010" s="1">
        <v>0.0</v>
      </c>
      <c r="D2010" s="2"/>
      <c r="E2010" s="2"/>
      <c r="F2010" s="2"/>
      <c r="G2010" s="2"/>
      <c r="H2010" s="2"/>
    </row>
    <row r="2011">
      <c r="A2011" s="1" t="s">
        <v>1143</v>
      </c>
      <c r="B2011" s="1"/>
      <c r="C2011" s="1">
        <v>70.0</v>
      </c>
      <c r="D2011" s="2"/>
      <c r="E2011" s="2"/>
      <c r="F2011" s="2"/>
      <c r="G2011" s="2"/>
      <c r="H2011" s="2"/>
    </row>
    <row r="2012">
      <c r="A2012" s="1" t="s">
        <v>1144</v>
      </c>
      <c r="B2012" s="1"/>
      <c r="C2012" s="1">
        <v>0.0</v>
      </c>
      <c r="D2012" s="2"/>
      <c r="E2012" s="2"/>
      <c r="F2012" s="2"/>
      <c r="G2012" s="2"/>
      <c r="H2012" s="2"/>
    </row>
    <row r="2013">
      <c r="A2013" s="1" t="s">
        <v>1145</v>
      </c>
      <c r="B2013" s="1"/>
      <c r="C2013" s="1">
        <v>0.0</v>
      </c>
      <c r="D2013" s="2"/>
      <c r="E2013" s="2"/>
      <c r="F2013" s="2"/>
      <c r="G2013" s="2"/>
      <c r="H2013" s="2"/>
    </row>
    <row r="2014">
      <c r="A2014" s="1" t="s">
        <v>1146</v>
      </c>
      <c r="B2014" s="1"/>
      <c r="C2014" s="1">
        <v>0.0</v>
      </c>
      <c r="D2014" s="2"/>
      <c r="E2014" s="2"/>
      <c r="F2014" s="2"/>
      <c r="G2014" s="2"/>
      <c r="H2014" s="2"/>
    </row>
    <row r="2015">
      <c r="A2015" s="1" t="s">
        <v>1147</v>
      </c>
      <c r="B2015" s="1"/>
      <c r="C2015" s="1">
        <v>0.0</v>
      </c>
      <c r="D2015" s="2"/>
      <c r="E2015" s="2"/>
      <c r="F2015" s="2"/>
      <c r="G2015" s="2"/>
      <c r="H2015" s="2"/>
    </row>
    <row r="2016">
      <c r="A2016" s="1" t="s">
        <v>1148</v>
      </c>
      <c r="B2016" s="1"/>
      <c r="C2016" s="1">
        <v>0.0</v>
      </c>
      <c r="D2016" s="2"/>
      <c r="E2016" s="2"/>
      <c r="F2016" s="2"/>
      <c r="G2016" s="2"/>
      <c r="H2016" s="2"/>
    </row>
    <row r="2017">
      <c r="A2017" s="1" t="s">
        <v>1149</v>
      </c>
      <c r="B2017" s="1"/>
      <c r="C2017" s="1">
        <v>0.0</v>
      </c>
      <c r="D2017" s="2"/>
      <c r="E2017" s="2"/>
      <c r="F2017" s="2"/>
      <c r="G2017" s="2"/>
      <c r="H2017" s="2"/>
    </row>
    <row r="2018">
      <c r="A2018" s="1" t="s">
        <v>1150</v>
      </c>
      <c r="B2018" s="1"/>
      <c r="C2018" s="1">
        <v>0.0</v>
      </c>
      <c r="D2018" s="2"/>
      <c r="E2018" s="2"/>
      <c r="F2018" s="2"/>
      <c r="G2018" s="2"/>
      <c r="H2018" s="2"/>
    </row>
    <row r="2019">
      <c r="A2019" s="1" t="s">
        <v>1151</v>
      </c>
      <c r="B2019" s="1"/>
      <c r="C2019" s="1">
        <v>0.0</v>
      </c>
      <c r="D2019" s="2"/>
      <c r="E2019" s="2"/>
      <c r="F2019" s="2"/>
      <c r="G2019" s="2"/>
      <c r="H2019" s="2"/>
    </row>
    <row r="2020">
      <c r="A2020" s="1" t="s">
        <v>1152</v>
      </c>
      <c r="B2020" s="1"/>
      <c r="C2020" s="1">
        <v>0.0</v>
      </c>
      <c r="D2020" s="2"/>
      <c r="E2020" s="2"/>
      <c r="F2020" s="2"/>
      <c r="G2020" s="2"/>
      <c r="H2020" s="2"/>
    </row>
    <row r="2021">
      <c r="A2021" s="1" t="s">
        <v>1079</v>
      </c>
      <c r="B2021" s="1"/>
      <c r="C2021" s="1">
        <v>0.0</v>
      </c>
      <c r="D2021" s="2"/>
      <c r="E2021" s="2"/>
      <c r="F2021" s="2"/>
      <c r="G2021" s="2"/>
      <c r="H2021" s="2"/>
    </row>
    <row r="2022">
      <c r="A2022" s="1" t="s">
        <v>1080</v>
      </c>
      <c r="B2022" s="1"/>
      <c r="C2022" s="1">
        <v>0.0</v>
      </c>
      <c r="D2022" s="2"/>
      <c r="E2022" s="2"/>
      <c r="F2022" s="2"/>
      <c r="G2022" s="2"/>
      <c r="H2022" s="2"/>
    </row>
    <row r="2023">
      <c r="A2023" s="1" t="s">
        <v>1081</v>
      </c>
      <c r="B2023" s="1"/>
      <c r="C2023" s="1">
        <v>0.0</v>
      </c>
      <c r="D2023" s="2"/>
      <c r="E2023" s="2"/>
      <c r="F2023" s="2"/>
      <c r="G2023" s="2"/>
      <c r="H2023" s="2"/>
    </row>
    <row r="2024">
      <c r="A2024" s="1" t="s">
        <v>1082</v>
      </c>
      <c r="B2024" s="1"/>
      <c r="C2024" s="1" t="s">
        <v>1083</v>
      </c>
      <c r="D2024" s="1">
        <v>0.0</v>
      </c>
      <c r="E2024" s="2"/>
      <c r="F2024" s="2"/>
      <c r="G2024" s="2"/>
      <c r="H2024" s="2"/>
    </row>
    <row r="2025">
      <c r="A2025" s="1" t="s">
        <v>1084</v>
      </c>
      <c r="B2025" s="1"/>
      <c r="C2025" s="1">
        <v>0.0</v>
      </c>
      <c r="D2025" s="2"/>
      <c r="E2025" s="2"/>
      <c r="F2025" s="2"/>
      <c r="G2025" s="2"/>
      <c r="H2025" s="2"/>
    </row>
    <row r="2026">
      <c r="A2026" s="1" t="s">
        <v>1085</v>
      </c>
      <c r="B2026" s="1"/>
      <c r="C2026" s="1">
        <v>0.0</v>
      </c>
      <c r="D2026" s="2"/>
      <c r="E2026" s="2"/>
      <c r="F2026" s="2"/>
      <c r="G2026" s="2"/>
      <c r="H2026" s="2"/>
    </row>
    <row r="2027">
      <c r="A2027" s="1" t="s">
        <v>1086</v>
      </c>
      <c r="B2027" s="1"/>
      <c r="C2027" s="1">
        <v>2.0</v>
      </c>
      <c r="D2027" s="2"/>
      <c r="E2027" s="2"/>
      <c r="F2027" s="2"/>
      <c r="G2027" s="2"/>
      <c r="H2027" s="2"/>
    </row>
    <row r="2028">
      <c r="A2028" s="1" t="s">
        <v>1087</v>
      </c>
      <c r="B2028" s="1"/>
      <c r="C2028" s="1">
        <v>0.0</v>
      </c>
      <c r="D2028" s="2"/>
      <c r="E2028" s="2"/>
      <c r="F2028" s="2"/>
      <c r="G2028" s="2"/>
      <c r="H2028" s="2"/>
    </row>
    <row r="2029">
      <c r="A2029" s="1" t="s">
        <v>1088</v>
      </c>
      <c r="B2029" s="1"/>
      <c r="C2029" s="1" t="s">
        <v>1089</v>
      </c>
      <c r="D2029" s="1" t="s">
        <v>1090</v>
      </c>
      <c r="E2029" s="1">
        <v>0.0</v>
      </c>
      <c r="F2029" s="2"/>
      <c r="G2029" s="2"/>
      <c r="H2029" s="2"/>
    </row>
    <row r="2030">
      <c r="A2030" s="1" t="s">
        <v>1091</v>
      </c>
      <c r="B2030" s="1"/>
      <c r="C2030" s="1">
        <v>0.0</v>
      </c>
      <c r="D2030" s="2"/>
      <c r="E2030" s="2"/>
      <c r="F2030" s="2"/>
      <c r="G2030" s="2"/>
      <c r="H2030" s="2"/>
    </row>
    <row r="2031">
      <c r="A2031" s="1" t="s">
        <v>1092</v>
      </c>
      <c r="B2031" s="1"/>
      <c r="C2031" s="1">
        <v>0.0</v>
      </c>
      <c r="D2031" s="2"/>
      <c r="E2031" s="2"/>
      <c r="F2031" s="2"/>
      <c r="G2031" s="2"/>
      <c r="H2031" s="2"/>
    </row>
    <row r="2032">
      <c r="A2032" s="1" t="s">
        <v>1093</v>
      </c>
      <c r="B2032" s="1"/>
      <c r="C2032" s="1">
        <v>0.0</v>
      </c>
      <c r="D2032" s="2"/>
      <c r="E2032" s="2"/>
      <c r="F2032" s="2"/>
      <c r="G2032" s="2"/>
      <c r="H2032" s="2"/>
    </row>
    <row r="2033">
      <c r="A2033" s="1" t="s">
        <v>1094</v>
      </c>
      <c r="B2033" s="1"/>
      <c r="C2033" s="1">
        <v>0.0</v>
      </c>
      <c r="D2033" s="2"/>
      <c r="E2033" s="2"/>
      <c r="F2033" s="2"/>
      <c r="G2033" s="2"/>
      <c r="H2033" s="2"/>
    </row>
    <row r="2034">
      <c r="A2034" s="1" t="s">
        <v>1095</v>
      </c>
      <c r="B2034" s="1"/>
      <c r="C2034" s="1" t="s">
        <v>1096</v>
      </c>
      <c r="D2034" s="1">
        <v>18.0</v>
      </c>
      <c r="E2034" s="2"/>
      <c r="F2034" s="2"/>
      <c r="G2034" s="2"/>
      <c r="H2034" s="2"/>
    </row>
    <row r="2035">
      <c r="A2035" s="1" t="s">
        <v>1097</v>
      </c>
      <c r="B2035" s="1"/>
      <c r="C2035" s="1">
        <v>59.0</v>
      </c>
      <c r="D2035" s="2"/>
      <c r="E2035" s="2"/>
      <c r="F2035" s="2"/>
      <c r="G2035" s="2"/>
      <c r="H2035" s="2"/>
    </row>
    <row r="2036">
      <c r="A2036" s="1" t="s">
        <v>1098</v>
      </c>
      <c r="B2036" s="1"/>
      <c r="C2036" s="1">
        <v>70.0</v>
      </c>
      <c r="D2036" s="2"/>
      <c r="E2036" s="2"/>
      <c r="F2036" s="2"/>
      <c r="G2036" s="2"/>
      <c r="H2036" s="2"/>
    </row>
    <row r="2037">
      <c r="A2037" s="1" t="s">
        <v>1099</v>
      </c>
      <c r="B2037" s="1"/>
      <c r="C2037" s="1">
        <v>78.0</v>
      </c>
      <c r="D2037" s="2"/>
      <c r="E2037" s="2"/>
      <c r="F2037" s="2"/>
      <c r="G2037" s="2"/>
      <c r="H2037" s="2"/>
    </row>
    <row r="2038">
      <c r="A2038" s="1" t="s">
        <v>1100</v>
      </c>
      <c r="B2038" s="1"/>
      <c r="C2038" s="1">
        <v>11.0</v>
      </c>
      <c r="D2038" s="2"/>
      <c r="E2038" s="2"/>
      <c r="F2038" s="2"/>
      <c r="G2038" s="2"/>
      <c r="H2038" s="2"/>
    </row>
    <row r="2039">
      <c r="A2039" s="1" t="s">
        <v>1101</v>
      </c>
      <c r="B2039" s="1"/>
      <c r="C2039" s="1">
        <v>44.0</v>
      </c>
      <c r="D2039" s="2"/>
      <c r="E2039" s="2"/>
      <c r="F2039" s="2"/>
      <c r="G2039" s="2"/>
      <c r="H2039" s="2"/>
    </row>
    <row r="2040">
      <c r="A2040" s="1" t="s">
        <v>1102</v>
      </c>
      <c r="B2040" s="1"/>
      <c r="C2040" s="1">
        <v>10.0</v>
      </c>
      <c r="D2040" s="2"/>
      <c r="E2040" s="2"/>
      <c r="F2040" s="2"/>
      <c r="G2040" s="2"/>
      <c r="H2040" s="2"/>
    </row>
    <row r="2041">
      <c r="A2041" s="1" t="s">
        <v>1103</v>
      </c>
      <c r="B2041" s="1"/>
      <c r="C2041" s="1">
        <v>0.0</v>
      </c>
      <c r="D2041" s="2"/>
      <c r="E2041" s="2"/>
      <c r="F2041" s="2"/>
      <c r="G2041" s="2"/>
      <c r="H2041" s="2"/>
    </row>
    <row r="2042">
      <c r="A2042" s="1" t="s">
        <v>1104</v>
      </c>
      <c r="B2042" s="1"/>
      <c r="C2042" s="1">
        <v>0.0</v>
      </c>
      <c r="D2042" s="2"/>
      <c r="E2042" s="2"/>
      <c r="F2042" s="2"/>
      <c r="G2042" s="2"/>
      <c r="H2042" s="2"/>
    </row>
    <row r="2043">
      <c r="A2043" s="1" t="s">
        <v>1105</v>
      </c>
      <c r="B2043" s="1"/>
      <c r="C2043" s="1">
        <v>0.0</v>
      </c>
      <c r="D2043" s="2"/>
      <c r="E2043" s="2"/>
      <c r="F2043" s="2"/>
      <c r="G2043" s="2"/>
      <c r="H2043" s="2"/>
    </row>
    <row r="2044">
      <c r="A2044" s="1" t="s">
        <v>1106</v>
      </c>
      <c r="B2044" s="1"/>
      <c r="C2044" s="1">
        <v>32.0</v>
      </c>
      <c r="D2044" s="2"/>
      <c r="E2044" s="2"/>
      <c r="F2044" s="2"/>
      <c r="G2044" s="2"/>
      <c r="H2044" s="2"/>
    </row>
    <row r="2045">
      <c r="A2045" s="1" t="s">
        <v>1107</v>
      </c>
      <c r="B2045" s="1"/>
      <c r="C2045" s="1" t="s">
        <v>1108</v>
      </c>
      <c r="D2045" s="1">
        <v>12.0</v>
      </c>
      <c r="E2045" s="2"/>
      <c r="F2045" s="2"/>
      <c r="G2045" s="2"/>
      <c r="H2045" s="2"/>
    </row>
    <row r="2046">
      <c r="A2046" s="1" t="s">
        <v>1109</v>
      </c>
      <c r="B2046" s="1"/>
      <c r="C2046" s="1">
        <v>13.0</v>
      </c>
      <c r="D2046" s="2"/>
      <c r="E2046" s="2"/>
      <c r="F2046" s="2"/>
      <c r="G2046" s="2"/>
      <c r="H2046" s="2"/>
    </row>
    <row r="2047">
      <c r="A2047" s="1" t="s">
        <v>1110</v>
      </c>
      <c r="B2047" s="1"/>
      <c r="C2047" s="1">
        <v>40.0</v>
      </c>
      <c r="D2047" s="2"/>
      <c r="E2047" s="2"/>
      <c r="F2047" s="2"/>
      <c r="G2047" s="2"/>
      <c r="H2047" s="2"/>
    </row>
    <row r="2048">
      <c r="A2048" s="1" t="s">
        <v>1111</v>
      </c>
      <c r="B2048" s="1"/>
      <c r="C2048" s="1">
        <v>0.0</v>
      </c>
      <c r="D2048" s="2"/>
      <c r="E2048" s="2"/>
      <c r="F2048" s="2"/>
      <c r="G2048" s="2"/>
      <c r="H2048" s="2"/>
    </row>
    <row r="2049">
      <c r="A2049" s="1" t="s">
        <v>1112</v>
      </c>
      <c r="B2049" s="1"/>
      <c r="C2049" s="1">
        <v>0.0</v>
      </c>
      <c r="D2049" s="2"/>
      <c r="E2049" s="2"/>
      <c r="F2049" s="2"/>
      <c r="G2049" s="2"/>
      <c r="H2049" s="2"/>
    </row>
    <row r="2050">
      <c r="A2050" s="1" t="s">
        <v>1113</v>
      </c>
      <c r="B2050" s="1"/>
      <c r="C2050" s="1">
        <v>0.0</v>
      </c>
      <c r="D2050" s="2"/>
      <c r="E2050" s="2"/>
      <c r="F2050" s="2"/>
      <c r="G2050" s="2"/>
      <c r="H2050" s="2"/>
    </row>
    <row r="2051">
      <c r="A2051" s="1" t="s">
        <v>1114</v>
      </c>
      <c r="B2051" s="1"/>
      <c r="C2051" s="1">
        <v>0.0</v>
      </c>
      <c r="D2051" s="2"/>
      <c r="E2051" s="2"/>
      <c r="F2051" s="2"/>
      <c r="G2051" s="2"/>
      <c r="H2051" s="2"/>
    </row>
    <row r="2052">
      <c r="A2052" s="1" t="s">
        <v>1115</v>
      </c>
      <c r="B2052" s="1"/>
      <c r="C2052" s="1">
        <v>0.0</v>
      </c>
      <c r="D2052" s="2"/>
      <c r="E2052" s="2"/>
      <c r="F2052" s="2"/>
      <c r="G2052" s="2"/>
      <c r="H2052" s="2"/>
    </row>
    <row r="2053">
      <c r="A2053" s="1" t="s">
        <v>1116</v>
      </c>
      <c r="B2053" s="1"/>
      <c r="C2053" s="1">
        <v>0.0</v>
      </c>
      <c r="D2053" s="2"/>
      <c r="E2053" s="2"/>
      <c r="F2053" s="2"/>
      <c r="G2053" s="2"/>
      <c r="H2053" s="2"/>
    </row>
    <row r="2054">
      <c r="A2054" s="1" t="s">
        <v>1117</v>
      </c>
      <c r="B2054" s="1"/>
      <c r="C2054" s="1">
        <v>0.0</v>
      </c>
      <c r="D2054" s="2"/>
      <c r="E2054" s="2"/>
      <c r="F2054" s="2"/>
      <c r="G2054" s="2"/>
      <c r="H2054" s="2"/>
    </row>
    <row r="2055">
      <c r="A2055" s="1" t="s">
        <v>1118</v>
      </c>
      <c r="B2055" s="1"/>
      <c r="C2055" s="1">
        <v>0.0</v>
      </c>
      <c r="D2055" s="2"/>
      <c r="E2055" s="2"/>
      <c r="F2055" s="2"/>
      <c r="G2055" s="2"/>
      <c r="H2055" s="2"/>
    </row>
    <row r="2056">
      <c r="A2056" s="1" t="s">
        <v>1119</v>
      </c>
      <c r="B2056" s="1"/>
      <c r="C2056" s="1">
        <v>12.0</v>
      </c>
      <c r="D2056" s="2"/>
      <c r="E2056" s="2"/>
      <c r="F2056" s="2"/>
      <c r="G2056" s="2"/>
      <c r="H2056" s="2"/>
    </row>
    <row r="2057">
      <c r="A2057" s="1" t="s">
        <v>1120</v>
      </c>
      <c r="B2057" s="1"/>
      <c r="C2057" s="1">
        <v>0.0</v>
      </c>
      <c r="D2057" s="2"/>
      <c r="E2057" s="2"/>
      <c r="F2057" s="2"/>
      <c r="G2057" s="2"/>
      <c r="H2057" s="2"/>
    </row>
    <row r="2058">
      <c r="A2058" s="1" t="s">
        <v>1121</v>
      </c>
      <c r="B2058" s="1"/>
      <c r="C2058" s="1">
        <v>0.0</v>
      </c>
      <c r="D2058" s="2"/>
      <c r="E2058" s="2"/>
      <c r="F2058" s="2"/>
      <c r="G2058" s="2"/>
      <c r="H2058" s="2"/>
    </row>
    <row r="2059">
      <c r="A2059" s="1" t="s">
        <v>1122</v>
      </c>
      <c r="B2059" s="1"/>
      <c r="C2059" s="1">
        <v>0.0</v>
      </c>
      <c r="D2059" s="2"/>
      <c r="E2059" s="2"/>
      <c r="F2059" s="2"/>
      <c r="G2059" s="2"/>
      <c r="H2059" s="2"/>
    </row>
    <row r="2060">
      <c r="A2060" s="1" t="s">
        <v>1123</v>
      </c>
      <c r="B2060" s="1"/>
      <c r="C2060" s="1">
        <v>22.0</v>
      </c>
      <c r="D2060" s="2"/>
      <c r="E2060" s="2"/>
      <c r="F2060" s="2"/>
      <c r="G2060" s="2"/>
      <c r="H2060" s="2"/>
    </row>
    <row r="2061">
      <c r="A2061" s="1" t="s">
        <v>1124</v>
      </c>
      <c r="B2061" s="1"/>
      <c r="C2061" s="1">
        <v>60.0</v>
      </c>
      <c r="D2061" s="2"/>
      <c r="E2061" s="2"/>
      <c r="F2061" s="2"/>
      <c r="G2061" s="2"/>
      <c r="H2061" s="2"/>
    </row>
    <row r="2062">
      <c r="A2062" s="1" t="s">
        <v>1125</v>
      </c>
      <c r="B2062" s="1"/>
      <c r="C2062" s="1">
        <v>0.0</v>
      </c>
      <c r="D2062" s="2"/>
      <c r="E2062" s="2"/>
      <c r="F2062" s="2"/>
      <c r="G2062" s="2"/>
      <c r="H2062" s="2"/>
    </row>
    <row r="2063">
      <c r="A2063" s="1" t="s">
        <v>1126</v>
      </c>
      <c r="B2063" s="1"/>
      <c r="C2063" s="1">
        <v>60.0</v>
      </c>
      <c r="D2063" s="2"/>
      <c r="E2063" s="2"/>
      <c r="F2063" s="2"/>
      <c r="G2063" s="2"/>
      <c r="H2063" s="2"/>
    </row>
    <row r="2064">
      <c r="A2064" s="1" t="s">
        <v>1127</v>
      </c>
      <c r="B2064" s="1"/>
      <c r="C2064" s="1">
        <v>0.0</v>
      </c>
      <c r="D2064" s="2"/>
      <c r="E2064" s="2"/>
      <c r="F2064" s="2"/>
      <c r="G2064" s="2"/>
      <c r="H2064" s="2"/>
    </row>
    <row r="2065">
      <c r="A2065" s="1" t="s">
        <v>1128</v>
      </c>
      <c r="B2065" s="1"/>
      <c r="C2065" s="1">
        <v>80.0</v>
      </c>
      <c r="D2065" s="2"/>
      <c r="E2065" s="2"/>
      <c r="F2065" s="2"/>
      <c r="G2065" s="2"/>
      <c r="H2065" s="2"/>
    </row>
    <row r="2066">
      <c r="A2066" s="1" t="s">
        <v>1129</v>
      </c>
      <c r="B2066" s="1"/>
      <c r="C2066" s="1">
        <v>0.0</v>
      </c>
      <c r="D2066" s="2"/>
      <c r="E2066" s="2"/>
      <c r="F2066" s="2"/>
      <c r="G2066" s="2"/>
      <c r="H2066" s="2"/>
    </row>
    <row r="2067">
      <c r="A2067" s="1" t="s">
        <v>1130</v>
      </c>
      <c r="B2067" s="1"/>
      <c r="C2067" s="1">
        <v>0.0</v>
      </c>
      <c r="D2067" s="2"/>
      <c r="E2067" s="2"/>
      <c r="F2067" s="2"/>
      <c r="G2067" s="2"/>
      <c r="H2067" s="2"/>
    </row>
    <row r="2068">
      <c r="A2068" s="1" t="s">
        <v>1131</v>
      </c>
      <c r="B2068" s="1"/>
      <c r="C2068" s="1">
        <v>0.0</v>
      </c>
      <c r="D2068" s="2"/>
      <c r="E2068" s="2"/>
      <c r="F2068" s="2"/>
      <c r="G2068" s="2"/>
      <c r="H2068" s="2"/>
    </row>
    <row r="2069">
      <c r="A2069" s="1" t="s">
        <v>1132</v>
      </c>
      <c r="B2069" s="1"/>
      <c r="C2069" s="1">
        <v>0.0</v>
      </c>
      <c r="D2069" s="2"/>
      <c r="E2069" s="2"/>
      <c r="F2069" s="2"/>
      <c r="G2069" s="2"/>
      <c r="H2069" s="2"/>
    </row>
    <row r="2070">
      <c r="A2070" s="1" t="s">
        <v>1133</v>
      </c>
      <c r="B2070" s="1"/>
      <c r="C2070" s="1">
        <v>0.0</v>
      </c>
      <c r="D2070" s="2"/>
      <c r="E2070" s="2"/>
      <c r="F2070" s="2"/>
      <c r="G2070" s="2"/>
      <c r="H2070" s="2"/>
    </row>
    <row r="2071">
      <c r="A2071" s="1" t="s">
        <v>1134</v>
      </c>
      <c r="B2071" s="1"/>
      <c r="C2071" s="1">
        <v>0.0</v>
      </c>
      <c r="D2071" s="2"/>
      <c r="E2071" s="2"/>
      <c r="F2071" s="2"/>
      <c r="G2071" s="2"/>
      <c r="H2071" s="2"/>
    </row>
    <row r="2072">
      <c r="A2072" s="1" t="s">
        <v>1135</v>
      </c>
      <c r="B2072" s="1"/>
      <c r="C2072" s="1">
        <v>0.0</v>
      </c>
      <c r="D2072" s="2"/>
      <c r="E2072" s="2"/>
      <c r="F2072" s="2"/>
      <c r="G2072" s="2"/>
      <c r="H2072" s="2"/>
    </row>
    <row r="2073">
      <c r="A2073" s="1" t="s">
        <v>1136</v>
      </c>
      <c r="B2073" s="1"/>
      <c r="C2073" s="1">
        <v>0.0</v>
      </c>
      <c r="D2073" s="2"/>
      <c r="E2073" s="2"/>
      <c r="F2073" s="2"/>
      <c r="G2073" s="2"/>
      <c r="H2073" s="2"/>
    </row>
    <row r="2074">
      <c r="A2074" s="1" t="s">
        <v>1137</v>
      </c>
      <c r="B2074" s="1"/>
      <c r="C2074" s="1">
        <v>0.0</v>
      </c>
      <c r="D2074" s="2"/>
      <c r="E2074" s="2"/>
      <c r="F2074" s="2"/>
      <c r="G2074" s="2"/>
      <c r="H2074" s="2"/>
    </row>
    <row r="2075">
      <c r="A2075" s="1" t="s">
        <v>1138</v>
      </c>
      <c r="B2075" s="1"/>
      <c r="C2075" s="1">
        <v>0.0</v>
      </c>
      <c r="D2075" s="2"/>
      <c r="E2075" s="2"/>
      <c r="F2075" s="2"/>
      <c r="G2075" s="2"/>
      <c r="H2075" s="2"/>
    </row>
    <row r="2076">
      <c r="A2076" s="1" t="s">
        <v>1139</v>
      </c>
      <c r="B2076" s="1"/>
      <c r="C2076" s="1">
        <v>0.0</v>
      </c>
      <c r="D2076" s="2"/>
      <c r="E2076" s="2"/>
      <c r="F2076" s="2"/>
      <c r="G2076" s="2"/>
      <c r="H2076" s="2"/>
    </row>
    <row r="2077">
      <c r="A2077" s="1" t="s">
        <v>1140</v>
      </c>
      <c r="B2077" s="1"/>
      <c r="C2077" s="1">
        <v>0.0</v>
      </c>
      <c r="D2077" s="2"/>
      <c r="E2077" s="2"/>
      <c r="F2077" s="2"/>
      <c r="G2077" s="2"/>
      <c r="H2077" s="2"/>
    </row>
    <row r="2078">
      <c r="A2078" s="1" t="s">
        <v>1141</v>
      </c>
      <c r="B2078" s="1"/>
      <c r="C2078" s="1">
        <v>92.0</v>
      </c>
      <c r="D2078" s="2"/>
      <c r="E2078" s="2"/>
      <c r="F2078" s="2"/>
      <c r="G2078" s="2"/>
      <c r="H2078" s="2"/>
    </row>
    <row r="2079">
      <c r="A2079" s="1" t="s">
        <v>1142</v>
      </c>
      <c r="B2079" s="1"/>
      <c r="C2079" s="1">
        <v>0.0</v>
      </c>
      <c r="D2079" s="2"/>
      <c r="E2079" s="2"/>
      <c r="F2079" s="2"/>
      <c r="G2079" s="2"/>
      <c r="H2079" s="2"/>
    </row>
    <row r="2080">
      <c r="A2080" s="1" t="s">
        <v>1143</v>
      </c>
      <c r="B2080" s="1"/>
      <c r="C2080" s="1">
        <v>70.0</v>
      </c>
      <c r="D2080" s="2"/>
      <c r="E2080" s="2"/>
      <c r="F2080" s="2"/>
      <c r="G2080" s="2"/>
      <c r="H2080" s="2"/>
    </row>
    <row r="2081">
      <c r="A2081" s="1" t="s">
        <v>1144</v>
      </c>
      <c r="B2081" s="1"/>
      <c r="C2081" s="1">
        <v>0.0</v>
      </c>
      <c r="D2081" s="2"/>
      <c r="E2081" s="2"/>
      <c r="F2081" s="2"/>
      <c r="G2081" s="2"/>
      <c r="H2081" s="2"/>
    </row>
    <row r="2082">
      <c r="A2082" s="1" t="s">
        <v>1145</v>
      </c>
      <c r="B2082" s="1"/>
      <c r="C2082" s="1">
        <v>0.0</v>
      </c>
      <c r="D2082" s="2"/>
      <c r="E2082" s="2"/>
      <c r="F2082" s="2"/>
      <c r="G2082" s="2"/>
      <c r="H2082" s="2"/>
    </row>
    <row r="2083">
      <c r="A2083" s="1" t="s">
        <v>1146</v>
      </c>
      <c r="B2083" s="1"/>
      <c r="C2083" s="1">
        <v>0.0</v>
      </c>
      <c r="D2083" s="2"/>
      <c r="E2083" s="2"/>
      <c r="F2083" s="2"/>
      <c r="G2083" s="2"/>
      <c r="H2083" s="2"/>
    </row>
    <row r="2084">
      <c r="A2084" s="1" t="s">
        <v>1147</v>
      </c>
      <c r="B2084" s="1"/>
      <c r="C2084" s="1">
        <v>0.0</v>
      </c>
      <c r="D2084" s="2"/>
      <c r="E2084" s="2"/>
      <c r="F2084" s="2"/>
      <c r="G2084" s="2"/>
      <c r="H2084" s="2"/>
    </row>
    <row r="2085">
      <c r="A2085" s="1" t="s">
        <v>1148</v>
      </c>
      <c r="B2085" s="1"/>
      <c r="C2085" s="1">
        <v>0.0</v>
      </c>
      <c r="D2085" s="2"/>
      <c r="E2085" s="2"/>
      <c r="F2085" s="2"/>
      <c r="G2085" s="2"/>
      <c r="H2085" s="2"/>
    </row>
    <row r="2086">
      <c r="A2086" s="1" t="s">
        <v>1149</v>
      </c>
      <c r="B2086" s="1"/>
      <c r="C2086" s="1">
        <v>0.0</v>
      </c>
      <c r="D2086" s="2"/>
      <c r="E2086" s="2"/>
      <c r="F2086" s="2"/>
      <c r="G2086" s="2"/>
      <c r="H2086" s="2"/>
    </row>
    <row r="2087">
      <c r="A2087" s="1" t="s">
        <v>1150</v>
      </c>
      <c r="B2087" s="1"/>
      <c r="C2087" s="1">
        <v>0.0</v>
      </c>
      <c r="D2087" s="2"/>
      <c r="E2087" s="2"/>
      <c r="F2087" s="2"/>
      <c r="G2087" s="2"/>
      <c r="H2087" s="2"/>
    </row>
    <row r="2088">
      <c r="A2088" s="1" t="s">
        <v>1151</v>
      </c>
      <c r="B2088" s="1"/>
      <c r="C2088" s="1">
        <v>0.0</v>
      </c>
      <c r="D2088" s="2"/>
      <c r="E2088" s="2"/>
      <c r="F2088" s="2"/>
      <c r="G2088" s="2"/>
      <c r="H2088" s="2"/>
    </row>
    <row r="2089">
      <c r="A2089" s="1" t="s">
        <v>1152</v>
      </c>
      <c r="B2089" s="1"/>
      <c r="C2089" s="1">
        <v>0.0</v>
      </c>
      <c r="D2089" s="2"/>
      <c r="E2089" s="2"/>
      <c r="F2089" s="2"/>
      <c r="G2089" s="2"/>
      <c r="H2089" s="2"/>
    </row>
    <row r="2090">
      <c r="A2090" s="1" t="s">
        <v>1153</v>
      </c>
      <c r="B2090" s="1"/>
      <c r="C2090" s="1">
        <v>0.0</v>
      </c>
      <c r="D2090" s="2"/>
      <c r="E2090" s="2"/>
      <c r="F2090" s="2"/>
      <c r="G2090" s="2"/>
      <c r="H2090" s="2"/>
    </row>
    <row r="2091">
      <c r="A2091" s="1" t="s">
        <v>1154</v>
      </c>
      <c r="B2091" s="1"/>
      <c r="C2091" s="1">
        <v>84.0</v>
      </c>
      <c r="D2091" s="2"/>
      <c r="E2091" s="2"/>
      <c r="F2091" s="2"/>
      <c r="G2091" s="2"/>
      <c r="H2091" s="2"/>
    </row>
    <row r="2092">
      <c r="A2092" s="1" t="s">
        <v>1155</v>
      </c>
      <c r="B2092" s="1"/>
      <c r="C2092" s="1">
        <v>0.0</v>
      </c>
      <c r="D2092" s="2"/>
      <c r="E2092" s="2"/>
      <c r="F2092" s="2"/>
      <c r="G2092" s="2"/>
      <c r="H2092" s="2"/>
    </row>
    <row r="2093">
      <c r="A2093" s="1" t="s">
        <v>1156</v>
      </c>
      <c r="B2093" s="1"/>
      <c r="C2093" s="1">
        <v>65.0</v>
      </c>
      <c r="D2093" s="2"/>
      <c r="E2093" s="2"/>
      <c r="F2093" s="2"/>
      <c r="G2093" s="2"/>
      <c r="H2093" s="2"/>
    </row>
    <row r="2094">
      <c r="A2094" s="1" t="s">
        <v>1157</v>
      </c>
      <c r="B2094" s="1"/>
      <c r="C2094" s="1" t="s">
        <v>1158</v>
      </c>
      <c r="D2094" s="1">
        <v>0.0</v>
      </c>
      <c r="E2094" s="2"/>
      <c r="F2094" s="2"/>
      <c r="G2094" s="2"/>
      <c r="H2094" s="2"/>
    </row>
    <row r="2095">
      <c r="A2095" s="1" t="s">
        <v>1159</v>
      </c>
      <c r="B2095" s="1"/>
      <c r="C2095" s="1">
        <v>0.0</v>
      </c>
      <c r="D2095" s="2"/>
      <c r="E2095" s="2"/>
      <c r="F2095" s="2"/>
      <c r="G2095" s="2"/>
      <c r="H2095" s="2"/>
    </row>
    <row r="2096">
      <c r="A2096" s="1" t="s">
        <v>1160</v>
      </c>
      <c r="B2096" s="1"/>
      <c r="C2096" s="1">
        <v>74.0</v>
      </c>
      <c r="D2096" s="2"/>
      <c r="E2096" s="2"/>
      <c r="F2096" s="2"/>
      <c r="G2096" s="2"/>
      <c r="H2096" s="2"/>
    </row>
    <row r="2097">
      <c r="A2097" s="1" t="s">
        <v>1161</v>
      </c>
      <c r="B2097" s="1"/>
      <c r="C2097" s="1">
        <v>0.0</v>
      </c>
      <c r="D2097" s="2"/>
      <c r="E2097" s="2"/>
      <c r="F2097" s="2"/>
      <c r="G2097" s="2"/>
      <c r="H2097" s="2"/>
    </row>
    <row r="2098">
      <c r="A2098" s="1" t="s">
        <v>1162</v>
      </c>
      <c r="B2098" s="1"/>
      <c r="C2098" s="1">
        <v>20.0</v>
      </c>
      <c r="D2098" s="2"/>
      <c r="E2098" s="2"/>
      <c r="F2098" s="2"/>
      <c r="G2098" s="2"/>
      <c r="H2098" s="2"/>
    </row>
    <row r="2099">
      <c r="A2099" s="1" t="s">
        <v>1163</v>
      </c>
      <c r="B2099" s="1"/>
      <c r="C2099" s="1">
        <v>0.0</v>
      </c>
      <c r="D2099" s="2"/>
      <c r="E2099" s="2"/>
      <c r="F2099" s="2"/>
      <c r="G2099" s="2"/>
      <c r="H2099" s="2"/>
    </row>
    <row r="2100">
      <c r="A2100" s="1" t="s">
        <v>1164</v>
      </c>
      <c r="B2100" s="1"/>
      <c r="C2100" s="1">
        <v>0.0</v>
      </c>
      <c r="D2100" s="2"/>
      <c r="E2100" s="2"/>
      <c r="F2100" s="2"/>
      <c r="G2100" s="2"/>
      <c r="H2100" s="2"/>
    </row>
    <row r="2101">
      <c r="A2101" s="1" t="s">
        <v>1165</v>
      </c>
      <c r="B2101" s="1"/>
      <c r="C2101" s="1">
        <v>0.0</v>
      </c>
      <c r="D2101" s="2"/>
      <c r="E2101" s="2"/>
      <c r="F2101" s="2"/>
      <c r="G2101" s="2"/>
      <c r="H2101" s="2"/>
    </row>
    <row r="2102">
      <c r="A2102" s="1" t="s">
        <v>1166</v>
      </c>
      <c r="B2102" s="1"/>
      <c r="C2102" s="1">
        <v>80.0</v>
      </c>
      <c r="D2102" s="2"/>
      <c r="E2102" s="2"/>
      <c r="F2102" s="2"/>
      <c r="G2102" s="2"/>
      <c r="H2102" s="2"/>
    </row>
    <row r="2103">
      <c r="A2103" s="1" t="s">
        <v>1167</v>
      </c>
      <c r="B2103" s="1"/>
      <c r="C2103" s="1">
        <v>69.0</v>
      </c>
      <c r="D2103" s="2"/>
      <c r="E2103" s="2"/>
      <c r="F2103" s="2"/>
      <c r="G2103" s="2"/>
      <c r="H2103" s="2"/>
    </row>
    <row r="2104">
      <c r="A2104" s="1" t="s">
        <v>1168</v>
      </c>
      <c r="B2104" s="1"/>
      <c r="C2104" s="1">
        <v>85.0</v>
      </c>
      <c r="D2104" s="2"/>
      <c r="E2104" s="2"/>
      <c r="F2104" s="2"/>
      <c r="G2104" s="2"/>
      <c r="H2104" s="2"/>
    </row>
    <row r="2105">
      <c r="A2105" s="1" t="s">
        <v>1169</v>
      </c>
      <c r="B2105" s="1"/>
      <c r="C2105" s="1">
        <v>2.0</v>
      </c>
      <c r="D2105" s="2"/>
      <c r="E2105" s="2"/>
      <c r="F2105" s="2"/>
      <c r="G2105" s="2"/>
      <c r="H2105" s="2"/>
    </row>
    <row r="2106">
      <c r="A2106" s="1" t="s">
        <v>1170</v>
      </c>
      <c r="B2106" s="1"/>
      <c r="C2106" s="1">
        <v>66.0</v>
      </c>
      <c r="D2106" s="2"/>
      <c r="E2106" s="2"/>
      <c r="F2106" s="2"/>
      <c r="G2106" s="2"/>
      <c r="H2106" s="2"/>
    </row>
    <row r="2107">
      <c r="A2107" s="1" t="s">
        <v>1171</v>
      </c>
      <c r="B2107" s="1"/>
      <c r="C2107" s="1">
        <v>0.0</v>
      </c>
      <c r="D2107" s="2"/>
      <c r="E2107" s="2"/>
      <c r="F2107" s="2"/>
      <c r="G2107" s="2"/>
      <c r="H2107" s="2"/>
    </row>
    <row r="2108">
      <c r="A2108" s="1" t="s">
        <v>1172</v>
      </c>
      <c r="B2108" s="1"/>
      <c r="C2108" s="1">
        <v>89.0</v>
      </c>
      <c r="D2108" s="2"/>
      <c r="E2108" s="2"/>
      <c r="F2108" s="2"/>
      <c r="G2108" s="2"/>
      <c r="H2108" s="2"/>
    </row>
    <row r="2109">
      <c r="A2109" s="1" t="s">
        <v>1173</v>
      </c>
      <c r="B2109" s="1"/>
      <c r="C2109" s="1">
        <v>50.0</v>
      </c>
      <c r="D2109" s="2"/>
      <c r="E2109" s="2"/>
      <c r="F2109" s="2"/>
      <c r="G2109" s="2"/>
      <c r="H2109" s="2"/>
    </row>
    <row r="2110">
      <c r="A2110" s="1" t="s">
        <v>1174</v>
      </c>
      <c r="B2110" s="1"/>
      <c r="C2110" s="1">
        <v>0.0</v>
      </c>
      <c r="D2110" s="2"/>
      <c r="E2110" s="2"/>
      <c r="F2110" s="2"/>
      <c r="G2110" s="2"/>
      <c r="H2110" s="2"/>
    </row>
    <row r="2111">
      <c r="A2111" s="1" t="s">
        <v>1175</v>
      </c>
      <c r="B2111" s="1"/>
      <c r="C2111" s="1">
        <v>2.0</v>
      </c>
      <c r="D2111" s="2"/>
      <c r="E2111" s="2"/>
      <c r="F2111" s="2"/>
      <c r="G2111" s="2"/>
      <c r="H2111" s="2"/>
    </row>
    <row r="2112">
      <c r="A2112" s="1" t="s">
        <v>1176</v>
      </c>
      <c r="B2112" s="1"/>
      <c r="C2112" s="1">
        <v>0.0</v>
      </c>
      <c r="D2112" s="2"/>
      <c r="E2112" s="2"/>
      <c r="F2112" s="2"/>
      <c r="G2112" s="2"/>
      <c r="H2112" s="2"/>
    </row>
    <row r="2113">
      <c r="A2113" s="1" t="s">
        <v>1177</v>
      </c>
      <c r="B2113" s="1"/>
      <c r="C2113" s="1">
        <v>0.0</v>
      </c>
      <c r="D2113" s="2"/>
      <c r="E2113" s="2"/>
      <c r="F2113" s="2"/>
      <c r="G2113" s="2"/>
      <c r="H2113" s="2"/>
    </row>
    <row r="2114">
      <c r="A2114" s="1" t="s">
        <v>1178</v>
      </c>
      <c r="B2114" s="1"/>
      <c r="C2114" s="1">
        <v>0.0</v>
      </c>
      <c r="D2114" s="2"/>
      <c r="E2114" s="2"/>
      <c r="F2114" s="2"/>
      <c r="G2114" s="2"/>
      <c r="H2114" s="2"/>
    </row>
    <row r="2115">
      <c r="A2115" s="1" t="s">
        <v>1179</v>
      </c>
      <c r="B2115" s="1"/>
      <c r="C2115" s="1">
        <v>0.0</v>
      </c>
      <c r="D2115" s="2"/>
      <c r="E2115" s="2"/>
      <c r="F2115" s="2"/>
      <c r="G2115" s="2"/>
      <c r="H2115" s="2"/>
    </row>
    <row r="2116">
      <c r="A2116" s="1" t="s">
        <v>1180</v>
      </c>
      <c r="B2116" s="1"/>
      <c r="C2116" s="1">
        <v>0.0</v>
      </c>
      <c r="D2116" s="2"/>
      <c r="E2116" s="2"/>
      <c r="F2116" s="2"/>
      <c r="G2116" s="2"/>
      <c r="H2116" s="2"/>
    </row>
    <row r="2117">
      <c r="A2117" s="1" t="s">
        <v>1181</v>
      </c>
      <c r="B2117" s="1"/>
      <c r="C2117" s="1">
        <v>0.0</v>
      </c>
      <c r="D2117" s="2"/>
      <c r="E2117" s="2"/>
      <c r="F2117" s="2"/>
      <c r="G2117" s="2"/>
      <c r="H2117" s="2"/>
    </row>
    <row r="2118">
      <c r="A2118" s="1" t="s">
        <v>1182</v>
      </c>
      <c r="B2118" s="1"/>
      <c r="C2118" s="1">
        <v>0.0</v>
      </c>
      <c r="D2118" s="2"/>
      <c r="E2118" s="2"/>
      <c r="F2118" s="2"/>
      <c r="G2118" s="2"/>
      <c r="H2118" s="2"/>
    </row>
    <row r="2119">
      <c r="A2119" s="1" t="s">
        <v>1183</v>
      </c>
      <c r="B2119" s="1"/>
      <c r="C2119" s="1">
        <v>76.0</v>
      </c>
      <c r="D2119" s="2"/>
      <c r="E2119" s="2"/>
      <c r="F2119" s="2"/>
      <c r="G2119" s="2"/>
      <c r="H2119" s="2"/>
    </row>
    <row r="2120">
      <c r="A2120" s="1" t="s">
        <v>1184</v>
      </c>
      <c r="B2120" s="1"/>
      <c r="C2120" s="1">
        <v>0.0</v>
      </c>
      <c r="D2120" s="2"/>
      <c r="E2120" s="2"/>
      <c r="F2120" s="2"/>
      <c r="G2120" s="2"/>
      <c r="H2120" s="2"/>
    </row>
    <row r="2121">
      <c r="A2121" s="1" t="s">
        <v>1185</v>
      </c>
      <c r="B2121" s="1"/>
      <c r="C2121" s="1">
        <v>0.0</v>
      </c>
      <c r="D2121" s="2"/>
      <c r="E2121" s="2"/>
      <c r="F2121" s="2"/>
      <c r="G2121" s="2"/>
      <c r="H2121" s="2"/>
    </row>
    <row r="2122">
      <c r="A2122" s="1" t="s">
        <v>1186</v>
      </c>
      <c r="B2122" s="1"/>
      <c r="C2122" s="1">
        <v>28.0</v>
      </c>
      <c r="D2122" s="2"/>
      <c r="E2122" s="2"/>
      <c r="F2122" s="2"/>
      <c r="G2122" s="2"/>
      <c r="H2122" s="2"/>
    </row>
    <row r="2123">
      <c r="A2123" s="1" t="s">
        <v>1187</v>
      </c>
      <c r="B2123" s="1"/>
      <c r="C2123" s="1">
        <v>13.0</v>
      </c>
      <c r="D2123" s="2"/>
      <c r="E2123" s="2"/>
      <c r="F2123" s="2"/>
      <c r="G2123" s="2"/>
      <c r="H2123" s="2"/>
    </row>
    <row r="2124">
      <c r="A2124" s="1" t="s">
        <v>1188</v>
      </c>
      <c r="B2124" s="1"/>
      <c r="C2124" s="1">
        <v>80.0</v>
      </c>
      <c r="D2124" s="2"/>
      <c r="E2124" s="2"/>
      <c r="F2124" s="2"/>
      <c r="G2124" s="2"/>
      <c r="H2124" s="2"/>
    </row>
    <row r="2125">
      <c r="A2125" s="1" t="s">
        <v>1189</v>
      </c>
      <c r="B2125" s="1"/>
      <c r="C2125" s="1">
        <v>59.0</v>
      </c>
      <c r="D2125" s="2"/>
      <c r="E2125" s="2"/>
      <c r="F2125" s="2"/>
      <c r="G2125" s="2"/>
      <c r="H2125" s="2"/>
    </row>
    <row r="2126">
      <c r="A2126" s="1" t="s">
        <v>1190</v>
      </c>
      <c r="B2126" s="1"/>
      <c r="C2126" s="1" t="s">
        <v>1191</v>
      </c>
      <c r="D2126" s="1">
        <v>71.0</v>
      </c>
      <c r="E2126" s="2"/>
      <c r="F2126" s="2"/>
      <c r="G2126" s="2"/>
      <c r="H2126" s="2"/>
    </row>
    <row r="2127">
      <c r="A2127" s="1" t="s">
        <v>1192</v>
      </c>
      <c r="B2127" s="1"/>
      <c r="C2127" s="1">
        <v>0.0</v>
      </c>
      <c r="D2127" s="2"/>
      <c r="E2127" s="2"/>
      <c r="F2127" s="2"/>
      <c r="G2127" s="2"/>
      <c r="H2127" s="2"/>
    </row>
    <row r="2128">
      <c r="A2128" s="1" t="s">
        <v>1193</v>
      </c>
      <c r="B2128" s="1"/>
      <c r="C2128" s="1">
        <v>0.0</v>
      </c>
      <c r="D2128" s="2"/>
      <c r="E2128" s="2"/>
      <c r="F2128" s="2"/>
      <c r="G2128" s="2"/>
      <c r="H2128" s="2"/>
    </row>
    <row r="2129">
      <c r="A2129" s="1" t="s">
        <v>1194</v>
      </c>
      <c r="B2129" s="1"/>
      <c r="C2129" s="1">
        <v>0.0</v>
      </c>
      <c r="D2129" s="2"/>
      <c r="E2129" s="2"/>
      <c r="F2129" s="2"/>
      <c r="G2129" s="2"/>
      <c r="H2129" s="2"/>
    </row>
    <row r="2130">
      <c r="A2130" s="1" t="s">
        <v>1195</v>
      </c>
      <c r="B2130" s="1"/>
      <c r="C2130" s="1">
        <v>12.0</v>
      </c>
      <c r="D2130" s="2"/>
      <c r="E2130" s="2"/>
      <c r="F2130" s="2"/>
      <c r="G2130" s="2"/>
      <c r="H2130" s="2"/>
    </row>
    <row r="2131">
      <c r="A2131" s="1" t="s">
        <v>1196</v>
      </c>
      <c r="B2131" s="1"/>
      <c r="C2131" s="1">
        <v>36.0</v>
      </c>
      <c r="D2131" s="2"/>
      <c r="E2131" s="2"/>
      <c r="F2131" s="2"/>
      <c r="G2131" s="2"/>
      <c r="H2131" s="2"/>
    </row>
    <row r="2132">
      <c r="A2132" s="1" t="s">
        <v>1197</v>
      </c>
      <c r="B2132" s="1"/>
      <c r="C2132" s="1">
        <v>0.0</v>
      </c>
      <c r="D2132" s="2"/>
      <c r="E2132" s="2"/>
      <c r="F2132" s="2"/>
      <c r="G2132" s="2"/>
      <c r="H2132" s="2"/>
    </row>
    <row r="2133">
      <c r="A2133" s="1" t="s">
        <v>1198</v>
      </c>
      <c r="B2133" s="1"/>
      <c r="C2133" s="1">
        <v>0.0</v>
      </c>
      <c r="D2133" s="2"/>
      <c r="E2133" s="2"/>
      <c r="F2133" s="2"/>
      <c r="G2133" s="2"/>
      <c r="H2133" s="2"/>
    </row>
    <row r="2134">
      <c r="A2134" s="1" t="s">
        <v>1199</v>
      </c>
      <c r="B2134" s="1"/>
      <c r="C2134" s="1">
        <v>26.0</v>
      </c>
      <c r="D2134" s="2"/>
      <c r="E2134" s="2"/>
      <c r="F2134" s="2"/>
      <c r="G2134" s="2"/>
      <c r="H2134" s="2"/>
    </row>
    <row r="2135">
      <c r="A2135" s="1" t="s">
        <v>1200</v>
      </c>
      <c r="B2135" s="1"/>
      <c r="C2135" s="1">
        <v>0.0</v>
      </c>
      <c r="D2135" s="2"/>
      <c r="E2135" s="2"/>
      <c r="F2135" s="2"/>
      <c r="G2135" s="2"/>
      <c r="H2135" s="2"/>
    </row>
    <row r="2136">
      <c r="A2136" s="1" t="s">
        <v>1201</v>
      </c>
      <c r="B2136" s="1"/>
      <c r="C2136" s="1">
        <v>0.0</v>
      </c>
      <c r="D2136" s="2"/>
      <c r="E2136" s="2"/>
      <c r="F2136" s="2"/>
      <c r="G2136" s="2"/>
      <c r="H2136" s="2"/>
    </row>
    <row r="2137">
      <c r="A2137" s="1" t="s">
        <v>1202</v>
      </c>
      <c r="B2137" s="1"/>
      <c r="C2137" s="1">
        <v>0.0</v>
      </c>
      <c r="D2137" s="2"/>
      <c r="E2137" s="2"/>
      <c r="F2137" s="2"/>
      <c r="G2137" s="2"/>
      <c r="H2137" s="2"/>
    </row>
    <row r="2138">
      <c r="A2138" s="1" t="s">
        <v>1203</v>
      </c>
      <c r="B2138" s="1"/>
      <c r="C2138" s="1">
        <v>0.0</v>
      </c>
      <c r="D2138" s="2"/>
      <c r="E2138" s="2"/>
      <c r="F2138" s="2"/>
      <c r="G2138" s="2"/>
      <c r="H2138" s="2"/>
    </row>
    <row r="2139">
      <c r="A2139" s="1" t="s">
        <v>1204</v>
      </c>
      <c r="B2139" s="1"/>
      <c r="C2139" s="1">
        <v>0.0</v>
      </c>
      <c r="D2139" s="2"/>
      <c r="E2139" s="2"/>
      <c r="F2139" s="2"/>
      <c r="G2139" s="2"/>
      <c r="H2139" s="2"/>
    </row>
    <row r="2140">
      <c r="A2140" s="1" t="s">
        <v>1205</v>
      </c>
      <c r="B2140" s="1"/>
      <c r="C2140" s="1">
        <v>84.0</v>
      </c>
      <c r="D2140" s="2"/>
      <c r="E2140" s="2"/>
      <c r="F2140" s="2"/>
      <c r="G2140" s="2"/>
      <c r="H2140" s="2"/>
    </row>
    <row r="2141">
      <c r="A2141" s="1" t="s">
        <v>1206</v>
      </c>
      <c r="B2141" s="1"/>
      <c r="C2141" s="1">
        <v>72.0</v>
      </c>
      <c r="D2141" s="2"/>
      <c r="E2141" s="2"/>
      <c r="F2141" s="2"/>
      <c r="G2141" s="2"/>
      <c r="H2141" s="2"/>
    </row>
    <row r="2142">
      <c r="A2142" s="1" t="s">
        <v>1207</v>
      </c>
      <c r="B2142" s="1"/>
      <c r="C2142" s="1">
        <v>6.0</v>
      </c>
      <c r="D2142" s="2"/>
      <c r="E2142" s="2"/>
      <c r="F2142" s="2"/>
      <c r="G2142" s="2"/>
      <c r="H2142" s="2"/>
    </row>
    <row r="2143">
      <c r="A2143" s="1" t="s">
        <v>1208</v>
      </c>
      <c r="B2143" s="1"/>
      <c r="C2143" s="1">
        <v>0.0</v>
      </c>
      <c r="D2143" s="2"/>
      <c r="E2143" s="2"/>
      <c r="F2143" s="2"/>
      <c r="G2143" s="2"/>
      <c r="H2143" s="2"/>
    </row>
    <row r="2144">
      <c r="A2144" s="1" t="s">
        <v>1209</v>
      </c>
      <c r="B2144" s="1"/>
      <c r="C2144" s="1">
        <v>0.0</v>
      </c>
      <c r="D2144" s="2"/>
      <c r="E2144" s="2"/>
      <c r="F2144" s="2"/>
      <c r="G2144" s="2"/>
      <c r="H2144" s="2"/>
    </row>
    <row r="2145">
      <c r="A2145" s="1" t="s">
        <v>1210</v>
      </c>
      <c r="B2145" s="1"/>
      <c r="C2145" s="1">
        <v>0.0</v>
      </c>
      <c r="D2145" s="2"/>
      <c r="E2145" s="2"/>
      <c r="F2145" s="2"/>
      <c r="G2145" s="2"/>
      <c r="H2145" s="2"/>
    </row>
    <row r="2146">
      <c r="A2146" s="1" t="s">
        <v>1211</v>
      </c>
      <c r="B2146" s="1"/>
      <c r="C2146" s="1">
        <v>0.0</v>
      </c>
      <c r="D2146" s="2"/>
      <c r="E2146" s="2"/>
      <c r="F2146" s="2"/>
      <c r="G2146" s="2"/>
      <c r="H2146" s="2"/>
    </row>
    <row r="2147">
      <c r="A2147" s="1" t="s">
        <v>1212</v>
      </c>
      <c r="B2147" s="1"/>
      <c r="C2147" s="1">
        <v>0.0</v>
      </c>
      <c r="D2147" s="2"/>
      <c r="E2147" s="2"/>
      <c r="F2147" s="2"/>
      <c r="G2147" s="2"/>
      <c r="H2147" s="2"/>
    </row>
    <row r="2148">
      <c r="A2148" s="1" t="s">
        <v>1153</v>
      </c>
      <c r="B2148" s="1"/>
      <c r="C2148" s="1">
        <v>0.0</v>
      </c>
      <c r="D2148" s="2"/>
      <c r="E2148" s="2"/>
      <c r="F2148" s="2"/>
      <c r="G2148" s="2"/>
      <c r="H2148" s="2"/>
    </row>
    <row r="2149">
      <c r="A2149" s="1" t="s">
        <v>1154</v>
      </c>
      <c r="B2149" s="1"/>
      <c r="C2149" s="1">
        <v>84.0</v>
      </c>
      <c r="D2149" s="2"/>
      <c r="E2149" s="2"/>
      <c r="F2149" s="2"/>
      <c r="G2149" s="2"/>
      <c r="H2149" s="2"/>
    </row>
    <row r="2150">
      <c r="A2150" s="1" t="s">
        <v>1155</v>
      </c>
      <c r="B2150" s="1"/>
      <c r="C2150" s="1">
        <v>0.0</v>
      </c>
      <c r="D2150" s="2"/>
      <c r="E2150" s="2"/>
      <c r="F2150" s="2"/>
      <c r="G2150" s="2"/>
      <c r="H2150" s="2"/>
    </row>
    <row r="2151">
      <c r="A2151" s="1" t="s">
        <v>1156</v>
      </c>
      <c r="B2151" s="1"/>
      <c r="C2151" s="1">
        <v>65.0</v>
      </c>
      <c r="D2151" s="2"/>
      <c r="E2151" s="2"/>
      <c r="F2151" s="2"/>
      <c r="G2151" s="2"/>
      <c r="H2151" s="2"/>
    </row>
    <row r="2152">
      <c r="A2152" s="1" t="s">
        <v>1157</v>
      </c>
      <c r="B2152" s="1"/>
      <c r="C2152" s="1" t="s">
        <v>1158</v>
      </c>
      <c r="D2152" s="1">
        <v>0.0</v>
      </c>
      <c r="E2152" s="2"/>
      <c r="F2152" s="2"/>
      <c r="G2152" s="2"/>
      <c r="H2152" s="2"/>
    </row>
    <row r="2153">
      <c r="A2153" s="1" t="s">
        <v>1159</v>
      </c>
      <c r="B2153" s="1"/>
      <c r="C2153" s="1">
        <v>0.0</v>
      </c>
      <c r="D2153" s="2"/>
      <c r="E2153" s="2"/>
      <c r="F2153" s="2"/>
      <c r="G2153" s="2"/>
      <c r="H2153" s="2"/>
    </row>
    <row r="2154">
      <c r="A2154" s="1" t="s">
        <v>1160</v>
      </c>
      <c r="B2154" s="1"/>
      <c r="C2154" s="1">
        <v>74.0</v>
      </c>
      <c r="D2154" s="2"/>
      <c r="E2154" s="2"/>
      <c r="F2154" s="2"/>
      <c r="G2154" s="2"/>
      <c r="H2154" s="2"/>
    </row>
    <row r="2155">
      <c r="A2155" s="1" t="s">
        <v>1161</v>
      </c>
      <c r="B2155" s="1"/>
      <c r="C2155" s="1">
        <v>0.0</v>
      </c>
      <c r="D2155" s="2"/>
      <c r="E2155" s="2"/>
      <c r="F2155" s="2"/>
      <c r="G2155" s="2"/>
      <c r="H2155" s="2"/>
    </row>
    <row r="2156">
      <c r="A2156" s="1" t="s">
        <v>1162</v>
      </c>
      <c r="B2156" s="1"/>
      <c r="C2156" s="1">
        <v>20.0</v>
      </c>
      <c r="D2156" s="2"/>
      <c r="E2156" s="2"/>
      <c r="F2156" s="2"/>
      <c r="G2156" s="2"/>
      <c r="H2156" s="2"/>
    </row>
    <row r="2157">
      <c r="A2157" s="1" t="s">
        <v>1163</v>
      </c>
      <c r="B2157" s="1"/>
      <c r="C2157" s="1">
        <v>0.0</v>
      </c>
      <c r="D2157" s="2"/>
      <c r="E2157" s="2"/>
      <c r="F2157" s="2"/>
      <c r="G2157" s="2"/>
      <c r="H2157" s="2"/>
    </row>
    <row r="2158">
      <c r="A2158" s="1" t="s">
        <v>1164</v>
      </c>
      <c r="B2158" s="1"/>
      <c r="C2158" s="1">
        <v>0.0</v>
      </c>
      <c r="D2158" s="2"/>
      <c r="E2158" s="2"/>
      <c r="F2158" s="2"/>
      <c r="G2158" s="2"/>
      <c r="H2158" s="2"/>
    </row>
    <row r="2159">
      <c r="A2159" s="1" t="s">
        <v>1165</v>
      </c>
      <c r="B2159" s="1"/>
      <c r="C2159" s="1">
        <v>0.0</v>
      </c>
      <c r="D2159" s="2"/>
      <c r="E2159" s="2"/>
      <c r="F2159" s="2"/>
      <c r="G2159" s="2"/>
      <c r="H2159" s="2"/>
    </row>
    <row r="2160">
      <c r="A2160" s="1" t="s">
        <v>1166</v>
      </c>
      <c r="B2160" s="1"/>
      <c r="C2160" s="1">
        <v>80.0</v>
      </c>
      <c r="D2160" s="2"/>
      <c r="E2160" s="2"/>
      <c r="F2160" s="2"/>
      <c r="G2160" s="2"/>
      <c r="H2160" s="2"/>
    </row>
    <row r="2161">
      <c r="A2161" s="1" t="s">
        <v>1167</v>
      </c>
      <c r="B2161" s="1"/>
      <c r="C2161" s="1">
        <v>69.0</v>
      </c>
      <c r="D2161" s="2"/>
      <c r="E2161" s="2"/>
      <c r="F2161" s="2"/>
      <c r="G2161" s="2"/>
      <c r="H2161" s="2"/>
    </row>
    <row r="2162">
      <c r="A2162" s="1" t="s">
        <v>1168</v>
      </c>
      <c r="B2162" s="1"/>
      <c r="C2162" s="1">
        <v>85.0</v>
      </c>
      <c r="D2162" s="2"/>
      <c r="E2162" s="2"/>
      <c r="F2162" s="2"/>
      <c r="G2162" s="2"/>
      <c r="H2162" s="2"/>
    </row>
    <row r="2163">
      <c r="A2163" s="1" t="s">
        <v>1169</v>
      </c>
      <c r="B2163" s="1"/>
      <c r="C2163" s="1">
        <v>2.0</v>
      </c>
      <c r="D2163" s="2"/>
      <c r="E2163" s="2"/>
      <c r="F2163" s="2"/>
      <c r="G2163" s="2"/>
      <c r="H2163" s="2"/>
    </row>
    <row r="2164">
      <c r="A2164" s="1" t="s">
        <v>1170</v>
      </c>
      <c r="B2164" s="1"/>
      <c r="C2164" s="1">
        <v>66.0</v>
      </c>
      <c r="D2164" s="2"/>
      <c r="E2164" s="2"/>
      <c r="F2164" s="2"/>
      <c r="G2164" s="2"/>
      <c r="H2164" s="2"/>
    </row>
    <row r="2165">
      <c r="A2165" s="1" t="s">
        <v>1171</v>
      </c>
      <c r="B2165" s="1"/>
      <c r="C2165" s="1">
        <v>0.0</v>
      </c>
      <c r="D2165" s="2"/>
      <c r="E2165" s="2"/>
      <c r="F2165" s="2"/>
      <c r="G2165" s="2"/>
      <c r="H2165" s="2"/>
    </row>
    <row r="2166">
      <c r="A2166" s="1" t="s">
        <v>1172</v>
      </c>
      <c r="B2166" s="1"/>
      <c r="C2166" s="1">
        <v>89.0</v>
      </c>
      <c r="D2166" s="2"/>
      <c r="E2166" s="2"/>
      <c r="F2166" s="2"/>
      <c r="G2166" s="2"/>
      <c r="H2166" s="2"/>
    </row>
    <row r="2167">
      <c r="A2167" s="1" t="s">
        <v>1173</v>
      </c>
      <c r="B2167" s="1"/>
      <c r="C2167" s="1">
        <v>50.0</v>
      </c>
      <c r="D2167" s="2"/>
      <c r="E2167" s="2"/>
      <c r="F2167" s="2"/>
      <c r="G2167" s="2"/>
      <c r="H2167" s="2"/>
    </row>
    <row r="2168">
      <c r="A2168" s="1" t="s">
        <v>1174</v>
      </c>
      <c r="B2168" s="1"/>
      <c r="C2168" s="1">
        <v>0.0</v>
      </c>
      <c r="D2168" s="2"/>
      <c r="E2168" s="2"/>
      <c r="F2168" s="2"/>
      <c r="G2168" s="2"/>
      <c r="H2168" s="2"/>
    </row>
    <row r="2169">
      <c r="A2169" s="1" t="s">
        <v>1175</v>
      </c>
      <c r="B2169" s="1"/>
      <c r="C2169" s="1">
        <v>2.0</v>
      </c>
      <c r="D2169" s="2"/>
      <c r="E2169" s="2"/>
      <c r="F2169" s="2"/>
      <c r="G2169" s="2"/>
      <c r="H2169" s="2"/>
    </row>
    <row r="2170">
      <c r="A2170" s="1" t="s">
        <v>1176</v>
      </c>
      <c r="B2170" s="1"/>
      <c r="C2170" s="1">
        <v>0.0</v>
      </c>
      <c r="D2170" s="2"/>
      <c r="E2170" s="2"/>
      <c r="F2170" s="2"/>
      <c r="G2170" s="2"/>
      <c r="H2170" s="2"/>
    </row>
    <row r="2171">
      <c r="A2171" s="1" t="s">
        <v>1177</v>
      </c>
      <c r="B2171" s="1"/>
      <c r="C2171" s="1">
        <v>0.0</v>
      </c>
      <c r="D2171" s="2"/>
      <c r="E2171" s="2"/>
      <c r="F2171" s="2"/>
      <c r="G2171" s="2"/>
      <c r="H2171" s="2"/>
    </row>
    <row r="2172">
      <c r="A2172" s="1" t="s">
        <v>1178</v>
      </c>
      <c r="B2172" s="1"/>
      <c r="C2172" s="1">
        <v>0.0</v>
      </c>
      <c r="D2172" s="2"/>
      <c r="E2172" s="2"/>
      <c r="F2172" s="2"/>
      <c r="G2172" s="2"/>
      <c r="H2172" s="2"/>
    </row>
    <row r="2173">
      <c r="A2173" s="1" t="s">
        <v>1179</v>
      </c>
      <c r="B2173" s="1"/>
      <c r="C2173" s="1">
        <v>0.0</v>
      </c>
      <c r="D2173" s="2"/>
      <c r="E2173" s="2"/>
      <c r="F2173" s="2"/>
      <c r="G2173" s="2"/>
      <c r="H2173" s="2"/>
    </row>
    <row r="2174">
      <c r="A2174" s="1" t="s">
        <v>1180</v>
      </c>
      <c r="B2174" s="1"/>
      <c r="C2174" s="1">
        <v>0.0</v>
      </c>
      <c r="D2174" s="2"/>
      <c r="E2174" s="2"/>
      <c r="F2174" s="2"/>
      <c r="G2174" s="2"/>
      <c r="H2174" s="2"/>
    </row>
    <row r="2175">
      <c r="A2175" s="1" t="s">
        <v>1181</v>
      </c>
      <c r="B2175" s="1"/>
      <c r="C2175" s="1">
        <v>0.0</v>
      </c>
      <c r="D2175" s="2"/>
      <c r="E2175" s="2"/>
      <c r="F2175" s="2"/>
      <c r="G2175" s="2"/>
      <c r="H2175" s="2"/>
    </row>
    <row r="2176">
      <c r="A2176" s="1" t="s">
        <v>1182</v>
      </c>
      <c r="B2176" s="1"/>
      <c r="C2176" s="1">
        <v>0.0</v>
      </c>
      <c r="D2176" s="2"/>
      <c r="E2176" s="2"/>
      <c r="F2176" s="2"/>
      <c r="G2176" s="2"/>
      <c r="H2176" s="2"/>
    </row>
    <row r="2177">
      <c r="A2177" s="1" t="s">
        <v>1183</v>
      </c>
      <c r="B2177" s="1"/>
      <c r="C2177" s="1">
        <v>76.0</v>
      </c>
      <c r="D2177" s="2"/>
      <c r="E2177" s="2"/>
      <c r="F2177" s="2"/>
      <c r="G2177" s="2"/>
      <c r="H2177" s="2"/>
    </row>
    <row r="2178">
      <c r="A2178" s="1" t="s">
        <v>1184</v>
      </c>
      <c r="B2178" s="1"/>
      <c r="C2178" s="1">
        <v>0.0</v>
      </c>
      <c r="D2178" s="2"/>
      <c r="E2178" s="2"/>
      <c r="F2178" s="2"/>
      <c r="G2178" s="2"/>
      <c r="H2178" s="2"/>
    </row>
    <row r="2179">
      <c r="A2179" s="1" t="s">
        <v>1185</v>
      </c>
      <c r="B2179" s="1"/>
      <c r="C2179" s="1">
        <v>0.0</v>
      </c>
      <c r="D2179" s="2"/>
      <c r="E2179" s="2"/>
      <c r="F2179" s="2"/>
      <c r="G2179" s="2"/>
      <c r="H2179" s="2"/>
    </row>
    <row r="2180">
      <c r="A2180" s="1" t="s">
        <v>1186</v>
      </c>
      <c r="B2180" s="1"/>
      <c r="C2180" s="1">
        <v>28.0</v>
      </c>
      <c r="D2180" s="2"/>
      <c r="E2180" s="2"/>
      <c r="F2180" s="2"/>
      <c r="G2180" s="2"/>
      <c r="H2180" s="2"/>
    </row>
    <row r="2181">
      <c r="A2181" s="1" t="s">
        <v>1187</v>
      </c>
      <c r="B2181" s="1"/>
      <c r="C2181" s="1">
        <v>13.0</v>
      </c>
      <c r="D2181" s="2"/>
      <c r="E2181" s="2"/>
      <c r="F2181" s="2"/>
      <c r="G2181" s="2"/>
      <c r="H2181" s="2"/>
    </row>
    <row r="2182">
      <c r="A2182" s="1" t="s">
        <v>1188</v>
      </c>
      <c r="B2182" s="1"/>
      <c r="C2182" s="1">
        <v>80.0</v>
      </c>
      <c r="D2182" s="2"/>
      <c r="E2182" s="2"/>
      <c r="F2182" s="2"/>
      <c r="G2182" s="2"/>
      <c r="H2182" s="2"/>
    </row>
    <row r="2183">
      <c r="A2183" s="1" t="s">
        <v>1189</v>
      </c>
      <c r="B2183" s="1"/>
      <c r="C2183" s="1">
        <v>59.0</v>
      </c>
      <c r="D2183" s="2"/>
      <c r="E2183" s="2"/>
      <c r="F2183" s="2"/>
      <c r="G2183" s="2"/>
      <c r="H2183" s="2"/>
    </row>
    <row r="2184">
      <c r="A2184" s="1" t="s">
        <v>1190</v>
      </c>
      <c r="B2184" s="1"/>
      <c r="C2184" s="1" t="s">
        <v>1191</v>
      </c>
      <c r="D2184" s="1">
        <v>71.0</v>
      </c>
      <c r="E2184" s="2"/>
      <c r="F2184" s="2"/>
      <c r="G2184" s="2"/>
      <c r="H2184" s="2"/>
    </row>
    <row r="2185">
      <c r="A2185" s="1" t="s">
        <v>1192</v>
      </c>
      <c r="B2185" s="1"/>
      <c r="C2185" s="1">
        <v>0.0</v>
      </c>
      <c r="D2185" s="2"/>
      <c r="E2185" s="2"/>
      <c r="F2185" s="2"/>
      <c r="G2185" s="2"/>
      <c r="H2185" s="2"/>
    </row>
    <row r="2186">
      <c r="A2186" s="1" t="s">
        <v>1193</v>
      </c>
      <c r="B2186" s="1"/>
      <c r="C2186" s="1">
        <v>0.0</v>
      </c>
      <c r="D2186" s="2"/>
      <c r="E2186" s="2"/>
      <c r="F2186" s="2"/>
      <c r="G2186" s="2"/>
      <c r="H2186" s="2"/>
    </row>
    <row r="2187">
      <c r="A2187" s="1" t="s">
        <v>1194</v>
      </c>
      <c r="B2187" s="1"/>
      <c r="C2187" s="1">
        <v>0.0</v>
      </c>
      <c r="D2187" s="2"/>
      <c r="E2187" s="2"/>
      <c r="F2187" s="2"/>
      <c r="G2187" s="2"/>
      <c r="H2187" s="2"/>
    </row>
    <row r="2188">
      <c r="A2188" s="1" t="s">
        <v>1195</v>
      </c>
      <c r="B2188" s="1"/>
      <c r="C2188" s="1">
        <v>12.0</v>
      </c>
      <c r="D2188" s="2"/>
      <c r="E2188" s="2"/>
      <c r="F2188" s="2"/>
      <c r="G2188" s="2"/>
      <c r="H2188" s="2"/>
    </row>
    <row r="2189">
      <c r="A2189" s="1" t="s">
        <v>1196</v>
      </c>
      <c r="B2189" s="1"/>
      <c r="C2189" s="1">
        <v>36.0</v>
      </c>
      <c r="D2189" s="2"/>
      <c r="E2189" s="2"/>
      <c r="F2189" s="2"/>
      <c r="G2189" s="2"/>
      <c r="H2189" s="2"/>
    </row>
    <row r="2190">
      <c r="A2190" s="1" t="s">
        <v>1197</v>
      </c>
      <c r="B2190" s="1"/>
      <c r="C2190" s="1">
        <v>0.0</v>
      </c>
      <c r="D2190" s="2"/>
      <c r="E2190" s="2"/>
      <c r="F2190" s="2"/>
      <c r="G2190" s="2"/>
      <c r="H2190" s="2"/>
    </row>
    <row r="2191">
      <c r="A2191" s="1" t="s">
        <v>1198</v>
      </c>
      <c r="B2191" s="1"/>
      <c r="C2191" s="1">
        <v>0.0</v>
      </c>
      <c r="D2191" s="2"/>
      <c r="E2191" s="2"/>
      <c r="F2191" s="2"/>
      <c r="G2191" s="2"/>
      <c r="H2191" s="2"/>
    </row>
    <row r="2192">
      <c r="A2192" s="1" t="s">
        <v>1199</v>
      </c>
      <c r="B2192" s="1"/>
      <c r="C2192" s="1">
        <v>26.0</v>
      </c>
      <c r="D2192" s="2"/>
      <c r="E2192" s="2"/>
      <c r="F2192" s="2"/>
      <c r="G2192" s="2"/>
      <c r="H2192" s="2"/>
    </row>
    <row r="2193">
      <c r="A2193" s="1" t="s">
        <v>1200</v>
      </c>
      <c r="B2193" s="1"/>
      <c r="C2193" s="1">
        <v>0.0</v>
      </c>
      <c r="D2193" s="2"/>
      <c r="E2193" s="2"/>
      <c r="F2193" s="2"/>
      <c r="G2193" s="2"/>
      <c r="H2193" s="2"/>
    </row>
    <row r="2194">
      <c r="A2194" s="1" t="s">
        <v>1201</v>
      </c>
      <c r="B2194" s="1"/>
      <c r="C2194" s="1">
        <v>0.0</v>
      </c>
      <c r="D2194" s="2"/>
      <c r="E2194" s="2"/>
      <c r="F2194" s="2"/>
      <c r="G2194" s="2"/>
      <c r="H2194" s="2"/>
    </row>
    <row r="2195">
      <c r="A2195" s="1" t="s">
        <v>1202</v>
      </c>
      <c r="B2195" s="1"/>
      <c r="C2195" s="1">
        <v>0.0</v>
      </c>
      <c r="D2195" s="2"/>
      <c r="E2195" s="2"/>
      <c r="F2195" s="2"/>
      <c r="G2195" s="2"/>
      <c r="H2195" s="2"/>
    </row>
    <row r="2196">
      <c r="A2196" s="1" t="s">
        <v>1203</v>
      </c>
      <c r="B2196" s="1"/>
      <c r="C2196" s="1">
        <v>0.0</v>
      </c>
      <c r="D2196" s="2"/>
      <c r="E2196" s="2"/>
      <c r="F2196" s="2"/>
      <c r="G2196" s="2"/>
      <c r="H2196" s="2"/>
    </row>
    <row r="2197">
      <c r="A2197" s="1" t="s">
        <v>1204</v>
      </c>
      <c r="B2197" s="1"/>
      <c r="C2197" s="1">
        <v>0.0</v>
      </c>
      <c r="D2197" s="2"/>
      <c r="E2197" s="2"/>
      <c r="F2197" s="2"/>
      <c r="G2197" s="2"/>
      <c r="H2197" s="2"/>
    </row>
    <row r="2198">
      <c r="A2198" s="1" t="s">
        <v>1205</v>
      </c>
      <c r="B2198" s="1"/>
      <c r="C2198" s="1">
        <v>84.0</v>
      </c>
      <c r="D2198" s="2"/>
      <c r="E2198" s="2"/>
      <c r="F2198" s="2"/>
      <c r="G2198" s="2"/>
      <c r="H2198" s="2"/>
    </row>
    <row r="2199">
      <c r="A2199" s="1" t="s">
        <v>1206</v>
      </c>
      <c r="B2199" s="1"/>
      <c r="C2199" s="1">
        <v>72.0</v>
      </c>
      <c r="D2199" s="2"/>
      <c r="E2199" s="2"/>
      <c r="F2199" s="2"/>
      <c r="G2199" s="2"/>
      <c r="H2199" s="2"/>
    </row>
    <row r="2200">
      <c r="A2200" s="1" t="s">
        <v>1207</v>
      </c>
      <c r="B2200" s="1"/>
      <c r="C2200" s="1">
        <v>6.0</v>
      </c>
      <c r="D2200" s="2"/>
      <c r="E2200" s="2"/>
      <c r="F2200" s="2"/>
      <c r="G2200" s="2"/>
      <c r="H2200" s="2"/>
    </row>
    <row r="2201">
      <c r="A2201" s="1" t="s">
        <v>1208</v>
      </c>
      <c r="B2201" s="1"/>
      <c r="C2201" s="1">
        <v>0.0</v>
      </c>
      <c r="D2201" s="2"/>
      <c r="E2201" s="2"/>
      <c r="F2201" s="2"/>
      <c r="G2201" s="2"/>
      <c r="H2201" s="2"/>
    </row>
    <row r="2202">
      <c r="A2202" s="1" t="s">
        <v>1209</v>
      </c>
      <c r="B2202" s="1"/>
      <c r="C2202" s="1">
        <v>0.0</v>
      </c>
      <c r="D2202" s="2"/>
      <c r="E2202" s="2"/>
      <c r="F2202" s="2"/>
      <c r="G2202" s="2"/>
      <c r="H2202" s="2"/>
    </row>
    <row r="2203">
      <c r="A2203" s="1" t="s">
        <v>1210</v>
      </c>
      <c r="B2203" s="1"/>
      <c r="C2203" s="1">
        <v>0.0</v>
      </c>
      <c r="D2203" s="2"/>
      <c r="E2203" s="2"/>
      <c r="F2203" s="2"/>
      <c r="G2203" s="2"/>
      <c r="H2203" s="2"/>
    </row>
    <row r="2204">
      <c r="A2204" s="1" t="s">
        <v>1211</v>
      </c>
      <c r="B2204" s="1"/>
      <c r="C2204" s="1">
        <v>0.0</v>
      </c>
      <c r="D2204" s="2"/>
      <c r="E2204" s="2"/>
      <c r="F2204" s="2"/>
      <c r="G2204" s="2"/>
      <c r="H2204" s="2"/>
    </row>
    <row r="2205">
      <c r="A2205" s="1" t="s">
        <v>1212</v>
      </c>
      <c r="B2205" s="1"/>
      <c r="C2205" s="1">
        <v>0.0</v>
      </c>
      <c r="D2205" s="2"/>
      <c r="E2205" s="2"/>
      <c r="F2205" s="2"/>
      <c r="G2205" s="2"/>
      <c r="H2205" s="2"/>
    </row>
    <row r="2206">
      <c r="A2206" s="2"/>
      <c r="B2206" s="2"/>
      <c r="C2206" s="2"/>
      <c r="D2206" s="2"/>
      <c r="E2206" s="2"/>
      <c r="F2206" s="2"/>
      <c r="G2206" s="2"/>
      <c r="H2206" s="2"/>
    </row>
    <row r="2207">
      <c r="A2207" s="2"/>
      <c r="B2207" s="2"/>
      <c r="C2207" s="2"/>
      <c r="D2207" s="2"/>
      <c r="E2207" s="2"/>
      <c r="F2207" s="2"/>
      <c r="G2207" s="2"/>
      <c r="H2207" s="2"/>
    </row>
  </sheetData>
  <conditionalFormatting sqref="C1:C2207">
    <cfRule type="cellIs" dxfId="0" priority="1" operator="greaterThanOr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9.5"/>
    <col customWidth="1" min="3" max="3" width="26.63"/>
  </cols>
  <sheetData>
    <row r="1">
      <c r="A1" s="1" t="s">
        <v>0</v>
      </c>
      <c r="B1" s="1"/>
      <c r="C1" s="2"/>
      <c r="D1" s="2"/>
      <c r="E1" s="2"/>
      <c r="F1" s="2"/>
      <c r="G1" s="2"/>
      <c r="H1" s="2"/>
    </row>
    <row r="2">
      <c r="A2" s="1" t="s">
        <v>1</v>
      </c>
      <c r="B2" s="1"/>
      <c r="C2" s="2"/>
      <c r="D2" s="2"/>
      <c r="E2" s="2"/>
      <c r="F2" s="2"/>
      <c r="G2" s="2"/>
      <c r="H2" s="2"/>
    </row>
    <row r="3">
      <c r="A3" s="1" t="s">
        <v>2</v>
      </c>
      <c r="B3" s="1"/>
      <c r="C3" s="2"/>
      <c r="D3" s="2"/>
      <c r="E3" s="2"/>
      <c r="F3" s="2"/>
      <c r="G3" s="2"/>
      <c r="H3" s="2"/>
    </row>
    <row r="4">
      <c r="A4" s="1" t="s">
        <v>3</v>
      </c>
      <c r="B4" s="1"/>
      <c r="C4" s="2"/>
      <c r="D4" s="2"/>
      <c r="E4" s="2"/>
      <c r="F4" s="2"/>
      <c r="G4" s="2"/>
      <c r="H4" s="2"/>
    </row>
    <row r="5">
      <c r="A5" s="1" t="s">
        <v>4</v>
      </c>
      <c r="B5" s="1"/>
      <c r="C5" s="1">
        <v>0.0</v>
      </c>
      <c r="D5" s="2"/>
      <c r="E5" s="2"/>
      <c r="F5" s="2"/>
      <c r="G5" s="2"/>
      <c r="H5" s="2"/>
    </row>
    <row r="6">
      <c r="A6" s="1" t="s">
        <v>5</v>
      </c>
      <c r="B6" s="1"/>
      <c r="C6" s="1">
        <v>52.0</v>
      </c>
      <c r="D6" s="2"/>
      <c r="E6" s="2"/>
      <c r="F6" s="2"/>
      <c r="G6" s="2"/>
      <c r="H6" s="2"/>
    </row>
    <row r="7">
      <c r="A7" s="1" t="s">
        <v>6</v>
      </c>
      <c r="B7" s="1"/>
      <c r="C7" s="1">
        <v>0.0</v>
      </c>
      <c r="D7" s="2"/>
      <c r="E7" s="2"/>
      <c r="F7" s="2"/>
      <c r="G7" s="2"/>
      <c r="H7" s="2"/>
    </row>
    <row r="8">
      <c r="A8" s="1" t="s">
        <v>7</v>
      </c>
      <c r="B8" s="1"/>
      <c r="C8" s="1">
        <v>0.0</v>
      </c>
      <c r="D8" s="2"/>
      <c r="E8" s="2"/>
      <c r="F8" s="2"/>
      <c r="G8" s="2"/>
      <c r="H8" s="2"/>
    </row>
    <row r="9">
      <c r="A9" s="1" t="s">
        <v>8</v>
      </c>
      <c r="B9" s="1"/>
      <c r="C9" s="1">
        <v>0.0</v>
      </c>
      <c r="D9" s="2"/>
      <c r="E9" s="2"/>
      <c r="F9" s="2"/>
      <c r="G9" s="2"/>
      <c r="H9" s="2"/>
    </row>
    <row r="10">
      <c r="A10" s="1" t="s">
        <v>9</v>
      </c>
      <c r="B10" s="1"/>
      <c r="C10" s="1">
        <v>0.0</v>
      </c>
      <c r="D10" s="2"/>
      <c r="E10" s="2"/>
      <c r="F10" s="2"/>
      <c r="G10" s="2"/>
      <c r="H10" s="2"/>
    </row>
    <row r="11">
      <c r="A11" s="1" t="s">
        <v>10</v>
      </c>
      <c r="B11" s="1"/>
      <c r="C11" s="1">
        <v>0.0</v>
      </c>
      <c r="D11" s="2"/>
      <c r="E11" s="2"/>
      <c r="F11" s="2"/>
      <c r="G11" s="2"/>
      <c r="H11" s="2"/>
    </row>
    <row r="12">
      <c r="A12" s="1" t="s">
        <v>11</v>
      </c>
      <c r="B12" s="1"/>
      <c r="C12" s="1">
        <v>0.0</v>
      </c>
      <c r="D12" s="2"/>
      <c r="E12" s="2"/>
      <c r="F12" s="2"/>
      <c r="G12" s="2"/>
      <c r="H12" s="2"/>
    </row>
    <row r="13">
      <c r="A13" s="1" t="s">
        <v>12</v>
      </c>
      <c r="B13" s="1"/>
      <c r="C13" s="1">
        <v>67.0</v>
      </c>
      <c r="D13" s="2"/>
      <c r="E13" s="2"/>
      <c r="F13" s="2"/>
      <c r="G13" s="2"/>
      <c r="H13" s="2"/>
    </row>
    <row r="14">
      <c r="A14" s="1" t="s">
        <v>13</v>
      </c>
      <c r="B14" s="1"/>
      <c r="C14" s="1">
        <v>0.0</v>
      </c>
      <c r="D14" s="2"/>
      <c r="E14" s="2"/>
      <c r="F14" s="2"/>
      <c r="G14" s="2"/>
      <c r="H14" s="2"/>
    </row>
    <row r="15">
      <c r="A15" s="1" t="s">
        <v>14</v>
      </c>
      <c r="B15" s="1"/>
      <c r="C15" s="1">
        <v>0.0</v>
      </c>
      <c r="D15" s="2"/>
      <c r="E15" s="2"/>
      <c r="F15" s="2"/>
      <c r="G15" s="2"/>
      <c r="H15" s="2"/>
    </row>
    <row r="16">
      <c r="A16" s="1" t="s">
        <v>15</v>
      </c>
      <c r="B16" s="1"/>
      <c r="C16" s="1" t="s">
        <v>16</v>
      </c>
      <c r="D16" s="1">
        <v>97.0</v>
      </c>
      <c r="E16" s="2"/>
      <c r="F16" s="2"/>
      <c r="G16" s="2"/>
      <c r="H16" s="2"/>
    </row>
    <row r="17">
      <c r="A17" s="1" t="s">
        <v>17</v>
      </c>
      <c r="B17" s="1"/>
      <c r="C17" s="1">
        <v>0.0</v>
      </c>
      <c r="D17" s="2"/>
      <c r="E17" s="2"/>
      <c r="F17" s="2"/>
      <c r="G17" s="2"/>
      <c r="H17" s="2"/>
    </row>
    <row r="18">
      <c r="A18" s="1" t="s">
        <v>18</v>
      </c>
      <c r="B18" s="1"/>
      <c r="C18" s="1">
        <v>23.0</v>
      </c>
      <c r="D18" s="2"/>
      <c r="E18" s="2"/>
      <c r="F18" s="2"/>
      <c r="G18" s="2"/>
      <c r="H18" s="2"/>
    </row>
    <row r="19">
      <c r="A19" s="1" t="s">
        <v>19</v>
      </c>
      <c r="B19" s="1"/>
      <c r="C19" s="1">
        <v>0.0</v>
      </c>
      <c r="D19" s="2"/>
      <c r="E19" s="2"/>
      <c r="F19" s="2"/>
      <c r="G19" s="2"/>
      <c r="H19" s="2"/>
    </row>
    <row r="20">
      <c r="A20" s="1" t="s">
        <v>20</v>
      </c>
      <c r="B20" s="1"/>
      <c r="C20" s="1">
        <v>0.0</v>
      </c>
      <c r="D20" s="2"/>
      <c r="E20" s="2"/>
      <c r="F20" s="2"/>
      <c r="G20" s="2"/>
      <c r="H20" s="2"/>
    </row>
    <row r="21">
      <c r="A21" s="1" t="s">
        <v>21</v>
      </c>
      <c r="B21" s="1"/>
      <c r="C21" s="1">
        <v>0.0</v>
      </c>
      <c r="D21" s="2"/>
      <c r="E21" s="2"/>
      <c r="F21" s="2"/>
      <c r="G21" s="2"/>
      <c r="H21" s="2"/>
    </row>
    <row r="22">
      <c r="A22" s="1" t="s">
        <v>22</v>
      </c>
      <c r="B22" s="1"/>
      <c r="C22" s="1">
        <v>0.0</v>
      </c>
      <c r="D22" s="2"/>
      <c r="E22" s="2"/>
      <c r="F22" s="2"/>
      <c r="G22" s="2"/>
      <c r="H22" s="2"/>
    </row>
    <row r="23">
      <c r="A23" s="1" t="s">
        <v>23</v>
      </c>
      <c r="B23" s="1"/>
      <c r="C23" s="1" t="s">
        <v>24</v>
      </c>
      <c r="D23" s="1">
        <v>0.0</v>
      </c>
      <c r="E23" s="2"/>
      <c r="F23" s="2"/>
      <c r="G23" s="2"/>
      <c r="H23" s="2"/>
    </row>
    <row r="24">
      <c r="A24" s="1" t="s">
        <v>25</v>
      </c>
      <c r="B24" s="1"/>
      <c r="C24" s="1">
        <v>0.0</v>
      </c>
      <c r="D24" s="2"/>
      <c r="E24" s="2"/>
      <c r="F24" s="2"/>
      <c r="G24" s="2"/>
      <c r="H24" s="2"/>
    </row>
    <row r="25">
      <c r="A25" s="1" t="s">
        <v>26</v>
      </c>
      <c r="B25" s="1"/>
      <c r="C25" s="1">
        <v>0.0</v>
      </c>
      <c r="D25" s="2"/>
      <c r="E25" s="2"/>
      <c r="F25" s="2"/>
      <c r="G25" s="2"/>
      <c r="H25" s="2"/>
    </row>
    <row r="26">
      <c r="A26" s="1" t="s">
        <v>27</v>
      </c>
      <c r="B26" s="1"/>
      <c r="C26" s="1">
        <v>0.0</v>
      </c>
      <c r="D26" s="2"/>
      <c r="E26" s="2"/>
      <c r="F26" s="2"/>
      <c r="G26" s="2"/>
      <c r="H26" s="2"/>
    </row>
    <row r="27">
      <c r="A27" s="1" t="s">
        <v>28</v>
      </c>
      <c r="B27" s="1"/>
      <c r="C27" s="1">
        <v>0.0</v>
      </c>
      <c r="D27" s="2"/>
      <c r="E27" s="2"/>
      <c r="F27" s="2"/>
      <c r="G27" s="2"/>
      <c r="H27" s="2"/>
    </row>
    <row r="28">
      <c r="A28" s="1" t="s">
        <v>29</v>
      </c>
      <c r="B28" s="1"/>
      <c r="C28" s="1" t="s">
        <v>30</v>
      </c>
      <c r="D28" s="1" t="s">
        <v>31</v>
      </c>
      <c r="E28" s="2"/>
      <c r="F28" s="2"/>
      <c r="G28" s="2"/>
      <c r="H28" s="2"/>
    </row>
    <row r="29">
      <c r="A29" s="1" t="s">
        <v>32</v>
      </c>
      <c r="B29" s="1"/>
      <c r="C29" s="1">
        <v>0.0</v>
      </c>
      <c r="D29" s="2"/>
      <c r="E29" s="2"/>
      <c r="F29" s="2"/>
      <c r="G29" s="2"/>
      <c r="H29" s="2"/>
    </row>
    <row r="30">
      <c r="A30" s="1" t="s">
        <v>33</v>
      </c>
      <c r="B30" s="1"/>
      <c r="C30" s="1" t="s">
        <v>34</v>
      </c>
      <c r="D30" s="2"/>
      <c r="E30" s="2"/>
      <c r="F30" s="2"/>
      <c r="G30" s="2"/>
      <c r="H30" s="2"/>
    </row>
    <row r="31">
      <c r="A31" s="1" t="s">
        <v>35</v>
      </c>
      <c r="B31" s="1"/>
      <c r="C31" s="1">
        <v>10.0</v>
      </c>
      <c r="D31" s="2"/>
      <c r="E31" s="2"/>
      <c r="F31" s="2"/>
      <c r="G31" s="2"/>
      <c r="H31" s="2"/>
    </row>
    <row r="32">
      <c r="A32" s="1" t="s">
        <v>36</v>
      </c>
      <c r="B32" s="1"/>
      <c r="C32" s="1">
        <v>0.0</v>
      </c>
      <c r="D32" s="2"/>
      <c r="E32" s="2"/>
      <c r="F32" s="2"/>
      <c r="G32" s="2"/>
      <c r="H32" s="2"/>
    </row>
    <row r="33">
      <c r="A33" s="1" t="s">
        <v>37</v>
      </c>
      <c r="B33" s="1"/>
      <c r="C33" s="1">
        <v>5.0</v>
      </c>
      <c r="D33" s="2"/>
      <c r="E33" s="2"/>
      <c r="F33" s="2"/>
      <c r="G33" s="2"/>
      <c r="H33" s="2"/>
    </row>
    <row r="34">
      <c r="A34" s="1" t="s">
        <v>38</v>
      </c>
      <c r="B34" s="1"/>
      <c r="C34" s="1">
        <v>86.0</v>
      </c>
      <c r="D34" s="2"/>
      <c r="E34" s="2"/>
      <c r="F34" s="2"/>
      <c r="G34" s="2"/>
      <c r="H34" s="2"/>
    </row>
    <row r="35">
      <c r="A35" s="1" t="s">
        <v>39</v>
      </c>
      <c r="B35" s="1"/>
      <c r="C35" s="1">
        <v>0.0</v>
      </c>
      <c r="D35" s="2"/>
      <c r="E35" s="2"/>
      <c r="F35" s="2"/>
      <c r="G35" s="2"/>
      <c r="H35" s="2"/>
    </row>
    <row r="36">
      <c r="A36" s="1" t="s">
        <v>40</v>
      </c>
      <c r="B36" s="1"/>
      <c r="C36" s="1">
        <v>0.0</v>
      </c>
      <c r="D36" s="2"/>
      <c r="E36" s="2"/>
      <c r="F36" s="2"/>
      <c r="G36" s="2"/>
      <c r="H36" s="2"/>
    </row>
    <row r="37">
      <c r="A37" s="1" t="s">
        <v>41</v>
      </c>
      <c r="B37" s="1"/>
      <c r="C37" s="1">
        <v>0.0</v>
      </c>
      <c r="D37" s="2"/>
      <c r="E37" s="2"/>
      <c r="F37" s="2"/>
      <c r="G37" s="2"/>
      <c r="H37" s="2"/>
    </row>
    <row r="38">
      <c r="A38" s="1" t="s">
        <v>42</v>
      </c>
      <c r="B38" s="1"/>
      <c r="C38" s="1">
        <v>18.0</v>
      </c>
      <c r="D38" s="2"/>
      <c r="E38" s="2"/>
      <c r="F38" s="2"/>
      <c r="G38" s="2"/>
      <c r="H38" s="2"/>
    </row>
    <row r="39">
      <c r="A39" s="1" t="s">
        <v>43</v>
      </c>
      <c r="B39" s="1"/>
      <c r="C39" s="1">
        <v>0.0</v>
      </c>
      <c r="D39" s="2"/>
      <c r="E39" s="2"/>
      <c r="F39" s="2"/>
      <c r="G39" s="2"/>
      <c r="H39" s="2"/>
    </row>
    <row r="40">
      <c r="A40" s="1" t="s">
        <v>44</v>
      </c>
      <c r="B40" s="1"/>
      <c r="C40" s="1" t="s">
        <v>45</v>
      </c>
      <c r="D40" s="1">
        <v>0.0</v>
      </c>
      <c r="E40" s="2"/>
      <c r="F40" s="2"/>
      <c r="G40" s="2"/>
      <c r="H40" s="2"/>
    </row>
    <row r="41">
      <c r="A41" s="1" t="s">
        <v>46</v>
      </c>
      <c r="B41" s="1"/>
      <c r="C41" s="1">
        <v>0.0</v>
      </c>
      <c r="D41" s="2"/>
      <c r="E41" s="2"/>
      <c r="F41" s="2"/>
      <c r="G41" s="2"/>
      <c r="H41" s="2"/>
    </row>
    <row r="42">
      <c r="A42" s="1" t="s">
        <v>47</v>
      </c>
      <c r="B42" s="1"/>
      <c r="C42" s="1">
        <v>0.0</v>
      </c>
      <c r="D42" s="2"/>
      <c r="E42" s="2"/>
      <c r="F42" s="2"/>
      <c r="G42" s="2"/>
      <c r="H42" s="2"/>
    </row>
    <row r="43">
      <c r="A43" s="1" t="s">
        <v>48</v>
      </c>
      <c r="B43" s="1"/>
      <c r="C43" s="1">
        <v>67.0</v>
      </c>
      <c r="D43" s="2"/>
      <c r="E43" s="2"/>
      <c r="F43" s="2"/>
      <c r="G43" s="2"/>
      <c r="H43" s="2"/>
    </row>
    <row r="44">
      <c r="A44" s="1" t="s">
        <v>49</v>
      </c>
      <c r="B44" s="1"/>
      <c r="C44" s="1">
        <v>0.0</v>
      </c>
      <c r="D44" s="2"/>
      <c r="E44" s="2"/>
      <c r="F44" s="2"/>
      <c r="G44" s="2"/>
      <c r="H44" s="2"/>
    </row>
    <row r="45">
      <c r="A45" s="1" t="s">
        <v>50</v>
      </c>
      <c r="B45" s="1"/>
      <c r="C45" s="1">
        <v>0.0</v>
      </c>
      <c r="D45" s="2"/>
      <c r="E45" s="2"/>
      <c r="F45" s="2"/>
      <c r="G45" s="2"/>
      <c r="H45" s="2"/>
    </row>
    <row r="46">
      <c r="A46" s="1" t="s">
        <v>51</v>
      </c>
      <c r="B46" s="1"/>
      <c r="C46" s="1">
        <v>0.0</v>
      </c>
      <c r="D46" s="2"/>
      <c r="E46" s="2"/>
      <c r="F46" s="2"/>
      <c r="G46" s="2"/>
      <c r="H46" s="2"/>
    </row>
    <row r="47">
      <c r="A47" s="1" t="s">
        <v>52</v>
      </c>
      <c r="B47" s="1"/>
      <c r="C47" s="1">
        <v>0.0</v>
      </c>
      <c r="D47" s="2"/>
      <c r="E47" s="2"/>
      <c r="F47" s="2"/>
      <c r="G47" s="2"/>
      <c r="H47" s="2"/>
    </row>
    <row r="48">
      <c r="A48" s="1" t="s">
        <v>53</v>
      </c>
      <c r="B48" s="1"/>
      <c r="C48" s="1">
        <v>0.0</v>
      </c>
      <c r="D48" s="2"/>
      <c r="E48" s="2"/>
      <c r="F48" s="2"/>
      <c r="G48" s="2"/>
      <c r="H48" s="2"/>
    </row>
    <row r="49">
      <c r="A49" s="1" t="s">
        <v>54</v>
      </c>
      <c r="B49" s="1"/>
      <c r="C49" s="1">
        <v>0.0</v>
      </c>
      <c r="D49" s="2"/>
      <c r="E49" s="2"/>
      <c r="F49" s="2"/>
      <c r="G49" s="2"/>
      <c r="H49" s="2"/>
    </row>
    <row r="50">
      <c r="A50" s="1" t="s">
        <v>55</v>
      </c>
      <c r="B50" s="1"/>
      <c r="C50" s="1">
        <v>0.0</v>
      </c>
      <c r="D50" s="2"/>
      <c r="E50" s="2"/>
      <c r="F50" s="2"/>
      <c r="G50" s="2"/>
      <c r="H50" s="2"/>
    </row>
    <row r="51">
      <c r="A51" s="1" t="s">
        <v>56</v>
      </c>
      <c r="B51" s="1"/>
      <c r="C51" s="1">
        <v>0.0</v>
      </c>
      <c r="D51" s="2"/>
      <c r="E51" s="2"/>
      <c r="F51" s="2"/>
      <c r="G51" s="2"/>
      <c r="H51" s="2"/>
    </row>
    <row r="52">
      <c r="A52" s="1" t="s">
        <v>57</v>
      </c>
      <c r="B52" s="1"/>
      <c r="C52" s="1">
        <v>14.0</v>
      </c>
      <c r="D52" s="2"/>
      <c r="E52" s="2"/>
      <c r="F52" s="2"/>
      <c r="G52" s="2"/>
      <c r="H52" s="2"/>
    </row>
    <row r="53">
      <c r="A53" s="1" t="s">
        <v>58</v>
      </c>
      <c r="B53" s="1"/>
      <c r="C53" s="1" t="s">
        <v>59</v>
      </c>
      <c r="D53" s="1">
        <v>0.0</v>
      </c>
      <c r="E53" s="2"/>
      <c r="F53" s="2"/>
      <c r="G53" s="2"/>
      <c r="H53" s="2"/>
    </row>
    <row r="54">
      <c r="A54" s="1" t="s">
        <v>60</v>
      </c>
      <c r="B54" s="1"/>
      <c r="C54" s="1">
        <v>0.0</v>
      </c>
      <c r="D54" s="2"/>
      <c r="E54" s="2"/>
      <c r="F54" s="2"/>
      <c r="G54" s="2"/>
      <c r="H54" s="2"/>
    </row>
    <row r="55">
      <c r="A55" s="1" t="s">
        <v>61</v>
      </c>
      <c r="B55" s="1"/>
      <c r="C55" s="1">
        <v>26.0</v>
      </c>
      <c r="D55" s="2"/>
      <c r="E55" s="2"/>
      <c r="F55" s="2"/>
      <c r="G55" s="2"/>
      <c r="H55" s="2"/>
    </row>
    <row r="56">
      <c r="A56" s="1" t="s">
        <v>62</v>
      </c>
      <c r="B56" s="1"/>
      <c r="C56" s="1">
        <v>5.0</v>
      </c>
      <c r="D56" s="2"/>
      <c r="E56" s="2"/>
      <c r="F56" s="2"/>
      <c r="G56" s="2"/>
      <c r="H56" s="2"/>
    </row>
    <row r="57">
      <c r="A57" s="1" t="s">
        <v>63</v>
      </c>
      <c r="B57" s="1"/>
      <c r="C57" s="1">
        <v>0.0</v>
      </c>
      <c r="D57" s="2"/>
      <c r="E57" s="2"/>
      <c r="F57" s="2"/>
      <c r="G57" s="2"/>
      <c r="H57" s="2"/>
    </row>
    <row r="58">
      <c r="A58" s="1" t="s">
        <v>64</v>
      </c>
      <c r="B58" s="1"/>
      <c r="C58" s="1">
        <v>0.0</v>
      </c>
      <c r="D58" s="2"/>
      <c r="E58" s="2"/>
      <c r="F58" s="2"/>
      <c r="G58" s="2"/>
      <c r="H58" s="2"/>
    </row>
    <row r="59">
      <c r="A59" s="1" t="s">
        <v>65</v>
      </c>
      <c r="B59" s="1"/>
      <c r="C59" s="1">
        <v>0.0</v>
      </c>
      <c r="D59" s="2"/>
      <c r="E59" s="2"/>
      <c r="F59" s="2"/>
      <c r="G59" s="2"/>
      <c r="H59" s="2"/>
    </row>
    <row r="60">
      <c r="A60" s="1" t="s">
        <v>66</v>
      </c>
      <c r="B60" s="1"/>
      <c r="C60" s="1">
        <v>0.0</v>
      </c>
      <c r="D60" s="2"/>
      <c r="E60" s="2"/>
      <c r="F60" s="2"/>
      <c r="G60" s="2"/>
      <c r="H60" s="2"/>
    </row>
    <row r="61">
      <c r="A61" s="1" t="s">
        <v>67</v>
      </c>
      <c r="B61" s="1"/>
      <c r="C61" s="1">
        <v>0.0</v>
      </c>
      <c r="D61" s="2"/>
      <c r="E61" s="2"/>
      <c r="F61" s="2"/>
      <c r="G61" s="2"/>
      <c r="H61" s="2"/>
    </row>
    <row r="62">
      <c r="A62" s="1" t="s">
        <v>68</v>
      </c>
      <c r="B62" s="1"/>
      <c r="C62" s="1">
        <v>0.0</v>
      </c>
      <c r="D62" s="2"/>
      <c r="E62" s="2"/>
      <c r="F62" s="2"/>
      <c r="G62" s="2"/>
      <c r="H62" s="2"/>
    </row>
    <row r="63">
      <c r="A63" s="1" t="s">
        <v>69</v>
      </c>
      <c r="B63" s="1"/>
      <c r="C63" s="1">
        <v>40.0</v>
      </c>
      <c r="D63" s="2"/>
      <c r="E63" s="2"/>
      <c r="F63" s="2"/>
      <c r="G63" s="2"/>
      <c r="H63" s="2"/>
    </row>
    <row r="64">
      <c r="A64" s="1" t="s">
        <v>70</v>
      </c>
      <c r="B64" s="1"/>
      <c r="C64" s="1">
        <v>0.0</v>
      </c>
      <c r="D64" s="2"/>
      <c r="E64" s="2"/>
      <c r="F64" s="2"/>
      <c r="G64" s="2"/>
      <c r="H64" s="2"/>
    </row>
    <row r="65">
      <c r="A65" s="1" t="s">
        <v>71</v>
      </c>
      <c r="B65" s="1"/>
      <c r="C65" s="1">
        <v>0.0</v>
      </c>
      <c r="D65" s="2"/>
      <c r="E65" s="2"/>
      <c r="F65" s="2"/>
      <c r="G65" s="2"/>
      <c r="H65" s="2"/>
    </row>
    <row r="66">
      <c r="A66" s="1" t="s">
        <v>72</v>
      </c>
      <c r="B66" s="1"/>
      <c r="C66" s="1">
        <v>68.0</v>
      </c>
      <c r="D66" s="2"/>
      <c r="E66" s="2"/>
      <c r="F66" s="2"/>
      <c r="G66" s="2"/>
      <c r="H66" s="2"/>
    </row>
    <row r="67">
      <c r="A67" s="1" t="s">
        <v>73</v>
      </c>
      <c r="B67" s="1"/>
      <c r="C67" s="1">
        <v>0.0</v>
      </c>
      <c r="D67" s="2"/>
      <c r="E67" s="2"/>
      <c r="F67" s="2"/>
      <c r="G67" s="2"/>
      <c r="H67" s="2"/>
    </row>
    <row r="68">
      <c r="A68" s="1" t="s">
        <v>74</v>
      </c>
      <c r="B68" s="1"/>
      <c r="C68" s="1">
        <v>13.0</v>
      </c>
      <c r="D68" s="2"/>
      <c r="E68" s="2"/>
      <c r="F68" s="2"/>
      <c r="G68" s="2"/>
      <c r="H68" s="2"/>
    </row>
    <row r="69">
      <c r="A69" s="1" t="s">
        <v>75</v>
      </c>
      <c r="B69" s="1"/>
      <c r="C69" s="1">
        <v>29.0</v>
      </c>
      <c r="D69" s="2"/>
      <c r="E69" s="2"/>
      <c r="F69" s="2"/>
      <c r="G69" s="2"/>
      <c r="H69" s="2"/>
    </row>
    <row r="70">
      <c r="A70" s="1" t="s">
        <v>76</v>
      </c>
      <c r="B70" s="1"/>
      <c r="C70" s="1">
        <v>0.0</v>
      </c>
      <c r="D70" s="2"/>
      <c r="E70" s="2"/>
      <c r="F70" s="2"/>
      <c r="G70" s="2"/>
      <c r="H70" s="2"/>
    </row>
    <row r="71">
      <c r="A71" s="1" t="s">
        <v>77</v>
      </c>
      <c r="B71" s="1"/>
      <c r="C71" s="1">
        <v>84.0</v>
      </c>
      <c r="D71" s="2"/>
      <c r="E71" s="2"/>
      <c r="F71" s="2"/>
      <c r="G71" s="2"/>
      <c r="H71" s="2"/>
    </row>
    <row r="72">
      <c r="A72" s="1" t="s">
        <v>78</v>
      </c>
      <c r="B72" s="1"/>
      <c r="C72" s="1">
        <v>58.0</v>
      </c>
      <c r="D72" s="2"/>
      <c r="E72" s="2"/>
      <c r="F72" s="2"/>
      <c r="G72" s="2"/>
      <c r="H72" s="2"/>
    </row>
    <row r="73">
      <c r="A73" s="1" t="s">
        <v>79</v>
      </c>
      <c r="B73" s="1"/>
      <c r="C73" s="1">
        <v>0.0</v>
      </c>
      <c r="D73" s="2"/>
      <c r="E73" s="2"/>
      <c r="F73" s="2"/>
      <c r="G73" s="2"/>
      <c r="H73" s="2"/>
    </row>
    <row r="74">
      <c r="A74" s="1" t="s">
        <v>80</v>
      </c>
      <c r="B74" s="1"/>
      <c r="C74" s="1">
        <v>12.0</v>
      </c>
      <c r="D74" s="2"/>
      <c r="E74" s="2"/>
      <c r="F74" s="2"/>
      <c r="G74" s="2"/>
      <c r="H74" s="2"/>
    </row>
    <row r="75">
      <c r="A75" s="1" t="s">
        <v>81</v>
      </c>
      <c r="B75" s="1"/>
      <c r="C75" s="1">
        <v>5.0</v>
      </c>
      <c r="D75" s="2"/>
      <c r="E75" s="2"/>
      <c r="F75" s="2"/>
      <c r="G75" s="2"/>
      <c r="H75" s="2"/>
    </row>
    <row r="76">
      <c r="A76" s="1" t="s">
        <v>82</v>
      </c>
      <c r="B76" s="1"/>
      <c r="C76" s="1">
        <v>70.0</v>
      </c>
      <c r="D76" s="2"/>
      <c r="E76" s="2"/>
      <c r="F76" s="2"/>
      <c r="G76" s="2"/>
      <c r="H76" s="2"/>
    </row>
    <row r="77">
      <c r="A77" s="1" t="s">
        <v>83</v>
      </c>
      <c r="B77" s="1"/>
      <c r="C77" s="1">
        <v>13.0</v>
      </c>
      <c r="D77" s="2"/>
      <c r="E77" s="2"/>
      <c r="F77" s="2"/>
      <c r="G77" s="2"/>
      <c r="H77" s="2"/>
    </row>
    <row r="78">
      <c r="A78" s="1" t="s">
        <v>84</v>
      </c>
      <c r="B78" s="1"/>
      <c r="C78" s="1">
        <v>0.0</v>
      </c>
      <c r="D78" s="2"/>
      <c r="E78" s="2"/>
      <c r="F78" s="2"/>
      <c r="G78" s="2"/>
      <c r="H78" s="2"/>
    </row>
    <row r="79">
      <c r="A79" s="1" t="s">
        <v>85</v>
      </c>
      <c r="B79" s="1"/>
      <c r="C79" s="1">
        <v>94.0</v>
      </c>
      <c r="D79" s="2"/>
      <c r="E79" s="2"/>
      <c r="F79" s="2"/>
      <c r="G79" s="2"/>
      <c r="H79" s="2"/>
    </row>
    <row r="80">
      <c r="A80" s="1" t="s">
        <v>86</v>
      </c>
      <c r="B80" s="1"/>
      <c r="C80" s="1">
        <v>36.0</v>
      </c>
      <c r="D80" s="2"/>
      <c r="E80" s="2"/>
      <c r="F80" s="2"/>
      <c r="G80" s="2"/>
      <c r="H80" s="2"/>
    </row>
    <row r="81">
      <c r="A81" s="1" t="s">
        <v>87</v>
      </c>
      <c r="B81" s="1"/>
      <c r="C81" s="1">
        <v>0.0</v>
      </c>
      <c r="D81" s="2"/>
      <c r="E81" s="2"/>
      <c r="F81" s="2"/>
      <c r="G81" s="2"/>
      <c r="H81" s="2"/>
    </row>
    <row r="82">
      <c r="A82" s="1" t="s">
        <v>88</v>
      </c>
      <c r="B82" s="1"/>
      <c r="C82" s="1">
        <v>50.0</v>
      </c>
      <c r="D82" s="2"/>
      <c r="E82" s="2"/>
      <c r="F82" s="2"/>
      <c r="G82" s="2"/>
      <c r="H82" s="2"/>
    </row>
    <row r="83">
      <c r="A83" s="1" t="s">
        <v>89</v>
      </c>
      <c r="B83" s="1"/>
      <c r="C83" s="1">
        <v>0.0</v>
      </c>
      <c r="D83" s="2"/>
      <c r="E83" s="2"/>
      <c r="F83" s="2"/>
      <c r="G83" s="2"/>
      <c r="H83" s="2"/>
    </row>
    <row r="84">
      <c r="A84" s="1" t="s">
        <v>90</v>
      </c>
      <c r="B84" s="1"/>
      <c r="C84" s="1">
        <v>0.0</v>
      </c>
      <c r="D84" s="2"/>
      <c r="E84" s="2"/>
      <c r="F84" s="2"/>
      <c r="G84" s="2"/>
      <c r="H84" s="2"/>
    </row>
    <row r="85">
      <c r="A85" s="1" t="s">
        <v>91</v>
      </c>
      <c r="B85" s="1"/>
      <c r="C85" s="1">
        <v>0.0</v>
      </c>
      <c r="D85" s="2"/>
      <c r="E85" s="2"/>
      <c r="F85" s="2"/>
      <c r="G85" s="2"/>
      <c r="H85" s="2"/>
    </row>
    <row r="86">
      <c r="A86" s="1" t="s">
        <v>92</v>
      </c>
      <c r="B86" s="1"/>
      <c r="C86" s="1">
        <v>0.0</v>
      </c>
      <c r="D86" s="2"/>
      <c r="E86" s="2"/>
      <c r="F86" s="2"/>
      <c r="G86" s="2"/>
      <c r="H86" s="2"/>
    </row>
    <row r="87">
      <c r="A87" s="1" t="s">
        <v>93</v>
      </c>
      <c r="B87" s="1"/>
      <c r="C87" s="1">
        <v>68.0</v>
      </c>
      <c r="D87" s="2"/>
      <c r="E87" s="2"/>
      <c r="F87" s="2"/>
      <c r="G87" s="2"/>
      <c r="H87" s="2"/>
    </row>
    <row r="88">
      <c r="A88" s="1" t="s">
        <v>94</v>
      </c>
      <c r="B88" s="1"/>
      <c r="C88" s="1">
        <v>34.0</v>
      </c>
      <c r="D88" s="2"/>
      <c r="E88" s="2"/>
      <c r="F88" s="2"/>
      <c r="G88" s="2"/>
      <c r="H88" s="2"/>
    </row>
    <row r="89">
      <c r="A89" s="1" t="s">
        <v>95</v>
      </c>
      <c r="B89" s="1"/>
      <c r="C89" s="1">
        <v>0.0</v>
      </c>
      <c r="D89" s="2"/>
      <c r="E89" s="2"/>
      <c r="F89" s="2"/>
      <c r="G89" s="2"/>
      <c r="H89" s="2"/>
    </row>
    <row r="90">
      <c r="A90" s="1" t="s">
        <v>96</v>
      </c>
      <c r="B90" s="1"/>
      <c r="C90" s="1">
        <v>72.0</v>
      </c>
      <c r="D90" s="2"/>
      <c r="E90" s="2"/>
      <c r="F90" s="2"/>
      <c r="G90" s="2"/>
      <c r="H90" s="2"/>
    </row>
    <row r="91">
      <c r="A91" s="1" t="s">
        <v>97</v>
      </c>
      <c r="B91" s="1"/>
      <c r="C91" s="1">
        <v>0.0</v>
      </c>
      <c r="D91" s="2"/>
      <c r="E91" s="2"/>
      <c r="F91" s="2"/>
      <c r="G91" s="2"/>
      <c r="H91" s="2"/>
    </row>
    <row r="92">
      <c r="A92" s="1" t="s">
        <v>98</v>
      </c>
      <c r="B92" s="1"/>
      <c r="C92" s="1">
        <v>0.0</v>
      </c>
      <c r="D92" s="2"/>
      <c r="E92" s="2"/>
      <c r="F92" s="2"/>
      <c r="G92" s="2"/>
      <c r="H92" s="2"/>
    </row>
    <row r="93">
      <c r="A93" s="1" t="s">
        <v>99</v>
      </c>
      <c r="B93" s="1"/>
      <c r="C93" s="1">
        <v>0.0</v>
      </c>
      <c r="D93" s="2"/>
      <c r="E93" s="2"/>
      <c r="F93" s="2"/>
      <c r="G93" s="2"/>
      <c r="H93" s="2"/>
    </row>
    <row r="94">
      <c r="A94" s="1" t="s">
        <v>100</v>
      </c>
      <c r="B94" s="1"/>
      <c r="C94" s="1">
        <v>0.0</v>
      </c>
      <c r="D94" s="2"/>
      <c r="E94" s="2"/>
      <c r="F94" s="2"/>
      <c r="G94" s="2"/>
      <c r="H94" s="2"/>
    </row>
    <row r="95">
      <c r="A95" s="1" t="s">
        <v>101</v>
      </c>
      <c r="B95" s="1"/>
      <c r="C95" s="1">
        <v>0.0</v>
      </c>
      <c r="D95" s="2"/>
      <c r="E95" s="2"/>
      <c r="F95" s="2"/>
      <c r="G95" s="2"/>
      <c r="H95" s="2"/>
    </row>
    <row r="96">
      <c r="A96" s="1" t="s">
        <v>102</v>
      </c>
      <c r="B96" s="1"/>
      <c r="C96" s="1" t="s">
        <v>103</v>
      </c>
      <c r="D96" s="1">
        <v>0.0</v>
      </c>
      <c r="E96" s="2"/>
      <c r="F96" s="2"/>
      <c r="G96" s="2"/>
      <c r="H96" s="2"/>
    </row>
    <row r="97">
      <c r="A97" s="1" t="s">
        <v>104</v>
      </c>
      <c r="B97" s="1"/>
      <c r="C97" s="1">
        <v>0.0</v>
      </c>
      <c r="D97" s="2"/>
      <c r="E97" s="2"/>
      <c r="F97" s="2"/>
      <c r="G97" s="2"/>
      <c r="H97" s="2"/>
    </row>
    <row r="98">
      <c r="A98" s="1" t="s">
        <v>105</v>
      </c>
      <c r="B98" s="1"/>
      <c r="C98" s="1">
        <v>0.0</v>
      </c>
      <c r="D98" s="2"/>
      <c r="E98" s="2"/>
      <c r="F98" s="2"/>
      <c r="G98" s="2"/>
      <c r="H98" s="2"/>
    </row>
    <row r="99">
      <c r="A99" s="1" t="s">
        <v>106</v>
      </c>
      <c r="B99" s="1"/>
      <c r="C99" s="1">
        <v>0.0</v>
      </c>
      <c r="D99" s="2"/>
      <c r="E99" s="2"/>
      <c r="F99" s="2"/>
      <c r="G99" s="2"/>
      <c r="H99" s="2"/>
    </row>
    <row r="100">
      <c r="A100" s="1" t="s">
        <v>107</v>
      </c>
      <c r="B100" s="1"/>
      <c r="C100" s="1">
        <v>0.0</v>
      </c>
      <c r="D100" s="2"/>
      <c r="E100" s="2"/>
      <c r="F100" s="2"/>
      <c r="G100" s="2"/>
      <c r="H100" s="2"/>
    </row>
    <row r="101">
      <c r="A101" s="1" t="s">
        <v>108</v>
      </c>
      <c r="B101" s="1"/>
      <c r="C101" s="1">
        <v>0.0</v>
      </c>
      <c r="D101" s="2"/>
      <c r="E101" s="2"/>
      <c r="F101" s="2"/>
      <c r="G101" s="2"/>
      <c r="H101" s="2"/>
    </row>
    <row r="102">
      <c r="A102" s="1" t="s">
        <v>109</v>
      </c>
      <c r="B102" s="1"/>
      <c r="C102" s="1">
        <v>0.0</v>
      </c>
      <c r="D102" s="2"/>
      <c r="E102" s="2"/>
      <c r="F102" s="2"/>
      <c r="G102" s="2"/>
      <c r="H102" s="2"/>
    </row>
    <row r="103">
      <c r="A103" s="1" t="s">
        <v>110</v>
      </c>
      <c r="B103" s="1"/>
      <c r="C103" s="1">
        <v>0.0</v>
      </c>
      <c r="D103" s="2"/>
      <c r="E103" s="2"/>
      <c r="F103" s="2"/>
      <c r="G103" s="2"/>
      <c r="H103" s="2"/>
    </row>
    <row r="104">
      <c r="A104" s="1" t="s">
        <v>111</v>
      </c>
      <c r="B104" s="1"/>
      <c r="C104" s="1">
        <v>0.0</v>
      </c>
      <c r="D104" s="2"/>
      <c r="E104" s="2"/>
      <c r="F104" s="2"/>
      <c r="G104" s="2"/>
      <c r="H104" s="2"/>
    </row>
    <row r="105">
      <c r="A105" s="1" t="s">
        <v>112</v>
      </c>
      <c r="B105" s="1"/>
      <c r="C105" s="1">
        <v>7.0</v>
      </c>
      <c r="D105" s="2"/>
      <c r="E105" s="2"/>
      <c r="F105" s="2"/>
      <c r="G105" s="2"/>
      <c r="H105" s="2"/>
    </row>
    <row r="106">
      <c r="A106" s="1" t="s">
        <v>113</v>
      </c>
      <c r="B106" s="1"/>
      <c r="C106" s="1">
        <v>77.0</v>
      </c>
      <c r="D106" s="2"/>
      <c r="E106" s="2"/>
      <c r="F106" s="2"/>
      <c r="G106" s="2"/>
      <c r="H106" s="2"/>
    </row>
    <row r="107">
      <c r="A107" s="1" t="s">
        <v>114</v>
      </c>
      <c r="B107" s="1"/>
      <c r="C107" s="1">
        <v>0.0</v>
      </c>
      <c r="D107" s="2"/>
      <c r="E107" s="2"/>
      <c r="F107" s="2"/>
      <c r="G107" s="2"/>
      <c r="H107" s="2"/>
    </row>
    <row r="108">
      <c r="A108" s="1" t="s">
        <v>115</v>
      </c>
      <c r="B108" s="1"/>
      <c r="C108" s="1">
        <v>14.0</v>
      </c>
      <c r="D108" s="2"/>
      <c r="E108" s="2"/>
      <c r="F108" s="2"/>
      <c r="G108" s="2"/>
      <c r="H108" s="2"/>
    </row>
    <row r="109">
      <c r="A109" s="1" t="s">
        <v>116</v>
      </c>
      <c r="B109" s="1"/>
      <c r="C109" s="1">
        <v>0.0</v>
      </c>
      <c r="D109" s="2"/>
      <c r="E109" s="2"/>
      <c r="F109" s="2"/>
      <c r="G109" s="2"/>
      <c r="H109" s="2"/>
    </row>
    <row r="110">
      <c r="A110" s="1" t="s">
        <v>117</v>
      </c>
      <c r="B110" s="1"/>
      <c r="C110" s="1">
        <v>42.0</v>
      </c>
      <c r="D110" s="2"/>
      <c r="E110" s="2"/>
      <c r="F110" s="2"/>
      <c r="G110" s="2"/>
      <c r="H110" s="2"/>
    </row>
    <row r="111">
      <c r="A111" s="1" t="s">
        <v>118</v>
      </c>
      <c r="B111" s="1"/>
      <c r="C111" s="1">
        <v>0.0</v>
      </c>
      <c r="D111" s="2"/>
      <c r="E111" s="2"/>
      <c r="F111" s="2"/>
      <c r="G111" s="2"/>
      <c r="H111" s="2"/>
    </row>
    <row r="112">
      <c r="A112" s="1" t="s">
        <v>119</v>
      </c>
      <c r="B112" s="1"/>
      <c r="C112" s="1">
        <v>0.0</v>
      </c>
      <c r="D112" s="2"/>
      <c r="E112" s="2"/>
      <c r="F112" s="2"/>
      <c r="G112" s="2"/>
      <c r="H112" s="2"/>
    </row>
    <row r="113">
      <c r="A113" s="1" t="s">
        <v>120</v>
      </c>
      <c r="B113" s="1"/>
      <c r="C113" s="1">
        <v>0.0</v>
      </c>
      <c r="D113" s="2"/>
      <c r="E113" s="2"/>
      <c r="F113" s="2"/>
      <c r="G113" s="2"/>
      <c r="H113" s="2"/>
    </row>
    <row r="114">
      <c r="A114" s="1" t="s">
        <v>121</v>
      </c>
      <c r="B114" s="1"/>
      <c r="C114" s="1">
        <v>0.0</v>
      </c>
      <c r="D114" s="2"/>
      <c r="E114" s="2"/>
      <c r="F114" s="2"/>
      <c r="G114" s="2"/>
      <c r="H114" s="2"/>
    </row>
    <row r="115">
      <c r="A115" s="1" t="s">
        <v>122</v>
      </c>
      <c r="B115" s="1"/>
      <c r="C115" s="1">
        <v>14.0</v>
      </c>
      <c r="D115" s="2"/>
      <c r="E115" s="2"/>
      <c r="F115" s="2"/>
      <c r="G115" s="2"/>
      <c r="H115" s="2"/>
    </row>
    <row r="116">
      <c r="A116" s="1" t="s">
        <v>123</v>
      </c>
      <c r="B116" s="1"/>
      <c r="C116" s="1">
        <v>0.0</v>
      </c>
      <c r="D116" s="2"/>
      <c r="E116" s="2"/>
      <c r="F116" s="2"/>
      <c r="G116" s="2"/>
      <c r="H116" s="2"/>
    </row>
    <row r="117">
      <c r="A117" s="1" t="s">
        <v>124</v>
      </c>
      <c r="B117" s="1"/>
      <c r="C117" s="1">
        <v>42.0</v>
      </c>
      <c r="D117" s="2"/>
      <c r="E117" s="2"/>
      <c r="F117" s="2"/>
      <c r="G117" s="2"/>
      <c r="H117" s="2"/>
    </row>
    <row r="118">
      <c r="A118" s="1" t="s">
        <v>125</v>
      </c>
      <c r="B118" s="1"/>
      <c r="C118" s="1">
        <v>80.0</v>
      </c>
      <c r="D118" s="2"/>
      <c r="E118" s="2"/>
      <c r="F118" s="2"/>
      <c r="G118" s="2"/>
      <c r="H118" s="2"/>
    </row>
    <row r="119">
      <c r="A119" s="1" t="s">
        <v>126</v>
      </c>
      <c r="B119" s="1"/>
      <c r="C119" s="1">
        <v>0.0</v>
      </c>
      <c r="D119" s="2"/>
      <c r="E119" s="2"/>
      <c r="F119" s="2"/>
      <c r="G119" s="2"/>
      <c r="H119" s="2"/>
    </row>
    <row r="120">
      <c r="A120" s="1" t="s">
        <v>127</v>
      </c>
      <c r="B120" s="1"/>
      <c r="C120" s="1">
        <v>0.0</v>
      </c>
      <c r="D120" s="2"/>
      <c r="E120" s="2"/>
      <c r="F120" s="2"/>
      <c r="G120" s="2"/>
      <c r="H120" s="2"/>
    </row>
    <row r="121">
      <c r="A121" s="1" t="s">
        <v>128</v>
      </c>
      <c r="B121" s="1"/>
      <c r="C121" s="1">
        <v>0.0</v>
      </c>
      <c r="D121" s="2"/>
      <c r="E121" s="2"/>
      <c r="F121" s="2"/>
      <c r="G121" s="2"/>
      <c r="H121" s="2"/>
    </row>
    <row r="122">
      <c r="A122" s="1" t="s">
        <v>129</v>
      </c>
      <c r="B122" s="1"/>
      <c r="C122" s="1">
        <v>0.0</v>
      </c>
      <c r="D122" s="2"/>
      <c r="E122" s="2"/>
      <c r="F122" s="2"/>
      <c r="G122" s="2"/>
      <c r="H122" s="2"/>
    </row>
    <row r="123">
      <c r="A123" s="1" t="s">
        <v>130</v>
      </c>
      <c r="B123" s="1"/>
      <c r="C123" s="1">
        <v>0.0</v>
      </c>
      <c r="D123" s="2"/>
      <c r="E123" s="2"/>
      <c r="F123" s="2"/>
      <c r="G123" s="2"/>
      <c r="H123" s="2"/>
    </row>
    <row r="124">
      <c r="A124" s="1" t="s">
        <v>131</v>
      </c>
      <c r="B124" s="1"/>
      <c r="C124" s="1">
        <v>0.0</v>
      </c>
      <c r="D124" s="2"/>
      <c r="E124" s="2"/>
      <c r="F124" s="2"/>
      <c r="G124" s="2"/>
      <c r="H124" s="2"/>
    </row>
    <row r="125">
      <c r="A125" s="1" t="s">
        <v>132</v>
      </c>
      <c r="B125" s="1"/>
      <c r="C125" s="1">
        <v>84.0</v>
      </c>
      <c r="D125" s="2"/>
      <c r="E125" s="2"/>
      <c r="F125" s="2"/>
      <c r="G125" s="2"/>
      <c r="H125" s="2"/>
    </row>
    <row r="126">
      <c r="A126" s="1" t="s">
        <v>133</v>
      </c>
      <c r="B126" s="1"/>
      <c r="C126" s="1">
        <v>0.0</v>
      </c>
      <c r="D126" s="2"/>
      <c r="E126" s="2"/>
      <c r="F126" s="2"/>
      <c r="G126" s="2"/>
      <c r="H126" s="2"/>
    </row>
    <row r="127">
      <c r="A127" s="1" t="s">
        <v>134</v>
      </c>
      <c r="B127" s="1"/>
      <c r="C127" s="1">
        <v>65.0</v>
      </c>
      <c r="D127" s="2"/>
      <c r="E127" s="2"/>
      <c r="F127" s="2"/>
      <c r="G127" s="2"/>
      <c r="H127" s="2"/>
    </row>
    <row r="128">
      <c r="A128" s="1" t="s">
        <v>135</v>
      </c>
      <c r="B128" s="1"/>
      <c r="C128" s="1">
        <v>0.0</v>
      </c>
      <c r="D128" s="2"/>
      <c r="E128" s="2"/>
      <c r="F128" s="2"/>
      <c r="G128" s="2"/>
      <c r="H128" s="2"/>
    </row>
    <row r="129">
      <c r="A129" s="1" t="s">
        <v>136</v>
      </c>
      <c r="B129" s="1"/>
      <c r="C129" s="1">
        <v>0.0</v>
      </c>
      <c r="D129" s="2"/>
      <c r="E129" s="2"/>
      <c r="F129" s="2"/>
      <c r="G129" s="2"/>
      <c r="H129" s="2"/>
    </row>
    <row r="130">
      <c r="A130" s="1" t="s">
        <v>137</v>
      </c>
      <c r="B130" s="1"/>
      <c r="C130" s="1">
        <v>42.0</v>
      </c>
      <c r="D130" s="2"/>
      <c r="E130" s="2"/>
      <c r="F130" s="2"/>
      <c r="G130" s="2"/>
      <c r="H130" s="2"/>
    </row>
    <row r="131">
      <c r="A131" s="1" t="s">
        <v>138</v>
      </c>
      <c r="B131" s="1"/>
      <c r="C131" s="1">
        <v>0.0</v>
      </c>
      <c r="D131" s="2"/>
      <c r="E131" s="2"/>
      <c r="F131" s="2"/>
      <c r="G131" s="2"/>
      <c r="H131" s="2"/>
    </row>
    <row r="132">
      <c r="A132" s="1" t="s">
        <v>139</v>
      </c>
      <c r="B132" s="1"/>
      <c r="C132" s="1">
        <v>0.0</v>
      </c>
      <c r="D132" s="2"/>
      <c r="E132" s="2"/>
      <c r="F132" s="2"/>
      <c r="G132" s="2"/>
      <c r="H132" s="2"/>
    </row>
    <row r="133">
      <c r="A133" s="1" t="s">
        <v>140</v>
      </c>
      <c r="B133" s="1"/>
      <c r="C133" s="1">
        <v>82.0</v>
      </c>
      <c r="D133" s="2"/>
      <c r="E133" s="2"/>
      <c r="F133" s="2"/>
      <c r="G133" s="2"/>
      <c r="H133" s="2"/>
    </row>
    <row r="134">
      <c r="A134" s="1" t="s">
        <v>141</v>
      </c>
      <c r="B134" s="1"/>
      <c r="C134" s="1">
        <v>0.0</v>
      </c>
      <c r="D134" s="2"/>
      <c r="E134" s="2"/>
      <c r="F134" s="2"/>
      <c r="G134" s="2"/>
      <c r="H134" s="2"/>
    </row>
    <row r="135">
      <c r="A135" s="1" t="s">
        <v>142</v>
      </c>
      <c r="B135" s="1"/>
      <c r="C135" s="1">
        <v>0.0</v>
      </c>
      <c r="D135" s="2"/>
      <c r="E135" s="2"/>
      <c r="F135" s="2"/>
      <c r="G135" s="2"/>
      <c r="H135" s="2"/>
    </row>
    <row r="136">
      <c r="A136" s="1" t="s">
        <v>143</v>
      </c>
      <c r="B136" s="1"/>
      <c r="C136" s="1">
        <v>0.0</v>
      </c>
      <c r="D136" s="2"/>
      <c r="E136" s="2"/>
      <c r="F136" s="2"/>
      <c r="G136" s="2"/>
      <c r="H136" s="2"/>
    </row>
    <row r="137">
      <c r="A137" s="1" t="s">
        <v>144</v>
      </c>
      <c r="B137" s="1"/>
      <c r="C137" s="1">
        <v>0.0</v>
      </c>
      <c r="D137" s="2"/>
      <c r="E137" s="2"/>
      <c r="F137" s="2"/>
      <c r="G137" s="2"/>
      <c r="H137" s="2"/>
    </row>
    <row r="138">
      <c r="A138" s="1" t="s">
        <v>145</v>
      </c>
      <c r="B138" s="1"/>
      <c r="C138" s="1">
        <v>0.0</v>
      </c>
      <c r="D138" s="2"/>
      <c r="E138" s="2"/>
      <c r="F138" s="2"/>
      <c r="G138" s="2"/>
      <c r="H138" s="2"/>
    </row>
    <row r="139">
      <c r="A139" s="1" t="s">
        <v>146</v>
      </c>
      <c r="B139" s="1"/>
      <c r="C139" s="2"/>
      <c r="D139" s="2"/>
      <c r="E139" s="2"/>
      <c r="F139" s="2"/>
      <c r="G139" s="2"/>
      <c r="H139" s="2"/>
    </row>
    <row r="140">
      <c r="A140" s="1" t="s">
        <v>147</v>
      </c>
      <c r="B140" s="1"/>
      <c r="C140" s="1">
        <v>0.0</v>
      </c>
      <c r="D140" s="2"/>
      <c r="E140" s="2"/>
      <c r="F140" s="2"/>
      <c r="G140" s="2"/>
      <c r="H140" s="2"/>
    </row>
    <row r="141">
      <c r="A141" s="1" t="s">
        <v>148</v>
      </c>
      <c r="B141" s="1"/>
      <c r="C141" s="2"/>
      <c r="D141" s="2"/>
      <c r="E141" s="2"/>
      <c r="F141" s="2"/>
      <c r="G141" s="2"/>
      <c r="H141" s="2"/>
    </row>
    <row r="142">
      <c r="A142" s="1" t="s">
        <v>149</v>
      </c>
      <c r="B142" s="1"/>
      <c r="C142" s="1">
        <v>0.0</v>
      </c>
      <c r="D142" s="2"/>
      <c r="E142" s="2"/>
      <c r="F142" s="2"/>
      <c r="G142" s="2"/>
      <c r="H142" s="2"/>
    </row>
    <row r="143">
      <c r="A143" s="1" t="s">
        <v>150</v>
      </c>
      <c r="B143" s="1"/>
      <c r="C143" s="1">
        <v>0.0</v>
      </c>
      <c r="D143" s="2"/>
      <c r="E143" s="2"/>
      <c r="F143" s="2"/>
      <c r="G143" s="2"/>
      <c r="H143" s="2"/>
    </row>
    <row r="144">
      <c r="A144" s="1" t="s">
        <v>151</v>
      </c>
      <c r="B144" s="1"/>
      <c r="C144" s="1">
        <v>0.0</v>
      </c>
      <c r="D144" s="2"/>
      <c r="E144" s="2"/>
      <c r="F144" s="2"/>
      <c r="G144" s="2"/>
      <c r="H144" s="2"/>
    </row>
    <row r="145">
      <c r="A145" s="1" t="s">
        <v>152</v>
      </c>
      <c r="B145" s="1"/>
      <c r="C145" s="1">
        <v>0.0</v>
      </c>
      <c r="D145" s="2"/>
      <c r="E145" s="2"/>
      <c r="F145" s="2"/>
      <c r="G145" s="2"/>
      <c r="H145" s="2"/>
    </row>
    <row r="146">
      <c r="A146" s="1" t="s">
        <v>153</v>
      </c>
      <c r="B146" s="1"/>
      <c r="C146" s="1">
        <v>0.0</v>
      </c>
      <c r="D146" s="2"/>
      <c r="E146" s="2"/>
      <c r="F146" s="2"/>
      <c r="G146" s="2"/>
      <c r="H146" s="2"/>
    </row>
    <row r="147">
      <c r="A147" s="1" t="s">
        <v>154</v>
      </c>
      <c r="B147" s="1"/>
      <c r="C147" s="1">
        <v>0.0</v>
      </c>
      <c r="D147" s="2"/>
      <c r="E147" s="2"/>
      <c r="F147" s="2"/>
      <c r="G147" s="2"/>
      <c r="H147" s="2"/>
    </row>
    <row r="148">
      <c r="A148" s="1" t="s">
        <v>155</v>
      </c>
      <c r="B148" s="1"/>
      <c r="C148" s="1">
        <v>26.0</v>
      </c>
      <c r="D148" s="2"/>
      <c r="E148" s="2"/>
      <c r="F148" s="2"/>
      <c r="G148" s="2"/>
      <c r="H148" s="2"/>
    </row>
    <row r="149">
      <c r="A149" s="1" t="s">
        <v>156</v>
      </c>
      <c r="B149" s="1"/>
      <c r="C149" s="1">
        <v>0.0</v>
      </c>
      <c r="D149" s="2"/>
      <c r="E149" s="2"/>
      <c r="F149" s="2"/>
      <c r="G149" s="2"/>
      <c r="H149" s="2"/>
    </row>
    <row r="150">
      <c r="A150" s="1" t="s">
        <v>157</v>
      </c>
      <c r="B150" s="1"/>
      <c r="C150" s="1">
        <v>0.0</v>
      </c>
      <c r="D150" s="2"/>
      <c r="E150" s="2"/>
      <c r="F150" s="2"/>
      <c r="G150" s="2"/>
      <c r="H150" s="2"/>
    </row>
    <row r="151">
      <c r="A151" s="1" t="s">
        <v>158</v>
      </c>
      <c r="B151" s="1"/>
      <c r="C151" s="2"/>
      <c r="D151" s="2"/>
      <c r="E151" s="2"/>
      <c r="F151" s="2"/>
      <c r="G151" s="2"/>
      <c r="H151" s="2"/>
    </row>
    <row r="152">
      <c r="A152" s="1" t="s">
        <v>159</v>
      </c>
      <c r="B152" s="1"/>
      <c r="C152" s="1">
        <v>6.0</v>
      </c>
      <c r="D152" s="2"/>
      <c r="E152" s="2"/>
      <c r="F152" s="2"/>
      <c r="G152" s="2"/>
      <c r="H152" s="2"/>
    </row>
    <row r="153">
      <c r="A153" s="1" t="s">
        <v>160</v>
      </c>
      <c r="B153" s="1"/>
      <c r="C153" s="2"/>
      <c r="D153" s="2"/>
      <c r="E153" s="2"/>
      <c r="F153" s="2"/>
      <c r="G153" s="2"/>
      <c r="H153" s="2"/>
    </row>
    <row r="154">
      <c r="A154" s="1" t="s">
        <v>161</v>
      </c>
      <c r="B154" s="1"/>
      <c r="C154" s="1">
        <v>0.0</v>
      </c>
      <c r="D154" s="2"/>
      <c r="E154" s="2"/>
      <c r="F154" s="2"/>
      <c r="G154" s="2"/>
      <c r="H154" s="2"/>
    </row>
    <row r="155">
      <c r="A155" s="1" t="s">
        <v>162</v>
      </c>
      <c r="B155" s="1"/>
      <c r="C155" s="1">
        <v>0.0</v>
      </c>
      <c r="D155" s="2"/>
      <c r="E155" s="2"/>
      <c r="F155" s="2"/>
      <c r="G155" s="2"/>
      <c r="H155" s="2"/>
    </row>
    <row r="156">
      <c r="A156" s="1" t="s">
        <v>163</v>
      </c>
      <c r="B156" s="1"/>
      <c r="C156" s="1">
        <v>0.0</v>
      </c>
      <c r="D156" s="2"/>
      <c r="E156" s="2"/>
      <c r="F156" s="2"/>
      <c r="G156" s="2"/>
      <c r="H156" s="2"/>
    </row>
    <row r="157">
      <c r="A157" s="1" t="s">
        <v>164</v>
      </c>
      <c r="B157" s="1"/>
      <c r="C157" s="1">
        <v>0.0</v>
      </c>
      <c r="D157" s="2"/>
      <c r="E157" s="2"/>
      <c r="F157" s="2"/>
      <c r="G157" s="2"/>
      <c r="H157" s="2"/>
    </row>
    <row r="158">
      <c r="A158" s="1" t="s">
        <v>165</v>
      </c>
      <c r="B158" s="1"/>
      <c r="C158" s="1">
        <v>24.0</v>
      </c>
      <c r="D158" s="2"/>
      <c r="E158" s="2"/>
      <c r="F158" s="2"/>
      <c r="G158" s="2"/>
      <c r="H158" s="2"/>
    </row>
    <row r="159">
      <c r="A159" s="1" t="s">
        <v>166</v>
      </c>
      <c r="B159" s="1"/>
      <c r="C159" s="1">
        <v>17.0</v>
      </c>
      <c r="D159" s="2"/>
      <c r="E159" s="2"/>
      <c r="F159" s="2"/>
      <c r="G159" s="2"/>
      <c r="H159" s="2"/>
    </row>
    <row r="160">
      <c r="A160" s="1" t="s">
        <v>167</v>
      </c>
      <c r="B160" s="1"/>
      <c r="C160" s="1">
        <v>0.0</v>
      </c>
      <c r="D160" s="2"/>
      <c r="E160" s="2"/>
      <c r="F160" s="2"/>
      <c r="G160" s="2"/>
      <c r="H160" s="2"/>
    </row>
    <row r="161">
      <c r="A161" s="1" t="s">
        <v>168</v>
      </c>
      <c r="B161" s="1"/>
      <c r="C161" s="1">
        <v>0.0</v>
      </c>
      <c r="D161" s="2"/>
      <c r="E161" s="2"/>
      <c r="F161" s="2"/>
      <c r="G161" s="2"/>
      <c r="H161" s="2"/>
    </row>
    <row r="162">
      <c r="A162" s="1" t="s">
        <v>169</v>
      </c>
      <c r="B162" s="1"/>
      <c r="C162" s="1">
        <v>23.0</v>
      </c>
      <c r="D162" s="2"/>
      <c r="E162" s="2"/>
      <c r="F162" s="2"/>
      <c r="G162" s="2"/>
      <c r="H162" s="2"/>
    </row>
    <row r="163">
      <c r="A163" s="1" t="s">
        <v>170</v>
      </c>
      <c r="B163" s="1"/>
      <c r="C163" s="1">
        <v>6.0</v>
      </c>
      <c r="D163" s="2"/>
      <c r="E163" s="2"/>
      <c r="F163" s="2"/>
      <c r="G163" s="2"/>
      <c r="H163" s="2"/>
    </row>
    <row r="164">
      <c r="A164" s="1" t="s">
        <v>171</v>
      </c>
      <c r="B164" s="1"/>
      <c r="C164" s="1">
        <v>92.0</v>
      </c>
      <c r="D164" s="2"/>
      <c r="E164" s="2"/>
      <c r="F164" s="2"/>
      <c r="G164" s="2"/>
      <c r="H164" s="2"/>
    </row>
    <row r="165">
      <c r="A165" s="1" t="s">
        <v>172</v>
      </c>
      <c r="B165" s="1"/>
      <c r="C165" s="1">
        <v>77.0</v>
      </c>
      <c r="D165" s="2"/>
      <c r="E165" s="2"/>
      <c r="F165" s="2"/>
      <c r="G165" s="2"/>
      <c r="H165" s="2"/>
    </row>
    <row r="166">
      <c r="A166" s="1" t="s">
        <v>173</v>
      </c>
      <c r="B166" s="1"/>
      <c r="C166" s="1">
        <v>34.0</v>
      </c>
      <c r="D166" s="2"/>
      <c r="E166" s="2"/>
      <c r="F166" s="2"/>
      <c r="G166" s="2"/>
      <c r="H166" s="2"/>
    </row>
    <row r="167">
      <c r="A167" s="1" t="s">
        <v>174</v>
      </c>
      <c r="B167" s="1"/>
      <c r="C167" s="1">
        <v>42.0</v>
      </c>
      <c r="D167" s="2"/>
      <c r="E167" s="2"/>
      <c r="F167" s="2"/>
      <c r="G167" s="2"/>
      <c r="H167" s="2"/>
    </row>
    <row r="168">
      <c r="A168" s="1" t="s">
        <v>175</v>
      </c>
      <c r="B168" s="1"/>
      <c r="C168" s="1">
        <v>72.0</v>
      </c>
      <c r="D168" s="2"/>
      <c r="E168" s="2"/>
      <c r="F168" s="2"/>
      <c r="G168" s="2"/>
      <c r="H168" s="2"/>
    </row>
    <row r="169">
      <c r="A169" s="1" t="s">
        <v>176</v>
      </c>
      <c r="B169" s="1"/>
      <c r="C169" s="1">
        <v>11.0</v>
      </c>
      <c r="D169" s="2"/>
      <c r="E169" s="2"/>
      <c r="F169" s="2"/>
      <c r="G169" s="2"/>
      <c r="H169" s="2"/>
    </row>
    <row r="170">
      <c r="A170" s="1" t="s">
        <v>177</v>
      </c>
      <c r="B170" s="1"/>
      <c r="C170" s="1">
        <v>31.0</v>
      </c>
      <c r="D170" s="2"/>
      <c r="E170" s="2"/>
      <c r="F170" s="2"/>
      <c r="G170" s="2"/>
      <c r="H170" s="2"/>
    </row>
    <row r="171">
      <c r="A171" s="1" t="s">
        <v>178</v>
      </c>
      <c r="B171" s="1"/>
      <c r="C171" s="1">
        <v>53.0</v>
      </c>
      <c r="D171" s="2"/>
      <c r="E171" s="2"/>
      <c r="F171" s="2"/>
      <c r="G171" s="2"/>
      <c r="H171" s="2"/>
    </row>
    <row r="172">
      <c r="A172" s="1" t="s">
        <v>179</v>
      </c>
      <c r="B172" s="1"/>
      <c r="C172" s="1">
        <v>8.0</v>
      </c>
      <c r="D172" s="2"/>
      <c r="E172" s="2"/>
      <c r="F172" s="2"/>
      <c r="G172" s="2"/>
      <c r="H172" s="2"/>
    </row>
    <row r="173">
      <c r="A173" s="1" t="s">
        <v>180</v>
      </c>
      <c r="B173" s="1"/>
      <c r="C173" s="1">
        <v>54.0</v>
      </c>
      <c r="D173" s="2"/>
      <c r="E173" s="2"/>
      <c r="F173" s="2"/>
      <c r="G173" s="2"/>
      <c r="H173" s="2"/>
    </row>
    <row r="174">
      <c r="A174" s="1" t="s">
        <v>181</v>
      </c>
      <c r="B174" s="1"/>
      <c r="C174" s="1">
        <v>0.0</v>
      </c>
      <c r="D174" s="2"/>
      <c r="E174" s="2"/>
      <c r="F174" s="2"/>
      <c r="G174" s="2"/>
      <c r="H174" s="2"/>
    </row>
    <row r="175">
      <c r="A175" s="1" t="s">
        <v>182</v>
      </c>
      <c r="B175" s="1"/>
      <c r="C175" s="1">
        <v>0.0</v>
      </c>
      <c r="D175" s="2"/>
      <c r="E175" s="2"/>
      <c r="F175" s="2"/>
      <c r="G175" s="2"/>
      <c r="H175" s="2"/>
    </row>
    <row r="176">
      <c r="A176" s="1" t="s">
        <v>183</v>
      </c>
      <c r="B176" s="1"/>
      <c r="C176" s="1">
        <v>37.0</v>
      </c>
      <c r="D176" s="2"/>
      <c r="E176" s="2"/>
      <c r="F176" s="2"/>
      <c r="G176" s="2"/>
      <c r="H176" s="2"/>
    </row>
    <row r="177">
      <c r="A177" s="1" t="s">
        <v>184</v>
      </c>
      <c r="B177" s="1"/>
      <c r="C177" s="1">
        <v>0.0</v>
      </c>
      <c r="D177" s="2"/>
      <c r="E177" s="2"/>
      <c r="F177" s="2"/>
      <c r="G177" s="2"/>
      <c r="H177" s="2"/>
    </row>
    <row r="178">
      <c r="A178" s="1" t="s">
        <v>185</v>
      </c>
      <c r="B178" s="1"/>
      <c r="C178" s="2"/>
      <c r="D178" s="2"/>
      <c r="E178" s="2"/>
      <c r="F178" s="2"/>
      <c r="G178" s="2"/>
      <c r="H178" s="2"/>
    </row>
    <row r="179">
      <c r="A179" s="1" t="s">
        <v>186</v>
      </c>
      <c r="B179" s="1"/>
      <c r="C179" s="1">
        <v>29.0</v>
      </c>
      <c r="D179" s="2"/>
      <c r="E179" s="2"/>
      <c r="F179" s="2"/>
      <c r="G179" s="2"/>
      <c r="H179" s="2"/>
    </row>
    <row r="180">
      <c r="A180" s="1" t="s">
        <v>187</v>
      </c>
      <c r="B180" s="1"/>
      <c r="C180" s="2"/>
      <c r="D180" s="2"/>
      <c r="E180" s="2"/>
      <c r="F180" s="2"/>
      <c r="G180" s="2"/>
      <c r="H180" s="2"/>
    </row>
    <row r="181">
      <c r="A181" s="1" t="s">
        <v>188</v>
      </c>
      <c r="B181" s="1"/>
      <c r="C181" s="1">
        <v>0.0</v>
      </c>
      <c r="D181" s="2"/>
      <c r="E181" s="2"/>
      <c r="F181" s="2"/>
      <c r="G181" s="2"/>
      <c r="H181" s="2"/>
    </row>
    <row r="182">
      <c r="A182" s="1" t="s">
        <v>189</v>
      </c>
      <c r="B182" s="1"/>
      <c r="C182" s="1">
        <v>0.0</v>
      </c>
      <c r="D182" s="2"/>
      <c r="E182" s="2"/>
      <c r="F182" s="2"/>
      <c r="G182" s="2"/>
      <c r="H182" s="2"/>
    </row>
    <row r="183">
      <c r="A183" s="1" t="s">
        <v>190</v>
      </c>
      <c r="B183" s="1"/>
      <c r="C183" s="1">
        <v>0.0</v>
      </c>
      <c r="D183" s="2"/>
      <c r="E183" s="2"/>
      <c r="F183" s="2"/>
      <c r="G183" s="2"/>
      <c r="H183" s="2"/>
    </row>
    <row r="184">
      <c r="A184" s="1" t="s">
        <v>191</v>
      </c>
      <c r="B184" s="1"/>
      <c r="C184" s="1">
        <v>0.0</v>
      </c>
      <c r="D184" s="2"/>
      <c r="E184" s="2"/>
      <c r="F184" s="2"/>
      <c r="G184" s="2"/>
      <c r="H184" s="2"/>
    </row>
    <row r="185">
      <c r="A185" s="1" t="s">
        <v>192</v>
      </c>
      <c r="B185" s="1"/>
      <c r="C185" s="1">
        <v>0.0</v>
      </c>
      <c r="D185" s="2"/>
      <c r="E185" s="2"/>
      <c r="F185" s="2"/>
      <c r="G185" s="2"/>
      <c r="H185" s="2"/>
    </row>
    <row r="186">
      <c r="A186" s="1" t="s">
        <v>193</v>
      </c>
      <c r="B186" s="1"/>
      <c r="C186" s="1">
        <v>0.0</v>
      </c>
      <c r="D186" s="2"/>
      <c r="E186" s="2"/>
      <c r="F186" s="2"/>
      <c r="G186" s="2"/>
      <c r="H186" s="2"/>
    </row>
    <row r="187">
      <c r="A187" s="1" t="s">
        <v>194</v>
      </c>
      <c r="B187" s="1"/>
      <c r="C187" s="1">
        <v>28.0</v>
      </c>
      <c r="D187" s="2"/>
      <c r="E187" s="2"/>
      <c r="F187" s="2"/>
      <c r="G187" s="2"/>
      <c r="H187" s="2"/>
    </row>
    <row r="188">
      <c r="A188" s="1" t="s">
        <v>195</v>
      </c>
      <c r="B188" s="1"/>
      <c r="C188" s="1">
        <v>80.0</v>
      </c>
      <c r="D188" s="2"/>
      <c r="E188" s="2"/>
      <c r="F188" s="2"/>
      <c r="G188" s="2"/>
      <c r="H188" s="2"/>
    </row>
    <row r="189">
      <c r="A189" s="1" t="s">
        <v>196</v>
      </c>
      <c r="B189" s="1"/>
      <c r="C189" s="1">
        <v>0.0</v>
      </c>
      <c r="D189" s="2"/>
      <c r="E189" s="2"/>
      <c r="F189" s="2"/>
      <c r="G189" s="2"/>
      <c r="H189" s="2"/>
    </row>
    <row r="190">
      <c r="A190" s="1" t="s">
        <v>197</v>
      </c>
      <c r="B190" s="1"/>
      <c r="C190" s="1">
        <v>0.0</v>
      </c>
      <c r="D190" s="2"/>
      <c r="E190" s="2"/>
      <c r="F190" s="2"/>
      <c r="G190" s="2"/>
      <c r="H190" s="2"/>
    </row>
    <row r="191">
      <c r="A191" s="1" t="s">
        <v>198</v>
      </c>
      <c r="B191" s="1"/>
      <c r="C191" s="1">
        <v>84.0</v>
      </c>
      <c r="D191" s="2"/>
      <c r="E191" s="2"/>
      <c r="F191" s="2"/>
      <c r="G191" s="2"/>
      <c r="H191" s="2"/>
    </row>
    <row r="192">
      <c r="A192" s="1" t="s">
        <v>199</v>
      </c>
      <c r="B192" s="1"/>
      <c r="C192" s="1">
        <v>0.0</v>
      </c>
      <c r="D192" s="2"/>
      <c r="E192" s="2"/>
      <c r="F192" s="2"/>
      <c r="G192" s="2"/>
      <c r="H192" s="2"/>
    </row>
    <row r="193">
      <c r="A193" s="1" t="s">
        <v>200</v>
      </c>
      <c r="B193" s="1"/>
      <c r="C193" s="1">
        <v>0.0</v>
      </c>
      <c r="D193" s="2"/>
      <c r="E193" s="2"/>
      <c r="F193" s="2"/>
      <c r="G193" s="2"/>
      <c r="H193" s="2"/>
    </row>
    <row r="194">
      <c r="A194" s="1" t="s">
        <v>201</v>
      </c>
      <c r="B194" s="1"/>
      <c r="C194" s="1">
        <v>86.0</v>
      </c>
      <c r="D194" s="2"/>
      <c r="E194" s="2"/>
      <c r="F194" s="2"/>
      <c r="G194" s="2"/>
      <c r="H194" s="2"/>
    </row>
    <row r="195">
      <c r="A195" s="1" t="s">
        <v>202</v>
      </c>
      <c r="B195" s="1"/>
      <c r="C195" s="1">
        <v>0.0</v>
      </c>
      <c r="D195" s="2"/>
      <c r="E195" s="2"/>
      <c r="F195" s="2"/>
      <c r="G195" s="2"/>
      <c r="H195" s="2"/>
    </row>
    <row r="196">
      <c r="A196" s="1" t="s">
        <v>203</v>
      </c>
      <c r="B196" s="1"/>
      <c r="C196" s="1">
        <v>0.0</v>
      </c>
      <c r="D196" s="2"/>
      <c r="E196" s="2"/>
      <c r="F196" s="2"/>
      <c r="G196" s="2"/>
      <c r="H196" s="2"/>
    </row>
    <row r="197">
      <c r="A197" s="1" t="s">
        <v>204</v>
      </c>
      <c r="B197" s="1"/>
      <c r="C197" s="1">
        <v>14.0</v>
      </c>
      <c r="D197" s="2"/>
      <c r="E197" s="2"/>
      <c r="F197" s="2"/>
      <c r="G197" s="2"/>
      <c r="H197" s="2"/>
    </row>
    <row r="198">
      <c r="A198" s="1" t="s">
        <v>205</v>
      </c>
      <c r="B198" s="1"/>
      <c r="C198" s="1">
        <v>54.0</v>
      </c>
      <c r="D198" s="2"/>
      <c r="E198" s="2"/>
      <c r="F198" s="2"/>
      <c r="G198" s="2"/>
      <c r="H198" s="2"/>
    </row>
    <row r="199">
      <c r="A199" s="1" t="s">
        <v>206</v>
      </c>
      <c r="B199" s="1"/>
      <c r="C199" s="1">
        <v>71.0</v>
      </c>
      <c r="D199" s="2"/>
      <c r="E199" s="2"/>
      <c r="F199" s="2"/>
      <c r="G199" s="2"/>
      <c r="H199" s="2"/>
    </row>
    <row r="200">
      <c r="A200" s="1" t="s">
        <v>207</v>
      </c>
      <c r="B200" s="1"/>
      <c r="C200" s="1">
        <v>0.0</v>
      </c>
      <c r="D200" s="2"/>
      <c r="E200" s="2"/>
      <c r="F200" s="2"/>
      <c r="G200" s="2"/>
      <c r="H200" s="2"/>
    </row>
    <row r="201">
      <c r="A201" s="1" t="s">
        <v>208</v>
      </c>
      <c r="B201" s="1"/>
      <c r="C201" s="1">
        <v>40.0</v>
      </c>
      <c r="D201" s="2"/>
      <c r="E201" s="2"/>
      <c r="F201" s="2"/>
      <c r="G201" s="2"/>
      <c r="H201" s="2"/>
    </row>
    <row r="202">
      <c r="A202" s="1" t="s">
        <v>209</v>
      </c>
      <c r="B202" s="1"/>
      <c r="C202" s="1">
        <v>34.0</v>
      </c>
      <c r="D202" s="2"/>
      <c r="E202" s="2"/>
      <c r="F202" s="2"/>
      <c r="G202" s="2"/>
      <c r="H202" s="2"/>
    </row>
    <row r="203">
      <c r="A203" s="1" t="s">
        <v>210</v>
      </c>
      <c r="B203" s="1"/>
      <c r="C203" s="1">
        <v>0.0</v>
      </c>
      <c r="D203" s="2"/>
      <c r="E203" s="2"/>
      <c r="F203" s="2"/>
      <c r="G203" s="2"/>
      <c r="H203" s="2"/>
    </row>
    <row r="204">
      <c r="A204" s="1" t="s">
        <v>211</v>
      </c>
      <c r="B204" s="1"/>
      <c r="C204" s="1">
        <v>62.0</v>
      </c>
      <c r="D204" s="2"/>
      <c r="E204" s="2"/>
      <c r="F204" s="2"/>
      <c r="G204" s="2"/>
      <c r="H204" s="2"/>
    </row>
    <row r="205">
      <c r="A205" s="1" t="s">
        <v>212</v>
      </c>
      <c r="B205" s="1"/>
      <c r="C205" s="1">
        <v>40.0</v>
      </c>
      <c r="D205" s="2"/>
      <c r="E205" s="2"/>
      <c r="F205" s="2"/>
      <c r="G205" s="2"/>
      <c r="H205" s="2"/>
    </row>
    <row r="206">
      <c r="A206" s="1" t="s">
        <v>213</v>
      </c>
      <c r="B206" s="1"/>
      <c r="C206" s="1">
        <v>0.0</v>
      </c>
      <c r="D206" s="2"/>
      <c r="E206" s="2"/>
      <c r="F206" s="2"/>
      <c r="G206" s="2"/>
      <c r="H206" s="2"/>
    </row>
    <row r="207">
      <c r="A207" s="1" t="s">
        <v>214</v>
      </c>
      <c r="B207" s="1"/>
      <c r="C207" s="1">
        <v>0.0</v>
      </c>
      <c r="D207" s="2"/>
      <c r="E207" s="2"/>
      <c r="F207" s="2"/>
      <c r="G207" s="2"/>
      <c r="H207" s="2"/>
    </row>
    <row r="208">
      <c r="A208" s="1" t="s">
        <v>215</v>
      </c>
      <c r="B208" s="1"/>
      <c r="C208" s="1">
        <v>0.0</v>
      </c>
      <c r="D208" s="2"/>
      <c r="E208" s="2"/>
      <c r="F208" s="2"/>
      <c r="G208" s="2"/>
      <c r="H208" s="2"/>
    </row>
    <row r="209">
      <c r="A209" s="1" t="s">
        <v>216</v>
      </c>
      <c r="B209" s="1"/>
      <c r="C209" s="1">
        <v>4.0</v>
      </c>
      <c r="D209" s="2"/>
      <c r="E209" s="2"/>
      <c r="F209" s="2"/>
      <c r="G209" s="2"/>
      <c r="H209" s="2"/>
    </row>
    <row r="210">
      <c r="A210" s="1" t="s">
        <v>217</v>
      </c>
      <c r="B210" s="1"/>
      <c r="C210" s="1">
        <v>0.0</v>
      </c>
      <c r="D210" s="2"/>
      <c r="E210" s="2"/>
      <c r="F210" s="2"/>
      <c r="G210" s="2"/>
      <c r="H210" s="2"/>
    </row>
    <row r="211">
      <c r="A211" s="1" t="s">
        <v>145</v>
      </c>
      <c r="B211" s="1"/>
      <c r="C211" s="1">
        <v>0.0</v>
      </c>
      <c r="D211" s="2"/>
      <c r="E211" s="2"/>
      <c r="F211" s="2"/>
      <c r="G211" s="2"/>
      <c r="H211" s="2"/>
    </row>
    <row r="212">
      <c r="A212" s="1" t="s">
        <v>146</v>
      </c>
      <c r="B212" s="1"/>
      <c r="C212" s="2"/>
      <c r="D212" s="2"/>
      <c r="E212" s="2"/>
      <c r="F212" s="2"/>
      <c r="G212" s="2"/>
      <c r="H212" s="2"/>
    </row>
    <row r="213">
      <c r="A213" s="1" t="s">
        <v>147</v>
      </c>
      <c r="B213" s="1"/>
      <c r="C213" s="1">
        <v>0.0</v>
      </c>
      <c r="D213" s="2"/>
      <c r="E213" s="2"/>
      <c r="F213" s="2"/>
      <c r="G213" s="2"/>
      <c r="H213" s="2"/>
    </row>
    <row r="214">
      <c r="A214" s="1" t="s">
        <v>148</v>
      </c>
      <c r="B214" s="1"/>
      <c r="C214" s="2"/>
      <c r="D214" s="2"/>
      <c r="E214" s="2"/>
      <c r="F214" s="2"/>
      <c r="G214" s="2"/>
      <c r="H214" s="2"/>
    </row>
    <row r="215">
      <c r="A215" s="1" t="s">
        <v>149</v>
      </c>
      <c r="B215" s="1"/>
      <c r="C215" s="1">
        <v>0.0</v>
      </c>
      <c r="D215" s="2"/>
      <c r="E215" s="2"/>
      <c r="F215" s="2"/>
      <c r="G215" s="2"/>
      <c r="H215" s="2"/>
    </row>
    <row r="216">
      <c r="A216" s="1" t="s">
        <v>150</v>
      </c>
      <c r="B216" s="1"/>
      <c r="C216" s="1">
        <v>0.0</v>
      </c>
      <c r="D216" s="2"/>
      <c r="E216" s="2"/>
      <c r="F216" s="2"/>
      <c r="G216" s="2"/>
      <c r="H216" s="2"/>
    </row>
    <row r="217">
      <c r="A217" s="1" t="s">
        <v>151</v>
      </c>
      <c r="B217" s="1"/>
      <c r="C217" s="1">
        <v>0.0</v>
      </c>
      <c r="D217" s="2"/>
      <c r="E217" s="2"/>
      <c r="F217" s="2"/>
      <c r="G217" s="2"/>
      <c r="H217" s="2"/>
    </row>
    <row r="218">
      <c r="A218" s="1" t="s">
        <v>152</v>
      </c>
      <c r="B218" s="1"/>
      <c r="C218" s="1">
        <v>0.0</v>
      </c>
      <c r="D218" s="2"/>
      <c r="E218" s="2"/>
      <c r="F218" s="2"/>
      <c r="G218" s="2"/>
      <c r="H218" s="2"/>
    </row>
    <row r="219">
      <c r="A219" s="1" t="s">
        <v>153</v>
      </c>
      <c r="B219" s="1"/>
      <c r="C219" s="1">
        <v>0.0</v>
      </c>
      <c r="D219" s="2"/>
      <c r="E219" s="2"/>
      <c r="F219" s="2"/>
      <c r="G219" s="2"/>
      <c r="H219" s="2"/>
    </row>
    <row r="220">
      <c r="A220" s="1" t="s">
        <v>154</v>
      </c>
      <c r="B220" s="1"/>
      <c r="C220" s="1">
        <v>0.0</v>
      </c>
      <c r="D220" s="2"/>
      <c r="E220" s="2"/>
      <c r="F220" s="2"/>
      <c r="G220" s="2"/>
      <c r="H220" s="2"/>
    </row>
    <row r="221">
      <c r="A221" s="1" t="s">
        <v>155</v>
      </c>
      <c r="B221" s="1"/>
      <c r="C221" s="1">
        <v>26.0</v>
      </c>
      <c r="D221" s="2"/>
      <c r="E221" s="2"/>
      <c r="F221" s="2"/>
      <c r="G221" s="2"/>
      <c r="H221" s="2"/>
    </row>
    <row r="222">
      <c r="A222" s="1" t="s">
        <v>156</v>
      </c>
      <c r="B222" s="1"/>
      <c r="C222" s="1">
        <v>0.0</v>
      </c>
      <c r="D222" s="2"/>
      <c r="E222" s="2"/>
      <c r="F222" s="2"/>
      <c r="G222" s="2"/>
      <c r="H222" s="2"/>
    </row>
    <row r="223">
      <c r="A223" s="1" t="s">
        <v>157</v>
      </c>
      <c r="B223" s="1"/>
      <c r="C223" s="1">
        <v>0.0</v>
      </c>
      <c r="D223" s="2"/>
      <c r="E223" s="2"/>
      <c r="F223" s="2"/>
      <c r="G223" s="2"/>
      <c r="H223" s="2"/>
    </row>
    <row r="224">
      <c r="A224" s="1" t="s">
        <v>158</v>
      </c>
      <c r="B224" s="1"/>
      <c r="C224" s="2"/>
      <c r="D224" s="2"/>
      <c r="E224" s="2"/>
      <c r="F224" s="2"/>
      <c r="G224" s="2"/>
      <c r="H224" s="2"/>
    </row>
    <row r="225">
      <c r="A225" s="1" t="s">
        <v>159</v>
      </c>
      <c r="B225" s="1"/>
      <c r="C225" s="1">
        <v>6.0</v>
      </c>
      <c r="D225" s="2"/>
      <c r="E225" s="2"/>
      <c r="F225" s="2"/>
      <c r="G225" s="2"/>
      <c r="H225" s="2"/>
    </row>
    <row r="226">
      <c r="A226" s="1" t="s">
        <v>160</v>
      </c>
      <c r="B226" s="1"/>
      <c r="C226" s="2"/>
      <c r="D226" s="2"/>
      <c r="E226" s="2"/>
      <c r="F226" s="2"/>
      <c r="G226" s="2"/>
      <c r="H226" s="2"/>
    </row>
    <row r="227">
      <c r="A227" s="1" t="s">
        <v>161</v>
      </c>
      <c r="B227" s="1"/>
      <c r="C227" s="1">
        <v>0.0</v>
      </c>
      <c r="D227" s="2"/>
      <c r="E227" s="2"/>
      <c r="F227" s="2"/>
      <c r="G227" s="2"/>
      <c r="H227" s="2"/>
    </row>
    <row r="228">
      <c r="A228" s="1" t="s">
        <v>162</v>
      </c>
      <c r="B228" s="1"/>
      <c r="C228" s="1">
        <v>0.0</v>
      </c>
      <c r="D228" s="2"/>
      <c r="E228" s="2"/>
      <c r="F228" s="2"/>
      <c r="G228" s="2"/>
      <c r="H228" s="2"/>
    </row>
    <row r="229">
      <c r="A229" s="1" t="s">
        <v>163</v>
      </c>
      <c r="B229" s="1"/>
      <c r="C229" s="1">
        <v>0.0</v>
      </c>
      <c r="D229" s="2"/>
      <c r="E229" s="2"/>
      <c r="F229" s="2"/>
      <c r="G229" s="2"/>
      <c r="H229" s="2"/>
    </row>
    <row r="230">
      <c r="A230" s="1" t="s">
        <v>164</v>
      </c>
      <c r="B230" s="1"/>
      <c r="C230" s="1">
        <v>0.0</v>
      </c>
      <c r="D230" s="2"/>
      <c r="E230" s="2"/>
      <c r="F230" s="2"/>
      <c r="G230" s="2"/>
      <c r="H230" s="2"/>
    </row>
    <row r="231">
      <c r="A231" s="1" t="s">
        <v>165</v>
      </c>
      <c r="B231" s="1"/>
      <c r="C231" s="1">
        <v>24.0</v>
      </c>
      <c r="D231" s="2"/>
      <c r="E231" s="2"/>
      <c r="F231" s="2"/>
      <c r="G231" s="2"/>
      <c r="H231" s="2"/>
    </row>
    <row r="232">
      <c r="A232" s="1" t="s">
        <v>166</v>
      </c>
      <c r="B232" s="1"/>
      <c r="C232" s="1">
        <v>17.0</v>
      </c>
      <c r="D232" s="2"/>
      <c r="E232" s="2"/>
      <c r="F232" s="2"/>
      <c r="G232" s="2"/>
      <c r="H232" s="2"/>
    </row>
    <row r="233">
      <c r="A233" s="1" t="s">
        <v>167</v>
      </c>
      <c r="B233" s="1"/>
      <c r="C233" s="1">
        <v>0.0</v>
      </c>
      <c r="D233" s="2"/>
      <c r="E233" s="2"/>
      <c r="F233" s="2"/>
      <c r="G233" s="2"/>
      <c r="H233" s="2"/>
    </row>
    <row r="234">
      <c r="A234" s="1" t="s">
        <v>168</v>
      </c>
      <c r="B234" s="1"/>
      <c r="C234" s="1">
        <v>0.0</v>
      </c>
      <c r="D234" s="2"/>
      <c r="E234" s="2"/>
      <c r="F234" s="2"/>
      <c r="G234" s="2"/>
      <c r="H234" s="2"/>
    </row>
    <row r="235">
      <c r="A235" s="1" t="s">
        <v>169</v>
      </c>
      <c r="B235" s="1"/>
      <c r="C235" s="1">
        <v>23.0</v>
      </c>
      <c r="D235" s="2"/>
      <c r="E235" s="2"/>
      <c r="F235" s="2"/>
      <c r="G235" s="2"/>
      <c r="H235" s="2"/>
    </row>
    <row r="236">
      <c r="A236" s="1" t="s">
        <v>170</v>
      </c>
      <c r="B236" s="1"/>
      <c r="C236" s="1">
        <v>6.0</v>
      </c>
      <c r="D236" s="2"/>
      <c r="E236" s="2"/>
      <c r="F236" s="2"/>
      <c r="G236" s="2"/>
      <c r="H236" s="2"/>
    </row>
    <row r="237">
      <c r="A237" s="1" t="s">
        <v>171</v>
      </c>
      <c r="B237" s="1"/>
      <c r="C237" s="1">
        <v>92.0</v>
      </c>
      <c r="D237" s="2"/>
      <c r="E237" s="2"/>
      <c r="F237" s="2"/>
      <c r="G237" s="2"/>
      <c r="H237" s="2"/>
    </row>
    <row r="238">
      <c r="A238" s="1" t="s">
        <v>172</v>
      </c>
      <c r="B238" s="1"/>
      <c r="C238" s="1">
        <v>77.0</v>
      </c>
      <c r="D238" s="2"/>
      <c r="E238" s="2"/>
      <c r="F238" s="2"/>
      <c r="G238" s="2"/>
      <c r="H238" s="2"/>
    </row>
    <row r="239">
      <c r="A239" s="1" t="s">
        <v>173</v>
      </c>
      <c r="B239" s="1"/>
      <c r="C239" s="1">
        <v>34.0</v>
      </c>
      <c r="D239" s="2"/>
      <c r="E239" s="2"/>
      <c r="F239" s="2"/>
      <c r="G239" s="2"/>
      <c r="H239" s="2"/>
    </row>
    <row r="240">
      <c r="A240" s="1" t="s">
        <v>174</v>
      </c>
      <c r="B240" s="1"/>
      <c r="C240" s="1">
        <v>42.0</v>
      </c>
      <c r="D240" s="2"/>
      <c r="E240" s="2"/>
      <c r="F240" s="2"/>
      <c r="G240" s="2"/>
      <c r="H240" s="2"/>
    </row>
    <row r="241">
      <c r="A241" s="1" t="s">
        <v>175</v>
      </c>
      <c r="B241" s="1"/>
      <c r="C241" s="1">
        <v>72.0</v>
      </c>
      <c r="D241" s="2"/>
      <c r="E241" s="2"/>
      <c r="F241" s="2"/>
      <c r="G241" s="2"/>
      <c r="H241" s="2"/>
    </row>
    <row r="242">
      <c r="A242" s="1" t="s">
        <v>176</v>
      </c>
      <c r="B242" s="1"/>
      <c r="C242" s="1">
        <v>11.0</v>
      </c>
      <c r="D242" s="2"/>
      <c r="E242" s="2"/>
      <c r="F242" s="2"/>
      <c r="G242" s="2"/>
      <c r="H242" s="2"/>
    </row>
    <row r="243">
      <c r="A243" s="1" t="s">
        <v>177</v>
      </c>
      <c r="B243" s="1"/>
      <c r="C243" s="1">
        <v>31.0</v>
      </c>
      <c r="D243" s="2"/>
      <c r="E243" s="2"/>
      <c r="F243" s="2"/>
      <c r="G243" s="2"/>
      <c r="H243" s="2"/>
    </row>
    <row r="244">
      <c r="A244" s="1" t="s">
        <v>178</v>
      </c>
      <c r="B244" s="1"/>
      <c r="C244" s="1">
        <v>53.0</v>
      </c>
      <c r="D244" s="2"/>
      <c r="E244" s="2"/>
      <c r="F244" s="2"/>
      <c r="G244" s="2"/>
      <c r="H244" s="2"/>
    </row>
    <row r="245">
      <c r="A245" s="1" t="s">
        <v>179</v>
      </c>
      <c r="B245" s="1"/>
      <c r="C245" s="1">
        <v>8.0</v>
      </c>
      <c r="D245" s="2"/>
      <c r="E245" s="2"/>
      <c r="F245" s="2"/>
      <c r="G245" s="2"/>
      <c r="H245" s="2"/>
    </row>
    <row r="246">
      <c r="A246" s="1" t="s">
        <v>180</v>
      </c>
      <c r="B246" s="1"/>
      <c r="C246" s="1">
        <v>54.0</v>
      </c>
      <c r="D246" s="2"/>
      <c r="E246" s="2"/>
      <c r="F246" s="2"/>
      <c r="G246" s="2"/>
      <c r="H246" s="2"/>
    </row>
    <row r="247">
      <c r="A247" s="1" t="s">
        <v>181</v>
      </c>
      <c r="B247" s="1"/>
      <c r="C247" s="1">
        <v>0.0</v>
      </c>
      <c r="D247" s="2"/>
      <c r="E247" s="2"/>
      <c r="F247" s="2"/>
      <c r="G247" s="2"/>
      <c r="H247" s="2"/>
    </row>
    <row r="248">
      <c r="A248" s="1" t="s">
        <v>182</v>
      </c>
      <c r="B248" s="1"/>
      <c r="C248" s="1">
        <v>0.0</v>
      </c>
      <c r="D248" s="2"/>
      <c r="E248" s="2"/>
      <c r="F248" s="2"/>
      <c r="G248" s="2"/>
      <c r="H248" s="2"/>
    </row>
    <row r="249">
      <c r="A249" s="1" t="s">
        <v>183</v>
      </c>
      <c r="B249" s="1"/>
      <c r="C249" s="1">
        <v>37.0</v>
      </c>
      <c r="D249" s="2"/>
      <c r="E249" s="2"/>
      <c r="F249" s="2"/>
      <c r="G249" s="2"/>
      <c r="H249" s="2"/>
    </row>
    <row r="250">
      <c r="A250" s="1" t="s">
        <v>184</v>
      </c>
      <c r="B250" s="1"/>
      <c r="C250" s="1">
        <v>0.0</v>
      </c>
      <c r="D250" s="2"/>
      <c r="E250" s="2"/>
      <c r="F250" s="2"/>
      <c r="G250" s="2"/>
      <c r="H250" s="2"/>
    </row>
    <row r="251">
      <c r="A251" s="1" t="s">
        <v>185</v>
      </c>
      <c r="B251" s="1"/>
      <c r="C251" s="2"/>
      <c r="D251" s="2"/>
      <c r="E251" s="2"/>
      <c r="F251" s="2"/>
      <c r="G251" s="2"/>
      <c r="H251" s="2"/>
    </row>
    <row r="252">
      <c r="A252" s="1" t="s">
        <v>186</v>
      </c>
      <c r="B252" s="1"/>
      <c r="C252" s="1">
        <v>29.0</v>
      </c>
      <c r="D252" s="2"/>
      <c r="E252" s="2"/>
      <c r="F252" s="2"/>
      <c r="G252" s="2"/>
      <c r="H252" s="2"/>
    </row>
    <row r="253">
      <c r="A253" s="1" t="s">
        <v>187</v>
      </c>
      <c r="B253" s="1"/>
      <c r="C253" s="2"/>
      <c r="D253" s="2"/>
      <c r="E253" s="2"/>
      <c r="F253" s="2"/>
      <c r="G253" s="2"/>
      <c r="H253" s="2"/>
    </row>
    <row r="254">
      <c r="A254" s="1" t="s">
        <v>188</v>
      </c>
      <c r="B254" s="1"/>
      <c r="C254" s="1">
        <v>0.0</v>
      </c>
      <c r="D254" s="2"/>
      <c r="E254" s="2"/>
      <c r="F254" s="2"/>
      <c r="G254" s="2"/>
      <c r="H254" s="2"/>
    </row>
    <row r="255">
      <c r="A255" s="1" t="s">
        <v>189</v>
      </c>
      <c r="B255" s="1"/>
      <c r="C255" s="1">
        <v>0.0</v>
      </c>
      <c r="D255" s="2"/>
      <c r="E255" s="2"/>
      <c r="F255" s="2"/>
      <c r="G255" s="2"/>
      <c r="H255" s="2"/>
    </row>
    <row r="256">
      <c r="A256" s="1" t="s">
        <v>190</v>
      </c>
      <c r="B256" s="1"/>
      <c r="C256" s="1">
        <v>0.0</v>
      </c>
      <c r="D256" s="2"/>
      <c r="E256" s="2"/>
      <c r="F256" s="2"/>
      <c r="G256" s="2"/>
      <c r="H256" s="2"/>
    </row>
    <row r="257">
      <c r="A257" s="1" t="s">
        <v>191</v>
      </c>
      <c r="B257" s="1"/>
      <c r="C257" s="1">
        <v>0.0</v>
      </c>
      <c r="D257" s="2"/>
      <c r="E257" s="2"/>
      <c r="F257" s="2"/>
      <c r="G257" s="2"/>
      <c r="H257" s="2"/>
    </row>
    <row r="258">
      <c r="A258" s="1" t="s">
        <v>192</v>
      </c>
      <c r="B258" s="1"/>
      <c r="C258" s="1">
        <v>0.0</v>
      </c>
      <c r="D258" s="2"/>
      <c r="E258" s="2"/>
      <c r="F258" s="2"/>
      <c r="G258" s="2"/>
      <c r="H258" s="2"/>
    </row>
    <row r="259">
      <c r="A259" s="1" t="s">
        <v>193</v>
      </c>
      <c r="B259" s="1"/>
      <c r="C259" s="1">
        <v>0.0</v>
      </c>
      <c r="D259" s="2"/>
      <c r="E259" s="2"/>
      <c r="F259" s="2"/>
      <c r="G259" s="2"/>
      <c r="H259" s="2"/>
    </row>
    <row r="260">
      <c r="A260" s="1" t="s">
        <v>194</v>
      </c>
      <c r="B260" s="1"/>
      <c r="C260" s="1">
        <v>28.0</v>
      </c>
      <c r="D260" s="2"/>
      <c r="E260" s="2"/>
      <c r="F260" s="2"/>
      <c r="G260" s="2"/>
      <c r="H260" s="2"/>
    </row>
    <row r="261">
      <c r="A261" s="1" t="s">
        <v>195</v>
      </c>
      <c r="B261" s="1"/>
      <c r="C261" s="1">
        <v>80.0</v>
      </c>
      <c r="D261" s="2"/>
      <c r="E261" s="2"/>
      <c r="F261" s="2"/>
      <c r="G261" s="2"/>
      <c r="H261" s="2"/>
    </row>
    <row r="262">
      <c r="A262" s="1" t="s">
        <v>196</v>
      </c>
      <c r="B262" s="1"/>
      <c r="C262" s="1">
        <v>0.0</v>
      </c>
      <c r="D262" s="2"/>
      <c r="E262" s="2"/>
      <c r="F262" s="2"/>
      <c r="G262" s="2"/>
      <c r="H262" s="2"/>
    </row>
    <row r="263">
      <c r="A263" s="1" t="s">
        <v>197</v>
      </c>
      <c r="B263" s="1"/>
      <c r="C263" s="1">
        <v>0.0</v>
      </c>
      <c r="D263" s="2"/>
      <c r="E263" s="2"/>
      <c r="F263" s="2"/>
      <c r="G263" s="2"/>
      <c r="H263" s="2"/>
    </row>
    <row r="264">
      <c r="A264" s="1" t="s">
        <v>198</v>
      </c>
      <c r="B264" s="1"/>
      <c r="C264" s="1">
        <v>84.0</v>
      </c>
      <c r="D264" s="2"/>
      <c r="E264" s="2"/>
      <c r="F264" s="2"/>
      <c r="G264" s="2"/>
      <c r="H264" s="2"/>
    </row>
    <row r="265">
      <c r="A265" s="1" t="s">
        <v>199</v>
      </c>
      <c r="B265" s="1"/>
      <c r="C265" s="1">
        <v>0.0</v>
      </c>
      <c r="D265" s="2"/>
      <c r="E265" s="2"/>
      <c r="F265" s="2"/>
      <c r="G265" s="2"/>
      <c r="H265" s="2"/>
    </row>
    <row r="266">
      <c r="A266" s="1" t="s">
        <v>200</v>
      </c>
      <c r="B266" s="1"/>
      <c r="C266" s="1">
        <v>0.0</v>
      </c>
      <c r="D266" s="2"/>
      <c r="E266" s="2"/>
      <c r="F266" s="2"/>
      <c r="G266" s="2"/>
      <c r="H266" s="2"/>
    </row>
    <row r="267">
      <c r="A267" s="1" t="s">
        <v>201</v>
      </c>
      <c r="B267" s="1"/>
      <c r="C267" s="1">
        <v>86.0</v>
      </c>
      <c r="D267" s="2"/>
      <c r="E267" s="2"/>
      <c r="F267" s="2"/>
      <c r="G267" s="2"/>
      <c r="H267" s="2"/>
    </row>
    <row r="268">
      <c r="A268" s="1" t="s">
        <v>202</v>
      </c>
      <c r="B268" s="1"/>
      <c r="C268" s="1">
        <v>0.0</v>
      </c>
      <c r="D268" s="2"/>
      <c r="E268" s="2"/>
      <c r="F268" s="2"/>
      <c r="G268" s="2"/>
      <c r="H268" s="2"/>
    </row>
    <row r="269">
      <c r="A269" s="1" t="s">
        <v>203</v>
      </c>
      <c r="B269" s="1"/>
      <c r="C269" s="1">
        <v>0.0</v>
      </c>
      <c r="D269" s="2"/>
      <c r="E269" s="2"/>
      <c r="F269" s="2"/>
      <c r="G269" s="2"/>
      <c r="H269" s="2"/>
    </row>
    <row r="270">
      <c r="A270" s="1" t="s">
        <v>204</v>
      </c>
      <c r="B270" s="1"/>
      <c r="C270" s="1">
        <v>14.0</v>
      </c>
      <c r="D270" s="2"/>
      <c r="E270" s="2"/>
      <c r="F270" s="2"/>
      <c r="G270" s="2"/>
      <c r="H270" s="2"/>
    </row>
    <row r="271">
      <c r="A271" s="1" t="s">
        <v>205</v>
      </c>
      <c r="B271" s="1"/>
      <c r="C271" s="1">
        <v>54.0</v>
      </c>
      <c r="D271" s="2"/>
      <c r="E271" s="2"/>
      <c r="F271" s="2"/>
      <c r="G271" s="2"/>
      <c r="H271" s="2"/>
    </row>
    <row r="272">
      <c r="A272" s="1" t="s">
        <v>206</v>
      </c>
      <c r="B272" s="1"/>
      <c r="C272" s="1">
        <v>71.0</v>
      </c>
      <c r="D272" s="2"/>
      <c r="E272" s="2"/>
      <c r="F272" s="2"/>
      <c r="G272" s="2"/>
      <c r="H272" s="2"/>
    </row>
    <row r="273">
      <c r="A273" s="1" t="s">
        <v>207</v>
      </c>
      <c r="B273" s="1"/>
      <c r="C273" s="1">
        <v>0.0</v>
      </c>
      <c r="D273" s="2"/>
      <c r="E273" s="2"/>
      <c r="F273" s="2"/>
      <c r="G273" s="2"/>
      <c r="H273" s="2"/>
    </row>
    <row r="274">
      <c r="A274" s="1" t="s">
        <v>208</v>
      </c>
      <c r="B274" s="1"/>
      <c r="C274" s="1">
        <v>40.0</v>
      </c>
      <c r="D274" s="2"/>
      <c r="E274" s="2"/>
      <c r="F274" s="2"/>
      <c r="G274" s="2"/>
      <c r="H274" s="2"/>
    </row>
    <row r="275">
      <c r="A275" s="1" t="s">
        <v>209</v>
      </c>
      <c r="B275" s="1"/>
      <c r="C275" s="1">
        <v>34.0</v>
      </c>
      <c r="D275" s="2"/>
      <c r="E275" s="2"/>
      <c r="F275" s="2"/>
      <c r="G275" s="2"/>
      <c r="H275" s="2"/>
    </row>
    <row r="276">
      <c r="A276" s="1" t="s">
        <v>210</v>
      </c>
      <c r="B276" s="1"/>
      <c r="C276" s="1">
        <v>0.0</v>
      </c>
      <c r="D276" s="2"/>
      <c r="E276" s="2"/>
      <c r="F276" s="2"/>
      <c r="G276" s="2"/>
      <c r="H276" s="2"/>
    </row>
    <row r="277">
      <c r="A277" s="1" t="s">
        <v>211</v>
      </c>
      <c r="B277" s="1"/>
      <c r="C277" s="1">
        <v>62.0</v>
      </c>
      <c r="D277" s="2"/>
      <c r="E277" s="2"/>
      <c r="F277" s="2"/>
      <c r="G277" s="2"/>
      <c r="H277" s="2"/>
    </row>
    <row r="278">
      <c r="A278" s="1" t="s">
        <v>212</v>
      </c>
      <c r="B278" s="1"/>
      <c r="C278" s="1">
        <v>40.0</v>
      </c>
      <c r="D278" s="2"/>
      <c r="E278" s="2"/>
      <c r="F278" s="2"/>
      <c r="G278" s="2"/>
      <c r="H278" s="2"/>
    </row>
    <row r="279">
      <c r="A279" s="1" t="s">
        <v>213</v>
      </c>
      <c r="B279" s="1"/>
      <c r="C279" s="1">
        <v>0.0</v>
      </c>
      <c r="D279" s="2"/>
      <c r="E279" s="2"/>
      <c r="F279" s="2"/>
      <c r="G279" s="2"/>
      <c r="H279" s="2"/>
    </row>
    <row r="280">
      <c r="A280" s="1" t="s">
        <v>214</v>
      </c>
      <c r="B280" s="1"/>
      <c r="C280" s="1">
        <v>0.0</v>
      </c>
      <c r="D280" s="2"/>
      <c r="E280" s="2"/>
      <c r="F280" s="2"/>
      <c r="G280" s="2"/>
      <c r="H280" s="2"/>
    </row>
    <row r="281">
      <c r="A281" s="1" t="s">
        <v>215</v>
      </c>
      <c r="B281" s="1"/>
      <c r="C281" s="1">
        <v>0.0</v>
      </c>
      <c r="D281" s="2"/>
      <c r="E281" s="2"/>
      <c r="F281" s="2"/>
      <c r="G281" s="2"/>
      <c r="H281" s="2"/>
    </row>
    <row r="282">
      <c r="A282" s="1" t="s">
        <v>216</v>
      </c>
      <c r="B282" s="1"/>
      <c r="C282" s="1">
        <v>4.0</v>
      </c>
      <c r="D282" s="2"/>
      <c r="E282" s="2"/>
      <c r="F282" s="2"/>
      <c r="G282" s="2"/>
      <c r="H282" s="2"/>
    </row>
    <row r="283">
      <c r="A283" s="1" t="s">
        <v>217</v>
      </c>
      <c r="B283" s="1"/>
      <c r="C283" s="1">
        <v>0.0</v>
      </c>
      <c r="D283" s="2"/>
      <c r="E283" s="2"/>
      <c r="F283" s="2"/>
      <c r="G283" s="2"/>
      <c r="H283" s="2"/>
    </row>
    <row r="284">
      <c r="A284" s="1" t="s">
        <v>218</v>
      </c>
      <c r="B284" s="1"/>
      <c r="C284" s="1">
        <v>0.0</v>
      </c>
      <c r="D284" s="2"/>
      <c r="E284" s="2"/>
      <c r="F284" s="2"/>
      <c r="G284" s="2"/>
      <c r="H284" s="2"/>
    </row>
    <row r="285">
      <c r="A285" s="1" t="s">
        <v>219</v>
      </c>
      <c r="B285" s="1"/>
      <c r="C285" s="1">
        <v>13.0</v>
      </c>
      <c r="D285" s="2"/>
      <c r="E285" s="2"/>
      <c r="F285" s="2"/>
      <c r="G285" s="2"/>
      <c r="H285" s="2"/>
    </row>
    <row r="286">
      <c r="A286" s="1" t="s">
        <v>220</v>
      </c>
      <c r="B286" s="1"/>
      <c r="C286" s="1">
        <v>0.0</v>
      </c>
      <c r="D286" s="2"/>
      <c r="E286" s="2"/>
      <c r="F286" s="2"/>
      <c r="G286" s="2"/>
      <c r="H286" s="2"/>
    </row>
    <row r="287">
      <c r="A287" s="1" t="s">
        <v>221</v>
      </c>
      <c r="B287" s="1"/>
      <c r="C287" s="1">
        <v>0.0</v>
      </c>
      <c r="D287" s="2"/>
      <c r="E287" s="2"/>
      <c r="F287" s="2"/>
      <c r="G287" s="2"/>
      <c r="H287" s="2"/>
    </row>
    <row r="288">
      <c r="A288" s="1" t="s">
        <v>222</v>
      </c>
      <c r="B288" s="1"/>
      <c r="C288" s="1">
        <v>0.0</v>
      </c>
      <c r="D288" s="2"/>
      <c r="E288" s="2"/>
      <c r="F288" s="2"/>
      <c r="G288" s="2"/>
      <c r="H288" s="2"/>
    </row>
    <row r="289">
      <c r="A289" s="1" t="s">
        <v>223</v>
      </c>
      <c r="B289" s="1"/>
      <c r="C289" s="1">
        <v>0.0</v>
      </c>
      <c r="D289" s="2"/>
      <c r="E289" s="2"/>
      <c r="F289" s="2"/>
      <c r="G289" s="2"/>
      <c r="H289" s="2"/>
    </row>
    <row r="290">
      <c r="A290" s="1" t="s">
        <v>224</v>
      </c>
      <c r="B290" s="1"/>
      <c r="C290" s="1">
        <v>0.0</v>
      </c>
      <c r="D290" s="2"/>
      <c r="E290" s="2"/>
      <c r="F290" s="2"/>
      <c r="G290" s="2"/>
      <c r="H290" s="2"/>
    </row>
    <row r="291">
      <c r="A291" s="1" t="s">
        <v>225</v>
      </c>
      <c r="B291" s="1"/>
      <c r="C291" s="1">
        <v>0.0</v>
      </c>
      <c r="D291" s="2"/>
      <c r="E291" s="2"/>
      <c r="F291" s="2"/>
      <c r="G291" s="2"/>
      <c r="H291" s="2"/>
    </row>
    <row r="292">
      <c r="A292" s="1" t="s">
        <v>226</v>
      </c>
      <c r="B292" s="1"/>
      <c r="C292" s="2"/>
      <c r="D292" s="2"/>
      <c r="E292" s="2"/>
      <c r="F292" s="2"/>
      <c r="G292" s="2"/>
      <c r="H292" s="2"/>
    </row>
    <row r="293">
      <c r="A293" s="1" t="s">
        <v>227</v>
      </c>
      <c r="B293" s="1"/>
      <c r="C293" s="1">
        <v>0.0</v>
      </c>
      <c r="D293" s="2"/>
      <c r="E293" s="2"/>
      <c r="F293" s="2"/>
      <c r="G293" s="2"/>
      <c r="H293" s="2"/>
    </row>
    <row r="294">
      <c r="A294" s="1" t="s">
        <v>228</v>
      </c>
      <c r="B294" s="1"/>
      <c r="C294" s="2"/>
      <c r="D294" s="2"/>
      <c r="E294" s="2"/>
      <c r="F294" s="2"/>
      <c r="G294" s="2"/>
      <c r="H294" s="2"/>
    </row>
    <row r="295">
      <c r="A295" s="1" t="s">
        <v>229</v>
      </c>
      <c r="B295" s="1"/>
      <c r="C295" s="1">
        <v>0.0</v>
      </c>
      <c r="D295" s="2"/>
      <c r="E295" s="2"/>
      <c r="F295" s="2"/>
      <c r="G295" s="2"/>
      <c r="H295" s="2"/>
    </row>
    <row r="296">
      <c r="A296" s="1" t="s">
        <v>230</v>
      </c>
      <c r="B296" s="1"/>
      <c r="C296" s="1">
        <v>50.0</v>
      </c>
      <c r="D296" s="2"/>
      <c r="E296" s="2"/>
      <c r="F296" s="2"/>
      <c r="G296" s="2"/>
      <c r="H296" s="2"/>
    </row>
    <row r="297">
      <c r="A297" s="1" t="s">
        <v>231</v>
      </c>
      <c r="B297" s="1"/>
      <c r="C297" s="1">
        <v>0.0</v>
      </c>
      <c r="D297" s="2"/>
      <c r="E297" s="2"/>
      <c r="F297" s="2"/>
      <c r="G297" s="2"/>
      <c r="H297" s="2"/>
    </row>
    <row r="298">
      <c r="A298" s="1" t="s">
        <v>232</v>
      </c>
      <c r="B298" s="1"/>
      <c r="C298" s="1">
        <v>0.0</v>
      </c>
      <c r="D298" s="2"/>
      <c r="E298" s="2"/>
      <c r="F298" s="2"/>
      <c r="G298" s="2"/>
      <c r="H298" s="2"/>
    </row>
    <row r="299">
      <c r="A299" s="1" t="s">
        <v>233</v>
      </c>
      <c r="B299" s="1"/>
      <c r="C299" s="1">
        <v>0.0</v>
      </c>
      <c r="D299" s="2"/>
      <c r="E299" s="2"/>
      <c r="F299" s="2"/>
      <c r="G299" s="2"/>
      <c r="H299" s="2"/>
    </row>
    <row r="300">
      <c r="A300" s="1" t="s">
        <v>234</v>
      </c>
      <c r="B300" s="1"/>
      <c r="C300" s="1" t="s">
        <v>235</v>
      </c>
      <c r="D300" s="1">
        <v>0.0</v>
      </c>
      <c r="E300" s="2"/>
      <c r="F300" s="2"/>
      <c r="G300" s="2"/>
      <c r="H300" s="2"/>
    </row>
    <row r="301">
      <c r="A301" s="1" t="s">
        <v>236</v>
      </c>
      <c r="B301" s="1"/>
      <c r="C301" s="1">
        <v>59.0</v>
      </c>
      <c r="D301" s="2"/>
      <c r="E301" s="2"/>
      <c r="F301" s="2"/>
      <c r="G301" s="2"/>
      <c r="H301" s="2"/>
    </row>
    <row r="302">
      <c r="A302" s="1" t="s">
        <v>237</v>
      </c>
      <c r="B302" s="1"/>
      <c r="C302" s="1">
        <v>0.0</v>
      </c>
      <c r="D302" s="2"/>
      <c r="E302" s="2"/>
      <c r="F302" s="2"/>
      <c r="G302" s="2"/>
      <c r="H302" s="2"/>
    </row>
    <row r="303">
      <c r="A303" s="1" t="s">
        <v>238</v>
      </c>
      <c r="B303" s="1"/>
      <c r="C303" s="1">
        <v>80.0</v>
      </c>
      <c r="D303" s="2"/>
      <c r="E303" s="2"/>
      <c r="F303" s="2"/>
      <c r="G303" s="2"/>
      <c r="H303" s="2"/>
    </row>
    <row r="304">
      <c r="A304" s="1" t="s">
        <v>239</v>
      </c>
      <c r="B304" s="1"/>
      <c r="C304" s="1">
        <v>50.0</v>
      </c>
      <c r="D304" s="2"/>
      <c r="E304" s="2"/>
      <c r="F304" s="2"/>
      <c r="G304" s="2"/>
      <c r="H304" s="2"/>
    </row>
    <row r="305">
      <c r="A305" s="1" t="s">
        <v>240</v>
      </c>
      <c r="B305" s="1"/>
      <c r="C305" s="1">
        <v>0.0</v>
      </c>
      <c r="D305" s="2"/>
      <c r="E305" s="2"/>
      <c r="F305" s="2"/>
      <c r="G305" s="2"/>
      <c r="H305" s="2"/>
    </row>
    <row r="306">
      <c r="A306" s="1" t="s">
        <v>241</v>
      </c>
      <c r="B306" s="1"/>
      <c r="C306" s="1">
        <v>0.0</v>
      </c>
      <c r="D306" s="2"/>
      <c r="E306" s="2"/>
      <c r="F306" s="2"/>
      <c r="G306" s="2"/>
      <c r="H306" s="2"/>
    </row>
    <row r="307">
      <c r="A307" s="1" t="s">
        <v>242</v>
      </c>
      <c r="B307" s="1"/>
      <c r="C307" s="1">
        <v>0.0</v>
      </c>
      <c r="D307" s="2"/>
      <c r="E307" s="2"/>
      <c r="F307" s="2"/>
      <c r="G307" s="2"/>
      <c r="H307" s="2"/>
    </row>
    <row r="308">
      <c r="A308" s="1" t="s">
        <v>243</v>
      </c>
      <c r="B308" s="1"/>
      <c r="C308" s="1">
        <v>0.0</v>
      </c>
      <c r="D308" s="2"/>
      <c r="E308" s="2"/>
      <c r="F308" s="2"/>
      <c r="G308" s="2"/>
      <c r="H308" s="2"/>
    </row>
    <row r="309">
      <c r="A309" s="1" t="s">
        <v>244</v>
      </c>
      <c r="B309" s="1"/>
      <c r="C309" s="1">
        <v>0.0</v>
      </c>
      <c r="D309" s="2"/>
      <c r="E309" s="2"/>
      <c r="F309" s="2"/>
      <c r="G309" s="2"/>
      <c r="H309" s="2"/>
    </row>
    <row r="310">
      <c r="A310" s="1" t="s">
        <v>245</v>
      </c>
      <c r="B310" s="1"/>
      <c r="C310" s="1">
        <v>0.0</v>
      </c>
      <c r="D310" s="2"/>
      <c r="E310" s="2"/>
      <c r="F310" s="2"/>
      <c r="G310" s="2"/>
      <c r="H310" s="2"/>
    </row>
    <row r="311">
      <c r="A311" s="1" t="s">
        <v>246</v>
      </c>
      <c r="B311" s="1"/>
      <c r="C311" s="1">
        <v>0.0</v>
      </c>
      <c r="D311" s="2"/>
      <c r="E311" s="2"/>
      <c r="F311" s="2"/>
      <c r="G311" s="2"/>
      <c r="H311" s="2"/>
    </row>
    <row r="312">
      <c r="A312" s="1" t="s">
        <v>247</v>
      </c>
      <c r="B312" s="1"/>
      <c r="C312" s="1">
        <v>0.0</v>
      </c>
      <c r="D312" s="2"/>
      <c r="E312" s="2"/>
      <c r="F312" s="2"/>
      <c r="G312" s="2"/>
      <c r="H312" s="2"/>
    </row>
    <row r="313">
      <c r="A313" s="1" t="s">
        <v>248</v>
      </c>
      <c r="B313" s="1"/>
      <c r="C313" s="1">
        <v>0.0</v>
      </c>
      <c r="D313" s="2"/>
      <c r="E313" s="2"/>
      <c r="F313" s="2"/>
      <c r="G313" s="2"/>
      <c r="H313" s="2"/>
    </row>
    <row r="314">
      <c r="A314" s="1" t="s">
        <v>249</v>
      </c>
      <c r="B314" s="1"/>
      <c r="C314" s="1">
        <v>0.0</v>
      </c>
      <c r="D314" s="2"/>
      <c r="E314" s="2"/>
      <c r="F314" s="2"/>
      <c r="G314" s="2"/>
      <c r="H314" s="2"/>
    </row>
    <row r="315">
      <c r="A315" s="1" t="s">
        <v>250</v>
      </c>
      <c r="B315" s="1"/>
      <c r="C315" s="1">
        <v>0.0</v>
      </c>
      <c r="D315" s="2"/>
      <c r="E315" s="2"/>
      <c r="F315" s="2"/>
      <c r="G315" s="2"/>
      <c r="H315" s="2"/>
    </row>
    <row r="316">
      <c r="A316" s="1" t="s">
        <v>251</v>
      </c>
      <c r="B316" s="1"/>
      <c r="C316" s="1">
        <v>0.0</v>
      </c>
      <c r="D316" s="2"/>
      <c r="E316" s="2"/>
      <c r="F316" s="2"/>
      <c r="G316" s="2"/>
      <c r="H316" s="2"/>
    </row>
    <row r="317">
      <c r="A317" s="1" t="s">
        <v>252</v>
      </c>
      <c r="B317" s="1"/>
      <c r="C317" s="1">
        <v>0.0</v>
      </c>
      <c r="D317" s="2"/>
      <c r="E317" s="2"/>
      <c r="F317" s="2"/>
      <c r="G317" s="2"/>
      <c r="H317" s="2"/>
    </row>
    <row r="318">
      <c r="A318" s="1" t="s">
        <v>253</v>
      </c>
      <c r="B318" s="1"/>
      <c r="C318" s="1">
        <v>0.0</v>
      </c>
      <c r="D318" s="2"/>
      <c r="E318" s="2"/>
      <c r="F318" s="2"/>
      <c r="G318" s="2"/>
      <c r="H318" s="2"/>
    </row>
    <row r="319">
      <c r="A319" s="1" t="s">
        <v>254</v>
      </c>
      <c r="B319" s="1"/>
      <c r="C319" s="1">
        <v>66.0</v>
      </c>
      <c r="D319" s="2"/>
      <c r="E319" s="2"/>
      <c r="F319" s="2"/>
      <c r="G319" s="2"/>
      <c r="H319" s="2"/>
    </row>
    <row r="320">
      <c r="A320" s="1" t="s">
        <v>255</v>
      </c>
      <c r="B320" s="1"/>
      <c r="C320" s="1">
        <v>0.0</v>
      </c>
      <c r="D320" s="2"/>
      <c r="E320" s="2"/>
      <c r="F320" s="2"/>
      <c r="G320" s="2"/>
      <c r="H320" s="2"/>
    </row>
    <row r="321">
      <c r="A321" s="1" t="s">
        <v>256</v>
      </c>
      <c r="B321" s="1"/>
      <c r="C321" s="1">
        <v>0.0</v>
      </c>
      <c r="D321" s="2"/>
      <c r="E321" s="2"/>
      <c r="F321" s="2"/>
      <c r="G321" s="2"/>
      <c r="H321" s="2"/>
    </row>
    <row r="322">
      <c r="A322" s="1" t="s">
        <v>257</v>
      </c>
      <c r="B322" s="1"/>
      <c r="C322" s="1">
        <v>23.0</v>
      </c>
      <c r="D322" s="2"/>
      <c r="E322" s="2"/>
      <c r="F322" s="2"/>
      <c r="G322" s="2"/>
      <c r="H322" s="2"/>
    </row>
    <row r="323">
      <c r="A323" s="1" t="s">
        <v>258</v>
      </c>
      <c r="B323" s="1"/>
      <c r="C323" s="1">
        <v>0.0</v>
      </c>
      <c r="D323" s="2"/>
      <c r="E323" s="2"/>
      <c r="F323" s="2"/>
      <c r="G323" s="2"/>
      <c r="H323" s="2"/>
    </row>
    <row r="324">
      <c r="A324" s="1" t="s">
        <v>259</v>
      </c>
      <c r="B324" s="1"/>
      <c r="C324" s="1">
        <v>0.0</v>
      </c>
      <c r="D324" s="2"/>
      <c r="E324" s="2"/>
      <c r="F324" s="2"/>
      <c r="G324" s="2"/>
      <c r="H324" s="2"/>
    </row>
    <row r="325">
      <c r="A325" s="1" t="s">
        <v>260</v>
      </c>
      <c r="B325" s="1"/>
      <c r="C325" s="1" t="s">
        <v>261</v>
      </c>
      <c r="D325" s="1">
        <v>0.0</v>
      </c>
      <c r="E325" s="2"/>
      <c r="F325" s="2"/>
      <c r="G325" s="2"/>
      <c r="H325" s="2"/>
    </row>
    <row r="326">
      <c r="A326" s="1" t="s">
        <v>262</v>
      </c>
      <c r="B326" s="1"/>
      <c r="C326" s="1">
        <v>39.0</v>
      </c>
      <c r="D326" s="2"/>
      <c r="E326" s="2"/>
      <c r="F326" s="2"/>
      <c r="G326" s="2"/>
      <c r="H326" s="2"/>
    </row>
    <row r="327">
      <c r="A327" s="1" t="s">
        <v>263</v>
      </c>
      <c r="B327" s="1"/>
      <c r="C327" s="1">
        <v>0.0</v>
      </c>
      <c r="D327" s="2"/>
      <c r="E327" s="2"/>
      <c r="F327" s="2"/>
      <c r="G327" s="2"/>
      <c r="H327" s="2"/>
    </row>
    <row r="328">
      <c r="A328" s="1" t="s">
        <v>264</v>
      </c>
      <c r="B328" s="1"/>
      <c r="C328" s="1">
        <v>0.0</v>
      </c>
      <c r="D328" s="2"/>
      <c r="E328" s="2"/>
      <c r="F328" s="2"/>
      <c r="G328" s="2"/>
      <c r="H328" s="2"/>
    </row>
    <row r="329">
      <c r="A329" s="1" t="s">
        <v>265</v>
      </c>
      <c r="B329" s="1"/>
      <c r="C329" s="1">
        <v>0.0</v>
      </c>
      <c r="D329" s="2"/>
      <c r="E329" s="2"/>
      <c r="F329" s="2"/>
      <c r="G329" s="2"/>
      <c r="H329" s="2"/>
    </row>
    <row r="330">
      <c r="A330" s="1" t="s">
        <v>266</v>
      </c>
      <c r="B330" s="1"/>
      <c r="C330" s="1">
        <v>0.0</v>
      </c>
      <c r="D330" s="2"/>
      <c r="E330" s="2"/>
      <c r="F330" s="2"/>
      <c r="G330" s="2"/>
      <c r="H330" s="2"/>
    </row>
    <row r="331">
      <c r="A331" s="1" t="s">
        <v>267</v>
      </c>
      <c r="B331" s="1"/>
      <c r="C331" s="1">
        <v>30.0</v>
      </c>
      <c r="D331" s="2"/>
      <c r="E331" s="2"/>
      <c r="F331" s="2"/>
      <c r="G331" s="2"/>
      <c r="H331" s="2"/>
    </row>
    <row r="332">
      <c r="A332" s="1" t="s">
        <v>268</v>
      </c>
      <c r="B332" s="1"/>
      <c r="C332" s="1">
        <v>3.0</v>
      </c>
      <c r="D332" s="2"/>
      <c r="E332" s="2"/>
      <c r="F332" s="2"/>
      <c r="G332" s="2"/>
      <c r="H332" s="2"/>
    </row>
    <row r="333">
      <c r="A333" s="1" t="s">
        <v>269</v>
      </c>
      <c r="B333" s="1"/>
      <c r="C333" s="1">
        <v>0.0</v>
      </c>
      <c r="D333" s="2"/>
      <c r="E333" s="2"/>
      <c r="F333" s="2"/>
      <c r="G333" s="2"/>
      <c r="H333" s="2"/>
    </row>
    <row r="334">
      <c r="A334" s="1" t="s">
        <v>270</v>
      </c>
      <c r="B334" s="1"/>
      <c r="C334" s="1">
        <v>0.0</v>
      </c>
      <c r="D334" s="2"/>
      <c r="E334" s="2"/>
      <c r="F334" s="2"/>
      <c r="G334" s="2"/>
      <c r="H334" s="2"/>
    </row>
    <row r="335">
      <c r="A335" s="1" t="s">
        <v>271</v>
      </c>
      <c r="B335" s="1"/>
      <c r="C335" s="1">
        <v>66.0</v>
      </c>
      <c r="D335" s="2"/>
      <c r="E335" s="2"/>
      <c r="F335" s="2"/>
      <c r="G335" s="2"/>
      <c r="H335" s="2"/>
    </row>
    <row r="336">
      <c r="A336" s="1" t="s">
        <v>272</v>
      </c>
      <c r="B336" s="1"/>
      <c r="C336" s="1">
        <v>0.0</v>
      </c>
      <c r="D336" s="2"/>
      <c r="E336" s="2"/>
      <c r="F336" s="2"/>
      <c r="G336" s="2"/>
      <c r="H336" s="2"/>
    </row>
    <row r="337">
      <c r="A337" s="1" t="s">
        <v>273</v>
      </c>
      <c r="B337" s="1"/>
      <c r="C337" s="1">
        <v>0.0</v>
      </c>
      <c r="D337" s="2"/>
      <c r="E337" s="2"/>
      <c r="F337" s="2"/>
      <c r="G337" s="2"/>
      <c r="H337" s="2"/>
    </row>
    <row r="338">
      <c r="A338" s="1" t="s">
        <v>274</v>
      </c>
      <c r="B338" s="1"/>
      <c r="C338" s="1">
        <v>0.0</v>
      </c>
      <c r="D338" s="2"/>
      <c r="E338" s="2"/>
      <c r="F338" s="2"/>
      <c r="G338" s="2"/>
      <c r="H338" s="2"/>
    </row>
    <row r="339">
      <c r="A339" s="1" t="s">
        <v>275</v>
      </c>
      <c r="B339" s="1"/>
      <c r="C339" s="1">
        <v>0.0</v>
      </c>
      <c r="D339" s="2"/>
      <c r="E339" s="2"/>
      <c r="F339" s="2"/>
      <c r="G339" s="2"/>
      <c r="H339" s="2"/>
    </row>
    <row r="340">
      <c r="A340" s="1" t="s">
        <v>276</v>
      </c>
      <c r="B340" s="1"/>
      <c r="C340" s="1">
        <v>58.0</v>
      </c>
      <c r="D340" s="2"/>
      <c r="E340" s="2"/>
      <c r="F340" s="2"/>
      <c r="G340" s="2"/>
      <c r="H340" s="2"/>
    </row>
    <row r="341">
      <c r="A341" s="1" t="s">
        <v>277</v>
      </c>
      <c r="B341" s="1"/>
      <c r="C341" s="1">
        <v>99.0</v>
      </c>
      <c r="D341" s="2"/>
      <c r="E341" s="2"/>
      <c r="F341" s="2"/>
      <c r="G341" s="2"/>
      <c r="H341" s="2"/>
    </row>
    <row r="342">
      <c r="A342" s="1" t="s">
        <v>278</v>
      </c>
      <c r="B342" s="1"/>
      <c r="C342" s="1">
        <v>0.0</v>
      </c>
      <c r="D342" s="2"/>
      <c r="E342" s="2"/>
      <c r="F342" s="2"/>
      <c r="G342" s="2"/>
      <c r="H342" s="2"/>
    </row>
    <row r="343">
      <c r="A343" s="1" t="s">
        <v>279</v>
      </c>
      <c r="B343" s="1"/>
      <c r="C343" s="1">
        <v>0.0</v>
      </c>
      <c r="D343" s="2"/>
      <c r="E343" s="2"/>
      <c r="F343" s="2"/>
      <c r="G343" s="2"/>
      <c r="H343" s="2"/>
    </row>
    <row r="344">
      <c r="A344" s="1" t="s">
        <v>280</v>
      </c>
      <c r="B344" s="1"/>
      <c r="C344" s="1">
        <v>0.0</v>
      </c>
      <c r="D344" s="2"/>
      <c r="E344" s="2"/>
      <c r="F344" s="2"/>
      <c r="G344" s="2"/>
      <c r="H344" s="2"/>
    </row>
    <row r="345">
      <c r="A345" s="1" t="s">
        <v>281</v>
      </c>
      <c r="B345" s="1"/>
      <c r="C345" s="1">
        <v>0.0</v>
      </c>
      <c r="D345" s="2"/>
      <c r="E345" s="2"/>
      <c r="F345" s="2"/>
      <c r="G345" s="2"/>
      <c r="H345" s="2"/>
    </row>
    <row r="346">
      <c r="A346" s="1" t="s">
        <v>282</v>
      </c>
      <c r="B346" s="1"/>
      <c r="C346" s="1">
        <v>5.0</v>
      </c>
      <c r="D346" s="2"/>
      <c r="E346" s="2"/>
      <c r="F346" s="2"/>
      <c r="G346" s="2"/>
      <c r="H346" s="2"/>
    </row>
    <row r="347">
      <c r="A347" s="1" t="s">
        <v>283</v>
      </c>
      <c r="B347" s="1"/>
      <c r="C347" s="1">
        <v>48.0</v>
      </c>
      <c r="D347" s="2"/>
      <c r="E347" s="2"/>
      <c r="F347" s="2"/>
      <c r="G347" s="2"/>
      <c r="H347" s="2"/>
    </row>
    <row r="348">
      <c r="A348" s="1" t="s">
        <v>284</v>
      </c>
      <c r="B348" s="1"/>
      <c r="C348" s="1">
        <v>0.0</v>
      </c>
      <c r="D348" s="2"/>
      <c r="E348" s="2"/>
      <c r="F348" s="2"/>
      <c r="G348" s="2"/>
      <c r="H348" s="2"/>
    </row>
    <row r="349">
      <c r="A349" s="1" t="s">
        <v>285</v>
      </c>
      <c r="B349" s="1"/>
      <c r="C349" s="1">
        <v>0.0</v>
      </c>
      <c r="D349" s="2"/>
      <c r="E349" s="2"/>
      <c r="F349" s="2"/>
      <c r="G349" s="2"/>
      <c r="H349" s="2"/>
    </row>
    <row r="350">
      <c r="A350" s="1" t="s">
        <v>286</v>
      </c>
      <c r="B350" s="1"/>
      <c r="C350" s="1">
        <v>0.0</v>
      </c>
      <c r="D350" s="2"/>
      <c r="E350" s="2"/>
      <c r="F350" s="2"/>
      <c r="G350" s="2"/>
      <c r="H350" s="2"/>
    </row>
    <row r="351">
      <c r="A351" s="1" t="s">
        <v>287</v>
      </c>
      <c r="B351" s="1"/>
      <c r="C351" s="1">
        <v>0.0</v>
      </c>
      <c r="D351" s="2"/>
      <c r="E351" s="2"/>
      <c r="F351" s="2"/>
      <c r="G351" s="2"/>
      <c r="H351" s="2"/>
    </row>
    <row r="352">
      <c r="A352" s="1" t="s">
        <v>288</v>
      </c>
      <c r="B352" s="1"/>
      <c r="C352" s="1">
        <v>0.0</v>
      </c>
      <c r="D352" s="2"/>
      <c r="E352" s="2"/>
      <c r="F352" s="2"/>
      <c r="G352" s="2"/>
      <c r="H352" s="2"/>
    </row>
    <row r="353">
      <c r="A353" s="1" t="s">
        <v>289</v>
      </c>
      <c r="B353" s="1"/>
      <c r="C353" s="1">
        <v>0.0</v>
      </c>
      <c r="D353" s="2"/>
      <c r="E353" s="2"/>
      <c r="F353" s="2"/>
      <c r="G353" s="2"/>
      <c r="H353" s="2"/>
    </row>
    <row r="354">
      <c r="A354" s="1" t="s">
        <v>218</v>
      </c>
      <c r="B354" s="1"/>
      <c r="C354" s="1">
        <v>0.0</v>
      </c>
      <c r="D354" s="2"/>
      <c r="E354" s="2"/>
      <c r="F354" s="2"/>
      <c r="G354" s="2"/>
      <c r="H354" s="2"/>
    </row>
    <row r="355">
      <c r="A355" s="1" t="s">
        <v>219</v>
      </c>
      <c r="B355" s="1"/>
      <c r="C355" s="1">
        <v>13.0</v>
      </c>
      <c r="D355" s="2"/>
      <c r="E355" s="2"/>
      <c r="F355" s="2"/>
      <c r="G355" s="2"/>
      <c r="H355" s="2"/>
    </row>
    <row r="356">
      <c r="A356" s="1" t="s">
        <v>220</v>
      </c>
      <c r="B356" s="1"/>
      <c r="C356" s="1">
        <v>0.0</v>
      </c>
      <c r="D356" s="2"/>
      <c r="E356" s="2"/>
      <c r="F356" s="2"/>
      <c r="G356" s="2"/>
      <c r="H356" s="2"/>
    </row>
    <row r="357">
      <c r="A357" s="1" t="s">
        <v>221</v>
      </c>
      <c r="B357" s="1"/>
      <c r="C357" s="1">
        <v>0.0</v>
      </c>
      <c r="D357" s="2"/>
      <c r="E357" s="2"/>
      <c r="F357" s="2"/>
      <c r="G357" s="2"/>
      <c r="H357" s="2"/>
    </row>
    <row r="358">
      <c r="A358" s="1" t="s">
        <v>222</v>
      </c>
      <c r="B358" s="1"/>
      <c r="C358" s="1">
        <v>0.0</v>
      </c>
      <c r="D358" s="2"/>
      <c r="E358" s="2"/>
      <c r="F358" s="2"/>
      <c r="G358" s="2"/>
      <c r="H358" s="2"/>
    </row>
    <row r="359">
      <c r="A359" s="1" t="s">
        <v>223</v>
      </c>
      <c r="B359" s="1"/>
      <c r="C359" s="1">
        <v>0.0</v>
      </c>
      <c r="D359" s="2"/>
      <c r="E359" s="2"/>
      <c r="F359" s="2"/>
      <c r="G359" s="2"/>
      <c r="H359" s="2"/>
    </row>
    <row r="360">
      <c r="A360" s="1" t="s">
        <v>224</v>
      </c>
      <c r="B360" s="1"/>
      <c r="C360" s="1">
        <v>0.0</v>
      </c>
      <c r="D360" s="2"/>
      <c r="E360" s="2"/>
      <c r="F360" s="2"/>
      <c r="G360" s="2"/>
      <c r="H360" s="2"/>
    </row>
    <row r="361">
      <c r="A361" s="1" t="s">
        <v>225</v>
      </c>
      <c r="B361" s="1"/>
      <c r="C361" s="1">
        <v>0.0</v>
      </c>
      <c r="D361" s="2"/>
      <c r="E361" s="2"/>
      <c r="F361" s="2"/>
      <c r="G361" s="2"/>
      <c r="H361" s="2"/>
    </row>
    <row r="362">
      <c r="A362" s="1" t="s">
        <v>226</v>
      </c>
      <c r="B362" s="1"/>
      <c r="C362" s="2"/>
      <c r="D362" s="2"/>
      <c r="E362" s="2"/>
      <c r="F362" s="2"/>
      <c r="G362" s="2"/>
      <c r="H362" s="2"/>
    </row>
    <row r="363">
      <c r="A363" s="1" t="s">
        <v>227</v>
      </c>
      <c r="B363" s="1"/>
      <c r="C363" s="1">
        <v>0.0</v>
      </c>
      <c r="D363" s="2"/>
      <c r="E363" s="2"/>
      <c r="F363" s="2"/>
      <c r="G363" s="2"/>
      <c r="H363" s="2"/>
    </row>
    <row r="364">
      <c r="A364" s="1" t="s">
        <v>228</v>
      </c>
      <c r="B364" s="1"/>
      <c r="C364" s="2"/>
      <c r="D364" s="2"/>
      <c r="E364" s="2"/>
      <c r="F364" s="2"/>
      <c r="G364" s="2"/>
      <c r="H364" s="2"/>
    </row>
    <row r="365">
      <c r="A365" s="1" t="s">
        <v>229</v>
      </c>
      <c r="B365" s="1"/>
      <c r="C365" s="1">
        <v>0.0</v>
      </c>
      <c r="D365" s="2"/>
      <c r="E365" s="2"/>
      <c r="F365" s="2"/>
      <c r="G365" s="2"/>
      <c r="H365" s="2"/>
    </row>
    <row r="366">
      <c r="A366" s="1" t="s">
        <v>230</v>
      </c>
      <c r="B366" s="1"/>
      <c r="C366" s="1">
        <v>50.0</v>
      </c>
      <c r="D366" s="2"/>
      <c r="E366" s="2"/>
      <c r="F366" s="2"/>
      <c r="G366" s="2"/>
      <c r="H366" s="2"/>
    </row>
    <row r="367">
      <c r="A367" s="1" t="s">
        <v>231</v>
      </c>
      <c r="B367" s="1"/>
      <c r="C367" s="1">
        <v>0.0</v>
      </c>
      <c r="D367" s="2"/>
      <c r="E367" s="2"/>
      <c r="F367" s="2"/>
      <c r="G367" s="2"/>
      <c r="H367" s="2"/>
    </row>
    <row r="368">
      <c r="A368" s="1" t="s">
        <v>232</v>
      </c>
      <c r="B368" s="1"/>
      <c r="C368" s="1">
        <v>0.0</v>
      </c>
      <c r="D368" s="2"/>
      <c r="E368" s="2"/>
      <c r="F368" s="2"/>
      <c r="G368" s="2"/>
      <c r="H368" s="2"/>
    </row>
    <row r="369">
      <c r="A369" s="1" t="s">
        <v>233</v>
      </c>
      <c r="B369" s="1"/>
      <c r="C369" s="1">
        <v>0.0</v>
      </c>
      <c r="D369" s="2"/>
      <c r="E369" s="2"/>
      <c r="F369" s="2"/>
      <c r="G369" s="2"/>
      <c r="H369" s="2"/>
    </row>
    <row r="370">
      <c r="A370" s="1" t="s">
        <v>234</v>
      </c>
      <c r="B370" s="1"/>
      <c r="C370" s="1" t="s">
        <v>235</v>
      </c>
      <c r="D370" s="1">
        <v>0.0</v>
      </c>
      <c r="E370" s="2"/>
      <c r="F370" s="2"/>
      <c r="G370" s="2"/>
      <c r="H370" s="2"/>
    </row>
    <row r="371">
      <c r="A371" s="1" t="s">
        <v>236</v>
      </c>
      <c r="B371" s="1"/>
      <c r="C371" s="1">
        <v>59.0</v>
      </c>
      <c r="D371" s="2"/>
      <c r="E371" s="2"/>
      <c r="F371" s="2"/>
      <c r="G371" s="2"/>
      <c r="H371" s="2"/>
    </row>
    <row r="372">
      <c r="A372" s="1" t="s">
        <v>237</v>
      </c>
      <c r="B372" s="1"/>
      <c r="C372" s="1">
        <v>0.0</v>
      </c>
      <c r="D372" s="2"/>
      <c r="E372" s="2"/>
      <c r="F372" s="2"/>
      <c r="G372" s="2"/>
      <c r="H372" s="2"/>
    </row>
    <row r="373">
      <c r="A373" s="1" t="s">
        <v>238</v>
      </c>
      <c r="B373" s="1"/>
      <c r="C373" s="1">
        <v>80.0</v>
      </c>
      <c r="D373" s="2"/>
      <c r="E373" s="2"/>
      <c r="F373" s="2"/>
      <c r="G373" s="2"/>
      <c r="H373" s="2"/>
    </row>
    <row r="374">
      <c r="A374" s="1" t="s">
        <v>239</v>
      </c>
      <c r="B374" s="1"/>
      <c r="C374" s="1">
        <v>50.0</v>
      </c>
      <c r="D374" s="2"/>
      <c r="E374" s="2"/>
      <c r="F374" s="2"/>
      <c r="G374" s="2"/>
      <c r="H374" s="2"/>
    </row>
    <row r="375">
      <c r="A375" s="1" t="s">
        <v>240</v>
      </c>
      <c r="B375" s="1"/>
      <c r="C375" s="1">
        <v>0.0</v>
      </c>
      <c r="D375" s="2"/>
      <c r="E375" s="2"/>
      <c r="F375" s="2"/>
      <c r="G375" s="2"/>
      <c r="H375" s="2"/>
    </row>
    <row r="376">
      <c r="A376" s="1" t="s">
        <v>241</v>
      </c>
      <c r="B376" s="1"/>
      <c r="C376" s="1">
        <v>0.0</v>
      </c>
      <c r="D376" s="2"/>
      <c r="E376" s="2"/>
      <c r="F376" s="2"/>
      <c r="G376" s="2"/>
      <c r="H376" s="2"/>
    </row>
    <row r="377">
      <c r="A377" s="1" t="s">
        <v>242</v>
      </c>
      <c r="B377" s="1"/>
      <c r="C377" s="1">
        <v>0.0</v>
      </c>
      <c r="D377" s="2"/>
      <c r="E377" s="2"/>
      <c r="F377" s="2"/>
      <c r="G377" s="2"/>
      <c r="H377" s="2"/>
    </row>
    <row r="378">
      <c r="A378" s="1" t="s">
        <v>243</v>
      </c>
      <c r="B378" s="1"/>
      <c r="C378" s="1">
        <v>0.0</v>
      </c>
      <c r="D378" s="2"/>
      <c r="E378" s="2"/>
      <c r="F378" s="2"/>
      <c r="G378" s="2"/>
      <c r="H378" s="2"/>
    </row>
    <row r="379">
      <c r="A379" s="1" t="s">
        <v>244</v>
      </c>
      <c r="B379" s="1"/>
      <c r="C379" s="1">
        <v>0.0</v>
      </c>
      <c r="D379" s="2"/>
      <c r="E379" s="2"/>
      <c r="F379" s="2"/>
      <c r="G379" s="2"/>
      <c r="H379" s="2"/>
    </row>
    <row r="380">
      <c r="A380" s="1" t="s">
        <v>245</v>
      </c>
      <c r="B380" s="1"/>
      <c r="C380" s="1">
        <v>0.0</v>
      </c>
      <c r="D380" s="2"/>
      <c r="E380" s="2"/>
      <c r="F380" s="2"/>
      <c r="G380" s="2"/>
      <c r="H380" s="2"/>
    </row>
    <row r="381">
      <c r="A381" s="1" t="s">
        <v>246</v>
      </c>
      <c r="B381" s="1"/>
      <c r="C381" s="1">
        <v>0.0</v>
      </c>
      <c r="D381" s="2"/>
      <c r="E381" s="2"/>
      <c r="F381" s="2"/>
      <c r="G381" s="2"/>
      <c r="H381" s="2"/>
    </row>
    <row r="382">
      <c r="A382" s="1" t="s">
        <v>247</v>
      </c>
      <c r="B382" s="1"/>
      <c r="C382" s="1">
        <v>0.0</v>
      </c>
      <c r="D382" s="2"/>
      <c r="E382" s="2"/>
      <c r="F382" s="2"/>
      <c r="G382" s="2"/>
      <c r="H382" s="2"/>
    </row>
    <row r="383">
      <c r="A383" s="1" t="s">
        <v>248</v>
      </c>
      <c r="B383" s="1"/>
      <c r="C383" s="1">
        <v>0.0</v>
      </c>
      <c r="D383" s="2"/>
      <c r="E383" s="2"/>
      <c r="F383" s="2"/>
      <c r="G383" s="2"/>
      <c r="H383" s="2"/>
    </row>
    <row r="384">
      <c r="A384" s="1" t="s">
        <v>249</v>
      </c>
      <c r="B384" s="1"/>
      <c r="C384" s="1">
        <v>0.0</v>
      </c>
      <c r="D384" s="2"/>
      <c r="E384" s="2"/>
      <c r="F384" s="2"/>
      <c r="G384" s="2"/>
      <c r="H384" s="2"/>
    </row>
    <row r="385">
      <c r="A385" s="1" t="s">
        <v>250</v>
      </c>
      <c r="B385" s="1"/>
      <c r="C385" s="1">
        <v>0.0</v>
      </c>
      <c r="D385" s="2"/>
      <c r="E385" s="2"/>
      <c r="F385" s="2"/>
      <c r="G385" s="2"/>
      <c r="H385" s="2"/>
    </row>
    <row r="386">
      <c r="A386" s="1" t="s">
        <v>251</v>
      </c>
      <c r="B386" s="1"/>
      <c r="C386" s="1">
        <v>0.0</v>
      </c>
      <c r="D386" s="2"/>
      <c r="E386" s="2"/>
      <c r="F386" s="2"/>
      <c r="G386" s="2"/>
      <c r="H386" s="2"/>
    </row>
    <row r="387">
      <c r="A387" s="1" t="s">
        <v>252</v>
      </c>
      <c r="B387" s="1"/>
      <c r="C387" s="1">
        <v>0.0</v>
      </c>
      <c r="D387" s="2"/>
      <c r="E387" s="2"/>
      <c r="F387" s="2"/>
      <c r="G387" s="2"/>
      <c r="H387" s="2"/>
    </row>
    <row r="388">
      <c r="A388" s="1" t="s">
        <v>253</v>
      </c>
      <c r="B388" s="1"/>
      <c r="C388" s="1">
        <v>0.0</v>
      </c>
      <c r="D388" s="2"/>
      <c r="E388" s="2"/>
      <c r="F388" s="2"/>
      <c r="G388" s="2"/>
      <c r="H388" s="2"/>
    </row>
    <row r="389">
      <c r="A389" s="1" t="s">
        <v>254</v>
      </c>
      <c r="B389" s="1"/>
      <c r="C389" s="1">
        <v>66.0</v>
      </c>
      <c r="D389" s="2"/>
      <c r="E389" s="2"/>
      <c r="F389" s="2"/>
      <c r="G389" s="2"/>
      <c r="H389" s="2"/>
    </row>
    <row r="390">
      <c r="A390" s="1" t="s">
        <v>255</v>
      </c>
      <c r="B390" s="1"/>
      <c r="C390" s="1">
        <v>0.0</v>
      </c>
      <c r="D390" s="2"/>
      <c r="E390" s="2"/>
      <c r="F390" s="2"/>
      <c r="G390" s="2"/>
      <c r="H390" s="2"/>
    </row>
    <row r="391">
      <c r="A391" s="1" t="s">
        <v>256</v>
      </c>
      <c r="B391" s="1"/>
      <c r="C391" s="1">
        <v>0.0</v>
      </c>
      <c r="D391" s="2"/>
      <c r="E391" s="2"/>
      <c r="F391" s="2"/>
      <c r="G391" s="2"/>
      <c r="H391" s="2"/>
    </row>
    <row r="392">
      <c r="A392" s="1" t="s">
        <v>257</v>
      </c>
      <c r="B392" s="1"/>
      <c r="C392" s="1">
        <v>23.0</v>
      </c>
      <c r="D392" s="2"/>
      <c r="E392" s="2"/>
      <c r="F392" s="2"/>
      <c r="G392" s="2"/>
      <c r="H392" s="2"/>
    </row>
    <row r="393">
      <c r="A393" s="1" t="s">
        <v>258</v>
      </c>
      <c r="B393" s="1"/>
      <c r="C393" s="1">
        <v>0.0</v>
      </c>
      <c r="D393" s="2"/>
      <c r="E393" s="2"/>
      <c r="F393" s="2"/>
      <c r="G393" s="2"/>
      <c r="H393" s="2"/>
    </row>
    <row r="394">
      <c r="A394" s="1" t="s">
        <v>259</v>
      </c>
      <c r="B394" s="1"/>
      <c r="C394" s="1">
        <v>0.0</v>
      </c>
      <c r="D394" s="2"/>
      <c r="E394" s="2"/>
      <c r="F394" s="2"/>
      <c r="G394" s="2"/>
      <c r="H394" s="2"/>
    </row>
    <row r="395">
      <c r="A395" s="1" t="s">
        <v>260</v>
      </c>
      <c r="B395" s="1"/>
      <c r="C395" s="1" t="s">
        <v>261</v>
      </c>
      <c r="D395" s="1">
        <v>0.0</v>
      </c>
      <c r="E395" s="2"/>
      <c r="F395" s="2"/>
      <c r="G395" s="2"/>
      <c r="H395" s="2"/>
    </row>
    <row r="396">
      <c r="A396" s="1" t="s">
        <v>262</v>
      </c>
      <c r="B396" s="1"/>
      <c r="C396" s="1">
        <v>39.0</v>
      </c>
      <c r="D396" s="2"/>
      <c r="E396" s="2"/>
      <c r="F396" s="2"/>
      <c r="G396" s="2"/>
      <c r="H396" s="2"/>
    </row>
    <row r="397">
      <c r="A397" s="1" t="s">
        <v>263</v>
      </c>
      <c r="B397" s="1"/>
      <c r="C397" s="1">
        <v>0.0</v>
      </c>
      <c r="D397" s="2"/>
      <c r="E397" s="2"/>
      <c r="F397" s="2"/>
      <c r="G397" s="2"/>
      <c r="H397" s="2"/>
    </row>
    <row r="398">
      <c r="A398" s="1" t="s">
        <v>264</v>
      </c>
      <c r="B398" s="1"/>
      <c r="C398" s="1">
        <v>0.0</v>
      </c>
      <c r="D398" s="2"/>
      <c r="E398" s="2"/>
      <c r="F398" s="2"/>
      <c r="G398" s="2"/>
      <c r="H398" s="2"/>
    </row>
    <row r="399">
      <c r="A399" s="1" t="s">
        <v>265</v>
      </c>
      <c r="B399" s="1"/>
      <c r="C399" s="1">
        <v>0.0</v>
      </c>
      <c r="D399" s="2"/>
      <c r="E399" s="2"/>
      <c r="F399" s="2"/>
      <c r="G399" s="2"/>
      <c r="H399" s="2"/>
    </row>
    <row r="400">
      <c r="A400" s="1" t="s">
        <v>266</v>
      </c>
      <c r="B400" s="1"/>
      <c r="C400" s="1">
        <v>0.0</v>
      </c>
      <c r="D400" s="2"/>
      <c r="E400" s="2"/>
      <c r="F400" s="2"/>
      <c r="G400" s="2"/>
      <c r="H400" s="2"/>
    </row>
    <row r="401">
      <c r="A401" s="1" t="s">
        <v>267</v>
      </c>
      <c r="B401" s="1"/>
      <c r="C401" s="1">
        <v>30.0</v>
      </c>
      <c r="D401" s="2"/>
      <c r="E401" s="2"/>
      <c r="F401" s="2"/>
      <c r="G401" s="2"/>
      <c r="H401" s="2"/>
    </row>
    <row r="402">
      <c r="A402" s="1" t="s">
        <v>268</v>
      </c>
      <c r="B402" s="1"/>
      <c r="C402" s="1">
        <v>3.0</v>
      </c>
      <c r="D402" s="2"/>
      <c r="E402" s="2"/>
      <c r="F402" s="2"/>
      <c r="G402" s="2"/>
      <c r="H402" s="2"/>
    </row>
    <row r="403">
      <c r="A403" s="1" t="s">
        <v>269</v>
      </c>
      <c r="B403" s="1"/>
      <c r="C403" s="1">
        <v>0.0</v>
      </c>
      <c r="D403" s="2"/>
      <c r="E403" s="2"/>
      <c r="F403" s="2"/>
      <c r="G403" s="2"/>
      <c r="H403" s="2"/>
    </row>
    <row r="404">
      <c r="A404" s="1" t="s">
        <v>270</v>
      </c>
      <c r="B404" s="1"/>
      <c r="C404" s="1">
        <v>0.0</v>
      </c>
      <c r="D404" s="2"/>
      <c r="E404" s="2"/>
      <c r="F404" s="2"/>
      <c r="G404" s="2"/>
      <c r="H404" s="2"/>
    </row>
    <row r="405">
      <c r="A405" s="1" t="s">
        <v>271</v>
      </c>
      <c r="B405" s="1"/>
      <c r="C405" s="1">
        <v>66.0</v>
      </c>
      <c r="D405" s="2"/>
      <c r="E405" s="2"/>
      <c r="F405" s="2"/>
      <c r="G405" s="2"/>
      <c r="H405" s="2"/>
    </row>
    <row r="406">
      <c r="A406" s="1" t="s">
        <v>272</v>
      </c>
      <c r="B406" s="1"/>
      <c r="C406" s="1">
        <v>0.0</v>
      </c>
      <c r="D406" s="2"/>
      <c r="E406" s="2"/>
      <c r="F406" s="2"/>
      <c r="G406" s="2"/>
      <c r="H406" s="2"/>
    </row>
    <row r="407">
      <c r="A407" s="1" t="s">
        <v>273</v>
      </c>
      <c r="B407" s="1"/>
      <c r="C407" s="1">
        <v>0.0</v>
      </c>
      <c r="D407" s="2"/>
      <c r="E407" s="2"/>
      <c r="F407" s="2"/>
      <c r="G407" s="2"/>
      <c r="H407" s="2"/>
    </row>
    <row r="408">
      <c r="A408" s="1" t="s">
        <v>274</v>
      </c>
      <c r="B408" s="1"/>
      <c r="C408" s="1">
        <v>0.0</v>
      </c>
      <c r="D408" s="2"/>
      <c r="E408" s="2"/>
      <c r="F408" s="2"/>
      <c r="G408" s="2"/>
      <c r="H408" s="2"/>
    </row>
    <row r="409">
      <c r="A409" s="1" t="s">
        <v>275</v>
      </c>
      <c r="B409" s="1"/>
      <c r="C409" s="1">
        <v>0.0</v>
      </c>
      <c r="D409" s="2"/>
      <c r="E409" s="2"/>
      <c r="F409" s="2"/>
      <c r="G409" s="2"/>
      <c r="H409" s="2"/>
    </row>
    <row r="410">
      <c r="A410" s="1" t="s">
        <v>276</v>
      </c>
      <c r="B410" s="1"/>
      <c r="C410" s="1">
        <v>58.0</v>
      </c>
      <c r="D410" s="2"/>
      <c r="E410" s="2"/>
      <c r="F410" s="2"/>
      <c r="G410" s="2"/>
      <c r="H410" s="2"/>
    </row>
    <row r="411">
      <c r="A411" s="1" t="s">
        <v>277</v>
      </c>
      <c r="B411" s="1"/>
      <c r="C411" s="1">
        <v>99.0</v>
      </c>
      <c r="D411" s="2"/>
      <c r="E411" s="2"/>
      <c r="F411" s="2"/>
      <c r="G411" s="2"/>
      <c r="H411" s="2"/>
    </row>
    <row r="412">
      <c r="A412" s="1" t="s">
        <v>278</v>
      </c>
      <c r="B412" s="1"/>
      <c r="C412" s="1">
        <v>0.0</v>
      </c>
      <c r="D412" s="2"/>
      <c r="E412" s="2"/>
      <c r="F412" s="2"/>
      <c r="G412" s="2"/>
      <c r="H412" s="2"/>
    </row>
    <row r="413">
      <c r="A413" s="1" t="s">
        <v>279</v>
      </c>
      <c r="B413" s="1"/>
      <c r="C413" s="1">
        <v>0.0</v>
      </c>
      <c r="D413" s="2"/>
      <c r="E413" s="2"/>
      <c r="F413" s="2"/>
      <c r="G413" s="2"/>
      <c r="H413" s="2"/>
    </row>
    <row r="414">
      <c r="A414" s="1" t="s">
        <v>280</v>
      </c>
      <c r="B414" s="1"/>
      <c r="C414" s="1">
        <v>0.0</v>
      </c>
      <c r="D414" s="2"/>
      <c r="E414" s="2"/>
      <c r="F414" s="2"/>
      <c r="G414" s="2"/>
      <c r="H414" s="2"/>
    </row>
    <row r="415">
      <c r="A415" s="1" t="s">
        <v>281</v>
      </c>
      <c r="B415" s="1"/>
      <c r="C415" s="1">
        <v>0.0</v>
      </c>
      <c r="D415" s="2"/>
      <c r="E415" s="2"/>
      <c r="F415" s="2"/>
      <c r="G415" s="2"/>
      <c r="H415" s="2"/>
    </row>
    <row r="416">
      <c r="A416" s="1" t="s">
        <v>282</v>
      </c>
      <c r="B416" s="1"/>
      <c r="C416" s="1">
        <v>5.0</v>
      </c>
      <c r="D416" s="2"/>
      <c r="E416" s="2"/>
      <c r="F416" s="2"/>
      <c r="G416" s="2"/>
      <c r="H416" s="2"/>
    </row>
    <row r="417">
      <c r="A417" s="1" t="s">
        <v>283</v>
      </c>
      <c r="B417" s="1"/>
      <c r="C417" s="1">
        <v>48.0</v>
      </c>
      <c r="D417" s="2"/>
      <c r="E417" s="2"/>
      <c r="F417" s="2"/>
      <c r="G417" s="2"/>
      <c r="H417" s="2"/>
    </row>
    <row r="418">
      <c r="A418" s="1" t="s">
        <v>284</v>
      </c>
      <c r="B418" s="1"/>
      <c r="C418" s="1">
        <v>0.0</v>
      </c>
      <c r="D418" s="2"/>
      <c r="E418" s="2"/>
      <c r="F418" s="2"/>
      <c r="G418" s="2"/>
      <c r="H418" s="2"/>
    </row>
    <row r="419">
      <c r="A419" s="1" t="s">
        <v>285</v>
      </c>
      <c r="B419" s="1"/>
      <c r="C419" s="1">
        <v>0.0</v>
      </c>
      <c r="D419" s="2"/>
      <c r="E419" s="2"/>
      <c r="F419" s="2"/>
      <c r="G419" s="2"/>
      <c r="H419" s="2"/>
    </row>
    <row r="420">
      <c r="A420" s="1" t="s">
        <v>286</v>
      </c>
      <c r="B420" s="1"/>
      <c r="C420" s="1">
        <v>0.0</v>
      </c>
      <c r="D420" s="2"/>
      <c r="E420" s="2"/>
      <c r="F420" s="2"/>
      <c r="G420" s="2"/>
      <c r="H420" s="2"/>
    </row>
    <row r="421">
      <c r="A421" s="1" t="s">
        <v>287</v>
      </c>
      <c r="B421" s="1"/>
      <c r="C421" s="1">
        <v>0.0</v>
      </c>
      <c r="D421" s="2"/>
      <c r="E421" s="2"/>
      <c r="F421" s="2"/>
      <c r="G421" s="2"/>
      <c r="H421" s="2"/>
    </row>
    <row r="422">
      <c r="A422" s="1" t="s">
        <v>288</v>
      </c>
      <c r="B422" s="1"/>
      <c r="C422" s="1">
        <v>0.0</v>
      </c>
      <c r="D422" s="2"/>
      <c r="E422" s="2"/>
      <c r="F422" s="2"/>
      <c r="G422" s="2"/>
      <c r="H422" s="2"/>
    </row>
    <row r="423">
      <c r="A423" s="1" t="s">
        <v>289</v>
      </c>
      <c r="B423" s="1"/>
      <c r="C423" s="1">
        <v>0.0</v>
      </c>
      <c r="D423" s="2"/>
      <c r="E423" s="2"/>
      <c r="F423" s="2"/>
      <c r="G423" s="2"/>
      <c r="H423" s="2"/>
    </row>
    <row r="424">
      <c r="A424" s="1" t="s">
        <v>290</v>
      </c>
      <c r="B424" s="1"/>
      <c r="C424" s="1">
        <v>75.0</v>
      </c>
      <c r="D424" s="2"/>
      <c r="E424" s="2"/>
      <c r="F424" s="2"/>
      <c r="G424" s="2"/>
      <c r="H424" s="2"/>
    </row>
    <row r="425">
      <c r="A425" s="1" t="s">
        <v>291</v>
      </c>
      <c r="B425" s="1"/>
      <c r="C425" s="1">
        <v>0.0</v>
      </c>
      <c r="D425" s="2"/>
      <c r="E425" s="2"/>
      <c r="F425" s="2"/>
      <c r="G425" s="2"/>
      <c r="H425" s="2"/>
    </row>
    <row r="426">
      <c r="A426" s="1" t="s">
        <v>292</v>
      </c>
      <c r="B426" s="1"/>
      <c r="C426" s="1">
        <v>0.0</v>
      </c>
      <c r="D426" s="2"/>
      <c r="E426" s="2"/>
      <c r="F426" s="2"/>
      <c r="G426" s="2"/>
      <c r="H426" s="2"/>
    </row>
    <row r="427">
      <c r="A427" s="1" t="s">
        <v>293</v>
      </c>
      <c r="B427" s="1"/>
      <c r="C427" s="1">
        <v>30.0</v>
      </c>
      <c r="D427" s="2"/>
      <c r="E427" s="2"/>
      <c r="F427" s="2"/>
      <c r="G427" s="2"/>
      <c r="H427" s="2"/>
    </row>
    <row r="428">
      <c r="A428" s="1" t="s">
        <v>294</v>
      </c>
      <c r="B428" s="1"/>
      <c r="C428" s="1">
        <v>39.0</v>
      </c>
      <c r="D428" s="2"/>
      <c r="E428" s="2"/>
      <c r="F428" s="2"/>
      <c r="G428" s="2"/>
      <c r="H428" s="2"/>
    </row>
    <row r="429">
      <c r="A429" s="1" t="s">
        <v>295</v>
      </c>
      <c r="B429" s="1"/>
      <c r="C429" s="1">
        <v>50.0</v>
      </c>
      <c r="D429" s="2"/>
      <c r="E429" s="2"/>
      <c r="F429" s="2"/>
      <c r="G429" s="2"/>
      <c r="H429" s="2"/>
    </row>
    <row r="430">
      <c r="A430" s="1" t="s">
        <v>296</v>
      </c>
      <c r="B430" s="1"/>
      <c r="C430" s="1">
        <v>0.0</v>
      </c>
      <c r="D430" s="2"/>
      <c r="E430" s="2"/>
      <c r="F430" s="2"/>
      <c r="G430" s="2"/>
      <c r="H430" s="2"/>
    </row>
    <row r="431">
      <c r="A431" s="1" t="s">
        <v>297</v>
      </c>
      <c r="B431" s="1"/>
      <c r="C431" s="1">
        <v>0.0</v>
      </c>
      <c r="D431" s="2"/>
      <c r="E431" s="2"/>
      <c r="F431" s="2"/>
      <c r="G431" s="2"/>
      <c r="H431" s="2"/>
    </row>
    <row r="432">
      <c r="A432" s="1" t="s">
        <v>298</v>
      </c>
      <c r="B432" s="1"/>
      <c r="C432" s="1">
        <v>62.0</v>
      </c>
      <c r="D432" s="2"/>
      <c r="E432" s="2"/>
      <c r="F432" s="2"/>
      <c r="G432" s="2"/>
      <c r="H432" s="2"/>
    </row>
    <row r="433">
      <c r="A433" s="1" t="s">
        <v>299</v>
      </c>
      <c r="B433" s="1"/>
      <c r="C433" s="1">
        <v>0.0</v>
      </c>
      <c r="D433" s="2"/>
      <c r="E433" s="2"/>
      <c r="F433" s="2"/>
      <c r="G433" s="2"/>
      <c r="H433" s="2"/>
    </row>
    <row r="434">
      <c r="A434" s="1" t="s">
        <v>300</v>
      </c>
      <c r="B434" s="1"/>
      <c r="C434" s="1">
        <v>50.0</v>
      </c>
      <c r="D434" s="2"/>
      <c r="E434" s="2"/>
      <c r="F434" s="2"/>
      <c r="G434" s="2"/>
      <c r="H434" s="2"/>
    </row>
    <row r="435">
      <c r="A435" s="1" t="s">
        <v>301</v>
      </c>
      <c r="B435" s="1"/>
      <c r="C435" s="1">
        <v>0.0</v>
      </c>
      <c r="D435" s="2"/>
      <c r="E435" s="2"/>
      <c r="F435" s="2"/>
      <c r="G435" s="2"/>
      <c r="H435" s="2"/>
    </row>
    <row r="436">
      <c r="A436" s="1" t="s">
        <v>302</v>
      </c>
      <c r="B436" s="1"/>
      <c r="C436" s="1">
        <v>0.0</v>
      </c>
      <c r="D436" s="2"/>
      <c r="E436" s="2"/>
      <c r="F436" s="2"/>
      <c r="G436" s="2"/>
      <c r="H436" s="2"/>
    </row>
    <row r="437">
      <c r="A437" s="1" t="s">
        <v>303</v>
      </c>
      <c r="B437" s="1"/>
      <c r="C437" s="1">
        <v>96.0</v>
      </c>
      <c r="D437" s="2"/>
      <c r="E437" s="2"/>
      <c r="F437" s="2"/>
      <c r="G437" s="2"/>
      <c r="H437" s="2"/>
    </row>
    <row r="438">
      <c r="A438" s="1" t="s">
        <v>304</v>
      </c>
      <c r="B438" s="1"/>
      <c r="C438" s="1">
        <v>57.0</v>
      </c>
      <c r="D438" s="2"/>
      <c r="E438" s="2"/>
      <c r="F438" s="2"/>
      <c r="G438" s="2"/>
      <c r="H438" s="2"/>
    </row>
    <row r="439">
      <c r="A439" s="1" t="s">
        <v>305</v>
      </c>
      <c r="B439" s="1"/>
      <c r="C439" s="1">
        <v>0.0</v>
      </c>
      <c r="D439" s="2"/>
      <c r="E439" s="2"/>
      <c r="F439" s="2"/>
      <c r="G439" s="2"/>
      <c r="H439" s="2"/>
    </row>
    <row r="440">
      <c r="A440" s="1" t="s">
        <v>306</v>
      </c>
      <c r="B440" s="1"/>
      <c r="C440" s="1">
        <v>34.0</v>
      </c>
      <c r="D440" s="2"/>
      <c r="E440" s="2"/>
      <c r="F440" s="2"/>
      <c r="G440" s="2"/>
      <c r="H440" s="2"/>
    </row>
    <row r="441">
      <c r="A441" s="1" t="s">
        <v>307</v>
      </c>
      <c r="B441" s="1"/>
      <c r="C441" s="1">
        <v>68.0</v>
      </c>
      <c r="D441" s="2"/>
      <c r="E441" s="2"/>
      <c r="F441" s="2"/>
      <c r="G441" s="2"/>
      <c r="H441" s="2"/>
    </row>
    <row r="442">
      <c r="A442" s="1" t="s">
        <v>308</v>
      </c>
      <c r="B442" s="1"/>
      <c r="C442" s="1">
        <v>78.0</v>
      </c>
      <c r="D442" s="2"/>
      <c r="E442" s="2"/>
      <c r="F442" s="2"/>
      <c r="G442" s="2"/>
      <c r="H442" s="2"/>
    </row>
    <row r="443">
      <c r="A443" s="1" t="s">
        <v>309</v>
      </c>
      <c r="B443" s="1"/>
      <c r="C443" s="2"/>
      <c r="D443" s="2"/>
      <c r="E443" s="2"/>
      <c r="F443" s="2"/>
      <c r="G443" s="2"/>
      <c r="H443" s="2"/>
    </row>
    <row r="444">
      <c r="A444" s="1" t="s">
        <v>310</v>
      </c>
      <c r="B444" s="1"/>
      <c r="C444" s="1">
        <v>12.0</v>
      </c>
      <c r="D444" s="2"/>
      <c r="E444" s="2"/>
      <c r="F444" s="2"/>
      <c r="G444" s="2"/>
      <c r="H444" s="2"/>
    </row>
    <row r="445">
      <c r="A445" s="1" t="s">
        <v>311</v>
      </c>
      <c r="B445" s="1"/>
      <c r="C445" s="2"/>
      <c r="D445" s="2"/>
      <c r="E445" s="2"/>
      <c r="F445" s="2"/>
      <c r="G445" s="2"/>
      <c r="H445" s="2"/>
    </row>
    <row r="446">
      <c r="A446" s="1" t="s">
        <v>312</v>
      </c>
      <c r="B446" s="1"/>
      <c r="C446" s="1">
        <v>0.0</v>
      </c>
      <c r="D446" s="2"/>
      <c r="E446" s="2"/>
      <c r="F446" s="2"/>
      <c r="G446" s="2"/>
      <c r="H446" s="2"/>
    </row>
    <row r="447">
      <c r="A447" s="1" t="s">
        <v>313</v>
      </c>
      <c r="B447" s="1"/>
      <c r="C447" s="1">
        <v>82.0</v>
      </c>
      <c r="D447" s="2"/>
      <c r="E447" s="2"/>
      <c r="F447" s="2"/>
      <c r="G447" s="2"/>
      <c r="H447" s="2"/>
    </row>
    <row r="448">
      <c r="A448" s="1" t="s">
        <v>314</v>
      </c>
      <c r="B448" s="1"/>
      <c r="C448" s="1">
        <v>0.0</v>
      </c>
      <c r="D448" s="2"/>
      <c r="E448" s="2"/>
      <c r="F448" s="2"/>
      <c r="G448" s="2"/>
      <c r="H448" s="2"/>
    </row>
    <row r="449">
      <c r="A449" s="1" t="s">
        <v>315</v>
      </c>
      <c r="B449" s="1"/>
      <c r="C449" s="1">
        <v>0.0</v>
      </c>
      <c r="D449" s="2"/>
      <c r="E449" s="2"/>
      <c r="F449" s="2"/>
      <c r="G449" s="2"/>
      <c r="H449" s="2"/>
    </row>
    <row r="450">
      <c r="A450" s="1" t="s">
        <v>316</v>
      </c>
      <c r="B450" s="1"/>
      <c r="C450" s="1">
        <v>0.0</v>
      </c>
      <c r="D450" s="2"/>
      <c r="E450" s="2"/>
      <c r="F450" s="2"/>
      <c r="G450" s="2"/>
      <c r="H450" s="2"/>
    </row>
    <row r="451">
      <c r="A451" s="1" t="s">
        <v>317</v>
      </c>
      <c r="B451" s="1"/>
      <c r="C451" s="1">
        <v>0.0</v>
      </c>
      <c r="D451" s="2"/>
      <c r="E451" s="2"/>
      <c r="F451" s="2"/>
      <c r="G451" s="2"/>
      <c r="H451" s="2"/>
    </row>
    <row r="452">
      <c r="A452" s="1" t="s">
        <v>318</v>
      </c>
      <c r="B452" s="1"/>
      <c r="C452" s="1">
        <v>8.0</v>
      </c>
      <c r="D452" s="2"/>
      <c r="E452" s="2"/>
      <c r="F452" s="2"/>
      <c r="G452" s="2"/>
      <c r="H452" s="2"/>
    </row>
    <row r="453">
      <c r="A453" s="1" t="s">
        <v>319</v>
      </c>
      <c r="B453" s="1"/>
      <c r="C453" s="1">
        <v>0.0</v>
      </c>
      <c r="D453" s="2"/>
      <c r="E453" s="2"/>
      <c r="F453" s="2"/>
      <c r="G453" s="2"/>
      <c r="H453" s="2"/>
    </row>
    <row r="454">
      <c r="A454" s="1" t="s">
        <v>320</v>
      </c>
      <c r="B454" s="1"/>
      <c r="C454" s="1">
        <v>0.0</v>
      </c>
      <c r="D454" s="2"/>
      <c r="E454" s="2"/>
      <c r="F454" s="2"/>
      <c r="G454" s="2"/>
      <c r="H454" s="2"/>
    </row>
    <row r="455">
      <c r="A455" s="1" t="s">
        <v>321</v>
      </c>
      <c r="B455" s="1"/>
      <c r="C455" s="1">
        <v>0.0</v>
      </c>
      <c r="D455" s="2"/>
      <c r="E455" s="2"/>
      <c r="F455" s="2"/>
      <c r="G455" s="2"/>
      <c r="H455" s="2"/>
    </row>
    <row r="456">
      <c r="A456" s="1" t="s">
        <v>322</v>
      </c>
      <c r="B456" s="1"/>
      <c r="C456" s="1">
        <v>14.0</v>
      </c>
      <c r="D456" s="2"/>
      <c r="E456" s="2"/>
      <c r="F456" s="2"/>
      <c r="G456" s="2"/>
      <c r="H456" s="2"/>
    </row>
    <row r="457">
      <c r="A457" s="1" t="s">
        <v>323</v>
      </c>
      <c r="B457" s="1"/>
      <c r="C457" s="1">
        <v>0.0</v>
      </c>
      <c r="D457" s="2"/>
      <c r="E457" s="2"/>
      <c r="F457" s="2"/>
      <c r="G457" s="2"/>
      <c r="H457" s="2"/>
    </row>
    <row r="458">
      <c r="A458" s="1" t="s">
        <v>324</v>
      </c>
      <c r="B458" s="1"/>
      <c r="C458" s="1">
        <v>86.0</v>
      </c>
      <c r="D458" s="2"/>
      <c r="E458" s="2"/>
      <c r="F458" s="2"/>
      <c r="G458" s="2"/>
      <c r="H458" s="2"/>
    </row>
    <row r="459">
      <c r="A459" s="1" t="s">
        <v>325</v>
      </c>
      <c r="B459" s="1"/>
      <c r="C459" s="1">
        <v>66.0</v>
      </c>
      <c r="D459" s="2"/>
      <c r="E459" s="2"/>
      <c r="F459" s="2"/>
      <c r="G459" s="2"/>
      <c r="H459" s="2"/>
    </row>
    <row r="460">
      <c r="A460" s="1" t="s">
        <v>326</v>
      </c>
      <c r="B460" s="1"/>
      <c r="C460" s="1">
        <v>0.0</v>
      </c>
      <c r="D460" s="2"/>
      <c r="E460" s="2"/>
      <c r="F460" s="2"/>
      <c r="G460" s="2"/>
      <c r="H460" s="2"/>
    </row>
    <row r="461">
      <c r="A461" s="1" t="s">
        <v>327</v>
      </c>
      <c r="B461" s="1"/>
      <c r="C461" s="1">
        <v>94.0</v>
      </c>
      <c r="D461" s="2"/>
      <c r="E461" s="2"/>
      <c r="F461" s="2"/>
      <c r="G461" s="2"/>
      <c r="H461" s="2"/>
    </row>
    <row r="462">
      <c r="A462" s="1" t="s">
        <v>328</v>
      </c>
      <c r="B462" s="1"/>
      <c r="C462" s="1">
        <v>36.0</v>
      </c>
      <c r="D462" s="2"/>
      <c r="E462" s="2"/>
      <c r="F462" s="2"/>
      <c r="G462" s="2"/>
      <c r="H462" s="2"/>
    </row>
    <row r="463">
      <c r="A463" s="1" t="s">
        <v>329</v>
      </c>
      <c r="B463" s="1"/>
      <c r="C463" s="1">
        <v>0.0</v>
      </c>
      <c r="D463" s="2"/>
      <c r="E463" s="2"/>
      <c r="F463" s="2"/>
      <c r="G463" s="2"/>
      <c r="H463" s="2"/>
    </row>
    <row r="464">
      <c r="A464" s="1" t="s">
        <v>330</v>
      </c>
      <c r="B464" s="1"/>
      <c r="C464" s="1">
        <v>0.0</v>
      </c>
      <c r="D464" s="2"/>
      <c r="E464" s="2"/>
      <c r="F464" s="2"/>
      <c r="G464" s="2"/>
      <c r="H464" s="2"/>
    </row>
    <row r="465">
      <c r="A465" s="1" t="s">
        <v>331</v>
      </c>
      <c r="B465" s="1"/>
      <c r="C465" s="1">
        <v>0.0</v>
      </c>
      <c r="D465" s="2"/>
      <c r="E465" s="2"/>
      <c r="F465" s="2"/>
      <c r="G465" s="2"/>
      <c r="H465" s="2"/>
    </row>
    <row r="466">
      <c r="A466" s="1" t="s">
        <v>332</v>
      </c>
      <c r="B466" s="1"/>
      <c r="C466" s="1">
        <v>0.0</v>
      </c>
      <c r="D466" s="2"/>
      <c r="E466" s="2"/>
      <c r="F466" s="2"/>
      <c r="G466" s="2"/>
      <c r="H466" s="2"/>
    </row>
    <row r="467">
      <c r="A467" s="1" t="s">
        <v>333</v>
      </c>
      <c r="B467" s="1"/>
      <c r="C467" s="1">
        <v>0.0</v>
      </c>
      <c r="D467" s="2"/>
      <c r="E467" s="2"/>
      <c r="F467" s="2"/>
      <c r="G467" s="2"/>
      <c r="H467" s="2"/>
    </row>
    <row r="468">
      <c r="A468" s="1" t="s">
        <v>334</v>
      </c>
      <c r="B468" s="1"/>
      <c r="C468" s="1">
        <v>0.0</v>
      </c>
      <c r="D468" s="2"/>
      <c r="E468" s="2"/>
      <c r="F468" s="2"/>
      <c r="G468" s="2"/>
      <c r="H468" s="2"/>
    </row>
    <row r="469">
      <c r="A469" s="1" t="s">
        <v>335</v>
      </c>
      <c r="B469" s="1"/>
      <c r="C469" s="1">
        <v>14.0</v>
      </c>
      <c r="D469" s="2"/>
      <c r="E469" s="2"/>
      <c r="F469" s="2"/>
      <c r="G469" s="2"/>
      <c r="H469" s="2"/>
    </row>
    <row r="470">
      <c r="A470" s="1" t="s">
        <v>336</v>
      </c>
      <c r="B470" s="1"/>
      <c r="C470" s="1">
        <v>14.0</v>
      </c>
      <c r="D470" s="2"/>
      <c r="E470" s="2"/>
      <c r="F470" s="2"/>
      <c r="G470" s="2"/>
      <c r="H470" s="2"/>
    </row>
    <row r="471">
      <c r="A471" s="1" t="s">
        <v>337</v>
      </c>
      <c r="B471" s="1"/>
      <c r="C471" s="1">
        <v>0.0</v>
      </c>
      <c r="D471" s="2"/>
      <c r="E471" s="2"/>
      <c r="F471" s="2"/>
      <c r="G471" s="2"/>
      <c r="H471" s="2"/>
    </row>
    <row r="472">
      <c r="A472" s="1" t="s">
        <v>338</v>
      </c>
      <c r="B472" s="1"/>
      <c r="C472" s="1">
        <v>55.0</v>
      </c>
      <c r="D472" s="2"/>
      <c r="E472" s="2"/>
      <c r="F472" s="2"/>
      <c r="G472" s="2"/>
      <c r="H472" s="2"/>
    </row>
    <row r="473">
      <c r="A473" s="1" t="s">
        <v>339</v>
      </c>
      <c r="B473" s="1"/>
      <c r="C473" s="1">
        <v>0.0</v>
      </c>
      <c r="D473" s="2"/>
      <c r="E473" s="2"/>
      <c r="F473" s="2"/>
      <c r="G473" s="2"/>
      <c r="H473" s="2"/>
    </row>
    <row r="474">
      <c r="A474" s="1" t="s">
        <v>340</v>
      </c>
      <c r="B474" s="1"/>
      <c r="C474" s="1">
        <v>14.0</v>
      </c>
      <c r="D474" s="2"/>
      <c r="E474" s="2"/>
      <c r="F474" s="2"/>
      <c r="G474" s="2"/>
      <c r="H474" s="2"/>
    </row>
    <row r="475">
      <c r="A475" s="1" t="s">
        <v>341</v>
      </c>
      <c r="B475" s="1"/>
      <c r="C475" s="1">
        <v>0.0</v>
      </c>
      <c r="D475" s="2"/>
      <c r="E475" s="2"/>
      <c r="F475" s="2"/>
      <c r="G475" s="2"/>
      <c r="H475" s="2"/>
    </row>
    <row r="476">
      <c r="A476" s="1" t="s">
        <v>342</v>
      </c>
      <c r="B476" s="1"/>
      <c r="C476" s="1">
        <v>0.0</v>
      </c>
      <c r="D476" s="2"/>
      <c r="E476" s="2"/>
      <c r="F476" s="2"/>
      <c r="G476" s="2"/>
      <c r="H476" s="2"/>
    </row>
    <row r="477">
      <c r="A477" s="1" t="s">
        <v>343</v>
      </c>
      <c r="B477" s="1"/>
      <c r="C477" s="1">
        <v>99.0</v>
      </c>
      <c r="D477" s="2"/>
      <c r="E477" s="2"/>
      <c r="F477" s="2"/>
      <c r="G477" s="2"/>
      <c r="H477" s="2"/>
    </row>
    <row r="478">
      <c r="A478" s="1" t="s">
        <v>344</v>
      </c>
      <c r="B478" s="1"/>
      <c r="C478" s="1">
        <v>74.0</v>
      </c>
      <c r="D478" s="2"/>
      <c r="E478" s="2"/>
      <c r="F478" s="2"/>
      <c r="G478" s="2"/>
      <c r="H478" s="2"/>
    </row>
    <row r="479">
      <c r="A479" s="1" t="s">
        <v>345</v>
      </c>
      <c r="B479" s="1"/>
      <c r="C479" s="1">
        <v>18.0</v>
      </c>
      <c r="D479" s="2"/>
      <c r="E479" s="2"/>
      <c r="F479" s="2"/>
      <c r="G479" s="2"/>
      <c r="H479" s="2"/>
    </row>
    <row r="480">
      <c r="A480" s="1" t="s">
        <v>346</v>
      </c>
      <c r="B480" s="1"/>
      <c r="C480" s="1">
        <v>0.0</v>
      </c>
      <c r="D480" s="2"/>
      <c r="E480" s="2"/>
      <c r="F480" s="2"/>
      <c r="G480" s="2"/>
      <c r="H480" s="2"/>
    </row>
    <row r="481">
      <c r="A481" s="1" t="s">
        <v>347</v>
      </c>
      <c r="B481" s="1"/>
      <c r="C481" s="1">
        <v>0.0</v>
      </c>
      <c r="D481" s="2"/>
      <c r="E481" s="2"/>
      <c r="F481" s="2"/>
      <c r="G481" s="2"/>
      <c r="H481" s="2"/>
    </row>
    <row r="482">
      <c r="A482" s="1" t="s">
        <v>348</v>
      </c>
      <c r="B482" s="1"/>
      <c r="C482" s="1">
        <v>70.0</v>
      </c>
      <c r="D482" s="2"/>
      <c r="E482" s="2"/>
      <c r="F482" s="2"/>
      <c r="G482" s="2"/>
      <c r="H482" s="2"/>
    </row>
    <row r="483">
      <c r="A483" s="1" t="s">
        <v>349</v>
      </c>
      <c r="B483" s="1"/>
      <c r="C483" s="1">
        <v>0.0</v>
      </c>
      <c r="D483" s="2"/>
      <c r="E483" s="2"/>
      <c r="F483" s="2"/>
      <c r="G483" s="2"/>
      <c r="H483" s="2"/>
    </row>
    <row r="484">
      <c r="A484" s="1" t="s">
        <v>350</v>
      </c>
      <c r="B484" s="1"/>
      <c r="C484" s="1">
        <v>0.0</v>
      </c>
      <c r="D484" s="2"/>
      <c r="E484" s="2"/>
      <c r="F484" s="2"/>
      <c r="G484" s="2"/>
      <c r="H484" s="2"/>
    </row>
    <row r="485">
      <c r="A485" s="1" t="s">
        <v>351</v>
      </c>
      <c r="B485" s="1"/>
      <c r="C485" s="1">
        <v>44.0</v>
      </c>
      <c r="D485" s="2"/>
      <c r="E485" s="2"/>
      <c r="F485" s="2"/>
      <c r="G485" s="2"/>
      <c r="H485" s="2"/>
    </row>
    <row r="486">
      <c r="A486" s="1" t="s">
        <v>352</v>
      </c>
      <c r="B486" s="1"/>
      <c r="C486" s="1">
        <v>50.0</v>
      </c>
      <c r="D486" s="2"/>
      <c r="E486" s="2"/>
      <c r="F486" s="2"/>
      <c r="G486" s="2"/>
      <c r="H486" s="2"/>
    </row>
    <row r="487">
      <c r="A487" s="1" t="s">
        <v>353</v>
      </c>
      <c r="B487" s="1"/>
      <c r="C487" s="1">
        <v>0.0</v>
      </c>
      <c r="D487" s="2"/>
      <c r="E487" s="2"/>
      <c r="F487" s="2"/>
      <c r="G487" s="2"/>
      <c r="H487" s="2"/>
    </row>
    <row r="488">
      <c r="A488" s="1" t="s">
        <v>354</v>
      </c>
      <c r="B488" s="1"/>
      <c r="C488" s="1">
        <v>72.0</v>
      </c>
      <c r="D488" s="2"/>
      <c r="E488" s="2"/>
      <c r="F488" s="2"/>
      <c r="G488" s="2"/>
      <c r="H488" s="2"/>
    </row>
    <row r="489">
      <c r="A489" s="1" t="s">
        <v>355</v>
      </c>
      <c r="B489" s="1"/>
      <c r="C489" s="1">
        <v>6.0</v>
      </c>
      <c r="D489" s="2"/>
      <c r="E489" s="2"/>
      <c r="F489" s="2"/>
      <c r="G489" s="2"/>
      <c r="H489" s="2"/>
    </row>
    <row r="490">
      <c r="A490" s="1" t="s">
        <v>356</v>
      </c>
      <c r="B490" s="1"/>
      <c r="C490" s="1">
        <v>0.0</v>
      </c>
      <c r="D490" s="2"/>
      <c r="E490" s="2"/>
      <c r="F490" s="2"/>
      <c r="G490" s="2"/>
      <c r="H490" s="2"/>
    </row>
    <row r="491">
      <c r="A491" s="1" t="s">
        <v>357</v>
      </c>
      <c r="B491" s="1"/>
      <c r="C491" s="1">
        <v>0.0</v>
      </c>
      <c r="D491" s="2"/>
      <c r="E491" s="2"/>
      <c r="F491" s="2"/>
      <c r="G491" s="2"/>
      <c r="H491" s="2"/>
    </row>
    <row r="492">
      <c r="A492" s="1" t="s">
        <v>358</v>
      </c>
      <c r="B492" s="1"/>
      <c r="C492" s="1">
        <v>71.0</v>
      </c>
      <c r="D492" s="2"/>
      <c r="E492" s="2"/>
      <c r="F492" s="2"/>
      <c r="G492" s="2"/>
      <c r="H492" s="2"/>
    </row>
    <row r="493">
      <c r="A493" s="1" t="s">
        <v>359</v>
      </c>
      <c r="B493" s="1"/>
      <c r="C493" s="1">
        <v>25.0</v>
      </c>
      <c r="D493" s="2"/>
      <c r="E493" s="2"/>
      <c r="F493" s="2"/>
      <c r="G493" s="2"/>
      <c r="H493" s="2"/>
    </row>
    <row r="494">
      <c r="A494" s="1" t="s">
        <v>290</v>
      </c>
      <c r="B494" s="1"/>
      <c r="C494" s="1">
        <v>75.0</v>
      </c>
      <c r="D494" s="2"/>
      <c r="E494" s="2"/>
      <c r="F494" s="2"/>
      <c r="G494" s="2"/>
      <c r="H494" s="2"/>
    </row>
    <row r="495">
      <c r="A495" s="1" t="s">
        <v>291</v>
      </c>
      <c r="B495" s="1"/>
      <c r="C495" s="1">
        <v>0.0</v>
      </c>
      <c r="D495" s="2"/>
      <c r="E495" s="2"/>
      <c r="F495" s="2"/>
      <c r="G495" s="2"/>
      <c r="H495" s="2"/>
    </row>
    <row r="496">
      <c r="A496" s="1" t="s">
        <v>292</v>
      </c>
      <c r="B496" s="1"/>
      <c r="C496" s="1">
        <v>0.0</v>
      </c>
      <c r="D496" s="2"/>
      <c r="E496" s="2"/>
      <c r="F496" s="2"/>
      <c r="G496" s="2"/>
      <c r="H496" s="2"/>
    </row>
    <row r="497">
      <c r="A497" s="1" t="s">
        <v>293</v>
      </c>
      <c r="B497" s="1"/>
      <c r="C497" s="1">
        <v>30.0</v>
      </c>
      <c r="D497" s="2"/>
      <c r="E497" s="2"/>
      <c r="F497" s="2"/>
      <c r="G497" s="2"/>
      <c r="H497" s="2"/>
    </row>
    <row r="498">
      <c r="A498" s="1" t="s">
        <v>294</v>
      </c>
      <c r="B498" s="1"/>
      <c r="C498" s="1">
        <v>39.0</v>
      </c>
      <c r="D498" s="2"/>
      <c r="E498" s="2"/>
      <c r="F498" s="2"/>
      <c r="G498" s="2"/>
      <c r="H498" s="2"/>
    </row>
    <row r="499">
      <c r="A499" s="1" t="s">
        <v>295</v>
      </c>
      <c r="B499" s="1"/>
      <c r="C499" s="1">
        <v>50.0</v>
      </c>
      <c r="D499" s="2"/>
      <c r="E499" s="2"/>
      <c r="F499" s="2"/>
      <c r="G499" s="2"/>
      <c r="H499" s="2"/>
    </row>
    <row r="500">
      <c r="A500" s="1" t="s">
        <v>296</v>
      </c>
      <c r="B500" s="1"/>
      <c r="C500" s="1">
        <v>0.0</v>
      </c>
      <c r="D500" s="2"/>
      <c r="E500" s="2"/>
      <c r="F500" s="2"/>
      <c r="G500" s="2"/>
      <c r="H500" s="2"/>
    </row>
    <row r="501">
      <c r="A501" s="1" t="s">
        <v>297</v>
      </c>
      <c r="B501" s="1"/>
      <c r="C501" s="1">
        <v>0.0</v>
      </c>
      <c r="D501" s="2"/>
      <c r="E501" s="2"/>
      <c r="F501" s="2"/>
      <c r="G501" s="2"/>
      <c r="H501" s="2"/>
    </row>
    <row r="502">
      <c r="A502" s="1" t="s">
        <v>298</v>
      </c>
      <c r="B502" s="1"/>
      <c r="C502" s="1">
        <v>62.0</v>
      </c>
      <c r="D502" s="2"/>
      <c r="E502" s="2"/>
      <c r="F502" s="2"/>
      <c r="G502" s="2"/>
      <c r="H502" s="2"/>
    </row>
    <row r="503">
      <c r="A503" s="1" t="s">
        <v>299</v>
      </c>
      <c r="B503" s="1"/>
      <c r="C503" s="1">
        <v>0.0</v>
      </c>
      <c r="D503" s="2"/>
      <c r="E503" s="2"/>
      <c r="F503" s="2"/>
      <c r="G503" s="2"/>
      <c r="H503" s="2"/>
    </row>
    <row r="504">
      <c r="A504" s="1" t="s">
        <v>300</v>
      </c>
      <c r="B504" s="1"/>
      <c r="C504" s="1">
        <v>50.0</v>
      </c>
      <c r="D504" s="2"/>
      <c r="E504" s="2"/>
      <c r="F504" s="2"/>
      <c r="G504" s="2"/>
      <c r="H504" s="2"/>
    </row>
    <row r="505">
      <c r="A505" s="1" t="s">
        <v>301</v>
      </c>
      <c r="B505" s="1"/>
      <c r="C505" s="1">
        <v>0.0</v>
      </c>
      <c r="D505" s="2"/>
      <c r="E505" s="2"/>
      <c r="F505" s="2"/>
      <c r="G505" s="2"/>
      <c r="H505" s="2"/>
    </row>
    <row r="506">
      <c r="A506" s="1" t="s">
        <v>302</v>
      </c>
      <c r="B506" s="1"/>
      <c r="C506" s="1">
        <v>0.0</v>
      </c>
      <c r="D506" s="2"/>
      <c r="E506" s="2"/>
      <c r="F506" s="2"/>
      <c r="G506" s="2"/>
      <c r="H506" s="2"/>
    </row>
    <row r="507">
      <c r="A507" s="1" t="s">
        <v>303</v>
      </c>
      <c r="B507" s="1"/>
      <c r="C507" s="1">
        <v>96.0</v>
      </c>
      <c r="D507" s="2"/>
      <c r="E507" s="2"/>
      <c r="F507" s="2"/>
      <c r="G507" s="2"/>
      <c r="H507" s="2"/>
    </row>
    <row r="508">
      <c r="A508" s="1" t="s">
        <v>304</v>
      </c>
      <c r="B508" s="1"/>
      <c r="C508" s="1">
        <v>57.0</v>
      </c>
      <c r="D508" s="2"/>
      <c r="E508" s="2"/>
      <c r="F508" s="2"/>
      <c r="G508" s="2"/>
      <c r="H508" s="2"/>
    </row>
    <row r="509">
      <c r="A509" s="1" t="s">
        <v>305</v>
      </c>
      <c r="B509" s="1"/>
      <c r="C509" s="1">
        <v>0.0</v>
      </c>
      <c r="D509" s="2"/>
      <c r="E509" s="2"/>
      <c r="F509" s="2"/>
      <c r="G509" s="2"/>
      <c r="H509" s="2"/>
    </row>
    <row r="510">
      <c r="A510" s="1" t="s">
        <v>306</v>
      </c>
      <c r="B510" s="1"/>
      <c r="C510" s="1">
        <v>34.0</v>
      </c>
      <c r="D510" s="2"/>
      <c r="E510" s="2"/>
      <c r="F510" s="2"/>
      <c r="G510" s="2"/>
      <c r="H510" s="2"/>
    </row>
    <row r="511">
      <c r="A511" s="1" t="s">
        <v>307</v>
      </c>
      <c r="B511" s="1"/>
      <c r="C511" s="1">
        <v>68.0</v>
      </c>
      <c r="D511" s="2"/>
      <c r="E511" s="2"/>
      <c r="F511" s="2"/>
      <c r="G511" s="2"/>
      <c r="H511" s="2"/>
    </row>
    <row r="512">
      <c r="A512" s="1" t="s">
        <v>308</v>
      </c>
      <c r="B512" s="1"/>
      <c r="C512" s="1">
        <v>78.0</v>
      </c>
      <c r="D512" s="2"/>
      <c r="E512" s="2"/>
      <c r="F512" s="2"/>
      <c r="G512" s="2"/>
      <c r="H512" s="2"/>
    </row>
    <row r="513">
      <c r="A513" s="1" t="s">
        <v>309</v>
      </c>
      <c r="B513" s="1"/>
      <c r="C513" s="2"/>
      <c r="D513" s="2"/>
      <c r="E513" s="2"/>
      <c r="F513" s="2"/>
      <c r="G513" s="2"/>
      <c r="H513" s="2"/>
    </row>
    <row r="514">
      <c r="A514" s="1" t="s">
        <v>310</v>
      </c>
      <c r="B514" s="1"/>
      <c r="C514" s="1">
        <v>12.0</v>
      </c>
      <c r="D514" s="2"/>
      <c r="E514" s="2"/>
      <c r="F514" s="2"/>
      <c r="G514" s="2"/>
      <c r="H514" s="2"/>
    </row>
    <row r="515">
      <c r="A515" s="1" t="s">
        <v>311</v>
      </c>
      <c r="B515" s="1"/>
      <c r="C515" s="2"/>
      <c r="D515" s="2"/>
      <c r="E515" s="2"/>
      <c r="F515" s="2"/>
      <c r="G515" s="2"/>
      <c r="H515" s="2"/>
    </row>
    <row r="516">
      <c r="A516" s="1" t="s">
        <v>312</v>
      </c>
      <c r="B516" s="1"/>
      <c r="C516" s="1">
        <v>0.0</v>
      </c>
      <c r="D516" s="2"/>
      <c r="E516" s="2"/>
      <c r="F516" s="2"/>
      <c r="G516" s="2"/>
      <c r="H516" s="2"/>
    </row>
    <row r="517">
      <c r="A517" s="1" t="s">
        <v>313</v>
      </c>
      <c r="B517" s="1"/>
      <c r="C517" s="1">
        <v>82.0</v>
      </c>
      <c r="D517" s="2"/>
      <c r="E517" s="2"/>
      <c r="F517" s="2"/>
      <c r="G517" s="2"/>
      <c r="H517" s="2"/>
    </row>
    <row r="518">
      <c r="A518" s="1" t="s">
        <v>314</v>
      </c>
      <c r="B518" s="1"/>
      <c r="C518" s="1">
        <v>0.0</v>
      </c>
      <c r="D518" s="2"/>
      <c r="E518" s="2"/>
      <c r="F518" s="2"/>
      <c r="G518" s="2"/>
      <c r="H518" s="2"/>
    </row>
    <row r="519">
      <c r="A519" s="1" t="s">
        <v>315</v>
      </c>
      <c r="B519" s="1"/>
      <c r="C519" s="1">
        <v>0.0</v>
      </c>
      <c r="D519" s="2"/>
      <c r="E519" s="2"/>
      <c r="F519" s="2"/>
      <c r="G519" s="2"/>
      <c r="H519" s="2"/>
    </row>
    <row r="520">
      <c r="A520" s="1" t="s">
        <v>316</v>
      </c>
      <c r="B520" s="1"/>
      <c r="C520" s="1">
        <v>0.0</v>
      </c>
      <c r="D520" s="2"/>
      <c r="E520" s="2"/>
      <c r="F520" s="2"/>
      <c r="G520" s="2"/>
      <c r="H520" s="2"/>
    </row>
    <row r="521">
      <c r="A521" s="1" t="s">
        <v>317</v>
      </c>
      <c r="B521" s="1"/>
      <c r="C521" s="1">
        <v>0.0</v>
      </c>
      <c r="D521" s="2"/>
      <c r="E521" s="2"/>
      <c r="F521" s="2"/>
      <c r="G521" s="2"/>
      <c r="H521" s="2"/>
    </row>
    <row r="522">
      <c r="A522" s="1" t="s">
        <v>318</v>
      </c>
      <c r="B522" s="1"/>
      <c r="C522" s="1">
        <v>8.0</v>
      </c>
      <c r="D522" s="2"/>
      <c r="E522" s="2"/>
      <c r="F522" s="2"/>
      <c r="G522" s="2"/>
      <c r="H522" s="2"/>
    </row>
    <row r="523">
      <c r="A523" s="1" t="s">
        <v>319</v>
      </c>
      <c r="B523" s="1"/>
      <c r="C523" s="1">
        <v>0.0</v>
      </c>
      <c r="D523" s="2"/>
      <c r="E523" s="2"/>
      <c r="F523" s="2"/>
      <c r="G523" s="2"/>
      <c r="H523" s="2"/>
    </row>
    <row r="524">
      <c r="A524" s="1" t="s">
        <v>320</v>
      </c>
      <c r="B524" s="1"/>
      <c r="C524" s="1">
        <v>0.0</v>
      </c>
      <c r="D524" s="2"/>
      <c r="E524" s="2"/>
      <c r="F524" s="2"/>
      <c r="G524" s="2"/>
      <c r="H524" s="2"/>
    </row>
    <row r="525">
      <c r="A525" s="1" t="s">
        <v>321</v>
      </c>
      <c r="B525" s="1"/>
      <c r="C525" s="1">
        <v>0.0</v>
      </c>
      <c r="D525" s="2"/>
      <c r="E525" s="2"/>
      <c r="F525" s="2"/>
      <c r="G525" s="2"/>
      <c r="H525" s="2"/>
    </row>
    <row r="526">
      <c r="A526" s="1" t="s">
        <v>322</v>
      </c>
      <c r="B526" s="1"/>
      <c r="C526" s="1">
        <v>14.0</v>
      </c>
      <c r="D526" s="2"/>
      <c r="E526" s="2"/>
      <c r="F526" s="2"/>
      <c r="G526" s="2"/>
      <c r="H526" s="2"/>
    </row>
    <row r="527">
      <c r="A527" s="1" t="s">
        <v>323</v>
      </c>
      <c r="B527" s="1"/>
      <c r="C527" s="1">
        <v>0.0</v>
      </c>
      <c r="D527" s="2"/>
      <c r="E527" s="2"/>
      <c r="F527" s="2"/>
      <c r="G527" s="2"/>
      <c r="H527" s="2"/>
    </row>
    <row r="528">
      <c r="A528" s="1" t="s">
        <v>324</v>
      </c>
      <c r="B528" s="1"/>
      <c r="C528" s="1">
        <v>86.0</v>
      </c>
      <c r="D528" s="2"/>
      <c r="E528" s="2"/>
      <c r="F528" s="2"/>
      <c r="G528" s="2"/>
      <c r="H528" s="2"/>
    </row>
    <row r="529">
      <c r="A529" s="1" t="s">
        <v>325</v>
      </c>
      <c r="B529" s="1"/>
      <c r="C529" s="1">
        <v>66.0</v>
      </c>
      <c r="D529" s="2"/>
      <c r="E529" s="2"/>
      <c r="F529" s="2"/>
      <c r="G529" s="2"/>
      <c r="H529" s="2"/>
    </row>
    <row r="530">
      <c r="A530" s="1" t="s">
        <v>326</v>
      </c>
      <c r="B530" s="1"/>
      <c r="C530" s="1">
        <v>0.0</v>
      </c>
      <c r="D530" s="2"/>
      <c r="E530" s="2"/>
      <c r="F530" s="2"/>
      <c r="G530" s="2"/>
      <c r="H530" s="2"/>
    </row>
    <row r="531">
      <c r="A531" s="1" t="s">
        <v>327</v>
      </c>
      <c r="B531" s="1"/>
      <c r="C531" s="1">
        <v>94.0</v>
      </c>
      <c r="D531" s="2"/>
      <c r="E531" s="2"/>
      <c r="F531" s="2"/>
      <c r="G531" s="2"/>
      <c r="H531" s="2"/>
    </row>
    <row r="532">
      <c r="A532" s="1" t="s">
        <v>328</v>
      </c>
      <c r="B532" s="1"/>
      <c r="C532" s="1">
        <v>36.0</v>
      </c>
      <c r="D532" s="2"/>
      <c r="E532" s="2"/>
      <c r="F532" s="2"/>
      <c r="G532" s="2"/>
      <c r="H532" s="2"/>
    </row>
    <row r="533">
      <c r="A533" s="1" t="s">
        <v>329</v>
      </c>
      <c r="B533" s="1"/>
      <c r="C533" s="1">
        <v>0.0</v>
      </c>
      <c r="D533" s="2"/>
      <c r="E533" s="2"/>
      <c r="F533" s="2"/>
      <c r="G533" s="2"/>
      <c r="H533" s="2"/>
    </row>
    <row r="534">
      <c r="A534" s="1" t="s">
        <v>330</v>
      </c>
      <c r="B534" s="1"/>
      <c r="C534" s="1">
        <v>0.0</v>
      </c>
      <c r="D534" s="2"/>
      <c r="E534" s="2"/>
      <c r="F534" s="2"/>
      <c r="G534" s="2"/>
      <c r="H534" s="2"/>
    </row>
    <row r="535">
      <c r="A535" s="1" t="s">
        <v>331</v>
      </c>
      <c r="B535" s="1"/>
      <c r="C535" s="1">
        <v>0.0</v>
      </c>
      <c r="D535" s="2"/>
      <c r="E535" s="2"/>
      <c r="F535" s="2"/>
      <c r="G535" s="2"/>
      <c r="H535" s="2"/>
    </row>
    <row r="536">
      <c r="A536" s="1" t="s">
        <v>332</v>
      </c>
      <c r="B536" s="1"/>
      <c r="C536" s="1">
        <v>0.0</v>
      </c>
      <c r="D536" s="2"/>
      <c r="E536" s="2"/>
      <c r="F536" s="2"/>
      <c r="G536" s="2"/>
      <c r="H536" s="2"/>
    </row>
    <row r="537">
      <c r="A537" s="1" t="s">
        <v>333</v>
      </c>
      <c r="B537" s="1"/>
      <c r="C537" s="1">
        <v>0.0</v>
      </c>
      <c r="D537" s="2"/>
      <c r="E537" s="2"/>
      <c r="F537" s="2"/>
      <c r="G537" s="2"/>
      <c r="H537" s="2"/>
    </row>
    <row r="538">
      <c r="A538" s="1" t="s">
        <v>334</v>
      </c>
      <c r="B538" s="1"/>
      <c r="C538" s="1">
        <v>0.0</v>
      </c>
      <c r="D538" s="2"/>
      <c r="E538" s="2"/>
      <c r="F538" s="2"/>
      <c r="G538" s="2"/>
      <c r="H538" s="2"/>
    </row>
    <row r="539">
      <c r="A539" s="1" t="s">
        <v>335</v>
      </c>
      <c r="B539" s="1"/>
      <c r="C539" s="1">
        <v>14.0</v>
      </c>
      <c r="D539" s="2"/>
      <c r="E539" s="2"/>
      <c r="F539" s="2"/>
      <c r="G539" s="2"/>
      <c r="H539" s="2"/>
    </row>
    <row r="540">
      <c r="A540" s="1" t="s">
        <v>336</v>
      </c>
      <c r="B540" s="1"/>
      <c r="C540" s="1">
        <v>14.0</v>
      </c>
      <c r="D540" s="2"/>
      <c r="E540" s="2"/>
      <c r="F540" s="2"/>
      <c r="G540" s="2"/>
      <c r="H540" s="2"/>
    </row>
    <row r="541">
      <c r="A541" s="1" t="s">
        <v>337</v>
      </c>
      <c r="B541" s="1"/>
      <c r="C541" s="1">
        <v>0.0</v>
      </c>
      <c r="D541" s="2"/>
      <c r="E541" s="2"/>
      <c r="F541" s="2"/>
      <c r="G541" s="2"/>
      <c r="H541" s="2"/>
    </row>
    <row r="542">
      <c r="A542" s="1" t="s">
        <v>338</v>
      </c>
      <c r="B542" s="1"/>
      <c r="C542" s="1">
        <v>55.0</v>
      </c>
      <c r="D542" s="2"/>
      <c r="E542" s="2"/>
      <c r="F542" s="2"/>
      <c r="G542" s="2"/>
      <c r="H542" s="2"/>
    </row>
    <row r="543">
      <c r="A543" s="1" t="s">
        <v>339</v>
      </c>
      <c r="B543" s="1"/>
      <c r="C543" s="1">
        <v>0.0</v>
      </c>
      <c r="D543" s="2"/>
      <c r="E543" s="2"/>
      <c r="F543" s="2"/>
      <c r="G543" s="2"/>
      <c r="H543" s="2"/>
    </row>
    <row r="544">
      <c r="A544" s="1" t="s">
        <v>340</v>
      </c>
      <c r="B544" s="1"/>
      <c r="C544" s="1">
        <v>14.0</v>
      </c>
      <c r="D544" s="2"/>
      <c r="E544" s="2"/>
      <c r="F544" s="2"/>
      <c r="G544" s="2"/>
      <c r="H544" s="2"/>
    </row>
    <row r="545">
      <c r="A545" s="1" t="s">
        <v>341</v>
      </c>
      <c r="B545" s="1"/>
      <c r="C545" s="1">
        <v>0.0</v>
      </c>
      <c r="D545" s="2"/>
      <c r="E545" s="2"/>
      <c r="F545" s="2"/>
      <c r="G545" s="2"/>
      <c r="H545" s="2"/>
    </row>
    <row r="546">
      <c r="A546" s="1" t="s">
        <v>342</v>
      </c>
      <c r="B546" s="1"/>
      <c r="C546" s="1">
        <v>0.0</v>
      </c>
      <c r="D546" s="2"/>
      <c r="E546" s="2"/>
      <c r="F546" s="2"/>
      <c r="G546" s="2"/>
      <c r="H546" s="2"/>
    </row>
    <row r="547">
      <c r="A547" s="1" t="s">
        <v>343</v>
      </c>
      <c r="B547" s="1"/>
      <c r="C547" s="1">
        <v>99.0</v>
      </c>
      <c r="D547" s="2"/>
      <c r="E547" s="2"/>
      <c r="F547" s="2"/>
      <c r="G547" s="2"/>
      <c r="H547" s="2"/>
    </row>
    <row r="548">
      <c r="A548" s="1" t="s">
        <v>344</v>
      </c>
      <c r="B548" s="1"/>
      <c r="C548" s="1">
        <v>74.0</v>
      </c>
      <c r="D548" s="2"/>
      <c r="E548" s="2"/>
      <c r="F548" s="2"/>
      <c r="G548" s="2"/>
      <c r="H548" s="2"/>
    </row>
    <row r="549">
      <c r="A549" s="1" t="s">
        <v>345</v>
      </c>
      <c r="B549" s="1"/>
      <c r="C549" s="1">
        <v>18.0</v>
      </c>
      <c r="D549" s="2"/>
      <c r="E549" s="2"/>
      <c r="F549" s="2"/>
      <c r="G549" s="2"/>
      <c r="H549" s="2"/>
    </row>
    <row r="550">
      <c r="A550" s="1" t="s">
        <v>346</v>
      </c>
      <c r="B550" s="1"/>
      <c r="C550" s="1">
        <v>0.0</v>
      </c>
      <c r="D550" s="2"/>
      <c r="E550" s="2"/>
      <c r="F550" s="2"/>
      <c r="G550" s="2"/>
      <c r="H550" s="2"/>
    </row>
    <row r="551">
      <c r="A551" s="1" t="s">
        <v>347</v>
      </c>
      <c r="B551" s="1"/>
      <c r="C551" s="1">
        <v>0.0</v>
      </c>
      <c r="D551" s="2"/>
      <c r="E551" s="2"/>
      <c r="F551" s="2"/>
      <c r="G551" s="2"/>
      <c r="H551" s="2"/>
    </row>
    <row r="552">
      <c r="A552" s="1" t="s">
        <v>348</v>
      </c>
      <c r="B552" s="1"/>
      <c r="C552" s="1">
        <v>70.0</v>
      </c>
      <c r="D552" s="2"/>
      <c r="E552" s="2"/>
      <c r="F552" s="2"/>
      <c r="G552" s="2"/>
      <c r="H552" s="2"/>
    </row>
    <row r="553">
      <c r="A553" s="1" t="s">
        <v>349</v>
      </c>
      <c r="B553" s="1"/>
      <c r="C553" s="1">
        <v>0.0</v>
      </c>
      <c r="D553" s="2"/>
      <c r="E553" s="2"/>
      <c r="F553" s="2"/>
      <c r="G553" s="2"/>
      <c r="H553" s="2"/>
    </row>
    <row r="554">
      <c r="A554" s="1" t="s">
        <v>350</v>
      </c>
      <c r="B554" s="1"/>
      <c r="C554" s="1">
        <v>0.0</v>
      </c>
      <c r="D554" s="2"/>
      <c r="E554" s="2"/>
      <c r="F554" s="2"/>
      <c r="G554" s="2"/>
      <c r="H554" s="2"/>
    </row>
    <row r="555">
      <c r="A555" s="1" t="s">
        <v>351</v>
      </c>
      <c r="B555" s="1"/>
      <c r="C555" s="1">
        <v>44.0</v>
      </c>
      <c r="D555" s="2"/>
      <c r="E555" s="2"/>
      <c r="F555" s="2"/>
      <c r="G555" s="2"/>
      <c r="H555" s="2"/>
    </row>
    <row r="556">
      <c r="A556" s="1" t="s">
        <v>352</v>
      </c>
      <c r="B556" s="1"/>
      <c r="C556" s="1">
        <v>50.0</v>
      </c>
      <c r="D556" s="2"/>
      <c r="E556" s="2"/>
      <c r="F556" s="2"/>
      <c r="G556" s="2"/>
      <c r="H556" s="2"/>
    </row>
    <row r="557">
      <c r="A557" s="1" t="s">
        <v>353</v>
      </c>
      <c r="B557" s="1"/>
      <c r="C557" s="1">
        <v>0.0</v>
      </c>
      <c r="D557" s="2"/>
      <c r="E557" s="2"/>
      <c r="F557" s="2"/>
      <c r="G557" s="2"/>
      <c r="H557" s="2"/>
    </row>
    <row r="558">
      <c r="A558" s="1" t="s">
        <v>354</v>
      </c>
      <c r="B558" s="1"/>
      <c r="C558" s="1">
        <v>72.0</v>
      </c>
      <c r="D558" s="2"/>
      <c r="E558" s="2"/>
      <c r="F558" s="2"/>
      <c r="G558" s="2"/>
      <c r="H558" s="2"/>
    </row>
    <row r="559">
      <c r="A559" s="1" t="s">
        <v>355</v>
      </c>
      <c r="B559" s="1"/>
      <c r="C559" s="1">
        <v>6.0</v>
      </c>
      <c r="D559" s="2"/>
      <c r="E559" s="2"/>
      <c r="F559" s="2"/>
      <c r="G559" s="2"/>
      <c r="H559" s="2"/>
    </row>
    <row r="560">
      <c r="A560" s="1" t="s">
        <v>356</v>
      </c>
      <c r="B560" s="1"/>
      <c r="C560" s="1">
        <v>0.0</v>
      </c>
      <c r="D560" s="2"/>
      <c r="E560" s="2"/>
      <c r="F560" s="2"/>
      <c r="G560" s="2"/>
      <c r="H560" s="2"/>
    </row>
    <row r="561">
      <c r="A561" s="1" t="s">
        <v>357</v>
      </c>
      <c r="B561" s="1"/>
      <c r="C561" s="1">
        <v>0.0</v>
      </c>
      <c r="D561" s="2"/>
      <c r="E561" s="2"/>
      <c r="F561" s="2"/>
      <c r="G561" s="2"/>
      <c r="H561" s="2"/>
    </row>
    <row r="562">
      <c r="A562" s="1" t="s">
        <v>358</v>
      </c>
      <c r="B562" s="1"/>
      <c r="C562" s="1">
        <v>71.0</v>
      </c>
      <c r="D562" s="2"/>
      <c r="E562" s="2"/>
      <c r="F562" s="2"/>
      <c r="G562" s="2"/>
      <c r="H562" s="2"/>
    </row>
    <row r="563">
      <c r="A563" s="1" t="s">
        <v>359</v>
      </c>
      <c r="B563" s="1"/>
      <c r="C563" s="1">
        <v>25.0</v>
      </c>
      <c r="D563" s="2"/>
      <c r="E563" s="2"/>
      <c r="F563" s="2"/>
      <c r="G563" s="2"/>
      <c r="H563" s="2"/>
    </row>
    <row r="564">
      <c r="A564" s="1" t="s">
        <v>360</v>
      </c>
      <c r="B564" s="1"/>
      <c r="C564" s="1">
        <v>5.0</v>
      </c>
      <c r="D564" s="2"/>
      <c r="E564" s="2"/>
      <c r="F564" s="2"/>
      <c r="G564" s="2"/>
      <c r="H564" s="2"/>
    </row>
    <row r="565">
      <c r="A565" s="1" t="s">
        <v>361</v>
      </c>
      <c r="B565" s="1"/>
      <c r="C565" s="1">
        <v>0.0</v>
      </c>
      <c r="D565" s="2"/>
      <c r="E565" s="2"/>
      <c r="F565" s="2"/>
      <c r="G565" s="2"/>
      <c r="H565" s="2"/>
    </row>
    <row r="566">
      <c r="A566" s="1" t="s">
        <v>362</v>
      </c>
      <c r="B566" s="1"/>
      <c r="C566" s="1">
        <v>0.0</v>
      </c>
      <c r="D566" s="2"/>
      <c r="E566" s="2"/>
      <c r="F566" s="2"/>
      <c r="G566" s="2"/>
      <c r="H566" s="2"/>
    </row>
    <row r="567">
      <c r="A567" s="1" t="s">
        <v>363</v>
      </c>
      <c r="B567" s="1"/>
      <c r="C567" s="1">
        <v>0.0</v>
      </c>
      <c r="D567" s="2"/>
      <c r="E567" s="2"/>
      <c r="F567" s="2"/>
      <c r="G567" s="2"/>
      <c r="H567" s="2"/>
    </row>
    <row r="568">
      <c r="A568" s="1" t="s">
        <v>364</v>
      </c>
      <c r="B568" s="1"/>
      <c r="C568" s="1">
        <v>92.0</v>
      </c>
      <c r="D568" s="2"/>
      <c r="E568" s="2"/>
      <c r="F568" s="2"/>
      <c r="G568" s="2"/>
      <c r="H568" s="2"/>
    </row>
    <row r="569">
      <c r="A569" s="1" t="s">
        <v>365</v>
      </c>
      <c r="B569" s="1"/>
      <c r="C569" s="1">
        <v>0.0</v>
      </c>
      <c r="D569" s="2"/>
      <c r="E569" s="2"/>
      <c r="F569" s="2"/>
      <c r="G569" s="2"/>
      <c r="H569" s="2"/>
    </row>
    <row r="570">
      <c r="A570" s="1" t="s">
        <v>366</v>
      </c>
      <c r="B570" s="1"/>
      <c r="C570" s="1">
        <v>0.0</v>
      </c>
      <c r="D570" s="2"/>
      <c r="E570" s="2"/>
      <c r="F570" s="2"/>
      <c r="G570" s="2"/>
      <c r="H570" s="2"/>
    </row>
    <row r="571">
      <c r="A571" s="1" t="s">
        <v>367</v>
      </c>
      <c r="B571" s="1"/>
      <c r="C571" s="1">
        <v>0.0</v>
      </c>
      <c r="D571" s="2"/>
      <c r="E571" s="2"/>
      <c r="F571" s="2"/>
      <c r="G571" s="2"/>
      <c r="H571" s="2"/>
    </row>
    <row r="572">
      <c r="A572" s="1" t="s">
        <v>368</v>
      </c>
      <c r="B572" s="1"/>
      <c r="C572" s="1">
        <v>80.0</v>
      </c>
      <c r="D572" s="2"/>
      <c r="E572" s="2"/>
      <c r="F572" s="2"/>
      <c r="G572" s="2"/>
      <c r="H572" s="2"/>
    </row>
    <row r="573">
      <c r="A573" s="1" t="s">
        <v>369</v>
      </c>
      <c r="B573" s="1"/>
      <c r="C573" s="1">
        <v>0.0</v>
      </c>
      <c r="D573" s="2"/>
      <c r="E573" s="2"/>
      <c r="F573" s="2"/>
      <c r="G573" s="2"/>
      <c r="H573" s="2"/>
    </row>
    <row r="574">
      <c r="A574" s="1" t="s">
        <v>370</v>
      </c>
      <c r="B574" s="1"/>
      <c r="C574" s="1">
        <v>0.0</v>
      </c>
      <c r="D574" s="2"/>
      <c r="E574" s="2"/>
      <c r="F574" s="2"/>
      <c r="G574" s="2"/>
      <c r="H574" s="2"/>
    </row>
    <row r="575">
      <c r="A575" s="1" t="s">
        <v>371</v>
      </c>
      <c r="B575" s="1"/>
      <c r="C575" s="1">
        <v>52.0</v>
      </c>
      <c r="D575" s="2"/>
      <c r="E575" s="2"/>
      <c r="F575" s="2"/>
      <c r="G575" s="2"/>
      <c r="H575" s="2"/>
    </row>
    <row r="576">
      <c r="A576" s="1" t="s">
        <v>372</v>
      </c>
      <c r="B576" s="1"/>
      <c r="C576" s="1">
        <v>0.0</v>
      </c>
      <c r="D576" s="2"/>
      <c r="E576" s="2"/>
      <c r="F576" s="2"/>
      <c r="G576" s="2"/>
      <c r="H576" s="2"/>
    </row>
    <row r="577">
      <c r="A577" s="1" t="s">
        <v>373</v>
      </c>
      <c r="B577" s="1"/>
      <c r="C577" s="1">
        <v>0.0</v>
      </c>
      <c r="D577" s="2"/>
      <c r="E577" s="2"/>
      <c r="F577" s="2"/>
      <c r="G577" s="2"/>
      <c r="H577" s="2"/>
    </row>
    <row r="578">
      <c r="A578" s="1" t="s">
        <v>374</v>
      </c>
      <c r="B578" s="1"/>
      <c r="C578" s="1">
        <v>6.0</v>
      </c>
      <c r="D578" s="2"/>
      <c r="E578" s="2"/>
      <c r="F578" s="2"/>
      <c r="G578" s="2"/>
      <c r="H578" s="2"/>
    </row>
    <row r="579">
      <c r="A579" s="1" t="s">
        <v>375</v>
      </c>
      <c r="B579" s="1"/>
      <c r="C579" s="1">
        <v>35.0</v>
      </c>
      <c r="D579" s="2"/>
      <c r="E579" s="2"/>
      <c r="F579" s="2"/>
      <c r="G579" s="2"/>
      <c r="H579" s="2"/>
    </row>
    <row r="580">
      <c r="A580" s="1" t="s">
        <v>376</v>
      </c>
      <c r="B580" s="1"/>
      <c r="C580" s="1">
        <v>40.0</v>
      </c>
      <c r="D580" s="2"/>
      <c r="E580" s="2"/>
      <c r="F580" s="2"/>
      <c r="G580" s="2"/>
      <c r="H580" s="2"/>
    </row>
    <row r="581">
      <c r="A581" s="1" t="s">
        <v>377</v>
      </c>
      <c r="B581" s="1"/>
      <c r="C581" s="1">
        <v>75.0</v>
      </c>
      <c r="D581" s="2"/>
      <c r="E581" s="2"/>
      <c r="F581" s="2"/>
      <c r="G581" s="2"/>
      <c r="H581" s="2"/>
    </row>
    <row r="582">
      <c r="A582" s="1" t="s">
        <v>378</v>
      </c>
      <c r="B582" s="1"/>
      <c r="C582" s="1">
        <v>62.0</v>
      </c>
      <c r="D582" s="2"/>
      <c r="E582" s="2"/>
      <c r="F582" s="2"/>
      <c r="G582" s="2"/>
      <c r="H582" s="2"/>
    </row>
    <row r="583">
      <c r="A583" s="1" t="s">
        <v>379</v>
      </c>
      <c r="B583" s="1"/>
      <c r="C583" s="1">
        <v>0.0</v>
      </c>
      <c r="D583" s="2"/>
      <c r="E583" s="2"/>
      <c r="F583" s="2"/>
      <c r="G583" s="2"/>
      <c r="H583" s="2"/>
    </row>
    <row r="584">
      <c r="A584" s="1" t="s">
        <v>380</v>
      </c>
      <c r="B584" s="1"/>
      <c r="C584" s="1">
        <v>0.0</v>
      </c>
      <c r="D584" s="2"/>
      <c r="E584" s="2"/>
      <c r="F584" s="2"/>
      <c r="G584" s="2"/>
      <c r="H584" s="2"/>
    </row>
    <row r="585">
      <c r="A585" s="1" t="s">
        <v>381</v>
      </c>
      <c r="B585" s="1"/>
      <c r="C585" s="1">
        <v>14.0</v>
      </c>
      <c r="D585" s="2"/>
      <c r="E585" s="2"/>
      <c r="F585" s="2"/>
      <c r="G585" s="2"/>
      <c r="H585" s="2"/>
    </row>
    <row r="586">
      <c r="A586" s="1" t="s">
        <v>382</v>
      </c>
      <c r="B586" s="1"/>
      <c r="C586" s="1">
        <v>0.0</v>
      </c>
      <c r="D586" s="2"/>
      <c r="E586" s="2"/>
      <c r="F586" s="2"/>
      <c r="G586" s="2"/>
      <c r="H586" s="2"/>
    </row>
    <row r="587">
      <c r="A587" s="1" t="s">
        <v>383</v>
      </c>
      <c r="B587" s="1"/>
      <c r="C587" s="1">
        <v>0.0</v>
      </c>
      <c r="D587" s="2"/>
      <c r="E587" s="2"/>
      <c r="F587" s="2"/>
      <c r="G587" s="2"/>
      <c r="H587" s="2"/>
    </row>
    <row r="588">
      <c r="A588" s="1" t="s">
        <v>384</v>
      </c>
      <c r="B588" s="1"/>
      <c r="C588" s="1">
        <v>0.0</v>
      </c>
      <c r="D588" s="2"/>
      <c r="E588" s="2"/>
      <c r="F588" s="2"/>
      <c r="G588" s="2"/>
      <c r="H588" s="2"/>
    </row>
    <row r="589">
      <c r="A589" s="1" t="s">
        <v>385</v>
      </c>
      <c r="B589" s="1"/>
      <c r="C589" s="1">
        <v>20.0</v>
      </c>
      <c r="D589" s="2"/>
      <c r="E589" s="2"/>
      <c r="F589" s="2"/>
      <c r="G589" s="2"/>
      <c r="H589" s="2"/>
    </row>
    <row r="590">
      <c r="A590" s="1" t="s">
        <v>386</v>
      </c>
      <c r="B590" s="1"/>
      <c r="C590" s="1">
        <v>0.0</v>
      </c>
      <c r="D590" s="2"/>
      <c r="E590" s="2"/>
      <c r="F590" s="2"/>
      <c r="G590" s="2"/>
      <c r="H590" s="2"/>
    </row>
    <row r="591">
      <c r="A591" s="1" t="s">
        <v>387</v>
      </c>
      <c r="B591" s="1"/>
      <c r="C591" s="1">
        <v>0.0</v>
      </c>
      <c r="D591" s="2"/>
      <c r="E591" s="2"/>
      <c r="F591" s="2"/>
      <c r="G591" s="2"/>
      <c r="H591" s="2"/>
    </row>
    <row r="592">
      <c r="A592" s="1" t="s">
        <v>388</v>
      </c>
      <c r="B592" s="1"/>
      <c r="C592" s="1" t="s">
        <v>389</v>
      </c>
      <c r="D592" s="1">
        <v>37.0</v>
      </c>
      <c r="E592" s="2"/>
      <c r="F592" s="2"/>
      <c r="G592" s="2"/>
      <c r="H592" s="2"/>
    </row>
    <row r="593">
      <c r="A593" s="1" t="s">
        <v>390</v>
      </c>
      <c r="B593" s="1"/>
      <c r="C593" s="1">
        <v>0.0</v>
      </c>
      <c r="D593" s="2"/>
      <c r="E593" s="2"/>
      <c r="F593" s="2"/>
      <c r="G593" s="2"/>
      <c r="H593" s="2"/>
    </row>
    <row r="594">
      <c r="A594" s="1" t="s">
        <v>391</v>
      </c>
      <c r="B594" s="1"/>
      <c r="C594" s="1">
        <v>40.0</v>
      </c>
      <c r="D594" s="2"/>
      <c r="E594" s="2"/>
      <c r="F594" s="2"/>
      <c r="G594" s="2"/>
      <c r="H594" s="2"/>
    </row>
    <row r="595">
      <c r="A595" s="1" t="s">
        <v>392</v>
      </c>
      <c r="B595" s="1"/>
      <c r="C595" s="1">
        <v>45.0</v>
      </c>
      <c r="D595" s="2"/>
      <c r="E595" s="2"/>
      <c r="F595" s="2"/>
      <c r="G595" s="2"/>
      <c r="H595" s="2"/>
    </row>
    <row r="596">
      <c r="A596" s="1" t="s">
        <v>393</v>
      </c>
      <c r="B596" s="1"/>
      <c r="C596" s="1">
        <v>0.0</v>
      </c>
      <c r="D596" s="2"/>
      <c r="E596" s="2"/>
      <c r="F596" s="2"/>
      <c r="G596" s="2"/>
      <c r="H596" s="2"/>
    </row>
    <row r="597">
      <c r="A597" s="1" t="s">
        <v>394</v>
      </c>
      <c r="B597" s="1"/>
      <c r="C597" s="1">
        <v>0.0</v>
      </c>
      <c r="D597" s="2"/>
      <c r="E597" s="2"/>
      <c r="F597" s="2"/>
      <c r="G597" s="2"/>
      <c r="H597" s="2"/>
    </row>
    <row r="598">
      <c r="A598" s="1" t="s">
        <v>395</v>
      </c>
      <c r="B598" s="1"/>
      <c r="C598" s="1">
        <v>0.0</v>
      </c>
      <c r="D598" s="2"/>
      <c r="E598" s="2"/>
      <c r="F598" s="2"/>
      <c r="G598" s="2"/>
      <c r="H598" s="2"/>
    </row>
    <row r="599">
      <c r="A599" s="1" t="s">
        <v>396</v>
      </c>
      <c r="B599" s="1"/>
      <c r="C599" s="1">
        <v>0.0</v>
      </c>
      <c r="D599" s="2"/>
      <c r="E599" s="2"/>
      <c r="F599" s="2"/>
      <c r="G599" s="2"/>
      <c r="H599" s="2"/>
    </row>
    <row r="600">
      <c r="A600" s="1" t="s">
        <v>397</v>
      </c>
      <c r="B600" s="1"/>
      <c r="C600" s="1">
        <v>40.0</v>
      </c>
      <c r="D600" s="2"/>
      <c r="E600" s="2"/>
      <c r="F600" s="2"/>
      <c r="G600" s="2"/>
      <c r="H600" s="2"/>
    </row>
    <row r="601">
      <c r="A601" s="1" t="s">
        <v>398</v>
      </c>
      <c r="B601" s="1"/>
      <c r="C601" s="1">
        <v>0.0</v>
      </c>
      <c r="D601" s="2"/>
      <c r="E601" s="2"/>
      <c r="F601" s="2"/>
      <c r="G601" s="2"/>
      <c r="H601" s="2"/>
    </row>
    <row r="602">
      <c r="A602" s="1" t="s">
        <v>399</v>
      </c>
      <c r="B602" s="1"/>
      <c r="C602" s="1" t="s">
        <v>400</v>
      </c>
      <c r="D602" s="1">
        <v>0.0</v>
      </c>
      <c r="E602" s="2"/>
      <c r="F602" s="2"/>
      <c r="G602" s="2"/>
      <c r="H602" s="2"/>
    </row>
    <row r="603">
      <c r="A603" s="1" t="s">
        <v>401</v>
      </c>
      <c r="B603" s="1"/>
      <c r="C603" s="1">
        <v>0.0</v>
      </c>
      <c r="D603" s="2"/>
      <c r="E603" s="2"/>
      <c r="F603" s="2"/>
      <c r="G603" s="2"/>
      <c r="H603" s="2"/>
    </row>
    <row r="604">
      <c r="A604" s="1" t="s">
        <v>402</v>
      </c>
      <c r="B604" s="1"/>
      <c r="C604" s="1">
        <v>50.0</v>
      </c>
      <c r="D604" s="2"/>
      <c r="E604" s="2"/>
      <c r="F604" s="2"/>
      <c r="G604" s="2"/>
      <c r="H604" s="2"/>
    </row>
    <row r="605">
      <c r="A605" s="1" t="s">
        <v>403</v>
      </c>
      <c r="B605" s="1"/>
      <c r="C605" s="1">
        <v>0.0</v>
      </c>
      <c r="D605" s="2"/>
      <c r="E605" s="2"/>
      <c r="F605" s="2"/>
      <c r="G605" s="2"/>
      <c r="H605" s="2"/>
    </row>
    <row r="606">
      <c r="A606" s="1" t="s">
        <v>404</v>
      </c>
      <c r="B606" s="1"/>
      <c r="C606" s="1">
        <v>0.0</v>
      </c>
      <c r="D606" s="2"/>
      <c r="E606" s="2"/>
      <c r="F606" s="2"/>
      <c r="G606" s="2"/>
      <c r="H606" s="2"/>
    </row>
    <row r="607">
      <c r="A607" s="1" t="s">
        <v>405</v>
      </c>
      <c r="B607" s="1"/>
      <c r="C607" s="1">
        <v>0.0</v>
      </c>
      <c r="D607" s="2"/>
      <c r="E607" s="2"/>
      <c r="F607" s="2"/>
      <c r="G607" s="2"/>
      <c r="H607" s="2"/>
    </row>
    <row r="608">
      <c r="A608" s="1" t="s">
        <v>406</v>
      </c>
      <c r="B608" s="1"/>
      <c r="C608" s="1">
        <v>0.0</v>
      </c>
      <c r="D608" s="2"/>
      <c r="E608" s="2"/>
      <c r="F608" s="2"/>
      <c r="G608" s="2"/>
      <c r="H608" s="2"/>
    </row>
    <row r="609">
      <c r="A609" s="1" t="s">
        <v>407</v>
      </c>
      <c r="B609" s="1"/>
      <c r="C609" s="1">
        <v>0.0</v>
      </c>
      <c r="D609" s="2"/>
      <c r="E609" s="2"/>
      <c r="F609" s="2"/>
      <c r="G609" s="2"/>
      <c r="H609" s="2"/>
    </row>
    <row r="610">
      <c r="A610" s="1" t="s">
        <v>408</v>
      </c>
      <c r="B610" s="1"/>
      <c r="C610" s="1">
        <v>0.0</v>
      </c>
      <c r="D610" s="2"/>
      <c r="E610" s="2"/>
      <c r="F610" s="2"/>
      <c r="G610" s="2"/>
      <c r="H610" s="2"/>
    </row>
    <row r="611">
      <c r="A611" s="1" t="s">
        <v>409</v>
      </c>
      <c r="B611" s="1"/>
      <c r="C611" s="1">
        <v>0.0</v>
      </c>
      <c r="D611" s="2"/>
      <c r="E611" s="2"/>
      <c r="F611" s="2"/>
      <c r="G611" s="2"/>
      <c r="H611" s="2"/>
    </row>
    <row r="612">
      <c r="A612" s="1" t="s">
        <v>410</v>
      </c>
      <c r="B612" s="1"/>
      <c r="C612" s="1">
        <v>70.0</v>
      </c>
      <c r="D612" s="2"/>
      <c r="E612" s="2"/>
      <c r="F612" s="2"/>
      <c r="G612" s="2"/>
      <c r="H612" s="2"/>
    </row>
    <row r="613">
      <c r="A613" s="1" t="s">
        <v>411</v>
      </c>
      <c r="B613" s="1"/>
      <c r="C613" s="1">
        <v>0.0</v>
      </c>
      <c r="D613" s="2"/>
      <c r="E613" s="2"/>
      <c r="F613" s="2"/>
      <c r="G613" s="2"/>
      <c r="H613" s="2"/>
    </row>
    <row r="614">
      <c r="A614" s="1" t="s">
        <v>412</v>
      </c>
      <c r="B614" s="1"/>
      <c r="C614" s="1">
        <v>58.0</v>
      </c>
      <c r="D614" s="2"/>
      <c r="E614" s="2"/>
      <c r="F614" s="2"/>
      <c r="G614" s="2"/>
      <c r="H614" s="2"/>
    </row>
    <row r="615">
      <c r="A615" s="1" t="s">
        <v>413</v>
      </c>
      <c r="B615" s="1"/>
      <c r="C615" s="1">
        <v>70.0</v>
      </c>
      <c r="D615" s="2"/>
      <c r="E615" s="2"/>
      <c r="F615" s="2"/>
      <c r="G615" s="2"/>
      <c r="H615" s="2"/>
    </row>
    <row r="616">
      <c r="A616" s="1" t="s">
        <v>414</v>
      </c>
      <c r="B616" s="1"/>
      <c r="C616" s="1">
        <v>0.0</v>
      </c>
      <c r="D616" s="2"/>
      <c r="E616" s="2"/>
      <c r="F616" s="2"/>
      <c r="G616" s="2"/>
      <c r="H616" s="2"/>
    </row>
    <row r="617">
      <c r="A617" s="1" t="s">
        <v>415</v>
      </c>
      <c r="B617" s="1"/>
      <c r="C617" s="1">
        <v>0.0</v>
      </c>
      <c r="D617" s="2"/>
      <c r="E617" s="2"/>
      <c r="F617" s="2"/>
      <c r="G617" s="2"/>
      <c r="H617" s="2"/>
    </row>
    <row r="618">
      <c r="A618" s="1" t="s">
        <v>416</v>
      </c>
      <c r="B618" s="1"/>
      <c r="C618" s="1">
        <v>21.0</v>
      </c>
      <c r="D618" s="2"/>
      <c r="E618" s="2"/>
      <c r="F618" s="2"/>
      <c r="G618" s="2"/>
      <c r="H618" s="2"/>
    </row>
    <row r="619">
      <c r="A619" s="1" t="s">
        <v>417</v>
      </c>
      <c r="B619" s="1"/>
      <c r="C619" s="1">
        <v>0.0</v>
      </c>
      <c r="D619" s="2"/>
      <c r="E619" s="2"/>
      <c r="F619" s="2"/>
      <c r="G619" s="2"/>
      <c r="H619" s="2"/>
    </row>
    <row r="620">
      <c r="A620" s="1" t="s">
        <v>418</v>
      </c>
      <c r="B620" s="1"/>
      <c r="C620" s="1">
        <v>0.0</v>
      </c>
      <c r="D620" s="2"/>
      <c r="E620" s="2"/>
      <c r="F620" s="2"/>
      <c r="G620" s="2"/>
      <c r="H620" s="2"/>
    </row>
    <row r="621">
      <c r="A621" s="1" t="s">
        <v>419</v>
      </c>
      <c r="B621" s="1"/>
      <c r="C621" s="1">
        <v>0.0</v>
      </c>
      <c r="D621" s="2"/>
      <c r="E621" s="2"/>
      <c r="F621" s="2"/>
      <c r="G621" s="2"/>
      <c r="H621" s="2"/>
    </row>
    <row r="622">
      <c r="A622" s="1" t="s">
        <v>420</v>
      </c>
      <c r="B622" s="1"/>
      <c r="C622" s="1">
        <v>0.0</v>
      </c>
      <c r="D622" s="2"/>
      <c r="E622" s="2"/>
      <c r="F622" s="2"/>
      <c r="G622" s="2"/>
      <c r="H622" s="2"/>
    </row>
    <row r="623">
      <c r="A623" s="1" t="s">
        <v>421</v>
      </c>
      <c r="B623" s="1"/>
      <c r="C623" s="1">
        <v>0.0</v>
      </c>
      <c r="D623" s="2"/>
      <c r="E623" s="2"/>
      <c r="F623" s="2"/>
      <c r="G623" s="2"/>
      <c r="H623" s="2"/>
    </row>
    <row r="624">
      <c r="A624" s="1" t="s">
        <v>422</v>
      </c>
      <c r="B624" s="1"/>
      <c r="C624" s="1">
        <v>0.0</v>
      </c>
      <c r="D624" s="2"/>
      <c r="E624" s="2"/>
      <c r="F624" s="2"/>
      <c r="G624" s="2"/>
      <c r="H624" s="2"/>
    </row>
    <row r="625">
      <c r="A625" s="1" t="s">
        <v>423</v>
      </c>
      <c r="B625" s="1"/>
      <c r="C625" s="1">
        <v>0.0</v>
      </c>
      <c r="D625" s="2"/>
      <c r="E625" s="2"/>
      <c r="F625" s="2"/>
      <c r="G625" s="2"/>
      <c r="H625" s="2"/>
    </row>
    <row r="626">
      <c r="A626" s="1" t="s">
        <v>424</v>
      </c>
      <c r="B626" s="1"/>
      <c r="C626" s="1">
        <v>0.0</v>
      </c>
      <c r="D626" s="2"/>
      <c r="E626" s="2"/>
      <c r="F626" s="2"/>
      <c r="G626" s="2"/>
      <c r="H626" s="2"/>
    </row>
    <row r="627">
      <c r="A627" s="1" t="s">
        <v>425</v>
      </c>
      <c r="B627" s="1"/>
      <c r="C627" s="1">
        <v>0.0</v>
      </c>
      <c r="D627" s="2"/>
      <c r="E627" s="2"/>
      <c r="F627" s="2"/>
      <c r="G627" s="2"/>
      <c r="H627" s="2"/>
    </row>
    <row r="628">
      <c r="A628" s="1" t="s">
        <v>426</v>
      </c>
      <c r="B628" s="1"/>
      <c r="C628" s="1">
        <v>0.0</v>
      </c>
      <c r="D628" s="2"/>
      <c r="E628" s="2"/>
      <c r="F628" s="2"/>
      <c r="G628" s="2"/>
      <c r="H628" s="2"/>
    </row>
    <row r="629">
      <c r="A629" s="1" t="s">
        <v>427</v>
      </c>
      <c r="B629" s="1"/>
      <c r="C629" s="1">
        <v>0.0</v>
      </c>
      <c r="D629" s="2"/>
      <c r="E629" s="2"/>
      <c r="F629" s="2"/>
      <c r="G629" s="2"/>
      <c r="H629" s="2"/>
    </row>
    <row r="630">
      <c r="A630" s="1" t="s">
        <v>428</v>
      </c>
      <c r="B630" s="1"/>
      <c r="C630" s="1">
        <v>0.0</v>
      </c>
      <c r="D630" s="2"/>
      <c r="E630" s="2"/>
      <c r="F630" s="2"/>
      <c r="G630" s="2"/>
      <c r="H630" s="2"/>
    </row>
    <row r="631">
      <c r="A631" s="1" t="s">
        <v>429</v>
      </c>
      <c r="B631" s="1"/>
      <c r="C631" s="1">
        <v>50.0</v>
      </c>
      <c r="D631" s="2"/>
      <c r="E631" s="2"/>
      <c r="F631" s="2"/>
      <c r="G631" s="2"/>
      <c r="H631" s="2"/>
    </row>
    <row r="632">
      <c r="A632" s="1" t="s">
        <v>430</v>
      </c>
      <c r="B632" s="1"/>
      <c r="C632" s="1">
        <v>0.0</v>
      </c>
      <c r="D632" s="2"/>
      <c r="E632" s="2"/>
      <c r="F632" s="2"/>
      <c r="G632" s="2"/>
      <c r="H632" s="2"/>
    </row>
    <row r="633">
      <c r="A633" s="1" t="s">
        <v>360</v>
      </c>
      <c r="B633" s="1"/>
      <c r="C633" s="1">
        <v>5.0</v>
      </c>
      <c r="D633" s="2"/>
      <c r="E633" s="2"/>
      <c r="F633" s="2"/>
      <c r="G633" s="2"/>
      <c r="H633" s="2"/>
    </row>
    <row r="634">
      <c r="A634" s="1" t="s">
        <v>361</v>
      </c>
      <c r="B634" s="1"/>
      <c r="C634" s="1">
        <v>0.0</v>
      </c>
      <c r="D634" s="2"/>
      <c r="E634" s="2"/>
      <c r="F634" s="2"/>
      <c r="G634" s="2"/>
      <c r="H634" s="2"/>
    </row>
    <row r="635">
      <c r="A635" s="1" t="s">
        <v>362</v>
      </c>
      <c r="B635" s="1"/>
      <c r="C635" s="1">
        <v>0.0</v>
      </c>
      <c r="D635" s="2"/>
      <c r="E635" s="2"/>
      <c r="F635" s="2"/>
      <c r="G635" s="2"/>
      <c r="H635" s="2"/>
    </row>
    <row r="636">
      <c r="A636" s="1" t="s">
        <v>363</v>
      </c>
      <c r="B636" s="1"/>
      <c r="C636" s="1">
        <v>0.0</v>
      </c>
      <c r="D636" s="2"/>
      <c r="E636" s="2"/>
      <c r="F636" s="2"/>
      <c r="G636" s="2"/>
      <c r="H636" s="2"/>
    </row>
    <row r="637">
      <c r="A637" s="1" t="s">
        <v>364</v>
      </c>
      <c r="B637" s="1"/>
      <c r="C637" s="1">
        <v>92.0</v>
      </c>
      <c r="D637" s="2"/>
      <c r="E637" s="2"/>
      <c r="F637" s="2"/>
      <c r="G637" s="2"/>
      <c r="H637" s="2"/>
    </row>
    <row r="638">
      <c r="A638" s="1" t="s">
        <v>365</v>
      </c>
      <c r="B638" s="1"/>
      <c r="C638" s="1">
        <v>0.0</v>
      </c>
      <c r="D638" s="2"/>
      <c r="E638" s="2"/>
      <c r="F638" s="2"/>
      <c r="G638" s="2"/>
      <c r="H638" s="2"/>
    </row>
    <row r="639">
      <c r="A639" s="1" t="s">
        <v>366</v>
      </c>
      <c r="B639" s="1"/>
      <c r="C639" s="1">
        <v>0.0</v>
      </c>
      <c r="D639" s="2"/>
      <c r="E639" s="2"/>
      <c r="F639" s="2"/>
      <c r="G639" s="2"/>
      <c r="H639" s="2"/>
    </row>
    <row r="640">
      <c r="A640" s="1" t="s">
        <v>367</v>
      </c>
      <c r="B640" s="1"/>
      <c r="C640" s="1">
        <v>0.0</v>
      </c>
      <c r="D640" s="2"/>
      <c r="E640" s="2"/>
      <c r="F640" s="2"/>
      <c r="G640" s="2"/>
      <c r="H640" s="2"/>
    </row>
    <row r="641">
      <c r="A641" s="1" t="s">
        <v>368</v>
      </c>
      <c r="B641" s="1"/>
      <c r="C641" s="1">
        <v>80.0</v>
      </c>
      <c r="D641" s="2"/>
      <c r="E641" s="2"/>
      <c r="F641" s="2"/>
      <c r="G641" s="2"/>
      <c r="H641" s="2"/>
    </row>
    <row r="642">
      <c r="A642" s="1" t="s">
        <v>369</v>
      </c>
      <c r="B642" s="1"/>
      <c r="C642" s="1">
        <v>0.0</v>
      </c>
      <c r="D642" s="2"/>
      <c r="E642" s="2"/>
      <c r="F642" s="2"/>
      <c r="G642" s="2"/>
      <c r="H642" s="2"/>
    </row>
    <row r="643">
      <c r="A643" s="1" t="s">
        <v>370</v>
      </c>
      <c r="B643" s="1"/>
      <c r="C643" s="1">
        <v>0.0</v>
      </c>
      <c r="D643" s="2"/>
      <c r="E643" s="2"/>
      <c r="F643" s="2"/>
      <c r="G643" s="2"/>
      <c r="H643" s="2"/>
    </row>
    <row r="644">
      <c r="A644" s="1" t="s">
        <v>371</v>
      </c>
      <c r="B644" s="1"/>
      <c r="C644" s="1">
        <v>52.0</v>
      </c>
      <c r="D644" s="2"/>
      <c r="E644" s="2"/>
      <c r="F644" s="2"/>
      <c r="G644" s="2"/>
      <c r="H644" s="2"/>
    </row>
    <row r="645">
      <c r="A645" s="1" t="s">
        <v>372</v>
      </c>
      <c r="B645" s="1"/>
      <c r="C645" s="1">
        <v>0.0</v>
      </c>
      <c r="D645" s="2"/>
      <c r="E645" s="2"/>
      <c r="F645" s="2"/>
      <c r="G645" s="2"/>
      <c r="H645" s="2"/>
    </row>
    <row r="646">
      <c r="A646" s="1" t="s">
        <v>373</v>
      </c>
      <c r="B646" s="1"/>
      <c r="C646" s="1">
        <v>0.0</v>
      </c>
      <c r="D646" s="2"/>
      <c r="E646" s="2"/>
      <c r="F646" s="2"/>
      <c r="G646" s="2"/>
      <c r="H646" s="2"/>
    </row>
    <row r="647">
      <c r="A647" s="1" t="s">
        <v>374</v>
      </c>
      <c r="B647" s="1"/>
      <c r="C647" s="1">
        <v>6.0</v>
      </c>
      <c r="D647" s="2"/>
      <c r="E647" s="2"/>
      <c r="F647" s="2"/>
      <c r="G647" s="2"/>
      <c r="H647" s="2"/>
    </row>
    <row r="648">
      <c r="A648" s="1" t="s">
        <v>375</v>
      </c>
      <c r="B648" s="1"/>
      <c r="C648" s="1">
        <v>35.0</v>
      </c>
      <c r="D648" s="2"/>
      <c r="E648" s="2"/>
      <c r="F648" s="2"/>
      <c r="G648" s="2"/>
      <c r="H648" s="2"/>
    </row>
    <row r="649">
      <c r="A649" s="1" t="s">
        <v>376</v>
      </c>
      <c r="B649" s="1"/>
      <c r="C649" s="1">
        <v>40.0</v>
      </c>
      <c r="D649" s="2"/>
      <c r="E649" s="2"/>
      <c r="F649" s="2"/>
      <c r="G649" s="2"/>
      <c r="H649" s="2"/>
    </row>
    <row r="650">
      <c r="A650" s="1" t="s">
        <v>377</v>
      </c>
      <c r="B650" s="1"/>
      <c r="C650" s="1">
        <v>75.0</v>
      </c>
      <c r="D650" s="2"/>
      <c r="E650" s="2"/>
      <c r="F650" s="2"/>
      <c r="G650" s="2"/>
      <c r="H650" s="2"/>
    </row>
    <row r="651">
      <c r="A651" s="1" t="s">
        <v>378</v>
      </c>
      <c r="B651" s="1"/>
      <c r="C651" s="1">
        <v>62.0</v>
      </c>
      <c r="D651" s="2"/>
      <c r="E651" s="2"/>
      <c r="F651" s="2"/>
      <c r="G651" s="2"/>
      <c r="H651" s="2"/>
    </row>
    <row r="652">
      <c r="A652" s="1" t="s">
        <v>379</v>
      </c>
      <c r="B652" s="1"/>
      <c r="C652" s="1">
        <v>0.0</v>
      </c>
      <c r="D652" s="2"/>
      <c r="E652" s="2"/>
      <c r="F652" s="2"/>
      <c r="G652" s="2"/>
      <c r="H652" s="2"/>
    </row>
    <row r="653">
      <c r="A653" s="1" t="s">
        <v>380</v>
      </c>
      <c r="B653" s="1"/>
      <c r="C653" s="1">
        <v>0.0</v>
      </c>
      <c r="D653" s="2"/>
      <c r="E653" s="2"/>
      <c r="F653" s="2"/>
      <c r="G653" s="2"/>
      <c r="H653" s="2"/>
    </row>
    <row r="654">
      <c r="A654" s="1" t="s">
        <v>381</v>
      </c>
      <c r="B654" s="1"/>
      <c r="C654" s="1">
        <v>14.0</v>
      </c>
      <c r="D654" s="2"/>
      <c r="E654" s="2"/>
      <c r="F654" s="2"/>
      <c r="G654" s="2"/>
      <c r="H654" s="2"/>
    </row>
    <row r="655">
      <c r="A655" s="1" t="s">
        <v>382</v>
      </c>
      <c r="B655" s="1"/>
      <c r="C655" s="1">
        <v>0.0</v>
      </c>
      <c r="D655" s="2"/>
      <c r="E655" s="2"/>
      <c r="F655" s="2"/>
      <c r="G655" s="2"/>
      <c r="H655" s="2"/>
    </row>
    <row r="656">
      <c r="A656" s="1" t="s">
        <v>383</v>
      </c>
      <c r="B656" s="1"/>
      <c r="C656" s="1">
        <v>0.0</v>
      </c>
      <c r="D656" s="2"/>
      <c r="E656" s="2"/>
      <c r="F656" s="2"/>
      <c r="G656" s="2"/>
      <c r="H656" s="2"/>
    </row>
    <row r="657">
      <c r="A657" s="1" t="s">
        <v>384</v>
      </c>
      <c r="B657" s="1"/>
      <c r="C657" s="1">
        <v>0.0</v>
      </c>
      <c r="D657" s="2"/>
      <c r="E657" s="2"/>
      <c r="F657" s="2"/>
      <c r="G657" s="2"/>
      <c r="H657" s="2"/>
    </row>
    <row r="658">
      <c r="A658" s="1" t="s">
        <v>385</v>
      </c>
      <c r="B658" s="1"/>
      <c r="C658" s="1">
        <v>20.0</v>
      </c>
      <c r="D658" s="2"/>
      <c r="E658" s="2"/>
      <c r="F658" s="2"/>
      <c r="G658" s="2"/>
      <c r="H658" s="2"/>
    </row>
    <row r="659">
      <c r="A659" s="1" t="s">
        <v>386</v>
      </c>
      <c r="B659" s="1"/>
      <c r="C659" s="1">
        <v>0.0</v>
      </c>
      <c r="D659" s="2"/>
      <c r="E659" s="2"/>
      <c r="F659" s="2"/>
      <c r="G659" s="2"/>
      <c r="H659" s="2"/>
    </row>
    <row r="660">
      <c r="A660" s="1" t="s">
        <v>387</v>
      </c>
      <c r="B660" s="1"/>
      <c r="C660" s="1">
        <v>0.0</v>
      </c>
      <c r="D660" s="2"/>
      <c r="E660" s="2"/>
      <c r="F660" s="2"/>
      <c r="G660" s="2"/>
      <c r="H660" s="2"/>
    </row>
    <row r="661">
      <c r="A661" s="1" t="s">
        <v>388</v>
      </c>
      <c r="B661" s="1"/>
      <c r="C661" s="1" t="s">
        <v>389</v>
      </c>
      <c r="D661" s="1">
        <v>37.0</v>
      </c>
      <c r="E661" s="2"/>
      <c r="F661" s="2"/>
      <c r="G661" s="2"/>
      <c r="H661" s="2"/>
    </row>
    <row r="662">
      <c r="A662" s="1" t="s">
        <v>390</v>
      </c>
      <c r="B662" s="1"/>
      <c r="C662" s="1">
        <v>0.0</v>
      </c>
      <c r="D662" s="2"/>
      <c r="E662" s="2"/>
      <c r="F662" s="2"/>
      <c r="G662" s="2"/>
      <c r="H662" s="2"/>
    </row>
    <row r="663">
      <c r="A663" s="1" t="s">
        <v>391</v>
      </c>
      <c r="B663" s="1"/>
      <c r="C663" s="1">
        <v>40.0</v>
      </c>
      <c r="D663" s="2"/>
      <c r="E663" s="2"/>
      <c r="F663" s="2"/>
      <c r="G663" s="2"/>
      <c r="H663" s="2"/>
    </row>
    <row r="664">
      <c r="A664" s="1" t="s">
        <v>392</v>
      </c>
      <c r="B664" s="1"/>
      <c r="C664" s="1">
        <v>45.0</v>
      </c>
      <c r="D664" s="2"/>
      <c r="E664" s="2"/>
      <c r="F664" s="2"/>
      <c r="G664" s="2"/>
      <c r="H664" s="2"/>
    </row>
    <row r="665">
      <c r="A665" s="1" t="s">
        <v>393</v>
      </c>
      <c r="B665" s="1"/>
      <c r="C665" s="1">
        <v>0.0</v>
      </c>
      <c r="D665" s="2"/>
      <c r="E665" s="2"/>
      <c r="F665" s="2"/>
      <c r="G665" s="2"/>
      <c r="H665" s="2"/>
    </row>
    <row r="666">
      <c r="A666" s="1" t="s">
        <v>394</v>
      </c>
      <c r="B666" s="1"/>
      <c r="C666" s="1">
        <v>0.0</v>
      </c>
      <c r="D666" s="2"/>
      <c r="E666" s="2"/>
      <c r="F666" s="2"/>
      <c r="G666" s="2"/>
      <c r="H666" s="2"/>
    </row>
    <row r="667">
      <c r="A667" s="1" t="s">
        <v>395</v>
      </c>
      <c r="B667" s="1"/>
      <c r="C667" s="1">
        <v>0.0</v>
      </c>
      <c r="D667" s="2"/>
      <c r="E667" s="2"/>
      <c r="F667" s="2"/>
      <c r="G667" s="2"/>
      <c r="H667" s="2"/>
    </row>
    <row r="668">
      <c r="A668" s="1" t="s">
        <v>396</v>
      </c>
      <c r="B668" s="1"/>
      <c r="C668" s="1">
        <v>0.0</v>
      </c>
      <c r="D668" s="2"/>
      <c r="E668" s="2"/>
      <c r="F668" s="2"/>
      <c r="G668" s="2"/>
      <c r="H668" s="2"/>
    </row>
    <row r="669">
      <c r="A669" s="1" t="s">
        <v>397</v>
      </c>
      <c r="B669" s="1"/>
      <c r="C669" s="1">
        <v>40.0</v>
      </c>
      <c r="D669" s="2"/>
      <c r="E669" s="2"/>
      <c r="F669" s="2"/>
      <c r="G669" s="2"/>
      <c r="H669" s="2"/>
    </row>
    <row r="670">
      <c r="A670" s="1" t="s">
        <v>398</v>
      </c>
      <c r="B670" s="1"/>
      <c r="C670" s="1">
        <v>0.0</v>
      </c>
      <c r="D670" s="2"/>
      <c r="E670" s="2"/>
      <c r="F670" s="2"/>
      <c r="G670" s="2"/>
      <c r="H670" s="2"/>
    </row>
    <row r="671">
      <c r="A671" s="1" t="s">
        <v>399</v>
      </c>
      <c r="B671" s="1"/>
      <c r="C671" s="1" t="s">
        <v>400</v>
      </c>
      <c r="D671" s="1">
        <v>0.0</v>
      </c>
      <c r="E671" s="2"/>
      <c r="F671" s="2"/>
      <c r="G671" s="2"/>
      <c r="H671" s="2"/>
    </row>
    <row r="672">
      <c r="A672" s="1" t="s">
        <v>401</v>
      </c>
      <c r="B672" s="1"/>
      <c r="C672" s="1">
        <v>0.0</v>
      </c>
      <c r="D672" s="2"/>
      <c r="E672" s="2"/>
      <c r="F672" s="2"/>
      <c r="G672" s="2"/>
      <c r="H672" s="2"/>
    </row>
    <row r="673">
      <c r="A673" s="1" t="s">
        <v>402</v>
      </c>
      <c r="B673" s="1"/>
      <c r="C673" s="1">
        <v>50.0</v>
      </c>
      <c r="D673" s="2"/>
      <c r="E673" s="2"/>
      <c r="F673" s="2"/>
      <c r="G673" s="2"/>
      <c r="H673" s="2"/>
    </row>
    <row r="674">
      <c r="A674" s="1" t="s">
        <v>403</v>
      </c>
      <c r="B674" s="1"/>
      <c r="C674" s="1">
        <v>0.0</v>
      </c>
      <c r="D674" s="2"/>
      <c r="E674" s="2"/>
      <c r="F674" s="2"/>
      <c r="G674" s="2"/>
      <c r="H674" s="2"/>
    </row>
    <row r="675">
      <c r="A675" s="1" t="s">
        <v>404</v>
      </c>
      <c r="B675" s="1"/>
      <c r="C675" s="1">
        <v>0.0</v>
      </c>
      <c r="D675" s="2"/>
      <c r="E675" s="2"/>
      <c r="F675" s="2"/>
      <c r="G675" s="2"/>
      <c r="H675" s="2"/>
    </row>
    <row r="676">
      <c r="A676" s="1" t="s">
        <v>405</v>
      </c>
      <c r="B676" s="1"/>
      <c r="C676" s="1">
        <v>0.0</v>
      </c>
      <c r="D676" s="2"/>
      <c r="E676" s="2"/>
      <c r="F676" s="2"/>
      <c r="G676" s="2"/>
      <c r="H676" s="2"/>
    </row>
    <row r="677">
      <c r="A677" s="1" t="s">
        <v>406</v>
      </c>
      <c r="B677" s="1"/>
      <c r="C677" s="1">
        <v>0.0</v>
      </c>
      <c r="D677" s="2"/>
      <c r="E677" s="2"/>
      <c r="F677" s="2"/>
      <c r="G677" s="2"/>
      <c r="H677" s="2"/>
    </row>
    <row r="678">
      <c r="A678" s="1" t="s">
        <v>407</v>
      </c>
      <c r="B678" s="1"/>
      <c r="C678" s="1">
        <v>0.0</v>
      </c>
      <c r="D678" s="2"/>
      <c r="E678" s="2"/>
      <c r="F678" s="2"/>
      <c r="G678" s="2"/>
      <c r="H678" s="2"/>
    </row>
    <row r="679">
      <c r="A679" s="1" t="s">
        <v>408</v>
      </c>
      <c r="B679" s="1"/>
      <c r="C679" s="1">
        <v>0.0</v>
      </c>
      <c r="D679" s="2"/>
      <c r="E679" s="2"/>
      <c r="F679" s="2"/>
      <c r="G679" s="2"/>
      <c r="H679" s="2"/>
    </row>
    <row r="680">
      <c r="A680" s="1" t="s">
        <v>409</v>
      </c>
      <c r="B680" s="1"/>
      <c r="C680" s="1">
        <v>0.0</v>
      </c>
      <c r="D680" s="2"/>
      <c r="E680" s="2"/>
      <c r="F680" s="2"/>
      <c r="G680" s="2"/>
      <c r="H680" s="2"/>
    </row>
    <row r="681">
      <c r="A681" s="1" t="s">
        <v>410</v>
      </c>
      <c r="B681" s="1"/>
      <c r="C681" s="1">
        <v>70.0</v>
      </c>
      <c r="D681" s="2"/>
      <c r="E681" s="2"/>
      <c r="F681" s="2"/>
      <c r="G681" s="2"/>
      <c r="H681" s="2"/>
    </row>
    <row r="682">
      <c r="A682" s="1" t="s">
        <v>411</v>
      </c>
      <c r="B682" s="1"/>
      <c r="C682" s="1">
        <v>0.0</v>
      </c>
      <c r="D682" s="2"/>
      <c r="E682" s="2"/>
      <c r="F682" s="2"/>
      <c r="G682" s="2"/>
      <c r="H682" s="2"/>
    </row>
    <row r="683">
      <c r="A683" s="1" t="s">
        <v>412</v>
      </c>
      <c r="B683" s="1"/>
      <c r="C683" s="1">
        <v>58.0</v>
      </c>
      <c r="D683" s="2"/>
      <c r="E683" s="2"/>
      <c r="F683" s="2"/>
      <c r="G683" s="2"/>
      <c r="H683" s="2"/>
    </row>
    <row r="684">
      <c r="A684" s="1" t="s">
        <v>413</v>
      </c>
      <c r="B684" s="1"/>
      <c r="C684" s="1">
        <v>70.0</v>
      </c>
      <c r="D684" s="2"/>
      <c r="E684" s="2"/>
      <c r="F684" s="2"/>
      <c r="G684" s="2"/>
      <c r="H684" s="2"/>
    </row>
    <row r="685">
      <c r="A685" s="1" t="s">
        <v>414</v>
      </c>
      <c r="B685" s="1"/>
      <c r="C685" s="1">
        <v>0.0</v>
      </c>
      <c r="D685" s="2"/>
      <c r="E685" s="2"/>
      <c r="F685" s="2"/>
      <c r="G685" s="2"/>
      <c r="H685" s="2"/>
    </row>
    <row r="686">
      <c r="A686" s="1" t="s">
        <v>415</v>
      </c>
      <c r="B686" s="1"/>
      <c r="C686" s="1">
        <v>0.0</v>
      </c>
      <c r="D686" s="2"/>
      <c r="E686" s="2"/>
      <c r="F686" s="2"/>
      <c r="G686" s="2"/>
      <c r="H686" s="2"/>
    </row>
    <row r="687">
      <c r="A687" s="1" t="s">
        <v>416</v>
      </c>
      <c r="B687" s="1"/>
      <c r="C687" s="1">
        <v>21.0</v>
      </c>
      <c r="D687" s="2"/>
      <c r="E687" s="2"/>
      <c r="F687" s="2"/>
      <c r="G687" s="2"/>
      <c r="H687" s="2"/>
    </row>
    <row r="688">
      <c r="A688" s="1" t="s">
        <v>417</v>
      </c>
      <c r="B688" s="1"/>
      <c r="C688" s="1">
        <v>0.0</v>
      </c>
      <c r="D688" s="2"/>
      <c r="E688" s="2"/>
      <c r="F688" s="2"/>
      <c r="G688" s="2"/>
      <c r="H688" s="2"/>
    </row>
    <row r="689">
      <c r="A689" s="1" t="s">
        <v>418</v>
      </c>
      <c r="B689" s="1"/>
      <c r="C689" s="1">
        <v>0.0</v>
      </c>
      <c r="D689" s="2"/>
      <c r="E689" s="2"/>
      <c r="F689" s="2"/>
      <c r="G689" s="2"/>
      <c r="H689" s="2"/>
    </row>
    <row r="690">
      <c r="A690" s="1" t="s">
        <v>419</v>
      </c>
      <c r="B690" s="1"/>
      <c r="C690" s="1">
        <v>0.0</v>
      </c>
      <c r="D690" s="2"/>
      <c r="E690" s="2"/>
      <c r="F690" s="2"/>
      <c r="G690" s="2"/>
      <c r="H690" s="2"/>
    </row>
    <row r="691">
      <c r="A691" s="1" t="s">
        <v>420</v>
      </c>
      <c r="B691" s="1"/>
      <c r="C691" s="1">
        <v>0.0</v>
      </c>
      <c r="D691" s="2"/>
      <c r="E691" s="2"/>
      <c r="F691" s="2"/>
      <c r="G691" s="2"/>
      <c r="H691" s="2"/>
    </row>
    <row r="692">
      <c r="A692" s="1" t="s">
        <v>421</v>
      </c>
      <c r="B692" s="1"/>
      <c r="C692" s="1">
        <v>0.0</v>
      </c>
      <c r="D692" s="2"/>
      <c r="E692" s="2"/>
      <c r="F692" s="2"/>
      <c r="G692" s="2"/>
      <c r="H692" s="2"/>
    </row>
    <row r="693">
      <c r="A693" s="1" t="s">
        <v>422</v>
      </c>
      <c r="B693" s="1"/>
      <c r="C693" s="1">
        <v>0.0</v>
      </c>
      <c r="D693" s="2"/>
      <c r="E693" s="2"/>
      <c r="F693" s="2"/>
      <c r="G693" s="2"/>
      <c r="H693" s="2"/>
    </row>
    <row r="694">
      <c r="A694" s="1" t="s">
        <v>423</v>
      </c>
      <c r="B694" s="1"/>
      <c r="C694" s="1">
        <v>0.0</v>
      </c>
      <c r="D694" s="2"/>
      <c r="E694" s="2"/>
      <c r="F694" s="2"/>
      <c r="G694" s="2"/>
      <c r="H694" s="2"/>
    </row>
    <row r="695">
      <c r="A695" s="1" t="s">
        <v>424</v>
      </c>
      <c r="B695" s="1"/>
      <c r="C695" s="1">
        <v>0.0</v>
      </c>
      <c r="D695" s="2"/>
      <c r="E695" s="2"/>
      <c r="F695" s="2"/>
      <c r="G695" s="2"/>
      <c r="H695" s="2"/>
    </row>
    <row r="696">
      <c r="A696" s="1" t="s">
        <v>425</v>
      </c>
      <c r="B696" s="1"/>
      <c r="C696" s="1">
        <v>0.0</v>
      </c>
      <c r="D696" s="2"/>
      <c r="E696" s="2"/>
      <c r="F696" s="2"/>
      <c r="G696" s="2"/>
      <c r="H696" s="2"/>
    </row>
    <row r="697">
      <c r="A697" s="1" t="s">
        <v>426</v>
      </c>
      <c r="B697" s="1"/>
      <c r="C697" s="1">
        <v>0.0</v>
      </c>
      <c r="D697" s="2"/>
      <c r="E697" s="2"/>
      <c r="F697" s="2"/>
      <c r="G697" s="2"/>
      <c r="H697" s="2"/>
    </row>
    <row r="698">
      <c r="A698" s="1" t="s">
        <v>427</v>
      </c>
      <c r="B698" s="1"/>
      <c r="C698" s="1">
        <v>0.0</v>
      </c>
      <c r="D698" s="2"/>
      <c r="E698" s="2"/>
      <c r="F698" s="2"/>
      <c r="G698" s="2"/>
      <c r="H698" s="2"/>
    </row>
    <row r="699">
      <c r="A699" s="1" t="s">
        <v>428</v>
      </c>
      <c r="B699" s="1"/>
      <c r="C699" s="1">
        <v>0.0</v>
      </c>
      <c r="D699" s="2"/>
      <c r="E699" s="2"/>
      <c r="F699" s="2"/>
      <c r="G699" s="2"/>
      <c r="H699" s="2"/>
    </row>
    <row r="700">
      <c r="A700" s="1" t="s">
        <v>429</v>
      </c>
      <c r="B700" s="1"/>
      <c r="C700" s="1">
        <v>50.0</v>
      </c>
      <c r="D700" s="2"/>
      <c r="E700" s="2"/>
      <c r="F700" s="2"/>
      <c r="G700" s="2"/>
      <c r="H700" s="2"/>
    </row>
    <row r="701">
      <c r="A701" s="1" t="s">
        <v>430</v>
      </c>
      <c r="B701" s="1"/>
      <c r="C701" s="1">
        <v>0.0</v>
      </c>
      <c r="D701" s="2"/>
      <c r="E701" s="2"/>
      <c r="F701" s="2"/>
      <c r="G701" s="2"/>
      <c r="H701" s="2"/>
    </row>
    <row r="702">
      <c r="A702" s="1" t="s">
        <v>431</v>
      </c>
      <c r="B702" s="1"/>
      <c r="C702" s="1">
        <v>53.0</v>
      </c>
      <c r="D702" s="2"/>
      <c r="E702" s="2"/>
      <c r="F702" s="2"/>
      <c r="G702" s="2"/>
      <c r="H702" s="2"/>
    </row>
    <row r="703">
      <c r="A703" s="1" t="s">
        <v>432</v>
      </c>
      <c r="B703" s="1"/>
      <c r="C703" s="1">
        <v>73.0</v>
      </c>
      <c r="D703" s="2"/>
      <c r="E703" s="2"/>
      <c r="F703" s="2"/>
      <c r="G703" s="2"/>
      <c r="H703" s="2"/>
    </row>
    <row r="704">
      <c r="A704" s="1" t="s">
        <v>433</v>
      </c>
      <c r="B704" s="1"/>
      <c r="C704" s="1">
        <v>0.0</v>
      </c>
      <c r="D704" s="2"/>
      <c r="E704" s="2"/>
      <c r="F704" s="2"/>
      <c r="G704" s="2"/>
      <c r="H704" s="2"/>
    </row>
    <row r="705">
      <c r="A705" s="1" t="s">
        <v>434</v>
      </c>
      <c r="B705" s="1"/>
      <c r="C705" s="1">
        <v>50.0</v>
      </c>
      <c r="D705" s="2"/>
      <c r="E705" s="2"/>
      <c r="F705" s="2"/>
      <c r="G705" s="2"/>
      <c r="H705" s="2"/>
    </row>
    <row r="706">
      <c r="A706" s="1" t="s">
        <v>435</v>
      </c>
      <c r="B706" s="1"/>
      <c r="C706" s="1">
        <v>0.0</v>
      </c>
      <c r="D706" s="2"/>
      <c r="E706" s="2"/>
      <c r="F706" s="2"/>
      <c r="G706" s="2"/>
      <c r="H706" s="2"/>
    </row>
    <row r="707">
      <c r="A707" s="1" t="s">
        <v>436</v>
      </c>
      <c r="B707" s="1"/>
      <c r="C707" s="1">
        <v>0.0</v>
      </c>
      <c r="D707" s="2"/>
      <c r="E707" s="2"/>
      <c r="F707" s="2"/>
      <c r="G707" s="2"/>
      <c r="H707" s="2"/>
    </row>
    <row r="708">
      <c r="A708" s="1" t="s">
        <v>437</v>
      </c>
      <c r="B708" s="1"/>
      <c r="C708" s="1">
        <v>0.0</v>
      </c>
      <c r="D708" s="2"/>
      <c r="E708" s="2"/>
      <c r="F708" s="2"/>
      <c r="G708" s="2"/>
      <c r="H708" s="2"/>
    </row>
    <row r="709">
      <c r="A709" s="1" t="s">
        <v>438</v>
      </c>
      <c r="B709" s="1"/>
      <c r="C709" s="1">
        <v>0.0</v>
      </c>
      <c r="D709" s="2"/>
      <c r="E709" s="2"/>
      <c r="F709" s="2"/>
      <c r="G709" s="2"/>
      <c r="H709" s="2"/>
    </row>
    <row r="710">
      <c r="A710" s="1" t="s">
        <v>439</v>
      </c>
      <c r="B710" s="1"/>
      <c r="C710" s="1">
        <v>0.0</v>
      </c>
      <c r="D710" s="2"/>
      <c r="E710" s="2"/>
      <c r="F710" s="2"/>
      <c r="G710" s="2"/>
      <c r="H710" s="2"/>
    </row>
    <row r="711">
      <c r="A711" s="1" t="s">
        <v>440</v>
      </c>
      <c r="B711" s="1"/>
      <c r="C711" s="1">
        <v>0.0</v>
      </c>
      <c r="D711" s="2"/>
      <c r="E711" s="2"/>
      <c r="F711" s="2"/>
      <c r="G711" s="2"/>
      <c r="H711" s="2"/>
    </row>
    <row r="712">
      <c r="A712" s="1" t="s">
        <v>441</v>
      </c>
      <c r="B712" s="1"/>
      <c r="C712" s="1">
        <v>0.0</v>
      </c>
      <c r="D712" s="2"/>
      <c r="E712" s="2"/>
      <c r="F712" s="2"/>
      <c r="G712" s="2"/>
      <c r="H712" s="2"/>
    </row>
    <row r="713">
      <c r="A713" s="1" t="s">
        <v>442</v>
      </c>
      <c r="B713" s="1"/>
      <c r="C713" s="1">
        <v>0.0</v>
      </c>
      <c r="D713" s="2"/>
      <c r="E713" s="2"/>
      <c r="F713" s="2"/>
      <c r="G713" s="2"/>
      <c r="H713" s="2"/>
    </row>
    <row r="714">
      <c r="A714" s="1" t="s">
        <v>443</v>
      </c>
      <c r="B714" s="1"/>
      <c r="C714" s="1">
        <v>42.0</v>
      </c>
      <c r="D714" s="2"/>
      <c r="E714" s="2"/>
      <c r="F714" s="2"/>
      <c r="G714" s="2"/>
      <c r="H714" s="2"/>
    </row>
    <row r="715">
      <c r="A715" s="1" t="s">
        <v>444</v>
      </c>
      <c r="B715" s="1"/>
      <c r="C715" s="1">
        <v>50.0</v>
      </c>
      <c r="D715" s="2"/>
      <c r="E715" s="2"/>
      <c r="F715" s="2"/>
      <c r="G715" s="2"/>
      <c r="H715" s="2"/>
    </row>
    <row r="716">
      <c r="A716" s="1" t="s">
        <v>445</v>
      </c>
      <c r="B716" s="1"/>
      <c r="C716" s="1">
        <v>0.0</v>
      </c>
      <c r="D716" s="2"/>
      <c r="E716" s="2"/>
      <c r="F716" s="2"/>
      <c r="G716" s="2"/>
      <c r="H716" s="2"/>
    </row>
    <row r="717">
      <c r="A717" s="1" t="s">
        <v>446</v>
      </c>
      <c r="B717" s="1"/>
      <c r="C717" s="1">
        <v>92.0</v>
      </c>
      <c r="D717" s="2"/>
      <c r="E717" s="2"/>
      <c r="F717" s="2"/>
      <c r="G717" s="2"/>
      <c r="H717" s="2"/>
    </row>
    <row r="718">
      <c r="A718" s="1" t="s">
        <v>447</v>
      </c>
      <c r="B718" s="1"/>
      <c r="C718" s="1">
        <v>0.0</v>
      </c>
      <c r="D718" s="2"/>
      <c r="E718" s="2"/>
      <c r="F718" s="2"/>
      <c r="G718" s="2"/>
      <c r="H718" s="2"/>
    </row>
    <row r="719">
      <c r="A719" s="1" t="s">
        <v>448</v>
      </c>
      <c r="B719" s="1"/>
      <c r="C719" s="1">
        <v>0.0</v>
      </c>
      <c r="D719" s="2"/>
      <c r="E719" s="2"/>
      <c r="F719" s="2"/>
      <c r="G719" s="2"/>
      <c r="H719" s="2"/>
    </row>
    <row r="720">
      <c r="A720" s="1" t="s">
        <v>449</v>
      </c>
      <c r="B720" s="1"/>
      <c r="C720" s="1">
        <v>89.0</v>
      </c>
      <c r="D720" s="2"/>
      <c r="E720" s="2"/>
      <c r="F720" s="2"/>
      <c r="G720" s="2"/>
      <c r="H720" s="2"/>
    </row>
    <row r="721">
      <c r="A721" s="1" t="s">
        <v>450</v>
      </c>
      <c r="B721" s="1"/>
      <c r="C721" s="1">
        <v>0.0</v>
      </c>
      <c r="D721" s="2"/>
      <c r="E721" s="2"/>
      <c r="F721" s="2"/>
      <c r="G721" s="2"/>
      <c r="H721" s="2"/>
    </row>
    <row r="722">
      <c r="A722" s="1" t="s">
        <v>451</v>
      </c>
      <c r="B722" s="1"/>
      <c r="C722" s="1">
        <v>9.0</v>
      </c>
      <c r="D722" s="2"/>
      <c r="E722" s="2"/>
      <c r="F722" s="2"/>
      <c r="G722" s="2"/>
      <c r="H722" s="2"/>
    </row>
    <row r="723">
      <c r="A723" s="1" t="s">
        <v>452</v>
      </c>
      <c r="B723" s="1"/>
      <c r="C723" s="1">
        <v>40.0</v>
      </c>
      <c r="D723" s="2"/>
      <c r="E723" s="2"/>
      <c r="F723" s="2"/>
      <c r="G723" s="2"/>
      <c r="H723" s="2"/>
    </row>
    <row r="724">
      <c r="A724" s="1" t="s">
        <v>453</v>
      </c>
      <c r="B724" s="1"/>
      <c r="C724" s="1">
        <v>90.0</v>
      </c>
      <c r="D724" s="2"/>
      <c r="E724" s="2"/>
      <c r="F724" s="2"/>
      <c r="G724" s="2"/>
      <c r="H724" s="2"/>
    </row>
    <row r="725">
      <c r="A725" s="1" t="s">
        <v>454</v>
      </c>
      <c r="B725" s="1"/>
      <c r="C725" s="1">
        <v>0.0</v>
      </c>
      <c r="D725" s="2"/>
      <c r="E725" s="2"/>
      <c r="F725" s="2"/>
      <c r="G725" s="2"/>
      <c r="H725" s="2"/>
    </row>
    <row r="726">
      <c r="A726" s="1" t="s">
        <v>455</v>
      </c>
      <c r="B726" s="1"/>
      <c r="C726" s="1">
        <v>32.0</v>
      </c>
      <c r="D726" s="2"/>
      <c r="E726" s="2"/>
      <c r="F726" s="2"/>
      <c r="G726" s="2"/>
      <c r="H726" s="2"/>
    </row>
    <row r="727">
      <c r="A727" s="1" t="s">
        <v>456</v>
      </c>
      <c r="B727" s="1"/>
      <c r="C727" s="1">
        <v>48.0</v>
      </c>
      <c r="D727" s="2"/>
      <c r="E727" s="2"/>
      <c r="F727" s="2"/>
      <c r="G727" s="2"/>
      <c r="H727" s="2"/>
    </row>
    <row r="728">
      <c r="A728" s="1" t="s">
        <v>457</v>
      </c>
      <c r="B728" s="1"/>
      <c r="C728" s="1">
        <v>0.0</v>
      </c>
      <c r="D728" s="2"/>
      <c r="E728" s="2"/>
      <c r="F728" s="2"/>
      <c r="G728" s="2"/>
      <c r="H728" s="2"/>
    </row>
    <row r="729">
      <c r="A729" s="1" t="s">
        <v>458</v>
      </c>
      <c r="B729" s="1"/>
      <c r="C729" s="1">
        <v>0.0</v>
      </c>
      <c r="D729" s="2"/>
      <c r="E729" s="2"/>
      <c r="F729" s="2"/>
      <c r="G729" s="2"/>
      <c r="H729" s="2"/>
    </row>
    <row r="730">
      <c r="A730" s="1" t="s">
        <v>459</v>
      </c>
      <c r="B730" s="1"/>
      <c r="C730" s="1">
        <v>50.0</v>
      </c>
      <c r="D730" s="2"/>
      <c r="E730" s="2"/>
      <c r="F730" s="2"/>
      <c r="G730" s="2"/>
      <c r="H730" s="2"/>
    </row>
    <row r="731">
      <c r="A731" s="1" t="s">
        <v>460</v>
      </c>
      <c r="B731" s="1"/>
      <c r="C731" s="1">
        <v>0.0</v>
      </c>
      <c r="D731" s="2"/>
      <c r="E731" s="2"/>
      <c r="F731" s="2"/>
      <c r="G731" s="2"/>
      <c r="H731" s="2"/>
    </row>
    <row r="732">
      <c r="A732" s="1" t="s">
        <v>461</v>
      </c>
      <c r="B732" s="1"/>
      <c r="C732" s="1" t="s">
        <v>462</v>
      </c>
      <c r="D732" s="1" t="s">
        <v>463</v>
      </c>
      <c r="E732" s="1">
        <v>62.0</v>
      </c>
      <c r="F732" s="2"/>
      <c r="G732" s="2"/>
      <c r="H732" s="2"/>
    </row>
    <row r="733">
      <c r="A733" s="1" t="s">
        <v>464</v>
      </c>
      <c r="B733" s="1"/>
      <c r="C733" s="1" t="s">
        <v>465</v>
      </c>
      <c r="D733" s="1">
        <v>0.0</v>
      </c>
      <c r="E733" s="2"/>
      <c r="F733" s="2"/>
      <c r="G733" s="2"/>
      <c r="H733" s="2"/>
    </row>
    <row r="734">
      <c r="A734" s="1" t="s">
        <v>466</v>
      </c>
      <c r="B734" s="1"/>
      <c r="C734" s="1">
        <v>0.0</v>
      </c>
      <c r="D734" s="2"/>
      <c r="E734" s="2"/>
      <c r="F734" s="2"/>
      <c r="G734" s="2"/>
      <c r="H734" s="2"/>
    </row>
    <row r="735">
      <c r="A735" s="1" t="s">
        <v>467</v>
      </c>
      <c r="B735" s="1"/>
      <c r="C735" s="1">
        <v>0.0</v>
      </c>
      <c r="D735" s="2"/>
      <c r="E735" s="2"/>
      <c r="F735" s="2"/>
      <c r="G735" s="2"/>
      <c r="H735" s="2"/>
    </row>
    <row r="736">
      <c r="A736" s="1" t="s">
        <v>468</v>
      </c>
      <c r="B736" s="1"/>
      <c r="C736" s="1">
        <v>0.0</v>
      </c>
      <c r="D736" s="2"/>
      <c r="E736" s="2"/>
      <c r="F736" s="2"/>
      <c r="G736" s="2"/>
      <c r="H736" s="2"/>
    </row>
    <row r="737">
      <c r="A737" s="1" t="s">
        <v>469</v>
      </c>
      <c r="B737" s="1"/>
      <c r="C737" s="1">
        <v>0.0</v>
      </c>
      <c r="D737" s="2"/>
      <c r="E737" s="2"/>
      <c r="F737" s="2"/>
      <c r="G737" s="2"/>
      <c r="H737" s="2"/>
    </row>
    <row r="738">
      <c r="A738" s="1" t="s">
        <v>470</v>
      </c>
      <c r="B738" s="1"/>
      <c r="C738" s="1">
        <v>10.0</v>
      </c>
      <c r="D738" s="2"/>
      <c r="E738" s="2"/>
      <c r="F738" s="2"/>
      <c r="G738" s="2"/>
      <c r="H738" s="2"/>
    </row>
    <row r="739">
      <c r="A739" s="1" t="s">
        <v>471</v>
      </c>
      <c r="B739" s="1"/>
      <c r="C739" s="1">
        <v>0.0</v>
      </c>
      <c r="D739" s="2"/>
      <c r="E739" s="2"/>
      <c r="F739" s="2"/>
      <c r="G739" s="2"/>
      <c r="H739" s="2"/>
    </row>
    <row r="740">
      <c r="A740" s="1" t="s">
        <v>472</v>
      </c>
      <c r="B740" s="1"/>
      <c r="C740" s="1">
        <v>29.0</v>
      </c>
      <c r="D740" s="2"/>
      <c r="E740" s="2"/>
      <c r="F740" s="2"/>
      <c r="G740" s="2"/>
      <c r="H740" s="2"/>
    </row>
    <row r="741">
      <c r="A741" s="1" t="s">
        <v>473</v>
      </c>
      <c r="B741" s="1"/>
      <c r="C741" s="1">
        <v>0.0</v>
      </c>
      <c r="D741" s="2"/>
      <c r="E741" s="2"/>
      <c r="F741" s="2"/>
      <c r="G741" s="2"/>
      <c r="H741" s="2"/>
    </row>
    <row r="742">
      <c r="A742" s="1" t="s">
        <v>474</v>
      </c>
      <c r="B742" s="1"/>
      <c r="C742" s="1">
        <v>65.0</v>
      </c>
      <c r="D742" s="2"/>
      <c r="E742" s="2"/>
      <c r="F742" s="2"/>
      <c r="G742" s="2"/>
      <c r="H742" s="2"/>
    </row>
    <row r="743">
      <c r="A743" s="1" t="s">
        <v>475</v>
      </c>
      <c r="B743" s="1"/>
      <c r="C743" s="1">
        <v>0.0</v>
      </c>
      <c r="D743" s="2"/>
      <c r="E743" s="2"/>
      <c r="F743" s="2"/>
      <c r="G743" s="2"/>
      <c r="H743" s="2"/>
    </row>
    <row r="744">
      <c r="A744" s="1" t="s">
        <v>476</v>
      </c>
      <c r="B744" s="1"/>
      <c r="C744" s="1">
        <v>0.0</v>
      </c>
      <c r="D744" s="2"/>
      <c r="E744" s="2"/>
      <c r="F744" s="2"/>
      <c r="G744" s="2"/>
      <c r="H744" s="2"/>
    </row>
    <row r="745">
      <c r="A745" s="1" t="s">
        <v>477</v>
      </c>
      <c r="B745" s="1"/>
      <c r="C745" s="1">
        <v>0.0</v>
      </c>
      <c r="D745" s="2"/>
      <c r="E745" s="2"/>
      <c r="F745" s="2"/>
      <c r="G745" s="2"/>
      <c r="H745" s="2"/>
    </row>
    <row r="746">
      <c r="A746" s="1" t="s">
        <v>478</v>
      </c>
      <c r="B746" s="1"/>
      <c r="C746" s="1">
        <v>0.0</v>
      </c>
      <c r="D746" s="2"/>
      <c r="E746" s="2"/>
      <c r="F746" s="2"/>
      <c r="G746" s="2"/>
      <c r="H746" s="2"/>
    </row>
    <row r="747">
      <c r="A747" s="1" t="s">
        <v>479</v>
      </c>
      <c r="B747" s="1"/>
      <c r="C747" s="1">
        <v>12.0</v>
      </c>
      <c r="D747" s="2"/>
      <c r="E747" s="2"/>
      <c r="F747" s="2"/>
      <c r="G747" s="2"/>
      <c r="H747" s="2"/>
    </row>
    <row r="748">
      <c r="A748" s="1" t="s">
        <v>480</v>
      </c>
      <c r="B748" s="1"/>
      <c r="C748" s="1">
        <v>0.0</v>
      </c>
      <c r="D748" s="2"/>
      <c r="E748" s="2"/>
      <c r="F748" s="2"/>
      <c r="G748" s="2"/>
      <c r="H748" s="2"/>
    </row>
    <row r="749">
      <c r="A749" s="1" t="s">
        <v>481</v>
      </c>
      <c r="B749" s="1"/>
      <c r="C749" s="1" t="s">
        <v>482</v>
      </c>
      <c r="D749" s="1">
        <v>95.0</v>
      </c>
      <c r="E749" s="2"/>
      <c r="F749" s="2"/>
      <c r="G749" s="2"/>
      <c r="H749" s="2"/>
    </row>
    <row r="750">
      <c r="A750" s="1" t="s">
        <v>483</v>
      </c>
      <c r="B750" s="1"/>
      <c r="C750" s="1">
        <v>0.0</v>
      </c>
      <c r="D750" s="2"/>
      <c r="E750" s="2"/>
      <c r="F750" s="2"/>
      <c r="G750" s="2"/>
      <c r="H750" s="2"/>
    </row>
    <row r="751">
      <c r="A751" s="1" t="s">
        <v>484</v>
      </c>
      <c r="B751" s="1"/>
      <c r="C751" s="1">
        <v>11.0</v>
      </c>
      <c r="D751" s="2"/>
      <c r="E751" s="2"/>
      <c r="F751" s="2"/>
      <c r="G751" s="2"/>
      <c r="H751" s="2"/>
    </row>
    <row r="752">
      <c r="A752" s="1" t="s">
        <v>485</v>
      </c>
      <c r="B752" s="1"/>
      <c r="C752" s="1">
        <v>0.0</v>
      </c>
      <c r="D752" s="2"/>
      <c r="E752" s="2"/>
      <c r="F752" s="2"/>
      <c r="G752" s="2"/>
      <c r="H752" s="2"/>
    </row>
    <row r="753">
      <c r="A753" s="1" t="s">
        <v>486</v>
      </c>
      <c r="B753" s="1"/>
      <c r="C753" s="1" t="s">
        <v>487</v>
      </c>
      <c r="D753" s="2"/>
      <c r="E753" s="2"/>
      <c r="F753" s="2"/>
      <c r="G753" s="2"/>
      <c r="H753" s="2"/>
    </row>
    <row r="754">
      <c r="A754" s="1" t="s">
        <v>488</v>
      </c>
      <c r="B754" s="1"/>
      <c r="C754" s="1">
        <v>31.0</v>
      </c>
      <c r="D754" s="2"/>
      <c r="E754" s="2"/>
      <c r="F754" s="2"/>
      <c r="G754" s="2"/>
      <c r="H754" s="2"/>
    </row>
    <row r="755">
      <c r="A755" s="1" t="s">
        <v>489</v>
      </c>
      <c r="B755" s="1"/>
      <c r="C755" s="2"/>
      <c r="D755" s="2"/>
      <c r="E755" s="2"/>
      <c r="F755" s="2"/>
      <c r="G755" s="2"/>
      <c r="H755" s="2"/>
    </row>
    <row r="756">
      <c r="A756" s="1" t="s">
        <v>490</v>
      </c>
      <c r="B756" s="1"/>
      <c r="C756" s="1">
        <v>0.0</v>
      </c>
      <c r="D756" s="2"/>
      <c r="E756" s="2"/>
      <c r="F756" s="2"/>
      <c r="G756" s="2"/>
      <c r="H756" s="2"/>
    </row>
    <row r="757">
      <c r="A757" s="1" t="s">
        <v>491</v>
      </c>
      <c r="B757" s="1"/>
      <c r="C757" s="1">
        <v>0.0</v>
      </c>
      <c r="D757" s="2"/>
      <c r="E757" s="2"/>
      <c r="F757" s="2"/>
      <c r="G757" s="2"/>
      <c r="H757" s="2"/>
    </row>
    <row r="758">
      <c r="A758" s="1" t="s">
        <v>492</v>
      </c>
      <c r="B758" s="1"/>
      <c r="C758" s="1">
        <v>0.0</v>
      </c>
      <c r="D758" s="2"/>
      <c r="E758" s="2"/>
      <c r="F758" s="2"/>
      <c r="G758" s="2"/>
      <c r="H758" s="2"/>
    </row>
    <row r="759">
      <c r="A759" s="1" t="s">
        <v>493</v>
      </c>
      <c r="B759" s="1"/>
      <c r="C759" s="1">
        <v>9.0</v>
      </c>
      <c r="D759" s="2"/>
      <c r="E759" s="2"/>
      <c r="F759" s="2"/>
      <c r="G759" s="2"/>
      <c r="H759" s="2"/>
    </row>
    <row r="760">
      <c r="A760" s="1" t="s">
        <v>494</v>
      </c>
      <c r="B760" s="1"/>
      <c r="C760" s="1">
        <v>0.0</v>
      </c>
      <c r="D760" s="2"/>
      <c r="E760" s="2"/>
      <c r="F760" s="2"/>
      <c r="G760" s="2"/>
      <c r="H760" s="2"/>
    </row>
    <row r="761">
      <c r="A761" s="1" t="s">
        <v>495</v>
      </c>
      <c r="B761" s="1"/>
      <c r="C761" s="1">
        <v>0.0</v>
      </c>
      <c r="D761" s="2"/>
      <c r="E761" s="2"/>
      <c r="F761" s="2"/>
      <c r="G761" s="2"/>
      <c r="H761" s="2"/>
    </row>
    <row r="762">
      <c r="A762" s="1" t="s">
        <v>496</v>
      </c>
      <c r="B762" s="1"/>
      <c r="C762" s="1">
        <v>80.0</v>
      </c>
      <c r="D762" s="2"/>
      <c r="E762" s="2"/>
      <c r="F762" s="2"/>
      <c r="G762" s="2"/>
      <c r="H762" s="2"/>
    </row>
    <row r="763">
      <c r="A763" s="1" t="s">
        <v>497</v>
      </c>
      <c r="B763" s="1"/>
      <c r="C763" s="1">
        <v>0.0</v>
      </c>
      <c r="D763" s="2"/>
      <c r="E763" s="2"/>
      <c r="F763" s="2"/>
      <c r="G763" s="2"/>
      <c r="H763" s="2"/>
    </row>
    <row r="764">
      <c r="A764" s="1" t="s">
        <v>498</v>
      </c>
      <c r="B764" s="1"/>
      <c r="C764" s="1">
        <v>14.0</v>
      </c>
      <c r="D764" s="2"/>
      <c r="E764" s="2"/>
      <c r="F764" s="2"/>
      <c r="G764" s="2"/>
      <c r="H764" s="2"/>
    </row>
    <row r="765">
      <c r="A765" s="1" t="s">
        <v>499</v>
      </c>
      <c r="B765" s="1"/>
      <c r="C765" s="1" t="s">
        <v>500</v>
      </c>
      <c r="D765" s="1">
        <v>18.0</v>
      </c>
      <c r="E765" s="2"/>
      <c r="F765" s="2"/>
      <c r="G765" s="2"/>
      <c r="H765" s="2"/>
    </row>
    <row r="766">
      <c r="A766" s="1" t="s">
        <v>501</v>
      </c>
      <c r="B766" s="1"/>
      <c r="C766" s="1" t="s">
        <v>502</v>
      </c>
      <c r="D766" s="2"/>
      <c r="E766" s="2"/>
      <c r="F766" s="2"/>
      <c r="G766" s="2"/>
      <c r="H766" s="2"/>
    </row>
    <row r="767">
      <c r="A767" s="1" t="s">
        <v>503</v>
      </c>
      <c r="B767" s="1"/>
      <c r="C767" s="1">
        <v>90.0</v>
      </c>
      <c r="D767" s="2"/>
      <c r="E767" s="2"/>
      <c r="F767" s="2"/>
      <c r="G767" s="2"/>
      <c r="H767" s="2"/>
    </row>
    <row r="768">
      <c r="A768" s="1" t="s">
        <v>504</v>
      </c>
      <c r="B768" s="1"/>
      <c r="C768" s="2"/>
      <c r="D768" s="2"/>
      <c r="E768" s="2"/>
      <c r="F768" s="2"/>
      <c r="G768" s="2"/>
      <c r="H768" s="2"/>
    </row>
    <row r="769">
      <c r="A769" s="1" t="s">
        <v>505</v>
      </c>
      <c r="B769" s="1"/>
      <c r="C769" s="1">
        <v>53.0</v>
      </c>
      <c r="D769" s="2"/>
      <c r="E769" s="2"/>
      <c r="F769" s="2"/>
      <c r="G769" s="2"/>
      <c r="H769" s="2"/>
    </row>
    <row r="770">
      <c r="A770" s="1" t="s">
        <v>506</v>
      </c>
      <c r="B770" s="1"/>
      <c r="C770" s="1">
        <v>82.0</v>
      </c>
      <c r="D770" s="2"/>
      <c r="E770" s="2"/>
      <c r="F770" s="2"/>
      <c r="G770" s="2"/>
      <c r="H770" s="2"/>
    </row>
    <row r="771">
      <c r="A771" s="1" t="s">
        <v>507</v>
      </c>
      <c r="B771" s="1"/>
      <c r="C771" s="1">
        <v>0.0</v>
      </c>
      <c r="D771" s="2"/>
      <c r="E771" s="2"/>
      <c r="F771" s="2"/>
      <c r="G771" s="2"/>
      <c r="H771" s="2"/>
    </row>
    <row r="772">
      <c r="A772" s="1" t="s">
        <v>508</v>
      </c>
      <c r="B772" s="1"/>
      <c r="C772" s="1">
        <v>70.0</v>
      </c>
      <c r="D772" s="2"/>
      <c r="E772" s="2"/>
      <c r="F772" s="2"/>
      <c r="G772" s="2"/>
      <c r="H772" s="2"/>
    </row>
    <row r="773">
      <c r="A773" s="1" t="s">
        <v>509</v>
      </c>
      <c r="B773" s="1"/>
      <c r="C773" s="1">
        <v>0.0</v>
      </c>
      <c r="D773" s="2"/>
      <c r="E773" s="2"/>
      <c r="F773" s="2"/>
      <c r="G773" s="2"/>
      <c r="H773" s="2"/>
    </row>
    <row r="774">
      <c r="A774" s="1" t="s">
        <v>431</v>
      </c>
      <c r="B774" s="1"/>
      <c r="C774" s="1">
        <v>53.0</v>
      </c>
      <c r="D774" s="2"/>
      <c r="E774" s="2"/>
      <c r="F774" s="2"/>
      <c r="G774" s="2"/>
      <c r="H774" s="2"/>
    </row>
    <row r="775">
      <c r="A775" s="1" t="s">
        <v>432</v>
      </c>
      <c r="B775" s="1"/>
      <c r="C775" s="1">
        <v>73.0</v>
      </c>
      <c r="D775" s="2"/>
      <c r="E775" s="2"/>
      <c r="F775" s="2"/>
      <c r="G775" s="2"/>
      <c r="H775" s="2"/>
    </row>
    <row r="776">
      <c r="A776" s="1" t="s">
        <v>433</v>
      </c>
      <c r="B776" s="1"/>
      <c r="C776" s="1">
        <v>0.0</v>
      </c>
      <c r="D776" s="2"/>
      <c r="E776" s="2"/>
      <c r="F776" s="2"/>
      <c r="G776" s="2"/>
      <c r="H776" s="2"/>
    </row>
    <row r="777">
      <c r="A777" s="1" t="s">
        <v>434</v>
      </c>
      <c r="B777" s="1"/>
      <c r="C777" s="1">
        <v>50.0</v>
      </c>
      <c r="D777" s="2"/>
      <c r="E777" s="2"/>
      <c r="F777" s="2"/>
      <c r="G777" s="2"/>
      <c r="H777" s="2"/>
    </row>
    <row r="778">
      <c r="A778" s="1" t="s">
        <v>435</v>
      </c>
      <c r="B778" s="1"/>
      <c r="C778" s="1">
        <v>0.0</v>
      </c>
      <c r="D778" s="2"/>
      <c r="E778" s="2"/>
      <c r="F778" s="2"/>
      <c r="G778" s="2"/>
      <c r="H778" s="2"/>
    </row>
    <row r="779">
      <c r="A779" s="1" t="s">
        <v>436</v>
      </c>
      <c r="B779" s="1"/>
      <c r="C779" s="1">
        <v>0.0</v>
      </c>
      <c r="D779" s="2"/>
      <c r="E779" s="2"/>
      <c r="F779" s="2"/>
      <c r="G779" s="2"/>
      <c r="H779" s="2"/>
    </row>
    <row r="780">
      <c r="A780" s="1" t="s">
        <v>437</v>
      </c>
      <c r="B780" s="1"/>
      <c r="C780" s="1">
        <v>0.0</v>
      </c>
      <c r="D780" s="2"/>
      <c r="E780" s="2"/>
      <c r="F780" s="2"/>
      <c r="G780" s="2"/>
      <c r="H780" s="2"/>
    </row>
    <row r="781">
      <c r="A781" s="1" t="s">
        <v>438</v>
      </c>
      <c r="B781" s="1"/>
      <c r="C781" s="1">
        <v>0.0</v>
      </c>
      <c r="D781" s="2"/>
      <c r="E781" s="2"/>
      <c r="F781" s="2"/>
      <c r="G781" s="2"/>
      <c r="H781" s="2"/>
    </row>
    <row r="782">
      <c r="A782" s="1" t="s">
        <v>439</v>
      </c>
      <c r="B782" s="1"/>
      <c r="C782" s="1">
        <v>0.0</v>
      </c>
      <c r="D782" s="2"/>
      <c r="E782" s="2"/>
      <c r="F782" s="2"/>
      <c r="G782" s="2"/>
      <c r="H782" s="2"/>
    </row>
    <row r="783">
      <c r="A783" s="1" t="s">
        <v>440</v>
      </c>
      <c r="B783" s="1"/>
      <c r="C783" s="1">
        <v>0.0</v>
      </c>
      <c r="D783" s="2"/>
      <c r="E783" s="2"/>
      <c r="F783" s="2"/>
      <c r="G783" s="2"/>
      <c r="H783" s="2"/>
    </row>
    <row r="784">
      <c r="A784" s="1" t="s">
        <v>441</v>
      </c>
      <c r="B784" s="1"/>
      <c r="C784" s="1">
        <v>0.0</v>
      </c>
      <c r="D784" s="2"/>
      <c r="E784" s="2"/>
      <c r="F784" s="2"/>
      <c r="G784" s="2"/>
      <c r="H784" s="2"/>
    </row>
    <row r="785">
      <c r="A785" s="1" t="s">
        <v>442</v>
      </c>
      <c r="B785" s="1"/>
      <c r="C785" s="1">
        <v>0.0</v>
      </c>
      <c r="D785" s="2"/>
      <c r="E785" s="2"/>
      <c r="F785" s="2"/>
      <c r="G785" s="2"/>
      <c r="H785" s="2"/>
    </row>
    <row r="786">
      <c r="A786" s="1" t="s">
        <v>443</v>
      </c>
      <c r="B786" s="1"/>
      <c r="C786" s="1">
        <v>42.0</v>
      </c>
      <c r="D786" s="2"/>
      <c r="E786" s="2"/>
      <c r="F786" s="2"/>
      <c r="G786" s="2"/>
      <c r="H786" s="2"/>
    </row>
    <row r="787">
      <c r="A787" s="1" t="s">
        <v>444</v>
      </c>
      <c r="B787" s="1"/>
      <c r="C787" s="1">
        <v>50.0</v>
      </c>
      <c r="D787" s="2"/>
      <c r="E787" s="2"/>
      <c r="F787" s="2"/>
      <c r="G787" s="2"/>
      <c r="H787" s="2"/>
    </row>
    <row r="788">
      <c r="A788" s="1" t="s">
        <v>445</v>
      </c>
      <c r="B788" s="1"/>
      <c r="C788" s="1">
        <v>0.0</v>
      </c>
      <c r="D788" s="2"/>
      <c r="E788" s="2"/>
      <c r="F788" s="2"/>
      <c r="G788" s="2"/>
      <c r="H788" s="2"/>
    </row>
    <row r="789">
      <c r="A789" s="1" t="s">
        <v>446</v>
      </c>
      <c r="B789" s="1"/>
      <c r="C789" s="1">
        <v>92.0</v>
      </c>
      <c r="D789" s="2"/>
      <c r="E789" s="2"/>
      <c r="F789" s="2"/>
      <c r="G789" s="2"/>
      <c r="H789" s="2"/>
    </row>
    <row r="790">
      <c r="A790" s="1" t="s">
        <v>447</v>
      </c>
      <c r="B790" s="1"/>
      <c r="C790" s="1">
        <v>0.0</v>
      </c>
      <c r="D790" s="2"/>
      <c r="E790" s="2"/>
      <c r="F790" s="2"/>
      <c r="G790" s="2"/>
      <c r="H790" s="2"/>
    </row>
    <row r="791">
      <c r="A791" s="1" t="s">
        <v>448</v>
      </c>
      <c r="B791" s="1"/>
      <c r="C791" s="1">
        <v>0.0</v>
      </c>
      <c r="D791" s="2"/>
      <c r="E791" s="2"/>
      <c r="F791" s="2"/>
      <c r="G791" s="2"/>
      <c r="H791" s="2"/>
    </row>
    <row r="792">
      <c r="A792" s="1" t="s">
        <v>449</v>
      </c>
      <c r="B792" s="1"/>
      <c r="C792" s="1">
        <v>89.0</v>
      </c>
      <c r="D792" s="2"/>
      <c r="E792" s="2"/>
      <c r="F792" s="2"/>
      <c r="G792" s="2"/>
      <c r="H792" s="2"/>
    </row>
    <row r="793">
      <c r="A793" s="1" t="s">
        <v>450</v>
      </c>
      <c r="B793" s="1"/>
      <c r="C793" s="1">
        <v>0.0</v>
      </c>
      <c r="D793" s="2"/>
      <c r="E793" s="2"/>
      <c r="F793" s="2"/>
      <c r="G793" s="2"/>
      <c r="H793" s="2"/>
    </row>
    <row r="794">
      <c r="A794" s="1" t="s">
        <v>451</v>
      </c>
      <c r="B794" s="1"/>
      <c r="C794" s="1">
        <v>9.0</v>
      </c>
      <c r="D794" s="2"/>
      <c r="E794" s="2"/>
      <c r="F794" s="2"/>
      <c r="G794" s="2"/>
      <c r="H794" s="2"/>
    </row>
    <row r="795">
      <c r="A795" s="1" t="s">
        <v>452</v>
      </c>
      <c r="B795" s="1"/>
      <c r="C795" s="1">
        <v>40.0</v>
      </c>
      <c r="D795" s="2"/>
      <c r="E795" s="2"/>
      <c r="F795" s="2"/>
      <c r="G795" s="2"/>
      <c r="H795" s="2"/>
    </row>
    <row r="796">
      <c r="A796" s="1" t="s">
        <v>453</v>
      </c>
      <c r="B796" s="1"/>
      <c r="C796" s="1">
        <v>90.0</v>
      </c>
      <c r="D796" s="2"/>
      <c r="E796" s="2"/>
      <c r="F796" s="2"/>
      <c r="G796" s="2"/>
      <c r="H796" s="2"/>
    </row>
    <row r="797">
      <c r="A797" s="1" t="s">
        <v>454</v>
      </c>
      <c r="B797" s="1"/>
      <c r="C797" s="1">
        <v>0.0</v>
      </c>
      <c r="D797" s="2"/>
      <c r="E797" s="2"/>
      <c r="F797" s="2"/>
      <c r="G797" s="2"/>
      <c r="H797" s="2"/>
    </row>
    <row r="798">
      <c r="A798" s="1" t="s">
        <v>455</v>
      </c>
      <c r="B798" s="1"/>
      <c r="C798" s="1">
        <v>32.0</v>
      </c>
      <c r="D798" s="2"/>
      <c r="E798" s="2"/>
      <c r="F798" s="2"/>
      <c r="G798" s="2"/>
      <c r="H798" s="2"/>
    </row>
    <row r="799">
      <c r="A799" s="1" t="s">
        <v>456</v>
      </c>
      <c r="B799" s="1"/>
      <c r="C799" s="1">
        <v>48.0</v>
      </c>
      <c r="D799" s="2"/>
      <c r="E799" s="2"/>
      <c r="F799" s="2"/>
      <c r="G799" s="2"/>
      <c r="H799" s="2"/>
    </row>
    <row r="800">
      <c r="A800" s="1" t="s">
        <v>457</v>
      </c>
      <c r="B800" s="1"/>
      <c r="C800" s="1">
        <v>0.0</v>
      </c>
      <c r="D800" s="2"/>
      <c r="E800" s="2"/>
      <c r="F800" s="2"/>
      <c r="G800" s="2"/>
      <c r="H800" s="2"/>
    </row>
    <row r="801">
      <c r="A801" s="1" t="s">
        <v>458</v>
      </c>
      <c r="B801" s="1"/>
      <c r="C801" s="1">
        <v>0.0</v>
      </c>
      <c r="D801" s="2"/>
      <c r="E801" s="2"/>
      <c r="F801" s="2"/>
      <c r="G801" s="2"/>
      <c r="H801" s="2"/>
    </row>
    <row r="802">
      <c r="A802" s="1" t="s">
        <v>459</v>
      </c>
      <c r="B802" s="1"/>
      <c r="C802" s="1">
        <v>50.0</v>
      </c>
      <c r="D802" s="2"/>
      <c r="E802" s="2"/>
      <c r="F802" s="2"/>
      <c r="G802" s="2"/>
      <c r="H802" s="2"/>
    </row>
    <row r="803">
      <c r="A803" s="1" t="s">
        <v>460</v>
      </c>
      <c r="B803" s="1"/>
      <c r="C803" s="1">
        <v>0.0</v>
      </c>
      <c r="D803" s="2"/>
      <c r="E803" s="2"/>
      <c r="F803" s="2"/>
      <c r="G803" s="2"/>
      <c r="H803" s="2"/>
    </row>
    <row r="804">
      <c r="A804" s="1" t="s">
        <v>461</v>
      </c>
      <c r="B804" s="1"/>
      <c r="C804" s="1" t="s">
        <v>462</v>
      </c>
      <c r="D804" s="1" t="s">
        <v>463</v>
      </c>
      <c r="E804" s="1">
        <v>62.0</v>
      </c>
      <c r="F804" s="2"/>
      <c r="G804" s="2"/>
      <c r="H804" s="2"/>
    </row>
    <row r="805">
      <c r="A805" s="1" t="s">
        <v>464</v>
      </c>
      <c r="B805" s="1"/>
      <c r="C805" s="1" t="s">
        <v>465</v>
      </c>
      <c r="D805" s="1">
        <v>0.0</v>
      </c>
      <c r="E805" s="2"/>
      <c r="F805" s="2"/>
      <c r="G805" s="2"/>
      <c r="H805" s="2"/>
    </row>
    <row r="806">
      <c r="A806" s="1" t="s">
        <v>466</v>
      </c>
      <c r="B806" s="1"/>
      <c r="C806" s="1">
        <v>0.0</v>
      </c>
      <c r="D806" s="2"/>
      <c r="E806" s="2"/>
      <c r="F806" s="2"/>
      <c r="G806" s="2"/>
      <c r="H806" s="2"/>
    </row>
    <row r="807">
      <c r="A807" s="1" t="s">
        <v>467</v>
      </c>
      <c r="B807" s="1"/>
      <c r="C807" s="1">
        <v>0.0</v>
      </c>
      <c r="D807" s="2"/>
      <c r="E807" s="2"/>
      <c r="F807" s="2"/>
      <c r="G807" s="2"/>
      <c r="H807" s="2"/>
    </row>
    <row r="808">
      <c r="A808" s="1" t="s">
        <v>468</v>
      </c>
      <c r="B808" s="1"/>
      <c r="C808" s="1">
        <v>0.0</v>
      </c>
      <c r="D808" s="2"/>
      <c r="E808" s="2"/>
      <c r="F808" s="2"/>
      <c r="G808" s="2"/>
      <c r="H808" s="2"/>
    </row>
    <row r="809">
      <c r="A809" s="1" t="s">
        <v>469</v>
      </c>
      <c r="B809" s="1"/>
      <c r="C809" s="1">
        <v>0.0</v>
      </c>
      <c r="D809" s="2"/>
      <c r="E809" s="2"/>
      <c r="F809" s="2"/>
      <c r="G809" s="2"/>
      <c r="H809" s="2"/>
    </row>
    <row r="810">
      <c r="A810" s="1" t="s">
        <v>470</v>
      </c>
      <c r="B810" s="1"/>
      <c r="C810" s="1">
        <v>10.0</v>
      </c>
      <c r="D810" s="2"/>
      <c r="E810" s="2"/>
      <c r="F810" s="2"/>
      <c r="G810" s="2"/>
      <c r="H810" s="2"/>
    </row>
    <row r="811">
      <c r="A811" s="1" t="s">
        <v>471</v>
      </c>
      <c r="B811" s="1"/>
      <c r="C811" s="1">
        <v>0.0</v>
      </c>
      <c r="D811" s="2"/>
      <c r="E811" s="2"/>
      <c r="F811" s="2"/>
      <c r="G811" s="2"/>
      <c r="H811" s="2"/>
    </row>
    <row r="812">
      <c r="A812" s="1" t="s">
        <v>472</v>
      </c>
      <c r="B812" s="1"/>
      <c r="C812" s="1">
        <v>29.0</v>
      </c>
      <c r="D812" s="2"/>
      <c r="E812" s="2"/>
      <c r="F812" s="2"/>
      <c r="G812" s="2"/>
      <c r="H812" s="2"/>
    </row>
    <row r="813">
      <c r="A813" s="1" t="s">
        <v>473</v>
      </c>
      <c r="B813" s="1"/>
      <c r="C813" s="1">
        <v>0.0</v>
      </c>
      <c r="D813" s="2"/>
      <c r="E813" s="2"/>
      <c r="F813" s="2"/>
      <c r="G813" s="2"/>
      <c r="H813" s="2"/>
    </row>
    <row r="814">
      <c r="A814" s="1" t="s">
        <v>474</v>
      </c>
      <c r="B814" s="1"/>
      <c r="C814" s="1">
        <v>65.0</v>
      </c>
      <c r="D814" s="2"/>
      <c r="E814" s="2"/>
      <c r="F814" s="2"/>
      <c r="G814" s="2"/>
      <c r="H814" s="2"/>
    </row>
    <row r="815">
      <c r="A815" s="1" t="s">
        <v>475</v>
      </c>
      <c r="B815" s="1"/>
      <c r="C815" s="1">
        <v>0.0</v>
      </c>
      <c r="D815" s="2"/>
      <c r="E815" s="2"/>
      <c r="F815" s="2"/>
      <c r="G815" s="2"/>
      <c r="H815" s="2"/>
    </row>
    <row r="816">
      <c r="A816" s="1" t="s">
        <v>476</v>
      </c>
      <c r="B816" s="1"/>
      <c r="C816" s="1">
        <v>0.0</v>
      </c>
      <c r="D816" s="2"/>
      <c r="E816" s="2"/>
      <c r="F816" s="2"/>
      <c r="G816" s="2"/>
      <c r="H816" s="2"/>
    </row>
    <row r="817">
      <c r="A817" s="1" t="s">
        <v>477</v>
      </c>
      <c r="B817" s="1"/>
      <c r="C817" s="1">
        <v>0.0</v>
      </c>
      <c r="D817" s="2"/>
      <c r="E817" s="2"/>
      <c r="F817" s="2"/>
      <c r="G817" s="2"/>
      <c r="H817" s="2"/>
    </row>
    <row r="818">
      <c r="A818" s="1" t="s">
        <v>478</v>
      </c>
      <c r="B818" s="1"/>
      <c r="C818" s="1">
        <v>0.0</v>
      </c>
      <c r="D818" s="2"/>
      <c r="E818" s="2"/>
      <c r="F818" s="2"/>
      <c r="G818" s="2"/>
      <c r="H818" s="2"/>
    </row>
    <row r="819">
      <c r="A819" s="1" t="s">
        <v>479</v>
      </c>
      <c r="B819" s="1"/>
      <c r="C819" s="1">
        <v>12.0</v>
      </c>
      <c r="D819" s="2"/>
      <c r="E819" s="2"/>
      <c r="F819" s="2"/>
      <c r="G819" s="2"/>
      <c r="H819" s="2"/>
    </row>
    <row r="820">
      <c r="A820" s="1" t="s">
        <v>480</v>
      </c>
      <c r="B820" s="1"/>
      <c r="C820" s="1">
        <v>0.0</v>
      </c>
      <c r="D820" s="2"/>
      <c r="E820" s="2"/>
      <c r="F820" s="2"/>
      <c r="G820" s="2"/>
      <c r="H820" s="2"/>
    </row>
    <row r="821">
      <c r="A821" s="1" t="s">
        <v>481</v>
      </c>
      <c r="B821" s="1"/>
      <c r="C821" s="1" t="s">
        <v>482</v>
      </c>
      <c r="D821" s="1">
        <v>95.0</v>
      </c>
      <c r="E821" s="2"/>
      <c r="F821" s="2"/>
      <c r="G821" s="2"/>
      <c r="H821" s="2"/>
    </row>
    <row r="822">
      <c r="A822" s="1" t="s">
        <v>483</v>
      </c>
      <c r="B822" s="1"/>
      <c r="C822" s="1">
        <v>0.0</v>
      </c>
      <c r="D822" s="2"/>
      <c r="E822" s="2"/>
      <c r="F822" s="2"/>
      <c r="G822" s="2"/>
      <c r="H822" s="2"/>
    </row>
    <row r="823">
      <c r="A823" s="1" t="s">
        <v>484</v>
      </c>
      <c r="B823" s="1"/>
      <c r="C823" s="1">
        <v>11.0</v>
      </c>
      <c r="D823" s="2"/>
      <c r="E823" s="2"/>
      <c r="F823" s="2"/>
      <c r="G823" s="2"/>
      <c r="H823" s="2"/>
    </row>
    <row r="824">
      <c r="A824" s="1" t="s">
        <v>485</v>
      </c>
      <c r="B824" s="1"/>
      <c r="C824" s="1">
        <v>0.0</v>
      </c>
      <c r="D824" s="2"/>
      <c r="E824" s="2"/>
      <c r="F824" s="2"/>
      <c r="G824" s="2"/>
      <c r="H824" s="2"/>
    </row>
    <row r="825">
      <c r="A825" s="1" t="s">
        <v>486</v>
      </c>
      <c r="B825" s="1"/>
      <c r="C825" s="1" t="s">
        <v>487</v>
      </c>
      <c r="D825" s="2"/>
      <c r="E825" s="2"/>
      <c r="F825" s="2"/>
      <c r="G825" s="2"/>
      <c r="H825" s="2"/>
    </row>
    <row r="826">
      <c r="A826" s="1" t="s">
        <v>488</v>
      </c>
      <c r="B826" s="1"/>
      <c r="C826" s="1">
        <v>31.0</v>
      </c>
      <c r="D826" s="2"/>
      <c r="E826" s="2"/>
      <c r="F826" s="2"/>
      <c r="G826" s="2"/>
      <c r="H826" s="2"/>
    </row>
    <row r="827">
      <c r="A827" s="1" t="s">
        <v>489</v>
      </c>
      <c r="B827" s="1"/>
      <c r="C827" s="2"/>
      <c r="D827" s="2"/>
      <c r="E827" s="2"/>
      <c r="F827" s="2"/>
      <c r="G827" s="2"/>
      <c r="H827" s="2"/>
    </row>
    <row r="828">
      <c r="A828" s="1" t="s">
        <v>490</v>
      </c>
      <c r="B828" s="1"/>
      <c r="C828" s="1">
        <v>0.0</v>
      </c>
      <c r="D828" s="2"/>
      <c r="E828" s="2"/>
      <c r="F828" s="2"/>
      <c r="G828" s="2"/>
      <c r="H828" s="2"/>
    </row>
    <row r="829">
      <c r="A829" s="1" t="s">
        <v>491</v>
      </c>
      <c r="B829" s="1"/>
      <c r="C829" s="1">
        <v>0.0</v>
      </c>
      <c r="D829" s="2"/>
      <c r="E829" s="2"/>
      <c r="F829" s="2"/>
      <c r="G829" s="2"/>
      <c r="H829" s="2"/>
    </row>
    <row r="830">
      <c r="A830" s="1" t="s">
        <v>492</v>
      </c>
      <c r="B830" s="1"/>
      <c r="C830" s="1">
        <v>0.0</v>
      </c>
      <c r="D830" s="2"/>
      <c r="E830" s="2"/>
      <c r="F830" s="2"/>
      <c r="G830" s="2"/>
      <c r="H830" s="2"/>
    </row>
    <row r="831">
      <c r="A831" s="1" t="s">
        <v>493</v>
      </c>
      <c r="B831" s="1"/>
      <c r="C831" s="1">
        <v>9.0</v>
      </c>
      <c r="D831" s="2"/>
      <c r="E831" s="2"/>
      <c r="F831" s="2"/>
      <c r="G831" s="2"/>
      <c r="H831" s="2"/>
    </row>
    <row r="832">
      <c r="A832" s="1" t="s">
        <v>494</v>
      </c>
      <c r="B832" s="1"/>
      <c r="C832" s="1">
        <v>0.0</v>
      </c>
      <c r="D832" s="2"/>
      <c r="E832" s="2"/>
      <c r="F832" s="2"/>
      <c r="G832" s="2"/>
      <c r="H832" s="2"/>
    </row>
    <row r="833">
      <c r="A833" s="1" t="s">
        <v>495</v>
      </c>
      <c r="B833" s="1"/>
      <c r="C833" s="1">
        <v>0.0</v>
      </c>
      <c r="D833" s="2"/>
      <c r="E833" s="2"/>
      <c r="F833" s="2"/>
      <c r="G833" s="2"/>
      <c r="H833" s="2"/>
    </row>
    <row r="834">
      <c r="A834" s="1" t="s">
        <v>496</v>
      </c>
      <c r="B834" s="1"/>
      <c r="C834" s="1">
        <v>80.0</v>
      </c>
      <c r="D834" s="2"/>
      <c r="E834" s="2"/>
      <c r="F834" s="2"/>
      <c r="G834" s="2"/>
      <c r="H834" s="2"/>
    </row>
    <row r="835">
      <c r="A835" s="1" t="s">
        <v>497</v>
      </c>
      <c r="B835" s="1"/>
      <c r="C835" s="1">
        <v>0.0</v>
      </c>
      <c r="D835" s="2"/>
      <c r="E835" s="2"/>
      <c r="F835" s="2"/>
      <c r="G835" s="2"/>
      <c r="H835" s="2"/>
    </row>
    <row r="836">
      <c r="A836" s="1" t="s">
        <v>498</v>
      </c>
      <c r="B836" s="1"/>
      <c r="C836" s="1">
        <v>14.0</v>
      </c>
      <c r="D836" s="2"/>
      <c r="E836" s="2"/>
      <c r="F836" s="2"/>
      <c r="G836" s="2"/>
      <c r="H836" s="2"/>
    </row>
    <row r="837">
      <c r="A837" s="1" t="s">
        <v>499</v>
      </c>
      <c r="B837" s="1"/>
      <c r="C837" s="1" t="s">
        <v>500</v>
      </c>
      <c r="D837" s="1">
        <v>18.0</v>
      </c>
      <c r="E837" s="2"/>
      <c r="F837" s="2"/>
      <c r="G837" s="2"/>
      <c r="H837" s="2"/>
    </row>
    <row r="838">
      <c r="A838" s="1" t="s">
        <v>501</v>
      </c>
      <c r="B838" s="1"/>
      <c r="C838" s="1" t="s">
        <v>502</v>
      </c>
      <c r="D838" s="2"/>
      <c r="E838" s="2"/>
      <c r="F838" s="2"/>
      <c r="G838" s="2"/>
      <c r="H838" s="2"/>
    </row>
    <row r="839">
      <c r="A839" s="1" t="s">
        <v>503</v>
      </c>
      <c r="B839" s="1"/>
      <c r="C839" s="1">
        <v>90.0</v>
      </c>
      <c r="D839" s="2"/>
      <c r="E839" s="2"/>
      <c r="F839" s="2"/>
      <c r="G839" s="2"/>
      <c r="H839" s="2"/>
    </row>
    <row r="840">
      <c r="A840" s="1" t="s">
        <v>504</v>
      </c>
      <c r="B840" s="1"/>
      <c r="C840" s="2"/>
      <c r="D840" s="2"/>
      <c r="E840" s="2"/>
      <c r="F840" s="2"/>
      <c r="G840" s="2"/>
      <c r="H840" s="2"/>
    </row>
    <row r="841">
      <c r="A841" s="1" t="s">
        <v>505</v>
      </c>
      <c r="B841" s="1"/>
      <c r="C841" s="1">
        <v>53.0</v>
      </c>
      <c r="D841" s="2"/>
      <c r="E841" s="2"/>
      <c r="F841" s="2"/>
      <c r="G841" s="2"/>
      <c r="H841" s="2"/>
    </row>
    <row r="842">
      <c r="A842" s="1" t="s">
        <v>506</v>
      </c>
      <c r="B842" s="1"/>
      <c r="C842" s="1">
        <v>82.0</v>
      </c>
      <c r="D842" s="2"/>
      <c r="E842" s="2"/>
      <c r="F842" s="2"/>
      <c r="G842" s="2"/>
      <c r="H842" s="2"/>
    </row>
    <row r="843">
      <c r="A843" s="1" t="s">
        <v>507</v>
      </c>
      <c r="B843" s="1"/>
      <c r="C843" s="1">
        <v>0.0</v>
      </c>
      <c r="D843" s="2"/>
      <c r="E843" s="2"/>
      <c r="F843" s="2"/>
      <c r="G843" s="2"/>
      <c r="H843" s="2"/>
    </row>
    <row r="844">
      <c r="A844" s="1" t="s">
        <v>508</v>
      </c>
      <c r="B844" s="1"/>
      <c r="C844" s="1">
        <v>70.0</v>
      </c>
      <c r="D844" s="2"/>
      <c r="E844" s="2"/>
      <c r="F844" s="2"/>
      <c r="G844" s="2"/>
      <c r="H844" s="2"/>
    </row>
    <row r="845">
      <c r="A845" s="1" t="s">
        <v>509</v>
      </c>
      <c r="B845" s="1"/>
      <c r="C845" s="1">
        <v>0.0</v>
      </c>
      <c r="D845" s="2"/>
      <c r="E845" s="2"/>
      <c r="F845" s="2"/>
      <c r="G845" s="2"/>
      <c r="H845" s="2"/>
    </row>
    <row r="846">
      <c r="A846" s="1" t="s">
        <v>510</v>
      </c>
      <c r="B846" s="1"/>
      <c r="C846" s="1">
        <v>0.0</v>
      </c>
      <c r="D846" s="2"/>
      <c r="E846" s="2"/>
      <c r="F846" s="2"/>
      <c r="G846" s="2"/>
      <c r="H846" s="2"/>
    </row>
    <row r="847">
      <c r="A847" s="1" t="s">
        <v>511</v>
      </c>
      <c r="B847" s="1"/>
      <c r="C847" s="1">
        <v>99.0</v>
      </c>
      <c r="D847" s="2"/>
      <c r="E847" s="2"/>
      <c r="F847" s="2"/>
      <c r="G847" s="2"/>
      <c r="H847" s="2"/>
    </row>
    <row r="848">
      <c r="A848" s="1" t="s">
        <v>512</v>
      </c>
      <c r="B848" s="1"/>
      <c r="C848" s="1">
        <v>15.0</v>
      </c>
      <c r="D848" s="2"/>
      <c r="E848" s="2"/>
      <c r="F848" s="2"/>
      <c r="G848" s="2"/>
      <c r="H848" s="2"/>
    </row>
    <row r="849">
      <c r="A849" s="1" t="s">
        <v>513</v>
      </c>
      <c r="B849" s="1"/>
      <c r="C849" s="1">
        <v>0.0</v>
      </c>
      <c r="D849" s="2"/>
      <c r="E849" s="2"/>
      <c r="F849" s="2"/>
      <c r="G849" s="2"/>
      <c r="H849" s="2"/>
    </row>
    <row r="850">
      <c r="A850" s="1" t="s">
        <v>514</v>
      </c>
      <c r="B850" s="1"/>
      <c r="C850" s="1">
        <v>0.0</v>
      </c>
      <c r="D850" s="2"/>
      <c r="E850" s="2"/>
      <c r="F850" s="2"/>
      <c r="G850" s="2"/>
      <c r="H850" s="2"/>
    </row>
    <row r="851">
      <c r="A851" s="1" t="s">
        <v>515</v>
      </c>
      <c r="B851" s="1"/>
      <c r="C851" s="1">
        <v>64.0</v>
      </c>
      <c r="D851" s="2"/>
      <c r="E851" s="2"/>
      <c r="F851" s="2"/>
      <c r="G851" s="2"/>
      <c r="H851" s="2"/>
    </row>
    <row r="852">
      <c r="A852" s="1" t="s">
        <v>516</v>
      </c>
      <c r="B852" s="1"/>
      <c r="C852" s="1">
        <v>0.0</v>
      </c>
      <c r="D852" s="2"/>
      <c r="E852" s="2"/>
      <c r="F852" s="2"/>
      <c r="G852" s="2"/>
      <c r="H852" s="2"/>
    </row>
    <row r="853">
      <c r="A853" s="1" t="s">
        <v>517</v>
      </c>
      <c r="B853" s="1"/>
      <c r="C853" s="1">
        <v>0.0</v>
      </c>
      <c r="D853" s="2"/>
      <c r="E853" s="2"/>
      <c r="F853" s="2"/>
      <c r="G853" s="2"/>
      <c r="H853" s="2"/>
    </row>
    <row r="854">
      <c r="A854" s="1" t="s">
        <v>518</v>
      </c>
      <c r="B854" s="1"/>
      <c r="C854" s="1">
        <v>0.0</v>
      </c>
      <c r="D854" s="2"/>
      <c r="E854" s="2"/>
      <c r="F854" s="2"/>
      <c r="G854" s="2"/>
      <c r="H854" s="2"/>
    </row>
    <row r="855">
      <c r="A855" s="1" t="s">
        <v>519</v>
      </c>
      <c r="B855" s="1"/>
      <c r="C855" s="1">
        <v>0.0</v>
      </c>
      <c r="D855" s="2"/>
      <c r="E855" s="2"/>
      <c r="F855" s="2"/>
      <c r="G855" s="2"/>
      <c r="H855" s="2"/>
    </row>
    <row r="856">
      <c r="A856" s="1" t="s">
        <v>520</v>
      </c>
      <c r="B856" s="1"/>
      <c r="C856" s="1">
        <v>0.0</v>
      </c>
      <c r="D856" s="2"/>
      <c r="E856" s="2"/>
      <c r="F856" s="2"/>
      <c r="G856" s="2"/>
      <c r="H856" s="2"/>
    </row>
    <row r="857">
      <c r="A857" s="1" t="s">
        <v>521</v>
      </c>
      <c r="B857" s="1"/>
      <c r="C857" s="1">
        <v>62.0</v>
      </c>
      <c r="D857" s="2"/>
      <c r="E857" s="2"/>
      <c r="F857" s="2"/>
      <c r="G857" s="2"/>
      <c r="H857" s="2"/>
    </row>
    <row r="858">
      <c r="A858" s="1" t="s">
        <v>522</v>
      </c>
      <c r="B858" s="1"/>
      <c r="C858" s="1">
        <v>82.0</v>
      </c>
      <c r="D858" s="2"/>
      <c r="E858" s="2"/>
      <c r="F858" s="2"/>
      <c r="G858" s="2"/>
      <c r="H858" s="2"/>
    </row>
    <row r="859">
      <c r="A859" s="1" t="s">
        <v>523</v>
      </c>
      <c r="B859" s="1"/>
      <c r="C859" s="1">
        <v>0.0</v>
      </c>
      <c r="D859" s="2"/>
      <c r="E859" s="2"/>
      <c r="F859" s="2"/>
      <c r="G859" s="2"/>
      <c r="H859" s="2"/>
    </row>
    <row r="860">
      <c r="A860" s="1" t="s">
        <v>524</v>
      </c>
      <c r="B860" s="1"/>
      <c r="C860" s="1">
        <v>60.0</v>
      </c>
      <c r="D860" s="2"/>
      <c r="E860" s="2"/>
      <c r="F860" s="2"/>
      <c r="G860" s="2"/>
      <c r="H860" s="2"/>
    </row>
    <row r="861">
      <c r="A861" s="1" t="s">
        <v>525</v>
      </c>
      <c r="B861" s="1"/>
      <c r="C861" s="1">
        <v>0.0</v>
      </c>
      <c r="D861" s="2"/>
      <c r="E861" s="2"/>
      <c r="F861" s="2"/>
      <c r="G861" s="2"/>
      <c r="H861" s="2"/>
    </row>
    <row r="862">
      <c r="A862" s="1" t="s">
        <v>526</v>
      </c>
      <c r="B862" s="1"/>
      <c r="C862" s="1">
        <v>90.0</v>
      </c>
      <c r="D862" s="2"/>
      <c r="E862" s="2"/>
      <c r="F862" s="2"/>
      <c r="G862" s="2"/>
      <c r="H862" s="2"/>
    </row>
    <row r="863">
      <c r="A863" s="1" t="s">
        <v>527</v>
      </c>
      <c r="B863" s="1"/>
      <c r="C863" s="1">
        <v>0.0</v>
      </c>
      <c r="D863" s="2"/>
      <c r="E863" s="2"/>
      <c r="F863" s="2"/>
      <c r="G863" s="2"/>
      <c r="H863" s="2"/>
    </row>
    <row r="864">
      <c r="A864" s="1" t="s">
        <v>528</v>
      </c>
      <c r="B864" s="1"/>
      <c r="C864" s="1">
        <v>0.0</v>
      </c>
      <c r="D864" s="2"/>
      <c r="E864" s="2"/>
      <c r="F864" s="2"/>
      <c r="G864" s="2"/>
      <c r="H864" s="2"/>
    </row>
    <row r="865">
      <c r="A865" s="1" t="s">
        <v>529</v>
      </c>
      <c r="B865" s="1"/>
      <c r="C865" s="1">
        <v>0.0</v>
      </c>
      <c r="D865" s="2"/>
      <c r="E865" s="2"/>
      <c r="F865" s="2"/>
      <c r="G865" s="2"/>
      <c r="H865" s="2"/>
    </row>
    <row r="866">
      <c r="A866" s="1" t="s">
        <v>530</v>
      </c>
      <c r="B866" s="1"/>
      <c r="C866" s="1">
        <v>0.0</v>
      </c>
      <c r="D866" s="2"/>
      <c r="E866" s="2"/>
      <c r="F866" s="2"/>
      <c r="G866" s="2"/>
      <c r="H866" s="2"/>
    </row>
    <row r="867">
      <c r="A867" s="1" t="s">
        <v>531</v>
      </c>
      <c r="B867" s="1"/>
      <c r="C867" s="1">
        <v>0.0</v>
      </c>
      <c r="D867" s="2"/>
      <c r="E867" s="2"/>
      <c r="F867" s="2"/>
      <c r="G867" s="2"/>
      <c r="H867" s="2"/>
    </row>
    <row r="868">
      <c r="A868" s="1" t="s">
        <v>532</v>
      </c>
      <c r="B868" s="1"/>
      <c r="C868" s="1">
        <v>24.0</v>
      </c>
      <c r="D868" s="2"/>
      <c r="E868" s="2"/>
      <c r="F868" s="2"/>
      <c r="G868" s="2"/>
      <c r="H868" s="2"/>
    </row>
    <row r="869">
      <c r="A869" s="1" t="s">
        <v>533</v>
      </c>
      <c r="B869" s="1"/>
      <c r="C869" s="1">
        <v>21.0</v>
      </c>
      <c r="D869" s="2"/>
      <c r="E869" s="2"/>
      <c r="F869" s="2"/>
      <c r="G869" s="2"/>
      <c r="H869" s="2"/>
    </row>
    <row r="870">
      <c r="A870" s="1" t="s">
        <v>534</v>
      </c>
      <c r="B870" s="1"/>
      <c r="C870" s="1">
        <v>0.0</v>
      </c>
      <c r="D870" s="2"/>
      <c r="E870" s="2"/>
      <c r="F870" s="2"/>
      <c r="G870" s="2"/>
      <c r="H870" s="2"/>
    </row>
    <row r="871">
      <c r="A871" s="1" t="s">
        <v>535</v>
      </c>
      <c r="B871" s="1"/>
      <c r="C871" s="1">
        <v>28.0</v>
      </c>
      <c r="D871" s="2"/>
      <c r="E871" s="2"/>
      <c r="F871" s="2"/>
      <c r="G871" s="2"/>
      <c r="H871" s="2"/>
    </row>
    <row r="872">
      <c r="A872" s="1" t="s">
        <v>536</v>
      </c>
      <c r="B872" s="1"/>
      <c r="C872" s="1">
        <v>0.0</v>
      </c>
      <c r="D872" s="2"/>
      <c r="E872" s="2"/>
      <c r="F872" s="2"/>
      <c r="G872" s="2"/>
      <c r="H872" s="2"/>
    </row>
    <row r="873">
      <c r="A873" s="1" t="s">
        <v>537</v>
      </c>
      <c r="B873" s="1"/>
      <c r="C873" s="1">
        <v>0.0</v>
      </c>
      <c r="D873" s="2"/>
      <c r="E873" s="2"/>
      <c r="F873" s="2"/>
      <c r="G873" s="2"/>
      <c r="H873" s="2"/>
    </row>
    <row r="874">
      <c r="A874" s="1" t="s">
        <v>538</v>
      </c>
      <c r="B874" s="1"/>
      <c r="C874" s="1">
        <v>50.0</v>
      </c>
      <c r="D874" s="2"/>
      <c r="E874" s="2"/>
      <c r="F874" s="2"/>
      <c r="G874" s="2"/>
      <c r="H874" s="2"/>
    </row>
    <row r="875">
      <c r="A875" s="1" t="s">
        <v>539</v>
      </c>
      <c r="B875" s="1"/>
      <c r="C875" s="1">
        <v>58.0</v>
      </c>
      <c r="D875" s="2"/>
      <c r="E875" s="2"/>
      <c r="F875" s="2"/>
      <c r="G875" s="2"/>
      <c r="H875" s="2"/>
    </row>
    <row r="876">
      <c r="A876" s="1" t="s">
        <v>540</v>
      </c>
      <c r="B876" s="1"/>
      <c r="C876" s="1">
        <v>0.0</v>
      </c>
      <c r="D876" s="2"/>
      <c r="E876" s="2"/>
      <c r="F876" s="2"/>
      <c r="G876" s="2"/>
      <c r="H876" s="2"/>
    </row>
    <row r="877">
      <c r="A877" s="1" t="s">
        <v>541</v>
      </c>
      <c r="B877" s="1"/>
      <c r="C877" s="1">
        <v>0.0</v>
      </c>
      <c r="D877" s="2"/>
      <c r="E877" s="2"/>
      <c r="F877" s="2"/>
      <c r="G877" s="2"/>
      <c r="H877" s="2"/>
    </row>
    <row r="878">
      <c r="A878" s="1" t="s">
        <v>542</v>
      </c>
      <c r="B878" s="1"/>
      <c r="C878" s="1">
        <v>0.0</v>
      </c>
      <c r="D878" s="2"/>
      <c r="E878" s="2"/>
      <c r="F878" s="2"/>
      <c r="G878" s="2"/>
      <c r="H878" s="2"/>
    </row>
    <row r="879">
      <c r="A879" s="1" t="s">
        <v>543</v>
      </c>
      <c r="B879" s="1"/>
      <c r="C879" s="1">
        <v>0.0</v>
      </c>
      <c r="D879" s="2"/>
      <c r="E879" s="2"/>
      <c r="F879" s="2"/>
      <c r="G879" s="2"/>
      <c r="H879" s="2"/>
    </row>
    <row r="880">
      <c r="A880" s="1" t="s">
        <v>544</v>
      </c>
      <c r="B880" s="1"/>
      <c r="C880" s="1">
        <v>85.0</v>
      </c>
      <c r="D880" s="2"/>
      <c r="E880" s="2"/>
      <c r="F880" s="2"/>
      <c r="G880" s="2"/>
      <c r="H880" s="2"/>
    </row>
    <row r="881">
      <c r="A881" s="1" t="s">
        <v>545</v>
      </c>
      <c r="B881" s="1"/>
      <c r="C881" s="1">
        <v>0.0</v>
      </c>
      <c r="D881" s="2"/>
      <c r="E881" s="2"/>
      <c r="F881" s="2"/>
      <c r="G881" s="2"/>
      <c r="H881" s="2"/>
    </row>
    <row r="882">
      <c r="A882" s="1" t="s">
        <v>546</v>
      </c>
      <c r="B882" s="1"/>
      <c r="C882" s="1">
        <v>5.0</v>
      </c>
      <c r="D882" s="2"/>
      <c r="E882" s="2"/>
      <c r="F882" s="2"/>
      <c r="G882" s="2"/>
      <c r="H882" s="2"/>
    </row>
    <row r="883">
      <c r="A883" s="1" t="s">
        <v>547</v>
      </c>
      <c r="B883" s="1"/>
      <c r="C883" s="1">
        <v>0.0</v>
      </c>
      <c r="D883" s="2"/>
      <c r="E883" s="2"/>
      <c r="F883" s="2"/>
      <c r="G883" s="2"/>
      <c r="H883" s="2"/>
    </row>
    <row r="884">
      <c r="A884" s="1" t="s">
        <v>548</v>
      </c>
      <c r="B884" s="1"/>
      <c r="C884" s="1">
        <v>0.0</v>
      </c>
      <c r="D884" s="2"/>
      <c r="E884" s="2"/>
      <c r="F884" s="2"/>
      <c r="G884" s="2"/>
      <c r="H884" s="2"/>
    </row>
    <row r="885">
      <c r="A885" s="1" t="s">
        <v>549</v>
      </c>
      <c r="B885" s="1"/>
      <c r="C885" s="1" t="s">
        <v>550</v>
      </c>
      <c r="D885" s="1">
        <v>0.0</v>
      </c>
      <c r="E885" s="2"/>
      <c r="F885" s="2"/>
      <c r="G885" s="2"/>
      <c r="H885" s="2"/>
    </row>
    <row r="886">
      <c r="A886" s="1" t="s">
        <v>551</v>
      </c>
      <c r="B886" s="1"/>
      <c r="C886" s="1" t="s">
        <v>552</v>
      </c>
      <c r="D886" s="1">
        <v>18.0</v>
      </c>
      <c r="E886" s="2"/>
      <c r="F886" s="2"/>
      <c r="G886" s="2"/>
      <c r="H886" s="2"/>
    </row>
    <row r="887">
      <c r="A887" s="1" t="s">
        <v>553</v>
      </c>
      <c r="B887" s="1"/>
      <c r="C887" s="1">
        <v>0.0</v>
      </c>
      <c r="D887" s="2"/>
      <c r="E887" s="2"/>
      <c r="F887" s="2"/>
      <c r="G887" s="2"/>
      <c r="H887" s="2"/>
    </row>
    <row r="888">
      <c r="A888" s="1" t="s">
        <v>554</v>
      </c>
      <c r="B888" s="1"/>
      <c r="C888" s="1">
        <v>0.0</v>
      </c>
      <c r="D888" s="2"/>
      <c r="E888" s="2"/>
      <c r="F888" s="2"/>
      <c r="G888" s="2"/>
      <c r="H888" s="2"/>
    </row>
    <row r="889">
      <c r="A889" s="1" t="s">
        <v>555</v>
      </c>
      <c r="B889" s="1"/>
      <c r="C889" s="1">
        <v>46.0</v>
      </c>
      <c r="D889" s="2"/>
      <c r="E889" s="2"/>
      <c r="F889" s="2"/>
      <c r="G889" s="2"/>
      <c r="H889" s="2"/>
    </row>
    <row r="890">
      <c r="A890" s="1" t="s">
        <v>556</v>
      </c>
      <c r="B890" s="1"/>
      <c r="C890" s="1">
        <v>0.0</v>
      </c>
      <c r="D890" s="2"/>
      <c r="E890" s="2"/>
      <c r="F890" s="2"/>
      <c r="G890" s="2"/>
      <c r="H890" s="2"/>
    </row>
    <row r="891">
      <c r="A891" s="1" t="s">
        <v>557</v>
      </c>
      <c r="B891" s="1"/>
      <c r="C891" s="1">
        <v>0.0</v>
      </c>
      <c r="D891" s="2"/>
      <c r="E891" s="2"/>
      <c r="F891" s="2"/>
      <c r="G891" s="2"/>
      <c r="H891" s="2"/>
    </row>
    <row r="892">
      <c r="A892" s="1" t="s">
        <v>558</v>
      </c>
      <c r="B892" s="1"/>
      <c r="C892" s="1">
        <v>0.0</v>
      </c>
      <c r="D892" s="2"/>
      <c r="E892" s="2"/>
      <c r="F892" s="2"/>
      <c r="G892" s="2"/>
      <c r="H892" s="2"/>
    </row>
    <row r="893">
      <c r="A893" s="1" t="s">
        <v>559</v>
      </c>
      <c r="B893" s="1"/>
      <c r="C893" s="1">
        <v>0.0</v>
      </c>
      <c r="D893" s="2"/>
      <c r="E893" s="2"/>
      <c r="F893" s="2"/>
      <c r="G893" s="2"/>
      <c r="H893" s="2"/>
    </row>
    <row r="894">
      <c r="A894" s="1" t="s">
        <v>560</v>
      </c>
      <c r="B894" s="1"/>
      <c r="C894" s="1">
        <v>58.0</v>
      </c>
      <c r="D894" s="2"/>
      <c r="E894" s="2"/>
      <c r="F894" s="2"/>
      <c r="G894" s="2"/>
      <c r="H894" s="2"/>
    </row>
    <row r="895">
      <c r="A895" s="1" t="s">
        <v>561</v>
      </c>
      <c r="B895" s="1"/>
      <c r="C895" s="1">
        <v>0.0</v>
      </c>
      <c r="D895" s="2"/>
      <c r="E895" s="2"/>
      <c r="F895" s="2"/>
      <c r="G895" s="2"/>
      <c r="H895" s="2"/>
    </row>
    <row r="896">
      <c r="A896" s="1" t="s">
        <v>562</v>
      </c>
      <c r="B896" s="1"/>
      <c r="C896" s="1">
        <v>60.0</v>
      </c>
      <c r="D896" s="2"/>
      <c r="E896" s="2"/>
      <c r="F896" s="2"/>
      <c r="G896" s="2"/>
      <c r="H896" s="2"/>
    </row>
    <row r="897">
      <c r="A897" s="1" t="s">
        <v>563</v>
      </c>
      <c r="B897" s="1"/>
      <c r="C897" s="1">
        <v>0.0</v>
      </c>
      <c r="D897" s="2"/>
      <c r="E897" s="2"/>
      <c r="F897" s="2"/>
      <c r="G897" s="2"/>
      <c r="H897" s="2"/>
    </row>
    <row r="898">
      <c r="A898" s="1" t="s">
        <v>564</v>
      </c>
      <c r="B898" s="1"/>
      <c r="C898" s="1">
        <v>21.0</v>
      </c>
      <c r="D898" s="2"/>
      <c r="E898" s="2"/>
      <c r="F898" s="2"/>
      <c r="G898" s="2"/>
      <c r="H898" s="2"/>
    </row>
    <row r="899">
      <c r="A899" s="1" t="s">
        <v>565</v>
      </c>
      <c r="B899" s="1"/>
      <c r="C899" s="1">
        <v>0.0</v>
      </c>
      <c r="D899" s="2"/>
      <c r="E899" s="2"/>
      <c r="F899" s="2"/>
      <c r="G899" s="2"/>
      <c r="H899" s="2"/>
    </row>
    <row r="900">
      <c r="A900" s="1" t="s">
        <v>566</v>
      </c>
      <c r="B900" s="1"/>
      <c r="C900" s="1">
        <v>0.0</v>
      </c>
      <c r="D900" s="2"/>
      <c r="E900" s="2"/>
      <c r="F900" s="2"/>
      <c r="G900" s="2"/>
      <c r="H900" s="2"/>
    </row>
    <row r="901">
      <c r="A901" s="1" t="s">
        <v>567</v>
      </c>
      <c r="B901" s="1"/>
      <c r="C901" s="1">
        <v>0.0</v>
      </c>
      <c r="D901" s="2"/>
      <c r="E901" s="2"/>
      <c r="F901" s="2"/>
      <c r="G901" s="2"/>
      <c r="H901" s="2"/>
    </row>
    <row r="902">
      <c r="A902" s="1" t="s">
        <v>568</v>
      </c>
      <c r="B902" s="1"/>
      <c r="C902" s="1">
        <v>60.0</v>
      </c>
      <c r="D902" s="2"/>
      <c r="E902" s="2"/>
      <c r="F902" s="2"/>
      <c r="G902" s="2"/>
      <c r="H902" s="2"/>
    </row>
    <row r="903">
      <c r="A903" s="1" t="s">
        <v>569</v>
      </c>
      <c r="B903" s="1"/>
      <c r="C903" s="1">
        <v>50.0</v>
      </c>
      <c r="D903" s="2"/>
      <c r="E903" s="2"/>
      <c r="F903" s="2"/>
      <c r="G903" s="2"/>
      <c r="H903" s="2"/>
    </row>
    <row r="904">
      <c r="A904" s="1" t="s">
        <v>570</v>
      </c>
      <c r="B904" s="1"/>
      <c r="C904" s="1">
        <v>30.0</v>
      </c>
      <c r="D904" s="2"/>
      <c r="E904" s="2"/>
      <c r="F904" s="2"/>
      <c r="G904" s="2"/>
      <c r="H904" s="2"/>
    </row>
    <row r="905">
      <c r="A905" s="1" t="s">
        <v>571</v>
      </c>
      <c r="B905" s="1"/>
      <c r="C905" s="1">
        <v>0.0</v>
      </c>
      <c r="D905" s="2"/>
      <c r="E905" s="2"/>
      <c r="F905" s="2"/>
      <c r="G905" s="2"/>
      <c r="H905" s="2"/>
    </row>
    <row r="906">
      <c r="A906" s="1" t="s">
        <v>572</v>
      </c>
      <c r="B906" s="1"/>
      <c r="C906" s="1">
        <v>0.0</v>
      </c>
      <c r="D906" s="2"/>
      <c r="E906" s="2"/>
      <c r="F906" s="2"/>
      <c r="G906" s="2"/>
      <c r="H906" s="2"/>
    </row>
    <row r="907">
      <c r="A907" s="1" t="s">
        <v>573</v>
      </c>
      <c r="B907" s="1"/>
      <c r="C907" s="1" t="s">
        <v>574</v>
      </c>
      <c r="D907" s="1">
        <v>0.0</v>
      </c>
      <c r="E907" s="2"/>
      <c r="F907" s="2"/>
      <c r="G907" s="2"/>
      <c r="H907" s="2"/>
    </row>
    <row r="908">
      <c r="A908" s="1" t="s">
        <v>575</v>
      </c>
      <c r="B908" s="1"/>
      <c r="C908" s="1">
        <v>0.0</v>
      </c>
      <c r="D908" s="2"/>
      <c r="E908" s="2"/>
      <c r="F908" s="2"/>
      <c r="G908" s="2"/>
      <c r="H908" s="2"/>
    </row>
    <row r="909">
      <c r="A909" s="1" t="s">
        <v>576</v>
      </c>
      <c r="B909" s="1"/>
      <c r="C909" s="1">
        <v>0.0</v>
      </c>
      <c r="D909" s="2"/>
      <c r="E909" s="2"/>
      <c r="F909" s="2"/>
      <c r="G909" s="2"/>
      <c r="H909" s="2"/>
    </row>
    <row r="910">
      <c r="A910" s="1" t="s">
        <v>577</v>
      </c>
      <c r="B910" s="1"/>
      <c r="C910" s="1">
        <v>0.0</v>
      </c>
      <c r="D910" s="2"/>
      <c r="E910" s="2"/>
      <c r="F910" s="2"/>
      <c r="G910" s="2"/>
      <c r="H910" s="2"/>
    </row>
    <row r="911">
      <c r="A911" s="1" t="s">
        <v>578</v>
      </c>
      <c r="B911" s="1"/>
      <c r="C911" s="1">
        <v>0.0</v>
      </c>
      <c r="D911" s="2"/>
      <c r="E911" s="2"/>
      <c r="F911" s="2"/>
      <c r="G911" s="2"/>
      <c r="H911" s="2"/>
    </row>
    <row r="912">
      <c r="A912" s="1" t="s">
        <v>579</v>
      </c>
      <c r="B912" s="1"/>
      <c r="C912" s="1">
        <v>0.0</v>
      </c>
      <c r="D912" s="2"/>
      <c r="E912" s="2"/>
      <c r="F912" s="2"/>
      <c r="G912" s="2"/>
      <c r="H912" s="2"/>
    </row>
    <row r="913">
      <c r="A913" s="1" t="s">
        <v>580</v>
      </c>
      <c r="B913" s="1"/>
      <c r="C913" s="1">
        <v>0.0</v>
      </c>
      <c r="D913" s="2"/>
      <c r="E913" s="2"/>
      <c r="F913" s="2"/>
      <c r="G913" s="2"/>
      <c r="H913" s="2"/>
    </row>
    <row r="914">
      <c r="A914" s="1" t="s">
        <v>581</v>
      </c>
      <c r="B914" s="1"/>
      <c r="C914" s="1">
        <v>0.0</v>
      </c>
      <c r="D914" s="2"/>
      <c r="E914" s="2"/>
      <c r="F914" s="2"/>
      <c r="G914" s="2"/>
      <c r="H914" s="2"/>
    </row>
    <row r="915">
      <c r="A915" s="1" t="s">
        <v>510</v>
      </c>
      <c r="B915" s="1"/>
      <c r="C915" s="1">
        <v>0.0</v>
      </c>
      <c r="D915" s="2"/>
      <c r="E915" s="2"/>
      <c r="F915" s="2"/>
      <c r="G915" s="2"/>
      <c r="H915" s="2"/>
    </row>
    <row r="916">
      <c r="A916" s="1" t="s">
        <v>511</v>
      </c>
      <c r="B916" s="1"/>
      <c r="C916" s="1">
        <v>99.0</v>
      </c>
      <c r="D916" s="2"/>
      <c r="E916" s="2"/>
      <c r="F916" s="2"/>
      <c r="G916" s="2"/>
      <c r="H916" s="2"/>
    </row>
    <row r="917">
      <c r="A917" s="1" t="s">
        <v>512</v>
      </c>
      <c r="B917" s="1"/>
      <c r="C917" s="1">
        <v>15.0</v>
      </c>
      <c r="D917" s="2"/>
      <c r="E917" s="2"/>
      <c r="F917" s="2"/>
      <c r="G917" s="2"/>
      <c r="H917" s="2"/>
    </row>
    <row r="918">
      <c r="A918" s="1" t="s">
        <v>513</v>
      </c>
      <c r="B918" s="1"/>
      <c r="C918" s="1">
        <v>0.0</v>
      </c>
      <c r="D918" s="2"/>
      <c r="E918" s="2"/>
      <c r="F918" s="2"/>
      <c r="G918" s="2"/>
      <c r="H918" s="2"/>
    </row>
    <row r="919">
      <c r="A919" s="1" t="s">
        <v>514</v>
      </c>
      <c r="B919" s="1"/>
      <c r="C919" s="1">
        <v>0.0</v>
      </c>
      <c r="D919" s="2"/>
      <c r="E919" s="2"/>
      <c r="F919" s="2"/>
      <c r="G919" s="2"/>
      <c r="H919" s="2"/>
    </row>
    <row r="920">
      <c r="A920" s="1" t="s">
        <v>515</v>
      </c>
      <c r="B920" s="1"/>
      <c r="C920" s="1">
        <v>64.0</v>
      </c>
      <c r="D920" s="2"/>
      <c r="E920" s="2"/>
      <c r="F920" s="2"/>
      <c r="G920" s="2"/>
      <c r="H920" s="2"/>
    </row>
    <row r="921">
      <c r="A921" s="1" t="s">
        <v>516</v>
      </c>
      <c r="B921" s="1"/>
      <c r="C921" s="1">
        <v>0.0</v>
      </c>
      <c r="D921" s="2"/>
      <c r="E921" s="2"/>
      <c r="F921" s="2"/>
      <c r="G921" s="2"/>
      <c r="H921" s="2"/>
    </row>
    <row r="922">
      <c r="A922" s="1" t="s">
        <v>517</v>
      </c>
      <c r="B922" s="1"/>
      <c r="C922" s="1">
        <v>0.0</v>
      </c>
      <c r="D922" s="2"/>
      <c r="E922" s="2"/>
      <c r="F922" s="2"/>
      <c r="G922" s="2"/>
      <c r="H922" s="2"/>
    </row>
    <row r="923">
      <c r="A923" s="1" t="s">
        <v>518</v>
      </c>
      <c r="B923" s="1"/>
      <c r="C923" s="1">
        <v>0.0</v>
      </c>
      <c r="D923" s="2"/>
      <c r="E923" s="2"/>
      <c r="F923" s="2"/>
      <c r="G923" s="2"/>
      <c r="H923" s="2"/>
    </row>
    <row r="924">
      <c r="A924" s="1" t="s">
        <v>519</v>
      </c>
      <c r="B924" s="1"/>
      <c r="C924" s="1">
        <v>0.0</v>
      </c>
      <c r="D924" s="2"/>
      <c r="E924" s="2"/>
      <c r="F924" s="2"/>
      <c r="G924" s="2"/>
      <c r="H924" s="2"/>
    </row>
    <row r="925">
      <c r="A925" s="1" t="s">
        <v>520</v>
      </c>
      <c r="B925" s="1"/>
      <c r="C925" s="1">
        <v>0.0</v>
      </c>
      <c r="D925" s="2"/>
      <c r="E925" s="2"/>
      <c r="F925" s="2"/>
      <c r="G925" s="2"/>
      <c r="H925" s="2"/>
    </row>
    <row r="926">
      <c r="A926" s="1" t="s">
        <v>521</v>
      </c>
      <c r="B926" s="1"/>
      <c r="C926" s="1">
        <v>62.0</v>
      </c>
      <c r="D926" s="2"/>
      <c r="E926" s="2"/>
      <c r="F926" s="2"/>
      <c r="G926" s="2"/>
      <c r="H926" s="2"/>
    </row>
    <row r="927">
      <c r="A927" s="1" t="s">
        <v>522</v>
      </c>
      <c r="B927" s="1"/>
      <c r="C927" s="1">
        <v>82.0</v>
      </c>
      <c r="D927" s="2"/>
      <c r="E927" s="2"/>
      <c r="F927" s="2"/>
      <c r="G927" s="2"/>
      <c r="H927" s="2"/>
    </row>
    <row r="928">
      <c r="A928" s="1" t="s">
        <v>523</v>
      </c>
      <c r="B928" s="1"/>
      <c r="C928" s="1">
        <v>0.0</v>
      </c>
      <c r="D928" s="2"/>
      <c r="E928" s="2"/>
      <c r="F928" s="2"/>
      <c r="G928" s="2"/>
      <c r="H928" s="2"/>
    </row>
    <row r="929">
      <c r="A929" s="1" t="s">
        <v>524</v>
      </c>
      <c r="B929" s="1"/>
      <c r="C929" s="1">
        <v>60.0</v>
      </c>
      <c r="D929" s="2"/>
      <c r="E929" s="2"/>
      <c r="F929" s="2"/>
      <c r="G929" s="2"/>
      <c r="H929" s="2"/>
    </row>
    <row r="930">
      <c r="A930" s="1" t="s">
        <v>525</v>
      </c>
      <c r="B930" s="1"/>
      <c r="C930" s="1">
        <v>0.0</v>
      </c>
      <c r="D930" s="2"/>
      <c r="E930" s="2"/>
      <c r="F930" s="2"/>
      <c r="G930" s="2"/>
      <c r="H930" s="2"/>
    </row>
    <row r="931">
      <c r="A931" s="1" t="s">
        <v>526</v>
      </c>
      <c r="B931" s="1"/>
      <c r="C931" s="1">
        <v>90.0</v>
      </c>
      <c r="D931" s="2"/>
      <c r="E931" s="2"/>
      <c r="F931" s="2"/>
      <c r="G931" s="2"/>
      <c r="H931" s="2"/>
    </row>
    <row r="932">
      <c r="A932" s="1" t="s">
        <v>527</v>
      </c>
      <c r="B932" s="1"/>
      <c r="C932" s="1">
        <v>0.0</v>
      </c>
      <c r="D932" s="2"/>
      <c r="E932" s="2"/>
      <c r="F932" s="2"/>
      <c r="G932" s="2"/>
      <c r="H932" s="2"/>
    </row>
    <row r="933">
      <c r="A933" s="1" t="s">
        <v>528</v>
      </c>
      <c r="B933" s="1"/>
      <c r="C933" s="1">
        <v>0.0</v>
      </c>
      <c r="D933" s="2"/>
      <c r="E933" s="2"/>
      <c r="F933" s="2"/>
      <c r="G933" s="2"/>
      <c r="H933" s="2"/>
    </row>
    <row r="934">
      <c r="A934" s="1" t="s">
        <v>529</v>
      </c>
      <c r="B934" s="1"/>
      <c r="C934" s="1">
        <v>0.0</v>
      </c>
      <c r="D934" s="2"/>
      <c r="E934" s="2"/>
      <c r="F934" s="2"/>
      <c r="G934" s="2"/>
      <c r="H934" s="2"/>
    </row>
    <row r="935">
      <c r="A935" s="1" t="s">
        <v>530</v>
      </c>
      <c r="B935" s="1"/>
      <c r="C935" s="1">
        <v>0.0</v>
      </c>
      <c r="D935" s="2"/>
      <c r="E935" s="2"/>
      <c r="F935" s="2"/>
      <c r="G935" s="2"/>
      <c r="H935" s="2"/>
    </row>
    <row r="936">
      <c r="A936" s="1" t="s">
        <v>531</v>
      </c>
      <c r="B936" s="1"/>
      <c r="C936" s="1">
        <v>0.0</v>
      </c>
      <c r="D936" s="2"/>
      <c r="E936" s="2"/>
      <c r="F936" s="2"/>
      <c r="G936" s="2"/>
      <c r="H936" s="2"/>
    </row>
    <row r="937">
      <c r="A937" s="1" t="s">
        <v>532</v>
      </c>
      <c r="B937" s="1"/>
      <c r="C937" s="1">
        <v>24.0</v>
      </c>
      <c r="D937" s="2"/>
      <c r="E937" s="2"/>
      <c r="F937" s="2"/>
      <c r="G937" s="2"/>
      <c r="H937" s="2"/>
    </row>
    <row r="938">
      <c r="A938" s="1" t="s">
        <v>533</v>
      </c>
      <c r="B938" s="1"/>
      <c r="C938" s="1">
        <v>21.0</v>
      </c>
      <c r="D938" s="2"/>
      <c r="E938" s="2"/>
      <c r="F938" s="2"/>
      <c r="G938" s="2"/>
      <c r="H938" s="2"/>
    </row>
    <row r="939">
      <c r="A939" s="1" t="s">
        <v>534</v>
      </c>
      <c r="B939" s="1"/>
      <c r="C939" s="1">
        <v>0.0</v>
      </c>
      <c r="D939" s="2"/>
      <c r="E939" s="2"/>
      <c r="F939" s="2"/>
      <c r="G939" s="2"/>
      <c r="H939" s="2"/>
    </row>
    <row r="940">
      <c r="A940" s="1" t="s">
        <v>535</v>
      </c>
      <c r="B940" s="1"/>
      <c r="C940" s="1">
        <v>28.0</v>
      </c>
      <c r="D940" s="2"/>
      <c r="E940" s="2"/>
      <c r="F940" s="2"/>
      <c r="G940" s="2"/>
      <c r="H940" s="2"/>
    </row>
    <row r="941">
      <c r="A941" s="1" t="s">
        <v>536</v>
      </c>
      <c r="B941" s="1"/>
      <c r="C941" s="1">
        <v>0.0</v>
      </c>
      <c r="D941" s="2"/>
      <c r="E941" s="2"/>
      <c r="F941" s="2"/>
      <c r="G941" s="2"/>
      <c r="H941" s="2"/>
    </row>
    <row r="942">
      <c r="A942" s="1" t="s">
        <v>537</v>
      </c>
      <c r="B942" s="1"/>
      <c r="C942" s="1">
        <v>0.0</v>
      </c>
      <c r="D942" s="2"/>
      <c r="E942" s="2"/>
      <c r="F942" s="2"/>
      <c r="G942" s="2"/>
      <c r="H942" s="2"/>
    </row>
    <row r="943">
      <c r="A943" s="1" t="s">
        <v>538</v>
      </c>
      <c r="B943" s="1"/>
      <c r="C943" s="1">
        <v>50.0</v>
      </c>
      <c r="D943" s="2"/>
      <c r="E943" s="2"/>
      <c r="F943" s="2"/>
      <c r="G943" s="2"/>
      <c r="H943" s="2"/>
    </row>
    <row r="944">
      <c r="A944" s="1" t="s">
        <v>539</v>
      </c>
      <c r="B944" s="1"/>
      <c r="C944" s="1">
        <v>58.0</v>
      </c>
      <c r="D944" s="2"/>
      <c r="E944" s="2"/>
      <c r="F944" s="2"/>
      <c r="G944" s="2"/>
      <c r="H944" s="2"/>
    </row>
    <row r="945">
      <c r="A945" s="1" t="s">
        <v>540</v>
      </c>
      <c r="B945" s="1"/>
      <c r="C945" s="1">
        <v>0.0</v>
      </c>
      <c r="D945" s="2"/>
      <c r="E945" s="2"/>
      <c r="F945" s="2"/>
      <c r="G945" s="2"/>
      <c r="H945" s="2"/>
    </row>
    <row r="946">
      <c r="A946" s="1" t="s">
        <v>541</v>
      </c>
      <c r="B946" s="1"/>
      <c r="C946" s="1">
        <v>0.0</v>
      </c>
      <c r="D946" s="2"/>
      <c r="E946" s="2"/>
      <c r="F946" s="2"/>
      <c r="G946" s="2"/>
      <c r="H946" s="2"/>
    </row>
    <row r="947">
      <c r="A947" s="1" t="s">
        <v>542</v>
      </c>
      <c r="B947" s="1"/>
      <c r="C947" s="1">
        <v>0.0</v>
      </c>
      <c r="D947" s="2"/>
      <c r="E947" s="2"/>
      <c r="F947" s="2"/>
      <c r="G947" s="2"/>
      <c r="H947" s="2"/>
    </row>
    <row r="948">
      <c r="A948" s="1" t="s">
        <v>543</v>
      </c>
      <c r="B948" s="1"/>
      <c r="C948" s="1">
        <v>0.0</v>
      </c>
      <c r="D948" s="2"/>
      <c r="E948" s="2"/>
      <c r="F948" s="2"/>
      <c r="G948" s="2"/>
      <c r="H948" s="2"/>
    </row>
    <row r="949">
      <c r="A949" s="1" t="s">
        <v>544</v>
      </c>
      <c r="B949" s="1"/>
      <c r="C949" s="1">
        <v>85.0</v>
      </c>
      <c r="D949" s="2"/>
      <c r="E949" s="2"/>
      <c r="F949" s="2"/>
      <c r="G949" s="2"/>
      <c r="H949" s="2"/>
    </row>
    <row r="950">
      <c r="A950" s="1" t="s">
        <v>545</v>
      </c>
      <c r="B950" s="1"/>
      <c r="C950" s="1">
        <v>0.0</v>
      </c>
      <c r="D950" s="2"/>
      <c r="E950" s="2"/>
      <c r="F950" s="2"/>
      <c r="G950" s="2"/>
      <c r="H950" s="2"/>
    </row>
    <row r="951">
      <c r="A951" s="1" t="s">
        <v>546</v>
      </c>
      <c r="B951" s="1"/>
      <c r="C951" s="1">
        <v>5.0</v>
      </c>
      <c r="D951" s="2"/>
      <c r="E951" s="2"/>
      <c r="F951" s="2"/>
      <c r="G951" s="2"/>
      <c r="H951" s="2"/>
    </row>
    <row r="952">
      <c r="A952" s="1" t="s">
        <v>547</v>
      </c>
      <c r="B952" s="1"/>
      <c r="C952" s="1">
        <v>0.0</v>
      </c>
      <c r="D952" s="2"/>
      <c r="E952" s="2"/>
      <c r="F952" s="2"/>
      <c r="G952" s="2"/>
      <c r="H952" s="2"/>
    </row>
    <row r="953">
      <c r="A953" s="1" t="s">
        <v>548</v>
      </c>
      <c r="B953" s="1"/>
      <c r="C953" s="1">
        <v>0.0</v>
      </c>
      <c r="D953" s="2"/>
      <c r="E953" s="2"/>
      <c r="F953" s="2"/>
      <c r="G953" s="2"/>
      <c r="H953" s="2"/>
    </row>
    <row r="954">
      <c r="A954" s="1" t="s">
        <v>549</v>
      </c>
      <c r="B954" s="1"/>
      <c r="C954" s="1" t="s">
        <v>550</v>
      </c>
      <c r="D954" s="1">
        <v>0.0</v>
      </c>
      <c r="E954" s="2"/>
      <c r="F954" s="2"/>
      <c r="G954" s="2"/>
      <c r="H954" s="2"/>
    </row>
    <row r="955">
      <c r="A955" s="1" t="s">
        <v>551</v>
      </c>
      <c r="B955" s="1"/>
      <c r="C955" s="1" t="s">
        <v>552</v>
      </c>
      <c r="D955" s="1">
        <v>18.0</v>
      </c>
      <c r="E955" s="2"/>
      <c r="F955" s="2"/>
      <c r="G955" s="2"/>
      <c r="H955" s="2"/>
    </row>
    <row r="956">
      <c r="A956" s="1" t="s">
        <v>553</v>
      </c>
      <c r="B956" s="1"/>
      <c r="C956" s="1">
        <v>0.0</v>
      </c>
      <c r="D956" s="2"/>
      <c r="E956" s="2"/>
      <c r="F956" s="2"/>
      <c r="G956" s="2"/>
      <c r="H956" s="2"/>
    </row>
    <row r="957">
      <c r="A957" s="1" t="s">
        <v>554</v>
      </c>
      <c r="B957" s="1"/>
      <c r="C957" s="1">
        <v>0.0</v>
      </c>
      <c r="D957" s="2"/>
      <c r="E957" s="2"/>
      <c r="F957" s="2"/>
      <c r="G957" s="2"/>
      <c r="H957" s="2"/>
    </row>
    <row r="958">
      <c r="A958" s="1" t="s">
        <v>555</v>
      </c>
      <c r="B958" s="1"/>
      <c r="C958" s="1">
        <v>46.0</v>
      </c>
      <c r="D958" s="2"/>
      <c r="E958" s="2"/>
      <c r="F958" s="2"/>
      <c r="G958" s="2"/>
      <c r="H958" s="2"/>
    </row>
    <row r="959">
      <c r="A959" s="1" t="s">
        <v>556</v>
      </c>
      <c r="B959" s="1"/>
      <c r="C959" s="1">
        <v>0.0</v>
      </c>
      <c r="D959" s="2"/>
      <c r="E959" s="2"/>
      <c r="F959" s="2"/>
      <c r="G959" s="2"/>
      <c r="H959" s="2"/>
    </row>
    <row r="960">
      <c r="A960" s="1" t="s">
        <v>557</v>
      </c>
      <c r="B960" s="1"/>
      <c r="C960" s="1">
        <v>0.0</v>
      </c>
      <c r="D960" s="2"/>
      <c r="E960" s="2"/>
      <c r="F960" s="2"/>
      <c r="G960" s="2"/>
      <c r="H960" s="2"/>
    </row>
    <row r="961">
      <c r="A961" s="1" t="s">
        <v>558</v>
      </c>
      <c r="B961" s="1"/>
      <c r="C961" s="1">
        <v>0.0</v>
      </c>
      <c r="D961" s="2"/>
      <c r="E961" s="2"/>
      <c r="F961" s="2"/>
      <c r="G961" s="2"/>
      <c r="H961" s="2"/>
    </row>
    <row r="962">
      <c r="A962" s="1" t="s">
        <v>559</v>
      </c>
      <c r="B962" s="1"/>
      <c r="C962" s="1">
        <v>0.0</v>
      </c>
      <c r="D962" s="2"/>
      <c r="E962" s="2"/>
      <c r="F962" s="2"/>
      <c r="G962" s="2"/>
      <c r="H962" s="2"/>
    </row>
    <row r="963">
      <c r="A963" s="1" t="s">
        <v>560</v>
      </c>
      <c r="B963" s="1"/>
      <c r="C963" s="1">
        <v>58.0</v>
      </c>
      <c r="D963" s="2"/>
      <c r="E963" s="2"/>
      <c r="F963" s="2"/>
      <c r="G963" s="2"/>
      <c r="H963" s="2"/>
    </row>
    <row r="964">
      <c r="A964" s="1" t="s">
        <v>561</v>
      </c>
      <c r="B964" s="1"/>
      <c r="C964" s="1">
        <v>0.0</v>
      </c>
      <c r="D964" s="2"/>
      <c r="E964" s="2"/>
      <c r="F964" s="2"/>
      <c r="G964" s="2"/>
      <c r="H964" s="2"/>
    </row>
    <row r="965">
      <c r="A965" s="1" t="s">
        <v>562</v>
      </c>
      <c r="B965" s="1"/>
      <c r="C965" s="1">
        <v>60.0</v>
      </c>
      <c r="D965" s="2"/>
      <c r="E965" s="2"/>
      <c r="F965" s="2"/>
      <c r="G965" s="2"/>
      <c r="H965" s="2"/>
    </row>
    <row r="966">
      <c r="A966" s="1" t="s">
        <v>563</v>
      </c>
      <c r="B966" s="1"/>
      <c r="C966" s="1">
        <v>0.0</v>
      </c>
      <c r="D966" s="2"/>
      <c r="E966" s="2"/>
      <c r="F966" s="2"/>
      <c r="G966" s="2"/>
      <c r="H966" s="2"/>
    </row>
    <row r="967">
      <c r="A967" s="1" t="s">
        <v>564</v>
      </c>
      <c r="B967" s="1"/>
      <c r="C967" s="1">
        <v>21.0</v>
      </c>
      <c r="D967" s="2"/>
      <c r="E967" s="2"/>
      <c r="F967" s="2"/>
      <c r="G967" s="2"/>
      <c r="H967" s="2"/>
    </row>
    <row r="968">
      <c r="A968" s="1" t="s">
        <v>565</v>
      </c>
      <c r="B968" s="1"/>
      <c r="C968" s="1">
        <v>0.0</v>
      </c>
      <c r="D968" s="2"/>
      <c r="E968" s="2"/>
      <c r="F968" s="2"/>
      <c r="G968" s="2"/>
      <c r="H968" s="2"/>
    </row>
    <row r="969">
      <c r="A969" s="1" t="s">
        <v>566</v>
      </c>
      <c r="B969" s="1"/>
      <c r="C969" s="1">
        <v>0.0</v>
      </c>
      <c r="D969" s="2"/>
      <c r="E969" s="2"/>
      <c r="F969" s="2"/>
      <c r="G969" s="2"/>
      <c r="H969" s="2"/>
    </row>
    <row r="970">
      <c r="A970" s="1" t="s">
        <v>567</v>
      </c>
      <c r="B970" s="1"/>
      <c r="C970" s="1">
        <v>0.0</v>
      </c>
      <c r="D970" s="2"/>
      <c r="E970" s="2"/>
      <c r="F970" s="2"/>
      <c r="G970" s="2"/>
      <c r="H970" s="2"/>
    </row>
    <row r="971">
      <c r="A971" s="1" t="s">
        <v>568</v>
      </c>
      <c r="B971" s="1"/>
      <c r="C971" s="1">
        <v>60.0</v>
      </c>
      <c r="D971" s="2"/>
      <c r="E971" s="2"/>
      <c r="F971" s="2"/>
      <c r="G971" s="2"/>
      <c r="H971" s="2"/>
    </row>
    <row r="972">
      <c r="A972" s="1" t="s">
        <v>569</v>
      </c>
      <c r="B972" s="1"/>
      <c r="C972" s="1">
        <v>50.0</v>
      </c>
      <c r="D972" s="2"/>
      <c r="E972" s="2"/>
      <c r="F972" s="2"/>
      <c r="G972" s="2"/>
      <c r="H972" s="2"/>
    </row>
    <row r="973">
      <c r="A973" s="1" t="s">
        <v>570</v>
      </c>
      <c r="B973" s="1"/>
      <c r="C973" s="1">
        <v>30.0</v>
      </c>
      <c r="D973" s="2"/>
      <c r="E973" s="2"/>
      <c r="F973" s="2"/>
      <c r="G973" s="2"/>
      <c r="H973" s="2"/>
    </row>
    <row r="974">
      <c r="A974" s="1" t="s">
        <v>571</v>
      </c>
      <c r="B974" s="1"/>
      <c r="C974" s="1">
        <v>0.0</v>
      </c>
      <c r="D974" s="2"/>
      <c r="E974" s="2"/>
      <c r="F974" s="2"/>
      <c r="G974" s="2"/>
      <c r="H974" s="2"/>
    </row>
    <row r="975">
      <c r="A975" s="1" t="s">
        <v>572</v>
      </c>
      <c r="B975" s="1"/>
      <c r="C975" s="1">
        <v>0.0</v>
      </c>
      <c r="D975" s="2"/>
      <c r="E975" s="2"/>
      <c r="F975" s="2"/>
      <c r="G975" s="2"/>
      <c r="H975" s="2"/>
    </row>
    <row r="976">
      <c r="A976" s="1" t="s">
        <v>573</v>
      </c>
      <c r="B976" s="1"/>
      <c r="C976" s="1" t="s">
        <v>574</v>
      </c>
      <c r="D976" s="1">
        <v>0.0</v>
      </c>
      <c r="E976" s="2"/>
      <c r="F976" s="2"/>
      <c r="G976" s="2"/>
      <c r="H976" s="2"/>
    </row>
    <row r="977">
      <c r="A977" s="1" t="s">
        <v>575</v>
      </c>
      <c r="B977" s="1"/>
      <c r="C977" s="1">
        <v>0.0</v>
      </c>
      <c r="D977" s="2"/>
      <c r="E977" s="2"/>
      <c r="F977" s="2"/>
      <c r="G977" s="2"/>
      <c r="H977" s="2"/>
    </row>
    <row r="978">
      <c r="A978" s="1" t="s">
        <v>576</v>
      </c>
      <c r="B978" s="1"/>
      <c r="C978" s="1">
        <v>0.0</v>
      </c>
      <c r="D978" s="2"/>
      <c r="E978" s="2"/>
      <c r="F978" s="2"/>
      <c r="G978" s="2"/>
      <c r="H978" s="2"/>
    </row>
    <row r="979">
      <c r="A979" s="1" t="s">
        <v>577</v>
      </c>
      <c r="B979" s="1"/>
      <c r="C979" s="1">
        <v>0.0</v>
      </c>
      <c r="D979" s="2"/>
      <c r="E979" s="2"/>
      <c r="F979" s="2"/>
      <c r="G979" s="2"/>
      <c r="H979" s="2"/>
    </row>
    <row r="980">
      <c r="A980" s="1" t="s">
        <v>578</v>
      </c>
      <c r="B980" s="1"/>
      <c r="C980" s="1">
        <v>0.0</v>
      </c>
      <c r="D980" s="2"/>
      <c r="E980" s="2"/>
      <c r="F980" s="2"/>
      <c r="G980" s="2"/>
      <c r="H980" s="2"/>
    </row>
    <row r="981">
      <c r="A981" s="1" t="s">
        <v>579</v>
      </c>
      <c r="B981" s="1"/>
      <c r="C981" s="1">
        <v>0.0</v>
      </c>
      <c r="D981" s="2"/>
      <c r="E981" s="2"/>
      <c r="F981" s="2"/>
      <c r="G981" s="2"/>
      <c r="H981" s="2"/>
    </row>
    <row r="982">
      <c r="A982" s="1" t="s">
        <v>580</v>
      </c>
      <c r="B982" s="1"/>
      <c r="C982" s="1">
        <v>0.0</v>
      </c>
      <c r="D982" s="2"/>
      <c r="E982" s="2"/>
      <c r="F982" s="2"/>
      <c r="G982" s="2"/>
      <c r="H982" s="2"/>
    </row>
    <row r="983">
      <c r="A983" s="1" t="s">
        <v>581</v>
      </c>
      <c r="B983" s="1"/>
      <c r="C983" s="1">
        <v>0.0</v>
      </c>
      <c r="D983" s="2"/>
      <c r="E983" s="2"/>
      <c r="F983" s="2"/>
      <c r="G983" s="2"/>
      <c r="H983" s="2"/>
    </row>
    <row r="984">
      <c r="A984" s="1" t="s">
        <v>582</v>
      </c>
      <c r="B984" s="1"/>
      <c r="C984" s="1">
        <v>0.0</v>
      </c>
      <c r="D984" s="2"/>
      <c r="E984" s="2"/>
      <c r="F984" s="2"/>
      <c r="G984" s="2"/>
      <c r="H984" s="2"/>
    </row>
    <row r="985">
      <c r="A985" s="1" t="s">
        <v>583</v>
      </c>
      <c r="B985" s="1"/>
      <c r="C985" s="1">
        <v>62.0</v>
      </c>
      <c r="D985" s="2"/>
      <c r="E985" s="2"/>
      <c r="F985" s="2"/>
      <c r="G985" s="2"/>
      <c r="H985" s="2"/>
    </row>
    <row r="986">
      <c r="A986" s="1" t="s">
        <v>584</v>
      </c>
      <c r="B986" s="1"/>
      <c r="C986" s="1">
        <v>0.0</v>
      </c>
      <c r="D986" s="2"/>
      <c r="E986" s="2"/>
      <c r="F986" s="2"/>
      <c r="G986" s="2"/>
      <c r="H986" s="2"/>
    </row>
    <row r="987">
      <c r="A987" s="1" t="s">
        <v>585</v>
      </c>
      <c r="B987" s="1"/>
      <c r="C987" s="1">
        <v>0.0</v>
      </c>
      <c r="D987" s="2"/>
      <c r="E987" s="2"/>
      <c r="F987" s="2"/>
      <c r="G987" s="2"/>
      <c r="H987" s="2"/>
    </row>
    <row r="988">
      <c r="A988" s="1" t="s">
        <v>586</v>
      </c>
      <c r="B988" s="1"/>
      <c r="C988" s="1">
        <v>0.0</v>
      </c>
      <c r="D988" s="2"/>
      <c r="E988" s="2"/>
      <c r="F988" s="2"/>
      <c r="G988" s="2"/>
      <c r="H988" s="2"/>
    </row>
    <row r="989">
      <c r="A989" s="1" t="s">
        <v>587</v>
      </c>
      <c r="B989" s="1"/>
      <c r="C989" s="1">
        <v>78.0</v>
      </c>
      <c r="D989" s="2"/>
      <c r="E989" s="2"/>
      <c r="F989" s="2"/>
      <c r="G989" s="2"/>
      <c r="H989" s="2"/>
    </row>
    <row r="990">
      <c r="A990" s="1" t="s">
        <v>588</v>
      </c>
      <c r="B990" s="1"/>
      <c r="C990" s="1">
        <v>0.0</v>
      </c>
      <c r="D990" s="2"/>
      <c r="E990" s="2"/>
      <c r="F990" s="2"/>
      <c r="G990" s="2"/>
      <c r="H990" s="2"/>
    </row>
    <row r="991">
      <c r="A991" s="1" t="s">
        <v>589</v>
      </c>
      <c r="B991" s="1"/>
      <c r="C991" s="1">
        <v>0.0</v>
      </c>
      <c r="D991" s="2"/>
      <c r="E991" s="2"/>
      <c r="F991" s="2"/>
      <c r="G991" s="2"/>
      <c r="H991" s="2"/>
    </row>
    <row r="992">
      <c r="A992" s="1" t="s">
        <v>590</v>
      </c>
      <c r="B992" s="1"/>
      <c r="C992" s="1">
        <v>0.0</v>
      </c>
      <c r="D992" s="2"/>
      <c r="E992" s="2"/>
      <c r="F992" s="2"/>
      <c r="G992" s="2"/>
      <c r="H992" s="2"/>
    </row>
    <row r="993">
      <c r="A993" s="1" t="s">
        <v>591</v>
      </c>
      <c r="B993" s="1"/>
      <c r="C993" s="1">
        <v>0.0</v>
      </c>
      <c r="D993" s="2"/>
      <c r="E993" s="2"/>
      <c r="F993" s="2"/>
      <c r="G993" s="2"/>
      <c r="H993" s="2"/>
    </row>
    <row r="994">
      <c r="A994" s="1" t="s">
        <v>592</v>
      </c>
      <c r="B994" s="1"/>
      <c r="C994" s="1">
        <v>0.0</v>
      </c>
      <c r="D994" s="2"/>
      <c r="E994" s="2"/>
      <c r="F994" s="2"/>
      <c r="G994" s="2"/>
      <c r="H994" s="2"/>
    </row>
    <row r="995">
      <c r="A995" s="1" t="s">
        <v>593</v>
      </c>
      <c r="B995" s="1"/>
      <c r="C995" s="1">
        <v>46.0</v>
      </c>
      <c r="D995" s="2"/>
      <c r="E995" s="2"/>
      <c r="F995" s="2"/>
      <c r="G995" s="2"/>
      <c r="H995" s="2"/>
    </row>
    <row r="996">
      <c r="A996" s="1" t="s">
        <v>594</v>
      </c>
      <c r="B996" s="1"/>
      <c r="C996" s="1">
        <v>38.0</v>
      </c>
      <c r="D996" s="2"/>
      <c r="E996" s="2"/>
      <c r="F996" s="2"/>
      <c r="G996" s="2"/>
      <c r="H996" s="2"/>
    </row>
    <row r="997">
      <c r="A997" s="1" t="s">
        <v>595</v>
      </c>
      <c r="B997" s="1"/>
      <c r="C997" s="1">
        <v>79.0</v>
      </c>
      <c r="D997" s="2"/>
      <c r="E997" s="2"/>
      <c r="F997" s="2"/>
      <c r="G997" s="2"/>
      <c r="H997" s="2"/>
    </row>
    <row r="998">
      <c r="A998" s="1" t="s">
        <v>596</v>
      </c>
      <c r="B998" s="1"/>
      <c r="C998" s="1">
        <v>0.0</v>
      </c>
      <c r="D998" s="2"/>
      <c r="E998" s="2"/>
      <c r="F998" s="2"/>
      <c r="G998" s="2"/>
      <c r="H998" s="2"/>
    </row>
    <row r="999">
      <c r="A999" s="1" t="s">
        <v>597</v>
      </c>
      <c r="B999" s="1"/>
      <c r="C999" s="1">
        <v>47.0</v>
      </c>
      <c r="D999" s="2"/>
      <c r="E999" s="2"/>
      <c r="F999" s="2"/>
      <c r="G999" s="2"/>
      <c r="H999" s="2"/>
    </row>
    <row r="1000">
      <c r="A1000" s="1" t="s">
        <v>598</v>
      </c>
      <c r="B1000" s="1"/>
      <c r="C1000" s="1">
        <v>0.0</v>
      </c>
      <c r="D1000" s="2"/>
      <c r="E1000" s="2"/>
      <c r="F1000" s="2"/>
      <c r="G1000" s="2"/>
      <c r="H1000" s="2"/>
    </row>
    <row r="1001">
      <c r="A1001" s="1" t="s">
        <v>599</v>
      </c>
      <c r="B1001" s="1"/>
      <c r="C1001" s="1">
        <v>0.0</v>
      </c>
      <c r="D1001" s="2"/>
      <c r="E1001" s="2"/>
      <c r="F1001" s="2"/>
      <c r="G1001" s="2"/>
      <c r="H1001" s="2"/>
    </row>
    <row r="1002">
      <c r="A1002" s="1" t="s">
        <v>600</v>
      </c>
      <c r="B1002" s="1"/>
      <c r="C1002" s="1">
        <v>0.0</v>
      </c>
      <c r="D1002" s="2"/>
      <c r="E1002" s="2"/>
      <c r="F1002" s="2"/>
      <c r="G1002" s="2"/>
      <c r="H1002" s="2"/>
    </row>
    <row r="1003">
      <c r="A1003" s="1" t="s">
        <v>601</v>
      </c>
      <c r="B1003" s="1"/>
      <c r="C1003" s="1">
        <v>0.0</v>
      </c>
      <c r="D1003" s="2"/>
      <c r="E1003" s="2"/>
      <c r="F1003" s="2"/>
      <c r="G1003" s="2"/>
      <c r="H1003" s="2"/>
    </row>
    <row r="1004">
      <c r="A1004" s="1" t="s">
        <v>602</v>
      </c>
      <c r="B1004" s="1"/>
      <c r="C1004" s="1">
        <v>24.0</v>
      </c>
      <c r="D1004" s="2"/>
      <c r="E1004" s="2"/>
      <c r="F1004" s="2"/>
      <c r="G1004" s="2"/>
      <c r="H1004" s="2"/>
    </row>
    <row r="1005">
      <c r="A1005" s="1" t="s">
        <v>603</v>
      </c>
      <c r="B1005" s="1"/>
      <c r="C1005" s="1">
        <v>66.0</v>
      </c>
      <c r="D1005" s="2"/>
      <c r="E1005" s="2"/>
      <c r="F1005" s="2"/>
      <c r="G1005" s="2"/>
      <c r="H1005" s="2"/>
    </row>
    <row r="1006">
      <c r="A1006" s="1" t="s">
        <v>604</v>
      </c>
      <c r="B1006" s="1"/>
      <c r="C1006" s="1">
        <v>0.0</v>
      </c>
      <c r="D1006" s="2"/>
      <c r="E1006" s="2"/>
      <c r="F1006" s="2"/>
      <c r="G1006" s="2"/>
      <c r="H1006" s="2"/>
    </row>
    <row r="1007">
      <c r="A1007" s="1" t="s">
        <v>605</v>
      </c>
      <c r="B1007" s="1"/>
      <c r="C1007" s="1">
        <v>67.0</v>
      </c>
      <c r="D1007" s="2"/>
      <c r="E1007" s="2"/>
      <c r="F1007" s="2"/>
      <c r="G1007" s="2"/>
      <c r="H1007" s="2"/>
    </row>
    <row r="1008">
      <c r="A1008" s="1" t="s">
        <v>606</v>
      </c>
      <c r="B1008" s="1"/>
      <c r="C1008" s="1">
        <v>0.0</v>
      </c>
      <c r="D1008" s="2"/>
      <c r="E1008" s="2"/>
      <c r="F1008" s="2"/>
      <c r="G1008" s="2"/>
      <c r="H1008" s="2"/>
    </row>
    <row r="1009">
      <c r="A1009" s="1" t="s">
        <v>607</v>
      </c>
      <c r="B1009" s="1"/>
      <c r="C1009" s="1" t="s">
        <v>608</v>
      </c>
      <c r="D1009" s="1">
        <v>0.0</v>
      </c>
      <c r="E1009" s="2"/>
      <c r="F1009" s="2"/>
      <c r="G1009" s="2"/>
      <c r="H1009" s="2"/>
    </row>
    <row r="1010">
      <c r="A1010" s="1" t="s">
        <v>609</v>
      </c>
      <c r="B1010" s="1"/>
      <c r="C1010" s="1">
        <v>0.0</v>
      </c>
      <c r="D1010" s="2"/>
      <c r="E1010" s="2"/>
      <c r="F1010" s="2"/>
      <c r="G1010" s="2"/>
      <c r="H1010" s="2"/>
    </row>
    <row r="1011">
      <c r="A1011" s="1" t="s">
        <v>610</v>
      </c>
      <c r="B1011" s="1"/>
      <c r="C1011" s="1">
        <v>0.0</v>
      </c>
      <c r="D1011" s="2"/>
      <c r="E1011" s="2"/>
      <c r="F1011" s="2"/>
      <c r="G1011" s="2"/>
      <c r="H1011" s="2"/>
    </row>
    <row r="1012">
      <c r="A1012" s="1" t="s">
        <v>611</v>
      </c>
      <c r="B1012" s="1"/>
      <c r="C1012" s="1">
        <v>0.0</v>
      </c>
      <c r="D1012" s="2"/>
      <c r="E1012" s="2"/>
      <c r="F1012" s="2"/>
      <c r="G1012" s="2"/>
      <c r="H1012" s="2"/>
    </row>
    <row r="1013">
      <c r="A1013" s="1" t="s">
        <v>612</v>
      </c>
      <c r="B1013" s="1"/>
      <c r="C1013" s="1">
        <v>32.0</v>
      </c>
      <c r="D1013" s="2"/>
      <c r="E1013" s="2"/>
      <c r="F1013" s="2"/>
      <c r="G1013" s="2"/>
      <c r="H1013" s="2"/>
    </row>
    <row r="1014">
      <c r="A1014" s="1" t="s">
        <v>613</v>
      </c>
      <c r="B1014" s="1"/>
      <c r="C1014" s="1">
        <v>0.0</v>
      </c>
      <c r="D1014" s="2"/>
      <c r="E1014" s="2"/>
      <c r="F1014" s="2"/>
      <c r="G1014" s="2"/>
      <c r="H1014" s="2"/>
    </row>
    <row r="1015">
      <c r="A1015" s="1" t="s">
        <v>614</v>
      </c>
      <c r="B1015" s="1"/>
      <c r="C1015" s="1">
        <v>0.0</v>
      </c>
      <c r="D1015" s="2"/>
      <c r="E1015" s="2"/>
      <c r="F1015" s="2"/>
      <c r="G1015" s="2"/>
      <c r="H1015" s="2"/>
    </row>
    <row r="1016">
      <c r="A1016" s="1" t="s">
        <v>615</v>
      </c>
      <c r="B1016" s="1"/>
      <c r="C1016" s="1">
        <v>0.0</v>
      </c>
      <c r="D1016" s="2"/>
      <c r="E1016" s="2"/>
      <c r="F1016" s="2"/>
      <c r="G1016" s="2"/>
      <c r="H1016" s="2"/>
    </row>
    <row r="1017">
      <c r="A1017" s="1" t="s">
        <v>616</v>
      </c>
      <c r="B1017" s="1"/>
      <c r="C1017" s="1">
        <v>0.0</v>
      </c>
      <c r="D1017" s="2"/>
      <c r="E1017" s="2"/>
      <c r="F1017" s="2"/>
      <c r="G1017" s="2"/>
      <c r="H1017" s="2"/>
    </row>
    <row r="1018">
      <c r="A1018" s="1" t="s">
        <v>617</v>
      </c>
      <c r="B1018" s="1"/>
      <c r="C1018" s="1">
        <v>0.0</v>
      </c>
      <c r="D1018" s="2"/>
      <c r="E1018" s="2"/>
      <c r="F1018" s="2"/>
      <c r="G1018" s="2"/>
      <c r="H1018" s="2"/>
    </row>
    <row r="1019">
      <c r="A1019" s="1" t="s">
        <v>618</v>
      </c>
      <c r="B1019" s="1"/>
      <c r="C1019" s="1">
        <v>0.0</v>
      </c>
      <c r="D1019" s="2"/>
      <c r="E1019" s="2"/>
      <c r="F1019" s="2"/>
      <c r="G1019" s="2"/>
      <c r="H1019" s="2"/>
    </row>
    <row r="1020">
      <c r="A1020" s="1" t="s">
        <v>619</v>
      </c>
      <c r="B1020" s="1"/>
      <c r="C1020" s="1">
        <v>87.0</v>
      </c>
      <c r="D1020" s="2"/>
      <c r="E1020" s="2"/>
      <c r="F1020" s="2"/>
      <c r="G1020" s="2"/>
      <c r="H1020" s="2"/>
    </row>
    <row r="1021">
      <c r="A1021" s="1" t="s">
        <v>620</v>
      </c>
      <c r="B1021" s="1"/>
      <c r="C1021" s="1">
        <v>0.0</v>
      </c>
      <c r="D1021" s="2"/>
      <c r="E1021" s="2"/>
      <c r="F1021" s="2"/>
      <c r="G1021" s="2"/>
      <c r="H1021" s="2"/>
    </row>
    <row r="1022">
      <c r="A1022" s="1" t="s">
        <v>621</v>
      </c>
      <c r="B1022" s="1"/>
      <c r="C1022" s="1">
        <v>0.0</v>
      </c>
      <c r="D1022" s="2"/>
      <c r="E1022" s="2"/>
      <c r="F1022" s="2"/>
      <c r="G1022" s="2"/>
      <c r="H1022" s="2"/>
    </row>
    <row r="1023">
      <c r="A1023" s="1" t="s">
        <v>622</v>
      </c>
      <c r="B1023" s="1"/>
      <c r="C1023" s="1">
        <v>0.0</v>
      </c>
      <c r="D1023" s="2"/>
      <c r="E1023" s="2"/>
      <c r="F1023" s="2"/>
      <c r="G1023" s="2"/>
      <c r="H1023" s="2"/>
    </row>
    <row r="1024">
      <c r="A1024" s="1" t="s">
        <v>623</v>
      </c>
      <c r="B1024" s="1"/>
      <c r="C1024" s="1">
        <v>14.0</v>
      </c>
      <c r="D1024" s="2"/>
      <c r="E1024" s="2"/>
      <c r="F1024" s="2"/>
      <c r="G1024" s="2"/>
      <c r="H1024" s="2"/>
    </row>
    <row r="1025">
      <c r="A1025" s="1" t="s">
        <v>624</v>
      </c>
      <c r="B1025" s="1"/>
      <c r="C1025" s="1">
        <v>76.0</v>
      </c>
      <c r="D1025" s="2"/>
      <c r="E1025" s="2"/>
      <c r="F1025" s="2"/>
      <c r="G1025" s="2"/>
      <c r="H1025" s="2"/>
    </row>
    <row r="1026">
      <c r="A1026" s="1" t="s">
        <v>625</v>
      </c>
      <c r="B1026" s="1"/>
      <c r="C1026" s="1">
        <v>20.0</v>
      </c>
      <c r="D1026" s="2"/>
      <c r="E1026" s="2"/>
      <c r="F1026" s="2"/>
      <c r="G1026" s="2"/>
      <c r="H1026" s="2"/>
    </row>
    <row r="1027">
      <c r="A1027" s="1" t="s">
        <v>626</v>
      </c>
      <c r="B1027" s="1"/>
      <c r="C1027" s="1">
        <v>0.0</v>
      </c>
      <c r="D1027" s="2"/>
      <c r="E1027" s="2"/>
      <c r="F1027" s="2"/>
      <c r="G1027" s="2"/>
      <c r="H1027" s="2"/>
    </row>
    <row r="1028">
      <c r="A1028" s="1" t="s">
        <v>627</v>
      </c>
      <c r="B1028" s="1"/>
      <c r="C1028" s="1">
        <v>0.0</v>
      </c>
      <c r="D1028" s="2"/>
      <c r="E1028" s="2"/>
      <c r="F1028" s="2"/>
      <c r="G1028" s="2"/>
      <c r="H1028" s="2"/>
    </row>
    <row r="1029">
      <c r="A1029" s="1" t="s">
        <v>628</v>
      </c>
      <c r="B1029" s="1"/>
      <c r="C1029" s="1">
        <v>8.0</v>
      </c>
      <c r="D1029" s="2"/>
      <c r="E1029" s="2"/>
      <c r="F1029" s="2"/>
      <c r="G1029" s="2"/>
      <c r="H1029" s="2"/>
    </row>
    <row r="1030">
      <c r="A1030" s="1" t="s">
        <v>629</v>
      </c>
      <c r="B1030" s="1"/>
      <c r="C1030" s="1">
        <v>0.0</v>
      </c>
      <c r="D1030" s="2"/>
      <c r="E1030" s="2"/>
      <c r="F1030" s="2"/>
      <c r="G1030" s="2"/>
      <c r="H1030" s="2"/>
    </row>
    <row r="1031">
      <c r="A1031" s="1" t="s">
        <v>630</v>
      </c>
      <c r="B1031" s="1"/>
      <c r="C1031" s="1">
        <v>0.0</v>
      </c>
      <c r="D1031" s="2"/>
      <c r="E1031" s="2"/>
      <c r="F1031" s="2"/>
      <c r="G1031" s="2"/>
      <c r="H1031" s="2"/>
    </row>
    <row r="1032">
      <c r="A1032" s="1" t="s">
        <v>631</v>
      </c>
      <c r="B1032" s="1"/>
      <c r="C1032" s="1">
        <v>0.0</v>
      </c>
      <c r="D1032" s="2"/>
      <c r="E1032" s="2"/>
      <c r="F1032" s="2"/>
      <c r="G1032" s="2"/>
      <c r="H1032" s="2"/>
    </row>
    <row r="1033">
      <c r="A1033" s="1" t="s">
        <v>632</v>
      </c>
      <c r="B1033" s="1"/>
      <c r="C1033" s="1">
        <v>78.0</v>
      </c>
      <c r="D1033" s="2"/>
      <c r="E1033" s="2"/>
      <c r="F1033" s="2"/>
      <c r="G1033" s="2"/>
      <c r="H1033" s="2"/>
    </row>
    <row r="1034">
      <c r="A1034" s="1" t="s">
        <v>633</v>
      </c>
      <c r="B1034" s="1"/>
      <c r="C1034" s="1">
        <v>6.0</v>
      </c>
      <c r="D1034" s="2"/>
      <c r="E1034" s="2"/>
      <c r="F1034" s="2"/>
      <c r="G1034" s="2"/>
      <c r="H1034" s="2"/>
    </row>
    <row r="1035">
      <c r="A1035" s="1" t="s">
        <v>634</v>
      </c>
      <c r="B1035" s="1"/>
      <c r="C1035" s="1">
        <v>89.0</v>
      </c>
      <c r="D1035" s="2"/>
      <c r="E1035" s="2"/>
      <c r="F1035" s="2"/>
      <c r="G1035" s="2"/>
      <c r="H1035" s="2"/>
    </row>
    <row r="1036">
      <c r="A1036" s="1" t="s">
        <v>635</v>
      </c>
      <c r="B1036" s="1"/>
      <c r="C1036" s="1">
        <v>38.0</v>
      </c>
      <c r="D1036" s="2"/>
      <c r="E1036" s="2"/>
      <c r="F1036" s="2"/>
      <c r="G1036" s="2"/>
      <c r="H1036" s="2"/>
    </row>
    <row r="1037">
      <c r="A1037" s="1" t="s">
        <v>636</v>
      </c>
      <c r="B1037" s="1"/>
      <c r="C1037" s="1">
        <v>68.0</v>
      </c>
      <c r="D1037" s="2"/>
      <c r="E1037" s="2"/>
      <c r="F1037" s="2"/>
      <c r="G1037" s="2"/>
      <c r="H1037" s="2"/>
    </row>
    <row r="1038">
      <c r="A1038" s="1" t="s">
        <v>637</v>
      </c>
      <c r="B1038" s="1"/>
      <c r="C1038" s="1">
        <v>0.0</v>
      </c>
      <c r="D1038" s="2"/>
      <c r="E1038" s="2"/>
      <c r="F1038" s="2"/>
      <c r="G1038" s="2"/>
      <c r="H1038" s="2"/>
    </row>
    <row r="1039">
      <c r="A1039" s="1" t="s">
        <v>638</v>
      </c>
      <c r="B1039" s="1"/>
      <c r="C1039" s="1">
        <v>0.0</v>
      </c>
      <c r="D1039" s="2"/>
      <c r="E1039" s="2"/>
      <c r="F1039" s="2"/>
      <c r="G1039" s="2"/>
      <c r="H1039" s="2"/>
    </row>
    <row r="1040">
      <c r="A1040" s="1" t="s">
        <v>639</v>
      </c>
      <c r="B1040" s="1"/>
      <c r="C1040" s="1">
        <v>0.0</v>
      </c>
      <c r="D1040" s="2"/>
      <c r="E1040" s="2"/>
      <c r="F1040" s="2"/>
      <c r="G1040" s="2"/>
      <c r="H1040" s="2"/>
    </row>
    <row r="1041">
      <c r="A1041" s="1" t="s">
        <v>640</v>
      </c>
      <c r="B1041" s="1"/>
      <c r="C1041" s="1">
        <v>90.0</v>
      </c>
      <c r="D1041" s="2"/>
      <c r="E1041" s="2"/>
      <c r="F1041" s="2"/>
      <c r="G1041" s="2"/>
      <c r="H1041" s="2"/>
    </row>
    <row r="1042">
      <c r="A1042" s="1" t="s">
        <v>641</v>
      </c>
      <c r="B1042" s="1"/>
      <c r="C1042" s="1">
        <v>0.0</v>
      </c>
      <c r="D1042" s="2"/>
      <c r="E1042" s="2"/>
      <c r="F1042" s="2"/>
      <c r="G1042" s="2"/>
      <c r="H1042" s="2"/>
    </row>
    <row r="1043">
      <c r="A1043" s="1" t="s">
        <v>642</v>
      </c>
      <c r="B1043" s="1"/>
      <c r="C1043" s="1">
        <v>0.0</v>
      </c>
      <c r="D1043" s="2"/>
      <c r="E1043" s="2"/>
      <c r="F1043" s="2"/>
      <c r="G1043" s="2"/>
      <c r="H1043" s="2"/>
    </row>
    <row r="1044">
      <c r="A1044" s="1" t="s">
        <v>643</v>
      </c>
      <c r="B1044" s="1"/>
      <c r="C1044" s="1">
        <v>57.0</v>
      </c>
      <c r="D1044" s="2"/>
      <c r="E1044" s="2"/>
      <c r="F1044" s="2"/>
      <c r="G1044" s="2"/>
      <c r="H1044" s="2"/>
    </row>
    <row r="1045">
      <c r="A1045" s="1" t="s">
        <v>644</v>
      </c>
      <c r="B1045" s="1"/>
      <c r="C1045" s="1">
        <v>20.0</v>
      </c>
      <c r="D1045" s="2"/>
      <c r="E1045" s="2"/>
      <c r="F1045" s="2"/>
      <c r="G1045" s="2"/>
      <c r="H1045" s="2"/>
    </row>
    <row r="1046">
      <c r="A1046" s="1" t="s">
        <v>645</v>
      </c>
      <c r="B1046" s="1"/>
      <c r="C1046" s="1">
        <v>0.0</v>
      </c>
      <c r="D1046" s="2"/>
      <c r="E1046" s="2"/>
      <c r="F1046" s="2"/>
      <c r="G1046" s="2"/>
      <c r="H1046" s="2"/>
    </row>
    <row r="1047">
      <c r="A1047" s="1" t="s">
        <v>646</v>
      </c>
      <c r="B1047" s="1"/>
      <c r="C1047" s="1">
        <v>50.0</v>
      </c>
      <c r="D1047" s="2"/>
      <c r="E1047" s="2"/>
      <c r="F1047" s="2"/>
      <c r="G1047" s="2"/>
      <c r="H1047" s="2"/>
    </row>
    <row r="1048">
      <c r="A1048" s="1" t="s">
        <v>647</v>
      </c>
      <c r="B1048" s="1"/>
      <c r="C1048" s="1">
        <v>0.0</v>
      </c>
      <c r="D1048" s="2"/>
      <c r="E1048" s="2"/>
      <c r="F1048" s="2"/>
      <c r="G1048" s="2"/>
      <c r="H1048" s="2"/>
    </row>
    <row r="1049">
      <c r="A1049" s="1" t="s">
        <v>648</v>
      </c>
      <c r="B1049" s="1"/>
      <c r="C1049" s="1">
        <v>0.0</v>
      </c>
      <c r="D1049" s="2"/>
      <c r="E1049" s="2"/>
      <c r="F1049" s="2"/>
      <c r="G1049" s="2"/>
      <c r="H1049" s="2"/>
    </row>
    <row r="1050">
      <c r="A1050" s="1" t="s">
        <v>649</v>
      </c>
      <c r="B1050" s="1"/>
      <c r="C1050" s="1">
        <v>0.0</v>
      </c>
      <c r="D1050" s="2"/>
      <c r="E1050" s="2"/>
      <c r="F1050" s="2"/>
      <c r="G1050" s="2"/>
      <c r="H1050" s="2"/>
    </row>
    <row r="1051">
      <c r="A1051" s="1" t="s">
        <v>650</v>
      </c>
      <c r="B1051" s="1"/>
      <c r="C1051" s="1">
        <v>0.0</v>
      </c>
      <c r="D1051" s="2"/>
      <c r="E1051" s="2"/>
      <c r="F1051" s="2"/>
      <c r="G1051" s="2"/>
      <c r="H1051" s="2"/>
    </row>
    <row r="1052">
      <c r="A1052" s="1" t="s">
        <v>651</v>
      </c>
      <c r="B1052" s="1"/>
      <c r="C1052" s="1">
        <v>0.0</v>
      </c>
      <c r="D1052" s="2"/>
      <c r="E1052" s="2"/>
      <c r="F1052" s="2"/>
      <c r="G1052" s="2"/>
      <c r="H1052" s="2"/>
    </row>
    <row r="1053">
      <c r="A1053" s="1" t="s">
        <v>582</v>
      </c>
      <c r="B1053" s="1"/>
      <c r="C1053" s="1">
        <v>0.0</v>
      </c>
      <c r="D1053" s="2"/>
      <c r="E1053" s="2"/>
      <c r="F1053" s="2"/>
      <c r="G1053" s="2"/>
      <c r="H1053" s="2"/>
    </row>
    <row r="1054">
      <c r="A1054" s="1" t="s">
        <v>583</v>
      </c>
      <c r="B1054" s="1"/>
      <c r="C1054" s="1">
        <v>62.0</v>
      </c>
      <c r="D1054" s="2"/>
      <c r="E1054" s="2"/>
      <c r="F1054" s="2"/>
      <c r="G1054" s="2"/>
      <c r="H1054" s="2"/>
    </row>
    <row r="1055">
      <c r="A1055" s="1" t="s">
        <v>584</v>
      </c>
      <c r="B1055" s="1"/>
      <c r="C1055" s="1">
        <v>0.0</v>
      </c>
      <c r="D1055" s="2"/>
      <c r="E1055" s="2"/>
      <c r="F1055" s="2"/>
      <c r="G1055" s="2"/>
      <c r="H1055" s="2"/>
    </row>
    <row r="1056">
      <c r="A1056" s="1" t="s">
        <v>585</v>
      </c>
      <c r="B1056" s="1"/>
      <c r="C1056" s="1">
        <v>0.0</v>
      </c>
      <c r="D1056" s="2"/>
      <c r="E1056" s="2"/>
      <c r="F1056" s="2"/>
      <c r="G1056" s="2"/>
      <c r="H1056" s="2"/>
    </row>
    <row r="1057">
      <c r="A1057" s="1" t="s">
        <v>586</v>
      </c>
      <c r="B1057" s="1"/>
      <c r="C1057" s="1">
        <v>0.0</v>
      </c>
      <c r="D1057" s="2"/>
      <c r="E1057" s="2"/>
      <c r="F1057" s="2"/>
      <c r="G1057" s="2"/>
      <c r="H1057" s="2"/>
    </row>
    <row r="1058">
      <c r="A1058" s="1" t="s">
        <v>587</v>
      </c>
      <c r="B1058" s="1"/>
      <c r="C1058" s="1">
        <v>78.0</v>
      </c>
      <c r="D1058" s="2"/>
      <c r="E1058" s="2"/>
      <c r="F1058" s="2"/>
      <c r="G1058" s="2"/>
      <c r="H1058" s="2"/>
    </row>
    <row r="1059">
      <c r="A1059" s="1" t="s">
        <v>588</v>
      </c>
      <c r="B1059" s="1"/>
      <c r="C1059" s="1">
        <v>0.0</v>
      </c>
      <c r="D1059" s="2"/>
      <c r="E1059" s="2"/>
      <c r="F1059" s="2"/>
      <c r="G1059" s="2"/>
      <c r="H1059" s="2"/>
    </row>
    <row r="1060">
      <c r="A1060" s="1" t="s">
        <v>589</v>
      </c>
      <c r="B1060" s="1"/>
      <c r="C1060" s="1">
        <v>0.0</v>
      </c>
      <c r="D1060" s="2"/>
      <c r="E1060" s="2"/>
      <c r="F1060" s="2"/>
      <c r="G1060" s="2"/>
      <c r="H1060" s="2"/>
    </row>
    <row r="1061">
      <c r="A1061" s="1" t="s">
        <v>590</v>
      </c>
      <c r="B1061" s="1"/>
      <c r="C1061" s="1">
        <v>0.0</v>
      </c>
      <c r="D1061" s="2"/>
      <c r="E1061" s="2"/>
      <c r="F1061" s="2"/>
      <c r="G1061" s="2"/>
      <c r="H1061" s="2"/>
    </row>
    <row r="1062">
      <c r="A1062" s="1" t="s">
        <v>591</v>
      </c>
      <c r="B1062" s="1"/>
      <c r="C1062" s="1">
        <v>0.0</v>
      </c>
      <c r="D1062" s="2"/>
      <c r="E1062" s="2"/>
      <c r="F1062" s="2"/>
      <c r="G1062" s="2"/>
      <c r="H1062" s="2"/>
    </row>
    <row r="1063">
      <c r="A1063" s="1" t="s">
        <v>592</v>
      </c>
      <c r="B1063" s="1"/>
      <c r="C1063" s="1">
        <v>0.0</v>
      </c>
      <c r="D1063" s="2"/>
      <c r="E1063" s="2"/>
      <c r="F1063" s="2"/>
      <c r="G1063" s="2"/>
      <c r="H1063" s="2"/>
    </row>
    <row r="1064">
      <c r="A1064" s="1" t="s">
        <v>593</v>
      </c>
      <c r="B1064" s="1"/>
      <c r="C1064" s="1">
        <v>46.0</v>
      </c>
      <c r="D1064" s="2"/>
      <c r="E1064" s="2"/>
      <c r="F1064" s="2"/>
      <c r="G1064" s="2"/>
      <c r="H1064" s="2"/>
    </row>
    <row r="1065">
      <c r="A1065" s="1" t="s">
        <v>594</v>
      </c>
      <c r="B1065" s="1"/>
      <c r="C1065" s="1">
        <v>38.0</v>
      </c>
      <c r="D1065" s="2"/>
      <c r="E1065" s="2"/>
      <c r="F1065" s="2"/>
      <c r="G1065" s="2"/>
      <c r="H1065" s="2"/>
    </row>
    <row r="1066">
      <c r="A1066" s="1" t="s">
        <v>595</v>
      </c>
      <c r="B1066" s="1"/>
      <c r="C1066" s="1">
        <v>79.0</v>
      </c>
      <c r="D1066" s="2"/>
      <c r="E1066" s="2"/>
      <c r="F1066" s="2"/>
      <c r="G1066" s="2"/>
      <c r="H1066" s="2"/>
    </row>
    <row r="1067">
      <c r="A1067" s="1" t="s">
        <v>596</v>
      </c>
      <c r="B1067" s="1"/>
      <c r="C1067" s="1">
        <v>0.0</v>
      </c>
      <c r="D1067" s="2"/>
      <c r="E1067" s="2"/>
      <c r="F1067" s="2"/>
      <c r="G1067" s="2"/>
      <c r="H1067" s="2"/>
    </row>
    <row r="1068">
      <c r="A1068" s="1" t="s">
        <v>597</v>
      </c>
      <c r="B1068" s="1"/>
      <c r="C1068" s="1">
        <v>47.0</v>
      </c>
      <c r="D1068" s="2"/>
      <c r="E1068" s="2"/>
      <c r="F1068" s="2"/>
      <c r="G1068" s="2"/>
      <c r="H1068" s="2"/>
    </row>
    <row r="1069">
      <c r="A1069" s="1" t="s">
        <v>598</v>
      </c>
      <c r="B1069" s="1"/>
      <c r="C1069" s="1">
        <v>0.0</v>
      </c>
      <c r="D1069" s="2"/>
      <c r="E1069" s="2"/>
      <c r="F1069" s="2"/>
      <c r="G1069" s="2"/>
      <c r="H1069" s="2"/>
    </row>
    <row r="1070">
      <c r="A1070" s="1" t="s">
        <v>599</v>
      </c>
      <c r="B1070" s="1"/>
      <c r="C1070" s="1">
        <v>0.0</v>
      </c>
      <c r="D1070" s="2"/>
      <c r="E1070" s="2"/>
      <c r="F1070" s="2"/>
      <c r="G1070" s="2"/>
      <c r="H1070" s="2"/>
    </row>
    <row r="1071">
      <c r="A1071" s="1" t="s">
        <v>600</v>
      </c>
      <c r="B1071" s="1"/>
      <c r="C1071" s="1">
        <v>0.0</v>
      </c>
      <c r="D1071" s="2"/>
      <c r="E1071" s="2"/>
      <c r="F1071" s="2"/>
      <c r="G1071" s="2"/>
      <c r="H1071" s="2"/>
    </row>
    <row r="1072">
      <c r="A1072" s="1" t="s">
        <v>601</v>
      </c>
      <c r="B1072" s="1"/>
      <c r="C1072" s="1">
        <v>0.0</v>
      </c>
      <c r="D1072" s="2"/>
      <c r="E1072" s="2"/>
      <c r="F1072" s="2"/>
      <c r="G1072" s="2"/>
      <c r="H1072" s="2"/>
    </row>
    <row r="1073">
      <c r="A1073" s="1" t="s">
        <v>602</v>
      </c>
      <c r="B1073" s="1"/>
      <c r="C1073" s="1">
        <v>24.0</v>
      </c>
      <c r="D1073" s="2"/>
      <c r="E1073" s="2"/>
      <c r="F1073" s="2"/>
      <c r="G1073" s="2"/>
      <c r="H1073" s="2"/>
    </row>
    <row r="1074">
      <c r="A1074" s="1" t="s">
        <v>603</v>
      </c>
      <c r="B1074" s="1"/>
      <c r="C1074" s="1">
        <v>66.0</v>
      </c>
      <c r="D1074" s="2"/>
      <c r="E1074" s="2"/>
      <c r="F1074" s="2"/>
      <c r="G1074" s="2"/>
      <c r="H1074" s="2"/>
    </row>
    <row r="1075">
      <c r="A1075" s="1" t="s">
        <v>604</v>
      </c>
      <c r="B1075" s="1"/>
      <c r="C1075" s="1">
        <v>0.0</v>
      </c>
      <c r="D1075" s="2"/>
      <c r="E1075" s="2"/>
      <c r="F1075" s="2"/>
      <c r="G1075" s="2"/>
      <c r="H1075" s="2"/>
    </row>
    <row r="1076">
      <c r="A1076" s="1" t="s">
        <v>605</v>
      </c>
      <c r="B1076" s="1"/>
      <c r="C1076" s="1">
        <v>67.0</v>
      </c>
      <c r="D1076" s="2"/>
      <c r="E1076" s="2"/>
      <c r="F1076" s="2"/>
      <c r="G1076" s="2"/>
      <c r="H1076" s="2"/>
    </row>
    <row r="1077">
      <c r="A1077" s="1" t="s">
        <v>606</v>
      </c>
      <c r="B1077" s="1"/>
      <c r="C1077" s="1">
        <v>0.0</v>
      </c>
      <c r="D1077" s="2"/>
      <c r="E1077" s="2"/>
      <c r="F1077" s="2"/>
      <c r="G1077" s="2"/>
      <c r="H1077" s="2"/>
    </row>
    <row r="1078">
      <c r="A1078" s="1" t="s">
        <v>607</v>
      </c>
      <c r="B1078" s="1"/>
      <c r="C1078" s="1" t="s">
        <v>608</v>
      </c>
      <c r="D1078" s="1">
        <v>0.0</v>
      </c>
      <c r="E1078" s="2"/>
      <c r="F1078" s="2"/>
      <c r="G1078" s="2"/>
      <c r="H1078" s="2"/>
    </row>
    <row r="1079">
      <c r="A1079" s="1" t="s">
        <v>609</v>
      </c>
      <c r="B1079" s="1"/>
      <c r="C1079" s="1">
        <v>0.0</v>
      </c>
      <c r="D1079" s="2"/>
      <c r="E1079" s="2"/>
      <c r="F1079" s="2"/>
      <c r="G1079" s="2"/>
      <c r="H1079" s="2"/>
    </row>
    <row r="1080">
      <c r="A1080" s="1" t="s">
        <v>610</v>
      </c>
      <c r="B1080" s="1"/>
      <c r="C1080" s="1">
        <v>0.0</v>
      </c>
      <c r="D1080" s="2"/>
      <c r="E1080" s="2"/>
      <c r="F1080" s="2"/>
      <c r="G1080" s="2"/>
      <c r="H1080" s="2"/>
    </row>
    <row r="1081">
      <c r="A1081" s="1" t="s">
        <v>611</v>
      </c>
      <c r="B1081" s="1"/>
      <c r="C1081" s="1">
        <v>0.0</v>
      </c>
      <c r="D1081" s="2"/>
      <c r="E1081" s="2"/>
      <c r="F1081" s="2"/>
      <c r="G1081" s="2"/>
      <c r="H1081" s="2"/>
    </row>
    <row r="1082">
      <c r="A1082" s="1" t="s">
        <v>612</v>
      </c>
      <c r="B1082" s="1"/>
      <c r="C1082" s="1">
        <v>32.0</v>
      </c>
      <c r="D1082" s="2"/>
      <c r="E1082" s="2"/>
      <c r="F1082" s="2"/>
      <c r="G1082" s="2"/>
      <c r="H1082" s="2"/>
    </row>
    <row r="1083">
      <c r="A1083" s="1" t="s">
        <v>613</v>
      </c>
      <c r="B1083" s="1"/>
      <c r="C1083" s="1">
        <v>0.0</v>
      </c>
      <c r="D1083" s="2"/>
      <c r="E1083" s="2"/>
      <c r="F1083" s="2"/>
      <c r="G1083" s="2"/>
      <c r="H1083" s="2"/>
    </row>
    <row r="1084">
      <c r="A1084" s="1" t="s">
        <v>614</v>
      </c>
      <c r="B1084" s="1"/>
      <c r="C1084" s="1">
        <v>0.0</v>
      </c>
      <c r="D1084" s="2"/>
      <c r="E1084" s="2"/>
      <c r="F1084" s="2"/>
      <c r="G1084" s="2"/>
      <c r="H1084" s="2"/>
    </row>
    <row r="1085">
      <c r="A1085" s="1" t="s">
        <v>615</v>
      </c>
      <c r="B1085" s="1"/>
      <c r="C1085" s="1">
        <v>0.0</v>
      </c>
      <c r="D1085" s="2"/>
      <c r="E1085" s="2"/>
      <c r="F1085" s="2"/>
      <c r="G1085" s="2"/>
      <c r="H1085" s="2"/>
    </row>
    <row r="1086">
      <c r="A1086" s="1" t="s">
        <v>616</v>
      </c>
      <c r="B1086" s="1"/>
      <c r="C1086" s="1">
        <v>0.0</v>
      </c>
      <c r="D1086" s="2"/>
      <c r="E1086" s="2"/>
      <c r="F1086" s="2"/>
      <c r="G1086" s="2"/>
      <c r="H1086" s="2"/>
    </row>
    <row r="1087">
      <c r="A1087" s="1" t="s">
        <v>617</v>
      </c>
      <c r="B1087" s="1"/>
      <c r="C1087" s="1">
        <v>0.0</v>
      </c>
      <c r="D1087" s="2"/>
      <c r="E1087" s="2"/>
      <c r="F1087" s="2"/>
      <c r="G1087" s="2"/>
      <c r="H1087" s="2"/>
    </row>
    <row r="1088">
      <c r="A1088" s="1" t="s">
        <v>618</v>
      </c>
      <c r="B1088" s="1"/>
      <c r="C1088" s="1">
        <v>0.0</v>
      </c>
      <c r="D1088" s="2"/>
      <c r="E1088" s="2"/>
      <c r="F1088" s="2"/>
      <c r="G1088" s="2"/>
      <c r="H1088" s="2"/>
    </row>
    <row r="1089">
      <c r="A1089" s="1" t="s">
        <v>619</v>
      </c>
      <c r="B1089" s="1"/>
      <c r="C1089" s="1">
        <v>87.0</v>
      </c>
      <c r="D1089" s="2"/>
      <c r="E1089" s="2"/>
      <c r="F1089" s="2"/>
      <c r="G1089" s="2"/>
      <c r="H1089" s="2"/>
    </row>
    <row r="1090">
      <c r="A1090" s="1" t="s">
        <v>620</v>
      </c>
      <c r="B1090" s="1"/>
      <c r="C1090" s="1">
        <v>0.0</v>
      </c>
      <c r="D1090" s="2"/>
      <c r="E1090" s="2"/>
      <c r="F1090" s="2"/>
      <c r="G1090" s="2"/>
      <c r="H1090" s="2"/>
    </row>
    <row r="1091">
      <c r="A1091" s="1" t="s">
        <v>621</v>
      </c>
      <c r="B1091" s="1"/>
      <c r="C1091" s="1">
        <v>0.0</v>
      </c>
      <c r="D1091" s="2"/>
      <c r="E1091" s="2"/>
      <c r="F1091" s="2"/>
      <c r="G1091" s="2"/>
      <c r="H1091" s="2"/>
    </row>
    <row r="1092">
      <c r="A1092" s="1" t="s">
        <v>622</v>
      </c>
      <c r="B1092" s="1"/>
      <c r="C1092" s="1">
        <v>0.0</v>
      </c>
      <c r="D1092" s="2"/>
      <c r="E1092" s="2"/>
      <c r="F1092" s="2"/>
      <c r="G1092" s="2"/>
      <c r="H1092" s="2"/>
    </row>
    <row r="1093">
      <c r="A1093" s="1" t="s">
        <v>623</v>
      </c>
      <c r="B1093" s="1"/>
      <c r="C1093" s="1">
        <v>14.0</v>
      </c>
      <c r="D1093" s="2"/>
      <c r="E1093" s="2"/>
      <c r="F1093" s="2"/>
      <c r="G1093" s="2"/>
      <c r="H1093" s="2"/>
    </row>
    <row r="1094">
      <c r="A1094" s="1" t="s">
        <v>624</v>
      </c>
      <c r="B1094" s="1"/>
      <c r="C1094" s="1">
        <v>76.0</v>
      </c>
      <c r="D1094" s="2"/>
      <c r="E1094" s="2"/>
      <c r="F1094" s="2"/>
      <c r="G1094" s="2"/>
      <c r="H1094" s="2"/>
    </row>
    <row r="1095">
      <c r="A1095" s="1" t="s">
        <v>625</v>
      </c>
      <c r="B1095" s="1"/>
      <c r="C1095" s="1">
        <v>20.0</v>
      </c>
      <c r="D1095" s="2"/>
      <c r="E1095" s="2"/>
      <c r="F1095" s="2"/>
      <c r="G1095" s="2"/>
      <c r="H1095" s="2"/>
    </row>
    <row r="1096">
      <c r="A1096" s="1" t="s">
        <v>626</v>
      </c>
      <c r="B1096" s="1"/>
      <c r="C1096" s="1">
        <v>0.0</v>
      </c>
      <c r="D1096" s="2"/>
      <c r="E1096" s="2"/>
      <c r="F1096" s="2"/>
      <c r="G1096" s="2"/>
      <c r="H1096" s="2"/>
    </row>
    <row r="1097">
      <c r="A1097" s="1" t="s">
        <v>627</v>
      </c>
      <c r="B1097" s="1"/>
      <c r="C1097" s="1">
        <v>0.0</v>
      </c>
      <c r="D1097" s="2"/>
      <c r="E1097" s="2"/>
      <c r="F1097" s="2"/>
      <c r="G1097" s="2"/>
      <c r="H1097" s="2"/>
    </row>
    <row r="1098">
      <c r="A1098" s="1" t="s">
        <v>628</v>
      </c>
      <c r="B1098" s="1"/>
      <c r="C1098" s="1">
        <v>8.0</v>
      </c>
      <c r="D1098" s="2"/>
      <c r="E1098" s="2"/>
      <c r="F1098" s="2"/>
      <c r="G1098" s="2"/>
      <c r="H1098" s="2"/>
    </row>
    <row r="1099">
      <c r="A1099" s="1" t="s">
        <v>629</v>
      </c>
      <c r="B1099" s="1"/>
      <c r="C1099" s="1">
        <v>0.0</v>
      </c>
      <c r="D1099" s="2"/>
      <c r="E1099" s="2"/>
      <c r="F1099" s="2"/>
      <c r="G1099" s="2"/>
      <c r="H1099" s="2"/>
    </row>
    <row r="1100">
      <c r="A1100" s="1" t="s">
        <v>630</v>
      </c>
      <c r="B1100" s="1"/>
      <c r="C1100" s="1">
        <v>0.0</v>
      </c>
      <c r="D1100" s="2"/>
      <c r="E1100" s="2"/>
      <c r="F1100" s="2"/>
      <c r="G1100" s="2"/>
      <c r="H1100" s="2"/>
    </row>
    <row r="1101">
      <c r="A1101" s="1" t="s">
        <v>631</v>
      </c>
      <c r="B1101" s="1"/>
      <c r="C1101" s="1">
        <v>0.0</v>
      </c>
      <c r="D1101" s="2"/>
      <c r="E1101" s="2"/>
      <c r="F1101" s="2"/>
      <c r="G1101" s="2"/>
      <c r="H1101" s="2"/>
    </row>
    <row r="1102">
      <c r="A1102" s="1" t="s">
        <v>632</v>
      </c>
      <c r="B1102" s="1"/>
      <c r="C1102" s="1">
        <v>78.0</v>
      </c>
      <c r="D1102" s="2"/>
      <c r="E1102" s="2"/>
      <c r="F1102" s="2"/>
      <c r="G1102" s="2"/>
      <c r="H1102" s="2"/>
    </row>
    <row r="1103">
      <c r="A1103" s="1" t="s">
        <v>633</v>
      </c>
      <c r="B1103" s="1"/>
      <c r="C1103" s="1">
        <v>6.0</v>
      </c>
      <c r="D1103" s="2"/>
      <c r="E1103" s="2"/>
      <c r="F1103" s="2"/>
      <c r="G1103" s="2"/>
      <c r="H1103" s="2"/>
    </row>
    <row r="1104">
      <c r="A1104" s="1" t="s">
        <v>634</v>
      </c>
      <c r="B1104" s="1"/>
      <c r="C1104" s="1">
        <v>89.0</v>
      </c>
      <c r="D1104" s="2"/>
      <c r="E1104" s="2"/>
      <c r="F1104" s="2"/>
      <c r="G1104" s="2"/>
      <c r="H1104" s="2"/>
    </row>
    <row r="1105">
      <c r="A1105" s="1" t="s">
        <v>635</v>
      </c>
      <c r="B1105" s="1"/>
      <c r="C1105" s="1">
        <v>38.0</v>
      </c>
      <c r="D1105" s="2"/>
      <c r="E1105" s="2"/>
      <c r="F1105" s="2"/>
      <c r="G1105" s="2"/>
      <c r="H1105" s="2"/>
    </row>
    <row r="1106">
      <c r="A1106" s="1" t="s">
        <v>636</v>
      </c>
      <c r="B1106" s="1"/>
      <c r="C1106" s="1">
        <v>68.0</v>
      </c>
      <c r="D1106" s="2"/>
      <c r="E1106" s="2"/>
      <c r="F1106" s="2"/>
      <c r="G1106" s="2"/>
      <c r="H1106" s="2"/>
    </row>
    <row r="1107">
      <c r="A1107" s="1" t="s">
        <v>637</v>
      </c>
      <c r="B1107" s="1"/>
      <c r="C1107" s="1">
        <v>0.0</v>
      </c>
      <c r="D1107" s="2"/>
      <c r="E1107" s="2"/>
      <c r="F1107" s="2"/>
      <c r="G1107" s="2"/>
      <c r="H1107" s="2"/>
    </row>
    <row r="1108">
      <c r="A1108" s="1" t="s">
        <v>638</v>
      </c>
      <c r="B1108" s="1"/>
      <c r="C1108" s="1">
        <v>0.0</v>
      </c>
      <c r="D1108" s="2"/>
      <c r="E1108" s="2"/>
      <c r="F1108" s="2"/>
      <c r="G1108" s="2"/>
      <c r="H1108" s="2"/>
    </row>
    <row r="1109">
      <c r="A1109" s="1" t="s">
        <v>639</v>
      </c>
      <c r="B1109" s="1"/>
      <c r="C1109" s="1">
        <v>0.0</v>
      </c>
      <c r="D1109" s="2"/>
      <c r="E1109" s="2"/>
      <c r="F1109" s="2"/>
      <c r="G1109" s="2"/>
      <c r="H1109" s="2"/>
    </row>
    <row r="1110">
      <c r="A1110" s="1" t="s">
        <v>640</v>
      </c>
      <c r="B1110" s="1"/>
      <c r="C1110" s="1">
        <v>90.0</v>
      </c>
      <c r="D1110" s="2"/>
      <c r="E1110" s="2"/>
      <c r="F1110" s="2"/>
      <c r="G1110" s="2"/>
      <c r="H1110" s="2"/>
    </row>
    <row r="1111">
      <c r="A1111" s="1" t="s">
        <v>641</v>
      </c>
      <c r="B1111" s="1"/>
      <c r="C1111" s="1">
        <v>0.0</v>
      </c>
      <c r="D1111" s="2"/>
      <c r="E1111" s="2"/>
      <c r="F1111" s="2"/>
      <c r="G1111" s="2"/>
      <c r="H1111" s="2"/>
    </row>
    <row r="1112">
      <c r="A1112" s="1" t="s">
        <v>642</v>
      </c>
      <c r="B1112" s="1"/>
      <c r="C1112" s="1">
        <v>0.0</v>
      </c>
      <c r="D1112" s="2"/>
      <c r="E1112" s="2"/>
      <c r="F1112" s="2"/>
      <c r="G1112" s="2"/>
      <c r="H1112" s="2"/>
    </row>
    <row r="1113">
      <c r="A1113" s="1" t="s">
        <v>643</v>
      </c>
      <c r="B1113" s="1"/>
      <c r="C1113" s="1">
        <v>57.0</v>
      </c>
      <c r="D1113" s="2"/>
      <c r="E1113" s="2"/>
      <c r="F1113" s="2"/>
      <c r="G1113" s="2"/>
      <c r="H1113" s="2"/>
    </row>
    <row r="1114">
      <c r="A1114" s="1" t="s">
        <v>644</v>
      </c>
      <c r="B1114" s="1"/>
      <c r="C1114" s="1">
        <v>20.0</v>
      </c>
      <c r="D1114" s="2"/>
      <c r="E1114" s="2"/>
      <c r="F1114" s="2"/>
      <c r="G1114" s="2"/>
      <c r="H1114" s="2"/>
    </row>
    <row r="1115">
      <c r="A1115" s="1" t="s">
        <v>645</v>
      </c>
      <c r="B1115" s="1"/>
      <c r="C1115" s="1">
        <v>0.0</v>
      </c>
      <c r="D1115" s="2"/>
      <c r="E1115" s="2"/>
      <c r="F1115" s="2"/>
      <c r="G1115" s="2"/>
      <c r="H1115" s="2"/>
    </row>
    <row r="1116">
      <c r="A1116" s="1" t="s">
        <v>646</v>
      </c>
      <c r="B1116" s="1"/>
      <c r="C1116" s="1">
        <v>50.0</v>
      </c>
      <c r="D1116" s="2"/>
      <c r="E1116" s="2"/>
      <c r="F1116" s="2"/>
      <c r="G1116" s="2"/>
      <c r="H1116" s="2"/>
    </row>
    <row r="1117">
      <c r="A1117" s="1" t="s">
        <v>647</v>
      </c>
      <c r="B1117" s="1"/>
      <c r="C1117" s="1">
        <v>0.0</v>
      </c>
      <c r="D1117" s="2"/>
      <c r="E1117" s="2"/>
      <c r="F1117" s="2"/>
      <c r="G1117" s="2"/>
      <c r="H1117" s="2"/>
    </row>
    <row r="1118">
      <c r="A1118" s="1" t="s">
        <v>648</v>
      </c>
      <c r="B1118" s="1"/>
      <c r="C1118" s="1">
        <v>0.0</v>
      </c>
      <c r="D1118" s="2"/>
      <c r="E1118" s="2"/>
      <c r="F1118" s="2"/>
      <c r="G1118" s="2"/>
      <c r="H1118" s="2"/>
    </row>
    <row r="1119">
      <c r="A1119" s="1" t="s">
        <v>649</v>
      </c>
      <c r="B1119" s="1"/>
      <c r="C1119" s="1">
        <v>0.0</v>
      </c>
      <c r="D1119" s="2"/>
      <c r="E1119" s="2"/>
      <c r="F1119" s="2"/>
      <c r="G1119" s="2"/>
      <c r="H1119" s="2"/>
    </row>
    <row r="1120">
      <c r="A1120" s="1" t="s">
        <v>650</v>
      </c>
      <c r="B1120" s="1"/>
      <c r="C1120" s="1">
        <v>0.0</v>
      </c>
      <c r="D1120" s="2"/>
      <c r="E1120" s="2"/>
      <c r="F1120" s="2"/>
      <c r="G1120" s="2"/>
      <c r="H1120" s="2"/>
    </row>
    <row r="1121">
      <c r="A1121" s="1" t="s">
        <v>651</v>
      </c>
      <c r="B1121" s="1"/>
      <c r="C1121" s="1">
        <v>0.0</v>
      </c>
      <c r="D1121" s="2"/>
      <c r="E1121" s="2"/>
      <c r="F1121" s="2"/>
      <c r="G1121" s="2"/>
      <c r="H1121" s="2"/>
    </row>
    <row r="1122">
      <c r="A1122" s="1" t="s">
        <v>652</v>
      </c>
      <c r="B1122" s="1"/>
      <c r="C1122" s="1">
        <v>0.0</v>
      </c>
      <c r="D1122" s="2"/>
      <c r="E1122" s="2"/>
      <c r="F1122" s="2"/>
      <c r="G1122" s="2"/>
      <c r="H1122" s="2"/>
    </row>
    <row r="1123">
      <c r="A1123" s="1" t="s">
        <v>653</v>
      </c>
      <c r="B1123" s="1"/>
      <c r="C1123" s="1">
        <v>0.0</v>
      </c>
      <c r="D1123" s="2"/>
      <c r="E1123" s="2"/>
      <c r="F1123" s="2"/>
      <c r="G1123" s="2"/>
      <c r="H1123" s="2"/>
    </row>
    <row r="1124">
      <c r="A1124" s="1" t="s">
        <v>654</v>
      </c>
      <c r="B1124" s="1"/>
      <c r="C1124" s="1">
        <v>0.0</v>
      </c>
      <c r="D1124" s="2"/>
      <c r="E1124" s="2"/>
      <c r="F1124" s="2"/>
      <c r="G1124" s="2"/>
      <c r="H1124" s="2"/>
    </row>
    <row r="1125">
      <c r="A1125" s="1" t="s">
        <v>655</v>
      </c>
      <c r="B1125" s="1"/>
      <c r="C1125" s="1">
        <v>92.0</v>
      </c>
      <c r="D1125" s="2"/>
      <c r="E1125" s="2"/>
      <c r="F1125" s="2"/>
      <c r="G1125" s="2"/>
      <c r="H1125" s="2"/>
    </row>
    <row r="1126">
      <c r="A1126" s="1" t="s">
        <v>656</v>
      </c>
      <c r="B1126" s="1"/>
      <c r="C1126" s="1">
        <v>0.0</v>
      </c>
      <c r="D1126" s="2"/>
      <c r="E1126" s="2"/>
      <c r="F1126" s="2"/>
      <c r="G1126" s="2"/>
      <c r="H1126" s="2"/>
    </row>
    <row r="1127">
      <c r="A1127" s="1" t="s">
        <v>657</v>
      </c>
      <c r="B1127" s="1"/>
      <c r="C1127" s="1">
        <v>0.0</v>
      </c>
      <c r="D1127" s="2"/>
      <c r="E1127" s="2"/>
      <c r="F1127" s="2"/>
      <c r="G1127" s="2"/>
      <c r="H1127" s="2"/>
    </row>
    <row r="1128">
      <c r="A1128" s="1" t="s">
        <v>658</v>
      </c>
      <c r="B1128" s="1"/>
      <c r="C1128" s="1">
        <v>0.0</v>
      </c>
      <c r="D1128" s="2"/>
      <c r="E1128" s="2"/>
      <c r="F1128" s="2"/>
      <c r="G1128" s="2"/>
      <c r="H1128" s="2"/>
    </row>
    <row r="1129">
      <c r="A1129" s="1" t="s">
        <v>659</v>
      </c>
      <c r="B1129" s="1"/>
      <c r="C1129" s="1">
        <v>0.0</v>
      </c>
      <c r="D1129" s="2"/>
      <c r="E1129" s="2"/>
      <c r="F1129" s="2"/>
      <c r="G1129" s="2"/>
      <c r="H1129" s="2"/>
    </row>
    <row r="1130">
      <c r="A1130" s="1" t="s">
        <v>660</v>
      </c>
      <c r="B1130" s="1"/>
      <c r="C1130" s="1">
        <v>0.0</v>
      </c>
      <c r="D1130" s="2"/>
      <c r="E1130" s="2"/>
      <c r="F1130" s="2"/>
      <c r="G1130" s="2"/>
      <c r="H1130" s="2"/>
    </row>
    <row r="1131">
      <c r="A1131" s="1" t="s">
        <v>661</v>
      </c>
      <c r="B1131" s="1"/>
      <c r="C1131" s="1">
        <v>0.0</v>
      </c>
      <c r="D1131" s="2"/>
      <c r="E1131" s="2"/>
      <c r="F1131" s="2"/>
      <c r="G1131" s="2"/>
      <c r="H1131" s="2"/>
    </row>
    <row r="1132">
      <c r="A1132" s="1" t="s">
        <v>662</v>
      </c>
      <c r="B1132" s="1"/>
      <c r="C1132" s="1">
        <v>0.0</v>
      </c>
      <c r="D1132" s="2"/>
      <c r="E1132" s="2"/>
      <c r="F1132" s="2"/>
      <c r="G1132" s="2"/>
      <c r="H1132" s="2"/>
    </row>
    <row r="1133">
      <c r="A1133" s="1" t="s">
        <v>663</v>
      </c>
      <c r="B1133" s="1"/>
      <c r="C1133" s="1" t="s">
        <v>664</v>
      </c>
      <c r="D1133" s="1">
        <v>0.0</v>
      </c>
      <c r="E1133" s="2"/>
      <c r="F1133" s="2"/>
      <c r="G1133" s="2"/>
      <c r="H1133" s="2"/>
    </row>
    <row r="1134">
      <c r="A1134" s="1" t="s">
        <v>665</v>
      </c>
      <c r="B1134" s="1"/>
      <c r="C1134" s="1">
        <v>0.0</v>
      </c>
      <c r="D1134" s="2"/>
      <c r="E1134" s="2"/>
      <c r="F1134" s="2"/>
      <c r="G1134" s="2"/>
      <c r="H1134" s="2"/>
    </row>
    <row r="1135">
      <c r="A1135" s="1" t="s">
        <v>666</v>
      </c>
      <c r="B1135" s="1"/>
      <c r="C1135" s="1">
        <v>0.0</v>
      </c>
      <c r="D1135" s="2"/>
      <c r="E1135" s="2"/>
      <c r="F1135" s="2"/>
      <c r="G1135" s="2"/>
      <c r="H1135" s="2"/>
    </row>
    <row r="1136">
      <c r="A1136" s="1" t="s">
        <v>667</v>
      </c>
      <c r="B1136" s="1"/>
      <c r="C1136" s="1">
        <v>68.0</v>
      </c>
      <c r="D1136" s="2"/>
      <c r="E1136" s="2"/>
      <c r="F1136" s="2"/>
      <c r="G1136" s="2"/>
      <c r="H1136" s="2"/>
    </row>
    <row r="1137">
      <c r="A1137" s="1" t="s">
        <v>668</v>
      </c>
      <c r="B1137" s="1"/>
      <c r="C1137" s="1">
        <v>0.0</v>
      </c>
      <c r="D1137" s="2"/>
      <c r="E1137" s="2"/>
      <c r="F1137" s="2"/>
      <c r="G1137" s="2"/>
      <c r="H1137" s="2"/>
    </row>
    <row r="1138">
      <c r="A1138" s="1" t="s">
        <v>669</v>
      </c>
      <c r="B1138" s="1"/>
      <c r="C1138" s="1">
        <v>0.0</v>
      </c>
      <c r="D1138" s="2"/>
      <c r="E1138" s="2"/>
      <c r="F1138" s="2"/>
      <c r="G1138" s="2"/>
      <c r="H1138" s="2"/>
    </row>
    <row r="1139">
      <c r="A1139" s="1" t="s">
        <v>670</v>
      </c>
      <c r="B1139" s="1"/>
      <c r="C1139" s="1">
        <v>0.0</v>
      </c>
      <c r="D1139" s="2"/>
      <c r="E1139" s="2"/>
      <c r="F1139" s="2"/>
      <c r="G1139" s="2"/>
      <c r="H1139" s="2"/>
    </row>
    <row r="1140">
      <c r="A1140" s="1" t="s">
        <v>671</v>
      </c>
      <c r="B1140" s="1"/>
      <c r="C1140" s="1">
        <v>0.0</v>
      </c>
      <c r="D1140" s="2"/>
      <c r="E1140" s="2"/>
      <c r="F1140" s="2"/>
      <c r="G1140" s="2"/>
      <c r="H1140" s="2"/>
    </row>
    <row r="1141">
      <c r="A1141" s="1" t="s">
        <v>672</v>
      </c>
      <c r="B1141" s="1"/>
      <c r="C1141" s="1">
        <v>95.0</v>
      </c>
      <c r="D1141" s="2"/>
      <c r="E1141" s="2"/>
      <c r="F1141" s="2"/>
      <c r="G1141" s="2"/>
      <c r="H1141" s="2"/>
    </row>
    <row r="1142">
      <c r="A1142" s="1" t="s">
        <v>673</v>
      </c>
      <c r="B1142" s="1"/>
      <c r="C1142" s="1">
        <v>32.0</v>
      </c>
      <c r="D1142" s="2"/>
      <c r="E1142" s="2"/>
      <c r="F1142" s="2"/>
      <c r="G1142" s="2"/>
      <c r="H1142" s="2"/>
    </row>
    <row r="1143">
      <c r="A1143" s="1" t="s">
        <v>674</v>
      </c>
      <c r="B1143" s="1"/>
      <c r="C1143" s="1">
        <v>79.0</v>
      </c>
      <c r="D1143" s="2"/>
      <c r="E1143" s="2"/>
      <c r="F1143" s="2"/>
      <c r="G1143" s="2"/>
      <c r="H1143" s="2"/>
    </row>
    <row r="1144">
      <c r="A1144" s="1" t="s">
        <v>675</v>
      </c>
      <c r="B1144" s="1"/>
      <c r="C1144" s="1">
        <v>4.0</v>
      </c>
      <c r="D1144" s="2"/>
      <c r="E1144" s="2"/>
      <c r="F1144" s="2"/>
      <c r="G1144" s="2"/>
      <c r="H1144" s="2"/>
    </row>
    <row r="1145">
      <c r="A1145" s="1" t="s">
        <v>676</v>
      </c>
      <c r="B1145" s="1"/>
      <c r="C1145" s="1">
        <v>0.0</v>
      </c>
      <c r="D1145" s="2"/>
      <c r="E1145" s="2"/>
      <c r="F1145" s="2"/>
      <c r="G1145" s="2"/>
      <c r="H1145" s="2"/>
    </row>
    <row r="1146">
      <c r="A1146" s="1" t="s">
        <v>677</v>
      </c>
      <c r="B1146" s="1"/>
      <c r="C1146" s="1">
        <v>82.0</v>
      </c>
      <c r="D1146" s="2"/>
      <c r="E1146" s="2"/>
      <c r="F1146" s="2"/>
      <c r="G1146" s="2"/>
      <c r="H1146" s="2"/>
    </row>
    <row r="1147">
      <c r="A1147" s="1" t="s">
        <v>678</v>
      </c>
      <c r="B1147" s="1"/>
      <c r="C1147" s="1">
        <v>0.0</v>
      </c>
      <c r="D1147" s="2"/>
      <c r="E1147" s="2"/>
      <c r="F1147" s="2"/>
      <c r="G1147" s="2"/>
      <c r="H1147" s="2"/>
    </row>
    <row r="1148">
      <c r="A1148" s="1" t="s">
        <v>679</v>
      </c>
      <c r="B1148" s="1"/>
      <c r="C1148" s="1">
        <v>0.0</v>
      </c>
      <c r="D1148" s="2"/>
      <c r="E1148" s="2"/>
      <c r="F1148" s="2"/>
      <c r="G1148" s="2"/>
      <c r="H1148" s="2"/>
    </row>
    <row r="1149">
      <c r="A1149" s="1" t="s">
        <v>680</v>
      </c>
      <c r="B1149" s="1"/>
      <c r="C1149" s="1">
        <v>0.0</v>
      </c>
      <c r="D1149" s="2"/>
      <c r="E1149" s="2"/>
      <c r="F1149" s="2"/>
      <c r="G1149" s="2"/>
      <c r="H1149" s="2"/>
    </row>
    <row r="1150">
      <c r="A1150" s="1" t="s">
        <v>681</v>
      </c>
      <c r="B1150" s="1"/>
      <c r="C1150" s="1">
        <v>0.0</v>
      </c>
      <c r="D1150" s="2"/>
      <c r="E1150" s="2"/>
      <c r="F1150" s="2"/>
      <c r="G1150" s="2"/>
      <c r="H1150" s="2"/>
    </row>
    <row r="1151">
      <c r="A1151" s="1" t="s">
        <v>682</v>
      </c>
      <c r="B1151" s="1"/>
      <c r="C1151" s="1">
        <v>0.0</v>
      </c>
      <c r="D1151" s="2"/>
      <c r="E1151" s="2"/>
      <c r="F1151" s="2"/>
      <c r="G1151" s="2"/>
      <c r="H1151" s="2"/>
    </row>
    <row r="1152">
      <c r="A1152" s="1" t="s">
        <v>683</v>
      </c>
      <c r="B1152" s="1"/>
      <c r="C1152" s="1">
        <v>72.0</v>
      </c>
      <c r="D1152" s="2"/>
      <c r="E1152" s="2"/>
      <c r="F1152" s="2"/>
      <c r="G1152" s="2"/>
      <c r="H1152" s="2"/>
    </row>
    <row r="1153">
      <c r="A1153" s="1" t="s">
        <v>684</v>
      </c>
      <c r="B1153" s="1"/>
      <c r="C1153" s="1">
        <v>0.0</v>
      </c>
      <c r="D1153" s="2"/>
      <c r="E1153" s="2"/>
      <c r="F1153" s="2"/>
      <c r="G1153" s="2"/>
      <c r="H1153" s="2"/>
    </row>
    <row r="1154">
      <c r="A1154" s="1" t="s">
        <v>685</v>
      </c>
      <c r="B1154" s="1"/>
      <c r="C1154" s="1">
        <v>0.0</v>
      </c>
      <c r="D1154" s="2"/>
      <c r="E1154" s="2"/>
      <c r="F1154" s="2"/>
      <c r="G1154" s="2"/>
      <c r="H1154" s="2"/>
    </row>
    <row r="1155">
      <c r="A1155" s="1" t="s">
        <v>686</v>
      </c>
      <c r="B1155" s="1"/>
      <c r="C1155" s="1">
        <v>17.0</v>
      </c>
      <c r="D1155" s="2"/>
      <c r="E1155" s="2"/>
      <c r="F1155" s="2"/>
      <c r="G1155" s="2"/>
      <c r="H1155" s="2"/>
    </row>
    <row r="1156">
      <c r="A1156" s="1" t="s">
        <v>687</v>
      </c>
      <c r="B1156" s="1"/>
      <c r="C1156" s="1">
        <v>50.0</v>
      </c>
      <c r="D1156" s="2"/>
      <c r="E1156" s="2"/>
      <c r="F1156" s="2"/>
      <c r="G1156" s="2"/>
      <c r="H1156" s="2"/>
    </row>
    <row r="1157">
      <c r="A1157" s="1" t="s">
        <v>688</v>
      </c>
      <c r="B1157" s="1"/>
      <c r="C1157" s="1">
        <v>0.0</v>
      </c>
      <c r="D1157" s="2"/>
      <c r="E1157" s="2"/>
      <c r="F1157" s="2"/>
      <c r="G1157" s="2"/>
      <c r="H1157" s="2"/>
    </row>
    <row r="1158">
      <c r="A1158" s="1" t="s">
        <v>689</v>
      </c>
      <c r="B1158" s="1"/>
      <c r="C1158" s="1">
        <v>0.0</v>
      </c>
      <c r="D1158" s="2"/>
      <c r="E1158" s="2"/>
      <c r="F1158" s="2"/>
      <c r="G1158" s="2"/>
      <c r="H1158" s="2"/>
    </row>
    <row r="1159">
      <c r="A1159" s="1" t="s">
        <v>690</v>
      </c>
      <c r="B1159" s="1"/>
      <c r="C1159" s="1">
        <v>0.0</v>
      </c>
      <c r="D1159" s="2"/>
      <c r="E1159" s="2"/>
      <c r="F1159" s="2"/>
      <c r="G1159" s="2"/>
      <c r="H1159" s="2"/>
    </row>
    <row r="1160">
      <c r="A1160" s="1" t="s">
        <v>691</v>
      </c>
      <c r="B1160" s="1"/>
      <c r="C1160" s="1">
        <v>50.0</v>
      </c>
      <c r="D1160" s="2"/>
      <c r="E1160" s="2"/>
      <c r="F1160" s="2"/>
      <c r="G1160" s="2"/>
      <c r="H1160" s="2"/>
    </row>
    <row r="1161">
      <c r="A1161" s="1" t="s">
        <v>692</v>
      </c>
      <c r="B1161" s="1"/>
      <c r="C1161" s="1">
        <v>0.0</v>
      </c>
      <c r="D1161" s="2"/>
      <c r="E1161" s="2"/>
      <c r="F1161" s="2"/>
      <c r="G1161" s="2"/>
      <c r="H1161" s="2"/>
    </row>
    <row r="1162">
      <c r="A1162" s="1" t="s">
        <v>693</v>
      </c>
      <c r="B1162" s="1"/>
      <c r="C1162" s="1">
        <v>0.0</v>
      </c>
      <c r="D1162" s="2"/>
      <c r="E1162" s="2"/>
      <c r="F1162" s="2"/>
      <c r="G1162" s="2"/>
      <c r="H1162" s="2"/>
    </row>
    <row r="1163">
      <c r="A1163" s="1" t="s">
        <v>694</v>
      </c>
      <c r="B1163" s="1"/>
      <c r="C1163" s="1">
        <v>35.0</v>
      </c>
      <c r="D1163" s="2"/>
      <c r="E1163" s="2"/>
      <c r="F1163" s="2"/>
      <c r="G1163" s="2"/>
      <c r="H1163" s="2"/>
    </row>
    <row r="1164">
      <c r="A1164" s="1" t="s">
        <v>695</v>
      </c>
      <c r="B1164" s="1"/>
      <c r="C1164" s="1">
        <v>0.0</v>
      </c>
      <c r="D1164" s="2"/>
      <c r="E1164" s="2"/>
      <c r="F1164" s="2"/>
      <c r="G1164" s="2"/>
      <c r="H1164" s="2"/>
    </row>
    <row r="1165">
      <c r="A1165" s="1" t="s">
        <v>696</v>
      </c>
      <c r="B1165" s="1"/>
      <c r="C1165" s="1">
        <v>48.0</v>
      </c>
      <c r="D1165" s="2"/>
      <c r="E1165" s="2"/>
      <c r="F1165" s="2"/>
      <c r="G1165" s="2"/>
      <c r="H1165" s="2"/>
    </row>
    <row r="1166">
      <c r="A1166" s="1" t="s">
        <v>697</v>
      </c>
      <c r="B1166" s="1"/>
      <c r="C1166" s="1">
        <v>0.0</v>
      </c>
      <c r="D1166" s="2"/>
      <c r="E1166" s="2"/>
      <c r="F1166" s="2"/>
      <c r="G1166" s="2"/>
      <c r="H1166" s="2"/>
    </row>
    <row r="1167">
      <c r="A1167" s="1" t="s">
        <v>698</v>
      </c>
      <c r="B1167" s="1"/>
      <c r="C1167" s="1">
        <v>50.0</v>
      </c>
      <c r="D1167" s="2"/>
      <c r="E1167" s="2"/>
      <c r="F1167" s="2"/>
      <c r="G1167" s="2"/>
      <c r="H1167" s="2"/>
    </row>
    <row r="1168">
      <c r="A1168" s="1" t="s">
        <v>699</v>
      </c>
      <c r="B1168" s="1"/>
      <c r="C1168" s="1">
        <v>56.0</v>
      </c>
      <c r="D1168" s="2"/>
      <c r="E1168" s="2"/>
      <c r="F1168" s="2"/>
      <c r="G1168" s="2"/>
      <c r="H1168" s="2"/>
    </row>
    <row r="1169">
      <c r="A1169" s="1" t="s">
        <v>700</v>
      </c>
      <c r="B1169" s="1"/>
      <c r="C1169" s="1">
        <v>0.0</v>
      </c>
      <c r="D1169" s="2"/>
      <c r="E1169" s="2"/>
      <c r="F1169" s="2"/>
      <c r="G1169" s="2"/>
      <c r="H1169" s="2"/>
    </row>
    <row r="1170">
      <c r="A1170" s="1" t="s">
        <v>701</v>
      </c>
      <c r="B1170" s="1"/>
      <c r="C1170" s="1">
        <v>0.0</v>
      </c>
      <c r="D1170" s="2"/>
      <c r="E1170" s="2"/>
      <c r="F1170" s="2"/>
      <c r="G1170" s="2"/>
      <c r="H1170" s="2"/>
    </row>
    <row r="1171">
      <c r="A1171" s="1" t="s">
        <v>702</v>
      </c>
      <c r="B1171" s="1"/>
      <c r="C1171" s="1">
        <v>0.0</v>
      </c>
      <c r="D1171" s="2"/>
      <c r="E1171" s="2"/>
      <c r="F1171" s="2"/>
      <c r="G1171" s="2"/>
      <c r="H1171" s="2"/>
    </row>
    <row r="1172">
      <c r="A1172" s="1" t="s">
        <v>703</v>
      </c>
      <c r="B1172" s="1"/>
      <c r="C1172" s="1">
        <v>0.0</v>
      </c>
      <c r="D1172" s="2"/>
      <c r="E1172" s="2"/>
      <c r="F1172" s="2"/>
      <c r="G1172" s="2"/>
      <c r="H1172" s="2"/>
    </row>
    <row r="1173">
      <c r="A1173" s="1" t="s">
        <v>704</v>
      </c>
      <c r="B1173" s="1"/>
      <c r="C1173" s="1">
        <v>15.0</v>
      </c>
      <c r="D1173" s="2"/>
      <c r="E1173" s="2"/>
      <c r="F1173" s="2"/>
      <c r="G1173" s="2"/>
      <c r="H1173" s="2"/>
    </row>
    <row r="1174">
      <c r="A1174" s="1" t="s">
        <v>705</v>
      </c>
      <c r="B1174" s="1"/>
      <c r="C1174" s="1">
        <v>70.0</v>
      </c>
      <c r="D1174" s="2"/>
      <c r="E1174" s="2"/>
      <c r="F1174" s="2"/>
      <c r="G1174" s="2"/>
      <c r="H1174" s="2"/>
    </row>
    <row r="1175">
      <c r="A1175" s="1" t="s">
        <v>706</v>
      </c>
      <c r="B1175" s="1"/>
      <c r="C1175" s="1">
        <v>0.0</v>
      </c>
      <c r="D1175" s="2"/>
      <c r="E1175" s="2"/>
      <c r="F1175" s="2"/>
      <c r="G1175" s="2"/>
      <c r="H1175" s="2"/>
    </row>
    <row r="1176">
      <c r="A1176" s="1" t="s">
        <v>707</v>
      </c>
      <c r="B1176" s="1"/>
      <c r="C1176" s="1">
        <v>0.0</v>
      </c>
      <c r="D1176" s="2"/>
      <c r="E1176" s="2"/>
      <c r="F1176" s="2"/>
      <c r="G1176" s="2"/>
      <c r="H1176" s="2"/>
    </row>
    <row r="1177">
      <c r="A1177" s="1" t="s">
        <v>708</v>
      </c>
      <c r="B1177" s="1"/>
      <c r="C1177" s="1">
        <v>0.0</v>
      </c>
      <c r="D1177" s="2"/>
      <c r="E1177" s="2"/>
      <c r="F1177" s="2"/>
      <c r="G1177" s="2"/>
      <c r="H1177" s="2"/>
    </row>
    <row r="1178">
      <c r="A1178" s="1" t="s">
        <v>709</v>
      </c>
      <c r="B1178" s="1"/>
      <c r="C1178" s="1">
        <v>0.0</v>
      </c>
      <c r="D1178" s="2"/>
      <c r="E1178" s="2"/>
      <c r="F1178" s="2"/>
      <c r="G1178" s="2"/>
      <c r="H1178" s="2"/>
    </row>
    <row r="1179">
      <c r="A1179" s="1" t="s">
        <v>710</v>
      </c>
      <c r="B1179" s="1"/>
      <c r="C1179" s="1">
        <v>0.0</v>
      </c>
      <c r="D1179" s="2"/>
      <c r="E1179" s="2"/>
      <c r="F1179" s="2"/>
      <c r="G1179" s="2"/>
      <c r="H1179" s="2"/>
    </row>
    <row r="1180">
      <c r="A1180" s="1" t="s">
        <v>711</v>
      </c>
      <c r="B1180" s="1"/>
      <c r="C1180" s="1">
        <v>0.0</v>
      </c>
      <c r="D1180" s="2"/>
      <c r="E1180" s="2"/>
      <c r="F1180" s="2"/>
      <c r="G1180" s="2"/>
      <c r="H1180" s="2"/>
    </row>
    <row r="1181">
      <c r="A1181" s="1" t="s">
        <v>712</v>
      </c>
      <c r="B1181" s="1"/>
      <c r="C1181" s="1">
        <v>80.0</v>
      </c>
      <c r="D1181" s="2"/>
      <c r="E1181" s="2"/>
      <c r="F1181" s="2"/>
      <c r="G1181" s="2"/>
      <c r="H1181" s="2"/>
    </row>
    <row r="1182">
      <c r="A1182" s="1" t="s">
        <v>713</v>
      </c>
      <c r="B1182" s="1"/>
      <c r="C1182" s="1">
        <v>12.0</v>
      </c>
      <c r="D1182" s="2"/>
      <c r="E1182" s="2"/>
      <c r="F1182" s="2"/>
      <c r="G1182" s="2"/>
      <c r="H1182" s="2"/>
    </row>
    <row r="1183">
      <c r="A1183" s="1" t="s">
        <v>714</v>
      </c>
      <c r="B1183" s="1"/>
      <c r="C1183" s="1">
        <v>0.0</v>
      </c>
      <c r="D1183" s="2"/>
      <c r="E1183" s="2"/>
      <c r="F1183" s="2"/>
      <c r="G1183" s="2"/>
      <c r="H1183" s="2"/>
    </row>
    <row r="1184">
      <c r="A1184" s="1" t="s">
        <v>715</v>
      </c>
      <c r="B1184" s="1"/>
      <c r="C1184" s="1">
        <v>0.0</v>
      </c>
      <c r="D1184" s="2"/>
      <c r="E1184" s="2"/>
      <c r="F1184" s="2"/>
      <c r="G1184" s="2"/>
      <c r="H1184" s="2"/>
    </row>
    <row r="1185">
      <c r="A1185" s="1" t="s">
        <v>716</v>
      </c>
      <c r="B1185" s="1"/>
      <c r="C1185" s="1">
        <v>20.0</v>
      </c>
      <c r="D1185" s="2"/>
      <c r="E1185" s="2"/>
      <c r="F1185" s="2"/>
      <c r="G1185" s="2"/>
      <c r="H1185" s="2"/>
    </row>
    <row r="1186">
      <c r="A1186" s="1" t="s">
        <v>717</v>
      </c>
      <c r="B1186" s="1"/>
      <c r="C1186" s="1">
        <v>0.0</v>
      </c>
      <c r="D1186" s="2"/>
      <c r="E1186" s="2"/>
      <c r="F1186" s="2"/>
      <c r="G1186" s="2"/>
      <c r="H1186" s="2"/>
    </row>
    <row r="1187">
      <c r="A1187" s="1" t="s">
        <v>718</v>
      </c>
      <c r="B1187" s="1"/>
      <c r="C1187" s="1">
        <v>0.0</v>
      </c>
      <c r="D1187" s="2"/>
      <c r="E1187" s="2"/>
      <c r="F1187" s="2"/>
      <c r="G1187" s="2"/>
      <c r="H1187" s="2"/>
    </row>
    <row r="1188">
      <c r="A1188" s="1" t="s">
        <v>719</v>
      </c>
      <c r="B1188" s="1"/>
      <c r="C1188" s="1">
        <v>0.0</v>
      </c>
      <c r="D1188" s="2"/>
      <c r="E1188" s="2"/>
      <c r="F1188" s="2"/>
      <c r="G1188" s="2"/>
      <c r="H1188" s="2"/>
    </row>
    <row r="1189">
      <c r="A1189" s="1" t="s">
        <v>720</v>
      </c>
      <c r="B1189" s="1"/>
      <c r="C1189" s="1">
        <v>24.0</v>
      </c>
      <c r="D1189" s="2"/>
      <c r="E1189" s="2"/>
      <c r="F1189" s="2"/>
      <c r="G1189" s="2"/>
      <c r="H1189" s="2"/>
    </row>
    <row r="1190">
      <c r="A1190" s="1" t="s">
        <v>721</v>
      </c>
      <c r="B1190" s="1"/>
      <c r="C1190" s="1">
        <v>0.0</v>
      </c>
      <c r="D1190" s="2"/>
      <c r="E1190" s="2"/>
      <c r="F1190" s="2"/>
      <c r="G1190" s="2"/>
      <c r="H1190" s="2"/>
    </row>
    <row r="1191">
      <c r="A1191" s="1" t="s">
        <v>652</v>
      </c>
      <c r="B1191" s="1"/>
      <c r="C1191" s="1">
        <v>0.0</v>
      </c>
      <c r="D1191" s="2"/>
      <c r="E1191" s="2"/>
      <c r="F1191" s="2"/>
      <c r="G1191" s="2"/>
      <c r="H1191" s="2"/>
    </row>
    <row r="1192">
      <c r="A1192" s="1" t="s">
        <v>653</v>
      </c>
      <c r="B1192" s="1"/>
      <c r="C1192" s="1">
        <v>0.0</v>
      </c>
      <c r="D1192" s="2"/>
      <c r="E1192" s="2"/>
      <c r="F1192" s="2"/>
      <c r="G1192" s="2"/>
      <c r="H1192" s="2"/>
    </row>
    <row r="1193">
      <c r="A1193" s="1" t="s">
        <v>654</v>
      </c>
      <c r="B1193" s="1"/>
      <c r="C1193" s="1">
        <v>0.0</v>
      </c>
      <c r="D1193" s="2"/>
      <c r="E1193" s="2"/>
      <c r="F1193" s="2"/>
      <c r="G1193" s="2"/>
      <c r="H1193" s="2"/>
    </row>
    <row r="1194">
      <c r="A1194" s="1" t="s">
        <v>655</v>
      </c>
      <c r="B1194" s="1"/>
      <c r="C1194" s="1">
        <v>92.0</v>
      </c>
      <c r="D1194" s="2"/>
      <c r="E1194" s="2"/>
      <c r="F1194" s="2"/>
      <c r="G1194" s="2"/>
      <c r="H1194" s="2"/>
    </row>
    <row r="1195">
      <c r="A1195" s="1" t="s">
        <v>656</v>
      </c>
      <c r="B1195" s="1"/>
      <c r="C1195" s="1">
        <v>0.0</v>
      </c>
      <c r="D1195" s="2"/>
      <c r="E1195" s="2"/>
      <c r="F1195" s="2"/>
      <c r="G1195" s="2"/>
      <c r="H1195" s="2"/>
    </row>
    <row r="1196">
      <c r="A1196" s="1" t="s">
        <v>657</v>
      </c>
      <c r="B1196" s="1"/>
      <c r="C1196" s="1">
        <v>0.0</v>
      </c>
      <c r="D1196" s="2"/>
      <c r="E1196" s="2"/>
      <c r="F1196" s="2"/>
      <c r="G1196" s="2"/>
      <c r="H1196" s="2"/>
    </row>
    <row r="1197">
      <c r="A1197" s="1" t="s">
        <v>658</v>
      </c>
      <c r="B1197" s="1"/>
      <c r="C1197" s="1">
        <v>0.0</v>
      </c>
      <c r="D1197" s="2"/>
      <c r="E1197" s="2"/>
      <c r="F1197" s="2"/>
      <c r="G1197" s="2"/>
      <c r="H1197" s="2"/>
    </row>
    <row r="1198">
      <c r="A1198" s="1" t="s">
        <v>659</v>
      </c>
      <c r="B1198" s="1"/>
      <c r="C1198" s="1">
        <v>0.0</v>
      </c>
      <c r="D1198" s="2"/>
      <c r="E1198" s="2"/>
      <c r="F1198" s="2"/>
      <c r="G1198" s="2"/>
      <c r="H1198" s="2"/>
    </row>
    <row r="1199">
      <c r="A1199" s="1" t="s">
        <v>660</v>
      </c>
      <c r="B1199" s="1"/>
      <c r="C1199" s="1">
        <v>0.0</v>
      </c>
      <c r="D1199" s="2"/>
      <c r="E1199" s="2"/>
      <c r="F1199" s="2"/>
      <c r="G1199" s="2"/>
      <c r="H1199" s="2"/>
    </row>
    <row r="1200">
      <c r="A1200" s="1" t="s">
        <v>661</v>
      </c>
      <c r="B1200" s="1"/>
      <c r="C1200" s="1">
        <v>0.0</v>
      </c>
      <c r="D1200" s="2"/>
      <c r="E1200" s="2"/>
      <c r="F1200" s="2"/>
      <c r="G1200" s="2"/>
      <c r="H1200" s="2"/>
    </row>
    <row r="1201">
      <c r="A1201" s="1" t="s">
        <v>662</v>
      </c>
      <c r="B1201" s="1"/>
      <c r="C1201" s="1">
        <v>0.0</v>
      </c>
      <c r="D1201" s="2"/>
      <c r="E1201" s="2"/>
      <c r="F1201" s="2"/>
      <c r="G1201" s="2"/>
      <c r="H1201" s="2"/>
    </row>
    <row r="1202">
      <c r="A1202" s="1" t="s">
        <v>663</v>
      </c>
      <c r="B1202" s="1"/>
      <c r="C1202" s="1" t="s">
        <v>664</v>
      </c>
      <c r="D1202" s="1">
        <v>0.0</v>
      </c>
      <c r="E1202" s="2"/>
      <c r="F1202" s="2"/>
      <c r="G1202" s="2"/>
      <c r="H1202" s="2"/>
    </row>
    <row r="1203">
      <c r="A1203" s="1" t="s">
        <v>665</v>
      </c>
      <c r="B1203" s="1"/>
      <c r="C1203" s="1">
        <v>0.0</v>
      </c>
      <c r="D1203" s="2"/>
      <c r="E1203" s="2"/>
      <c r="F1203" s="2"/>
      <c r="G1203" s="2"/>
      <c r="H1203" s="2"/>
    </row>
    <row r="1204">
      <c r="A1204" s="1" t="s">
        <v>666</v>
      </c>
      <c r="B1204" s="1"/>
      <c r="C1204" s="1">
        <v>0.0</v>
      </c>
      <c r="D1204" s="2"/>
      <c r="E1204" s="2"/>
      <c r="F1204" s="2"/>
      <c r="G1204" s="2"/>
      <c r="H1204" s="2"/>
    </row>
    <row r="1205">
      <c r="A1205" s="1" t="s">
        <v>667</v>
      </c>
      <c r="B1205" s="1"/>
      <c r="C1205" s="1">
        <v>68.0</v>
      </c>
      <c r="D1205" s="2"/>
      <c r="E1205" s="2"/>
      <c r="F1205" s="2"/>
      <c r="G1205" s="2"/>
      <c r="H1205" s="2"/>
    </row>
    <row r="1206">
      <c r="A1206" s="1" t="s">
        <v>668</v>
      </c>
      <c r="B1206" s="1"/>
      <c r="C1206" s="1">
        <v>0.0</v>
      </c>
      <c r="D1206" s="2"/>
      <c r="E1206" s="2"/>
      <c r="F1206" s="2"/>
      <c r="G1206" s="2"/>
      <c r="H1206" s="2"/>
    </row>
    <row r="1207">
      <c r="A1207" s="1" t="s">
        <v>669</v>
      </c>
      <c r="B1207" s="1"/>
      <c r="C1207" s="1">
        <v>0.0</v>
      </c>
      <c r="D1207" s="2"/>
      <c r="E1207" s="2"/>
      <c r="F1207" s="2"/>
      <c r="G1207" s="2"/>
      <c r="H1207" s="2"/>
    </row>
    <row r="1208">
      <c r="A1208" s="1" t="s">
        <v>670</v>
      </c>
      <c r="B1208" s="1"/>
      <c r="C1208" s="1">
        <v>0.0</v>
      </c>
      <c r="D1208" s="2"/>
      <c r="E1208" s="2"/>
      <c r="F1208" s="2"/>
      <c r="G1208" s="2"/>
      <c r="H1208" s="2"/>
    </row>
    <row r="1209">
      <c r="A1209" s="1" t="s">
        <v>671</v>
      </c>
      <c r="B1209" s="1"/>
      <c r="C1209" s="1">
        <v>0.0</v>
      </c>
      <c r="D1209" s="2"/>
      <c r="E1209" s="2"/>
      <c r="F1209" s="2"/>
      <c r="G1209" s="2"/>
      <c r="H1209" s="2"/>
    </row>
    <row r="1210">
      <c r="A1210" s="1" t="s">
        <v>672</v>
      </c>
      <c r="B1210" s="1"/>
      <c r="C1210" s="1">
        <v>95.0</v>
      </c>
      <c r="D1210" s="2"/>
      <c r="E1210" s="2"/>
      <c r="F1210" s="2"/>
      <c r="G1210" s="2"/>
      <c r="H1210" s="2"/>
    </row>
    <row r="1211">
      <c r="A1211" s="1" t="s">
        <v>673</v>
      </c>
      <c r="B1211" s="1"/>
      <c r="C1211" s="1">
        <v>32.0</v>
      </c>
      <c r="D1211" s="2"/>
      <c r="E1211" s="2"/>
      <c r="F1211" s="2"/>
      <c r="G1211" s="2"/>
      <c r="H1211" s="2"/>
    </row>
    <row r="1212">
      <c r="A1212" s="1" t="s">
        <v>674</v>
      </c>
      <c r="B1212" s="1"/>
      <c r="C1212" s="1">
        <v>79.0</v>
      </c>
      <c r="D1212" s="2"/>
      <c r="E1212" s="2"/>
      <c r="F1212" s="2"/>
      <c r="G1212" s="2"/>
      <c r="H1212" s="2"/>
    </row>
    <row r="1213">
      <c r="A1213" s="1" t="s">
        <v>675</v>
      </c>
      <c r="B1213" s="1"/>
      <c r="C1213" s="1">
        <v>4.0</v>
      </c>
      <c r="D1213" s="2"/>
      <c r="E1213" s="2"/>
      <c r="F1213" s="2"/>
      <c r="G1213" s="2"/>
      <c r="H1213" s="2"/>
    </row>
    <row r="1214">
      <c r="A1214" s="1" t="s">
        <v>676</v>
      </c>
      <c r="B1214" s="1"/>
      <c r="C1214" s="1">
        <v>0.0</v>
      </c>
      <c r="D1214" s="2"/>
      <c r="E1214" s="2"/>
      <c r="F1214" s="2"/>
      <c r="G1214" s="2"/>
      <c r="H1214" s="2"/>
    </row>
    <row r="1215">
      <c r="A1215" s="1" t="s">
        <v>677</v>
      </c>
      <c r="B1215" s="1"/>
      <c r="C1215" s="1">
        <v>82.0</v>
      </c>
      <c r="D1215" s="2"/>
      <c r="E1215" s="2"/>
      <c r="F1215" s="2"/>
      <c r="G1215" s="2"/>
      <c r="H1215" s="2"/>
    </row>
    <row r="1216">
      <c r="A1216" s="1" t="s">
        <v>678</v>
      </c>
      <c r="B1216" s="1"/>
      <c r="C1216" s="1">
        <v>0.0</v>
      </c>
      <c r="D1216" s="2"/>
      <c r="E1216" s="2"/>
      <c r="F1216" s="2"/>
      <c r="G1216" s="2"/>
      <c r="H1216" s="2"/>
    </row>
    <row r="1217">
      <c r="A1217" s="1" t="s">
        <v>679</v>
      </c>
      <c r="B1217" s="1"/>
      <c r="C1217" s="1">
        <v>0.0</v>
      </c>
      <c r="D1217" s="2"/>
      <c r="E1217" s="2"/>
      <c r="F1217" s="2"/>
      <c r="G1217" s="2"/>
      <c r="H1217" s="2"/>
    </row>
    <row r="1218">
      <c r="A1218" s="1" t="s">
        <v>680</v>
      </c>
      <c r="B1218" s="1"/>
      <c r="C1218" s="1">
        <v>0.0</v>
      </c>
      <c r="D1218" s="2"/>
      <c r="E1218" s="2"/>
      <c r="F1218" s="2"/>
      <c r="G1218" s="2"/>
      <c r="H1218" s="2"/>
    </row>
    <row r="1219">
      <c r="A1219" s="1" t="s">
        <v>681</v>
      </c>
      <c r="B1219" s="1"/>
      <c r="C1219" s="1">
        <v>0.0</v>
      </c>
      <c r="D1219" s="2"/>
      <c r="E1219" s="2"/>
      <c r="F1219" s="2"/>
      <c r="G1219" s="2"/>
      <c r="H1219" s="2"/>
    </row>
    <row r="1220">
      <c r="A1220" s="1" t="s">
        <v>682</v>
      </c>
      <c r="B1220" s="1"/>
      <c r="C1220" s="1">
        <v>0.0</v>
      </c>
      <c r="D1220" s="2"/>
      <c r="E1220" s="2"/>
      <c r="F1220" s="2"/>
      <c r="G1220" s="2"/>
      <c r="H1220" s="2"/>
    </row>
    <row r="1221">
      <c r="A1221" s="1" t="s">
        <v>683</v>
      </c>
      <c r="B1221" s="1"/>
      <c r="C1221" s="1">
        <v>72.0</v>
      </c>
      <c r="D1221" s="2"/>
      <c r="E1221" s="2"/>
      <c r="F1221" s="2"/>
      <c r="G1221" s="2"/>
      <c r="H1221" s="2"/>
    </row>
    <row r="1222">
      <c r="A1222" s="1" t="s">
        <v>684</v>
      </c>
      <c r="B1222" s="1"/>
      <c r="C1222" s="1">
        <v>0.0</v>
      </c>
      <c r="D1222" s="2"/>
      <c r="E1222" s="2"/>
      <c r="F1222" s="2"/>
      <c r="G1222" s="2"/>
      <c r="H1222" s="2"/>
    </row>
    <row r="1223">
      <c r="A1223" s="1" t="s">
        <v>685</v>
      </c>
      <c r="B1223" s="1"/>
      <c r="C1223" s="1">
        <v>0.0</v>
      </c>
      <c r="D1223" s="2"/>
      <c r="E1223" s="2"/>
      <c r="F1223" s="2"/>
      <c r="G1223" s="2"/>
      <c r="H1223" s="2"/>
    </row>
    <row r="1224">
      <c r="A1224" s="1" t="s">
        <v>686</v>
      </c>
      <c r="B1224" s="1"/>
      <c r="C1224" s="1">
        <v>17.0</v>
      </c>
      <c r="D1224" s="2"/>
      <c r="E1224" s="2"/>
      <c r="F1224" s="2"/>
      <c r="G1224" s="2"/>
      <c r="H1224" s="2"/>
    </row>
    <row r="1225">
      <c r="A1225" s="1" t="s">
        <v>687</v>
      </c>
      <c r="B1225" s="1"/>
      <c r="C1225" s="1">
        <v>50.0</v>
      </c>
      <c r="D1225" s="2"/>
      <c r="E1225" s="2"/>
      <c r="F1225" s="2"/>
      <c r="G1225" s="2"/>
      <c r="H1225" s="2"/>
    </row>
    <row r="1226">
      <c r="A1226" s="1" t="s">
        <v>688</v>
      </c>
      <c r="B1226" s="1"/>
      <c r="C1226" s="1">
        <v>0.0</v>
      </c>
      <c r="D1226" s="2"/>
      <c r="E1226" s="2"/>
      <c r="F1226" s="2"/>
      <c r="G1226" s="2"/>
      <c r="H1226" s="2"/>
    </row>
    <row r="1227">
      <c r="A1227" s="1" t="s">
        <v>689</v>
      </c>
      <c r="B1227" s="1"/>
      <c r="C1227" s="1">
        <v>0.0</v>
      </c>
      <c r="D1227" s="2"/>
      <c r="E1227" s="2"/>
      <c r="F1227" s="2"/>
      <c r="G1227" s="2"/>
      <c r="H1227" s="2"/>
    </row>
    <row r="1228">
      <c r="A1228" s="1" t="s">
        <v>690</v>
      </c>
      <c r="B1228" s="1"/>
      <c r="C1228" s="1">
        <v>0.0</v>
      </c>
      <c r="D1228" s="2"/>
      <c r="E1228" s="2"/>
      <c r="F1228" s="2"/>
      <c r="G1228" s="2"/>
      <c r="H1228" s="2"/>
    </row>
    <row r="1229">
      <c r="A1229" s="1" t="s">
        <v>691</v>
      </c>
      <c r="B1229" s="1"/>
      <c r="C1229" s="1">
        <v>50.0</v>
      </c>
      <c r="D1229" s="2"/>
      <c r="E1229" s="2"/>
      <c r="F1229" s="2"/>
      <c r="G1229" s="2"/>
      <c r="H1229" s="2"/>
    </row>
    <row r="1230">
      <c r="A1230" s="1" t="s">
        <v>692</v>
      </c>
      <c r="B1230" s="1"/>
      <c r="C1230" s="1">
        <v>0.0</v>
      </c>
      <c r="D1230" s="2"/>
      <c r="E1230" s="2"/>
      <c r="F1230" s="2"/>
      <c r="G1230" s="2"/>
      <c r="H1230" s="2"/>
    </row>
    <row r="1231">
      <c r="A1231" s="1" t="s">
        <v>693</v>
      </c>
      <c r="B1231" s="1"/>
      <c r="C1231" s="1">
        <v>0.0</v>
      </c>
      <c r="D1231" s="2"/>
      <c r="E1231" s="2"/>
      <c r="F1231" s="2"/>
      <c r="G1231" s="2"/>
      <c r="H1231" s="2"/>
    </row>
    <row r="1232">
      <c r="A1232" s="1" t="s">
        <v>694</v>
      </c>
      <c r="B1232" s="1"/>
      <c r="C1232" s="1">
        <v>35.0</v>
      </c>
      <c r="D1232" s="2"/>
      <c r="E1232" s="2"/>
      <c r="F1232" s="2"/>
      <c r="G1232" s="2"/>
      <c r="H1232" s="2"/>
    </row>
    <row r="1233">
      <c r="A1233" s="1" t="s">
        <v>695</v>
      </c>
      <c r="B1233" s="1"/>
      <c r="C1233" s="1">
        <v>0.0</v>
      </c>
      <c r="D1233" s="2"/>
      <c r="E1233" s="2"/>
      <c r="F1233" s="2"/>
      <c r="G1233" s="2"/>
      <c r="H1233" s="2"/>
    </row>
    <row r="1234">
      <c r="A1234" s="1" t="s">
        <v>696</v>
      </c>
      <c r="B1234" s="1"/>
      <c r="C1234" s="1">
        <v>48.0</v>
      </c>
      <c r="D1234" s="2"/>
      <c r="E1234" s="2"/>
      <c r="F1234" s="2"/>
      <c r="G1234" s="2"/>
      <c r="H1234" s="2"/>
    </row>
    <row r="1235">
      <c r="A1235" s="1" t="s">
        <v>697</v>
      </c>
      <c r="B1235" s="1"/>
      <c r="C1235" s="1">
        <v>0.0</v>
      </c>
      <c r="D1235" s="2"/>
      <c r="E1235" s="2"/>
      <c r="F1235" s="2"/>
      <c r="G1235" s="2"/>
      <c r="H1235" s="2"/>
    </row>
    <row r="1236">
      <c r="A1236" s="1" t="s">
        <v>698</v>
      </c>
      <c r="B1236" s="1"/>
      <c r="C1236" s="1">
        <v>50.0</v>
      </c>
      <c r="D1236" s="2"/>
      <c r="E1236" s="2"/>
      <c r="F1236" s="2"/>
      <c r="G1236" s="2"/>
      <c r="H1236" s="2"/>
    </row>
    <row r="1237">
      <c r="A1237" s="1" t="s">
        <v>699</v>
      </c>
      <c r="B1237" s="1"/>
      <c r="C1237" s="1">
        <v>56.0</v>
      </c>
      <c r="D1237" s="2"/>
      <c r="E1237" s="2"/>
      <c r="F1237" s="2"/>
      <c r="G1237" s="2"/>
      <c r="H1237" s="2"/>
    </row>
    <row r="1238">
      <c r="A1238" s="1" t="s">
        <v>700</v>
      </c>
      <c r="B1238" s="1"/>
      <c r="C1238" s="1">
        <v>0.0</v>
      </c>
      <c r="D1238" s="2"/>
      <c r="E1238" s="2"/>
      <c r="F1238" s="2"/>
      <c r="G1238" s="2"/>
      <c r="H1238" s="2"/>
    </row>
    <row r="1239">
      <c r="A1239" s="1" t="s">
        <v>701</v>
      </c>
      <c r="B1239" s="1"/>
      <c r="C1239" s="1">
        <v>0.0</v>
      </c>
      <c r="D1239" s="2"/>
      <c r="E1239" s="2"/>
      <c r="F1239" s="2"/>
      <c r="G1239" s="2"/>
      <c r="H1239" s="2"/>
    </row>
    <row r="1240">
      <c r="A1240" s="1" t="s">
        <v>702</v>
      </c>
      <c r="B1240" s="1"/>
      <c r="C1240" s="1">
        <v>0.0</v>
      </c>
      <c r="D1240" s="2"/>
      <c r="E1240" s="2"/>
      <c r="F1240" s="2"/>
      <c r="G1240" s="2"/>
      <c r="H1240" s="2"/>
    </row>
    <row r="1241">
      <c r="A1241" s="1" t="s">
        <v>703</v>
      </c>
      <c r="B1241" s="1"/>
      <c r="C1241" s="1">
        <v>0.0</v>
      </c>
      <c r="D1241" s="2"/>
      <c r="E1241" s="2"/>
      <c r="F1241" s="2"/>
      <c r="G1241" s="2"/>
      <c r="H1241" s="2"/>
    </row>
    <row r="1242">
      <c r="A1242" s="1" t="s">
        <v>704</v>
      </c>
      <c r="B1242" s="1"/>
      <c r="C1242" s="1">
        <v>15.0</v>
      </c>
      <c r="D1242" s="2"/>
      <c r="E1242" s="2"/>
      <c r="F1242" s="2"/>
      <c r="G1242" s="2"/>
      <c r="H1242" s="2"/>
    </row>
    <row r="1243">
      <c r="A1243" s="1" t="s">
        <v>705</v>
      </c>
      <c r="B1243" s="1"/>
      <c r="C1243" s="1">
        <v>70.0</v>
      </c>
      <c r="D1243" s="2"/>
      <c r="E1243" s="2"/>
      <c r="F1243" s="2"/>
      <c r="G1243" s="2"/>
      <c r="H1243" s="2"/>
    </row>
    <row r="1244">
      <c r="A1244" s="1" t="s">
        <v>706</v>
      </c>
      <c r="B1244" s="1"/>
      <c r="C1244" s="1">
        <v>0.0</v>
      </c>
      <c r="D1244" s="2"/>
      <c r="E1244" s="2"/>
      <c r="F1244" s="2"/>
      <c r="G1244" s="2"/>
      <c r="H1244" s="2"/>
    </row>
    <row r="1245">
      <c r="A1245" s="1" t="s">
        <v>707</v>
      </c>
      <c r="B1245" s="1"/>
      <c r="C1245" s="1">
        <v>0.0</v>
      </c>
      <c r="D1245" s="2"/>
      <c r="E1245" s="2"/>
      <c r="F1245" s="2"/>
      <c r="G1245" s="2"/>
      <c r="H1245" s="2"/>
    </row>
    <row r="1246">
      <c r="A1246" s="1" t="s">
        <v>708</v>
      </c>
      <c r="B1246" s="1"/>
      <c r="C1246" s="1">
        <v>0.0</v>
      </c>
      <c r="D1246" s="2"/>
      <c r="E1246" s="2"/>
      <c r="F1246" s="2"/>
      <c r="G1246" s="2"/>
      <c r="H1246" s="2"/>
    </row>
    <row r="1247">
      <c r="A1247" s="1" t="s">
        <v>709</v>
      </c>
      <c r="B1247" s="1"/>
      <c r="C1247" s="1">
        <v>0.0</v>
      </c>
      <c r="D1247" s="2"/>
      <c r="E1247" s="2"/>
      <c r="F1247" s="2"/>
      <c r="G1247" s="2"/>
      <c r="H1247" s="2"/>
    </row>
    <row r="1248">
      <c r="A1248" s="1" t="s">
        <v>710</v>
      </c>
      <c r="B1248" s="1"/>
      <c r="C1248" s="1">
        <v>0.0</v>
      </c>
      <c r="D1248" s="2"/>
      <c r="E1248" s="2"/>
      <c r="F1248" s="2"/>
      <c r="G1248" s="2"/>
      <c r="H1248" s="2"/>
    </row>
    <row r="1249">
      <c r="A1249" s="1" t="s">
        <v>711</v>
      </c>
      <c r="B1249" s="1"/>
      <c r="C1249" s="1">
        <v>0.0</v>
      </c>
      <c r="D1249" s="2"/>
      <c r="E1249" s="2"/>
      <c r="F1249" s="2"/>
      <c r="G1249" s="2"/>
      <c r="H1249" s="2"/>
    </row>
    <row r="1250">
      <c r="A1250" s="1" t="s">
        <v>712</v>
      </c>
      <c r="B1250" s="1"/>
      <c r="C1250" s="1">
        <v>80.0</v>
      </c>
      <c r="D1250" s="2"/>
      <c r="E1250" s="2"/>
      <c r="F1250" s="2"/>
      <c r="G1250" s="2"/>
      <c r="H1250" s="2"/>
    </row>
    <row r="1251">
      <c r="A1251" s="1" t="s">
        <v>713</v>
      </c>
      <c r="B1251" s="1"/>
      <c r="C1251" s="1">
        <v>12.0</v>
      </c>
      <c r="D1251" s="2"/>
      <c r="E1251" s="2"/>
      <c r="F1251" s="2"/>
      <c r="G1251" s="2"/>
      <c r="H1251" s="2"/>
    </row>
    <row r="1252">
      <c r="A1252" s="1" t="s">
        <v>714</v>
      </c>
      <c r="B1252" s="1"/>
      <c r="C1252" s="1">
        <v>0.0</v>
      </c>
      <c r="D1252" s="2"/>
      <c r="E1252" s="2"/>
      <c r="F1252" s="2"/>
      <c r="G1252" s="2"/>
      <c r="H1252" s="2"/>
    </row>
    <row r="1253">
      <c r="A1253" s="1" t="s">
        <v>715</v>
      </c>
      <c r="B1253" s="1"/>
      <c r="C1253" s="1">
        <v>0.0</v>
      </c>
      <c r="D1253" s="2"/>
      <c r="E1253" s="2"/>
      <c r="F1253" s="2"/>
      <c r="G1253" s="2"/>
      <c r="H1253" s="2"/>
    </row>
    <row r="1254">
      <c r="A1254" s="1" t="s">
        <v>716</v>
      </c>
      <c r="B1254" s="1"/>
      <c r="C1254" s="1">
        <v>20.0</v>
      </c>
      <c r="D1254" s="2"/>
      <c r="E1254" s="2"/>
      <c r="F1254" s="2"/>
      <c r="G1254" s="2"/>
      <c r="H1254" s="2"/>
    </row>
    <row r="1255">
      <c r="A1255" s="1" t="s">
        <v>717</v>
      </c>
      <c r="B1255" s="1"/>
      <c r="C1255" s="1">
        <v>0.0</v>
      </c>
      <c r="D1255" s="2"/>
      <c r="E1255" s="2"/>
      <c r="F1255" s="2"/>
      <c r="G1255" s="2"/>
      <c r="H1255" s="2"/>
    </row>
    <row r="1256">
      <c r="A1256" s="1" t="s">
        <v>718</v>
      </c>
      <c r="B1256" s="1"/>
      <c r="C1256" s="1">
        <v>0.0</v>
      </c>
      <c r="D1256" s="2"/>
      <c r="E1256" s="2"/>
      <c r="F1256" s="2"/>
      <c r="G1256" s="2"/>
      <c r="H1256" s="2"/>
    </row>
    <row r="1257">
      <c r="A1257" s="1" t="s">
        <v>719</v>
      </c>
      <c r="B1257" s="1"/>
      <c r="C1257" s="1">
        <v>0.0</v>
      </c>
      <c r="D1257" s="2"/>
      <c r="E1257" s="2"/>
      <c r="F1257" s="2"/>
      <c r="G1257" s="2"/>
      <c r="H1257" s="2"/>
    </row>
    <row r="1258">
      <c r="A1258" s="1" t="s">
        <v>720</v>
      </c>
      <c r="B1258" s="1"/>
      <c r="C1258" s="1">
        <v>24.0</v>
      </c>
      <c r="D1258" s="2"/>
      <c r="E1258" s="2"/>
      <c r="F1258" s="2"/>
      <c r="G1258" s="2"/>
      <c r="H1258" s="2"/>
    </row>
    <row r="1259">
      <c r="A1259" s="1" t="s">
        <v>721</v>
      </c>
      <c r="B1259" s="1"/>
      <c r="C1259" s="1">
        <v>0.0</v>
      </c>
      <c r="D1259" s="2"/>
      <c r="E1259" s="2"/>
      <c r="F1259" s="2"/>
      <c r="G1259" s="2"/>
      <c r="H1259" s="2"/>
    </row>
    <row r="1260">
      <c r="A1260" s="1" t="s">
        <v>722</v>
      </c>
      <c r="B1260" s="1"/>
      <c r="C1260" s="1" t="s">
        <v>723</v>
      </c>
      <c r="D1260" s="1" t="s">
        <v>724</v>
      </c>
      <c r="E1260" s="1" t="s">
        <v>725</v>
      </c>
      <c r="F1260" s="1">
        <v>0.0</v>
      </c>
      <c r="G1260" s="2"/>
      <c r="H1260" s="2"/>
    </row>
    <row r="1261">
      <c r="A1261" s="1" t="s">
        <v>726</v>
      </c>
      <c r="B1261" s="1"/>
      <c r="C1261" s="1">
        <v>48.0</v>
      </c>
      <c r="D1261" s="2"/>
      <c r="E1261" s="2"/>
      <c r="F1261" s="2"/>
      <c r="G1261" s="2"/>
      <c r="H1261" s="2"/>
    </row>
    <row r="1262">
      <c r="A1262" s="1" t="s">
        <v>727</v>
      </c>
      <c r="B1262" s="1"/>
      <c r="C1262" s="1">
        <v>0.0</v>
      </c>
      <c r="D1262" s="2"/>
      <c r="E1262" s="2"/>
      <c r="F1262" s="2"/>
      <c r="G1262" s="2"/>
      <c r="H1262" s="2"/>
    </row>
    <row r="1263">
      <c r="A1263" s="1" t="s">
        <v>728</v>
      </c>
      <c r="B1263" s="1"/>
      <c r="C1263" s="1">
        <v>0.0</v>
      </c>
      <c r="D1263" s="2"/>
      <c r="E1263" s="2"/>
      <c r="F1263" s="2"/>
      <c r="G1263" s="2"/>
      <c r="H1263" s="2"/>
    </row>
    <row r="1264">
      <c r="A1264" s="1" t="s">
        <v>729</v>
      </c>
      <c r="B1264" s="1"/>
      <c r="C1264" s="1">
        <v>0.0</v>
      </c>
      <c r="D1264" s="2"/>
      <c r="E1264" s="2"/>
      <c r="F1264" s="2"/>
      <c r="G1264" s="2"/>
      <c r="H1264" s="2"/>
    </row>
    <row r="1265">
      <c r="A1265" s="1" t="s">
        <v>730</v>
      </c>
      <c r="B1265" s="1"/>
      <c r="C1265" s="1">
        <v>0.0</v>
      </c>
      <c r="D1265" s="2"/>
      <c r="E1265" s="2"/>
      <c r="F1265" s="2"/>
      <c r="G1265" s="2"/>
      <c r="H1265" s="2"/>
    </row>
    <row r="1266">
      <c r="A1266" s="1" t="s">
        <v>731</v>
      </c>
      <c r="B1266" s="1"/>
      <c r="C1266" s="1">
        <v>0.0</v>
      </c>
      <c r="D1266" s="2"/>
      <c r="E1266" s="2"/>
      <c r="F1266" s="2"/>
      <c r="G1266" s="2"/>
      <c r="H1266" s="2"/>
    </row>
    <row r="1267">
      <c r="A1267" s="1" t="s">
        <v>732</v>
      </c>
      <c r="B1267" s="1"/>
      <c r="C1267" s="1">
        <v>0.0</v>
      </c>
      <c r="D1267" s="2"/>
      <c r="E1267" s="2"/>
      <c r="F1267" s="2"/>
      <c r="G1267" s="2"/>
      <c r="H1267" s="2"/>
    </row>
    <row r="1268">
      <c r="A1268" s="1" t="s">
        <v>733</v>
      </c>
      <c r="B1268" s="1"/>
      <c r="C1268" s="1">
        <v>95.0</v>
      </c>
      <c r="D1268" s="2"/>
      <c r="E1268" s="2"/>
      <c r="F1268" s="2"/>
      <c r="G1268" s="2"/>
      <c r="H1268" s="2"/>
    </row>
    <row r="1269">
      <c r="A1269" s="1" t="s">
        <v>734</v>
      </c>
      <c r="B1269" s="1"/>
      <c r="C1269" s="1">
        <v>0.0</v>
      </c>
      <c r="D1269" s="2"/>
      <c r="E1269" s="2"/>
      <c r="F1269" s="2"/>
      <c r="G1269" s="2"/>
      <c r="H1269" s="2"/>
    </row>
    <row r="1270">
      <c r="A1270" s="1" t="s">
        <v>735</v>
      </c>
      <c r="B1270" s="1"/>
      <c r="C1270" s="1">
        <v>47.0</v>
      </c>
      <c r="D1270" s="2"/>
      <c r="E1270" s="2"/>
      <c r="F1270" s="2"/>
      <c r="G1270" s="2"/>
      <c r="H1270" s="2"/>
    </row>
    <row r="1271">
      <c r="A1271" s="1" t="s">
        <v>736</v>
      </c>
      <c r="B1271" s="1"/>
      <c r="C1271" s="1">
        <v>0.0</v>
      </c>
      <c r="D1271" s="2"/>
      <c r="E1271" s="2"/>
      <c r="F1271" s="2"/>
      <c r="G1271" s="2"/>
      <c r="H1271" s="2"/>
    </row>
    <row r="1272">
      <c r="A1272" s="1" t="s">
        <v>737</v>
      </c>
      <c r="B1272" s="1"/>
      <c r="C1272" s="1">
        <v>0.0</v>
      </c>
      <c r="D1272" s="2"/>
      <c r="E1272" s="2"/>
      <c r="F1272" s="2"/>
      <c r="G1272" s="2"/>
      <c r="H1272" s="2"/>
    </row>
    <row r="1273">
      <c r="A1273" s="1" t="s">
        <v>738</v>
      </c>
      <c r="B1273" s="1"/>
      <c r="C1273" s="1">
        <v>0.0</v>
      </c>
      <c r="D1273" s="2"/>
      <c r="E1273" s="2"/>
      <c r="F1273" s="2"/>
      <c r="G1273" s="2"/>
      <c r="H1273" s="2"/>
    </row>
    <row r="1274">
      <c r="A1274" s="1" t="s">
        <v>739</v>
      </c>
      <c r="B1274" s="1"/>
      <c r="C1274" s="1">
        <v>0.0</v>
      </c>
      <c r="D1274" s="2"/>
      <c r="E1274" s="2"/>
      <c r="F1274" s="2"/>
      <c r="G1274" s="2"/>
      <c r="H1274" s="2"/>
    </row>
    <row r="1275">
      <c r="A1275" s="1" t="s">
        <v>740</v>
      </c>
      <c r="B1275" s="1"/>
      <c r="C1275" s="1">
        <v>0.0</v>
      </c>
      <c r="D1275" s="2"/>
      <c r="E1275" s="2"/>
      <c r="F1275" s="2"/>
      <c r="G1275" s="2"/>
      <c r="H1275" s="2"/>
    </row>
    <row r="1276">
      <c r="A1276" s="1" t="s">
        <v>741</v>
      </c>
      <c r="B1276" s="1"/>
      <c r="C1276" s="1">
        <v>0.0</v>
      </c>
      <c r="D1276" s="2"/>
      <c r="E1276" s="2"/>
      <c r="F1276" s="2"/>
      <c r="G1276" s="2"/>
      <c r="H1276" s="2"/>
    </row>
    <row r="1277">
      <c r="A1277" s="1" t="s">
        <v>742</v>
      </c>
      <c r="B1277" s="1"/>
      <c r="C1277" s="1">
        <v>0.0</v>
      </c>
      <c r="D1277" s="2"/>
      <c r="E1277" s="2"/>
      <c r="F1277" s="2"/>
      <c r="G1277" s="2"/>
      <c r="H1277" s="2"/>
    </row>
    <row r="1278">
      <c r="A1278" s="1" t="s">
        <v>743</v>
      </c>
      <c r="B1278" s="1"/>
      <c r="C1278" s="1">
        <v>0.0</v>
      </c>
      <c r="D1278" s="2"/>
      <c r="E1278" s="2"/>
      <c r="F1278" s="2"/>
      <c r="G1278" s="2"/>
      <c r="H1278" s="2"/>
    </row>
    <row r="1279">
      <c r="A1279" s="1" t="s">
        <v>744</v>
      </c>
      <c r="B1279" s="1"/>
      <c r="C1279" s="1">
        <v>0.0</v>
      </c>
      <c r="D1279" s="2"/>
      <c r="E1279" s="2"/>
      <c r="F1279" s="2"/>
      <c r="G1279" s="2"/>
      <c r="H1279" s="2"/>
    </row>
    <row r="1280">
      <c r="A1280" s="1" t="s">
        <v>745</v>
      </c>
      <c r="B1280" s="1"/>
      <c r="C1280" s="1">
        <v>28.0</v>
      </c>
      <c r="D1280" s="2"/>
      <c r="E1280" s="2"/>
      <c r="F1280" s="2"/>
      <c r="G1280" s="2"/>
      <c r="H1280" s="2"/>
    </row>
    <row r="1281">
      <c r="A1281" s="1" t="s">
        <v>746</v>
      </c>
      <c r="B1281" s="1"/>
      <c r="C1281" s="1">
        <v>0.0</v>
      </c>
      <c r="D1281" s="2"/>
      <c r="E1281" s="2"/>
      <c r="F1281" s="2"/>
      <c r="G1281" s="2"/>
      <c r="H1281" s="2"/>
    </row>
    <row r="1282">
      <c r="A1282" s="1" t="s">
        <v>747</v>
      </c>
      <c r="B1282" s="1"/>
      <c r="C1282" s="1">
        <v>0.0</v>
      </c>
      <c r="D1282" s="2"/>
      <c r="E1282" s="2"/>
      <c r="F1282" s="2"/>
      <c r="G1282" s="2"/>
      <c r="H1282" s="2"/>
    </row>
    <row r="1283">
      <c r="A1283" s="1" t="s">
        <v>748</v>
      </c>
      <c r="B1283" s="1"/>
      <c r="C1283" s="1">
        <v>0.0</v>
      </c>
      <c r="D1283" s="2"/>
      <c r="E1283" s="2"/>
      <c r="F1283" s="2"/>
      <c r="G1283" s="2"/>
      <c r="H1283" s="2"/>
    </row>
    <row r="1284">
      <c r="A1284" s="1" t="s">
        <v>749</v>
      </c>
      <c r="B1284" s="1"/>
      <c r="C1284" s="1">
        <v>22.0</v>
      </c>
      <c r="D1284" s="2"/>
      <c r="E1284" s="2"/>
      <c r="F1284" s="2"/>
      <c r="G1284" s="2"/>
      <c r="H1284" s="2"/>
    </row>
    <row r="1285">
      <c r="A1285" s="1" t="s">
        <v>750</v>
      </c>
      <c r="B1285" s="1"/>
      <c r="C1285" s="1">
        <v>0.0</v>
      </c>
      <c r="D1285" s="2"/>
      <c r="E1285" s="2"/>
      <c r="F1285" s="2"/>
      <c r="G1285" s="2"/>
      <c r="H1285" s="2"/>
    </row>
    <row r="1286">
      <c r="A1286" s="1" t="s">
        <v>751</v>
      </c>
      <c r="B1286" s="1"/>
      <c r="C1286" s="1">
        <v>66.0</v>
      </c>
      <c r="D1286" s="2"/>
      <c r="E1286" s="2"/>
      <c r="F1286" s="2"/>
      <c r="G1286" s="2"/>
      <c r="H1286" s="2"/>
    </row>
    <row r="1287">
      <c r="A1287" s="1" t="s">
        <v>752</v>
      </c>
      <c r="B1287" s="1"/>
      <c r="C1287" s="1">
        <v>0.0</v>
      </c>
      <c r="D1287" s="2"/>
      <c r="E1287" s="2"/>
      <c r="F1287" s="2"/>
      <c r="G1287" s="2"/>
      <c r="H1287" s="2"/>
    </row>
    <row r="1288">
      <c r="A1288" s="1" t="s">
        <v>753</v>
      </c>
      <c r="B1288" s="1"/>
      <c r="C1288" s="1">
        <v>0.0</v>
      </c>
      <c r="D1288" s="2"/>
      <c r="E1288" s="2"/>
      <c r="F1288" s="2"/>
      <c r="G1288" s="2"/>
      <c r="H1288" s="2"/>
    </row>
    <row r="1289">
      <c r="A1289" s="1" t="s">
        <v>754</v>
      </c>
      <c r="B1289" s="1"/>
      <c r="C1289" s="1">
        <v>0.0</v>
      </c>
      <c r="D1289" s="2"/>
      <c r="E1289" s="2"/>
      <c r="F1289" s="2"/>
      <c r="G1289" s="2"/>
      <c r="H1289" s="2"/>
    </row>
    <row r="1290">
      <c r="A1290" s="1" t="s">
        <v>755</v>
      </c>
      <c r="B1290" s="1"/>
      <c r="C1290" s="1">
        <v>0.0</v>
      </c>
      <c r="D1290" s="2"/>
      <c r="E1290" s="2"/>
      <c r="F1290" s="2"/>
      <c r="G1290" s="2"/>
      <c r="H1290" s="2"/>
    </row>
    <row r="1291">
      <c r="A1291" s="1" t="s">
        <v>756</v>
      </c>
      <c r="B1291" s="1"/>
      <c r="C1291" s="1">
        <v>0.0</v>
      </c>
      <c r="D1291" s="2"/>
      <c r="E1291" s="2"/>
      <c r="F1291" s="2"/>
      <c r="G1291" s="2"/>
      <c r="H1291" s="2"/>
    </row>
    <row r="1292">
      <c r="A1292" s="1" t="s">
        <v>757</v>
      </c>
      <c r="B1292" s="1"/>
      <c r="C1292" s="1">
        <v>0.0</v>
      </c>
      <c r="D1292" s="2"/>
      <c r="E1292" s="2"/>
      <c r="F1292" s="2"/>
      <c r="G1292" s="2"/>
      <c r="H1292" s="2"/>
    </row>
    <row r="1293">
      <c r="A1293" s="1" t="s">
        <v>758</v>
      </c>
      <c r="B1293" s="1"/>
      <c r="C1293" s="1">
        <v>0.0</v>
      </c>
      <c r="D1293" s="2"/>
      <c r="E1293" s="2"/>
      <c r="F1293" s="2"/>
      <c r="G1293" s="2"/>
      <c r="H1293" s="2"/>
    </row>
    <row r="1294">
      <c r="A1294" s="1" t="s">
        <v>759</v>
      </c>
      <c r="B1294" s="1"/>
      <c r="C1294" s="1">
        <v>66.0</v>
      </c>
      <c r="D1294" s="2"/>
      <c r="E1294" s="2"/>
      <c r="F1294" s="2"/>
      <c r="G1294" s="2"/>
      <c r="H1294" s="2"/>
    </row>
    <row r="1295">
      <c r="A1295" s="1" t="s">
        <v>760</v>
      </c>
      <c r="B1295" s="1"/>
      <c r="C1295" s="1">
        <v>0.0</v>
      </c>
      <c r="D1295" s="2"/>
      <c r="E1295" s="2"/>
      <c r="F1295" s="2"/>
      <c r="G1295" s="2"/>
      <c r="H1295" s="2"/>
    </row>
    <row r="1296">
      <c r="A1296" s="1" t="s">
        <v>761</v>
      </c>
      <c r="B1296" s="1"/>
      <c r="C1296" s="1">
        <v>0.0</v>
      </c>
      <c r="D1296" s="2"/>
      <c r="E1296" s="2"/>
      <c r="F1296" s="2"/>
      <c r="G1296" s="2"/>
      <c r="H1296" s="2"/>
    </row>
    <row r="1297">
      <c r="A1297" s="1" t="s">
        <v>762</v>
      </c>
      <c r="B1297" s="1"/>
      <c r="C1297" s="1">
        <v>20.0</v>
      </c>
      <c r="D1297" s="2"/>
      <c r="E1297" s="2"/>
      <c r="F1297" s="2"/>
      <c r="G1297" s="2"/>
      <c r="H1297" s="2"/>
    </row>
    <row r="1298">
      <c r="A1298" s="1" t="s">
        <v>763</v>
      </c>
      <c r="B1298" s="1"/>
      <c r="C1298" s="1">
        <v>10.0</v>
      </c>
      <c r="D1298" s="2"/>
      <c r="E1298" s="2"/>
      <c r="F1298" s="2"/>
      <c r="G1298" s="2"/>
      <c r="H1298" s="2"/>
    </row>
    <row r="1299">
      <c r="A1299" s="1" t="s">
        <v>764</v>
      </c>
      <c r="B1299" s="1"/>
      <c r="C1299" s="1">
        <v>0.0</v>
      </c>
      <c r="D1299" s="2"/>
      <c r="E1299" s="2"/>
      <c r="F1299" s="2"/>
      <c r="G1299" s="2"/>
      <c r="H1299" s="2"/>
    </row>
    <row r="1300">
      <c r="A1300" s="1" t="s">
        <v>765</v>
      </c>
      <c r="B1300" s="1"/>
      <c r="C1300" s="1">
        <v>0.0</v>
      </c>
      <c r="D1300" s="2"/>
      <c r="E1300" s="2"/>
      <c r="F1300" s="2"/>
      <c r="G1300" s="2"/>
      <c r="H1300" s="2"/>
    </row>
    <row r="1301">
      <c r="A1301" s="1" t="s">
        <v>766</v>
      </c>
      <c r="B1301" s="1"/>
      <c r="C1301" s="1">
        <v>0.0</v>
      </c>
      <c r="D1301" s="2"/>
      <c r="E1301" s="2"/>
      <c r="F1301" s="2"/>
      <c r="G1301" s="2"/>
      <c r="H1301" s="2"/>
    </row>
    <row r="1302">
      <c r="A1302" s="1" t="s">
        <v>767</v>
      </c>
      <c r="B1302" s="1"/>
      <c r="C1302" s="1">
        <v>0.0</v>
      </c>
      <c r="D1302" s="2"/>
      <c r="E1302" s="2"/>
      <c r="F1302" s="2"/>
      <c r="G1302" s="2"/>
      <c r="H1302" s="2"/>
    </row>
    <row r="1303">
      <c r="A1303" s="1" t="s">
        <v>768</v>
      </c>
      <c r="B1303" s="1"/>
      <c r="C1303" s="1">
        <v>0.0</v>
      </c>
      <c r="D1303" s="2"/>
      <c r="E1303" s="2"/>
      <c r="F1303" s="2"/>
      <c r="G1303" s="2"/>
      <c r="H1303" s="2"/>
    </row>
    <row r="1304">
      <c r="A1304" s="1" t="s">
        <v>769</v>
      </c>
      <c r="B1304" s="1"/>
      <c r="C1304" s="1">
        <v>88.0</v>
      </c>
      <c r="D1304" s="2"/>
      <c r="E1304" s="2"/>
      <c r="F1304" s="2"/>
      <c r="G1304" s="2"/>
      <c r="H1304" s="2"/>
    </row>
    <row r="1305">
      <c r="A1305" s="1" t="s">
        <v>770</v>
      </c>
      <c r="B1305" s="1"/>
      <c r="C1305" s="1">
        <v>0.0</v>
      </c>
      <c r="D1305" s="2"/>
      <c r="E1305" s="2"/>
      <c r="F1305" s="2"/>
      <c r="G1305" s="2"/>
      <c r="H1305" s="2"/>
    </row>
    <row r="1306">
      <c r="A1306" s="1" t="s">
        <v>771</v>
      </c>
      <c r="B1306" s="1"/>
      <c r="C1306" s="1">
        <v>0.0</v>
      </c>
      <c r="D1306" s="2"/>
      <c r="E1306" s="2"/>
      <c r="F1306" s="2"/>
      <c r="G1306" s="2"/>
      <c r="H1306" s="2"/>
    </row>
    <row r="1307">
      <c r="A1307" s="1" t="s">
        <v>772</v>
      </c>
      <c r="B1307" s="1"/>
      <c r="C1307" s="1">
        <v>46.0</v>
      </c>
      <c r="D1307" s="2"/>
      <c r="E1307" s="2"/>
      <c r="F1307" s="2"/>
      <c r="G1307" s="2"/>
      <c r="H1307" s="2"/>
    </row>
    <row r="1308">
      <c r="A1308" s="1" t="s">
        <v>773</v>
      </c>
      <c r="B1308" s="1"/>
      <c r="C1308" s="1">
        <v>67.0</v>
      </c>
      <c r="D1308" s="2"/>
      <c r="E1308" s="2"/>
      <c r="F1308" s="2"/>
      <c r="G1308" s="2"/>
      <c r="H1308" s="2"/>
    </row>
    <row r="1309">
      <c r="A1309" s="1" t="s">
        <v>774</v>
      </c>
      <c r="B1309" s="1"/>
      <c r="C1309" s="1">
        <v>40.0</v>
      </c>
      <c r="D1309" s="2"/>
      <c r="E1309" s="2"/>
      <c r="F1309" s="2"/>
      <c r="G1309" s="2"/>
      <c r="H1309" s="2"/>
    </row>
    <row r="1310">
      <c r="A1310" s="1" t="s">
        <v>775</v>
      </c>
      <c r="B1310" s="1"/>
      <c r="C1310" s="1">
        <v>0.0</v>
      </c>
      <c r="D1310" s="2"/>
      <c r="E1310" s="2"/>
      <c r="F1310" s="2"/>
      <c r="G1310" s="2"/>
      <c r="H1310" s="2"/>
    </row>
    <row r="1311">
      <c r="A1311" s="1" t="s">
        <v>776</v>
      </c>
      <c r="B1311" s="1"/>
      <c r="C1311" s="1">
        <v>0.0</v>
      </c>
      <c r="D1311" s="2"/>
      <c r="E1311" s="2"/>
      <c r="F1311" s="2"/>
      <c r="G1311" s="2"/>
      <c r="H1311" s="2"/>
    </row>
    <row r="1312">
      <c r="A1312" s="1" t="s">
        <v>777</v>
      </c>
      <c r="B1312" s="1"/>
      <c r="C1312" s="1">
        <v>0.0</v>
      </c>
      <c r="D1312" s="2"/>
      <c r="E1312" s="2"/>
      <c r="F1312" s="2"/>
      <c r="G1312" s="2"/>
      <c r="H1312" s="2"/>
    </row>
    <row r="1313">
      <c r="A1313" s="1" t="s">
        <v>778</v>
      </c>
      <c r="B1313" s="1"/>
      <c r="C1313" s="1">
        <v>80.0</v>
      </c>
      <c r="D1313" s="2"/>
      <c r="E1313" s="2"/>
      <c r="F1313" s="2"/>
      <c r="G1313" s="2"/>
      <c r="H1313" s="2"/>
    </row>
    <row r="1314">
      <c r="A1314" s="1" t="s">
        <v>779</v>
      </c>
      <c r="B1314" s="1"/>
      <c r="C1314" s="1">
        <v>32.0</v>
      </c>
      <c r="D1314" s="2"/>
      <c r="E1314" s="2"/>
      <c r="F1314" s="2"/>
      <c r="G1314" s="2"/>
      <c r="H1314" s="2"/>
    </row>
    <row r="1315">
      <c r="A1315" s="1" t="s">
        <v>780</v>
      </c>
      <c r="B1315" s="1"/>
      <c r="C1315" s="1">
        <v>0.0</v>
      </c>
      <c r="D1315" s="2"/>
      <c r="E1315" s="2"/>
      <c r="F1315" s="2"/>
      <c r="G1315" s="2"/>
      <c r="H1315" s="2"/>
    </row>
    <row r="1316">
      <c r="A1316" s="1" t="s">
        <v>781</v>
      </c>
      <c r="B1316" s="1"/>
      <c r="C1316" s="1">
        <v>0.0</v>
      </c>
      <c r="D1316" s="2"/>
      <c r="E1316" s="2"/>
      <c r="F1316" s="2"/>
      <c r="G1316" s="2"/>
      <c r="H1316" s="2"/>
    </row>
    <row r="1317">
      <c r="A1317" s="1" t="s">
        <v>782</v>
      </c>
      <c r="B1317" s="1"/>
      <c r="C1317" s="1">
        <v>57.0</v>
      </c>
      <c r="D1317" s="2"/>
      <c r="E1317" s="2"/>
      <c r="F1317" s="2"/>
      <c r="G1317" s="2"/>
      <c r="H1317" s="2"/>
    </row>
    <row r="1318">
      <c r="A1318" s="1" t="s">
        <v>783</v>
      </c>
      <c r="B1318" s="1"/>
      <c r="C1318" s="1">
        <v>71.0</v>
      </c>
      <c r="D1318" s="2"/>
      <c r="E1318" s="2"/>
      <c r="F1318" s="2"/>
      <c r="G1318" s="2"/>
      <c r="H1318" s="2"/>
    </row>
    <row r="1319">
      <c r="A1319" s="1" t="s">
        <v>784</v>
      </c>
      <c r="B1319" s="1"/>
      <c r="C1319" s="1">
        <v>32.0</v>
      </c>
      <c r="D1319" s="2"/>
      <c r="E1319" s="2"/>
      <c r="F1319" s="2"/>
      <c r="G1319" s="2"/>
      <c r="H1319" s="2"/>
    </row>
    <row r="1320">
      <c r="A1320" s="1" t="s">
        <v>785</v>
      </c>
      <c r="B1320" s="1"/>
      <c r="C1320" s="1">
        <v>0.0</v>
      </c>
      <c r="D1320" s="2"/>
      <c r="E1320" s="2"/>
      <c r="F1320" s="2"/>
      <c r="G1320" s="2"/>
      <c r="H1320" s="2"/>
    </row>
    <row r="1321">
      <c r="A1321" s="1" t="s">
        <v>786</v>
      </c>
      <c r="B1321" s="1"/>
      <c r="C1321" s="1">
        <v>4.0</v>
      </c>
      <c r="D1321" s="2"/>
      <c r="E1321" s="2"/>
      <c r="F1321" s="2"/>
      <c r="G1321" s="2"/>
      <c r="H1321" s="2"/>
    </row>
    <row r="1322">
      <c r="A1322" s="1" t="s">
        <v>787</v>
      </c>
      <c r="B1322" s="1"/>
      <c r="C1322" s="1">
        <v>12.0</v>
      </c>
      <c r="D1322" s="2"/>
      <c r="E1322" s="2"/>
      <c r="F1322" s="2"/>
      <c r="G1322" s="2"/>
      <c r="H1322" s="2"/>
    </row>
    <row r="1323">
      <c r="A1323" s="1" t="s">
        <v>788</v>
      </c>
      <c r="B1323" s="1"/>
      <c r="C1323" s="1">
        <v>0.0</v>
      </c>
      <c r="D1323" s="2"/>
      <c r="E1323" s="2"/>
      <c r="F1323" s="2"/>
      <c r="G1323" s="2"/>
      <c r="H1323" s="2"/>
    </row>
    <row r="1324">
      <c r="A1324" s="1" t="s">
        <v>789</v>
      </c>
      <c r="B1324" s="1"/>
      <c r="C1324" s="1">
        <v>0.0</v>
      </c>
      <c r="D1324" s="2"/>
      <c r="E1324" s="2"/>
      <c r="F1324" s="2"/>
      <c r="G1324" s="2"/>
      <c r="H1324" s="2"/>
    </row>
    <row r="1325">
      <c r="A1325" s="1" t="s">
        <v>790</v>
      </c>
      <c r="B1325" s="1"/>
      <c r="C1325" s="1">
        <v>0.0</v>
      </c>
      <c r="D1325" s="2"/>
      <c r="E1325" s="2"/>
      <c r="F1325" s="2"/>
      <c r="G1325" s="2"/>
      <c r="H1325" s="2"/>
    </row>
    <row r="1326">
      <c r="A1326" s="1" t="s">
        <v>791</v>
      </c>
      <c r="B1326" s="1"/>
      <c r="C1326" s="1">
        <v>0.0</v>
      </c>
      <c r="D1326" s="2"/>
      <c r="E1326" s="2"/>
      <c r="F1326" s="2"/>
      <c r="G1326" s="2"/>
      <c r="H1326" s="2"/>
    </row>
    <row r="1327">
      <c r="A1327" s="1" t="s">
        <v>792</v>
      </c>
      <c r="B1327" s="1"/>
      <c r="C1327" s="1">
        <v>80.0</v>
      </c>
      <c r="D1327" s="2"/>
      <c r="E1327" s="2"/>
      <c r="F1327" s="2"/>
      <c r="G1327" s="2"/>
      <c r="H1327" s="2"/>
    </row>
    <row r="1328">
      <c r="A1328" s="1" t="s">
        <v>793</v>
      </c>
      <c r="B1328" s="1"/>
      <c r="C1328" s="1">
        <v>0.0</v>
      </c>
      <c r="D1328" s="2"/>
      <c r="E1328" s="2"/>
      <c r="F1328" s="2"/>
      <c r="G1328" s="2"/>
      <c r="H1328" s="2"/>
    </row>
    <row r="1329">
      <c r="A1329" s="1" t="s">
        <v>722</v>
      </c>
      <c r="B1329" s="1"/>
      <c r="C1329" s="1" t="s">
        <v>723</v>
      </c>
      <c r="D1329" s="1" t="s">
        <v>724</v>
      </c>
      <c r="E1329" s="1" t="s">
        <v>725</v>
      </c>
      <c r="F1329" s="1">
        <v>0.0</v>
      </c>
      <c r="G1329" s="2"/>
      <c r="H1329" s="2"/>
    </row>
    <row r="1330">
      <c r="A1330" s="1" t="s">
        <v>726</v>
      </c>
      <c r="B1330" s="1"/>
      <c r="C1330" s="1">
        <v>48.0</v>
      </c>
      <c r="D1330" s="2"/>
      <c r="E1330" s="2"/>
      <c r="F1330" s="2"/>
      <c r="G1330" s="2"/>
      <c r="H1330" s="2"/>
    </row>
    <row r="1331">
      <c r="A1331" s="1" t="s">
        <v>727</v>
      </c>
      <c r="B1331" s="1"/>
      <c r="C1331" s="1">
        <v>0.0</v>
      </c>
      <c r="D1331" s="2"/>
      <c r="E1331" s="2"/>
      <c r="F1331" s="2"/>
      <c r="G1331" s="2"/>
      <c r="H1331" s="2"/>
    </row>
    <row r="1332">
      <c r="A1332" s="1" t="s">
        <v>728</v>
      </c>
      <c r="B1332" s="1"/>
      <c r="C1332" s="1">
        <v>0.0</v>
      </c>
      <c r="D1332" s="2"/>
      <c r="E1332" s="2"/>
      <c r="F1332" s="2"/>
      <c r="G1332" s="2"/>
      <c r="H1332" s="2"/>
    </row>
    <row r="1333">
      <c r="A1333" s="1" t="s">
        <v>729</v>
      </c>
      <c r="B1333" s="1"/>
      <c r="C1333" s="1">
        <v>0.0</v>
      </c>
      <c r="D1333" s="2"/>
      <c r="E1333" s="2"/>
      <c r="F1333" s="2"/>
      <c r="G1333" s="2"/>
      <c r="H1333" s="2"/>
    </row>
    <row r="1334">
      <c r="A1334" s="1" t="s">
        <v>730</v>
      </c>
      <c r="B1334" s="1"/>
      <c r="C1334" s="1">
        <v>0.0</v>
      </c>
      <c r="D1334" s="2"/>
      <c r="E1334" s="2"/>
      <c r="F1334" s="2"/>
      <c r="G1334" s="2"/>
      <c r="H1334" s="2"/>
    </row>
    <row r="1335">
      <c r="A1335" s="1" t="s">
        <v>731</v>
      </c>
      <c r="B1335" s="1"/>
      <c r="C1335" s="1">
        <v>0.0</v>
      </c>
      <c r="D1335" s="2"/>
      <c r="E1335" s="2"/>
      <c r="F1335" s="2"/>
      <c r="G1335" s="2"/>
      <c r="H1335" s="2"/>
    </row>
    <row r="1336">
      <c r="A1336" s="1" t="s">
        <v>732</v>
      </c>
      <c r="B1336" s="1"/>
      <c r="C1336" s="1">
        <v>0.0</v>
      </c>
      <c r="D1336" s="2"/>
      <c r="E1336" s="2"/>
      <c r="F1336" s="2"/>
      <c r="G1336" s="2"/>
      <c r="H1336" s="2"/>
    </row>
    <row r="1337">
      <c r="A1337" s="1" t="s">
        <v>733</v>
      </c>
      <c r="B1337" s="1"/>
      <c r="C1337" s="1">
        <v>95.0</v>
      </c>
      <c r="D1337" s="2"/>
      <c r="E1337" s="2"/>
      <c r="F1337" s="2"/>
      <c r="G1337" s="2"/>
      <c r="H1337" s="2"/>
    </row>
    <row r="1338">
      <c r="A1338" s="1" t="s">
        <v>734</v>
      </c>
      <c r="B1338" s="1"/>
      <c r="C1338" s="1">
        <v>0.0</v>
      </c>
      <c r="D1338" s="2"/>
      <c r="E1338" s="2"/>
      <c r="F1338" s="2"/>
      <c r="G1338" s="2"/>
      <c r="H1338" s="2"/>
    </row>
    <row r="1339">
      <c r="A1339" s="1" t="s">
        <v>735</v>
      </c>
      <c r="B1339" s="1"/>
      <c r="C1339" s="1">
        <v>47.0</v>
      </c>
      <c r="D1339" s="2"/>
      <c r="E1339" s="2"/>
      <c r="F1339" s="2"/>
      <c r="G1339" s="2"/>
      <c r="H1339" s="2"/>
    </row>
    <row r="1340">
      <c r="A1340" s="1" t="s">
        <v>736</v>
      </c>
      <c r="B1340" s="1"/>
      <c r="C1340" s="1">
        <v>0.0</v>
      </c>
      <c r="D1340" s="2"/>
      <c r="E1340" s="2"/>
      <c r="F1340" s="2"/>
      <c r="G1340" s="2"/>
      <c r="H1340" s="2"/>
    </row>
    <row r="1341">
      <c r="A1341" s="1" t="s">
        <v>737</v>
      </c>
      <c r="B1341" s="1"/>
      <c r="C1341" s="1">
        <v>0.0</v>
      </c>
      <c r="D1341" s="2"/>
      <c r="E1341" s="2"/>
      <c r="F1341" s="2"/>
      <c r="G1341" s="2"/>
      <c r="H1341" s="2"/>
    </row>
    <row r="1342">
      <c r="A1342" s="1" t="s">
        <v>738</v>
      </c>
      <c r="B1342" s="1"/>
      <c r="C1342" s="1">
        <v>0.0</v>
      </c>
      <c r="D1342" s="2"/>
      <c r="E1342" s="2"/>
      <c r="F1342" s="2"/>
      <c r="G1342" s="2"/>
      <c r="H1342" s="2"/>
    </row>
    <row r="1343">
      <c r="A1343" s="1" t="s">
        <v>739</v>
      </c>
      <c r="B1343" s="1"/>
      <c r="C1343" s="1">
        <v>0.0</v>
      </c>
      <c r="D1343" s="2"/>
      <c r="E1343" s="2"/>
      <c r="F1343" s="2"/>
      <c r="G1343" s="2"/>
      <c r="H1343" s="2"/>
    </row>
    <row r="1344">
      <c r="A1344" s="1" t="s">
        <v>740</v>
      </c>
      <c r="B1344" s="1"/>
      <c r="C1344" s="1">
        <v>0.0</v>
      </c>
      <c r="D1344" s="2"/>
      <c r="E1344" s="2"/>
      <c r="F1344" s="2"/>
      <c r="G1344" s="2"/>
      <c r="H1344" s="2"/>
    </row>
    <row r="1345">
      <c r="A1345" s="1" t="s">
        <v>741</v>
      </c>
      <c r="B1345" s="1"/>
      <c r="C1345" s="1">
        <v>0.0</v>
      </c>
      <c r="D1345" s="2"/>
      <c r="E1345" s="2"/>
      <c r="F1345" s="2"/>
      <c r="G1345" s="2"/>
      <c r="H1345" s="2"/>
    </row>
    <row r="1346">
      <c r="A1346" s="1" t="s">
        <v>742</v>
      </c>
      <c r="B1346" s="1"/>
      <c r="C1346" s="1">
        <v>0.0</v>
      </c>
      <c r="D1346" s="2"/>
      <c r="E1346" s="2"/>
      <c r="F1346" s="2"/>
      <c r="G1346" s="2"/>
      <c r="H1346" s="2"/>
    </row>
    <row r="1347">
      <c r="A1347" s="1" t="s">
        <v>743</v>
      </c>
      <c r="B1347" s="1"/>
      <c r="C1347" s="1">
        <v>0.0</v>
      </c>
      <c r="D1347" s="2"/>
      <c r="E1347" s="2"/>
      <c r="F1347" s="2"/>
      <c r="G1347" s="2"/>
      <c r="H1347" s="2"/>
    </row>
    <row r="1348">
      <c r="A1348" s="1" t="s">
        <v>744</v>
      </c>
      <c r="B1348" s="1"/>
      <c r="C1348" s="1">
        <v>0.0</v>
      </c>
      <c r="D1348" s="2"/>
      <c r="E1348" s="2"/>
      <c r="F1348" s="2"/>
      <c r="G1348" s="2"/>
      <c r="H1348" s="2"/>
    </row>
    <row r="1349">
      <c r="A1349" s="1" t="s">
        <v>745</v>
      </c>
      <c r="B1349" s="1"/>
      <c r="C1349" s="1">
        <v>28.0</v>
      </c>
      <c r="D1349" s="2"/>
      <c r="E1349" s="2"/>
      <c r="F1349" s="2"/>
      <c r="G1349" s="2"/>
      <c r="H1349" s="2"/>
    </row>
    <row r="1350">
      <c r="A1350" s="1" t="s">
        <v>746</v>
      </c>
      <c r="B1350" s="1"/>
      <c r="C1350" s="1">
        <v>0.0</v>
      </c>
      <c r="D1350" s="2"/>
      <c r="E1350" s="2"/>
      <c r="F1350" s="2"/>
      <c r="G1350" s="2"/>
      <c r="H1350" s="2"/>
    </row>
    <row r="1351">
      <c r="A1351" s="1" t="s">
        <v>747</v>
      </c>
      <c r="B1351" s="1"/>
      <c r="C1351" s="1">
        <v>0.0</v>
      </c>
      <c r="D1351" s="2"/>
      <c r="E1351" s="2"/>
      <c r="F1351" s="2"/>
      <c r="G1351" s="2"/>
      <c r="H1351" s="2"/>
    </row>
    <row r="1352">
      <c r="A1352" s="1" t="s">
        <v>748</v>
      </c>
      <c r="B1352" s="1"/>
      <c r="C1352" s="1">
        <v>0.0</v>
      </c>
      <c r="D1352" s="2"/>
      <c r="E1352" s="2"/>
      <c r="F1352" s="2"/>
      <c r="G1352" s="2"/>
      <c r="H1352" s="2"/>
    </row>
    <row r="1353">
      <c r="A1353" s="1" t="s">
        <v>749</v>
      </c>
      <c r="B1353" s="1"/>
      <c r="C1353" s="1">
        <v>22.0</v>
      </c>
      <c r="D1353" s="2"/>
      <c r="E1353" s="2"/>
      <c r="F1353" s="2"/>
      <c r="G1353" s="2"/>
      <c r="H1353" s="2"/>
    </row>
    <row r="1354">
      <c r="A1354" s="1" t="s">
        <v>750</v>
      </c>
      <c r="B1354" s="1"/>
      <c r="C1354" s="1">
        <v>0.0</v>
      </c>
      <c r="D1354" s="2"/>
      <c r="E1354" s="2"/>
      <c r="F1354" s="2"/>
      <c r="G1354" s="2"/>
      <c r="H1354" s="2"/>
    </row>
    <row r="1355">
      <c r="A1355" s="1" t="s">
        <v>751</v>
      </c>
      <c r="B1355" s="1"/>
      <c r="C1355" s="1">
        <v>66.0</v>
      </c>
      <c r="D1355" s="2"/>
      <c r="E1355" s="2"/>
      <c r="F1355" s="2"/>
      <c r="G1355" s="2"/>
      <c r="H1355" s="2"/>
    </row>
    <row r="1356">
      <c r="A1356" s="1" t="s">
        <v>752</v>
      </c>
      <c r="B1356" s="1"/>
      <c r="C1356" s="1">
        <v>0.0</v>
      </c>
      <c r="D1356" s="2"/>
      <c r="E1356" s="2"/>
      <c r="F1356" s="2"/>
      <c r="G1356" s="2"/>
      <c r="H1356" s="2"/>
    </row>
    <row r="1357">
      <c r="A1357" s="1" t="s">
        <v>753</v>
      </c>
      <c r="B1357" s="1"/>
      <c r="C1357" s="1">
        <v>0.0</v>
      </c>
      <c r="D1357" s="2"/>
      <c r="E1357" s="2"/>
      <c r="F1357" s="2"/>
      <c r="G1357" s="2"/>
      <c r="H1357" s="2"/>
    </row>
    <row r="1358">
      <c r="A1358" s="1" t="s">
        <v>754</v>
      </c>
      <c r="B1358" s="1"/>
      <c r="C1358" s="1">
        <v>0.0</v>
      </c>
      <c r="D1358" s="2"/>
      <c r="E1358" s="2"/>
      <c r="F1358" s="2"/>
      <c r="G1358" s="2"/>
      <c r="H1358" s="2"/>
    </row>
    <row r="1359">
      <c r="A1359" s="1" t="s">
        <v>755</v>
      </c>
      <c r="B1359" s="1"/>
      <c r="C1359" s="1">
        <v>0.0</v>
      </c>
      <c r="D1359" s="2"/>
      <c r="E1359" s="2"/>
      <c r="F1359" s="2"/>
      <c r="G1359" s="2"/>
      <c r="H1359" s="2"/>
    </row>
    <row r="1360">
      <c r="A1360" s="1" t="s">
        <v>756</v>
      </c>
      <c r="B1360" s="1"/>
      <c r="C1360" s="1">
        <v>0.0</v>
      </c>
      <c r="D1360" s="2"/>
      <c r="E1360" s="2"/>
      <c r="F1360" s="2"/>
      <c r="G1360" s="2"/>
      <c r="H1360" s="2"/>
    </row>
    <row r="1361">
      <c r="A1361" s="1" t="s">
        <v>757</v>
      </c>
      <c r="B1361" s="1"/>
      <c r="C1361" s="1">
        <v>0.0</v>
      </c>
      <c r="D1361" s="2"/>
      <c r="E1361" s="2"/>
      <c r="F1361" s="2"/>
      <c r="G1361" s="2"/>
      <c r="H1361" s="2"/>
    </row>
    <row r="1362">
      <c r="A1362" s="1" t="s">
        <v>758</v>
      </c>
      <c r="B1362" s="1"/>
      <c r="C1362" s="1">
        <v>0.0</v>
      </c>
      <c r="D1362" s="2"/>
      <c r="E1362" s="2"/>
      <c r="F1362" s="2"/>
      <c r="G1362" s="2"/>
      <c r="H1362" s="2"/>
    </row>
    <row r="1363">
      <c r="A1363" s="1" t="s">
        <v>759</v>
      </c>
      <c r="B1363" s="1"/>
      <c r="C1363" s="1">
        <v>66.0</v>
      </c>
      <c r="D1363" s="2"/>
      <c r="E1363" s="2"/>
      <c r="F1363" s="2"/>
      <c r="G1363" s="2"/>
      <c r="H1363" s="2"/>
    </row>
    <row r="1364">
      <c r="A1364" s="1" t="s">
        <v>760</v>
      </c>
      <c r="B1364" s="1"/>
      <c r="C1364" s="1">
        <v>0.0</v>
      </c>
      <c r="D1364" s="2"/>
      <c r="E1364" s="2"/>
      <c r="F1364" s="2"/>
      <c r="G1364" s="2"/>
      <c r="H1364" s="2"/>
    </row>
    <row r="1365">
      <c r="A1365" s="1" t="s">
        <v>761</v>
      </c>
      <c r="B1365" s="1"/>
      <c r="C1365" s="1">
        <v>0.0</v>
      </c>
      <c r="D1365" s="2"/>
      <c r="E1365" s="2"/>
      <c r="F1365" s="2"/>
      <c r="G1365" s="2"/>
      <c r="H1365" s="2"/>
    </row>
    <row r="1366">
      <c r="A1366" s="1" t="s">
        <v>762</v>
      </c>
      <c r="B1366" s="1"/>
      <c r="C1366" s="1">
        <v>20.0</v>
      </c>
      <c r="D1366" s="2"/>
      <c r="E1366" s="2"/>
      <c r="F1366" s="2"/>
      <c r="G1366" s="2"/>
      <c r="H1366" s="2"/>
    </row>
    <row r="1367">
      <c r="A1367" s="1" t="s">
        <v>763</v>
      </c>
      <c r="B1367" s="1"/>
      <c r="C1367" s="1">
        <v>10.0</v>
      </c>
      <c r="D1367" s="2"/>
      <c r="E1367" s="2"/>
      <c r="F1367" s="2"/>
      <c r="G1367" s="2"/>
      <c r="H1367" s="2"/>
    </row>
    <row r="1368">
      <c r="A1368" s="1" t="s">
        <v>764</v>
      </c>
      <c r="B1368" s="1"/>
      <c r="C1368" s="1">
        <v>0.0</v>
      </c>
      <c r="D1368" s="2"/>
      <c r="E1368" s="2"/>
      <c r="F1368" s="2"/>
      <c r="G1368" s="2"/>
      <c r="H1368" s="2"/>
    </row>
    <row r="1369">
      <c r="A1369" s="1" t="s">
        <v>765</v>
      </c>
      <c r="B1369" s="1"/>
      <c r="C1369" s="1">
        <v>0.0</v>
      </c>
      <c r="D1369" s="2"/>
      <c r="E1369" s="2"/>
      <c r="F1369" s="2"/>
      <c r="G1369" s="2"/>
      <c r="H1369" s="2"/>
    </row>
    <row r="1370">
      <c r="A1370" s="1" t="s">
        <v>766</v>
      </c>
      <c r="B1370" s="1"/>
      <c r="C1370" s="1">
        <v>0.0</v>
      </c>
      <c r="D1370" s="2"/>
      <c r="E1370" s="2"/>
      <c r="F1370" s="2"/>
      <c r="G1370" s="2"/>
      <c r="H1370" s="2"/>
    </row>
    <row r="1371">
      <c r="A1371" s="1" t="s">
        <v>767</v>
      </c>
      <c r="B1371" s="1"/>
      <c r="C1371" s="1">
        <v>0.0</v>
      </c>
      <c r="D1371" s="2"/>
      <c r="E1371" s="2"/>
      <c r="F1371" s="2"/>
      <c r="G1371" s="2"/>
      <c r="H1371" s="2"/>
    </row>
    <row r="1372">
      <c r="A1372" s="1" t="s">
        <v>768</v>
      </c>
      <c r="B1372" s="1"/>
      <c r="C1372" s="1">
        <v>0.0</v>
      </c>
      <c r="D1372" s="2"/>
      <c r="E1372" s="2"/>
      <c r="F1372" s="2"/>
      <c r="G1372" s="2"/>
      <c r="H1372" s="2"/>
    </row>
    <row r="1373">
      <c r="A1373" s="1" t="s">
        <v>769</v>
      </c>
      <c r="B1373" s="1"/>
      <c r="C1373" s="1">
        <v>88.0</v>
      </c>
      <c r="D1373" s="2"/>
      <c r="E1373" s="2"/>
      <c r="F1373" s="2"/>
      <c r="G1373" s="2"/>
      <c r="H1373" s="2"/>
    </row>
    <row r="1374">
      <c r="A1374" s="1" t="s">
        <v>770</v>
      </c>
      <c r="B1374" s="1"/>
      <c r="C1374" s="1">
        <v>0.0</v>
      </c>
      <c r="D1374" s="2"/>
      <c r="E1374" s="2"/>
      <c r="F1374" s="2"/>
      <c r="G1374" s="2"/>
      <c r="H1374" s="2"/>
    </row>
    <row r="1375">
      <c r="A1375" s="1" t="s">
        <v>771</v>
      </c>
      <c r="B1375" s="1"/>
      <c r="C1375" s="1">
        <v>0.0</v>
      </c>
      <c r="D1375" s="2"/>
      <c r="E1375" s="2"/>
      <c r="F1375" s="2"/>
      <c r="G1375" s="2"/>
      <c r="H1375" s="2"/>
    </row>
    <row r="1376">
      <c r="A1376" s="1" t="s">
        <v>772</v>
      </c>
      <c r="B1376" s="1"/>
      <c r="C1376" s="1">
        <v>46.0</v>
      </c>
      <c r="D1376" s="2"/>
      <c r="E1376" s="2"/>
      <c r="F1376" s="2"/>
      <c r="G1376" s="2"/>
      <c r="H1376" s="2"/>
    </row>
    <row r="1377">
      <c r="A1377" s="1" t="s">
        <v>773</v>
      </c>
      <c r="B1377" s="1"/>
      <c r="C1377" s="1">
        <v>67.0</v>
      </c>
      <c r="D1377" s="2"/>
      <c r="E1377" s="2"/>
      <c r="F1377" s="2"/>
      <c r="G1377" s="2"/>
      <c r="H1377" s="2"/>
    </row>
    <row r="1378">
      <c r="A1378" s="1" t="s">
        <v>774</v>
      </c>
      <c r="B1378" s="1"/>
      <c r="C1378" s="1">
        <v>40.0</v>
      </c>
      <c r="D1378" s="2"/>
      <c r="E1378" s="2"/>
      <c r="F1378" s="2"/>
      <c r="G1378" s="2"/>
      <c r="H1378" s="2"/>
    </row>
    <row r="1379">
      <c r="A1379" s="1" t="s">
        <v>775</v>
      </c>
      <c r="B1379" s="1"/>
      <c r="C1379" s="1">
        <v>0.0</v>
      </c>
      <c r="D1379" s="2"/>
      <c r="E1379" s="2"/>
      <c r="F1379" s="2"/>
      <c r="G1379" s="2"/>
      <c r="H1379" s="2"/>
    </row>
    <row r="1380">
      <c r="A1380" s="1" t="s">
        <v>776</v>
      </c>
      <c r="B1380" s="1"/>
      <c r="C1380" s="1">
        <v>0.0</v>
      </c>
      <c r="D1380" s="2"/>
      <c r="E1380" s="2"/>
      <c r="F1380" s="2"/>
      <c r="G1380" s="2"/>
      <c r="H1380" s="2"/>
    </row>
    <row r="1381">
      <c r="A1381" s="1" t="s">
        <v>777</v>
      </c>
      <c r="B1381" s="1"/>
      <c r="C1381" s="1">
        <v>0.0</v>
      </c>
      <c r="D1381" s="2"/>
      <c r="E1381" s="2"/>
      <c r="F1381" s="2"/>
      <c r="G1381" s="2"/>
      <c r="H1381" s="2"/>
    </row>
    <row r="1382">
      <c r="A1382" s="1" t="s">
        <v>778</v>
      </c>
      <c r="B1382" s="1"/>
      <c r="C1382" s="1">
        <v>80.0</v>
      </c>
      <c r="D1382" s="2"/>
      <c r="E1382" s="2"/>
      <c r="F1382" s="2"/>
      <c r="G1382" s="2"/>
      <c r="H1382" s="2"/>
    </row>
    <row r="1383">
      <c r="A1383" s="1" t="s">
        <v>779</v>
      </c>
      <c r="B1383" s="1"/>
      <c r="C1383" s="1">
        <v>32.0</v>
      </c>
      <c r="D1383" s="2"/>
      <c r="E1383" s="2"/>
      <c r="F1383" s="2"/>
      <c r="G1383" s="2"/>
      <c r="H1383" s="2"/>
    </row>
    <row r="1384">
      <c r="A1384" s="1" t="s">
        <v>780</v>
      </c>
      <c r="B1384" s="1"/>
      <c r="C1384" s="1">
        <v>0.0</v>
      </c>
      <c r="D1384" s="2"/>
      <c r="E1384" s="2"/>
      <c r="F1384" s="2"/>
      <c r="G1384" s="2"/>
      <c r="H1384" s="2"/>
    </row>
    <row r="1385">
      <c r="A1385" s="1" t="s">
        <v>781</v>
      </c>
      <c r="B1385" s="1"/>
      <c r="C1385" s="1">
        <v>0.0</v>
      </c>
      <c r="D1385" s="2"/>
      <c r="E1385" s="2"/>
      <c r="F1385" s="2"/>
      <c r="G1385" s="2"/>
      <c r="H1385" s="2"/>
    </row>
    <row r="1386">
      <c r="A1386" s="1" t="s">
        <v>782</v>
      </c>
      <c r="B1386" s="1"/>
      <c r="C1386" s="1">
        <v>57.0</v>
      </c>
      <c r="D1386" s="2"/>
      <c r="E1386" s="2"/>
      <c r="F1386" s="2"/>
      <c r="G1386" s="2"/>
      <c r="H1386" s="2"/>
    </row>
    <row r="1387">
      <c r="A1387" s="1" t="s">
        <v>783</v>
      </c>
      <c r="B1387" s="1"/>
      <c r="C1387" s="1">
        <v>71.0</v>
      </c>
      <c r="D1387" s="2"/>
      <c r="E1387" s="2"/>
      <c r="F1387" s="2"/>
      <c r="G1387" s="2"/>
      <c r="H1387" s="2"/>
    </row>
    <row r="1388">
      <c r="A1388" s="1" t="s">
        <v>784</v>
      </c>
      <c r="B1388" s="1"/>
      <c r="C1388" s="1">
        <v>32.0</v>
      </c>
      <c r="D1388" s="2"/>
      <c r="E1388" s="2"/>
      <c r="F1388" s="2"/>
      <c r="G1388" s="2"/>
      <c r="H1388" s="2"/>
    </row>
    <row r="1389">
      <c r="A1389" s="1" t="s">
        <v>785</v>
      </c>
      <c r="B1389" s="1"/>
      <c r="C1389" s="1">
        <v>0.0</v>
      </c>
      <c r="D1389" s="2"/>
      <c r="E1389" s="2"/>
      <c r="F1389" s="2"/>
      <c r="G1389" s="2"/>
      <c r="H1389" s="2"/>
    </row>
    <row r="1390">
      <c r="A1390" s="1" t="s">
        <v>786</v>
      </c>
      <c r="B1390" s="1"/>
      <c r="C1390" s="1">
        <v>4.0</v>
      </c>
      <c r="D1390" s="2"/>
      <c r="E1390" s="2"/>
      <c r="F1390" s="2"/>
      <c r="G1390" s="2"/>
      <c r="H1390" s="2"/>
    </row>
    <row r="1391">
      <c r="A1391" s="1" t="s">
        <v>787</v>
      </c>
      <c r="B1391" s="1"/>
      <c r="C1391" s="1">
        <v>12.0</v>
      </c>
      <c r="D1391" s="2"/>
      <c r="E1391" s="2"/>
      <c r="F1391" s="2"/>
      <c r="G1391" s="2"/>
      <c r="H1391" s="2"/>
    </row>
    <row r="1392">
      <c r="A1392" s="1" t="s">
        <v>788</v>
      </c>
      <c r="B1392" s="1"/>
      <c r="C1392" s="1">
        <v>0.0</v>
      </c>
      <c r="D1392" s="2"/>
      <c r="E1392" s="2"/>
      <c r="F1392" s="2"/>
      <c r="G1392" s="2"/>
      <c r="H1392" s="2"/>
    </row>
    <row r="1393">
      <c r="A1393" s="1" t="s">
        <v>789</v>
      </c>
      <c r="B1393" s="1"/>
      <c r="C1393" s="1">
        <v>0.0</v>
      </c>
      <c r="D1393" s="2"/>
      <c r="E1393" s="2"/>
      <c r="F1393" s="2"/>
      <c r="G1393" s="2"/>
      <c r="H1393" s="2"/>
    </row>
    <row r="1394">
      <c r="A1394" s="1" t="s">
        <v>790</v>
      </c>
      <c r="B1394" s="1"/>
      <c r="C1394" s="1">
        <v>0.0</v>
      </c>
      <c r="D1394" s="2"/>
      <c r="E1394" s="2"/>
      <c r="F1394" s="2"/>
      <c r="G1394" s="2"/>
      <c r="H1394" s="2"/>
    </row>
    <row r="1395">
      <c r="A1395" s="1" t="s">
        <v>791</v>
      </c>
      <c r="B1395" s="1"/>
      <c r="C1395" s="1">
        <v>0.0</v>
      </c>
      <c r="D1395" s="2"/>
      <c r="E1395" s="2"/>
      <c r="F1395" s="2"/>
      <c r="G1395" s="2"/>
      <c r="H1395" s="2"/>
    </row>
    <row r="1396">
      <c r="A1396" s="1" t="s">
        <v>792</v>
      </c>
      <c r="B1396" s="1"/>
      <c r="C1396" s="1">
        <v>80.0</v>
      </c>
      <c r="D1396" s="2"/>
      <c r="E1396" s="2"/>
      <c r="F1396" s="2"/>
      <c r="G1396" s="2"/>
      <c r="H1396" s="2"/>
    </row>
    <row r="1397">
      <c r="A1397" s="1" t="s">
        <v>793</v>
      </c>
      <c r="B1397" s="1"/>
      <c r="C1397" s="1">
        <v>0.0</v>
      </c>
      <c r="D1397" s="2"/>
      <c r="E1397" s="2"/>
      <c r="F1397" s="2"/>
      <c r="G1397" s="2"/>
      <c r="H1397" s="2"/>
    </row>
    <row r="1398">
      <c r="A1398" s="1" t="s">
        <v>794</v>
      </c>
      <c r="B1398" s="1"/>
      <c r="C1398" s="1">
        <v>60.0</v>
      </c>
      <c r="D1398" s="2"/>
      <c r="E1398" s="2"/>
      <c r="F1398" s="2"/>
      <c r="G1398" s="2"/>
      <c r="H1398" s="2"/>
    </row>
    <row r="1399">
      <c r="A1399" s="1" t="s">
        <v>795</v>
      </c>
      <c r="B1399" s="1"/>
      <c r="C1399" s="1">
        <v>0.0</v>
      </c>
      <c r="D1399" s="2"/>
      <c r="E1399" s="2"/>
      <c r="F1399" s="2"/>
      <c r="G1399" s="2"/>
      <c r="H1399" s="2"/>
    </row>
    <row r="1400">
      <c r="A1400" s="1" t="s">
        <v>796</v>
      </c>
      <c r="B1400" s="1"/>
      <c r="C1400" s="1">
        <v>90.0</v>
      </c>
      <c r="D1400" s="2"/>
      <c r="E1400" s="2"/>
      <c r="F1400" s="2"/>
      <c r="G1400" s="2"/>
      <c r="H1400" s="2"/>
    </row>
    <row r="1401">
      <c r="A1401" s="1" t="s">
        <v>797</v>
      </c>
      <c r="B1401" s="1"/>
      <c r="C1401" s="1">
        <v>0.0</v>
      </c>
      <c r="D1401" s="2"/>
      <c r="E1401" s="2"/>
      <c r="F1401" s="2"/>
      <c r="G1401" s="2"/>
      <c r="H1401" s="2"/>
    </row>
    <row r="1402">
      <c r="A1402" s="1" t="s">
        <v>798</v>
      </c>
      <c r="B1402" s="1"/>
      <c r="C1402" s="1">
        <v>0.0</v>
      </c>
      <c r="D1402" s="2"/>
      <c r="E1402" s="2"/>
      <c r="F1402" s="2"/>
      <c r="G1402" s="2"/>
      <c r="H1402" s="2"/>
    </row>
    <row r="1403">
      <c r="A1403" s="1" t="s">
        <v>799</v>
      </c>
      <c r="B1403" s="1"/>
      <c r="C1403" s="1">
        <v>0.0</v>
      </c>
      <c r="D1403" s="2"/>
      <c r="E1403" s="2"/>
      <c r="F1403" s="2"/>
      <c r="G1403" s="2"/>
      <c r="H1403" s="2"/>
    </row>
    <row r="1404">
      <c r="A1404" s="1" t="s">
        <v>800</v>
      </c>
      <c r="B1404" s="1"/>
      <c r="C1404" s="1">
        <v>0.0</v>
      </c>
      <c r="D1404" s="2"/>
      <c r="E1404" s="2"/>
      <c r="F1404" s="2"/>
      <c r="G1404" s="2"/>
      <c r="H1404" s="2"/>
    </row>
    <row r="1405">
      <c r="A1405" s="1" t="s">
        <v>801</v>
      </c>
      <c r="B1405" s="1"/>
      <c r="C1405" s="1">
        <v>0.0</v>
      </c>
      <c r="D1405" s="2"/>
      <c r="E1405" s="2"/>
      <c r="F1405" s="2"/>
      <c r="G1405" s="2"/>
      <c r="H1405" s="2"/>
    </row>
    <row r="1406">
      <c r="A1406" s="1" t="s">
        <v>802</v>
      </c>
      <c r="B1406" s="1"/>
      <c r="C1406" s="1">
        <v>19.0</v>
      </c>
      <c r="D1406" s="2"/>
      <c r="E1406" s="2"/>
      <c r="F1406" s="2"/>
      <c r="G1406" s="2"/>
      <c r="H1406" s="2"/>
    </row>
    <row r="1407">
      <c r="A1407" s="1" t="s">
        <v>803</v>
      </c>
      <c r="B1407" s="1"/>
      <c r="C1407" s="1">
        <v>0.0</v>
      </c>
      <c r="D1407" s="2"/>
      <c r="E1407" s="2"/>
      <c r="F1407" s="2"/>
      <c r="G1407" s="2"/>
      <c r="H1407" s="2"/>
    </row>
    <row r="1408">
      <c r="A1408" s="1" t="s">
        <v>804</v>
      </c>
      <c r="B1408" s="1"/>
      <c r="C1408" s="1">
        <v>0.0</v>
      </c>
      <c r="D1408" s="2"/>
      <c r="E1408" s="2"/>
      <c r="F1408" s="2"/>
      <c r="G1408" s="2"/>
      <c r="H1408" s="2"/>
    </row>
    <row r="1409">
      <c r="A1409" s="1" t="s">
        <v>805</v>
      </c>
      <c r="B1409" s="1"/>
      <c r="C1409" s="1">
        <v>42.0</v>
      </c>
      <c r="D1409" s="2"/>
      <c r="E1409" s="2"/>
      <c r="F1409" s="2"/>
      <c r="G1409" s="2"/>
      <c r="H1409" s="2"/>
    </row>
    <row r="1410">
      <c r="A1410" s="1" t="s">
        <v>806</v>
      </c>
      <c r="B1410" s="1"/>
      <c r="C1410" s="1">
        <v>57.0</v>
      </c>
      <c r="D1410" s="2"/>
      <c r="E1410" s="2"/>
      <c r="F1410" s="2"/>
      <c r="G1410" s="2"/>
      <c r="H1410" s="2"/>
    </row>
    <row r="1411">
      <c r="A1411" s="1" t="s">
        <v>807</v>
      </c>
      <c r="B1411" s="1"/>
      <c r="C1411" s="1">
        <v>17.0</v>
      </c>
      <c r="D1411" s="2"/>
      <c r="E1411" s="2"/>
      <c r="F1411" s="2"/>
      <c r="G1411" s="2"/>
      <c r="H1411" s="2"/>
    </row>
    <row r="1412">
      <c r="A1412" s="1" t="s">
        <v>808</v>
      </c>
      <c r="B1412" s="1"/>
      <c r="C1412" s="1">
        <v>10.0</v>
      </c>
      <c r="D1412" s="2"/>
      <c r="E1412" s="2"/>
      <c r="F1412" s="2"/>
      <c r="G1412" s="2"/>
      <c r="H1412" s="2"/>
    </row>
    <row r="1413">
      <c r="A1413" s="1" t="s">
        <v>809</v>
      </c>
      <c r="B1413" s="1"/>
      <c r="C1413" s="1">
        <v>0.0</v>
      </c>
      <c r="D1413" s="2"/>
      <c r="E1413" s="2"/>
      <c r="F1413" s="2"/>
      <c r="G1413" s="2"/>
      <c r="H1413" s="2"/>
    </row>
    <row r="1414">
      <c r="A1414" s="1" t="s">
        <v>810</v>
      </c>
      <c r="B1414" s="1"/>
      <c r="C1414" s="1">
        <v>8.0</v>
      </c>
      <c r="D1414" s="2"/>
      <c r="E1414" s="2"/>
      <c r="F1414" s="2"/>
      <c r="G1414" s="2"/>
      <c r="H1414" s="2"/>
    </row>
    <row r="1415">
      <c r="A1415" s="1" t="s">
        <v>811</v>
      </c>
      <c r="B1415" s="1"/>
      <c r="C1415" s="1">
        <v>8.0</v>
      </c>
      <c r="D1415" s="2"/>
      <c r="E1415" s="2"/>
      <c r="F1415" s="2"/>
      <c r="G1415" s="2"/>
      <c r="H1415" s="2"/>
    </row>
    <row r="1416">
      <c r="A1416" s="1" t="s">
        <v>812</v>
      </c>
      <c r="B1416" s="1"/>
      <c r="C1416" s="1">
        <v>11.0</v>
      </c>
      <c r="D1416" s="2"/>
      <c r="E1416" s="2"/>
      <c r="F1416" s="2"/>
      <c r="G1416" s="2"/>
      <c r="H1416" s="2"/>
    </row>
    <row r="1417">
      <c r="A1417" s="1" t="s">
        <v>813</v>
      </c>
      <c r="B1417" s="1"/>
      <c r="C1417" s="1">
        <v>24.0</v>
      </c>
      <c r="D1417" s="2"/>
      <c r="E1417" s="2"/>
      <c r="F1417" s="2"/>
      <c r="G1417" s="2"/>
      <c r="H1417" s="2"/>
    </row>
    <row r="1418">
      <c r="A1418" s="1" t="s">
        <v>814</v>
      </c>
      <c r="B1418" s="1"/>
      <c r="C1418" s="1">
        <v>0.0</v>
      </c>
      <c r="D1418" s="2"/>
      <c r="E1418" s="2"/>
      <c r="F1418" s="2"/>
      <c r="G1418" s="2"/>
      <c r="H1418" s="2"/>
    </row>
    <row r="1419">
      <c r="A1419" s="1" t="s">
        <v>815</v>
      </c>
      <c r="B1419" s="1"/>
      <c r="C1419" s="1">
        <v>0.0</v>
      </c>
      <c r="D1419" s="2"/>
      <c r="E1419" s="2"/>
      <c r="F1419" s="2"/>
      <c r="G1419" s="2"/>
      <c r="H1419" s="2"/>
    </row>
    <row r="1420">
      <c r="A1420" s="1" t="s">
        <v>816</v>
      </c>
      <c r="B1420" s="1"/>
      <c r="C1420" s="1">
        <v>0.0</v>
      </c>
      <c r="D1420" s="2"/>
      <c r="E1420" s="2"/>
      <c r="F1420" s="2"/>
      <c r="G1420" s="2"/>
      <c r="H1420" s="2"/>
    </row>
    <row r="1421">
      <c r="A1421" s="1" t="s">
        <v>817</v>
      </c>
      <c r="B1421" s="1"/>
      <c r="C1421" s="1" t="s">
        <v>818</v>
      </c>
      <c r="D1421" s="1">
        <v>8.0</v>
      </c>
      <c r="E1421" s="2"/>
      <c r="F1421" s="2"/>
      <c r="G1421" s="2"/>
      <c r="H1421" s="2"/>
    </row>
    <row r="1422">
      <c r="A1422" s="1" t="s">
        <v>819</v>
      </c>
      <c r="B1422" s="1"/>
      <c r="C1422" s="1">
        <v>0.0</v>
      </c>
      <c r="D1422" s="2"/>
      <c r="E1422" s="2"/>
      <c r="F1422" s="2"/>
      <c r="G1422" s="2"/>
      <c r="H1422" s="2"/>
    </row>
    <row r="1423">
      <c r="A1423" s="1" t="s">
        <v>820</v>
      </c>
      <c r="B1423" s="1"/>
      <c r="C1423" s="1">
        <v>50.0</v>
      </c>
      <c r="D1423" s="2"/>
      <c r="E1423" s="2"/>
      <c r="F1423" s="2"/>
      <c r="G1423" s="2"/>
      <c r="H1423" s="2"/>
    </row>
    <row r="1424">
      <c r="A1424" s="1" t="s">
        <v>821</v>
      </c>
      <c r="B1424" s="1"/>
      <c r="C1424" s="1">
        <v>29.0</v>
      </c>
      <c r="D1424" s="2"/>
      <c r="E1424" s="2"/>
      <c r="F1424" s="2"/>
      <c r="G1424" s="2"/>
      <c r="H1424" s="2"/>
    </row>
    <row r="1425">
      <c r="A1425" s="1" t="s">
        <v>822</v>
      </c>
      <c r="B1425" s="1"/>
      <c r="C1425" s="1">
        <v>29.0</v>
      </c>
      <c r="D1425" s="2"/>
      <c r="E1425" s="2"/>
      <c r="F1425" s="2"/>
      <c r="G1425" s="2"/>
      <c r="H1425" s="2"/>
    </row>
    <row r="1426">
      <c r="A1426" s="1" t="s">
        <v>823</v>
      </c>
      <c r="B1426" s="1"/>
      <c r="C1426" s="1">
        <v>46.0</v>
      </c>
      <c r="D1426" s="2"/>
      <c r="E1426" s="2"/>
      <c r="F1426" s="2"/>
      <c r="G1426" s="2"/>
      <c r="H1426" s="2"/>
    </row>
    <row r="1427">
      <c r="A1427" s="1" t="s">
        <v>824</v>
      </c>
      <c r="B1427" s="1"/>
      <c r="C1427" s="1">
        <v>64.0</v>
      </c>
      <c r="D1427" s="2"/>
      <c r="E1427" s="2"/>
      <c r="F1427" s="2"/>
      <c r="G1427" s="2"/>
      <c r="H1427" s="2"/>
    </row>
    <row r="1428">
      <c r="A1428" s="1" t="s">
        <v>825</v>
      </c>
      <c r="B1428" s="1"/>
      <c r="C1428" s="1">
        <v>0.0</v>
      </c>
      <c r="D1428" s="2"/>
      <c r="E1428" s="2"/>
      <c r="F1428" s="2"/>
      <c r="G1428" s="2"/>
      <c r="H1428" s="2"/>
    </row>
    <row r="1429">
      <c r="A1429" s="1" t="s">
        <v>826</v>
      </c>
      <c r="B1429" s="1"/>
      <c r="C1429" s="1">
        <v>0.0</v>
      </c>
      <c r="D1429" s="2"/>
      <c r="E1429" s="2"/>
      <c r="F1429" s="2"/>
      <c r="G1429" s="2"/>
      <c r="H1429" s="2"/>
    </row>
    <row r="1430">
      <c r="A1430" s="1" t="s">
        <v>827</v>
      </c>
      <c r="B1430" s="1"/>
      <c r="C1430" s="1">
        <v>0.0</v>
      </c>
      <c r="D1430" s="2"/>
      <c r="E1430" s="2"/>
      <c r="F1430" s="2"/>
      <c r="G1430" s="2"/>
      <c r="H1430" s="2"/>
    </row>
    <row r="1431">
      <c r="A1431" s="1" t="s">
        <v>828</v>
      </c>
      <c r="B1431" s="1"/>
      <c r="C1431" s="1">
        <v>0.0</v>
      </c>
      <c r="D1431" s="2"/>
      <c r="E1431" s="2"/>
      <c r="F1431" s="2"/>
      <c r="G1431" s="2"/>
      <c r="H1431" s="2"/>
    </row>
    <row r="1432">
      <c r="A1432" s="1" t="s">
        <v>829</v>
      </c>
      <c r="B1432" s="1"/>
      <c r="C1432" s="1">
        <v>0.0</v>
      </c>
      <c r="D1432" s="2"/>
      <c r="E1432" s="2"/>
      <c r="F1432" s="2"/>
      <c r="G1432" s="2"/>
      <c r="H1432" s="2"/>
    </row>
    <row r="1433">
      <c r="A1433" s="1" t="s">
        <v>830</v>
      </c>
      <c r="B1433" s="1"/>
      <c r="C1433" s="1">
        <v>0.0</v>
      </c>
      <c r="D1433" s="2"/>
      <c r="E1433" s="2"/>
      <c r="F1433" s="2"/>
      <c r="G1433" s="2"/>
      <c r="H1433" s="2"/>
    </row>
    <row r="1434">
      <c r="A1434" s="1" t="s">
        <v>831</v>
      </c>
      <c r="B1434" s="1"/>
      <c r="C1434" s="1">
        <v>0.0</v>
      </c>
      <c r="D1434" s="2"/>
      <c r="E1434" s="2"/>
      <c r="F1434" s="2"/>
      <c r="G1434" s="2"/>
      <c r="H1434" s="2"/>
    </row>
    <row r="1435">
      <c r="A1435" s="1" t="s">
        <v>832</v>
      </c>
      <c r="B1435" s="1"/>
      <c r="C1435" s="1">
        <v>0.0</v>
      </c>
      <c r="D1435" s="2"/>
      <c r="E1435" s="2"/>
      <c r="F1435" s="2"/>
      <c r="G1435" s="2"/>
      <c r="H1435" s="2"/>
    </row>
    <row r="1436">
      <c r="A1436" s="1" t="s">
        <v>833</v>
      </c>
      <c r="B1436" s="1"/>
      <c r="C1436" s="1">
        <v>0.0</v>
      </c>
      <c r="D1436" s="2"/>
      <c r="E1436" s="2"/>
      <c r="F1436" s="2"/>
      <c r="G1436" s="2"/>
      <c r="H1436" s="2"/>
    </row>
    <row r="1437">
      <c r="A1437" s="1" t="s">
        <v>834</v>
      </c>
      <c r="B1437" s="1"/>
      <c r="C1437" s="1">
        <v>18.0</v>
      </c>
      <c r="D1437" s="2"/>
      <c r="E1437" s="2"/>
      <c r="F1437" s="2"/>
      <c r="G1437" s="2"/>
      <c r="H1437" s="2"/>
    </row>
    <row r="1438">
      <c r="A1438" s="1" t="s">
        <v>835</v>
      </c>
      <c r="B1438" s="1"/>
      <c r="C1438" s="1">
        <v>0.0</v>
      </c>
      <c r="D1438" s="2"/>
      <c r="E1438" s="2"/>
      <c r="F1438" s="2"/>
      <c r="G1438" s="2"/>
      <c r="H1438" s="2"/>
    </row>
    <row r="1439">
      <c r="A1439" s="1" t="s">
        <v>836</v>
      </c>
      <c r="B1439" s="1"/>
      <c r="C1439" s="1">
        <v>0.0</v>
      </c>
      <c r="D1439" s="2"/>
      <c r="E1439" s="2"/>
      <c r="F1439" s="2"/>
      <c r="G1439" s="2"/>
      <c r="H1439" s="2"/>
    </row>
    <row r="1440">
      <c r="A1440" s="1" t="s">
        <v>837</v>
      </c>
      <c r="B1440" s="1"/>
      <c r="C1440" s="1">
        <v>44.0</v>
      </c>
      <c r="D1440" s="2"/>
      <c r="E1440" s="2"/>
      <c r="F1440" s="2"/>
      <c r="G1440" s="2"/>
      <c r="H1440" s="2"/>
    </row>
    <row r="1441">
      <c r="A1441" s="1" t="s">
        <v>838</v>
      </c>
      <c r="B1441" s="1"/>
      <c r="C1441" s="1">
        <v>0.0</v>
      </c>
      <c r="D1441" s="2"/>
      <c r="E1441" s="2"/>
      <c r="F1441" s="2"/>
      <c r="G1441" s="2"/>
      <c r="H1441" s="2"/>
    </row>
    <row r="1442">
      <c r="A1442" s="1" t="s">
        <v>839</v>
      </c>
      <c r="B1442" s="1"/>
      <c r="C1442" s="1">
        <v>83.0</v>
      </c>
      <c r="D1442" s="2"/>
      <c r="E1442" s="2"/>
      <c r="F1442" s="2"/>
      <c r="G1442" s="2"/>
      <c r="H1442" s="2"/>
    </row>
    <row r="1443">
      <c r="A1443" s="1" t="s">
        <v>840</v>
      </c>
      <c r="B1443" s="1"/>
      <c r="C1443" s="1">
        <v>0.0</v>
      </c>
      <c r="D1443" s="2"/>
      <c r="E1443" s="2"/>
      <c r="F1443" s="2"/>
      <c r="G1443" s="2"/>
      <c r="H1443" s="2"/>
    </row>
    <row r="1444">
      <c r="A1444" s="1" t="s">
        <v>841</v>
      </c>
      <c r="B1444" s="1"/>
      <c r="C1444" s="1">
        <v>0.0</v>
      </c>
      <c r="D1444" s="2"/>
      <c r="E1444" s="2"/>
      <c r="F1444" s="2"/>
      <c r="G1444" s="2"/>
      <c r="H1444" s="2"/>
    </row>
    <row r="1445">
      <c r="A1445" s="1" t="s">
        <v>842</v>
      </c>
      <c r="B1445" s="1"/>
      <c r="C1445" s="1">
        <v>86.0</v>
      </c>
      <c r="D1445" s="2"/>
      <c r="E1445" s="2"/>
      <c r="F1445" s="2"/>
      <c r="G1445" s="2"/>
      <c r="H1445" s="2"/>
    </row>
    <row r="1446">
      <c r="A1446" s="1" t="s">
        <v>843</v>
      </c>
      <c r="B1446" s="1"/>
      <c r="C1446" s="1">
        <v>0.0</v>
      </c>
      <c r="D1446" s="2"/>
      <c r="E1446" s="2"/>
      <c r="F1446" s="2"/>
      <c r="G1446" s="2"/>
      <c r="H1446" s="2"/>
    </row>
    <row r="1447">
      <c r="A1447" s="1" t="s">
        <v>844</v>
      </c>
      <c r="B1447" s="1"/>
      <c r="C1447" s="1">
        <v>27.0</v>
      </c>
      <c r="D1447" s="2"/>
      <c r="E1447" s="2"/>
      <c r="F1447" s="2"/>
      <c r="G1447" s="2"/>
      <c r="H1447" s="2"/>
    </row>
    <row r="1448">
      <c r="A1448" s="1" t="s">
        <v>845</v>
      </c>
      <c r="B1448" s="1"/>
      <c r="C1448" s="1">
        <v>0.0</v>
      </c>
      <c r="D1448" s="2"/>
      <c r="E1448" s="2"/>
      <c r="F1448" s="2"/>
      <c r="G1448" s="2"/>
      <c r="H1448" s="2"/>
    </row>
    <row r="1449">
      <c r="A1449" s="1" t="s">
        <v>846</v>
      </c>
      <c r="B1449" s="1"/>
      <c r="C1449" s="1">
        <v>0.0</v>
      </c>
      <c r="D1449" s="2"/>
      <c r="E1449" s="2"/>
      <c r="F1449" s="2"/>
      <c r="G1449" s="2"/>
      <c r="H1449" s="2"/>
    </row>
    <row r="1450">
      <c r="A1450" s="1" t="s">
        <v>847</v>
      </c>
      <c r="B1450" s="1"/>
      <c r="C1450" s="1">
        <v>70.0</v>
      </c>
      <c r="D1450" s="2"/>
      <c r="E1450" s="2"/>
      <c r="F1450" s="2"/>
      <c r="G1450" s="2"/>
      <c r="H1450" s="2"/>
    </row>
    <row r="1451">
      <c r="A1451" s="1" t="s">
        <v>848</v>
      </c>
      <c r="B1451" s="1"/>
      <c r="C1451" s="1">
        <v>0.0</v>
      </c>
      <c r="D1451" s="2"/>
      <c r="E1451" s="2"/>
      <c r="F1451" s="2"/>
      <c r="G1451" s="2"/>
      <c r="H1451" s="2"/>
    </row>
    <row r="1452">
      <c r="A1452" s="1" t="s">
        <v>849</v>
      </c>
      <c r="B1452" s="1"/>
      <c r="C1452" s="1">
        <v>0.0</v>
      </c>
      <c r="D1452" s="2"/>
      <c r="E1452" s="2"/>
      <c r="F1452" s="2"/>
      <c r="G1452" s="2"/>
      <c r="H1452" s="2"/>
    </row>
    <row r="1453">
      <c r="A1453" s="1" t="s">
        <v>850</v>
      </c>
      <c r="B1453" s="1"/>
      <c r="C1453" s="1">
        <v>0.0</v>
      </c>
      <c r="D1453" s="2"/>
      <c r="E1453" s="2"/>
      <c r="F1453" s="2"/>
      <c r="G1453" s="2"/>
      <c r="H1453" s="2"/>
    </row>
    <row r="1454">
      <c r="A1454" s="1" t="s">
        <v>851</v>
      </c>
      <c r="B1454" s="1"/>
      <c r="C1454" s="1">
        <v>0.0</v>
      </c>
      <c r="D1454" s="2"/>
      <c r="E1454" s="2"/>
      <c r="F1454" s="2"/>
      <c r="G1454" s="2"/>
      <c r="H1454" s="2"/>
    </row>
    <row r="1455">
      <c r="A1455" s="1" t="s">
        <v>852</v>
      </c>
      <c r="B1455" s="1"/>
      <c r="C1455" s="1">
        <v>39.0</v>
      </c>
      <c r="D1455" s="2"/>
      <c r="E1455" s="2"/>
      <c r="F1455" s="2"/>
      <c r="G1455" s="2"/>
      <c r="H1455" s="2"/>
    </row>
    <row r="1456">
      <c r="A1456" s="1" t="s">
        <v>853</v>
      </c>
      <c r="B1456" s="1"/>
      <c r="C1456" s="1">
        <v>0.0</v>
      </c>
      <c r="D1456" s="2"/>
      <c r="E1456" s="2"/>
      <c r="F1456" s="2"/>
      <c r="G1456" s="2"/>
      <c r="H1456" s="2"/>
    </row>
    <row r="1457">
      <c r="A1457" s="1" t="s">
        <v>854</v>
      </c>
      <c r="B1457" s="1"/>
      <c r="C1457" s="1">
        <v>71.0</v>
      </c>
      <c r="D1457" s="2"/>
      <c r="E1457" s="2"/>
      <c r="F1457" s="2"/>
      <c r="G1457" s="2"/>
      <c r="H1457" s="2"/>
    </row>
    <row r="1458">
      <c r="A1458" s="1" t="s">
        <v>855</v>
      </c>
      <c r="B1458" s="1"/>
      <c r="C1458" s="1">
        <v>0.0</v>
      </c>
      <c r="D1458" s="2"/>
      <c r="E1458" s="2"/>
      <c r="F1458" s="2"/>
      <c r="G1458" s="2"/>
      <c r="H1458" s="2"/>
    </row>
    <row r="1459">
      <c r="A1459" s="1" t="s">
        <v>856</v>
      </c>
      <c r="B1459" s="1"/>
      <c r="C1459" s="1">
        <v>0.0</v>
      </c>
      <c r="D1459" s="2"/>
      <c r="E1459" s="2"/>
      <c r="F1459" s="2"/>
      <c r="G1459" s="2"/>
      <c r="H1459" s="2"/>
    </row>
    <row r="1460">
      <c r="A1460" s="1" t="s">
        <v>857</v>
      </c>
      <c r="B1460" s="1"/>
      <c r="C1460" s="1">
        <v>0.0</v>
      </c>
      <c r="D1460" s="2"/>
      <c r="E1460" s="2"/>
      <c r="F1460" s="2"/>
      <c r="G1460" s="2"/>
      <c r="H1460" s="2"/>
    </row>
    <row r="1461">
      <c r="A1461" s="1" t="s">
        <v>858</v>
      </c>
      <c r="B1461" s="1"/>
      <c r="C1461" s="1">
        <v>68.0</v>
      </c>
      <c r="D1461" s="2"/>
      <c r="E1461" s="2"/>
      <c r="F1461" s="2"/>
      <c r="G1461" s="2"/>
      <c r="H1461" s="2"/>
    </row>
    <row r="1462">
      <c r="A1462" s="1" t="s">
        <v>859</v>
      </c>
      <c r="B1462" s="1"/>
      <c r="C1462" s="1">
        <v>81.0</v>
      </c>
      <c r="D1462" s="2"/>
      <c r="E1462" s="2"/>
      <c r="F1462" s="2"/>
      <c r="G1462" s="2"/>
      <c r="H1462" s="2"/>
    </row>
    <row r="1463">
      <c r="A1463" s="1" t="s">
        <v>860</v>
      </c>
      <c r="B1463" s="1"/>
      <c r="C1463" s="1">
        <v>0.0</v>
      </c>
      <c r="D1463" s="2"/>
      <c r="E1463" s="2"/>
      <c r="F1463" s="2"/>
      <c r="G1463" s="2"/>
      <c r="H1463" s="2"/>
    </row>
    <row r="1464">
      <c r="A1464" s="1" t="s">
        <v>861</v>
      </c>
      <c r="B1464" s="1"/>
      <c r="C1464" s="1">
        <v>0.0</v>
      </c>
      <c r="D1464" s="2"/>
      <c r="E1464" s="2"/>
      <c r="F1464" s="2"/>
      <c r="G1464" s="2"/>
      <c r="H1464" s="2"/>
    </row>
    <row r="1465">
      <c r="A1465" s="1" t="s">
        <v>862</v>
      </c>
      <c r="B1465" s="1"/>
      <c r="C1465" s="1">
        <v>0.0</v>
      </c>
      <c r="D1465" s="2"/>
      <c r="E1465" s="2"/>
      <c r="F1465" s="2"/>
      <c r="G1465" s="2"/>
      <c r="H1465" s="2"/>
    </row>
    <row r="1466">
      <c r="A1466" s="1" t="s">
        <v>863</v>
      </c>
      <c r="B1466" s="1"/>
      <c r="C1466" s="1">
        <v>0.0</v>
      </c>
      <c r="D1466" s="2"/>
      <c r="E1466" s="2"/>
      <c r="F1466" s="2"/>
      <c r="G1466" s="2"/>
      <c r="H1466" s="2"/>
    </row>
    <row r="1467">
      <c r="A1467" s="1" t="s">
        <v>794</v>
      </c>
      <c r="B1467" s="1"/>
      <c r="C1467" s="1">
        <v>60.0</v>
      </c>
      <c r="D1467" s="2"/>
      <c r="E1467" s="2"/>
      <c r="F1467" s="2"/>
      <c r="G1467" s="2"/>
      <c r="H1467" s="2"/>
    </row>
    <row r="1468">
      <c r="A1468" s="1" t="s">
        <v>795</v>
      </c>
      <c r="B1468" s="1"/>
      <c r="C1468" s="1">
        <v>0.0</v>
      </c>
      <c r="D1468" s="2"/>
      <c r="E1468" s="2"/>
      <c r="F1468" s="2"/>
      <c r="G1468" s="2"/>
      <c r="H1468" s="2"/>
    </row>
    <row r="1469">
      <c r="A1469" s="1" t="s">
        <v>796</v>
      </c>
      <c r="B1469" s="1"/>
      <c r="C1469" s="1">
        <v>90.0</v>
      </c>
      <c r="D1469" s="2"/>
      <c r="E1469" s="2"/>
      <c r="F1469" s="2"/>
      <c r="G1469" s="2"/>
      <c r="H1469" s="2"/>
    </row>
    <row r="1470">
      <c r="A1470" s="1" t="s">
        <v>797</v>
      </c>
      <c r="B1470" s="1"/>
      <c r="C1470" s="1">
        <v>0.0</v>
      </c>
      <c r="D1470" s="2"/>
      <c r="E1470" s="2"/>
      <c r="F1470" s="2"/>
      <c r="G1470" s="2"/>
      <c r="H1470" s="2"/>
    </row>
    <row r="1471">
      <c r="A1471" s="1" t="s">
        <v>798</v>
      </c>
      <c r="B1471" s="1"/>
      <c r="C1471" s="1">
        <v>0.0</v>
      </c>
      <c r="D1471" s="2"/>
      <c r="E1471" s="2"/>
      <c r="F1471" s="2"/>
      <c r="G1471" s="2"/>
      <c r="H1471" s="2"/>
    </row>
    <row r="1472">
      <c r="A1472" s="1" t="s">
        <v>799</v>
      </c>
      <c r="B1472" s="1"/>
      <c r="C1472" s="1">
        <v>0.0</v>
      </c>
      <c r="D1472" s="2"/>
      <c r="E1472" s="2"/>
      <c r="F1472" s="2"/>
      <c r="G1472" s="2"/>
      <c r="H1472" s="2"/>
    </row>
    <row r="1473">
      <c r="A1473" s="1" t="s">
        <v>800</v>
      </c>
      <c r="B1473" s="1"/>
      <c r="C1473" s="1">
        <v>0.0</v>
      </c>
      <c r="D1473" s="2"/>
      <c r="E1473" s="2"/>
      <c r="F1473" s="2"/>
      <c r="G1473" s="2"/>
      <c r="H1473" s="2"/>
    </row>
    <row r="1474">
      <c r="A1474" s="1" t="s">
        <v>801</v>
      </c>
      <c r="B1474" s="1"/>
      <c r="C1474" s="1">
        <v>0.0</v>
      </c>
      <c r="D1474" s="2"/>
      <c r="E1474" s="2"/>
      <c r="F1474" s="2"/>
      <c r="G1474" s="2"/>
      <c r="H1474" s="2"/>
    </row>
    <row r="1475">
      <c r="A1475" s="1" t="s">
        <v>802</v>
      </c>
      <c r="B1475" s="1"/>
      <c r="C1475" s="1">
        <v>19.0</v>
      </c>
      <c r="D1475" s="2"/>
      <c r="E1475" s="2"/>
      <c r="F1475" s="2"/>
      <c r="G1475" s="2"/>
      <c r="H1475" s="2"/>
    </row>
    <row r="1476">
      <c r="A1476" s="1" t="s">
        <v>803</v>
      </c>
      <c r="B1476" s="1"/>
      <c r="C1476" s="1">
        <v>0.0</v>
      </c>
      <c r="D1476" s="2"/>
      <c r="E1476" s="2"/>
      <c r="F1476" s="2"/>
      <c r="G1476" s="2"/>
      <c r="H1476" s="2"/>
    </row>
    <row r="1477">
      <c r="A1477" s="1" t="s">
        <v>804</v>
      </c>
      <c r="B1477" s="1"/>
      <c r="C1477" s="1">
        <v>0.0</v>
      </c>
      <c r="D1477" s="2"/>
      <c r="E1477" s="2"/>
      <c r="F1477" s="2"/>
      <c r="G1477" s="2"/>
      <c r="H1477" s="2"/>
    </row>
    <row r="1478">
      <c r="A1478" s="1" t="s">
        <v>805</v>
      </c>
      <c r="B1478" s="1"/>
      <c r="C1478" s="1">
        <v>42.0</v>
      </c>
      <c r="D1478" s="2"/>
      <c r="E1478" s="2"/>
      <c r="F1478" s="2"/>
      <c r="G1478" s="2"/>
      <c r="H1478" s="2"/>
    </row>
    <row r="1479">
      <c r="A1479" s="1" t="s">
        <v>806</v>
      </c>
      <c r="B1479" s="1"/>
      <c r="C1479" s="1">
        <v>57.0</v>
      </c>
      <c r="D1479" s="2"/>
      <c r="E1479" s="2"/>
      <c r="F1479" s="2"/>
      <c r="G1479" s="2"/>
      <c r="H1479" s="2"/>
    </row>
    <row r="1480">
      <c r="A1480" s="1" t="s">
        <v>807</v>
      </c>
      <c r="B1480" s="1"/>
      <c r="C1480" s="1">
        <v>17.0</v>
      </c>
      <c r="D1480" s="2"/>
      <c r="E1480" s="2"/>
      <c r="F1480" s="2"/>
      <c r="G1480" s="2"/>
      <c r="H1480" s="2"/>
    </row>
    <row r="1481">
      <c r="A1481" s="1" t="s">
        <v>808</v>
      </c>
      <c r="B1481" s="1"/>
      <c r="C1481" s="1">
        <v>10.0</v>
      </c>
      <c r="D1481" s="2"/>
      <c r="E1481" s="2"/>
      <c r="F1481" s="2"/>
      <c r="G1481" s="2"/>
      <c r="H1481" s="2"/>
    </row>
    <row r="1482">
      <c r="A1482" s="1" t="s">
        <v>809</v>
      </c>
      <c r="B1482" s="1"/>
      <c r="C1482" s="1">
        <v>0.0</v>
      </c>
      <c r="D1482" s="2"/>
      <c r="E1482" s="2"/>
      <c r="F1482" s="2"/>
      <c r="G1482" s="2"/>
      <c r="H1482" s="2"/>
    </row>
    <row r="1483">
      <c r="A1483" s="1" t="s">
        <v>810</v>
      </c>
      <c r="B1483" s="1"/>
      <c r="C1483" s="1">
        <v>8.0</v>
      </c>
      <c r="D1483" s="2"/>
      <c r="E1483" s="2"/>
      <c r="F1483" s="2"/>
      <c r="G1483" s="2"/>
      <c r="H1483" s="2"/>
    </row>
    <row r="1484">
      <c r="A1484" s="1" t="s">
        <v>811</v>
      </c>
      <c r="B1484" s="1"/>
      <c r="C1484" s="1">
        <v>8.0</v>
      </c>
      <c r="D1484" s="2"/>
      <c r="E1484" s="2"/>
      <c r="F1484" s="2"/>
      <c r="G1484" s="2"/>
      <c r="H1484" s="2"/>
    </row>
    <row r="1485">
      <c r="A1485" s="1" t="s">
        <v>812</v>
      </c>
      <c r="B1485" s="1"/>
      <c r="C1485" s="1">
        <v>11.0</v>
      </c>
      <c r="D1485" s="2"/>
      <c r="E1485" s="2"/>
      <c r="F1485" s="2"/>
      <c r="G1485" s="2"/>
      <c r="H1485" s="2"/>
    </row>
    <row r="1486">
      <c r="A1486" s="1" t="s">
        <v>813</v>
      </c>
      <c r="B1486" s="1"/>
      <c r="C1486" s="1">
        <v>24.0</v>
      </c>
      <c r="D1486" s="2"/>
      <c r="E1486" s="2"/>
      <c r="F1486" s="2"/>
      <c r="G1486" s="2"/>
      <c r="H1486" s="2"/>
    </row>
    <row r="1487">
      <c r="A1487" s="1" t="s">
        <v>814</v>
      </c>
      <c r="B1487" s="1"/>
      <c r="C1487" s="1">
        <v>0.0</v>
      </c>
      <c r="D1487" s="2"/>
      <c r="E1487" s="2"/>
      <c r="F1487" s="2"/>
      <c r="G1487" s="2"/>
      <c r="H1487" s="2"/>
    </row>
    <row r="1488">
      <c r="A1488" s="1" t="s">
        <v>815</v>
      </c>
      <c r="B1488" s="1"/>
      <c r="C1488" s="1">
        <v>0.0</v>
      </c>
      <c r="D1488" s="2"/>
      <c r="E1488" s="2"/>
      <c r="F1488" s="2"/>
      <c r="G1488" s="2"/>
      <c r="H1488" s="2"/>
    </row>
    <row r="1489">
      <c r="A1489" s="1" t="s">
        <v>816</v>
      </c>
      <c r="B1489" s="1"/>
      <c r="C1489" s="1">
        <v>0.0</v>
      </c>
      <c r="D1489" s="2"/>
      <c r="E1489" s="2"/>
      <c r="F1489" s="2"/>
      <c r="G1489" s="2"/>
      <c r="H1489" s="2"/>
    </row>
    <row r="1490">
      <c r="A1490" s="1" t="s">
        <v>817</v>
      </c>
      <c r="B1490" s="1"/>
      <c r="C1490" s="1" t="s">
        <v>818</v>
      </c>
      <c r="D1490" s="1">
        <v>8.0</v>
      </c>
      <c r="E1490" s="2"/>
      <c r="F1490" s="2"/>
      <c r="G1490" s="2"/>
      <c r="H1490" s="2"/>
    </row>
    <row r="1491">
      <c r="A1491" s="1" t="s">
        <v>819</v>
      </c>
      <c r="B1491" s="1"/>
      <c r="C1491" s="1">
        <v>0.0</v>
      </c>
      <c r="D1491" s="2"/>
      <c r="E1491" s="2"/>
      <c r="F1491" s="2"/>
      <c r="G1491" s="2"/>
      <c r="H1491" s="2"/>
    </row>
    <row r="1492">
      <c r="A1492" s="1" t="s">
        <v>820</v>
      </c>
      <c r="B1492" s="1"/>
      <c r="C1492" s="1">
        <v>50.0</v>
      </c>
      <c r="D1492" s="2"/>
      <c r="E1492" s="2"/>
      <c r="F1492" s="2"/>
      <c r="G1492" s="2"/>
      <c r="H1492" s="2"/>
    </row>
    <row r="1493">
      <c r="A1493" s="1" t="s">
        <v>821</v>
      </c>
      <c r="B1493" s="1"/>
      <c r="C1493" s="1">
        <v>29.0</v>
      </c>
      <c r="D1493" s="2"/>
      <c r="E1493" s="2"/>
      <c r="F1493" s="2"/>
      <c r="G1493" s="2"/>
      <c r="H1493" s="2"/>
    </row>
    <row r="1494">
      <c r="A1494" s="1" t="s">
        <v>822</v>
      </c>
      <c r="B1494" s="1"/>
      <c r="C1494" s="1">
        <v>29.0</v>
      </c>
      <c r="D1494" s="2"/>
      <c r="E1494" s="2"/>
      <c r="F1494" s="2"/>
      <c r="G1494" s="2"/>
      <c r="H1494" s="2"/>
    </row>
    <row r="1495">
      <c r="A1495" s="1" t="s">
        <v>823</v>
      </c>
      <c r="B1495" s="1"/>
      <c r="C1495" s="1">
        <v>46.0</v>
      </c>
      <c r="D1495" s="2"/>
      <c r="E1495" s="2"/>
      <c r="F1495" s="2"/>
      <c r="G1495" s="2"/>
      <c r="H1495" s="2"/>
    </row>
    <row r="1496">
      <c r="A1496" s="1" t="s">
        <v>824</v>
      </c>
      <c r="B1496" s="1"/>
      <c r="C1496" s="1">
        <v>64.0</v>
      </c>
      <c r="D1496" s="2"/>
      <c r="E1496" s="2"/>
      <c r="F1496" s="2"/>
      <c r="G1496" s="2"/>
      <c r="H1496" s="2"/>
    </row>
    <row r="1497">
      <c r="A1497" s="1" t="s">
        <v>825</v>
      </c>
      <c r="B1497" s="1"/>
      <c r="C1497" s="1">
        <v>0.0</v>
      </c>
      <c r="D1497" s="2"/>
      <c r="E1497" s="2"/>
      <c r="F1497" s="2"/>
      <c r="G1497" s="2"/>
      <c r="H1497" s="2"/>
    </row>
    <row r="1498">
      <c r="A1498" s="1" t="s">
        <v>826</v>
      </c>
      <c r="B1498" s="1"/>
      <c r="C1498" s="1">
        <v>0.0</v>
      </c>
      <c r="D1498" s="2"/>
      <c r="E1498" s="2"/>
      <c r="F1498" s="2"/>
      <c r="G1498" s="2"/>
      <c r="H1498" s="2"/>
    </row>
    <row r="1499">
      <c r="A1499" s="1" t="s">
        <v>827</v>
      </c>
      <c r="B1499" s="1"/>
      <c r="C1499" s="1">
        <v>0.0</v>
      </c>
      <c r="D1499" s="2"/>
      <c r="E1499" s="2"/>
      <c r="F1499" s="2"/>
      <c r="G1499" s="2"/>
      <c r="H1499" s="2"/>
    </row>
    <row r="1500">
      <c r="A1500" s="1" t="s">
        <v>828</v>
      </c>
      <c r="B1500" s="1"/>
      <c r="C1500" s="1">
        <v>0.0</v>
      </c>
      <c r="D1500" s="2"/>
      <c r="E1500" s="2"/>
      <c r="F1500" s="2"/>
      <c r="G1500" s="2"/>
      <c r="H1500" s="2"/>
    </row>
    <row r="1501">
      <c r="A1501" s="1" t="s">
        <v>829</v>
      </c>
      <c r="B1501" s="1"/>
      <c r="C1501" s="1">
        <v>0.0</v>
      </c>
      <c r="D1501" s="2"/>
      <c r="E1501" s="2"/>
      <c r="F1501" s="2"/>
      <c r="G1501" s="2"/>
      <c r="H1501" s="2"/>
    </row>
    <row r="1502">
      <c r="A1502" s="1" t="s">
        <v>830</v>
      </c>
      <c r="B1502" s="1"/>
      <c r="C1502" s="1">
        <v>0.0</v>
      </c>
      <c r="D1502" s="2"/>
      <c r="E1502" s="2"/>
      <c r="F1502" s="2"/>
      <c r="G1502" s="2"/>
      <c r="H1502" s="2"/>
    </row>
    <row r="1503">
      <c r="A1503" s="1" t="s">
        <v>831</v>
      </c>
      <c r="B1503" s="1"/>
      <c r="C1503" s="1">
        <v>0.0</v>
      </c>
      <c r="D1503" s="2"/>
      <c r="E1503" s="2"/>
      <c r="F1503" s="2"/>
      <c r="G1503" s="2"/>
      <c r="H1503" s="2"/>
    </row>
    <row r="1504">
      <c r="A1504" s="1" t="s">
        <v>832</v>
      </c>
      <c r="B1504" s="1"/>
      <c r="C1504" s="1">
        <v>0.0</v>
      </c>
      <c r="D1504" s="2"/>
      <c r="E1504" s="2"/>
      <c r="F1504" s="2"/>
      <c r="G1504" s="2"/>
      <c r="H1504" s="2"/>
    </row>
    <row r="1505">
      <c r="A1505" s="1" t="s">
        <v>833</v>
      </c>
      <c r="B1505" s="1"/>
      <c r="C1505" s="1">
        <v>0.0</v>
      </c>
      <c r="D1505" s="2"/>
      <c r="E1505" s="2"/>
      <c r="F1505" s="2"/>
      <c r="G1505" s="2"/>
      <c r="H1505" s="2"/>
    </row>
    <row r="1506">
      <c r="A1506" s="1" t="s">
        <v>834</v>
      </c>
      <c r="B1506" s="1"/>
      <c r="C1506" s="1">
        <v>18.0</v>
      </c>
      <c r="D1506" s="2"/>
      <c r="E1506" s="2"/>
      <c r="F1506" s="2"/>
      <c r="G1506" s="2"/>
      <c r="H1506" s="2"/>
    </row>
    <row r="1507">
      <c r="A1507" s="1" t="s">
        <v>835</v>
      </c>
      <c r="B1507" s="1"/>
      <c r="C1507" s="1">
        <v>0.0</v>
      </c>
      <c r="D1507" s="2"/>
      <c r="E1507" s="2"/>
      <c r="F1507" s="2"/>
      <c r="G1507" s="2"/>
      <c r="H1507" s="2"/>
    </row>
    <row r="1508">
      <c r="A1508" s="1" t="s">
        <v>836</v>
      </c>
      <c r="B1508" s="1"/>
      <c r="C1508" s="1">
        <v>0.0</v>
      </c>
      <c r="D1508" s="2"/>
      <c r="E1508" s="2"/>
      <c r="F1508" s="2"/>
      <c r="G1508" s="2"/>
      <c r="H1508" s="2"/>
    </row>
    <row r="1509">
      <c r="A1509" s="1" t="s">
        <v>837</v>
      </c>
      <c r="B1509" s="1"/>
      <c r="C1509" s="1">
        <v>44.0</v>
      </c>
      <c r="D1509" s="2"/>
      <c r="E1509" s="2"/>
      <c r="F1509" s="2"/>
      <c r="G1509" s="2"/>
      <c r="H1509" s="2"/>
    </row>
    <row r="1510">
      <c r="A1510" s="1" t="s">
        <v>838</v>
      </c>
      <c r="B1510" s="1"/>
      <c r="C1510" s="1">
        <v>0.0</v>
      </c>
      <c r="D1510" s="2"/>
      <c r="E1510" s="2"/>
      <c r="F1510" s="2"/>
      <c r="G1510" s="2"/>
      <c r="H1510" s="2"/>
    </row>
    <row r="1511">
      <c r="A1511" s="1" t="s">
        <v>839</v>
      </c>
      <c r="B1511" s="1"/>
      <c r="C1511" s="1">
        <v>83.0</v>
      </c>
      <c r="D1511" s="2"/>
      <c r="E1511" s="2"/>
      <c r="F1511" s="2"/>
      <c r="G1511" s="2"/>
      <c r="H1511" s="2"/>
    </row>
    <row r="1512">
      <c r="A1512" s="1" t="s">
        <v>840</v>
      </c>
      <c r="B1512" s="1"/>
      <c r="C1512" s="1">
        <v>0.0</v>
      </c>
      <c r="D1512" s="2"/>
      <c r="E1512" s="2"/>
      <c r="F1512" s="2"/>
      <c r="G1512" s="2"/>
      <c r="H1512" s="2"/>
    </row>
    <row r="1513">
      <c r="A1513" s="1" t="s">
        <v>841</v>
      </c>
      <c r="B1513" s="1"/>
      <c r="C1513" s="1">
        <v>0.0</v>
      </c>
      <c r="D1513" s="2"/>
      <c r="E1513" s="2"/>
      <c r="F1513" s="2"/>
      <c r="G1513" s="2"/>
      <c r="H1513" s="2"/>
    </row>
    <row r="1514">
      <c r="A1514" s="1" t="s">
        <v>842</v>
      </c>
      <c r="B1514" s="1"/>
      <c r="C1514" s="1">
        <v>86.0</v>
      </c>
      <c r="D1514" s="2"/>
      <c r="E1514" s="2"/>
      <c r="F1514" s="2"/>
      <c r="G1514" s="2"/>
      <c r="H1514" s="2"/>
    </row>
    <row r="1515">
      <c r="A1515" s="1" t="s">
        <v>843</v>
      </c>
      <c r="B1515" s="1"/>
      <c r="C1515" s="1">
        <v>0.0</v>
      </c>
      <c r="D1515" s="2"/>
      <c r="E1515" s="2"/>
      <c r="F1515" s="2"/>
      <c r="G1515" s="2"/>
      <c r="H1515" s="2"/>
    </row>
    <row r="1516">
      <c r="A1516" s="1" t="s">
        <v>844</v>
      </c>
      <c r="B1516" s="1"/>
      <c r="C1516" s="1">
        <v>27.0</v>
      </c>
      <c r="D1516" s="2"/>
      <c r="E1516" s="2"/>
      <c r="F1516" s="2"/>
      <c r="G1516" s="2"/>
      <c r="H1516" s="2"/>
    </row>
    <row r="1517">
      <c r="A1517" s="1" t="s">
        <v>845</v>
      </c>
      <c r="B1517" s="1"/>
      <c r="C1517" s="1">
        <v>0.0</v>
      </c>
      <c r="D1517" s="2"/>
      <c r="E1517" s="2"/>
      <c r="F1517" s="2"/>
      <c r="G1517" s="2"/>
      <c r="H1517" s="2"/>
    </row>
    <row r="1518">
      <c r="A1518" s="1" t="s">
        <v>846</v>
      </c>
      <c r="B1518" s="1"/>
      <c r="C1518" s="1">
        <v>0.0</v>
      </c>
      <c r="D1518" s="2"/>
      <c r="E1518" s="2"/>
      <c r="F1518" s="2"/>
      <c r="G1518" s="2"/>
      <c r="H1518" s="2"/>
    </row>
    <row r="1519">
      <c r="A1519" s="1" t="s">
        <v>847</v>
      </c>
      <c r="B1519" s="1"/>
      <c r="C1519" s="1">
        <v>70.0</v>
      </c>
      <c r="D1519" s="2"/>
      <c r="E1519" s="2"/>
      <c r="F1519" s="2"/>
      <c r="G1519" s="2"/>
      <c r="H1519" s="2"/>
    </row>
    <row r="1520">
      <c r="A1520" s="1" t="s">
        <v>848</v>
      </c>
      <c r="B1520" s="1"/>
      <c r="C1520" s="1">
        <v>0.0</v>
      </c>
      <c r="D1520" s="2"/>
      <c r="E1520" s="2"/>
      <c r="F1520" s="2"/>
      <c r="G1520" s="2"/>
      <c r="H1520" s="2"/>
    </row>
    <row r="1521">
      <c r="A1521" s="1" t="s">
        <v>849</v>
      </c>
      <c r="B1521" s="1"/>
      <c r="C1521" s="1">
        <v>0.0</v>
      </c>
      <c r="D1521" s="2"/>
      <c r="E1521" s="2"/>
      <c r="F1521" s="2"/>
      <c r="G1521" s="2"/>
      <c r="H1521" s="2"/>
    </row>
    <row r="1522">
      <c r="A1522" s="1" t="s">
        <v>850</v>
      </c>
      <c r="B1522" s="1"/>
      <c r="C1522" s="1">
        <v>0.0</v>
      </c>
      <c r="D1522" s="2"/>
      <c r="E1522" s="2"/>
      <c r="F1522" s="2"/>
      <c r="G1522" s="2"/>
      <c r="H1522" s="2"/>
    </row>
    <row r="1523">
      <c r="A1523" s="1" t="s">
        <v>851</v>
      </c>
      <c r="B1523" s="1"/>
      <c r="C1523" s="1">
        <v>0.0</v>
      </c>
      <c r="D1523" s="2"/>
      <c r="E1523" s="2"/>
      <c r="F1523" s="2"/>
      <c r="G1523" s="2"/>
      <c r="H1523" s="2"/>
    </row>
    <row r="1524">
      <c r="A1524" s="1" t="s">
        <v>852</v>
      </c>
      <c r="B1524" s="1"/>
      <c r="C1524" s="1">
        <v>39.0</v>
      </c>
      <c r="D1524" s="2"/>
      <c r="E1524" s="2"/>
      <c r="F1524" s="2"/>
      <c r="G1524" s="2"/>
      <c r="H1524" s="2"/>
    </row>
    <row r="1525">
      <c r="A1525" s="1" t="s">
        <v>853</v>
      </c>
      <c r="B1525" s="1"/>
      <c r="C1525" s="1">
        <v>0.0</v>
      </c>
      <c r="D1525" s="2"/>
      <c r="E1525" s="2"/>
      <c r="F1525" s="2"/>
      <c r="G1525" s="2"/>
      <c r="H1525" s="2"/>
    </row>
    <row r="1526">
      <c r="A1526" s="1" t="s">
        <v>854</v>
      </c>
      <c r="B1526" s="1"/>
      <c r="C1526" s="1">
        <v>71.0</v>
      </c>
      <c r="D1526" s="2"/>
      <c r="E1526" s="2"/>
      <c r="F1526" s="2"/>
      <c r="G1526" s="2"/>
      <c r="H1526" s="2"/>
    </row>
    <row r="1527">
      <c r="A1527" s="1" t="s">
        <v>855</v>
      </c>
      <c r="B1527" s="1"/>
      <c r="C1527" s="1">
        <v>0.0</v>
      </c>
      <c r="D1527" s="2"/>
      <c r="E1527" s="2"/>
      <c r="F1527" s="2"/>
      <c r="G1527" s="2"/>
      <c r="H1527" s="2"/>
    </row>
    <row r="1528">
      <c r="A1528" s="1" t="s">
        <v>856</v>
      </c>
      <c r="B1528" s="1"/>
      <c r="C1528" s="1">
        <v>0.0</v>
      </c>
      <c r="D1528" s="2"/>
      <c r="E1528" s="2"/>
      <c r="F1528" s="2"/>
      <c r="G1528" s="2"/>
      <c r="H1528" s="2"/>
    </row>
    <row r="1529">
      <c r="A1529" s="1" t="s">
        <v>857</v>
      </c>
      <c r="B1529" s="1"/>
      <c r="C1529" s="1">
        <v>0.0</v>
      </c>
      <c r="D1529" s="2"/>
      <c r="E1529" s="2"/>
      <c r="F1529" s="2"/>
      <c r="G1529" s="2"/>
      <c r="H1529" s="2"/>
    </row>
    <row r="1530">
      <c r="A1530" s="1" t="s">
        <v>858</v>
      </c>
      <c r="B1530" s="1"/>
      <c r="C1530" s="1">
        <v>68.0</v>
      </c>
      <c r="D1530" s="2"/>
      <c r="E1530" s="2"/>
      <c r="F1530" s="2"/>
      <c r="G1530" s="2"/>
      <c r="H1530" s="2"/>
    </row>
    <row r="1531">
      <c r="A1531" s="1" t="s">
        <v>859</v>
      </c>
      <c r="B1531" s="1"/>
      <c r="C1531" s="1">
        <v>81.0</v>
      </c>
      <c r="D1531" s="2"/>
      <c r="E1531" s="2"/>
      <c r="F1531" s="2"/>
      <c r="G1531" s="2"/>
      <c r="H1531" s="2"/>
    </row>
    <row r="1532">
      <c r="A1532" s="1" t="s">
        <v>860</v>
      </c>
      <c r="B1532" s="1"/>
      <c r="C1532" s="1">
        <v>0.0</v>
      </c>
      <c r="D1532" s="2"/>
      <c r="E1532" s="2"/>
      <c r="F1532" s="2"/>
      <c r="G1532" s="2"/>
      <c r="H1532" s="2"/>
    </row>
    <row r="1533">
      <c r="A1533" s="1" t="s">
        <v>861</v>
      </c>
      <c r="B1533" s="1"/>
      <c r="C1533" s="1">
        <v>0.0</v>
      </c>
      <c r="D1533" s="2"/>
      <c r="E1533" s="2"/>
      <c r="F1533" s="2"/>
      <c r="G1533" s="2"/>
      <c r="H1533" s="2"/>
    </row>
    <row r="1534">
      <c r="A1534" s="1" t="s">
        <v>862</v>
      </c>
      <c r="B1534" s="1"/>
      <c r="C1534" s="1">
        <v>0.0</v>
      </c>
      <c r="D1534" s="2"/>
      <c r="E1534" s="2"/>
      <c r="F1534" s="2"/>
      <c r="G1534" s="2"/>
      <c r="H1534" s="2"/>
    </row>
    <row r="1535">
      <c r="A1535" s="1" t="s">
        <v>863</v>
      </c>
      <c r="B1535" s="1"/>
      <c r="C1535" s="1">
        <v>0.0</v>
      </c>
      <c r="D1535" s="2"/>
      <c r="E1535" s="2"/>
      <c r="F1535" s="2"/>
      <c r="G1535" s="2"/>
      <c r="H1535" s="2"/>
    </row>
    <row r="1536">
      <c r="A1536" s="1" t="s">
        <v>864</v>
      </c>
      <c r="B1536" s="1"/>
      <c r="C1536" s="1">
        <v>24.0</v>
      </c>
      <c r="D1536" s="2"/>
      <c r="E1536" s="2"/>
      <c r="F1536" s="2"/>
      <c r="G1536" s="2"/>
      <c r="H1536" s="2"/>
    </row>
    <row r="1537">
      <c r="A1537" s="1" t="s">
        <v>865</v>
      </c>
      <c r="B1537" s="1"/>
      <c r="C1537" s="1">
        <v>0.0</v>
      </c>
      <c r="D1537" s="2"/>
      <c r="E1537" s="2"/>
      <c r="F1537" s="2"/>
      <c r="G1537" s="2"/>
      <c r="H1537" s="2"/>
    </row>
    <row r="1538">
      <c r="A1538" s="1" t="s">
        <v>866</v>
      </c>
      <c r="B1538" s="1"/>
      <c r="C1538" s="1">
        <v>0.0</v>
      </c>
      <c r="D1538" s="2"/>
      <c r="E1538" s="2"/>
      <c r="F1538" s="2"/>
      <c r="G1538" s="2"/>
      <c r="H1538" s="2"/>
    </row>
    <row r="1539">
      <c r="A1539" s="1" t="s">
        <v>867</v>
      </c>
      <c r="B1539" s="1"/>
      <c r="C1539" s="1">
        <v>0.0</v>
      </c>
      <c r="D1539" s="2"/>
      <c r="E1539" s="2"/>
      <c r="F1539" s="2"/>
      <c r="G1539" s="2"/>
      <c r="H1539" s="2"/>
    </row>
    <row r="1540">
      <c r="A1540" s="1" t="s">
        <v>868</v>
      </c>
      <c r="B1540" s="1"/>
      <c r="C1540" s="1">
        <v>0.0</v>
      </c>
      <c r="D1540" s="2"/>
      <c r="E1540" s="2"/>
      <c r="F1540" s="2"/>
      <c r="G1540" s="2"/>
      <c r="H1540" s="2"/>
    </row>
    <row r="1541">
      <c r="A1541" s="1" t="s">
        <v>869</v>
      </c>
      <c r="B1541" s="1"/>
      <c r="C1541" s="1">
        <v>70.0</v>
      </c>
      <c r="D1541" s="2"/>
      <c r="E1541" s="2"/>
      <c r="F1541" s="2"/>
      <c r="G1541" s="2"/>
      <c r="H1541" s="2"/>
    </row>
    <row r="1542">
      <c r="A1542" s="1" t="s">
        <v>870</v>
      </c>
      <c r="B1542" s="1"/>
      <c r="C1542" s="1">
        <v>0.0</v>
      </c>
      <c r="D1542" s="2"/>
      <c r="E1542" s="2"/>
      <c r="F1542" s="2"/>
      <c r="G1542" s="2"/>
      <c r="H1542" s="2"/>
    </row>
    <row r="1543">
      <c r="A1543" s="1" t="s">
        <v>871</v>
      </c>
      <c r="B1543" s="1"/>
      <c r="C1543" s="1">
        <v>0.0</v>
      </c>
      <c r="D1543" s="2"/>
      <c r="E1543" s="2"/>
      <c r="F1543" s="2"/>
      <c r="G1543" s="2"/>
      <c r="H1543" s="2"/>
    </row>
    <row r="1544">
      <c r="A1544" s="1" t="s">
        <v>872</v>
      </c>
      <c r="B1544" s="1"/>
      <c r="C1544" s="1">
        <v>0.0</v>
      </c>
      <c r="D1544" s="2"/>
      <c r="E1544" s="2"/>
      <c r="F1544" s="2"/>
      <c r="G1544" s="2"/>
      <c r="H1544" s="2"/>
    </row>
    <row r="1545">
      <c r="A1545" s="1" t="s">
        <v>873</v>
      </c>
      <c r="B1545" s="1"/>
      <c r="C1545" s="1">
        <v>33.0</v>
      </c>
      <c r="D1545" s="2"/>
      <c r="E1545" s="2"/>
      <c r="F1545" s="2"/>
      <c r="G1545" s="2"/>
      <c r="H1545" s="2"/>
    </row>
    <row r="1546">
      <c r="A1546" s="1" t="s">
        <v>874</v>
      </c>
      <c r="B1546" s="1"/>
      <c r="C1546" s="1">
        <v>26.0</v>
      </c>
      <c r="D1546" s="2"/>
      <c r="E1546" s="2"/>
      <c r="F1546" s="2"/>
      <c r="G1546" s="2"/>
      <c r="H1546" s="2"/>
    </row>
    <row r="1547">
      <c r="A1547" s="1" t="s">
        <v>875</v>
      </c>
      <c r="B1547" s="1"/>
      <c r="C1547" s="1">
        <v>35.0</v>
      </c>
      <c r="D1547" s="2"/>
      <c r="E1547" s="2"/>
      <c r="F1547" s="2"/>
      <c r="G1547" s="2"/>
      <c r="H1547" s="2"/>
    </row>
    <row r="1548">
      <c r="A1548" s="1" t="s">
        <v>876</v>
      </c>
      <c r="B1548" s="1"/>
      <c r="C1548" s="1">
        <v>86.0</v>
      </c>
      <c r="D1548" s="2"/>
      <c r="E1548" s="2"/>
      <c r="F1548" s="2"/>
      <c r="G1548" s="2"/>
      <c r="H1548" s="2"/>
    </row>
    <row r="1549">
      <c r="A1549" s="1" t="s">
        <v>877</v>
      </c>
      <c r="B1549" s="1"/>
      <c r="C1549" s="1">
        <v>0.0</v>
      </c>
      <c r="D1549" s="2"/>
      <c r="E1549" s="2"/>
      <c r="F1549" s="2"/>
      <c r="G1549" s="2"/>
      <c r="H1549" s="2"/>
    </row>
    <row r="1550">
      <c r="A1550" s="1" t="s">
        <v>878</v>
      </c>
      <c r="B1550" s="1"/>
      <c r="C1550" s="1">
        <v>0.0</v>
      </c>
      <c r="D1550" s="2"/>
      <c r="E1550" s="2"/>
      <c r="F1550" s="2"/>
      <c r="G1550" s="2"/>
      <c r="H1550" s="2"/>
    </row>
    <row r="1551">
      <c r="A1551" s="1" t="s">
        <v>879</v>
      </c>
      <c r="B1551" s="1"/>
      <c r="C1551" s="1">
        <v>0.0</v>
      </c>
      <c r="D1551" s="2"/>
      <c r="E1551" s="2"/>
      <c r="F1551" s="2"/>
      <c r="G1551" s="2"/>
      <c r="H1551" s="2"/>
    </row>
    <row r="1552">
      <c r="A1552" s="1" t="s">
        <v>880</v>
      </c>
      <c r="B1552" s="1"/>
      <c r="C1552" s="1">
        <v>0.0</v>
      </c>
      <c r="D1552" s="2"/>
      <c r="E1552" s="2"/>
      <c r="F1552" s="2"/>
      <c r="G1552" s="2"/>
      <c r="H1552" s="2"/>
    </row>
    <row r="1553">
      <c r="A1553" s="1" t="s">
        <v>881</v>
      </c>
      <c r="B1553" s="1"/>
      <c r="C1553" s="1">
        <v>0.0</v>
      </c>
      <c r="D1553" s="2"/>
      <c r="E1553" s="2"/>
      <c r="F1553" s="2"/>
      <c r="G1553" s="2"/>
      <c r="H1553" s="2"/>
    </row>
    <row r="1554">
      <c r="A1554" s="1" t="s">
        <v>882</v>
      </c>
      <c r="B1554" s="1"/>
      <c r="C1554" s="1">
        <v>63.0</v>
      </c>
      <c r="D1554" s="2"/>
      <c r="E1554" s="2"/>
      <c r="F1554" s="2"/>
      <c r="G1554" s="2"/>
      <c r="H1554" s="2"/>
    </row>
    <row r="1555">
      <c r="A1555" s="1" t="s">
        <v>883</v>
      </c>
      <c r="B1555" s="1"/>
      <c r="C1555" s="1">
        <v>59.0</v>
      </c>
      <c r="D1555" s="2"/>
      <c r="E1555" s="2"/>
      <c r="F1555" s="2"/>
      <c r="G1555" s="2"/>
      <c r="H1555" s="2"/>
    </row>
    <row r="1556">
      <c r="A1556" s="1" t="s">
        <v>884</v>
      </c>
      <c r="B1556" s="1"/>
      <c r="C1556" s="1">
        <v>20.0</v>
      </c>
      <c r="D1556" s="2"/>
      <c r="E1556" s="2"/>
      <c r="F1556" s="2"/>
      <c r="G1556" s="2"/>
      <c r="H1556" s="2"/>
    </row>
    <row r="1557">
      <c r="A1557" s="1" t="s">
        <v>885</v>
      </c>
      <c r="B1557" s="1"/>
      <c r="C1557" s="1">
        <v>32.0</v>
      </c>
      <c r="D1557" s="2"/>
      <c r="E1557" s="2"/>
      <c r="F1557" s="2"/>
      <c r="G1557" s="2"/>
      <c r="H1557" s="2"/>
    </row>
    <row r="1558">
      <c r="A1558" s="1" t="s">
        <v>886</v>
      </c>
      <c r="B1558" s="1"/>
      <c r="C1558" s="1">
        <v>0.0</v>
      </c>
      <c r="D1558" s="2"/>
      <c r="E1558" s="2"/>
      <c r="F1558" s="2"/>
      <c r="G1558" s="2"/>
      <c r="H1558" s="2"/>
    </row>
    <row r="1559">
      <c r="A1559" s="1" t="s">
        <v>887</v>
      </c>
      <c r="B1559" s="1"/>
      <c r="C1559" s="1">
        <v>39.0</v>
      </c>
      <c r="D1559" s="2"/>
      <c r="E1559" s="2"/>
      <c r="F1559" s="2"/>
      <c r="G1559" s="2"/>
      <c r="H1559" s="2"/>
    </row>
    <row r="1560">
      <c r="A1560" s="1" t="s">
        <v>888</v>
      </c>
      <c r="B1560" s="1"/>
      <c r="C1560" s="1">
        <v>50.0</v>
      </c>
      <c r="D1560" s="2"/>
      <c r="E1560" s="2"/>
      <c r="F1560" s="2"/>
      <c r="G1560" s="2"/>
      <c r="H1560" s="2"/>
    </row>
    <row r="1561">
      <c r="A1561" s="1" t="s">
        <v>889</v>
      </c>
      <c r="B1561" s="1"/>
      <c r="C1561" s="1">
        <v>80.0</v>
      </c>
      <c r="D1561" s="2"/>
      <c r="E1561" s="2"/>
      <c r="F1561" s="2"/>
      <c r="G1561" s="2"/>
      <c r="H1561" s="2"/>
    </row>
    <row r="1562">
      <c r="A1562" s="1" t="s">
        <v>890</v>
      </c>
      <c r="B1562" s="1"/>
      <c r="C1562" s="1">
        <v>81.0</v>
      </c>
      <c r="D1562" s="2"/>
      <c r="E1562" s="2"/>
      <c r="F1562" s="2"/>
      <c r="G1562" s="2"/>
      <c r="H1562" s="2"/>
    </row>
    <row r="1563">
      <c r="A1563" s="1" t="s">
        <v>891</v>
      </c>
      <c r="B1563" s="1"/>
      <c r="C1563" s="1">
        <v>14.0</v>
      </c>
      <c r="D1563" s="2"/>
      <c r="E1563" s="2"/>
      <c r="F1563" s="2"/>
      <c r="G1563" s="2"/>
      <c r="H1563" s="2"/>
    </row>
    <row r="1564">
      <c r="A1564" s="1" t="s">
        <v>892</v>
      </c>
      <c r="B1564" s="1"/>
      <c r="C1564" s="1">
        <v>0.0</v>
      </c>
      <c r="D1564" s="2"/>
      <c r="E1564" s="2"/>
      <c r="F1564" s="2"/>
      <c r="G1564" s="2"/>
      <c r="H1564" s="2"/>
    </row>
    <row r="1565">
      <c r="A1565" s="1" t="s">
        <v>893</v>
      </c>
      <c r="B1565" s="1"/>
      <c r="C1565" s="1">
        <v>36.0</v>
      </c>
      <c r="D1565" s="2"/>
      <c r="E1565" s="2"/>
      <c r="F1565" s="2"/>
      <c r="G1565" s="2"/>
      <c r="H1565" s="2"/>
    </row>
    <row r="1566">
      <c r="A1566" s="1" t="s">
        <v>894</v>
      </c>
      <c r="B1566" s="1"/>
      <c r="C1566" s="1">
        <v>6.0</v>
      </c>
      <c r="D1566" s="2"/>
      <c r="E1566" s="2"/>
      <c r="F1566" s="2"/>
      <c r="G1566" s="2"/>
      <c r="H1566" s="2"/>
    </row>
    <row r="1567">
      <c r="A1567" s="1" t="s">
        <v>895</v>
      </c>
      <c r="B1567" s="1"/>
      <c r="C1567" s="1">
        <v>1.0</v>
      </c>
      <c r="D1567" s="2"/>
      <c r="E1567" s="2"/>
      <c r="F1567" s="2"/>
      <c r="G1567" s="2"/>
      <c r="H1567" s="2"/>
    </row>
    <row r="1568">
      <c r="A1568" s="1" t="s">
        <v>896</v>
      </c>
      <c r="B1568" s="1"/>
      <c r="C1568" s="1">
        <v>36.0</v>
      </c>
      <c r="D1568" s="2"/>
      <c r="E1568" s="2"/>
      <c r="F1568" s="2"/>
      <c r="G1568" s="2"/>
      <c r="H1568" s="2"/>
    </row>
    <row r="1569">
      <c r="A1569" s="1" t="s">
        <v>897</v>
      </c>
      <c r="B1569" s="1"/>
      <c r="C1569" s="1">
        <v>0.0</v>
      </c>
      <c r="D1569" s="2"/>
      <c r="E1569" s="2"/>
      <c r="F1569" s="2"/>
      <c r="G1569" s="2"/>
      <c r="H1569" s="2"/>
    </row>
    <row r="1570">
      <c r="A1570" s="1" t="s">
        <v>898</v>
      </c>
      <c r="B1570" s="1"/>
      <c r="C1570" s="1">
        <v>86.0</v>
      </c>
      <c r="D1570" s="2"/>
      <c r="E1570" s="2"/>
      <c r="F1570" s="2"/>
      <c r="G1570" s="2"/>
      <c r="H1570" s="2"/>
    </row>
    <row r="1571">
      <c r="A1571" s="1" t="s">
        <v>899</v>
      </c>
      <c r="B1571" s="1"/>
      <c r="C1571" s="1">
        <v>38.0</v>
      </c>
      <c r="D1571" s="2"/>
      <c r="E1571" s="2"/>
      <c r="F1571" s="2"/>
      <c r="G1571" s="2"/>
      <c r="H1571" s="2"/>
    </row>
    <row r="1572">
      <c r="A1572" s="1" t="s">
        <v>900</v>
      </c>
      <c r="B1572" s="1"/>
      <c r="C1572" s="1">
        <v>79.0</v>
      </c>
      <c r="D1572" s="2"/>
      <c r="E1572" s="2"/>
      <c r="F1572" s="2"/>
      <c r="G1572" s="2"/>
      <c r="H1572" s="2"/>
    </row>
    <row r="1573">
      <c r="A1573" s="1" t="s">
        <v>901</v>
      </c>
      <c r="B1573" s="1"/>
      <c r="C1573" s="1">
        <v>0.0</v>
      </c>
      <c r="D1573" s="2"/>
      <c r="E1573" s="2"/>
      <c r="F1573" s="2"/>
      <c r="G1573" s="2"/>
      <c r="H1573" s="2"/>
    </row>
    <row r="1574">
      <c r="A1574" s="1" t="s">
        <v>902</v>
      </c>
      <c r="B1574" s="1"/>
      <c r="C1574" s="1">
        <v>0.0</v>
      </c>
      <c r="D1574" s="2"/>
      <c r="E1574" s="2"/>
      <c r="F1574" s="2"/>
      <c r="G1574" s="2"/>
      <c r="H1574" s="2"/>
    </row>
    <row r="1575">
      <c r="A1575" s="1" t="s">
        <v>903</v>
      </c>
      <c r="B1575" s="1"/>
      <c r="C1575" s="1">
        <v>22.0</v>
      </c>
      <c r="D1575" s="2"/>
      <c r="E1575" s="2"/>
      <c r="F1575" s="2"/>
      <c r="G1575" s="2"/>
      <c r="H1575" s="2"/>
    </row>
    <row r="1576">
      <c r="A1576" s="1" t="s">
        <v>904</v>
      </c>
      <c r="B1576" s="1"/>
      <c r="C1576" s="1">
        <v>0.0</v>
      </c>
      <c r="D1576" s="2"/>
      <c r="E1576" s="2"/>
      <c r="F1576" s="2"/>
      <c r="G1576" s="2"/>
      <c r="H1576" s="2"/>
    </row>
    <row r="1577">
      <c r="A1577" s="1" t="s">
        <v>905</v>
      </c>
      <c r="B1577" s="1"/>
      <c r="C1577" s="1">
        <v>0.0</v>
      </c>
      <c r="D1577" s="2"/>
      <c r="E1577" s="2"/>
      <c r="F1577" s="2"/>
      <c r="G1577" s="2"/>
      <c r="H1577" s="2"/>
    </row>
    <row r="1578">
      <c r="A1578" s="1" t="s">
        <v>906</v>
      </c>
      <c r="B1578" s="1"/>
      <c r="C1578" s="1">
        <v>72.0</v>
      </c>
      <c r="D1578" s="2"/>
      <c r="E1578" s="2"/>
      <c r="F1578" s="2"/>
      <c r="G1578" s="2"/>
      <c r="H1578" s="2"/>
    </row>
    <row r="1579">
      <c r="A1579" s="1" t="s">
        <v>907</v>
      </c>
      <c r="B1579" s="1"/>
      <c r="C1579" s="1">
        <v>0.0</v>
      </c>
      <c r="D1579" s="2"/>
      <c r="E1579" s="2"/>
      <c r="F1579" s="2"/>
      <c r="G1579" s="2"/>
      <c r="H1579" s="2"/>
    </row>
    <row r="1580">
      <c r="A1580" s="1" t="s">
        <v>908</v>
      </c>
      <c r="B1580" s="1"/>
      <c r="C1580" s="1">
        <v>0.0</v>
      </c>
      <c r="D1580" s="2"/>
      <c r="E1580" s="2"/>
      <c r="F1580" s="2"/>
      <c r="G1580" s="2"/>
      <c r="H1580" s="2"/>
    </row>
    <row r="1581">
      <c r="A1581" s="1" t="s">
        <v>909</v>
      </c>
      <c r="B1581" s="1"/>
      <c r="C1581" s="1">
        <v>22.0</v>
      </c>
      <c r="D1581" s="2"/>
      <c r="E1581" s="2"/>
      <c r="F1581" s="2"/>
      <c r="G1581" s="2"/>
      <c r="H1581" s="2"/>
    </row>
    <row r="1582">
      <c r="A1582" s="1" t="s">
        <v>910</v>
      </c>
      <c r="B1582" s="1"/>
      <c r="C1582" s="1">
        <v>0.0</v>
      </c>
      <c r="D1582" s="2"/>
      <c r="E1582" s="2"/>
      <c r="F1582" s="2"/>
      <c r="G1582" s="2"/>
      <c r="H1582" s="2"/>
    </row>
    <row r="1583">
      <c r="A1583" s="1" t="s">
        <v>911</v>
      </c>
      <c r="B1583" s="1"/>
      <c r="C1583" s="1">
        <v>0.0</v>
      </c>
      <c r="D1583" s="2"/>
      <c r="E1583" s="2"/>
      <c r="F1583" s="2"/>
      <c r="G1583" s="2"/>
      <c r="H1583" s="2"/>
    </row>
    <row r="1584">
      <c r="A1584" s="1" t="s">
        <v>912</v>
      </c>
      <c r="B1584" s="1"/>
      <c r="C1584" s="1">
        <v>60.0</v>
      </c>
      <c r="D1584" s="2"/>
      <c r="E1584" s="2"/>
      <c r="F1584" s="2"/>
      <c r="G1584" s="2"/>
      <c r="H1584" s="2"/>
    </row>
    <row r="1585">
      <c r="A1585" s="1" t="s">
        <v>913</v>
      </c>
      <c r="B1585" s="1"/>
      <c r="C1585" s="1">
        <v>18.0</v>
      </c>
      <c r="D1585" s="2"/>
      <c r="E1585" s="2"/>
      <c r="F1585" s="2"/>
      <c r="G1585" s="2"/>
      <c r="H1585" s="2"/>
    </row>
    <row r="1586">
      <c r="A1586" s="1" t="s">
        <v>914</v>
      </c>
      <c r="B1586" s="1"/>
      <c r="C1586" s="1">
        <v>94.0</v>
      </c>
      <c r="D1586" s="2"/>
      <c r="E1586" s="2"/>
      <c r="F1586" s="2"/>
      <c r="G1586" s="2"/>
      <c r="H1586" s="2"/>
    </row>
    <row r="1587">
      <c r="A1587" s="1" t="s">
        <v>915</v>
      </c>
      <c r="B1587" s="1"/>
      <c r="C1587" s="1">
        <v>14.0</v>
      </c>
      <c r="D1587" s="2"/>
      <c r="E1587" s="2"/>
      <c r="F1587" s="2"/>
      <c r="G1587" s="2"/>
      <c r="H1587" s="2"/>
    </row>
    <row r="1588">
      <c r="A1588" s="1" t="s">
        <v>916</v>
      </c>
      <c r="B1588" s="1"/>
      <c r="C1588" s="1">
        <v>0.0</v>
      </c>
      <c r="D1588" s="2"/>
      <c r="E1588" s="2"/>
      <c r="F1588" s="2"/>
      <c r="G1588" s="2"/>
      <c r="H1588" s="2"/>
    </row>
    <row r="1589">
      <c r="A1589" s="1" t="s">
        <v>917</v>
      </c>
      <c r="B1589" s="1"/>
      <c r="C1589" s="1">
        <v>0.0</v>
      </c>
      <c r="D1589" s="2"/>
      <c r="E1589" s="2"/>
      <c r="F1589" s="2"/>
      <c r="G1589" s="2"/>
      <c r="H1589" s="2"/>
    </row>
    <row r="1590">
      <c r="A1590" s="1" t="s">
        <v>918</v>
      </c>
      <c r="B1590" s="1"/>
      <c r="C1590" s="1">
        <v>42.0</v>
      </c>
      <c r="D1590" s="2"/>
      <c r="E1590" s="2"/>
      <c r="F1590" s="2"/>
      <c r="G1590" s="2"/>
      <c r="H1590" s="2"/>
    </row>
    <row r="1591">
      <c r="A1591" s="1" t="s">
        <v>919</v>
      </c>
      <c r="B1591" s="1"/>
      <c r="C1591" s="1">
        <v>0.0</v>
      </c>
      <c r="D1591" s="2"/>
      <c r="E1591" s="2"/>
      <c r="F1591" s="2"/>
      <c r="G1591" s="2"/>
      <c r="H1591" s="2"/>
    </row>
    <row r="1592">
      <c r="A1592" s="1" t="s">
        <v>920</v>
      </c>
      <c r="B1592" s="1"/>
      <c r="C1592" s="1">
        <v>78.0</v>
      </c>
      <c r="D1592" s="2"/>
      <c r="E1592" s="2"/>
      <c r="F1592" s="2"/>
      <c r="G1592" s="2"/>
      <c r="H1592" s="2"/>
    </row>
    <row r="1593">
      <c r="A1593" s="1" t="s">
        <v>921</v>
      </c>
      <c r="B1593" s="1"/>
      <c r="C1593" s="1">
        <v>40.0</v>
      </c>
      <c r="D1593" s="2"/>
      <c r="E1593" s="2"/>
      <c r="F1593" s="2"/>
      <c r="G1593" s="2"/>
      <c r="H1593" s="2"/>
    </row>
    <row r="1594">
      <c r="A1594" s="1" t="s">
        <v>922</v>
      </c>
      <c r="B1594" s="1"/>
      <c r="C1594" s="1">
        <v>3.0</v>
      </c>
      <c r="D1594" s="2"/>
      <c r="E1594" s="2"/>
      <c r="F1594" s="2"/>
      <c r="G1594" s="2"/>
      <c r="H1594" s="2"/>
    </row>
    <row r="1595">
      <c r="A1595" s="1" t="s">
        <v>923</v>
      </c>
      <c r="B1595" s="1"/>
      <c r="C1595" s="1">
        <v>26.0</v>
      </c>
      <c r="D1595" s="2"/>
      <c r="E1595" s="2"/>
      <c r="F1595" s="2"/>
      <c r="G1595" s="2"/>
      <c r="H1595" s="2"/>
    </row>
    <row r="1596">
      <c r="A1596" s="1" t="s">
        <v>924</v>
      </c>
      <c r="B1596" s="1"/>
      <c r="C1596" s="1">
        <v>48.0</v>
      </c>
      <c r="D1596" s="2"/>
      <c r="E1596" s="2"/>
      <c r="F1596" s="2"/>
      <c r="G1596" s="2"/>
      <c r="H1596" s="2"/>
    </row>
    <row r="1597">
      <c r="A1597" s="1" t="s">
        <v>925</v>
      </c>
      <c r="B1597" s="1"/>
      <c r="C1597" s="1" t="s">
        <v>926</v>
      </c>
      <c r="D1597" s="1">
        <v>72.0</v>
      </c>
      <c r="E1597" s="2"/>
      <c r="F1597" s="2"/>
      <c r="G1597" s="2"/>
      <c r="H1597" s="2"/>
    </row>
    <row r="1598">
      <c r="A1598" s="1" t="s">
        <v>927</v>
      </c>
      <c r="B1598" s="1"/>
      <c r="C1598" s="1">
        <v>1.0</v>
      </c>
      <c r="D1598" s="2"/>
      <c r="E1598" s="2"/>
      <c r="F1598" s="2"/>
      <c r="G1598" s="2"/>
      <c r="H1598" s="2"/>
    </row>
    <row r="1599">
      <c r="A1599" s="1" t="s">
        <v>928</v>
      </c>
      <c r="B1599" s="1"/>
      <c r="C1599" s="1">
        <v>0.0</v>
      </c>
      <c r="D1599" s="2"/>
      <c r="E1599" s="2"/>
      <c r="F1599" s="2"/>
      <c r="G1599" s="2"/>
      <c r="H1599" s="2"/>
    </row>
    <row r="1600">
      <c r="A1600" s="1" t="s">
        <v>929</v>
      </c>
      <c r="B1600" s="1"/>
      <c r="C1600" s="1">
        <v>0.0</v>
      </c>
      <c r="D1600" s="2"/>
      <c r="E1600" s="2"/>
      <c r="F1600" s="2"/>
      <c r="G1600" s="2"/>
      <c r="H1600" s="2"/>
    </row>
    <row r="1601">
      <c r="A1601" s="1" t="s">
        <v>930</v>
      </c>
      <c r="B1601" s="1"/>
      <c r="C1601" s="1">
        <v>20.0</v>
      </c>
      <c r="D1601" s="2"/>
      <c r="E1601" s="2"/>
      <c r="F1601" s="2"/>
      <c r="G1601" s="2"/>
      <c r="H1601" s="2"/>
    </row>
    <row r="1602">
      <c r="A1602" s="1" t="s">
        <v>931</v>
      </c>
      <c r="B1602" s="1"/>
      <c r="C1602" s="1">
        <v>0.0</v>
      </c>
      <c r="D1602" s="2"/>
      <c r="E1602" s="2"/>
      <c r="F1602" s="2"/>
      <c r="G1602" s="2"/>
      <c r="H1602" s="2"/>
    </row>
    <row r="1603">
      <c r="A1603" s="1" t="s">
        <v>932</v>
      </c>
      <c r="B1603" s="1"/>
      <c r="C1603" s="1">
        <v>0.0</v>
      </c>
      <c r="D1603" s="2"/>
      <c r="E1603" s="2"/>
      <c r="F1603" s="2"/>
      <c r="G1603" s="2"/>
      <c r="H1603" s="2"/>
    </row>
    <row r="1604">
      <c r="A1604" s="1" t="s">
        <v>933</v>
      </c>
      <c r="B1604" s="1"/>
      <c r="C1604" s="1">
        <v>69.0</v>
      </c>
      <c r="D1604" s="2"/>
      <c r="E1604" s="2"/>
      <c r="F1604" s="2"/>
      <c r="G1604" s="2"/>
      <c r="H1604" s="2"/>
    </row>
    <row r="1605">
      <c r="A1605" s="1" t="s">
        <v>864</v>
      </c>
      <c r="B1605" s="1"/>
      <c r="C1605" s="1">
        <v>24.0</v>
      </c>
      <c r="D1605" s="2"/>
      <c r="E1605" s="2"/>
      <c r="F1605" s="2"/>
      <c r="G1605" s="2"/>
      <c r="H1605" s="2"/>
    </row>
    <row r="1606">
      <c r="A1606" s="1" t="s">
        <v>865</v>
      </c>
      <c r="B1606" s="1"/>
      <c r="C1606" s="1">
        <v>0.0</v>
      </c>
      <c r="D1606" s="2"/>
      <c r="E1606" s="2"/>
      <c r="F1606" s="2"/>
      <c r="G1606" s="2"/>
      <c r="H1606" s="2"/>
    </row>
    <row r="1607">
      <c r="A1607" s="1" t="s">
        <v>866</v>
      </c>
      <c r="B1607" s="1"/>
      <c r="C1607" s="1">
        <v>0.0</v>
      </c>
      <c r="D1607" s="2"/>
      <c r="E1607" s="2"/>
      <c r="F1607" s="2"/>
      <c r="G1607" s="2"/>
      <c r="H1607" s="2"/>
    </row>
    <row r="1608">
      <c r="A1608" s="1" t="s">
        <v>867</v>
      </c>
      <c r="B1608" s="1"/>
      <c r="C1608" s="1">
        <v>0.0</v>
      </c>
      <c r="D1608" s="2"/>
      <c r="E1608" s="2"/>
      <c r="F1608" s="2"/>
      <c r="G1608" s="2"/>
      <c r="H1608" s="2"/>
    </row>
    <row r="1609">
      <c r="A1609" s="1" t="s">
        <v>868</v>
      </c>
      <c r="B1609" s="1"/>
      <c r="C1609" s="1">
        <v>0.0</v>
      </c>
      <c r="D1609" s="2"/>
      <c r="E1609" s="2"/>
      <c r="F1609" s="2"/>
      <c r="G1609" s="2"/>
      <c r="H1609" s="2"/>
    </row>
    <row r="1610">
      <c r="A1610" s="1" t="s">
        <v>869</v>
      </c>
      <c r="B1610" s="1"/>
      <c r="C1610" s="1">
        <v>70.0</v>
      </c>
      <c r="D1610" s="2"/>
      <c r="E1610" s="2"/>
      <c r="F1610" s="2"/>
      <c r="G1610" s="2"/>
      <c r="H1610" s="2"/>
    </row>
    <row r="1611">
      <c r="A1611" s="1" t="s">
        <v>870</v>
      </c>
      <c r="B1611" s="1"/>
      <c r="C1611" s="1">
        <v>0.0</v>
      </c>
      <c r="D1611" s="2"/>
      <c r="E1611" s="2"/>
      <c r="F1611" s="2"/>
      <c r="G1611" s="2"/>
      <c r="H1611" s="2"/>
    </row>
    <row r="1612">
      <c r="A1612" s="1" t="s">
        <v>871</v>
      </c>
      <c r="B1612" s="1"/>
      <c r="C1612" s="1">
        <v>0.0</v>
      </c>
      <c r="D1612" s="2"/>
      <c r="E1612" s="2"/>
      <c r="F1612" s="2"/>
      <c r="G1612" s="2"/>
      <c r="H1612" s="2"/>
    </row>
    <row r="1613">
      <c r="A1613" s="1" t="s">
        <v>872</v>
      </c>
      <c r="B1613" s="1"/>
      <c r="C1613" s="1">
        <v>0.0</v>
      </c>
      <c r="D1613" s="2"/>
      <c r="E1613" s="2"/>
      <c r="F1613" s="2"/>
      <c r="G1613" s="2"/>
      <c r="H1613" s="2"/>
    </row>
    <row r="1614">
      <c r="A1614" s="1" t="s">
        <v>873</v>
      </c>
      <c r="B1614" s="1"/>
      <c r="C1614" s="1">
        <v>33.0</v>
      </c>
      <c r="D1614" s="2"/>
      <c r="E1614" s="2"/>
      <c r="F1614" s="2"/>
      <c r="G1614" s="2"/>
      <c r="H1614" s="2"/>
    </row>
    <row r="1615">
      <c r="A1615" s="1" t="s">
        <v>874</v>
      </c>
      <c r="B1615" s="1"/>
      <c r="C1615" s="1">
        <v>26.0</v>
      </c>
      <c r="D1615" s="2"/>
      <c r="E1615" s="2"/>
      <c r="F1615" s="2"/>
      <c r="G1615" s="2"/>
      <c r="H1615" s="2"/>
    </row>
    <row r="1616">
      <c r="A1616" s="1" t="s">
        <v>875</v>
      </c>
      <c r="B1616" s="1"/>
      <c r="C1616" s="1">
        <v>35.0</v>
      </c>
      <c r="D1616" s="2"/>
      <c r="E1616" s="2"/>
      <c r="F1616" s="2"/>
      <c r="G1616" s="2"/>
      <c r="H1616" s="2"/>
    </row>
    <row r="1617">
      <c r="A1617" s="1" t="s">
        <v>876</v>
      </c>
      <c r="B1617" s="1"/>
      <c r="C1617" s="1">
        <v>86.0</v>
      </c>
      <c r="D1617" s="2"/>
      <c r="E1617" s="2"/>
      <c r="F1617" s="2"/>
      <c r="G1617" s="2"/>
      <c r="H1617" s="2"/>
    </row>
    <row r="1618">
      <c r="A1618" s="1" t="s">
        <v>877</v>
      </c>
      <c r="B1618" s="1"/>
      <c r="C1618" s="1">
        <v>0.0</v>
      </c>
      <c r="D1618" s="2"/>
      <c r="E1618" s="2"/>
      <c r="F1618" s="2"/>
      <c r="G1618" s="2"/>
      <c r="H1618" s="2"/>
    </row>
    <row r="1619">
      <c r="A1619" s="1" t="s">
        <v>878</v>
      </c>
      <c r="B1619" s="1"/>
      <c r="C1619" s="1">
        <v>0.0</v>
      </c>
      <c r="D1619" s="2"/>
      <c r="E1619" s="2"/>
      <c r="F1619" s="2"/>
      <c r="G1619" s="2"/>
      <c r="H1619" s="2"/>
    </row>
    <row r="1620">
      <c r="A1620" s="1" t="s">
        <v>879</v>
      </c>
      <c r="B1620" s="1"/>
      <c r="C1620" s="1">
        <v>0.0</v>
      </c>
      <c r="D1620" s="2"/>
      <c r="E1620" s="2"/>
      <c r="F1620" s="2"/>
      <c r="G1620" s="2"/>
      <c r="H1620" s="2"/>
    </row>
    <row r="1621">
      <c r="A1621" s="1" t="s">
        <v>880</v>
      </c>
      <c r="B1621" s="1"/>
      <c r="C1621" s="1">
        <v>0.0</v>
      </c>
      <c r="D1621" s="2"/>
      <c r="E1621" s="2"/>
      <c r="F1621" s="2"/>
      <c r="G1621" s="2"/>
      <c r="H1621" s="2"/>
    </row>
    <row r="1622">
      <c r="A1622" s="1" t="s">
        <v>881</v>
      </c>
      <c r="B1622" s="1"/>
      <c r="C1622" s="1">
        <v>0.0</v>
      </c>
      <c r="D1622" s="2"/>
      <c r="E1622" s="2"/>
      <c r="F1622" s="2"/>
      <c r="G1622" s="2"/>
      <c r="H1622" s="2"/>
    </row>
    <row r="1623">
      <c r="A1623" s="1" t="s">
        <v>882</v>
      </c>
      <c r="B1623" s="1"/>
      <c r="C1623" s="1">
        <v>63.0</v>
      </c>
      <c r="D1623" s="2"/>
      <c r="E1623" s="2"/>
      <c r="F1623" s="2"/>
      <c r="G1623" s="2"/>
      <c r="H1623" s="2"/>
    </row>
    <row r="1624">
      <c r="A1624" s="1" t="s">
        <v>883</v>
      </c>
      <c r="B1624" s="1"/>
      <c r="C1624" s="1">
        <v>59.0</v>
      </c>
      <c r="D1624" s="2"/>
      <c r="E1624" s="2"/>
      <c r="F1624" s="2"/>
      <c r="G1624" s="2"/>
      <c r="H1624" s="2"/>
    </row>
    <row r="1625">
      <c r="A1625" s="1" t="s">
        <v>884</v>
      </c>
      <c r="B1625" s="1"/>
      <c r="C1625" s="1">
        <v>20.0</v>
      </c>
      <c r="D1625" s="2"/>
      <c r="E1625" s="2"/>
      <c r="F1625" s="2"/>
      <c r="G1625" s="2"/>
      <c r="H1625" s="2"/>
    </row>
    <row r="1626">
      <c r="A1626" s="1" t="s">
        <v>885</v>
      </c>
      <c r="B1626" s="1"/>
      <c r="C1626" s="1">
        <v>32.0</v>
      </c>
      <c r="D1626" s="2"/>
      <c r="E1626" s="2"/>
      <c r="F1626" s="2"/>
      <c r="G1626" s="2"/>
      <c r="H1626" s="2"/>
    </row>
    <row r="1627">
      <c r="A1627" s="1" t="s">
        <v>886</v>
      </c>
      <c r="B1627" s="1"/>
      <c r="C1627" s="1">
        <v>0.0</v>
      </c>
      <c r="D1627" s="2"/>
      <c r="E1627" s="2"/>
      <c r="F1627" s="2"/>
      <c r="G1627" s="2"/>
      <c r="H1627" s="2"/>
    </row>
    <row r="1628">
      <c r="A1628" s="1" t="s">
        <v>887</v>
      </c>
      <c r="B1628" s="1"/>
      <c r="C1628" s="1">
        <v>39.0</v>
      </c>
      <c r="D1628" s="2"/>
      <c r="E1628" s="2"/>
      <c r="F1628" s="2"/>
      <c r="G1628" s="2"/>
      <c r="H1628" s="2"/>
    </row>
    <row r="1629">
      <c r="A1629" s="1" t="s">
        <v>888</v>
      </c>
      <c r="B1629" s="1"/>
      <c r="C1629" s="1">
        <v>50.0</v>
      </c>
      <c r="D1629" s="2"/>
      <c r="E1629" s="2"/>
      <c r="F1629" s="2"/>
      <c r="G1629" s="2"/>
      <c r="H1629" s="2"/>
    </row>
    <row r="1630">
      <c r="A1630" s="1" t="s">
        <v>889</v>
      </c>
      <c r="B1630" s="1"/>
      <c r="C1630" s="1">
        <v>80.0</v>
      </c>
      <c r="D1630" s="2"/>
      <c r="E1630" s="2"/>
      <c r="F1630" s="2"/>
      <c r="G1630" s="2"/>
      <c r="H1630" s="2"/>
    </row>
    <row r="1631">
      <c r="A1631" s="1" t="s">
        <v>890</v>
      </c>
      <c r="B1631" s="1"/>
      <c r="C1631" s="1">
        <v>81.0</v>
      </c>
      <c r="D1631" s="2"/>
      <c r="E1631" s="2"/>
      <c r="F1631" s="2"/>
      <c r="G1631" s="2"/>
      <c r="H1631" s="2"/>
    </row>
    <row r="1632">
      <c r="A1632" s="1" t="s">
        <v>891</v>
      </c>
      <c r="B1632" s="1"/>
      <c r="C1632" s="1">
        <v>14.0</v>
      </c>
      <c r="D1632" s="2"/>
      <c r="E1632" s="2"/>
      <c r="F1632" s="2"/>
      <c r="G1632" s="2"/>
      <c r="H1632" s="2"/>
    </row>
    <row r="1633">
      <c r="A1633" s="1" t="s">
        <v>892</v>
      </c>
      <c r="B1633" s="1"/>
      <c r="C1633" s="1">
        <v>0.0</v>
      </c>
      <c r="D1633" s="2"/>
      <c r="E1633" s="2"/>
      <c r="F1633" s="2"/>
      <c r="G1633" s="2"/>
      <c r="H1633" s="2"/>
    </row>
    <row r="1634">
      <c r="A1634" s="1" t="s">
        <v>893</v>
      </c>
      <c r="B1634" s="1"/>
      <c r="C1634" s="1">
        <v>36.0</v>
      </c>
      <c r="D1634" s="2"/>
      <c r="E1634" s="2"/>
      <c r="F1634" s="2"/>
      <c r="G1634" s="2"/>
      <c r="H1634" s="2"/>
    </row>
    <row r="1635">
      <c r="A1635" s="1" t="s">
        <v>894</v>
      </c>
      <c r="B1635" s="1"/>
      <c r="C1635" s="1">
        <v>6.0</v>
      </c>
      <c r="D1635" s="2"/>
      <c r="E1635" s="2"/>
      <c r="F1635" s="2"/>
      <c r="G1635" s="2"/>
      <c r="H1635" s="2"/>
    </row>
    <row r="1636">
      <c r="A1636" s="1" t="s">
        <v>895</v>
      </c>
      <c r="B1636" s="1"/>
      <c r="C1636" s="1">
        <v>1.0</v>
      </c>
      <c r="D1636" s="2"/>
      <c r="E1636" s="2"/>
      <c r="F1636" s="2"/>
      <c r="G1636" s="2"/>
      <c r="H1636" s="2"/>
    </row>
    <row r="1637">
      <c r="A1637" s="1" t="s">
        <v>896</v>
      </c>
      <c r="B1637" s="1"/>
      <c r="C1637" s="1">
        <v>36.0</v>
      </c>
      <c r="D1637" s="2"/>
      <c r="E1637" s="2"/>
      <c r="F1637" s="2"/>
      <c r="G1637" s="2"/>
      <c r="H1637" s="2"/>
    </row>
    <row r="1638">
      <c r="A1638" s="1" t="s">
        <v>897</v>
      </c>
      <c r="B1638" s="1"/>
      <c r="C1638" s="1">
        <v>0.0</v>
      </c>
      <c r="D1638" s="2"/>
      <c r="E1638" s="2"/>
      <c r="F1638" s="2"/>
      <c r="G1638" s="2"/>
      <c r="H1638" s="2"/>
    </row>
    <row r="1639">
      <c r="A1639" s="1" t="s">
        <v>898</v>
      </c>
      <c r="B1639" s="1"/>
      <c r="C1639" s="1">
        <v>86.0</v>
      </c>
      <c r="D1639" s="2"/>
      <c r="E1639" s="2"/>
      <c r="F1639" s="2"/>
      <c r="G1639" s="2"/>
      <c r="H1639" s="2"/>
    </row>
    <row r="1640">
      <c r="A1640" s="1" t="s">
        <v>899</v>
      </c>
      <c r="B1640" s="1"/>
      <c r="C1640" s="1">
        <v>38.0</v>
      </c>
      <c r="D1640" s="2"/>
      <c r="E1640" s="2"/>
      <c r="F1640" s="2"/>
      <c r="G1640" s="2"/>
      <c r="H1640" s="2"/>
    </row>
    <row r="1641">
      <c r="A1641" s="1" t="s">
        <v>900</v>
      </c>
      <c r="B1641" s="1"/>
      <c r="C1641" s="1">
        <v>79.0</v>
      </c>
      <c r="D1641" s="2"/>
      <c r="E1641" s="2"/>
      <c r="F1641" s="2"/>
      <c r="G1641" s="2"/>
      <c r="H1641" s="2"/>
    </row>
    <row r="1642">
      <c r="A1642" s="1" t="s">
        <v>901</v>
      </c>
      <c r="B1642" s="1"/>
      <c r="C1642" s="1">
        <v>0.0</v>
      </c>
      <c r="D1642" s="2"/>
      <c r="E1642" s="2"/>
      <c r="F1642" s="2"/>
      <c r="G1642" s="2"/>
      <c r="H1642" s="2"/>
    </row>
    <row r="1643">
      <c r="A1643" s="1" t="s">
        <v>902</v>
      </c>
      <c r="B1643" s="1"/>
      <c r="C1643" s="1">
        <v>0.0</v>
      </c>
      <c r="D1643" s="2"/>
      <c r="E1643" s="2"/>
      <c r="F1643" s="2"/>
      <c r="G1643" s="2"/>
      <c r="H1643" s="2"/>
    </row>
    <row r="1644">
      <c r="A1644" s="1" t="s">
        <v>903</v>
      </c>
      <c r="B1644" s="1"/>
      <c r="C1644" s="1">
        <v>22.0</v>
      </c>
      <c r="D1644" s="2"/>
      <c r="E1644" s="2"/>
      <c r="F1644" s="2"/>
      <c r="G1644" s="2"/>
      <c r="H1644" s="2"/>
    </row>
    <row r="1645">
      <c r="A1645" s="1" t="s">
        <v>904</v>
      </c>
      <c r="B1645" s="1"/>
      <c r="C1645" s="1">
        <v>0.0</v>
      </c>
      <c r="D1645" s="2"/>
      <c r="E1645" s="2"/>
      <c r="F1645" s="2"/>
      <c r="G1645" s="2"/>
      <c r="H1645" s="2"/>
    </row>
    <row r="1646">
      <c r="A1646" s="1" t="s">
        <v>905</v>
      </c>
      <c r="B1646" s="1"/>
      <c r="C1646" s="1">
        <v>0.0</v>
      </c>
      <c r="D1646" s="2"/>
      <c r="E1646" s="2"/>
      <c r="F1646" s="2"/>
      <c r="G1646" s="2"/>
      <c r="H1646" s="2"/>
    </row>
    <row r="1647">
      <c r="A1647" s="1" t="s">
        <v>906</v>
      </c>
      <c r="B1647" s="1"/>
      <c r="C1647" s="1">
        <v>72.0</v>
      </c>
      <c r="D1647" s="2"/>
      <c r="E1647" s="2"/>
      <c r="F1647" s="2"/>
      <c r="G1647" s="2"/>
      <c r="H1647" s="2"/>
    </row>
    <row r="1648">
      <c r="A1648" s="1" t="s">
        <v>907</v>
      </c>
      <c r="B1648" s="1"/>
      <c r="C1648" s="1">
        <v>0.0</v>
      </c>
      <c r="D1648" s="2"/>
      <c r="E1648" s="2"/>
      <c r="F1648" s="2"/>
      <c r="G1648" s="2"/>
      <c r="H1648" s="2"/>
    </row>
    <row r="1649">
      <c r="A1649" s="1" t="s">
        <v>908</v>
      </c>
      <c r="B1649" s="1"/>
      <c r="C1649" s="1">
        <v>0.0</v>
      </c>
      <c r="D1649" s="2"/>
      <c r="E1649" s="2"/>
      <c r="F1649" s="2"/>
      <c r="G1649" s="2"/>
      <c r="H1649" s="2"/>
    </row>
    <row r="1650">
      <c r="A1650" s="1" t="s">
        <v>909</v>
      </c>
      <c r="B1650" s="1"/>
      <c r="C1650" s="1">
        <v>22.0</v>
      </c>
      <c r="D1650" s="2"/>
      <c r="E1650" s="2"/>
      <c r="F1650" s="2"/>
      <c r="G1650" s="2"/>
      <c r="H1650" s="2"/>
    </row>
    <row r="1651">
      <c r="A1651" s="1" t="s">
        <v>910</v>
      </c>
      <c r="B1651" s="1"/>
      <c r="C1651" s="1">
        <v>0.0</v>
      </c>
      <c r="D1651" s="2"/>
      <c r="E1651" s="2"/>
      <c r="F1651" s="2"/>
      <c r="G1651" s="2"/>
      <c r="H1651" s="2"/>
    </row>
    <row r="1652">
      <c r="A1652" s="1" t="s">
        <v>911</v>
      </c>
      <c r="B1652" s="1"/>
      <c r="C1652" s="1">
        <v>0.0</v>
      </c>
      <c r="D1652" s="2"/>
      <c r="E1652" s="2"/>
      <c r="F1652" s="2"/>
      <c r="G1652" s="2"/>
      <c r="H1652" s="2"/>
    </row>
    <row r="1653">
      <c r="A1653" s="1" t="s">
        <v>912</v>
      </c>
      <c r="B1653" s="1"/>
      <c r="C1653" s="1">
        <v>60.0</v>
      </c>
      <c r="D1653" s="2"/>
      <c r="E1653" s="2"/>
      <c r="F1653" s="2"/>
      <c r="G1653" s="2"/>
      <c r="H1653" s="2"/>
    </row>
    <row r="1654">
      <c r="A1654" s="1" t="s">
        <v>913</v>
      </c>
      <c r="B1654" s="1"/>
      <c r="C1654" s="1">
        <v>18.0</v>
      </c>
      <c r="D1654" s="2"/>
      <c r="E1654" s="2"/>
      <c r="F1654" s="2"/>
      <c r="G1654" s="2"/>
      <c r="H1654" s="2"/>
    </row>
    <row r="1655">
      <c r="A1655" s="1" t="s">
        <v>914</v>
      </c>
      <c r="B1655" s="1"/>
      <c r="C1655" s="1">
        <v>94.0</v>
      </c>
      <c r="D1655" s="2"/>
      <c r="E1655" s="2"/>
      <c r="F1655" s="2"/>
      <c r="G1655" s="2"/>
      <c r="H1655" s="2"/>
    </row>
    <row r="1656">
      <c r="A1656" s="1" t="s">
        <v>915</v>
      </c>
      <c r="B1656" s="1"/>
      <c r="C1656" s="1">
        <v>14.0</v>
      </c>
      <c r="D1656" s="2"/>
      <c r="E1656" s="2"/>
      <c r="F1656" s="2"/>
      <c r="G1656" s="2"/>
      <c r="H1656" s="2"/>
    </row>
    <row r="1657">
      <c r="A1657" s="1" t="s">
        <v>916</v>
      </c>
      <c r="B1657" s="1"/>
      <c r="C1657" s="1">
        <v>0.0</v>
      </c>
      <c r="D1657" s="2"/>
      <c r="E1657" s="2"/>
      <c r="F1657" s="2"/>
      <c r="G1657" s="2"/>
      <c r="H1657" s="2"/>
    </row>
    <row r="1658">
      <c r="A1658" s="1" t="s">
        <v>917</v>
      </c>
      <c r="B1658" s="1"/>
      <c r="C1658" s="1">
        <v>0.0</v>
      </c>
      <c r="D1658" s="2"/>
      <c r="E1658" s="2"/>
      <c r="F1658" s="2"/>
      <c r="G1658" s="2"/>
      <c r="H1658" s="2"/>
    </row>
    <row r="1659">
      <c r="A1659" s="1" t="s">
        <v>918</v>
      </c>
      <c r="B1659" s="1"/>
      <c r="C1659" s="1">
        <v>42.0</v>
      </c>
      <c r="D1659" s="2"/>
      <c r="E1659" s="2"/>
      <c r="F1659" s="2"/>
      <c r="G1659" s="2"/>
      <c r="H1659" s="2"/>
    </row>
    <row r="1660">
      <c r="A1660" s="1" t="s">
        <v>919</v>
      </c>
      <c r="B1660" s="1"/>
      <c r="C1660" s="1">
        <v>0.0</v>
      </c>
      <c r="D1660" s="2"/>
      <c r="E1660" s="2"/>
      <c r="F1660" s="2"/>
      <c r="G1660" s="2"/>
      <c r="H1660" s="2"/>
    </row>
    <row r="1661">
      <c r="A1661" s="1" t="s">
        <v>920</v>
      </c>
      <c r="B1661" s="1"/>
      <c r="C1661" s="1">
        <v>78.0</v>
      </c>
      <c r="D1661" s="2"/>
      <c r="E1661" s="2"/>
      <c r="F1661" s="2"/>
      <c r="G1661" s="2"/>
      <c r="H1661" s="2"/>
    </row>
    <row r="1662">
      <c r="A1662" s="1" t="s">
        <v>921</v>
      </c>
      <c r="B1662" s="1"/>
      <c r="C1662" s="1">
        <v>40.0</v>
      </c>
      <c r="D1662" s="2"/>
      <c r="E1662" s="2"/>
      <c r="F1662" s="2"/>
      <c r="G1662" s="2"/>
      <c r="H1662" s="2"/>
    </row>
    <row r="1663">
      <c r="A1663" s="1" t="s">
        <v>922</v>
      </c>
      <c r="B1663" s="1"/>
      <c r="C1663" s="1">
        <v>3.0</v>
      </c>
      <c r="D1663" s="2"/>
      <c r="E1663" s="2"/>
      <c r="F1663" s="2"/>
      <c r="G1663" s="2"/>
      <c r="H1663" s="2"/>
    </row>
    <row r="1664">
      <c r="A1664" s="1" t="s">
        <v>923</v>
      </c>
      <c r="B1664" s="1"/>
      <c r="C1664" s="1">
        <v>26.0</v>
      </c>
      <c r="D1664" s="2"/>
      <c r="E1664" s="2"/>
      <c r="F1664" s="2"/>
      <c r="G1664" s="2"/>
      <c r="H1664" s="2"/>
    </row>
    <row r="1665">
      <c r="A1665" s="1" t="s">
        <v>924</v>
      </c>
      <c r="B1665" s="1"/>
      <c r="C1665" s="1">
        <v>48.0</v>
      </c>
      <c r="D1665" s="2"/>
      <c r="E1665" s="2"/>
      <c r="F1665" s="2"/>
      <c r="G1665" s="2"/>
      <c r="H1665" s="2"/>
    </row>
    <row r="1666">
      <c r="A1666" s="1" t="s">
        <v>925</v>
      </c>
      <c r="B1666" s="1"/>
      <c r="C1666" s="1" t="s">
        <v>926</v>
      </c>
      <c r="D1666" s="1">
        <v>72.0</v>
      </c>
      <c r="E1666" s="2"/>
      <c r="F1666" s="2"/>
      <c r="G1666" s="2"/>
      <c r="H1666" s="2"/>
    </row>
    <row r="1667">
      <c r="A1667" s="1" t="s">
        <v>927</v>
      </c>
      <c r="B1667" s="1"/>
      <c r="C1667" s="1">
        <v>1.0</v>
      </c>
      <c r="D1667" s="2"/>
      <c r="E1667" s="2"/>
      <c r="F1667" s="2"/>
      <c r="G1667" s="2"/>
      <c r="H1667" s="2"/>
    </row>
    <row r="1668">
      <c r="A1668" s="1" t="s">
        <v>928</v>
      </c>
      <c r="B1668" s="1"/>
      <c r="C1668" s="1">
        <v>0.0</v>
      </c>
      <c r="D1668" s="2"/>
      <c r="E1668" s="2"/>
      <c r="F1668" s="2"/>
      <c r="G1668" s="2"/>
      <c r="H1668" s="2"/>
    </row>
    <row r="1669">
      <c r="A1669" s="1" t="s">
        <v>929</v>
      </c>
      <c r="B1669" s="1"/>
      <c r="C1669" s="1">
        <v>0.0</v>
      </c>
      <c r="D1669" s="2"/>
      <c r="E1669" s="2"/>
      <c r="F1669" s="2"/>
      <c r="G1669" s="2"/>
      <c r="H1669" s="2"/>
    </row>
    <row r="1670">
      <c r="A1670" s="1" t="s">
        <v>930</v>
      </c>
      <c r="B1670" s="1"/>
      <c r="C1670" s="1">
        <v>20.0</v>
      </c>
      <c r="D1670" s="2"/>
      <c r="E1670" s="2"/>
      <c r="F1670" s="2"/>
      <c r="G1670" s="2"/>
      <c r="H1670" s="2"/>
    </row>
    <row r="1671">
      <c r="A1671" s="1" t="s">
        <v>931</v>
      </c>
      <c r="B1671" s="1"/>
      <c r="C1671" s="1">
        <v>0.0</v>
      </c>
      <c r="D1671" s="2"/>
      <c r="E1671" s="2"/>
      <c r="F1671" s="2"/>
      <c r="G1671" s="2"/>
      <c r="H1671" s="2"/>
    </row>
    <row r="1672">
      <c r="A1672" s="1" t="s">
        <v>932</v>
      </c>
      <c r="B1672" s="1"/>
      <c r="C1672" s="1">
        <v>0.0</v>
      </c>
      <c r="D1672" s="2"/>
      <c r="E1672" s="2"/>
      <c r="F1672" s="2"/>
      <c r="G1672" s="2"/>
      <c r="H1672" s="2"/>
    </row>
    <row r="1673">
      <c r="A1673" s="1" t="s">
        <v>933</v>
      </c>
      <c r="B1673" s="1"/>
      <c r="C1673" s="1">
        <v>69.0</v>
      </c>
      <c r="D1673" s="2"/>
      <c r="E1673" s="2"/>
      <c r="F1673" s="2"/>
      <c r="G1673" s="2"/>
      <c r="H1673" s="2"/>
    </row>
    <row r="1674">
      <c r="A1674" s="1" t="s">
        <v>934</v>
      </c>
      <c r="B1674" s="1"/>
      <c r="C1674" s="1">
        <v>23.0</v>
      </c>
      <c r="D1674" s="2"/>
      <c r="E1674" s="2"/>
      <c r="F1674" s="2"/>
      <c r="G1674" s="2"/>
      <c r="H1674" s="2"/>
    </row>
    <row r="1675">
      <c r="A1675" s="1" t="s">
        <v>935</v>
      </c>
      <c r="B1675" s="1"/>
      <c r="C1675" s="1">
        <v>96.0</v>
      </c>
      <c r="D1675" s="2"/>
      <c r="E1675" s="2"/>
      <c r="F1675" s="2"/>
      <c r="G1675" s="2"/>
      <c r="H1675" s="2"/>
    </row>
    <row r="1676">
      <c r="A1676" s="1" t="s">
        <v>936</v>
      </c>
      <c r="B1676" s="1"/>
      <c r="C1676" s="1">
        <v>93.0</v>
      </c>
      <c r="D1676" s="2"/>
      <c r="E1676" s="2"/>
      <c r="F1676" s="2"/>
      <c r="G1676" s="2"/>
      <c r="H1676" s="2"/>
    </row>
    <row r="1677">
      <c r="A1677" s="1" t="s">
        <v>937</v>
      </c>
      <c r="B1677" s="1"/>
      <c r="C1677" s="1">
        <v>40.0</v>
      </c>
      <c r="D1677" s="2"/>
      <c r="E1677" s="2"/>
      <c r="F1677" s="2"/>
      <c r="G1677" s="2"/>
      <c r="H1677" s="2"/>
    </row>
    <row r="1678">
      <c r="A1678" s="1" t="s">
        <v>938</v>
      </c>
      <c r="B1678" s="1"/>
      <c r="C1678" s="1">
        <v>39.0</v>
      </c>
      <c r="D1678" s="2"/>
      <c r="E1678" s="2"/>
      <c r="F1678" s="2"/>
      <c r="G1678" s="2"/>
      <c r="H1678" s="2"/>
    </row>
    <row r="1679">
      <c r="A1679" s="1" t="s">
        <v>939</v>
      </c>
      <c r="B1679" s="1"/>
      <c r="C1679" s="1">
        <v>0.0</v>
      </c>
      <c r="D1679" s="2"/>
      <c r="E1679" s="2"/>
      <c r="F1679" s="2"/>
      <c r="G1679" s="2"/>
      <c r="H1679" s="2"/>
    </row>
    <row r="1680">
      <c r="A1680" s="1" t="s">
        <v>940</v>
      </c>
      <c r="B1680" s="1"/>
      <c r="C1680" s="1">
        <v>0.0</v>
      </c>
      <c r="D1680" s="2"/>
      <c r="E1680" s="2"/>
      <c r="F1680" s="2"/>
      <c r="G1680" s="2"/>
      <c r="H1680" s="2"/>
    </row>
    <row r="1681">
      <c r="A1681" s="1" t="s">
        <v>941</v>
      </c>
      <c r="B1681" s="1"/>
      <c r="C1681" s="1">
        <v>0.0</v>
      </c>
      <c r="D1681" s="2"/>
      <c r="E1681" s="2"/>
      <c r="F1681" s="2"/>
      <c r="G1681" s="2"/>
      <c r="H1681" s="2"/>
    </row>
    <row r="1682">
      <c r="A1682" s="1" t="s">
        <v>942</v>
      </c>
      <c r="B1682" s="1"/>
      <c r="C1682" s="1">
        <v>0.0</v>
      </c>
      <c r="D1682" s="2"/>
      <c r="E1682" s="2"/>
      <c r="F1682" s="2"/>
      <c r="G1682" s="2"/>
      <c r="H1682" s="2"/>
    </row>
    <row r="1683">
      <c r="A1683" s="1" t="s">
        <v>943</v>
      </c>
      <c r="B1683" s="1"/>
      <c r="C1683" s="1">
        <v>78.0</v>
      </c>
      <c r="D1683" s="2"/>
      <c r="E1683" s="2"/>
      <c r="F1683" s="2"/>
      <c r="G1683" s="2"/>
      <c r="H1683" s="2"/>
    </row>
    <row r="1684">
      <c r="A1684" s="1" t="s">
        <v>944</v>
      </c>
      <c r="B1684" s="1"/>
      <c r="C1684" s="1">
        <v>0.0</v>
      </c>
      <c r="D1684" s="2"/>
      <c r="E1684" s="2"/>
      <c r="F1684" s="2"/>
      <c r="G1684" s="2"/>
      <c r="H1684" s="2"/>
    </row>
    <row r="1685">
      <c r="A1685" s="1" t="s">
        <v>945</v>
      </c>
      <c r="B1685" s="1"/>
      <c r="C1685" s="1">
        <v>0.0</v>
      </c>
      <c r="D1685" s="2"/>
      <c r="E1685" s="2"/>
      <c r="F1685" s="2"/>
      <c r="G1685" s="2"/>
      <c r="H1685" s="2"/>
    </row>
    <row r="1686">
      <c r="A1686" s="1" t="s">
        <v>946</v>
      </c>
      <c r="B1686" s="1"/>
      <c r="C1686" s="1">
        <v>0.0</v>
      </c>
      <c r="D1686" s="2"/>
      <c r="E1686" s="2"/>
      <c r="F1686" s="2"/>
      <c r="G1686" s="2"/>
      <c r="H1686" s="2"/>
    </row>
    <row r="1687">
      <c r="A1687" s="1" t="s">
        <v>947</v>
      </c>
      <c r="B1687" s="1"/>
      <c r="C1687" s="1">
        <v>0.0</v>
      </c>
      <c r="D1687" s="2"/>
      <c r="E1687" s="2"/>
      <c r="F1687" s="2"/>
      <c r="G1687" s="2"/>
      <c r="H1687" s="2"/>
    </row>
    <row r="1688">
      <c r="A1688" s="1" t="s">
        <v>948</v>
      </c>
      <c r="B1688" s="1"/>
      <c r="C1688" s="1">
        <v>0.0</v>
      </c>
      <c r="D1688" s="2"/>
      <c r="E1688" s="2"/>
      <c r="F1688" s="2"/>
      <c r="G1688" s="2"/>
      <c r="H1688" s="2"/>
    </row>
    <row r="1689">
      <c r="A1689" s="1" t="s">
        <v>949</v>
      </c>
      <c r="B1689" s="1"/>
      <c r="C1689" s="1">
        <v>0.0</v>
      </c>
      <c r="D1689" s="2"/>
      <c r="E1689" s="2"/>
      <c r="F1689" s="2"/>
      <c r="G1689" s="2"/>
      <c r="H1689" s="2"/>
    </row>
    <row r="1690">
      <c r="A1690" s="1" t="s">
        <v>950</v>
      </c>
      <c r="B1690" s="1"/>
      <c r="C1690" s="1">
        <v>92.0</v>
      </c>
      <c r="D1690" s="2"/>
      <c r="E1690" s="2"/>
      <c r="F1690" s="2"/>
      <c r="G1690" s="2"/>
      <c r="H1690" s="2"/>
    </row>
    <row r="1691">
      <c r="A1691" s="1" t="s">
        <v>951</v>
      </c>
      <c r="B1691" s="1"/>
      <c r="C1691" s="1">
        <v>0.0</v>
      </c>
      <c r="D1691" s="2"/>
      <c r="E1691" s="2"/>
      <c r="F1691" s="2"/>
      <c r="G1691" s="2"/>
      <c r="H1691" s="2"/>
    </row>
    <row r="1692">
      <c r="A1692" s="1" t="s">
        <v>952</v>
      </c>
      <c r="B1692" s="1"/>
      <c r="C1692" s="1">
        <v>80.0</v>
      </c>
      <c r="D1692" s="2"/>
      <c r="E1692" s="2"/>
      <c r="F1692" s="2"/>
      <c r="G1692" s="2"/>
      <c r="H1692" s="2"/>
    </row>
    <row r="1693">
      <c r="A1693" s="1" t="s">
        <v>953</v>
      </c>
      <c r="B1693" s="1"/>
      <c r="C1693" s="1">
        <v>0.0</v>
      </c>
      <c r="D1693" s="2"/>
      <c r="E1693" s="2"/>
      <c r="F1693" s="2"/>
      <c r="G1693" s="2"/>
      <c r="H1693" s="2"/>
    </row>
    <row r="1694">
      <c r="A1694" s="1" t="s">
        <v>954</v>
      </c>
      <c r="B1694" s="1"/>
      <c r="C1694" s="1">
        <v>0.0</v>
      </c>
      <c r="D1694" s="2"/>
      <c r="E1694" s="2"/>
      <c r="F1694" s="2"/>
      <c r="G1694" s="2"/>
      <c r="H1694" s="2"/>
    </row>
    <row r="1695">
      <c r="A1695" s="1" t="s">
        <v>955</v>
      </c>
      <c r="B1695" s="1"/>
      <c r="C1695" s="1">
        <v>79.0</v>
      </c>
      <c r="D1695" s="2"/>
      <c r="E1695" s="2"/>
      <c r="F1695" s="2"/>
      <c r="G1695" s="2"/>
      <c r="H1695" s="2"/>
    </row>
    <row r="1696">
      <c r="A1696" s="1" t="s">
        <v>956</v>
      </c>
      <c r="B1696" s="1"/>
      <c r="C1696" s="1">
        <v>0.0</v>
      </c>
      <c r="D1696" s="2"/>
      <c r="E1696" s="2"/>
      <c r="F1696" s="2"/>
      <c r="G1696" s="2"/>
      <c r="H1696" s="2"/>
    </row>
    <row r="1697">
      <c r="A1697" s="1" t="s">
        <v>957</v>
      </c>
      <c r="B1697" s="1"/>
      <c r="C1697" s="1">
        <v>0.0</v>
      </c>
      <c r="D1697" s="2"/>
      <c r="E1697" s="2"/>
      <c r="F1697" s="2"/>
      <c r="G1697" s="2"/>
      <c r="H1697" s="2"/>
    </row>
    <row r="1698">
      <c r="A1698" s="1" t="s">
        <v>958</v>
      </c>
      <c r="B1698" s="1"/>
      <c r="C1698" s="1">
        <v>0.0</v>
      </c>
      <c r="D1698" s="2"/>
      <c r="E1698" s="2"/>
      <c r="F1698" s="2"/>
      <c r="G1698" s="2"/>
      <c r="H1698" s="2"/>
    </row>
    <row r="1699">
      <c r="A1699" s="1" t="s">
        <v>959</v>
      </c>
      <c r="B1699" s="1"/>
      <c r="C1699" s="1">
        <v>0.0</v>
      </c>
      <c r="D1699" s="2"/>
      <c r="E1699" s="2"/>
      <c r="F1699" s="2"/>
      <c r="G1699" s="2"/>
      <c r="H1699" s="2"/>
    </row>
    <row r="1700">
      <c r="A1700" s="1" t="s">
        <v>960</v>
      </c>
      <c r="B1700" s="1"/>
      <c r="C1700" s="1">
        <v>0.0</v>
      </c>
      <c r="D1700" s="2"/>
      <c r="E1700" s="2"/>
      <c r="F1700" s="2"/>
      <c r="G1700" s="2"/>
      <c r="H1700" s="2"/>
    </row>
    <row r="1701">
      <c r="A1701" s="1" t="s">
        <v>961</v>
      </c>
      <c r="B1701" s="1"/>
      <c r="C1701" s="1">
        <v>0.0</v>
      </c>
      <c r="D1701" s="2"/>
      <c r="E1701" s="2"/>
      <c r="F1701" s="2"/>
      <c r="G1701" s="2"/>
      <c r="H1701" s="2"/>
    </row>
    <row r="1702">
      <c r="A1702" s="1" t="s">
        <v>962</v>
      </c>
      <c r="B1702" s="1"/>
      <c r="C1702" s="1">
        <v>0.0</v>
      </c>
      <c r="D1702" s="2"/>
      <c r="E1702" s="2"/>
      <c r="F1702" s="2"/>
      <c r="G1702" s="2"/>
      <c r="H1702" s="2"/>
    </row>
    <row r="1703">
      <c r="A1703" s="1" t="s">
        <v>963</v>
      </c>
      <c r="B1703" s="1"/>
      <c r="C1703" s="1">
        <v>32.0</v>
      </c>
      <c r="D1703" s="2"/>
      <c r="E1703" s="2"/>
      <c r="F1703" s="2"/>
      <c r="G1703" s="2"/>
      <c r="H1703" s="2"/>
    </row>
    <row r="1704">
      <c r="A1704" s="1" t="s">
        <v>964</v>
      </c>
      <c r="B1704" s="1"/>
      <c r="C1704" s="1">
        <v>0.0</v>
      </c>
      <c r="D1704" s="2"/>
      <c r="E1704" s="2"/>
      <c r="F1704" s="2"/>
      <c r="G1704" s="2"/>
      <c r="H1704" s="2"/>
    </row>
    <row r="1705">
      <c r="A1705" s="1" t="s">
        <v>965</v>
      </c>
      <c r="B1705" s="1"/>
      <c r="C1705" s="1">
        <v>96.0</v>
      </c>
      <c r="D1705" s="2"/>
      <c r="E1705" s="2"/>
      <c r="F1705" s="2"/>
      <c r="G1705" s="2"/>
      <c r="H1705" s="2"/>
    </row>
    <row r="1706">
      <c r="A1706" s="1" t="s">
        <v>966</v>
      </c>
      <c r="B1706" s="1"/>
      <c r="C1706" s="1" t="s">
        <v>967</v>
      </c>
      <c r="D1706" s="1" t="s">
        <v>968</v>
      </c>
      <c r="E1706" s="2"/>
      <c r="F1706" s="2"/>
      <c r="G1706" s="2"/>
      <c r="H1706" s="2"/>
    </row>
    <row r="1707">
      <c r="A1707" s="1" t="s">
        <v>969</v>
      </c>
      <c r="B1707" s="1"/>
      <c r="C1707" s="1">
        <v>0.0</v>
      </c>
      <c r="D1707" s="2"/>
      <c r="E1707" s="2"/>
      <c r="F1707" s="2"/>
      <c r="G1707" s="2"/>
      <c r="H1707" s="2"/>
    </row>
    <row r="1708">
      <c r="A1708" s="1" t="s">
        <v>970</v>
      </c>
      <c r="B1708" s="1"/>
      <c r="C1708" s="2"/>
      <c r="D1708" s="2"/>
      <c r="E1708" s="2"/>
      <c r="F1708" s="2"/>
      <c r="G1708" s="2"/>
      <c r="H1708" s="2"/>
    </row>
    <row r="1709">
      <c r="A1709" s="1" t="s">
        <v>971</v>
      </c>
      <c r="B1709" s="1"/>
      <c r="C1709" s="1">
        <v>0.0</v>
      </c>
      <c r="D1709" s="2"/>
      <c r="E1709" s="2"/>
      <c r="F1709" s="2"/>
      <c r="G1709" s="2"/>
      <c r="H1709" s="2"/>
    </row>
    <row r="1710">
      <c r="A1710" s="1" t="s">
        <v>972</v>
      </c>
      <c r="B1710" s="1"/>
      <c r="C1710" s="1">
        <v>0.0</v>
      </c>
      <c r="D1710" s="2"/>
      <c r="E1710" s="2"/>
      <c r="F1710" s="2"/>
      <c r="G1710" s="2"/>
      <c r="H1710" s="2"/>
    </row>
    <row r="1711">
      <c r="A1711" s="1" t="s">
        <v>973</v>
      </c>
      <c r="B1711" s="1"/>
      <c r="C1711" s="1">
        <v>0.0</v>
      </c>
      <c r="D1711" s="2"/>
      <c r="E1711" s="2"/>
      <c r="F1711" s="2"/>
      <c r="G1711" s="2"/>
      <c r="H1711" s="2"/>
    </row>
    <row r="1712">
      <c r="A1712" s="1" t="s">
        <v>974</v>
      </c>
      <c r="B1712" s="1"/>
      <c r="C1712" s="1">
        <v>0.0</v>
      </c>
      <c r="D1712" s="2"/>
      <c r="E1712" s="2"/>
      <c r="F1712" s="2"/>
      <c r="G1712" s="2"/>
      <c r="H1712" s="2"/>
    </row>
    <row r="1713">
      <c r="A1713" s="1" t="s">
        <v>975</v>
      </c>
      <c r="B1713" s="1"/>
      <c r="C1713" s="1">
        <v>0.0</v>
      </c>
      <c r="D1713" s="2"/>
      <c r="E1713" s="2"/>
      <c r="F1713" s="2"/>
      <c r="G1713" s="2"/>
      <c r="H1713" s="2"/>
    </row>
    <row r="1714">
      <c r="A1714" s="1" t="s">
        <v>976</v>
      </c>
      <c r="B1714" s="1"/>
      <c r="C1714" s="1">
        <v>0.0</v>
      </c>
      <c r="D1714" s="2"/>
      <c r="E1714" s="2"/>
      <c r="F1714" s="2"/>
      <c r="G1714" s="2"/>
      <c r="H1714" s="2"/>
    </row>
    <row r="1715">
      <c r="A1715" s="1" t="s">
        <v>977</v>
      </c>
      <c r="B1715" s="1"/>
      <c r="C1715" s="1">
        <v>81.0</v>
      </c>
      <c r="D1715" s="2"/>
      <c r="E1715" s="2"/>
      <c r="F1715" s="2"/>
      <c r="G1715" s="2"/>
      <c r="H1715" s="2"/>
    </row>
    <row r="1716">
      <c r="A1716" s="1" t="s">
        <v>978</v>
      </c>
      <c r="B1716" s="1"/>
      <c r="C1716" s="1">
        <v>0.0</v>
      </c>
      <c r="D1716" s="2"/>
      <c r="E1716" s="2"/>
      <c r="F1716" s="2"/>
      <c r="G1716" s="2"/>
      <c r="H1716" s="2"/>
    </row>
    <row r="1717">
      <c r="A1717" s="1" t="s">
        <v>979</v>
      </c>
      <c r="B1717" s="1"/>
      <c r="C1717" s="1">
        <v>0.0</v>
      </c>
      <c r="D1717" s="2"/>
      <c r="E1717" s="2"/>
      <c r="F1717" s="2"/>
      <c r="G1717" s="2"/>
      <c r="H1717" s="2"/>
    </row>
    <row r="1718">
      <c r="A1718" s="1" t="s">
        <v>980</v>
      </c>
      <c r="B1718" s="1"/>
      <c r="C1718" s="1" t="s">
        <v>981</v>
      </c>
      <c r="D1718" s="1">
        <v>12.0</v>
      </c>
      <c r="E1718" s="2"/>
      <c r="F1718" s="2"/>
      <c r="G1718" s="2"/>
      <c r="H1718" s="2"/>
    </row>
    <row r="1719">
      <c r="A1719" s="1" t="s">
        <v>982</v>
      </c>
      <c r="B1719" s="1"/>
      <c r="C1719" s="1">
        <v>0.0</v>
      </c>
      <c r="D1719" s="2"/>
      <c r="E1719" s="2"/>
      <c r="F1719" s="2"/>
      <c r="G1719" s="2"/>
      <c r="H1719" s="2"/>
    </row>
    <row r="1720">
      <c r="A1720" s="1" t="s">
        <v>983</v>
      </c>
      <c r="B1720" s="1"/>
      <c r="C1720" s="1">
        <v>0.0</v>
      </c>
      <c r="D1720" s="2"/>
      <c r="E1720" s="2"/>
      <c r="F1720" s="2"/>
      <c r="G1720" s="2"/>
      <c r="H1720" s="2"/>
    </row>
    <row r="1721">
      <c r="A1721" s="1" t="s">
        <v>984</v>
      </c>
      <c r="B1721" s="1"/>
      <c r="C1721" s="1">
        <v>38.0</v>
      </c>
      <c r="D1721" s="2"/>
      <c r="E1721" s="2"/>
      <c r="F1721" s="2"/>
      <c r="G1721" s="2"/>
      <c r="H1721" s="2"/>
    </row>
    <row r="1722">
      <c r="A1722" s="1" t="s">
        <v>985</v>
      </c>
      <c r="B1722" s="1"/>
      <c r="C1722" s="1">
        <v>0.0</v>
      </c>
      <c r="D1722" s="2"/>
      <c r="E1722" s="2"/>
      <c r="F1722" s="2"/>
      <c r="G1722" s="2"/>
      <c r="H1722" s="2"/>
    </row>
    <row r="1723">
      <c r="A1723" s="1" t="s">
        <v>986</v>
      </c>
      <c r="B1723" s="1"/>
      <c r="C1723" s="1">
        <v>0.0</v>
      </c>
      <c r="D1723" s="2"/>
      <c r="E1723" s="2"/>
      <c r="F1723" s="2"/>
      <c r="G1723" s="2"/>
      <c r="H1723" s="2"/>
    </row>
    <row r="1724">
      <c r="A1724" s="1" t="s">
        <v>987</v>
      </c>
      <c r="B1724" s="1"/>
      <c r="C1724" s="1">
        <v>0.0</v>
      </c>
      <c r="D1724" s="2"/>
      <c r="E1724" s="2"/>
      <c r="F1724" s="2"/>
      <c r="G1724" s="2"/>
      <c r="H1724" s="2"/>
    </row>
    <row r="1725">
      <c r="A1725" s="1" t="s">
        <v>988</v>
      </c>
      <c r="B1725" s="1"/>
      <c r="C1725" s="1">
        <v>56.0</v>
      </c>
      <c r="D1725" s="2"/>
      <c r="E1725" s="2"/>
      <c r="F1725" s="2"/>
      <c r="G1725" s="2"/>
      <c r="H1725" s="2"/>
    </row>
    <row r="1726">
      <c r="A1726" s="1" t="s">
        <v>989</v>
      </c>
      <c r="B1726" s="1"/>
      <c r="C1726" s="1">
        <v>0.0</v>
      </c>
      <c r="D1726" s="2"/>
      <c r="E1726" s="2"/>
      <c r="F1726" s="2"/>
      <c r="G1726" s="2"/>
      <c r="H1726" s="2"/>
    </row>
    <row r="1727">
      <c r="A1727" s="1" t="s">
        <v>990</v>
      </c>
      <c r="B1727" s="1"/>
      <c r="C1727" s="1">
        <v>50.0</v>
      </c>
      <c r="D1727" s="2"/>
      <c r="E1727" s="2"/>
      <c r="F1727" s="2"/>
      <c r="G1727" s="2"/>
      <c r="H1727" s="2"/>
    </row>
    <row r="1728">
      <c r="A1728" s="1" t="s">
        <v>991</v>
      </c>
      <c r="B1728" s="1"/>
      <c r="C1728" s="1">
        <v>0.0</v>
      </c>
      <c r="D1728" s="2"/>
      <c r="E1728" s="2"/>
      <c r="F1728" s="2"/>
      <c r="G1728" s="2"/>
      <c r="H1728" s="2"/>
    </row>
    <row r="1729">
      <c r="A1729" s="1" t="s">
        <v>992</v>
      </c>
      <c r="B1729" s="1"/>
      <c r="C1729" s="1">
        <v>0.0</v>
      </c>
      <c r="D1729" s="2"/>
      <c r="E1729" s="2"/>
      <c r="F1729" s="2"/>
      <c r="G1729" s="2"/>
      <c r="H1729" s="2"/>
    </row>
    <row r="1730">
      <c r="A1730" s="1" t="s">
        <v>993</v>
      </c>
      <c r="B1730" s="1"/>
      <c r="C1730" s="1">
        <v>43.0</v>
      </c>
      <c r="D1730" s="2"/>
      <c r="E1730" s="2"/>
      <c r="F1730" s="2"/>
      <c r="G1730" s="2"/>
      <c r="H1730" s="2"/>
    </row>
    <row r="1731">
      <c r="A1731" s="1" t="s">
        <v>994</v>
      </c>
      <c r="B1731" s="1"/>
      <c r="C1731" s="1">
        <v>0.0</v>
      </c>
      <c r="D1731" s="2"/>
      <c r="E1731" s="2"/>
      <c r="F1731" s="2"/>
      <c r="G1731" s="2"/>
      <c r="H1731" s="2"/>
    </row>
    <row r="1732">
      <c r="A1732" s="1" t="s">
        <v>995</v>
      </c>
      <c r="B1732" s="1"/>
      <c r="C1732" s="1">
        <v>72.0</v>
      </c>
      <c r="D1732" s="2"/>
      <c r="E1732" s="2"/>
      <c r="F1732" s="2"/>
      <c r="G1732" s="2"/>
      <c r="H1732" s="2"/>
    </row>
    <row r="1733">
      <c r="A1733" s="1" t="s">
        <v>996</v>
      </c>
      <c r="B1733" s="1"/>
      <c r="C1733" s="1">
        <v>30.0</v>
      </c>
      <c r="D1733" s="2"/>
      <c r="E1733" s="2"/>
      <c r="F1733" s="2"/>
      <c r="G1733" s="2"/>
      <c r="H1733" s="2"/>
    </row>
    <row r="1734">
      <c r="A1734" s="1" t="s">
        <v>997</v>
      </c>
      <c r="B1734" s="1"/>
      <c r="C1734" s="1">
        <v>92.0</v>
      </c>
      <c r="D1734" s="2"/>
      <c r="E1734" s="2"/>
      <c r="F1734" s="2"/>
      <c r="G1734" s="2"/>
      <c r="H1734" s="2"/>
    </row>
    <row r="1735">
      <c r="A1735" s="1" t="s">
        <v>998</v>
      </c>
      <c r="B1735" s="1"/>
      <c r="C1735" s="1">
        <v>78.0</v>
      </c>
      <c r="D1735" s="2"/>
      <c r="E1735" s="2"/>
      <c r="F1735" s="2"/>
      <c r="G1735" s="2"/>
      <c r="H1735" s="2"/>
    </row>
    <row r="1736">
      <c r="A1736" s="1" t="s">
        <v>999</v>
      </c>
      <c r="B1736" s="1"/>
      <c r="C1736" s="1">
        <v>0.0</v>
      </c>
      <c r="D1736" s="2"/>
      <c r="E1736" s="2"/>
      <c r="F1736" s="2"/>
      <c r="G1736" s="2"/>
      <c r="H1736" s="2"/>
    </row>
    <row r="1737">
      <c r="A1737" s="1" t="s">
        <v>1000</v>
      </c>
      <c r="B1737" s="1"/>
      <c r="C1737" s="1">
        <v>0.0</v>
      </c>
      <c r="D1737" s="2"/>
      <c r="E1737" s="2"/>
      <c r="F1737" s="2"/>
      <c r="G1737" s="2"/>
      <c r="H1737" s="2"/>
    </row>
    <row r="1738">
      <c r="A1738" s="1" t="s">
        <v>1001</v>
      </c>
      <c r="B1738" s="1"/>
      <c r="C1738" s="1">
        <v>0.0</v>
      </c>
      <c r="D1738" s="2"/>
      <c r="E1738" s="2"/>
      <c r="F1738" s="2"/>
      <c r="G1738" s="2"/>
      <c r="H1738" s="2"/>
    </row>
    <row r="1739">
      <c r="A1739" s="1" t="s">
        <v>1002</v>
      </c>
      <c r="B1739" s="1"/>
      <c r="C1739" s="1">
        <v>0.0</v>
      </c>
      <c r="D1739" s="2"/>
      <c r="E1739" s="2"/>
      <c r="F1739" s="2"/>
      <c r="G1739" s="2"/>
      <c r="H1739" s="2"/>
    </row>
    <row r="1740">
      <c r="A1740" s="1" t="s">
        <v>1003</v>
      </c>
      <c r="B1740" s="1"/>
      <c r="C1740" s="1">
        <v>0.0</v>
      </c>
      <c r="D1740" s="2"/>
      <c r="E1740" s="2"/>
      <c r="F1740" s="2"/>
      <c r="G1740" s="2"/>
      <c r="H1740" s="2"/>
    </row>
    <row r="1741">
      <c r="A1741" s="1" t="s">
        <v>1004</v>
      </c>
      <c r="B1741" s="1"/>
      <c r="C1741" s="1">
        <v>0.0</v>
      </c>
      <c r="D1741" s="2"/>
      <c r="E1741" s="2"/>
      <c r="F1741" s="2"/>
      <c r="G1741" s="2"/>
      <c r="H1741" s="2"/>
    </row>
    <row r="1742">
      <c r="A1742" s="1" t="s">
        <v>1005</v>
      </c>
      <c r="B1742" s="1"/>
      <c r="C1742" s="1">
        <v>0.0</v>
      </c>
      <c r="D1742" s="2"/>
      <c r="E1742" s="2"/>
      <c r="F1742" s="2"/>
      <c r="G1742" s="2"/>
      <c r="H1742" s="2"/>
    </row>
    <row r="1743">
      <c r="A1743" s="1" t="s">
        <v>1006</v>
      </c>
      <c r="B1743" s="1"/>
      <c r="C1743" s="1">
        <v>77.0</v>
      </c>
      <c r="D1743" s="2"/>
      <c r="E1743" s="2"/>
      <c r="F1743" s="2"/>
      <c r="G1743" s="2"/>
      <c r="H1743" s="2"/>
    </row>
    <row r="1744">
      <c r="A1744" s="1" t="s">
        <v>934</v>
      </c>
      <c r="B1744" s="1"/>
      <c r="C1744" s="1">
        <v>23.0</v>
      </c>
      <c r="D1744" s="2"/>
      <c r="E1744" s="2"/>
      <c r="F1744" s="2"/>
      <c r="G1744" s="2"/>
      <c r="H1744" s="2"/>
    </row>
    <row r="1745">
      <c r="A1745" s="1" t="s">
        <v>935</v>
      </c>
      <c r="B1745" s="1"/>
      <c r="C1745" s="1">
        <v>96.0</v>
      </c>
      <c r="D1745" s="2"/>
      <c r="E1745" s="2"/>
      <c r="F1745" s="2"/>
      <c r="G1745" s="2"/>
      <c r="H1745" s="2"/>
    </row>
    <row r="1746">
      <c r="A1746" s="1" t="s">
        <v>936</v>
      </c>
      <c r="B1746" s="1"/>
      <c r="C1746" s="1">
        <v>93.0</v>
      </c>
      <c r="D1746" s="2"/>
      <c r="E1746" s="2"/>
      <c r="F1746" s="2"/>
      <c r="G1746" s="2"/>
      <c r="H1746" s="2"/>
    </row>
    <row r="1747">
      <c r="A1747" s="1" t="s">
        <v>937</v>
      </c>
      <c r="B1747" s="1"/>
      <c r="C1747" s="1">
        <v>40.0</v>
      </c>
      <c r="D1747" s="2"/>
      <c r="E1747" s="2"/>
      <c r="F1747" s="2"/>
      <c r="G1747" s="2"/>
      <c r="H1747" s="2"/>
    </row>
    <row r="1748">
      <c r="A1748" s="1" t="s">
        <v>938</v>
      </c>
      <c r="B1748" s="1"/>
      <c r="C1748" s="1">
        <v>39.0</v>
      </c>
      <c r="D1748" s="2"/>
      <c r="E1748" s="2"/>
      <c r="F1748" s="2"/>
      <c r="G1748" s="2"/>
      <c r="H1748" s="2"/>
    </row>
    <row r="1749">
      <c r="A1749" s="1" t="s">
        <v>939</v>
      </c>
      <c r="B1749" s="1"/>
      <c r="C1749" s="1">
        <v>0.0</v>
      </c>
      <c r="D1749" s="2"/>
      <c r="E1749" s="2"/>
      <c r="F1749" s="2"/>
      <c r="G1749" s="2"/>
      <c r="H1749" s="2"/>
    </row>
    <row r="1750">
      <c r="A1750" s="1" t="s">
        <v>940</v>
      </c>
      <c r="B1750" s="1"/>
      <c r="C1750" s="1">
        <v>0.0</v>
      </c>
      <c r="D1750" s="2"/>
      <c r="E1750" s="2"/>
      <c r="F1750" s="2"/>
      <c r="G1750" s="2"/>
      <c r="H1750" s="2"/>
    </row>
    <row r="1751">
      <c r="A1751" s="1" t="s">
        <v>941</v>
      </c>
      <c r="B1751" s="1"/>
      <c r="C1751" s="1">
        <v>0.0</v>
      </c>
      <c r="D1751" s="2"/>
      <c r="E1751" s="2"/>
      <c r="F1751" s="2"/>
      <c r="G1751" s="2"/>
      <c r="H1751" s="2"/>
    </row>
    <row r="1752">
      <c r="A1752" s="1" t="s">
        <v>942</v>
      </c>
      <c r="B1752" s="1"/>
      <c r="C1752" s="1">
        <v>0.0</v>
      </c>
      <c r="D1752" s="2"/>
      <c r="E1752" s="2"/>
      <c r="F1752" s="2"/>
      <c r="G1752" s="2"/>
      <c r="H1752" s="2"/>
    </row>
    <row r="1753">
      <c r="A1753" s="1" t="s">
        <v>943</v>
      </c>
      <c r="B1753" s="1"/>
      <c r="C1753" s="1">
        <v>78.0</v>
      </c>
      <c r="D1753" s="2"/>
      <c r="E1753" s="2"/>
      <c r="F1753" s="2"/>
      <c r="G1753" s="2"/>
      <c r="H1753" s="2"/>
    </row>
    <row r="1754">
      <c r="A1754" s="1" t="s">
        <v>944</v>
      </c>
      <c r="B1754" s="1"/>
      <c r="C1754" s="1">
        <v>0.0</v>
      </c>
      <c r="D1754" s="2"/>
      <c r="E1754" s="2"/>
      <c r="F1754" s="2"/>
      <c r="G1754" s="2"/>
      <c r="H1754" s="2"/>
    </row>
    <row r="1755">
      <c r="A1755" s="1" t="s">
        <v>945</v>
      </c>
      <c r="B1755" s="1"/>
      <c r="C1755" s="1">
        <v>0.0</v>
      </c>
      <c r="D1755" s="2"/>
      <c r="E1755" s="2"/>
      <c r="F1755" s="2"/>
      <c r="G1755" s="2"/>
      <c r="H1755" s="2"/>
    </row>
    <row r="1756">
      <c r="A1756" s="1" t="s">
        <v>946</v>
      </c>
      <c r="B1756" s="1"/>
      <c r="C1756" s="1">
        <v>0.0</v>
      </c>
      <c r="D1756" s="2"/>
      <c r="E1756" s="2"/>
      <c r="F1756" s="2"/>
      <c r="G1756" s="2"/>
      <c r="H1756" s="2"/>
    </row>
    <row r="1757">
      <c r="A1757" s="1" t="s">
        <v>947</v>
      </c>
      <c r="B1757" s="1"/>
      <c r="C1757" s="1">
        <v>0.0</v>
      </c>
      <c r="D1757" s="2"/>
      <c r="E1757" s="2"/>
      <c r="F1757" s="2"/>
      <c r="G1757" s="2"/>
      <c r="H1757" s="2"/>
    </row>
    <row r="1758">
      <c r="A1758" s="1" t="s">
        <v>948</v>
      </c>
      <c r="B1758" s="1"/>
      <c r="C1758" s="1">
        <v>0.0</v>
      </c>
      <c r="D1758" s="2"/>
      <c r="E1758" s="2"/>
      <c r="F1758" s="2"/>
      <c r="G1758" s="2"/>
      <c r="H1758" s="2"/>
    </row>
    <row r="1759">
      <c r="A1759" s="1" t="s">
        <v>949</v>
      </c>
      <c r="B1759" s="1"/>
      <c r="C1759" s="1">
        <v>0.0</v>
      </c>
      <c r="D1759" s="2"/>
      <c r="E1759" s="2"/>
      <c r="F1759" s="2"/>
      <c r="G1759" s="2"/>
      <c r="H1759" s="2"/>
    </row>
    <row r="1760">
      <c r="A1760" s="1" t="s">
        <v>950</v>
      </c>
      <c r="B1760" s="1"/>
      <c r="C1760" s="1">
        <v>92.0</v>
      </c>
      <c r="D1760" s="2"/>
      <c r="E1760" s="2"/>
      <c r="F1760" s="2"/>
      <c r="G1760" s="2"/>
      <c r="H1760" s="2"/>
    </row>
    <row r="1761">
      <c r="A1761" s="1" t="s">
        <v>951</v>
      </c>
      <c r="B1761" s="1"/>
      <c r="C1761" s="1">
        <v>0.0</v>
      </c>
      <c r="D1761" s="2"/>
      <c r="E1761" s="2"/>
      <c r="F1761" s="2"/>
      <c r="G1761" s="2"/>
      <c r="H1761" s="2"/>
    </row>
    <row r="1762">
      <c r="A1762" s="1" t="s">
        <v>952</v>
      </c>
      <c r="B1762" s="1"/>
      <c r="C1762" s="1">
        <v>80.0</v>
      </c>
      <c r="D1762" s="2"/>
      <c r="E1762" s="2"/>
      <c r="F1762" s="2"/>
      <c r="G1762" s="2"/>
      <c r="H1762" s="2"/>
    </row>
    <row r="1763">
      <c r="A1763" s="1" t="s">
        <v>953</v>
      </c>
      <c r="B1763" s="1"/>
      <c r="C1763" s="1">
        <v>0.0</v>
      </c>
      <c r="D1763" s="2"/>
      <c r="E1763" s="2"/>
      <c r="F1763" s="2"/>
      <c r="G1763" s="2"/>
      <c r="H1763" s="2"/>
    </row>
    <row r="1764">
      <c r="A1764" s="1" t="s">
        <v>954</v>
      </c>
      <c r="B1764" s="1"/>
      <c r="C1764" s="1">
        <v>0.0</v>
      </c>
      <c r="D1764" s="2"/>
      <c r="E1764" s="2"/>
      <c r="F1764" s="2"/>
      <c r="G1764" s="2"/>
      <c r="H1764" s="2"/>
    </row>
    <row r="1765">
      <c r="A1765" s="1" t="s">
        <v>955</v>
      </c>
      <c r="B1765" s="1"/>
      <c r="C1765" s="1">
        <v>79.0</v>
      </c>
      <c r="D1765" s="2"/>
      <c r="E1765" s="2"/>
      <c r="F1765" s="2"/>
      <c r="G1765" s="2"/>
      <c r="H1765" s="2"/>
    </row>
    <row r="1766">
      <c r="A1766" s="1" t="s">
        <v>956</v>
      </c>
      <c r="B1766" s="1"/>
      <c r="C1766" s="1">
        <v>0.0</v>
      </c>
      <c r="D1766" s="2"/>
      <c r="E1766" s="2"/>
      <c r="F1766" s="2"/>
      <c r="G1766" s="2"/>
      <c r="H1766" s="2"/>
    </row>
    <row r="1767">
      <c r="A1767" s="1" t="s">
        <v>957</v>
      </c>
      <c r="B1767" s="1"/>
      <c r="C1767" s="1">
        <v>0.0</v>
      </c>
      <c r="D1767" s="2"/>
      <c r="E1767" s="2"/>
      <c r="F1767" s="2"/>
      <c r="G1767" s="2"/>
      <c r="H1767" s="2"/>
    </row>
    <row r="1768">
      <c r="A1768" s="1" t="s">
        <v>958</v>
      </c>
      <c r="B1768" s="1"/>
      <c r="C1768" s="1">
        <v>0.0</v>
      </c>
      <c r="D1768" s="2"/>
      <c r="E1768" s="2"/>
      <c r="F1768" s="2"/>
      <c r="G1768" s="2"/>
      <c r="H1768" s="2"/>
    </row>
    <row r="1769">
      <c r="A1769" s="1" t="s">
        <v>959</v>
      </c>
      <c r="B1769" s="1"/>
      <c r="C1769" s="1">
        <v>0.0</v>
      </c>
      <c r="D1769" s="2"/>
      <c r="E1769" s="2"/>
      <c r="F1769" s="2"/>
      <c r="G1769" s="2"/>
      <c r="H1769" s="2"/>
    </row>
    <row r="1770">
      <c r="A1770" s="1" t="s">
        <v>960</v>
      </c>
      <c r="B1770" s="1"/>
      <c r="C1770" s="1">
        <v>0.0</v>
      </c>
      <c r="D1770" s="2"/>
      <c r="E1770" s="2"/>
      <c r="F1770" s="2"/>
      <c r="G1770" s="2"/>
      <c r="H1770" s="2"/>
    </row>
    <row r="1771">
      <c r="A1771" s="1" t="s">
        <v>961</v>
      </c>
      <c r="B1771" s="1"/>
      <c r="C1771" s="1">
        <v>0.0</v>
      </c>
      <c r="D1771" s="2"/>
      <c r="E1771" s="2"/>
      <c r="F1771" s="2"/>
      <c r="G1771" s="2"/>
      <c r="H1771" s="2"/>
    </row>
    <row r="1772">
      <c r="A1772" s="1" t="s">
        <v>962</v>
      </c>
      <c r="B1772" s="1"/>
      <c r="C1772" s="1">
        <v>0.0</v>
      </c>
      <c r="D1772" s="2"/>
      <c r="E1772" s="2"/>
      <c r="F1772" s="2"/>
      <c r="G1772" s="2"/>
      <c r="H1772" s="2"/>
    </row>
    <row r="1773">
      <c r="A1773" s="1" t="s">
        <v>963</v>
      </c>
      <c r="B1773" s="1"/>
      <c r="C1773" s="1">
        <v>32.0</v>
      </c>
      <c r="D1773" s="2"/>
      <c r="E1773" s="2"/>
      <c r="F1773" s="2"/>
      <c r="G1773" s="2"/>
      <c r="H1773" s="2"/>
    </row>
    <row r="1774">
      <c r="A1774" s="1" t="s">
        <v>964</v>
      </c>
      <c r="B1774" s="1"/>
      <c r="C1774" s="1">
        <v>0.0</v>
      </c>
      <c r="D1774" s="2"/>
      <c r="E1774" s="2"/>
      <c r="F1774" s="2"/>
      <c r="G1774" s="2"/>
      <c r="H1774" s="2"/>
    </row>
    <row r="1775">
      <c r="A1775" s="1" t="s">
        <v>965</v>
      </c>
      <c r="B1775" s="1"/>
      <c r="C1775" s="1">
        <v>96.0</v>
      </c>
      <c r="D1775" s="2"/>
      <c r="E1775" s="2"/>
      <c r="F1775" s="2"/>
      <c r="G1775" s="2"/>
      <c r="H1775" s="2"/>
    </row>
    <row r="1776">
      <c r="A1776" s="1" t="s">
        <v>966</v>
      </c>
      <c r="B1776" s="1"/>
      <c r="C1776" s="1" t="s">
        <v>967</v>
      </c>
      <c r="D1776" s="1" t="s">
        <v>968</v>
      </c>
      <c r="E1776" s="2"/>
      <c r="F1776" s="2"/>
      <c r="G1776" s="2"/>
      <c r="H1776" s="2"/>
    </row>
    <row r="1777">
      <c r="A1777" s="1" t="s">
        <v>969</v>
      </c>
      <c r="B1777" s="1"/>
      <c r="C1777" s="1">
        <v>0.0</v>
      </c>
      <c r="D1777" s="2"/>
      <c r="E1777" s="2"/>
      <c r="F1777" s="2"/>
      <c r="G1777" s="2"/>
      <c r="H1777" s="2"/>
    </row>
    <row r="1778">
      <c r="A1778" s="1" t="s">
        <v>970</v>
      </c>
      <c r="B1778" s="1"/>
      <c r="C1778" s="2"/>
      <c r="D1778" s="2"/>
      <c r="E1778" s="2"/>
      <c r="F1778" s="2"/>
      <c r="G1778" s="2"/>
      <c r="H1778" s="2"/>
    </row>
    <row r="1779">
      <c r="A1779" s="1" t="s">
        <v>971</v>
      </c>
      <c r="B1779" s="1"/>
      <c r="C1779" s="1">
        <v>0.0</v>
      </c>
      <c r="D1779" s="2"/>
      <c r="E1779" s="2"/>
      <c r="F1779" s="2"/>
      <c r="G1779" s="2"/>
      <c r="H1779" s="2"/>
    </row>
    <row r="1780">
      <c r="A1780" s="1" t="s">
        <v>972</v>
      </c>
      <c r="B1780" s="1"/>
      <c r="C1780" s="1">
        <v>0.0</v>
      </c>
      <c r="D1780" s="2"/>
      <c r="E1780" s="2"/>
      <c r="F1780" s="2"/>
      <c r="G1780" s="2"/>
      <c r="H1780" s="2"/>
    </row>
    <row r="1781">
      <c r="A1781" s="1" t="s">
        <v>973</v>
      </c>
      <c r="B1781" s="1"/>
      <c r="C1781" s="1">
        <v>0.0</v>
      </c>
      <c r="D1781" s="2"/>
      <c r="E1781" s="2"/>
      <c r="F1781" s="2"/>
      <c r="G1781" s="2"/>
      <c r="H1781" s="2"/>
    </row>
    <row r="1782">
      <c r="A1782" s="1" t="s">
        <v>974</v>
      </c>
      <c r="B1782" s="1"/>
      <c r="C1782" s="1">
        <v>0.0</v>
      </c>
      <c r="D1782" s="2"/>
      <c r="E1782" s="2"/>
      <c r="F1782" s="2"/>
      <c r="G1782" s="2"/>
      <c r="H1782" s="2"/>
    </row>
    <row r="1783">
      <c r="A1783" s="1" t="s">
        <v>975</v>
      </c>
      <c r="B1783" s="1"/>
      <c r="C1783" s="1">
        <v>0.0</v>
      </c>
      <c r="D1783" s="2"/>
      <c r="E1783" s="2"/>
      <c r="F1783" s="2"/>
      <c r="G1783" s="2"/>
      <c r="H1783" s="2"/>
    </row>
    <row r="1784">
      <c r="A1784" s="1" t="s">
        <v>976</v>
      </c>
      <c r="B1784" s="1"/>
      <c r="C1784" s="1">
        <v>0.0</v>
      </c>
      <c r="D1784" s="2"/>
      <c r="E1784" s="2"/>
      <c r="F1784" s="2"/>
      <c r="G1784" s="2"/>
      <c r="H1784" s="2"/>
    </row>
    <row r="1785">
      <c r="A1785" s="1" t="s">
        <v>977</v>
      </c>
      <c r="B1785" s="1"/>
      <c r="C1785" s="1">
        <v>81.0</v>
      </c>
      <c r="D1785" s="2"/>
      <c r="E1785" s="2"/>
      <c r="F1785" s="2"/>
      <c r="G1785" s="2"/>
      <c r="H1785" s="2"/>
    </row>
    <row r="1786">
      <c r="A1786" s="1" t="s">
        <v>978</v>
      </c>
      <c r="B1786" s="1"/>
      <c r="C1786" s="1">
        <v>0.0</v>
      </c>
      <c r="D1786" s="2"/>
      <c r="E1786" s="2"/>
      <c r="F1786" s="2"/>
      <c r="G1786" s="2"/>
      <c r="H1786" s="2"/>
    </row>
    <row r="1787">
      <c r="A1787" s="1" t="s">
        <v>979</v>
      </c>
      <c r="B1787" s="1"/>
      <c r="C1787" s="1">
        <v>0.0</v>
      </c>
      <c r="D1787" s="2"/>
      <c r="E1787" s="2"/>
      <c r="F1787" s="2"/>
      <c r="G1787" s="2"/>
      <c r="H1787" s="2"/>
    </row>
    <row r="1788">
      <c r="A1788" s="1" t="s">
        <v>980</v>
      </c>
      <c r="B1788" s="1"/>
      <c r="C1788" s="1" t="s">
        <v>981</v>
      </c>
      <c r="D1788" s="1">
        <v>12.0</v>
      </c>
      <c r="E1788" s="2"/>
      <c r="F1788" s="2"/>
      <c r="G1788" s="2"/>
      <c r="H1788" s="2"/>
    </row>
    <row r="1789">
      <c r="A1789" s="1" t="s">
        <v>982</v>
      </c>
      <c r="B1789" s="1"/>
      <c r="C1789" s="1">
        <v>0.0</v>
      </c>
      <c r="D1789" s="2"/>
      <c r="E1789" s="2"/>
      <c r="F1789" s="2"/>
      <c r="G1789" s="2"/>
      <c r="H1789" s="2"/>
    </row>
    <row r="1790">
      <c r="A1790" s="1" t="s">
        <v>983</v>
      </c>
      <c r="B1790" s="1"/>
      <c r="C1790" s="1">
        <v>0.0</v>
      </c>
      <c r="D1790" s="2"/>
      <c r="E1790" s="2"/>
      <c r="F1790" s="2"/>
      <c r="G1790" s="2"/>
      <c r="H1790" s="2"/>
    </row>
    <row r="1791">
      <c r="A1791" s="1" t="s">
        <v>984</v>
      </c>
      <c r="B1791" s="1"/>
      <c r="C1791" s="1">
        <v>38.0</v>
      </c>
      <c r="D1791" s="2"/>
      <c r="E1791" s="2"/>
      <c r="F1791" s="2"/>
      <c r="G1791" s="2"/>
      <c r="H1791" s="2"/>
    </row>
    <row r="1792">
      <c r="A1792" s="1" t="s">
        <v>985</v>
      </c>
      <c r="B1792" s="1"/>
      <c r="C1792" s="1">
        <v>0.0</v>
      </c>
      <c r="D1792" s="2"/>
      <c r="E1792" s="2"/>
      <c r="F1792" s="2"/>
      <c r="G1792" s="2"/>
      <c r="H1792" s="2"/>
    </row>
    <row r="1793">
      <c r="A1793" s="1" t="s">
        <v>986</v>
      </c>
      <c r="B1793" s="1"/>
      <c r="C1793" s="1">
        <v>0.0</v>
      </c>
      <c r="D1793" s="2"/>
      <c r="E1793" s="2"/>
      <c r="F1793" s="2"/>
      <c r="G1793" s="2"/>
      <c r="H1793" s="2"/>
    </row>
    <row r="1794">
      <c r="A1794" s="1" t="s">
        <v>987</v>
      </c>
      <c r="B1794" s="1"/>
      <c r="C1794" s="1">
        <v>0.0</v>
      </c>
      <c r="D1794" s="2"/>
      <c r="E1794" s="2"/>
      <c r="F1794" s="2"/>
      <c r="G1794" s="2"/>
      <c r="H1794" s="2"/>
    </row>
    <row r="1795">
      <c r="A1795" s="1" t="s">
        <v>988</v>
      </c>
      <c r="B1795" s="1"/>
      <c r="C1795" s="1">
        <v>56.0</v>
      </c>
      <c r="D1795" s="2"/>
      <c r="E1795" s="2"/>
      <c r="F1795" s="2"/>
      <c r="G1795" s="2"/>
      <c r="H1795" s="2"/>
    </row>
    <row r="1796">
      <c r="A1796" s="1" t="s">
        <v>989</v>
      </c>
      <c r="B1796" s="1"/>
      <c r="C1796" s="1">
        <v>0.0</v>
      </c>
      <c r="D1796" s="2"/>
      <c r="E1796" s="2"/>
      <c r="F1796" s="2"/>
      <c r="G1796" s="2"/>
      <c r="H1796" s="2"/>
    </row>
    <row r="1797">
      <c r="A1797" s="1" t="s">
        <v>990</v>
      </c>
      <c r="B1797" s="1"/>
      <c r="C1797" s="1">
        <v>50.0</v>
      </c>
      <c r="D1797" s="2"/>
      <c r="E1797" s="2"/>
      <c r="F1797" s="2"/>
      <c r="G1797" s="2"/>
      <c r="H1797" s="2"/>
    </row>
    <row r="1798">
      <c r="A1798" s="1" t="s">
        <v>991</v>
      </c>
      <c r="B1798" s="1"/>
      <c r="C1798" s="1">
        <v>0.0</v>
      </c>
      <c r="D1798" s="2"/>
      <c r="E1798" s="2"/>
      <c r="F1798" s="2"/>
      <c r="G1798" s="2"/>
      <c r="H1798" s="2"/>
    </row>
    <row r="1799">
      <c r="A1799" s="1" t="s">
        <v>992</v>
      </c>
      <c r="B1799" s="1"/>
      <c r="C1799" s="1">
        <v>0.0</v>
      </c>
      <c r="D1799" s="2"/>
      <c r="E1799" s="2"/>
      <c r="F1799" s="2"/>
      <c r="G1799" s="2"/>
      <c r="H1799" s="2"/>
    </row>
    <row r="1800">
      <c r="A1800" s="1" t="s">
        <v>993</v>
      </c>
      <c r="B1800" s="1"/>
      <c r="C1800" s="1">
        <v>43.0</v>
      </c>
      <c r="D1800" s="2"/>
      <c r="E1800" s="2"/>
      <c r="F1800" s="2"/>
      <c r="G1800" s="2"/>
      <c r="H1800" s="2"/>
    </row>
    <row r="1801">
      <c r="A1801" s="1" t="s">
        <v>994</v>
      </c>
      <c r="B1801" s="1"/>
      <c r="C1801" s="1">
        <v>0.0</v>
      </c>
      <c r="D1801" s="2"/>
      <c r="E1801" s="2"/>
      <c r="F1801" s="2"/>
      <c r="G1801" s="2"/>
      <c r="H1801" s="2"/>
    </row>
    <row r="1802">
      <c r="A1802" s="1" t="s">
        <v>995</v>
      </c>
      <c r="B1802" s="1"/>
      <c r="C1802" s="1">
        <v>72.0</v>
      </c>
      <c r="D1802" s="2"/>
      <c r="E1802" s="2"/>
      <c r="F1802" s="2"/>
      <c r="G1802" s="2"/>
      <c r="H1802" s="2"/>
    </row>
    <row r="1803">
      <c r="A1803" s="1" t="s">
        <v>996</v>
      </c>
      <c r="B1803" s="1"/>
      <c r="C1803" s="1">
        <v>30.0</v>
      </c>
      <c r="D1803" s="2"/>
      <c r="E1803" s="2"/>
      <c r="F1803" s="2"/>
      <c r="G1803" s="2"/>
      <c r="H1803" s="2"/>
    </row>
    <row r="1804">
      <c r="A1804" s="1" t="s">
        <v>997</v>
      </c>
      <c r="B1804" s="1"/>
      <c r="C1804" s="1">
        <v>92.0</v>
      </c>
      <c r="D1804" s="2"/>
      <c r="E1804" s="2"/>
      <c r="F1804" s="2"/>
      <c r="G1804" s="2"/>
      <c r="H1804" s="2"/>
    </row>
    <row r="1805">
      <c r="A1805" s="1" t="s">
        <v>998</v>
      </c>
      <c r="B1805" s="1"/>
      <c r="C1805" s="1">
        <v>78.0</v>
      </c>
      <c r="D1805" s="2"/>
      <c r="E1805" s="2"/>
      <c r="F1805" s="2"/>
      <c r="G1805" s="2"/>
      <c r="H1805" s="2"/>
    </row>
    <row r="1806">
      <c r="A1806" s="1" t="s">
        <v>999</v>
      </c>
      <c r="B1806" s="1"/>
      <c r="C1806" s="1">
        <v>0.0</v>
      </c>
      <c r="D1806" s="2"/>
      <c r="E1806" s="2"/>
      <c r="F1806" s="2"/>
      <c r="G1806" s="2"/>
      <c r="H1806" s="2"/>
    </row>
    <row r="1807">
      <c r="A1807" s="1" t="s">
        <v>1000</v>
      </c>
      <c r="B1807" s="1"/>
      <c r="C1807" s="1">
        <v>0.0</v>
      </c>
      <c r="D1807" s="2"/>
      <c r="E1807" s="2"/>
      <c r="F1807" s="2"/>
      <c r="G1807" s="2"/>
      <c r="H1807" s="2"/>
    </row>
    <row r="1808">
      <c r="A1808" s="1" t="s">
        <v>1001</v>
      </c>
      <c r="B1808" s="1"/>
      <c r="C1808" s="1">
        <v>0.0</v>
      </c>
      <c r="D1808" s="2"/>
      <c r="E1808" s="2"/>
      <c r="F1808" s="2"/>
      <c r="G1808" s="2"/>
      <c r="H1808" s="2"/>
    </row>
    <row r="1809">
      <c r="A1809" s="1" t="s">
        <v>1002</v>
      </c>
      <c r="B1809" s="1"/>
      <c r="C1809" s="1">
        <v>0.0</v>
      </c>
      <c r="D1809" s="2"/>
      <c r="E1809" s="2"/>
      <c r="F1809" s="2"/>
      <c r="G1809" s="2"/>
      <c r="H1809" s="2"/>
    </row>
    <row r="1810">
      <c r="A1810" s="1" t="s">
        <v>1003</v>
      </c>
      <c r="B1810" s="1"/>
      <c r="C1810" s="1">
        <v>0.0</v>
      </c>
      <c r="D1810" s="2"/>
      <c r="E1810" s="2"/>
      <c r="F1810" s="2"/>
      <c r="G1810" s="2"/>
      <c r="H1810" s="2"/>
    </row>
    <row r="1811">
      <c r="A1811" s="1" t="s">
        <v>1004</v>
      </c>
      <c r="B1811" s="1"/>
      <c r="C1811" s="1">
        <v>0.0</v>
      </c>
      <c r="D1811" s="2"/>
      <c r="E1811" s="2"/>
      <c r="F1811" s="2"/>
      <c r="G1811" s="2"/>
      <c r="H1811" s="2"/>
    </row>
    <row r="1812">
      <c r="A1812" s="1" t="s">
        <v>1005</v>
      </c>
      <c r="B1812" s="1"/>
      <c r="C1812" s="1">
        <v>0.0</v>
      </c>
      <c r="D1812" s="2"/>
      <c r="E1812" s="2"/>
      <c r="F1812" s="2"/>
      <c r="G1812" s="2"/>
      <c r="H1812" s="2"/>
    </row>
    <row r="1813">
      <c r="A1813" s="1" t="s">
        <v>1006</v>
      </c>
      <c r="B1813" s="1"/>
      <c r="C1813" s="1">
        <v>77.0</v>
      </c>
      <c r="D1813" s="2"/>
      <c r="E1813" s="2"/>
      <c r="F1813" s="2"/>
      <c r="G1813" s="2"/>
      <c r="H1813" s="2"/>
    </row>
    <row r="1814">
      <c r="A1814" s="1" t="s">
        <v>1007</v>
      </c>
      <c r="B1814" s="1"/>
      <c r="C1814" s="1">
        <v>0.0</v>
      </c>
      <c r="D1814" s="2"/>
      <c r="E1814" s="2"/>
      <c r="F1814" s="2"/>
      <c r="G1814" s="2"/>
      <c r="H1814" s="2"/>
    </row>
    <row r="1815">
      <c r="A1815" s="1" t="s">
        <v>1008</v>
      </c>
      <c r="B1815" s="1"/>
      <c r="C1815" s="1">
        <v>43.0</v>
      </c>
      <c r="D1815" s="2"/>
      <c r="E1815" s="2"/>
      <c r="F1815" s="2"/>
      <c r="G1815" s="2"/>
      <c r="H1815" s="2"/>
    </row>
    <row r="1816">
      <c r="A1816" s="1" t="s">
        <v>1009</v>
      </c>
      <c r="B1816" s="1"/>
      <c r="C1816" s="1">
        <v>0.0</v>
      </c>
      <c r="D1816" s="2"/>
      <c r="E1816" s="2"/>
      <c r="F1816" s="2"/>
      <c r="G1816" s="2"/>
      <c r="H1816" s="2"/>
    </row>
    <row r="1817">
      <c r="A1817" s="1" t="s">
        <v>1010</v>
      </c>
      <c r="B1817" s="1"/>
      <c r="C1817" s="1" t="s">
        <v>1011</v>
      </c>
      <c r="D1817" s="1">
        <v>0.0</v>
      </c>
      <c r="E1817" s="2"/>
      <c r="F1817" s="2"/>
      <c r="G1817" s="2"/>
      <c r="H1817" s="2"/>
    </row>
    <row r="1818">
      <c r="A1818" s="1" t="s">
        <v>1012</v>
      </c>
      <c r="B1818" s="1"/>
      <c r="C1818" s="1">
        <v>0.0</v>
      </c>
      <c r="D1818" s="2"/>
      <c r="E1818" s="2"/>
      <c r="F1818" s="2"/>
      <c r="G1818" s="2"/>
      <c r="H1818" s="2"/>
    </row>
    <row r="1819">
      <c r="A1819" s="1" t="s">
        <v>1013</v>
      </c>
      <c r="B1819" s="1"/>
      <c r="C1819" s="1">
        <v>60.0</v>
      </c>
      <c r="D1819" s="2"/>
      <c r="E1819" s="2"/>
      <c r="F1819" s="2"/>
      <c r="G1819" s="2"/>
      <c r="H1819" s="2"/>
    </row>
    <row r="1820">
      <c r="A1820" s="1" t="s">
        <v>1014</v>
      </c>
      <c r="B1820" s="1"/>
      <c r="C1820" s="1">
        <v>0.0</v>
      </c>
      <c r="D1820" s="2"/>
      <c r="E1820" s="2"/>
      <c r="F1820" s="2"/>
      <c r="G1820" s="2"/>
      <c r="H1820" s="2"/>
    </row>
    <row r="1821">
      <c r="A1821" s="1" t="s">
        <v>1015</v>
      </c>
      <c r="B1821" s="1"/>
      <c r="C1821" s="1">
        <v>0.0</v>
      </c>
      <c r="D1821" s="2"/>
      <c r="E1821" s="2"/>
      <c r="F1821" s="2"/>
      <c r="G1821" s="2"/>
      <c r="H1821" s="2"/>
    </row>
    <row r="1822">
      <c r="A1822" s="1" t="s">
        <v>1016</v>
      </c>
      <c r="B1822" s="1"/>
      <c r="C1822" s="1">
        <v>0.0</v>
      </c>
      <c r="D1822" s="2"/>
      <c r="E1822" s="2"/>
      <c r="F1822" s="2"/>
      <c r="G1822" s="2"/>
      <c r="H1822" s="2"/>
    </row>
    <row r="1823">
      <c r="A1823" s="1" t="s">
        <v>1017</v>
      </c>
      <c r="B1823" s="1"/>
      <c r="C1823" s="1" t="s">
        <v>1018</v>
      </c>
      <c r="D1823" s="1" t="s">
        <v>1019</v>
      </c>
      <c r="E1823" s="1">
        <v>96.0</v>
      </c>
      <c r="F1823" s="2"/>
      <c r="G1823" s="2"/>
      <c r="H1823" s="2"/>
    </row>
    <row r="1824">
      <c r="A1824" s="1" t="s">
        <v>1020</v>
      </c>
      <c r="B1824" s="1"/>
      <c r="C1824" s="1">
        <v>0.0</v>
      </c>
      <c r="D1824" s="2"/>
      <c r="E1824" s="2"/>
      <c r="F1824" s="2"/>
      <c r="G1824" s="2"/>
      <c r="H1824" s="2"/>
    </row>
    <row r="1825">
      <c r="A1825" s="1" t="s">
        <v>1021</v>
      </c>
      <c r="B1825" s="1"/>
      <c r="C1825" s="1">
        <v>0.0</v>
      </c>
      <c r="D1825" s="2"/>
      <c r="E1825" s="2"/>
      <c r="F1825" s="2"/>
      <c r="G1825" s="2"/>
      <c r="H1825" s="2"/>
    </row>
    <row r="1826">
      <c r="A1826" s="1" t="s">
        <v>1022</v>
      </c>
      <c r="B1826" s="1"/>
      <c r="C1826" s="1">
        <v>0.0</v>
      </c>
      <c r="D1826" s="2"/>
      <c r="E1826" s="2"/>
      <c r="F1826" s="2"/>
      <c r="G1826" s="2"/>
      <c r="H1826" s="2"/>
    </row>
    <row r="1827">
      <c r="A1827" s="1" t="s">
        <v>1023</v>
      </c>
      <c r="B1827" s="1"/>
      <c r="C1827" s="1">
        <v>6.0</v>
      </c>
      <c r="D1827" s="2"/>
      <c r="E1827" s="2"/>
      <c r="F1827" s="2"/>
      <c r="G1827" s="2"/>
      <c r="H1827" s="2"/>
    </row>
    <row r="1828">
      <c r="A1828" s="1" t="s">
        <v>1024</v>
      </c>
      <c r="B1828" s="1"/>
      <c r="C1828" s="1">
        <v>0.0</v>
      </c>
      <c r="D1828" s="2"/>
      <c r="E1828" s="2"/>
      <c r="F1828" s="2"/>
      <c r="G1828" s="2"/>
      <c r="H1828" s="2"/>
    </row>
    <row r="1829">
      <c r="A1829" s="1" t="s">
        <v>1025</v>
      </c>
      <c r="B1829" s="1"/>
      <c r="C1829" s="1">
        <v>50.0</v>
      </c>
      <c r="D1829" s="2"/>
      <c r="E1829" s="2"/>
      <c r="F1829" s="2"/>
      <c r="G1829" s="2"/>
      <c r="H1829" s="2"/>
    </row>
    <row r="1830">
      <c r="A1830" s="1" t="s">
        <v>1026</v>
      </c>
      <c r="B1830" s="1"/>
      <c r="C1830" s="1">
        <v>78.0</v>
      </c>
      <c r="D1830" s="2"/>
      <c r="E1830" s="2"/>
      <c r="F1830" s="2"/>
      <c r="G1830" s="2"/>
      <c r="H1830" s="2"/>
    </row>
    <row r="1831">
      <c r="A1831" s="1" t="s">
        <v>1027</v>
      </c>
      <c r="B1831" s="1"/>
      <c r="C1831" s="1">
        <v>10.0</v>
      </c>
      <c r="D1831" s="2"/>
      <c r="E1831" s="2"/>
      <c r="F1831" s="2"/>
      <c r="G1831" s="2"/>
      <c r="H1831" s="2"/>
    </row>
    <row r="1832">
      <c r="A1832" s="1" t="s">
        <v>1028</v>
      </c>
      <c r="B1832" s="1"/>
      <c r="C1832" s="1">
        <v>0.0</v>
      </c>
      <c r="D1832" s="2"/>
      <c r="E1832" s="2"/>
      <c r="F1832" s="2"/>
      <c r="G1832" s="2"/>
      <c r="H1832" s="2"/>
    </row>
    <row r="1833">
      <c r="A1833" s="1" t="s">
        <v>1029</v>
      </c>
      <c r="B1833" s="1"/>
      <c r="C1833" s="1">
        <v>80.0</v>
      </c>
      <c r="D1833" s="2"/>
      <c r="E1833" s="2"/>
      <c r="F1833" s="2"/>
      <c r="G1833" s="2"/>
      <c r="H1833" s="2"/>
    </row>
    <row r="1834">
      <c r="A1834" s="1" t="s">
        <v>1030</v>
      </c>
      <c r="B1834" s="1"/>
      <c r="C1834" s="1">
        <v>0.0</v>
      </c>
      <c r="D1834" s="2"/>
      <c r="E1834" s="2"/>
      <c r="F1834" s="2"/>
      <c r="G1834" s="2"/>
      <c r="H1834" s="2"/>
    </row>
    <row r="1835">
      <c r="A1835" s="1" t="s">
        <v>1031</v>
      </c>
      <c r="B1835" s="1"/>
      <c r="C1835" s="1">
        <v>0.0</v>
      </c>
      <c r="D1835" s="2"/>
      <c r="E1835" s="2"/>
      <c r="F1835" s="2"/>
      <c r="G1835" s="2"/>
      <c r="H1835" s="2"/>
    </row>
    <row r="1836">
      <c r="A1836" s="1" t="s">
        <v>1032</v>
      </c>
      <c r="B1836" s="1"/>
      <c r="C1836" s="1">
        <v>0.0</v>
      </c>
      <c r="D1836" s="2"/>
      <c r="E1836" s="2"/>
      <c r="F1836" s="2"/>
      <c r="G1836" s="2"/>
      <c r="H1836" s="2"/>
    </row>
    <row r="1837">
      <c r="A1837" s="1" t="s">
        <v>1033</v>
      </c>
      <c r="B1837" s="1"/>
      <c r="C1837" s="1">
        <v>90.0</v>
      </c>
      <c r="D1837" s="2"/>
      <c r="E1837" s="2"/>
      <c r="F1837" s="2"/>
      <c r="G1837" s="2"/>
      <c r="H1837" s="2"/>
    </row>
    <row r="1838">
      <c r="A1838" s="1" t="s">
        <v>1034</v>
      </c>
      <c r="B1838" s="1"/>
      <c r="C1838" s="1">
        <v>40.0</v>
      </c>
      <c r="D1838" s="2"/>
      <c r="E1838" s="2"/>
      <c r="F1838" s="2"/>
      <c r="G1838" s="2"/>
      <c r="H1838" s="2"/>
    </row>
    <row r="1839">
      <c r="A1839" s="1" t="s">
        <v>1035</v>
      </c>
      <c r="B1839" s="1"/>
      <c r="C1839" s="1">
        <v>20.0</v>
      </c>
      <c r="D1839" s="2"/>
      <c r="E1839" s="2"/>
      <c r="F1839" s="2"/>
      <c r="G1839" s="2"/>
      <c r="H1839" s="2"/>
    </row>
    <row r="1840">
      <c r="A1840" s="1" t="s">
        <v>1036</v>
      </c>
      <c r="B1840" s="1"/>
      <c r="C1840" s="1">
        <v>0.0</v>
      </c>
      <c r="D1840" s="2"/>
      <c r="E1840" s="2"/>
      <c r="F1840" s="2"/>
      <c r="G1840" s="2"/>
      <c r="H1840" s="2"/>
    </row>
    <row r="1841">
      <c r="A1841" s="1" t="s">
        <v>1037</v>
      </c>
      <c r="B1841" s="1"/>
      <c r="C1841" s="1">
        <v>70.0</v>
      </c>
      <c r="D1841" s="2"/>
      <c r="E1841" s="2"/>
      <c r="F1841" s="2"/>
      <c r="G1841" s="2"/>
      <c r="H1841" s="2"/>
    </row>
    <row r="1842">
      <c r="A1842" s="1" t="s">
        <v>1038</v>
      </c>
      <c r="B1842" s="1"/>
      <c r="C1842" s="1">
        <v>67.0</v>
      </c>
      <c r="D1842" s="2"/>
      <c r="E1842" s="2"/>
      <c r="F1842" s="2"/>
      <c r="G1842" s="2"/>
      <c r="H1842" s="2"/>
    </row>
    <row r="1843">
      <c r="A1843" s="1" t="s">
        <v>1039</v>
      </c>
      <c r="B1843" s="1"/>
      <c r="C1843" s="1">
        <v>0.0</v>
      </c>
      <c r="D1843" s="2"/>
      <c r="E1843" s="2"/>
      <c r="F1843" s="2"/>
      <c r="G1843" s="2"/>
      <c r="H1843" s="2"/>
    </row>
    <row r="1844">
      <c r="A1844" s="1" t="s">
        <v>1040</v>
      </c>
      <c r="B1844" s="1"/>
      <c r="C1844" s="1">
        <v>40.0</v>
      </c>
      <c r="D1844" s="2"/>
      <c r="E1844" s="2"/>
      <c r="F1844" s="2"/>
      <c r="G1844" s="2"/>
      <c r="H1844" s="2"/>
    </row>
    <row r="1845">
      <c r="A1845" s="1" t="s">
        <v>1041</v>
      </c>
      <c r="B1845" s="1"/>
      <c r="C1845" s="1">
        <v>0.0</v>
      </c>
      <c r="D1845" s="2"/>
      <c r="E1845" s="2"/>
      <c r="F1845" s="2"/>
      <c r="G1845" s="2"/>
      <c r="H1845" s="2"/>
    </row>
    <row r="1846">
      <c r="A1846" s="1" t="s">
        <v>1042</v>
      </c>
      <c r="B1846" s="1"/>
      <c r="C1846" s="1">
        <v>0.0</v>
      </c>
      <c r="D1846" s="2"/>
      <c r="E1846" s="2"/>
      <c r="F1846" s="2"/>
      <c r="G1846" s="2"/>
      <c r="H1846" s="2"/>
    </row>
    <row r="1847">
      <c r="A1847" s="1" t="s">
        <v>1043</v>
      </c>
      <c r="B1847" s="1"/>
      <c r="C1847" s="1">
        <v>0.0</v>
      </c>
      <c r="D1847" s="2"/>
      <c r="E1847" s="2"/>
      <c r="F1847" s="2"/>
      <c r="G1847" s="2"/>
      <c r="H1847" s="2"/>
    </row>
    <row r="1848">
      <c r="A1848" s="1" t="s">
        <v>1044</v>
      </c>
      <c r="B1848" s="1"/>
      <c r="C1848" s="1">
        <v>32.0</v>
      </c>
      <c r="D1848" s="2"/>
      <c r="E1848" s="2"/>
      <c r="F1848" s="2"/>
      <c r="G1848" s="2"/>
      <c r="H1848" s="2"/>
    </row>
    <row r="1849">
      <c r="A1849" s="1" t="s">
        <v>1045</v>
      </c>
      <c r="B1849" s="1"/>
      <c r="C1849" s="1">
        <v>53.0</v>
      </c>
      <c r="D1849" s="2"/>
      <c r="E1849" s="2"/>
      <c r="F1849" s="2"/>
      <c r="G1849" s="2"/>
      <c r="H1849" s="2"/>
    </row>
    <row r="1850">
      <c r="A1850" s="1" t="s">
        <v>1046</v>
      </c>
      <c r="B1850" s="1"/>
      <c r="C1850" s="1">
        <v>37.0</v>
      </c>
      <c r="D1850" s="2"/>
      <c r="E1850" s="2"/>
      <c r="F1850" s="2"/>
      <c r="G1850" s="2"/>
      <c r="H1850" s="2"/>
    </row>
    <row r="1851">
      <c r="A1851" s="1" t="s">
        <v>1047</v>
      </c>
      <c r="B1851" s="1"/>
      <c r="C1851" s="1">
        <v>0.0</v>
      </c>
      <c r="D1851" s="2"/>
      <c r="E1851" s="2"/>
      <c r="F1851" s="2"/>
      <c r="G1851" s="2"/>
      <c r="H1851" s="2"/>
    </row>
    <row r="1852">
      <c r="A1852" s="1" t="s">
        <v>1048</v>
      </c>
      <c r="B1852" s="1"/>
      <c r="C1852" s="1">
        <v>0.0</v>
      </c>
      <c r="D1852" s="2"/>
      <c r="E1852" s="2"/>
      <c r="F1852" s="2"/>
      <c r="G1852" s="2"/>
      <c r="H1852" s="2"/>
    </row>
    <row r="1853">
      <c r="A1853" s="1" t="s">
        <v>1049</v>
      </c>
      <c r="B1853" s="1"/>
      <c r="C1853" s="1">
        <v>0.0</v>
      </c>
      <c r="D1853" s="2"/>
      <c r="E1853" s="2"/>
      <c r="F1853" s="2"/>
      <c r="G1853" s="2"/>
      <c r="H1853" s="2"/>
    </row>
    <row r="1854">
      <c r="A1854" s="1" t="s">
        <v>1050</v>
      </c>
      <c r="B1854" s="1"/>
      <c r="C1854" s="1">
        <v>8.0</v>
      </c>
      <c r="D1854" s="2"/>
      <c r="E1854" s="2"/>
      <c r="F1854" s="2"/>
      <c r="G1854" s="2"/>
      <c r="H1854" s="2"/>
    </row>
    <row r="1855">
      <c r="A1855" s="1" t="s">
        <v>1051</v>
      </c>
      <c r="B1855" s="1"/>
      <c r="C1855" s="1">
        <v>0.0</v>
      </c>
      <c r="D1855" s="2"/>
      <c r="E1855" s="2"/>
      <c r="F1855" s="2"/>
      <c r="G1855" s="2"/>
      <c r="H1855" s="2"/>
    </row>
    <row r="1856">
      <c r="A1856" s="1" t="s">
        <v>1052</v>
      </c>
      <c r="B1856" s="1"/>
      <c r="C1856" s="1">
        <v>0.0</v>
      </c>
      <c r="D1856" s="2"/>
      <c r="E1856" s="2"/>
      <c r="F1856" s="2"/>
      <c r="G1856" s="2"/>
      <c r="H1856" s="2"/>
    </row>
    <row r="1857">
      <c r="A1857" s="1" t="s">
        <v>1053</v>
      </c>
      <c r="B1857" s="1"/>
      <c r="C1857" s="1">
        <v>70.0</v>
      </c>
      <c r="D1857" s="2"/>
      <c r="E1857" s="2"/>
      <c r="F1857" s="2"/>
      <c r="G1857" s="2"/>
      <c r="H1857" s="2"/>
    </row>
    <row r="1858">
      <c r="A1858" s="1" t="s">
        <v>1054</v>
      </c>
      <c r="B1858" s="1"/>
      <c r="C1858" s="1">
        <v>48.0</v>
      </c>
      <c r="D1858" s="2"/>
      <c r="E1858" s="2"/>
      <c r="F1858" s="2"/>
      <c r="G1858" s="2"/>
      <c r="H1858" s="2"/>
    </row>
    <row r="1859">
      <c r="A1859" s="1" t="s">
        <v>1055</v>
      </c>
      <c r="B1859" s="1"/>
      <c r="C1859" s="1">
        <v>0.0</v>
      </c>
      <c r="D1859" s="2"/>
      <c r="E1859" s="2"/>
      <c r="F1859" s="2"/>
      <c r="G1859" s="2"/>
      <c r="H1859" s="2"/>
    </row>
    <row r="1860">
      <c r="A1860" s="1" t="s">
        <v>1056</v>
      </c>
      <c r="B1860" s="1"/>
      <c r="C1860" s="1">
        <v>0.0</v>
      </c>
      <c r="D1860" s="2"/>
      <c r="E1860" s="2"/>
      <c r="F1860" s="2"/>
      <c r="G1860" s="2"/>
      <c r="H1860" s="2"/>
    </row>
    <row r="1861">
      <c r="A1861" s="1" t="s">
        <v>1057</v>
      </c>
      <c r="B1861" s="1"/>
      <c r="C1861" s="1">
        <v>20.0</v>
      </c>
      <c r="D1861" s="2"/>
      <c r="E1861" s="2"/>
      <c r="F1861" s="2"/>
      <c r="G1861" s="2"/>
      <c r="H1861" s="2"/>
    </row>
    <row r="1862">
      <c r="A1862" s="1" t="s">
        <v>1058</v>
      </c>
      <c r="B1862" s="1"/>
      <c r="C1862" s="1">
        <v>74.0</v>
      </c>
      <c r="D1862" s="2"/>
      <c r="E1862" s="2"/>
      <c r="F1862" s="2"/>
      <c r="G1862" s="2"/>
      <c r="H1862" s="2"/>
    </row>
    <row r="1863">
      <c r="A1863" s="1" t="s">
        <v>1059</v>
      </c>
      <c r="B1863" s="1"/>
      <c r="C1863" s="1">
        <v>97.0</v>
      </c>
      <c r="D1863" s="2"/>
      <c r="E1863" s="2"/>
      <c r="F1863" s="2"/>
      <c r="G1863" s="2"/>
      <c r="H1863" s="2"/>
    </row>
    <row r="1864">
      <c r="A1864" s="1" t="s">
        <v>1060</v>
      </c>
      <c r="B1864" s="1"/>
      <c r="C1864" s="1">
        <v>0.0</v>
      </c>
      <c r="D1864" s="2"/>
      <c r="E1864" s="2"/>
      <c r="F1864" s="2"/>
      <c r="G1864" s="2"/>
      <c r="H1864" s="2"/>
    </row>
    <row r="1865">
      <c r="A1865" s="1" t="s">
        <v>1061</v>
      </c>
      <c r="B1865" s="1"/>
      <c r="C1865" s="1">
        <v>0.0</v>
      </c>
      <c r="D1865" s="2"/>
      <c r="E1865" s="2"/>
      <c r="F1865" s="2"/>
      <c r="G1865" s="2"/>
      <c r="H1865" s="2"/>
    </row>
    <row r="1866">
      <c r="A1866" s="1" t="s">
        <v>1062</v>
      </c>
      <c r="B1866" s="1"/>
      <c r="C1866" s="1">
        <v>0.0</v>
      </c>
      <c r="D1866" s="2"/>
      <c r="E1866" s="2"/>
      <c r="F1866" s="2"/>
      <c r="G1866" s="2"/>
      <c r="H1866" s="2"/>
    </row>
    <row r="1867">
      <c r="A1867" s="1" t="s">
        <v>1063</v>
      </c>
      <c r="B1867" s="1"/>
      <c r="C1867" s="1">
        <v>84.0</v>
      </c>
      <c r="D1867" s="2"/>
      <c r="E1867" s="2"/>
      <c r="F1867" s="2"/>
      <c r="G1867" s="2"/>
      <c r="H1867" s="2"/>
    </row>
    <row r="1868">
      <c r="A1868" s="1" t="s">
        <v>1064</v>
      </c>
      <c r="B1868" s="1"/>
      <c r="C1868" s="1">
        <v>0.0</v>
      </c>
      <c r="D1868" s="2"/>
      <c r="E1868" s="2"/>
      <c r="F1868" s="2"/>
      <c r="G1868" s="2"/>
      <c r="H1868" s="2"/>
    </row>
    <row r="1869">
      <c r="A1869" s="1" t="s">
        <v>1065</v>
      </c>
      <c r="B1869" s="1"/>
      <c r="C1869" s="1">
        <v>26.0</v>
      </c>
      <c r="D1869" s="2"/>
      <c r="E1869" s="2"/>
      <c r="F1869" s="2"/>
      <c r="G1869" s="2"/>
      <c r="H1869" s="2"/>
    </row>
    <row r="1870">
      <c r="A1870" s="1" t="s">
        <v>1066</v>
      </c>
      <c r="B1870" s="1"/>
      <c r="C1870" s="1">
        <v>90.0</v>
      </c>
      <c r="D1870" s="2"/>
      <c r="E1870" s="2"/>
      <c r="F1870" s="2"/>
      <c r="G1870" s="2"/>
      <c r="H1870" s="2"/>
    </row>
    <row r="1871">
      <c r="A1871" s="1" t="s">
        <v>1067</v>
      </c>
      <c r="B1871" s="1"/>
      <c r="C1871" s="1">
        <v>0.0</v>
      </c>
      <c r="D1871" s="2"/>
      <c r="E1871" s="2"/>
      <c r="F1871" s="2"/>
      <c r="G1871" s="2"/>
      <c r="H1871" s="2"/>
    </row>
    <row r="1872">
      <c r="A1872" s="1" t="s">
        <v>1068</v>
      </c>
      <c r="B1872" s="1"/>
      <c r="C1872" s="1">
        <v>51.0</v>
      </c>
      <c r="D1872" s="2"/>
      <c r="E1872" s="2"/>
      <c r="F1872" s="2"/>
      <c r="G1872" s="2"/>
      <c r="H1872" s="2"/>
    </row>
    <row r="1873">
      <c r="A1873" s="1" t="s">
        <v>1069</v>
      </c>
      <c r="B1873" s="1"/>
      <c r="C1873" s="1">
        <v>0.0</v>
      </c>
      <c r="D1873" s="2"/>
      <c r="E1873" s="2"/>
      <c r="F1873" s="2"/>
      <c r="G1873" s="2"/>
      <c r="H1873" s="2"/>
    </row>
    <row r="1874">
      <c r="A1874" s="1" t="s">
        <v>1070</v>
      </c>
      <c r="B1874" s="1"/>
      <c r="C1874" s="1">
        <v>0.0</v>
      </c>
      <c r="D1874" s="2"/>
      <c r="E1874" s="2"/>
      <c r="F1874" s="2"/>
      <c r="G1874" s="2"/>
      <c r="H1874" s="2"/>
    </row>
    <row r="1875">
      <c r="A1875" s="1" t="s">
        <v>1071</v>
      </c>
      <c r="B1875" s="1"/>
      <c r="C1875" s="1">
        <v>0.0</v>
      </c>
      <c r="D1875" s="2"/>
      <c r="E1875" s="2"/>
      <c r="F1875" s="2"/>
      <c r="G1875" s="2"/>
      <c r="H1875" s="2"/>
    </row>
    <row r="1876">
      <c r="A1876" s="1" t="s">
        <v>1072</v>
      </c>
      <c r="B1876" s="1"/>
      <c r="C1876" s="1">
        <v>0.0</v>
      </c>
      <c r="D1876" s="2"/>
      <c r="E1876" s="2"/>
      <c r="F1876" s="2"/>
      <c r="G1876" s="2"/>
      <c r="H1876" s="2"/>
    </row>
    <row r="1877">
      <c r="A1877" s="1" t="s">
        <v>1073</v>
      </c>
      <c r="B1877" s="1"/>
      <c r="C1877" s="1">
        <v>0.0</v>
      </c>
      <c r="D1877" s="2"/>
      <c r="E1877" s="2"/>
      <c r="F1877" s="2"/>
      <c r="G1877" s="2"/>
      <c r="H1877" s="2"/>
    </row>
    <row r="1878">
      <c r="A1878" s="1" t="s">
        <v>1074</v>
      </c>
      <c r="B1878" s="1"/>
      <c r="C1878" s="1">
        <v>61.0</v>
      </c>
      <c r="D1878" s="2"/>
      <c r="E1878" s="2"/>
      <c r="F1878" s="2"/>
      <c r="G1878" s="2"/>
      <c r="H1878" s="2"/>
    </row>
    <row r="1879">
      <c r="A1879" s="1" t="s">
        <v>1075</v>
      </c>
      <c r="B1879" s="1"/>
      <c r="C1879" s="1">
        <v>0.0</v>
      </c>
      <c r="D1879" s="2"/>
      <c r="E1879" s="2"/>
      <c r="F1879" s="2"/>
      <c r="G1879" s="2"/>
      <c r="H1879" s="2"/>
    </row>
    <row r="1880">
      <c r="A1880" s="1" t="s">
        <v>1076</v>
      </c>
      <c r="B1880" s="1"/>
      <c r="C1880" s="1">
        <v>0.0</v>
      </c>
      <c r="D1880" s="2"/>
      <c r="E1880" s="2"/>
      <c r="F1880" s="2"/>
      <c r="G1880" s="2"/>
      <c r="H1880" s="2"/>
    </row>
    <row r="1881">
      <c r="A1881" s="1" t="s">
        <v>1077</v>
      </c>
      <c r="B1881" s="1"/>
      <c r="C1881" s="1">
        <v>0.0</v>
      </c>
      <c r="D1881" s="2"/>
      <c r="E1881" s="2"/>
      <c r="F1881" s="2"/>
      <c r="G1881" s="2"/>
      <c r="H1881" s="2"/>
    </row>
    <row r="1882">
      <c r="A1882" s="1" t="s">
        <v>1078</v>
      </c>
      <c r="B1882" s="1"/>
      <c r="C1882" s="1">
        <v>0.0</v>
      </c>
      <c r="D1882" s="2"/>
      <c r="E1882" s="2"/>
      <c r="F1882" s="2"/>
      <c r="G1882" s="2"/>
      <c r="H1882" s="2"/>
    </row>
    <row r="1883">
      <c r="A1883" s="1" t="s">
        <v>1007</v>
      </c>
      <c r="B1883" s="1"/>
      <c r="C1883" s="1">
        <v>0.0</v>
      </c>
      <c r="D1883" s="2"/>
      <c r="E1883" s="2"/>
      <c r="F1883" s="2"/>
      <c r="G1883" s="2"/>
      <c r="H1883" s="2"/>
    </row>
    <row r="1884">
      <c r="A1884" s="1" t="s">
        <v>1008</v>
      </c>
      <c r="B1884" s="1"/>
      <c r="C1884" s="1">
        <v>43.0</v>
      </c>
      <c r="D1884" s="2"/>
      <c r="E1884" s="2"/>
      <c r="F1884" s="2"/>
      <c r="G1884" s="2"/>
      <c r="H1884" s="2"/>
    </row>
    <row r="1885">
      <c r="A1885" s="1" t="s">
        <v>1009</v>
      </c>
      <c r="B1885" s="1"/>
      <c r="C1885" s="1">
        <v>0.0</v>
      </c>
      <c r="D1885" s="2"/>
      <c r="E1885" s="2"/>
      <c r="F1885" s="2"/>
      <c r="G1885" s="2"/>
      <c r="H1885" s="2"/>
    </row>
    <row r="1886">
      <c r="A1886" s="1" t="s">
        <v>1010</v>
      </c>
      <c r="B1886" s="1"/>
      <c r="C1886" s="1" t="s">
        <v>1011</v>
      </c>
      <c r="D1886" s="1">
        <v>0.0</v>
      </c>
      <c r="E1886" s="2"/>
      <c r="F1886" s="2"/>
      <c r="G1886" s="2"/>
      <c r="H1886" s="2"/>
    </row>
    <row r="1887">
      <c r="A1887" s="1" t="s">
        <v>1012</v>
      </c>
      <c r="B1887" s="1"/>
      <c r="C1887" s="1">
        <v>0.0</v>
      </c>
      <c r="D1887" s="2"/>
      <c r="E1887" s="2"/>
      <c r="F1887" s="2"/>
      <c r="G1887" s="2"/>
      <c r="H1887" s="2"/>
    </row>
    <row r="1888">
      <c r="A1888" s="1" t="s">
        <v>1013</v>
      </c>
      <c r="B1888" s="1"/>
      <c r="C1888" s="1">
        <v>60.0</v>
      </c>
      <c r="D1888" s="2"/>
      <c r="E1888" s="2"/>
      <c r="F1888" s="2"/>
      <c r="G1888" s="2"/>
      <c r="H1888" s="2"/>
    </row>
    <row r="1889">
      <c r="A1889" s="1" t="s">
        <v>1014</v>
      </c>
      <c r="B1889" s="1"/>
      <c r="C1889" s="1">
        <v>0.0</v>
      </c>
      <c r="D1889" s="2"/>
      <c r="E1889" s="2"/>
      <c r="F1889" s="2"/>
      <c r="G1889" s="2"/>
      <c r="H1889" s="2"/>
    </row>
    <row r="1890">
      <c r="A1890" s="1" t="s">
        <v>1015</v>
      </c>
      <c r="B1890" s="1"/>
      <c r="C1890" s="1">
        <v>0.0</v>
      </c>
      <c r="D1890" s="2"/>
      <c r="E1890" s="2"/>
      <c r="F1890" s="2"/>
      <c r="G1890" s="2"/>
      <c r="H1890" s="2"/>
    </row>
    <row r="1891">
      <c r="A1891" s="1" t="s">
        <v>1016</v>
      </c>
      <c r="B1891" s="1"/>
      <c r="C1891" s="1">
        <v>0.0</v>
      </c>
      <c r="D1891" s="2"/>
      <c r="E1891" s="2"/>
      <c r="F1891" s="2"/>
      <c r="G1891" s="2"/>
      <c r="H1891" s="2"/>
    </row>
    <row r="1892">
      <c r="A1892" s="1" t="s">
        <v>1017</v>
      </c>
      <c r="B1892" s="1"/>
      <c r="C1892" s="1" t="s">
        <v>1018</v>
      </c>
      <c r="D1892" s="1" t="s">
        <v>1019</v>
      </c>
      <c r="E1892" s="1">
        <v>96.0</v>
      </c>
      <c r="F1892" s="2"/>
      <c r="G1892" s="2"/>
      <c r="H1892" s="2"/>
    </row>
    <row r="1893">
      <c r="A1893" s="1" t="s">
        <v>1020</v>
      </c>
      <c r="B1893" s="1"/>
      <c r="C1893" s="1">
        <v>0.0</v>
      </c>
      <c r="D1893" s="2"/>
      <c r="E1893" s="2"/>
      <c r="F1893" s="2"/>
      <c r="G1893" s="2"/>
      <c r="H1893" s="2"/>
    </row>
    <row r="1894">
      <c r="A1894" s="1" t="s">
        <v>1021</v>
      </c>
      <c r="B1894" s="1"/>
      <c r="C1894" s="1">
        <v>0.0</v>
      </c>
      <c r="D1894" s="2"/>
      <c r="E1894" s="2"/>
      <c r="F1894" s="2"/>
      <c r="G1894" s="2"/>
      <c r="H1894" s="2"/>
    </row>
    <row r="1895">
      <c r="A1895" s="1" t="s">
        <v>1022</v>
      </c>
      <c r="B1895" s="1"/>
      <c r="C1895" s="1">
        <v>0.0</v>
      </c>
      <c r="D1895" s="2"/>
      <c r="E1895" s="2"/>
      <c r="F1895" s="2"/>
      <c r="G1895" s="2"/>
      <c r="H1895" s="2"/>
    </row>
    <row r="1896">
      <c r="A1896" s="1" t="s">
        <v>1023</v>
      </c>
      <c r="B1896" s="1"/>
      <c r="C1896" s="1">
        <v>6.0</v>
      </c>
      <c r="D1896" s="2"/>
      <c r="E1896" s="2"/>
      <c r="F1896" s="2"/>
      <c r="G1896" s="2"/>
      <c r="H1896" s="2"/>
    </row>
    <row r="1897">
      <c r="A1897" s="1" t="s">
        <v>1024</v>
      </c>
      <c r="B1897" s="1"/>
      <c r="C1897" s="1">
        <v>0.0</v>
      </c>
      <c r="D1897" s="2"/>
      <c r="E1897" s="2"/>
      <c r="F1897" s="2"/>
      <c r="G1897" s="2"/>
      <c r="H1897" s="2"/>
    </row>
    <row r="1898">
      <c r="A1898" s="1" t="s">
        <v>1025</v>
      </c>
      <c r="B1898" s="1"/>
      <c r="C1898" s="1">
        <v>50.0</v>
      </c>
      <c r="D1898" s="2"/>
      <c r="E1898" s="2"/>
      <c r="F1898" s="2"/>
      <c r="G1898" s="2"/>
      <c r="H1898" s="2"/>
    </row>
    <row r="1899">
      <c r="A1899" s="1" t="s">
        <v>1026</v>
      </c>
      <c r="B1899" s="1"/>
      <c r="C1899" s="1">
        <v>78.0</v>
      </c>
      <c r="D1899" s="2"/>
      <c r="E1899" s="2"/>
      <c r="F1899" s="2"/>
      <c r="G1899" s="2"/>
      <c r="H1899" s="2"/>
    </row>
    <row r="1900">
      <c r="A1900" s="1" t="s">
        <v>1027</v>
      </c>
      <c r="B1900" s="1"/>
      <c r="C1900" s="1">
        <v>10.0</v>
      </c>
      <c r="D1900" s="2"/>
      <c r="E1900" s="2"/>
      <c r="F1900" s="2"/>
      <c r="G1900" s="2"/>
      <c r="H1900" s="2"/>
    </row>
    <row r="1901">
      <c r="A1901" s="1" t="s">
        <v>1028</v>
      </c>
      <c r="B1901" s="1"/>
      <c r="C1901" s="1">
        <v>0.0</v>
      </c>
      <c r="D1901" s="2"/>
      <c r="E1901" s="2"/>
      <c r="F1901" s="2"/>
      <c r="G1901" s="2"/>
      <c r="H1901" s="2"/>
    </row>
    <row r="1902">
      <c r="A1902" s="1" t="s">
        <v>1029</v>
      </c>
      <c r="B1902" s="1"/>
      <c r="C1902" s="1">
        <v>80.0</v>
      </c>
      <c r="D1902" s="2"/>
      <c r="E1902" s="2"/>
      <c r="F1902" s="2"/>
      <c r="G1902" s="2"/>
      <c r="H1902" s="2"/>
    </row>
    <row r="1903">
      <c r="A1903" s="1" t="s">
        <v>1030</v>
      </c>
      <c r="B1903" s="1"/>
      <c r="C1903" s="1">
        <v>0.0</v>
      </c>
      <c r="D1903" s="2"/>
      <c r="E1903" s="2"/>
      <c r="F1903" s="2"/>
      <c r="G1903" s="2"/>
      <c r="H1903" s="2"/>
    </row>
    <row r="1904">
      <c r="A1904" s="1" t="s">
        <v>1031</v>
      </c>
      <c r="B1904" s="1"/>
      <c r="C1904" s="1">
        <v>0.0</v>
      </c>
      <c r="D1904" s="2"/>
      <c r="E1904" s="2"/>
      <c r="F1904" s="2"/>
      <c r="G1904" s="2"/>
      <c r="H1904" s="2"/>
    </row>
    <row r="1905">
      <c r="A1905" s="1" t="s">
        <v>1032</v>
      </c>
      <c r="B1905" s="1"/>
      <c r="C1905" s="1">
        <v>0.0</v>
      </c>
      <c r="D1905" s="2"/>
      <c r="E1905" s="2"/>
      <c r="F1905" s="2"/>
      <c r="G1905" s="2"/>
      <c r="H1905" s="2"/>
    </row>
    <row r="1906">
      <c r="A1906" s="1" t="s">
        <v>1033</v>
      </c>
      <c r="B1906" s="1"/>
      <c r="C1906" s="1">
        <v>90.0</v>
      </c>
      <c r="D1906" s="2"/>
      <c r="E1906" s="2"/>
      <c r="F1906" s="2"/>
      <c r="G1906" s="2"/>
      <c r="H1906" s="2"/>
    </row>
    <row r="1907">
      <c r="A1907" s="1" t="s">
        <v>1034</v>
      </c>
      <c r="B1907" s="1"/>
      <c r="C1907" s="1">
        <v>40.0</v>
      </c>
      <c r="D1907" s="2"/>
      <c r="E1907" s="2"/>
      <c r="F1907" s="2"/>
      <c r="G1907" s="2"/>
      <c r="H1907" s="2"/>
    </row>
    <row r="1908">
      <c r="A1908" s="1" t="s">
        <v>1035</v>
      </c>
      <c r="B1908" s="1"/>
      <c r="C1908" s="1">
        <v>20.0</v>
      </c>
      <c r="D1908" s="2"/>
      <c r="E1908" s="2"/>
      <c r="F1908" s="2"/>
      <c r="G1908" s="2"/>
      <c r="H1908" s="2"/>
    </row>
    <row r="1909">
      <c r="A1909" s="1" t="s">
        <v>1036</v>
      </c>
      <c r="B1909" s="1"/>
      <c r="C1909" s="1">
        <v>0.0</v>
      </c>
      <c r="D1909" s="2"/>
      <c r="E1909" s="2"/>
      <c r="F1909" s="2"/>
      <c r="G1909" s="2"/>
      <c r="H1909" s="2"/>
    </row>
    <row r="1910">
      <c r="A1910" s="1" t="s">
        <v>1037</v>
      </c>
      <c r="B1910" s="1"/>
      <c r="C1910" s="1">
        <v>70.0</v>
      </c>
      <c r="D1910" s="2"/>
      <c r="E1910" s="2"/>
      <c r="F1910" s="2"/>
      <c r="G1910" s="2"/>
      <c r="H1910" s="2"/>
    </row>
    <row r="1911">
      <c r="A1911" s="1" t="s">
        <v>1038</v>
      </c>
      <c r="B1911" s="1"/>
      <c r="C1911" s="1">
        <v>67.0</v>
      </c>
      <c r="D1911" s="2"/>
      <c r="E1911" s="2"/>
      <c r="F1911" s="2"/>
      <c r="G1911" s="2"/>
      <c r="H1911" s="2"/>
    </row>
    <row r="1912">
      <c r="A1912" s="1" t="s">
        <v>1039</v>
      </c>
      <c r="B1912" s="1"/>
      <c r="C1912" s="1">
        <v>0.0</v>
      </c>
      <c r="D1912" s="2"/>
      <c r="E1912" s="2"/>
      <c r="F1912" s="2"/>
      <c r="G1912" s="2"/>
      <c r="H1912" s="2"/>
    </row>
    <row r="1913">
      <c r="A1913" s="1" t="s">
        <v>1040</v>
      </c>
      <c r="B1913" s="1"/>
      <c r="C1913" s="1">
        <v>40.0</v>
      </c>
      <c r="D1913" s="2"/>
      <c r="E1913" s="2"/>
      <c r="F1913" s="2"/>
      <c r="G1913" s="2"/>
      <c r="H1913" s="2"/>
    </row>
    <row r="1914">
      <c r="A1914" s="1" t="s">
        <v>1041</v>
      </c>
      <c r="B1914" s="1"/>
      <c r="C1914" s="1">
        <v>0.0</v>
      </c>
      <c r="D1914" s="2"/>
      <c r="E1914" s="2"/>
      <c r="F1914" s="2"/>
      <c r="G1914" s="2"/>
      <c r="H1914" s="2"/>
    </row>
    <row r="1915">
      <c r="A1915" s="1" t="s">
        <v>1042</v>
      </c>
      <c r="B1915" s="1"/>
      <c r="C1915" s="1">
        <v>0.0</v>
      </c>
      <c r="D1915" s="2"/>
      <c r="E1915" s="2"/>
      <c r="F1915" s="2"/>
      <c r="G1915" s="2"/>
      <c r="H1915" s="2"/>
    </row>
    <row r="1916">
      <c r="A1916" s="1" t="s">
        <v>1043</v>
      </c>
      <c r="B1916" s="1"/>
      <c r="C1916" s="1">
        <v>0.0</v>
      </c>
      <c r="D1916" s="2"/>
      <c r="E1916" s="2"/>
      <c r="F1916" s="2"/>
      <c r="G1916" s="2"/>
      <c r="H1916" s="2"/>
    </row>
    <row r="1917">
      <c r="A1917" s="1" t="s">
        <v>1044</v>
      </c>
      <c r="B1917" s="1"/>
      <c r="C1917" s="1">
        <v>32.0</v>
      </c>
      <c r="D1917" s="2"/>
      <c r="E1917" s="2"/>
      <c r="F1917" s="2"/>
      <c r="G1917" s="2"/>
      <c r="H1917" s="2"/>
    </row>
    <row r="1918">
      <c r="A1918" s="1" t="s">
        <v>1045</v>
      </c>
      <c r="B1918" s="1"/>
      <c r="C1918" s="1">
        <v>53.0</v>
      </c>
      <c r="D1918" s="2"/>
      <c r="E1918" s="2"/>
      <c r="F1918" s="2"/>
      <c r="G1918" s="2"/>
      <c r="H1918" s="2"/>
    </row>
    <row r="1919">
      <c r="A1919" s="1" t="s">
        <v>1046</v>
      </c>
      <c r="B1919" s="1"/>
      <c r="C1919" s="1">
        <v>37.0</v>
      </c>
      <c r="D1919" s="2"/>
      <c r="E1919" s="2"/>
      <c r="F1919" s="2"/>
      <c r="G1919" s="2"/>
      <c r="H1919" s="2"/>
    </row>
    <row r="1920">
      <c r="A1920" s="1" t="s">
        <v>1047</v>
      </c>
      <c r="B1920" s="1"/>
      <c r="C1920" s="1">
        <v>0.0</v>
      </c>
      <c r="D1920" s="2"/>
      <c r="E1920" s="2"/>
      <c r="F1920" s="2"/>
      <c r="G1920" s="2"/>
      <c r="H1920" s="2"/>
    </row>
    <row r="1921">
      <c r="A1921" s="1" t="s">
        <v>1048</v>
      </c>
      <c r="B1921" s="1"/>
      <c r="C1921" s="1">
        <v>0.0</v>
      </c>
      <c r="D1921" s="2"/>
      <c r="E1921" s="2"/>
      <c r="F1921" s="2"/>
      <c r="G1921" s="2"/>
      <c r="H1921" s="2"/>
    </row>
    <row r="1922">
      <c r="A1922" s="1" t="s">
        <v>1049</v>
      </c>
      <c r="B1922" s="1"/>
      <c r="C1922" s="1">
        <v>0.0</v>
      </c>
      <c r="D1922" s="2"/>
      <c r="E1922" s="2"/>
      <c r="F1922" s="2"/>
      <c r="G1922" s="2"/>
      <c r="H1922" s="2"/>
    </row>
    <row r="1923">
      <c r="A1923" s="1" t="s">
        <v>1050</v>
      </c>
      <c r="B1923" s="1"/>
      <c r="C1923" s="1">
        <v>8.0</v>
      </c>
      <c r="D1923" s="2"/>
      <c r="E1923" s="2"/>
      <c r="F1923" s="2"/>
      <c r="G1923" s="2"/>
      <c r="H1923" s="2"/>
    </row>
    <row r="1924">
      <c r="A1924" s="1" t="s">
        <v>1051</v>
      </c>
      <c r="B1924" s="1"/>
      <c r="C1924" s="1">
        <v>0.0</v>
      </c>
      <c r="D1924" s="2"/>
      <c r="E1924" s="2"/>
      <c r="F1924" s="2"/>
      <c r="G1924" s="2"/>
      <c r="H1924" s="2"/>
    </row>
    <row r="1925">
      <c r="A1925" s="1" t="s">
        <v>1052</v>
      </c>
      <c r="B1925" s="1"/>
      <c r="C1925" s="1">
        <v>0.0</v>
      </c>
      <c r="D1925" s="2"/>
      <c r="E1925" s="2"/>
      <c r="F1925" s="2"/>
      <c r="G1925" s="2"/>
      <c r="H1925" s="2"/>
    </row>
    <row r="1926">
      <c r="A1926" s="1" t="s">
        <v>1053</v>
      </c>
      <c r="B1926" s="1"/>
      <c r="C1926" s="1">
        <v>70.0</v>
      </c>
      <c r="D1926" s="2"/>
      <c r="E1926" s="2"/>
      <c r="F1926" s="2"/>
      <c r="G1926" s="2"/>
      <c r="H1926" s="2"/>
    </row>
    <row r="1927">
      <c r="A1927" s="1" t="s">
        <v>1054</v>
      </c>
      <c r="B1927" s="1"/>
      <c r="C1927" s="1">
        <v>48.0</v>
      </c>
      <c r="D1927" s="2"/>
      <c r="E1927" s="2"/>
      <c r="F1927" s="2"/>
      <c r="G1927" s="2"/>
      <c r="H1927" s="2"/>
    </row>
    <row r="1928">
      <c r="A1928" s="1" t="s">
        <v>1055</v>
      </c>
      <c r="B1928" s="1"/>
      <c r="C1928" s="1">
        <v>0.0</v>
      </c>
      <c r="D1928" s="2"/>
      <c r="E1928" s="2"/>
      <c r="F1928" s="2"/>
      <c r="G1928" s="2"/>
      <c r="H1928" s="2"/>
    </row>
    <row r="1929">
      <c r="A1929" s="1" t="s">
        <v>1056</v>
      </c>
      <c r="B1929" s="1"/>
      <c r="C1929" s="1">
        <v>0.0</v>
      </c>
      <c r="D1929" s="2"/>
      <c r="E1929" s="2"/>
      <c r="F1929" s="2"/>
      <c r="G1929" s="2"/>
      <c r="H1929" s="2"/>
    </row>
    <row r="1930">
      <c r="A1930" s="1" t="s">
        <v>1057</v>
      </c>
      <c r="B1930" s="1"/>
      <c r="C1930" s="1">
        <v>20.0</v>
      </c>
      <c r="D1930" s="2"/>
      <c r="E1930" s="2"/>
      <c r="F1930" s="2"/>
      <c r="G1930" s="2"/>
      <c r="H1930" s="2"/>
    </row>
    <row r="1931">
      <c r="A1931" s="1" t="s">
        <v>1058</v>
      </c>
      <c r="B1931" s="1"/>
      <c r="C1931" s="1">
        <v>74.0</v>
      </c>
      <c r="D1931" s="2"/>
      <c r="E1931" s="2"/>
      <c r="F1931" s="2"/>
      <c r="G1931" s="2"/>
      <c r="H1931" s="2"/>
    </row>
    <row r="1932">
      <c r="A1932" s="1" t="s">
        <v>1059</v>
      </c>
      <c r="B1932" s="1"/>
      <c r="C1932" s="1">
        <v>97.0</v>
      </c>
      <c r="D1932" s="2"/>
      <c r="E1932" s="2"/>
      <c r="F1932" s="2"/>
      <c r="G1932" s="2"/>
      <c r="H1932" s="2"/>
    </row>
    <row r="1933">
      <c r="A1933" s="1" t="s">
        <v>1060</v>
      </c>
      <c r="B1933" s="1"/>
      <c r="C1933" s="1">
        <v>0.0</v>
      </c>
      <c r="D1933" s="2"/>
      <c r="E1933" s="2"/>
      <c r="F1933" s="2"/>
      <c r="G1933" s="2"/>
      <c r="H1933" s="2"/>
    </row>
    <row r="1934">
      <c r="A1934" s="1" t="s">
        <v>1061</v>
      </c>
      <c r="B1934" s="1"/>
      <c r="C1934" s="1">
        <v>0.0</v>
      </c>
      <c r="D1934" s="2"/>
      <c r="E1934" s="2"/>
      <c r="F1934" s="2"/>
      <c r="G1934" s="2"/>
      <c r="H1934" s="2"/>
    </row>
    <row r="1935">
      <c r="A1935" s="1" t="s">
        <v>1062</v>
      </c>
      <c r="B1935" s="1"/>
      <c r="C1935" s="1">
        <v>0.0</v>
      </c>
      <c r="D1935" s="2"/>
      <c r="E1935" s="2"/>
      <c r="F1935" s="2"/>
      <c r="G1935" s="2"/>
      <c r="H1935" s="2"/>
    </row>
    <row r="1936">
      <c r="A1936" s="1" t="s">
        <v>1063</v>
      </c>
      <c r="B1936" s="1"/>
      <c r="C1936" s="1">
        <v>84.0</v>
      </c>
      <c r="D1936" s="2"/>
      <c r="E1936" s="2"/>
      <c r="F1936" s="2"/>
      <c r="G1936" s="2"/>
      <c r="H1936" s="2"/>
    </row>
    <row r="1937">
      <c r="A1937" s="1" t="s">
        <v>1064</v>
      </c>
      <c r="B1937" s="1"/>
      <c r="C1937" s="1">
        <v>0.0</v>
      </c>
      <c r="D1937" s="2"/>
      <c r="E1937" s="2"/>
      <c r="F1937" s="2"/>
      <c r="G1937" s="2"/>
      <c r="H1937" s="2"/>
    </row>
    <row r="1938">
      <c r="A1938" s="1" t="s">
        <v>1065</v>
      </c>
      <c r="B1938" s="1"/>
      <c r="C1938" s="1">
        <v>26.0</v>
      </c>
      <c r="D1938" s="2"/>
      <c r="E1938" s="2"/>
      <c r="F1938" s="2"/>
      <c r="G1938" s="2"/>
      <c r="H1938" s="2"/>
    </row>
    <row r="1939">
      <c r="A1939" s="1" t="s">
        <v>1066</v>
      </c>
      <c r="B1939" s="1"/>
      <c r="C1939" s="1">
        <v>90.0</v>
      </c>
      <c r="D1939" s="2"/>
      <c r="E1939" s="2"/>
      <c r="F1939" s="2"/>
      <c r="G1939" s="2"/>
      <c r="H1939" s="2"/>
    </row>
    <row r="1940">
      <c r="A1940" s="1" t="s">
        <v>1067</v>
      </c>
      <c r="B1940" s="1"/>
      <c r="C1940" s="1">
        <v>0.0</v>
      </c>
      <c r="D1940" s="2"/>
      <c r="E1940" s="2"/>
      <c r="F1940" s="2"/>
      <c r="G1940" s="2"/>
      <c r="H1940" s="2"/>
    </row>
    <row r="1941">
      <c r="A1941" s="1" t="s">
        <v>1068</v>
      </c>
      <c r="B1941" s="1"/>
      <c r="C1941" s="1">
        <v>51.0</v>
      </c>
      <c r="D1941" s="2"/>
      <c r="E1941" s="2"/>
      <c r="F1941" s="2"/>
      <c r="G1941" s="2"/>
      <c r="H1941" s="2"/>
    </row>
    <row r="1942">
      <c r="A1942" s="1" t="s">
        <v>1069</v>
      </c>
      <c r="B1942" s="1"/>
      <c r="C1942" s="1">
        <v>0.0</v>
      </c>
      <c r="D1942" s="2"/>
      <c r="E1942" s="2"/>
      <c r="F1942" s="2"/>
      <c r="G1942" s="2"/>
      <c r="H1942" s="2"/>
    </row>
    <row r="1943">
      <c r="A1943" s="1" t="s">
        <v>1070</v>
      </c>
      <c r="B1943" s="1"/>
      <c r="C1943" s="1">
        <v>0.0</v>
      </c>
      <c r="D1943" s="2"/>
      <c r="E1943" s="2"/>
      <c r="F1943" s="2"/>
      <c r="G1943" s="2"/>
      <c r="H1943" s="2"/>
    </row>
    <row r="1944">
      <c r="A1944" s="1" t="s">
        <v>1071</v>
      </c>
      <c r="B1944" s="1"/>
      <c r="C1944" s="1">
        <v>0.0</v>
      </c>
      <c r="D1944" s="2"/>
      <c r="E1944" s="2"/>
      <c r="F1944" s="2"/>
      <c r="G1944" s="2"/>
      <c r="H1944" s="2"/>
    </row>
    <row r="1945">
      <c r="A1945" s="1" t="s">
        <v>1072</v>
      </c>
      <c r="B1945" s="1"/>
      <c r="C1945" s="1">
        <v>0.0</v>
      </c>
      <c r="D1945" s="2"/>
      <c r="E1945" s="2"/>
      <c r="F1945" s="2"/>
      <c r="G1945" s="2"/>
      <c r="H1945" s="2"/>
    </row>
    <row r="1946">
      <c r="A1946" s="1" t="s">
        <v>1073</v>
      </c>
      <c r="B1946" s="1"/>
      <c r="C1946" s="1">
        <v>0.0</v>
      </c>
      <c r="D1946" s="2"/>
      <c r="E1946" s="2"/>
      <c r="F1946" s="2"/>
      <c r="G1946" s="2"/>
      <c r="H1946" s="2"/>
    </row>
    <row r="1947">
      <c r="A1947" s="1" t="s">
        <v>1074</v>
      </c>
      <c r="B1947" s="1"/>
      <c r="C1947" s="1">
        <v>61.0</v>
      </c>
      <c r="D1947" s="2"/>
      <c r="E1947" s="2"/>
      <c r="F1947" s="2"/>
      <c r="G1947" s="2"/>
      <c r="H1947" s="2"/>
    </row>
    <row r="1948">
      <c r="A1948" s="1" t="s">
        <v>1075</v>
      </c>
      <c r="B1948" s="1"/>
      <c r="C1948" s="1">
        <v>0.0</v>
      </c>
      <c r="D1948" s="2"/>
      <c r="E1948" s="2"/>
      <c r="F1948" s="2"/>
      <c r="G1948" s="2"/>
      <c r="H1948" s="2"/>
    </row>
    <row r="1949">
      <c r="A1949" s="1" t="s">
        <v>1076</v>
      </c>
      <c r="B1949" s="1"/>
      <c r="C1949" s="1">
        <v>0.0</v>
      </c>
      <c r="D1949" s="2"/>
      <c r="E1949" s="2"/>
      <c r="F1949" s="2"/>
      <c r="G1949" s="2"/>
      <c r="H1949" s="2"/>
    </row>
    <row r="1950">
      <c r="A1950" s="1" t="s">
        <v>1077</v>
      </c>
      <c r="B1950" s="1"/>
      <c r="C1950" s="1">
        <v>0.0</v>
      </c>
      <c r="D1950" s="2"/>
      <c r="E1950" s="2"/>
      <c r="F1950" s="2"/>
      <c r="G1950" s="2"/>
      <c r="H1950" s="2"/>
    </row>
    <row r="1951">
      <c r="A1951" s="1" t="s">
        <v>1078</v>
      </c>
      <c r="B1951" s="1"/>
      <c r="C1951" s="1">
        <v>0.0</v>
      </c>
      <c r="D1951" s="2"/>
      <c r="E1951" s="2"/>
      <c r="F1951" s="2"/>
      <c r="G1951" s="2"/>
      <c r="H1951" s="2"/>
    </row>
    <row r="1952">
      <c r="A1952" s="1" t="s">
        <v>1079</v>
      </c>
      <c r="B1952" s="1"/>
      <c r="C1952" s="1">
        <v>0.0</v>
      </c>
      <c r="D1952" s="2"/>
      <c r="E1952" s="2"/>
      <c r="F1952" s="2"/>
      <c r="G1952" s="2"/>
      <c r="H1952" s="2"/>
    </row>
    <row r="1953">
      <c r="A1953" s="1" t="s">
        <v>1080</v>
      </c>
      <c r="B1953" s="1"/>
      <c r="C1953" s="1">
        <v>0.0</v>
      </c>
      <c r="D1953" s="2"/>
      <c r="E1953" s="2"/>
      <c r="F1953" s="2"/>
      <c r="G1953" s="2"/>
      <c r="H1953" s="2"/>
    </row>
    <row r="1954">
      <c r="A1954" s="1" t="s">
        <v>1081</v>
      </c>
      <c r="B1954" s="1"/>
      <c r="C1954" s="1">
        <v>0.0</v>
      </c>
      <c r="D1954" s="2"/>
      <c r="E1954" s="2"/>
      <c r="F1954" s="2"/>
      <c r="G1954" s="2"/>
      <c r="H1954" s="2"/>
    </row>
    <row r="1955">
      <c r="A1955" s="1" t="s">
        <v>1082</v>
      </c>
      <c r="B1955" s="1"/>
      <c r="C1955" s="1" t="s">
        <v>1083</v>
      </c>
      <c r="D1955" s="1">
        <v>0.0</v>
      </c>
      <c r="E1955" s="2"/>
      <c r="F1955" s="2"/>
      <c r="G1955" s="2"/>
      <c r="H1955" s="2"/>
    </row>
    <row r="1956">
      <c r="A1956" s="1" t="s">
        <v>1084</v>
      </c>
      <c r="B1956" s="1"/>
      <c r="C1956" s="1">
        <v>0.0</v>
      </c>
      <c r="D1956" s="2"/>
      <c r="E1956" s="2"/>
      <c r="F1956" s="2"/>
      <c r="G1956" s="2"/>
      <c r="H1956" s="2"/>
    </row>
    <row r="1957">
      <c r="A1957" s="1" t="s">
        <v>1085</v>
      </c>
      <c r="B1957" s="1"/>
      <c r="C1957" s="1">
        <v>0.0</v>
      </c>
      <c r="D1957" s="2"/>
      <c r="E1957" s="2"/>
      <c r="F1957" s="2"/>
      <c r="G1957" s="2"/>
      <c r="H1957" s="2"/>
    </row>
    <row r="1958">
      <c r="A1958" s="1" t="s">
        <v>1086</v>
      </c>
      <c r="B1958" s="1"/>
      <c r="C1958" s="1">
        <v>2.0</v>
      </c>
      <c r="D1958" s="2"/>
      <c r="E1958" s="2"/>
      <c r="F1958" s="2"/>
      <c r="G1958" s="2"/>
      <c r="H1958" s="2"/>
    </row>
    <row r="1959">
      <c r="A1959" s="1" t="s">
        <v>1087</v>
      </c>
      <c r="B1959" s="1"/>
      <c r="C1959" s="1">
        <v>0.0</v>
      </c>
      <c r="D1959" s="2"/>
      <c r="E1959" s="2"/>
      <c r="F1959" s="2"/>
      <c r="G1959" s="2"/>
      <c r="H1959" s="2"/>
    </row>
    <row r="1960">
      <c r="A1960" s="1" t="s">
        <v>1088</v>
      </c>
      <c r="B1960" s="1"/>
      <c r="C1960" s="1" t="s">
        <v>1089</v>
      </c>
      <c r="D1960" s="1" t="s">
        <v>1090</v>
      </c>
      <c r="E1960" s="1">
        <v>0.0</v>
      </c>
      <c r="F1960" s="2"/>
      <c r="G1960" s="2"/>
      <c r="H1960" s="2"/>
    </row>
    <row r="1961">
      <c r="A1961" s="1" t="s">
        <v>1091</v>
      </c>
      <c r="B1961" s="1"/>
      <c r="C1961" s="1">
        <v>0.0</v>
      </c>
      <c r="D1961" s="2"/>
      <c r="E1961" s="2"/>
      <c r="F1961" s="2"/>
      <c r="G1961" s="2"/>
      <c r="H1961" s="2"/>
    </row>
    <row r="1962">
      <c r="A1962" s="1" t="s">
        <v>1092</v>
      </c>
      <c r="B1962" s="1"/>
      <c r="C1962" s="1">
        <v>0.0</v>
      </c>
      <c r="D1962" s="2"/>
      <c r="E1962" s="2"/>
      <c r="F1962" s="2"/>
      <c r="G1962" s="2"/>
      <c r="H1962" s="2"/>
    </row>
    <row r="1963">
      <c r="A1963" s="1" t="s">
        <v>1093</v>
      </c>
      <c r="B1963" s="1"/>
      <c r="C1963" s="1">
        <v>0.0</v>
      </c>
      <c r="D1963" s="2"/>
      <c r="E1963" s="2"/>
      <c r="F1963" s="2"/>
      <c r="G1963" s="2"/>
      <c r="H1963" s="2"/>
    </row>
    <row r="1964">
      <c r="A1964" s="1" t="s">
        <v>1094</v>
      </c>
      <c r="B1964" s="1"/>
      <c r="C1964" s="1">
        <v>0.0</v>
      </c>
      <c r="D1964" s="2"/>
      <c r="E1964" s="2"/>
      <c r="F1964" s="2"/>
      <c r="G1964" s="2"/>
      <c r="H1964" s="2"/>
    </row>
    <row r="1965">
      <c r="A1965" s="1" t="s">
        <v>1095</v>
      </c>
      <c r="B1965" s="1"/>
      <c r="C1965" s="1" t="s">
        <v>1096</v>
      </c>
      <c r="D1965" s="1">
        <v>18.0</v>
      </c>
      <c r="E1965" s="2"/>
      <c r="F1965" s="2"/>
      <c r="G1965" s="2"/>
      <c r="H1965" s="2"/>
    </row>
    <row r="1966">
      <c r="A1966" s="1" t="s">
        <v>1097</v>
      </c>
      <c r="B1966" s="1"/>
      <c r="C1966" s="1">
        <v>59.0</v>
      </c>
      <c r="D1966" s="2"/>
      <c r="E1966" s="2"/>
      <c r="F1966" s="2"/>
      <c r="G1966" s="2"/>
      <c r="H1966" s="2"/>
    </row>
    <row r="1967">
      <c r="A1967" s="1" t="s">
        <v>1098</v>
      </c>
      <c r="B1967" s="1"/>
      <c r="C1967" s="1">
        <v>70.0</v>
      </c>
      <c r="D1967" s="2"/>
      <c r="E1967" s="2"/>
      <c r="F1967" s="2"/>
      <c r="G1967" s="2"/>
      <c r="H1967" s="2"/>
    </row>
    <row r="1968">
      <c r="A1968" s="1" t="s">
        <v>1099</v>
      </c>
      <c r="B1968" s="1"/>
      <c r="C1968" s="1">
        <v>78.0</v>
      </c>
      <c r="D1968" s="2"/>
      <c r="E1968" s="2"/>
      <c r="F1968" s="2"/>
      <c r="G1968" s="2"/>
      <c r="H1968" s="2"/>
    </row>
    <row r="1969">
      <c r="A1969" s="1" t="s">
        <v>1100</v>
      </c>
      <c r="B1969" s="1"/>
      <c r="C1969" s="1">
        <v>11.0</v>
      </c>
      <c r="D1969" s="2"/>
      <c r="E1969" s="2"/>
      <c r="F1969" s="2"/>
      <c r="G1969" s="2"/>
      <c r="H1969" s="2"/>
    </row>
    <row r="1970">
      <c r="A1970" s="1" t="s">
        <v>1101</v>
      </c>
      <c r="B1970" s="1"/>
      <c r="C1970" s="1">
        <v>44.0</v>
      </c>
      <c r="D1970" s="2"/>
      <c r="E1970" s="2"/>
      <c r="F1970" s="2"/>
      <c r="G1970" s="2"/>
      <c r="H1970" s="2"/>
    </row>
    <row r="1971">
      <c r="A1971" s="1" t="s">
        <v>1102</v>
      </c>
      <c r="B1971" s="1"/>
      <c r="C1971" s="1">
        <v>10.0</v>
      </c>
      <c r="D1971" s="2"/>
      <c r="E1971" s="2"/>
      <c r="F1971" s="2"/>
      <c r="G1971" s="2"/>
      <c r="H1971" s="2"/>
    </row>
    <row r="1972">
      <c r="A1972" s="1" t="s">
        <v>1103</v>
      </c>
      <c r="B1972" s="1"/>
      <c r="C1972" s="1">
        <v>0.0</v>
      </c>
      <c r="D1972" s="2"/>
      <c r="E1972" s="2"/>
      <c r="F1972" s="2"/>
      <c r="G1972" s="2"/>
      <c r="H1972" s="2"/>
    </row>
    <row r="1973">
      <c r="A1973" s="1" t="s">
        <v>1104</v>
      </c>
      <c r="B1973" s="1"/>
      <c r="C1973" s="1">
        <v>0.0</v>
      </c>
      <c r="D1973" s="2"/>
      <c r="E1973" s="2"/>
      <c r="F1973" s="2"/>
      <c r="G1973" s="2"/>
      <c r="H1973" s="2"/>
    </row>
    <row r="1974">
      <c r="A1974" s="1" t="s">
        <v>1105</v>
      </c>
      <c r="B1974" s="1"/>
      <c r="C1974" s="1">
        <v>0.0</v>
      </c>
      <c r="D1974" s="2"/>
      <c r="E1974" s="2"/>
      <c r="F1974" s="2"/>
      <c r="G1974" s="2"/>
      <c r="H1974" s="2"/>
    </row>
    <row r="1975">
      <c r="A1975" s="1" t="s">
        <v>1106</v>
      </c>
      <c r="B1975" s="1"/>
      <c r="C1975" s="1">
        <v>32.0</v>
      </c>
      <c r="D1975" s="2"/>
      <c r="E1975" s="2"/>
      <c r="F1975" s="2"/>
      <c r="G1975" s="2"/>
      <c r="H1975" s="2"/>
    </row>
    <row r="1976">
      <c r="A1976" s="1" t="s">
        <v>1107</v>
      </c>
      <c r="B1976" s="1"/>
      <c r="C1976" s="1" t="s">
        <v>1108</v>
      </c>
      <c r="D1976" s="1">
        <v>12.0</v>
      </c>
      <c r="E1976" s="2"/>
      <c r="F1976" s="2"/>
      <c r="G1976" s="2"/>
      <c r="H1976" s="2"/>
    </row>
    <row r="1977">
      <c r="A1977" s="1" t="s">
        <v>1109</v>
      </c>
      <c r="B1977" s="1"/>
      <c r="C1977" s="1">
        <v>13.0</v>
      </c>
      <c r="D1977" s="2"/>
      <c r="E1977" s="2"/>
      <c r="F1977" s="2"/>
      <c r="G1977" s="2"/>
      <c r="H1977" s="2"/>
    </row>
    <row r="1978">
      <c r="A1978" s="1" t="s">
        <v>1110</v>
      </c>
      <c r="B1978" s="1"/>
      <c r="C1978" s="1">
        <v>40.0</v>
      </c>
      <c r="D1978" s="2"/>
      <c r="E1978" s="2"/>
      <c r="F1978" s="2"/>
      <c r="G1978" s="2"/>
      <c r="H1978" s="2"/>
    </row>
    <row r="1979">
      <c r="A1979" s="1" t="s">
        <v>1111</v>
      </c>
      <c r="B1979" s="1"/>
      <c r="C1979" s="1">
        <v>0.0</v>
      </c>
      <c r="D1979" s="2"/>
      <c r="E1979" s="2"/>
      <c r="F1979" s="2"/>
      <c r="G1979" s="2"/>
      <c r="H1979" s="2"/>
    </row>
    <row r="1980">
      <c r="A1980" s="1" t="s">
        <v>1112</v>
      </c>
      <c r="B1980" s="1"/>
      <c r="C1980" s="1">
        <v>0.0</v>
      </c>
      <c r="D1980" s="2"/>
      <c r="E1980" s="2"/>
      <c r="F1980" s="2"/>
      <c r="G1980" s="2"/>
      <c r="H1980" s="2"/>
    </row>
    <row r="1981">
      <c r="A1981" s="1" t="s">
        <v>1113</v>
      </c>
      <c r="B1981" s="1"/>
      <c r="C1981" s="1">
        <v>0.0</v>
      </c>
      <c r="D1981" s="2"/>
      <c r="E1981" s="2"/>
      <c r="F1981" s="2"/>
      <c r="G1981" s="2"/>
      <c r="H1981" s="2"/>
    </row>
    <row r="1982">
      <c r="A1982" s="1" t="s">
        <v>1114</v>
      </c>
      <c r="B1982" s="1"/>
      <c r="C1982" s="1">
        <v>0.0</v>
      </c>
      <c r="D1982" s="2"/>
      <c r="E1982" s="2"/>
      <c r="F1982" s="2"/>
      <c r="G1982" s="2"/>
      <c r="H1982" s="2"/>
    </row>
    <row r="1983">
      <c r="A1983" s="1" t="s">
        <v>1115</v>
      </c>
      <c r="B1983" s="1"/>
      <c r="C1983" s="1">
        <v>0.0</v>
      </c>
      <c r="D1983" s="2"/>
      <c r="E1983" s="2"/>
      <c r="F1983" s="2"/>
      <c r="G1983" s="2"/>
      <c r="H1983" s="2"/>
    </row>
    <row r="1984">
      <c r="A1984" s="1" t="s">
        <v>1116</v>
      </c>
      <c r="B1984" s="1"/>
      <c r="C1984" s="1">
        <v>0.0</v>
      </c>
      <c r="D1984" s="2"/>
      <c r="E1984" s="2"/>
      <c r="F1984" s="2"/>
      <c r="G1984" s="2"/>
      <c r="H1984" s="2"/>
    </row>
    <row r="1985">
      <c r="A1985" s="1" t="s">
        <v>1117</v>
      </c>
      <c r="B1985" s="1"/>
      <c r="C1985" s="1">
        <v>0.0</v>
      </c>
      <c r="D1985" s="2"/>
      <c r="E1985" s="2"/>
      <c r="F1985" s="2"/>
      <c r="G1985" s="2"/>
      <c r="H1985" s="2"/>
    </row>
    <row r="1986">
      <c r="A1986" s="1" t="s">
        <v>1118</v>
      </c>
      <c r="B1986" s="1"/>
      <c r="C1986" s="1">
        <v>0.0</v>
      </c>
      <c r="D1986" s="2"/>
      <c r="E1986" s="2"/>
      <c r="F1986" s="2"/>
      <c r="G1986" s="2"/>
      <c r="H1986" s="2"/>
    </row>
    <row r="1987">
      <c r="A1987" s="1" t="s">
        <v>1119</v>
      </c>
      <c r="B1987" s="1"/>
      <c r="C1987" s="1">
        <v>12.0</v>
      </c>
      <c r="D1987" s="2"/>
      <c r="E1987" s="2"/>
      <c r="F1987" s="2"/>
      <c r="G1987" s="2"/>
      <c r="H1987" s="2"/>
    </row>
    <row r="1988">
      <c r="A1988" s="1" t="s">
        <v>1120</v>
      </c>
      <c r="B1988" s="1"/>
      <c r="C1988" s="1">
        <v>0.0</v>
      </c>
      <c r="D1988" s="2"/>
      <c r="E1988" s="2"/>
      <c r="F1988" s="2"/>
      <c r="G1988" s="2"/>
      <c r="H1988" s="2"/>
    </row>
    <row r="1989">
      <c r="A1989" s="1" t="s">
        <v>1121</v>
      </c>
      <c r="B1989" s="1"/>
      <c r="C1989" s="1">
        <v>0.0</v>
      </c>
      <c r="D1989" s="2"/>
      <c r="E1989" s="2"/>
      <c r="F1989" s="2"/>
      <c r="G1989" s="2"/>
      <c r="H1989" s="2"/>
    </row>
    <row r="1990">
      <c r="A1990" s="1" t="s">
        <v>1122</v>
      </c>
      <c r="B1990" s="1"/>
      <c r="C1990" s="1">
        <v>0.0</v>
      </c>
      <c r="D1990" s="2"/>
      <c r="E1990" s="2"/>
      <c r="F1990" s="2"/>
      <c r="G1990" s="2"/>
      <c r="H1990" s="2"/>
    </row>
    <row r="1991">
      <c r="A1991" s="1" t="s">
        <v>1123</v>
      </c>
      <c r="B1991" s="1"/>
      <c r="C1991" s="1">
        <v>22.0</v>
      </c>
      <c r="D1991" s="2"/>
      <c r="E1991" s="2"/>
      <c r="F1991" s="2"/>
      <c r="G1991" s="2"/>
      <c r="H1991" s="2"/>
    </row>
    <row r="1992">
      <c r="A1992" s="1" t="s">
        <v>1124</v>
      </c>
      <c r="B1992" s="1"/>
      <c r="C1992" s="1">
        <v>60.0</v>
      </c>
      <c r="D1992" s="2"/>
      <c r="E1992" s="2"/>
      <c r="F1992" s="2"/>
      <c r="G1992" s="2"/>
      <c r="H1992" s="2"/>
    </row>
    <row r="1993">
      <c r="A1993" s="1" t="s">
        <v>1125</v>
      </c>
      <c r="B1993" s="1"/>
      <c r="C1993" s="1">
        <v>0.0</v>
      </c>
      <c r="D1993" s="2"/>
      <c r="E1993" s="2"/>
      <c r="F1993" s="2"/>
      <c r="G1993" s="2"/>
      <c r="H1993" s="2"/>
    </row>
    <row r="1994">
      <c r="A1994" s="1" t="s">
        <v>1126</v>
      </c>
      <c r="B1994" s="1"/>
      <c r="C1994" s="1">
        <v>60.0</v>
      </c>
      <c r="D1994" s="2"/>
      <c r="E1994" s="2"/>
      <c r="F1994" s="2"/>
      <c r="G1994" s="2"/>
      <c r="H1994" s="2"/>
    </row>
    <row r="1995">
      <c r="A1995" s="1" t="s">
        <v>1127</v>
      </c>
      <c r="B1995" s="1"/>
      <c r="C1995" s="1">
        <v>0.0</v>
      </c>
      <c r="D1995" s="2"/>
      <c r="E1995" s="2"/>
      <c r="F1995" s="2"/>
      <c r="G1995" s="2"/>
      <c r="H1995" s="2"/>
    </row>
    <row r="1996">
      <c r="A1996" s="1" t="s">
        <v>1128</v>
      </c>
      <c r="B1996" s="1"/>
      <c r="C1996" s="1">
        <v>80.0</v>
      </c>
      <c r="D1996" s="2"/>
      <c r="E1996" s="2"/>
      <c r="F1996" s="2"/>
      <c r="G1996" s="2"/>
      <c r="H1996" s="2"/>
    </row>
    <row r="1997">
      <c r="A1997" s="1" t="s">
        <v>1129</v>
      </c>
      <c r="B1997" s="1"/>
      <c r="C1997" s="1">
        <v>0.0</v>
      </c>
      <c r="D1997" s="2"/>
      <c r="E1997" s="2"/>
      <c r="F1997" s="2"/>
      <c r="G1997" s="2"/>
      <c r="H1997" s="2"/>
    </row>
    <row r="1998">
      <c r="A1998" s="1" t="s">
        <v>1130</v>
      </c>
      <c r="B1998" s="1"/>
      <c r="C1998" s="1">
        <v>0.0</v>
      </c>
      <c r="D1998" s="2"/>
      <c r="E1998" s="2"/>
      <c r="F1998" s="2"/>
      <c r="G1998" s="2"/>
      <c r="H1998" s="2"/>
    </row>
    <row r="1999">
      <c r="A1999" s="1" t="s">
        <v>1131</v>
      </c>
      <c r="B1999" s="1"/>
      <c r="C1999" s="1">
        <v>0.0</v>
      </c>
      <c r="D1999" s="2"/>
      <c r="E1999" s="2"/>
      <c r="F1999" s="2"/>
      <c r="G1999" s="2"/>
      <c r="H1999" s="2"/>
    </row>
    <row r="2000">
      <c r="A2000" s="1" t="s">
        <v>1132</v>
      </c>
      <c r="B2000" s="1"/>
      <c r="C2000" s="1">
        <v>0.0</v>
      </c>
      <c r="D2000" s="2"/>
      <c r="E2000" s="2"/>
      <c r="F2000" s="2"/>
      <c r="G2000" s="2"/>
      <c r="H2000" s="2"/>
    </row>
    <row r="2001">
      <c r="A2001" s="1" t="s">
        <v>1133</v>
      </c>
      <c r="B2001" s="1"/>
      <c r="C2001" s="1">
        <v>0.0</v>
      </c>
      <c r="D2001" s="2"/>
      <c r="E2001" s="2"/>
      <c r="F2001" s="2"/>
      <c r="G2001" s="2"/>
      <c r="H2001" s="2"/>
    </row>
    <row r="2002">
      <c r="A2002" s="1" t="s">
        <v>1134</v>
      </c>
      <c r="B2002" s="1"/>
      <c r="C2002" s="1">
        <v>0.0</v>
      </c>
      <c r="D2002" s="2"/>
      <c r="E2002" s="2"/>
      <c r="F2002" s="2"/>
      <c r="G2002" s="2"/>
      <c r="H2002" s="2"/>
    </row>
    <row r="2003">
      <c r="A2003" s="1" t="s">
        <v>1135</v>
      </c>
      <c r="B2003" s="1"/>
      <c r="C2003" s="1">
        <v>0.0</v>
      </c>
      <c r="D2003" s="2"/>
      <c r="E2003" s="2"/>
      <c r="F2003" s="2"/>
      <c r="G2003" s="2"/>
      <c r="H2003" s="2"/>
    </row>
    <row r="2004">
      <c r="A2004" s="1" t="s">
        <v>1136</v>
      </c>
      <c r="B2004" s="1"/>
      <c r="C2004" s="1">
        <v>0.0</v>
      </c>
      <c r="D2004" s="2"/>
      <c r="E2004" s="2"/>
      <c r="F2004" s="2"/>
      <c r="G2004" s="2"/>
      <c r="H2004" s="2"/>
    </row>
    <row r="2005">
      <c r="A2005" s="1" t="s">
        <v>1137</v>
      </c>
      <c r="B2005" s="1"/>
      <c r="C2005" s="1">
        <v>0.0</v>
      </c>
      <c r="D2005" s="2"/>
      <c r="E2005" s="2"/>
      <c r="F2005" s="2"/>
      <c r="G2005" s="2"/>
      <c r="H2005" s="2"/>
    </row>
    <row r="2006">
      <c r="A2006" s="1" t="s">
        <v>1138</v>
      </c>
      <c r="B2006" s="1"/>
      <c r="C2006" s="1">
        <v>0.0</v>
      </c>
      <c r="D2006" s="2"/>
      <c r="E2006" s="2"/>
      <c r="F2006" s="2"/>
      <c r="G2006" s="2"/>
      <c r="H2006" s="2"/>
    </row>
    <row r="2007">
      <c r="A2007" s="1" t="s">
        <v>1139</v>
      </c>
      <c r="B2007" s="1"/>
      <c r="C2007" s="1">
        <v>0.0</v>
      </c>
      <c r="D2007" s="2"/>
      <c r="E2007" s="2"/>
      <c r="F2007" s="2"/>
      <c r="G2007" s="2"/>
      <c r="H2007" s="2"/>
    </row>
    <row r="2008">
      <c r="A2008" s="1" t="s">
        <v>1140</v>
      </c>
      <c r="B2008" s="1"/>
      <c r="C2008" s="1">
        <v>0.0</v>
      </c>
      <c r="D2008" s="2"/>
      <c r="E2008" s="2"/>
      <c r="F2008" s="2"/>
      <c r="G2008" s="2"/>
      <c r="H2008" s="2"/>
    </row>
    <row r="2009">
      <c r="A2009" s="1" t="s">
        <v>1141</v>
      </c>
      <c r="B2009" s="1"/>
      <c r="C2009" s="1">
        <v>92.0</v>
      </c>
      <c r="D2009" s="2"/>
      <c r="E2009" s="2"/>
      <c r="F2009" s="2"/>
      <c r="G2009" s="2"/>
      <c r="H2009" s="2"/>
    </row>
    <row r="2010">
      <c r="A2010" s="1" t="s">
        <v>1142</v>
      </c>
      <c r="B2010" s="1"/>
      <c r="C2010" s="1">
        <v>0.0</v>
      </c>
      <c r="D2010" s="2"/>
      <c r="E2010" s="2"/>
      <c r="F2010" s="2"/>
      <c r="G2010" s="2"/>
      <c r="H2010" s="2"/>
    </row>
    <row r="2011">
      <c r="A2011" s="1" t="s">
        <v>1143</v>
      </c>
      <c r="B2011" s="1"/>
      <c r="C2011" s="1">
        <v>70.0</v>
      </c>
      <c r="D2011" s="2"/>
      <c r="E2011" s="2"/>
      <c r="F2011" s="2"/>
      <c r="G2011" s="2"/>
      <c r="H2011" s="2"/>
    </row>
    <row r="2012">
      <c r="A2012" s="1" t="s">
        <v>1144</v>
      </c>
      <c r="B2012" s="1"/>
      <c r="C2012" s="1">
        <v>0.0</v>
      </c>
      <c r="D2012" s="2"/>
      <c r="E2012" s="2"/>
      <c r="F2012" s="2"/>
      <c r="G2012" s="2"/>
      <c r="H2012" s="2"/>
    </row>
    <row r="2013">
      <c r="A2013" s="1" t="s">
        <v>1145</v>
      </c>
      <c r="B2013" s="1"/>
      <c r="C2013" s="1">
        <v>0.0</v>
      </c>
      <c r="D2013" s="2"/>
      <c r="E2013" s="2"/>
      <c r="F2013" s="2"/>
      <c r="G2013" s="2"/>
      <c r="H2013" s="2"/>
    </row>
    <row r="2014">
      <c r="A2014" s="1" t="s">
        <v>1146</v>
      </c>
      <c r="B2014" s="1"/>
      <c r="C2014" s="1">
        <v>0.0</v>
      </c>
      <c r="D2014" s="2"/>
      <c r="E2014" s="2"/>
      <c r="F2014" s="2"/>
      <c r="G2014" s="2"/>
      <c r="H2014" s="2"/>
    </row>
    <row r="2015">
      <c r="A2015" s="1" t="s">
        <v>1147</v>
      </c>
      <c r="B2015" s="1"/>
      <c r="C2015" s="1">
        <v>0.0</v>
      </c>
      <c r="D2015" s="2"/>
      <c r="E2015" s="2"/>
      <c r="F2015" s="2"/>
      <c r="G2015" s="2"/>
      <c r="H2015" s="2"/>
    </row>
    <row r="2016">
      <c r="A2016" s="1" t="s">
        <v>1148</v>
      </c>
      <c r="B2016" s="1"/>
      <c r="C2016" s="1">
        <v>0.0</v>
      </c>
      <c r="D2016" s="2"/>
      <c r="E2016" s="2"/>
      <c r="F2016" s="2"/>
      <c r="G2016" s="2"/>
      <c r="H2016" s="2"/>
    </row>
    <row r="2017">
      <c r="A2017" s="1" t="s">
        <v>1149</v>
      </c>
      <c r="B2017" s="1"/>
      <c r="C2017" s="1">
        <v>0.0</v>
      </c>
      <c r="D2017" s="2"/>
      <c r="E2017" s="2"/>
      <c r="F2017" s="2"/>
      <c r="G2017" s="2"/>
      <c r="H2017" s="2"/>
    </row>
    <row r="2018">
      <c r="A2018" s="1" t="s">
        <v>1150</v>
      </c>
      <c r="B2018" s="1"/>
      <c r="C2018" s="1">
        <v>0.0</v>
      </c>
      <c r="D2018" s="2"/>
      <c r="E2018" s="2"/>
      <c r="F2018" s="2"/>
      <c r="G2018" s="2"/>
      <c r="H2018" s="2"/>
    </row>
    <row r="2019">
      <c r="A2019" s="1" t="s">
        <v>1151</v>
      </c>
      <c r="B2019" s="1"/>
      <c r="C2019" s="1">
        <v>0.0</v>
      </c>
      <c r="D2019" s="2"/>
      <c r="E2019" s="2"/>
      <c r="F2019" s="2"/>
      <c r="G2019" s="2"/>
      <c r="H2019" s="2"/>
    </row>
    <row r="2020">
      <c r="A2020" s="1" t="s">
        <v>1152</v>
      </c>
      <c r="B2020" s="1"/>
      <c r="C2020" s="1">
        <v>0.0</v>
      </c>
      <c r="D2020" s="2"/>
      <c r="E2020" s="2"/>
      <c r="F2020" s="2"/>
      <c r="G2020" s="2"/>
      <c r="H2020" s="2"/>
    </row>
    <row r="2021">
      <c r="A2021" s="1" t="s">
        <v>1079</v>
      </c>
      <c r="B2021" s="1"/>
      <c r="C2021" s="1">
        <v>0.0</v>
      </c>
      <c r="D2021" s="2"/>
      <c r="E2021" s="2"/>
      <c r="F2021" s="2"/>
      <c r="G2021" s="2"/>
      <c r="H2021" s="2"/>
    </row>
    <row r="2022">
      <c r="A2022" s="1" t="s">
        <v>1080</v>
      </c>
      <c r="B2022" s="1"/>
      <c r="C2022" s="1">
        <v>0.0</v>
      </c>
      <c r="D2022" s="2"/>
      <c r="E2022" s="2"/>
      <c r="F2022" s="2"/>
      <c r="G2022" s="2"/>
      <c r="H2022" s="2"/>
    </row>
    <row r="2023">
      <c r="A2023" s="1" t="s">
        <v>1081</v>
      </c>
      <c r="B2023" s="1"/>
      <c r="C2023" s="1">
        <v>0.0</v>
      </c>
      <c r="D2023" s="2"/>
      <c r="E2023" s="2"/>
      <c r="F2023" s="2"/>
      <c r="G2023" s="2"/>
      <c r="H2023" s="2"/>
    </row>
    <row r="2024">
      <c r="A2024" s="1" t="s">
        <v>1082</v>
      </c>
      <c r="B2024" s="1"/>
      <c r="C2024" s="1" t="s">
        <v>1083</v>
      </c>
      <c r="D2024" s="1">
        <v>0.0</v>
      </c>
      <c r="E2024" s="2"/>
      <c r="F2024" s="2"/>
      <c r="G2024" s="2"/>
      <c r="H2024" s="2"/>
    </row>
    <row r="2025">
      <c r="A2025" s="1" t="s">
        <v>1084</v>
      </c>
      <c r="B2025" s="1"/>
      <c r="C2025" s="1">
        <v>0.0</v>
      </c>
      <c r="D2025" s="2"/>
      <c r="E2025" s="2"/>
      <c r="F2025" s="2"/>
      <c r="G2025" s="2"/>
      <c r="H2025" s="2"/>
    </row>
    <row r="2026">
      <c r="A2026" s="1" t="s">
        <v>1085</v>
      </c>
      <c r="B2026" s="1"/>
      <c r="C2026" s="1">
        <v>0.0</v>
      </c>
      <c r="D2026" s="2"/>
      <c r="E2026" s="2"/>
      <c r="F2026" s="2"/>
      <c r="G2026" s="2"/>
      <c r="H2026" s="2"/>
    </row>
    <row r="2027">
      <c r="A2027" s="1" t="s">
        <v>1086</v>
      </c>
      <c r="B2027" s="1"/>
      <c r="C2027" s="1">
        <v>2.0</v>
      </c>
      <c r="D2027" s="2"/>
      <c r="E2027" s="2"/>
      <c r="F2027" s="2"/>
      <c r="G2027" s="2"/>
      <c r="H2027" s="2"/>
    </row>
    <row r="2028">
      <c r="A2028" s="1" t="s">
        <v>1087</v>
      </c>
      <c r="B2028" s="1"/>
      <c r="C2028" s="1">
        <v>0.0</v>
      </c>
      <c r="D2028" s="2"/>
      <c r="E2028" s="2"/>
      <c r="F2028" s="2"/>
      <c r="G2028" s="2"/>
      <c r="H2028" s="2"/>
    </row>
    <row r="2029">
      <c r="A2029" s="1" t="s">
        <v>1088</v>
      </c>
      <c r="B2029" s="1"/>
      <c r="C2029" s="1" t="s">
        <v>1089</v>
      </c>
      <c r="D2029" s="1" t="s">
        <v>1090</v>
      </c>
      <c r="E2029" s="1">
        <v>0.0</v>
      </c>
      <c r="F2029" s="2"/>
      <c r="G2029" s="2"/>
      <c r="H2029" s="2"/>
    </row>
    <row r="2030">
      <c r="A2030" s="1" t="s">
        <v>1091</v>
      </c>
      <c r="B2030" s="1"/>
      <c r="C2030" s="1">
        <v>0.0</v>
      </c>
      <c r="D2030" s="2"/>
      <c r="E2030" s="2"/>
      <c r="F2030" s="2"/>
      <c r="G2030" s="2"/>
      <c r="H2030" s="2"/>
    </row>
    <row r="2031">
      <c r="A2031" s="1" t="s">
        <v>1092</v>
      </c>
      <c r="B2031" s="1"/>
      <c r="C2031" s="1">
        <v>0.0</v>
      </c>
      <c r="D2031" s="2"/>
      <c r="E2031" s="2"/>
      <c r="F2031" s="2"/>
      <c r="G2031" s="2"/>
      <c r="H2031" s="2"/>
    </row>
    <row r="2032">
      <c r="A2032" s="1" t="s">
        <v>1093</v>
      </c>
      <c r="B2032" s="1"/>
      <c r="C2032" s="1">
        <v>0.0</v>
      </c>
      <c r="D2032" s="2"/>
      <c r="E2032" s="2"/>
      <c r="F2032" s="2"/>
      <c r="G2032" s="2"/>
      <c r="H2032" s="2"/>
    </row>
    <row r="2033">
      <c r="A2033" s="1" t="s">
        <v>1094</v>
      </c>
      <c r="B2033" s="1"/>
      <c r="C2033" s="1">
        <v>0.0</v>
      </c>
      <c r="D2033" s="2"/>
      <c r="E2033" s="2"/>
      <c r="F2033" s="2"/>
      <c r="G2033" s="2"/>
      <c r="H2033" s="2"/>
    </row>
    <row r="2034">
      <c r="A2034" s="1" t="s">
        <v>1095</v>
      </c>
      <c r="B2034" s="1"/>
      <c r="C2034" s="1" t="s">
        <v>1096</v>
      </c>
      <c r="D2034" s="1">
        <v>18.0</v>
      </c>
      <c r="E2034" s="2"/>
      <c r="F2034" s="2"/>
      <c r="G2034" s="2"/>
      <c r="H2034" s="2"/>
    </row>
    <row r="2035">
      <c r="A2035" s="1" t="s">
        <v>1097</v>
      </c>
      <c r="B2035" s="1"/>
      <c r="C2035" s="1">
        <v>59.0</v>
      </c>
      <c r="D2035" s="2"/>
      <c r="E2035" s="2"/>
      <c r="F2035" s="2"/>
      <c r="G2035" s="2"/>
      <c r="H2035" s="2"/>
    </row>
    <row r="2036">
      <c r="A2036" s="1" t="s">
        <v>1098</v>
      </c>
      <c r="B2036" s="1"/>
      <c r="C2036" s="1">
        <v>70.0</v>
      </c>
      <c r="D2036" s="2"/>
      <c r="E2036" s="2"/>
      <c r="F2036" s="2"/>
      <c r="G2036" s="2"/>
      <c r="H2036" s="2"/>
    </row>
    <row r="2037">
      <c r="A2037" s="1" t="s">
        <v>1099</v>
      </c>
      <c r="B2037" s="1"/>
      <c r="C2037" s="1">
        <v>78.0</v>
      </c>
      <c r="D2037" s="2"/>
      <c r="E2037" s="2"/>
      <c r="F2037" s="2"/>
      <c r="G2037" s="2"/>
      <c r="H2037" s="2"/>
    </row>
    <row r="2038">
      <c r="A2038" s="1" t="s">
        <v>1100</v>
      </c>
      <c r="B2038" s="1"/>
      <c r="C2038" s="1">
        <v>11.0</v>
      </c>
      <c r="D2038" s="2"/>
      <c r="E2038" s="2"/>
      <c r="F2038" s="2"/>
      <c r="G2038" s="2"/>
      <c r="H2038" s="2"/>
    </row>
    <row r="2039">
      <c r="A2039" s="1" t="s">
        <v>1101</v>
      </c>
      <c r="B2039" s="1"/>
      <c r="C2039" s="1">
        <v>44.0</v>
      </c>
      <c r="D2039" s="2"/>
      <c r="E2039" s="2"/>
      <c r="F2039" s="2"/>
      <c r="G2039" s="2"/>
      <c r="H2039" s="2"/>
    </row>
    <row r="2040">
      <c r="A2040" s="1" t="s">
        <v>1102</v>
      </c>
      <c r="B2040" s="1"/>
      <c r="C2040" s="1">
        <v>10.0</v>
      </c>
      <c r="D2040" s="2"/>
      <c r="E2040" s="2"/>
      <c r="F2040" s="2"/>
      <c r="G2040" s="2"/>
      <c r="H2040" s="2"/>
    </row>
    <row r="2041">
      <c r="A2041" s="1" t="s">
        <v>1103</v>
      </c>
      <c r="B2041" s="1"/>
      <c r="C2041" s="1">
        <v>0.0</v>
      </c>
      <c r="D2041" s="2"/>
      <c r="E2041" s="2"/>
      <c r="F2041" s="2"/>
      <c r="G2041" s="2"/>
      <c r="H2041" s="2"/>
    </row>
    <row r="2042">
      <c r="A2042" s="1" t="s">
        <v>1104</v>
      </c>
      <c r="B2042" s="1"/>
      <c r="C2042" s="1">
        <v>0.0</v>
      </c>
      <c r="D2042" s="2"/>
      <c r="E2042" s="2"/>
      <c r="F2042" s="2"/>
      <c r="G2042" s="2"/>
      <c r="H2042" s="2"/>
    </row>
    <row r="2043">
      <c r="A2043" s="1" t="s">
        <v>1105</v>
      </c>
      <c r="B2043" s="1"/>
      <c r="C2043" s="1">
        <v>0.0</v>
      </c>
      <c r="D2043" s="2"/>
      <c r="E2043" s="2"/>
      <c r="F2043" s="2"/>
      <c r="G2043" s="2"/>
      <c r="H2043" s="2"/>
    </row>
    <row r="2044">
      <c r="A2044" s="1" t="s">
        <v>1106</v>
      </c>
      <c r="B2044" s="1"/>
      <c r="C2044" s="1">
        <v>32.0</v>
      </c>
      <c r="D2044" s="2"/>
      <c r="E2044" s="2"/>
      <c r="F2044" s="2"/>
      <c r="G2044" s="2"/>
      <c r="H2044" s="2"/>
    </row>
    <row r="2045">
      <c r="A2045" s="1" t="s">
        <v>1107</v>
      </c>
      <c r="B2045" s="1"/>
      <c r="C2045" s="1" t="s">
        <v>1108</v>
      </c>
      <c r="D2045" s="1">
        <v>12.0</v>
      </c>
      <c r="E2045" s="2"/>
      <c r="F2045" s="2"/>
      <c r="G2045" s="2"/>
      <c r="H2045" s="2"/>
    </row>
    <row r="2046">
      <c r="A2046" s="1" t="s">
        <v>1109</v>
      </c>
      <c r="B2046" s="1"/>
      <c r="C2046" s="1">
        <v>13.0</v>
      </c>
      <c r="D2046" s="2"/>
      <c r="E2046" s="2"/>
      <c r="F2046" s="2"/>
      <c r="G2046" s="2"/>
      <c r="H2046" s="2"/>
    </row>
    <row r="2047">
      <c r="A2047" s="1" t="s">
        <v>1110</v>
      </c>
      <c r="B2047" s="1"/>
      <c r="C2047" s="1">
        <v>40.0</v>
      </c>
      <c r="D2047" s="2"/>
      <c r="E2047" s="2"/>
      <c r="F2047" s="2"/>
      <c r="G2047" s="2"/>
      <c r="H2047" s="2"/>
    </row>
    <row r="2048">
      <c r="A2048" s="1" t="s">
        <v>1111</v>
      </c>
      <c r="B2048" s="1"/>
      <c r="C2048" s="1">
        <v>0.0</v>
      </c>
      <c r="D2048" s="2"/>
      <c r="E2048" s="2"/>
      <c r="F2048" s="2"/>
      <c r="G2048" s="2"/>
      <c r="H2048" s="2"/>
    </row>
    <row r="2049">
      <c r="A2049" s="1" t="s">
        <v>1112</v>
      </c>
      <c r="B2049" s="1"/>
      <c r="C2049" s="1">
        <v>0.0</v>
      </c>
      <c r="D2049" s="2"/>
      <c r="E2049" s="2"/>
      <c r="F2049" s="2"/>
      <c r="G2049" s="2"/>
      <c r="H2049" s="2"/>
    </row>
    <row r="2050">
      <c r="A2050" s="1" t="s">
        <v>1113</v>
      </c>
      <c r="B2050" s="1"/>
      <c r="C2050" s="1">
        <v>0.0</v>
      </c>
      <c r="D2050" s="2"/>
      <c r="E2050" s="2"/>
      <c r="F2050" s="2"/>
      <c r="G2050" s="2"/>
      <c r="H2050" s="2"/>
    </row>
    <row r="2051">
      <c r="A2051" s="1" t="s">
        <v>1114</v>
      </c>
      <c r="B2051" s="1"/>
      <c r="C2051" s="1">
        <v>0.0</v>
      </c>
      <c r="D2051" s="2"/>
      <c r="E2051" s="2"/>
      <c r="F2051" s="2"/>
      <c r="G2051" s="2"/>
      <c r="H2051" s="2"/>
    </row>
    <row r="2052">
      <c r="A2052" s="1" t="s">
        <v>1115</v>
      </c>
      <c r="B2052" s="1"/>
      <c r="C2052" s="1">
        <v>0.0</v>
      </c>
      <c r="D2052" s="2"/>
      <c r="E2052" s="2"/>
      <c r="F2052" s="2"/>
      <c r="G2052" s="2"/>
      <c r="H2052" s="2"/>
    </row>
    <row r="2053">
      <c r="A2053" s="1" t="s">
        <v>1116</v>
      </c>
      <c r="B2053" s="1"/>
      <c r="C2053" s="1">
        <v>0.0</v>
      </c>
      <c r="D2053" s="2"/>
      <c r="E2053" s="2"/>
      <c r="F2053" s="2"/>
      <c r="G2053" s="2"/>
      <c r="H2053" s="2"/>
    </row>
    <row r="2054">
      <c r="A2054" s="1" t="s">
        <v>1117</v>
      </c>
      <c r="B2054" s="1"/>
      <c r="C2054" s="1">
        <v>0.0</v>
      </c>
      <c r="D2054" s="2"/>
      <c r="E2054" s="2"/>
      <c r="F2054" s="2"/>
      <c r="G2054" s="2"/>
      <c r="H2054" s="2"/>
    </row>
    <row r="2055">
      <c r="A2055" s="1" t="s">
        <v>1118</v>
      </c>
      <c r="B2055" s="1"/>
      <c r="C2055" s="1">
        <v>0.0</v>
      </c>
      <c r="D2055" s="2"/>
      <c r="E2055" s="2"/>
      <c r="F2055" s="2"/>
      <c r="G2055" s="2"/>
      <c r="H2055" s="2"/>
    </row>
    <row r="2056">
      <c r="A2056" s="1" t="s">
        <v>1119</v>
      </c>
      <c r="B2056" s="1"/>
      <c r="C2056" s="1">
        <v>12.0</v>
      </c>
      <c r="D2056" s="2"/>
      <c r="E2056" s="2"/>
      <c r="F2056" s="2"/>
      <c r="G2056" s="2"/>
      <c r="H2056" s="2"/>
    </row>
    <row r="2057">
      <c r="A2057" s="1" t="s">
        <v>1120</v>
      </c>
      <c r="B2057" s="1"/>
      <c r="C2057" s="1">
        <v>0.0</v>
      </c>
      <c r="D2057" s="2"/>
      <c r="E2057" s="2"/>
      <c r="F2057" s="2"/>
      <c r="G2057" s="2"/>
      <c r="H2057" s="2"/>
    </row>
    <row r="2058">
      <c r="A2058" s="1" t="s">
        <v>1121</v>
      </c>
      <c r="B2058" s="1"/>
      <c r="C2058" s="1">
        <v>0.0</v>
      </c>
      <c r="D2058" s="2"/>
      <c r="E2058" s="2"/>
      <c r="F2058" s="2"/>
      <c r="G2058" s="2"/>
      <c r="H2058" s="2"/>
    </row>
    <row r="2059">
      <c r="A2059" s="1" t="s">
        <v>1122</v>
      </c>
      <c r="B2059" s="1"/>
      <c r="C2059" s="1">
        <v>0.0</v>
      </c>
      <c r="D2059" s="2"/>
      <c r="E2059" s="2"/>
      <c r="F2059" s="2"/>
      <c r="G2059" s="2"/>
      <c r="H2059" s="2"/>
    </row>
    <row r="2060">
      <c r="A2060" s="1" t="s">
        <v>1123</v>
      </c>
      <c r="B2060" s="1"/>
      <c r="C2060" s="1">
        <v>22.0</v>
      </c>
      <c r="D2060" s="2"/>
      <c r="E2060" s="2"/>
      <c r="F2060" s="2"/>
      <c r="G2060" s="2"/>
      <c r="H2060" s="2"/>
    </row>
    <row r="2061">
      <c r="A2061" s="1" t="s">
        <v>1124</v>
      </c>
      <c r="B2061" s="1"/>
      <c r="C2061" s="1">
        <v>60.0</v>
      </c>
      <c r="D2061" s="2"/>
      <c r="E2061" s="2"/>
      <c r="F2061" s="2"/>
      <c r="G2061" s="2"/>
      <c r="H2061" s="2"/>
    </row>
    <row r="2062">
      <c r="A2062" s="1" t="s">
        <v>1125</v>
      </c>
      <c r="B2062" s="1"/>
      <c r="C2062" s="1">
        <v>0.0</v>
      </c>
      <c r="D2062" s="2"/>
      <c r="E2062" s="2"/>
      <c r="F2062" s="2"/>
      <c r="G2062" s="2"/>
      <c r="H2062" s="2"/>
    </row>
    <row r="2063">
      <c r="A2063" s="1" t="s">
        <v>1126</v>
      </c>
      <c r="B2063" s="1"/>
      <c r="C2063" s="1">
        <v>60.0</v>
      </c>
      <c r="D2063" s="2"/>
      <c r="E2063" s="2"/>
      <c r="F2063" s="2"/>
      <c r="G2063" s="2"/>
      <c r="H2063" s="2"/>
    </row>
    <row r="2064">
      <c r="A2064" s="1" t="s">
        <v>1127</v>
      </c>
      <c r="B2064" s="1"/>
      <c r="C2064" s="1">
        <v>0.0</v>
      </c>
      <c r="D2064" s="2"/>
      <c r="E2064" s="2"/>
      <c r="F2064" s="2"/>
      <c r="G2064" s="2"/>
      <c r="H2064" s="2"/>
    </row>
    <row r="2065">
      <c r="A2065" s="1" t="s">
        <v>1128</v>
      </c>
      <c r="B2065" s="1"/>
      <c r="C2065" s="1">
        <v>80.0</v>
      </c>
      <c r="D2065" s="2"/>
      <c r="E2065" s="2"/>
      <c r="F2065" s="2"/>
      <c r="G2065" s="2"/>
      <c r="H2065" s="2"/>
    </row>
    <row r="2066">
      <c r="A2066" s="1" t="s">
        <v>1129</v>
      </c>
      <c r="B2066" s="1"/>
      <c r="C2066" s="1">
        <v>0.0</v>
      </c>
      <c r="D2066" s="2"/>
      <c r="E2066" s="2"/>
      <c r="F2066" s="2"/>
      <c r="G2066" s="2"/>
      <c r="H2066" s="2"/>
    </row>
    <row r="2067">
      <c r="A2067" s="1" t="s">
        <v>1130</v>
      </c>
      <c r="B2067" s="1"/>
      <c r="C2067" s="1">
        <v>0.0</v>
      </c>
      <c r="D2067" s="2"/>
      <c r="E2067" s="2"/>
      <c r="F2067" s="2"/>
      <c r="G2067" s="2"/>
      <c r="H2067" s="2"/>
    </row>
    <row r="2068">
      <c r="A2068" s="1" t="s">
        <v>1131</v>
      </c>
      <c r="B2068" s="1"/>
      <c r="C2068" s="1">
        <v>0.0</v>
      </c>
      <c r="D2068" s="2"/>
      <c r="E2068" s="2"/>
      <c r="F2068" s="2"/>
      <c r="G2068" s="2"/>
      <c r="H2068" s="2"/>
    </row>
    <row r="2069">
      <c r="A2069" s="1" t="s">
        <v>1132</v>
      </c>
      <c r="B2069" s="1"/>
      <c r="C2069" s="1">
        <v>0.0</v>
      </c>
      <c r="D2069" s="2"/>
      <c r="E2069" s="2"/>
      <c r="F2069" s="2"/>
      <c r="G2069" s="2"/>
      <c r="H2069" s="2"/>
    </row>
    <row r="2070">
      <c r="A2070" s="1" t="s">
        <v>1133</v>
      </c>
      <c r="B2070" s="1"/>
      <c r="C2070" s="1">
        <v>0.0</v>
      </c>
      <c r="D2070" s="2"/>
      <c r="E2070" s="2"/>
      <c r="F2070" s="2"/>
      <c r="G2070" s="2"/>
      <c r="H2070" s="2"/>
    </row>
    <row r="2071">
      <c r="A2071" s="1" t="s">
        <v>1134</v>
      </c>
      <c r="B2071" s="1"/>
      <c r="C2071" s="1">
        <v>0.0</v>
      </c>
      <c r="D2071" s="2"/>
      <c r="E2071" s="2"/>
      <c r="F2071" s="2"/>
      <c r="G2071" s="2"/>
      <c r="H2071" s="2"/>
    </row>
    <row r="2072">
      <c r="A2072" s="1" t="s">
        <v>1135</v>
      </c>
      <c r="B2072" s="1"/>
      <c r="C2072" s="1">
        <v>0.0</v>
      </c>
      <c r="D2072" s="2"/>
      <c r="E2072" s="2"/>
      <c r="F2072" s="2"/>
      <c r="G2072" s="2"/>
      <c r="H2072" s="2"/>
    </row>
    <row r="2073">
      <c r="A2073" s="1" t="s">
        <v>1136</v>
      </c>
      <c r="B2073" s="1"/>
      <c r="C2073" s="1">
        <v>0.0</v>
      </c>
      <c r="D2073" s="2"/>
      <c r="E2073" s="2"/>
      <c r="F2073" s="2"/>
      <c r="G2073" s="2"/>
      <c r="H2073" s="2"/>
    </row>
    <row r="2074">
      <c r="A2074" s="1" t="s">
        <v>1137</v>
      </c>
      <c r="B2074" s="1"/>
      <c r="C2074" s="1">
        <v>0.0</v>
      </c>
      <c r="D2074" s="2"/>
      <c r="E2074" s="2"/>
      <c r="F2074" s="2"/>
      <c r="G2074" s="2"/>
      <c r="H2074" s="2"/>
    </row>
    <row r="2075">
      <c r="A2075" s="1" t="s">
        <v>1138</v>
      </c>
      <c r="B2075" s="1"/>
      <c r="C2075" s="1">
        <v>0.0</v>
      </c>
      <c r="D2075" s="2"/>
      <c r="E2075" s="2"/>
      <c r="F2075" s="2"/>
      <c r="G2075" s="2"/>
      <c r="H2075" s="2"/>
    </row>
    <row r="2076">
      <c r="A2076" s="1" t="s">
        <v>1139</v>
      </c>
      <c r="B2076" s="1"/>
      <c r="C2076" s="1">
        <v>0.0</v>
      </c>
      <c r="D2076" s="2"/>
      <c r="E2076" s="2"/>
      <c r="F2076" s="2"/>
      <c r="G2076" s="2"/>
      <c r="H2076" s="2"/>
    </row>
    <row r="2077">
      <c r="A2077" s="1" t="s">
        <v>1140</v>
      </c>
      <c r="B2077" s="1"/>
      <c r="C2077" s="1">
        <v>0.0</v>
      </c>
      <c r="D2077" s="2"/>
      <c r="E2077" s="2"/>
      <c r="F2077" s="2"/>
      <c r="G2077" s="2"/>
      <c r="H2077" s="2"/>
    </row>
    <row r="2078">
      <c r="A2078" s="1" t="s">
        <v>1141</v>
      </c>
      <c r="B2078" s="1"/>
      <c r="C2078" s="1">
        <v>92.0</v>
      </c>
      <c r="D2078" s="2"/>
      <c r="E2078" s="2"/>
      <c r="F2078" s="2"/>
      <c r="G2078" s="2"/>
      <c r="H2078" s="2"/>
    </row>
    <row r="2079">
      <c r="A2079" s="1" t="s">
        <v>1142</v>
      </c>
      <c r="B2079" s="1"/>
      <c r="C2079" s="1">
        <v>0.0</v>
      </c>
      <c r="D2079" s="2"/>
      <c r="E2079" s="2"/>
      <c r="F2079" s="2"/>
      <c r="G2079" s="2"/>
      <c r="H2079" s="2"/>
    </row>
    <row r="2080">
      <c r="A2080" s="1" t="s">
        <v>1143</v>
      </c>
      <c r="B2080" s="1"/>
      <c r="C2080" s="1">
        <v>70.0</v>
      </c>
      <c r="D2080" s="2"/>
      <c r="E2080" s="2"/>
      <c r="F2080" s="2"/>
      <c r="G2080" s="2"/>
      <c r="H2080" s="2"/>
    </row>
    <row r="2081">
      <c r="A2081" s="1" t="s">
        <v>1144</v>
      </c>
      <c r="B2081" s="1"/>
      <c r="C2081" s="1">
        <v>0.0</v>
      </c>
      <c r="D2081" s="2"/>
      <c r="E2081" s="2"/>
      <c r="F2081" s="2"/>
      <c r="G2081" s="2"/>
      <c r="H2081" s="2"/>
    </row>
    <row r="2082">
      <c r="A2082" s="1" t="s">
        <v>1145</v>
      </c>
      <c r="B2082" s="1"/>
      <c r="C2082" s="1">
        <v>0.0</v>
      </c>
      <c r="D2082" s="2"/>
      <c r="E2082" s="2"/>
      <c r="F2082" s="2"/>
      <c r="G2082" s="2"/>
      <c r="H2082" s="2"/>
    </row>
    <row r="2083">
      <c r="A2083" s="1" t="s">
        <v>1146</v>
      </c>
      <c r="B2083" s="1"/>
      <c r="C2083" s="1">
        <v>0.0</v>
      </c>
      <c r="D2083" s="2"/>
      <c r="E2083" s="2"/>
      <c r="F2083" s="2"/>
      <c r="G2083" s="2"/>
      <c r="H2083" s="2"/>
    </row>
    <row r="2084">
      <c r="A2084" s="1" t="s">
        <v>1147</v>
      </c>
      <c r="B2084" s="1"/>
      <c r="C2084" s="1">
        <v>0.0</v>
      </c>
      <c r="D2084" s="2"/>
      <c r="E2084" s="2"/>
      <c r="F2084" s="2"/>
      <c r="G2084" s="2"/>
      <c r="H2084" s="2"/>
    </row>
    <row r="2085">
      <c r="A2085" s="1" t="s">
        <v>1148</v>
      </c>
      <c r="B2085" s="1"/>
      <c r="C2085" s="1">
        <v>0.0</v>
      </c>
      <c r="D2085" s="2"/>
      <c r="E2085" s="2"/>
      <c r="F2085" s="2"/>
      <c r="G2085" s="2"/>
      <c r="H2085" s="2"/>
    </row>
    <row r="2086">
      <c r="A2086" s="1" t="s">
        <v>1149</v>
      </c>
      <c r="B2086" s="1"/>
      <c r="C2086" s="1">
        <v>0.0</v>
      </c>
      <c r="D2086" s="2"/>
      <c r="E2086" s="2"/>
      <c r="F2086" s="2"/>
      <c r="G2086" s="2"/>
      <c r="H2086" s="2"/>
    </row>
    <row r="2087">
      <c r="A2087" s="1" t="s">
        <v>1150</v>
      </c>
      <c r="B2087" s="1"/>
      <c r="C2087" s="1">
        <v>0.0</v>
      </c>
      <c r="D2087" s="2"/>
      <c r="E2087" s="2"/>
      <c r="F2087" s="2"/>
      <c r="G2087" s="2"/>
      <c r="H2087" s="2"/>
    </row>
    <row r="2088">
      <c r="A2088" s="1" t="s">
        <v>1151</v>
      </c>
      <c r="B2088" s="1"/>
      <c r="C2088" s="1">
        <v>0.0</v>
      </c>
      <c r="D2088" s="2"/>
      <c r="E2088" s="2"/>
      <c r="F2088" s="2"/>
      <c r="G2088" s="2"/>
      <c r="H2088" s="2"/>
    </row>
    <row r="2089">
      <c r="A2089" s="1" t="s">
        <v>1152</v>
      </c>
      <c r="B2089" s="1"/>
      <c r="C2089" s="1">
        <v>0.0</v>
      </c>
      <c r="D2089" s="2"/>
      <c r="E2089" s="2"/>
      <c r="F2089" s="2"/>
      <c r="G2089" s="2"/>
      <c r="H2089" s="2"/>
    </row>
    <row r="2090">
      <c r="A2090" s="1" t="s">
        <v>1153</v>
      </c>
      <c r="B2090" s="1"/>
      <c r="C2090" s="1">
        <v>0.0</v>
      </c>
      <c r="D2090" s="2"/>
      <c r="E2090" s="2"/>
      <c r="F2090" s="2"/>
      <c r="G2090" s="2"/>
      <c r="H2090" s="2"/>
    </row>
    <row r="2091">
      <c r="A2091" s="1" t="s">
        <v>1154</v>
      </c>
      <c r="B2091" s="1"/>
      <c r="C2091" s="1">
        <v>84.0</v>
      </c>
      <c r="D2091" s="2"/>
      <c r="E2091" s="2"/>
      <c r="F2091" s="2"/>
      <c r="G2091" s="2"/>
      <c r="H2091" s="2"/>
    </row>
    <row r="2092">
      <c r="A2092" s="1" t="s">
        <v>1155</v>
      </c>
      <c r="B2092" s="1"/>
      <c r="C2092" s="1">
        <v>0.0</v>
      </c>
      <c r="D2092" s="2"/>
      <c r="E2092" s="2"/>
      <c r="F2092" s="2"/>
      <c r="G2092" s="2"/>
      <c r="H2092" s="2"/>
    </row>
    <row r="2093">
      <c r="A2093" s="1" t="s">
        <v>1156</v>
      </c>
      <c r="B2093" s="1"/>
      <c r="C2093" s="1">
        <v>65.0</v>
      </c>
      <c r="D2093" s="2"/>
      <c r="E2093" s="2"/>
      <c r="F2093" s="2"/>
      <c r="G2093" s="2"/>
      <c r="H2093" s="2"/>
    </row>
    <row r="2094">
      <c r="A2094" s="1" t="s">
        <v>1157</v>
      </c>
      <c r="B2094" s="1"/>
      <c r="C2094" s="1" t="s">
        <v>1158</v>
      </c>
      <c r="D2094" s="1">
        <v>0.0</v>
      </c>
      <c r="E2094" s="2"/>
      <c r="F2094" s="2"/>
      <c r="G2094" s="2"/>
      <c r="H2094" s="2"/>
    </row>
    <row r="2095">
      <c r="A2095" s="1" t="s">
        <v>1159</v>
      </c>
      <c r="B2095" s="1"/>
      <c r="C2095" s="1">
        <v>0.0</v>
      </c>
      <c r="D2095" s="2"/>
      <c r="E2095" s="2"/>
      <c r="F2095" s="2"/>
      <c r="G2095" s="2"/>
      <c r="H2095" s="2"/>
    </row>
    <row r="2096">
      <c r="A2096" s="1" t="s">
        <v>1160</v>
      </c>
      <c r="B2096" s="1"/>
      <c r="C2096" s="1">
        <v>74.0</v>
      </c>
      <c r="D2096" s="2"/>
      <c r="E2096" s="2"/>
      <c r="F2096" s="2"/>
      <c r="G2096" s="2"/>
      <c r="H2096" s="2"/>
    </row>
    <row r="2097">
      <c r="A2097" s="1" t="s">
        <v>1161</v>
      </c>
      <c r="B2097" s="1"/>
      <c r="C2097" s="1">
        <v>0.0</v>
      </c>
      <c r="D2097" s="2"/>
      <c r="E2097" s="2"/>
      <c r="F2097" s="2"/>
      <c r="G2097" s="2"/>
      <c r="H2097" s="2"/>
    </row>
    <row r="2098">
      <c r="A2098" s="1" t="s">
        <v>1162</v>
      </c>
      <c r="B2098" s="1"/>
      <c r="C2098" s="1">
        <v>20.0</v>
      </c>
      <c r="D2098" s="2"/>
      <c r="E2098" s="2"/>
      <c r="F2098" s="2"/>
      <c r="G2098" s="2"/>
      <c r="H2098" s="2"/>
    </row>
    <row r="2099">
      <c r="A2099" s="1" t="s">
        <v>1163</v>
      </c>
      <c r="B2099" s="1"/>
      <c r="C2099" s="1">
        <v>0.0</v>
      </c>
      <c r="D2099" s="2"/>
      <c r="E2099" s="2"/>
      <c r="F2099" s="2"/>
      <c r="G2099" s="2"/>
      <c r="H2099" s="2"/>
    </row>
    <row r="2100">
      <c r="A2100" s="1" t="s">
        <v>1164</v>
      </c>
      <c r="B2100" s="1"/>
      <c r="C2100" s="1">
        <v>0.0</v>
      </c>
      <c r="D2100" s="2"/>
      <c r="E2100" s="2"/>
      <c r="F2100" s="2"/>
      <c r="G2100" s="2"/>
      <c r="H2100" s="2"/>
    </row>
    <row r="2101">
      <c r="A2101" s="1" t="s">
        <v>1165</v>
      </c>
      <c r="B2101" s="1"/>
      <c r="C2101" s="1">
        <v>0.0</v>
      </c>
      <c r="D2101" s="2"/>
      <c r="E2101" s="2"/>
      <c r="F2101" s="2"/>
      <c r="G2101" s="2"/>
      <c r="H2101" s="2"/>
    </row>
    <row r="2102">
      <c r="A2102" s="1" t="s">
        <v>1166</v>
      </c>
      <c r="B2102" s="1"/>
      <c r="C2102" s="1">
        <v>80.0</v>
      </c>
      <c r="D2102" s="2"/>
      <c r="E2102" s="2"/>
      <c r="F2102" s="2"/>
      <c r="G2102" s="2"/>
      <c r="H2102" s="2"/>
    </row>
    <row r="2103">
      <c r="A2103" s="1" t="s">
        <v>1167</v>
      </c>
      <c r="B2103" s="1"/>
      <c r="C2103" s="1">
        <v>69.0</v>
      </c>
      <c r="D2103" s="2"/>
      <c r="E2103" s="2"/>
      <c r="F2103" s="2"/>
      <c r="G2103" s="2"/>
      <c r="H2103" s="2"/>
    </row>
    <row r="2104">
      <c r="A2104" s="1" t="s">
        <v>1168</v>
      </c>
      <c r="B2104" s="1"/>
      <c r="C2104" s="1">
        <v>85.0</v>
      </c>
      <c r="D2104" s="2"/>
      <c r="E2104" s="2"/>
      <c r="F2104" s="2"/>
      <c r="G2104" s="2"/>
      <c r="H2104" s="2"/>
    </row>
    <row r="2105">
      <c r="A2105" s="1" t="s">
        <v>1169</v>
      </c>
      <c r="B2105" s="1"/>
      <c r="C2105" s="1">
        <v>2.0</v>
      </c>
      <c r="D2105" s="2"/>
      <c r="E2105" s="2"/>
      <c r="F2105" s="2"/>
      <c r="G2105" s="2"/>
      <c r="H2105" s="2"/>
    </row>
    <row r="2106">
      <c r="A2106" s="1" t="s">
        <v>1170</v>
      </c>
      <c r="B2106" s="1"/>
      <c r="C2106" s="1">
        <v>66.0</v>
      </c>
      <c r="D2106" s="2"/>
      <c r="E2106" s="2"/>
      <c r="F2106" s="2"/>
      <c r="G2106" s="2"/>
      <c r="H2106" s="2"/>
    </row>
    <row r="2107">
      <c r="A2107" s="1" t="s">
        <v>1171</v>
      </c>
      <c r="B2107" s="1"/>
      <c r="C2107" s="1">
        <v>0.0</v>
      </c>
      <c r="D2107" s="2"/>
      <c r="E2107" s="2"/>
      <c r="F2107" s="2"/>
      <c r="G2107" s="2"/>
      <c r="H2107" s="2"/>
    </row>
    <row r="2108">
      <c r="A2108" s="1" t="s">
        <v>1172</v>
      </c>
      <c r="B2108" s="1"/>
      <c r="C2108" s="1">
        <v>89.0</v>
      </c>
      <c r="D2108" s="2"/>
      <c r="E2108" s="2"/>
      <c r="F2108" s="2"/>
      <c r="G2108" s="2"/>
      <c r="H2108" s="2"/>
    </row>
    <row r="2109">
      <c r="A2109" s="1" t="s">
        <v>1173</v>
      </c>
      <c r="B2109" s="1"/>
      <c r="C2109" s="1">
        <v>50.0</v>
      </c>
      <c r="D2109" s="2"/>
      <c r="E2109" s="2"/>
      <c r="F2109" s="2"/>
      <c r="G2109" s="2"/>
      <c r="H2109" s="2"/>
    </row>
    <row r="2110">
      <c r="A2110" s="1" t="s">
        <v>1174</v>
      </c>
      <c r="B2110" s="1"/>
      <c r="C2110" s="1">
        <v>0.0</v>
      </c>
      <c r="D2110" s="2"/>
      <c r="E2110" s="2"/>
      <c r="F2110" s="2"/>
      <c r="G2110" s="2"/>
      <c r="H2110" s="2"/>
    </row>
    <row r="2111">
      <c r="A2111" s="1" t="s">
        <v>1175</v>
      </c>
      <c r="B2111" s="1"/>
      <c r="C2111" s="1">
        <v>2.0</v>
      </c>
      <c r="D2111" s="2"/>
      <c r="E2111" s="2"/>
      <c r="F2111" s="2"/>
      <c r="G2111" s="2"/>
      <c r="H2111" s="2"/>
    </row>
    <row r="2112">
      <c r="A2112" s="1" t="s">
        <v>1176</v>
      </c>
      <c r="B2112" s="1"/>
      <c r="C2112" s="1">
        <v>0.0</v>
      </c>
      <c r="D2112" s="2"/>
      <c r="E2112" s="2"/>
      <c r="F2112" s="2"/>
      <c r="G2112" s="2"/>
      <c r="H2112" s="2"/>
    </row>
    <row r="2113">
      <c r="A2113" s="1" t="s">
        <v>1177</v>
      </c>
      <c r="B2113" s="1"/>
      <c r="C2113" s="1">
        <v>0.0</v>
      </c>
      <c r="D2113" s="2"/>
      <c r="E2113" s="2"/>
      <c r="F2113" s="2"/>
      <c r="G2113" s="2"/>
      <c r="H2113" s="2"/>
    </row>
    <row r="2114">
      <c r="A2114" s="1" t="s">
        <v>1178</v>
      </c>
      <c r="B2114" s="1"/>
      <c r="C2114" s="1">
        <v>0.0</v>
      </c>
      <c r="D2114" s="2"/>
      <c r="E2114" s="2"/>
      <c r="F2114" s="2"/>
      <c r="G2114" s="2"/>
      <c r="H2114" s="2"/>
    </row>
    <row r="2115">
      <c r="A2115" s="1" t="s">
        <v>1179</v>
      </c>
      <c r="B2115" s="1"/>
      <c r="C2115" s="1">
        <v>0.0</v>
      </c>
      <c r="D2115" s="2"/>
      <c r="E2115" s="2"/>
      <c r="F2115" s="2"/>
      <c r="G2115" s="2"/>
      <c r="H2115" s="2"/>
    </row>
    <row r="2116">
      <c r="A2116" s="1" t="s">
        <v>1180</v>
      </c>
      <c r="B2116" s="1"/>
      <c r="C2116" s="1">
        <v>0.0</v>
      </c>
      <c r="D2116" s="2"/>
      <c r="E2116" s="2"/>
      <c r="F2116" s="2"/>
      <c r="G2116" s="2"/>
      <c r="H2116" s="2"/>
    </row>
    <row r="2117">
      <c r="A2117" s="1" t="s">
        <v>1181</v>
      </c>
      <c r="B2117" s="1"/>
      <c r="C2117" s="1">
        <v>0.0</v>
      </c>
      <c r="D2117" s="2"/>
      <c r="E2117" s="2"/>
      <c r="F2117" s="2"/>
      <c r="G2117" s="2"/>
      <c r="H2117" s="2"/>
    </row>
    <row r="2118">
      <c r="A2118" s="1" t="s">
        <v>1182</v>
      </c>
      <c r="B2118" s="1"/>
      <c r="C2118" s="1">
        <v>0.0</v>
      </c>
      <c r="D2118" s="2"/>
      <c r="E2118" s="2"/>
      <c r="F2118" s="2"/>
      <c r="G2118" s="2"/>
      <c r="H2118" s="2"/>
    </row>
    <row r="2119">
      <c r="A2119" s="1" t="s">
        <v>1183</v>
      </c>
      <c r="B2119" s="1"/>
      <c r="C2119" s="1">
        <v>76.0</v>
      </c>
      <c r="D2119" s="2"/>
      <c r="E2119" s="2"/>
      <c r="F2119" s="2"/>
      <c r="G2119" s="2"/>
      <c r="H2119" s="2"/>
    </row>
    <row r="2120">
      <c r="A2120" s="1" t="s">
        <v>1184</v>
      </c>
      <c r="B2120" s="1"/>
      <c r="C2120" s="1">
        <v>0.0</v>
      </c>
      <c r="D2120" s="2"/>
      <c r="E2120" s="2"/>
      <c r="F2120" s="2"/>
      <c r="G2120" s="2"/>
      <c r="H2120" s="2"/>
    </row>
    <row r="2121">
      <c r="A2121" s="1" t="s">
        <v>1185</v>
      </c>
      <c r="B2121" s="1"/>
      <c r="C2121" s="1">
        <v>0.0</v>
      </c>
      <c r="D2121" s="2"/>
      <c r="E2121" s="2"/>
      <c r="F2121" s="2"/>
      <c r="G2121" s="2"/>
      <c r="H2121" s="2"/>
    </row>
    <row r="2122">
      <c r="A2122" s="1" t="s">
        <v>1186</v>
      </c>
      <c r="B2122" s="1"/>
      <c r="C2122" s="1">
        <v>28.0</v>
      </c>
      <c r="D2122" s="2"/>
      <c r="E2122" s="2"/>
      <c r="F2122" s="2"/>
      <c r="G2122" s="2"/>
      <c r="H2122" s="2"/>
    </row>
    <row r="2123">
      <c r="A2123" s="1" t="s">
        <v>1187</v>
      </c>
      <c r="B2123" s="1"/>
      <c r="C2123" s="1">
        <v>13.0</v>
      </c>
      <c r="D2123" s="2"/>
      <c r="E2123" s="2"/>
      <c r="F2123" s="2"/>
      <c r="G2123" s="2"/>
      <c r="H2123" s="2"/>
    </row>
    <row r="2124">
      <c r="A2124" s="1" t="s">
        <v>1188</v>
      </c>
      <c r="B2124" s="1"/>
      <c r="C2124" s="1">
        <v>80.0</v>
      </c>
      <c r="D2124" s="2"/>
      <c r="E2124" s="2"/>
      <c r="F2124" s="2"/>
      <c r="G2124" s="2"/>
      <c r="H2124" s="2"/>
    </row>
    <row r="2125">
      <c r="A2125" s="1" t="s">
        <v>1189</v>
      </c>
      <c r="B2125" s="1"/>
      <c r="C2125" s="1">
        <v>59.0</v>
      </c>
      <c r="D2125" s="2"/>
      <c r="E2125" s="2"/>
      <c r="F2125" s="2"/>
      <c r="G2125" s="2"/>
      <c r="H2125" s="2"/>
    </row>
    <row r="2126">
      <c r="A2126" s="1" t="s">
        <v>1190</v>
      </c>
      <c r="B2126" s="1"/>
      <c r="C2126" s="1" t="s">
        <v>1191</v>
      </c>
      <c r="D2126" s="1">
        <v>71.0</v>
      </c>
      <c r="E2126" s="2"/>
      <c r="F2126" s="2"/>
      <c r="G2126" s="2"/>
      <c r="H2126" s="2"/>
    </row>
    <row r="2127">
      <c r="A2127" s="1" t="s">
        <v>1192</v>
      </c>
      <c r="B2127" s="1"/>
      <c r="C2127" s="1">
        <v>0.0</v>
      </c>
      <c r="D2127" s="2"/>
      <c r="E2127" s="2"/>
      <c r="F2127" s="2"/>
      <c r="G2127" s="2"/>
      <c r="H2127" s="2"/>
    </row>
    <row r="2128">
      <c r="A2128" s="1" t="s">
        <v>1193</v>
      </c>
      <c r="B2128" s="1"/>
      <c r="C2128" s="1">
        <v>0.0</v>
      </c>
      <c r="D2128" s="2"/>
      <c r="E2128" s="2"/>
      <c r="F2128" s="2"/>
      <c r="G2128" s="2"/>
      <c r="H2128" s="2"/>
    </row>
    <row r="2129">
      <c r="A2129" s="1" t="s">
        <v>1194</v>
      </c>
      <c r="B2129" s="1"/>
      <c r="C2129" s="1">
        <v>0.0</v>
      </c>
      <c r="D2129" s="2"/>
      <c r="E2129" s="2"/>
      <c r="F2129" s="2"/>
      <c r="G2129" s="2"/>
      <c r="H2129" s="2"/>
    </row>
    <row r="2130">
      <c r="A2130" s="1" t="s">
        <v>1195</v>
      </c>
      <c r="B2130" s="1"/>
      <c r="C2130" s="1">
        <v>12.0</v>
      </c>
      <c r="D2130" s="2"/>
      <c r="E2130" s="2"/>
      <c r="F2130" s="2"/>
      <c r="G2130" s="2"/>
      <c r="H2130" s="2"/>
    </row>
    <row r="2131">
      <c r="A2131" s="1" t="s">
        <v>1196</v>
      </c>
      <c r="B2131" s="1"/>
      <c r="C2131" s="1">
        <v>36.0</v>
      </c>
      <c r="D2131" s="2"/>
      <c r="E2131" s="2"/>
      <c r="F2131" s="2"/>
      <c r="G2131" s="2"/>
      <c r="H2131" s="2"/>
    </row>
    <row r="2132">
      <c r="A2132" s="1" t="s">
        <v>1197</v>
      </c>
      <c r="B2132" s="1"/>
      <c r="C2132" s="1">
        <v>0.0</v>
      </c>
      <c r="D2132" s="2"/>
      <c r="E2132" s="2"/>
      <c r="F2132" s="2"/>
      <c r="G2132" s="2"/>
      <c r="H2132" s="2"/>
    </row>
    <row r="2133">
      <c r="A2133" s="1" t="s">
        <v>1198</v>
      </c>
      <c r="B2133" s="1"/>
      <c r="C2133" s="1">
        <v>0.0</v>
      </c>
      <c r="D2133" s="2"/>
      <c r="E2133" s="2"/>
      <c r="F2133" s="2"/>
      <c r="G2133" s="2"/>
      <c r="H2133" s="2"/>
    </row>
    <row r="2134">
      <c r="A2134" s="1" t="s">
        <v>1199</v>
      </c>
      <c r="B2134" s="1"/>
      <c r="C2134" s="1">
        <v>26.0</v>
      </c>
      <c r="D2134" s="2"/>
      <c r="E2134" s="2"/>
      <c r="F2134" s="2"/>
      <c r="G2134" s="2"/>
      <c r="H2134" s="2"/>
    </row>
    <row r="2135">
      <c r="A2135" s="1" t="s">
        <v>1200</v>
      </c>
      <c r="B2135" s="1"/>
      <c r="C2135" s="1">
        <v>0.0</v>
      </c>
      <c r="D2135" s="2"/>
      <c r="E2135" s="2"/>
      <c r="F2135" s="2"/>
      <c r="G2135" s="2"/>
      <c r="H2135" s="2"/>
    </row>
    <row r="2136">
      <c r="A2136" s="1" t="s">
        <v>1201</v>
      </c>
      <c r="B2136" s="1"/>
      <c r="C2136" s="1">
        <v>0.0</v>
      </c>
      <c r="D2136" s="2"/>
      <c r="E2136" s="2"/>
      <c r="F2136" s="2"/>
      <c r="G2136" s="2"/>
      <c r="H2136" s="2"/>
    </row>
    <row r="2137">
      <c r="A2137" s="1" t="s">
        <v>1202</v>
      </c>
      <c r="B2137" s="1"/>
      <c r="C2137" s="1">
        <v>0.0</v>
      </c>
      <c r="D2137" s="2"/>
      <c r="E2137" s="2"/>
      <c r="F2137" s="2"/>
      <c r="G2137" s="2"/>
      <c r="H2137" s="2"/>
    </row>
    <row r="2138">
      <c r="A2138" s="1" t="s">
        <v>1203</v>
      </c>
      <c r="B2138" s="1"/>
      <c r="C2138" s="1">
        <v>0.0</v>
      </c>
      <c r="D2138" s="2"/>
      <c r="E2138" s="2"/>
      <c r="F2138" s="2"/>
      <c r="G2138" s="2"/>
      <c r="H2138" s="2"/>
    </row>
    <row r="2139">
      <c r="A2139" s="1" t="s">
        <v>1204</v>
      </c>
      <c r="B2139" s="1"/>
      <c r="C2139" s="1">
        <v>0.0</v>
      </c>
      <c r="D2139" s="2"/>
      <c r="E2139" s="2"/>
      <c r="F2139" s="2"/>
      <c r="G2139" s="2"/>
      <c r="H2139" s="2"/>
    </row>
    <row r="2140">
      <c r="A2140" s="1" t="s">
        <v>1205</v>
      </c>
      <c r="B2140" s="1"/>
      <c r="C2140" s="1">
        <v>84.0</v>
      </c>
      <c r="D2140" s="2"/>
      <c r="E2140" s="2"/>
      <c r="F2140" s="2"/>
      <c r="G2140" s="2"/>
      <c r="H2140" s="2"/>
    </row>
    <row r="2141">
      <c r="A2141" s="1" t="s">
        <v>1206</v>
      </c>
      <c r="B2141" s="1"/>
      <c r="C2141" s="1">
        <v>72.0</v>
      </c>
      <c r="D2141" s="2"/>
      <c r="E2141" s="2"/>
      <c r="F2141" s="2"/>
      <c r="G2141" s="2"/>
      <c r="H2141" s="2"/>
    </row>
    <row r="2142">
      <c r="A2142" s="1" t="s">
        <v>1207</v>
      </c>
      <c r="B2142" s="1"/>
      <c r="C2142" s="1">
        <v>6.0</v>
      </c>
      <c r="D2142" s="2"/>
      <c r="E2142" s="2"/>
      <c r="F2142" s="2"/>
      <c r="G2142" s="2"/>
      <c r="H2142" s="2"/>
    </row>
    <row r="2143">
      <c r="A2143" s="1" t="s">
        <v>1208</v>
      </c>
      <c r="B2143" s="1"/>
      <c r="C2143" s="1">
        <v>0.0</v>
      </c>
      <c r="D2143" s="2"/>
      <c r="E2143" s="2"/>
      <c r="F2143" s="2"/>
      <c r="G2143" s="2"/>
      <c r="H2143" s="2"/>
    </row>
    <row r="2144">
      <c r="A2144" s="1" t="s">
        <v>1209</v>
      </c>
      <c r="B2144" s="1"/>
      <c r="C2144" s="1">
        <v>0.0</v>
      </c>
      <c r="D2144" s="2"/>
      <c r="E2144" s="2"/>
      <c r="F2144" s="2"/>
      <c r="G2144" s="2"/>
      <c r="H2144" s="2"/>
    </row>
    <row r="2145">
      <c r="A2145" s="1" t="s">
        <v>1210</v>
      </c>
      <c r="B2145" s="1"/>
      <c r="C2145" s="1">
        <v>0.0</v>
      </c>
      <c r="D2145" s="2"/>
      <c r="E2145" s="2"/>
      <c r="F2145" s="2"/>
      <c r="G2145" s="2"/>
      <c r="H2145" s="2"/>
    </row>
    <row r="2146">
      <c r="A2146" s="1" t="s">
        <v>1211</v>
      </c>
      <c r="B2146" s="1"/>
      <c r="C2146" s="1">
        <v>0.0</v>
      </c>
      <c r="D2146" s="2"/>
      <c r="E2146" s="2"/>
      <c r="F2146" s="2"/>
      <c r="G2146" s="2"/>
      <c r="H2146" s="2"/>
    </row>
    <row r="2147">
      <c r="A2147" s="1" t="s">
        <v>1212</v>
      </c>
      <c r="B2147" s="1"/>
      <c r="C2147" s="1">
        <v>0.0</v>
      </c>
      <c r="D2147" s="2"/>
      <c r="E2147" s="2"/>
      <c r="F2147" s="2"/>
      <c r="G2147" s="2"/>
      <c r="H2147" s="2"/>
    </row>
    <row r="2148">
      <c r="A2148" s="1" t="s">
        <v>1153</v>
      </c>
      <c r="B2148" s="1"/>
      <c r="C2148" s="1">
        <v>0.0</v>
      </c>
      <c r="D2148" s="2"/>
      <c r="E2148" s="2"/>
      <c r="F2148" s="2"/>
      <c r="G2148" s="2"/>
      <c r="H2148" s="2"/>
    </row>
    <row r="2149">
      <c r="A2149" s="1" t="s">
        <v>1154</v>
      </c>
      <c r="B2149" s="1"/>
      <c r="C2149" s="1">
        <v>84.0</v>
      </c>
      <c r="D2149" s="2"/>
      <c r="E2149" s="2"/>
      <c r="F2149" s="2"/>
      <c r="G2149" s="2"/>
      <c r="H2149" s="2"/>
    </row>
    <row r="2150">
      <c r="A2150" s="1" t="s">
        <v>1155</v>
      </c>
      <c r="B2150" s="1"/>
      <c r="C2150" s="1">
        <v>0.0</v>
      </c>
      <c r="D2150" s="2"/>
      <c r="E2150" s="2"/>
      <c r="F2150" s="2"/>
      <c r="G2150" s="2"/>
      <c r="H2150" s="2"/>
    </row>
    <row r="2151">
      <c r="A2151" s="1" t="s">
        <v>1156</v>
      </c>
      <c r="B2151" s="1"/>
      <c r="C2151" s="1">
        <v>65.0</v>
      </c>
      <c r="D2151" s="2"/>
      <c r="E2151" s="2"/>
      <c r="F2151" s="2"/>
      <c r="G2151" s="2"/>
      <c r="H2151" s="2"/>
    </row>
    <row r="2152">
      <c r="A2152" s="1" t="s">
        <v>1157</v>
      </c>
      <c r="B2152" s="1"/>
      <c r="C2152" s="1" t="s">
        <v>1158</v>
      </c>
      <c r="D2152" s="1">
        <v>0.0</v>
      </c>
      <c r="E2152" s="2"/>
      <c r="F2152" s="2"/>
      <c r="G2152" s="2"/>
      <c r="H2152" s="2"/>
    </row>
    <row r="2153">
      <c r="A2153" s="1" t="s">
        <v>1159</v>
      </c>
      <c r="B2153" s="1"/>
      <c r="C2153" s="1">
        <v>0.0</v>
      </c>
      <c r="D2153" s="2"/>
      <c r="E2153" s="2"/>
      <c r="F2153" s="2"/>
      <c r="G2153" s="2"/>
      <c r="H2153" s="2"/>
    </row>
    <row r="2154">
      <c r="A2154" s="1" t="s">
        <v>1160</v>
      </c>
      <c r="B2154" s="1"/>
      <c r="C2154" s="1">
        <v>74.0</v>
      </c>
      <c r="D2154" s="2"/>
      <c r="E2154" s="2"/>
      <c r="F2154" s="2"/>
      <c r="G2154" s="2"/>
      <c r="H2154" s="2"/>
    </row>
    <row r="2155">
      <c r="A2155" s="1" t="s">
        <v>1161</v>
      </c>
      <c r="B2155" s="1"/>
      <c r="C2155" s="1">
        <v>0.0</v>
      </c>
      <c r="D2155" s="2"/>
      <c r="E2155" s="2"/>
      <c r="F2155" s="2"/>
      <c r="G2155" s="2"/>
      <c r="H2155" s="2"/>
    </row>
    <row r="2156">
      <c r="A2156" s="1" t="s">
        <v>1162</v>
      </c>
      <c r="B2156" s="1"/>
      <c r="C2156" s="1">
        <v>20.0</v>
      </c>
      <c r="D2156" s="2"/>
      <c r="E2156" s="2"/>
      <c r="F2156" s="2"/>
      <c r="G2156" s="2"/>
      <c r="H2156" s="2"/>
    </row>
    <row r="2157">
      <c r="A2157" s="1" t="s">
        <v>1163</v>
      </c>
      <c r="B2157" s="1"/>
      <c r="C2157" s="1">
        <v>0.0</v>
      </c>
      <c r="D2157" s="2"/>
      <c r="E2157" s="2"/>
      <c r="F2157" s="2"/>
      <c r="G2157" s="2"/>
      <c r="H2157" s="2"/>
    </row>
    <row r="2158">
      <c r="A2158" s="1" t="s">
        <v>1164</v>
      </c>
      <c r="B2158" s="1"/>
      <c r="C2158" s="1">
        <v>0.0</v>
      </c>
      <c r="D2158" s="2"/>
      <c r="E2158" s="2"/>
      <c r="F2158" s="2"/>
      <c r="G2158" s="2"/>
      <c r="H2158" s="2"/>
    </row>
    <row r="2159">
      <c r="A2159" s="1" t="s">
        <v>1165</v>
      </c>
      <c r="B2159" s="1"/>
      <c r="C2159" s="1">
        <v>0.0</v>
      </c>
      <c r="D2159" s="2"/>
      <c r="E2159" s="2"/>
      <c r="F2159" s="2"/>
      <c r="G2159" s="2"/>
      <c r="H2159" s="2"/>
    </row>
    <row r="2160">
      <c r="A2160" s="1" t="s">
        <v>1166</v>
      </c>
      <c r="B2160" s="1"/>
      <c r="C2160" s="1">
        <v>80.0</v>
      </c>
      <c r="D2160" s="2"/>
      <c r="E2160" s="2"/>
      <c r="F2160" s="2"/>
      <c r="G2160" s="2"/>
      <c r="H2160" s="2"/>
    </row>
    <row r="2161">
      <c r="A2161" s="1" t="s">
        <v>1167</v>
      </c>
      <c r="B2161" s="1"/>
      <c r="C2161" s="1">
        <v>69.0</v>
      </c>
      <c r="D2161" s="2"/>
      <c r="E2161" s="2"/>
      <c r="F2161" s="2"/>
      <c r="G2161" s="2"/>
      <c r="H2161" s="2"/>
    </row>
    <row r="2162">
      <c r="A2162" s="1" t="s">
        <v>1168</v>
      </c>
      <c r="B2162" s="1"/>
      <c r="C2162" s="1">
        <v>85.0</v>
      </c>
      <c r="D2162" s="2"/>
      <c r="E2162" s="2"/>
      <c r="F2162" s="2"/>
      <c r="G2162" s="2"/>
      <c r="H2162" s="2"/>
    </row>
    <row r="2163">
      <c r="A2163" s="1" t="s">
        <v>1169</v>
      </c>
      <c r="B2163" s="1"/>
      <c r="C2163" s="1">
        <v>2.0</v>
      </c>
      <c r="D2163" s="2"/>
      <c r="E2163" s="2"/>
      <c r="F2163" s="2"/>
      <c r="G2163" s="2"/>
      <c r="H2163" s="2"/>
    </row>
    <row r="2164">
      <c r="A2164" s="1" t="s">
        <v>1170</v>
      </c>
      <c r="B2164" s="1"/>
      <c r="C2164" s="1">
        <v>66.0</v>
      </c>
      <c r="D2164" s="2"/>
      <c r="E2164" s="2"/>
      <c r="F2164" s="2"/>
      <c r="G2164" s="2"/>
      <c r="H2164" s="2"/>
    </row>
    <row r="2165">
      <c r="A2165" s="1" t="s">
        <v>1171</v>
      </c>
      <c r="B2165" s="1"/>
      <c r="C2165" s="1">
        <v>0.0</v>
      </c>
      <c r="D2165" s="2"/>
      <c r="E2165" s="2"/>
      <c r="F2165" s="2"/>
      <c r="G2165" s="2"/>
      <c r="H2165" s="2"/>
    </row>
    <row r="2166">
      <c r="A2166" s="1" t="s">
        <v>1172</v>
      </c>
      <c r="B2166" s="1"/>
      <c r="C2166" s="1">
        <v>89.0</v>
      </c>
      <c r="D2166" s="2"/>
      <c r="E2166" s="2"/>
      <c r="F2166" s="2"/>
      <c r="G2166" s="2"/>
      <c r="H2166" s="2"/>
    </row>
    <row r="2167">
      <c r="A2167" s="1" t="s">
        <v>1173</v>
      </c>
      <c r="B2167" s="1"/>
      <c r="C2167" s="1">
        <v>50.0</v>
      </c>
      <c r="D2167" s="2"/>
      <c r="E2167" s="2"/>
      <c r="F2167" s="2"/>
      <c r="G2167" s="2"/>
      <c r="H2167" s="2"/>
    </row>
    <row r="2168">
      <c r="A2168" s="1" t="s">
        <v>1174</v>
      </c>
      <c r="B2168" s="1"/>
      <c r="C2168" s="1">
        <v>0.0</v>
      </c>
      <c r="D2168" s="2"/>
      <c r="E2168" s="2"/>
      <c r="F2168" s="2"/>
      <c r="G2168" s="2"/>
      <c r="H2168" s="2"/>
    </row>
    <row r="2169">
      <c r="A2169" s="1" t="s">
        <v>1175</v>
      </c>
      <c r="B2169" s="1"/>
      <c r="C2169" s="1">
        <v>2.0</v>
      </c>
      <c r="D2169" s="2"/>
      <c r="E2169" s="2"/>
      <c r="F2169" s="2"/>
      <c r="G2169" s="2"/>
      <c r="H2169" s="2"/>
    </row>
    <row r="2170">
      <c r="A2170" s="1" t="s">
        <v>1176</v>
      </c>
      <c r="B2170" s="1"/>
      <c r="C2170" s="1">
        <v>0.0</v>
      </c>
      <c r="D2170" s="2"/>
      <c r="E2170" s="2"/>
      <c r="F2170" s="2"/>
      <c r="G2170" s="2"/>
      <c r="H2170" s="2"/>
    </row>
    <row r="2171">
      <c r="A2171" s="1" t="s">
        <v>1177</v>
      </c>
      <c r="B2171" s="1"/>
      <c r="C2171" s="1">
        <v>0.0</v>
      </c>
      <c r="D2171" s="2"/>
      <c r="E2171" s="2"/>
      <c r="F2171" s="2"/>
      <c r="G2171" s="2"/>
      <c r="H2171" s="2"/>
    </row>
    <row r="2172">
      <c r="A2172" s="1" t="s">
        <v>1178</v>
      </c>
      <c r="B2172" s="1"/>
      <c r="C2172" s="1">
        <v>0.0</v>
      </c>
      <c r="D2172" s="2"/>
      <c r="E2172" s="2"/>
      <c r="F2172" s="2"/>
      <c r="G2172" s="2"/>
      <c r="H2172" s="2"/>
    </row>
    <row r="2173">
      <c r="A2173" s="1" t="s">
        <v>1179</v>
      </c>
      <c r="B2173" s="1"/>
      <c r="C2173" s="1">
        <v>0.0</v>
      </c>
      <c r="D2173" s="2"/>
      <c r="E2173" s="2"/>
      <c r="F2173" s="2"/>
      <c r="G2173" s="2"/>
      <c r="H2173" s="2"/>
    </row>
    <row r="2174">
      <c r="A2174" s="1" t="s">
        <v>1180</v>
      </c>
      <c r="B2174" s="1"/>
      <c r="C2174" s="1">
        <v>0.0</v>
      </c>
      <c r="D2174" s="2"/>
      <c r="E2174" s="2"/>
      <c r="F2174" s="2"/>
      <c r="G2174" s="2"/>
      <c r="H2174" s="2"/>
    </row>
    <row r="2175">
      <c r="A2175" s="1" t="s">
        <v>1181</v>
      </c>
      <c r="B2175" s="1"/>
      <c r="C2175" s="1">
        <v>0.0</v>
      </c>
      <c r="D2175" s="2"/>
      <c r="E2175" s="2"/>
      <c r="F2175" s="2"/>
      <c r="G2175" s="2"/>
      <c r="H2175" s="2"/>
    </row>
    <row r="2176">
      <c r="A2176" s="1" t="s">
        <v>1182</v>
      </c>
      <c r="B2176" s="1"/>
      <c r="C2176" s="1">
        <v>0.0</v>
      </c>
      <c r="D2176" s="2"/>
      <c r="E2176" s="2"/>
      <c r="F2176" s="2"/>
      <c r="G2176" s="2"/>
      <c r="H2176" s="2"/>
    </row>
    <row r="2177">
      <c r="A2177" s="1" t="s">
        <v>1183</v>
      </c>
      <c r="B2177" s="1"/>
      <c r="C2177" s="1">
        <v>76.0</v>
      </c>
      <c r="D2177" s="2"/>
      <c r="E2177" s="2"/>
      <c r="F2177" s="2"/>
      <c r="G2177" s="2"/>
      <c r="H2177" s="2"/>
    </row>
    <row r="2178">
      <c r="A2178" s="1" t="s">
        <v>1184</v>
      </c>
      <c r="B2178" s="1"/>
      <c r="C2178" s="1">
        <v>0.0</v>
      </c>
      <c r="D2178" s="2"/>
      <c r="E2178" s="2"/>
      <c r="F2178" s="2"/>
      <c r="G2178" s="2"/>
      <c r="H2178" s="2"/>
    </row>
    <row r="2179">
      <c r="A2179" s="1" t="s">
        <v>1185</v>
      </c>
      <c r="B2179" s="1"/>
      <c r="C2179" s="1">
        <v>0.0</v>
      </c>
      <c r="D2179" s="2"/>
      <c r="E2179" s="2"/>
      <c r="F2179" s="2"/>
      <c r="G2179" s="2"/>
      <c r="H2179" s="2"/>
    </row>
    <row r="2180">
      <c r="A2180" s="1" t="s">
        <v>1186</v>
      </c>
      <c r="B2180" s="1"/>
      <c r="C2180" s="1">
        <v>28.0</v>
      </c>
      <c r="D2180" s="2"/>
      <c r="E2180" s="2"/>
      <c r="F2180" s="2"/>
      <c r="G2180" s="2"/>
      <c r="H2180" s="2"/>
    </row>
    <row r="2181">
      <c r="A2181" s="1" t="s">
        <v>1187</v>
      </c>
      <c r="B2181" s="1"/>
      <c r="C2181" s="1">
        <v>13.0</v>
      </c>
      <c r="D2181" s="2"/>
      <c r="E2181" s="2"/>
      <c r="F2181" s="2"/>
      <c r="G2181" s="2"/>
      <c r="H2181" s="2"/>
    </row>
    <row r="2182">
      <c r="A2182" s="1" t="s">
        <v>1188</v>
      </c>
      <c r="B2182" s="1"/>
      <c r="C2182" s="1">
        <v>80.0</v>
      </c>
      <c r="D2182" s="2"/>
      <c r="E2182" s="2"/>
      <c r="F2182" s="2"/>
      <c r="G2182" s="2"/>
      <c r="H2182" s="2"/>
    </row>
    <row r="2183">
      <c r="A2183" s="1" t="s">
        <v>1189</v>
      </c>
      <c r="B2183" s="1"/>
      <c r="C2183" s="1">
        <v>59.0</v>
      </c>
      <c r="D2183" s="2"/>
      <c r="E2183" s="2"/>
      <c r="F2183" s="2"/>
      <c r="G2183" s="2"/>
      <c r="H2183" s="2"/>
    </row>
    <row r="2184">
      <c r="A2184" s="1" t="s">
        <v>1190</v>
      </c>
      <c r="B2184" s="1"/>
      <c r="C2184" s="1" t="s">
        <v>1191</v>
      </c>
      <c r="D2184" s="1">
        <v>71.0</v>
      </c>
      <c r="E2184" s="2"/>
      <c r="F2184" s="2"/>
      <c r="G2184" s="2"/>
      <c r="H2184" s="2"/>
    </row>
    <row r="2185">
      <c r="A2185" s="1" t="s">
        <v>1192</v>
      </c>
      <c r="B2185" s="1"/>
      <c r="C2185" s="1">
        <v>0.0</v>
      </c>
      <c r="D2185" s="2"/>
      <c r="E2185" s="2"/>
      <c r="F2185" s="2"/>
      <c r="G2185" s="2"/>
      <c r="H2185" s="2"/>
    </row>
    <row r="2186">
      <c r="A2186" s="1" t="s">
        <v>1193</v>
      </c>
      <c r="B2186" s="1"/>
      <c r="C2186" s="1">
        <v>0.0</v>
      </c>
      <c r="D2186" s="2"/>
      <c r="E2186" s="2"/>
      <c r="F2186" s="2"/>
      <c r="G2186" s="2"/>
      <c r="H2186" s="2"/>
    </row>
    <row r="2187">
      <c r="A2187" s="1" t="s">
        <v>1194</v>
      </c>
      <c r="B2187" s="1"/>
      <c r="C2187" s="1">
        <v>0.0</v>
      </c>
      <c r="D2187" s="2"/>
      <c r="E2187" s="2"/>
      <c r="F2187" s="2"/>
      <c r="G2187" s="2"/>
      <c r="H2187" s="2"/>
    </row>
    <row r="2188">
      <c r="A2188" s="1" t="s">
        <v>1195</v>
      </c>
      <c r="B2188" s="1"/>
      <c r="C2188" s="1">
        <v>12.0</v>
      </c>
      <c r="D2188" s="2"/>
      <c r="E2188" s="2"/>
      <c r="F2188" s="2"/>
      <c r="G2188" s="2"/>
      <c r="H2188" s="2"/>
    </row>
    <row r="2189">
      <c r="A2189" s="1" t="s">
        <v>1196</v>
      </c>
      <c r="B2189" s="1"/>
      <c r="C2189" s="1">
        <v>36.0</v>
      </c>
      <c r="D2189" s="2"/>
      <c r="E2189" s="2"/>
      <c r="F2189" s="2"/>
      <c r="G2189" s="2"/>
      <c r="H2189" s="2"/>
    </row>
    <row r="2190">
      <c r="A2190" s="1" t="s">
        <v>1197</v>
      </c>
      <c r="B2190" s="1"/>
      <c r="C2190" s="1">
        <v>0.0</v>
      </c>
      <c r="D2190" s="2"/>
      <c r="E2190" s="2"/>
      <c r="F2190" s="2"/>
      <c r="G2190" s="2"/>
      <c r="H2190" s="2"/>
    </row>
    <row r="2191">
      <c r="A2191" s="1" t="s">
        <v>1198</v>
      </c>
      <c r="B2191" s="1"/>
      <c r="C2191" s="1">
        <v>0.0</v>
      </c>
      <c r="D2191" s="2"/>
      <c r="E2191" s="2"/>
      <c r="F2191" s="2"/>
      <c r="G2191" s="2"/>
      <c r="H2191" s="2"/>
    </row>
    <row r="2192">
      <c r="A2192" s="1" t="s">
        <v>1199</v>
      </c>
      <c r="B2192" s="1"/>
      <c r="C2192" s="1">
        <v>26.0</v>
      </c>
      <c r="D2192" s="2"/>
      <c r="E2192" s="2"/>
      <c r="F2192" s="2"/>
      <c r="G2192" s="2"/>
      <c r="H2192" s="2"/>
    </row>
    <row r="2193">
      <c r="A2193" s="1" t="s">
        <v>1200</v>
      </c>
      <c r="B2193" s="1"/>
      <c r="C2193" s="1">
        <v>0.0</v>
      </c>
      <c r="D2193" s="2"/>
      <c r="E2193" s="2"/>
      <c r="F2193" s="2"/>
      <c r="G2193" s="2"/>
      <c r="H2193" s="2"/>
    </row>
    <row r="2194">
      <c r="A2194" s="1" t="s">
        <v>1201</v>
      </c>
      <c r="B2194" s="1"/>
      <c r="C2194" s="1">
        <v>0.0</v>
      </c>
      <c r="D2194" s="2"/>
      <c r="E2194" s="2"/>
      <c r="F2194" s="2"/>
      <c r="G2194" s="2"/>
      <c r="H2194" s="2"/>
    </row>
    <row r="2195">
      <c r="A2195" s="1" t="s">
        <v>1202</v>
      </c>
      <c r="B2195" s="1"/>
      <c r="C2195" s="1">
        <v>0.0</v>
      </c>
      <c r="D2195" s="2"/>
      <c r="E2195" s="2"/>
      <c r="F2195" s="2"/>
      <c r="G2195" s="2"/>
      <c r="H2195" s="2"/>
    </row>
    <row r="2196">
      <c r="A2196" s="1" t="s">
        <v>1203</v>
      </c>
      <c r="B2196" s="1"/>
      <c r="C2196" s="1">
        <v>0.0</v>
      </c>
      <c r="D2196" s="2"/>
      <c r="E2196" s="2"/>
      <c r="F2196" s="2"/>
      <c r="G2196" s="2"/>
      <c r="H2196" s="2"/>
    </row>
    <row r="2197">
      <c r="A2197" s="1" t="s">
        <v>1204</v>
      </c>
      <c r="B2197" s="1"/>
      <c r="C2197" s="1">
        <v>0.0</v>
      </c>
      <c r="D2197" s="2"/>
      <c r="E2197" s="2"/>
      <c r="F2197" s="2"/>
      <c r="G2197" s="2"/>
      <c r="H2197" s="2"/>
    </row>
    <row r="2198">
      <c r="A2198" s="1" t="s">
        <v>1205</v>
      </c>
      <c r="B2198" s="1"/>
      <c r="C2198" s="1">
        <v>84.0</v>
      </c>
      <c r="D2198" s="2"/>
      <c r="E2198" s="2"/>
      <c r="F2198" s="2"/>
      <c r="G2198" s="2"/>
      <c r="H2198" s="2"/>
    </row>
    <row r="2199">
      <c r="A2199" s="1" t="s">
        <v>1206</v>
      </c>
      <c r="B2199" s="1"/>
      <c r="C2199" s="1">
        <v>72.0</v>
      </c>
      <c r="D2199" s="2"/>
      <c r="E2199" s="2"/>
      <c r="F2199" s="2"/>
      <c r="G2199" s="2"/>
      <c r="H2199" s="2"/>
    </row>
    <row r="2200">
      <c r="A2200" s="1" t="s">
        <v>1207</v>
      </c>
      <c r="B2200" s="1"/>
      <c r="C2200" s="1">
        <v>6.0</v>
      </c>
      <c r="D2200" s="2"/>
      <c r="E2200" s="2"/>
      <c r="F2200" s="2"/>
      <c r="G2200" s="2"/>
      <c r="H2200" s="2"/>
    </row>
    <row r="2201">
      <c r="A2201" s="1" t="s">
        <v>1208</v>
      </c>
      <c r="B2201" s="1"/>
      <c r="C2201" s="1">
        <v>0.0</v>
      </c>
      <c r="D2201" s="2"/>
      <c r="E2201" s="2"/>
      <c r="F2201" s="2"/>
      <c r="G2201" s="2"/>
      <c r="H2201" s="2"/>
    </row>
    <row r="2202">
      <c r="A2202" s="1" t="s">
        <v>1209</v>
      </c>
      <c r="B2202" s="1"/>
      <c r="C2202" s="1">
        <v>0.0</v>
      </c>
      <c r="D2202" s="2"/>
      <c r="E2202" s="2"/>
      <c r="F2202" s="2"/>
      <c r="G2202" s="2"/>
      <c r="H2202" s="2"/>
    </row>
    <row r="2203">
      <c r="A2203" s="1" t="s">
        <v>1210</v>
      </c>
      <c r="B2203" s="1"/>
      <c r="C2203" s="1">
        <v>0.0</v>
      </c>
      <c r="D2203" s="2"/>
      <c r="E2203" s="2"/>
      <c r="F2203" s="2"/>
      <c r="G2203" s="2"/>
      <c r="H2203" s="2"/>
    </row>
    <row r="2204">
      <c r="A2204" s="1" t="s">
        <v>1211</v>
      </c>
      <c r="B2204" s="1"/>
      <c r="C2204" s="1">
        <v>0.0</v>
      </c>
      <c r="D2204" s="2"/>
      <c r="E2204" s="2"/>
      <c r="F2204" s="2"/>
      <c r="G2204" s="2"/>
      <c r="H2204" s="2"/>
    </row>
    <row r="2205">
      <c r="A2205" s="1" t="s">
        <v>1212</v>
      </c>
      <c r="B2205" s="1"/>
      <c r="C2205" s="1">
        <v>0.0</v>
      </c>
      <c r="D2205" s="2"/>
      <c r="E2205" s="2"/>
      <c r="F2205" s="2"/>
      <c r="G2205" s="2"/>
      <c r="H2205" s="2"/>
    </row>
    <row r="2206">
      <c r="A2206" s="2"/>
      <c r="B2206" s="2"/>
      <c r="C2206" s="2"/>
      <c r="D2206" s="2"/>
      <c r="E2206" s="2"/>
      <c r="F2206" s="2"/>
      <c r="G2206" s="2"/>
      <c r="H2206" s="2"/>
    </row>
    <row r="2207">
      <c r="A2207" s="2"/>
      <c r="B2207" s="2"/>
      <c r="C2207" s="2"/>
      <c r="D2207" s="2"/>
      <c r="E2207" s="2"/>
      <c r="F2207" s="2"/>
      <c r="G2207" s="2"/>
      <c r="H2207" s="2"/>
    </row>
  </sheetData>
  <conditionalFormatting sqref="C1:C2207">
    <cfRule type="cellIs" dxfId="0" priority="1" operator="greaterThanOr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1" t="s">
        <v>1</v>
      </c>
      <c r="B2" s="2"/>
      <c r="C2" s="2"/>
      <c r="D2" s="2"/>
      <c r="E2" s="2"/>
      <c r="F2" s="2"/>
      <c r="G2" s="2"/>
    </row>
    <row r="3">
      <c r="A3" s="1" t="s">
        <v>2</v>
      </c>
      <c r="B3" s="2"/>
      <c r="C3" s="2"/>
      <c r="D3" s="2"/>
      <c r="E3" s="2"/>
      <c r="F3" s="2"/>
      <c r="G3" s="2"/>
    </row>
    <row r="4">
      <c r="A4" s="1" t="s">
        <v>3</v>
      </c>
      <c r="B4" s="2"/>
      <c r="C4" s="2"/>
      <c r="D4" s="2"/>
      <c r="E4" s="2"/>
      <c r="F4" s="2"/>
      <c r="G4" s="2"/>
    </row>
    <row r="5">
      <c r="A5" s="1" t="s">
        <v>4</v>
      </c>
      <c r="B5" s="1">
        <v>0.0</v>
      </c>
      <c r="C5" s="2"/>
      <c r="D5" s="2"/>
      <c r="E5" s="2"/>
      <c r="F5" s="2"/>
      <c r="G5" s="2"/>
    </row>
    <row r="6">
      <c r="A6" s="1" t="s">
        <v>5</v>
      </c>
      <c r="B6" s="1">
        <v>52.0</v>
      </c>
      <c r="C6" s="2"/>
      <c r="D6" s="2"/>
      <c r="E6" s="2"/>
      <c r="F6" s="2"/>
      <c r="G6" s="2"/>
    </row>
    <row r="7">
      <c r="A7" s="1" t="s">
        <v>6</v>
      </c>
      <c r="B7" s="1">
        <v>0.0</v>
      </c>
      <c r="C7" s="2"/>
      <c r="D7" s="2"/>
      <c r="E7" s="2"/>
      <c r="F7" s="2"/>
      <c r="G7" s="2"/>
    </row>
    <row r="8">
      <c r="A8" s="1" t="s">
        <v>7</v>
      </c>
      <c r="B8" s="1">
        <v>0.0</v>
      </c>
      <c r="C8" s="2"/>
      <c r="D8" s="2"/>
      <c r="E8" s="2"/>
      <c r="F8" s="2"/>
      <c r="G8" s="2"/>
    </row>
    <row r="9">
      <c r="A9" s="1" t="s">
        <v>8</v>
      </c>
      <c r="B9" s="1">
        <v>0.0</v>
      </c>
      <c r="C9" s="2"/>
      <c r="D9" s="2"/>
      <c r="E9" s="2"/>
      <c r="F9" s="2"/>
      <c r="G9" s="2"/>
    </row>
    <row r="10">
      <c r="A10" s="1" t="s">
        <v>9</v>
      </c>
      <c r="B10" s="1">
        <v>0.0</v>
      </c>
      <c r="C10" s="2"/>
      <c r="D10" s="2"/>
      <c r="E10" s="2"/>
      <c r="F10" s="2"/>
      <c r="G10" s="2"/>
    </row>
    <row r="11">
      <c r="A11" s="1" t="s">
        <v>10</v>
      </c>
      <c r="B11" s="1">
        <v>0.0</v>
      </c>
      <c r="C11" s="2"/>
      <c r="D11" s="2"/>
      <c r="E11" s="2"/>
      <c r="F11" s="2"/>
      <c r="G11" s="2"/>
    </row>
    <row r="12">
      <c r="A12" s="1" t="s">
        <v>11</v>
      </c>
      <c r="B12" s="1">
        <v>0.0</v>
      </c>
      <c r="C12" s="2"/>
      <c r="D12" s="2"/>
      <c r="E12" s="2"/>
      <c r="F12" s="2"/>
      <c r="G12" s="2"/>
    </row>
    <row r="13">
      <c r="A13" s="1" t="s">
        <v>12</v>
      </c>
      <c r="B13" s="1">
        <v>67.0</v>
      </c>
      <c r="C13" s="2"/>
      <c r="D13" s="2"/>
      <c r="E13" s="2"/>
      <c r="F13" s="2"/>
      <c r="G13" s="2"/>
    </row>
    <row r="14">
      <c r="A14" s="1" t="s">
        <v>13</v>
      </c>
      <c r="B14" s="1">
        <v>0.0</v>
      </c>
      <c r="C14" s="2"/>
      <c r="D14" s="2"/>
      <c r="E14" s="2"/>
      <c r="F14" s="2"/>
      <c r="G14" s="2"/>
    </row>
    <row r="15">
      <c r="A15" s="1" t="s">
        <v>14</v>
      </c>
      <c r="B15" s="1">
        <v>0.0</v>
      </c>
      <c r="C15" s="2"/>
      <c r="D15" s="2"/>
      <c r="E15" s="2"/>
      <c r="F15" s="2"/>
      <c r="G15" s="2"/>
    </row>
    <row r="16">
      <c r="A16" s="1" t="s">
        <v>15</v>
      </c>
      <c r="B16" s="1" t="s">
        <v>16</v>
      </c>
      <c r="C16" s="1">
        <v>97.0</v>
      </c>
      <c r="D16" s="2"/>
      <c r="E16" s="2"/>
      <c r="F16" s="2"/>
      <c r="G16" s="2"/>
    </row>
    <row r="17">
      <c r="A17" s="1" t="s">
        <v>17</v>
      </c>
      <c r="B17" s="1">
        <v>0.0</v>
      </c>
      <c r="C17" s="2"/>
      <c r="D17" s="2"/>
      <c r="E17" s="2"/>
      <c r="F17" s="2"/>
      <c r="G17" s="2"/>
    </row>
    <row r="18">
      <c r="A18" s="1" t="s">
        <v>18</v>
      </c>
      <c r="B18" s="1">
        <v>23.0</v>
      </c>
      <c r="C18" s="2"/>
      <c r="D18" s="2"/>
      <c r="E18" s="2"/>
      <c r="F18" s="2"/>
      <c r="G18" s="2"/>
    </row>
    <row r="19">
      <c r="A19" s="1" t="s">
        <v>19</v>
      </c>
      <c r="B19" s="1">
        <v>0.0</v>
      </c>
      <c r="C19" s="2"/>
      <c r="D19" s="2"/>
      <c r="E19" s="2"/>
      <c r="F19" s="2"/>
      <c r="G19" s="2"/>
    </row>
    <row r="20">
      <c r="A20" s="1" t="s">
        <v>20</v>
      </c>
      <c r="B20" s="1">
        <v>0.0</v>
      </c>
      <c r="C20" s="2"/>
      <c r="D20" s="2"/>
      <c r="E20" s="2"/>
      <c r="F20" s="2"/>
      <c r="G20" s="2"/>
    </row>
    <row r="21">
      <c r="A21" s="1" t="s">
        <v>21</v>
      </c>
      <c r="B21" s="1">
        <v>0.0</v>
      </c>
      <c r="C21" s="2"/>
      <c r="D21" s="2"/>
      <c r="E21" s="2"/>
      <c r="F21" s="2"/>
      <c r="G21" s="2"/>
    </row>
    <row r="22">
      <c r="A22" s="1" t="s">
        <v>22</v>
      </c>
      <c r="B22" s="1">
        <v>0.0</v>
      </c>
      <c r="C22" s="2"/>
      <c r="D22" s="2"/>
      <c r="E22" s="2"/>
      <c r="F22" s="2"/>
      <c r="G22" s="2"/>
    </row>
    <row r="23">
      <c r="A23" s="1" t="s">
        <v>23</v>
      </c>
      <c r="B23" s="1" t="s">
        <v>24</v>
      </c>
      <c r="C23" s="1">
        <v>0.0</v>
      </c>
      <c r="D23" s="2"/>
      <c r="E23" s="2"/>
      <c r="F23" s="2"/>
      <c r="G23" s="2"/>
    </row>
    <row r="24">
      <c r="A24" s="1" t="s">
        <v>25</v>
      </c>
      <c r="B24" s="1">
        <v>0.0</v>
      </c>
      <c r="C24" s="2"/>
      <c r="D24" s="2"/>
      <c r="E24" s="2"/>
      <c r="F24" s="2"/>
      <c r="G24" s="2"/>
    </row>
    <row r="25">
      <c r="A25" s="1" t="s">
        <v>26</v>
      </c>
      <c r="B25" s="1">
        <v>0.0</v>
      </c>
      <c r="C25" s="2"/>
      <c r="D25" s="2"/>
      <c r="E25" s="2"/>
      <c r="F25" s="2"/>
      <c r="G25" s="2"/>
    </row>
    <row r="26">
      <c r="A26" s="1" t="s">
        <v>27</v>
      </c>
      <c r="B26" s="1">
        <v>0.0</v>
      </c>
      <c r="C26" s="2"/>
      <c r="D26" s="2"/>
      <c r="E26" s="2"/>
      <c r="F26" s="2"/>
      <c r="G26" s="2"/>
    </row>
    <row r="27">
      <c r="A27" s="1" t="s">
        <v>28</v>
      </c>
      <c r="B27" s="1">
        <v>0.0</v>
      </c>
      <c r="C27" s="2"/>
      <c r="D27" s="2"/>
      <c r="E27" s="2"/>
      <c r="F27" s="2"/>
      <c r="G27" s="2"/>
    </row>
    <row r="28">
      <c r="A28" s="1" t="s">
        <v>29</v>
      </c>
      <c r="B28" s="1" t="s">
        <v>30</v>
      </c>
      <c r="C28" s="1" t="s">
        <v>31</v>
      </c>
      <c r="D28" s="2"/>
      <c r="E28" s="2"/>
      <c r="F28" s="2"/>
      <c r="G28" s="2"/>
    </row>
    <row r="29">
      <c r="A29" s="1" t="s">
        <v>32</v>
      </c>
      <c r="B29" s="1">
        <v>0.0</v>
      </c>
      <c r="C29" s="2"/>
      <c r="D29" s="2"/>
      <c r="E29" s="2"/>
      <c r="F29" s="2"/>
      <c r="G29" s="2"/>
    </row>
    <row r="30">
      <c r="A30" s="1" t="s">
        <v>33</v>
      </c>
      <c r="B30" s="1" t="s">
        <v>34</v>
      </c>
      <c r="C30" s="2"/>
      <c r="D30" s="2"/>
      <c r="E30" s="2"/>
      <c r="F30" s="2"/>
      <c r="G30" s="2"/>
    </row>
    <row r="31">
      <c r="A31" s="1" t="s">
        <v>35</v>
      </c>
      <c r="B31" s="1">
        <v>10.0</v>
      </c>
      <c r="C31" s="2"/>
      <c r="D31" s="2"/>
      <c r="E31" s="2"/>
      <c r="F31" s="2"/>
      <c r="G31" s="2"/>
    </row>
    <row r="32">
      <c r="A32" s="1" t="s">
        <v>36</v>
      </c>
      <c r="B32" s="1">
        <v>0.0</v>
      </c>
      <c r="C32" s="2"/>
      <c r="D32" s="2"/>
      <c r="E32" s="2"/>
      <c r="F32" s="2"/>
      <c r="G32" s="2"/>
    </row>
    <row r="33">
      <c r="A33" s="1" t="s">
        <v>37</v>
      </c>
      <c r="B33" s="1">
        <v>5.0</v>
      </c>
      <c r="C33" s="2"/>
      <c r="D33" s="2"/>
      <c r="E33" s="2"/>
      <c r="F33" s="2"/>
      <c r="G33" s="2"/>
    </row>
    <row r="34">
      <c r="A34" s="1" t="s">
        <v>38</v>
      </c>
      <c r="B34" s="1">
        <v>86.0</v>
      </c>
      <c r="C34" s="2"/>
      <c r="D34" s="2"/>
      <c r="E34" s="2"/>
      <c r="F34" s="2"/>
      <c r="G34" s="2"/>
    </row>
    <row r="35">
      <c r="A35" s="1" t="s">
        <v>39</v>
      </c>
      <c r="B35" s="1">
        <v>0.0</v>
      </c>
      <c r="C35" s="2"/>
      <c r="D35" s="2"/>
      <c r="E35" s="2"/>
      <c r="F35" s="2"/>
      <c r="G35" s="2"/>
    </row>
    <row r="36">
      <c r="A36" s="1" t="s">
        <v>40</v>
      </c>
      <c r="B36" s="1">
        <v>0.0</v>
      </c>
      <c r="C36" s="2"/>
      <c r="D36" s="2"/>
      <c r="E36" s="2"/>
      <c r="F36" s="2"/>
      <c r="G36" s="2"/>
    </row>
    <row r="37">
      <c r="A37" s="1" t="s">
        <v>41</v>
      </c>
      <c r="B37" s="1">
        <v>0.0</v>
      </c>
      <c r="C37" s="2"/>
      <c r="D37" s="2"/>
      <c r="E37" s="2"/>
      <c r="F37" s="2"/>
      <c r="G37" s="2"/>
    </row>
    <row r="38">
      <c r="A38" s="1" t="s">
        <v>42</v>
      </c>
      <c r="B38" s="1">
        <v>18.0</v>
      </c>
      <c r="C38" s="2"/>
      <c r="D38" s="2"/>
      <c r="E38" s="2"/>
      <c r="F38" s="2"/>
      <c r="G38" s="2"/>
    </row>
    <row r="39">
      <c r="A39" s="1" t="s">
        <v>43</v>
      </c>
      <c r="B39" s="1">
        <v>0.0</v>
      </c>
      <c r="C39" s="2"/>
      <c r="D39" s="2"/>
      <c r="E39" s="2"/>
      <c r="F39" s="2"/>
      <c r="G39" s="2"/>
    </row>
    <row r="40">
      <c r="A40" s="1" t="s">
        <v>44</v>
      </c>
      <c r="B40" s="1" t="s">
        <v>45</v>
      </c>
      <c r="C40" s="1">
        <v>0.0</v>
      </c>
      <c r="D40" s="2"/>
      <c r="E40" s="2"/>
      <c r="F40" s="2"/>
      <c r="G40" s="2"/>
    </row>
    <row r="41">
      <c r="A41" s="1" t="s">
        <v>46</v>
      </c>
      <c r="B41" s="1">
        <v>0.0</v>
      </c>
      <c r="C41" s="2"/>
      <c r="D41" s="2"/>
      <c r="E41" s="2"/>
      <c r="F41" s="2"/>
      <c r="G41" s="2"/>
    </row>
    <row r="42">
      <c r="A42" s="1" t="s">
        <v>47</v>
      </c>
      <c r="B42" s="1">
        <v>0.0</v>
      </c>
      <c r="C42" s="2"/>
      <c r="D42" s="2"/>
      <c r="E42" s="2"/>
      <c r="F42" s="2"/>
      <c r="G42" s="2"/>
    </row>
    <row r="43">
      <c r="A43" s="1" t="s">
        <v>48</v>
      </c>
      <c r="B43" s="1">
        <v>67.0</v>
      </c>
      <c r="C43" s="2"/>
      <c r="D43" s="2"/>
      <c r="E43" s="2"/>
      <c r="F43" s="2"/>
      <c r="G43" s="2"/>
    </row>
    <row r="44">
      <c r="A44" s="1" t="s">
        <v>49</v>
      </c>
      <c r="B44" s="1">
        <v>0.0</v>
      </c>
      <c r="C44" s="2"/>
      <c r="D44" s="2"/>
      <c r="E44" s="2"/>
      <c r="F44" s="2"/>
      <c r="G44" s="2"/>
    </row>
    <row r="45">
      <c r="A45" s="1" t="s">
        <v>50</v>
      </c>
      <c r="B45" s="1">
        <v>0.0</v>
      </c>
      <c r="C45" s="2"/>
      <c r="D45" s="2"/>
      <c r="E45" s="2"/>
      <c r="F45" s="2"/>
      <c r="G45" s="2"/>
    </row>
    <row r="46">
      <c r="A46" s="1" t="s">
        <v>51</v>
      </c>
      <c r="B46" s="1">
        <v>0.0</v>
      </c>
      <c r="C46" s="2"/>
      <c r="D46" s="2"/>
      <c r="E46" s="2"/>
      <c r="F46" s="2"/>
      <c r="G46" s="2"/>
    </row>
    <row r="47">
      <c r="A47" s="1" t="s">
        <v>52</v>
      </c>
      <c r="B47" s="1">
        <v>0.0</v>
      </c>
      <c r="C47" s="2"/>
      <c r="D47" s="2"/>
      <c r="E47" s="2"/>
      <c r="F47" s="2"/>
      <c r="G47" s="2"/>
    </row>
    <row r="48">
      <c r="A48" s="1" t="s">
        <v>53</v>
      </c>
      <c r="B48" s="1">
        <v>0.0</v>
      </c>
      <c r="C48" s="2"/>
      <c r="D48" s="2"/>
      <c r="E48" s="2"/>
      <c r="F48" s="2"/>
      <c r="G48" s="2"/>
    </row>
    <row r="49">
      <c r="A49" s="1" t="s">
        <v>54</v>
      </c>
      <c r="B49" s="1">
        <v>0.0</v>
      </c>
      <c r="C49" s="2"/>
      <c r="D49" s="2"/>
      <c r="E49" s="2"/>
      <c r="F49" s="2"/>
      <c r="G49" s="2"/>
    </row>
    <row r="50">
      <c r="A50" s="1" t="s">
        <v>55</v>
      </c>
      <c r="B50" s="1">
        <v>0.0</v>
      </c>
      <c r="C50" s="2"/>
      <c r="D50" s="2"/>
      <c r="E50" s="2"/>
      <c r="F50" s="2"/>
      <c r="G50" s="2"/>
    </row>
    <row r="51">
      <c r="A51" s="1" t="s">
        <v>56</v>
      </c>
      <c r="B51" s="1">
        <v>0.0</v>
      </c>
      <c r="C51" s="2"/>
      <c r="D51" s="2"/>
      <c r="E51" s="2"/>
      <c r="F51" s="2"/>
      <c r="G51" s="2"/>
    </row>
    <row r="52">
      <c r="A52" s="1" t="s">
        <v>57</v>
      </c>
      <c r="B52" s="1">
        <v>14.0</v>
      </c>
      <c r="C52" s="2"/>
      <c r="D52" s="2"/>
      <c r="E52" s="2"/>
      <c r="F52" s="2"/>
      <c r="G52" s="2"/>
    </row>
    <row r="53">
      <c r="A53" s="1" t="s">
        <v>58</v>
      </c>
      <c r="B53" s="1" t="s">
        <v>59</v>
      </c>
      <c r="C53" s="1">
        <v>0.0</v>
      </c>
      <c r="D53" s="2"/>
      <c r="E53" s="2"/>
      <c r="F53" s="2"/>
      <c r="G53" s="2"/>
    </row>
    <row r="54">
      <c r="A54" s="1" t="s">
        <v>60</v>
      </c>
      <c r="B54" s="1">
        <v>0.0</v>
      </c>
      <c r="C54" s="2"/>
      <c r="D54" s="2"/>
      <c r="E54" s="2"/>
      <c r="F54" s="2"/>
      <c r="G54" s="2"/>
    </row>
    <row r="55">
      <c r="A55" s="1" t="s">
        <v>61</v>
      </c>
      <c r="B55" s="1">
        <v>26.0</v>
      </c>
      <c r="C55" s="2"/>
      <c r="D55" s="2"/>
      <c r="E55" s="2"/>
      <c r="F55" s="2"/>
      <c r="G55" s="2"/>
    </row>
    <row r="56">
      <c r="A56" s="1" t="s">
        <v>62</v>
      </c>
      <c r="B56" s="1">
        <v>5.0</v>
      </c>
      <c r="C56" s="2"/>
      <c r="D56" s="2"/>
      <c r="E56" s="2"/>
      <c r="F56" s="2"/>
      <c r="G56" s="2"/>
    </row>
    <row r="57">
      <c r="A57" s="1" t="s">
        <v>63</v>
      </c>
      <c r="B57" s="1">
        <v>0.0</v>
      </c>
      <c r="C57" s="2"/>
      <c r="D57" s="2"/>
      <c r="E57" s="2"/>
      <c r="F57" s="2"/>
      <c r="G57" s="2"/>
    </row>
    <row r="58">
      <c r="A58" s="1" t="s">
        <v>64</v>
      </c>
      <c r="B58" s="1">
        <v>0.0</v>
      </c>
      <c r="C58" s="2"/>
      <c r="D58" s="2"/>
      <c r="E58" s="2"/>
      <c r="F58" s="2"/>
      <c r="G58" s="2"/>
    </row>
    <row r="59">
      <c r="A59" s="1" t="s">
        <v>65</v>
      </c>
      <c r="B59" s="1">
        <v>0.0</v>
      </c>
      <c r="C59" s="2"/>
      <c r="D59" s="2"/>
      <c r="E59" s="2"/>
      <c r="F59" s="2"/>
      <c r="G59" s="2"/>
    </row>
    <row r="60">
      <c r="A60" s="1" t="s">
        <v>66</v>
      </c>
      <c r="B60" s="1">
        <v>0.0</v>
      </c>
      <c r="C60" s="2"/>
      <c r="D60" s="2"/>
      <c r="E60" s="2"/>
      <c r="F60" s="2"/>
      <c r="G60" s="2"/>
    </row>
    <row r="61">
      <c r="A61" s="1" t="s">
        <v>67</v>
      </c>
      <c r="B61" s="1">
        <v>0.0</v>
      </c>
      <c r="C61" s="2"/>
      <c r="D61" s="2"/>
      <c r="E61" s="2"/>
      <c r="F61" s="2"/>
      <c r="G61" s="2"/>
    </row>
    <row r="62">
      <c r="A62" s="1" t="s">
        <v>68</v>
      </c>
      <c r="B62" s="1">
        <v>0.0</v>
      </c>
      <c r="C62" s="2"/>
      <c r="D62" s="2"/>
      <c r="E62" s="2"/>
      <c r="F62" s="2"/>
      <c r="G62" s="2"/>
    </row>
    <row r="63">
      <c r="A63" s="1" t="s">
        <v>69</v>
      </c>
      <c r="B63" s="1">
        <v>40.0</v>
      </c>
      <c r="C63" s="2"/>
      <c r="D63" s="2"/>
      <c r="E63" s="2"/>
      <c r="F63" s="2"/>
      <c r="G63" s="2"/>
    </row>
    <row r="64">
      <c r="A64" s="1" t="s">
        <v>70</v>
      </c>
      <c r="B64" s="1">
        <v>0.0</v>
      </c>
      <c r="C64" s="2"/>
      <c r="D64" s="2"/>
      <c r="E64" s="2"/>
      <c r="F64" s="2"/>
      <c r="G64" s="2"/>
    </row>
    <row r="65">
      <c r="A65" s="1" t="s">
        <v>71</v>
      </c>
      <c r="B65" s="1">
        <v>0.0</v>
      </c>
      <c r="C65" s="2"/>
      <c r="D65" s="2"/>
      <c r="E65" s="2"/>
      <c r="F65" s="2"/>
      <c r="G65" s="2"/>
    </row>
    <row r="66">
      <c r="A66" s="1" t="s">
        <v>72</v>
      </c>
      <c r="B66" s="1">
        <v>68.0</v>
      </c>
      <c r="C66" s="2"/>
      <c r="D66" s="2"/>
      <c r="E66" s="2"/>
      <c r="F66" s="2"/>
      <c r="G66" s="2"/>
    </row>
    <row r="67">
      <c r="A67" s="1" t="s">
        <v>73</v>
      </c>
      <c r="B67" s="1">
        <v>0.0</v>
      </c>
      <c r="C67" s="2"/>
      <c r="D67" s="2"/>
      <c r="E67" s="2"/>
      <c r="F67" s="2"/>
      <c r="G67" s="2"/>
    </row>
    <row r="68">
      <c r="A68" s="1" t="s">
        <v>74</v>
      </c>
      <c r="B68" s="1">
        <v>13.0</v>
      </c>
      <c r="C68" s="2"/>
      <c r="D68" s="2"/>
      <c r="E68" s="2"/>
      <c r="F68" s="2"/>
      <c r="G68" s="2"/>
    </row>
    <row r="69">
      <c r="A69" s="1" t="s">
        <v>75</v>
      </c>
      <c r="B69" s="1">
        <v>29.0</v>
      </c>
      <c r="C69" s="2"/>
      <c r="D69" s="2"/>
      <c r="E69" s="2"/>
      <c r="F69" s="2"/>
      <c r="G69" s="2"/>
    </row>
    <row r="70">
      <c r="A70" s="1" t="s">
        <v>76</v>
      </c>
      <c r="B70" s="1">
        <v>0.0</v>
      </c>
      <c r="C70" s="2"/>
      <c r="D70" s="2"/>
      <c r="E70" s="2"/>
      <c r="F70" s="2"/>
      <c r="G70" s="2"/>
    </row>
    <row r="71">
      <c r="A71" s="1" t="s">
        <v>77</v>
      </c>
      <c r="B71" s="1">
        <v>84.0</v>
      </c>
      <c r="C71" s="2"/>
      <c r="D71" s="2"/>
      <c r="E71" s="2"/>
      <c r="F71" s="2"/>
      <c r="G71" s="2"/>
    </row>
    <row r="72">
      <c r="A72" s="1" t="s">
        <v>78</v>
      </c>
      <c r="B72" s="1">
        <v>58.0</v>
      </c>
      <c r="C72" s="2"/>
      <c r="D72" s="2"/>
      <c r="E72" s="2"/>
      <c r="F72" s="2"/>
      <c r="G72" s="2"/>
    </row>
    <row r="73">
      <c r="A73" s="1" t="s">
        <v>79</v>
      </c>
      <c r="B73" s="1">
        <v>0.0</v>
      </c>
      <c r="C73" s="2"/>
      <c r="D73" s="2"/>
      <c r="E73" s="2"/>
      <c r="F73" s="2"/>
      <c r="G73" s="2"/>
    </row>
    <row r="74">
      <c r="A74" s="1" t="s">
        <v>80</v>
      </c>
      <c r="B74" s="1">
        <v>12.0</v>
      </c>
      <c r="C74" s="2"/>
      <c r="D74" s="2"/>
      <c r="E74" s="2"/>
      <c r="F74" s="2"/>
      <c r="G74" s="2"/>
    </row>
    <row r="75">
      <c r="A75" s="1" t="s">
        <v>81</v>
      </c>
      <c r="B75" s="1">
        <v>5.0</v>
      </c>
      <c r="C75" s="2"/>
      <c r="D75" s="2"/>
      <c r="E75" s="2"/>
      <c r="F75" s="2"/>
      <c r="G75" s="2"/>
    </row>
    <row r="76">
      <c r="A76" s="1" t="s">
        <v>82</v>
      </c>
      <c r="B76" s="1">
        <v>70.0</v>
      </c>
      <c r="C76" s="2"/>
      <c r="D76" s="2"/>
      <c r="E76" s="2"/>
      <c r="F76" s="2"/>
      <c r="G76" s="2"/>
    </row>
    <row r="77">
      <c r="A77" s="1" t="s">
        <v>83</v>
      </c>
      <c r="B77" s="1">
        <v>13.0</v>
      </c>
      <c r="C77" s="2"/>
      <c r="D77" s="2"/>
      <c r="E77" s="2"/>
      <c r="F77" s="2"/>
      <c r="G77" s="2"/>
    </row>
    <row r="78">
      <c r="A78" s="1" t="s">
        <v>84</v>
      </c>
      <c r="B78" s="1">
        <v>0.0</v>
      </c>
      <c r="C78" s="2"/>
      <c r="D78" s="2"/>
      <c r="E78" s="2"/>
      <c r="F78" s="2"/>
      <c r="G78" s="2"/>
    </row>
    <row r="79">
      <c r="A79" s="1" t="s">
        <v>85</v>
      </c>
      <c r="B79" s="1">
        <v>94.0</v>
      </c>
      <c r="C79" s="2"/>
      <c r="D79" s="2"/>
      <c r="E79" s="2"/>
      <c r="F79" s="2"/>
      <c r="G79" s="2"/>
    </row>
    <row r="80">
      <c r="A80" s="1" t="s">
        <v>86</v>
      </c>
      <c r="B80" s="1">
        <v>36.0</v>
      </c>
      <c r="C80" s="2"/>
      <c r="D80" s="2"/>
      <c r="E80" s="2"/>
      <c r="F80" s="2"/>
      <c r="G80" s="2"/>
    </row>
    <row r="81">
      <c r="A81" s="1" t="s">
        <v>87</v>
      </c>
      <c r="B81" s="1">
        <v>0.0</v>
      </c>
      <c r="C81" s="2"/>
      <c r="D81" s="2"/>
      <c r="E81" s="2"/>
      <c r="F81" s="2"/>
      <c r="G81" s="2"/>
    </row>
    <row r="82">
      <c r="A82" s="1" t="s">
        <v>88</v>
      </c>
      <c r="B82" s="1">
        <v>50.0</v>
      </c>
      <c r="C82" s="2"/>
      <c r="D82" s="2"/>
      <c r="E82" s="2"/>
      <c r="F82" s="2"/>
      <c r="G82" s="2"/>
    </row>
    <row r="83">
      <c r="A83" s="1" t="s">
        <v>89</v>
      </c>
      <c r="B83" s="1">
        <v>0.0</v>
      </c>
      <c r="C83" s="2"/>
      <c r="D83" s="2"/>
      <c r="E83" s="2"/>
      <c r="F83" s="2"/>
      <c r="G83" s="2"/>
    </row>
    <row r="84">
      <c r="A84" s="1" t="s">
        <v>90</v>
      </c>
      <c r="B84" s="1">
        <v>0.0</v>
      </c>
      <c r="C84" s="2"/>
      <c r="D84" s="2"/>
      <c r="E84" s="2"/>
      <c r="F84" s="2"/>
      <c r="G84" s="2"/>
    </row>
    <row r="85">
      <c r="A85" s="1" t="s">
        <v>91</v>
      </c>
      <c r="B85" s="1">
        <v>0.0</v>
      </c>
      <c r="C85" s="2"/>
      <c r="D85" s="2"/>
      <c r="E85" s="2"/>
      <c r="F85" s="2"/>
      <c r="G85" s="2"/>
    </row>
    <row r="86">
      <c r="A86" s="1" t="s">
        <v>92</v>
      </c>
      <c r="B86" s="1">
        <v>0.0</v>
      </c>
      <c r="C86" s="2"/>
      <c r="D86" s="2"/>
      <c r="E86" s="2"/>
      <c r="F86" s="2"/>
      <c r="G86" s="2"/>
    </row>
    <row r="87">
      <c r="A87" s="1" t="s">
        <v>93</v>
      </c>
      <c r="B87" s="1">
        <v>68.0</v>
      </c>
      <c r="C87" s="2"/>
      <c r="D87" s="2"/>
      <c r="E87" s="2"/>
      <c r="F87" s="2"/>
      <c r="G87" s="2"/>
    </row>
    <row r="88">
      <c r="A88" s="1" t="s">
        <v>94</v>
      </c>
      <c r="B88" s="1">
        <v>34.0</v>
      </c>
      <c r="C88" s="2"/>
      <c r="D88" s="2"/>
      <c r="E88" s="2"/>
      <c r="F88" s="2"/>
      <c r="G88" s="2"/>
    </row>
    <row r="89">
      <c r="A89" s="1" t="s">
        <v>95</v>
      </c>
      <c r="B89" s="1">
        <v>0.0</v>
      </c>
      <c r="C89" s="2"/>
      <c r="D89" s="2"/>
      <c r="E89" s="2"/>
      <c r="F89" s="2"/>
      <c r="G89" s="2"/>
    </row>
    <row r="90">
      <c r="A90" s="1" t="s">
        <v>96</v>
      </c>
      <c r="B90" s="1">
        <v>72.0</v>
      </c>
      <c r="C90" s="2"/>
      <c r="D90" s="2"/>
      <c r="E90" s="2"/>
      <c r="F90" s="2"/>
      <c r="G90" s="2"/>
    </row>
    <row r="91">
      <c r="A91" s="1" t="s">
        <v>97</v>
      </c>
      <c r="B91" s="1">
        <v>0.0</v>
      </c>
      <c r="C91" s="2"/>
      <c r="D91" s="2"/>
      <c r="E91" s="2"/>
      <c r="F91" s="2"/>
      <c r="G91" s="2"/>
    </row>
    <row r="92">
      <c r="A92" s="1" t="s">
        <v>98</v>
      </c>
      <c r="B92" s="1">
        <v>0.0</v>
      </c>
      <c r="C92" s="2"/>
      <c r="D92" s="2"/>
      <c r="E92" s="2"/>
      <c r="F92" s="2"/>
      <c r="G92" s="2"/>
    </row>
    <row r="93">
      <c r="A93" s="1" t="s">
        <v>99</v>
      </c>
      <c r="B93" s="1">
        <v>0.0</v>
      </c>
      <c r="C93" s="2"/>
      <c r="D93" s="2"/>
      <c r="E93" s="2"/>
      <c r="F93" s="2"/>
      <c r="G93" s="2"/>
    </row>
    <row r="94">
      <c r="A94" s="1" t="s">
        <v>100</v>
      </c>
      <c r="B94" s="1">
        <v>0.0</v>
      </c>
      <c r="C94" s="2"/>
      <c r="D94" s="2"/>
      <c r="E94" s="2"/>
      <c r="F94" s="2"/>
      <c r="G94" s="2"/>
    </row>
    <row r="95">
      <c r="A95" s="1" t="s">
        <v>101</v>
      </c>
      <c r="B95" s="1">
        <v>0.0</v>
      </c>
      <c r="C95" s="2"/>
      <c r="D95" s="2"/>
      <c r="E95" s="2"/>
      <c r="F95" s="2"/>
      <c r="G95" s="2"/>
    </row>
    <row r="96">
      <c r="A96" s="1" t="s">
        <v>102</v>
      </c>
      <c r="B96" s="1" t="s">
        <v>103</v>
      </c>
      <c r="C96" s="1">
        <v>0.0</v>
      </c>
      <c r="D96" s="2"/>
      <c r="E96" s="2"/>
      <c r="F96" s="2"/>
      <c r="G96" s="2"/>
    </row>
    <row r="97">
      <c r="A97" s="1" t="s">
        <v>104</v>
      </c>
      <c r="B97" s="1">
        <v>0.0</v>
      </c>
      <c r="C97" s="2"/>
      <c r="D97" s="2"/>
      <c r="E97" s="2"/>
      <c r="F97" s="2"/>
      <c r="G97" s="2"/>
    </row>
    <row r="98">
      <c r="A98" s="1" t="s">
        <v>105</v>
      </c>
      <c r="B98" s="1">
        <v>0.0</v>
      </c>
      <c r="C98" s="2"/>
      <c r="D98" s="2"/>
      <c r="E98" s="2"/>
      <c r="F98" s="2"/>
      <c r="G98" s="2"/>
    </row>
    <row r="99">
      <c r="A99" s="1" t="s">
        <v>106</v>
      </c>
      <c r="B99" s="1">
        <v>0.0</v>
      </c>
      <c r="C99" s="2"/>
      <c r="D99" s="2"/>
      <c r="E99" s="2"/>
      <c r="F99" s="2"/>
      <c r="G99" s="2"/>
    </row>
    <row r="100">
      <c r="A100" s="1" t="s">
        <v>107</v>
      </c>
      <c r="B100" s="1">
        <v>0.0</v>
      </c>
      <c r="C100" s="2"/>
      <c r="D100" s="2"/>
      <c r="E100" s="2"/>
      <c r="F100" s="2"/>
      <c r="G100" s="2"/>
    </row>
    <row r="101">
      <c r="A101" s="1" t="s">
        <v>108</v>
      </c>
      <c r="B101" s="1">
        <v>0.0</v>
      </c>
      <c r="C101" s="2"/>
      <c r="D101" s="2"/>
      <c r="E101" s="2"/>
      <c r="F101" s="2"/>
      <c r="G101" s="2"/>
    </row>
    <row r="102">
      <c r="A102" s="1" t="s">
        <v>109</v>
      </c>
      <c r="B102" s="1">
        <v>0.0</v>
      </c>
      <c r="C102" s="2"/>
      <c r="D102" s="2"/>
      <c r="E102" s="2"/>
      <c r="F102" s="2"/>
      <c r="G102" s="2"/>
    </row>
    <row r="103">
      <c r="A103" s="1" t="s">
        <v>110</v>
      </c>
      <c r="B103" s="1">
        <v>0.0</v>
      </c>
      <c r="C103" s="2"/>
      <c r="D103" s="2"/>
      <c r="E103" s="2"/>
      <c r="F103" s="2"/>
      <c r="G103" s="2"/>
    </row>
    <row r="104">
      <c r="A104" s="1" t="s">
        <v>111</v>
      </c>
      <c r="B104" s="1">
        <v>0.0</v>
      </c>
      <c r="C104" s="2"/>
      <c r="D104" s="2"/>
      <c r="E104" s="2"/>
      <c r="F104" s="2"/>
      <c r="G104" s="2"/>
    </row>
    <row r="105">
      <c r="A105" s="1" t="s">
        <v>112</v>
      </c>
      <c r="B105" s="1">
        <v>7.0</v>
      </c>
      <c r="C105" s="2"/>
      <c r="D105" s="2"/>
      <c r="E105" s="2"/>
      <c r="F105" s="2"/>
      <c r="G105" s="2"/>
    </row>
    <row r="106">
      <c r="A106" s="1" t="s">
        <v>113</v>
      </c>
      <c r="B106" s="1">
        <v>77.0</v>
      </c>
      <c r="C106" s="2"/>
      <c r="D106" s="2"/>
      <c r="E106" s="2"/>
      <c r="F106" s="2"/>
      <c r="G106" s="2"/>
    </row>
    <row r="107">
      <c r="A107" s="1" t="s">
        <v>114</v>
      </c>
      <c r="B107" s="1">
        <v>0.0</v>
      </c>
      <c r="C107" s="2"/>
      <c r="D107" s="2"/>
      <c r="E107" s="2"/>
      <c r="F107" s="2"/>
      <c r="G107" s="2"/>
    </row>
    <row r="108">
      <c r="A108" s="1" t="s">
        <v>115</v>
      </c>
      <c r="B108" s="1">
        <v>14.0</v>
      </c>
      <c r="C108" s="2"/>
      <c r="D108" s="2"/>
      <c r="E108" s="2"/>
      <c r="F108" s="2"/>
      <c r="G108" s="2"/>
    </row>
    <row r="109">
      <c r="A109" s="1" t="s">
        <v>116</v>
      </c>
      <c r="B109" s="1">
        <v>0.0</v>
      </c>
      <c r="C109" s="2"/>
      <c r="D109" s="2"/>
      <c r="E109" s="2"/>
      <c r="F109" s="2"/>
      <c r="G109" s="2"/>
    </row>
    <row r="110">
      <c r="A110" s="1" t="s">
        <v>117</v>
      </c>
      <c r="B110" s="1">
        <v>42.0</v>
      </c>
      <c r="C110" s="2"/>
      <c r="D110" s="2"/>
      <c r="E110" s="2"/>
      <c r="F110" s="2"/>
      <c r="G110" s="2"/>
    </row>
    <row r="111">
      <c r="A111" s="1" t="s">
        <v>118</v>
      </c>
      <c r="B111" s="1">
        <v>0.0</v>
      </c>
      <c r="C111" s="2"/>
      <c r="D111" s="2"/>
      <c r="E111" s="2"/>
      <c r="F111" s="2"/>
      <c r="G111" s="2"/>
    </row>
    <row r="112">
      <c r="A112" s="1" t="s">
        <v>119</v>
      </c>
      <c r="B112" s="1">
        <v>0.0</v>
      </c>
      <c r="C112" s="2"/>
      <c r="D112" s="2"/>
      <c r="E112" s="2"/>
      <c r="F112" s="2"/>
      <c r="G112" s="2"/>
    </row>
    <row r="113">
      <c r="A113" s="1" t="s">
        <v>120</v>
      </c>
      <c r="B113" s="1">
        <v>0.0</v>
      </c>
      <c r="C113" s="2"/>
      <c r="D113" s="2"/>
      <c r="E113" s="2"/>
      <c r="F113" s="2"/>
      <c r="G113" s="2"/>
    </row>
    <row r="114">
      <c r="A114" s="1" t="s">
        <v>121</v>
      </c>
      <c r="B114" s="1">
        <v>0.0</v>
      </c>
      <c r="C114" s="2"/>
      <c r="D114" s="2"/>
      <c r="E114" s="2"/>
      <c r="F114" s="2"/>
      <c r="G114" s="2"/>
    </row>
    <row r="115">
      <c r="A115" s="1" t="s">
        <v>122</v>
      </c>
      <c r="B115" s="1">
        <v>14.0</v>
      </c>
      <c r="C115" s="2"/>
      <c r="D115" s="2"/>
      <c r="E115" s="2"/>
      <c r="F115" s="2"/>
      <c r="G115" s="2"/>
    </row>
    <row r="116">
      <c r="A116" s="1" t="s">
        <v>123</v>
      </c>
      <c r="B116" s="1">
        <v>0.0</v>
      </c>
      <c r="C116" s="2"/>
      <c r="D116" s="2"/>
      <c r="E116" s="2"/>
      <c r="F116" s="2"/>
      <c r="G116" s="2"/>
    </row>
    <row r="117">
      <c r="A117" s="1" t="s">
        <v>124</v>
      </c>
      <c r="B117" s="1">
        <v>42.0</v>
      </c>
      <c r="C117" s="2"/>
      <c r="D117" s="2"/>
      <c r="E117" s="2"/>
      <c r="F117" s="2"/>
      <c r="G117" s="2"/>
    </row>
    <row r="118">
      <c r="A118" s="1" t="s">
        <v>125</v>
      </c>
      <c r="B118" s="1">
        <v>80.0</v>
      </c>
      <c r="C118" s="2"/>
      <c r="D118" s="2"/>
      <c r="E118" s="2"/>
      <c r="F118" s="2"/>
      <c r="G118" s="2"/>
    </row>
    <row r="119">
      <c r="A119" s="1" t="s">
        <v>126</v>
      </c>
      <c r="B119" s="1">
        <v>0.0</v>
      </c>
      <c r="C119" s="2"/>
      <c r="D119" s="2"/>
      <c r="E119" s="2"/>
      <c r="F119" s="2"/>
      <c r="G119" s="2"/>
    </row>
    <row r="120">
      <c r="A120" s="1" t="s">
        <v>127</v>
      </c>
      <c r="B120" s="1">
        <v>0.0</v>
      </c>
      <c r="C120" s="2"/>
      <c r="D120" s="2"/>
      <c r="E120" s="2"/>
      <c r="F120" s="2"/>
      <c r="G120" s="2"/>
    </row>
    <row r="121">
      <c r="A121" s="1" t="s">
        <v>128</v>
      </c>
      <c r="B121" s="1">
        <v>0.0</v>
      </c>
      <c r="C121" s="2"/>
      <c r="D121" s="2"/>
      <c r="E121" s="2"/>
      <c r="F121" s="2"/>
      <c r="G121" s="2"/>
    </row>
    <row r="122">
      <c r="A122" s="1" t="s">
        <v>129</v>
      </c>
      <c r="B122" s="1">
        <v>0.0</v>
      </c>
      <c r="C122" s="2"/>
      <c r="D122" s="2"/>
      <c r="E122" s="2"/>
      <c r="F122" s="2"/>
      <c r="G122" s="2"/>
    </row>
    <row r="123">
      <c r="A123" s="1" t="s">
        <v>130</v>
      </c>
      <c r="B123" s="1">
        <v>0.0</v>
      </c>
      <c r="C123" s="2"/>
      <c r="D123" s="2"/>
      <c r="E123" s="2"/>
      <c r="F123" s="2"/>
      <c r="G123" s="2"/>
    </row>
    <row r="124">
      <c r="A124" s="1" t="s">
        <v>131</v>
      </c>
      <c r="B124" s="1">
        <v>0.0</v>
      </c>
      <c r="C124" s="2"/>
      <c r="D124" s="2"/>
      <c r="E124" s="2"/>
      <c r="F124" s="2"/>
      <c r="G124" s="2"/>
    </row>
    <row r="125">
      <c r="A125" s="1" t="s">
        <v>132</v>
      </c>
      <c r="B125" s="1">
        <v>84.0</v>
      </c>
      <c r="C125" s="2"/>
      <c r="D125" s="2"/>
      <c r="E125" s="2"/>
      <c r="F125" s="2"/>
      <c r="G125" s="2"/>
    </row>
    <row r="126">
      <c r="A126" s="1" t="s">
        <v>133</v>
      </c>
      <c r="B126" s="1">
        <v>0.0</v>
      </c>
      <c r="C126" s="2"/>
      <c r="D126" s="2"/>
      <c r="E126" s="2"/>
      <c r="F126" s="2"/>
      <c r="G126" s="2"/>
    </row>
    <row r="127">
      <c r="A127" s="1" t="s">
        <v>134</v>
      </c>
      <c r="B127" s="1">
        <v>65.0</v>
      </c>
      <c r="C127" s="2"/>
      <c r="D127" s="2"/>
      <c r="E127" s="2"/>
      <c r="F127" s="2"/>
      <c r="G127" s="2"/>
    </row>
    <row r="128">
      <c r="A128" s="1" t="s">
        <v>135</v>
      </c>
      <c r="B128" s="1">
        <v>0.0</v>
      </c>
      <c r="C128" s="2"/>
      <c r="D128" s="2"/>
      <c r="E128" s="2"/>
      <c r="F128" s="2"/>
      <c r="G128" s="2"/>
    </row>
    <row r="129">
      <c r="A129" s="1" t="s">
        <v>136</v>
      </c>
      <c r="B129" s="1">
        <v>0.0</v>
      </c>
      <c r="C129" s="2"/>
      <c r="D129" s="2"/>
      <c r="E129" s="2"/>
      <c r="F129" s="2"/>
      <c r="G129" s="2"/>
    </row>
    <row r="130">
      <c r="A130" s="1" t="s">
        <v>137</v>
      </c>
      <c r="B130" s="1">
        <v>42.0</v>
      </c>
      <c r="C130" s="2"/>
      <c r="D130" s="2"/>
      <c r="E130" s="2"/>
      <c r="F130" s="2"/>
      <c r="G130" s="2"/>
    </row>
    <row r="131">
      <c r="A131" s="1" t="s">
        <v>138</v>
      </c>
      <c r="B131" s="1">
        <v>0.0</v>
      </c>
      <c r="C131" s="2"/>
      <c r="D131" s="2"/>
      <c r="E131" s="2"/>
      <c r="F131" s="2"/>
      <c r="G131" s="2"/>
    </row>
    <row r="132">
      <c r="A132" s="1" t="s">
        <v>139</v>
      </c>
      <c r="B132" s="1">
        <v>0.0</v>
      </c>
      <c r="C132" s="2"/>
      <c r="D132" s="2"/>
      <c r="E132" s="2"/>
      <c r="F132" s="2"/>
      <c r="G132" s="2"/>
    </row>
    <row r="133">
      <c r="A133" s="1" t="s">
        <v>140</v>
      </c>
      <c r="B133" s="1">
        <v>82.0</v>
      </c>
      <c r="C133" s="2"/>
      <c r="D133" s="2"/>
      <c r="E133" s="2"/>
      <c r="F133" s="2"/>
      <c r="G133" s="2"/>
    </row>
    <row r="134">
      <c r="A134" s="1" t="s">
        <v>141</v>
      </c>
      <c r="B134" s="1">
        <v>0.0</v>
      </c>
      <c r="C134" s="2"/>
      <c r="D134" s="2"/>
      <c r="E134" s="2"/>
      <c r="F134" s="2"/>
      <c r="G134" s="2"/>
    </row>
    <row r="135">
      <c r="A135" s="1" t="s">
        <v>142</v>
      </c>
      <c r="B135" s="1">
        <v>0.0</v>
      </c>
      <c r="C135" s="2"/>
      <c r="D135" s="2"/>
      <c r="E135" s="2"/>
      <c r="F135" s="2"/>
      <c r="G135" s="2"/>
    </row>
    <row r="136">
      <c r="A136" s="1" t="s">
        <v>143</v>
      </c>
      <c r="B136" s="1">
        <v>0.0</v>
      </c>
      <c r="C136" s="2"/>
      <c r="D136" s="2"/>
      <c r="E136" s="2"/>
      <c r="F136" s="2"/>
      <c r="G136" s="2"/>
    </row>
    <row r="137">
      <c r="A137" s="1" t="s">
        <v>144</v>
      </c>
      <c r="B137" s="1">
        <v>0.0</v>
      </c>
      <c r="C137" s="2"/>
      <c r="D137" s="2"/>
      <c r="E137" s="2"/>
      <c r="F137" s="2"/>
      <c r="G137" s="2"/>
    </row>
    <row r="138">
      <c r="A138" s="1" t="s">
        <v>145</v>
      </c>
      <c r="B138" s="1">
        <v>0.0</v>
      </c>
      <c r="C138" s="2"/>
      <c r="D138" s="2"/>
      <c r="E138" s="2"/>
      <c r="F138" s="2"/>
      <c r="G138" s="2"/>
    </row>
    <row r="139">
      <c r="A139" s="1" t="s">
        <v>146</v>
      </c>
      <c r="B139" s="2"/>
      <c r="C139" s="2"/>
      <c r="D139" s="2"/>
      <c r="E139" s="2"/>
      <c r="F139" s="2"/>
      <c r="G139" s="2"/>
    </row>
    <row r="140">
      <c r="A140" s="1" t="s">
        <v>147</v>
      </c>
      <c r="B140" s="1">
        <v>0.0</v>
      </c>
      <c r="C140" s="2"/>
      <c r="D140" s="2"/>
      <c r="E140" s="2"/>
      <c r="F140" s="2"/>
      <c r="G140" s="2"/>
    </row>
    <row r="141">
      <c r="A141" s="1" t="s">
        <v>148</v>
      </c>
      <c r="B141" s="2"/>
      <c r="C141" s="2"/>
      <c r="D141" s="2"/>
      <c r="E141" s="2"/>
      <c r="F141" s="2"/>
      <c r="G141" s="2"/>
    </row>
    <row r="142">
      <c r="A142" s="1" t="s">
        <v>149</v>
      </c>
      <c r="B142" s="1">
        <v>0.0</v>
      </c>
      <c r="C142" s="2"/>
      <c r="D142" s="2"/>
      <c r="E142" s="2"/>
      <c r="F142" s="2"/>
      <c r="G142" s="2"/>
    </row>
    <row r="143">
      <c r="A143" s="1" t="s">
        <v>150</v>
      </c>
      <c r="B143" s="1">
        <v>0.0</v>
      </c>
      <c r="C143" s="2"/>
      <c r="D143" s="2"/>
      <c r="E143" s="2"/>
      <c r="F143" s="2"/>
      <c r="G143" s="2"/>
    </row>
    <row r="144">
      <c r="A144" s="1" t="s">
        <v>151</v>
      </c>
      <c r="B144" s="1">
        <v>0.0</v>
      </c>
      <c r="C144" s="2"/>
      <c r="D144" s="2"/>
      <c r="E144" s="2"/>
      <c r="F144" s="2"/>
      <c r="G144" s="2"/>
    </row>
    <row r="145">
      <c r="A145" s="1" t="s">
        <v>152</v>
      </c>
      <c r="B145" s="1">
        <v>0.0</v>
      </c>
      <c r="C145" s="2"/>
      <c r="D145" s="2"/>
      <c r="E145" s="2"/>
      <c r="F145" s="2"/>
      <c r="G145" s="2"/>
    </row>
    <row r="146">
      <c r="A146" s="1" t="s">
        <v>153</v>
      </c>
      <c r="B146" s="1">
        <v>0.0</v>
      </c>
      <c r="C146" s="2"/>
      <c r="D146" s="2"/>
      <c r="E146" s="2"/>
      <c r="F146" s="2"/>
      <c r="G146" s="2"/>
    </row>
    <row r="147">
      <c r="A147" s="1" t="s">
        <v>154</v>
      </c>
      <c r="B147" s="1">
        <v>0.0</v>
      </c>
      <c r="C147" s="2"/>
      <c r="D147" s="2"/>
      <c r="E147" s="2"/>
      <c r="F147" s="2"/>
      <c r="G147" s="2"/>
    </row>
    <row r="148">
      <c r="A148" s="1" t="s">
        <v>155</v>
      </c>
      <c r="B148" s="1">
        <v>26.0</v>
      </c>
      <c r="C148" s="2"/>
      <c r="D148" s="2"/>
      <c r="E148" s="2"/>
      <c r="F148" s="2"/>
      <c r="G148" s="2"/>
    </row>
    <row r="149">
      <c r="A149" s="1" t="s">
        <v>156</v>
      </c>
      <c r="B149" s="1">
        <v>0.0</v>
      </c>
      <c r="C149" s="2"/>
      <c r="D149" s="2"/>
      <c r="E149" s="2"/>
      <c r="F149" s="2"/>
      <c r="G149" s="2"/>
    </row>
    <row r="150">
      <c r="A150" s="1" t="s">
        <v>157</v>
      </c>
      <c r="B150" s="1">
        <v>0.0</v>
      </c>
      <c r="C150" s="2"/>
      <c r="D150" s="2"/>
      <c r="E150" s="2"/>
      <c r="F150" s="2"/>
      <c r="G150" s="2"/>
    </row>
    <row r="151">
      <c r="A151" s="1" t="s">
        <v>158</v>
      </c>
      <c r="B151" s="2"/>
      <c r="C151" s="2"/>
      <c r="D151" s="2"/>
      <c r="E151" s="2"/>
      <c r="F151" s="2"/>
      <c r="G151" s="2"/>
    </row>
    <row r="152">
      <c r="A152" s="1" t="s">
        <v>159</v>
      </c>
      <c r="B152" s="1">
        <v>6.0</v>
      </c>
      <c r="C152" s="2"/>
      <c r="D152" s="2"/>
      <c r="E152" s="2"/>
      <c r="F152" s="2"/>
      <c r="G152" s="2"/>
    </row>
    <row r="153">
      <c r="A153" s="1" t="s">
        <v>160</v>
      </c>
      <c r="B153" s="2"/>
      <c r="C153" s="2"/>
      <c r="D153" s="2"/>
      <c r="E153" s="2"/>
      <c r="F153" s="2"/>
      <c r="G153" s="2"/>
    </row>
    <row r="154">
      <c r="A154" s="1" t="s">
        <v>161</v>
      </c>
      <c r="B154" s="1">
        <v>0.0</v>
      </c>
      <c r="C154" s="2"/>
      <c r="D154" s="2"/>
      <c r="E154" s="2"/>
      <c r="F154" s="2"/>
      <c r="G154" s="2"/>
    </row>
    <row r="155">
      <c r="A155" s="1" t="s">
        <v>162</v>
      </c>
      <c r="B155" s="1">
        <v>0.0</v>
      </c>
      <c r="C155" s="2"/>
      <c r="D155" s="2"/>
      <c r="E155" s="2"/>
      <c r="F155" s="2"/>
      <c r="G155" s="2"/>
    </row>
    <row r="156">
      <c r="A156" s="1" t="s">
        <v>163</v>
      </c>
      <c r="B156" s="1">
        <v>0.0</v>
      </c>
      <c r="C156" s="2"/>
      <c r="D156" s="2"/>
      <c r="E156" s="2"/>
      <c r="F156" s="2"/>
      <c r="G156" s="2"/>
    </row>
    <row r="157">
      <c r="A157" s="1" t="s">
        <v>164</v>
      </c>
      <c r="B157" s="1">
        <v>0.0</v>
      </c>
      <c r="C157" s="2"/>
      <c r="D157" s="2"/>
      <c r="E157" s="2"/>
      <c r="F157" s="2"/>
      <c r="G157" s="2"/>
    </row>
    <row r="158">
      <c r="A158" s="1" t="s">
        <v>165</v>
      </c>
      <c r="B158" s="1">
        <v>24.0</v>
      </c>
      <c r="C158" s="2"/>
      <c r="D158" s="2"/>
      <c r="E158" s="2"/>
      <c r="F158" s="2"/>
      <c r="G158" s="2"/>
    </row>
    <row r="159">
      <c r="A159" s="1" t="s">
        <v>166</v>
      </c>
      <c r="B159" s="1">
        <v>17.0</v>
      </c>
      <c r="C159" s="2"/>
      <c r="D159" s="2"/>
      <c r="E159" s="2"/>
      <c r="F159" s="2"/>
      <c r="G159" s="2"/>
    </row>
    <row r="160">
      <c r="A160" s="1" t="s">
        <v>167</v>
      </c>
      <c r="B160" s="1">
        <v>0.0</v>
      </c>
      <c r="C160" s="2"/>
      <c r="D160" s="2"/>
      <c r="E160" s="2"/>
      <c r="F160" s="2"/>
      <c r="G160" s="2"/>
    </row>
    <row r="161">
      <c r="A161" s="1" t="s">
        <v>168</v>
      </c>
      <c r="B161" s="1">
        <v>0.0</v>
      </c>
      <c r="C161" s="2"/>
      <c r="D161" s="2"/>
      <c r="E161" s="2"/>
      <c r="F161" s="2"/>
      <c r="G161" s="2"/>
    </row>
    <row r="162">
      <c r="A162" s="1" t="s">
        <v>169</v>
      </c>
      <c r="B162" s="1">
        <v>23.0</v>
      </c>
      <c r="C162" s="2"/>
      <c r="D162" s="2"/>
      <c r="E162" s="2"/>
      <c r="F162" s="2"/>
      <c r="G162" s="2"/>
    </row>
    <row r="163">
      <c r="A163" s="1" t="s">
        <v>170</v>
      </c>
      <c r="B163" s="1">
        <v>6.0</v>
      </c>
      <c r="C163" s="2"/>
      <c r="D163" s="2"/>
      <c r="E163" s="2"/>
      <c r="F163" s="2"/>
      <c r="G163" s="2"/>
    </row>
    <row r="164">
      <c r="A164" s="1" t="s">
        <v>171</v>
      </c>
      <c r="B164" s="1">
        <v>92.0</v>
      </c>
      <c r="C164" s="2"/>
      <c r="D164" s="2"/>
      <c r="E164" s="2"/>
      <c r="F164" s="2"/>
      <c r="G164" s="2"/>
    </row>
    <row r="165">
      <c r="A165" s="1" t="s">
        <v>172</v>
      </c>
      <c r="B165" s="1">
        <v>77.0</v>
      </c>
      <c r="C165" s="2"/>
      <c r="D165" s="2"/>
      <c r="E165" s="2"/>
      <c r="F165" s="2"/>
      <c r="G165" s="2"/>
    </row>
    <row r="166">
      <c r="A166" s="1" t="s">
        <v>173</v>
      </c>
      <c r="B166" s="1">
        <v>34.0</v>
      </c>
      <c r="C166" s="2"/>
      <c r="D166" s="2"/>
      <c r="E166" s="2"/>
      <c r="F166" s="2"/>
      <c r="G166" s="2"/>
    </row>
    <row r="167">
      <c r="A167" s="1" t="s">
        <v>174</v>
      </c>
      <c r="B167" s="1">
        <v>42.0</v>
      </c>
      <c r="C167" s="2"/>
      <c r="D167" s="2"/>
      <c r="E167" s="2"/>
      <c r="F167" s="2"/>
      <c r="G167" s="2"/>
    </row>
    <row r="168">
      <c r="A168" s="1" t="s">
        <v>175</v>
      </c>
      <c r="B168" s="1">
        <v>72.0</v>
      </c>
      <c r="C168" s="2"/>
      <c r="D168" s="2"/>
      <c r="E168" s="2"/>
      <c r="F168" s="2"/>
      <c r="G168" s="2"/>
    </row>
    <row r="169">
      <c r="A169" s="1" t="s">
        <v>176</v>
      </c>
      <c r="B169" s="1">
        <v>11.0</v>
      </c>
      <c r="C169" s="2"/>
      <c r="D169" s="2"/>
      <c r="E169" s="2"/>
      <c r="F169" s="2"/>
      <c r="G169" s="2"/>
    </row>
    <row r="170">
      <c r="A170" s="1" t="s">
        <v>177</v>
      </c>
      <c r="B170" s="1">
        <v>31.0</v>
      </c>
      <c r="C170" s="2"/>
      <c r="D170" s="2"/>
      <c r="E170" s="2"/>
      <c r="F170" s="2"/>
      <c r="G170" s="2"/>
    </row>
    <row r="171">
      <c r="A171" s="1" t="s">
        <v>178</v>
      </c>
      <c r="B171" s="1">
        <v>53.0</v>
      </c>
      <c r="C171" s="2"/>
      <c r="D171" s="2"/>
      <c r="E171" s="2"/>
      <c r="F171" s="2"/>
      <c r="G171" s="2"/>
    </row>
    <row r="172">
      <c r="A172" s="1" t="s">
        <v>179</v>
      </c>
      <c r="B172" s="1">
        <v>8.0</v>
      </c>
      <c r="C172" s="2"/>
      <c r="D172" s="2"/>
      <c r="E172" s="2"/>
      <c r="F172" s="2"/>
      <c r="G172" s="2"/>
    </row>
    <row r="173">
      <c r="A173" s="1" t="s">
        <v>180</v>
      </c>
      <c r="B173" s="1">
        <v>54.0</v>
      </c>
      <c r="C173" s="2"/>
      <c r="D173" s="2"/>
      <c r="E173" s="2"/>
      <c r="F173" s="2"/>
      <c r="G173" s="2"/>
    </row>
    <row r="174">
      <c r="A174" s="1" t="s">
        <v>181</v>
      </c>
      <c r="B174" s="1">
        <v>0.0</v>
      </c>
      <c r="C174" s="2"/>
      <c r="D174" s="2"/>
      <c r="E174" s="2"/>
      <c r="F174" s="2"/>
      <c r="G174" s="2"/>
    </row>
    <row r="175">
      <c r="A175" s="1" t="s">
        <v>182</v>
      </c>
      <c r="B175" s="1">
        <v>0.0</v>
      </c>
      <c r="C175" s="2"/>
      <c r="D175" s="2"/>
      <c r="E175" s="2"/>
      <c r="F175" s="2"/>
      <c r="G175" s="2"/>
    </row>
    <row r="176">
      <c r="A176" s="1" t="s">
        <v>183</v>
      </c>
      <c r="B176" s="1">
        <v>37.0</v>
      </c>
      <c r="C176" s="2"/>
      <c r="D176" s="2"/>
      <c r="E176" s="2"/>
      <c r="F176" s="2"/>
      <c r="G176" s="2"/>
    </row>
    <row r="177">
      <c r="A177" s="1" t="s">
        <v>184</v>
      </c>
      <c r="B177" s="1">
        <v>0.0</v>
      </c>
      <c r="C177" s="2"/>
      <c r="D177" s="2"/>
      <c r="E177" s="2"/>
      <c r="F177" s="2"/>
      <c r="G177" s="2"/>
    </row>
    <row r="178">
      <c r="A178" s="1" t="s">
        <v>185</v>
      </c>
      <c r="B178" s="2"/>
      <c r="C178" s="2"/>
      <c r="D178" s="2"/>
      <c r="E178" s="2"/>
      <c r="F178" s="2"/>
      <c r="G178" s="2"/>
    </row>
    <row r="179">
      <c r="A179" s="1" t="s">
        <v>186</v>
      </c>
      <c r="B179" s="1">
        <v>29.0</v>
      </c>
      <c r="C179" s="2"/>
      <c r="D179" s="2"/>
      <c r="E179" s="2"/>
      <c r="F179" s="2"/>
      <c r="G179" s="2"/>
    </row>
    <row r="180">
      <c r="A180" s="1" t="s">
        <v>187</v>
      </c>
      <c r="B180" s="2"/>
      <c r="C180" s="2"/>
      <c r="D180" s="2"/>
      <c r="E180" s="2"/>
      <c r="F180" s="2"/>
      <c r="G180" s="2"/>
    </row>
    <row r="181">
      <c r="A181" s="1" t="s">
        <v>188</v>
      </c>
      <c r="B181" s="1">
        <v>0.0</v>
      </c>
      <c r="C181" s="2"/>
      <c r="D181" s="2"/>
      <c r="E181" s="2"/>
      <c r="F181" s="2"/>
      <c r="G181" s="2"/>
    </row>
    <row r="182">
      <c r="A182" s="1" t="s">
        <v>189</v>
      </c>
      <c r="B182" s="1">
        <v>0.0</v>
      </c>
      <c r="C182" s="2"/>
      <c r="D182" s="2"/>
      <c r="E182" s="2"/>
      <c r="F182" s="2"/>
      <c r="G182" s="2"/>
    </row>
    <row r="183">
      <c r="A183" s="1" t="s">
        <v>190</v>
      </c>
      <c r="B183" s="1">
        <v>0.0</v>
      </c>
      <c r="C183" s="2"/>
      <c r="D183" s="2"/>
      <c r="E183" s="2"/>
      <c r="F183" s="2"/>
      <c r="G183" s="2"/>
    </row>
    <row r="184">
      <c r="A184" s="1" t="s">
        <v>191</v>
      </c>
      <c r="B184" s="1">
        <v>0.0</v>
      </c>
      <c r="C184" s="2"/>
      <c r="D184" s="2"/>
      <c r="E184" s="2"/>
      <c r="F184" s="2"/>
      <c r="G184" s="2"/>
    </row>
    <row r="185">
      <c r="A185" s="1" t="s">
        <v>192</v>
      </c>
      <c r="B185" s="1">
        <v>0.0</v>
      </c>
      <c r="C185" s="2"/>
      <c r="D185" s="2"/>
      <c r="E185" s="2"/>
      <c r="F185" s="2"/>
      <c r="G185" s="2"/>
    </row>
    <row r="186">
      <c r="A186" s="1" t="s">
        <v>193</v>
      </c>
      <c r="B186" s="1">
        <v>0.0</v>
      </c>
      <c r="C186" s="2"/>
      <c r="D186" s="2"/>
      <c r="E186" s="2"/>
      <c r="F186" s="2"/>
      <c r="G186" s="2"/>
    </row>
    <row r="187">
      <c r="A187" s="1" t="s">
        <v>194</v>
      </c>
      <c r="B187" s="1">
        <v>28.0</v>
      </c>
      <c r="C187" s="2"/>
      <c r="D187" s="2"/>
      <c r="E187" s="2"/>
      <c r="F187" s="2"/>
      <c r="G187" s="2"/>
    </row>
    <row r="188">
      <c r="A188" s="1" t="s">
        <v>195</v>
      </c>
      <c r="B188" s="1">
        <v>80.0</v>
      </c>
      <c r="C188" s="2"/>
      <c r="D188" s="2"/>
      <c r="E188" s="2"/>
      <c r="F188" s="2"/>
      <c r="G188" s="2"/>
    </row>
    <row r="189">
      <c r="A189" s="1" t="s">
        <v>196</v>
      </c>
      <c r="B189" s="1">
        <v>0.0</v>
      </c>
      <c r="C189" s="2"/>
      <c r="D189" s="2"/>
      <c r="E189" s="2"/>
      <c r="F189" s="2"/>
      <c r="G189" s="2"/>
    </row>
    <row r="190">
      <c r="A190" s="1" t="s">
        <v>197</v>
      </c>
      <c r="B190" s="1">
        <v>0.0</v>
      </c>
      <c r="C190" s="2"/>
      <c r="D190" s="2"/>
      <c r="E190" s="2"/>
      <c r="F190" s="2"/>
      <c r="G190" s="2"/>
    </row>
    <row r="191">
      <c r="A191" s="1" t="s">
        <v>198</v>
      </c>
      <c r="B191" s="1">
        <v>84.0</v>
      </c>
      <c r="C191" s="2"/>
      <c r="D191" s="2"/>
      <c r="E191" s="2"/>
      <c r="F191" s="2"/>
      <c r="G191" s="2"/>
    </row>
    <row r="192">
      <c r="A192" s="1" t="s">
        <v>199</v>
      </c>
      <c r="B192" s="1">
        <v>0.0</v>
      </c>
      <c r="C192" s="2"/>
      <c r="D192" s="2"/>
      <c r="E192" s="2"/>
      <c r="F192" s="2"/>
      <c r="G192" s="2"/>
    </row>
    <row r="193">
      <c r="A193" s="1" t="s">
        <v>200</v>
      </c>
      <c r="B193" s="1">
        <v>0.0</v>
      </c>
      <c r="C193" s="2"/>
      <c r="D193" s="2"/>
      <c r="E193" s="2"/>
      <c r="F193" s="2"/>
      <c r="G193" s="2"/>
    </row>
    <row r="194">
      <c r="A194" s="1" t="s">
        <v>201</v>
      </c>
      <c r="B194" s="1">
        <v>86.0</v>
      </c>
      <c r="C194" s="2"/>
      <c r="D194" s="2"/>
      <c r="E194" s="2"/>
      <c r="F194" s="2"/>
      <c r="G194" s="2"/>
    </row>
    <row r="195">
      <c r="A195" s="1" t="s">
        <v>202</v>
      </c>
      <c r="B195" s="1">
        <v>0.0</v>
      </c>
      <c r="C195" s="2"/>
      <c r="D195" s="2"/>
      <c r="E195" s="2"/>
      <c r="F195" s="2"/>
      <c r="G195" s="2"/>
    </row>
    <row r="196">
      <c r="A196" s="1" t="s">
        <v>203</v>
      </c>
      <c r="B196" s="1">
        <v>0.0</v>
      </c>
      <c r="C196" s="2"/>
      <c r="D196" s="2"/>
      <c r="E196" s="2"/>
      <c r="F196" s="2"/>
      <c r="G196" s="2"/>
    </row>
    <row r="197">
      <c r="A197" s="1" t="s">
        <v>204</v>
      </c>
      <c r="B197" s="1">
        <v>14.0</v>
      </c>
      <c r="C197" s="2"/>
      <c r="D197" s="2"/>
      <c r="E197" s="2"/>
      <c r="F197" s="2"/>
      <c r="G197" s="2"/>
    </row>
    <row r="198">
      <c r="A198" s="1" t="s">
        <v>205</v>
      </c>
      <c r="B198" s="1">
        <v>54.0</v>
      </c>
      <c r="C198" s="2"/>
      <c r="D198" s="2"/>
      <c r="E198" s="2"/>
      <c r="F198" s="2"/>
      <c r="G198" s="2"/>
    </row>
    <row r="199">
      <c r="A199" s="1" t="s">
        <v>206</v>
      </c>
      <c r="B199" s="1">
        <v>71.0</v>
      </c>
      <c r="C199" s="2"/>
      <c r="D199" s="2"/>
      <c r="E199" s="2"/>
      <c r="F199" s="2"/>
      <c r="G199" s="2"/>
    </row>
    <row r="200">
      <c r="A200" s="1" t="s">
        <v>207</v>
      </c>
      <c r="B200" s="1">
        <v>0.0</v>
      </c>
      <c r="C200" s="2"/>
      <c r="D200" s="2"/>
      <c r="E200" s="2"/>
      <c r="F200" s="2"/>
      <c r="G200" s="2"/>
    </row>
    <row r="201">
      <c r="A201" s="1" t="s">
        <v>208</v>
      </c>
      <c r="B201" s="1">
        <v>40.0</v>
      </c>
      <c r="C201" s="2"/>
      <c r="D201" s="2"/>
      <c r="E201" s="2"/>
      <c r="F201" s="2"/>
      <c r="G201" s="2"/>
    </row>
    <row r="202">
      <c r="A202" s="1" t="s">
        <v>209</v>
      </c>
      <c r="B202" s="1">
        <v>34.0</v>
      </c>
      <c r="C202" s="2"/>
      <c r="D202" s="2"/>
      <c r="E202" s="2"/>
      <c r="F202" s="2"/>
      <c r="G202" s="2"/>
    </row>
    <row r="203">
      <c r="A203" s="1" t="s">
        <v>210</v>
      </c>
      <c r="B203" s="1">
        <v>0.0</v>
      </c>
      <c r="C203" s="2"/>
      <c r="D203" s="2"/>
      <c r="E203" s="2"/>
      <c r="F203" s="2"/>
      <c r="G203" s="2"/>
    </row>
    <row r="204">
      <c r="A204" s="1" t="s">
        <v>211</v>
      </c>
      <c r="B204" s="1">
        <v>62.0</v>
      </c>
      <c r="C204" s="2"/>
      <c r="D204" s="2"/>
      <c r="E204" s="2"/>
      <c r="F204" s="2"/>
      <c r="G204" s="2"/>
    </row>
    <row r="205">
      <c r="A205" s="1" t="s">
        <v>212</v>
      </c>
      <c r="B205" s="1">
        <v>40.0</v>
      </c>
      <c r="C205" s="2"/>
      <c r="D205" s="2"/>
      <c r="E205" s="2"/>
      <c r="F205" s="2"/>
      <c r="G205" s="2"/>
    </row>
    <row r="206">
      <c r="A206" s="1" t="s">
        <v>213</v>
      </c>
      <c r="B206" s="1">
        <v>0.0</v>
      </c>
      <c r="C206" s="2"/>
      <c r="D206" s="2"/>
      <c r="E206" s="2"/>
      <c r="F206" s="2"/>
      <c r="G206" s="2"/>
    </row>
    <row r="207">
      <c r="A207" s="1" t="s">
        <v>214</v>
      </c>
      <c r="B207" s="1">
        <v>0.0</v>
      </c>
      <c r="C207" s="2"/>
      <c r="D207" s="2"/>
      <c r="E207" s="2"/>
      <c r="F207" s="2"/>
      <c r="G207" s="2"/>
    </row>
    <row r="208">
      <c r="A208" s="1" t="s">
        <v>215</v>
      </c>
      <c r="B208" s="1">
        <v>0.0</v>
      </c>
      <c r="C208" s="2"/>
      <c r="D208" s="2"/>
      <c r="E208" s="2"/>
      <c r="F208" s="2"/>
      <c r="G208" s="2"/>
    </row>
    <row r="209">
      <c r="A209" s="1" t="s">
        <v>216</v>
      </c>
      <c r="B209" s="1">
        <v>4.0</v>
      </c>
      <c r="C209" s="2"/>
      <c r="D209" s="2"/>
      <c r="E209" s="2"/>
      <c r="F209" s="2"/>
      <c r="G209" s="2"/>
    </row>
    <row r="210">
      <c r="A210" s="1" t="s">
        <v>217</v>
      </c>
      <c r="B210" s="1">
        <v>0.0</v>
      </c>
      <c r="C210" s="2"/>
      <c r="D210" s="2"/>
      <c r="E210" s="2"/>
      <c r="F210" s="2"/>
      <c r="G210" s="2"/>
    </row>
    <row r="211">
      <c r="A211" s="1" t="s">
        <v>145</v>
      </c>
      <c r="B211" s="1">
        <v>0.0</v>
      </c>
      <c r="C211" s="2"/>
      <c r="D211" s="2"/>
      <c r="E211" s="2"/>
      <c r="F211" s="2"/>
      <c r="G211" s="2"/>
    </row>
    <row r="212">
      <c r="A212" s="1" t="s">
        <v>146</v>
      </c>
      <c r="B212" s="2"/>
      <c r="C212" s="2"/>
      <c r="D212" s="2"/>
      <c r="E212" s="2"/>
      <c r="F212" s="2"/>
      <c r="G212" s="2"/>
    </row>
    <row r="213">
      <c r="A213" s="1" t="s">
        <v>147</v>
      </c>
      <c r="B213" s="1">
        <v>0.0</v>
      </c>
      <c r="C213" s="2"/>
      <c r="D213" s="2"/>
      <c r="E213" s="2"/>
      <c r="F213" s="2"/>
      <c r="G213" s="2"/>
    </row>
    <row r="214">
      <c r="A214" s="1" t="s">
        <v>148</v>
      </c>
      <c r="B214" s="2"/>
      <c r="C214" s="2"/>
      <c r="D214" s="2"/>
      <c r="E214" s="2"/>
      <c r="F214" s="2"/>
      <c r="G214" s="2"/>
    </row>
    <row r="215">
      <c r="A215" s="1" t="s">
        <v>149</v>
      </c>
      <c r="B215" s="1">
        <v>0.0</v>
      </c>
      <c r="C215" s="2"/>
      <c r="D215" s="2"/>
      <c r="E215" s="2"/>
      <c r="F215" s="2"/>
      <c r="G215" s="2"/>
    </row>
    <row r="216">
      <c r="A216" s="1" t="s">
        <v>150</v>
      </c>
      <c r="B216" s="1">
        <v>0.0</v>
      </c>
      <c r="C216" s="2"/>
      <c r="D216" s="2"/>
      <c r="E216" s="2"/>
      <c r="F216" s="2"/>
      <c r="G216" s="2"/>
    </row>
    <row r="217">
      <c r="A217" s="1" t="s">
        <v>151</v>
      </c>
      <c r="B217" s="1">
        <v>0.0</v>
      </c>
      <c r="C217" s="2"/>
      <c r="D217" s="2"/>
      <c r="E217" s="2"/>
      <c r="F217" s="2"/>
      <c r="G217" s="2"/>
    </row>
    <row r="218">
      <c r="A218" s="1" t="s">
        <v>152</v>
      </c>
      <c r="B218" s="1">
        <v>0.0</v>
      </c>
      <c r="C218" s="2"/>
      <c r="D218" s="2"/>
      <c r="E218" s="2"/>
      <c r="F218" s="2"/>
      <c r="G218" s="2"/>
    </row>
    <row r="219">
      <c r="A219" s="1" t="s">
        <v>153</v>
      </c>
      <c r="B219" s="1">
        <v>0.0</v>
      </c>
      <c r="C219" s="2"/>
      <c r="D219" s="2"/>
      <c r="E219" s="2"/>
      <c r="F219" s="2"/>
      <c r="G219" s="2"/>
    </row>
    <row r="220">
      <c r="A220" s="1" t="s">
        <v>154</v>
      </c>
      <c r="B220" s="1">
        <v>0.0</v>
      </c>
      <c r="C220" s="2"/>
      <c r="D220" s="2"/>
      <c r="E220" s="2"/>
      <c r="F220" s="2"/>
      <c r="G220" s="2"/>
    </row>
    <row r="221">
      <c r="A221" s="1" t="s">
        <v>155</v>
      </c>
      <c r="B221" s="1">
        <v>26.0</v>
      </c>
      <c r="C221" s="2"/>
      <c r="D221" s="2"/>
      <c r="E221" s="2"/>
      <c r="F221" s="2"/>
      <c r="G221" s="2"/>
    </row>
    <row r="222">
      <c r="A222" s="1" t="s">
        <v>156</v>
      </c>
      <c r="B222" s="1">
        <v>0.0</v>
      </c>
      <c r="C222" s="2"/>
      <c r="D222" s="2"/>
      <c r="E222" s="2"/>
      <c r="F222" s="2"/>
      <c r="G222" s="2"/>
    </row>
    <row r="223">
      <c r="A223" s="1" t="s">
        <v>157</v>
      </c>
      <c r="B223" s="1">
        <v>0.0</v>
      </c>
      <c r="C223" s="2"/>
      <c r="D223" s="2"/>
      <c r="E223" s="2"/>
      <c r="F223" s="2"/>
      <c r="G223" s="2"/>
    </row>
    <row r="224">
      <c r="A224" s="1" t="s">
        <v>158</v>
      </c>
      <c r="B224" s="2"/>
      <c r="C224" s="2"/>
      <c r="D224" s="2"/>
      <c r="E224" s="2"/>
      <c r="F224" s="2"/>
      <c r="G224" s="2"/>
    </row>
    <row r="225">
      <c r="A225" s="1" t="s">
        <v>159</v>
      </c>
      <c r="B225" s="1">
        <v>6.0</v>
      </c>
      <c r="C225" s="2"/>
      <c r="D225" s="2"/>
      <c r="E225" s="2"/>
      <c r="F225" s="2"/>
      <c r="G225" s="2"/>
    </row>
    <row r="226">
      <c r="A226" s="1" t="s">
        <v>160</v>
      </c>
      <c r="B226" s="2"/>
      <c r="C226" s="2"/>
      <c r="D226" s="2"/>
      <c r="E226" s="2"/>
      <c r="F226" s="2"/>
      <c r="G226" s="2"/>
    </row>
    <row r="227">
      <c r="A227" s="1" t="s">
        <v>161</v>
      </c>
      <c r="B227" s="1">
        <v>0.0</v>
      </c>
      <c r="C227" s="2"/>
      <c r="D227" s="2"/>
      <c r="E227" s="2"/>
      <c r="F227" s="2"/>
      <c r="G227" s="2"/>
    </row>
    <row r="228">
      <c r="A228" s="1" t="s">
        <v>162</v>
      </c>
      <c r="B228" s="1">
        <v>0.0</v>
      </c>
      <c r="C228" s="2"/>
      <c r="D228" s="2"/>
      <c r="E228" s="2"/>
      <c r="F228" s="2"/>
      <c r="G228" s="2"/>
    </row>
    <row r="229">
      <c r="A229" s="1" t="s">
        <v>163</v>
      </c>
      <c r="B229" s="1">
        <v>0.0</v>
      </c>
      <c r="C229" s="2"/>
      <c r="D229" s="2"/>
      <c r="E229" s="2"/>
      <c r="F229" s="2"/>
      <c r="G229" s="2"/>
    </row>
    <row r="230">
      <c r="A230" s="1" t="s">
        <v>164</v>
      </c>
      <c r="B230" s="1">
        <v>0.0</v>
      </c>
      <c r="C230" s="2"/>
      <c r="D230" s="2"/>
      <c r="E230" s="2"/>
      <c r="F230" s="2"/>
      <c r="G230" s="2"/>
    </row>
    <row r="231">
      <c r="A231" s="1" t="s">
        <v>165</v>
      </c>
      <c r="B231" s="1">
        <v>24.0</v>
      </c>
      <c r="C231" s="2"/>
      <c r="D231" s="2"/>
      <c r="E231" s="2"/>
      <c r="F231" s="2"/>
      <c r="G231" s="2"/>
    </row>
    <row r="232">
      <c r="A232" s="1" t="s">
        <v>166</v>
      </c>
      <c r="B232" s="1">
        <v>17.0</v>
      </c>
      <c r="C232" s="2"/>
      <c r="D232" s="2"/>
      <c r="E232" s="2"/>
      <c r="F232" s="2"/>
      <c r="G232" s="2"/>
    </row>
    <row r="233">
      <c r="A233" s="1" t="s">
        <v>167</v>
      </c>
      <c r="B233" s="1">
        <v>0.0</v>
      </c>
      <c r="C233" s="2"/>
      <c r="D233" s="2"/>
      <c r="E233" s="2"/>
      <c r="F233" s="2"/>
      <c r="G233" s="2"/>
    </row>
    <row r="234">
      <c r="A234" s="1" t="s">
        <v>168</v>
      </c>
      <c r="B234" s="1">
        <v>0.0</v>
      </c>
      <c r="C234" s="2"/>
      <c r="D234" s="2"/>
      <c r="E234" s="2"/>
      <c r="F234" s="2"/>
      <c r="G234" s="2"/>
    </row>
    <row r="235">
      <c r="A235" s="1" t="s">
        <v>169</v>
      </c>
      <c r="B235" s="1">
        <v>23.0</v>
      </c>
      <c r="C235" s="2"/>
      <c r="D235" s="2"/>
      <c r="E235" s="2"/>
      <c r="F235" s="2"/>
      <c r="G235" s="2"/>
    </row>
    <row r="236">
      <c r="A236" s="1" t="s">
        <v>170</v>
      </c>
      <c r="B236" s="1">
        <v>6.0</v>
      </c>
      <c r="C236" s="2"/>
      <c r="D236" s="2"/>
      <c r="E236" s="2"/>
      <c r="F236" s="2"/>
      <c r="G236" s="2"/>
    </row>
    <row r="237">
      <c r="A237" s="1" t="s">
        <v>171</v>
      </c>
      <c r="B237" s="1">
        <v>92.0</v>
      </c>
      <c r="C237" s="2"/>
      <c r="D237" s="2"/>
      <c r="E237" s="2"/>
      <c r="F237" s="2"/>
      <c r="G237" s="2"/>
    </row>
    <row r="238">
      <c r="A238" s="1" t="s">
        <v>172</v>
      </c>
      <c r="B238" s="1">
        <v>77.0</v>
      </c>
      <c r="C238" s="2"/>
      <c r="D238" s="2"/>
      <c r="E238" s="2"/>
      <c r="F238" s="2"/>
      <c r="G238" s="2"/>
    </row>
    <row r="239">
      <c r="A239" s="1" t="s">
        <v>173</v>
      </c>
      <c r="B239" s="1">
        <v>34.0</v>
      </c>
      <c r="C239" s="2"/>
      <c r="D239" s="2"/>
      <c r="E239" s="2"/>
      <c r="F239" s="2"/>
      <c r="G239" s="2"/>
    </row>
    <row r="240">
      <c r="A240" s="1" t="s">
        <v>174</v>
      </c>
      <c r="B240" s="1">
        <v>42.0</v>
      </c>
      <c r="C240" s="2"/>
      <c r="D240" s="2"/>
      <c r="E240" s="2"/>
      <c r="F240" s="2"/>
      <c r="G240" s="2"/>
    </row>
    <row r="241">
      <c r="A241" s="1" t="s">
        <v>175</v>
      </c>
      <c r="B241" s="1">
        <v>72.0</v>
      </c>
      <c r="C241" s="2"/>
      <c r="D241" s="2"/>
      <c r="E241" s="2"/>
      <c r="F241" s="2"/>
      <c r="G241" s="2"/>
    </row>
    <row r="242">
      <c r="A242" s="1" t="s">
        <v>176</v>
      </c>
      <c r="B242" s="1">
        <v>11.0</v>
      </c>
      <c r="C242" s="2"/>
      <c r="D242" s="2"/>
      <c r="E242" s="2"/>
      <c r="F242" s="2"/>
      <c r="G242" s="2"/>
    </row>
    <row r="243">
      <c r="A243" s="1" t="s">
        <v>177</v>
      </c>
      <c r="B243" s="1">
        <v>31.0</v>
      </c>
      <c r="C243" s="2"/>
      <c r="D243" s="2"/>
      <c r="E243" s="2"/>
      <c r="F243" s="2"/>
      <c r="G243" s="2"/>
    </row>
    <row r="244">
      <c r="A244" s="1" t="s">
        <v>178</v>
      </c>
      <c r="B244" s="1">
        <v>53.0</v>
      </c>
      <c r="C244" s="2"/>
      <c r="D244" s="2"/>
      <c r="E244" s="2"/>
      <c r="F244" s="2"/>
      <c r="G244" s="2"/>
    </row>
    <row r="245">
      <c r="A245" s="1" t="s">
        <v>179</v>
      </c>
      <c r="B245" s="1">
        <v>8.0</v>
      </c>
      <c r="C245" s="2"/>
      <c r="D245" s="2"/>
      <c r="E245" s="2"/>
      <c r="F245" s="2"/>
      <c r="G245" s="2"/>
    </row>
    <row r="246">
      <c r="A246" s="1" t="s">
        <v>180</v>
      </c>
      <c r="B246" s="1">
        <v>54.0</v>
      </c>
      <c r="C246" s="2"/>
      <c r="D246" s="2"/>
      <c r="E246" s="2"/>
      <c r="F246" s="2"/>
      <c r="G246" s="2"/>
    </row>
    <row r="247">
      <c r="A247" s="1" t="s">
        <v>181</v>
      </c>
      <c r="B247" s="1">
        <v>0.0</v>
      </c>
      <c r="C247" s="2"/>
      <c r="D247" s="2"/>
      <c r="E247" s="2"/>
      <c r="F247" s="2"/>
      <c r="G247" s="2"/>
    </row>
    <row r="248">
      <c r="A248" s="1" t="s">
        <v>182</v>
      </c>
      <c r="B248" s="1">
        <v>0.0</v>
      </c>
      <c r="C248" s="2"/>
      <c r="D248" s="2"/>
      <c r="E248" s="2"/>
      <c r="F248" s="2"/>
      <c r="G248" s="2"/>
    </row>
    <row r="249">
      <c r="A249" s="1" t="s">
        <v>183</v>
      </c>
      <c r="B249" s="1">
        <v>37.0</v>
      </c>
      <c r="C249" s="2"/>
      <c r="D249" s="2"/>
      <c r="E249" s="2"/>
      <c r="F249" s="2"/>
      <c r="G249" s="2"/>
    </row>
    <row r="250">
      <c r="A250" s="1" t="s">
        <v>184</v>
      </c>
      <c r="B250" s="1">
        <v>0.0</v>
      </c>
      <c r="C250" s="2"/>
      <c r="D250" s="2"/>
      <c r="E250" s="2"/>
      <c r="F250" s="2"/>
      <c r="G250" s="2"/>
    </row>
    <row r="251">
      <c r="A251" s="1" t="s">
        <v>185</v>
      </c>
      <c r="B251" s="2"/>
      <c r="C251" s="2"/>
      <c r="D251" s="2"/>
      <c r="E251" s="2"/>
      <c r="F251" s="2"/>
      <c r="G251" s="2"/>
    </row>
    <row r="252">
      <c r="A252" s="1" t="s">
        <v>186</v>
      </c>
      <c r="B252" s="1">
        <v>29.0</v>
      </c>
      <c r="C252" s="2"/>
      <c r="D252" s="2"/>
      <c r="E252" s="2"/>
      <c r="F252" s="2"/>
      <c r="G252" s="2"/>
    </row>
    <row r="253">
      <c r="A253" s="1" t="s">
        <v>187</v>
      </c>
      <c r="B253" s="2"/>
      <c r="C253" s="2"/>
      <c r="D253" s="2"/>
      <c r="E253" s="2"/>
      <c r="F253" s="2"/>
      <c r="G253" s="2"/>
    </row>
    <row r="254">
      <c r="A254" s="1" t="s">
        <v>188</v>
      </c>
      <c r="B254" s="1">
        <v>0.0</v>
      </c>
      <c r="C254" s="2"/>
      <c r="D254" s="2"/>
      <c r="E254" s="2"/>
      <c r="F254" s="2"/>
      <c r="G254" s="2"/>
    </row>
    <row r="255">
      <c r="A255" s="1" t="s">
        <v>189</v>
      </c>
      <c r="B255" s="1">
        <v>0.0</v>
      </c>
      <c r="C255" s="2"/>
      <c r="D255" s="2"/>
      <c r="E255" s="2"/>
      <c r="F255" s="2"/>
      <c r="G255" s="2"/>
    </row>
    <row r="256">
      <c r="A256" s="1" t="s">
        <v>190</v>
      </c>
      <c r="B256" s="1">
        <v>0.0</v>
      </c>
      <c r="C256" s="2"/>
      <c r="D256" s="2"/>
      <c r="E256" s="2"/>
      <c r="F256" s="2"/>
      <c r="G256" s="2"/>
    </row>
    <row r="257">
      <c r="A257" s="1" t="s">
        <v>191</v>
      </c>
      <c r="B257" s="1">
        <v>0.0</v>
      </c>
      <c r="C257" s="2"/>
      <c r="D257" s="2"/>
      <c r="E257" s="2"/>
      <c r="F257" s="2"/>
      <c r="G257" s="2"/>
    </row>
    <row r="258">
      <c r="A258" s="1" t="s">
        <v>192</v>
      </c>
      <c r="B258" s="1">
        <v>0.0</v>
      </c>
      <c r="C258" s="2"/>
      <c r="D258" s="2"/>
      <c r="E258" s="2"/>
      <c r="F258" s="2"/>
      <c r="G258" s="2"/>
    </row>
    <row r="259">
      <c r="A259" s="1" t="s">
        <v>193</v>
      </c>
      <c r="B259" s="1">
        <v>0.0</v>
      </c>
      <c r="C259" s="2"/>
      <c r="D259" s="2"/>
      <c r="E259" s="2"/>
      <c r="F259" s="2"/>
      <c r="G259" s="2"/>
    </row>
    <row r="260">
      <c r="A260" s="1" t="s">
        <v>194</v>
      </c>
      <c r="B260" s="1">
        <v>28.0</v>
      </c>
      <c r="C260" s="2"/>
      <c r="D260" s="2"/>
      <c r="E260" s="2"/>
      <c r="F260" s="2"/>
      <c r="G260" s="2"/>
    </row>
    <row r="261">
      <c r="A261" s="1" t="s">
        <v>195</v>
      </c>
      <c r="B261" s="1">
        <v>80.0</v>
      </c>
      <c r="C261" s="2"/>
      <c r="D261" s="2"/>
      <c r="E261" s="2"/>
      <c r="F261" s="2"/>
      <c r="G261" s="2"/>
    </row>
    <row r="262">
      <c r="A262" s="1" t="s">
        <v>196</v>
      </c>
      <c r="B262" s="1">
        <v>0.0</v>
      </c>
      <c r="C262" s="2"/>
      <c r="D262" s="2"/>
      <c r="E262" s="2"/>
      <c r="F262" s="2"/>
      <c r="G262" s="2"/>
    </row>
    <row r="263">
      <c r="A263" s="1" t="s">
        <v>197</v>
      </c>
      <c r="B263" s="1">
        <v>0.0</v>
      </c>
      <c r="C263" s="2"/>
      <c r="D263" s="2"/>
      <c r="E263" s="2"/>
      <c r="F263" s="2"/>
      <c r="G263" s="2"/>
    </row>
    <row r="264">
      <c r="A264" s="1" t="s">
        <v>198</v>
      </c>
      <c r="B264" s="1">
        <v>84.0</v>
      </c>
      <c r="C264" s="2"/>
      <c r="D264" s="2"/>
      <c r="E264" s="2"/>
      <c r="F264" s="2"/>
      <c r="G264" s="2"/>
    </row>
    <row r="265">
      <c r="A265" s="1" t="s">
        <v>199</v>
      </c>
      <c r="B265" s="1">
        <v>0.0</v>
      </c>
      <c r="C265" s="2"/>
      <c r="D265" s="2"/>
      <c r="E265" s="2"/>
      <c r="F265" s="2"/>
      <c r="G265" s="2"/>
    </row>
    <row r="266">
      <c r="A266" s="1" t="s">
        <v>200</v>
      </c>
      <c r="B266" s="1">
        <v>0.0</v>
      </c>
      <c r="C266" s="2"/>
      <c r="D266" s="2"/>
      <c r="E266" s="2"/>
      <c r="F266" s="2"/>
      <c r="G266" s="2"/>
    </row>
    <row r="267">
      <c r="A267" s="1" t="s">
        <v>201</v>
      </c>
      <c r="B267" s="1">
        <v>86.0</v>
      </c>
      <c r="C267" s="2"/>
      <c r="D267" s="2"/>
      <c r="E267" s="2"/>
      <c r="F267" s="2"/>
      <c r="G267" s="2"/>
    </row>
    <row r="268">
      <c r="A268" s="1" t="s">
        <v>202</v>
      </c>
      <c r="B268" s="1">
        <v>0.0</v>
      </c>
      <c r="C268" s="2"/>
      <c r="D268" s="2"/>
      <c r="E268" s="2"/>
      <c r="F268" s="2"/>
      <c r="G268" s="2"/>
    </row>
    <row r="269">
      <c r="A269" s="1" t="s">
        <v>203</v>
      </c>
      <c r="B269" s="1">
        <v>0.0</v>
      </c>
      <c r="C269" s="2"/>
      <c r="D269" s="2"/>
      <c r="E269" s="2"/>
      <c r="F269" s="2"/>
      <c r="G269" s="2"/>
    </row>
    <row r="270">
      <c r="A270" s="1" t="s">
        <v>204</v>
      </c>
      <c r="B270" s="1">
        <v>14.0</v>
      </c>
      <c r="C270" s="2"/>
      <c r="D270" s="2"/>
      <c r="E270" s="2"/>
      <c r="F270" s="2"/>
      <c r="G270" s="2"/>
    </row>
    <row r="271">
      <c r="A271" s="1" t="s">
        <v>205</v>
      </c>
      <c r="B271" s="1">
        <v>54.0</v>
      </c>
      <c r="C271" s="2"/>
      <c r="D271" s="2"/>
      <c r="E271" s="2"/>
      <c r="F271" s="2"/>
      <c r="G271" s="2"/>
    </row>
    <row r="272">
      <c r="A272" s="1" t="s">
        <v>206</v>
      </c>
      <c r="B272" s="1">
        <v>71.0</v>
      </c>
      <c r="C272" s="2"/>
      <c r="D272" s="2"/>
      <c r="E272" s="2"/>
      <c r="F272" s="2"/>
      <c r="G272" s="2"/>
    </row>
    <row r="273">
      <c r="A273" s="1" t="s">
        <v>207</v>
      </c>
      <c r="B273" s="1">
        <v>0.0</v>
      </c>
      <c r="C273" s="2"/>
      <c r="D273" s="2"/>
      <c r="E273" s="2"/>
      <c r="F273" s="2"/>
      <c r="G273" s="2"/>
    </row>
    <row r="274">
      <c r="A274" s="1" t="s">
        <v>208</v>
      </c>
      <c r="B274" s="1">
        <v>40.0</v>
      </c>
      <c r="C274" s="2"/>
      <c r="D274" s="2"/>
      <c r="E274" s="2"/>
      <c r="F274" s="2"/>
      <c r="G274" s="2"/>
    </row>
    <row r="275">
      <c r="A275" s="1" t="s">
        <v>209</v>
      </c>
      <c r="B275" s="1">
        <v>34.0</v>
      </c>
      <c r="C275" s="2"/>
      <c r="D275" s="2"/>
      <c r="E275" s="2"/>
      <c r="F275" s="2"/>
      <c r="G275" s="2"/>
    </row>
    <row r="276">
      <c r="A276" s="1" t="s">
        <v>210</v>
      </c>
      <c r="B276" s="1">
        <v>0.0</v>
      </c>
      <c r="C276" s="2"/>
      <c r="D276" s="2"/>
      <c r="E276" s="2"/>
      <c r="F276" s="2"/>
      <c r="G276" s="2"/>
    </row>
    <row r="277">
      <c r="A277" s="1" t="s">
        <v>211</v>
      </c>
      <c r="B277" s="1">
        <v>62.0</v>
      </c>
      <c r="C277" s="2"/>
      <c r="D277" s="2"/>
      <c r="E277" s="2"/>
      <c r="F277" s="2"/>
      <c r="G277" s="2"/>
    </row>
    <row r="278">
      <c r="A278" s="1" t="s">
        <v>212</v>
      </c>
      <c r="B278" s="1">
        <v>40.0</v>
      </c>
      <c r="C278" s="2"/>
      <c r="D278" s="2"/>
      <c r="E278" s="2"/>
      <c r="F278" s="2"/>
      <c r="G278" s="2"/>
    </row>
    <row r="279">
      <c r="A279" s="1" t="s">
        <v>213</v>
      </c>
      <c r="B279" s="1">
        <v>0.0</v>
      </c>
      <c r="C279" s="2"/>
      <c r="D279" s="2"/>
      <c r="E279" s="2"/>
      <c r="F279" s="2"/>
      <c r="G279" s="2"/>
    </row>
    <row r="280">
      <c r="A280" s="1" t="s">
        <v>214</v>
      </c>
      <c r="B280" s="1">
        <v>0.0</v>
      </c>
      <c r="C280" s="2"/>
      <c r="D280" s="2"/>
      <c r="E280" s="2"/>
      <c r="F280" s="2"/>
      <c r="G280" s="2"/>
    </row>
    <row r="281">
      <c r="A281" s="1" t="s">
        <v>215</v>
      </c>
      <c r="B281" s="1">
        <v>0.0</v>
      </c>
      <c r="C281" s="2"/>
      <c r="D281" s="2"/>
      <c r="E281" s="2"/>
      <c r="F281" s="2"/>
      <c r="G281" s="2"/>
    </row>
    <row r="282">
      <c r="A282" s="1" t="s">
        <v>216</v>
      </c>
      <c r="B282" s="1">
        <v>4.0</v>
      </c>
      <c r="C282" s="2"/>
      <c r="D282" s="2"/>
      <c r="E282" s="2"/>
      <c r="F282" s="2"/>
      <c r="G282" s="2"/>
    </row>
    <row r="283">
      <c r="A283" s="1" t="s">
        <v>217</v>
      </c>
      <c r="B283" s="1">
        <v>0.0</v>
      </c>
      <c r="C283" s="2"/>
      <c r="D283" s="2"/>
      <c r="E283" s="2"/>
      <c r="F283" s="2"/>
      <c r="G283" s="2"/>
    </row>
    <row r="284">
      <c r="A284" s="1" t="s">
        <v>218</v>
      </c>
      <c r="B284" s="1">
        <v>0.0</v>
      </c>
      <c r="C284" s="2"/>
      <c r="D284" s="2"/>
      <c r="E284" s="2"/>
      <c r="F284" s="2"/>
      <c r="G284" s="2"/>
    </row>
    <row r="285">
      <c r="A285" s="1" t="s">
        <v>219</v>
      </c>
      <c r="B285" s="1">
        <v>13.0</v>
      </c>
      <c r="C285" s="2"/>
      <c r="D285" s="2"/>
      <c r="E285" s="2"/>
      <c r="F285" s="2"/>
      <c r="G285" s="2"/>
    </row>
    <row r="286">
      <c r="A286" s="1" t="s">
        <v>220</v>
      </c>
      <c r="B286" s="1">
        <v>0.0</v>
      </c>
      <c r="C286" s="2"/>
      <c r="D286" s="2"/>
      <c r="E286" s="2"/>
      <c r="F286" s="2"/>
      <c r="G286" s="2"/>
    </row>
    <row r="287">
      <c r="A287" s="1" t="s">
        <v>221</v>
      </c>
      <c r="B287" s="1">
        <v>0.0</v>
      </c>
      <c r="C287" s="2"/>
      <c r="D287" s="2"/>
      <c r="E287" s="2"/>
      <c r="F287" s="2"/>
      <c r="G287" s="2"/>
    </row>
    <row r="288">
      <c r="A288" s="1" t="s">
        <v>222</v>
      </c>
      <c r="B288" s="1">
        <v>0.0</v>
      </c>
      <c r="C288" s="2"/>
      <c r="D288" s="2"/>
      <c r="E288" s="2"/>
      <c r="F288" s="2"/>
      <c r="G288" s="2"/>
    </row>
    <row r="289">
      <c r="A289" s="1" t="s">
        <v>223</v>
      </c>
      <c r="B289" s="1">
        <v>0.0</v>
      </c>
      <c r="C289" s="2"/>
      <c r="D289" s="2"/>
      <c r="E289" s="2"/>
      <c r="F289" s="2"/>
      <c r="G289" s="2"/>
    </row>
    <row r="290">
      <c r="A290" s="1" t="s">
        <v>224</v>
      </c>
      <c r="B290" s="1">
        <v>0.0</v>
      </c>
      <c r="C290" s="2"/>
      <c r="D290" s="2"/>
      <c r="E290" s="2"/>
      <c r="F290" s="2"/>
      <c r="G290" s="2"/>
    </row>
    <row r="291">
      <c r="A291" s="1" t="s">
        <v>225</v>
      </c>
      <c r="B291" s="1">
        <v>0.0</v>
      </c>
      <c r="C291" s="2"/>
      <c r="D291" s="2"/>
      <c r="E291" s="2"/>
      <c r="F291" s="2"/>
      <c r="G291" s="2"/>
    </row>
    <row r="292">
      <c r="A292" s="1" t="s">
        <v>226</v>
      </c>
      <c r="B292" s="2"/>
      <c r="C292" s="2"/>
      <c r="D292" s="2"/>
      <c r="E292" s="2"/>
      <c r="F292" s="2"/>
      <c r="G292" s="2"/>
    </row>
    <row r="293">
      <c r="A293" s="1" t="s">
        <v>227</v>
      </c>
      <c r="B293" s="1">
        <v>0.0</v>
      </c>
      <c r="C293" s="2"/>
      <c r="D293" s="2"/>
      <c r="E293" s="2"/>
      <c r="F293" s="2"/>
      <c r="G293" s="2"/>
    </row>
    <row r="294">
      <c r="A294" s="1" t="s">
        <v>228</v>
      </c>
      <c r="B294" s="2"/>
      <c r="C294" s="2"/>
      <c r="D294" s="2"/>
      <c r="E294" s="2"/>
      <c r="F294" s="2"/>
      <c r="G294" s="2"/>
    </row>
    <row r="295">
      <c r="A295" s="1" t="s">
        <v>229</v>
      </c>
      <c r="B295" s="1">
        <v>0.0</v>
      </c>
      <c r="C295" s="2"/>
      <c r="D295" s="2"/>
      <c r="E295" s="2"/>
      <c r="F295" s="2"/>
      <c r="G295" s="2"/>
    </row>
    <row r="296">
      <c r="A296" s="1" t="s">
        <v>230</v>
      </c>
      <c r="B296" s="1">
        <v>50.0</v>
      </c>
      <c r="C296" s="2"/>
      <c r="D296" s="2"/>
      <c r="E296" s="2"/>
      <c r="F296" s="2"/>
      <c r="G296" s="2"/>
    </row>
    <row r="297">
      <c r="A297" s="1" t="s">
        <v>231</v>
      </c>
      <c r="B297" s="1">
        <v>0.0</v>
      </c>
      <c r="C297" s="2"/>
      <c r="D297" s="2"/>
      <c r="E297" s="2"/>
      <c r="F297" s="2"/>
      <c r="G297" s="2"/>
    </row>
    <row r="298">
      <c r="A298" s="1" t="s">
        <v>232</v>
      </c>
      <c r="B298" s="1">
        <v>0.0</v>
      </c>
      <c r="C298" s="2"/>
      <c r="D298" s="2"/>
      <c r="E298" s="2"/>
      <c r="F298" s="2"/>
      <c r="G298" s="2"/>
    </row>
    <row r="299">
      <c r="A299" s="1" t="s">
        <v>233</v>
      </c>
      <c r="B299" s="1">
        <v>0.0</v>
      </c>
      <c r="C299" s="2"/>
      <c r="D299" s="2"/>
      <c r="E299" s="2"/>
      <c r="F299" s="2"/>
      <c r="G299" s="2"/>
    </row>
    <row r="300">
      <c r="A300" s="1" t="s">
        <v>234</v>
      </c>
      <c r="B300" s="1" t="s">
        <v>235</v>
      </c>
      <c r="C300" s="1">
        <v>0.0</v>
      </c>
      <c r="D300" s="2"/>
      <c r="E300" s="2"/>
      <c r="F300" s="2"/>
      <c r="G300" s="2"/>
    </row>
    <row r="301">
      <c r="A301" s="1" t="s">
        <v>236</v>
      </c>
      <c r="B301" s="1">
        <v>59.0</v>
      </c>
      <c r="C301" s="2"/>
      <c r="D301" s="2"/>
      <c r="E301" s="2"/>
      <c r="F301" s="2"/>
      <c r="G301" s="2"/>
    </row>
    <row r="302">
      <c r="A302" s="1" t="s">
        <v>237</v>
      </c>
      <c r="B302" s="1">
        <v>0.0</v>
      </c>
      <c r="C302" s="2"/>
      <c r="D302" s="2"/>
      <c r="E302" s="2"/>
      <c r="F302" s="2"/>
      <c r="G302" s="2"/>
    </row>
    <row r="303">
      <c r="A303" s="1" t="s">
        <v>238</v>
      </c>
      <c r="B303" s="1">
        <v>80.0</v>
      </c>
      <c r="C303" s="2"/>
      <c r="D303" s="2"/>
      <c r="E303" s="2"/>
      <c r="F303" s="2"/>
      <c r="G303" s="2"/>
    </row>
    <row r="304">
      <c r="A304" s="1" t="s">
        <v>239</v>
      </c>
      <c r="B304" s="1">
        <v>50.0</v>
      </c>
      <c r="C304" s="2"/>
      <c r="D304" s="2"/>
      <c r="E304" s="2"/>
      <c r="F304" s="2"/>
      <c r="G304" s="2"/>
    </row>
    <row r="305">
      <c r="A305" s="1" t="s">
        <v>240</v>
      </c>
      <c r="B305" s="1">
        <v>0.0</v>
      </c>
      <c r="C305" s="2"/>
      <c r="D305" s="2"/>
      <c r="E305" s="2"/>
      <c r="F305" s="2"/>
      <c r="G305" s="2"/>
    </row>
    <row r="306">
      <c r="A306" s="1" t="s">
        <v>241</v>
      </c>
      <c r="B306" s="1">
        <v>0.0</v>
      </c>
      <c r="C306" s="2"/>
      <c r="D306" s="2"/>
      <c r="E306" s="2"/>
      <c r="F306" s="2"/>
      <c r="G306" s="2"/>
    </row>
    <row r="307">
      <c r="A307" s="1" t="s">
        <v>242</v>
      </c>
      <c r="B307" s="1">
        <v>0.0</v>
      </c>
      <c r="C307" s="2"/>
      <c r="D307" s="2"/>
      <c r="E307" s="2"/>
      <c r="F307" s="2"/>
      <c r="G307" s="2"/>
    </row>
    <row r="308">
      <c r="A308" s="1" t="s">
        <v>243</v>
      </c>
      <c r="B308" s="1">
        <v>0.0</v>
      </c>
      <c r="C308" s="2"/>
      <c r="D308" s="2"/>
      <c r="E308" s="2"/>
      <c r="F308" s="2"/>
      <c r="G308" s="2"/>
    </row>
    <row r="309">
      <c r="A309" s="1" t="s">
        <v>244</v>
      </c>
      <c r="B309" s="1">
        <v>0.0</v>
      </c>
      <c r="C309" s="2"/>
      <c r="D309" s="2"/>
      <c r="E309" s="2"/>
      <c r="F309" s="2"/>
      <c r="G309" s="2"/>
    </row>
    <row r="310">
      <c r="A310" s="1" t="s">
        <v>245</v>
      </c>
      <c r="B310" s="1">
        <v>0.0</v>
      </c>
      <c r="C310" s="2"/>
      <c r="D310" s="2"/>
      <c r="E310" s="2"/>
      <c r="F310" s="2"/>
      <c r="G310" s="2"/>
    </row>
    <row r="311">
      <c r="A311" s="1" t="s">
        <v>246</v>
      </c>
      <c r="B311" s="1">
        <v>0.0</v>
      </c>
      <c r="C311" s="2"/>
      <c r="D311" s="2"/>
      <c r="E311" s="2"/>
      <c r="F311" s="2"/>
      <c r="G311" s="2"/>
    </row>
    <row r="312">
      <c r="A312" s="1" t="s">
        <v>247</v>
      </c>
      <c r="B312" s="1">
        <v>0.0</v>
      </c>
      <c r="C312" s="2"/>
      <c r="D312" s="2"/>
      <c r="E312" s="2"/>
      <c r="F312" s="2"/>
      <c r="G312" s="2"/>
    </row>
    <row r="313">
      <c r="A313" s="1" t="s">
        <v>248</v>
      </c>
      <c r="B313" s="1">
        <v>0.0</v>
      </c>
      <c r="C313" s="2"/>
      <c r="D313" s="2"/>
      <c r="E313" s="2"/>
      <c r="F313" s="2"/>
      <c r="G313" s="2"/>
    </row>
    <row r="314">
      <c r="A314" s="1" t="s">
        <v>249</v>
      </c>
      <c r="B314" s="1">
        <v>0.0</v>
      </c>
      <c r="C314" s="2"/>
      <c r="D314" s="2"/>
      <c r="E314" s="2"/>
      <c r="F314" s="2"/>
      <c r="G314" s="2"/>
    </row>
    <row r="315">
      <c r="A315" s="1" t="s">
        <v>250</v>
      </c>
      <c r="B315" s="1">
        <v>0.0</v>
      </c>
      <c r="C315" s="2"/>
      <c r="D315" s="2"/>
      <c r="E315" s="2"/>
      <c r="F315" s="2"/>
      <c r="G315" s="2"/>
    </row>
    <row r="316">
      <c r="A316" s="1" t="s">
        <v>251</v>
      </c>
      <c r="B316" s="1">
        <v>0.0</v>
      </c>
      <c r="C316" s="2"/>
      <c r="D316" s="2"/>
      <c r="E316" s="2"/>
      <c r="F316" s="2"/>
      <c r="G316" s="2"/>
    </row>
    <row r="317">
      <c r="A317" s="1" t="s">
        <v>252</v>
      </c>
      <c r="B317" s="1">
        <v>0.0</v>
      </c>
      <c r="C317" s="2"/>
      <c r="D317" s="2"/>
      <c r="E317" s="2"/>
      <c r="F317" s="2"/>
      <c r="G317" s="2"/>
    </row>
    <row r="318">
      <c r="A318" s="1" t="s">
        <v>253</v>
      </c>
      <c r="B318" s="1">
        <v>0.0</v>
      </c>
      <c r="C318" s="2"/>
      <c r="D318" s="2"/>
      <c r="E318" s="2"/>
      <c r="F318" s="2"/>
      <c r="G318" s="2"/>
    </row>
    <row r="319">
      <c r="A319" s="1" t="s">
        <v>254</v>
      </c>
      <c r="B319" s="1">
        <v>66.0</v>
      </c>
      <c r="C319" s="2"/>
      <c r="D319" s="2"/>
      <c r="E319" s="2"/>
      <c r="F319" s="2"/>
      <c r="G319" s="2"/>
    </row>
    <row r="320">
      <c r="A320" s="1" t="s">
        <v>255</v>
      </c>
      <c r="B320" s="1">
        <v>0.0</v>
      </c>
      <c r="C320" s="2"/>
      <c r="D320" s="2"/>
      <c r="E320" s="2"/>
      <c r="F320" s="2"/>
      <c r="G320" s="2"/>
    </row>
    <row r="321">
      <c r="A321" s="1" t="s">
        <v>256</v>
      </c>
      <c r="B321" s="1">
        <v>0.0</v>
      </c>
      <c r="C321" s="2"/>
      <c r="D321" s="2"/>
      <c r="E321" s="2"/>
      <c r="F321" s="2"/>
      <c r="G321" s="2"/>
    </row>
    <row r="322">
      <c r="A322" s="1" t="s">
        <v>257</v>
      </c>
      <c r="B322" s="1">
        <v>23.0</v>
      </c>
      <c r="C322" s="2"/>
      <c r="D322" s="2"/>
      <c r="E322" s="2"/>
      <c r="F322" s="2"/>
      <c r="G322" s="2"/>
    </row>
    <row r="323">
      <c r="A323" s="1" t="s">
        <v>258</v>
      </c>
      <c r="B323" s="1">
        <v>0.0</v>
      </c>
      <c r="C323" s="2"/>
      <c r="D323" s="2"/>
      <c r="E323" s="2"/>
      <c r="F323" s="2"/>
      <c r="G323" s="2"/>
    </row>
    <row r="324">
      <c r="A324" s="1" t="s">
        <v>259</v>
      </c>
      <c r="B324" s="1">
        <v>0.0</v>
      </c>
      <c r="C324" s="2"/>
      <c r="D324" s="2"/>
      <c r="E324" s="2"/>
      <c r="F324" s="2"/>
      <c r="G324" s="2"/>
    </row>
    <row r="325">
      <c r="A325" s="1" t="s">
        <v>260</v>
      </c>
      <c r="B325" s="1" t="s">
        <v>261</v>
      </c>
      <c r="C325" s="1">
        <v>0.0</v>
      </c>
      <c r="D325" s="2"/>
      <c r="E325" s="2"/>
      <c r="F325" s="2"/>
      <c r="G325" s="2"/>
    </row>
    <row r="326">
      <c r="A326" s="1" t="s">
        <v>262</v>
      </c>
      <c r="B326" s="1">
        <v>39.0</v>
      </c>
      <c r="C326" s="2"/>
      <c r="D326" s="2"/>
      <c r="E326" s="2"/>
      <c r="F326" s="2"/>
      <c r="G326" s="2"/>
    </row>
    <row r="327">
      <c r="A327" s="1" t="s">
        <v>263</v>
      </c>
      <c r="B327" s="1">
        <v>0.0</v>
      </c>
      <c r="C327" s="2"/>
      <c r="D327" s="2"/>
      <c r="E327" s="2"/>
      <c r="F327" s="2"/>
      <c r="G327" s="2"/>
    </row>
    <row r="328">
      <c r="A328" s="1" t="s">
        <v>264</v>
      </c>
      <c r="B328" s="1">
        <v>0.0</v>
      </c>
      <c r="C328" s="2"/>
      <c r="D328" s="2"/>
      <c r="E328" s="2"/>
      <c r="F328" s="2"/>
      <c r="G328" s="2"/>
    </row>
    <row r="329">
      <c r="A329" s="1" t="s">
        <v>265</v>
      </c>
      <c r="B329" s="1">
        <v>0.0</v>
      </c>
      <c r="C329" s="2"/>
      <c r="D329" s="2"/>
      <c r="E329" s="2"/>
      <c r="F329" s="2"/>
      <c r="G329" s="2"/>
    </row>
    <row r="330">
      <c r="A330" s="1" t="s">
        <v>266</v>
      </c>
      <c r="B330" s="1">
        <v>0.0</v>
      </c>
      <c r="C330" s="2"/>
      <c r="D330" s="2"/>
      <c r="E330" s="2"/>
      <c r="F330" s="2"/>
      <c r="G330" s="2"/>
    </row>
    <row r="331">
      <c r="A331" s="1" t="s">
        <v>267</v>
      </c>
      <c r="B331" s="1">
        <v>30.0</v>
      </c>
      <c r="C331" s="2"/>
      <c r="D331" s="2"/>
      <c r="E331" s="2"/>
      <c r="F331" s="2"/>
      <c r="G331" s="2"/>
    </row>
    <row r="332">
      <c r="A332" s="1" t="s">
        <v>268</v>
      </c>
      <c r="B332" s="1">
        <v>3.0</v>
      </c>
      <c r="C332" s="2"/>
      <c r="D332" s="2"/>
      <c r="E332" s="2"/>
      <c r="F332" s="2"/>
      <c r="G332" s="2"/>
    </row>
    <row r="333">
      <c r="A333" s="1" t="s">
        <v>269</v>
      </c>
      <c r="B333" s="1">
        <v>0.0</v>
      </c>
      <c r="C333" s="2"/>
      <c r="D333" s="2"/>
      <c r="E333" s="2"/>
      <c r="F333" s="2"/>
      <c r="G333" s="2"/>
    </row>
    <row r="334">
      <c r="A334" s="1" t="s">
        <v>270</v>
      </c>
      <c r="B334" s="1">
        <v>0.0</v>
      </c>
      <c r="C334" s="2"/>
      <c r="D334" s="2"/>
      <c r="E334" s="2"/>
      <c r="F334" s="2"/>
      <c r="G334" s="2"/>
    </row>
    <row r="335">
      <c r="A335" s="1" t="s">
        <v>271</v>
      </c>
      <c r="B335" s="1">
        <v>66.0</v>
      </c>
      <c r="C335" s="2"/>
      <c r="D335" s="2"/>
      <c r="E335" s="2"/>
      <c r="F335" s="2"/>
      <c r="G335" s="2"/>
    </row>
    <row r="336">
      <c r="A336" s="1" t="s">
        <v>272</v>
      </c>
      <c r="B336" s="1">
        <v>0.0</v>
      </c>
      <c r="C336" s="2"/>
      <c r="D336" s="2"/>
      <c r="E336" s="2"/>
      <c r="F336" s="2"/>
      <c r="G336" s="2"/>
    </row>
    <row r="337">
      <c r="A337" s="1" t="s">
        <v>273</v>
      </c>
      <c r="B337" s="1">
        <v>0.0</v>
      </c>
      <c r="C337" s="2"/>
      <c r="D337" s="2"/>
      <c r="E337" s="2"/>
      <c r="F337" s="2"/>
      <c r="G337" s="2"/>
    </row>
    <row r="338">
      <c r="A338" s="1" t="s">
        <v>274</v>
      </c>
      <c r="B338" s="1">
        <v>0.0</v>
      </c>
      <c r="C338" s="2"/>
      <c r="D338" s="2"/>
      <c r="E338" s="2"/>
      <c r="F338" s="2"/>
      <c r="G338" s="2"/>
    </row>
    <row r="339">
      <c r="A339" s="1" t="s">
        <v>1213</v>
      </c>
      <c r="B339" s="1">
        <v>0.0</v>
      </c>
      <c r="C339" s="2" t="str">
        <f>IFERROR(__xludf.DUMMYFUNCTION("SPLIT(A338,"";*)"")"),"ASSOCIATION POUR LES FOUILLES ARCHEOLOGIQUES NATIONALES - AFAN")</f>
        <v>ASSOCIATION POUR LES FOUILLES ARCHEOLOGIQUES NATIONALES - AFAN</v>
      </c>
      <c r="D339" s="4">
        <f>IFERROR(__xludf.DUMMYFUNCTION("""COMPUTED_VALUE"""),15000.0)</f>
        <v>15000</v>
      </c>
      <c r="E339" s="2"/>
      <c r="F339" s="2"/>
      <c r="G339" s="2"/>
    </row>
    <row r="340">
      <c r="A340" s="1" t="s">
        <v>276</v>
      </c>
      <c r="B340" s="1">
        <v>58.0</v>
      </c>
      <c r="C340" s="2"/>
      <c r="D340" s="2"/>
      <c r="E340" s="2"/>
      <c r="F340" s="2"/>
      <c r="G340" s="2"/>
    </row>
    <row r="341">
      <c r="A341" s="1" t="s">
        <v>277</v>
      </c>
      <c r="B341" s="1">
        <v>99.0</v>
      </c>
      <c r="C341" s="2"/>
      <c r="D341" s="2"/>
      <c r="E341" s="2"/>
      <c r="F341" s="2"/>
      <c r="G341" s="2"/>
    </row>
    <row r="342">
      <c r="A342" s="1" t="s">
        <v>278</v>
      </c>
      <c r="B342" s="1">
        <v>0.0</v>
      </c>
      <c r="C342" s="2"/>
      <c r="D342" s="2"/>
      <c r="E342" s="2"/>
      <c r="F342" s="2"/>
      <c r="G342" s="2"/>
    </row>
    <row r="343">
      <c r="A343" s="1" t="s">
        <v>279</v>
      </c>
      <c r="B343" s="1">
        <v>0.0</v>
      </c>
      <c r="C343" s="2"/>
      <c r="D343" s="2"/>
      <c r="E343" s="2"/>
      <c r="F343" s="2"/>
      <c r="G343" s="2"/>
    </row>
    <row r="344">
      <c r="A344" s="1" t="s">
        <v>280</v>
      </c>
      <c r="B344" s="1">
        <v>0.0</v>
      </c>
      <c r="C344" s="2"/>
      <c r="D344" s="2"/>
      <c r="E344" s="2"/>
      <c r="F344" s="2"/>
      <c r="G344" s="2"/>
    </row>
    <row r="345">
      <c r="A345" s="1" t="s">
        <v>281</v>
      </c>
      <c r="B345" s="1">
        <v>0.0</v>
      </c>
      <c r="C345" s="2"/>
      <c r="D345" s="2"/>
      <c r="E345" s="2"/>
      <c r="F345" s="2"/>
      <c r="G345" s="2"/>
    </row>
    <row r="346">
      <c r="A346" s="1" t="s">
        <v>282</v>
      </c>
      <c r="B346" s="1">
        <v>5.0</v>
      </c>
      <c r="C346" s="2"/>
      <c r="D346" s="2"/>
      <c r="E346" s="2"/>
      <c r="F346" s="2"/>
      <c r="G346" s="2"/>
    </row>
    <row r="347">
      <c r="A347" s="1" t="s">
        <v>283</v>
      </c>
      <c r="B347" s="1">
        <v>48.0</v>
      </c>
      <c r="C347" s="2"/>
      <c r="D347" s="2"/>
      <c r="E347" s="2"/>
      <c r="F347" s="2"/>
      <c r="G347" s="2"/>
    </row>
    <row r="348">
      <c r="A348" s="1" t="s">
        <v>284</v>
      </c>
      <c r="B348" s="1">
        <v>0.0</v>
      </c>
      <c r="C348" s="2"/>
      <c r="D348" s="2"/>
      <c r="E348" s="2"/>
      <c r="F348" s="2"/>
      <c r="G348" s="2"/>
    </row>
    <row r="349">
      <c r="A349" s="1" t="s">
        <v>285</v>
      </c>
      <c r="B349" s="1">
        <v>0.0</v>
      </c>
      <c r="C349" s="2"/>
      <c r="D349" s="2"/>
      <c r="E349" s="2"/>
      <c r="F349" s="2"/>
      <c r="G349" s="2"/>
    </row>
    <row r="350">
      <c r="A350" s="1" t="s">
        <v>286</v>
      </c>
      <c r="B350" s="1">
        <v>0.0</v>
      </c>
      <c r="C350" s="2"/>
      <c r="D350" s="2"/>
      <c r="E350" s="2"/>
      <c r="F350" s="2"/>
      <c r="G350" s="2"/>
    </row>
    <row r="351">
      <c r="A351" s="1" t="s">
        <v>287</v>
      </c>
      <c r="B351" s="1">
        <v>0.0</v>
      </c>
      <c r="C351" s="2"/>
      <c r="D351" s="2"/>
      <c r="E351" s="2"/>
      <c r="F351" s="2"/>
      <c r="G351" s="2"/>
    </row>
    <row r="352">
      <c r="A352" s="1" t="s">
        <v>288</v>
      </c>
      <c r="B352" s="1">
        <v>0.0</v>
      </c>
      <c r="C352" s="2"/>
      <c r="D352" s="2"/>
      <c r="E352" s="2"/>
      <c r="F352" s="2"/>
      <c r="G352" s="2"/>
    </row>
    <row r="353">
      <c r="A353" s="1" t="s">
        <v>289</v>
      </c>
      <c r="B353" s="1">
        <v>0.0</v>
      </c>
      <c r="C353" s="2"/>
      <c r="D353" s="2"/>
      <c r="E353" s="2"/>
      <c r="F353" s="2"/>
      <c r="G353" s="2"/>
    </row>
    <row r="354">
      <c r="A354" s="1" t="s">
        <v>218</v>
      </c>
      <c r="B354" s="1">
        <v>0.0</v>
      </c>
      <c r="C354" s="2"/>
      <c r="D354" s="2"/>
      <c r="E354" s="2"/>
      <c r="F354" s="2"/>
      <c r="G354" s="2"/>
    </row>
    <row r="355">
      <c r="A355" s="1" t="s">
        <v>219</v>
      </c>
      <c r="B355" s="1">
        <v>13.0</v>
      </c>
      <c r="C355" s="2"/>
      <c r="D355" s="2"/>
      <c r="E355" s="2"/>
      <c r="F355" s="2"/>
      <c r="G355" s="2"/>
    </row>
    <row r="356">
      <c r="A356" s="1" t="s">
        <v>220</v>
      </c>
      <c r="B356" s="1">
        <v>0.0</v>
      </c>
      <c r="C356" s="2"/>
      <c r="D356" s="2"/>
      <c r="E356" s="2"/>
      <c r="F356" s="2"/>
      <c r="G356" s="2"/>
    </row>
    <row r="357">
      <c r="A357" s="1" t="s">
        <v>221</v>
      </c>
      <c r="B357" s="1">
        <v>0.0</v>
      </c>
      <c r="C357" s="2"/>
      <c r="D357" s="2"/>
      <c r="E357" s="2"/>
      <c r="F357" s="2"/>
      <c r="G357" s="2"/>
    </row>
    <row r="358">
      <c r="A358" s="1" t="s">
        <v>222</v>
      </c>
      <c r="B358" s="1">
        <v>0.0</v>
      </c>
      <c r="C358" s="2"/>
      <c r="D358" s="2"/>
      <c r="E358" s="2"/>
      <c r="F358" s="2"/>
      <c r="G358" s="2"/>
    </row>
    <row r="359">
      <c r="A359" s="1" t="s">
        <v>223</v>
      </c>
      <c r="B359" s="1">
        <v>0.0</v>
      </c>
      <c r="C359" s="2"/>
      <c r="D359" s="2"/>
      <c r="E359" s="2"/>
      <c r="F359" s="2"/>
      <c r="G359" s="2"/>
    </row>
    <row r="360">
      <c r="A360" s="1" t="s">
        <v>224</v>
      </c>
      <c r="B360" s="1">
        <v>0.0</v>
      </c>
      <c r="C360" s="2"/>
      <c r="D360" s="2"/>
      <c r="E360" s="2"/>
      <c r="F360" s="2"/>
      <c r="G360" s="2"/>
    </row>
    <row r="361">
      <c r="A361" s="1" t="s">
        <v>225</v>
      </c>
      <c r="B361" s="1">
        <v>0.0</v>
      </c>
      <c r="C361" s="2"/>
      <c r="D361" s="2"/>
      <c r="E361" s="2"/>
      <c r="F361" s="2"/>
      <c r="G361" s="2"/>
    </row>
    <row r="362">
      <c r="A362" s="1" t="s">
        <v>226</v>
      </c>
      <c r="B362" s="2"/>
      <c r="C362" s="2"/>
      <c r="D362" s="2"/>
      <c r="E362" s="2"/>
      <c r="F362" s="2"/>
      <c r="G362" s="2"/>
    </row>
    <row r="363">
      <c r="A363" s="1" t="s">
        <v>227</v>
      </c>
      <c r="B363" s="1">
        <v>0.0</v>
      </c>
      <c r="C363" s="2"/>
      <c r="D363" s="2"/>
      <c r="E363" s="2"/>
      <c r="F363" s="2"/>
      <c r="G363" s="2"/>
    </row>
    <row r="364">
      <c r="A364" s="1" t="s">
        <v>228</v>
      </c>
      <c r="B364" s="2"/>
      <c r="C364" s="2"/>
      <c r="D364" s="2"/>
      <c r="E364" s="2"/>
      <c r="F364" s="2"/>
      <c r="G364" s="2"/>
    </row>
    <row r="365">
      <c r="A365" s="1" t="s">
        <v>229</v>
      </c>
      <c r="B365" s="1">
        <v>0.0</v>
      </c>
      <c r="C365" s="2"/>
      <c r="D365" s="2"/>
      <c r="E365" s="2"/>
      <c r="F365" s="2"/>
      <c r="G365" s="2"/>
    </row>
    <row r="366">
      <c r="A366" s="1" t="s">
        <v>230</v>
      </c>
      <c r="B366" s="1">
        <v>50.0</v>
      </c>
      <c r="C366" s="2"/>
      <c r="D366" s="2"/>
      <c r="E366" s="2"/>
      <c r="F366" s="2"/>
      <c r="G366" s="2"/>
    </row>
    <row r="367">
      <c r="A367" s="1" t="s">
        <v>231</v>
      </c>
      <c r="B367" s="1">
        <v>0.0</v>
      </c>
      <c r="C367" s="2"/>
      <c r="D367" s="2"/>
      <c r="E367" s="2"/>
      <c r="F367" s="2"/>
      <c r="G367" s="2"/>
    </row>
    <row r="368">
      <c r="A368" s="1" t="s">
        <v>232</v>
      </c>
      <c r="B368" s="1">
        <v>0.0</v>
      </c>
      <c r="C368" s="2"/>
      <c r="D368" s="2"/>
      <c r="E368" s="2"/>
      <c r="F368" s="2"/>
      <c r="G368" s="2"/>
    </row>
    <row r="369">
      <c r="A369" s="1" t="s">
        <v>233</v>
      </c>
      <c r="B369" s="1">
        <v>0.0</v>
      </c>
      <c r="C369" s="2"/>
      <c r="D369" s="2"/>
      <c r="E369" s="2"/>
      <c r="F369" s="2"/>
      <c r="G369" s="2"/>
    </row>
    <row r="370">
      <c r="A370" s="1" t="s">
        <v>234</v>
      </c>
      <c r="B370" s="1" t="s">
        <v>235</v>
      </c>
      <c r="C370" s="1">
        <v>0.0</v>
      </c>
      <c r="D370" s="2"/>
      <c r="E370" s="2"/>
      <c r="F370" s="2"/>
      <c r="G370" s="2"/>
    </row>
    <row r="371">
      <c r="A371" s="1" t="s">
        <v>236</v>
      </c>
      <c r="B371" s="1">
        <v>59.0</v>
      </c>
      <c r="C371" s="2"/>
      <c r="D371" s="2"/>
      <c r="E371" s="2"/>
      <c r="F371" s="2"/>
      <c r="G371" s="2"/>
    </row>
    <row r="372">
      <c r="A372" s="1" t="s">
        <v>237</v>
      </c>
      <c r="B372" s="1">
        <v>0.0</v>
      </c>
      <c r="C372" s="2"/>
      <c r="D372" s="2"/>
      <c r="E372" s="2"/>
      <c r="F372" s="2"/>
      <c r="G372" s="2"/>
    </row>
    <row r="373">
      <c r="A373" s="1" t="s">
        <v>238</v>
      </c>
      <c r="B373" s="1">
        <v>80.0</v>
      </c>
      <c r="C373" s="2"/>
      <c r="D373" s="2"/>
      <c r="E373" s="2"/>
      <c r="F373" s="2"/>
      <c r="G373" s="2"/>
    </row>
    <row r="374">
      <c r="A374" s="1" t="s">
        <v>239</v>
      </c>
      <c r="B374" s="1">
        <v>50.0</v>
      </c>
      <c r="C374" s="2"/>
      <c r="D374" s="2"/>
      <c r="E374" s="2"/>
      <c r="F374" s="2"/>
      <c r="G374" s="2"/>
    </row>
    <row r="375">
      <c r="A375" s="1" t="s">
        <v>240</v>
      </c>
      <c r="B375" s="1">
        <v>0.0</v>
      </c>
      <c r="C375" s="2"/>
      <c r="D375" s="2"/>
      <c r="E375" s="2"/>
      <c r="F375" s="2"/>
      <c r="G375" s="2"/>
    </row>
    <row r="376">
      <c r="A376" s="1" t="s">
        <v>241</v>
      </c>
      <c r="B376" s="1">
        <v>0.0</v>
      </c>
      <c r="C376" s="2"/>
      <c r="D376" s="2"/>
      <c r="E376" s="2"/>
      <c r="F376" s="2"/>
      <c r="G376" s="2"/>
    </row>
    <row r="377">
      <c r="A377" s="1" t="s">
        <v>242</v>
      </c>
      <c r="B377" s="1">
        <v>0.0</v>
      </c>
      <c r="C377" s="2"/>
      <c r="D377" s="2"/>
      <c r="E377" s="2"/>
      <c r="F377" s="2"/>
      <c r="G377" s="2"/>
    </row>
    <row r="378">
      <c r="A378" s="1" t="s">
        <v>243</v>
      </c>
      <c r="B378" s="1">
        <v>0.0</v>
      </c>
      <c r="C378" s="2"/>
      <c r="D378" s="2"/>
      <c r="E378" s="2"/>
      <c r="F378" s="2"/>
      <c r="G378" s="2"/>
    </row>
    <row r="379">
      <c r="A379" s="1" t="s">
        <v>244</v>
      </c>
      <c r="B379" s="1">
        <v>0.0</v>
      </c>
      <c r="C379" s="2"/>
      <c r="D379" s="2"/>
      <c r="E379" s="2"/>
      <c r="F379" s="2"/>
      <c r="G379" s="2"/>
    </row>
    <row r="380">
      <c r="A380" s="1" t="s">
        <v>245</v>
      </c>
      <c r="B380" s="1">
        <v>0.0</v>
      </c>
      <c r="C380" s="2"/>
      <c r="D380" s="2"/>
      <c r="E380" s="2"/>
      <c r="F380" s="2"/>
      <c r="G380" s="2"/>
    </row>
    <row r="381">
      <c r="A381" s="1" t="s">
        <v>246</v>
      </c>
      <c r="B381" s="1">
        <v>0.0</v>
      </c>
      <c r="C381" s="2"/>
      <c r="D381" s="2"/>
      <c r="E381" s="2"/>
      <c r="F381" s="2"/>
      <c r="G381" s="2"/>
    </row>
    <row r="382">
      <c r="A382" s="1" t="s">
        <v>247</v>
      </c>
      <c r="B382" s="1">
        <v>0.0</v>
      </c>
      <c r="C382" s="2"/>
      <c r="D382" s="2"/>
      <c r="E382" s="2"/>
      <c r="F382" s="2"/>
      <c r="G382" s="2"/>
    </row>
    <row r="383">
      <c r="A383" s="1" t="s">
        <v>248</v>
      </c>
      <c r="B383" s="1">
        <v>0.0</v>
      </c>
      <c r="C383" s="2"/>
      <c r="D383" s="2"/>
      <c r="E383" s="2"/>
      <c r="F383" s="2"/>
      <c r="G383" s="2"/>
    </row>
    <row r="384">
      <c r="A384" s="1" t="s">
        <v>249</v>
      </c>
      <c r="B384" s="1">
        <v>0.0</v>
      </c>
      <c r="C384" s="2"/>
      <c r="D384" s="2"/>
      <c r="E384" s="2"/>
      <c r="F384" s="2"/>
      <c r="G384" s="2"/>
    </row>
    <row r="385">
      <c r="A385" s="1" t="s">
        <v>250</v>
      </c>
      <c r="B385" s="1">
        <v>0.0</v>
      </c>
      <c r="C385" s="2"/>
      <c r="D385" s="2"/>
      <c r="E385" s="2"/>
      <c r="F385" s="2"/>
      <c r="G385" s="2"/>
    </row>
    <row r="386">
      <c r="A386" s="1" t="s">
        <v>251</v>
      </c>
      <c r="B386" s="1">
        <v>0.0</v>
      </c>
      <c r="C386" s="2"/>
      <c r="D386" s="2"/>
      <c r="E386" s="2"/>
      <c r="F386" s="2"/>
      <c r="G386" s="2"/>
    </row>
    <row r="387">
      <c r="A387" s="1" t="s">
        <v>252</v>
      </c>
      <c r="B387" s="1">
        <v>0.0</v>
      </c>
      <c r="C387" s="2"/>
      <c r="D387" s="2"/>
      <c r="E387" s="2"/>
      <c r="F387" s="2"/>
      <c r="G387" s="2"/>
    </row>
    <row r="388">
      <c r="A388" s="1" t="s">
        <v>253</v>
      </c>
      <c r="B388" s="1">
        <v>0.0</v>
      </c>
      <c r="C388" s="2"/>
      <c r="D388" s="2"/>
      <c r="E388" s="2"/>
      <c r="F388" s="2"/>
      <c r="G388" s="2"/>
    </row>
    <row r="389">
      <c r="A389" s="1" t="s">
        <v>254</v>
      </c>
      <c r="B389" s="1">
        <v>66.0</v>
      </c>
      <c r="C389" s="2"/>
      <c r="D389" s="2"/>
      <c r="E389" s="2"/>
      <c r="F389" s="2"/>
      <c r="G389" s="2"/>
    </row>
    <row r="390">
      <c r="A390" s="1" t="s">
        <v>255</v>
      </c>
      <c r="B390" s="1">
        <v>0.0</v>
      </c>
      <c r="C390" s="2"/>
      <c r="D390" s="2"/>
      <c r="E390" s="2"/>
      <c r="F390" s="2"/>
      <c r="G390" s="2"/>
    </row>
    <row r="391">
      <c r="A391" s="1" t="s">
        <v>256</v>
      </c>
      <c r="B391" s="1">
        <v>0.0</v>
      </c>
      <c r="C391" s="2"/>
      <c r="D391" s="2"/>
      <c r="E391" s="2"/>
      <c r="F391" s="2"/>
      <c r="G391" s="2"/>
    </row>
    <row r="392">
      <c r="A392" s="1" t="s">
        <v>257</v>
      </c>
      <c r="B392" s="1">
        <v>23.0</v>
      </c>
      <c r="C392" s="2"/>
      <c r="D392" s="2"/>
      <c r="E392" s="2"/>
      <c r="F392" s="2"/>
      <c r="G392" s="2"/>
    </row>
    <row r="393">
      <c r="A393" s="1" t="s">
        <v>258</v>
      </c>
      <c r="B393" s="1">
        <v>0.0</v>
      </c>
      <c r="C393" s="2"/>
      <c r="D393" s="2"/>
      <c r="E393" s="2"/>
      <c r="F393" s="2"/>
      <c r="G393" s="2"/>
    </row>
    <row r="394">
      <c r="A394" s="1" t="s">
        <v>259</v>
      </c>
      <c r="B394" s="1">
        <v>0.0</v>
      </c>
      <c r="C394" s="2"/>
      <c r="D394" s="2"/>
      <c r="E394" s="2"/>
      <c r="F394" s="2"/>
      <c r="G394" s="2"/>
    </row>
    <row r="395">
      <c r="A395" s="1" t="s">
        <v>260</v>
      </c>
      <c r="B395" s="1" t="s">
        <v>261</v>
      </c>
      <c r="C395" s="1">
        <v>0.0</v>
      </c>
      <c r="D395" s="2"/>
      <c r="E395" s="2"/>
      <c r="F395" s="2"/>
      <c r="G395" s="2"/>
    </row>
    <row r="396">
      <c r="A396" s="1" t="s">
        <v>262</v>
      </c>
      <c r="B396" s="1">
        <v>39.0</v>
      </c>
      <c r="C396" s="2"/>
      <c r="D396" s="2"/>
      <c r="E396" s="2"/>
      <c r="F396" s="2"/>
      <c r="G396" s="2"/>
    </row>
    <row r="397">
      <c r="A397" s="1" t="s">
        <v>263</v>
      </c>
      <c r="B397" s="1">
        <v>0.0</v>
      </c>
      <c r="C397" s="2"/>
      <c r="D397" s="2"/>
      <c r="E397" s="2"/>
      <c r="F397" s="2"/>
      <c r="G397" s="2"/>
    </row>
    <row r="398">
      <c r="A398" s="1" t="s">
        <v>264</v>
      </c>
      <c r="B398" s="1">
        <v>0.0</v>
      </c>
      <c r="C398" s="2"/>
      <c r="D398" s="2"/>
      <c r="E398" s="2"/>
      <c r="F398" s="2"/>
      <c r="G398" s="2"/>
    </row>
    <row r="399">
      <c r="A399" s="1" t="s">
        <v>265</v>
      </c>
      <c r="B399" s="1">
        <v>0.0</v>
      </c>
      <c r="C399" s="2"/>
      <c r="D399" s="2"/>
      <c r="E399" s="2"/>
      <c r="F399" s="2"/>
      <c r="G399" s="2"/>
    </row>
    <row r="400">
      <c r="A400" s="1" t="s">
        <v>266</v>
      </c>
      <c r="B400" s="1">
        <v>0.0</v>
      </c>
      <c r="C400" s="2"/>
      <c r="D400" s="2"/>
      <c r="E400" s="2"/>
      <c r="F400" s="2"/>
      <c r="G400" s="2"/>
    </row>
    <row r="401">
      <c r="A401" s="1" t="s">
        <v>267</v>
      </c>
      <c r="B401" s="1">
        <v>30.0</v>
      </c>
      <c r="C401" s="2"/>
      <c r="D401" s="2"/>
      <c r="E401" s="2"/>
      <c r="F401" s="2"/>
      <c r="G401" s="2"/>
    </row>
    <row r="402">
      <c r="A402" s="1" t="s">
        <v>268</v>
      </c>
      <c r="B402" s="1">
        <v>3.0</v>
      </c>
      <c r="C402" s="2"/>
      <c r="D402" s="2"/>
      <c r="E402" s="2"/>
      <c r="F402" s="2"/>
      <c r="G402" s="2"/>
    </row>
    <row r="403">
      <c r="A403" s="1" t="s">
        <v>269</v>
      </c>
      <c r="B403" s="1">
        <v>0.0</v>
      </c>
      <c r="C403" s="2"/>
      <c r="D403" s="2"/>
      <c r="E403" s="2"/>
      <c r="F403" s="2"/>
      <c r="G403" s="2"/>
    </row>
    <row r="404">
      <c r="A404" s="1" t="s">
        <v>270</v>
      </c>
      <c r="B404" s="1">
        <v>0.0</v>
      </c>
      <c r="C404" s="2"/>
      <c r="D404" s="2"/>
      <c r="E404" s="2"/>
      <c r="F404" s="2"/>
      <c r="G404" s="2"/>
    </row>
    <row r="405">
      <c r="A405" s="1" t="s">
        <v>271</v>
      </c>
      <c r="B405" s="1">
        <v>66.0</v>
      </c>
      <c r="C405" s="2"/>
      <c r="D405" s="2"/>
      <c r="E405" s="2"/>
      <c r="F405" s="2"/>
      <c r="G405" s="2"/>
    </row>
    <row r="406">
      <c r="A406" s="1" t="s">
        <v>272</v>
      </c>
      <c r="B406" s="1">
        <v>0.0</v>
      </c>
      <c r="C406" s="2"/>
      <c r="D406" s="2"/>
      <c r="E406" s="2"/>
      <c r="F406" s="2"/>
      <c r="G406" s="2"/>
    </row>
    <row r="407">
      <c r="A407" s="1" t="s">
        <v>273</v>
      </c>
      <c r="B407" s="1">
        <v>0.0</v>
      </c>
      <c r="C407" s="2"/>
      <c r="D407" s="2"/>
      <c r="E407" s="2"/>
      <c r="F407" s="2"/>
      <c r="G407" s="2"/>
    </row>
    <row r="408">
      <c r="A408" s="1" t="s">
        <v>274</v>
      </c>
      <c r="B408" s="1">
        <v>0.0</v>
      </c>
      <c r="C408" s="2"/>
      <c r="D408" s="2"/>
      <c r="E408" s="2"/>
      <c r="F408" s="2"/>
      <c r="G408" s="2"/>
    </row>
    <row r="409">
      <c r="A409" s="1" t="s">
        <v>275</v>
      </c>
      <c r="B409" s="1">
        <v>0.0</v>
      </c>
      <c r="C409" s="2"/>
      <c r="D409" s="2"/>
      <c r="E409" s="2"/>
      <c r="F409" s="2"/>
      <c r="G409" s="2"/>
    </row>
    <row r="410">
      <c r="A410" s="1" t="s">
        <v>276</v>
      </c>
      <c r="B410" s="1">
        <v>58.0</v>
      </c>
      <c r="C410" s="2"/>
      <c r="D410" s="2"/>
      <c r="E410" s="2"/>
      <c r="F410" s="2"/>
      <c r="G410" s="2"/>
    </row>
    <row r="411">
      <c r="A411" s="1" t="s">
        <v>277</v>
      </c>
      <c r="B411" s="1">
        <v>99.0</v>
      </c>
      <c r="C411" s="2"/>
      <c r="D411" s="2"/>
      <c r="E411" s="2"/>
      <c r="F411" s="2"/>
      <c r="G411" s="2"/>
    </row>
    <row r="412">
      <c r="A412" s="1" t="s">
        <v>278</v>
      </c>
      <c r="B412" s="1">
        <v>0.0</v>
      </c>
      <c r="C412" s="2"/>
      <c r="D412" s="2"/>
      <c r="E412" s="2"/>
      <c r="F412" s="2"/>
      <c r="G412" s="2"/>
    </row>
    <row r="413">
      <c r="A413" s="1" t="s">
        <v>279</v>
      </c>
      <c r="B413" s="1">
        <v>0.0</v>
      </c>
      <c r="C413" s="2"/>
      <c r="D413" s="2"/>
      <c r="E413" s="2"/>
      <c r="F413" s="2"/>
      <c r="G413" s="2"/>
    </row>
    <row r="414">
      <c r="A414" s="1" t="s">
        <v>280</v>
      </c>
      <c r="B414" s="1">
        <v>0.0</v>
      </c>
      <c r="C414" s="2"/>
      <c r="D414" s="2"/>
      <c r="E414" s="2"/>
      <c r="F414" s="2"/>
      <c r="G414" s="2"/>
    </row>
    <row r="415">
      <c r="A415" s="1" t="s">
        <v>281</v>
      </c>
      <c r="B415" s="1">
        <v>0.0</v>
      </c>
      <c r="C415" s="2"/>
      <c r="D415" s="2"/>
      <c r="E415" s="2"/>
      <c r="F415" s="2"/>
      <c r="G415" s="2"/>
    </row>
    <row r="416">
      <c r="A416" s="1" t="s">
        <v>282</v>
      </c>
      <c r="B416" s="1">
        <v>5.0</v>
      </c>
      <c r="C416" s="2"/>
      <c r="D416" s="2"/>
      <c r="E416" s="2"/>
      <c r="F416" s="2"/>
      <c r="G416" s="2"/>
    </row>
    <row r="417">
      <c r="A417" s="1" t="s">
        <v>283</v>
      </c>
      <c r="B417" s="1">
        <v>48.0</v>
      </c>
      <c r="C417" s="2"/>
      <c r="D417" s="2"/>
      <c r="E417" s="2"/>
      <c r="F417" s="2"/>
      <c r="G417" s="2"/>
    </row>
    <row r="418">
      <c r="A418" s="1" t="s">
        <v>284</v>
      </c>
      <c r="B418" s="1">
        <v>0.0</v>
      </c>
      <c r="C418" s="2"/>
      <c r="D418" s="2"/>
      <c r="E418" s="2"/>
      <c r="F418" s="2"/>
      <c r="G418" s="2"/>
    </row>
    <row r="419">
      <c r="A419" s="1" t="s">
        <v>285</v>
      </c>
      <c r="B419" s="1">
        <v>0.0</v>
      </c>
      <c r="C419" s="2"/>
      <c r="D419" s="2"/>
      <c r="E419" s="2"/>
      <c r="F419" s="2"/>
      <c r="G419" s="2"/>
    </row>
    <row r="420">
      <c r="A420" s="1" t="s">
        <v>286</v>
      </c>
      <c r="B420" s="1">
        <v>0.0</v>
      </c>
      <c r="C420" s="2"/>
      <c r="D420" s="2"/>
      <c r="E420" s="2"/>
      <c r="F420" s="2"/>
      <c r="G420" s="2"/>
    </row>
    <row r="421">
      <c r="A421" s="1" t="s">
        <v>287</v>
      </c>
      <c r="B421" s="1">
        <v>0.0</v>
      </c>
      <c r="C421" s="2"/>
      <c r="D421" s="2"/>
      <c r="E421" s="2"/>
      <c r="F421" s="2"/>
      <c r="G421" s="2"/>
    </row>
    <row r="422">
      <c r="A422" s="1" t="s">
        <v>288</v>
      </c>
      <c r="B422" s="1">
        <v>0.0</v>
      </c>
      <c r="C422" s="2"/>
      <c r="D422" s="2"/>
      <c r="E422" s="2"/>
      <c r="F422" s="2"/>
      <c r="G422" s="2"/>
    </row>
    <row r="423">
      <c r="A423" s="1" t="s">
        <v>289</v>
      </c>
      <c r="B423" s="1">
        <v>0.0</v>
      </c>
      <c r="C423" s="2"/>
      <c r="D423" s="2"/>
      <c r="E423" s="2"/>
      <c r="F423" s="2"/>
      <c r="G423" s="2"/>
    </row>
    <row r="424">
      <c r="A424" s="1" t="s">
        <v>290</v>
      </c>
      <c r="B424" s="1">
        <v>75.0</v>
      </c>
      <c r="C424" s="2"/>
      <c r="D424" s="2"/>
      <c r="E424" s="2"/>
      <c r="F424" s="2"/>
      <c r="G424" s="2"/>
    </row>
    <row r="425">
      <c r="A425" s="1" t="s">
        <v>291</v>
      </c>
      <c r="B425" s="1">
        <v>0.0</v>
      </c>
      <c r="C425" s="2"/>
      <c r="D425" s="2"/>
      <c r="E425" s="2"/>
      <c r="F425" s="2"/>
      <c r="G425" s="2"/>
    </row>
    <row r="426">
      <c r="A426" s="1" t="s">
        <v>292</v>
      </c>
      <c r="B426" s="1">
        <v>0.0</v>
      </c>
      <c r="C426" s="2"/>
      <c r="D426" s="2"/>
      <c r="E426" s="2"/>
      <c r="F426" s="2"/>
      <c r="G426" s="2"/>
    </row>
    <row r="427">
      <c r="A427" s="1" t="s">
        <v>293</v>
      </c>
      <c r="B427" s="1">
        <v>30.0</v>
      </c>
      <c r="C427" s="2"/>
      <c r="D427" s="2"/>
      <c r="E427" s="2"/>
      <c r="F427" s="2"/>
      <c r="G427" s="2"/>
    </row>
    <row r="428">
      <c r="A428" s="1" t="s">
        <v>294</v>
      </c>
      <c r="B428" s="1">
        <v>39.0</v>
      </c>
      <c r="C428" s="2"/>
      <c r="D428" s="2"/>
      <c r="E428" s="2"/>
      <c r="F428" s="2"/>
      <c r="G428" s="2"/>
    </row>
    <row r="429">
      <c r="A429" s="1" t="s">
        <v>295</v>
      </c>
      <c r="B429" s="1">
        <v>50.0</v>
      </c>
      <c r="C429" s="2"/>
      <c r="D429" s="2"/>
      <c r="E429" s="2"/>
      <c r="F429" s="2"/>
      <c r="G429" s="2"/>
    </row>
    <row r="430">
      <c r="A430" s="1" t="s">
        <v>296</v>
      </c>
      <c r="B430" s="1">
        <v>0.0</v>
      </c>
      <c r="C430" s="2"/>
      <c r="D430" s="2"/>
      <c r="E430" s="2"/>
      <c r="F430" s="2"/>
      <c r="G430" s="2"/>
    </row>
    <row r="431">
      <c r="A431" s="1" t="s">
        <v>297</v>
      </c>
      <c r="B431" s="1">
        <v>0.0</v>
      </c>
      <c r="C431" s="2"/>
      <c r="D431" s="2"/>
      <c r="E431" s="2"/>
      <c r="F431" s="2"/>
      <c r="G431" s="2"/>
    </row>
    <row r="432">
      <c r="A432" s="1" t="s">
        <v>298</v>
      </c>
      <c r="B432" s="1">
        <v>62.0</v>
      </c>
      <c r="C432" s="2"/>
      <c r="D432" s="2"/>
      <c r="E432" s="2"/>
      <c r="F432" s="2"/>
      <c r="G432" s="2"/>
    </row>
    <row r="433">
      <c r="A433" s="1" t="s">
        <v>299</v>
      </c>
      <c r="B433" s="1">
        <v>0.0</v>
      </c>
      <c r="C433" s="2"/>
      <c r="D433" s="2"/>
      <c r="E433" s="2"/>
      <c r="F433" s="2"/>
      <c r="G433" s="2"/>
    </row>
    <row r="434">
      <c r="A434" s="1" t="s">
        <v>300</v>
      </c>
      <c r="B434" s="1">
        <v>50.0</v>
      </c>
      <c r="C434" s="2"/>
      <c r="D434" s="2"/>
      <c r="E434" s="2"/>
      <c r="F434" s="2"/>
      <c r="G434" s="2"/>
    </row>
    <row r="435">
      <c r="A435" s="1" t="s">
        <v>301</v>
      </c>
      <c r="B435" s="1">
        <v>0.0</v>
      </c>
      <c r="C435" s="2"/>
      <c r="D435" s="2"/>
      <c r="E435" s="2"/>
      <c r="F435" s="2"/>
      <c r="G435" s="2"/>
    </row>
    <row r="436">
      <c r="A436" s="1" t="s">
        <v>302</v>
      </c>
      <c r="B436" s="1">
        <v>0.0</v>
      </c>
      <c r="C436" s="2"/>
      <c r="D436" s="2"/>
      <c r="E436" s="2"/>
      <c r="F436" s="2"/>
      <c r="G436" s="2"/>
    </row>
    <row r="437">
      <c r="A437" s="1" t="s">
        <v>303</v>
      </c>
      <c r="B437" s="1">
        <v>96.0</v>
      </c>
      <c r="C437" s="2"/>
      <c r="D437" s="2"/>
      <c r="E437" s="2"/>
      <c r="F437" s="2"/>
      <c r="G437" s="2"/>
    </row>
    <row r="438">
      <c r="A438" s="1" t="s">
        <v>304</v>
      </c>
      <c r="B438" s="1">
        <v>57.0</v>
      </c>
      <c r="C438" s="2"/>
      <c r="D438" s="2"/>
      <c r="E438" s="2"/>
      <c r="F438" s="2"/>
      <c r="G438" s="2"/>
    </row>
    <row r="439">
      <c r="A439" s="1" t="s">
        <v>305</v>
      </c>
      <c r="B439" s="1">
        <v>0.0</v>
      </c>
      <c r="C439" s="2"/>
      <c r="D439" s="2"/>
      <c r="E439" s="2"/>
      <c r="F439" s="2"/>
      <c r="G439" s="2"/>
    </row>
    <row r="440">
      <c r="A440" s="1" t="s">
        <v>306</v>
      </c>
      <c r="B440" s="1">
        <v>34.0</v>
      </c>
      <c r="C440" s="2"/>
      <c r="D440" s="2"/>
      <c r="E440" s="2"/>
      <c r="F440" s="2"/>
      <c r="G440" s="2"/>
    </row>
    <row r="441">
      <c r="A441" s="1" t="s">
        <v>307</v>
      </c>
      <c r="B441" s="1">
        <v>68.0</v>
      </c>
      <c r="C441" s="2"/>
      <c r="D441" s="2"/>
      <c r="E441" s="2"/>
      <c r="F441" s="2"/>
      <c r="G441" s="2"/>
    </row>
    <row r="442">
      <c r="A442" s="1" t="s">
        <v>308</v>
      </c>
      <c r="B442" s="1">
        <v>78.0</v>
      </c>
      <c r="C442" s="2"/>
      <c r="D442" s="2"/>
      <c r="E442" s="2"/>
      <c r="F442" s="2"/>
      <c r="G442" s="2"/>
    </row>
    <row r="443">
      <c r="A443" s="1" t="s">
        <v>309</v>
      </c>
      <c r="B443" s="2"/>
      <c r="C443" s="2"/>
      <c r="D443" s="2"/>
      <c r="E443" s="2"/>
      <c r="F443" s="2"/>
      <c r="G443" s="2"/>
    </row>
    <row r="444">
      <c r="A444" s="1" t="s">
        <v>310</v>
      </c>
      <c r="B444" s="1">
        <v>12.0</v>
      </c>
      <c r="C444" s="2"/>
      <c r="D444" s="2"/>
      <c r="E444" s="2"/>
      <c r="F444" s="2"/>
      <c r="G444" s="2"/>
    </row>
    <row r="445">
      <c r="A445" s="1" t="s">
        <v>311</v>
      </c>
      <c r="B445" s="2"/>
      <c r="C445" s="2"/>
      <c r="D445" s="2"/>
      <c r="E445" s="2"/>
      <c r="F445" s="2"/>
      <c r="G445" s="2"/>
    </row>
    <row r="446">
      <c r="A446" s="1" t="s">
        <v>312</v>
      </c>
      <c r="B446" s="1">
        <v>0.0</v>
      </c>
      <c r="C446" s="2"/>
      <c r="D446" s="2"/>
      <c r="E446" s="2"/>
      <c r="F446" s="2"/>
      <c r="G446" s="2"/>
    </row>
    <row r="447">
      <c r="A447" s="1" t="s">
        <v>313</v>
      </c>
      <c r="B447" s="1">
        <v>82.0</v>
      </c>
      <c r="C447" s="2"/>
      <c r="D447" s="2"/>
      <c r="E447" s="2"/>
      <c r="F447" s="2"/>
      <c r="G447" s="2"/>
    </row>
    <row r="448">
      <c r="A448" s="1" t="s">
        <v>314</v>
      </c>
      <c r="B448" s="1">
        <v>0.0</v>
      </c>
      <c r="C448" s="2"/>
      <c r="D448" s="2"/>
      <c r="E448" s="2"/>
      <c r="F448" s="2"/>
      <c r="G448" s="2"/>
    </row>
    <row r="449">
      <c r="A449" s="1" t="s">
        <v>315</v>
      </c>
      <c r="B449" s="1">
        <v>0.0</v>
      </c>
      <c r="C449" s="2"/>
      <c r="D449" s="2"/>
      <c r="E449" s="2"/>
      <c r="F449" s="2"/>
      <c r="G449" s="2"/>
    </row>
    <row r="450">
      <c r="A450" s="1" t="s">
        <v>316</v>
      </c>
      <c r="B450" s="1">
        <v>0.0</v>
      </c>
      <c r="C450" s="2"/>
      <c r="D450" s="2"/>
      <c r="E450" s="2"/>
      <c r="F450" s="2"/>
      <c r="G450" s="2"/>
    </row>
    <row r="451">
      <c r="A451" s="1" t="s">
        <v>317</v>
      </c>
      <c r="B451" s="1">
        <v>0.0</v>
      </c>
      <c r="C451" s="2"/>
      <c r="D451" s="2"/>
      <c r="E451" s="2"/>
      <c r="F451" s="2"/>
      <c r="G451" s="2"/>
    </row>
    <row r="452">
      <c r="A452" s="1" t="s">
        <v>318</v>
      </c>
      <c r="B452" s="1">
        <v>8.0</v>
      </c>
      <c r="C452" s="2"/>
      <c r="D452" s="2"/>
      <c r="E452" s="2"/>
      <c r="F452" s="2"/>
      <c r="G452" s="2"/>
    </row>
    <row r="453">
      <c r="A453" s="1" t="s">
        <v>319</v>
      </c>
      <c r="B453" s="1">
        <v>0.0</v>
      </c>
      <c r="C453" s="2"/>
      <c r="D453" s="2"/>
      <c r="E453" s="2"/>
      <c r="F453" s="2"/>
      <c r="G453" s="2"/>
    </row>
    <row r="454">
      <c r="A454" s="1" t="s">
        <v>320</v>
      </c>
      <c r="B454" s="1">
        <v>0.0</v>
      </c>
      <c r="C454" s="2"/>
      <c r="D454" s="2"/>
      <c r="E454" s="2"/>
      <c r="F454" s="2"/>
      <c r="G454" s="2"/>
    </row>
    <row r="455">
      <c r="A455" s="1" t="s">
        <v>321</v>
      </c>
      <c r="B455" s="1">
        <v>0.0</v>
      </c>
      <c r="C455" s="2"/>
      <c r="D455" s="2"/>
      <c r="E455" s="2"/>
      <c r="F455" s="2"/>
      <c r="G455" s="2"/>
    </row>
    <row r="456">
      <c r="A456" s="1" t="s">
        <v>322</v>
      </c>
      <c r="B456" s="1">
        <v>14.0</v>
      </c>
      <c r="C456" s="2"/>
      <c r="D456" s="2"/>
      <c r="E456" s="2"/>
      <c r="F456" s="2"/>
      <c r="G456" s="2"/>
    </row>
    <row r="457">
      <c r="A457" s="1" t="s">
        <v>323</v>
      </c>
      <c r="B457" s="1">
        <v>0.0</v>
      </c>
      <c r="C457" s="2"/>
      <c r="D457" s="2"/>
      <c r="E457" s="2"/>
      <c r="F457" s="2"/>
      <c r="G457" s="2"/>
    </row>
    <row r="458">
      <c r="A458" s="1" t="s">
        <v>324</v>
      </c>
      <c r="B458" s="1">
        <v>86.0</v>
      </c>
      <c r="C458" s="2"/>
      <c r="D458" s="2"/>
      <c r="E458" s="2"/>
      <c r="F458" s="2"/>
      <c r="G458" s="2"/>
    </row>
    <row r="459">
      <c r="A459" s="1" t="s">
        <v>325</v>
      </c>
      <c r="B459" s="1">
        <v>66.0</v>
      </c>
      <c r="C459" s="2"/>
      <c r="D459" s="2"/>
      <c r="E459" s="2"/>
      <c r="F459" s="2"/>
      <c r="G459" s="2"/>
    </row>
    <row r="460">
      <c r="A460" s="1" t="s">
        <v>326</v>
      </c>
      <c r="B460" s="1">
        <v>0.0</v>
      </c>
      <c r="C460" s="2"/>
      <c r="D460" s="2"/>
      <c r="E460" s="2"/>
      <c r="F460" s="2"/>
      <c r="G460" s="2"/>
    </row>
    <row r="461">
      <c r="A461" s="1" t="s">
        <v>327</v>
      </c>
      <c r="B461" s="1">
        <v>94.0</v>
      </c>
      <c r="C461" s="2"/>
      <c r="D461" s="2"/>
      <c r="E461" s="2"/>
      <c r="F461" s="2"/>
      <c r="G461" s="2"/>
    </row>
    <row r="462">
      <c r="A462" s="1" t="s">
        <v>328</v>
      </c>
      <c r="B462" s="1">
        <v>36.0</v>
      </c>
      <c r="C462" s="2"/>
      <c r="D462" s="2"/>
      <c r="E462" s="2"/>
      <c r="F462" s="2"/>
      <c r="G462" s="2"/>
    </row>
    <row r="463">
      <c r="A463" s="1" t="s">
        <v>329</v>
      </c>
      <c r="B463" s="1">
        <v>0.0</v>
      </c>
      <c r="C463" s="2"/>
      <c r="D463" s="2"/>
      <c r="E463" s="2"/>
      <c r="F463" s="2"/>
      <c r="G463" s="2"/>
    </row>
    <row r="464">
      <c r="A464" s="1" t="s">
        <v>330</v>
      </c>
      <c r="B464" s="1">
        <v>0.0</v>
      </c>
      <c r="C464" s="2"/>
      <c r="D464" s="2"/>
      <c r="E464" s="2"/>
      <c r="F464" s="2"/>
      <c r="G464" s="2"/>
    </row>
    <row r="465">
      <c r="A465" s="1" t="s">
        <v>331</v>
      </c>
      <c r="B465" s="1">
        <v>0.0</v>
      </c>
      <c r="C465" s="2"/>
      <c r="D465" s="2"/>
      <c r="E465" s="2"/>
      <c r="F465" s="2"/>
      <c r="G465" s="2"/>
    </row>
    <row r="466">
      <c r="A466" s="1" t="s">
        <v>332</v>
      </c>
      <c r="B466" s="1">
        <v>0.0</v>
      </c>
      <c r="C466" s="2"/>
      <c r="D466" s="2"/>
      <c r="E466" s="2"/>
      <c r="F466" s="2"/>
      <c r="G466" s="2"/>
    </row>
    <row r="467">
      <c r="A467" s="1" t="s">
        <v>333</v>
      </c>
      <c r="B467" s="1">
        <v>0.0</v>
      </c>
      <c r="C467" s="2"/>
      <c r="D467" s="2"/>
      <c r="E467" s="2"/>
      <c r="F467" s="2"/>
      <c r="G467" s="2"/>
    </row>
    <row r="468">
      <c r="A468" s="1" t="s">
        <v>334</v>
      </c>
      <c r="B468" s="1">
        <v>0.0</v>
      </c>
      <c r="C468" s="2"/>
      <c r="D468" s="2"/>
      <c r="E468" s="2"/>
      <c r="F468" s="2"/>
      <c r="G468" s="2"/>
    </row>
    <row r="469">
      <c r="A469" s="1" t="s">
        <v>335</v>
      </c>
      <c r="B469" s="1">
        <v>14.0</v>
      </c>
      <c r="C469" s="2"/>
      <c r="D469" s="2"/>
      <c r="E469" s="2"/>
      <c r="F469" s="2"/>
      <c r="G469" s="2"/>
    </row>
    <row r="470">
      <c r="A470" s="1" t="s">
        <v>336</v>
      </c>
      <c r="B470" s="1">
        <v>14.0</v>
      </c>
      <c r="C470" s="2"/>
      <c r="D470" s="2"/>
      <c r="E470" s="2"/>
      <c r="F470" s="2"/>
      <c r="G470" s="2"/>
    </row>
    <row r="471">
      <c r="A471" s="1" t="s">
        <v>337</v>
      </c>
      <c r="B471" s="1">
        <v>0.0</v>
      </c>
      <c r="C471" s="2"/>
      <c r="D471" s="2"/>
      <c r="E471" s="2"/>
      <c r="F471" s="2"/>
      <c r="G471" s="2"/>
    </row>
    <row r="472">
      <c r="A472" s="1" t="s">
        <v>338</v>
      </c>
      <c r="B472" s="1">
        <v>55.0</v>
      </c>
      <c r="C472" s="2"/>
      <c r="D472" s="2"/>
      <c r="E472" s="2"/>
      <c r="F472" s="2"/>
      <c r="G472" s="2"/>
    </row>
    <row r="473">
      <c r="A473" s="1" t="s">
        <v>339</v>
      </c>
      <c r="B473" s="1">
        <v>0.0</v>
      </c>
      <c r="C473" s="2"/>
      <c r="D473" s="2"/>
      <c r="E473" s="2"/>
      <c r="F473" s="2"/>
      <c r="G473" s="2"/>
    </row>
    <row r="474">
      <c r="A474" s="1" t="s">
        <v>340</v>
      </c>
      <c r="B474" s="1">
        <v>14.0</v>
      </c>
      <c r="C474" s="2"/>
      <c r="D474" s="2"/>
      <c r="E474" s="2"/>
      <c r="F474" s="2"/>
      <c r="G474" s="2"/>
    </row>
    <row r="475">
      <c r="A475" s="1" t="s">
        <v>341</v>
      </c>
      <c r="B475" s="1">
        <v>0.0</v>
      </c>
      <c r="C475" s="2"/>
      <c r="D475" s="2"/>
      <c r="E475" s="2"/>
      <c r="F475" s="2"/>
      <c r="G475" s="2"/>
    </row>
    <row r="476">
      <c r="A476" s="1" t="s">
        <v>342</v>
      </c>
      <c r="B476" s="1">
        <v>0.0</v>
      </c>
      <c r="C476" s="2"/>
      <c r="D476" s="2"/>
      <c r="E476" s="2"/>
      <c r="F476" s="2"/>
      <c r="G476" s="2"/>
    </row>
    <row r="477">
      <c r="A477" s="1" t="s">
        <v>343</v>
      </c>
      <c r="B477" s="1">
        <v>99.0</v>
      </c>
      <c r="C477" s="2"/>
      <c r="D477" s="2"/>
      <c r="E477" s="2"/>
      <c r="F477" s="2"/>
      <c r="G477" s="2"/>
    </row>
    <row r="478">
      <c r="A478" s="1" t="s">
        <v>344</v>
      </c>
      <c r="B478" s="1">
        <v>74.0</v>
      </c>
      <c r="C478" s="2"/>
      <c r="D478" s="2"/>
      <c r="E478" s="2"/>
      <c r="F478" s="2"/>
      <c r="G478" s="2"/>
    </row>
    <row r="479">
      <c r="A479" s="1" t="s">
        <v>345</v>
      </c>
      <c r="B479" s="1">
        <v>18.0</v>
      </c>
      <c r="C479" s="2"/>
      <c r="D479" s="2"/>
      <c r="E479" s="2"/>
      <c r="F479" s="2"/>
      <c r="G479" s="2"/>
    </row>
    <row r="480">
      <c r="A480" s="1" t="s">
        <v>346</v>
      </c>
      <c r="B480" s="1">
        <v>0.0</v>
      </c>
      <c r="C480" s="2"/>
      <c r="D480" s="2"/>
      <c r="E480" s="2"/>
      <c r="F480" s="2"/>
      <c r="G480" s="2"/>
    </row>
    <row r="481">
      <c r="A481" s="1" t="s">
        <v>347</v>
      </c>
      <c r="B481" s="1">
        <v>0.0</v>
      </c>
      <c r="C481" s="2"/>
      <c r="D481" s="2"/>
      <c r="E481" s="2"/>
      <c r="F481" s="2"/>
      <c r="G481" s="2"/>
    </row>
    <row r="482">
      <c r="A482" s="1" t="s">
        <v>348</v>
      </c>
      <c r="B482" s="1">
        <v>70.0</v>
      </c>
      <c r="C482" s="2"/>
      <c r="D482" s="2"/>
      <c r="E482" s="2"/>
      <c r="F482" s="2"/>
      <c r="G482" s="2"/>
    </row>
    <row r="483">
      <c r="A483" s="1" t="s">
        <v>349</v>
      </c>
      <c r="B483" s="1">
        <v>0.0</v>
      </c>
      <c r="C483" s="2"/>
      <c r="D483" s="2"/>
      <c r="E483" s="2"/>
      <c r="F483" s="2"/>
      <c r="G483" s="2"/>
    </row>
    <row r="484">
      <c r="A484" s="1" t="s">
        <v>350</v>
      </c>
      <c r="B484" s="1">
        <v>0.0</v>
      </c>
      <c r="C484" s="2"/>
      <c r="D484" s="2"/>
      <c r="E484" s="2"/>
      <c r="F484" s="2"/>
      <c r="G484" s="2"/>
    </row>
    <row r="485">
      <c r="A485" s="1" t="s">
        <v>351</v>
      </c>
      <c r="B485" s="1">
        <v>44.0</v>
      </c>
      <c r="C485" s="2"/>
      <c r="D485" s="2"/>
      <c r="E485" s="2"/>
      <c r="F485" s="2"/>
      <c r="G485" s="2"/>
    </row>
    <row r="486">
      <c r="A486" s="1" t="s">
        <v>352</v>
      </c>
      <c r="B486" s="1">
        <v>50.0</v>
      </c>
      <c r="C486" s="2"/>
      <c r="D486" s="2"/>
      <c r="E486" s="2"/>
      <c r="F486" s="2"/>
      <c r="G486" s="2"/>
    </row>
    <row r="487">
      <c r="A487" s="1" t="s">
        <v>353</v>
      </c>
      <c r="B487" s="1">
        <v>0.0</v>
      </c>
      <c r="C487" s="2"/>
      <c r="D487" s="2"/>
      <c r="E487" s="2"/>
      <c r="F487" s="2"/>
      <c r="G487" s="2"/>
    </row>
    <row r="488">
      <c r="A488" s="1" t="s">
        <v>354</v>
      </c>
      <c r="B488" s="1">
        <v>72.0</v>
      </c>
      <c r="C488" s="2"/>
      <c r="D488" s="2"/>
      <c r="E488" s="2"/>
      <c r="F488" s="2"/>
      <c r="G488" s="2"/>
    </row>
    <row r="489">
      <c r="A489" s="1" t="s">
        <v>355</v>
      </c>
      <c r="B489" s="1">
        <v>6.0</v>
      </c>
      <c r="C489" s="2"/>
      <c r="D489" s="2"/>
      <c r="E489" s="2"/>
      <c r="F489" s="2"/>
      <c r="G489" s="2"/>
    </row>
    <row r="490">
      <c r="A490" s="1" t="s">
        <v>356</v>
      </c>
      <c r="B490" s="1">
        <v>0.0</v>
      </c>
      <c r="C490" s="2"/>
      <c r="D490" s="2"/>
      <c r="E490" s="2"/>
      <c r="F490" s="2"/>
      <c r="G490" s="2"/>
    </row>
    <row r="491">
      <c r="A491" s="1" t="s">
        <v>357</v>
      </c>
      <c r="B491" s="1">
        <v>0.0</v>
      </c>
      <c r="C491" s="2"/>
      <c r="D491" s="2"/>
      <c r="E491" s="2"/>
      <c r="F491" s="2"/>
      <c r="G491" s="2"/>
    </row>
    <row r="492">
      <c r="A492" s="1" t="s">
        <v>358</v>
      </c>
      <c r="B492" s="1">
        <v>71.0</v>
      </c>
      <c r="C492" s="2"/>
      <c r="D492" s="2"/>
      <c r="E492" s="2"/>
      <c r="F492" s="2"/>
      <c r="G492" s="2"/>
    </row>
    <row r="493">
      <c r="A493" s="1" t="s">
        <v>359</v>
      </c>
      <c r="B493" s="1">
        <v>25.0</v>
      </c>
      <c r="C493" s="2"/>
      <c r="D493" s="2"/>
      <c r="E493" s="2"/>
      <c r="F493" s="2"/>
      <c r="G493" s="2"/>
    </row>
    <row r="494">
      <c r="A494" s="1" t="s">
        <v>290</v>
      </c>
      <c r="B494" s="1">
        <v>75.0</v>
      </c>
      <c r="C494" s="2"/>
      <c r="D494" s="2"/>
      <c r="E494" s="2"/>
      <c r="F494" s="2"/>
      <c r="G494" s="2"/>
    </row>
    <row r="495">
      <c r="A495" s="1" t="s">
        <v>291</v>
      </c>
      <c r="B495" s="1">
        <v>0.0</v>
      </c>
      <c r="C495" s="2"/>
      <c r="D495" s="2"/>
      <c r="E495" s="2"/>
      <c r="F495" s="2"/>
      <c r="G495" s="2"/>
    </row>
    <row r="496">
      <c r="A496" s="1" t="s">
        <v>292</v>
      </c>
      <c r="B496" s="1">
        <v>0.0</v>
      </c>
      <c r="C496" s="2"/>
      <c r="D496" s="2"/>
      <c r="E496" s="2"/>
      <c r="F496" s="2"/>
      <c r="G496" s="2"/>
    </row>
    <row r="497">
      <c r="A497" s="1" t="s">
        <v>293</v>
      </c>
      <c r="B497" s="1">
        <v>30.0</v>
      </c>
      <c r="C497" s="2"/>
      <c r="D497" s="2"/>
      <c r="E497" s="2"/>
      <c r="F497" s="2"/>
      <c r="G497" s="2"/>
    </row>
    <row r="498">
      <c r="A498" s="1" t="s">
        <v>294</v>
      </c>
      <c r="B498" s="1">
        <v>39.0</v>
      </c>
      <c r="C498" s="2"/>
      <c r="D498" s="2"/>
      <c r="E498" s="2"/>
      <c r="F498" s="2"/>
      <c r="G498" s="2"/>
    </row>
    <row r="499">
      <c r="A499" s="1" t="s">
        <v>295</v>
      </c>
      <c r="B499" s="1">
        <v>50.0</v>
      </c>
      <c r="C499" s="2"/>
      <c r="D499" s="2"/>
      <c r="E499" s="2"/>
      <c r="F499" s="2"/>
      <c r="G499" s="2"/>
    </row>
    <row r="500">
      <c r="A500" s="1" t="s">
        <v>296</v>
      </c>
      <c r="B500" s="1">
        <v>0.0</v>
      </c>
      <c r="C500" s="2"/>
      <c r="D500" s="2"/>
      <c r="E500" s="2"/>
      <c r="F500" s="2"/>
      <c r="G500" s="2"/>
    </row>
    <row r="501">
      <c r="A501" s="1" t="s">
        <v>297</v>
      </c>
      <c r="B501" s="1">
        <v>0.0</v>
      </c>
      <c r="C501" s="2"/>
      <c r="D501" s="2"/>
      <c r="E501" s="2"/>
      <c r="F501" s="2"/>
      <c r="G501" s="2"/>
    </row>
    <row r="502">
      <c r="A502" s="1" t="s">
        <v>298</v>
      </c>
      <c r="B502" s="1">
        <v>62.0</v>
      </c>
      <c r="C502" s="2"/>
      <c r="D502" s="2"/>
      <c r="E502" s="2"/>
      <c r="F502" s="2"/>
      <c r="G502" s="2"/>
    </row>
    <row r="503">
      <c r="A503" s="1" t="s">
        <v>299</v>
      </c>
      <c r="B503" s="1">
        <v>0.0</v>
      </c>
      <c r="C503" s="2"/>
      <c r="D503" s="2"/>
      <c r="E503" s="2"/>
      <c r="F503" s="2"/>
      <c r="G503" s="2"/>
    </row>
    <row r="504">
      <c r="A504" s="1" t="s">
        <v>300</v>
      </c>
      <c r="B504" s="1">
        <v>50.0</v>
      </c>
      <c r="C504" s="2"/>
      <c r="D504" s="2"/>
      <c r="E504" s="2"/>
      <c r="F504" s="2"/>
      <c r="G504" s="2"/>
    </row>
    <row r="505">
      <c r="A505" s="1" t="s">
        <v>301</v>
      </c>
      <c r="B505" s="1">
        <v>0.0</v>
      </c>
      <c r="C505" s="2"/>
      <c r="D505" s="2"/>
      <c r="E505" s="2"/>
      <c r="F505" s="2"/>
      <c r="G505" s="2"/>
    </row>
    <row r="506">
      <c r="A506" s="1" t="s">
        <v>302</v>
      </c>
      <c r="B506" s="1">
        <v>0.0</v>
      </c>
      <c r="C506" s="2"/>
      <c r="D506" s="2"/>
      <c r="E506" s="2"/>
      <c r="F506" s="2"/>
      <c r="G506" s="2"/>
    </row>
    <row r="507">
      <c r="A507" s="1" t="s">
        <v>303</v>
      </c>
      <c r="B507" s="1">
        <v>96.0</v>
      </c>
      <c r="C507" s="2"/>
      <c r="D507" s="2"/>
      <c r="E507" s="2"/>
      <c r="F507" s="2"/>
      <c r="G507" s="2"/>
    </row>
    <row r="508">
      <c r="A508" s="1" t="s">
        <v>304</v>
      </c>
      <c r="B508" s="1">
        <v>57.0</v>
      </c>
      <c r="C508" s="2"/>
      <c r="D508" s="2"/>
      <c r="E508" s="2"/>
      <c r="F508" s="2"/>
      <c r="G508" s="2"/>
    </row>
    <row r="509">
      <c r="A509" s="1" t="s">
        <v>305</v>
      </c>
      <c r="B509" s="1">
        <v>0.0</v>
      </c>
      <c r="C509" s="2"/>
      <c r="D509" s="2"/>
      <c r="E509" s="2"/>
      <c r="F509" s="2"/>
      <c r="G509" s="2"/>
    </row>
    <row r="510">
      <c r="A510" s="1" t="s">
        <v>306</v>
      </c>
      <c r="B510" s="1">
        <v>34.0</v>
      </c>
      <c r="C510" s="2"/>
      <c r="D510" s="2"/>
      <c r="E510" s="2"/>
      <c r="F510" s="2"/>
      <c r="G510" s="2"/>
    </row>
    <row r="511">
      <c r="A511" s="1" t="s">
        <v>307</v>
      </c>
      <c r="B511" s="1">
        <v>68.0</v>
      </c>
      <c r="C511" s="2"/>
      <c r="D511" s="2"/>
      <c r="E511" s="2"/>
      <c r="F511" s="2"/>
      <c r="G511" s="2"/>
    </row>
    <row r="512">
      <c r="A512" s="1" t="s">
        <v>308</v>
      </c>
      <c r="B512" s="1">
        <v>78.0</v>
      </c>
      <c r="C512" s="2"/>
      <c r="D512" s="2"/>
      <c r="E512" s="2"/>
      <c r="F512" s="2"/>
      <c r="G512" s="2"/>
    </row>
    <row r="513">
      <c r="A513" s="1" t="s">
        <v>309</v>
      </c>
      <c r="B513" s="2"/>
      <c r="C513" s="2"/>
      <c r="D513" s="2"/>
      <c r="E513" s="2"/>
      <c r="F513" s="2"/>
      <c r="G513" s="2"/>
    </row>
    <row r="514">
      <c r="A514" s="1" t="s">
        <v>310</v>
      </c>
      <c r="B514" s="1">
        <v>12.0</v>
      </c>
      <c r="C514" s="2"/>
      <c r="D514" s="2"/>
      <c r="E514" s="2"/>
      <c r="F514" s="2"/>
      <c r="G514" s="2"/>
    </row>
    <row r="515">
      <c r="A515" s="1" t="s">
        <v>311</v>
      </c>
      <c r="B515" s="2"/>
      <c r="C515" s="2"/>
      <c r="D515" s="2"/>
      <c r="E515" s="2"/>
      <c r="F515" s="2"/>
      <c r="G515" s="2"/>
    </row>
    <row r="516">
      <c r="A516" s="1" t="s">
        <v>312</v>
      </c>
      <c r="B516" s="1">
        <v>0.0</v>
      </c>
      <c r="C516" s="2"/>
      <c r="D516" s="2"/>
      <c r="E516" s="2"/>
      <c r="F516" s="2"/>
      <c r="G516" s="2"/>
    </row>
    <row r="517">
      <c r="A517" s="1" t="s">
        <v>313</v>
      </c>
      <c r="B517" s="1">
        <v>82.0</v>
      </c>
      <c r="C517" s="2"/>
      <c r="D517" s="2"/>
      <c r="E517" s="2"/>
      <c r="F517" s="2"/>
      <c r="G517" s="2"/>
    </row>
    <row r="518">
      <c r="A518" s="1" t="s">
        <v>314</v>
      </c>
      <c r="B518" s="1">
        <v>0.0</v>
      </c>
      <c r="C518" s="2"/>
      <c r="D518" s="2"/>
      <c r="E518" s="2"/>
      <c r="F518" s="2"/>
      <c r="G518" s="2"/>
    </row>
    <row r="519">
      <c r="A519" s="1" t="s">
        <v>315</v>
      </c>
      <c r="B519" s="1">
        <v>0.0</v>
      </c>
      <c r="C519" s="2"/>
      <c r="D519" s="2"/>
      <c r="E519" s="2"/>
      <c r="F519" s="2"/>
      <c r="G519" s="2"/>
    </row>
    <row r="520">
      <c r="A520" s="1" t="s">
        <v>316</v>
      </c>
      <c r="B520" s="1">
        <v>0.0</v>
      </c>
      <c r="C520" s="2"/>
      <c r="D520" s="2"/>
      <c r="E520" s="2"/>
      <c r="F520" s="2"/>
      <c r="G520" s="2"/>
    </row>
    <row r="521">
      <c r="A521" s="1" t="s">
        <v>317</v>
      </c>
      <c r="B521" s="1">
        <v>0.0</v>
      </c>
      <c r="C521" s="2"/>
      <c r="D521" s="2"/>
      <c r="E521" s="2"/>
      <c r="F521" s="2"/>
      <c r="G521" s="2"/>
    </row>
    <row r="522">
      <c r="A522" s="1" t="s">
        <v>318</v>
      </c>
      <c r="B522" s="1">
        <v>8.0</v>
      </c>
      <c r="C522" s="2"/>
      <c r="D522" s="2"/>
      <c r="E522" s="2"/>
      <c r="F522" s="2"/>
      <c r="G522" s="2"/>
    </row>
    <row r="523">
      <c r="A523" s="1" t="s">
        <v>319</v>
      </c>
      <c r="B523" s="1">
        <v>0.0</v>
      </c>
      <c r="C523" s="2"/>
      <c r="D523" s="2"/>
      <c r="E523" s="2"/>
      <c r="F523" s="2"/>
      <c r="G523" s="2"/>
    </row>
    <row r="524">
      <c r="A524" s="1" t="s">
        <v>320</v>
      </c>
      <c r="B524" s="1">
        <v>0.0</v>
      </c>
      <c r="C524" s="2"/>
      <c r="D524" s="2"/>
      <c r="E524" s="2"/>
      <c r="F524" s="2"/>
      <c r="G524" s="2"/>
    </row>
    <row r="525">
      <c r="A525" s="1" t="s">
        <v>321</v>
      </c>
      <c r="B525" s="1">
        <v>0.0</v>
      </c>
      <c r="C525" s="2"/>
      <c r="D525" s="2"/>
      <c r="E525" s="2"/>
      <c r="F525" s="2"/>
      <c r="G525" s="2"/>
    </row>
    <row r="526">
      <c r="A526" s="1" t="s">
        <v>322</v>
      </c>
      <c r="B526" s="1">
        <v>14.0</v>
      </c>
      <c r="C526" s="2"/>
      <c r="D526" s="2"/>
      <c r="E526" s="2"/>
      <c r="F526" s="2"/>
      <c r="G526" s="2"/>
    </row>
    <row r="527">
      <c r="A527" s="1" t="s">
        <v>323</v>
      </c>
      <c r="B527" s="1">
        <v>0.0</v>
      </c>
      <c r="C527" s="2"/>
      <c r="D527" s="2"/>
      <c r="E527" s="2"/>
      <c r="F527" s="2"/>
      <c r="G527" s="2"/>
    </row>
    <row r="528">
      <c r="A528" s="1" t="s">
        <v>324</v>
      </c>
      <c r="B528" s="1">
        <v>86.0</v>
      </c>
      <c r="C528" s="2"/>
      <c r="D528" s="2"/>
      <c r="E528" s="2"/>
      <c r="F528" s="2"/>
      <c r="G528" s="2"/>
    </row>
    <row r="529">
      <c r="A529" s="1" t="s">
        <v>325</v>
      </c>
      <c r="B529" s="1">
        <v>66.0</v>
      </c>
      <c r="C529" s="2"/>
      <c r="D529" s="2"/>
      <c r="E529" s="2"/>
      <c r="F529" s="2"/>
      <c r="G529" s="2"/>
    </row>
    <row r="530">
      <c r="A530" s="1" t="s">
        <v>326</v>
      </c>
      <c r="B530" s="1">
        <v>0.0</v>
      </c>
      <c r="C530" s="2"/>
      <c r="D530" s="2"/>
      <c r="E530" s="2"/>
      <c r="F530" s="2"/>
      <c r="G530" s="2"/>
    </row>
    <row r="531">
      <c r="A531" s="1" t="s">
        <v>327</v>
      </c>
      <c r="B531" s="1">
        <v>94.0</v>
      </c>
      <c r="C531" s="2"/>
      <c r="D531" s="2"/>
      <c r="E531" s="2"/>
      <c r="F531" s="2"/>
      <c r="G531" s="2"/>
    </row>
    <row r="532">
      <c r="A532" s="1" t="s">
        <v>328</v>
      </c>
      <c r="B532" s="1">
        <v>36.0</v>
      </c>
      <c r="C532" s="2"/>
      <c r="D532" s="2"/>
      <c r="E532" s="2"/>
      <c r="F532" s="2"/>
      <c r="G532" s="2"/>
    </row>
    <row r="533">
      <c r="A533" s="1" t="s">
        <v>329</v>
      </c>
      <c r="B533" s="1">
        <v>0.0</v>
      </c>
      <c r="C533" s="2"/>
      <c r="D533" s="2"/>
      <c r="E533" s="2"/>
      <c r="F533" s="2"/>
      <c r="G533" s="2"/>
    </row>
    <row r="534">
      <c r="A534" s="1" t="s">
        <v>330</v>
      </c>
      <c r="B534" s="1">
        <v>0.0</v>
      </c>
      <c r="C534" s="2"/>
      <c r="D534" s="2"/>
      <c r="E534" s="2"/>
      <c r="F534" s="2"/>
      <c r="G534" s="2"/>
    </row>
    <row r="535">
      <c r="A535" s="1" t="s">
        <v>331</v>
      </c>
      <c r="B535" s="1">
        <v>0.0</v>
      </c>
      <c r="C535" s="2"/>
      <c r="D535" s="2"/>
      <c r="E535" s="2"/>
      <c r="F535" s="2"/>
      <c r="G535" s="2"/>
    </row>
    <row r="536">
      <c r="A536" s="1" t="s">
        <v>332</v>
      </c>
      <c r="B536" s="1">
        <v>0.0</v>
      </c>
      <c r="C536" s="2"/>
      <c r="D536" s="2"/>
      <c r="E536" s="2"/>
      <c r="F536" s="2"/>
      <c r="G536" s="2"/>
    </row>
    <row r="537">
      <c r="A537" s="1" t="s">
        <v>333</v>
      </c>
      <c r="B537" s="1">
        <v>0.0</v>
      </c>
      <c r="C537" s="2"/>
      <c r="D537" s="2"/>
      <c r="E537" s="2"/>
      <c r="F537" s="2"/>
      <c r="G537" s="2"/>
    </row>
    <row r="538">
      <c r="A538" s="1" t="s">
        <v>334</v>
      </c>
      <c r="B538" s="1">
        <v>0.0</v>
      </c>
      <c r="C538" s="2"/>
      <c r="D538" s="2"/>
      <c r="E538" s="2"/>
      <c r="F538" s="2"/>
      <c r="G538" s="2"/>
    </row>
    <row r="539">
      <c r="A539" s="1" t="s">
        <v>335</v>
      </c>
      <c r="B539" s="1">
        <v>14.0</v>
      </c>
      <c r="C539" s="2"/>
      <c r="D539" s="2"/>
      <c r="E539" s="2"/>
      <c r="F539" s="2"/>
      <c r="G539" s="2"/>
    </row>
    <row r="540">
      <c r="A540" s="1" t="s">
        <v>336</v>
      </c>
      <c r="B540" s="1">
        <v>14.0</v>
      </c>
      <c r="C540" s="2"/>
      <c r="D540" s="2"/>
      <c r="E540" s="2"/>
      <c r="F540" s="2"/>
      <c r="G540" s="2"/>
    </row>
    <row r="541">
      <c r="A541" s="1" t="s">
        <v>337</v>
      </c>
      <c r="B541" s="1">
        <v>0.0</v>
      </c>
      <c r="C541" s="2"/>
      <c r="D541" s="2"/>
      <c r="E541" s="2"/>
      <c r="F541" s="2"/>
      <c r="G541" s="2"/>
    </row>
    <row r="542">
      <c r="A542" s="1" t="s">
        <v>338</v>
      </c>
      <c r="B542" s="1">
        <v>55.0</v>
      </c>
      <c r="C542" s="2"/>
      <c r="D542" s="2"/>
      <c r="E542" s="2"/>
      <c r="F542" s="2"/>
      <c r="G542" s="2"/>
    </row>
    <row r="543">
      <c r="A543" s="1" t="s">
        <v>339</v>
      </c>
      <c r="B543" s="1">
        <v>0.0</v>
      </c>
      <c r="C543" s="2"/>
      <c r="D543" s="2"/>
      <c r="E543" s="2"/>
      <c r="F543" s="2"/>
      <c r="G543" s="2"/>
    </row>
    <row r="544">
      <c r="A544" s="1" t="s">
        <v>340</v>
      </c>
      <c r="B544" s="1">
        <v>14.0</v>
      </c>
      <c r="C544" s="2"/>
      <c r="D544" s="2"/>
      <c r="E544" s="2"/>
      <c r="F544" s="2"/>
      <c r="G544" s="2"/>
    </row>
    <row r="545">
      <c r="A545" s="1" t="s">
        <v>341</v>
      </c>
      <c r="B545" s="1">
        <v>0.0</v>
      </c>
      <c r="C545" s="2"/>
      <c r="D545" s="2"/>
      <c r="E545" s="2"/>
      <c r="F545" s="2"/>
      <c r="G545" s="2"/>
    </row>
    <row r="546">
      <c r="A546" s="1" t="s">
        <v>342</v>
      </c>
      <c r="B546" s="1">
        <v>0.0</v>
      </c>
      <c r="C546" s="2"/>
      <c r="D546" s="2"/>
      <c r="E546" s="2"/>
      <c r="F546" s="2"/>
      <c r="G546" s="2"/>
    </row>
    <row r="547">
      <c r="A547" s="1" t="s">
        <v>343</v>
      </c>
      <c r="B547" s="1">
        <v>99.0</v>
      </c>
      <c r="C547" s="2"/>
      <c r="D547" s="2"/>
      <c r="E547" s="2"/>
      <c r="F547" s="2"/>
      <c r="G547" s="2"/>
    </row>
    <row r="548">
      <c r="A548" s="1" t="s">
        <v>344</v>
      </c>
      <c r="B548" s="1">
        <v>74.0</v>
      </c>
      <c r="C548" s="2"/>
      <c r="D548" s="2"/>
      <c r="E548" s="2"/>
      <c r="F548" s="2"/>
      <c r="G548" s="2"/>
    </row>
    <row r="549">
      <c r="A549" s="1" t="s">
        <v>345</v>
      </c>
      <c r="B549" s="1">
        <v>18.0</v>
      </c>
      <c r="C549" s="2"/>
      <c r="D549" s="2"/>
      <c r="E549" s="2"/>
      <c r="F549" s="2"/>
      <c r="G549" s="2"/>
    </row>
    <row r="550">
      <c r="A550" s="1" t="s">
        <v>346</v>
      </c>
      <c r="B550" s="1">
        <v>0.0</v>
      </c>
      <c r="C550" s="2"/>
      <c r="D550" s="2"/>
      <c r="E550" s="2"/>
      <c r="F550" s="2"/>
      <c r="G550" s="2"/>
    </row>
    <row r="551">
      <c r="A551" s="1" t="s">
        <v>347</v>
      </c>
      <c r="B551" s="1">
        <v>0.0</v>
      </c>
      <c r="C551" s="2"/>
      <c r="D551" s="2"/>
      <c r="E551" s="2"/>
      <c r="F551" s="2"/>
      <c r="G551" s="2"/>
    </row>
    <row r="552">
      <c r="A552" s="1" t="s">
        <v>348</v>
      </c>
      <c r="B552" s="1">
        <v>70.0</v>
      </c>
      <c r="C552" s="2"/>
      <c r="D552" s="2"/>
      <c r="E552" s="2"/>
      <c r="F552" s="2"/>
      <c r="G552" s="2"/>
    </row>
    <row r="553">
      <c r="A553" s="1" t="s">
        <v>349</v>
      </c>
      <c r="B553" s="1">
        <v>0.0</v>
      </c>
      <c r="C553" s="2"/>
      <c r="D553" s="2"/>
      <c r="E553" s="2"/>
      <c r="F553" s="2"/>
      <c r="G553" s="2"/>
    </row>
    <row r="554">
      <c r="A554" s="1" t="s">
        <v>350</v>
      </c>
      <c r="B554" s="1">
        <v>0.0</v>
      </c>
      <c r="C554" s="2"/>
      <c r="D554" s="2"/>
      <c r="E554" s="2"/>
      <c r="F554" s="2"/>
      <c r="G554" s="2"/>
    </row>
    <row r="555">
      <c r="A555" s="1" t="s">
        <v>351</v>
      </c>
      <c r="B555" s="1">
        <v>44.0</v>
      </c>
      <c r="C555" s="2"/>
      <c r="D555" s="2"/>
      <c r="E555" s="2"/>
      <c r="F555" s="2"/>
      <c r="G555" s="2"/>
    </row>
    <row r="556">
      <c r="A556" s="1" t="s">
        <v>352</v>
      </c>
      <c r="B556" s="1">
        <v>50.0</v>
      </c>
      <c r="C556" s="2"/>
      <c r="D556" s="2"/>
      <c r="E556" s="2"/>
      <c r="F556" s="2"/>
      <c r="G556" s="2"/>
    </row>
    <row r="557">
      <c r="A557" s="1" t="s">
        <v>353</v>
      </c>
      <c r="B557" s="1">
        <v>0.0</v>
      </c>
      <c r="C557" s="2"/>
      <c r="D557" s="2"/>
      <c r="E557" s="2"/>
      <c r="F557" s="2"/>
      <c r="G557" s="2"/>
    </row>
    <row r="558">
      <c r="A558" s="1" t="s">
        <v>354</v>
      </c>
      <c r="B558" s="1">
        <v>72.0</v>
      </c>
      <c r="C558" s="2"/>
      <c r="D558" s="2"/>
      <c r="E558" s="2"/>
      <c r="F558" s="2"/>
      <c r="G558" s="2"/>
    </row>
    <row r="559">
      <c r="A559" s="1" t="s">
        <v>355</v>
      </c>
      <c r="B559" s="1">
        <v>6.0</v>
      </c>
      <c r="C559" s="2"/>
      <c r="D559" s="2"/>
      <c r="E559" s="2"/>
      <c r="F559" s="2"/>
      <c r="G559" s="2"/>
    </row>
    <row r="560">
      <c r="A560" s="1" t="s">
        <v>356</v>
      </c>
      <c r="B560" s="1">
        <v>0.0</v>
      </c>
      <c r="C560" s="2"/>
      <c r="D560" s="2"/>
      <c r="E560" s="2"/>
      <c r="F560" s="2"/>
      <c r="G560" s="2"/>
    </row>
    <row r="561">
      <c r="A561" s="1" t="s">
        <v>357</v>
      </c>
      <c r="B561" s="1">
        <v>0.0</v>
      </c>
      <c r="C561" s="2"/>
      <c r="D561" s="2"/>
      <c r="E561" s="2"/>
      <c r="F561" s="2"/>
      <c r="G561" s="2"/>
    </row>
    <row r="562">
      <c r="A562" s="1" t="s">
        <v>358</v>
      </c>
      <c r="B562" s="1">
        <v>71.0</v>
      </c>
      <c r="C562" s="2"/>
      <c r="D562" s="2"/>
      <c r="E562" s="2"/>
      <c r="F562" s="2"/>
      <c r="G562" s="2"/>
    </row>
    <row r="563">
      <c r="A563" s="1" t="s">
        <v>359</v>
      </c>
      <c r="B563" s="1">
        <v>25.0</v>
      </c>
      <c r="C563" s="2"/>
      <c r="D563" s="2"/>
      <c r="E563" s="2"/>
      <c r="F563" s="2"/>
      <c r="G563" s="2"/>
    </row>
    <row r="564">
      <c r="A564" s="1" t="s">
        <v>360</v>
      </c>
      <c r="B564" s="1">
        <v>5.0</v>
      </c>
      <c r="C564" s="2"/>
      <c r="D564" s="2"/>
      <c r="E564" s="2"/>
      <c r="F564" s="2"/>
      <c r="G564" s="2"/>
    </row>
    <row r="565">
      <c r="A565" s="1" t="s">
        <v>361</v>
      </c>
      <c r="B565" s="1">
        <v>0.0</v>
      </c>
      <c r="C565" s="2"/>
      <c r="D565" s="2"/>
      <c r="E565" s="2"/>
      <c r="F565" s="2"/>
      <c r="G565" s="2"/>
    </row>
    <row r="566">
      <c r="A566" s="1" t="s">
        <v>362</v>
      </c>
      <c r="B566" s="1">
        <v>0.0</v>
      </c>
      <c r="C566" s="2"/>
      <c r="D566" s="2"/>
      <c r="E566" s="2"/>
      <c r="F566" s="2"/>
      <c r="G566" s="2"/>
    </row>
    <row r="567">
      <c r="A567" s="1" t="s">
        <v>363</v>
      </c>
      <c r="B567" s="1">
        <v>0.0</v>
      </c>
      <c r="C567" s="2"/>
      <c r="D567" s="2"/>
      <c r="E567" s="2"/>
      <c r="F567" s="2"/>
      <c r="G567" s="2"/>
    </row>
    <row r="568">
      <c r="A568" s="1" t="s">
        <v>364</v>
      </c>
      <c r="B568" s="1">
        <v>92.0</v>
      </c>
      <c r="C568" s="2"/>
      <c r="D568" s="2"/>
      <c r="E568" s="2"/>
      <c r="F568" s="2"/>
      <c r="G568" s="2"/>
    </row>
    <row r="569">
      <c r="A569" s="1" t="s">
        <v>365</v>
      </c>
      <c r="B569" s="1">
        <v>0.0</v>
      </c>
      <c r="C569" s="2"/>
      <c r="D569" s="2"/>
      <c r="E569" s="2"/>
      <c r="F569" s="2"/>
      <c r="G569" s="2"/>
    </row>
    <row r="570">
      <c r="A570" s="1" t="s">
        <v>366</v>
      </c>
      <c r="B570" s="1">
        <v>0.0</v>
      </c>
      <c r="C570" s="2"/>
      <c r="D570" s="2"/>
      <c r="E570" s="2"/>
      <c r="F570" s="2"/>
      <c r="G570" s="2"/>
    </row>
    <row r="571">
      <c r="A571" s="1" t="s">
        <v>367</v>
      </c>
      <c r="B571" s="1">
        <v>0.0</v>
      </c>
      <c r="C571" s="2"/>
      <c r="D571" s="2"/>
      <c r="E571" s="2"/>
      <c r="F571" s="2"/>
      <c r="G571" s="2"/>
    </row>
    <row r="572">
      <c r="A572" s="1" t="s">
        <v>368</v>
      </c>
      <c r="B572" s="1">
        <v>80.0</v>
      </c>
      <c r="C572" s="2"/>
      <c r="D572" s="2"/>
      <c r="E572" s="2"/>
      <c r="F572" s="2"/>
      <c r="G572" s="2"/>
    </row>
    <row r="573">
      <c r="A573" s="1" t="s">
        <v>369</v>
      </c>
      <c r="B573" s="1">
        <v>0.0</v>
      </c>
      <c r="C573" s="2"/>
      <c r="D573" s="2"/>
      <c r="E573" s="2"/>
      <c r="F573" s="2"/>
      <c r="G573" s="2"/>
    </row>
    <row r="574">
      <c r="A574" s="1" t="s">
        <v>370</v>
      </c>
      <c r="B574" s="1">
        <v>0.0</v>
      </c>
      <c r="C574" s="2"/>
      <c r="D574" s="2"/>
      <c r="E574" s="2"/>
      <c r="F574" s="2"/>
      <c r="G574" s="2"/>
    </row>
    <row r="575">
      <c r="A575" s="1" t="s">
        <v>371</v>
      </c>
      <c r="B575" s="1">
        <v>52.0</v>
      </c>
      <c r="C575" s="2"/>
      <c r="D575" s="2"/>
      <c r="E575" s="2"/>
      <c r="F575" s="2"/>
      <c r="G575" s="2"/>
    </row>
    <row r="576">
      <c r="A576" s="1" t="s">
        <v>372</v>
      </c>
      <c r="B576" s="1">
        <v>0.0</v>
      </c>
      <c r="C576" s="2"/>
      <c r="D576" s="2"/>
      <c r="E576" s="2"/>
      <c r="F576" s="2"/>
      <c r="G576" s="2"/>
    </row>
    <row r="577">
      <c r="A577" s="1" t="s">
        <v>373</v>
      </c>
      <c r="B577" s="1">
        <v>0.0</v>
      </c>
      <c r="C577" s="2"/>
      <c r="D577" s="2"/>
      <c r="E577" s="2"/>
      <c r="F577" s="2"/>
      <c r="G577" s="2"/>
    </row>
    <row r="578">
      <c r="A578" s="1" t="s">
        <v>374</v>
      </c>
      <c r="B578" s="1">
        <v>6.0</v>
      </c>
      <c r="C578" s="2"/>
      <c r="D578" s="2"/>
      <c r="E578" s="2"/>
      <c r="F578" s="2"/>
      <c r="G578" s="2"/>
    </row>
    <row r="579">
      <c r="A579" s="1" t="s">
        <v>375</v>
      </c>
      <c r="B579" s="1">
        <v>35.0</v>
      </c>
      <c r="C579" s="2"/>
      <c r="D579" s="2"/>
      <c r="E579" s="2"/>
      <c r="F579" s="2"/>
      <c r="G579" s="2"/>
    </row>
    <row r="580">
      <c r="A580" s="1" t="s">
        <v>376</v>
      </c>
      <c r="B580" s="1">
        <v>40.0</v>
      </c>
      <c r="C580" s="2"/>
      <c r="D580" s="2"/>
      <c r="E580" s="2"/>
      <c r="F580" s="2"/>
      <c r="G580" s="2"/>
    </row>
    <row r="581">
      <c r="A581" s="1" t="s">
        <v>377</v>
      </c>
      <c r="B581" s="1">
        <v>75.0</v>
      </c>
      <c r="C581" s="2"/>
      <c r="D581" s="2"/>
      <c r="E581" s="2"/>
      <c r="F581" s="2"/>
      <c r="G581" s="2"/>
    </row>
    <row r="582">
      <c r="A582" s="1" t="s">
        <v>378</v>
      </c>
      <c r="B582" s="1">
        <v>62.0</v>
      </c>
      <c r="C582" s="2"/>
      <c r="D582" s="2"/>
      <c r="E582" s="2"/>
      <c r="F582" s="2"/>
      <c r="G582" s="2"/>
    </row>
    <row r="583">
      <c r="A583" s="1" t="s">
        <v>379</v>
      </c>
      <c r="B583" s="1">
        <v>0.0</v>
      </c>
      <c r="C583" s="2"/>
      <c r="D583" s="2"/>
      <c r="E583" s="2"/>
      <c r="F583" s="2"/>
      <c r="G583" s="2"/>
    </row>
    <row r="584">
      <c r="A584" s="1" t="s">
        <v>380</v>
      </c>
      <c r="B584" s="1">
        <v>0.0</v>
      </c>
      <c r="C584" s="2"/>
      <c r="D584" s="2"/>
      <c r="E584" s="2"/>
      <c r="F584" s="2"/>
      <c r="G584" s="2"/>
    </row>
    <row r="585">
      <c r="A585" s="1" t="s">
        <v>381</v>
      </c>
      <c r="B585" s="1">
        <v>14.0</v>
      </c>
      <c r="C585" s="2"/>
      <c r="D585" s="2"/>
      <c r="E585" s="2"/>
      <c r="F585" s="2"/>
      <c r="G585" s="2"/>
    </row>
    <row r="586">
      <c r="A586" s="1" t="s">
        <v>382</v>
      </c>
      <c r="B586" s="1">
        <v>0.0</v>
      </c>
      <c r="C586" s="2"/>
      <c r="D586" s="2"/>
      <c r="E586" s="2"/>
      <c r="F586" s="2"/>
      <c r="G586" s="2"/>
    </row>
    <row r="587">
      <c r="A587" s="1" t="s">
        <v>383</v>
      </c>
      <c r="B587" s="1">
        <v>0.0</v>
      </c>
      <c r="C587" s="2"/>
      <c r="D587" s="2"/>
      <c r="E587" s="2"/>
      <c r="F587" s="2"/>
      <c r="G587" s="2"/>
    </row>
    <row r="588">
      <c r="A588" s="1" t="s">
        <v>384</v>
      </c>
      <c r="B588" s="1">
        <v>0.0</v>
      </c>
      <c r="C588" s="2"/>
      <c r="D588" s="2"/>
      <c r="E588" s="2"/>
      <c r="F588" s="2"/>
      <c r="G588" s="2"/>
    </row>
    <row r="589">
      <c r="A589" s="1" t="s">
        <v>385</v>
      </c>
      <c r="B589" s="1">
        <v>20.0</v>
      </c>
      <c r="C589" s="2"/>
      <c r="D589" s="2"/>
      <c r="E589" s="2"/>
      <c r="F589" s="2"/>
      <c r="G589" s="2"/>
    </row>
    <row r="590">
      <c r="A590" s="1" t="s">
        <v>386</v>
      </c>
      <c r="B590" s="1">
        <v>0.0</v>
      </c>
      <c r="C590" s="2"/>
      <c r="D590" s="2"/>
      <c r="E590" s="2"/>
      <c r="F590" s="2"/>
      <c r="G590" s="2"/>
    </row>
    <row r="591">
      <c r="A591" s="1" t="s">
        <v>387</v>
      </c>
      <c r="B591" s="1">
        <v>0.0</v>
      </c>
      <c r="C591" s="2"/>
      <c r="D591" s="2"/>
      <c r="E591" s="2"/>
      <c r="F591" s="2"/>
      <c r="G591" s="2"/>
    </row>
    <row r="592">
      <c r="A592" s="1" t="s">
        <v>388</v>
      </c>
      <c r="B592" s="1" t="s">
        <v>389</v>
      </c>
      <c r="C592" s="1">
        <v>37.0</v>
      </c>
      <c r="D592" s="2"/>
      <c r="E592" s="2"/>
      <c r="F592" s="2"/>
      <c r="G592" s="2"/>
    </row>
    <row r="593">
      <c r="A593" s="1" t="s">
        <v>390</v>
      </c>
      <c r="B593" s="1">
        <v>0.0</v>
      </c>
      <c r="C593" s="2"/>
      <c r="D593" s="2"/>
      <c r="E593" s="2"/>
      <c r="F593" s="2"/>
      <c r="G593" s="2"/>
    </row>
    <row r="594">
      <c r="A594" s="1" t="s">
        <v>391</v>
      </c>
      <c r="B594" s="1">
        <v>40.0</v>
      </c>
      <c r="C594" s="2"/>
      <c r="D594" s="2"/>
      <c r="E594" s="2"/>
      <c r="F594" s="2"/>
      <c r="G594" s="2"/>
    </row>
    <row r="595">
      <c r="A595" s="1" t="s">
        <v>392</v>
      </c>
      <c r="B595" s="1">
        <v>45.0</v>
      </c>
      <c r="C595" s="2"/>
      <c r="D595" s="2"/>
      <c r="E595" s="2"/>
      <c r="F595" s="2"/>
      <c r="G595" s="2"/>
    </row>
    <row r="596">
      <c r="A596" s="1" t="s">
        <v>393</v>
      </c>
      <c r="B596" s="1">
        <v>0.0</v>
      </c>
      <c r="C596" s="2"/>
      <c r="D596" s="2"/>
      <c r="E596" s="2"/>
      <c r="F596" s="2"/>
      <c r="G596" s="2"/>
    </row>
    <row r="597">
      <c r="A597" s="1" t="s">
        <v>394</v>
      </c>
      <c r="B597" s="1">
        <v>0.0</v>
      </c>
      <c r="C597" s="2"/>
      <c r="D597" s="2"/>
      <c r="E597" s="2"/>
      <c r="F597" s="2"/>
      <c r="G597" s="2"/>
    </row>
    <row r="598">
      <c r="A598" s="1" t="s">
        <v>395</v>
      </c>
      <c r="B598" s="1">
        <v>0.0</v>
      </c>
      <c r="C598" s="2"/>
      <c r="D598" s="2"/>
      <c r="E598" s="2"/>
      <c r="F598" s="2"/>
      <c r="G598" s="2"/>
    </row>
    <row r="599">
      <c r="A599" s="1" t="s">
        <v>396</v>
      </c>
      <c r="B599" s="1">
        <v>0.0</v>
      </c>
      <c r="C599" s="2"/>
      <c r="D599" s="2"/>
      <c r="E599" s="2"/>
      <c r="F599" s="2"/>
      <c r="G599" s="2"/>
    </row>
    <row r="600">
      <c r="A600" s="1" t="s">
        <v>397</v>
      </c>
      <c r="B600" s="1">
        <v>40.0</v>
      </c>
      <c r="C600" s="2"/>
      <c r="D600" s="2"/>
      <c r="E600" s="2"/>
      <c r="F600" s="2"/>
      <c r="G600" s="2"/>
    </row>
    <row r="601">
      <c r="A601" s="1" t="s">
        <v>398</v>
      </c>
      <c r="B601" s="1">
        <v>0.0</v>
      </c>
      <c r="C601" s="2"/>
      <c r="D601" s="2"/>
      <c r="E601" s="2"/>
      <c r="F601" s="2"/>
      <c r="G601" s="2"/>
    </row>
    <row r="602">
      <c r="A602" s="1" t="s">
        <v>399</v>
      </c>
      <c r="B602" s="1" t="s">
        <v>400</v>
      </c>
      <c r="C602" s="1">
        <v>0.0</v>
      </c>
      <c r="D602" s="2"/>
      <c r="E602" s="2"/>
      <c r="F602" s="2"/>
      <c r="G602" s="2"/>
    </row>
    <row r="603">
      <c r="A603" s="1" t="s">
        <v>401</v>
      </c>
      <c r="B603" s="1">
        <v>0.0</v>
      </c>
      <c r="C603" s="2"/>
      <c r="D603" s="2"/>
      <c r="E603" s="2"/>
      <c r="F603" s="2"/>
      <c r="G603" s="2"/>
    </row>
    <row r="604">
      <c r="A604" s="1" t="s">
        <v>402</v>
      </c>
      <c r="B604" s="1">
        <v>50.0</v>
      </c>
      <c r="C604" s="2"/>
      <c r="D604" s="2"/>
      <c r="E604" s="2"/>
      <c r="F604" s="2"/>
      <c r="G604" s="2"/>
    </row>
    <row r="605">
      <c r="A605" s="1" t="s">
        <v>403</v>
      </c>
      <c r="B605" s="1">
        <v>0.0</v>
      </c>
      <c r="C605" s="2"/>
      <c r="D605" s="2"/>
      <c r="E605" s="2"/>
      <c r="F605" s="2"/>
      <c r="G605" s="2"/>
    </row>
    <row r="606">
      <c r="A606" s="1" t="s">
        <v>404</v>
      </c>
      <c r="B606" s="1">
        <v>0.0</v>
      </c>
      <c r="C606" s="2"/>
      <c r="D606" s="2"/>
      <c r="E606" s="2"/>
      <c r="F606" s="2"/>
      <c r="G606" s="2"/>
    </row>
    <row r="607">
      <c r="A607" s="1" t="s">
        <v>405</v>
      </c>
      <c r="B607" s="1">
        <v>0.0</v>
      </c>
      <c r="C607" s="2"/>
      <c r="D607" s="2"/>
      <c r="E607" s="2"/>
      <c r="F607" s="2"/>
      <c r="G607" s="2"/>
    </row>
    <row r="608">
      <c r="A608" s="1" t="s">
        <v>406</v>
      </c>
      <c r="B608" s="1">
        <v>0.0</v>
      </c>
      <c r="C608" s="2"/>
      <c r="D608" s="2"/>
      <c r="E608" s="2"/>
      <c r="F608" s="2"/>
      <c r="G608" s="2"/>
    </row>
    <row r="609">
      <c r="A609" s="1" t="s">
        <v>407</v>
      </c>
      <c r="B609" s="1">
        <v>0.0</v>
      </c>
      <c r="C609" s="2"/>
      <c r="D609" s="2"/>
      <c r="E609" s="2"/>
      <c r="F609" s="2"/>
      <c r="G609" s="2"/>
    </row>
    <row r="610">
      <c r="A610" s="1" t="s">
        <v>408</v>
      </c>
      <c r="B610" s="1">
        <v>0.0</v>
      </c>
      <c r="C610" s="2"/>
      <c r="D610" s="2"/>
      <c r="E610" s="2"/>
      <c r="F610" s="2"/>
      <c r="G610" s="2"/>
    </row>
    <row r="611">
      <c r="A611" s="1" t="s">
        <v>409</v>
      </c>
      <c r="B611" s="1">
        <v>0.0</v>
      </c>
      <c r="C611" s="2"/>
      <c r="D611" s="2"/>
      <c r="E611" s="2"/>
      <c r="F611" s="2"/>
      <c r="G611" s="2"/>
    </row>
    <row r="612">
      <c r="A612" s="1" t="s">
        <v>410</v>
      </c>
      <c r="B612" s="1">
        <v>70.0</v>
      </c>
      <c r="C612" s="2"/>
      <c r="D612" s="2"/>
      <c r="E612" s="2"/>
      <c r="F612" s="2"/>
      <c r="G612" s="2"/>
    </row>
    <row r="613">
      <c r="A613" s="1" t="s">
        <v>411</v>
      </c>
      <c r="B613" s="1">
        <v>0.0</v>
      </c>
      <c r="C613" s="2"/>
      <c r="D613" s="2"/>
      <c r="E613" s="2"/>
      <c r="F613" s="2"/>
      <c r="G613" s="2"/>
    </row>
    <row r="614">
      <c r="A614" s="1" t="s">
        <v>412</v>
      </c>
      <c r="B614" s="1">
        <v>58.0</v>
      </c>
      <c r="C614" s="2"/>
      <c r="D614" s="2"/>
      <c r="E614" s="2"/>
      <c r="F614" s="2"/>
      <c r="G614" s="2"/>
    </row>
    <row r="615">
      <c r="A615" s="1" t="s">
        <v>413</v>
      </c>
      <c r="B615" s="1">
        <v>70.0</v>
      </c>
      <c r="C615" s="2"/>
      <c r="D615" s="2"/>
      <c r="E615" s="2"/>
      <c r="F615" s="2"/>
      <c r="G615" s="2"/>
    </row>
    <row r="616">
      <c r="A616" s="1" t="s">
        <v>414</v>
      </c>
      <c r="B616" s="1">
        <v>0.0</v>
      </c>
      <c r="C616" s="2"/>
      <c r="D616" s="2"/>
      <c r="E616" s="2"/>
      <c r="F616" s="2"/>
      <c r="G616" s="2"/>
    </row>
    <row r="617">
      <c r="A617" s="1" t="s">
        <v>415</v>
      </c>
      <c r="B617" s="1">
        <v>0.0</v>
      </c>
      <c r="C617" s="2"/>
      <c r="D617" s="2"/>
      <c r="E617" s="2"/>
      <c r="F617" s="2"/>
      <c r="G617" s="2"/>
    </row>
    <row r="618">
      <c r="A618" s="1" t="s">
        <v>416</v>
      </c>
      <c r="B618" s="1">
        <v>21.0</v>
      </c>
      <c r="C618" s="2"/>
      <c r="D618" s="2"/>
      <c r="E618" s="2"/>
      <c r="F618" s="2"/>
      <c r="G618" s="2"/>
    </row>
    <row r="619">
      <c r="A619" s="1" t="s">
        <v>417</v>
      </c>
      <c r="B619" s="1">
        <v>0.0</v>
      </c>
      <c r="C619" s="2"/>
      <c r="D619" s="2"/>
      <c r="E619" s="2"/>
      <c r="F619" s="2"/>
      <c r="G619" s="2"/>
    </row>
    <row r="620">
      <c r="A620" s="1" t="s">
        <v>418</v>
      </c>
      <c r="B620" s="1">
        <v>0.0</v>
      </c>
      <c r="C620" s="2"/>
      <c r="D620" s="2"/>
      <c r="E620" s="2"/>
      <c r="F620" s="2"/>
      <c r="G620" s="2"/>
    </row>
    <row r="621">
      <c r="A621" s="1" t="s">
        <v>419</v>
      </c>
      <c r="B621" s="1">
        <v>0.0</v>
      </c>
      <c r="C621" s="2"/>
      <c r="D621" s="2"/>
      <c r="E621" s="2"/>
      <c r="F621" s="2"/>
      <c r="G621" s="2"/>
    </row>
    <row r="622">
      <c r="A622" s="1" t="s">
        <v>420</v>
      </c>
      <c r="B622" s="1">
        <v>0.0</v>
      </c>
      <c r="C622" s="2"/>
      <c r="D622" s="2"/>
      <c r="E622" s="2"/>
      <c r="F622" s="2"/>
      <c r="G622" s="2"/>
    </row>
    <row r="623">
      <c r="A623" s="1" t="s">
        <v>421</v>
      </c>
      <c r="B623" s="1">
        <v>0.0</v>
      </c>
      <c r="C623" s="2"/>
      <c r="D623" s="2"/>
      <c r="E623" s="2"/>
      <c r="F623" s="2"/>
      <c r="G623" s="2"/>
    </row>
    <row r="624">
      <c r="A624" s="1" t="s">
        <v>422</v>
      </c>
      <c r="B624" s="1">
        <v>0.0</v>
      </c>
      <c r="C624" s="2"/>
      <c r="D624" s="2"/>
      <c r="E624" s="2"/>
      <c r="F624" s="2"/>
      <c r="G624" s="2"/>
    </row>
    <row r="625">
      <c r="A625" s="1" t="s">
        <v>423</v>
      </c>
      <c r="B625" s="1">
        <v>0.0</v>
      </c>
      <c r="C625" s="2"/>
      <c r="D625" s="2"/>
      <c r="E625" s="2"/>
      <c r="F625" s="2"/>
      <c r="G625" s="2"/>
    </row>
    <row r="626">
      <c r="A626" s="1" t="s">
        <v>424</v>
      </c>
      <c r="B626" s="1">
        <v>0.0</v>
      </c>
      <c r="C626" s="2"/>
      <c r="D626" s="2"/>
      <c r="E626" s="2"/>
      <c r="F626" s="2"/>
      <c r="G626" s="2"/>
    </row>
    <row r="627">
      <c r="A627" s="1" t="s">
        <v>425</v>
      </c>
      <c r="B627" s="1">
        <v>0.0</v>
      </c>
      <c r="C627" s="2"/>
      <c r="D627" s="2"/>
      <c r="E627" s="2"/>
      <c r="F627" s="2"/>
      <c r="G627" s="2"/>
    </row>
    <row r="628">
      <c r="A628" s="1" t="s">
        <v>426</v>
      </c>
      <c r="B628" s="1">
        <v>0.0</v>
      </c>
      <c r="C628" s="2"/>
      <c r="D628" s="2"/>
      <c r="E628" s="2"/>
      <c r="F628" s="2"/>
      <c r="G628" s="2"/>
    </row>
    <row r="629">
      <c r="A629" s="1" t="s">
        <v>427</v>
      </c>
      <c r="B629" s="1">
        <v>0.0</v>
      </c>
      <c r="C629" s="2"/>
      <c r="D629" s="2"/>
      <c r="E629" s="2"/>
      <c r="F629" s="2"/>
      <c r="G629" s="2"/>
    </row>
    <row r="630">
      <c r="A630" s="1" t="s">
        <v>428</v>
      </c>
      <c r="B630" s="1">
        <v>0.0</v>
      </c>
      <c r="C630" s="2"/>
      <c r="D630" s="2"/>
      <c r="E630" s="2"/>
      <c r="F630" s="2"/>
      <c r="G630" s="2"/>
    </row>
    <row r="631">
      <c r="A631" s="1" t="s">
        <v>429</v>
      </c>
      <c r="B631" s="1">
        <v>50.0</v>
      </c>
      <c r="C631" s="2"/>
      <c r="D631" s="2"/>
      <c r="E631" s="2"/>
      <c r="F631" s="2"/>
      <c r="G631" s="2"/>
    </row>
    <row r="632">
      <c r="A632" s="1" t="s">
        <v>430</v>
      </c>
      <c r="B632" s="1">
        <v>0.0</v>
      </c>
      <c r="C632" s="2"/>
      <c r="D632" s="2"/>
      <c r="E632" s="2"/>
      <c r="F632" s="2"/>
      <c r="G632" s="2"/>
    </row>
    <row r="633">
      <c r="A633" s="1" t="s">
        <v>360</v>
      </c>
      <c r="B633" s="1">
        <v>5.0</v>
      </c>
      <c r="C633" s="2"/>
      <c r="D633" s="2"/>
      <c r="E633" s="2"/>
      <c r="F633" s="2"/>
      <c r="G633" s="2"/>
    </row>
    <row r="634">
      <c r="A634" s="1" t="s">
        <v>361</v>
      </c>
      <c r="B634" s="1">
        <v>0.0</v>
      </c>
      <c r="C634" s="2"/>
      <c r="D634" s="2"/>
      <c r="E634" s="2"/>
      <c r="F634" s="2"/>
      <c r="G634" s="2"/>
    </row>
    <row r="635">
      <c r="A635" s="1" t="s">
        <v>362</v>
      </c>
      <c r="B635" s="1">
        <v>0.0</v>
      </c>
      <c r="C635" s="2"/>
      <c r="D635" s="2"/>
      <c r="E635" s="2"/>
      <c r="F635" s="2"/>
      <c r="G635" s="2"/>
    </row>
    <row r="636">
      <c r="A636" s="1" t="s">
        <v>363</v>
      </c>
      <c r="B636" s="1">
        <v>0.0</v>
      </c>
      <c r="C636" s="2"/>
      <c r="D636" s="2"/>
      <c r="E636" s="2"/>
      <c r="F636" s="2"/>
      <c r="G636" s="2"/>
    </row>
    <row r="637">
      <c r="A637" s="1" t="s">
        <v>364</v>
      </c>
      <c r="B637" s="1">
        <v>92.0</v>
      </c>
      <c r="C637" s="2"/>
      <c r="D637" s="2"/>
      <c r="E637" s="2"/>
      <c r="F637" s="2"/>
      <c r="G637" s="2"/>
    </row>
    <row r="638">
      <c r="A638" s="1" t="s">
        <v>365</v>
      </c>
      <c r="B638" s="1">
        <v>0.0</v>
      </c>
      <c r="C638" s="2"/>
      <c r="D638" s="2"/>
      <c r="E638" s="2"/>
      <c r="F638" s="2"/>
      <c r="G638" s="2"/>
    </row>
    <row r="639">
      <c r="A639" s="1" t="s">
        <v>366</v>
      </c>
      <c r="B639" s="1">
        <v>0.0</v>
      </c>
      <c r="C639" s="2"/>
      <c r="D639" s="2"/>
      <c r="E639" s="2"/>
      <c r="F639" s="2"/>
      <c r="G639" s="2"/>
    </row>
    <row r="640">
      <c r="A640" s="1" t="s">
        <v>367</v>
      </c>
      <c r="B640" s="1">
        <v>0.0</v>
      </c>
      <c r="C640" s="2"/>
      <c r="D640" s="2"/>
      <c r="E640" s="2"/>
      <c r="F640" s="2"/>
      <c r="G640" s="2"/>
    </row>
    <row r="641">
      <c r="A641" s="1" t="s">
        <v>368</v>
      </c>
      <c r="B641" s="1">
        <v>80.0</v>
      </c>
      <c r="C641" s="2"/>
      <c r="D641" s="2"/>
      <c r="E641" s="2"/>
      <c r="F641" s="2"/>
      <c r="G641" s="2"/>
    </row>
    <row r="642">
      <c r="A642" s="1" t="s">
        <v>369</v>
      </c>
      <c r="B642" s="1">
        <v>0.0</v>
      </c>
      <c r="C642" s="2"/>
      <c r="D642" s="2"/>
      <c r="E642" s="2"/>
      <c r="F642" s="2"/>
      <c r="G642" s="2"/>
    </row>
    <row r="643">
      <c r="A643" s="1" t="s">
        <v>370</v>
      </c>
      <c r="B643" s="1">
        <v>0.0</v>
      </c>
      <c r="C643" s="2"/>
      <c r="D643" s="2"/>
      <c r="E643" s="2"/>
      <c r="F643" s="2"/>
      <c r="G643" s="2"/>
    </row>
    <row r="644">
      <c r="A644" s="1" t="s">
        <v>371</v>
      </c>
      <c r="B644" s="1">
        <v>52.0</v>
      </c>
      <c r="C644" s="2"/>
      <c r="D644" s="2"/>
      <c r="E644" s="2"/>
      <c r="F644" s="2"/>
      <c r="G644" s="2"/>
    </row>
    <row r="645">
      <c r="A645" s="1" t="s">
        <v>372</v>
      </c>
      <c r="B645" s="1">
        <v>0.0</v>
      </c>
      <c r="C645" s="2"/>
      <c r="D645" s="2"/>
      <c r="E645" s="2"/>
      <c r="F645" s="2"/>
      <c r="G645" s="2"/>
    </row>
    <row r="646">
      <c r="A646" s="1" t="s">
        <v>373</v>
      </c>
      <c r="B646" s="1">
        <v>0.0</v>
      </c>
      <c r="C646" s="2"/>
      <c r="D646" s="2"/>
      <c r="E646" s="2"/>
      <c r="F646" s="2"/>
      <c r="G646" s="2"/>
    </row>
    <row r="647">
      <c r="A647" s="1" t="s">
        <v>374</v>
      </c>
      <c r="B647" s="1">
        <v>6.0</v>
      </c>
      <c r="C647" s="2"/>
      <c r="D647" s="2"/>
      <c r="E647" s="2"/>
      <c r="F647" s="2"/>
      <c r="G647" s="2"/>
    </row>
    <row r="648">
      <c r="A648" s="1" t="s">
        <v>375</v>
      </c>
      <c r="B648" s="1">
        <v>35.0</v>
      </c>
      <c r="C648" s="2"/>
      <c r="D648" s="2"/>
      <c r="E648" s="2"/>
      <c r="F648" s="2"/>
      <c r="G648" s="2"/>
    </row>
    <row r="649">
      <c r="A649" s="1" t="s">
        <v>376</v>
      </c>
      <c r="B649" s="1">
        <v>40.0</v>
      </c>
      <c r="C649" s="2"/>
      <c r="D649" s="2"/>
      <c r="E649" s="2"/>
      <c r="F649" s="2"/>
      <c r="G649" s="2"/>
    </row>
    <row r="650">
      <c r="A650" s="1" t="s">
        <v>377</v>
      </c>
      <c r="B650" s="1">
        <v>75.0</v>
      </c>
      <c r="C650" s="2"/>
      <c r="D650" s="2"/>
      <c r="E650" s="2"/>
      <c r="F650" s="2"/>
      <c r="G650" s="2"/>
    </row>
    <row r="651">
      <c r="A651" s="1" t="s">
        <v>378</v>
      </c>
      <c r="B651" s="1">
        <v>62.0</v>
      </c>
      <c r="C651" s="2"/>
      <c r="D651" s="2"/>
      <c r="E651" s="2"/>
      <c r="F651" s="2"/>
      <c r="G651" s="2"/>
    </row>
    <row r="652">
      <c r="A652" s="1" t="s">
        <v>379</v>
      </c>
      <c r="B652" s="1">
        <v>0.0</v>
      </c>
      <c r="C652" s="2"/>
      <c r="D652" s="2"/>
      <c r="E652" s="2"/>
      <c r="F652" s="2"/>
      <c r="G652" s="2"/>
    </row>
    <row r="653">
      <c r="A653" s="1" t="s">
        <v>380</v>
      </c>
      <c r="B653" s="1">
        <v>0.0</v>
      </c>
      <c r="C653" s="2"/>
      <c r="D653" s="2"/>
      <c r="E653" s="2"/>
      <c r="F653" s="2"/>
      <c r="G653" s="2"/>
    </row>
    <row r="654">
      <c r="A654" s="1" t="s">
        <v>381</v>
      </c>
      <c r="B654" s="1">
        <v>14.0</v>
      </c>
      <c r="C654" s="2"/>
      <c r="D654" s="2"/>
      <c r="E654" s="2"/>
      <c r="F654" s="2"/>
      <c r="G654" s="2"/>
    </row>
    <row r="655">
      <c r="A655" s="1" t="s">
        <v>382</v>
      </c>
      <c r="B655" s="1">
        <v>0.0</v>
      </c>
      <c r="C655" s="2"/>
      <c r="D655" s="2"/>
      <c r="E655" s="2"/>
      <c r="F655" s="2"/>
      <c r="G655" s="2"/>
    </row>
    <row r="656">
      <c r="A656" s="1" t="s">
        <v>383</v>
      </c>
      <c r="B656" s="1">
        <v>0.0</v>
      </c>
      <c r="C656" s="2"/>
      <c r="D656" s="2"/>
      <c r="E656" s="2"/>
      <c r="F656" s="2"/>
      <c r="G656" s="2"/>
    </row>
    <row r="657">
      <c r="A657" s="1" t="s">
        <v>384</v>
      </c>
      <c r="B657" s="1">
        <v>0.0</v>
      </c>
      <c r="C657" s="2"/>
      <c r="D657" s="2"/>
      <c r="E657" s="2"/>
      <c r="F657" s="2"/>
      <c r="G657" s="2"/>
    </row>
    <row r="658">
      <c r="A658" s="1" t="s">
        <v>385</v>
      </c>
      <c r="B658" s="1">
        <v>20.0</v>
      </c>
      <c r="C658" s="2"/>
      <c r="D658" s="2"/>
      <c r="E658" s="2"/>
      <c r="F658" s="2"/>
      <c r="G658" s="2"/>
    </row>
    <row r="659">
      <c r="A659" s="1" t="s">
        <v>386</v>
      </c>
      <c r="B659" s="1">
        <v>0.0</v>
      </c>
      <c r="C659" s="2"/>
      <c r="D659" s="2"/>
      <c r="E659" s="2"/>
      <c r="F659" s="2"/>
      <c r="G659" s="2"/>
    </row>
    <row r="660">
      <c r="A660" s="1" t="s">
        <v>387</v>
      </c>
      <c r="B660" s="1">
        <v>0.0</v>
      </c>
      <c r="C660" s="2"/>
      <c r="D660" s="2"/>
      <c r="E660" s="2"/>
      <c r="F660" s="2"/>
      <c r="G660" s="2"/>
    </row>
    <row r="661">
      <c r="A661" s="1" t="s">
        <v>388</v>
      </c>
      <c r="B661" s="1" t="s">
        <v>389</v>
      </c>
      <c r="C661" s="1">
        <v>37.0</v>
      </c>
      <c r="D661" s="2"/>
      <c r="E661" s="2"/>
      <c r="F661" s="2"/>
      <c r="G661" s="2"/>
    </row>
    <row r="662">
      <c r="A662" s="1" t="s">
        <v>390</v>
      </c>
      <c r="B662" s="1">
        <v>0.0</v>
      </c>
      <c r="C662" s="2"/>
      <c r="D662" s="2"/>
      <c r="E662" s="2"/>
      <c r="F662" s="2"/>
      <c r="G662" s="2"/>
    </row>
    <row r="663">
      <c r="A663" s="1" t="s">
        <v>391</v>
      </c>
      <c r="B663" s="1">
        <v>40.0</v>
      </c>
      <c r="C663" s="2"/>
      <c r="D663" s="2"/>
      <c r="E663" s="2"/>
      <c r="F663" s="2"/>
      <c r="G663" s="2"/>
    </row>
    <row r="664">
      <c r="A664" s="1" t="s">
        <v>392</v>
      </c>
      <c r="B664" s="1">
        <v>45.0</v>
      </c>
      <c r="C664" s="2"/>
      <c r="D664" s="2"/>
      <c r="E664" s="2"/>
      <c r="F664" s="2"/>
      <c r="G664" s="2"/>
    </row>
    <row r="665">
      <c r="A665" s="1" t="s">
        <v>393</v>
      </c>
      <c r="B665" s="1">
        <v>0.0</v>
      </c>
      <c r="C665" s="2"/>
      <c r="D665" s="2"/>
      <c r="E665" s="2"/>
      <c r="F665" s="2"/>
      <c r="G665" s="2"/>
    </row>
    <row r="666">
      <c r="A666" s="1" t="s">
        <v>394</v>
      </c>
      <c r="B666" s="1">
        <v>0.0</v>
      </c>
      <c r="C666" s="2"/>
      <c r="D666" s="2"/>
      <c r="E666" s="2"/>
      <c r="F666" s="2"/>
      <c r="G666" s="2"/>
    </row>
    <row r="667">
      <c r="A667" s="1" t="s">
        <v>395</v>
      </c>
      <c r="B667" s="1">
        <v>0.0</v>
      </c>
      <c r="C667" s="2"/>
      <c r="D667" s="2"/>
      <c r="E667" s="2"/>
      <c r="F667" s="2"/>
      <c r="G667" s="2"/>
    </row>
    <row r="668">
      <c r="A668" s="1" t="s">
        <v>396</v>
      </c>
      <c r="B668" s="1">
        <v>0.0</v>
      </c>
      <c r="C668" s="2"/>
      <c r="D668" s="2"/>
      <c r="E668" s="2"/>
      <c r="F668" s="2"/>
      <c r="G668" s="2"/>
    </row>
    <row r="669">
      <c r="A669" s="1" t="s">
        <v>397</v>
      </c>
      <c r="B669" s="1">
        <v>40.0</v>
      </c>
      <c r="C669" s="2"/>
      <c r="D669" s="2"/>
      <c r="E669" s="2"/>
      <c r="F669" s="2"/>
      <c r="G669" s="2"/>
    </row>
    <row r="670">
      <c r="A670" s="1" t="s">
        <v>398</v>
      </c>
      <c r="B670" s="1">
        <v>0.0</v>
      </c>
      <c r="C670" s="2"/>
      <c r="D670" s="2"/>
      <c r="E670" s="2"/>
      <c r="F670" s="2"/>
      <c r="G670" s="2"/>
    </row>
    <row r="671">
      <c r="A671" s="1" t="s">
        <v>399</v>
      </c>
      <c r="B671" s="1" t="s">
        <v>400</v>
      </c>
      <c r="C671" s="1">
        <v>0.0</v>
      </c>
      <c r="D671" s="2"/>
      <c r="E671" s="2"/>
      <c r="F671" s="2"/>
      <c r="G671" s="2"/>
    </row>
    <row r="672">
      <c r="A672" s="1" t="s">
        <v>401</v>
      </c>
      <c r="B672" s="1">
        <v>0.0</v>
      </c>
      <c r="C672" s="2"/>
      <c r="D672" s="2"/>
      <c r="E672" s="2"/>
      <c r="F672" s="2"/>
      <c r="G672" s="2"/>
    </row>
    <row r="673">
      <c r="A673" s="1" t="s">
        <v>402</v>
      </c>
      <c r="B673" s="1">
        <v>50.0</v>
      </c>
      <c r="C673" s="2"/>
      <c r="D673" s="2"/>
      <c r="E673" s="2"/>
      <c r="F673" s="2"/>
      <c r="G673" s="2"/>
    </row>
    <row r="674">
      <c r="A674" s="1" t="s">
        <v>403</v>
      </c>
      <c r="B674" s="1">
        <v>0.0</v>
      </c>
      <c r="C674" s="2"/>
      <c r="D674" s="2"/>
      <c r="E674" s="2"/>
      <c r="F674" s="2"/>
      <c r="G674" s="2"/>
    </row>
    <row r="675">
      <c r="A675" s="1" t="s">
        <v>404</v>
      </c>
      <c r="B675" s="1">
        <v>0.0</v>
      </c>
      <c r="C675" s="2"/>
      <c r="D675" s="2"/>
      <c r="E675" s="2"/>
      <c r="F675" s="2"/>
      <c r="G675" s="2"/>
    </row>
    <row r="676">
      <c r="A676" s="1" t="s">
        <v>405</v>
      </c>
      <c r="B676" s="1">
        <v>0.0</v>
      </c>
      <c r="C676" s="2"/>
      <c r="D676" s="2"/>
      <c r="E676" s="2"/>
      <c r="F676" s="2"/>
      <c r="G676" s="2"/>
    </row>
    <row r="677">
      <c r="A677" s="1" t="s">
        <v>406</v>
      </c>
      <c r="B677" s="1">
        <v>0.0</v>
      </c>
      <c r="C677" s="2"/>
      <c r="D677" s="2"/>
      <c r="E677" s="2"/>
      <c r="F677" s="2"/>
      <c r="G677" s="2"/>
    </row>
    <row r="678">
      <c r="A678" s="1" t="s">
        <v>407</v>
      </c>
      <c r="B678" s="1">
        <v>0.0</v>
      </c>
      <c r="C678" s="2"/>
      <c r="D678" s="2"/>
      <c r="E678" s="2"/>
      <c r="F678" s="2"/>
      <c r="G678" s="2"/>
    </row>
    <row r="679">
      <c r="A679" s="1" t="s">
        <v>408</v>
      </c>
      <c r="B679" s="1">
        <v>0.0</v>
      </c>
      <c r="C679" s="2"/>
      <c r="D679" s="2"/>
      <c r="E679" s="2"/>
      <c r="F679" s="2"/>
      <c r="G679" s="2"/>
    </row>
    <row r="680">
      <c r="A680" s="1" t="s">
        <v>409</v>
      </c>
      <c r="B680" s="1">
        <v>0.0</v>
      </c>
      <c r="C680" s="2"/>
      <c r="D680" s="2"/>
      <c r="E680" s="2"/>
      <c r="F680" s="2"/>
      <c r="G680" s="2"/>
    </row>
    <row r="681">
      <c r="A681" s="1" t="s">
        <v>410</v>
      </c>
      <c r="B681" s="1">
        <v>70.0</v>
      </c>
      <c r="C681" s="2"/>
      <c r="D681" s="2"/>
      <c r="E681" s="2"/>
      <c r="F681" s="2"/>
      <c r="G681" s="2"/>
    </row>
    <row r="682">
      <c r="A682" s="1" t="s">
        <v>411</v>
      </c>
      <c r="B682" s="1">
        <v>0.0</v>
      </c>
      <c r="C682" s="2"/>
      <c r="D682" s="2"/>
      <c r="E682" s="2"/>
      <c r="F682" s="2"/>
      <c r="G682" s="2"/>
    </row>
    <row r="683">
      <c r="A683" s="1" t="s">
        <v>412</v>
      </c>
      <c r="B683" s="1">
        <v>58.0</v>
      </c>
      <c r="C683" s="2"/>
      <c r="D683" s="2"/>
      <c r="E683" s="2"/>
      <c r="F683" s="2"/>
      <c r="G683" s="2"/>
    </row>
    <row r="684">
      <c r="A684" s="1" t="s">
        <v>413</v>
      </c>
      <c r="B684" s="1">
        <v>70.0</v>
      </c>
      <c r="C684" s="2"/>
      <c r="D684" s="2"/>
      <c r="E684" s="2"/>
      <c r="F684" s="2"/>
      <c r="G684" s="2"/>
    </row>
    <row r="685">
      <c r="A685" s="1" t="s">
        <v>414</v>
      </c>
      <c r="B685" s="1">
        <v>0.0</v>
      </c>
      <c r="C685" s="2"/>
      <c r="D685" s="2"/>
      <c r="E685" s="2"/>
      <c r="F685" s="2"/>
      <c r="G685" s="2"/>
    </row>
    <row r="686">
      <c r="A686" s="1" t="s">
        <v>415</v>
      </c>
      <c r="B686" s="1">
        <v>0.0</v>
      </c>
      <c r="C686" s="2"/>
      <c r="D686" s="2"/>
      <c r="E686" s="2"/>
      <c r="F686" s="2"/>
      <c r="G686" s="2"/>
    </row>
    <row r="687">
      <c r="A687" s="1" t="s">
        <v>416</v>
      </c>
      <c r="B687" s="1">
        <v>21.0</v>
      </c>
      <c r="C687" s="2"/>
      <c r="D687" s="2"/>
      <c r="E687" s="2"/>
      <c r="F687" s="2"/>
      <c r="G687" s="2"/>
    </row>
    <row r="688">
      <c r="A688" s="1" t="s">
        <v>417</v>
      </c>
      <c r="B688" s="1">
        <v>0.0</v>
      </c>
      <c r="C688" s="2"/>
      <c r="D688" s="2"/>
      <c r="E688" s="2"/>
      <c r="F688" s="2"/>
      <c r="G688" s="2"/>
    </row>
    <row r="689">
      <c r="A689" s="1" t="s">
        <v>418</v>
      </c>
      <c r="B689" s="1">
        <v>0.0</v>
      </c>
      <c r="C689" s="2"/>
      <c r="D689" s="2"/>
      <c r="E689" s="2"/>
      <c r="F689" s="2"/>
      <c r="G689" s="2"/>
    </row>
    <row r="690">
      <c r="A690" s="1" t="s">
        <v>419</v>
      </c>
      <c r="B690" s="1">
        <v>0.0</v>
      </c>
      <c r="C690" s="2"/>
      <c r="D690" s="2"/>
      <c r="E690" s="2"/>
      <c r="F690" s="2"/>
      <c r="G690" s="2"/>
    </row>
    <row r="691">
      <c r="A691" s="1" t="s">
        <v>420</v>
      </c>
      <c r="B691" s="1">
        <v>0.0</v>
      </c>
      <c r="C691" s="2"/>
      <c r="D691" s="2"/>
      <c r="E691" s="2"/>
      <c r="F691" s="2"/>
      <c r="G691" s="2"/>
    </row>
    <row r="692">
      <c r="A692" s="1" t="s">
        <v>421</v>
      </c>
      <c r="B692" s="1">
        <v>0.0</v>
      </c>
      <c r="C692" s="2"/>
      <c r="D692" s="2"/>
      <c r="E692" s="2"/>
      <c r="F692" s="2"/>
      <c r="G692" s="2"/>
    </row>
    <row r="693">
      <c r="A693" s="1" t="s">
        <v>422</v>
      </c>
      <c r="B693" s="1">
        <v>0.0</v>
      </c>
      <c r="C693" s="2"/>
      <c r="D693" s="2"/>
      <c r="E693" s="2"/>
      <c r="F693" s="2"/>
      <c r="G693" s="2"/>
    </row>
    <row r="694">
      <c r="A694" s="1" t="s">
        <v>423</v>
      </c>
      <c r="B694" s="1">
        <v>0.0</v>
      </c>
      <c r="C694" s="2"/>
      <c r="D694" s="2"/>
      <c r="E694" s="2"/>
      <c r="F694" s="2"/>
      <c r="G694" s="2"/>
    </row>
    <row r="695">
      <c r="A695" s="1" t="s">
        <v>424</v>
      </c>
      <c r="B695" s="1">
        <v>0.0</v>
      </c>
      <c r="C695" s="2"/>
      <c r="D695" s="2"/>
      <c r="E695" s="2"/>
      <c r="F695" s="2"/>
      <c r="G695" s="2"/>
    </row>
    <row r="696">
      <c r="A696" s="1" t="s">
        <v>425</v>
      </c>
      <c r="B696" s="1">
        <v>0.0</v>
      </c>
      <c r="C696" s="2"/>
      <c r="D696" s="2"/>
      <c r="E696" s="2"/>
      <c r="F696" s="2"/>
      <c r="G696" s="2"/>
    </row>
    <row r="697">
      <c r="A697" s="1" t="s">
        <v>426</v>
      </c>
      <c r="B697" s="1">
        <v>0.0</v>
      </c>
      <c r="C697" s="2"/>
      <c r="D697" s="2"/>
      <c r="E697" s="2"/>
      <c r="F697" s="2"/>
      <c r="G697" s="2"/>
    </row>
    <row r="698">
      <c r="A698" s="1" t="s">
        <v>427</v>
      </c>
      <c r="B698" s="1">
        <v>0.0</v>
      </c>
      <c r="C698" s="2"/>
      <c r="D698" s="2"/>
      <c r="E698" s="2"/>
      <c r="F698" s="2"/>
      <c r="G698" s="2"/>
    </row>
    <row r="699">
      <c r="A699" s="1" t="s">
        <v>428</v>
      </c>
      <c r="B699" s="1">
        <v>0.0</v>
      </c>
      <c r="C699" s="2"/>
      <c r="D699" s="2"/>
      <c r="E699" s="2"/>
      <c r="F699" s="2"/>
      <c r="G699" s="2"/>
    </row>
    <row r="700">
      <c r="A700" s="1" t="s">
        <v>429</v>
      </c>
      <c r="B700" s="1">
        <v>50.0</v>
      </c>
      <c r="C700" s="2"/>
      <c r="D700" s="2"/>
      <c r="E700" s="2"/>
      <c r="F700" s="2"/>
      <c r="G700" s="2"/>
    </row>
    <row r="701">
      <c r="A701" s="1" t="s">
        <v>430</v>
      </c>
      <c r="B701" s="1">
        <v>0.0</v>
      </c>
      <c r="C701" s="2"/>
      <c r="D701" s="2"/>
      <c r="E701" s="2"/>
      <c r="F701" s="2"/>
      <c r="G701" s="2"/>
    </row>
    <row r="702">
      <c r="A702" s="1" t="s">
        <v>431</v>
      </c>
      <c r="B702" s="1">
        <v>53.0</v>
      </c>
      <c r="C702" s="2"/>
      <c r="D702" s="2"/>
      <c r="E702" s="2"/>
      <c r="F702" s="2"/>
      <c r="G702" s="2"/>
    </row>
    <row r="703">
      <c r="A703" s="1" t="s">
        <v>432</v>
      </c>
      <c r="B703" s="1">
        <v>73.0</v>
      </c>
      <c r="C703" s="2"/>
      <c r="D703" s="2"/>
      <c r="E703" s="2"/>
      <c r="F703" s="2"/>
      <c r="G703" s="2"/>
    </row>
    <row r="704">
      <c r="A704" s="1" t="s">
        <v>433</v>
      </c>
      <c r="B704" s="1">
        <v>0.0</v>
      </c>
      <c r="C704" s="2"/>
      <c r="D704" s="2"/>
      <c r="E704" s="2"/>
      <c r="F704" s="2"/>
      <c r="G704" s="2"/>
    </row>
    <row r="705">
      <c r="A705" s="1" t="s">
        <v>434</v>
      </c>
      <c r="B705" s="1">
        <v>50.0</v>
      </c>
      <c r="C705" s="2"/>
      <c r="D705" s="2"/>
      <c r="E705" s="2"/>
      <c r="F705" s="2"/>
      <c r="G705" s="2"/>
    </row>
    <row r="706">
      <c r="A706" s="1" t="s">
        <v>435</v>
      </c>
      <c r="B706" s="1">
        <v>0.0</v>
      </c>
      <c r="C706" s="2"/>
      <c r="D706" s="2"/>
      <c r="E706" s="2"/>
      <c r="F706" s="2"/>
      <c r="G706" s="2"/>
    </row>
    <row r="707">
      <c r="A707" s="1" t="s">
        <v>436</v>
      </c>
      <c r="B707" s="1">
        <v>0.0</v>
      </c>
      <c r="C707" s="2"/>
      <c r="D707" s="2"/>
      <c r="E707" s="2"/>
      <c r="F707" s="2"/>
      <c r="G707" s="2"/>
    </row>
    <row r="708">
      <c r="A708" s="1" t="s">
        <v>437</v>
      </c>
      <c r="B708" s="1">
        <v>0.0</v>
      </c>
      <c r="C708" s="2"/>
      <c r="D708" s="2"/>
      <c r="E708" s="2"/>
      <c r="F708" s="2"/>
      <c r="G708" s="2"/>
    </row>
    <row r="709">
      <c r="A709" s="1" t="s">
        <v>438</v>
      </c>
      <c r="B709" s="1">
        <v>0.0</v>
      </c>
      <c r="C709" s="2"/>
      <c r="D709" s="2"/>
      <c r="E709" s="2"/>
      <c r="F709" s="2"/>
      <c r="G709" s="2"/>
    </row>
    <row r="710">
      <c r="A710" s="1" t="s">
        <v>439</v>
      </c>
      <c r="B710" s="1">
        <v>0.0</v>
      </c>
      <c r="C710" s="2"/>
      <c r="D710" s="2"/>
      <c r="E710" s="2"/>
      <c r="F710" s="2"/>
      <c r="G710" s="2"/>
    </row>
    <row r="711">
      <c r="A711" s="1" t="s">
        <v>440</v>
      </c>
      <c r="B711" s="1">
        <v>0.0</v>
      </c>
      <c r="C711" s="2"/>
      <c r="D711" s="2"/>
      <c r="E711" s="2"/>
      <c r="F711" s="2"/>
      <c r="G711" s="2"/>
    </row>
    <row r="712">
      <c r="A712" s="1" t="s">
        <v>441</v>
      </c>
      <c r="B712" s="1">
        <v>0.0</v>
      </c>
      <c r="C712" s="2"/>
      <c r="D712" s="2"/>
      <c r="E712" s="2"/>
      <c r="F712" s="2"/>
      <c r="G712" s="2"/>
    </row>
    <row r="713">
      <c r="A713" s="1" t="s">
        <v>442</v>
      </c>
      <c r="B713" s="1">
        <v>0.0</v>
      </c>
      <c r="C713" s="2"/>
      <c r="D713" s="2"/>
      <c r="E713" s="2"/>
      <c r="F713" s="2"/>
      <c r="G713" s="2"/>
    </row>
    <row r="714">
      <c r="A714" s="1" t="s">
        <v>443</v>
      </c>
      <c r="B714" s="1">
        <v>42.0</v>
      </c>
      <c r="C714" s="2"/>
      <c r="D714" s="2"/>
      <c r="E714" s="2"/>
      <c r="F714" s="2"/>
      <c r="G714" s="2"/>
    </row>
    <row r="715">
      <c r="A715" s="1" t="s">
        <v>444</v>
      </c>
      <c r="B715" s="1">
        <v>50.0</v>
      </c>
      <c r="C715" s="2"/>
      <c r="D715" s="2"/>
      <c r="E715" s="2"/>
      <c r="F715" s="2"/>
      <c r="G715" s="2"/>
    </row>
    <row r="716">
      <c r="A716" s="1" t="s">
        <v>445</v>
      </c>
      <c r="B716" s="1">
        <v>0.0</v>
      </c>
      <c r="C716" s="2"/>
      <c r="D716" s="2"/>
      <c r="E716" s="2"/>
      <c r="F716" s="2"/>
      <c r="G716" s="2"/>
    </row>
    <row r="717">
      <c r="A717" s="1" t="s">
        <v>446</v>
      </c>
      <c r="B717" s="1">
        <v>92.0</v>
      </c>
      <c r="C717" s="2"/>
      <c r="D717" s="2"/>
      <c r="E717" s="2"/>
      <c r="F717" s="2"/>
      <c r="G717" s="2"/>
    </row>
    <row r="718">
      <c r="A718" s="1" t="s">
        <v>447</v>
      </c>
      <c r="B718" s="1">
        <v>0.0</v>
      </c>
      <c r="C718" s="2"/>
      <c r="D718" s="2"/>
      <c r="E718" s="2"/>
      <c r="F718" s="2"/>
      <c r="G718" s="2"/>
    </row>
    <row r="719">
      <c r="A719" s="1" t="s">
        <v>448</v>
      </c>
      <c r="B719" s="1">
        <v>0.0</v>
      </c>
      <c r="C719" s="2"/>
      <c r="D719" s="2"/>
      <c r="E719" s="2"/>
      <c r="F719" s="2"/>
      <c r="G719" s="2"/>
    </row>
    <row r="720">
      <c r="A720" s="1" t="s">
        <v>449</v>
      </c>
      <c r="B720" s="1">
        <v>89.0</v>
      </c>
      <c r="C720" s="2"/>
      <c r="D720" s="2"/>
      <c r="E720" s="2"/>
      <c r="F720" s="2"/>
      <c r="G720" s="2"/>
    </row>
    <row r="721">
      <c r="A721" s="1" t="s">
        <v>450</v>
      </c>
      <c r="B721" s="1">
        <v>0.0</v>
      </c>
      <c r="C721" s="2"/>
      <c r="D721" s="2"/>
      <c r="E721" s="2"/>
      <c r="F721" s="2"/>
      <c r="G721" s="2"/>
    </row>
    <row r="722">
      <c r="A722" s="1" t="s">
        <v>451</v>
      </c>
      <c r="B722" s="1">
        <v>9.0</v>
      </c>
      <c r="C722" s="2"/>
      <c r="D722" s="2"/>
      <c r="E722" s="2"/>
      <c r="F722" s="2"/>
      <c r="G722" s="2"/>
    </row>
    <row r="723">
      <c r="A723" s="1" t="s">
        <v>452</v>
      </c>
      <c r="B723" s="1">
        <v>40.0</v>
      </c>
      <c r="C723" s="2"/>
      <c r="D723" s="2"/>
      <c r="E723" s="2"/>
      <c r="F723" s="2"/>
      <c r="G723" s="2"/>
    </row>
    <row r="724">
      <c r="A724" s="1" t="s">
        <v>453</v>
      </c>
      <c r="B724" s="1">
        <v>90.0</v>
      </c>
      <c r="C724" s="2"/>
      <c r="D724" s="2"/>
      <c r="E724" s="2"/>
      <c r="F724" s="2"/>
      <c r="G724" s="2"/>
    </row>
    <row r="725">
      <c r="A725" s="1" t="s">
        <v>454</v>
      </c>
      <c r="B725" s="1">
        <v>0.0</v>
      </c>
      <c r="C725" s="2"/>
      <c r="D725" s="2"/>
      <c r="E725" s="2"/>
      <c r="F725" s="2"/>
      <c r="G725" s="2"/>
    </row>
    <row r="726">
      <c r="A726" s="1" t="s">
        <v>455</v>
      </c>
      <c r="B726" s="1">
        <v>32.0</v>
      </c>
      <c r="C726" s="2"/>
      <c r="D726" s="2"/>
      <c r="E726" s="2"/>
      <c r="F726" s="2"/>
      <c r="G726" s="2"/>
    </row>
    <row r="727">
      <c r="A727" s="1" t="s">
        <v>456</v>
      </c>
      <c r="B727" s="1">
        <v>48.0</v>
      </c>
      <c r="C727" s="2"/>
      <c r="D727" s="2"/>
      <c r="E727" s="2"/>
      <c r="F727" s="2"/>
      <c r="G727" s="2"/>
    </row>
    <row r="728">
      <c r="A728" s="1" t="s">
        <v>457</v>
      </c>
      <c r="B728" s="1">
        <v>0.0</v>
      </c>
      <c r="C728" s="2"/>
      <c r="D728" s="2"/>
      <c r="E728" s="2"/>
      <c r="F728" s="2"/>
      <c r="G728" s="2"/>
    </row>
    <row r="729">
      <c r="A729" s="1" t="s">
        <v>458</v>
      </c>
      <c r="B729" s="1">
        <v>0.0</v>
      </c>
      <c r="C729" s="2"/>
      <c r="D729" s="2"/>
      <c r="E729" s="2"/>
      <c r="F729" s="2"/>
      <c r="G729" s="2"/>
    </row>
    <row r="730">
      <c r="A730" s="1" t="s">
        <v>459</v>
      </c>
      <c r="B730" s="1">
        <v>50.0</v>
      </c>
      <c r="C730" s="2"/>
      <c r="D730" s="2"/>
      <c r="E730" s="2"/>
      <c r="F730" s="2"/>
      <c r="G730" s="2"/>
    </row>
    <row r="731">
      <c r="A731" s="1" t="s">
        <v>460</v>
      </c>
      <c r="B731" s="1">
        <v>0.0</v>
      </c>
      <c r="C731" s="2"/>
      <c r="D731" s="2"/>
      <c r="E731" s="2"/>
      <c r="F731" s="2"/>
      <c r="G731" s="2"/>
    </row>
    <row r="732">
      <c r="A732" s="1" t="s">
        <v>461</v>
      </c>
      <c r="B732" s="1" t="s">
        <v>462</v>
      </c>
      <c r="C732" s="1" t="s">
        <v>463</v>
      </c>
      <c r="D732" s="1">
        <v>62.0</v>
      </c>
      <c r="E732" s="2"/>
      <c r="F732" s="2"/>
      <c r="G732" s="2"/>
    </row>
    <row r="733">
      <c r="A733" s="1" t="s">
        <v>464</v>
      </c>
      <c r="B733" s="1" t="s">
        <v>465</v>
      </c>
      <c r="C733" s="1">
        <v>0.0</v>
      </c>
      <c r="D733" s="2"/>
      <c r="E733" s="2"/>
      <c r="F733" s="2"/>
      <c r="G733" s="2"/>
    </row>
    <row r="734">
      <c r="A734" s="1" t="s">
        <v>466</v>
      </c>
      <c r="B734" s="1">
        <v>0.0</v>
      </c>
      <c r="C734" s="2"/>
      <c r="D734" s="2"/>
      <c r="E734" s="2"/>
      <c r="F734" s="2"/>
      <c r="G734" s="2"/>
    </row>
    <row r="735">
      <c r="A735" s="1" t="s">
        <v>467</v>
      </c>
      <c r="B735" s="1">
        <v>0.0</v>
      </c>
      <c r="C735" s="2"/>
      <c r="D735" s="2"/>
      <c r="E735" s="2"/>
      <c r="F735" s="2"/>
      <c r="G735" s="2"/>
    </row>
    <row r="736">
      <c r="A736" s="1" t="s">
        <v>468</v>
      </c>
      <c r="B736" s="1">
        <v>0.0</v>
      </c>
      <c r="C736" s="2"/>
      <c r="D736" s="2"/>
      <c r="E736" s="2"/>
      <c r="F736" s="2"/>
      <c r="G736" s="2"/>
    </row>
    <row r="737">
      <c r="A737" s="1" t="s">
        <v>469</v>
      </c>
      <c r="B737" s="1">
        <v>0.0</v>
      </c>
      <c r="C737" s="2"/>
      <c r="D737" s="2"/>
      <c r="E737" s="2"/>
      <c r="F737" s="2"/>
      <c r="G737" s="2"/>
    </row>
    <row r="738">
      <c r="A738" s="1" t="s">
        <v>470</v>
      </c>
      <c r="B738" s="1">
        <v>10.0</v>
      </c>
      <c r="C738" s="2"/>
      <c r="D738" s="2"/>
      <c r="E738" s="2"/>
      <c r="F738" s="2"/>
      <c r="G738" s="2"/>
    </row>
    <row r="739">
      <c r="A739" s="1" t="s">
        <v>471</v>
      </c>
      <c r="B739" s="1">
        <v>0.0</v>
      </c>
      <c r="C739" s="2"/>
      <c r="D739" s="2"/>
      <c r="E739" s="2"/>
      <c r="F739" s="2"/>
      <c r="G739" s="2"/>
    </row>
    <row r="740">
      <c r="A740" s="1" t="s">
        <v>472</v>
      </c>
      <c r="B740" s="1">
        <v>29.0</v>
      </c>
      <c r="C740" s="2"/>
      <c r="D740" s="2"/>
      <c r="E740" s="2"/>
      <c r="F740" s="2"/>
      <c r="G740" s="2"/>
    </row>
    <row r="741">
      <c r="A741" s="1" t="s">
        <v>473</v>
      </c>
      <c r="B741" s="1">
        <v>0.0</v>
      </c>
      <c r="C741" s="2"/>
      <c r="D741" s="2"/>
      <c r="E741" s="2"/>
      <c r="F741" s="2"/>
      <c r="G741" s="2"/>
    </row>
    <row r="742">
      <c r="A742" s="1" t="s">
        <v>474</v>
      </c>
      <c r="B742" s="1">
        <v>65.0</v>
      </c>
      <c r="C742" s="2"/>
      <c r="D742" s="2"/>
      <c r="E742" s="2"/>
      <c r="F742" s="2"/>
      <c r="G742" s="2"/>
    </row>
    <row r="743">
      <c r="A743" s="1" t="s">
        <v>475</v>
      </c>
      <c r="B743" s="1">
        <v>0.0</v>
      </c>
      <c r="C743" s="2"/>
      <c r="D743" s="2"/>
      <c r="E743" s="2"/>
      <c r="F743" s="2"/>
      <c r="G743" s="2"/>
    </row>
    <row r="744">
      <c r="A744" s="1" t="s">
        <v>476</v>
      </c>
      <c r="B744" s="1">
        <v>0.0</v>
      </c>
      <c r="C744" s="2"/>
      <c r="D744" s="2"/>
      <c r="E744" s="2"/>
      <c r="F744" s="2"/>
      <c r="G744" s="2"/>
    </row>
    <row r="745">
      <c r="A745" s="1" t="s">
        <v>477</v>
      </c>
      <c r="B745" s="1">
        <v>0.0</v>
      </c>
      <c r="C745" s="2"/>
      <c r="D745" s="2"/>
      <c r="E745" s="2"/>
      <c r="F745" s="2"/>
      <c r="G745" s="2"/>
    </row>
    <row r="746">
      <c r="A746" s="1" t="s">
        <v>478</v>
      </c>
      <c r="B746" s="1">
        <v>0.0</v>
      </c>
      <c r="C746" s="2"/>
      <c r="D746" s="2"/>
      <c r="E746" s="2"/>
      <c r="F746" s="2"/>
      <c r="G746" s="2"/>
    </row>
    <row r="747">
      <c r="A747" s="1" t="s">
        <v>479</v>
      </c>
      <c r="B747" s="1">
        <v>12.0</v>
      </c>
      <c r="C747" s="2"/>
      <c r="D747" s="2"/>
      <c r="E747" s="2"/>
      <c r="F747" s="2"/>
      <c r="G747" s="2"/>
    </row>
    <row r="748">
      <c r="A748" s="1" t="s">
        <v>480</v>
      </c>
      <c r="B748" s="1">
        <v>0.0</v>
      </c>
      <c r="C748" s="2"/>
      <c r="D748" s="2"/>
      <c r="E748" s="2"/>
      <c r="F748" s="2"/>
      <c r="G748" s="2"/>
    </row>
    <row r="749">
      <c r="A749" s="1" t="s">
        <v>481</v>
      </c>
      <c r="B749" s="1" t="s">
        <v>482</v>
      </c>
      <c r="C749" s="1">
        <v>95.0</v>
      </c>
      <c r="D749" s="2"/>
      <c r="E749" s="2"/>
      <c r="F749" s="2"/>
      <c r="G749" s="2"/>
    </row>
    <row r="750">
      <c r="A750" s="1" t="s">
        <v>483</v>
      </c>
      <c r="B750" s="1">
        <v>0.0</v>
      </c>
      <c r="C750" s="2"/>
      <c r="D750" s="2"/>
      <c r="E750" s="2"/>
      <c r="F750" s="2"/>
      <c r="G750" s="2"/>
    </row>
    <row r="751">
      <c r="A751" s="1" t="s">
        <v>484</v>
      </c>
      <c r="B751" s="1">
        <v>11.0</v>
      </c>
      <c r="C751" s="2"/>
      <c r="D751" s="2"/>
      <c r="E751" s="2"/>
      <c r="F751" s="2"/>
      <c r="G751" s="2"/>
    </row>
    <row r="752">
      <c r="A752" s="1" t="s">
        <v>485</v>
      </c>
      <c r="B752" s="1">
        <v>0.0</v>
      </c>
      <c r="C752" s="2"/>
      <c r="D752" s="2"/>
      <c r="E752" s="2"/>
      <c r="F752" s="2"/>
      <c r="G752" s="2"/>
    </row>
    <row r="753">
      <c r="A753" s="1" t="s">
        <v>486</v>
      </c>
      <c r="B753" s="1" t="s">
        <v>487</v>
      </c>
      <c r="C753" s="2"/>
      <c r="D753" s="2"/>
      <c r="E753" s="2"/>
      <c r="F753" s="2"/>
      <c r="G753" s="2"/>
    </row>
    <row r="754">
      <c r="A754" s="1" t="s">
        <v>488</v>
      </c>
      <c r="B754" s="1">
        <v>31.0</v>
      </c>
      <c r="C754" s="2"/>
      <c r="D754" s="2"/>
      <c r="E754" s="2"/>
      <c r="F754" s="2"/>
      <c r="G754" s="2"/>
    </row>
    <row r="755">
      <c r="A755" s="1" t="s">
        <v>489</v>
      </c>
      <c r="B755" s="2"/>
      <c r="C755" s="2"/>
      <c r="D755" s="2"/>
      <c r="E755" s="2"/>
      <c r="F755" s="2"/>
      <c r="G755" s="2"/>
    </row>
    <row r="756">
      <c r="A756" s="1" t="s">
        <v>490</v>
      </c>
      <c r="B756" s="1">
        <v>0.0</v>
      </c>
      <c r="C756" s="2"/>
      <c r="D756" s="2"/>
      <c r="E756" s="2"/>
      <c r="F756" s="2"/>
      <c r="G756" s="2"/>
    </row>
    <row r="757">
      <c r="A757" s="1" t="s">
        <v>491</v>
      </c>
      <c r="B757" s="1">
        <v>0.0</v>
      </c>
      <c r="C757" s="2"/>
      <c r="D757" s="2"/>
      <c r="E757" s="2"/>
      <c r="F757" s="2"/>
      <c r="G757" s="2"/>
    </row>
    <row r="758">
      <c r="A758" s="1" t="s">
        <v>492</v>
      </c>
      <c r="B758" s="1">
        <v>0.0</v>
      </c>
      <c r="C758" s="2"/>
      <c r="D758" s="2"/>
      <c r="E758" s="2"/>
      <c r="F758" s="2"/>
      <c r="G758" s="2"/>
    </row>
    <row r="759">
      <c r="A759" s="1" t="s">
        <v>493</v>
      </c>
      <c r="B759" s="1">
        <v>9.0</v>
      </c>
      <c r="C759" s="2"/>
      <c r="D759" s="2"/>
      <c r="E759" s="2"/>
      <c r="F759" s="2"/>
      <c r="G759" s="2"/>
    </row>
    <row r="760">
      <c r="A760" s="1" t="s">
        <v>494</v>
      </c>
      <c r="B760" s="1">
        <v>0.0</v>
      </c>
      <c r="C760" s="2"/>
      <c r="D760" s="2"/>
      <c r="E760" s="2"/>
      <c r="F760" s="2"/>
      <c r="G760" s="2"/>
    </row>
    <row r="761">
      <c r="A761" s="1" t="s">
        <v>495</v>
      </c>
      <c r="B761" s="1">
        <v>0.0</v>
      </c>
      <c r="C761" s="2"/>
      <c r="D761" s="2"/>
      <c r="E761" s="2"/>
      <c r="F761" s="2"/>
      <c r="G761" s="2"/>
    </row>
    <row r="762">
      <c r="A762" s="1" t="s">
        <v>496</v>
      </c>
      <c r="B762" s="1">
        <v>80.0</v>
      </c>
      <c r="C762" s="2"/>
      <c r="D762" s="2"/>
      <c r="E762" s="2"/>
      <c r="F762" s="2"/>
      <c r="G762" s="2"/>
    </row>
    <row r="763">
      <c r="A763" s="1" t="s">
        <v>497</v>
      </c>
      <c r="B763" s="1">
        <v>0.0</v>
      </c>
      <c r="C763" s="2"/>
      <c r="D763" s="2"/>
      <c r="E763" s="2"/>
      <c r="F763" s="2"/>
      <c r="G763" s="2"/>
    </row>
    <row r="764">
      <c r="A764" s="1" t="s">
        <v>498</v>
      </c>
      <c r="B764" s="1">
        <v>14.0</v>
      </c>
      <c r="C764" s="2"/>
      <c r="D764" s="2"/>
      <c r="E764" s="2"/>
      <c r="F764" s="2"/>
      <c r="G764" s="2"/>
    </row>
    <row r="765">
      <c r="A765" s="1" t="s">
        <v>499</v>
      </c>
      <c r="B765" s="1" t="s">
        <v>500</v>
      </c>
      <c r="C765" s="1">
        <v>18.0</v>
      </c>
      <c r="D765" s="2"/>
      <c r="E765" s="2"/>
      <c r="F765" s="2"/>
      <c r="G765" s="2"/>
    </row>
    <row r="766">
      <c r="A766" s="1" t="s">
        <v>501</v>
      </c>
      <c r="B766" s="1" t="s">
        <v>502</v>
      </c>
      <c r="C766" s="2"/>
      <c r="D766" s="2"/>
      <c r="E766" s="2"/>
      <c r="F766" s="2"/>
      <c r="G766" s="2"/>
    </row>
    <row r="767">
      <c r="A767" s="1" t="s">
        <v>503</v>
      </c>
      <c r="B767" s="1">
        <v>90.0</v>
      </c>
      <c r="C767" s="2"/>
      <c r="D767" s="2"/>
      <c r="E767" s="2"/>
      <c r="F767" s="2"/>
      <c r="G767" s="2"/>
    </row>
    <row r="768">
      <c r="A768" s="1" t="s">
        <v>504</v>
      </c>
      <c r="B768" s="2"/>
      <c r="C768" s="2"/>
      <c r="D768" s="2"/>
      <c r="E768" s="2"/>
      <c r="F768" s="2"/>
      <c r="G768" s="2"/>
    </row>
    <row r="769">
      <c r="A769" s="1" t="s">
        <v>505</v>
      </c>
      <c r="B769" s="1">
        <v>53.0</v>
      </c>
      <c r="C769" s="2"/>
      <c r="D769" s="2"/>
      <c r="E769" s="2"/>
      <c r="F769" s="2"/>
      <c r="G769" s="2"/>
    </row>
    <row r="770">
      <c r="A770" s="1" t="s">
        <v>506</v>
      </c>
      <c r="B770" s="1">
        <v>82.0</v>
      </c>
      <c r="C770" s="2"/>
      <c r="D770" s="2"/>
      <c r="E770" s="2"/>
      <c r="F770" s="2"/>
      <c r="G770" s="2"/>
    </row>
    <row r="771">
      <c r="A771" s="1" t="s">
        <v>507</v>
      </c>
      <c r="B771" s="1">
        <v>0.0</v>
      </c>
      <c r="C771" s="2"/>
      <c r="D771" s="2"/>
      <c r="E771" s="2"/>
      <c r="F771" s="2"/>
      <c r="G771" s="2"/>
    </row>
    <row r="772">
      <c r="A772" s="1" t="s">
        <v>508</v>
      </c>
      <c r="B772" s="1">
        <v>70.0</v>
      </c>
      <c r="C772" s="2"/>
      <c r="D772" s="2"/>
      <c r="E772" s="2"/>
      <c r="F772" s="2"/>
      <c r="G772" s="2"/>
    </row>
    <row r="773">
      <c r="A773" s="1" t="s">
        <v>509</v>
      </c>
      <c r="B773" s="1">
        <v>0.0</v>
      </c>
      <c r="C773" s="2"/>
      <c r="D773" s="2"/>
      <c r="E773" s="2"/>
      <c r="F773" s="2"/>
      <c r="G773" s="2"/>
    </row>
    <row r="774">
      <c r="A774" s="1" t="s">
        <v>431</v>
      </c>
      <c r="B774" s="1">
        <v>53.0</v>
      </c>
      <c r="C774" s="2"/>
      <c r="D774" s="2"/>
      <c r="E774" s="2"/>
      <c r="F774" s="2"/>
      <c r="G774" s="2"/>
    </row>
    <row r="775">
      <c r="A775" s="1" t="s">
        <v>432</v>
      </c>
      <c r="B775" s="1">
        <v>73.0</v>
      </c>
      <c r="C775" s="2"/>
      <c r="D775" s="2"/>
      <c r="E775" s="2"/>
      <c r="F775" s="2"/>
      <c r="G775" s="2"/>
    </row>
    <row r="776">
      <c r="A776" s="1" t="s">
        <v>433</v>
      </c>
      <c r="B776" s="1">
        <v>0.0</v>
      </c>
      <c r="C776" s="2"/>
      <c r="D776" s="2"/>
      <c r="E776" s="2"/>
      <c r="F776" s="2"/>
      <c r="G776" s="2"/>
    </row>
    <row r="777">
      <c r="A777" s="1" t="s">
        <v>434</v>
      </c>
      <c r="B777" s="1">
        <v>50.0</v>
      </c>
      <c r="C777" s="2"/>
      <c r="D777" s="2"/>
      <c r="E777" s="2"/>
      <c r="F777" s="2"/>
      <c r="G777" s="2"/>
    </row>
    <row r="778">
      <c r="A778" s="1" t="s">
        <v>435</v>
      </c>
      <c r="B778" s="1">
        <v>0.0</v>
      </c>
      <c r="C778" s="2"/>
      <c r="D778" s="2"/>
      <c r="E778" s="2"/>
      <c r="F778" s="2"/>
      <c r="G778" s="2"/>
    </row>
    <row r="779">
      <c r="A779" s="1" t="s">
        <v>436</v>
      </c>
      <c r="B779" s="1">
        <v>0.0</v>
      </c>
      <c r="C779" s="2"/>
      <c r="D779" s="2"/>
      <c r="E779" s="2"/>
      <c r="F779" s="2"/>
      <c r="G779" s="2"/>
    </row>
    <row r="780">
      <c r="A780" s="1" t="s">
        <v>437</v>
      </c>
      <c r="B780" s="1">
        <v>0.0</v>
      </c>
      <c r="C780" s="2"/>
      <c r="D780" s="2"/>
      <c r="E780" s="2"/>
      <c r="F780" s="2"/>
      <c r="G780" s="2"/>
    </row>
    <row r="781">
      <c r="A781" s="1" t="s">
        <v>438</v>
      </c>
      <c r="B781" s="1">
        <v>0.0</v>
      </c>
      <c r="C781" s="2"/>
      <c r="D781" s="2"/>
      <c r="E781" s="2"/>
      <c r="F781" s="2"/>
      <c r="G781" s="2"/>
    </row>
    <row r="782">
      <c r="A782" s="1" t="s">
        <v>439</v>
      </c>
      <c r="B782" s="1">
        <v>0.0</v>
      </c>
      <c r="C782" s="2"/>
      <c r="D782" s="2"/>
      <c r="E782" s="2"/>
      <c r="F782" s="2"/>
      <c r="G782" s="2"/>
    </row>
    <row r="783">
      <c r="A783" s="1" t="s">
        <v>440</v>
      </c>
      <c r="B783" s="1">
        <v>0.0</v>
      </c>
      <c r="C783" s="2"/>
      <c r="D783" s="2"/>
      <c r="E783" s="2"/>
      <c r="F783" s="2"/>
      <c r="G783" s="2"/>
    </row>
    <row r="784">
      <c r="A784" s="1" t="s">
        <v>441</v>
      </c>
      <c r="B784" s="1">
        <v>0.0</v>
      </c>
      <c r="C784" s="2"/>
      <c r="D784" s="2"/>
      <c r="E784" s="2"/>
      <c r="F784" s="2"/>
      <c r="G784" s="2"/>
    </row>
    <row r="785">
      <c r="A785" s="1" t="s">
        <v>442</v>
      </c>
      <c r="B785" s="1">
        <v>0.0</v>
      </c>
      <c r="C785" s="2"/>
      <c r="D785" s="2"/>
      <c r="E785" s="2"/>
      <c r="F785" s="2"/>
      <c r="G785" s="2"/>
    </row>
    <row r="786">
      <c r="A786" s="1" t="s">
        <v>443</v>
      </c>
      <c r="B786" s="1">
        <v>42.0</v>
      </c>
      <c r="C786" s="2"/>
      <c r="D786" s="2"/>
      <c r="E786" s="2"/>
      <c r="F786" s="2"/>
      <c r="G786" s="2"/>
    </row>
    <row r="787">
      <c r="A787" s="1" t="s">
        <v>444</v>
      </c>
      <c r="B787" s="1">
        <v>50.0</v>
      </c>
      <c r="C787" s="2"/>
      <c r="D787" s="2"/>
      <c r="E787" s="2"/>
      <c r="F787" s="2"/>
      <c r="G787" s="2"/>
    </row>
    <row r="788">
      <c r="A788" s="1" t="s">
        <v>445</v>
      </c>
      <c r="B788" s="1">
        <v>0.0</v>
      </c>
      <c r="C788" s="2"/>
      <c r="D788" s="2"/>
      <c r="E788" s="2"/>
      <c r="F788" s="2"/>
      <c r="G788" s="2"/>
    </row>
    <row r="789">
      <c r="A789" s="1" t="s">
        <v>446</v>
      </c>
      <c r="B789" s="1">
        <v>92.0</v>
      </c>
      <c r="C789" s="2"/>
      <c r="D789" s="2"/>
      <c r="E789" s="2"/>
      <c r="F789" s="2"/>
      <c r="G789" s="2"/>
    </row>
    <row r="790">
      <c r="A790" s="1" t="s">
        <v>447</v>
      </c>
      <c r="B790" s="1">
        <v>0.0</v>
      </c>
      <c r="C790" s="2"/>
      <c r="D790" s="2"/>
      <c r="E790" s="2"/>
      <c r="F790" s="2"/>
      <c r="G790" s="2"/>
    </row>
    <row r="791">
      <c r="A791" s="1" t="s">
        <v>448</v>
      </c>
      <c r="B791" s="1">
        <v>0.0</v>
      </c>
      <c r="C791" s="2"/>
      <c r="D791" s="2"/>
      <c r="E791" s="2"/>
      <c r="F791" s="2"/>
      <c r="G791" s="2"/>
    </row>
    <row r="792">
      <c r="A792" s="1" t="s">
        <v>449</v>
      </c>
      <c r="B792" s="1">
        <v>89.0</v>
      </c>
      <c r="C792" s="2"/>
      <c r="D792" s="2"/>
      <c r="E792" s="2"/>
      <c r="F792" s="2"/>
      <c r="G792" s="2"/>
    </row>
    <row r="793">
      <c r="A793" s="1" t="s">
        <v>450</v>
      </c>
      <c r="B793" s="1">
        <v>0.0</v>
      </c>
      <c r="C793" s="2"/>
      <c r="D793" s="2"/>
      <c r="E793" s="2"/>
      <c r="F793" s="2"/>
      <c r="G793" s="2"/>
    </row>
    <row r="794">
      <c r="A794" s="1" t="s">
        <v>451</v>
      </c>
      <c r="B794" s="1">
        <v>9.0</v>
      </c>
      <c r="C794" s="2"/>
      <c r="D794" s="2"/>
      <c r="E794" s="2"/>
      <c r="F794" s="2"/>
      <c r="G794" s="2"/>
    </row>
    <row r="795">
      <c r="A795" s="1" t="s">
        <v>452</v>
      </c>
      <c r="B795" s="1">
        <v>40.0</v>
      </c>
      <c r="C795" s="2"/>
      <c r="D795" s="2"/>
      <c r="E795" s="2"/>
      <c r="F795" s="2"/>
      <c r="G795" s="2"/>
    </row>
    <row r="796">
      <c r="A796" s="1" t="s">
        <v>453</v>
      </c>
      <c r="B796" s="1">
        <v>90.0</v>
      </c>
      <c r="C796" s="2"/>
      <c r="D796" s="2"/>
      <c r="E796" s="2"/>
      <c r="F796" s="2"/>
      <c r="G796" s="2"/>
    </row>
    <row r="797">
      <c r="A797" s="1" t="s">
        <v>454</v>
      </c>
      <c r="B797" s="1">
        <v>0.0</v>
      </c>
      <c r="C797" s="2"/>
      <c r="D797" s="2"/>
      <c r="E797" s="2"/>
      <c r="F797" s="2"/>
      <c r="G797" s="2"/>
    </row>
    <row r="798">
      <c r="A798" s="1" t="s">
        <v>455</v>
      </c>
      <c r="B798" s="1">
        <v>32.0</v>
      </c>
      <c r="C798" s="2"/>
      <c r="D798" s="2"/>
      <c r="E798" s="2"/>
      <c r="F798" s="2"/>
      <c r="G798" s="2"/>
    </row>
    <row r="799">
      <c r="A799" s="1" t="s">
        <v>456</v>
      </c>
      <c r="B799" s="1">
        <v>48.0</v>
      </c>
      <c r="C799" s="2"/>
      <c r="D799" s="2"/>
      <c r="E799" s="2"/>
      <c r="F799" s="2"/>
      <c r="G799" s="2"/>
    </row>
    <row r="800">
      <c r="A800" s="1" t="s">
        <v>457</v>
      </c>
      <c r="B800" s="1">
        <v>0.0</v>
      </c>
      <c r="C800" s="2"/>
      <c r="D800" s="2"/>
      <c r="E800" s="2"/>
      <c r="F800" s="2"/>
      <c r="G800" s="2"/>
    </row>
    <row r="801">
      <c r="A801" s="1" t="s">
        <v>458</v>
      </c>
      <c r="B801" s="1">
        <v>0.0</v>
      </c>
      <c r="C801" s="2"/>
      <c r="D801" s="2"/>
      <c r="E801" s="2"/>
      <c r="F801" s="2"/>
      <c r="G801" s="2"/>
    </row>
    <row r="802">
      <c r="A802" s="1" t="s">
        <v>459</v>
      </c>
      <c r="B802" s="1">
        <v>50.0</v>
      </c>
      <c r="C802" s="2"/>
      <c r="D802" s="2"/>
      <c r="E802" s="2"/>
      <c r="F802" s="2"/>
      <c r="G802" s="2"/>
    </row>
    <row r="803">
      <c r="A803" s="1" t="s">
        <v>460</v>
      </c>
      <c r="B803" s="1">
        <v>0.0</v>
      </c>
      <c r="C803" s="2"/>
      <c r="D803" s="2"/>
      <c r="E803" s="2"/>
      <c r="F803" s="2"/>
      <c r="G803" s="2"/>
    </row>
    <row r="804">
      <c r="A804" s="1" t="s">
        <v>461</v>
      </c>
      <c r="B804" s="1" t="s">
        <v>462</v>
      </c>
      <c r="C804" s="1" t="s">
        <v>463</v>
      </c>
      <c r="D804" s="1">
        <v>62.0</v>
      </c>
      <c r="E804" s="2"/>
      <c r="F804" s="2"/>
      <c r="G804" s="2"/>
    </row>
    <row r="805">
      <c r="A805" s="1" t="s">
        <v>464</v>
      </c>
      <c r="B805" s="1" t="s">
        <v>465</v>
      </c>
      <c r="C805" s="1">
        <v>0.0</v>
      </c>
      <c r="D805" s="2"/>
      <c r="E805" s="2"/>
      <c r="F805" s="2"/>
      <c r="G805" s="2"/>
    </row>
    <row r="806">
      <c r="A806" s="1" t="s">
        <v>466</v>
      </c>
      <c r="B806" s="1">
        <v>0.0</v>
      </c>
      <c r="C806" s="2"/>
      <c r="D806" s="2"/>
      <c r="E806" s="2"/>
      <c r="F806" s="2"/>
      <c r="G806" s="2"/>
    </row>
    <row r="807">
      <c r="A807" s="1" t="s">
        <v>467</v>
      </c>
      <c r="B807" s="1">
        <v>0.0</v>
      </c>
      <c r="C807" s="2"/>
      <c r="D807" s="2"/>
      <c r="E807" s="2"/>
      <c r="F807" s="2"/>
      <c r="G807" s="2"/>
    </row>
    <row r="808">
      <c r="A808" s="1" t="s">
        <v>468</v>
      </c>
      <c r="B808" s="1">
        <v>0.0</v>
      </c>
      <c r="C808" s="2"/>
      <c r="D808" s="2"/>
      <c r="E808" s="2"/>
      <c r="F808" s="2"/>
      <c r="G808" s="2"/>
    </row>
    <row r="809">
      <c r="A809" s="1" t="s">
        <v>469</v>
      </c>
      <c r="B809" s="1">
        <v>0.0</v>
      </c>
      <c r="C809" s="2"/>
      <c r="D809" s="2"/>
      <c r="E809" s="2"/>
      <c r="F809" s="2"/>
      <c r="G809" s="2"/>
    </row>
    <row r="810">
      <c r="A810" s="1" t="s">
        <v>470</v>
      </c>
      <c r="B810" s="1">
        <v>10.0</v>
      </c>
      <c r="C810" s="2"/>
      <c r="D810" s="2"/>
      <c r="E810" s="2"/>
      <c r="F810" s="2"/>
      <c r="G810" s="2"/>
    </row>
    <row r="811">
      <c r="A811" s="1" t="s">
        <v>471</v>
      </c>
      <c r="B811" s="1">
        <v>0.0</v>
      </c>
      <c r="C811" s="2"/>
      <c r="D811" s="2"/>
      <c r="E811" s="2"/>
      <c r="F811" s="2"/>
      <c r="G811" s="2"/>
    </row>
    <row r="812">
      <c r="A812" s="1" t="s">
        <v>472</v>
      </c>
      <c r="B812" s="1">
        <v>29.0</v>
      </c>
      <c r="C812" s="2"/>
      <c r="D812" s="2"/>
      <c r="E812" s="2"/>
      <c r="F812" s="2"/>
      <c r="G812" s="2"/>
    </row>
    <row r="813">
      <c r="A813" s="1" t="s">
        <v>473</v>
      </c>
      <c r="B813" s="1">
        <v>0.0</v>
      </c>
      <c r="C813" s="2"/>
      <c r="D813" s="2"/>
      <c r="E813" s="2"/>
      <c r="F813" s="2"/>
      <c r="G813" s="2"/>
    </row>
    <row r="814">
      <c r="A814" s="1" t="s">
        <v>474</v>
      </c>
      <c r="B814" s="1">
        <v>65.0</v>
      </c>
      <c r="C814" s="2"/>
      <c r="D814" s="2"/>
      <c r="E814" s="2"/>
      <c r="F814" s="2"/>
      <c r="G814" s="2"/>
    </row>
    <row r="815">
      <c r="A815" s="1" t="s">
        <v>475</v>
      </c>
      <c r="B815" s="1">
        <v>0.0</v>
      </c>
      <c r="C815" s="2"/>
      <c r="D815" s="2"/>
      <c r="E815" s="2"/>
      <c r="F815" s="2"/>
      <c r="G815" s="2"/>
    </row>
    <row r="816">
      <c r="A816" s="1" t="s">
        <v>476</v>
      </c>
      <c r="B816" s="1">
        <v>0.0</v>
      </c>
      <c r="C816" s="2"/>
      <c r="D816" s="2"/>
      <c r="E816" s="2"/>
      <c r="F816" s="2"/>
      <c r="G816" s="2"/>
    </row>
    <row r="817">
      <c r="A817" s="1" t="s">
        <v>477</v>
      </c>
      <c r="B817" s="1">
        <v>0.0</v>
      </c>
      <c r="C817" s="2"/>
      <c r="D817" s="2"/>
      <c r="E817" s="2"/>
      <c r="F817" s="2"/>
      <c r="G817" s="2"/>
    </row>
    <row r="818">
      <c r="A818" s="1" t="s">
        <v>478</v>
      </c>
      <c r="B818" s="1">
        <v>0.0</v>
      </c>
      <c r="C818" s="2"/>
      <c r="D818" s="2"/>
      <c r="E818" s="2"/>
      <c r="F818" s="2"/>
      <c r="G818" s="2"/>
    </row>
    <row r="819">
      <c r="A819" s="1" t="s">
        <v>479</v>
      </c>
      <c r="B819" s="1">
        <v>12.0</v>
      </c>
      <c r="C819" s="2"/>
      <c r="D819" s="2"/>
      <c r="E819" s="2"/>
      <c r="F819" s="2"/>
      <c r="G819" s="2"/>
    </row>
    <row r="820">
      <c r="A820" s="1" t="s">
        <v>480</v>
      </c>
      <c r="B820" s="1">
        <v>0.0</v>
      </c>
      <c r="C820" s="2"/>
      <c r="D820" s="2"/>
      <c r="E820" s="2"/>
      <c r="F820" s="2"/>
      <c r="G820" s="2"/>
    </row>
    <row r="821">
      <c r="A821" s="1" t="s">
        <v>481</v>
      </c>
      <c r="B821" s="1" t="s">
        <v>482</v>
      </c>
      <c r="C821" s="1">
        <v>95.0</v>
      </c>
      <c r="D821" s="2"/>
      <c r="E821" s="2"/>
      <c r="F821" s="2"/>
      <c r="G821" s="2"/>
    </row>
    <row r="822">
      <c r="A822" s="1" t="s">
        <v>483</v>
      </c>
      <c r="B822" s="1">
        <v>0.0</v>
      </c>
      <c r="C822" s="2"/>
      <c r="D822" s="2"/>
      <c r="E822" s="2"/>
      <c r="F822" s="2"/>
      <c r="G822" s="2"/>
    </row>
    <row r="823">
      <c r="A823" s="1" t="s">
        <v>484</v>
      </c>
      <c r="B823" s="1">
        <v>11.0</v>
      </c>
      <c r="C823" s="2"/>
      <c r="D823" s="2"/>
      <c r="E823" s="2"/>
      <c r="F823" s="2"/>
      <c r="G823" s="2"/>
    </row>
    <row r="824">
      <c r="A824" s="1" t="s">
        <v>485</v>
      </c>
      <c r="B824" s="1">
        <v>0.0</v>
      </c>
      <c r="C824" s="2"/>
      <c r="D824" s="2"/>
      <c r="E824" s="2"/>
      <c r="F824" s="2"/>
      <c r="G824" s="2"/>
    </row>
    <row r="825">
      <c r="A825" s="1" t="s">
        <v>486</v>
      </c>
      <c r="B825" s="1" t="s">
        <v>487</v>
      </c>
      <c r="C825" s="2"/>
      <c r="D825" s="2"/>
      <c r="E825" s="2"/>
      <c r="F825" s="2"/>
      <c r="G825" s="2"/>
    </row>
    <row r="826">
      <c r="A826" s="1" t="s">
        <v>488</v>
      </c>
      <c r="B826" s="1">
        <v>31.0</v>
      </c>
      <c r="C826" s="2"/>
      <c r="D826" s="2"/>
      <c r="E826" s="2"/>
      <c r="F826" s="2"/>
      <c r="G826" s="2"/>
    </row>
    <row r="827">
      <c r="A827" s="1" t="s">
        <v>489</v>
      </c>
      <c r="B827" s="2"/>
      <c r="C827" s="2"/>
      <c r="D827" s="2"/>
      <c r="E827" s="2"/>
      <c r="F827" s="2"/>
      <c r="G827" s="2"/>
    </row>
    <row r="828">
      <c r="A828" s="1" t="s">
        <v>490</v>
      </c>
      <c r="B828" s="1">
        <v>0.0</v>
      </c>
      <c r="C828" s="2"/>
      <c r="D828" s="2"/>
      <c r="E828" s="2"/>
      <c r="F828" s="2"/>
      <c r="G828" s="2"/>
    </row>
    <row r="829">
      <c r="A829" s="1" t="s">
        <v>491</v>
      </c>
      <c r="B829" s="1">
        <v>0.0</v>
      </c>
      <c r="C829" s="2"/>
      <c r="D829" s="2"/>
      <c r="E829" s="2"/>
      <c r="F829" s="2"/>
      <c r="G829" s="2"/>
    </row>
    <row r="830">
      <c r="A830" s="1" t="s">
        <v>492</v>
      </c>
      <c r="B830" s="1">
        <v>0.0</v>
      </c>
      <c r="C830" s="2"/>
      <c r="D830" s="2"/>
      <c r="E830" s="2"/>
      <c r="F830" s="2"/>
      <c r="G830" s="2"/>
    </row>
    <row r="831">
      <c r="A831" s="1" t="s">
        <v>493</v>
      </c>
      <c r="B831" s="1">
        <v>9.0</v>
      </c>
      <c r="C831" s="2"/>
      <c r="D831" s="2"/>
      <c r="E831" s="2"/>
      <c r="F831" s="2"/>
      <c r="G831" s="2"/>
    </row>
    <row r="832">
      <c r="A832" s="1" t="s">
        <v>494</v>
      </c>
      <c r="B832" s="1">
        <v>0.0</v>
      </c>
      <c r="C832" s="2"/>
      <c r="D832" s="2"/>
      <c r="E832" s="2"/>
      <c r="F832" s="2"/>
      <c r="G832" s="2"/>
    </row>
    <row r="833">
      <c r="A833" s="1" t="s">
        <v>495</v>
      </c>
      <c r="B833" s="1">
        <v>0.0</v>
      </c>
      <c r="C833" s="2"/>
      <c r="D833" s="2"/>
      <c r="E833" s="2"/>
      <c r="F833" s="2"/>
      <c r="G833" s="2"/>
    </row>
    <row r="834">
      <c r="A834" s="1" t="s">
        <v>496</v>
      </c>
      <c r="B834" s="1">
        <v>80.0</v>
      </c>
      <c r="C834" s="2"/>
      <c r="D834" s="2"/>
      <c r="E834" s="2"/>
      <c r="F834" s="2"/>
      <c r="G834" s="2"/>
    </row>
    <row r="835">
      <c r="A835" s="1" t="s">
        <v>497</v>
      </c>
      <c r="B835" s="1">
        <v>0.0</v>
      </c>
      <c r="C835" s="2"/>
      <c r="D835" s="2"/>
      <c r="E835" s="2"/>
      <c r="F835" s="2"/>
      <c r="G835" s="2"/>
    </row>
    <row r="836">
      <c r="A836" s="1" t="s">
        <v>498</v>
      </c>
      <c r="B836" s="1">
        <v>14.0</v>
      </c>
      <c r="C836" s="2"/>
      <c r="D836" s="2"/>
      <c r="E836" s="2"/>
      <c r="F836" s="2"/>
      <c r="G836" s="2"/>
    </row>
    <row r="837">
      <c r="A837" s="1" t="s">
        <v>499</v>
      </c>
      <c r="B837" s="1" t="s">
        <v>500</v>
      </c>
      <c r="C837" s="1">
        <v>18.0</v>
      </c>
      <c r="D837" s="2"/>
      <c r="E837" s="2"/>
      <c r="F837" s="2"/>
      <c r="G837" s="2"/>
    </row>
    <row r="838">
      <c r="A838" s="1" t="s">
        <v>501</v>
      </c>
      <c r="B838" s="1" t="s">
        <v>502</v>
      </c>
      <c r="C838" s="2"/>
      <c r="D838" s="2"/>
      <c r="E838" s="2"/>
      <c r="F838" s="2"/>
      <c r="G838" s="2"/>
    </row>
    <row r="839">
      <c r="A839" s="1" t="s">
        <v>503</v>
      </c>
      <c r="B839" s="1">
        <v>90.0</v>
      </c>
      <c r="C839" s="2"/>
      <c r="D839" s="2"/>
      <c r="E839" s="2"/>
      <c r="F839" s="2"/>
      <c r="G839" s="2"/>
    </row>
    <row r="840">
      <c r="A840" s="1" t="s">
        <v>504</v>
      </c>
      <c r="B840" s="2"/>
      <c r="C840" s="2"/>
      <c r="D840" s="2"/>
      <c r="E840" s="2"/>
      <c r="F840" s="2"/>
      <c r="G840" s="2"/>
    </row>
    <row r="841">
      <c r="A841" s="1" t="s">
        <v>505</v>
      </c>
      <c r="B841" s="1">
        <v>53.0</v>
      </c>
      <c r="C841" s="2"/>
      <c r="D841" s="2"/>
      <c r="E841" s="2"/>
      <c r="F841" s="2"/>
      <c r="G841" s="2"/>
    </row>
    <row r="842">
      <c r="A842" s="1" t="s">
        <v>506</v>
      </c>
      <c r="B842" s="1">
        <v>82.0</v>
      </c>
      <c r="C842" s="2"/>
      <c r="D842" s="2"/>
      <c r="E842" s="2"/>
      <c r="F842" s="2"/>
      <c r="G842" s="2"/>
    </row>
    <row r="843">
      <c r="A843" s="1" t="s">
        <v>507</v>
      </c>
      <c r="B843" s="1">
        <v>0.0</v>
      </c>
      <c r="C843" s="2"/>
      <c r="D843" s="2"/>
      <c r="E843" s="2"/>
      <c r="F843" s="2"/>
      <c r="G843" s="2"/>
    </row>
    <row r="844">
      <c r="A844" s="1" t="s">
        <v>508</v>
      </c>
      <c r="B844" s="1">
        <v>70.0</v>
      </c>
      <c r="C844" s="2"/>
      <c r="D844" s="2"/>
      <c r="E844" s="2"/>
      <c r="F844" s="2"/>
      <c r="G844" s="2"/>
    </row>
    <row r="845">
      <c r="A845" s="1" t="s">
        <v>509</v>
      </c>
      <c r="B845" s="1">
        <v>0.0</v>
      </c>
      <c r="C845" s="2"/>
      <c r="D845" s="2"/>
      <c r="E845" s="2"/>
      <c r="F845" s="2"/>
      <c r="G845" s="2"/>
    </row>
    <row r="846">
      <c r="A846" s="1" t="s">
        <v>510</v>
      </c>
      <c r="B846" s="1">
        <v>0.0</v>
      </c>
      <c r="C846" s="2"/>
      <c r="D846" s="2"/>
      <c r="E846" s="2"/>
      <c r="F846" s="2"/>
      <c r="G846" s="2"/>
    </row>
    <row r="847">
      <c r="A847" s="1" t="s">
        <v>511</v>
      </c>
      <c r="B847" s="1">
        <v>99.0</v>
      </c>
      <c r="C847" s="2"/>
      <c r="D847" s="2"/>
      <c r="E847" s="2"/>
      <c r="F847" s="2"/>
      <c r="G847" s="2"/>
    </row>
    <row r="848">
      <c r="A848" s="1" t="s">
        <v>512</v>
      </c>
      <c r="B848" s="1">
        <v>15.0</v>
      </c>
      <c r="C848" s="2"/>
      <c r="D848" s="2"/>
      <c r="E848" s="2"/>
      <c r="F848" s="2"/>
      <c r="G848" s="2"/>
    </row>
    <row r="849">
      <c r="A849" s="1" t="s">
        <v>513</v>
      </c>
      <c r="B849" s="1">
        <v>0.0</v>
      </c>
      <c r="C849" s="2"/>
      <c r="D849" s="2"/>
      <c r="E849" s="2"/>
      <c r="F849" s="2"/>
      <c r="G849" s="2"/>
    </row>
    <row r="850">
      <c r="A850" s="1" t="s">
        <v>514</v>
      </c>
      <c r="B850" s="1">
        <v>0.0</v>
      </c>
      <c r="C850" s="2"/>
      <c r="D850" s="2"/>
      <c r="E850" s="2"/>
      <c r="F850" s="2"/>
      <c r="G850" s="2"/>
    </row>
    <row r="851">
      <c r="A851" s="1" t="s">
        <v>515</v>
      </c>
      <c r="B851" s="1">
        <v>64.0</v>
      </c>
      <c r="C851" s="2"/>
      <c r="D851" s="2"/>
      <c r="E851" s="2"/>
      <c r="F851" s="2"/>
      <c r="G851" s="2"/>
    </row>
    <row r="852">
      <c r="A852" s="1" t="s">
        <v>516</v>
      </c>
      <c r="B852" s="1">
        <v>0.0</v>
      </c>
      <c r="C852" s="2"/>
      <c r="D852" s="2"/>
      <c r="E852" s="2"/>
      <c r="F852" s="2"/>
      <c r="G852" s="2"/>
    </row>
    <row r="853">
      <c r="A853" s="1" t="s">
        <v>517</v>
      </c>
      <c r="B853" s="1">
        <v>0.0</v>
      </c>
      <c r="C853" s="2"/>
      <c r="D853" s="2"/>
      <c r="E853" s="2"/>
      <c r="F853" s="2"/>
      <c r="G853" s="2"/>
    </row>
    <row r="854">
      <c r="A854" s="1" t="s">
        <v>518</v>
      </c>
      <c r="B854" s="1">
        <v>0.0</v>
      </c>
      <c r="C854" s="2"/>
      <c r="D854" s="2"/>
      <c r="E854" s="2"/>
      <c r="F854" s="2"/>
      <c r="G854" s="2"/>
    </row>
    <row r="855">
      <c r="A855" s="1" t="s">
        <v>519</v>
      </c>
      <c r="B855" s="1">
        <v>0.0</v>
      </c>
      <c r="C855" s="2"/>
      <c r="D855" s="2"/>
      <c r="E855" s="2"/>
      <c r="F855" s="2"/>
      <c r="G855" s="2"/>
    </row>
    <row r="856">
      <c r="A856" s="1" t="s">
        <v>520</v>
      </c>
      <c r="B856" s="1">
        <v>0.0</v>
      </c>
      <c r="C856" s="2"/>
      <c r="D856" s="2"/>
      <c r="E856" s="2"/>
      <c r="F856" s="2"/>
      <c r="G856" s="2"/>
    </row>
    <row r="857">
      <c r="A857" s="1" t="s">
        <v>521</v>
      </c>
      <c r="B857" s="1">
        <v>62.0</v>
      </c>
      <c r="C857" s="2"/>
      <c r="D857" s="2"/>
      <c r="E857" s="2"/>
      <c r="F857" s="2"/>
      <c r="G857" s="2"/>
    </row>
    <row r="858">
      <c r="A858" s="1" t="s">
        <v>522</v>
      </c>
      <c r="B858" s="1">
        <v>82.0</v>
      </c>
      <c r="C858" s="2"/>
      <c r="D858" s="2"/>
      <c r="E858" s="2"/>
      <c r="F858" s="2"/>
      <c r="G858" s="2"/>
    </row>
    <row r="859">
      <c r="A859" s="1" t="s">
        <v>523</v>
      </c>
      <c r="B859" s="1">
        <v>0.0</v>
      </c>
      <c r="C859" s="2"/>
      <c r="D859" s="2"/>
      <c r="E859" s="2"/>
      <c r="F859" s="2"/>
      <c r="G859" s="2"/>
    </row>
    <row r="860">
      <c r="A860" s="1" t="s">
        <v>524</v>
      </c>
      <c r="B860" s="1">
        <v>60.0</v>
      </c>
      <c r="C860" s="2"/>
      <c r="D860" s="2"/>
      <c r="E860" s="2"/>
      <c r="F860" s="2"/>
      <c r="G860" s="2"/>
    </row>
    <row r="861">
      <c r="A861" s="1" t="s">
        <v>525</v>
      </c>
      <c r="B861" s="1">
        <v>0.0</v>
      </c>
      <c r="C861" s="2"/>
      <c r="D861" s="2"/>
      <c r="E861" s="2"/>
      <c r="F861" s="2"/>
      <c r="G861" s="2"/>
    </row>
    <row r="862">
      <c r="A862" s="1" t="s">
        <v>526</v>
      </c>
      <c r="B862" s="1">
        <v>90.0</v>
      </c>
      <c r="C862" s="2"/>
      <c r="D862" s="2"/>
      <c r="E862" s="2"/>
      <c r="F862" s="2"/>
      <c r="G862" s="2"/>
    </row>
    <row r="863">
      <c r="A863" s="1" t="s">
        <v>527</v>
      </c>
      <c r="B863" s="1">
        <v>0.0</v>
      </c>
      <c r="C863" s="2"/>
      <c r="D863" s="2"/>
      <c r="E863" s="2"/>
      <c r="F863" s="2"/>
      <c r="G863" s="2"/>
    </row>
    <row r="864">
      <c r="A864" s="1" t="s">
        <v>528</v>
      </c>
      <c r="B864" s="1">
        <v>0.0</v>
      </c>
      <c r="C864" s="2"/>
      <c r="D864" s="2"/>
      <c r="E864" s="2"/>
      <c r="F864" s="2"/>
      <c r="G864" s="2"/>
    </row>
    <row r="865">
      <c r="A865" s="1" t="s">
        <v>529</v>
      </c>
      <c r="B865" s="1">
        <v>0.0</v>
      </c>
      <c r="C865" s="2"/>
      <c r="D865" s="2"/>
      <c r="E865" s="2"/>
      <c r="F865" s="2"/>
      <c r="G865" s="2"/>
    </row>
    <row r="866">
      <c r="A866" s="1" t="s">
        <v>530</v>
      </c>
      <c r="B866" s="1">
        <v>0.0</v>
      </c>
      <c r="C866" s="2"/>
      <c r="D866" s="2"/>
      <c r="E866" s="2"/>
      <c r="F866" s="2"/>
      <c r="G866" s="2"/>
    </row>
    <row r="867">
      <c r="A867" s="1" t="s">
        <v>531</v>
      </c>
      <c r="B867" s="1">
        <v>0.0</v>
      </c>
      <c r="C867" s="2"/>
      <c r="D867" s="2"/>
      <c r="E867" s="2"/>
      <c r="F867" s="2"/>
      <c r="G867" s="2"/>
    </row>
    <row r="868">
      <c r="A868" s="1" t="s">
        <v>532</v>
      </c>
      <c r="B868" s="1">
        <v>24.0</v>
      </c>
      <c r="C868" s="2"/>
      <c r="D868" s="2"/>
      <c r="E868" s="2"/>
      <c r="F868" s="2"/>
      <c r="G868" s="2"/>
    </row>
    <row r="869">
      <c r="A869" s="1" t="s">
        <v>533</v>
      </c>
      <c r="B869" s="1">
        <v>21.0</v>
      </c>
      <c r="C869" s="2"/>
      <c r="D869" s="2"/>
      <c r="E869" s="2"/>
      <c r="F869" s="2"/>
      <c r="G869" s="2"/>
    </row>
    <row r="870">
      <c r="A870" s="1" t="s">
        <v>534</v>
      </c>
      <c r="B870" s="1">
        <v>0.0</v>
      </c>
      <c r="C870" s="2"/>
      <c r="D870" s="2"/>
      <c r="E870" s="2"/>
      <c r="F870" s="2"/>
      <c r="G870" s="2"/>
    </row>
    <row r="871">
      <c r="A871" s="1" t="s">
        <v>535</v>
      </c>
      <c r="B871" s="1">
        <v>28.0</v>
      </c>
      <c r="C871" s="2"/>
      <c r="D871" s="2"/>
      <c r="E871" s="2"/>
      <c r="F871" s="2"/>
      <c r="G871" s="2"/>
    </row>
    <row r="872">
      <c r="A872" s="1" t="s">
        <v>536</v>
      </c>
      <c r="B872" s="1">
        <v>0.0</v>
      </c>
      <c r="C872" s="2"/>
      <c r="D872" s="2"/>
      <c r="E872" s="2"/>
      <c r="F872" s="2"/>
      <c r="G872" s="2"/>
    </row>
    <row r="873">
      <c r="A873" s="1" t="s">
        <v>537</v>
      </c>
      <c r="B873" s="1">
        <v>0.0</v>
      </c>
      <c r="C873" s="2"/>
      <c r="D873" s="2"/>
      <c r="E873" s="2"/>
      <c r="F873" s="2"/>
      <c r="G873" s="2"/>
    </row>
    <row r="874">
      <c r="A874" s="1" t="s">
        <v>538</v>
      </c>
      <c r="B874" s="1">
        <v>50.0</v>
      </c>
      <c r="C874" s="2"/>
      <c r="D874" s="2"/>
      <c r="E874" s="2"/>
      <c r="F874" s="2"/>
      <c r="G874" s="2"/>
    </row>
    <row r="875">
      <c r="A875" s="1" t="s">
        <v>539</v>
      </c>
      <c r="B875" s="1">
        <v>58.0</v>
      </c>
      <c r="C875" s="2"/>
      <c r="D875" s="2"/>
      <c r="E875" s="2"/>
      <c r="F875" s="2"/>
      <c r="G875" s="2"/>
    </row>
    <row r="876">
      <c r="A876" s="1" t="s">
        <v>540</v>
      </c>
      <c r="B876" s="1">
        <v>0.0</v>
      </c>
      <c r="C876" s="2"/>
      <c r="D876" s="2"/>
      <c r="E876" s="2"/>
      <c r="F876" s="2"/>
      <c r="G876" s="2"/>
    </row>
    <row r="877">
      <c r="A877" s="1" t="s">
        <v>541</v>
      </c>
      <c r="B877" s="1">
        <v>0.0</v>
      </c>
      <c r="C877" s="2"/>
      <c r="D877" s="2"/>
      <c r="E877" s="2"/>
      <c r="F877" s="2"/>
      <c r="G877" s="2"/>
    </row>
    <row r="878">
      <c r="A878" s="1" t="s">
        <v>542</v>
      </c>
      <c r="B878" s="1">
        <v>0.0</v>
      </c>
      <c r="C878" s="2"/>
      <c r="D878" s="2"/>
      <c r="E878" s="2"/>
      <c r="F878" s="2"/>
      <c r="G878" s="2"/>
    </row>
    <row r="879">
      <c r="A879" s="1" t="s">
        <v>543</v>
      </c>
      <c r="B879" s="1">
        <v>0.0</v>
      </c>
      <c r="C879" s="2"/>
      <c r="D879" s="2"/>
      <c r="E879" s="2"/>
      <c r="F879" s="2"/>
      <c r="G879" s="2"/>
    </row>
    <row r="880">
      <c r="A880" s="1" t="s">
        <v>544</v>
      </c>
      <c r="B880" s="1">
        <v>85.0</v>
      </c>
      <c r="C880" s="2"/>
      <c r="D880" s="2"/>
      <c r="E880" s="2"/>
      <c r="F880" s="2"/>
      <c r="G880" s="2"/>
    </row>
    <row r="881">
      <c r="A881" s="1" t="s">
        <v>545</v>
      </c>
      <c r="B881" s="1">
        <v>0.0</v>
      </c>
      <c r="C881" s="2"/>
      <c r="D881" s="2"/>
      <c r="E881" s="2"/>
      <c r="F881" s="2"/>
      <c r="G881" s="2"/>
    </row>
    <row r="882">
      <c r="A882" s="1" t="s">
        <v>546</v>
      </c>
      <c r="B882" s="1">
        <v>5.0</v>
      </c>
      <c r="C882" s="2"/>
      <c r="D882" s="2"/>
      <c r="E882" s="2"/>
      <c r="F882" s="2"/>
      <c r="G882" s="2"/>
    </row>
    <row r="883">
      <c r="A883" s="1" t="s">
        <v>547</v>
      </c>
      <c r="B883" s="1">
        <v>0.0</v>
      </c>
      <c r="C883" s="2"/>
      <c r="D883" s="2"/>
      <c r="E883" s="2"/>
      <c r="F883" s="2"/>
      <c r="G883" s="2"/>
    </row>
    <row r="884">
      <c r="A884" s="1" t="s">
        <v>548</v>
      </c>
      <c r="B884" s="1">
        <v>0.0</v>
      </c>
      <c r="C884" s="2"/>
      <c r="D884" s="2"/>
      <c r="E884" s="2"/>
      <c r="F884" s="2"/>
      <c r="G884" s="2"/>
    </row>
    <row r="885">
      <c r="A885" s="1" t="s">
        <v>549</v>
      </c>
      <c r="B885" s="1" t="s">
        <v>550</v>
      </c>
      <c r="C885" s="1">
        <v>0.0</v>
      </c>
      <c r="D885" s="2"/>
      <c r="E885" s="2"/>
      <c r="F885" s="2"/>
      <c r="G885" s="2"/>
    </row>
    <row r="886">
      <c r="A886" s="1" t="s">
        <v>551</v>
      </c>
      <c r="B886" s="1" t="s">
        <v>552</v>
      </c>
      <c r="C886" s="1">
        <v>18.0</v>
      </c>
      <c r="D886" s="2"/>
      <c r="E886" s="2"/>
      <c r="F886" s="2"/>
      <c r="G886" s="2"/>
    </row>
    <row r="887">
      <c r="A887" s="1" t="s">
        <v>553</v>
      </c>
      <c r="B887" s="1">
        <v>0.0</v>
      </c>
      <c r="C887" s="2"/>
      <c r="D887" s="2"/>
      <c r="E887" s="2"/>
      <c r="F887" s="2"/>
      <c r="G887" s="2"/>
    </row>
    <row r="888">
      <c r="A888" s="1" t="s">
        <v>554</v>
      </c>
      <c r="B888" s="1">
        <v>0.0</v>
      </c>
      <c r="C888" s="2"/>
      <c r="D888" s="2"/>
      <c r="E888" s="2"/>
      <c r="F888" s="2"/>
      <c r="G888" s="2"/>
    </row>
    <row r="889">
      <c r="A889" s="1" t="s">
        <v>555</v>
      </c>
      <c r="B889" s="1">
        <v>46.0</v>
      </c>
      <c r="C889" s="2"/>
      <c r="D889" s="2"/>
      <c r="E889" s="2"/>
      <c r="F889" s="2"/>
      <c r="G889" s="2"/>
    </row>
    <row r="890">
      <c r="A890" s="1" t="s">
        <v>556</v>
      </c>
      <c r="B890" s="1">
        <v>0.0</v>
      </c>
      <c r="C890" s="2"/>
      <c r="D890" s="2"/>
      <c r="E890" s="2"/>
      <c r="F890" s="2"/>
      <c r="G890" s="2"/>
    </row>
    <row r="891">
      <c r="A891" s="1" t="s">
        <v>557</v>
      </c>
      <c r="B891" s="1">
        <v>0.0</v>
      </c>
      <c r="C891" s="2"/>
      <c r="D891" s="2"/>
      <c r="E891" s="2"/>
      <c r="F891" s="2"/>
      <c r="G891" s="2"/>
    </row>
    <row r="892">
      <c r="A892" s="1" t="s">
        <v>558</v>
      </c>
      <c r="B892" s="1">
        <v>0.0</v>
      </c>
      <c r="C892" s="2"/>
      <c r="D892" s="2"/>
      <c r="E892" s="2"/>
      <c r="F892" s="2"/>
      <c r="G892" s="2"/>
    </row>
    <row r="893">
      <c r="A893" s="1" t="s">
        <v>559</v>
      </c>
      <c r="B893" s="1">
        <v>0.0</v>
      </c>
      <c r="C893" s="2"/>
      <c r="D893" s="2"/>
      <c r="E893" s="2"/>
      <c r="F893" s="2"/>
      <c r="G893" s="2"/>
    </row>
    <row r="894">
      <c r="A894" s="1" t="s">
        <v>560</v>
      </c>
      <c r="B894" s="1">
        <v>58.0</v>
      </c>
      <c r="C894" s="2"/>
      <c r="D894" s="2"/>
      <c r="E894" s="2"/>
      <c r="F894" s="2"/>
      <c r="G894" s="2"/>
    </row>
    <row r="895">
      <c r="A895" s="1" t="s">
        <v>561</v>
      </c>
      <c r="B895" s="1">
        <v>0.0</v>
      </c>
      <c r="C895" s="2"/>
      <c r="D895" s="2"/>
      <c r="E895" s="2"/>
      <c r="F895" s="2"/>
      <c r="G895" s="2"/>
    </row>
    <row r="896">
      <c r="A896" s="1" t="s">
        <v>562</v>
      </c>
      <c r="B896" s="1">
        <v>60.0</v>
      </c>
      <c r="C896" s="2"/>
      <c r="D896" s="2"/>
      <c r="E896" s="2"/>
      <c r="F896" s="2"/>
      <c r="G896" s="2"/>
    </row>
    <row r="897">
      <c r="A897" s="1" t="s">
        <v>563</v>
      </c>
      <c r="B897" s="1">
        <v>0.0</v>
      </c>
      <c r="C897" s="2"/>
      <c r="D897" s="2"/>
      <c r="E897" s="2"/>
      <c r="F897" s="2"/>
      <c r="G897" s="2"/>
    </row>
    <row r="898">
      <c r="A898" s="1" t="s">
        <v>564</v>
      </c>
      <c r="B898" s="1">
        <v>21.0</v>
      </c>
      <c r="C898" s="2"/>
      <c r="D898" s="2"/>
      <c r="E898" s="2"/>
      <c r="F898" s="2"/>
      <c r="G898" s="2"/>
    </row>
    <row r="899">
      <c r="A899" s="1" t="s">
        <v>565</v>
      </c>
      <c r="B899" s="1">
        <v>0.0</v>
      </c>
      <c r="C899" s="2"/>
      <c r="D899" s="2"/>
      <c r="E899" s="2"/>
      <c r="F899" s="2"/>
      <c r="G899" s="2"/>
    </row>
    <row r="900">
      <c r="A900" s="1" t="s">
        <v>566</v>
      </c>
      <c r="B900" s="1">
        <v>0.0</v>
      </c>
      <c r="C900" s="2"/>
      <c r="D900" s="2"/>
      <c r="E900" s="2"/>
      <c r="F900" s="2"/>
      <c r="G900" s="2"/>
    </row>
    <row r="901">
      <c r="A901" s="1" t="s">
        <v>567</v>
      </c>
      <c r="B901" s="1">
        <v>0.0</v>
      </c>
      <c r="C901" s="2"/>
      <c r="D901" s="2"/>
      <c r="E901" s="2"/>
      <c r="F901" s="2"/>
      <c r="G901" s="2"/>
    </row>
    <row r="902">
      <c r="A902" s="1" t="s">
        <v>568</v>
      </c>
      <c r="B902" s="1">
        <v>60.0</v>
      </c>
      <c r="C902" s="2"/>
      <c r="D902" s="2"/>
      <c r="E902" s="2"/>
      <c r="F902" s="2"/>
      <c r="G902" s="2"/>
    </row>
    <row r="903">
      <c r="A903" s="1" t="s">
        <v>569</v>
      </c>
      <c r="B903" s="1">
        <v>50.0</v>
      </c>
      <c r="C903" s="2"/>
      <c r="D903" s="2"/>
      <c r="E903" s="2"/>
      <c r="F903" s="2"/>
      <c r="G903" s="2"/>
    </row>
    <row r="904">
      <c r="A904" s="1" t="s">
        <v>570</v>
      </c>
      <c r="B904" s="1">
        <v>30.0</v>
      </c>
      <c r="C904" s="2"/>
      <c r="D904" s="2"/>
      <c r="E904" s="2"/>
      <c r="F904" s="2"/>
      <c r="G904" s="2"/>
    </row>
    <row r="905">
      <c r="A905" s="1" t="s">
        <v>571</v>
      </c>
      <c r="B905" s="1">
        <v>0.0</v>
      </c>
      <c r="C905" s="2"/>
      <c r="D905" s="2"/>
      <c r="E905" s="2"/>
      <c r="F905" s="2"/>
      <c r="G905" s="2"/>
    </row>
    <row r="906">
      <c r="A906" s="1" t="s">
        <v>572</v>
      </c>
      <c r="B906" s="1">
        <v>0.0</v>
      </c>
      <c r="C906" s="2"/>
      <c r="D906" s="2"/>
      <c r="E906" s="2"/>
      <c r="F906" s="2"/>
      <c r="G906" s="2"/>
    </row>
    <row r="907">
      <c r="A907" s="1" t="s">
        <v>573</v>
      </c>
      <c r="B907" s="1" t="s">
        <v>574</v>
      </c>
      <c r="C907" s="1">
        <v>0.0</v>
      </c>
      <c r="D907" s="2"/>
      <c r="E907" s="2"/>
      <c r="F907" s="2"/>
      <c r="G907" s="2"/>
    </row>
    <row r="908">
      <c r="A908" s="1" t="s">
        <v>575</v>
      </c>
      <c r="B908" s="1">
        <v>0.0</v>
      </c>
      <c r="C908" s="2"/>
      <c r="D908" s="2"/>
      <c r="E908" s="2"/>
      <c r="F908" s="2"/>
      <c r="G908" s="2"/>
    </row>
    <row r="909">
      <c r="A909" s="1" t="s">
        <v>576</v>
      </c>
      <c r="B909" s="1">
        <v>0.0</v>
      </c>
      <c r="C909" s="2"/>
      <c r="D909" s="2"/>
      <c r="E909" s="2"/>
      <c r="F909" s="2"/>
      <c r="G909" s="2"/>
    </row>
    <row r="910">
      <c r="A910" s="1" t="s">
        <v>577</v>
      </c>
      <c r="B910" s="1">
        <v>0.0</v>
      </c>
      <c r="C910" s="2"/>
      <c r="D910" s="2"/>
      <c r="E910" s="2"/>
      <c r="F910" s="2"/>
      <c r="G910" s="2"/>
    </row>
    <row r="911">
      <c r="A911" s="1" t="s">
        <v>578</v>
      </c>
      <c r="B911" s="1">
        <v>0.0</v>
      </c>
      <c r="C911" s="2"/>
      <c r="D911" s="2"/>
      <c r="E911" s="2"/>
      <c r="F911" s="2"/>
      <c r="G911" s="2"/>
    </row>
    <row r="912">
      <c r="A912" s="1" t="s">
        <v>579</v>
      </c>
      <c r="B912" s="1">
        <v>0.0</v>
      </c>
      <c r="C912" s="2"/>
      <c r="D912" s="2"/>
      <c r="E912" s="2"/>
      <c r="F912" s="2"/>
      <c r="G912" s="2"/>
    </row>
    <row r="913">
      <c r="A913" s="1" t="s">
        <v>580</v>
      </c>
      <c r="B913" s="1">
        <v>0.0</v>
      </c>
      <c r="C913" s="2"/>
      <c r="D913" s="2"/>
      <c r="E913" s="2"/>
      <c r="F913" s="2"/>
      <c r="G913" s="2"/>
    </row>
    <row r="914">
      <c r="A914" s="1" t="s">
        <v>581</v>
      </c>
      <c r="B914" s="1">
        <v>0.0</v>
      </c>
      <c r="C914" s="2"/>
      <c r="D914" s="2"/>
      <c r="E914" s="2"/>
      <c r="F914" s="2"/>
      <c r="G914" s="2"/>
    </row>
    <row r="915">
      <c r="A915" s="1" t="s">
        <v>510</v>
      </c>
      <c r="B915" s="1">
        <v>0.0</v>
      </c>
      <c r="C915" s="2"/>
      <c r="D915" s="2"/>
      <c r="E915" s="2"/>
      <c r="F915" s="2"/>
      <c r="G915" s="2"/>
    </row>
    <row r="916">
      <c r="A916" s="1" t="s">
        <v>511</v>
      </c>
      <c r="B916" s="1">
        <v>99.0</v>
      </c>
      <c r="C916" s="2"/>
      <c r="D916" s="2"/>
      <c r="E916" s="2"/>
      <c r="F916" s="2"/>
      <c r="G916" s="2"/>
    </row>
    <row r="917">
      <c r="A917" s="1" t="s">
        <v>512</v>
      </c>
      <c r="B917" s="1">
        <v>15.0</v>
      </c>
      <c r="C917" s="2"/>
      <c r="D917" s="2"/>
      <c r="E917" s="2"/>
      <c r="F917" s="2"/>
      <c r="G917" s="2"/>
    </row>
    <row r="918">
      <c r="A918" s="1" t="s">
        <v>513</v>
      </c>
      <c r="B918" s="1">
        <v>0.0</v>
      </c>
      <c r="C918" s="2"/>
      <c r="D918" s="2"/>
      <c r="E918" s="2"/>
      <c r="F918" s="2"/>
      <c r="G918" s="2"/>
    </row>
    <row r="919">
      <c r="A919" s="1" t="s">
        <v>514</v>
      </c>
      <c r="B919" s="1">
        <v>0.0</v>
      </c>
      <c r="C919" s="2"/>
      <c r="D919" s="2"/>
      <c r="E919" s="2"/>
      <c r="F919" s="2"/>
      <c r="G919" s="2"/>
    </row>
    <row r="920">
      <c r="A920" s="1" t="s">
        <v>515</v>
      </c>
      <c r="B920" s="1">
        <v>64.0</v>
      </c>
      <c r="C920" s="2"/>
      <c r="D920" s="2"/>
      <c r="E920" s="2"/>
      <c r="F920" s="2"/>
      <c r="G920" s="2"/>
    </row>
    <row r="921">
      <c r="A921" s="1" t="s">
        <v>516</v>
      </c>
      <c r="B921" s="1">
        <v>0.0</v>
      </c>
      <c r="C921" s="2"/>
      <c r="D921" s="2"/>
      <c r="E921" s="2"/>
      <c r="F921" s="2"/>
      <c r="G921" s="2"/>
    </row>
    <row r="922">
      <c r="A922" s="1" t="s">
        <v>517</v>
      </c>
      <c r="B922" s="1">
        <v>0.0</v>
      </c>
      <c r="C922" s="2"/>
      <c r="D922" s="2"/>
      <c r="E922" s="2"/>
      <c r="F922" s="2"/>
      <c r="G922" s="2"/>
    </row>
    <row r="923">
      <c r="A923" s="1" t="s">
        <v>518</v>
      </c>
      <c r="B923" s="1">
        <v>0.0</v>
      </c>
      <c r="C923" s="2"/>
      <c r="D923" s="2"/>
      <c r="E923" s="2"/>
      <c r="F923" s="2"/>
      <c r="G923" s="2"/>
    </row>
    <row r="924">
      <c r="A924" s="1" t="s">
        <v>519</v>
      </c>
      <c r="B924" s="1">
        <v>0.0</v>
      </c>
      <c r="C924" s="2"/>
      <c r="D924" s="2"/>
      <c r="E924" s="2"/>
      <c r="F924" s="2"/>
      <c r="G924" s="2"/>
    </row>
    <row r="925">
      <c r="A925" s="1" t="s">
        <v>520</v>
      </c>
      <c r="B925" s="1">
        <v>0.0</v>
      </c>
      <c r="C925" s="2"/>
      <c r="D925" s="2"/>
      <c r="E925" s="2"/>
      <c r="F925" s="2"/>
      <c r="G925" s="2"/>
    </row>
    <row r="926">
      <c r="A926" s="1" t="s">
        <v>521</v>
      </c>
      <c r="B926" s="1">
        <v>62.0</v>
      </c>
      <c r="C926" s="2"/>
      <c r="D926" s="2"/>
      <c r="E926" s="2"/>
      <c r="F926" s="2"/>
      <c r="G926" s="2"/>
    </row>
    <row r="927">
      <c r="A927" s="1" t="s">
        <v>522</v>
      </c>
      <c r="B927" s="1">
        <v>82.0</v>
      </c>
      <c r="C927" s="2"/>
      <c r="D927" s="2"/>
      <c r="E927" s="2"/>
      <c r="F927" s="2"/>
      <c r="G927" s="2"/>
    </row>
    <row r="928">
      <c r="A928" s="1" t="s">
        <v>523</v>
      </c>
      <c r="B928" s="1">
        <v>0.0</v>
      </c>
      <c r="C928" s="2"/>
      <c r="D928" s="2"/>
      <c r="E928" s="2"/>
      <c r="F928" s="2"/>
      <c r="G928" s="2"/>
    </row>
    <row r="929">
      <c r="A929" s="1" t="s">
        <v>524</v>
      </c>
      <c r="B929" s="1">
        <v>60.0</v>
      </c>
      <c r="C929" s="2"/>
      <c r="D929" s="2"/>
      <c r="E929" s="2"/>
      <c r="F929" s="2"/>
      <c r="G929" s="2"/>
    </row>
    <row r="930">
      <c r="A930" s="1" t="s">
        <v>525</v>
      </c>
      <c r="B930" s="1">
        <v>0.0</v>
      </c>
      <c r="C930" s="2"/>
      <c r="D930" s="2"/>
      <c r="E930" s="2"/>
      <c r="F930" s="2"/>
      <c r="G930" s="2"/>
    </row>
    <row r="931">
      <c r="A931" s="1" t="s">
        <v>526</v>
      </c>
      <c r="B931" s="1">
        <v>90.0</v>
      </c>
      <c r="C931" s="2"/>
      <c r="D931" s="2"/>
      <c r="E931" s="2"/>
      <c r="F931" s="2"/>
      <c r="G931" s="2"/>
    </row>
    <row r="932">
      <c r="A932" s="1" t="s">
        <v>527</v>
      </c>
      <c r="B932" s="1">
        <v>0.0</v>
      </c>
      <c r="C932" s="2"/>
      <c r="D932" s="2"/>
      <c r="E932" s="2"/>
      <c r="F932" s="2"/>
      <c r="G932" s="2"/>
    </row>
    <row r="933">
      <c r="A933" s="1" t="s">
        <v>528</v>
      </c>
      <c r="B933" s="1">
        <v>0.0</v>
      </c>
      <c r="C933" s="2"/>
      <c r="D933" s="2"/>
      <c r="E933" s="2"/>
      <c r="F933" s="2"/>
      <c r="G933" s="2"/>
    </row>
    <row r="934">
      <c r="A934" s="1" t="s">
        <v>529</v>
      </c>
      <c r="B934" s="1">
        <v>0.0</v>
      </c>
      <c r="C934" s="2"/>
      <c r="D934" s="2"/>
      <c r="E934" s="2"/>
      <c r="F934" s="2"/>
      <c r="G934" s="2"/>
    </row>
    <row r="935">
      <c r="A935" s="1" t="s">
        <v>530</v>
      </c>
      <c r="B935" s="1">
        <v>0.0</v>
      </c>
      <c r="C935" s="2"/>
      <c r="D935" s="2"/>
      <c r="E935" s="2"/>
      <c r="F935" s="2"/>
      <c r="G935" s="2"/>
    </row>
    <row r="936">
      <c r="A936" s="1" t="s">
        <v>531</v>
      </c>
      <c r="B936" s="1">
        <v>0.0</v>
      </c>
      <c r="C936" s="2"/>
      <c r="D936" s="2"/>
      <c r="E936" s="2"/>
      <c r="F936" s="2"/>
      <c r="G936" s="2"/>
    </row>
    <row r="937">
      <c r="A937" s="1" t="s">
        <v>532</v>
      </c>
      <c r="B937" s="1">
        <v>24.0</v>
      </c>
      <c r="C937" s="2"/>
      <c r="D937" s="2"/>
      <c r="E937" s="2"/>
      <c r="F937" s="2"/>
      <c r="G937" s="2"/>
    </row>
    <row r="938">
      <c r="A938" s="1" t="s">
        <v>533</v>
      </c>
      <c r="B938" s="1">
        <v>21.0</v>
      </c>
      <c r="C938" s="2"/>
      <c r="D938" s="2"/>
      <c r="E938" s="2"/>
      <c r="F938" s="2"/>
      <c r="G938" s="2"/>
    </row>
    <row r="939">
      <c r="A939" s="1" t="s">
        <v>534</v>
      </c>
      <c r="B939" s="1">
        <v>0.0</v>
      </c>
      <c r="C939" s="2"/>
      <c r="D939" s="2"/>
      <c r="E939" s="2"/>
      <c r="F939" s="2"/>
      <c r="G939" s="2"/>
    </row>
    <row r="940">
      <c r="A940" s="1" t="s">
        <v>535</v>
      </c>
      <c r="B940" s="1">
        <v>28.0</v>
      </c>
      <c r="C940" s="2"/>
      <c r="D940" s="2"/>
      <c r="E940" s="2"/>
      <c r="F940" s="2"/>
      <c r="G940" s="2"/>
    </row>
    <row r="941">
      <c r="A941" s="1" t="s">
        <v>536</v>
      </c>
      <c r="B941" s="1">
        <v>0.0</v>
      </c>
      <c r="C941" s="2"/>
      <c r="D941" s="2"/>
      <c r="E941" s="2"/>
      <c r="F941" s="2"/>
      <c r="G941" s="2"/>
    </row>
    <row r="942">
      <c r="A942" s="1" t="s">
        <v>537</v>
      </c>
      <c r="B942" s="1">
        <v>0.0</v>
      </c>
      <c r="C942" s="2"/>
      <c r="D942" s="2"/>
      <c r="E942" s="2"/>
      <c r="F942" s="2"/>
      <c r="G942" s="2"/>
    </row>
    <row r="943">
      <c r="A943" s="1" t="s">
        <v>538</v>
      </c>
      <c r="B943" s="1">
        <v>50.0</v>
      </c>
      <c r="C943" s="2"/>
      <c r="D943" s="2"/>
      <c r="E943" s="2"/>
      <c r="F943" s="2"/>
      <c r="G943" s="2"/>
    </row>
    <row r="944">
      <c r="A944" s="1" t="s">
        <v>539</v>
      </c>
      <c r="B944" s="1">
        <v>58.0</v>
      </c>
      <c r="C944" s="2"/>
      <c r="D944" s="2"/>
      <c r="E944" s="2"/>
      <c r="F944" s="2"/>
      <c r="G944" s="2"/>
    </row>
    <row r="945">
      <c r="A945" s="1" t="s">
        <v>540</v>
      </c>
      <c r="B945" s="1">
        <v>0.0</v>
      </c>
      <c r="C945" s="2"/>
      <c r="D945" s="2"/>
      <c r="E945" s="2"/>
      <c r="F945" s="2"/>
      <c r="G945" s="2"/>
    </row>
    <row r="946">
      <c r="A946" s="1" t="s">
        <v>541</v>
      </c>
      <c r="B946" s="1">
        <v>0.0</v>
      </c>
      <c r="C946" s="2"/>
      <c r="D946" s="2"/>
      <c r="E946" s="2"/>
      <c r="F946" s="2"/>
      <c r="G946" s="2"/>
    </row>
    <row r="947">
      <c r="A947" s="1" t="s">
        <v>542</v>
      </c>
      <c r="B947" s="1">
        <v>0.0</v>
      </c>
      <c r="C947" s="2"/>
      <c r="D947" s="2"/>
      <c r="E947" s="2"/>
      <c r="F947" s="2"/>
      <c r="G947" s="2"/>
    </row>
    <row r="948">
      <c r="A948" s="1" t="s">
        <v>543</v>
      </c>
      <c r="B948" s="1">
        <v>0.0</v>
      </c>
      <c r="C948" s="2"/>
      <c r="D948" s="2"/>
      <c r="E948" s="2"/>
      <c r="F948" s="2"/>
      <c r="G948" s="2"/>
    </row>
    <row r="949">
      <c r="A949" s="1" t="s">
        <v>544</v>
      </c>
      <c r="B949" s="1">
        <v>85.0</v>
      </c>
      <c r="C949" s="2"/>
      <c r="D949" s="2"/>
      <c r="E949" s="2"/>
      <c r="F949" s="2"/>
      <c r="G949" s="2"/>
    </row>
    <row r="950">
      <c r="A950" s="1" t="s">
        <v>545</v>
      </c>
      <c r="B950" s="1">
        <v>0.0</v>
      </c>
      <c r="C950" s="2"/>
      <c r="D950" s="2"/>
      <c r="E950" s="2"/>
      <c r="F950" s="2"/>
      <c r="G950" s="2"/>
    </row>
    <row r="951">
      <c r="A951" s="1" t="s">
        <v>546</v>
      </c>
      <c r="B951" s="1">
        <v>5.0</v>
      </c>
      <c r="C951" s="2"/>
      <c r="D951" s="2"/>
      <c r="E951" s="2"/>
      <c r="F951" s="2"/>
      <c r="G951" s="2"/>
    </row>
    <row r="952">
      <c r="A952" s="1" t="s">
        <v>547</v>
      </c>
      <c r="B952" s="1">
        <v>0.0</v>
      </c>
      <c r="C952" s="2"/>
      <c r="D952" s="2"/>
      <c r="E952" s="2"/>
      <c r="F952" s="2"/>
      <c r="G952" s="2"/>
    </row>
    <row r="953">
      <c r="A953" s="1" t="s">
        <v>548</v>
      </c>
      <c r="B953" s="1">
        <v>0.0</v>
      </c>
      <c r="C953" s="2"/>
      <c r="D953" s="2"/>
      <c r="E953" s="2"/>
      <c r="F953" s="2"/>
      <c r="G953" s="2"/>
    </row>
    <row r="954">
      <c r="A954" s="1" t="s">
        <v>549</v>
      </c>
      <c r="B954" s="1" t="s">
        <v>550</v>
      </c>
      <c r="C954" s="1">
        <v>0.0</v>
      </c>
      <c r="D954" s="2"/>
      <c r="E954" s="2"/>
      <c r="F954" s="2"/>
      <c r="G954" s="2"/>
    </row>
    <row r="955">
      <c r="A955" s="1" t="s">
        <v>551</v>
      </c>
      <c r="B955" s="1" t="s">
        <v>552</v>
      </c>
      <c r="C955" s="1">
        <v>18.0</v>
      </c>
      <c r="D955" s="2"/>
      <c r="E955" s="2"/>
      <c r="F955" s="2"/>
      <c r="G955" s="2"/>
    </row>
    <row r="956">
      <c r="A956" s="1" t="s">
        <v>553</v>
      </c>
      <c r="B956" s="1">
        <v>0.0</v>
      </c>
      <c r="C956" s="2"/>
      <c r="D956" s="2"/>
      <c r="E956" s="2"/>
      <c r="F956" s="2"/>
      <c r="G956" s="2"/>
    </row>
    <row r="957">
      <c r="A957" s="1" t="s">
        <v>554</v>
      </c>
      <c r="B957" s="1">
        <v>0.0</v>
      </c>
      <c r="C957" s="2"/>
      <c r="D957" s="2"/>
      <c r="E957" s="2"/>
      <c r="F957" s="2"/>
      <c r="G957" s="2"/>
    </row>
    <row r="958">
      <c r="A958" s="1" t="s">
        <v>555</v>
      </c>
      <c r="B958" s="1">
        <v>46.0</v>
      </c>
      <c r="C958" s="2"/>
      <c r="D958" s="2"/>
      <c r="E958" s="2"/>
      <c r="F958" s="2"/>
      <c r="G958" s="2"/>
    </row>
    <row r="959">
      <c r="A959" s="1" t="s">
        <v>556</v>
      </c>
      <c r="B959" s="1">
        <v>0.0</v>
      </c>
      <c r="C959" s="2"/>
      <c r="D959" s="2"/>
      <c r="E959" s="2"/>
      <c r="F959" s="2"/>
      <c r="G959" s="2"/>
    </row>
    <row r="960">
      <c r="A960" s="1" t="s">
        <v>557</v>
      </c>
      <c r="B960" s="1">
        <v>0.0</v>
      </c>
      <c r="C960" s="2"/>
      <c r="D960" s="2"/>
      <c r="E960" s="2"/>
      <c r="F960" s="2"/>
      <c r="G960" s="2"/>
    </row>
    <row r="961">
      <c r="A961" s="1" t="s">
        <v>558</v>
      </c>
      <c r="B961" s="1">
        <v>0.0</v>
      </c>
      <c r="C961" s="2"/>
      <c r="D961" s="2"/>
      <c r="E961" s="2"/>
      <c r="F961" s="2"/>
      <c r="G961" s="2"/>
    </row>
    <row r="962">
      <c r="A962" s="1" t="s">
        <v>559</v>
      </c>
      <c r="B962" s="1">
        <v>0.0</v>
      </c>
      <c r="C962" s="2"/>
      <c r="D962" s="2"/>
      <c r="E962" s="2"/>
      <c r="F962" s="2"/>
      <c r="G962" s="2"/>
    </row>
    <row r="963">
      <c r="A963" s="1" t="s">
        <v>560</v>
      </c>
      <c r="B963" s="1">
        <v>58.0</v>
      </c>
      <c r="C963" s="2"/>
      <c r="D963" s="2"/>
      <c r="E963" s="2"/>
      <c r="F963" s="2"/>
      <c r="G963" s="2"/>
    </row>
    <row r="964">
      <c r="A964" s="1" t="s">
        <v>561</v>
      </c>
      <c r="B964" s="1">
        <v>0.0</v>
      </c>
      <c r="C964" s="2"/>
      <c r="D964" s="2"/>
      <c r="E964" s="2"/>
      <c r="F964" s="2"/>
      <c r="G964" s="2"/>
    </row>
    <row r="965">
      <c r="A965" s="1" t="s">
        <v>562</v>
      </c>
      <c r="B965" s="1">
        <v>60.0</v>
      </c>
      <c r="C965" s="2"/>
      <c r="D965" s="2"/>
      <c r="E965" s="2"/>
      <c r="F965" s="2"/>
      <c r="G965" s="2"/>
    </row>
    <row r="966">
      <c r="A966" s="1" t="s">
        <v>563</v>
      </c>
      <c r="B966" s="1">
        <v>0.0</v>
      </c>
      <c r="C966" s="2"/>
      <c r="D966" s="2"/>
      <c r="E966" s="2"/>
      <c r="F966" s="2"/>
      <c r="G966" s="2"/>
    </row>
    <row r="967">
      <c r="A967" s="1" t="s">
        <v>564</v>
      </c>
      <c r="B967" s="1">
        <v>21.0</v>
      </c>
      <c r="C967" s="2"/>
      <c r="D967" s="2"/>
      <c r="E967" s="2"/>
      <c r="F967" s="2"/>
      <c r="G967" s="2"/>
    </row>
    <row r="968">
      <c r="A968" s="1" t="s">
        <v>565</v>
      </c>
      <c r="B968" s="1">
        <v>0.0</v>
      </c>
      <c r="C968" s="2"/>
      <c r="D968" s="2"/>
      <c r="E968" s="2"/>
      <c r="F968" s="2"/>
      <c r="G968" s="2"/>
    </row>
    <row r="969">
      <c r="A969" s="1" t="s">
        <v>566</v>
      </c>
      <c r="B969" s="1">
        <v>0.0</v>
      </c>
      <c r="C969" s="2"/>
      <c r="D969" s="2"/>
      <c r="E969" s="2"/>
      <c r="F969" s="2"/>
      <c r="G969" s="2"/>
    </row>
    <row r="970">
      <c r="A970" s="1" t="s">
        <v>567</v>
      </c>
      <c r="B970" s="1">
        <v>0.0</v>
      </c>
      <c r="C970" s="2"/>
      <c r="D970" s="2"/>
      <c r="E970" s="2"/>
      <c r="F970" s="2"/>
      <c r="G970" s="2"/>
    </row>
    <row r="971">
      <c r="A971" s="1" t="s">
        <v>568</v>
      </c>
      <c r="B971" s="1">
        <v>60.0</v>
      </c>
      <c r="C971" s="2"/>
      <c r="D971" s="2"/>
      <c r="E971" s="2"/>
      <c r="F971" s="2"/>
      <c r="G971" s="2"/>
    </row>
    <row r="972">
      <c r="A972" s="1" t="s">
        <v>569</v>
      </c>
      <c r="B972" s="1">
        <v>50.0</v>
      </c>
      <c r="C972" s="2"/>
      <c r="D972" s="2"/>
      <c r="E972" s="2"/>
      <c r="F972" s="2"/>
      <c r="G972" s="2"/>
    </row>
    <row r="973">
      <c r="A973" s="1" t="s">
        <v>570</v>
      </c>
      <c r="B973" s="1">
        <v>30.0</v>
      </c>
      <c r="C973" s="2"/>
      <c r="D973" s="2"/>
      <c r="E973" s="2"/>
      <c r="F973" s="2"/>
      <c r="G973" s="2"/>
    </row>
    <row r="974">
      <c r="A974" s="1" t="s">
        <v>571</v>
      </c>
      <c r="B974" s="1">
        <v>0.0</v>
      </c>
      <c r="C974" s="2"/>
      <c r="D974" s="2"/>
      <c r="E974" s="2"/>
      <c r="F974" s="2"/>
      <c r="G974" s="2"/>
    </row>
    <row r="975">
      <c r="A975" s="1" t="s">
        <v>572</v>
      </c>
      <c r="B975" s="1">
        <v>0.0</v>
      </c>
      <c r="C975" s="2"/>
      <c r="D975" s="2"/>
      <c r="E975" s="2"/>
      <c r="F975" s="2"/>
      <c r="G975" s="2"/>
    </row>
    <row r="976">
      <c r="A976" s="1" t="s">
        <v>573</v>
      </c>
      <c r="B976" s="1" t="s">
        <v>574</v>
      </c>
      <c r="C976" s="1">
        <v>0.0</v>
      </c>
      <c r="D976" s="2"/>
      <c r="E976" s="2"/>
      <c r="F976" s="2"/>
      <c r="G976" s="2"/>
    </row>
    <row r="977">
      <c r="A977" s="1" t="s">
        <v>575</v>
      </c>
      <c r="B977" s="1">
        <v>0.0</v>
      </c>
      <c r="C977" s="2"/>
      <c r="D977" s="2"/>
      <c r="E977" s="2"/>
      <c r="F977" s="2"/>
      <c r="G977" s="2"/>
    </row>
    <row r="978">
      <c r="A978" s="1" t="s">
        <v>576</v>
      </c>
      <c r="B978" s="1">
        <v>0.0</v>
      </c>
      <c r="C978" s="2"/>
      <c r="D978" s="2"/>
      <c r="E978" s="2"/>
      <c r="F978" s="2"/>
      <c r="G978" s="2"/>
    </row>
    <row r="979">
      <c r="A979" s="1" t="s">
        <v>577</v>
      </c>
      <c r="B979" s="1">
        <v>0.0</v>
      </c>
      <c r="C979" s="2"/>
      <c r="D979" s="2"/>
      <c r="E979" s="2"/>
      <c r="F979" s="2"/>
      <c r="G979" s="2"/>
    </row>
    <row r="980">
      <c r="A980" s="1" t="s">
        <v>578</v>
      </c>
      <c r="B980" s="1">
        <v>0.0</v>
      </c>
      <c r="C980" s="2"/>
      <c r="D980" s="2"/>
      <c r="E980" s="2"/>
      <c r="F980" s="2"/>
      <c r="G980" s="2"/>
    </row>
    <row r="981">
      <c r="A981" s="1" t="s">
        <v>579</v>
      </c>
      <c r="B981" s="1">
        <v>0.0</v>
      </c>
      <c r="C981" s="2"/>
      <c r="D981" s="2"/>
      <c r="E981" s="2"/>
      <c r="F981" s="2"/>
      <c r="G981" s="2"/>
    </row>
    <row r="982">
      <c r="A982" s="1" t="s">
        <v>580</v>
      </c>
      <c r="B982" s="1">
        <v>0.0</v>
      </c>
      <c r="C982" s="2"/>
      <c r="D982" s="2"/>
      <c r="E982" s="2"/>
      <c r="F982" s="2"/>
      <c r="G982" s="2"/>
    </row>
    <row r="983">
      <c r="A983" s="1" t="s">
        <v>581</v>
      </c>
      <c r="B983" s="1">
        <v>0.0</v>
      </c>
      <c r="C983" s="2"/>
      <c r="D983" s="2"/>
      <c r="E983" s="2"/>
      <c r="F983" s="2"/>
      <c r="G983" s="2"/>
    </row>
    <row r="984">
      <c r="A984" s="1" t="s">
        <v>582</v>
      </c>
      <c r="B984" s="1">
        <v>0.0</v>
      </c>
      <c r="C984" s="2"/>
      <c r="D984" s="2"/>
      <c r="E984" s="2"/>
      <c r="F984" s="2"/>
      <c r="G984" s="2"/>
    </row>
    <row r="985">
      <c r="A985" s="1" t="s">
        <v>583</v>
      </c>
      <c r="B985" s="1">
        <v>62.0</v>
      </c>
      <c r="C985" s="2"/>
      <c r="D985" s="2"/>
      <c r="E985" s="2"/>
      <c r="F985" s="2"/>
      <c r="G985" s="2"/>
    </row>
    <row r="986">
      <c r="A986" s="1" t="s">
        <v>584</v>
      </c>
      <c r="B986" s="1">
        <v>0.0</v>
      </c>
      <c r="C986" s="2"/>
      <c r="D986" s="2"/>
      <c r="E986" s="2"/>
      <c r="F986" s="2"/>
      <c r="G986" s="2"/>
    </row>
    <row r="987">
      <c r="A987" s="1" t="s">
        <v>585</v>
      </c>
      <c r="B987" s="1">
        <v>0.0</v>
      </c>
      <c r="C987" s="2"/>
      <c r="D987" s="2"/>
      <c r="E987" s="2"/>
      <c r="F987" s="2"/>
      <c r="G987" s="2"/>
    </row>
    <row r="988">
      <c r="A988" s="1" t="s">
        <v>586</v>
      </c>
      <c r="B988" s="1">
        <v>0.0</v>
      </c>
      <c r="C988" s="2"/>
      <c r="D988" s="2"/>
      <c r="E988" s="2"/>
      <c r="F988" s="2"/>
      <c r="G988" s="2"/>
    </row>
    <row r="989">
      <c r="A989" s="1" t="s">
        <v>587</v>
      </c>
      <c r="B989" s="1">
        <v>78.0</v>
      </c>
      <c r="C989" s="2"/>
      <c r="D989" s="2"/>
      <c r="E989" s="2"/>
      <c r="F989" s="2"/>
      <c r="G989" s="2"/>
    </row>
    <row r="990">
      <c r="A990" s="1" t="s">
        <v>588</v>
      </c>
      <c r="B990" s="1">
        <v>0.0</v>
      </c>
      <c r="C990" s="2"/>
      <c r="D990" s="2"/>
      <c r="E990" s="2"/>
      <c r="F990" s="2"/>
      <c r="G990" s="2"/>
    </row>
    <row r="991">
      <c r="A991" s="1" t="s">
        <v>589</v>
      </c>
      <c r="B991" s="1">
        <v>0.0</v>
      </c>
      <c r="C991" s="2"/>
      <c r="D991" s="2"/>
      <c r="E991" s="2"/>
      <c r="F991" s="2"/>
      <c r="G991" s="2"/>
    </row>
    <row r="992">
      <c r="A992" s="1" t="s">
        <v>590</v>
      </c>
      <c r="B992" s="1">
        <v>0.0</v>
      </c>
      <c r="C992" s="2"/>
      <c r="D992" s="2"/>
      <c r="E992" s="2"/>
      <c r="F992" s="2"/>
      <c r="G992" s="2"/>
    </row>
    <row r="993">
      <c r="A993" s="1" t="s">
        <v>591</v>
      </c>
      <c r="B993" s="1">
        <v>0.0</v>
      </c>
      <c r="C993" s="2"/>
      <c r="D993" s="2"/>
      <c r="E993" s="2"/>
      <c r="F993" s="2"/>
      <c r="G993" s="2"/>
    </row>
    <row r="994">
      <c r="A994" s="1" t="s">
        <v>592</v>
      </c>
      <c r="B994" s="1">
        <v>0.0</v>
      </c>
      <c r="C994" s="2"/>
      <c r="D994" s="2"/>
      <c r="E994" s="2"/>
      <c r="F994" s="2"/>
      <c r="G994" s="2"/>
    </row>
    <row r="995">
      <c r="A995" s="1" t="s">
        <v>593</v>
      </c>
      <c r="B995" s="1">
        <v>46.0</v>
      </c>
      <c r="C995" s="2"/>
      <c r="D995" s="2"/>
      <c r="E995" s="2"/>
      <c r="F995" s="2"/>
      <c r="G995" s="2"/>
    </row>
    <row r="996">
      <c r="A996" s="1" t="s">
        <v>594</v>
      </c>
      <c r="B996" s="1">
        <v>38.0</v>
      </c>
      <c r="C996" s="2"/>
      <c r="D996" s="2"/>
      <c r="E996" s="2"/>
      <c r="F996" s="2"/>
      <c r="G996" s="2"/>
    </row>
    <row r="997">
      <c r="A997" s="1" t="s">
        <v>595</v>
      </c>
      <c r="B997" s="1">
        <v>79.0</v>
      </c>
      <c r="C997" s="2"/>
      <c r="D997" s="2"/>
      <c r="E997" s="2"/>
      <c r="F997" s="2"/>
      <c r="G997" s="2"/>
    </row>
    <row r="998">
      <c r="A998" s="1" t="s">
        <v>596</v>
      </c>
      <c r="B998" s="1">
        <v>0.0</v>
      </c>
      <c r="C998" s="2"/>
      <c r="D998" s="2"/>
      <c r="E998" s="2"/>
      <c r="F998" s="2"/>
      <c r="G998" s="2"/>
    </row>
    <row r="999">
      <c r="A999" s="1" t="s">
        <v>597</v>
      </c>
      <c r="B999" s="1">
        <v>47.0</v>
      </c>
      <c r="C999" s="2"/>
      <c r="D999" s="2"/>
      <c r="E999" s="2"/>
      <c r="F999" s="2"/>
      <c r="G999" s="2"/>
    </row>
    <row r="1000">
      <c r="A1000" s="1" t="s">
        <v>598</v>
      </c>
      <c r="B1000" s="1">
        <v>0.0</v>
      </c>
      <c r="C1000" s="2"/>
      <c r="D1000" s="2"/>
      <c r="E1000" s="2"/>
      <c r="F1000" s="2"/>
      <c r="G1000" s="2"/>
    </row>
    <row r="1001">
      <c r="A1001" s="1" t="s">
        <v>599</v>
      </c>
      <c r="B1001" s="1">
        <v>0.0</v>
      </c>
      <c r="C1001" s="2"/>
      <c r="D1001" s="2"/>
      <c r="E1001" s="2"/>
      <c r="F1001" s="2"/>
      <c r="G1001" s="2"/>
    </row>
    <row r="1002">
      <c r="A1002" s="1" t="s">
        <v>600</v>
      </c>
      <c r="B1002" s="1">
        <v>0.0</v>
      </c>
      <c r="C1002" s="2"/>
      <c r="D1002" s="2"/>
      <c r="E1002" s="2"/>
      <c r="F1002" s="2"/>
      <c r="G1002" s="2"/>
    </row>
    <row r="1003">
      <c r="A1003" s="1" t="s">
        <v>601</v>
      </c>
      <c r="B1003" s="1">
        <v>0.0</v>
      </c>
      <c r="C1003" s="2"/>
      <c r="D1003" s="2"/>
      <c r="E1003" s="2"/>
      <c r="F1003" s="2"/>
      <c r="G1003" s="2"/>
    </row>
    <row r="1004">
      <c r="A1004" s="1" t="s">
        <v>602</v>
      </c>
      <c r="B1004" s="1">
        <v>24.0</v>
      </c>
      <c r="C1004" s="2"/>
      <c r="D1004" s="2"/>
      <c r="E1004" s="2"/>
      <c r="F1004" s="2"/>
      <c r="G1004" s="2"/>
    </row>
    <row r="1005">
      <c r="A1005" s="1" t="s">
        <v>603</v>
      </c>
      <c r="B1005" s="1">
        <v>66.0</v>
      </c>
      <c r="C1005" s="2"/>
      <c r="D1005" s="2"/>
      <c r="E1005" s="2"/>
      <c r="F1005" s="2"/>
      <c r="G1005" s="2"/>
    </row>
    <row r="1006">
      <c r="A1006" s="1" t="s">
        <v>604</v>
      </c>
      <c r="B1006" s="1">
        <v>0.0</v>
      </c>
      <c r="C1006" s="2"/>
      <c r="D1006" s="2"/>
      <c r="E1006" s="2"/>
      <c r="F1006" s="2"/>
      <c r="G1006" s="2"/>
    </row>
    <row r="1007">
      <c r="A1007" s="1" t="s">
        <v>605</v>
      </c>
      <c r="B1007" s="1">
        <v>67.0</v>
      </c>
      <c r="C1007" s="2"/>
      <c r="D1007" s="2"/>
      <c r="E1007" s="2"/>
      <c r="F1007" s="2"/>
      <c r="G1007" s="2"/>
    </row>
    <row r="1008">
      <c r="A1008" s="1" t="s">
        <v>606</v>
      </c>
      <c r="B1008" s="1">
        <v>0.0</v>
      </c>
      <c r="C1008" s="2"/>
      <c r="D1008" s="2"/>
      <c r="E1008" s="2"/>
      <c r="F1008" s="2"/>
      <c r="G1008" s="2"/>
    </row>
    <row r="1009">
      <c r="A1009" s="1" t="s">
        <v>607</v>
      </c>
      <c r="B1009" s="1" t="s">
        <v>608</v>
      </c>
      <c r="C1009" s="1">
        <v>0.0</v>
      </c>
      <c r="D1009" s="2"/>
      <c r="E1009" s="2"/>
      <c r="F1009" s="2"/>
      <c r="G1009" s="2"/>
    </row>
    <row r="1010">
      <c r="A1010" s="1" t="s">
        <v>609</v>
      </c>
      <c r="B1010" s="1">
        <v>0.0</v>
      </c>
      <c r="C1010" s="2"/>
      <c r="D1010" s="2"/>
      <c r="E1010" s="2"/>
      <c r="F1010" s="2"/>
      <c r="G1010" s="2"/>
    </row>
    <row r="1011">
      <c r="A1011" s="1" t="s">
        <v>610</v>
      </c>
      <c r="B1011" s="1">
        <v>0.0</v>
      </c>
      <c r="C1011" s="2"/>
      <c r="D1011" s="2"/>
      <c r="E1011" s="2"/>
      <c r="F1011" s="2"/>
      <c r="G1011" s="2"/>
    </row>
    <row r="1012">
      <c r="A1012" s="1" t="s">
        <v>611</v>
      </c>
      <c r="B1012" s="1">
        <v>0.0</v>
      </c>
      <c r="C1012" s="2"/>
      <c r="D1012" s="2"/>
      <c r="E1012" s="2"/>
      <c r="F1012" s="2"/>
      <c r="G1012" s="2"/>
    </row>
    <row r="1013">
      <c r="A1013" s="1" t="s">
        <v>612</v>
      </c>
      <c r="B1013" s="1">
        <v>32.0</v>
      </c>
      <c r="C1013" s="2"/>
      <c r="D1013" s="2"/>
      <c r="E1013" s="2"/>
      <c r="F1013" s="2"/>
      <c r="G1013" s="2"/>
    </row>
    <row r="1014">
      <c r="A1014" s="1" t="s">
        <v>613</v>
      </c>
      <c r="B1014" s="1">
        <v>0.0</v>
      </c>
      <c r="C1014" s="2"/>
      <c r="D1014" s="2"/>
      <c r="E1014" s="2"/>
      <c r="F1014" s="2"/>
      <c r="G1014" s="2"/>
    </row>
    <row r="1015">
      <c r="A1015" s="1" t="s">
        <v>614</v>
      </c>
      <c r="B1015" s="1">
        <v>0.0</v>
      </c>
      <c r="C1015" s="2"/>
      <c r="D1015" s="2"/>
      <c r="E1015" s="2"/>
      <c r="F1015" s="2"/>
      <c r="G1015" s="2"/>
    </row>
    <row r="1016">
      <c r="A1016" s="1" t="s">
        <v>615</v>
      </c>
      <c r="B1016" s="1">
        <v>0.0</v>
      </c>
      <c r="C1016" s="2"/>
      <c r="D1016" s="2"/>
      <c r="E1016" s="2"/>
      <c r="F1016" s="2"/>
      <c r="G1016" s="2"/>
    </row>
    <row r="1017">
      <c r="A1017" s="1" t="s">
        <v>616</v>
      </c>
      <c r="B1017" s="1">
        <v>0.0</v>
      </c>
      <c r="C1017" s="2"/>
      <c r="D1017" s="2"/>
      <c r="E1017" s="2"/>
      <c r="F1017" s="2"/>
      <c r="G1017" s="2"/>
    </row>
    <row r="1018">
      <c r="A1018" s="1" t="s">
        <v>617</v>
      </c>
      <c r="B1018" s="1">
        <v>0.0</v>
      </c>
      <c r="C1018" s="2"/>
      <c r="D1018" s="2"/>
      <c r="E1018" s="2"/>
      <c r="F1018" s="2"/>
      <c r="G1018" s="2"/>
    </row>
    <row r="1019">
      <c r="A1019" s="1" t="s">
        <v>618</v>
      </c>
      <c r="B1019" s="1">
        <v>0.0</v>
      </c>
      <c r="C1019" s="2"/>
      <c r="D1019" s="2"/>
      <c r="E1019" s="2"/>
      <c r="F1019" s="2"/>
      <c r="G1019" s="2"/>
    </row>
    <row r="1020">
      <c r="A1020" s="1" t="s">
        <v>619</v>
      </c>
      <c r="B1020" s="1">
        <v>87.0</v>
      </c>
      <c r="C1020" s="2"/>
      <c r="D1020" s="2"/>
      <c r="E1020" s="2"/>
      <c r="F1020" s="2"/>
      <c r="G1020" s="2"/>
    </row>
    <row r="1021">
      <c r="A1021" s="1" t="s">
        <v>620</v>
      </c>
      <c r="B1021" s="1">
        <v>0.0</v>
      </c>
      <c r="C1021" s="2"/>
      <c r="D1021" s="2"/>
      <c r="E1021" s="2"/>
      <c r="F1021" s="2"/>
      <c r="G1021" s="2"/>
    </row>
    <row r="1022">
      <c r="A1022" s="1" t="s">
        <v>621</v>
      </c>
      <c r="B1022" s="1">
        <v>0.0</v>
      </c>
      <c r="C1022" s="2"/>
      <c r="D1022" s="2"/>
      <c r="E1022" s="2"/>
      <c r="F1022" s="2"/>
      <c r="G1022" s="2"/>
    </row>
    <row r="1023">
      <c r="A1023" s="1" t="s">
        <v>622</v>
      </c>
      <c r="B1023" s="1">
        <v>0.0</v>
      </c>
      <c r="C1023" s="2"/>
      <c r="D1023" s="2"/>
      <c r="E1023" s="2"/>
      <c r="F1023" s="2"/>
      <c r="G1023" s="2"/>
    </row>
    <row r="1024">
      <c r="A1024" s="1" t="s">
        <v>623</v>
      </c>
      <c r="B1024" s="1">
        <v>14.0</v>
      </c>
      <c r="C1024" s="2"/>
      <c r="D1024" s="2"/>
      <c r="E1024" s="2"/>
      <c r="F1024" s="2"/>
      <c r="G1024" s="2"/>
    </row>
    <row r="1025">
      <c r="A1025" s="1" t="s">
        <v>624</v>
      </c>
      <c r="B1025" s="1">
        <v>76.0</v>
      </c>
      <c r="C1025" s="2"/>
      <c r="D1025" s="2"/>
      <c r="E1025" s="2"/>
      <c r="F1025" s="2"/>
      <c r="G1025" s="2"/>
    </row>
    <row r="1026">
      <c r="A1026" s="1" t="s">
        <v>625</v>
      </c>
      <c r="B1026" s="1">
        <v>20.0</v>
      </c>
      <c r="C1026" s="2"/>
      <c r="D1026" s="2"/>
      <c r="E1026" s="2"/>
      <c r="F1026" s="2"/>
      <c r="G1026" s="2"/>
    </row>
    <row r="1027">
      <c r="A1027" s="1" t="s">
        <v>626</v>
      </c>
      <c r="B1027" s="1">
        <v>0.0</v>
      </c>
      <c r="C1027" s="2"/>
      <c r="D1027" s="2"/>
      <c r="E1027" s="2"/>
      <c r="F1027" s="2"/>
      <c r="G1027" s="2"/>
    </row>
    <row r="1028">
      <c r="A1028" s="1" t="s">
        <v>627</v>
      </c>
      <c r="B1028" s="1">
        <v>0.0</v>
      </c>
      <c r="C1028" s="2"/>
      <c r="D1028" s="2"/>
      <c r="E1028" s="2"/>
      <c r="F1028" s="2"/>
      <c r="G1028" s="2"/>
    </row>
    <row r="1029">
      <c r="A1029" s="1" t="s">
        <v>628</v>
      </c>
      <c r="B1029" s="1">
        <v>8.0</v>
      </c>
      <c r="C1029" s="2"/>
      <c r="D1029" s="2"/>
      <c r="E1029" s="2"/>
      <c r="F1029" s="2"/>
      <c r="G1029" s="2"/>
    </row>
    <row r="1030">
      <c r="A1030" s="1" t="s">
        <v>629</v>
      </c>
      <c r="B1030" s="1">
        <v>0.0</v>
      </c>
      <c r="C1030" s="2"/>
      <c r="D1030" s="2"/>
      <c r="E1030" s="2"/>
      <c r="F1030" s="2"/>
      <c r="G1030" s="2"/>
    </row>
    <row r="1031">
      <c r="A1031" s="1" t="s">
        <v>630</v>
      </c>
      <c r="B1031" s="1">
        <v>0.0</v>
      </c>
      <c r="C1031" s="2"/>
      <c r="D1031" s="2"/>
      <c r="E1031" s="2"/>
      <c r="F1031" s="2"/>
      <c r="G1031" s="2"/>
    </row>
    <row r="1032">
      <c r="A1032" s="1" t="s">
        <v>631</v>
      </c>
      <c r="B1032" s="1">
        <v>0.0</v>
      </c>
      <c r="C1032" s="2"/>
      <c r="D1032" s="2"/>
      <c r="E1032" s="2"/>
      <c r="F1032" s="2"/>
      <c r="G1032" s="2"/>
    </row>
    <row r="1033">
      <c r="A1033" s="1" t="s">
        <v>632</v>
      </c>
      <c r="B1033" s="1">
        <v>78.0</v>
      </c>
      <c r="C1033" s="2"/>
      <c r="D1033" s="2"/>
      <c r="E1033" s="2"/>
      <c r="F1033" s="2"/>
      <c r="G1033" s="2"/>
    </row>
    <row r="1034">
      <c r="A1034" s="1" t="s">
        <v>633</v>
      </c>
      <c r="B1034" s="1">
        <v>6.0</v>
      </c>
      <c r="C1034" s="2"/>
      <c r="D1034" s="2"/>
      <c r="E1034" s="2"/>
      <c r="F1034" s="2"/>
      <c r="G1034" s="2"/>
    </row>
    <row r="1035">
      <c r="A1035" s="1" t="s">
        <v>634</v>
      </c>
      <c r="B1035" s="1">
        <v>89.0</v>
      </c>
      <c r="C1035" s="2"/>
      <c r="D1035" s="2"/>
      <c r="E1035" s="2"/>
      <c r="F1035" s="2"/>
      <c r="G1035" s="2"/>
    </row>
    <row r="1036">
      <c r="A1036" s="1" t="s">
        <v>635</v>
      </c>
      <c r="B1036" s="1">
        <v>38.0</v>
      </c>
      <c r="C1036" s="2"/>
      <c r="D1036" s="2"/>
      <c r="E1036" s="2"/>
      <c r="F1036" s="2"/>
      <c r="G1036" s="2"/>
    </row>
    <row r="1037">
      <c r="A1037" s="1" t="s">
        <v>636</v>
      </c>
      <c r="B1037" s="1">
        <v>68.0</v>
      </c>
      <c r="C1037" s="2"/>
      <c r="D1037" s="2"/>
      <c r="E1037" s="2"/>
      <c r="F1037" s="2"/>
      <c r="G1037" s="2"/>
    </row>
    <row r="1038">
      <c r="A1038" s="1" t="s">
        <v>637</v>
      </c>
      <c r="B1038" s="1">
        <v>0.0</v>
      </c>
      <c r="C1038" s="2"/>
      <c r="D1038" s="2"/>
      <c r="E1038" s="2"/>
      <c r="F1038" s="2"/>
      <c r="G1038" s="2"/>
    </row>
    <row r="1039">
      <c r="A1039" s="1" t="s">
        <v>638</v>
      </c>
      <c r="B1039" s="1">
        <v>0.0</v>
      </c>
      <c r="C1039" s="2"/>
      <c r="D1039" s="2"/>
      <c r="E1039" s="2"/>
      <c r="F1039" s="2"/>
      <c r="G1039" s="2"/>
    </row>
    <row r="1040">
      <c r="A1040" s="1" t="s">
        <v>639</v>
      </c>
      <c r="B1040" s="1">
        <v>0.0</v>
      </c>
      <c r="C1040" s="2"/>
      <c r="D1040" s="2"/>
      <c r="E1040" s="2"/>
      <c r="F1040" s="2"/>
      <c r="G1040" s="2"/>
    </row>
    <row r="1041">
      <c r="A1041" s="1" t="s">
        <v>640</v>
      </c>
      <c r="B1041" s="1">
        <v>90.0</v>
      </c>
      <c r="C1041" s="2"/>
      <c r="D1041" s="2"/>
      <c r="E1041" s="2"/>
      <c r="F1041" s="2"/>
      <c r="G1041" s="2"/>
    </row>
    <row r="1042">
      <c r="A1042" s="1" t="s">
        <v>641</v>
      </c>
      <c r="B1042" s="1">
        <v>0.0</v>
      </c>
      <c r="C1042" s="2"/>
      <c r="D1042" s="2"/>
      <c r="E1042" s="2"/>
      <c r="F1042" s="2"/>
      <c r="G1042" s="2"/>
    </row>
    <row r="1043">
      <c r="A1043" s="1" t="s">
        <v>642</v>
      </c>
      <c r="B1043" s="1">
        <v>0.0</v>
      </c>
      <c r="C1043" s="2"/>
      <c r="D1043" s="2"/>
      <c r="E1043" s="2"/>
      <c r="F1043" s="2"/>
      <c r="G1043" s="2"/>
    </row>
    <row r="1044">
      <c r="A1044" s="1" t="s">
        <v>643</v>
      </c>
      <c r="B1044" s="1">
        <v>57.0</v>
      </c>
      <c r="C1044" s="2"/>
      <c r="D1044" s="2"/>
      <c r="E1044" s="2"/>
      <c r="F1044" s="2"/>
      <c r="G1044" s="2"/>
    </row>
    <row r="1045">
      <c r="A1045" s="1" t="s">
        <v>644</v>
      </c>
      <c r="B1045" s="1">
        <v>20.0</v>
      </c>
      <c r="C1045" s="2"/>
      <c r="D1045" s="2"/>
      <c r="E1045" s="2"/>
      <c r="F1045" s="2"/>
      <c r="G1045" s="2"/>
    </row>
    <row r="1046">
      <c r="A1046" s="1" t="s">
        <v>645</v>
      </c>
      <c r="B1046" s="1">
        <v>0.0</v>
      </c>
      <c r="C1046" s="2"/>
      <c r="D1046" s="2"/>
      <c r="E1046" s="2"/>
      <c r="F1046" s="2"/>
      <c r="G1046" s="2"/>
    </row>
    <row r="1047">
      <c r="A1047" s="1" t="s">
        <v>646</v>
      </c>
      <c r="B1047" s="1">
        <v>50.0</v>
      </c>
      <c r="C1047" s="2"/>
      <c r="D1047" s="2"/>
      <c r="E1047" s="2"/>
      <c r="F1047" s="2"/>
      <c r="G1047" s="2"/>
    </row>
    <row r="1048">
      <c r="A1048" s="1" t="s">
        <v>647</v>
      </c>
      <c r="B1048" s="1">
        <v>0.0</v>
      </c>
      <c r="C1048" s="2"/>
      <c r="D1048" s="2"/>
      <c r="E1048" s="2"/>
      <c r="F1048" s="2"/>
      <c r="G1048" s="2"/>
    </row>
    <row r="1049">
      <c r="A1049" s="1" t="s">
        <v>648</v>
      </c>
      <c r="B1049" s="1">
        <v>0.0</v>
      </c>
      <c r="C1049" s="2"/>
      <c r="D1049" s="2"/>
      <c r="E1049" s="2"/>
      <c r="F1049" s="2"/>
      <c r="G1049" s="2"/>
    </row>
    <row r="1050">
      <c r="A1050" s="1" t="s">
        <v>649</v>
      </c>
      <c r="B1050" s="1">
        <v>0.0</v>
      </c>
      <c r="C1050" s="2"/>
      <c r="D1050" s="2"/>
      <c r="E1050" s="2"/>
      <c r="F1050" s="2"/>
      <c r="G1050" s="2"/>
    </row>
    <row r="1051">
      <c r="A1051" s="1" t="s">
        <v>650</v>
      </c>
      <c r="B1051" s="1">
        <v>0.0</v>
      </c>
      <c r="C1051" s="2"/>
      <c r="D1051" s="2"/>
      <c r="E1051" s="2"/>
      <c r="F1051" s="2"/>
      <c r="G1051" s="2"/>
    </row>
    <row r="1052">
      <c r="A1052" s="1" t="s">
        <v>651</v>
      </c>
      <c r="B1052" s="1">
        <v>0.0</v>
      </c>
      <c r="C1052" s="2"/>
      <c r="D1052" s="2"/>
      <c r="E1052" s="2"/>
      <c r="F1052" s="2"/>
      <c r="G1052" s="2"/>
    </row>
    <row r="1053">
      <c r="A1053" s="1" t="s">
        <v>582</v>
      </c>
      <c r="B1053" s="1">
        <v>0.0</v>
      </c>
      <c r="C1053" s="2"/>
      <c r="D1053" s="2"/>
      <c r="E1053" s="2"/>
      <c r="F1053" s="2"/>
      <c r="G1053" s="2"/>
    </row>
    <row r="1054">
      <c r="A1054" s="1" t="s">
        <v>583</v>
      </c>
      <c r="B1054" s="1">
        <v>62.0</v>
      </c>
      <c r="C1054" s="2"/>
      <c r="D1054" s="2"/>
      <c r="E1054" s="2"/>
      <c r="F1054" s="2"/>
      <c r="G1054" s="2"/>
    </row>
    <row r="1055">
      <c r="A1055" s="1" t="s">
        <v>584</v>
      </c>
      <c r="B1055" s="1">
        <v>0.0</v>
      </c>
      <c r="C1055" s="2"/>
      <c r="D1055" s="2"/>
      <c r="E1055" s="2"/>
      <c r="F1055" s="2"/>
      <c r="G1055" s="2"/>
    </row>
    <row r="1056">
      <c r="A1056" s="1" t="s">
        <v>585</v>
      </c>
      <c r="B1056" s="1">
        <v>0.0</v>
      </c>
      <c r="C1056" s="2"/>
      <c r="D1056" s="2"/>
      <c r="E1056" s="2"/>
      <c r="F1056" s="2"/>
      <c r="G1056" s="2"/>
    </row>
    <row r="1057">
      <c r="A1057" s="1" t="s">
        <v>586</v>
      </c>
      <c r="B1057" s="1">
        <v>0.0</v>
      </c>
      <c r="C1057" s="2"/>
      <c r="D1057" s="2"/>
      <c r="E1057" s="2"/>
      <c r="F1057" s="2"/>
      <c r="G1057" s="2"/>
    </row>
    <row r="1058">
      <c r="A1058" s="1" t="s">
        <v>587</v>
      </c>
      <c r="B1058" s="1">
        <v>78.0</v>
      </c>
      <c r="C1058" s="2"/>
      <c r="D1058" s="2"/>
      <c r="E1058" s="2"/>
      <c r="F1058" s="2"/>
      <c r="G1058" s="2"/>
    </row>
    <row r="1059">
      <c r="A1059" s="1" t="s">
        <v>588</v>
      </c>
      <c r="B1059" s="1">
        <v>0.0</v>
      </c>
      <c r="C1059" s="2"/>
      <c r="D1059" s="2"/>
      <c r="E1059" s="2"/>
      <c r="F1059" s="2"/>
      <c r="G1059" s="2"/>
    </row>
    <row r="1060">
      <c r="A1060" s="1" t="s">
        <v>589</v>
      </c>
      <c r="B1060" s="1">
        <v>0.0</v>
      </c>
      <c r="C1060" s="2"/>
      <c r="D1060" s="2"/>
      <c r="E1060" s="2"/>
      <c r="F1060" s="2"/>
      <c r="G1060" s="2"/>
    </row>
    <row r="1061">
      <c r="A1061" s="1" t="s">
        <v>590</v>
      </c>
      <c r="B1061" s="1">
        <v>0.0</v>
      </c>
      <c r="C1061" s="2"/>
      <c r="D1061" s="2"/>
      <c r="E1061" s="2"/>
      <c r="F1061" s="2"/>
      <c r="G1061" s="2"/>
    </row>
    <row r="1062">
      <c r="A1062" s="1" t="s">
        <v>591</v>
      </c>
      <c r="B1062" s="1">
        <v>0.0</v>
      </c>
      <c r="C1062" s="2"/>
      <c r="D1062" s="2"/>
      <c r="E1062" s="2"/>
      <c r="F1062" s="2"/>
      <c r="G1062" s="2"/>
    </row>
    <row r="1063">
      <c r="A1063" s="1" t="s">
        <v>592</v>
      </c>
      <c r="B1063" s="1">
        <v>0.0</v>
      </c>
      <c r="C1063" s="2"/>
      <c r="D1063" s="2"/>
      <c r="E1063" s="2"/>
      <c r="F1063" s="2"/>
      <c r="G1063" s="2"/>
    </row>
    <row r="1064">
      <c r="A1064" s="1" t="s">
        <v>593</v>
      </c>
      <c r="B1064" s="1">
        <v>46.0</v>
      </c>
      <c r="C1064" s="2"/>
      <c r="D1064" s="2"/>
      <c r="E1064" s="2"/>
      <c r="F1064" s="2"/>
      <c r="G1064" s="2"/>
    </row>
    <row r="1065">
      <c r="A1065" s="1" t="s">
        <v>594</v>
      </c>
      <c r="B1065" s="1">
        <v>38.0</v>
      </c>
      <c r="C1065" s="2"/>
      <c r="D1065" s="2"/>
      <c r="E1065" s="2"/>
      <c r="F1065" s="2"/>
      <c r="G1065" s="2"/>
    </row>
    <row r="1066">
      <c r="A1066" s="1" t="s">
        <v>595</v>
      </c>
      <c r="B1066" s="1">
        <v>79.0</v>
      </c>
      <c r="C1066" s="2"/>
      <c r="D1066" s="2"/>
      <c r="E1066" s="2"/>
      <c r="F1066" s="2"/>
      <c r="G1066" s="2"/>
    </row>
    <row r="1067">
      <c r="A1067" s="1" t="s">
        <v>596</v>
      </c>
      <c r="B1067" s="1">
        <v>0.0</v>
      </c>
      <c r="C1067" s="2"/>
      <c r="D1067" s="2"/>
      <c r="E1067" s="2"/>
      <c r="F1067" s="2"/>
      <c r="G1067" s="2"/>
    </row>
    <row r="1068">
      <c r="A1068" s="1" t="s">
        <v>597</v>
      </c>
      <c r="B1068" s="1">
        <v>47.0</v>
      </c>
      <c r="C1068" s="2"/>
      <c r="D1068" s="2"/>
      <c r="E1068" s="2"/>
      <c r="F1068" s="2"/>
      <c r="G1068" s="2"/>
    </row>
    <row r="1069">
      <c r="A1069" s="1" t="s">
        <v>598</v>
      </c>
      <c r="B1069" s="1">
        <v>0.0</v>
      </c>
      <c r="C1069" s="2"/>
      <c r="D1069" s="2"/>
      <c r="E1069" s="2"/>
      <c r="F1069" s="2"/>
      <c r="G1069" s="2"/>
    </row>
    <row r="1070">
      <c r="A1070" s="1" t="s">
        <v>599</v>
      </c>
      <c r="B1070" s="1">
        <v>0.0</v>
      </c>
      <c r="C1070" s="2"/>
      <c r="D1070" s="2"/>
      <c r="E1070" s="2"/>
      <c r="F1070" s="2"/>
      <c r="G1070" s="2"/>
    </row>
    <row r="1071">
      <c r="A1071" s="1" t="s">
        <v>600</v>
      </c>
      <c r="B1071" s="1">
        <v>0.0</v>
      </c>
      <c r="C1071" s="2"/>
      <c r="D1071" s="2"/>
      <c r="E1071" s="2"/>
      <c r="F1071" s="2"/>
      <c r="G1071" s="2"/>
    </row>
    <row r="1072">
      <c r="A1072" s="1" t="s">
        <v>601</v>
      </c>
      <c r="B1072" s="1">
        <v>0.0</v>
      </c>
      <c r="C1072" s="2"/>
      <c r="D1072" s="2"/>
      <c r="E1072" s="2"/>
      <c r="F1072" s="2"/>
      <c r="G1072" s="2"/>
    </row>
    <row r="1073">
      <c r="A1073" s="1" t="s">
        <v>602</v>
      </c>
      <c r="B1073" s="1">
        <v>24.0</v>
      </c>
      <c r="C1073" s="2"/>
      <c r="D1073" s="2"/>
      <c r="E1073" s="2"/>
      <c r="F1073" s="2"/>
      <c r="G1073" s="2"/>
    </row>
    <row r="1074">
      <c r="A1074" s="1" t="s">
        <v>603</v>
      </c>
      <c r="B1074" s="1">
        <v>66.0</v>
      </c>
      <c r="C1074" s="2"/>
      <c r="D1074" s="2"/>
      <c r="E1074" s="2"/>
      <c r="F1074" s="2"/>
      <c r="G1074" s="2"/>
    </row>
    <row r="1075">
      <c r="A1075" s="1" t="s">
        <v>604</v>
      </c>
      <c r="B1075" s="1">
        <v>0.0</v>
      </c>
      <c r="C1075" s="2"/>
      <c r="D1075" s="2"/>
      <c r="E1075" s="2"/>
      <c r="F1075" s="2"/>
      <c r="G1075" s="2"/>
    </row>
    <row r="1076">
      <c r="A1076" s="1" t="s">
        <v>605</v>
      </c>
      <c r="B1076" s="1">
        <v>67.0</v>
      </c>
      <c r="C1076" s="2"/>
      <c r="D1076" s="2"/>
      <c r="E1076" s="2"/>
      <c r="F1076" s="2"/>
      <c r="G1076" s="2"/>
    </row>
    <row r="1077">
      <c r="A1077" s="1" t="s">
        <v>606</v>
      </c>
      <c r="B1077" s="1">
        <v>0.0</v>
      </c>
      <c r="C1077" s="2"/>
      <c r="D1077" s="2"/>
      <c r="E1077" s="2"/>
      <c r="F1077" s="2"/>
      <c r="G1077" s="2"/>
    </row>
    <row r="1078">
      <c r="A1078" s="1" t="s">
        <v>607</v>
      </c>
      <c r="B1078" s="1" t="s">
        <v>608</v>
      </c>
      <c r="C1078" s="1">
        <v>0.0</v>
      </c>
      <c r="D1078" s="2"/>
      <c r="E1078" s="2"/>
      <c r="F1078" s="2"/>
      <c r="G1078" s="2"/>
    </row>
    <row r="1079">
      <c r="A1079" s="1" t="s">
        <v>609</v>
      </c>
      <c r="B1079" s="1">
        <v>0.0</v>
      </c>
      <c r="C1079" s="2"/>
      <c r="D1079" s="2"/>
      <c r="E1079" s="2"/>
      <c r="F1079" s="2"/>
      <c r="G1079" s="2"/>
    </row>
    <row r="1080">
      <c r="A1080" s="1" t="s">
        <v>610</v>
      </c>
      <c r="B1080" s="1">
        <v>0.0</v>
      </c>
      <c r="C1080" s="2"/>
      <c r="D1080" s="2"/>
      <c r="E1080" s="2"/>
      <c r="F1080" s="2"/>
      <c r="G1080" s="2"/>
    </row>
    <row r="1081">
      <c r="A1081" s="1" t="s">
        <v>611</v>
      </c>
      <c r="B1081" s="1">
        <v>0.0</v>
      </c>
      <c r="C1081" s="2"/>
      <c r="D1081" s="2"/>
      <c r="E1081" s="2"/>
      <c r="F1081" s="2"/>
      <c r="G1081" s="2"/>
    </row>
    <row r="1082">
      <c r="A1082" s="1" t="s">
        <v>612</v>
      </c>
      <c r="B1082" s="1">
        <v>32.0</v>
      </c>
      <c r="C1082" s="2"/>
      <c r="D1082" s="2"/>
      <c r="E1082" s="2"/>
      <c r="F1082" s="2"/>
      <c r="G1082" s="2"/>
    </row>
    <row r="1083">
      <c r="A1083" s="1" t="s">
        <v>613</v>
      </c>
      <c r="B1083" s="1">
        <v>0.0</v>
      </c>
      <c r="C1083" s="2"/>
      <c r="D1083" s="2"/>
      <c r="E1083" s="2"/>
      <c r="F1083" s="2"/>
      <c r="G1083" s="2"/>
    </row>
    <row r="1084">
      <c r="A1084" s="1" t="s">
        <v>614</v>
      </c>
      <c r="B1084" s="1">
        <v>0.0</v>
      </c>
      <c r="C1084" s="2"/>
      <c r="D1084" s="2"/>
      <c r="E1084" s="2"/>
      <c r="F1084" s="2"/>
      <c r="G1084" s="2"/>
    </row>
    <row r="1085">
      <c r="A1085" s="1" t="s">
        <v>615</v>
      </c>
      <c r="B1085" s="1">
        <v>0.0</v>
      </c>
      <c r="C1085" s="2"/>
      <c r="D1085" s="2"/>
      <c r="E1085" s="2"/>
      <c r="F1085" s="2"/>
      <c r="G1085" s="2"/>
    </row>
    <row r="1086">
      <c r="A1086" s="1" t="s">
        <v>616</v>
      </c>
      <c r="B1086" s="1">
        <v>0.0</v>
      </c>
      <c r="C1086" s="2"/>
      <c r="D1086" s="2"/>
      <c r="E1086" s="2"/>
      <c r="F1086" s="2"/>
      <c r="G1086" s="2"/>
    </row>
    <row r="1087">
      <c r="A1087" s="1" t="s">
        <v>617</v>
      </c>
      <c r="B1087" s="1">
        <v>0.0</v>
      </c>
      <c r="C1087" s="2"/>
      <c r="D1087" s="2"/>
      <c r="E1087" s="2"/>
      <c r="F1087" s="2"/>
      <c r="G1087" s="2"/>
    </row>
    <row r="1088">
      <c r="A1088" s="1" t="s">
        <v>618</v>
      </c>
      <c r="B1088" s="1">
        <v>0.0</v>
      </c>
      <c r="C1088" s="2"/>
      <c r="D1088" s="2"/>
      <c r="E1088" s="2"/>
      <c r="F1088" s="2"/>
      <c r="G1088" s="2"/>
    </row>
    <row r="1089">
      <c r="A1089" s="1" t="s">
        <v>619</v>
      </c>
      <c r="B1089" s="1">
        <v>87.0</v>
      </c>
      <c r="C1089" s="2"/>
      <c r="D1089" s="2"/>
      <c r="E1089" s="2"/>
      <c r="F1089" s="2"/>
      <c r="G1089" s="2"/>
    </row>
    <row r="1090">
      <c r="A1090" s="1" t="s">
        <v>620</v>
      </c>
      <c r="B1090" s="1">
        <v>0.0</v>
      </c>
      <c r="C1090" s="2"/>
      <c r="D1090" s="2"/>
      <c r="E1090" s="2"/>
      <c r="F1090" s="2"/>
      <c r="G1090" s="2"/>
    </row>
    <row r="1091">
      <c r="A1091" s="1" t="s">
        <v>621</v>
      </c>
      <c r="B1091" s="1">
        <v>0.0</v>
      </c>
      <c r="C1091" s="2"/>
      <c r="D1091" s="2"/>
      <c r="E1091" s="2"/>
      <c r="F1091" s="2"/>
      <c r="G1091" s="2"/>
    </row>
    <row r="1092">
      <c r="A1092" s="1" t="s">
        <v>622</v>
      </c>
      <c r="B1092" s="1">
        <v>0.0</v>
      </c>
      <c r="C1092" s="2"/>
      <c r="D1092" s="2"/>
      <c r="E1092" s="2"/>
      <c r="F1092" s="2"/>
      <c r="G1092" s="2"/>
    </row>
    <row r="1093">
      <c r="A1093" s="1" t="s">
        <v>623</v>
      </c>
      <c r="B1093" s="1">
        <v>14.0</v>
      </c>
      <c r="C1093" s="2"/>
      <c r="D1093" s="2"/>
      <c r="E1093" s="2"/>
      <c r="F1093" s="2"/>
      <c r="G1093" s="2"/>
    </row>
    <row r="1094">
      <c r="A1094" s="1" t="s">
        <v>624</v>
      </c>
      <c r="B1094" s="1">
        <v>76.0</v>
      </c>
      <c r="C1094" s="2"/>
      <c r="D1094" s="2"/>
      <c r="E1094" s="2"/>
      <c r="F1094" s="2"/>
      <c r="G1094" s="2"/>
    </row>
    <row r="1095">
      <c r="A1095" s="1" t="s">
        <v>625</v>
      </c>
      <c r="B1095" s="1">
        <v>20.0</v>
      </c>
      <c r="C1095" s="2"/>
      <c r="D1095" s="2"/>
      <c r="E1095" s="2"/>
      <c r="F1095" s="2"/>
      <c r="G1095" s="2"/>
    </row>
    <row r="1096">
      <c r="A1096" s="1" t="s">
        <v>626</v>
      </c>
      <c r="B1096" s="1">
        <v>0.0</v>
      </c>
      <c r="C1096" s="2"/>
      <c r="D1096" s="2"/>
      <c r="E1096" s="2"/>
      <c r="F1096" s="2"/>
      <c r="G1096" s="2"/>
    </row>
    <row r="1097">
      <c r="A1097" s="1" t="s">
        <v>627</v>
      </c>
      <c r="B1097" s="1">
        <v>0.0</v>
      </c>
      <c r="C1097" s="2"/>
      <c r="D1097" s="2"/>
      <c r="E1097" s="2"/>
      <c r="F1097" s="2"/>
      <c r="G1097" s="2"/>
    </row>
    <row r="1098">
      <c r="A1098" s="1" t="s">
        <v>628</v>
      </c>
      <c r="B1098" s="1">
        <v>8.0</v>
      </c>
      <c r="C1098" s="2"/>
      <c r="D1098" s="2"/>
      <c r="E1098" s="2"/>
      <c r="F1098" s="2"/>
      <c r="G1098" s="2"/>
    </row>
    <row r="1099">
      <c r="A1099" s="1" t="s">
        <v>629</v>
      </c>
      <c r="B1099" s="1">
        <v>0.0</v>
      </c>
      <c r="C1099" s="2"/>
      <c r="D1099" s="2"/>
      <c r="E1099" s="2"/>
      <c r="F1099" s="2"/>
      <c r="G1099" s="2"/>
    </row>
    <row r="1100">
      <c r="A1100" s="1" t="s">
        <v>630</v>
      </c>
      <c r="B1100" s="1">
        <v>0.0</v>
      </c>
      <c r="C1100" s="2"/>
      <c r="D1100" s="2"/>
      <c r="E1100" s="2"/>
      <c r="F1100" s="2"/>
      <c r="G1100" s="2"/>
    </row>
    <row r="1101">
      <c r="A1101" s="1" t="s">
        <v>631</v>
      </c>
      <c r="B1101" s="1">
        <v>0.0</v>
      </c>
      <c r="C1101" s="2"/>
      <c r="D1101" s="2"/>
      <c r="E1101" s="2"/>
      <c r="F1101" s="2"/>
      <c r="G1101" s="2"/>
    </row>
    <row r="1102">
      <c r="A1102" s="1" t="s">
        <v>632</v>
      </c>
      <c r="B1102" s="1">
        <v>78.0</v>
      </c>
      <c r="C1102" s="2"/>
      <c r="D1102" s="2"/>
      <c r="E1102" s="2"/>
      <c r="F1102" s="2"/>
      <c r="G1102" s="2"/>
    </row>
    <row r="1103">
      <c r="A1103" s="1" t="s">
        <v>633</v>
      </c>
      <c r="B1103" s="1">
        <v>6.0</v>
      </c>
      <c r="C1103" s="2"/>
      <c r="D1103" s="2"/>
      <c r="E1103" s="2"/>
      <c r="F1103" s="2"/>
      <c r="G1103" s="2"/>
    </row>
    <row r="1104">
      <c r="A1104" s="1" t="s">
        <v>634</v>
      </c>
      <c r="B1104" s="1">
        <v>89.0</v>
      </c>
      <c r="C1104" s="2"/>
      <c r="D1104" s="2"/>
      <c r="E1104" s="2"/>
      <c r="F1104" s="2"/>
      <c r="G1104" s="2"/>
    </row>
    <row r="1105">
      <c r="A1105" s="1" t="s">
        <v>635</v>
      </c>
      <c r="B1105" s="1">
        <v>38.0</v>
      </c>
      <c r="C1105" s="2"/>
      <c r="D1105" s="2"/>
      <c r="E1105" s="2"/>
      <c r="F1105" s="2"/>
      <c r="G1105" s="2"/>
    </row>
    <row r="1106">
      <c r="A1106" s="1" t="s">
        <v>636</v>
      </c>
      <c r="B1106" s="1">
        <v>68.0</v>
      </c>
      <c r="C1106" s="2"/>
      <c r="D1106" s="2"/>
      <c r="E1106" s="2"/>
      <c r="F1106" s="2"/>
      <c r="G1106" s="2"/>
    </row>
    <row r="1107">
      <c r="A1107" s="1" t="s">
        <v>637</v>
      </c>
      <c r="B1107" s="1">
        <v>0.0</v>
      </c>
      <c r="C1107" s="2"/>
      <c r="D1107" s="2"/>
      <c r="E1107" s="2"/>
      <c r="F1107" s="2"/>
      <c r="G1107" s="2"/>
    </row>
    <row r="1108">
      <c r="A1108" s="1" t="s">
        <v>638</v>
      </c>
      <c r="B1108" s="1">
        <v>0.0</v>
      </c>
      <c r="C1108" s="2"/>
      <c r="D1108" s="2"/>
      <c r="E1108" s="2"/>
      <c r="F1108" s="2"/>
      <c r="G1108" s="2"/>
    </row>
    <row r="1109">
      <c r="A1109" s="1" t="s">
        <v>639</v>
      </c>
      <c r="B1109" s="1">
        <v>0.0</v>
      </c>
      <c r="C1109" s="2"/>
      <c r="D1109" s="2"/>
      <c r="E1109" s="2"/>
      <c r="F1109" s="2"/>
      <c r="G1109" s="2"/>
    </row>
    <row r="1110">
      <c r="A1110" s="1" t="s">
        <v>640</v>
      </c>
      <c r="B1110" s="1">
        <v>90.0</v>
      </c>
      <c r="C1110" s="2"/>
      <c r="D1110" s="2"/>
      <c r="E1110" s="2"/>
      <c r="F1110" s="2"/>
      <c r="G1110" s="2"/>
    </row>
    <row r="1111">
      <c r="A1111" s="1" t="s">
        <v>641</v>
      </c>
      <c r="B1111" s="1">
        <v>0.0</v>
      </c>
      <c r="C1111" s="2"/>
      <c r="D1111" s="2"/>
      <c r="E1111" s="2"/>
      <c r="F1111" s="2"/>
      <c r="G1111" s="2"/>
    </row>
    <row r="1112">
      <c r="A1112" s="1" t="s">
        <v>642</v>
      </c>
      <c r="B1112" s="1">
        <v>0.0</v>
      </c>
      <c r="C1112" s="2"/>
      <c r="D1112" s="2"/>
      <c r="E1112" s="2"/>
      <c r="F1112" s="2"/>
      <c r="G1112" s="2"/>
    </row>
    <row r="1113">
      <c r="A1113" s="1" t="s">
        <v>643</v>
      </c>
      <c r="B1113" s="1">
        <v>57.0</v>
      </c>
      <c r="C1113" s="2"/>
      <c r="D1113" s="2"/>
      <c r="E1113" s="2"/>
      <c r="F1113" s="2"/>
      <c r="G1113" s="2"/>
    </row>
    <row r="1114">
      <c r="A1114" s="1" t="s">
        <v>644</v>
      </c>
      <c r="B1114" s="1">
        <v>20.0</v>
      </c>
      <c r="C1114" s="2"/>
      <c r="D1114" s="2"/>
      <c r="E1114" s="2"/>
      <c r="F1114" s="2"/>
      <c r="G1114" s="2"/>
    </row>
    <row r="1115">
      <c r="A1115" s="1" t="s">
        <v>645</v>
      </c>
      <c r="B1115" s="1">
        <v>0.0</v>
      </c>
      <c r="C1115" s="2"/>
      <c r="D1115" s="2"/>
      <c r="E1115" s="2"/>
      <c r="F1115" s="2"/>
      <c r="G1115" s="2"/>
    </row>
    <row r="1116">
      <c r="A1116" s="1" t="s">
        <v>646</v>
      </c>
      <c r="B1116" s="1">
        <v>50.0</v>
      </c>
      <c r="C1116" s="2"/>
      <c r="D1116" s="2"/>
      <c r="E1116" s="2"/>
      <c r="F1116" s="2"/>
      <c r="G1116" s="2"/>
    </row>
    <row r="1117">
      <c r="A1117" s="1" t="s">
        <v>647</v>
      </c>
      <c r="B1117" s="1">
        <v>0.0</v>
      </c>
      <c r="C1117" s="2"/>
      <c r="D1117" s="2"/>
      <c r="E1117" s="2"/>
      <c r="F1117" s="2"/>
      <c r="G1117" s="2"/>
    </row>
    <row r="1118">
      <c r="A1118" s="1" t="s">
        <v>648</v>
      </c>
      <c r="B1118" s="1">
        <v>0.0</v>
      </c>
      <c r="C1118" s="2"/>
      <c r="D1118" s="2"/>
      <c r="E1118" s="2"/>
      <c r="F1118" s="2"/>
      <c r="G1118" s="2"/>
    </row>
    <row r="1119">
      <c r="A1119" s="1" t="s">
        <v>649</v>
      </c>
      <c r="B1119" s="1">
        <v>0.0</v>
      </c>
      <c r="C1119" s="2"/>
      <c r="D1119" s="2"/>
      <c r="E1119" s="2"/>
      <c r="F1119" s="2"/>
      <c r="G1119" s="2"/>
    </row>
    <row r="1120">
      <c r="A1120" s="1" t="s">
        <v>650</v>
      </c>
      <c r="B1120" s="1">
        <v>0.0</v>
      </c>
      <c r="C1120" s="2"/>
      <c r="D1120" s="2"/>
      <c r="E1120" s="2"/>
      <c r="F1120" s="2"/>
      <c r="G1120" s="2"/>
    </row>
    <row r="1121">
      <c r="A1121" s="1" t="s">
        <v>651</v>
      </c>
      <c r="B1121" s="1">
        <v>0.0</v>
      </c>
      <c r="C1121" s="2"/>
      <c r="D1121" s="2"/>
      <c r="E1121" s="2"/>
      <c r="F1121" s="2"/>
      <c r="G1121" s="2"/>
    </row>
    <row r="1122">
      <c r="A1122" s="1" t="s">
        <v>652</v>
      </c>
      <c r="B1122" s="1">
        <v>0.0</v>
      </c>
      <c r="C1122" s="2"/>
      <c r="D1122" s="2"/>
      <c r="E1122" s="2"/>
      <c r="F1122" s="2"/>
      <c r="G1122" s="2"/>
    </row>
    <row r="1123">
      <c r="A1123" s="1" t="s">
        <v>653</v>
      </c>
      <c r="B1123" s="1">
        <v>0.0</v>
      </c>
      <c r="C1123" s="2"/>
      <c r="D1123" s="2"/>
      <c r="E1123" s="2"/>
      <c r="F1123" s="2"/>
      <c r="G1123" s="2"/>
    </row>
    <row r="1124">
      <c r="A1124" s="1" t="s">
        <v>654</v>
      </c>
      <c r="B1124" s="1">
        <v>0.0</v>
      </c>
      <c r="C1124" s="2"/>
      <c r="D1124" s="2"/>
      <c r="E1124" s="2"/>
      <c r="F1124" s="2"/>
      <c r="G1124" s="2"/>
    </row>
    <row r="1125">
      <c r="A1125" s="1" t="s">
        <v>655</v>
      </c>
      <c r="B1125" s="1">
        <v>92.0</v>
      </c>
      <c r="C1125" s="2"/>
      <c r="D1125" s="2"/>
      <c r="E1125" s="2"/>
      <c r="F1125" s="2"/>
      <c r="G1125" s="2"/>
    </row>
    <row r="1126">
      <c r="A1126" s="1" t="s">
        <v>656</v>
      </c>
      <c r="B1126" s="1">
        <v>0.0</v>
      </c>
      <c r="C1126" s="2"/>
      <c r="D1126" s="2"/>
      <c r="E1126" s="2"/>
      <c r="F1126" s="2"/>
      <c r="G1126" s="2"/>
    </row>
    <row r="1127">
      <c r="A1127" s="1" t="s">
        <v>657</v>
      </c>
      <c r="B1127" s="1">
        <v>0.0</v>
      </c>
      <c r="C1127" s="2"/>
      <c r="D1127" s="2"/>
      <c r="E1127" s="2"/>
      <c r="F1127" s="2"/>
      <c r="G1127" s="2"/>
    </row>
    <row r="1128">
      <c r="A1128" s="1" t="s">
        <v>658</v>
      </c>
      <c r="B1128" s="1">
        <v>0.0</v>
      </c>
      <c r="C1128" s="2"/>
      <c r="D1128" s="2"/>
      <c r="E1128" s="2"/>
      <c r="F1128" s="2"/>
      <c r="G1128" s="2"/>
    </row>
    <row r="1129">
      <c r="A1129" s="1" t="s">
        <v>659</v>
      </c>
      <c r="B1129" s="1">
        <v>0.0</v>
      </c>
      <c r="C1129" s="2"/>
      <c r="D1129" s="2"/>
      <c r="E1129" s="2"/>
      <c r="F1129" s="2"/>
      <c r="G1129" s="2"/>
    </row>
    <row r="1130">
      <c r="A1130" s="1" t="s">
        <v>660</v>
      </c>
      <c r="B1130" s="1">
        <v>0.0</v>
      </c>
      <c r="C1130" s="2"/>
      <c r="D1130" s="2"/>
      <c r="E1130" s="2"/>
      <c r="F1130" s="2"/>
      <c r="G1130" s="2"/>
    </row>
    <row r="1131">
      <c r="A1131" s="1" t="s">
        <v>661</v>
      </c>
      <c r="B1131" s="1">
        <v>0.0</v>
      </c>
      <c r="C1131" s="2"/>
      <c r="D1131" s="2"/>
      <c r="E1131" s="2"/>
      <c r="F1131" s="2"/>
      <c r="G1131" s="2"/>
    </row>
    <row r="1132">
      <c r="A1132" s="1" t="s">
        <v>662</v>
      </c>
      <c r="B1132" s="1">
        <v>0.0</v>
      </c>
      <c r="C1132" s="2"/>
      <c r="D1132" s="2"/>
      <c r="E1132" s="2"/>
      <c r="F1132" s="2"/>
      <c r="G1132" s="2"/>
    </row>
    <row r="1133">
      <c r="A1133" s="1" t="s">
        <v>663</v>
      </c>
      <c r="B1133" s="1" t="s">
        <v>664</v>
      </c>
      <c r="C1133" s="1">
        <v>0.0</v>
      </c>
      <c r="D1133" s="2"/>
      <c r="E1133" s="2"/>
      <c r="F1133" s="2"/>
      <c r="G1133" s="2"/>
    </row>
    <row r="1134">
      <c r="A1134" s="1" t="s">
        <v>665</v>
      </c>
      <c r="B1134" s="1">
        <v>0.0</v>
      </c>
      <c r="C1134" s="2"/>
      <c r="D1134" s="2"/>
      <c r="E1134" s="2"/>
      <c r="F1134" s="2"/>
      <c r="G1134" s="2"/>
    </row>
    <row r="1135">
      <c r="A1135" s="1" t="s">
        <v>666</v>
      </c>
      <c r="B1135" s="1">
        <v>0.0</v>
      </c>
      <c r="C1135" s="2"/>
      <c r="D1135" s="2"/>
      <c r="E1135" s="2"/>
      <c r="F1135" s="2"/>
      <c r="G1135" s="2"/>
    </row>
    <row r="1136">
      <c r="A1136" s="1" t="s">
        <v>667</v>
      </c>
      <c r="B1136" s="1">
        <v>68.0</v>
      </c>
      <c r="C1136" s="2"/>
      <c r="D1136" s="2"/>
      <c r="E1136" s="2"/>
      <c r="F1136" s="2"/>
      <c r="G1136" s="2"/>
    </row>
    <row r="1137">
      <c r="A1137" s="1" t="s">
        <v>668</v>
      </c>
      <c r="B1137" s="1">
        <v>0.0</v>
      </c>
      <c r="C1137" s="2"/>
      <c r="D1137" s="2"/>
      <c r="E1137" s="2"/>
      <c r="F1137" s="2"/>
      <c r="G1137" s="2"/>
    </row>
    <row r="1138">
      <c r="A1138" s="1" t="s">
        <v>669</v>
      </c>
      <c r="B1138" s="1">
        <v>0.0</v>
      </c>
      <c r="C1138" s="2"/>
      <c r="D1138" s="2"/>
      <c r="E1138" s="2"/>
      <c r="F1138" s="2"/>
      <c r="G1138" s="2"/>
    </row>
    <row r="1139">
      <c r="A1139" s="1" t="s">
        <v>670</v>
      </c>
      <c r="B1139" s="1">
        <v>0.0</v>
      </c>
      <c r="C1139" s="2"/>
      <c r="D1139" s="2"/>
      <c r="E1139" s="2"/>
      <c r="F1139" s="2"/>
      <c r="G1139" s="2"/>
    </row>
    <row r="1140">
      <c r="A1140" s="1" t="s">
        <v>671</v>
      </c>
      <c r="B1140" s="1">
        <v>0.0</v>
      </c>
      <c r="C1140" s="2"/>
      <c r="D1140" s="2"/>
      <c r="E1140" s="2"/>
      <c r="F1140" s="2"/>
      <c r="G1140" s="2"/>
    </row>
    <row r="1141">
      <c r="A1141" s="1" t="s">
        <v>672</v>
      </c>
      <c r="B1141" s="1">
        <v>95.0</v>
      </c>
      <c r="C1141" s="2"/>
      <c r="D1141" s="2"/>
      <c r="E1141" s="2"/>
      <c r="F1141" s="2"/>
      <c r="G1141" s="2"/>
    </row>
    <row r="1142">
      <c r="A1142" s="1" t="s">
        <v>673</v>
      </c>
      <c r="B1142" s="1">
        <v>32.0</v>
      </c>
      <c r="C1142" s="2"/>
      <c r="D1142" s="2"/>
      <c r="E1142" s="2"/>
      <c r="F1142" s="2"/>
      <c r="G1142" s="2"/>
    </row>
    <row r="1143">
      <c r="A1143" s="1" t="s">
        <v>674</v>
      </c>
      <c r="B1143" s="1">
        <v>79.0</v>
      </c>
      <c r="C1143" s="2"/>
      <c r="D1143" s="2"/>
      <c r="E1143" s="2"/>
      <c r="F1143" s="2"/>
      <c r="G1143" s="2"/>
    </row>
    <row r="1144">
      <c r="A1144" s="1" t="s">
        <v>675</v>
      </c>
      <c r="B1144" s="1">
        <v>4.0</v>
      </c>
      <c r="C1144" s="2"/>
      <c r="D1144" s="2"/>
      <c r="E1144" s="2"/>
      <c r="F1144" s="2"/>
      <c r="G1144" s="2"/>
    </row>
    <row r="1145">
      <c r="A1145" s="1" t="s">
        <v>676</v>
      </c>
      <c r="B1145" s="1">
        <v>0.0</v>
      </c>
      <c r="C1145" s="2"/>
      <c r="D1145" s="2"/>
      <c r="E1145" s="2"/>
      <c r="F1145" s="2"/>
      <c r="G1145" s="2"/>
    </row>
    <row r="1146">
      <c r="A1146" s="1" t="s">
        <v>677</v>
      </c>
      <c r="B1146" s="1">
        <v>82.0</v>
      </c>
      <c r="C1146" s="2"/>
      <c r="D1146" s="2"/>
      <c r="E1146" s="2"/>
      <c r="F1146" s="2"/>
      <c r="G1146" s="2"/>
    </row>
    <row r="1147">
      <c r="A1147" s="1" t="s">
        <v>678</v>
      </c>
      <c r="B1147" s="1">
        <v>0.0</v>
      </c>
      <c r="C1147" s="2"/>
      <c r="D1147" s="2"/>
      <c r="E1147" s="2"/>
      <c r="F1147" s="2"/>
      <c r="G1147" s="2"/>
    </row>
    <row r="1148">
      <c r="A1148" s="1" t="s">
        <v>679</v>
      </c>
      <c r="B1148" s="1">
        <v>0.0</v>
      </c>
      <c r="C1148" s="2"/>
      <c r="D1148" s="2"/>
      <c r="E1148" s="2"/>
      <c r="F1148" s="2"/>
      <c r="G1148" s="2"/>
    </row>
    <row r="1149">
      <c r="A1149" s="1" t="s">
        <v>680</v>
      </c>
      <c r="B1149" s="1">
        <v>0.0</v>
      </c>
      <c r="C1149" s="2"/>
      <c r="D1149" s="2"/>
      <c r="E1149" s="2"/>
      <c r="F1149" s="2"/>
      <c r="G1149" s="2"/>
    </row>
    <row r="1150">
      <c r="A1150" s="1" t="s">
        <v>681</v>
      </c>
      <c r="B1150" s="1">
        <v>0.0</v>
      </c>
      <c r="C1150" s="2"/>
      <c r="D1150" s="2"/>
      <c r="E1150" s="2"/>
      <c r="F1150" s="2"/>
      <c r="G1150" s="2"/>
    </row>
    <row r="1151">
      <c r="A1151" s="1" t="s">
        <v>682</v>
      </c>
      <c r="B1151" s="1">
        <v>0.0</v>
      </c>
      <c r="C1151" s="2"/>
      <c r="D1151" s="2"/>
      <c r="E1151" s="2"/>
      <c r="F1151" s="2"/>
      <c r="G1151" s="2"/>
    </row>
    <row r="1152">
      <c r="A1152" s="1" t="s">
        <v>683</v>
      </c>
      <c r="B1152" s="1">
        <v>72.0</v>
      </c>
      <c r="C1152" s="2"/>
      <c r="D1152" s="2"/>
      <c r="E1152" s="2"/>
      <c r="F1152" s="2"/>
      <c r="G1152" s="2"/>
    </row>
    <row r="1153">
      <c r="A1153" s="1" t="s">
        <v>684</v>
      </c>
      <c r="B1153" s="1">
        <v>0.0</v>
      </c>
      <c r="C1153" s="2"/>
      <c r="D1153" s="2"/>
      <c r="E1153" s="2"/>
      <c r="F1153" s="2"/>
      <c r="G1153" s="2"/>
    </row>
    <row r="1154">
      <c r="A1154" s="1" t="s">
        <v>685</v>
      </c>
      <c r="B1154" s="1">
        <v>0.0</v>
      </c>
      <c r="C1154" s="2"/>
      <c r="D1154" s="2"/>
      <c r="E1154" s="2"/>
      <c r="F1154" s="2"/>
      <c r="G1154" s="2"/>
    </row>
    <row r="1155">
      <c r="A1155" s="1" t="s">
        <v>686</v>
      </c>
      <c r="B1155" s="1">
        <v>17.0</v>
      </c>
      <c r="C1155" s="2"/>
      <c r="D1155" s="2"/>
      <c r="E1155" s="2"/>
      <c r="F1155" s="2"/>
      <c r="G1155" s="2"/>
    </row>
    <row r="1156">
      <c r="A1156" s="1" t="s">
        <v>687</v>
      </c>
      <c r="B1156" s="1">
        <v>50.0</v>
      </c>
      <c r="C1156" s="2"/>
      <c r="D1156" s="2"/>
      <c r="E1156" s="2"/>
      <c r="F1156" s="2"/>
      <c r="G1156" s="2"/>
    </row>
    <row r="1157">
      <c r="A1157" s="1" t="s">
        <v>688</v>
      </c>
      <c r="B1157" s="1">
        <v>0.0</v>
      </c>
      <c r="C1157" s="2"/>
      <c r="D1157" s="2"/>
      <c r="E1157" s="2"/>
      <c r="F1157" s="2"/>
      <c r="G1157" s="2"/>
    </row>
    <row r="1158">
      <c r="A1158" s="1" t="s">
        <v>689</v>
      </c>
      <c r="B1158" s="1">
        <v>0.0</v>
      </c>
      <c r="C1158" s="2"/>
      <c r="D1158" s="2"/>
      <c r="E1158" s="2"/>
      <c r="F1158" s="2"/>
      <c r="G1158" s="2"/>
    </row>
    <row r="1159">
      <c r="A1159" s="1" t="s">
        <v>690</v>
      </c>
      <c r="B1159" s="1">
        <v>0.0</v>
      </c>
      <c r="C1159" s="2"/>
      <c r="D1159" s="2"/>
      <c r="E1159" s="2"/>
      <c r="F1159" s="2"/>
      <c r="G1159" s="2"/>
    </row>
    <row r="1160">
      <c r="A1160" s="1" t="s">
        <v>691</v>
      </c>
      <c r="B1160" s="1">
        <v>50.0</v>
      </c>
      <c r="C1160" s="2"/>
      <c r="D1160" s="2"/>
      <c r="E1160" s="2"/>
      <c r="F1160" s="2"/>
      <c r="G1160" s="2"/>
    </row>
    <row r="1161">
      <c r="A1161" s="1" t="s">
        <v>692</v>
      </c>
      <c r="B1161" s="1">
        <v>0.0</v>
      </c>
      <c r="C1161" s="2"/>
      <c r="D1161" s="2"/>
      <c r="E1161" s="2"/>
      <c r="F1161" s="2"/>
      <c r="G1161" s="2"/>
    </row>
    <row r="1162">
      <c r="A1162" s="1" t="s">
        <v>693</v>
      </c>
      <c r="B1162" s="1">
        <v>0.0</v>
      </c>
      <c r="C1162" s="2"/>
      <c r="D1162" s="2"/>
      <c r="E1162" s="2"/>
      <c r="F1162" s="2"/>
      <c r="G1162" s="2"/>
    </row>
    <row r="1163">
      <c r="A1163" s="1" t="s">
        <v>694</v>
      </c>
      <c r="B1163" s="1">
        <v>35.0</v>
      </c>
      <c r="C1163" s="2"/>
      <c r="D1163" s="2"/>
      <c r="E1163" s="2"/>
      <c r="F1163" s="2"/>
      <c r="G1163" s="2"/>
    </row>
    <row r="1164">
      <c r="A1164" s="1" t="s">
        <v>695</v>
      </c>
      <c r="B1164" s="1">
        <v>0.0</v>
      </c>
      <c r="C1164" s="2"/>
      <c r="D1164" s="2"/>
      <c r="E1164" s="2"/>
      <c r="F1164" s="2"/>
      <c r="G1164" s="2"/>
    </row>
    <row r="1165">
      <c r="A1165" s="1" t="s">
        <v>696</v>
      </c>
      <c r="B1165" s="1">
        <v>48.0</v>
      </c>
      <c r="C1165" s="2"/>
      <c r="D1165" s="2"/>
      <c r="E1165" s="2"/>
      <c r="F1165" s="2"/>
      <c r="G1165" s="2"/>
    </row>
    <row r="1166">
      <c r="A1166" s="1" t="s">
        <v>697</v>
      </c>
      <c r="B1166" s="1">
        <v>0.0</v>
      </c>
      <c r="C1166" s="2"/>
      <c r="D1166" s="2"/>
      <c r="E1166" s="2"/>
      <c r="F1166" s="2"/>
      <c r="G1166" s="2"/>
    </row>
    <row r="1167">
      <c r="A1167" s="1" t="s">
        <v>698</v>
      </c>
      <c r="B1167" s="1">
        <v>50.0</v>
      </c>
      <c r="C1167" s="2"/>
      <c r="D1167" s="2"/>
      <c r="E1167" s="2"/>
      <c r="F1167" s="2"/>
      <c r="G1167" s="2"/>
    </row>
    <row r="1168">
      <c r="A1168" s="1" t="s">
        <v>699</v>
      </c>
      <c r="B1168" s="1">
        <v>56.0</v>
      </c>
      <c r="C1168" s="2"/>
      <c r="D1168" s="2"/>
      <c r="E1168" s="2"/>
      <c r="F1168" s="2"/>
      <c r="G1168" s="2"/>
    </row>
    <row r="1169">
      <c r="A1169" s="1" t="s">
        <v>700</v>
      </c>
      <c r="B1169" s="1">
        <v>0.0</v>
      </c>
      <c r="C1169" s="2"/>
      <c r="D1169" s="2"/>
      <c r="E1169" s="2"/>
      <c r="F1169" s="2"/>
      <c r="G1169" s="2"/>
    </row>
    <row r="1170">
      <c r="A1170" s="1" t="s">
        <v>701</v>
      </c>
      <c r="B1170" s="1">
        <v>0.0</v>
      </c>
      <c r="C1170" s="2"/>
      <c r="D1170" s="2"/>
      <c r="E1170" s="2"/>
      <c r="F1170" s="2"/>
      <c r="G1170" s="2"/>
    </row>
    <row r="1171">
      <c r="A1171" s="1" t="s">
        <v>702</v>
      </c>
      <c r="B1171" s="1">
        <v>0.0</v>
      </c>
      <c r="C1171" s="2"/>
      <c r="D1171" s="2"/>
      <c r="E1171" s="2"/>
      <c r="F1171" s="2"/>
      <c r="G1171" s="2"/>
    </row>
    <row r="1172">
      <c r="A1172" s="1" t="s">
        <v>703</v>
      </c>
      <c r="B1172" s="1">
        <v>0.0</v>
      </c>
      <c r="C1172" s="2"/>
      <c r="D1172" s="2"/>
      <c r="E1172" s="2"/>
      <c r="F1172" s="2"/>
      <c r="G1172" s="2"/>
    </row>
    <row r="1173">
      <c r="A1173" s="1" t="s">
        <v>704</v>
      </c>
      <c r="B1173" s="1">
        <v>15.0</v>
      </c>
      <c r="C1173" s="2"/>
      <c r="D1173" s="2"/>
      <c r="E1173" s="2"/>
      <c r="F1173" s="2"/>
      <c r="G1173" s="2"/>
    </row>
    <row r="1174">
      <c r="A1174" s="1" t="s">
        <v>705</v>
      </c>
      <c r="B1174" s="1">
        <v>70.0</v>
      </c>
      <c r="C1174" s="2"/>
      <c r="D1174" s="2"/>
      <c r="E1174" s="2"/>
      <c r="F1174" s="2"/>
      <c r="G1174" s="2"/>
    </row>
    <row r="1175">
      <c r="A1175" s="1" t="s">
        <v>706</v>
      </c>
      <c r="B1175" s="1">
        <v>0.0</v>
      </c>
      <c r="C1175" s="2"/>
      <c r="D1175" s="2"/>
      <c r="E1175" s="2"/>
      <c r="F1175" s="2"/>
      <c r="G1175" s="2"/>
    </row>
    <row r="1176">
      <c r="A1176" s="1" t="s">
        <v>707</v>
      </c>
      <c r="B1176" s="1">
        <v>0.0</v>
      </c>
      <c r="C1176" s="2"/>
      <c r="D1176" s="2"/>
      <c r="E1176" s="2"/>
      <c r="F1176" s="2"/>
      <c r="G1176" s="2"/>
    </row>
    <row r="1177">
      <c r="A1177" s="1" t="s">
        <v>708</v>
      </c>
      <c r="B1177" s="1">
        <v>0.0</v>
      </c>
      <c r="C1177" s="2"/>
      <c r="D1177" s="2"/>
      <c r="E1177" s="2"/>
      <c r="F1177" s="2"/>
      <c r="G1177" s="2"/>
    </row>
    <row r="1178">
      <c r="A1178" s="1" t="s">
        <v>709</v>
      </c>
      <c r="B1178" s="1">
        <v>0.0</v>
      </c>
      <c r="C1178" s="2"/>
      <c r="D1178" s="2"/>
      <c r="E1178" s="2"/>
      <c r="F1178" s="2"/>
      <c r="G1178" s="2"/>
    </row>
    <row r="1179">
      <c r="A1179" s="1" t="s">
        <v>710</v>
      </c>
      <c r="B1179" s="1">
        <v>0.0</v>
      </c>
      <c r="C1179" s="2"/>
      <c r="D1179" s="2"/>
      <c r="E1179" s="2"/>
      <c r="F1179" s="2"/>
      <c r="G1179" s="2"/>
    </row>
    <row r="1180">
      <c r="A1180" s="1" t="s">
        <v>711</v>
      </c>
      <c r="B1180" s="1">
        <v>0.0</v>
      </c>
      <c r="C1180" s="2"/>
      <c r="D1180" s="2"/>
      <c r="E1180" s="2"/>
      <c r="F1180" s="2"/>
      <c r="G1180" s="2"/>
    </row>
    <row r="1181">
      <c r="A1181" s="1" t="s">
        <v>712</v>
      </c>
      <c r="B1181" s="1">
        <v>80.0</v>
      </c>
      <c r="C1181" s="2"/>
      <c r="D1181" s="2"/>
      <c r="E1181" s="2"/>
      <c r="F1181" s="2"/>
      <c r="G1181" s="2"/>
    </row>
    <row r="1182">
      <c r="A1182" s="1" t="s">
        <v>713</v>
      </c>
      <c r="B1182" s="1">
        <v>12.0</v>
      </c>
      <c r="C1182" s="2"/>
      <c r="D1182" s="2"/>
      <c r="E1182" s="2"/>
      <c r="F1182" s="2"/>
      <c r="G1182" s="2"/>
    </row>
    <row r="1183">
      <c r="A1183" s="1" t="s">
        <v>714</v>
      </c>
      <c r="B1183" s="1">
        <v>0.0</v>
      </c>
      <c r="C1183" s="2"/>
      <c r="D1183" s="2"/>
      <c r="E1183" s="2"/>
      <c r="F1183" s="2"/>
      <c r="G1183" s="2"/>
    </row>
    <row r="1184">
      <c r="A1184" s="1" t="s">
        <v>715</v>
      </c>
      <c r="B1184" s="1">
        <v>0.0</v>
      </c>
      <c r="C1184" s="2"/>
      <c r="D1184" s="2"/>
      <c r="E1184" s="2"/>
      <c r="F1184" s="2"/>
      <c r="G1184" s="2"/>
    </row>
    <row r="1185">
      <c r="A1185" s="1" t="s">
        <v>716</v>
      </c>
      <c r="B1185" s="1">
        <v>20.0</v>
      </c>
      <c r="C1185" s="2"/>
      <c r="D1185" s="2"/>
      <c r="E1185" s="2"/>
      <c r="F1185" s="2"/>
      <c r="G1185" s="2"/>
    </row>
    <row r="1186">
      <c r="A1186" s="1" t="s">
        <v>717</v>
      </c>
      <c r="B1186" s="1">
        <v>0.0</v>
      </c>
      <c r="C1186" s="2"/>
      <c r="D1186" s="2"/>
      <c r="E1186" s="2"/>
      <c r="F1186" s="2"/>
      <c r="G1186" s="2"/>
    </row>
    <row r="1187">
      <c r="A1187" s="1" t="s">
        <v>718</v>
      </c>
      <c r="B1187" s="1">
        <v>0.0</v>
      </c>
      <c r="C1187" s="2"/>
      <c r="D1187" s="2"/>
      <c r="E1187" s="2"/>
      <c r="F1187" s="2"/>
      <c r="G1187" s="2"/>
    </row>
    <row r="1188">
      <c r="A1188" s="1" t="s">
        <v>719</v>
      </c>
      <c r="B1188" s="1">
        <v>0.0</v>
      </c>
      <c r="C1188" s="2"/>
      <c r="D1188" s="2"/>
      <c r="E1188" s="2"/>
      <c r="F1188" s="2"/>
      <c r="G1188" s="2"/>
    </row>
    <row r="1189">
      <c r="A1189" s="1" t="s">
        <v>720</v>
      </c>
      <c r="B1189" s="1">
        <v>24.0</v>
      </c>
      <c r="C1189" s="2"/>
      <c r="D1189" s="2"/>
      <c r="E1189" s="2"/>
      <c r="F1189" s="2"/>
      <c r="G1189" s="2"/>
    </row>
    <row r="1190">
      <c r="A1190" s="1" t="s">
        <v>721</v>
      </c>
      <c r="B1190" s="1">
        <v>0.0</v>
      </c>
      <c r="C1190" s="2"/>
      <c r="D1190" s="2"/>
      <c r="E1190" s="2"/>
      <c r="F1190" s="2"/>
      <c r="G1190" s="2"/>
    </row>
    <row r="1191">
      <c r="A1191" s="1" t="s">
        <v>652</v>
      </c>
      <c r="B1191" s="1">
        <v>0.0</v>
      </c>
      <c r="C1191" s="2"/>
      <c r="D1191" s="2"/>
      <c r="E1191" s="2"/>
      <c r="F1191" s="2"/>
      <c r="G1191" s="2"/>
    </row>
    <row r="1192">
      <c r="A1192" s="1" t="s">
        <v>653</v>
      </c>
      <c r="B1192" s="1">
        <v>0.0</v>
      </c>
      <c r="C1192" s="2"/>
      <c r="D1192" s="2"/>
      <c r="E1192" s="2"/>
      <c r="F1192" s="2"/>
      <c r="G1192" s="2"/>
    </row>
    <row r="1193">
      <c r="A1193" s="1" t="s">
        <v>654</v>
      </c>
      <c r="B1193" s="1">
        <v>0.0</v>
      </c>
      <c r="C1193" s="2"/>
      <c r="D1193" s="2"/>
      <c r="E1193" s="2"/>
      <c r="F1193" s="2"/>
      <c r="G1193" s="2"/>
    </row>
    <row r="1194">
      <c r="A1194" s="1" t="s">
        <v>655</v>
      </c>
      <c r="B1194" s="1">
        <v>92.0</v>
      </c>
      <c r="C1194" s="2"/>
      <c r="D1194" s="2"/>
      <c r="E1194" s="2"/>
      <c r="F1194" s="2"/>
      <c r="G1194" s="2"/>
    </row>
    <row r="1195">
      <c r="A1195" s="1" t="s">
        <v>656</v>
      </c>
      <c r="B1195" s="1">
        <v>0.0</v>
      </c>
      <c r="C1195" s="2"/>
      <c r="D1195" s="2"/>
      <c r="E1195" s="2"/>
      <c r="F1195" s="2"/>
      <c r="G1195" s="2"/>
    </row>
    <row r="1196">
      <c r="A1196" s="1" t="s">
        <v>657</v>
      </c>
      <c r="B1196" s="1">
        <v>0.0</v>
      </c>
      <c r="C1196" s="2"/>
      <c r="D1196" s="2"/>
      <c r="E1196" s="2"/>
      <c r="F1196" s="2"/>
      <c r="G1196" s="2"/>
    </row>
    <row r="1197">
      <c r="A1197" s="1" t="s">
        <v>658</v>
      </c>
      <c r="B1197" s="1">
        <v>0.0</v>
      </c>
      <c r="C1197" s="2"/>
      <c r="D1197" s="2"/>
      <c r="E1197" s="2"/>
      <c r="F1197" s="2"/>
      <c r="G1197" s="2"/>
    </row>
    <row r="1198">
      <c r="A1198" s="1" t="s">
        <v>659</v>
      </c>
      <c r="B1198" s="1">
        <v>0.0</v>
      </c>
      <c r="C1198" s="2"/>
      <c r="D1198" s="2"/>
      <c r="E1198" s="2"/>
      <c r="F1198" s="2"/>
      <c r="G1198" s="2"/>
    </row>
    <row r="1199">
      <c r="A1199" s="1" t="s">
        <v>660</v>
      </c>
      <c r="B1199" s="1">
        <v>0.0</v>
      </c>
      <c r="C1199" s="2"/>
      <c r="D1199" s="2"/>
      <c r="E1199" s="2"/>
      <c r="F1199" s="2"/>
      <c r="G1199" s="2"/>
    </row>
    <row r="1200">
      <c r="A1200" s="1" t="s">
        <v>661</v>
      </c>
      <c r="B1200" s="1">
        <v>0.0</v>
      </c>
      <c r="C1200" s="2"/>
      <c r="D1200" s="2"/>
      <c r="E1200" s="2"/>
      <c r="F1200" s="2"/>
      <c r="G1200" s="2"/>
    </row>
    <row r="1201">
      <c r="A1201" s="1" t="s">
        <v>662</v>
      </c>
      <c r="B1201" s="1">
        <v>0.0</v>
      </c>
      <c r="C1201" s="2"/>
      <c r="D1201" s="2"/>
      <c r="E1201" s="2"/>
      <c r="F1201" s="2"/>
      <c r="G1201" s="2"/>
    </row>
    <row r="1202">
      <c r="A1202" s="1" t="s">
        <v>663</v>
      </c>
      <c r="B1202" s="1" t="s">
        <v>664</v>
      </c>
      <c r="C1202" s="1">
        <v>0.0</v>
      </c>
      <c r="D1202" s="2"/>
      <c r="E1202" s="2"/>
      <c r="F1202" s="2"/>
      <c r="G1202" s="2"/>
    </row>
    <row r="1203">
      <c r="A1203" s="1" t="s">
        <v>665</v>
      </c>
      <c r="B1203" s="1">
        <v>0.0</v>
      </c>
      <c r="C1203" s="2"/>
      <c r="D1203" s="2"/>
      <c r="E1203" s="2"/>
      <c r="F1203" s="2"/>
      <c r="G1203" s="2"/>
    </row>
    <row r="1204">
      <c r="A1204" s="1" t="s">
        <v>666</v>
      </c>
      <c r="B1204" s="1">
        <v>0.0</v>
      </c>
      <c r="C1204" s="2"/>
      <c r="D1204" s="2"/>
      <c r="E1204" s="2"/>
      <c r="F1204" s="2"/>
      <c r="G1204" s="2"/>
    </row>
    <row r="1205">
      <c r="A1205" s="1" t="s">
        <v>667</v>
      </c>
      <c r="B1205" s="1">
        <v>68.0</v>
      </c>
      <c r="C1205" s="2"/>
      <c r="D1205" s="2"/>
      <c r="E1205" s="2"/>
      <c r="F1205" s="2"/>
      <c r="G1205" s="2"/>
    </row>
    <row r="1206">
      <c r="A1206" s="1" t="s">
        <v>668</v>
      </c>
      <c r="B1206" s="1">
        <v>0.0</v>
      </c>
      <c r="C1206" s="2"/>
      <c r="D1206" s="2"/>
      <c r="E1206" s="2"/>
      <c r="F1206" s="2"/>
      <c r="G1206" s="2"/>
    </row>
    <row r="1207">
      <c r="A1207" s="1" t="s">
        <v>669</v>
      </c>
      <c r="B1207" s="1">
        <v>0.0</v>
      </c>
      <c r="C1207" s="2"/>
      <c r="D1207" s="2"/>
      <c r="E1207" s="2"/>
      <c r="F1207" s="2"/>
      <c r="G1207" s="2"/>
    </row>
    <row r="1208">
      <c r="A1208" s="1" t="s">
        <v>670</v>
      </c>
      <c r="B1208" s="1">
        <v>0.0</v>
      </c>
      <c r="C1208" s="2"/>
      <c r="D1208" s="2"/>
      <c r="E1208" s="2"/>
      <c r="F1208" s="2"/>
      <c r="G1208" s="2"/>
    </row>
    <row r="1209">
      <c r="A1209" s="1" t="s">
        <v>671</v>
      </c>
      <c r="B1209" s="1">
        <v>0.0</v>
      </c>
      <c r="C1209" s="2"/>
      <c r="D1209" s="2"/>
      <c r="E1209" s="2"/>
      <c r="F1209" s="2"/>
      <c r="G1209" s="2"/>
    </row>
    <row r="1210">
      <c r="A1210" s="1" t="s">
        <v>672</v>
      </c>
      <c r="B1210" s="1">
        <v>95.0</v>
      </c>
      <c r="C1210" s="2"/>
      <c r="D1210" s="2"/>
      <c r="E1210" s="2"/>
      <c r="F1210" s="2"/>
      <c r="G1210" s="2"/>
    </row>
    <row r="1211">
      <c r="A1211" s="1" t="s">
        <v>673</v>
      </c>
      <c r="B1211" s="1">
        <v>32.0</v>
      </c>
      <c r="C1211" s="2"/>
      <c r="D1211" s="2"/>
      <c r="E1211" s="2"/>
      <c r="F1211" s="2"/>
      <c r="G1211" s="2"/>
    </row>
    <row r="1212">
      <c r="A1212" s="1" t="s">
        <v>674</v>
      </c>
      <c r="B1212" s="1">
        <v>79.0</v>
      </c>
      <c r="C1212" s="2"/>
      <c r="D1212" s="2"/>
      <c r="E1212" s="2"/>
      <c r="F1212" s="2"/>
      <c r="G1212" s="2"/>
    </row>
    <row r="1213">
      <c r="A1213" s="1" t="s">
        <v>675</v>
      </c>
      <c r="B1213" s="1">
        <v>4.0</v>
      </c>
      <c r="C1213" s="2"/>
      <c r="D1213" s="2"/>
      <c r="E1213" s="2"/>
      <c r="F1213" s="2"/>
      <c r="G1213" s="2"/>
    </row>
    <row r="1214">
      <c r="A1214" s="1" t="s">
        <v>676</v>
      </c>
      <c r="B1214" s="1">
        <v>0.0</v>
      </c>
      <c r="C1214" s="2"/>
      <c r="D1214" s="2"/>
      <c r="E1214" s="2"/>
      <c r="F1214" s="2"/>
      <c r="G1214" s="2"/>
    </row>
    <row r="1215">
      <c r="A1215" s="1" t="s">
        <v>677</v>
      </c>
      <c r="B1215" s="1">
        <v>82.0</v>
      </c>
      <c r="C1215" s="2"/>
      <c r="D1215" s="2"/>
      <c r="E1215" s="2"/>
      <c r="F1215" s="2"/>
      <c r="G1215" s="2"/>
    </row>
    <row r="1216">
      <c r="A1216" s="1" t="s">
        <v>678</v>
      </c>
      <c r="B1216" s="1">
        <v>0.0</v>
      </c>
      <c r="C1216" s="2"/>
      <c r="D1216" s="2"/>
      <c r="E1216" s="2"/>
      <c r="F1216" s="2"/>
      <c r="G1216" s="2"/>
    </row>
    <row r="1217">
      <c r="A1217" s="1" t="s">
        <v>679</v>
      </c>
      <c r="B1217" s="1">
        <v>0.0</v>
      </c>
      <c r="C1217" s="2"/>
      <c r="D1217" s="2"/>
      <c r="E1217" s="2"/>
      <c r="F1217" s="2"/>
      <c r="G1217" s="2"/>
    </row>
    <row r="1218">
      <c r="A1218" s="1" t="s">
        <v>680</v>
      </c>
      <c r="B1218" s="1">
        <v>0.0</v>
      </c>
      <c r="C1218" s="2"/>
      <c r="D1218" s="2"/>
      <c r="E1218" s="2"/>
      <c r="F1218" s="2"/>
      <c r="G1218" s="2"/>
    </row>
    <row r="1219">
      <c r="A1219" s="1" t="s">
        <v>681</v>
      </c>
      <c r="B1219" s="1">
        <v>0.0</v>
      </c>
      <c r="C1219" s="2"/>
      <c r="D1219" s="2"/>
      <c r="E1219" s="2"/>
      <c r="F1219" s="2"/>
      <c r="G1219" s="2"/>
    </row>
    <row r="1220">
      <c r="A1220" s="1" t="s">
        <v>682</v>
      </c>
      <c r="B1220" s="1">
        <v>0.0</v>
      </c>
      <c r="C1220" s="2"/>
      <c r="D1220" s="2"/>
      <c r="E1220" s="2"/>
      <c r="F1220" s="2"/>
      <c r="G1220" s="2"/>
    </row>
    <row r="1221">
      <c r="A1221" s="1" t="s">
        <v>683</v>
      </c>
      <c r="B1221" s="1">
        <v>72.0</v>
      </c>
      <c r="C1221" s="2"/>
      <c r="D1221" s="2"/>
      <c r="E1221" s="2"/>
      <c r="F1221" s="2"/>
      <c r="G1221" s="2"/>
    </row>
    <row r="1222">
      <c r="A1222" s="1" t="s">
        <v>684</v>
      </c>
      <c r="B1222" s="1">
        <v>0.0</v>
      </c>
      <c r="C1222" s="2"/>
      <c r="D1222" s="2"/>
      <c r="E1222" s="2"/>
      <c r="F1222" s="2"/>
      <c r="G1222" s="2"/>
    </row>
    <row r="1223">
      <c r="A1223" s="1" t="s">
        <v>685</v>
      </c>
      <c r="B1223" s="1">
        <v>0.0</v>
      </c>
      <c r="C1223" s="2"/>
      <c r="D1223" s="2"/>
      <c r="E1223" s="2"/>
      <c r="F1223" s="2"/>
      <c r="G1223" s="2"/>
    </row>
    <row r="1224">
      <c r="A1224" s="1" t="s">
        <v>686</v>
      </c>
      <c r="B1224" s="1">
        <v>17.0</v>
      </c>
      <c r="C1224" s="2"/>
      <c r="D1224" s="2"/>
      <c r="E1224" s="2"/>
      <c r="F1224" s="2"/>
      <c r="G1224" s="2"/>
    </row>
    <row r="1225">
      <c r="A1225" s="1" t="s">
        <v>687</v>
      </c>
      <c r="B1225" s="1">
        <v>50.0</v>
      </c>
      <c r="C1225" s="2"/>
      <c r="D1225" s="2"/>
      <c r="E1225" s="2"/>
      <c r="F1225" s="2"/>
      <c r="G1225" s="2"/>
    </row>
    <row r="1226">
      <c r="A1226" s="1" t="s">
        <v>688</v>
      </c>
      <c r="B1226" s="1">
        <v>0.0</v>
      </c>
      <c r="C1226" s="2"/>
      <c r="D1226" s="2"/>
      <c r="E1226" s="2"/>
      <c r="F1226" s="2"/>
      <c r="G1226" s="2"/>
    </row>
    <row r="1227">
      <c r="A1227" s="1" t="s">
        <v>689</v>
      </c>
      <c r="B1227" s="1">
        <v>0.0</v>
      </c>
      <c r="C1227" s="2"/>
      <c r="D1227" s="2"/>
      <c r="E1227" s="2"/>
      <c r="F1227" s="2"/>
      <c r="G1227" s="2"/>
    </row>
    <row r="1228">
      <c r="A1228" s="1" t="s">
        <v>690</v>
      </c>
      <c r="B1228" s="1">
        <v>0.0</v>
      </c>
      <c r="C1228" s="2"/>
      <c r="D1228" s="2"/>
      <c r="E1228" s="2"/>
      <c r="F1228" s="2"/>
      <c r="G1228" s="2"/>
    </row>
    <row r="1229">
      <c r="A1229" s="1" t="s">
        <v>691</v>
      </c>
      <c r="B1229" s="1">
        <v>50.0</v>
      </c>
      <c r="C1229" s="2"/>
      <c r="D1229" s="2"/>
      <c r="E1229" s="2"/>
      <c r="F1229" s="2"/>
      <c r="G1229" s="2"/>
    </row>
    <row r="1230">
      <c r="A1230" s="1" t="s">
        <v>692</v>
      </c>
      <c r="B1230" s="1">
        <v>0.0</v>
      </c>
      <c r="C1230" s="2"/>
      <c r="D1230" s="2"/>
      <c r="E1230" s="2"/>
      <c r="F1230" s="2"/>
      <c r="G1230" s="2"/>
    </row>
    <row r="1231">
      <c r="A1231" s="1" t="s">
        <v>693</v>
      </c>
      <c r="B1231" s="1">
        <v>0.0</v>
      </c>
      <c r="C1231" s="2"/>
      <c r="D1231" s="2"/>
      <c r="E1231" s="2"/>
      <c r="F1231" s="2"/>
      <c r="G1231" s="2"/>
    </row>
    <row r="1232">
      <c r="A1232" s="1" t="s">
        <v>694</v>
      </c>
      <c r="B1232" s="1">
        <v>35.0</v>
      </c>
      <c r="C1232" s="2"/>
      <c r="D1232" s="2"/>
      <c r="E1232" s="2"/>
      <c r="F1232" s="2"/>
      <c r="G1232" s="2"/>
    </row>
    <row r="1233">
      <c r="A1233" s="1" t="s">
        <v>695</v>
      </c>
      <c r="B1233" s="1">
        <v>0.0</v>
      </c>
      <c r="C1233" s="2"/>
      <c r="D1233" s="2"/>
      <c r="E1233" s="2"/>
      <c r="F1233" s="2"/>
      <c r="G1233" s="2"/>
    </row>
    <row r="1234">
      <c r="A1234" s="1" t="s">
        <v>696</v>
      </c>
      <c r="B1234" s="1">
        <v>48.0</v>
      </c>
      <c r="C1234" s="2"/>
      <c r="D1234" s="2"/>
      <c r="E1234" s="2"/>
      <c r="F1234" s="2"/>
      <c r="G1234" s="2"/>
    </row>
    <row r="1235">
      <c r="A1235" s="1" t="s">
        <v>697</v>
      </c>
      <c r="B1235" s="1">
        <v>0.0</v>
      </c>
      <c r="C1235" s="2"/>
      <c r="D1235" s="2"/>
      <c r="E1235" s="2"/>
      <c r="F1235" s="2"/>
      <c r="G1235" s="2"/>
    </row>
    <row r="1236">
      <c r="A1236" s="1" t="s">
        <v>698</v>
      </c>
      <c r="B1236" s="1">
        <v>50.0</v>
      </c>
      <c r="C1236" s="2"/>
      <c r="D1236" s="2"/>
      <c r="E1236" s="2"/>
      <c r="F1236" s="2"/>
      <c r="G1236" s="2"/>
    </row>
    <row r="1237">
      <c r="A1237" s="1" t="s">
        <v>699</v>
      </c>
      <c r="B1237" s="1">
        <v>56.0</v>
      </c>
      <c r="C1237" s="2"/>
      <c r="D1237" s="2"/>
      <c r="E1237" s="2"/>
      <c r="F1237" s="2"/>
      <c r="G1237" s="2"/>
    </row>
    <row r="1238">
      <c r="A1238" s="1" t="s">
        <v>700</v>
      </c>
      <c r="B1238" s="1">
        <v>0.0</v>
      </c>
      <c r="C1238" s="2"/>
      <c r="D1238" s="2"/>
      <c r="E1238" s="2"/>
      <c r="F1238" s="2"/>
      <c r="G1238" s="2"/>
    </row>
    <row r="1239">
      <c r="A1239" s="1" t="s">
        <v>701</v>
      </c>
      <c r="B1239" s="1">
        <v>0.0</v>
      </c>
      <c r="C1239" s="2"/>
      <c r="D1239" s="2"/>
      <c r="E1239" s="2"/>
      <c r="F1239" s="2"/>
      <c r="G1239" s="2"/>
    </row>
    <row r="1240">
      <c r="A1240" s="1" t="s">
        <v>702</v>
      </c>
      <c r="B1240" s="1">
        <v>0.0</v>
      </c>
      <c r="C1240" s="2"/>
      <c r="D1240" s="2"/>
      <c r="E1240" s="2"/>
      <c r="F1240" s="2"/>
      <c r="G1240" s="2"/>
    </row>
    <row r="1241">
      <c r="A1241" s="1" t="s">
        <v>703</v>
      </c>
      <c r="B1241" s="1">
        <v>0.0</v>
      </c>
      <c r="C1241" s="2"/>
      <c r="D1241" s="2"/>
      <c r="E1241" s="2"/>
      <c r="F1241" s="2"/>
      <c r="G1241" s="2"/>
    </row>
    <row r="1242">
      <c r="A1242" s="1" t="s">
        <v>704</v>
      </c>
      <c r="B1242" s="1">
        <v>15.0</v>
      </c>
      <c r="C1242" s="2"/>
      <c r="D1242" s="2"/>
      <c r="E1242" s="2"/>
      <c r="F1242" s="2"/>
      <c r="G1242" s="2"/>
    </row>
    <row r="1243">
      <c r="A1243" s="1" t="s">
        <v>705</v>
      </c>
      <c r="B1243" s="1">
        <v>70.0</v>
      </c>
      <c r="C1243" s="2"/>
      <c r="D1243" s="2"/>
      <c r="E1243" s="2"/>
      <c r="F1243" s="2"/>
      <c r="G1243" s="2"/>
    </row>
    <row r="1244">
      <c r="A1244" s="1" t="s">
        <v>706</v>
      </c>
      <c r="B1244" s="1">
        <v>0.0</v>
      </c>
      <c r="C1244" s="2"/>
      <c r="D1244" s="2"/>
      <c r="E1244" s="2"/>
      <c r="F1244" s="2"/>
      <c r="G1244" s="2"/>
    </row>
    <row r="1245">
      <c r="A1245" s="1" t="s">
        <v>707</v>
      </c>
      <c r="B1245" s="1">
        <v>0.0</v>
      </c>
      <c r="C1245" s="2"/>
      <c r="D1245" s="2"/>
      <c r="E1245" s="2"/>
      <c r="F1245" s="2"/>
      <c r="G1245" s="2"/>
    </row>
    <row r="1246">
      <c r="A1246" s="1" t="s">
        <v>708</v>
      </c>
      <c r="B1246" s="1">
        <v>0.0</v>
      </c>
      <c r="C1246" s="2"/>
      <c r="D1246" s="2"/>
      <c r="E1246" s="2"/>
      <c r="F1246" s="2"/>
      <c r="G1246" s="2"/>
    </row>
    <row r="1247">
      <c r="A1247" s="1" t="s">
        <v>709</v>
      </c>
      <c r="B1247" s="1">
        <v>0.0</v>
      </c>
      <c r="C1247" s="2"/>
      <c r="D1247" s="2"/>
      <c r="E1247" s="2"/>
      <c r="F1247" s="2"/>
      <c r="G1247" s="2"/>
    </row>
    <row r="1248">
      <c r="A1248" s="1" t="s">
        <v>710</v>
      </c>
      <c r="B1248" s="1">
        <v>0.0</v>
      </c>
      <c r="C1248" s="2"/>
      <c r="D1248" s="2"/>
      <c r="E1248" s="2"/>
      <c r="F1248" s="2"/>
      <c r="G1248" s="2"/>
    </row>
    <row r="1249">
      <c r="A1249" s="1" t="s">
        <v>711</v>
      </c>
      <c r="B1249" s="1">
        <v>0.0</v>
      </c>
      <c r="C1249" s="2"/>
      <c r="D1249" s="2"/>
      <c r="E1249" s="2"/>
      <c r="F1249" s="2"/>
      <c r="G1249" s="2"/>
    </row>
    <row r="1250">
      <c r="A1250" s="1" t="s">
        <v>712</v>
      </c>
      <c r="B1250" s="1">
        <v>80.0</v>
      </c>
      <c r="C1250" s="2"/>
      <c r="D1250" s="2"/>
      <c r="E1250" s="2"/>
      <c r="F1250" s="2"/>
      <c r="G1250" s="2"/>
    </row>
    <row r="1251">
      <c r="A1251" s="1" t="s">
        <v>713</v>
      </c>
      <c r="B1251" s="1">
        <v>12.0</v>
      </c>
      <c r="C1251" s="2"/>
      <c r="D1251" s="2"/>
      <c r="E1251" s="2"/>
      <c r="F1251" s="2"/>
      <c r="G1251" s="2"/>
    </row>
    <row r="1252">
      <c r="A1252" s="1" t="s">
        <v>714</v>
      </c>
      <c r="B1252" s="1">
        <v>0.0</v>
      </c>
      <c r="C1252" s="2"/>
      <c r="D1252" s="2"/>
      <c r="E1252" s="2"/>
      <c r="F1252" s="2"/>
      <c r="G1252" s="2"/>
    </row>
    <row r="1253">
      <c r="A1253" s="1" t="s">
        <v>715</v>
      </c>
      <c r="B1253" s="1">
        <v>0.0</v>
      </c>
      <c r="C1253" s="2"/>
      <c r="D1253" s="2"/>
      <c r="E1253" s="2"/>
      <c r="F1253" s="2"/>
      <c r="G1253" s="2"/>
    </row>
    <row r="1254">
      <c r="A1254" s="1" t="s">
        <v>716</v>
      </c>
      <c r="B1254" s="1">
        <v>20.0</v>
      </c>
      <c r="C1254" s="2"/>
      <c r="D1254" s="2"/>
      <c r="E1254" s="2"/>
      <c r="F1254" s="2"/>
      <c r="G1254" s="2"/>
    </row>
    <row r="1255">
      <c r="A1255" s="1" t="s">
        <v>717</v>
      </c>
      <c r="B1255" s="1">
        <v>0.0</v>
      </c>
      <c r="C1255" s="2"/>
      <c r="D1255" s="2"/>
      <c r="E1255" s="2"/>
      <c r="F1255" s="2"/>
      <c r="G1255" s="2"/>
    </row>
    <row r="1256">
      <c r="A1256" s="1" t="s">
        <v>718</v>
      </c>
      <c r="B1256" s="1">
        <v>0.0</v>
      </c>
      <c r="C1256" s="2"/>
      <c r="D1256" s="2"/>
      <c r="E1256" s="2"/>
      <c r="F1256" s="2"/>
      <c r="G1256" s="2"/>
    </row>
    <row r="1257">
      <c r="A1257" s="1" t="s">
        <v>719</v>
      </c>
      <c r="B1257" s="1">
        <v>0.0</v>
      </c>
      <c r="C1257" s="2"/>
      <c r="D1257" s="2"/>
      <c r="E1257" s="2"/>
      <c r="F1257" s="2"/>
      <c r="G1257" s="2"/>
    </row>
    <row r="1258">
      <c r="A1258" s="1" t="s">
        <v>720</v>
      </c>
      <c r="B1258" s="1">
        <v>24.0</v>
      </c>
      <c r="C1258" s="2"/>
      <c r="D1258" s="2"/>
      <c r="E1258" s="2"/>
      <c r="F1258" s="2"/>
      <c r="G1258" s="2"/>
    </row>
    <row r="1259">
      <c r="A1259" s="1" t="s">
        <v>721</v>
      </c>
      <c r="B1259" s="1">
        <v>0.0</v>
      </c>
      <c r="C1259" s="2"/>
      <c r="D1259" s="2"/>
      <c r="E1259" s="2"/>
      <c r="F1259" s="2"/>
      <c r="G1259" s="2"/>
    </row>
    <row r="1260">
      <c r="A1260" s="1" t="s">
        <v>722</v>
      </c>
      <c r="B1260" s="1" t="s">
        <v>723</v>
      </c>
      <c r="C1260" s="1" t="s">
        <v>724</v>
      </c>
      <c r="D1260" s="1" t="s">
        <v>725</v>
      </c>
      <c r="E1260" s="1">
        <v>0.0</v>
      </c>
      <c r="F1260" s="2"/>
      <c r="G1260" s="2"/>
    </row>
    <row r="1261">
      <c r="A1261" s="1" t="s">
        <v>726</v>
      </c>
      <c r="B1261" s="1">
        <v>48.0</v>
      </c>
      <c r="C1261" s="2"/>
      <c r="D1261" s="2"/>
      <c r="E1261" s="2"/>
      <c r="F1261" s="2"/>
      <c r="G1261" s="2"/>
    </row>
    <row r="1262">
      <c r="A1262" s="1" t="s">
        <v>727</v>
      </c>
      <c r="B1262" s="1">
        <v>0.0</v>
      </c>
      <c r="C1262" s="2"/>
      <c r="D1262" s="2"/>
      <c r="E1262" s="2"/>
      <c r="F1262" s="2"/>
      <c r="G1262" s="2"/>
    </row>
    <row r="1263">
      <c r="A1263" s="1" t="s">
        <v>728</v>
      </c>
      <c r="B1263" s="1">
        <v>0.0</v>
      </c>
      <c r="C1263" s="2"/>
      <c r="D1263" s="2"/>
      <c r="E1263" s="2"/>
      <c r="F1263" s="2"/>
      <c r="G1263" s="2"/>
    </row>
    <row r="1264">
      <c r="A1264" s="1" t="s">
        <v>729</v>
      </c>
      <c r="B1264" s="1">
        <v>0.0</v>
      </c>
      <c r="C1264" s="2"/>
      <c r="D1264" s="2"/>
      <c r="E1264" s="2"/>
      <c r="F1264" s="2"/>
      <c r="G1264" s="2"/>
    </row>
    <row r="1265">
      <c r="A1265" s="1" t="s">
        <v>730</v>
      </c>
      <c r="B1265" s="1">
        <v>0.0</v>
      </c>
      <c r="C1265" s="2"/>
      <c r="D1265" s="2"/>
      <c r="E1265" s="2"/>
      <c r="F1265" s="2"/>
      <c r="G1265" s="2"/>
    </row>
    <row r="1266">
      <c r="A1266" s="1" t="s">
        <v>731</v>
      </c>
      <c r="B1266" s="1">
        <v>0.0</v>
      </c>
      <c r="C1266" s="2"/>
      <c r="D1266" s="2"/>
      <c r="E1266" s="2"/>
      <c r="F1266" s="2"/>
      <c r="G1266" s="2"/>
    </row>
    <row r="1267">
      <c r="A1267" s="1" t="s">
        <v>732</v>
      </c>
      <c r="B1267" s="1">
        <v>0.0</v>
      </c>
      <c r="C1267" s="2"/>
      <c r="D1267" s="2"/>
      <c r="E1267" s="2"/>
      <c r="F1267" s="2"/>
      <c r="G1267" s="2"/>
    </row>
    <row r="1268">
      <c r="A1268" s="1" t="s">
        <v>733</v>
      </c>
      <c r="B1268" s="1">
        <v>95.0</v>
      </c>
      <c r="C1268" s="2"/>
      <c r="D1268" s="2"/>
      <c r="E1268" s="2"/>
      <c r="F1268" s="2"/>
      <c r="G1268" s="2"/>
    </row>
    <row r="1269">
      <c r="A1269" s="1" t="s">
        <v>734</v>
      </c>
      <c r="B1269" s="1">
        <v>0.0</v>
      </c>
      <c r="C1269" s="2"/>
      <c r="D1269" s="2"/>
      <c r="E1269" s="2"/>
      <c r="F1269" s="2"/>
      <c r="G1269" s="2"/>
    </row>
    <row r="1270">
      <c r="A1270" s="1" t="s">
        <v>735</v>
      </c>
      <c r="B1270" s="1">
        <v>47.0</v>
      </c>
      <c r="C1270" s="2"/>
      <c r="D1270" s="2"/>
      <c r="E1270" s="2"/>
      <c r="F1270" s="2"/>
      <c r="G1270" s="2"/>
    </row>
    <row r="1271">
      <c r="A1271" s="1" t="s">
        <v>736</v>
      </c>
      <c r="B1271" s="1">
        <v>0.0</v>
      </c>
      <c r="C1271" s="2"/>
      <c r="D1271" s="2"/>
      <c r="E1271" s="2"/>
      <c r="F1271" s="2"/>
      <c r="G1271" s="2"/>
    </row>
    <row r="1272">
      <c r="A1272" s="1" t="s">
        <v>737</v>
      </c>
      <c r="B1272" s="1">
        <v>0.0</v>
      </c>
      <c r="C1272" s="2"/>
      <c r="D1272" s="2"/>
      <c r="E1272" s="2"/>
      <c r="F1272" s="2"/>
      <c r="G1272" s="2"/>
    </row>
    <row r="1273">
      <c r="A1273" s="1" t="s">
        <v>738</v>
      </c>
      <c r="B1273" s="1">
        <v>0.0</v>
      </c>
      <c r="C1273" s="2"/>
      <c r="D1273" s="2"/>
      <c r="E1273" s="2"/>
      <c r="F1273" s="2"/>
      <c r="G1273" s="2"/>
    </row>
    <row r="1274">
      <c r="A1274" s="1" t="s">
        <v>739</v>
      </c>
      <c r="B1274" s="1">
        <v>0.0</v>
      </c>
      <c r="C1274" s="2"/>
      <c r="D1274" s="2"/>
      <c r="E1274" s="2"/>
      <c r="F1274" s="2"/>
      <c r="G1274" s="2"/>
    </row>
    <row r="1275">
      <c r="A1275" s="1" t="s">
        <v>740</v>
      </c>
      <c r="B1275" s="1">
        <v>0.0</v>
      </c>
      <c r="C1275" s="2"/>
      <c r="D1275" s="2"/>
      <c r="E1275" s="2"/>
      <c r="F1275" s="2"/>
      <c r="G1275" s="2"/>
    </row>
    <row r="1276">
      <c r="A1276" s="1" t="s">
        <v>741</v>
      </c>
      <c r="B1276" s="1">
        <v>0.0</v>
      </c>
      <c r="C1276" s="2"/>
      <c r="D1276" s="2"/>
      <c r="E1276" s="2"/>
      <c r="F1276" s="2"/>
      <c r="G1276" s="2"/>
    </row>
    <row r="1277">
      <c r="A1277" s="1" t="s">
        <v>742</v>
      </c>
      <c r="B1277" s="1">
        <v>0.0</v>
      </c>
      <c r="C1277" s="2"/>
      <c r="D1277" s="2"/>
      <c r="E1277" s="2"/>
      <c r="F1277" s="2"/>
      <c r="G1277" s="2"/>
    </row>
    <row r="1278">
      <c r="A1278" s="1" t="s">
        <v>743</v>
      </c>
      <c r="B1278" s="1">
        <v>0.0</v>
      </c>
      <c r="C1278" s="2"/>
      <c r="D1278" s="2"/>
      <c r="E1278" s="2"/>
      <c r="F1278" s="2"/>
      <c r="G1278" s="2"/>
    </row>
    <row r="1279">
      <c r="A1279" s="1" t="s">
        <v>744</v>
      </c>
      <c r="B1279" s="1">
        <v>0.0</v>
      </c>
      <c r="C1279" s="2"/>
      <c r="D1279" s="2"/>
      <c r="E1279" s="2"/>
      <c r="F1279" s="2"/>
      <c r="G1279" s="2"/>
    </row>
    <row r="1280">
      <c r="A1280" s="1" t="s">
        <v>745</v>
      </c>
      <c r="B1280" s="1">
        <v>28.0</v>
      </c>
      <c r="C1280" s="2"/>
      <c r="D1280" s="2"/>
      <c r="E1280" s="2"/>
      <c r="F1280" s="2"/>
      <c r="G1280" s="2"/>
    </row>
    <row r="1281">
      <c r="A1281" s="1" t="s">
        <v>746</v>
      </c>
      <c r="B1281" s="1">
        <v>0.0</v>
      </c>
      <c r="C1281" s="2"/>
      <c r="D1281" s="2"/>
      <c r="E1281" s="2"/>
      <c r="F1281" s="2"/>
      <c r="G1281" s="2"/>
    </row>
    <row r="1282">
      <c r="A1282" s="1" t="s">
        <v>747</v>
      </c>
      <c r="B1282" s="1">
        <v>0.0</v>
      </c>
      <c r="C1282" s="2"/>
      <c r="D1282" s="2"/>
      <c r="E1282" s="2"/>
      <c r="F1282" s="2"/>
      <c r="G1282" s="2"/>
    </row>
    <row r="1283">
      <c r="A1283" s="1" t="s">
        <v>748</v>
      </c>
      <c r="B1283" s="1">
        <v>0.0</v>
      </c>
      <c r="C1283" s="2"/>
      <c r="D1283" s="2"/>
      <c r="E1283" s="2"/>
      <c r="F1283" s="2"/>
      <c r="G1283" s="2"/>
    </row>
    <row r="1284">
      <c r="A1284" s="1" t="s">
        <v>749</v>
      </c>
      <c r="B1284" s="1">
        <v>22.0</v>
      </c>
      <c r="C1284" s="2"/>
      <c r="D1284" s="2"/>
      <c r="E1284" s="2"/>
      <c r="F1284" s="2"/>
      <c r="G1284" s="2"/>
    </row>
    <row r="1285">
      <c r="A1285" s="1" t="s">
        <v>750</v>
      </c>
      <c r="B1285" s="1">
        <v>0.0</v>
      </c>
      <c r="C1285" s="2"/>
      <c r="D1285" s="2"/>
      <c r="E1285" s="2"/>
      <c r="F1285" s="2"/>
      <c r="G1285" s="2"/>
    </row>
    <row r="1286">
      <c r="A1286" s="1" t="s">
        <v>751</v>
      </c>
      <c r="B1286" s="1">
        <v>66.0</v>
      </c>
      <c r="C1286" s="2"/>
      <c r="D1286" s="2"/>
      <c r="E1286" s="2"/>
      <c r="F1286" s="2"/>
      <c r="G1286" s="2"/>
    </row>
    <row r="1287">
      <c r="A1287" s="1" t="s">
        <v>752</v>
      </c>
      <c r="B1287" s="1">
        <v>0.0</v>
      </c>
      <c r="C1287" s="2"/>
      <c r="D1287" s="2"/>
      <c r="E1287" s="2"/>
      <c r="F1287" s="2"/>
      <c r="G1287" s="2"/>
    </row>
    <row r="1288">
      <c r="A1288" s="1" t="s">
        <v>753</v>
      </c>
      <c r="B1288" s="1">
        <v>0.0</v>
      </c>
      <c r="C1288" s="2"/>
      <c r="D1288" s="2"/>
      <c r="E1288" s="2"/>
      <c r="F1288" s="2"/>
      <c r="G1288" s="2"/>
    </row>
    <row r="1289">
      <c r="A1289" s="1" t="s">
        <v>754</v>
      </c>
      <c r="B1289" s="1">
        <v>0.0</v>
      </c>
      <c r="C1289" s="2"/>
      <c r="D1289" s="2"/>
      <c r="E1289" s="2"/>
      <c r="F1289" s="2"/>
      <c r="G1289" s="2"/>
    </row>
    <row r="1290">
      <c r="A1290" s="1" t="s">
        <v>755</v>
      </c>
      <c r="B1290" s="1">
        <v>0.0</v>
      </c>
      <c r="C1290" s="2"/>
      <c r="D1290" s="2"/>
      <c r="E1290" s="2"/>
      <c r="F1290" s="2"/>
      <c r="G1290" s="2"/>
    </row>
    <row r="1291">
      <c r="A1291" s="1" t="s">
        <v>756</v>
      </c>
      <c r="B1291" s="1">
        <v>0.0</v>
      </c>
      <c r="C1291" s="2"/>
      <c r="D1291" s="2"/>
      <c r="E1291" s="2"/>
      <c r="F1291" s="2"/>
      <c r="G1291" s="2"/>
    </row>
    <row r="1292">
      <c r="A1292" s="1" t="s">
        <v>757</v>
      </c>
      <c r="B1292" s="1">
        <v>0.0</v>
      </c>
      <c r="C1292" s="2"/>
      <c r="D1292" s="2"/>
      <c r="E1292" s="2"/>
      <c r="F1292" s="2"/>
      <c r="G1292" s="2"/>
    </row>
    <row r="1293">
      <c r="A1293" s="1" t="s">
        <v>758</v>
      </c>
      <c r="B1293" s="1">
        <v>0.0</v>
      </c>
      <c r="C1293" s="2"/>
      <c r="D1293" s="2"/>
      <c r="E1293" s="2"/>
      <c r="F1293" s="2"/>
      <c r="G1293" s="2"/>
    </row>
    <row r="1294">
      <c r="A1294" s="1" t="s">
        <v>759</v>
      </c>
      <c r="B1294" s="1">
        <v>66.0</v>
      </c>
      <c r="C1294" s="2"/>
      <c r="D1294" s="2"/>
      <c r="E1294" s="2"/>
      <c r="F1294" s="2"/>
      <c r="G1294" s="2"/>
    </row>
    <row r="1295">
      <c r="A1295" s="1" t="s">
        <v>760</v>
      </c>
      <c r="B1295" s="1">
        <v>0.0</v>
      </c>
      <c r="C1295" s="2"/>
      <c r="D1295" s="2"/>
      <c r="E1295" s="2"/>
      <c r="F1295" s="2"/>
      <c r="G1295" s="2"/>
    </row>
    <row r="1296">
      <c r="A1296" s="1" t="s">
        <v>761</v>
      </c>
      <c r="B1296" s="1">
        <v>0.0</v>
      </c>
      <c r="C1296" s="2"/>
      <c r="D1296" s="2"/>
      <c r="E1296" s="2"/>
      <c r="F1296" s="2"/>
      <c r="G1296" s="2"/>
    </row>
    <row r="1297">
      <c r="A1297" s="1" t="s">
        <v>762</v>
      </c>
      <c r="B1297" s="1">
        <v>20.0</v>
      </c>
      <c r="C1297" s="2"/>
      <c r="D1297" s="2"/>
      <c r="E1297" s="2"/>
      <c r="F1297" s="2"/>
      <c r="G1297" s="2"/>
    </row>
    <row r="1298">
      <c r="A1298" s="1" t="s">
        <v>763</v>
      </c>
      <c r="B1298" s="1">
        <v>10.0</v>
      </c>
      <c r="C1298" s="2"/>
      <c r="D1298" s="2"/>
      <c r="E1298" s="2"/>
      <c r="F1298" s="2"/>
      <c r="G1298" s="2"/>
    </row>
    <row r="1299">
      <c r="A1299" s="1" t="s">
        <v>764</v>
      </c>
      <c r="B1299" s="1">
        <v>0.0</v>
      </c>
      <c r="C1299" s="2"/>
      <c r="D1299" s="2"/>
      <c r="E1299" s="2"/>
      <c r="F1299" s="2"/>
      <c r="G1299" s="2"/>
    </row>
    <row r="1300">
      <c r="A1300" s="1" t="s">
        <v>765</v>
      </c>
      <c r="B1300" s="1">
        <v>0.0</v>
      </c>
      <c r="C1300" s="2"/>
      <c r="D1300" s="2"/>
      <c r="E1300" s="2"/>
      <c r="F1300" s="2"/>
      <c r="G1300" s="2"/>
    </row>
    <row r="1301">
      <c r="A1301" s="1" t="s">
        <v>766</v>
      </c>
      <c r="B1301" s="1">
        <v>0.0</v>
      </c>
      <c r="C1301" s="2"/>
      <c r="D1301" s="2"/>
      <c r="E1301" s="2"/>
      <c r="F1301" s="2"/>
      <c r="G1301" s="2"/>
    </row>
    <row r="1302">
      <c r="A1302" s="1" t="s">
        <v>767</v>
      </c>
      <c r="B1302" s="1">
        <v>0.0</v>
      </c>
      <c r="C1302" s="2"/>
      <c r="D1302" s="2"/>
      <c r="E1302" s="2"/>
      <c r="F1302" s="2"/>
      <c r="G1302" s="2"/>
    </row>
    <row r="1303">
      <c r="A1303" s="1" t="s">
        <v>768</v>
      </c>
      <c r="B1303" s="1">
        <v>0.0</v>
      </c>
      <c r="C1303" s="2"/>
      <c r="D1303" s="2"/>
      <c r="E1303" s="2"/>
      <c r="F1303" s="2"/>
      <c r="G1303" s="2"/>
    </row>
    <row r="1304">
      <c r="A1304" s="1" t="s">
        <v>769</v>
      </c>
      <c r="B1304" s="1">
        <v>88.0</v>
      </c>
      <c r="C1304" s="2"/>
      <c r="D1304" s="2"/>
      <c r="E1304" s="2"/>
      <c r="F1304" s="2"/>
      <c r="G1304" s="2"/>
    </row>
    <row r="1305">
      <c r="A1305" s="1" t="s">
        <v>770</v>
      </c>
      <c r="B1305" s="1">
        <v>0.0</v>
      </c>
      <c r="C1305" s="2"/>
      <c r="D1305" s="2"/>
      <c r="E1305" s="2"/>
      <c r="F1305" s="2"/>
      <c r="G1305" s="2"/>
    </row>
    <row r="1306">
      <c r="A1306" s="1" t="s">
        <v>771</v>
      </c>
      <c r="B1306" s="1">
        <v>0.0</v>
      </c>
      <c r="C1306" s="2"/>
      <c r="D1306" s="2"/>
      <c r="E1306" s="2"/>
      <c r="F1306" s="2"/>
      <c r="G1306" s="2"/>
    </row>
    <row r="1307">
      <c r="A1307" s="1" t="s">
        <v>772</v>
      </c>
      <c r="B1307" s="1">
        <v>46.0</v>
      </c>
      <c r="C1307" s="2"/>
      <c r="D1307" s="2"/>
      <c r="E1307" s="2"/>
      <c r="F1307" s="2"/>
      <c r="G1307" s="2"/>
    </row>
    <row r="1308">
      <c r="A1308" s="1" t="s">
        <v>773</v>
      </c>
      <c r="B1308" s="1">
        <v>67.0</v>
      </c>
      <c r="C1308" s="2"/>
      <c r="D1308" s="2"/>
      <c r="E1308" s="2"/>
      <c r="F1308" s="2"/>
      <c r="G1308" s="2"/>
    </row>
    <row r="1309">
      <c r="A1309" s="1" t="s">
        <v>774</v>
      </c>
      <c r="B1309" s="1">
        <v>40.0</v>
      </c>
      <c r="C1309" s="2"/>
      <c r="D1309" s="2"/>
      <c r="E1309" s="2"/>
      <c r="F1309" s="2"/>
      <c r="G1309" s="2"/>
    </row>
    <row r="1310">
      <c r="A1310" s="1" t="s">
        <v>775</v>
      </c>
      <c r="B1310" s="1">
        <v>0.0</v>
      </c>
      <c r="C1310" s="2"/>
      <c r="D1310" s="2"/>
      <c r="E1310" s="2"/>
      <c r="F1310" s="2"/>
      <c r="G1310" s="2"/>
    </row>
    <row r="1311">
      <c r="A1311" s="1" t="s">
        <v>776</v>
      </c>
      <c r="B1311" s="1">
        <v>0.0</v>
      </c>
      <c r="C1311" s="2"/>
      <c r="D1311" s="2"/>
      <c r="E1311" s="2"/>
      <c r="F1311" s="2"/>
      <c r="G1311" s="2"/>
    </row>
    <row r="1312">
      <c r="A1312" s="1" t="s">
        <v>777</v>
      </c>
      <c r="B1312" s="1">
        <v>0.0</v>
      </c>
      <c r="C1312" s="2"/>
      <c r="D1312" s="2"/>
      <c r="E1312" s="2"/>
      <c r="F1312" s="2"/>
      <c r="G1312" s="2"/>
    </row>
    <row r="1313">
      <c r="A1313" s="1" t="s">
        <v>778</v>
      </c>
      <c r="B1313" s="1">
        <v>80.0</v>
      </c>
      <c r="C1313" s="2"/>
      <c r="D1313" s="2"/>
      <c r="E1313" s="2"/>
      <c r="F1313" s="2"/>
      <c r="G1313" s="2"/>
    </row>
    <row r="1314">
      <c r="A1314" s="1" t="s">
        <v>779</v>
      </c>
      <c r="B1314" s="1">
        <v>32.0</v>
      </c>
      <c r="C1314" s="2"/>
      <c r="D1314" s="2"/>
      <c r="E1314" s="2"/>
      <c r="F1314" s="2"/>
      <c r="G1314" s="2"/>
    </row>
    <row r="1315">
      <c r="A1315" s="1" t="s">
        <v>780</v>
      </c>
      <c r="B1315" s="1">
        <v>0.0</v>
      </c>
      <c r="C1315" s="2"/>
      <c r="D1315" s="2"/>
      <c r="E1315" s="2"/>
      <c r="F1315" s="2"/>
      <c r="G1315" s="2"/>
    </row>
    <row r="1316">
      <c r="A1316" s="1" t="s">
        <v>781</v>
      </c>
      <c r="B1316" s="1">
        <v>0.0</v>
      </c>
      <c r="C1316" s="2"/>
      <c r="D1316" s="2"/>
      <c r="E1316" s="2"/>
      <c r="F1316" s="2"/>
      <c r="G1316" s="2"/>
    </row>
    <row r="1317">
      <c r="A1317" s="1" t="s">
        <v>782</v>
      </c>
      <c r="B1317" s="1">
        <v>57.0</v>
      </c>
      <c r="C1317" s="2"/>
      <c r="D1317" s="2"/>
      <c r="E1317" s="2"/>
      <c r="F1317" s="2"/>
      <c r="G1317" s="2"/>
    </row>
    <row r="1318">
      <c r="A1318" s="1" t="s">
        <v>783</v>
      </c>
      <c r="B1318" s="1">
        <v>71.0</v>
      </c>
      <c r="C1318" s="2"/>
      <c r="D1318" s="2"/>
      <c r="E1318" s="2"/>
      <c r="F1318" s="2"/>
      <c r="G1318" s="2"/>
    </row>
    <row r="1319">
      <c r="A1319" s="1" t="s">
        <v>784</v>
      </c>
      <c r="B1319" s="1">
        <v>32.0</v>
      </c>
      <c r="C1319" s="2"/>
      <c r="D1319" s="2"/>
      <c r="E1319" s="2"/>
      <c r="F1319" s="2"/>
      <c r="G1319" s="2"/>
    </row>
    <row r="1320">
      <c r="A1320" s="1" t="s">
        <v>785</v>
      </c>
      <c r="B1320" s="1">
        <v>0.0</v>
      </c>
      <c r="C1320" s="2"/>
      <c r="D1320" s="2"/>
      <c r="E1320" s="2"/>
      <c r="F1320" s="2"/>
      <c r="G1320" s="2"/>
    </row>
    <row r="1321">
      <c r="A1321" s="1" t="s">
        <v>786</v>
      </c>
      <c r="B1321" s="1">
        <v>4.0</v>
      </c>
      <c r="C1321" s="2"/>
      <c r="D1321" s="2"/>
      <c r="E1321" s="2"/>
      <c r="F1321" s="2"/>
      <c r="G1321" s="2"/>
    </row>
    <row r="1322">
      <c r="A1322" s="1" t="s">
        <v>787</v>
      </c>
      <c r="B1322" s="1">
        <v>12.0</v>
      </c>
      <c r="C1322" s="2"/>
      <c r="D1322" s="2"/>
      <c r="E1322" s="2"/>
      <c r="F1322" s="2"/>
      <c r="G1322" s="2"/>
    </row>
    <row r="1323">
      <c r="A1323" s="1" t="s">
        <v>788</v>
      </c>
      <c r="B1323" s="1">
        <v>0.0</v>
      </c>
      <c r="C1323" s="2"/>
      <c r="D1323" s="2"/>
      <c r="E1323" s="2"/>
      <c r="F1323" s="2"/>
      <c r="G1323" s="2"/>
    </row>
    <row r="1324">
      <c r="A1324" s="1" t="s">
        <v>789</v>
      </c>
      <c r="B1324" s="1">
        <v>0.0</v>
      </c>
      <c r="C1324" s="2"/>
      <c r="D1324" s="2"/>
      <c r="E1324" s="2"/>
      <c r="F1324" s="2"/>
      <c r="G1324" s="2"/>
    </row>
    <row r="1325">
      <c r="A1325" s="1" t="s">
        <v>790</v>
      </c>
      <c r="B1325" s="1">
        <v>0.0</v>
      </c>
      <c r="C1325" s="2"/>
      <c r="D1325" s="2"/>
      <c r="E1325" s="2"/>
      <c r="F1325" s="2"/>
      <c r="G1325" s="2"/>
    </row>
    <row r="1326">
      <c r="A1326" s="1" t="s">
        <v>791</v>
      </c>
      <c r="B1326" s="1">
        <v>0.0</v>
      </c>
      <c r="C1326" s="2"/>
      <c r="D1326" s="2"/>
      <c r="E1326" s="2"/>
      <c r="F1326" s="2"/>
      <c r="G1326" s="2"/>
    </row>
    <row r="1327">
      <c r="A1327" s="1" t="s">
        <v>792</v>
      </c>
      <c r="B1327" s="1">
        <v>80.0</v>
      </c>
      <c r="C1327" s="2"/>
      <c r="D1327" s="2"/>
      <c r="E1327" s="2"/>
      <c r="F1327" s="2"/>
      <c r="G1327" s="2"/>
    </row>
    <row r="1328">
      <c r="A1328" s="1" t="s">
        <v>793</v>
      </c>
      <c r="B1328" s="1">
        <v>0.0</v>
      </c>
      <c r="C1328" s="2"/>
      <c r="D1328" s="2"/>
      <c r="E1328" s="2"/>
      <c r="F1328" s="2"/>
      <c r="G1328" s="2"/>
    </row>
    <row r="1329">
      <c r="A1329" s="1" t="s">
        <v>722</v>
      </c>
      <c r="B1329" s="1" t="s">
        <v>723</v>
      </c>
      <c r="C1329" s="1" t="s">
        <v>724</v>
      </c>
      <c r="D1329" s="1" t="s">
        <v>725</v>
      </c>
      <c r="E1329" s="1">
        <v>0.0</v>
      </c>
      <c r="F1329" s="2"/>
      <c r="G1329" s="2"/>
    </row>
    <row r="1330">
      <c r="A1330" s="1" t="s">
        <v>726</v>
      </c>
      <c r="B1330" s="1">
        <v>48.0</v>
      </c>
      <c r="C1330" s="2"/>
      <c r="D1330" s="2"/>
      <c r="E1330" s="2"/>
      <c r="F1330" s="2"/>
      <c r="G1330" s="2"/>
    </row>
    <row r="1331">
      <c r="A1331" s="1" t="s">
        <v>727</v>
      </c>
      <c r="B1331" s="1">
        <v>0.0</v>
      </c>
      <c r="C1331" s="2"/>
      <c r="D1331" s="2"/>
      <c r="E1331" s="2"/>
      <c r="F1331" s="2"/>
      <c r="G1331" s="2"/>
    </row>
    <row r="1332">
      <c r="A1332" s="1" t="s">
        <v>728</v>
      </c>
      <c r="B1332" s="1">
        <v>0.0</v>
      </c>
      <c r="C1332" s="2"/>
      <c r="D1332" s="2"/>
      <c r="E1332" s="2"/>
      <c r="F1332" s="2"/>
      <c r="G1332" s="2"/>
    </row>
    <row r="1333">
      <c r="A1333" s="1" t="s">
        <v>729</v>
      </c>
      <c r="B1333" s="1">
        <v>0.0</v>
      </c>
      <c r="C1333" s="2"/>
      <c r="D1333" s="2"/>
      <c r="E1333" s="2"/>
      <c r="F1333" s="2"/>
      <c r="G1333" s="2"/>
    </row>
    <row r="1334">
      <c r="A1334" s="1" t="s">
        <v>730</v>
      </c>
      <c r="B1334" s="1">
        <v>0.0</v>
      </c>
      <c r="C1334" s="2"/>
      <c r="D1334" s="2"/>
      <c r="E1334" s="2"/>
      <c r="F1334" s="2"/>
      <c r="G1334" s="2"/>
    </row>
    <row r="1335">
      <c r="A1335" s="1" t="s">
        <v>731</v>
      </c>
      <c r="B1335" s="1">
        <v>0.0</v>
      </c>
      <c r="C1335" s="2"/>
      <c r="D1335" s="2"/>
      <c r="E1335" s="2"/>
      <c r="F1335" s="2"/>
      <c r="G1335" s="2"/>
    </row>
    <row r="1336">
      <c r="A1336" s="1" t="s">
        <v>732</v>
      </c>
      <c r="B1336" s="1">
        <v>0.0</v>
      </c>
      <c r="C1336" s="2"/>
      <c r="D1336" s="2"/>
      <c r="E1336" s="2"/>
      <c r="F1336" s="2"/>
      <c r="G1336" s="2"/>
    </row>
    <row r="1337">
      <c r="A1337" s="1" t="s">
        <v>733</v>
      </c>
      <c r="B1337" s="1">
        <v>95.0</v>
      </c>
      <c r="C1337" s="2"/>
      <c r="D1337" s="2"/>
      <c r="E1337" s="2"/>
      <c r="F1337" s="2"/>
      <c r="G1337" s="2"/>
    </row>
    <row r="1338">
      <c r="A1338" s="1" t="s">
        <v>734</v>
      </c>
      <c r="B1338" s="1">
        <v>0.0</v>
      </c>
      <c r="C1338" s="2"/>
      <c r="D1338" s="2"/>
      <c r="E1338" s="2"/>
      <c r="F1338" s="2"/>
      <c r="G1338" s="2"/>
    </row>
    <row r="1339">
      <c r="A1339" s="1" t="s">
        <v>735</v>
      </c>
      <c r="B1339" s="1">
        <v>47.0</v>
      </c>
      <c r="C1339" s="2"/>
      <c r="D1339" s="2"/>
      <c r="E1339" s="2"/>
      <c r="F1339" s="2"/>
      <c r="G1339" s="2"/>
    </row>
    <row r="1340">
      <c r="A1340" s="1" t="s">
        <v>736</v>
      </c>
      <c r="B1340" s="1">
        <v>0.0</v>
      </c>
      <c r="C1340" s="2"/>
      <c r="D1340" s="2"/>
      <c r="E1340" s="2"/>
      <c r="F1340" s="2"/>
      <c r="G1340" s="2"/>
    </row>
    <row r="1341">
      <c r="A1341" s="1" t="s">
        <v>737</v>
      </c>
      <c r="B1341" s="1">
        <v>0.0</v>
      </c>
      <c r="C1341" s="2"/>
      <c r="D1341" s="2"/>
      <c r="E1341" s="2"/>
      <c r="F1341" s="2"/>
      <c r="G1341" s="2"/>
    </row>
    <row r="1342">
      <c r="A1342" s="1" t="s">
        <v>738</v>
      </c>
      <c r="B1342" s="1">
        <v>0.0</v>
      </c>
      <c r="C1342" s="2"/>
      <c r="D1342" s="2"/>
      <c r="E1342" s="2"/>
      <c r="F1342" s="2"/>
      <c r="G1342" s="2"/>
    </row>
    <row r="1343">
      <c r="A1343" s="1" t="s">
        <v>739</v>
      </c>
      <c r="B1343" s="1">
        <v>0.0</v>
      </c>
      <c r="C1343" s="2"/>
      <c r="D1343" s="2"/>
      <c r="E1343" s="2"/>
      <c r="F1343" s="2"/>
      <c r="G1343" s="2"/>
    </row>
    <row r="1344">
      <c r="A1344" s="1" t="s">
        <v>740</v>
      </c>
      <c r="B1344" s="1">
        <v>0.0</v>
      </c>
      <c r="C1344" s="2"/>
      <c r="D1344" s="2"/>
      <c r="E1344" s="2"/>
      <c r="F1344" s="2"/>
      <c r="G1344" s="2"/>
    </row>
    <row r="1345">
      <c r="A1345" s="1" t="s">
        <v>741</v>
      </c>
      <c r="B1345" s="1">
        <v>0.0</v>
      </c>
      <c r="C1345" s="2"/>
      <c r="D1345" s="2"/>
      <c r="E1345" s="2"/>
      <c r="F1345" s="2"/>
      <c r="G1345" s="2"/>
    </row>
    <row r="1346">
      <c r="A1346" s="1" t="s">
        <v>742</v>
      </c>
      <c r="B1346" s="1">
        <v>0.0</v>
      </c>
      <c r="C1346" s="2"/>
      <c r="D1346" s="2"/>
      <c r="E1346" s="2"/>
      <c r="F1346" s="2"/>
      <c r="G1346" s="2"/>
    </row>
    <row r="1347">
      <c r="A1347" s="1" t="s">
        <v>743</v>
      </c>
      <c r="B1347" s="1">
        <v>0.0</v>
      </c>
      <c r="C1347" s="2"/>
      <c r="D1347" s="2"/>
      <c r="E1347" s="2"/>
      <c r="F1347" s="2"/>
      <c r="G1347" s="2"/>
    </row>
    <row r="1348">
      <c r="A1348" s="1" t="s">
        <v>744</v>
      </c>
      <c r="B1348" s="1">
        <v>0.0</v>
      </c>
      <c r="C1348" s="2"/>
      <c r="D1348" s="2"/>
      <c r="E1348" s="2"/>
      <c r="F1348" s="2"/>
      <c r="G1348" s="2"/>
    </row>
    <row r="1349">
      <c r="A1349" s="1" t="s">
        <v>745</v>
      </c>
      <c r="B1349" s="1">
        <v>28.0</v>
      </c>
      <c r="C1349" s="2"/>
      <c r="D1349" s="2"/>
      <c r="E1349" s="2"/>
      <c r="F1349" s="2"/>
      <c r="G1349" s="2"/>
    </row>
    <row r="1350">
      <c r="A1350" s="1" t="s">
        <v>746</v>
      </c>
      <c r="B1350" s="1">
        <v>0.0</v>
      </c>
      <c r="C1350" s="2"/>
      <c r="D1350" s="2"/>
      <c r="E1350" s="2"/>
      <c r="F1350" s="2"/>
      <c r="G1350" s="2"/>
    </row>
    <row r="1351">
      <c r="A1351" s="1" t="s">
        <v>747</v>
      </c>
      <c r="B1351" s="1">
        <v>0.0</v>
      </c>
      <c r="C1351" s="2"/>
      <c r="D1351" s="2"/>
      <c r="E1351" s="2"/>
      <c r="F1351" s="2"/>
      <c r="G1351" s="2"/>
    </row>
    <row r="1352">
      <c r="A1352" s="1" t="s">
        <v>748</v>
      </c>
      <c r="B1352" s="1">
        <v>0.0</v>
      </c>
      <c r="C1352" s="2"/>
      <c r="D1352" s="2"/>
      <c r="E1352" s="2"/>
      <c r="F1352" s="2"/>
      <c r="G1352" s="2"/>
    </row>
    <row r="1353">
      <c r="A1353" s="1" t="s">
        <v>749</v>
      </c>
      <c r="B1353" s="1">
        <v>22.0</v>
      </c>
      <c r="C1353" s="2"/>
      <c r="D1353" s="2"/>
      <c r="E1353" s="2"/>
      <c r="F1353" s="2"/>
      <c r="G1353" s="2"/>
    </row>
    <row r="1354">
      <c r="A1354" s="1" t="s">
        <v>750</v>
      </c>
      <c r="B1354" s="1">
        <v>0.0</v>
      </c>
      <c r="C1354" s="2"/>
      <c r="D1354" s="2"/>
      <c r="E1354" s="2"/>
      <c r="F1354" s="2"/>
      <c r="G1354" s="2"/>
    </row>
    <row r="1355">
      <c r="A1355" s="1" t="s">
        <v>751</v>
      </c>
      <c r="B1355" s="1">
        <v>66.0</v>
      </c>
      <c r="C1355" s="2"/>
      <c r="D1355" s="2"/>
      <c r="E1355" s="2"/>
      <c r="F1355" s="2"/>
      <c r="G1355" s="2"/>
    </row>
    <row r="1356">
      <c r="A1356" s="1" t="s">
        <v>752</v>
      </c>
      <c r="B1356" s="1">
        <v>0.0</v>
      </c>
      <c r="C1356" s="2"/>
      <c r="D1356" s="2"/>
      <c r="E1356" s="2"/>
      <c r="F1356" s="2"/>
      <c r="G1356" s="2"/>
    </row>
    <row r="1357">
      <c r="A1357" s="1" t="s">
        <v>753</v>
      </c>
      <c r="B1357" s="1">
        <v>0.0</v>
      </c>
      <c r="C1357" s="2"/>
      <c r="D1357" s="2"/>
      <c r="E1357" s="2"/>
      <c r="F1357" s="2"/>
      <c r="G1357" s="2"/>
    </row>
    <row r="1358">
      <c r="A1358" s="1" t="s">
        <v>754</v>
      </c>
      <c r="B1358" s="1">
        <v>0.0</v>
      </c>
      <c r="C1358" s="2"/>
      <c r="D1358" s="2"/>
      <c r="E1358" s="2"/>
      <c r="F1358" s="2"/>
      <c r="G1358" s="2"/>
    </row>
    <row r="1359">
      <c r="A1359" s="1" t="s">
        <v>755</v>
      </c>
      <c r="B1359" s="1">
        <v>0.0</v>
      </c>
      <c r="C1359" s="2"/>
      <c r="D1359" s="2"/>
      <c r="E1359" s="2"/>
      <c r="F1359" s="2"/>
      <c r="G1359" s="2"/>
    </row>
    <row r="1360">
      <c r="A1360" s="1" t="s">
        <v>756</v>
      </c>
      <c r="B1360" s="1">
        <v>0.0</v>
      </c>
      <c r="C1360" s="2"/>
      <c r="D1360" s="2"/>
      <c r="E1360" s="2"/>
      <c r="F1360" s="2"/>
      <c r="G1360" s="2"/>
    </row>
    <row r="1361">
      <c r="A1361" s="1" t="s">
        <v>757</v>
      </c>
      <c r="B1361" s="1">
        <v>0.0</v>
      </c>
      <c r="C1361" s="2"/>
      <c r="D1361" s="2"/>
      <c r="E1361" s="2"/>
      <c r="F1361" s="2"/>
      <c r="G1361" s="2"/>
    </row>
    <row r="1362">
      <c r="A1362" s="1" t="s">
        <v>758</v>
      </c>
      <c r="B1362" s="1">
        <v>0.0</v>
      </c>
      <c r="C1362" s="2"/>
      <c r="D1362" s="2"/>
      <c r="E1362" s="2"/>
      <c r="F1362" s="2"/>
      <c r="G1362" s="2"/>
    </row>
    <row r="1363">
      <c r="A1363" s="1" t="s">
        <v>759</v>
      </c>
      <c r="B1363" s="1">
        <v>66.0</v>
      </c>
      <c r="C1363" s="2"/>
      <c r="D1363" s="2"/>
      <c r="E1363" s="2"/>
      <c r="F1363" s="2"/>
      <c r="G1363" s="2"/>
    </row>
    <row r="1364">
      <c r="A1364" s="1" t="s">
        <v>760</v>
      </c>
      <c r="B1364" s="1">
        <v>0.0</v>
      </c>
      <c r="C1364" s="2"/>
      <c r="D1364" s="2"/>
      <c r="E1364" s="2"/>
      <c r="F1364" s="2"/>
      <c r="G1364" s="2"/>
    </row>
    <row r="1365">
      <c r="A1365" s="1" t="s">
        <v>761</v>
      </c>
      <c r="B1365" s="1">
        <v>0.0</v>
      </c>
      <c r="C1365" s="2"/>
      <c r="D1365" s="2"/>
      <c r="E1365" s="2"/>
      <c r="F1365" s="2"/>
      <c r="G1365" s="2"/>
    </row>
    <row r="1366">
      <c r="A1366" s="1" t="s">
        <v>762</v>
      </c>
      <c r="B1366" s="1">
        <v>20.0</v>
      </c>
      <c r="C1366" s="2"/>
      <c r="D1366" s="2"/>
      <c r="E1366" s="2"/>
      <c r="F1366" s="2"/>
      <c r="G1366" s="2"/>
    </row>
    <row r="1367">
      <c r="A1367" s="1" t="s">
        <v>763</v>
      </c>
      <c r="B1367" s="1">
        <v>10.0</v>
      </c>
      <c r="C1367" s="2"/>
      <c r="D1367" s="2"/>
      <c r="E1367" s="2"/>
      <c r="F1367" s="2"/>
      <c r="G1367" s="2"/>
    </row>
    <row r="1368">
      <c r="A1368" s="1" t="s">
        <v>764</v>
      </c>
      <c r="B1368" s="1">
        <v>0.0</v>
      </c>
      <c r="C1368" s="2"/>
      <c r="D1368" s="2"/>
      <c r="E1368" s="2"/>
      <c r="F1368" s="2"/>
      <c r="G1368" s="2"/>
    </row>
    <row r="1369">
      <c r="A1369" s="1" t="s">
        <v>765</v>
      </c>
      <c r="B1369" s="1">
        <v>0.0</v>
      </c>
      <c r="C1369" s="2"/>
      <c r="D1369" s="2"/>
      <c r="E1369" s="2"/>
      <c r="F1369" s="2"/>
      <c r="G1369" s="2"/>
    </row>
    <row r="1370">
      <c r="A1370" s="1" t="s">
        <v>766</v>
      </c>
      <c r="B1370" s="1">
        <v>0.0</v>
      </c>
      <c r="C1370" s="2"/>
      <c r="D1370" s="2"/>
      <c r="E1370" s="2"/>
      <c r="F1370" s="2"/>
      <c r="G1370" s="2"/>
    </row>
    <row r="1371">
      <c r="A1371" s="1" t="s">
        <v>767</v>
      </c>
      <c r="B1371" s="1">
        <v>0.0</v>
      </c>
      <c r="C1371" s="2"/>
      <c r="D1371" s="2"/>
      <c r="E1371" s="2"/>
      <c r="F1371" s="2"/>
      <c r="G1371" s="2"/>
    </row>
    <row r="1372">
      <c r="A1372" s="1" t="s">
        <v>768</v>
      </c>
      <c r="B1372" s="1">
        <v>0.0</v>
      </c>
      <c r="C1372" s="2"/>
      <c r="D1372" s="2"/>
      <c r="E1372" s="2"/>
      <c r="F1372" s="2"/>
      <c r="G1372" s="2"/>
    </row>
    <row r="1373">
      <c r="A1373" s="1" t="s">
        <v>769</v>
      </c>
      <c r="B1373" s="1">
        <v>88.0</v>
      </c>
      <c r="C1373" s="2"/>
      <c r="D1373" s="2"/>
      <c r="E1373" s="2"/>
      <c r="F1373" s="2"/>
      <c r="G1373" s="2"/>
    </row>
    <row r="1374">
      <c r="A1374" s="1" t="s">
        <v>770</v>
      </c>
      <c r="B1374" s="1">
        <v>0.0</v>
      </c>
      <c r="C1374" s="2"/>
      <c r="D1374" s="2"/>
      <c r="E1374" s="2"/>
      <c r="F1374" s="2"/>
      <c r="G1374" s="2"/>
    </row>
    <row r="1375">
      <c r="A1375" s="1" t="s">
        <v>771</v>
      </c>
      <c r="B1375" s="1">
        <v>0.0</v>
      </c>
      <c r="C1375" s="2"/>
      <c r="D1375" s="2"/>
      <c r="E1375" s="2"/>
      <c r="F1375" s="2"/>
      <c r="G1375" s="2"/>
    </row>
    <row r="1376">
      <c r="A1376" s="1" t="s">
        <v>772</v>
      </c>
      <c r="B1376" s="1">
        <v>46.0</v>
      </c>
      <c r="C1376" s="2"/>
      <c r="D1376" s="2"/>
      <c r="E1376" s="2"/>
      <c r="F1376" s="2"/>
      <c r="G1376" s="2"/>
    </row>
    <row r="1377">
      <c r="A1377" s="1" t="s">
        <v>773</v>
      </c>
      <c r="B1377" s="1">
        <v>67.0</v>
      </c>
      <c r="C1377" s="2"/>
      <c r="D1377" s="2"/>
      <c r="E1377" s="2"/>
      <c r="F1377" s="2"/>
      <c r="G1377" s="2"/>
    </row>
    <row r="1378">
      <c r="A1378" s="1" t="s">
        <v>774</v>
      </c>
      <c r="B1378" s="1">
        <v>40.0</v>
      </c>
      <c r="C1378" s="2"/>
      <c r="D1378" s="2"/>
      <c r="E1378" s="2"/>
      <c r="F1378" s="2"/>
      <c r="G1378" s="2"/>
    </row>
    <row r="1379">
      <c r="A1379" s="1" t="s">
        <v>775</v>
      </c>
      <c r="B1379" s="1">
        <v>0.0</v>
      </c>
      <c r="C1379" s="2"/>
      <c r="D1379" s="2"/>
      <c r="E1379" s="2"/>
      <c r="F1379" s="2"/>
      <c r="G1379" s="2"/>
    </row>
    <row r="1380">
      <c r="A1380" s="1" t="s">
        <v>776</v>
      </c>
      <c r="B1380" s="1">
        <v>0.0</v>
      </c>
      <c r="C1380" s="2"/>
      <c r="D1380" s="2"/>
      <c r="E1380" s="2"/>
      <c r="F1380" s="2"/>
      <c r="G1380" s="2"/>
    </row>
    <row r="1381">
      <c r="A1381" s="1" t="s">
        <v>777</v>
      </c>
      <c r="B1381" s="1">
        <v>0.0</v>
      </c>
      <c r="C1381" s="2"/>
      <c r="D1381" s="2"/>
      <c r="E1381" s="2"/>
      <c r="F1381" s="2"/>
      <c r="G1381" s="2"/>
    </row>
    <row r="1382">
      <c r="A1382" s="1" t="s">
        <v>778</v>
      </c>
      <c r="B1382" s="1">
        <v>80.0</v>
      </c>
      <c r="C1382" s="2"/>
      <c r="D1382" s="2"/>
      <c r="E1382" s="2"/>
      <c r="F1382" s="2"/>
      <c r="G1382" s="2"/>
    </row>
    <row r="1383">
      <c r="A1383" s="1" t="s">
        <v>779</v>
      </c>
      <c r="B1383" s="1">
        <v>32.0</v>
      </c>
      <c r="C1383" s="2"/>
      <c r="D1383" s="2"/>
      <c r="E1383" s="2"/>
      <c r="F1383" s="2"/>
      <c r="G1383" s="2"/>
    </row>
    <row r="1384">
      <c r="A1384" s="1" t="s">
        <v>780</v>
      </c>
      <c r="B1384" s="1">
        <v>0.0</v>
      </c>
      <c r="C1384" s="2"/>
      <c r="D1384" s="2"/>
      <c r="E1384" s="2"/>
      <c r="F1384" s="2"/>
      <c r="G1384" s="2"/>
    </row>
    <row r="1385">
      <c r="A1385" s="1" t="s">
        <v>781</v>
      </c>
      <c r="B1385" s="1">
        <v>0.0</v>
      </c>
      <c r="C1385" s="2"/>
      <c r="D1385" s="2"/>
      <c r="E1385" s="2"/>
      <c r="F1385" s="2"/>
      <c r="G1385" s="2"/>
    </row>
    <row r="1386">
      <c r="A1386" s="1" t="s">
        <v>782</v>
      </c>
      <c r="B1386" s="1">
        <v>57.0</v>
      </c>
      <c r="C1386" s="2"/>
      <c r="D1386" s="2"/>
      <c r="E1386" s="2"/>
      <c r="F1386" s="2"/>
      <c r="G1386" s="2"/>
    </row>
    <row r="1387">
      <c r="A1387" s="1" t="s">
        <v>783</v>
      </c>
      <c r="B1387" s="1">
        <v>71.0</v>
      </c>
      <c r="C1387" s="2"/>
      <c r="D1387" s="2"/>
      <c r="E1387" s="2"/>
      <c r="F1387" s="2"/>
      <c r="G1387" s="2"/>
    </row>
    <row r="1388">
      <c r="A1388" s="1" t="s">
        <v>784</v>
      </c>
      <c r="B1388" s="1">
        <v>32.0</v>
      </c>
      <c r="C1388" s="2"/>
      <c r="D1388" s="2"/>
      <c r="E1388" s="2"/>
      <c r="F1388" s="2"/>
      <c r="G1388" s="2"/>
    </row>
    <row r="1389">
      <c r="A1389" s="1" t="s">
        <v>785</v>
      </c>
      <c r="B1389" s="1">
        <v>0.0</v>
      </c>
      <c r="C1389" s="2"/>
      <c r="D1389" s="2"/>
      <c r="E1389" s="2"/>
      <c r="F1389" s="2"/>
      <c r="G1389" s="2"/>
    </row>
    <row r="1390">
      <c r="A1390" s="1" t="s">
        <v>786</v>
      </c>
      <c r="B1390" s="1">
        <v>4.0</v>
      </c>
      <c r="C1390" s="2"/>
      <c r="D1390" s="2"/>
      <c r="E1390" s="2"/>
      <c r="F1390" s="2"/>
      <c r="G1390" s="2"/>
    </row>
    <row r="1391">
      <c r="A1391" s="1" t="s">
        <v>787</v>
      </c>
      <c r="B1391" s="1">
        <v>12.0</v>
      </c>
      <c r="C1391" s="2"/>
      <c r="D1391" s="2"/>
      <c r="E1391" s="2"/>
      <c r="F1391" s="2"/>
      <c r="G1391" s="2"/>
    </row>
    <row r="1392">
      <c r="A1392" s="1" t="s">
        <v>788</v>
      </c>
      <c r="B1392" s="1">
        <v>0.0</v>
      </c>
      <c r="C1392" s="2"/>
      <c r="D1392" s="2"/>
      <c r="E1392" s="2"/>
      <c r="F1392" s="2"/>
      <c r="G1392" s="2"/>
    </row>
    <row r="1393">
      <c r="A1393" s="1" t="s">
        <v>789</v>
      </c>
      <c r="B1393" s="1">
        <v>0.0</v>
      </c>
      <c r="C1393" s="2"/>
      <c r="D1393" s="2"/>
      <c r="E1393" s="2"/>
      <c r="F1393" s="2"/>
      <c r="G1393" s="2"/>
    </row>
    <row r="1394">
      <c r="A1394" s="1" t="s">
        <v>790</v>
      </c>
      <c r="B1394" s="1">
        <v>0.0</v>
      </c>
      <c r="C1394" s="2"/>
      <c r="D1394" s="2"/>
      <c r="E1394" s="2"/>
      <c r="F1394" s="2"/>
      <c r="G1394" s="2"/>
    </row>
    <row r="1395">
      <c r="A1395" s="1" t="s">
        <v>791</v>
      </c>
      <c r="B1395" s="1">
        <v>0.0</v>
      </c>
      <c r="C1395" s="2"/>
      <c r="D1395" s="2"/>
      <c r="E1395" s="2"/>
      <c r="F1395" s="2"/>
      <c r="G1395" s="2"/>
    </row>
    <row r="1396">
      <c r="A1396" s="1" t="s">
        <v>792</v>
      </c>
      <c r="B1396" s="1">
        <v>80.0</v>
      </c>
      <c r="C1396" s="2"/>
      <c r="D1396" s="2"/>
      <c r="E1396" s="2"/>
      <c r="F1396" s="2"/>
      <c r="G1396" s="2"/>
    </row>
    <row r="1397">
      <c r="A1397" s="1" t="s">
        <v>793</v>
      </c>
      <c r="B1397" s="1">
        <v>0.0</v>
      </c>
      <c r="C1397" s="2"/>
      <c r="D1397" s="2"/>
      <c r="E1397" s="2"/>
      <c r="F1397" s="2"/>
      <c r="G1397" s="2"/>
    </row>
    <row r="1398">
      <c r="A1398" s="1" t="s">
        <v>794</v>
      </c>
      <c r="B1398" s="1">
        <v>60.0</v>
      </c>
      <c r="C1398" s="2"/>
      <c r="D1398" s="2"/>
      <c r="E1398" s="2"/>
      <c r="F1398" s="2"/>
      <c r="G1398" s="2"/>
    </row>
    <row r="1399">
      <c r="A1399" s="1" t="s">
        <v>795</v>
      </c>
      <c r="B1399" s="1">
        <v>0.0</v>
      </c>
      <c r="C1399" s="2"/>
      <c r="D1399" s="2"/>
      <c r="E1399" s="2"/>
      <c r="F1399" s="2"/>
      <c r="G1399" s="2"/>
    </row>
    <row r="1400">
      <c r="A1400" s="1" t="s">
        <v>796</v>
      </c>
      <c r="B1400" s="1">
        <v>90.0</v>
      </c>
      <c r="C1400" s="2"/>
      <c r="D1400" s="2"/>
      <c r="E1400" s="2"/>
      <c r="F1400" s="2"/>
      <c r="G1400" s="2"/>
    </row>
    <row r="1401">
      <c r="A1401" s="1" t="s">
        <v>797</v>
      </c>
      <c r="B1401" s="1">
        <v>0.0</v>
      </c>
      <c r="C1401" s="2"/>
      <c r="D1401" s="2"/>
      <c r="E1401" s="2"/>
      <c r="F1401" s="2"/>
      <c r="G1401" s="2"/>
    </row>
    <row r="1402">
      <c r="A1402" s="1" t="s">
        <v>798</v>
      </c>
      <c r="B1402" s="1">
        <v>0.0</v>
      </c>
      <c r="C1402" s="2"/>
      <c r="D1402" s="2"/>
      <c r="E1402" s="2"/>
      <c r="F1402" s="2"/>
      <c r="G1402" s="2"/>
    </row>
    <row r="1403">
      <c r="A1403" s="1" t="s">
        <v>799</v>
      </c>
      <c r="B1403" s="1">
        <v>0.0</v>
      </c>
      <c r="C1403" s="2"/>
      <c r="D1403" s="2"/>
      <c r="E1403" s="2"/>
      <c r="F1403" s="2"/>
      <c r="G1403" s="2"/>
    </row>
    <row r="1404">
      <c r="A1404" s="1" t="s">
        <v>800</v>
      </c>
      <c r="B1404" s="1">
        <v>0.0</v>
      </c>
      <c r="C1404" s="2"/>
      <c r="D1404" s="2"/>
      <c r="E1404" s="2"/>
      <c r="F1404" s="2"/>
      <c r="G1404" s="2"/>
    </row>
    <row r="1405">
      <c r="A1405" s="1" t="s">
        <v>801</v>
      </c>
      <c r="B1405" s="1">
        <v>0.0</v>
      </c>
      <c r="C1405" s="2"/>
      <c r="D1405" s="2"/>
      <c r="E1405" s="2"/>
      <c r="F1405" s="2"/>
      <c r="G1405" s="2"/>
    </row>
    <row r="1406">
      <c r="A1406" s="1" t="s">
        <v>802</v>
      </c>
      <c r="B1406" s="1">
        <v>19.0</v>
      </c>
      <c r="C1406" s="2"/>
      <c r="D1406" s="2"/>
      <c r="E1406" s="2"/>
      <c r="F1406" s="2"/>
      <c r="G1406" s="2"/>
    </row>
    <row r="1407">
      <c r="A1407" s="1" t="s">
        <v>803</v>
      </c>
      <c r="B1407" s="1">
        <v>0.0</v>
      </c>
      <c r="C1407" s="2"/>
      <c r="D1407" s="2"/>
      <c r="E1407" s="2"/>
      <c r="F1407" s="2"/>
      <c r="G1407" s="2"/>
    </row>
    <row r="1408">
      <c r="A1408" s="1" t="s">
        <v>804</v>
      </c>
      <c r="B1408" s="1">
        <v>0.0</v>
      </c>
      <c r="C1408" s="2"/>
      <c r="D1408" s="2"/>
      <c r="E1408" s="2"/>
      <c r="F1408" s="2"/>
      <c r="G1408" s="2"/>
    </row>
    <row r="1409">
      <c r="A1409" s="1" t="s">
        <v>805</v>
      </c>
      <c r="B1409" s="1">
        <v>42.0</v>
      </c>
      <c r="C1409" s="2"/>
      <c r="D1409" s="2"/>
      <c r="E1409" s="2"/>
      <c r="F1409" s="2"/>
      <c r="G1409" s="2"/>
    </row>
    <row r="1410">
      <c r="A1410" s="1" t="s">
        <v>806</v>
      </c>
      <c r="B1410" s="1">
        <v>57.0</v>
      </c>
      <c r="C1410" s="2"/>
      <c r="D1410" s="2"/>
      <c r="E1410" s="2"/>
      <c r="F1410" s="2"/>
      <c r="G1410" s="2"/>
    </row>
    <row r="1411">
      <c r="A1411" s="1" t="s">
        <v>807</v>
      </c>
      <c r="B1411" s="1">
        <v>17.0</v>
      </c>
      <c r="C1411" s="2"/>
      <c r="D1411" s="2"/>
      <c r="E1411" s="2"/>
      <c r="F1411" s="2"/>
      <c r="G1411" s="2"/>
    </row>
    <row r="1412">
      <c r="A1412" s="1" t="s">
        <v>808</v>
      </c>
      <c r="B1412" s="1">
        <v>10.0</v>
      </c>
      <c r="C1412" s="2"/>
      <c r="D1412" s="2"/>
      <c r="E1412" s="2"/>
      <c r="F1412" s="2"/>
      <c r="G1412" s="2"/>
    </row>
    <row r="1413">
      <c r="A1413" s="1" t="s">
        <v>809</v>
      </c>
      <c r="B1413" s="1">
        <v>0.0</v>
      </c>
      <c r="C1413" s="2"/>
      <c r="D1413" s="2"/>
      <c r="E1413" s="2"/>
      <c r="F1413" s="2"/>
      <c r="G1413" s="2"/>
    </row>
    <row r="1414">
      <c r="A1414" s="1" t="s">
        <v>810</v>
      </c>
      <c r="B1414" s="1">
        <v>8.0</v>
      </c>
      <c r="C1414" s="2"/>
      <c r="D1414" s="2"/>
      <c r="E1414" s="2"/>
      <c r="F1414" s="2"/>
      <c r="G1414" s="2"/>
    </row>
    <row r="1415">
      <c r="A1415" s="1" t="s">
        <v>811</v>
      </c>
      <c r="B1415" s="1">
        <v>8.0</v>
      </c>
      <c r="C1415" s="2"/>
      <c r="D1415" s="2"/>
      <c r="E1415" s="2"/>
      <c r="F1415" s="2"/>
      <c r="G1415" s="2"/>
    </row>
    <row r="1416">
      <c r="A1416" s="1" t="s">
        <v>812</v>
      </c>
      <c r="B1416" s="1">
        <v>11.0</v>
      </c>
      <c r="C1416" s="2"/>
      <c r="D1416" s="2"/>
      <c r="E1416" s="2"/>
      <c r="F1416" s="2"/>
      <c r="G1416" s="2"/>
    </row>
    <row r="1417">
      <c r="A1417" s="1" t="s">
        <v>813</v>
      </c>
      <c r="B1417" s="1">
        <v>24.0</v>
      </c>
      <c r="C1417" s="2"/>
      <c r="D1417" s="2"/>
      <c r="E1417" s="2"/>
      <c r="F1417" s="2"/>
      <c r="G1417" s="2"/>
    </row>
    <row r="1418">
      <c r="A1418" s="1" t="s">
        <v>814</v>
      </c>
      <c r="B1418" s="1">
        <v>0.0</v>
      </c>
      <c r="C1418" s="2"/>
      <c r="D1418" s="2"/>
      <c r="E1418" s="2"/>
      <c r="F1418" s="2"/>
      <c r="G1418" s="2"/>
    </row>
    <row r="1419">
      <c r="A1419" s="1" t="s">
        <v>815</v>
      </c>
      <c r="B1419" s="1">
        <v>0.0</v>
      </c>
      <c r="C1419" s="2"/>
      <c r="D1419" s="2"/>
      <c r="E1419" s="2"/>
      <c r="F1419" s="2"/>
      <c r="G1419" s="2"/>
    </row>
    <row r="1420">
      <c r="A1420" s="1" t="s">
        <v>816</v>
      </c>
      <c r="B1420" s="1">
        <v>0.0</v>
      </c>
      <c r="C1420" s="2"/>
      <c r="D1420" s="2"/>
      <c r="E1420" s="2"/>
      <c r="F1420" s="2"/>
      <c r="G1420" s="2"/>
    </row>
    <row r="1421">
      <c r="A1421" s="1" t="s">
        <v>817</v>
      </c>
      <c r="B1421" s="1" t="s">
        <v>818</v>
      </c>
      <c r="C1421" s="1">
        <v>8.0</v>
      </c>
      <c r="D1421" s="2"/>
      <c r="E1421" s="2"/>
      <c r="F1421" s="2"/>
      <c r="G1421" s="2"/>
    </row>
    <row r="1422">
      <c r="A1422" s="1" t="s">
        <v>819</v>
      </c>
      <c r="B1422" s="1">
        <v>0.0</v>
      </c>
      <c r="C1422" s="2"/>
      <c r="D1422" s="2"/>
      <c r="E1422" s="2"/>
      <c r="F1422" s="2"/>
      <c r="G1422" s="2"/>
    </row>
    <row r="1423">
      <c r="A1423" s="1" t="s">
        <v>820</v>
      </c>
      <c r="B1423" s="1">
        <v>50.0</v>
      </c>
      <c r="C1423" s="2"/>
      <c r="D1423" s="2"/>
      <c r="E1423" s="2"/>
      <c r="F1423" s="2"/>
      <c r="G1423" s="2"/>
    </row>
    <row r="1424">
      <c r="A1424" s="1" t="s">
        <v>821</v>
      </c>
      <c r="B1424" s="1">
        <v>29.0</v>
      </c>
      <c r="C1424" s="2"/>
      <c r="D1424" s="2"/>
      <c r="E1424" s="2"/>
      <c r="F1424" s="2"/>
      <c r="G1424" s="2"/>
    </row>
    <row r="1425">
      <c r="A1425" s="1" t="s">
        <v>822</v>
      </c>
      <c r="B1425" s="1">
        <v>29.0</v>
      </c>
      <c r="C1425" s="2"/>
      <c r="D1425" s="2"/>
      <c r="E1425" s="2"/>
      <c r="F1425" s="2"/>
      <c r="G1425" s="2"/>
    </row>
    <row r="1426">
      <c r="A1426" s="1" t="s">
        <v>823</v>
      </c>
      <c r="B1426" s="1">
        <v>46.0</v>
      </c>
      <c r="C1426" s="2"/>
      <c r="D1426" s="2"/>
      <c r="E1426" s="2"/>
      <c r="F1426" s="2"/>
      <c r="G1426" s="2"/>
    </row>
    <row r="1427">
      <c r="A1427" s="1" t="s">
        <v>824</v>
      </c>
      <c r="B1427" s="1">
        <v>64.0</v>
      </c>
      <c r="C1427" s="2"/>
      <c r="D1427" s="2"/>
      <c r="E1427" s="2"/>
      <c r="F1427" s="2"/>
      <c r="G1427" s="2"/>
    </row>
    <row r="1428">
      <c r="A1428" s="1" t="s">
        <v>825</v>
      </c>
      <c r="B1428" s="1">
        <v>0.0</v>
      </c>
      <c r="C1428" s="2"/>
      <c r="D1428" s="2"/>
      <c r="E1428" s="2"/>
      <c r="F1428" s="2"/>
      <c r="G1428" s="2"/>
    </row>
    <row r="1429">
      <c r="A1429" s="1" t="s">
        <v>826</v>
      </c>
      <c r="B1429" s="1">
        <v>0.0</v>
      </c>
      <c r="C1429" s="2"/>
      <c r="D1429" s="2"/>
      <c r="E1429" s="2"/>
      <c r="F1429" s="2"/>
      <c r="G1429" s="2"/>
    </row>
    <row r="1430">
      <c r="A1430" s="1" t="s">
        <v>827</v>
      </c>
      <c r="B1430" s="1">
        <v>0.0</v>
      </c>
      <c r="C1430" s="2"/>
      <c r="D1430" s="2"/>
      <c r="E1430" s="2"/>
      <c r="F1430" s="2"/>
      <c r="G1430" s="2"/>
    </row>
    <row r="1431">
      <c r="A1431" s="1" t="s">
        <v>828</v>
      </c>
      <c r="B1431" s="1">
        <v>0.0</v>
      </c>
      <c r="C1431" s="2"/>
      <c r="D1431" s="2"/>
      <c r="E1431" s="2"/>
      <c r="F1431" s="2"/>
      <c r="G1431" s="2"/>
    </row>
    <row r="1432">
      <c r="A1432" s="1" t="s">
        <v>829</v>
      </c>
      <c r="B1432" s="1">
        <v>0.0</v>
      </c>
      <c r="C1432" s="2"/>
      <c r="D1432" s="2"/>
      <c r="E1432" s="2"/>
      <c r="F1432" s="2"/>
      <c r="G1432" s="2"/>
    </row>
    <row r="1433">
      <c r="A1433" s="1" t="s">
        <v>830</v>
      </c>
      <c r="B1433" s="1">
        <v>0.0</v>
      </c>
      <c r="C1433" s="2"/>
      <c r="D1433" s="2"/>
      <c r="E1433" s="2"/>
      <c r="F1433" s="2"/>
      <c r="G1433" s="2"/>
    </row>
    <row r="1434">
      <c r="A1434" s="1" t="s">
        <v>831</v>
      </c>
      <c r="B1434" s="1">
        <v>0.0</v>
      </c>
      <c r="C1434" s="2"/>
      <c r="D1434" s="2"/>
      <c r="E1434" s="2"/>
      <c r="F1434" s="2"/>
      <c r="G1434" s="2"/>
    </row>
    <row r="1435">
      <c r="A1435" s="1" t="s">
        <v>832</v>
      </c>
      <c r="B1435" s="1">
        <v>0.0</v>
      </c>
      <c r="C1435" s="2"/>
      <c r="D1435" s="2"/>
      <c r="E1435" s="2"/>
      <c r="F1435" s="2"/>
      <c r="G1435" s="2"/>
    </row>
    <row r="1436">
      <c r="A1436" s="1" t="s">
        <v>833</v>
      </c>
      <c r="B1436" s="1">
        <v>0.0</v>
      </c>
      <c r="C1436" s="2"/>
      <c r="D1436" s="2"/>
      <c r="E1436" s="2"/>
      <c r="F1436" s="2"/>
      <c r="G1436" s="2"/>
    </row>
    <row r="1437">
      <c r="A1437" s="1" t="s">
        <v>834</v>
      </c>
      <c r="B1437" s="1">
        <v>18.0</v>
      </c>
      <c r="C1437" s="2"/>
      <c r="D1437" s="2"/>
      <c r="E1437" s="2"/>
      <c r="F1437" s="2"/>
      <c r="G1437" s="2"/>
    </row>
    <row r="1438">
      <c r="A1438" s="1" t="s">
        <v>835</v>
      </c>
      <c r="B1438" s="1">
        <v>0.0</v>
      </c>
      <c r="C1438" s="2"/>
      <c r="D1438" s="2"/>
      <c r="E1438" s="2"/>
      <c r="F1438" s="2"/>
      <c r="G1438" s="2"/>
    </row>
    <row r="1439">
      <c r="A1439" s="1" t="s">
        <v>836</v>
      </c>
      <c r="B1439" s="1">
        <v>0.0</v>
      </c>
      <c r="C1439" s="2"/>
      <c r="D1439" s="2"/>
      <c r="E1439" s="2"/>
      <c r="F1439" s="2"/>
      <c r="G1439" s="2"/>
    </row>
    <row r="1440">
      <c r="A1440" s="1" t="s">
        <v>837</v>
      </c>
      <c r="B1440" s="1">
        <v>44.0</v>
      </c>
      <c r="C1440" s="2"/>
      <c r="D1440" s="2"/>
      <c r="E1440" s="2"/>
      <c r="F1440" s="2"/>
      <c r="G1440" s="2"/>
    </row>
    <row r="1441">
      <c r="A1441" s="1" t="s">
        <v>838</v>
      </c>
      <c r="B1441" s="1">
        <v>0.0</v>
      </c>
      <c r="C1441" s="2"/>
      <c r="D1441" s="2"/>
      <c r="E1441" s="2"/>
      <c r="F1441" s="2"/>
      <c r="G1441" s="2"/>
    </row>
    <row r="1442">
      <c r="A1442" s="1" t="s">
        <v>839</v>
      </c>
      <c r="B1442" s="1">
        <v>83.0</v>
      </c>
      <c r="C1442" s="2"/>
      <c r="D1442" s="2"/>
      <c r="E1442" s="2"/>
      <c r="F1442" s="2"/>
      <c r="G1442" s="2"/>
    </row>
    <row r="1443">
      <c r="A1443" s="1" t="s">
        <v>840</v>
      </c>
      <c r="B1443" s="1">
        <v>0.0</v>
      </c>
      <c r="C1443" s="2"/>
      <c r="D1443" s="2"/>
      <c r="E1443" s="2"/>
      <c r="F1443" s="2"/>
      <c r="G1443" s="2"/>
    </row>
    <row r="1444">
      <c r="A1444" s="1" t="s">
        <v>841</v>
      </c>
      <c r="B1444" s="1">
        <v>0.0</v>
      </c>
      <c r="C1444" s="2"/>
      <c r="D1444" s="2"/>
      <c r="E1444" s="2"/>
      <c r="F1444" s="2"/>
      <c r="G1444" s="2"/>
    </row>
    <row r="1445">
      <c r="A1445" s="1" t="s">
        <v>842</v>
      </c>
      <c r="B1445" s="1">
        <v>86.0</v>
      </c>
      <c r="C1445" s="2"/>
      <c r="D1445" s="2"/>
      <c r="E1445" s="2"/>
      <c r="F1445" s="2"/>
      <c r="G1445" s="2"/>
    </row>
    <row r="1446">
      <c r="A1446" s="1" t="s">
        <v>843</v>
      </c>
      <c r="B1446" s="1">
        <v>0.0</v>
      </c>
      <c r="C1446" s="2"/>
      <c r="D1446" s="2"/>
      <c r="E1446" s="2"/>
      <c r="F1446" s="2"/>
      <c r="G1446" s="2"/>
    </row>
    <row r="1447">
      <c r="A1447" s="1" t="s">
        <v>844</v>
      </c>
      <c r="B1447" s="1">
        <v>27.0</v>
      </c>
      <c r="C1447" s="2"/>
      <c r="D1447" s="2"/>
      <c r="E1447" s="2"/>
      <c r="F1447" s="2"/>
      <c r="G1447" s="2"/>
    </row>
    <row r="1448">
      <c r="A1448" s="1" t="s">
        <v>845</v>
      </c>
      <c r="B1448" s="1">
        <v>0.0</v>
      </c>
      <c r="C1448" s="2"/>
      <c r="D1448" s="2"/>
      <c r="E1448" s="2"/>
      <c r="F1448" s="2"/>
      <c r="G1448" s="2"/>
    </row>
    <row r="1449">
      <c r="A1449" s="1" t="s">
        <v>846</v>
      </c>
      <c r="B1449" s="1">
        <v>0.0</v>
      </c>
      <c r="C1449" s="2"/>
      <c r="D1449" s="2"/>
      <c r="E1449" s="2"/>
      <c r="F1449" s="2"/>
      <c r="G1449" s="2"/>
    </row>
    <row r="1450">
      <c r="A1450" s="1" t="s">
        <v>847</v>
      </c>
      <c r="B1450" s="1">
        <v>70.0</v>
      </c>
      <c r="C1450" s="2"/>
      <c r="D1450" s="2"/>
      <c r="E1450" s="2"/>
      <c r="F1450" s="2"/>
      <c r="G1450" s="2"/>
    </row>
    <row r="1451">
      <c r="A1451" s="1" t="s">
        <v>848</v>
      </c>
      <c r="B1451" s="1">
        <v>0.0</v>
      </c>
      <c r="C1451" s="2"/>
      <c r="D1451" s="2"/>
      <c r="E1451" s="2"/>
      <c r="F1451" s="2"/>
      <c r="G1451" s="2"/>
    </row>
    <row r="1452">
      <c r="A1452" s="1" t="s">
        <v>849</v>
      </c>
      <c r="B1452" s="1">
        <v>0.0</v>
      </c>
      <c r="C1452" s="2"/>
      <c r="D1452" s="2"/>
      <c r="E1452" s="2"/>
      <c r="F1452" s="2"/>
      <c r="G1452" s="2"/>
    </row>
    <row r="1453">
      <c r="A1453" s="1" t="s">
        <v>850</v>
      </c>
      <c r="B1453" s="1">
        <v>0.0</v>
      </c>
      <c r="C1453" s="2"/>
      <c r="D1453" s="2"/>
      <c r="E1453" s="2"/>
      <c r="F1453" s="2"/>
      <c r="G1453" s="2"/>
    </row>
    <row r="1454">
      <c r="A1454" s="1" t="s">
        <v>851</v>
      </c>
      <c r="B1454" s="1">
        <v>0.0</v>
      </c>
      <c r="C1454" s="2"/>
      <c r="D1454" s="2"/>
      <c r="E1454" s="2"/>
      <c r="F1454" s="2"/>
      <c r="G1454" s="2"/>
    </row>
    <row r="1455">
      <c r="A1455" s="1" t="s">
        <v>852</v>
      </c>
      <c r="B1455" s="1">
        <v>39.0</v>
      </c>
      <c r="C1455" s="2"/>
      <c r="D1455" s="2"/>
      <c r="E1455" s="2"/>
      <c r="F1455" s="2"/>
      <c r="G1455" s="2"/>
    </row>
    <row r="1456">
      <c r="A1456" s="1" t="s">
        <v>853</v>
      </c>
      <c r="B1456" s="1">
        <v>0.0</v>
      </c>
      <c r="C1456" s="2"/>
      <c r="D1456" s="2"/>
      <c r="E1456" s="2"/>
      <c r="F1456" s="2"/>
      <c r="G1456" s="2"/>
    </row>
    <row r="1457">
      <c r="A1457" s="1" t="s">
        <v>854</v>
      </c>
      <c r="B1457" s="1">
        <v>71.0</v>
      </c>
      <c r="C1457" s="2"/>
      <c r="D1457" s="2"/>
      <c r="E1457" s="2"/>
      <c r="F1457" s="2"/>
      <c r="G1457" s="2"/>
    </row>
    <row r="1458">
      <c r="A1458" s="1" t="s">
        <v>855</v>
      </c>
      <c r="B1458" s="1">
        <v>0.0</v>
      </c>
      <c r="C1458" s="2"/>
      <c r="D1458" s="2"/>
      <c r="E1458" s="2"/>
      <c r="F1458" s="2"/>
      <c r="G1458" s="2"/>
    </row>
    <row r="1459">
      <c r="A1459" s="1" t="s">
        <v>856</v>
      </c>
      <c r="B1459" s="1">
        <v>0.0</v>
      </c>
      <c r="C1459" s="2"/>
      <c r="D1459" s="2"/>
      <c r="E1459" s="2"/>
      <c r="F1459" s="2"/>
      <c r="G1459" s="2"/>
    </row>
    <row r="1460">
      <c r="A1460" s="1" t="s">
        <v>857</v>
      </c>
      <c r="B1460" s="1">
        <v>0.0</v>
      </c>
      <c r="C1460" s="2"/>
      <c r="D1460" s="2"/>
      <c r="E1460" s="2"/>
      <c r="F1460" s="2"/>
      <c r="G1460" s="2"/>
    </row>
    <row r="1461">
      <c r="A1461" s="1" t="s">
        <v>858</v>
      </c>
      <c r="B1461" s="1">
        <v>68.0</v>
      </c>
      <c r="C1461" s="2"/>
      <c r="D1461" s="2"/>
      <c r="E1461" s="2"/>
      <c r="F1461" s="2"/>
      <c r="G1461" s="2"/>
    </row>
    <row r="1462">
      <c r="A1462" s="1" t="s">
        <v>859</v>
      </c>
      <c r="B1462" s="1">
        <v>81.0</v>
      </c>
      <c r="C1462" s="2"/>
      <c r="D1462" s="2"/>
      <c r="E1462" s="2"/>
      <c r="F1462" s="2"/>
      <c r="G1462" s="2"/>
    </row>
    <row r="1463">
      <c r="A1463" s="1" t="s">
        <v>860</v>
      </c>
      <c r="B1463" s="1">
        <v>0.0</v>
      </c>
      <c r="C1463" s="2"/>
      <c r="D1463" s="2"/>
      <c r="E1463" s="2"/>
      <c r="F1463" s="2"/>
      <c r="G1463" s="2"/>
    </row>
    <row r="1464">
      <c r="A1464" s="1" t="s">
        <v>861</v>
      </c>
      <c r="B1464" s="1">
        <v>0.0</v>
      </c>
      <c r="C1464" s="2"/>
      <c r="D1464" s="2"/>
      <c r="E1464" s="2"/>
      <c r="F1464" s="2"/>
      <c r="G1464" s="2"/>
    </row>
    <row r="1465">
      <c r="A1465" s="1" t="s">
        <v>862</v>
      </c>
      <c r="B1465" s="1">
        <v>0.0</v>
      </c>
      <c r="C1465" s="2"/>
      <c r="D1465" s="2"/>
      <c r="E1465" s="2"/>
      <c r="F1465" s="2"/>
      <c r="G1465" s="2"/>
    </row>
    <row r="1466">
      <c r="A1466" s="1" t="s">
        <v>863</v>
      </c>
      <c r="B1466" s="1">
        <v>0.0</v>
      </c>
      <c r="C1466" s="2"/>
      <c r="D1466" s="2"/>
      <c r="E1466" s="2"/>
      <c r="F1466" s="2"/>
      <c r="G1466" s="2"/>
    </row>
    <row r="1467">
      <c r="A1467" s="1" t="s">
        <v>794</v>
      </c>
      <c r="B1467" s="1">
        <v>60.0</v>
      </c>
      <c r="C1467" s="2"/>
      <c r="D1467" s="2"/>
      <c r="E1467" s="2"/>
      <c r="F1467" s="2"/>
      <c r="G1467" s="2"/>
    </row>
    <row r="1468">
      <c r="A1468" s="1" t="s">
        <v>795</v>
      </c>
      <c r="B1468" s="1">
        <v>0.0</v>
      </c>
      <c r="C1468" s="2"/>
      <c r="D1468" s="2"/>
      <c r="E1468" s="2"/>
      <c r="F1468" s="2"/>
      <c r="G1468" s="2"/>
    </row>
    <row r="1469">
      <c r="A1469" s="1" t="s">
        <v>796</v>
      </c>
      <c r="B1469" s="1">
        <v>90.0</v>
      </c>
      <c r="C1469" s="2"/>
      <c r="D1469" s="2"/>
      <c r="E1469" s="2"/>
      <c r="F1469" s="2"/>
      <c r="G1469" s="2"/>
    </row>
    <row r="1470">
      <c r="A1470" s="1" t="s">
        <v>797</v>
      </c>
      <c r="B1470" s="1">
        <v>0.0</v>
      </c>
      <c r="C1470" s="2"/>
      <c r="D1470" s="2"/>
      <c r="E1470" s="2"/>
      <c r="F1470" s="2"/>
      <c r="G1470" s="2"/>
    </row>
    <row r="1471">
      <c r="A1471" s="1" t="s">
        <v>798</v>
      </c>
      <c r="B1471" s="1">
        <v>0.0</v>
      </c>
      <c r="C1471" s="2"/>
      <c r="D1471" s="2"/>
      <c r="E1471" s="2"/>
      <c r="F1471" s="2"/>
      <c r="G1471" s="2"/>
    </row>
    <row r="1472">
      <c r="A1472" s="1" t="s">
        <v>799</v>
      </c>
      <c r="B1472" s="1">
        <v>0.0</v>
      </c>
      <c r="C1472" s="2"/>
      <c r="D1472" s="2"/>
      <c r="E1472" s="2"/>
      <c r="F1472" s="2"/>
      <c r="G1472" s="2"/>
    </row>
    <row r="1473">
      <c r="A1473" s="1" t="s">
        <v>800</v>
      </c>
      <c r="B1473" s="1">
        <v>0.0</v>
      </c>
      <c r="C1473" s="2"/>
      <c r="D1473" s="2"/>
      <c r="E1473" s="2"/>
      <c r="F1473" s="2"/>
      <c r="G1473" s="2"/>
    </row>
    <row r="1474">
      <c r="A1474" s="1" t="s">
        <v>801</v>
      </c>
      <c r="B1474" s="1">
        <v>0.0</v>
      </c>
      <c r="C1474" s="2"/>
      <c r="D1474" s="2"/>
      <c r="E1474" s="2"/>
      <c r="F1474" s="2"/>
      <c r="G1474" s="2"/>
    </row>
    <row r="1475">
      <c r="A1475" s="1" t="s">
        <v>802</v>
      </c>
      <c r="B1475" s="1">
        <v>19.0</v>
      </c>
      <c r="C1475" s="2"/>
      <c r="D1475" s="2"/>
      <c r="E1475" s="2"/>
      <c r="F1475" s="2"/>
      <c r="G1475" s="2"/>
    </row>
    <row r="1476">
      <c r="A1476" s="1" t="s">
        <v>803</v>
      </c>
      <c r="B1476" s="1">
        <v>0.0</v>
      </c>
      <c r="C1476" s="2"/>
      <c r="D1476" s="2"/>
      <c r="E1476" s="2"/>
      <c r="F1476" s="2"/>
      <c r="G1476" s="2"/>
    </row>
    <row r="1477">
      <c r="A1477" s="1" t="s">
        <v>804</v>
      </c>
      <c r="B1477" s="1">
        <v>0.0</v>
      </c>
      <c r="C1477" s="2"/>
      <c r="D1477" s="2"/>
      <c r="E1477" s="2"/>
      <c r="F1477" s="2"/>
      <c r="G1477" s="2"/>
    </row>
    <row r="1478">
      <c r="A1478" s="1" t="s">
        <v>805</v>
      </c>
      <c r="B1478" s="1">
        <v>42.0</v>
      </c>
      <c r="C1478" s="2"/>
      <c r="D1478" s="2"/>
      <c r="E1478" s="2"/>
      <c r="F1478" s="2"/>
      <c r="G1478" s="2"/>
    </row>
    <row r="1479">
      <c r="A1479" s="1" t="s">
        <v>806</v>
      </c>
      <c r="B1479" s="1">
        <v>57.0</v>
      </c>
      <c r="C1479" s="2"/>
      <c r="D1479" s="2"/>
      <c r="E1479" s="2"/>
      <c r="F1479" s="2"/>
      <c r="G1479" s="2"/>
    </row>
    <row r="1480">
      <c r="A1480" s="1" t="s">
        <v>807</v>
      </c>
      <c r="B1480" s="1">
        <v>17.0</v>
      </c>
      <c r="C1480" s="2"/>
      <c r="D1480" s="2"/>
      <c r="E1480" s="2"/>
      <c r="F1480" s="2"/>
      <c r="G1480" s="2"/>
    </row>
    <row r="1481">
      <c r="A1481" s="1" t="s">
        <v>808</v>
      </c>
      <c r="B1481" s="1">
        <v>10.0</v>
      </c>
      <c r="C1481" s="2"/>
      <c r="D1481" s="2"/>
      <c r="E1481" s="2"/>
      <c r="F1481" s="2"/>
      <c r="G1481" s="2"/>
    </row>
    <row r="1482">
      <c r="A1482" s="1" t="s">
        <v>809</v>
      </c>
      <c r="B1482" s="1">
        <v>0.0</v>
      </c>
      <c r="C1482" s="2"/>
      <c r="D1482" s="2"/>
      <c r="E1482" s="2"/>
      <c r="F1482" s="2"/>
      <c r="G1482" s="2"/>
    </row>
    <row r="1483">
      <c r="A1483" s="1" t="s">
        <v>810</v>
      </c>
      <c r="B1483" s="1">
        <v>8.0</v>
      </c>
      <c r="C1483" s="2"/>
      <c r="D1483" s="2"/>
      <c r="E1483" s="2"/>
      <c r="F1483" s="2"/>
      <c r="G1483" s="2"/>
    </row>
    <row r="1484">
      <c r="A1484" s="1" t="s">
        <v>811</v>
      </c>
      <c r="B1484" s="1">
        <v>8.0</v>
      </c>
      <c r="C1484" s="2"/>
      <c r="D1484" s="2"/>
      <c r="E1484" s="2"/>
      <c r="F1484" s="2"/>
      <c r="G1484" s="2"/>
    </row>
    <row r="1485">
      <c r="A1485" s="1" t="s">
        <v>812</v>
      </c>
      <c r="B1485" s="1">
        <v>11.0</v>
      </c>
      <c r="C1485" s="2"/>
      <c r="D1485" s="2"/>
      <c r="E1485" s="2"/>
      <c r="F1485" s="2"/>
      <c r="G1485" s="2"/>
    </row>
    <row r="1486">
      <c r="A1486" s="1" t="s">
        <v>813</v>
      </c>
      <c r="B1486" s="1">
        <v>24.0</v>
      </c>
      <c r="C1486" s="2"/>
      <c r="D1486" s="2"/>
      <c r="E1486" s="2"/>
      <c r="F1486" s="2"/>
      <c r="G1486" s="2"/>
    </row>
    <row r="1487">
      <c r="A1487" s="1" t="s">
        <v>814</v>
      </c>
      <c r="B1487" s="1">
        <v>0.0</v>
      </c>
      <c r="C1487" s="2"/>
      <c r="D1487" s="2"/>
      <c r="E1487" s="2"/>
      <c r="F1487" s="2"/>
      <c r="G1487" s="2"/>
    </row>
    <row r="1488">
      <c r="A1488" s="1" t="s">
        <v>815</v>
      </c>
      <c r="B1488" s="1">
        <v>0.0</v>
      </c>
      <c r="C1488" s="2"/>
      <c r="D1488" s="2"/>
      <c r="E1488" s="2"/>
      <c r="F1488" s="2"/>
      <c r="G1488" s="2"/>
    </row>
    <row r="1489">
      <c r="A1489" s="1" t="s">
        <v>816</v>
      </c>
      <c r="B1489" s="1">
        <v>0.0</v>
      </c>
      <c r="C1489" s="2"/>
      <c r="D1489" s="2"/>
      <c r="E1489" s="2"/>
      <c r="F1489" s="2"/>
      <c r="G1489" s="2"/>
    </row>
    <row r="1490">
      <c r="A1490" s="1" t="s">
        <v>817</v>
      </c>
      <c r="B1490" s="1" t="s">
        <v>818</v>
      </c>
      <c r="C1490" s="1">
        <v>8.0</v>
      </c>
      <c r="D1490" s="2"/>
      <c r="E1490" s="2"/>
      <c r="F1490" s="2"/>
      <c r="G1490" s="2"/>
    </row>
    <row r="1491">
      <c r="A1491" s="1" t="s">
        <v>819</v>
      </c>
      <c r="B1491" s="1">
        <v>0.0</v>
      </c>
      <c r="C1491" s="2"/>
      <c r="D1491" s="2"/>
      <c r="E1491" s="2"/>
      <c r="F1491" s="2"/>
      <c r="G1491" s="2"/>
    </row>
    <row r="1492">
      <c r="A1492" s="1" t="s">
        <v>820</v>
      </c>
      <c r="B1492" s="1">
        <v>50.0</v>
      </c>
      <c r="C1492" s="2"/>
      <c r="D1492" s="2"/>
      <c r="E1492" s="2"/>
      <c r="F1492" s="2"/>
      <c r="G1492" s="2"/>
    </row>
    <row r="1493">
      <c r="A1493" s="1" t="s">
        <v>821</v>
      </c>
      <c r="B1493" s="1">
        <v>29.0</v>
      </c>
      <c r="C1493" s="2"/>
      <c r="D1493" s="2"/>
      <c r="E1493" s="2"/>
      <c r="F1493" s="2"/>
      <c r="G1493" s="2"/>
    </row>
    <row r="1494">
      <c r="A1494" s="1" t="s">
        <v>822</v>
      </c>
      <c r="B1494" s="1">
        <v>29.0</v>
      </c>
      <c r="C1494" s="2"/>
      <c r="D1494" s="2"/>
      <c r="E1494" s="2"/>
      <c r="F1494" s="2"/>
      <c r="G1494" s="2"/>
    </row>
    <row r="1495">
      <c r="A1495" s="1" t="s">
        <v>823</v>
      </c>
      <c r="B1495" s="1">
        <v>46.0</v>
      </c>
      <c r="C1495" s="2"/>
      <c r="D1495" s="2"/>
      <c r="E1495" s="2"/>
      <c r="F1495" s="2"/>
      <c r="G1495" s="2"/>
    </row>
    <row r="1496">
      <c r="A1496" s="1" t="s">
        <v>824</v>
      </c>
      <c r="B1496" s="1">
        <v>64.0</v>
      </c>
      <c r="C1496" s="2"/>
      <c r="D1496" s="2"/>
      <c r="E1496" s="2"/>
      <c r="F1496" s="2"/>
      <c r="G1496" s="2"/>
    </row>
    <row r="1497">
      <c r="A1497" s="1" t="s">
        <v>825</v>
      </c>
      <c r="B1497" s="1">
        <v>0.0</v>
      </c>
      <c r="C1497" s="2"/>
      <c r="D1497" s="2"/>
      <c r="E1497" s="2"/>
      <c r="F1497" s="2"/>
      <c r="G1497" s="2"/>
    </row>
    <row r="1498">
      <c r="A1498" s="1" t="s">
        <v>826</v>
      </c>
      <c r="B1498" s="1">
        <v>0.0</v>
      </c>
      <c r="C1498" s="2"/>
      <c r="D1498" s="2"/>
      <c r="E1498" s="2"/>
      <c r="F1498" s="2"/>
      <c r="G1498" s="2"/>
    </row>
    <row r="1499">
      <c r="A1499" s="1" t="s">
        <v>827</v>
      </c>
      <c r="B1499" s="1">
        <v>0.0</v>
      </c>
      <c r="C1499" s="2"/>
      <c r="D1499" s="2"/>
      <c r="E1499" s="2"/>
      <c r="F1499" s="2"/>
      <c r="G1499" s="2"/>
    </row>
    <row r="1500">
      <c r="A1500" s="1" t="s">
        <v>828</v>
      </c>
      <c r="B1500" s="1">
        <v>0.0</v>
      </c>
      <c r="C1500" s="2"/>
      <c r="D1500" s="2"/>
      <c r="E1500" s="2"/>
      <c r="F1500" s="2"/>
      <c r="G1500" s="2"/>
    </row>
    <row r="1501">
      <c r="A1501" s="1" t="s">
        <v>829</v>
      </c>
      <c r="B1501" s="1">
        <v>0.0</v>
      </c>
      <c r="C1501" s="2"/>
      <c r="D1501" s="2"/>
      <c r="E1501" s="2"/>
      <c r="F1501" s="2"/>
      <c r="G1501" s="2"/>
    </row>
    <row r="1502">
      <c r="A1502" s="1" t="s">
        <v>830</v>
      </c>
      <c r="B1502" s="1">
        <v>0.0</v>
      </c>
      <c r="C1502" s="2"/>
      <c r="D1502" s="2"/>
      <c r="E1502" s="2"/>
      <c r="F1502" s="2"/>
      <c r="G1502" s="2"/>
    </row>
    <row r="1503">
      <c r="A1503" s="1" t="s">
        <v>831</v>
      </c>
      <c r="B1503" s="1">
        <v>0.0</v>
      </c>
      <c r="C1503" s="2"/>
      <c r="D1503" s="2"/>
      <c r="E1503" s="2"/>
      <c r="F1503" s="2"/>
      <c r="G1503" s="2"/>
    </row>
    <row r="1504">
      <c r="A1504" s="1" t="s">
        <v>832</v>
      </c>
      <c r="B1504" s="1">
        <v>0.0</v>
      </c>
      <c r="C1504" s="2"/>
      <c r="D1504" s="2"/>
      <c r="E1504" s="2"/>
      <c r="F1504" s="2"/>
      <c r="G1504" s="2"/>
    </row>
    <row r="1505">
      <c r="A1505" s="1" t="s">
        <v>833</v>
      </c>
      <c r="B1505" s="1">
        <v>0.0</v>
      </c>
      <c r="C1505" s="2"/>
      <c r="D1505" s="2"/>
      <c r="E1505" s="2"/>
      <c r="F1505" s="2"/>
      <c r="G1505" s="2"/>
    </row>
    <row r="1506">
      <c r="A1506" s="1" t="s">
        <v>834</v>
      </c>
      <c r="B1506" s="1">
        <v>18.0</v>
      </c>
      <c r="C1506" s="2"/>
      <c r="D1506" s="2"/>
      <c r="E1506" s="2"/>
      <c r="F1506" s="2"/>
      <c r="G1506" s="2"/>
    </row>
    <row r="1507">
      <c r="A1507" s="1" t="s">
        <v>835</v>
      </c>
      <c r="B1507" s="1">
        <v>0.0</v>
      </c>
      <c r="C1507" s="2"/>
      <c r="D1507" s="2"/>
      <c r="E1507" s="2"/>
      <c r="F1507" s="2"/>
      <c r="G1507" s="2"/>
    </row>
    <row r="1508">
      <c r="A1508" s="1" t="s">
        <v>836</v>
      </c>
      <c r="B1508" s="1">
        <v>0.0</v>
      </c>
      <c r="C1508" s="2"/>
      <c r="D1508" s="2"/>
      <c r="E1508" s="2"/>
      <c r="F1508" s="2"/>
      <c r="G1508" s="2"/>
    </row>
    <row r="1509">
      <c r="A1509" s="1" t="s">
        <v>837</v>
      </c>
      <c r="B1509" s="1">
        <v>44.0</v>
      </c>
      <c r="C1509" s="2"/>
      <c r="D1509" s="2"/>
      <c r="E1509" s="2"/>
      <c r="F1509" s="2"/>
      <c r="G1509" s="2"/>
    </row>
    <row r="1510">
      <c r="A1510" s="1" t="s">
        <v>838</v>
      </c>
      <c r="B1510" s="1">
        <v>0.0</v>
      </c>
      <c r="C1510" s="2"/>
      <c r="D1510" s="2"/>
      <c r="E1510" s="2"/>
      <c r="F1510" s="2"/>
      <c r="G1510" s="2"/>
    </row>
    <row r="1511">
      <c r="A1511" s="1" t="s">
        <v>839</v>
      </c>
      <c r="B1511" s="1">
        <v>83.0</v>
      </c>
      <c r="C1511" s="2"/>
      <c r="D1511" s="2"/>
      <c r="E1511" s="2"/>
      <c r="F1511" s="2"/>
      <c r="G1511" s="2"/>
    </row>
    <row r="1512">
      <c r="A1512" s="1" t="s">
        <v>840</v>
      </c>
      <c r="B1512" s="1">
        <v>0.0</v>
      </c>
      <c r="C1512" s="2"/>
      <c r="D1512" s="2"/>
      <c r="E1512" s="2"/>
      <c r="F1512" s="2"/>
      <c r="G1512" s="2"/>
    </row>
    <row r="1513">
      <c r="A1513" s="1" t="s">
        <v>841</v>
      </c>
      <c r="B1513" s="1">
        <v>0.0</v>
      </c>
      <c r="C1513" s="2"/>
      <c r="D1513" s="2"/>
      <c r="E1513" s="2"/>
      <c r="F1513" s="2"/>
      <c r="G1513" s="2"/>
    </row>
    <row r="1514">
      <c r="A1514" s="1" t="s">
        <v>842</v>
      </c>
      <c r="B1514" s="1">
        <v>86.0</v>
      </c>
      <c r="C1514" s="2"/>
      <c r="D1514" s="2"/>
      <c r="E1514" s="2"/>
      <c r="F1514" s="2"/>
      <c r="G1514" s="2"/>
    </row>
    <row r="1515">
      <c r="A1515" s="1" t="s">
        <v>843</v>
      </c>
      <c r="B1515" s="1">
        <v>0.0</v>
      </c>
      <c r="C1515" s="2"/>
      <c r="D1515" s="2"/>
      <c r="E1515" s="2"/>
      <c r="F1515" s="2"/>
      <c r="G1515" s="2"/>
    </row>
    <row r="1516">
      <c r="A1516" s="1" t="s">
        <v>844</v>
      </c>
      <c r="B1516" s="1">
        <v>27.0</v>
      </c>
      <c r="C1516" s="2"/>
      <c r="D1516" s="2"/>
      <c r="E1516" s="2"/>
      <c r="F1516" s="2"/>
      <c r="G1516" s="2"/>
    </row>
    <row r="1517">
      <c r="A1517" s="1" t="s">
        <v>845</v>
      </c>
      <c r="B1517" s="1">
        <v>0.0</v>
      </c>
      <c r="C1517" s="2"/>
      <c r="D1517" s="2"/>
      <c r="E1517" s="2"/>
      <c r="F1517" s="2"/>
      <c r="G1517" s="2"/>
    </row>
    <row r="1518">
      <c r="A1518" s="1" t="s">
        <v>846</v>
      </c>
      <c r="B1518" s="1">
        <v>0.0</v>
      </c>
      <c r="C1518" s="2"/>
      <c r="D1518" s="2"/>
      <c r="E1518" s="2"/>
      <c r="F1518" s="2"/>
      <c r="G1518" s="2"/>
    </row>
    <row r="1519">
      <c r="A1519" s="1" t="s">
        <v>847</v>
      </c>
      <c r="B1519" s="1">
        <v>70.0</v>
      </c>
      <c r="C1519" s="2"/>
      <c r="D1519" s="2"/>
      <c r="E1519" s="2"/>
      <c r="F1519" s="2"/>
      <c r="G1519" s="2"/>
    </row>
    <row r="1520">
      <c r="A1520" s="1" t="s">
        <v>848</v>
      </c>
      <c r="B1520" s="1">
        <v>0.0</v>
      </c>
      <c r="C1520" s="2"/>
      <c r="D1520" s="2"/>
      <c r="E1520" s="2"/>
      <c r="F1520" s="2"/>
      <c r="G1520" s="2"/>
    </row>
    <row r="1521">
      <c r="A1521" s="1" t="s">
        <v>849</v>
      </c>
      <c r="B1521" s="1">
        <v>0.0</v>
      </c>
      <c r="C1521" s="2"/>
      <c r="D1521" s="2"/>
      <c r="E1521" s="2"/>
      <c r="F1521" s="2"/>
      <c r="G1521" s="2"/>
    </row>
    <row r="1522">
      <c r="A1522" s="1" t="s">
        <v>850</v>
      </c>
      <c r="B1522" s="1">
        <v>0.0</v>
      </c>
      <c r="C1522" s="2"/>
      <c r="D1522" s="2"/>
      <c r="E1522" s="2"/>
      <c r="F1522" s="2"/>
      <c r="G1522" s="2"/>
    </row>
    <row r="1523">
      <c r="A1523" s="1" t="s">
        <v>851</v>
      </c>
      <c r="B1523" s="1">
        <v>0.0</v>
      </c>
      <c r="C1523" s="2"/>
      <c r="D1523" s="2"/>
      <c r="E1523" s="2"/>
      <c r="F1523" s="2"/>
      <c r="G1523" s="2"/>
    </row>
    <row r="1524">
      <c r="A1524" s="1" t="s">
        <v>852</v>
      </c>
      <c r="B1524" s="1">
        <v>39.0</v>
      </c>
      <c r="C1524" s="2"/>
      <c r="D1524" s="2"/>
      <c r="E1524" s="2"/>
      <c r="F1524" s="2"/>
      <c r="G1524" s="2"/>
    </row>
    <row r="1525">
      <c r="A1525" s="1" t="s">
        <v>853</v>
      </c>
      <c r="B1525" s="1">
        <v>0.0</v>
      </c>
      <c r="C1525" s="2"/>
      <c r="D1525" s="2"/>
      <c r="E1525" s="2"/>
      <c r="F1525" s="2"/>
      <c r="G1525" s="2"/>
    </row>
    <row r="1526">
      <c r="A1526" s="1" t="s">
        <v>854</v>
      </c>
      <c r="B1526" s="1">
        <v>71.0</v>
      </c>
      <c r="C1526" s="2"/>
      <c r="D1526" s="2"/>
      <c r="E1526" s="2"/>
      <c r="F1526" s="2"/>
      <c r="G1526" s="2"/>
    </row>
    <row r="1527">
      <c r="A1527" s="1" t="s">
        <v>855</v>
      </c>
      <c r="B1527" s="1">
        <v>0.0</v>
      </c>
      <c r="C1527" s="2"/>
      <c r="D1527" s="2"/>
      <c r="E1527" s="2"/>
      <c r="F1527" s="2"/>
      <c r="G1527" s="2"/>
    </row>
    <row r="1528">
      <c r="A1528" s="1" t="s">
        <v>856</v>
      </c>
      <c r="B1528" s="1">
        <v>0.0</v>
      </c>
      <c r="C1528" s="2"/>
      <c r="D1528" s="2"/>
      <c r="E1528" s="2"/>
      <c r="F1528" s="2"/>
      <c r="G1528" s="2"/>
    </row>
    <row r="1529">
      <c r="A1529" s="1" t="s">
        <v>857</v>
      </c>
      <c r="B1529" s="1">
        <v>0.0</v>
      </c>
      <c r="C1529" s="2"/>
      <c r="D1529" s="2"/>
      <c r="E1529" s="2"/>
      <c r="F1529" s="2"/>
      <c r="G1529" s="2"/>
    </row>
    <row r="1530">
      <c r="A1530" s="1" t="s">
        <v>858</v>
      </c>
      <c r="B1530" s="1">
        <v>68.0</v>
      </c>
      <c r="C1530" s="2"/>
      <c r="D1530" s="2"/>
      <c r="E1530" s="2"/>
      <c r="F1530" s="2"/>
      <c r="G1530" s="2"/>
    </row>
    <row r="1531">
      <c r="A1531" s="1" t="s">
        <v>859</v>
      </c>
      <c r="B1531" s="1">
        <v>81.0</v>
      </c>
      <c r="C1531" s="2"/>
      <c r="D1531" s="2"/>
      <c r="E1531" s="2"/>
      <c r="F1531" s="2"/>
      <c r="G1531" s="2"/>
    </row>
    <row r="1532">
      <c r="A1532" s="1" t="s">
        <v>860</v>
      </c>
      <c r="B1532" s="1">
        <v>0.0</v>
      </c>
      <c r="C1532" s="2"/>
      <c r="D1532" s="2"/>
      <c r="E1532" s="2"/>
      <c r="F1532" s="2"/>
      <c r="G1532" s="2"/>
    </row>
    <row r="1533">
      <c r="A1533" s="1" t="s">
        <v>861</v>
      </c>
      <c r="B1533" s="1">
        <v>0.0</v>
      </c>
      <c r="C1533" s="2"/>
      <c r="D1533" s="2"/>
      <c r="E1533" s="2"/>
      <c r="F1533" s="2"/>
      <c r="G1533" s="2"/>
    </row>
    <row r="1534">
      <c r="A1534" s="1" t="s">
        <v>862</v>
      </c>
      <c r="B1534" s="1">
        <v>0.0</v>
      </c>
      <c r="C1534" s="2"/>
      <c r="D1534" s="2"/>
      <c r="E1534" s="2"/>
      <c r="F1534" s="2"/>
      <c r="G1534" s="2"/>
    </row>
    <row r="1535">
      <c r="A1535" s="1" t="s">
        <v>863</v>
      </c>
      <c r="B1535" s="1">
        <v>0.0</v>
      </c>
      <c r="C1535" s="2"/>
      <c r="D1535" s="2"/>
      <c r="E1535" s="2"/>
      <c r="F1535" s="2"/>
      <c r="G1535" s="2"/>
    </row>
    <row r="1536">
      <c r="A1536" s="1" t="s">
        <v>864</v>
      </c>
      <c r="B1536" s="1">
        <v>24.0</v>
      </c>
      <c r="C1536" s="2"/>
      <c r="D1536" s="2"/>
      <c r="E1536" s="2"/>
      <c r="F1536" s="2"/>
      <c r="G1536" s="2"/>
    </row>
    <row r="1537">
      <c r="A1537" s="1" t="s">
        <v>865</v>
      </c>
      <c r="B1537" s="1">
        <v>0.0</v>
      </c>
      <c r="C1537" s="2"/>
      <c r="D1537" s="2"/>
      <c r="E1537" s="2"/>
      <c r="F1537" s="2"/>
      <c r="G1537" s="2"/>
    </row>
    <row r="1538">
      <c r="A1538" s="1" t="s">
        <v>866</v>
      </c>
      <c r="B1538" s="1">
        <v>0.0</v>
      </c>
      <c r="C1538" s="2"/>
      <c r="D1538" s="2"/>
      <c r="E1538" s="2"/>
      <c r="F1538" s="2"/>
      <c r="G1538" s="2"/>
    </row>
    <row r="1539">
      <c r="A1539" s="1" t="s">
        <v>867</v>
      </c>
      <c r="B1539" s="1">
        <v>0.0</v>
      </c>
      <c r="C1539" s="2"/>
      <c r="D1539" s="2"/>
      <c r="E1539" s="2"/>
      <c r="F1539" s="2"/>
      <c r="G1539" s="2"/>
    </row>
    <row r="1540">
      <c r="A1540" s="1" t="s">
        <v>868</v>
      </c>
      <c r="B1540" s="1">
        <v>0.0</v>
      </c>
      <c r="C1540" s="2"/>
      <c r="D1540" s="2"/>
      <c r="E1540" s="2"/>
      <c r="F1540" s="2"/>
      <c r="G1540" s="2"/>
    </row>
    <row r="1541">
      <c r="A1541" s="1" t="s">
        <v>869</v>
      </c>
      <c r="B1541" s="1">
        <v>70.0</v>
      </c>
      <c r="C1541" s="2"/>
      <c r="D1541" s="2"/>
      <c r="E1541" s="2"/>
      <c r="F1541" s="2"/>
      <c r="G1541" s="2"/>
    </row>
    <row r="1542">
      <c r="A1542" s="1" t="s">
        <v>870</v>
      </c>
      <c r="B1542" s="1">
        <v>0.0</v>
      </c>
      <c r="C1542" s="2"/>
      <c r="D1542" s="2"/>
      <c r="E1542" s="2"/>
      <c r="F1542" s="2"/>
      <c r="G1542" s="2"/>
    </row>
    <row r="1543">
      <c r="A1543" s="1" t="s">
        <v>871</v>
      </c>
      <c r="B1543" s="1">
        <v>0.0</v>
      </c>
      <c r="C1543" s="2"/>
      <c r="D1543" s="2"/>
      <c r="E1543" s="2"/>
      <c r="F1543" s="2"/>
      <c r="G1543" s="2"/>
    </row>
    <row r="1544">
      <c r="A1544" s="1" t="s">
        <v>872</v>
      </c>
      <c r="B1544" s="1">
        <v>0.0</v>
      </c>
      <c r="C1544" s="2"/>
      <c r="D1544" s="2"/>
      <c r="E1544" s="2"/>
      <c r="F1544" s="2"/>
      <c r="G1544" s="2"/>
    </row>
    <row r="1545">
      <c r="A1545" s="1" t="s">
        <v>873</v>
      </c>
      <c r="B1545" s="1">
        <v>33.0</v>
      </c>
      <c r="C1545" s="2"/>
      <c r="D1545" s="2"/>
      <c r="E1545" s="2"/>
      <c r="F1545" s="2"/>
      <c r="G1545" s="2"/>
    </row>
    <row r="1546">
      <c r="A1546" s="1" t="s">
        <v>874</v>
      </c>
      <c r="B1546" s="1">
        <v>26.0</v>
      </c>
      <c r="C1546" s="2"/>
      <c r="D1546" s="2"/>
      <c r="E1546" s="2"/>
      <c r="F1546" s="2"/>
      <c r="G1546" s="2"/>
    </row>
    <row r="1547">
      <c r="A1547" s="1" t="s">
        <v>875</v>
      </c>
      <c r="B1547" s="1">
        <v>35.0</v>
      </c>
      <c r="C1547" s="2"/>
      <c r="D1547" s="2"/>
      <c r="E1547" s="2"/>
      <c r="F1547" s="2"/>
      <c r="G1547" s="2"/>
    </row>
    <row r="1548">
      <c r="A1548" s="1" t="s">
        <v>876</v>
      </c>
      <c r="B1548" s="1">
        <v>86.0</v>
      </c>
      <c r="C1548" s="2"/>
      <c r="D1548" s="2"/>
      <c r="E1548" s="2"/>
      <c r="F1548" s="2"/>
      <c r="G1548" s="2"/>
    </row>
    <row r="1549">
      <c r="A1549" s="1" t="s">
        <v>877</v>
      </c>
      <c r="B1549" s="1">
        <v>0.0</v>
      </c>
      <c r="C1549" s="2"/>
      <c r="D1549" s="2"/>
      <c r="E1549" s="2"/>
      <c r="F1549" s="2"/>
      <c r="G1549" s="2"/>
    </row>
    <row r="1550">
      <c r="A1550" s="1" t="s">
        <v>878</v>
      </c>
      <c r="B1550" s="1">
        <v>0.0</v>
      </c>
      <c r="C1550" s="2"/>
      <c r="D1550" s="2"/>
      <c r="E1550" s="2"/>
      <c r="F1550" s="2"/>
      <c r="G1550" s="2"/>
    </row>
    <row r="1551">
      <c r="A1551" s="1" t="s">
        <v>879</v>
      </c>
      <c r="B1551" s="1">
        <v>0.0</v>
      </c>
      <c r="C1551" s="2"/>
      <c r="D1551" s="2"/>
      <c r="E1551" s="2"/>
      <c r="F1551" s="2"/>
      <c r="G1551" s="2"/>
    </row>
    <row r="1552">
      <c r="A1552" s="1" t="s">
        <v>880</v>
      </c>
      <c r="B1552" s="1">
        <v>0.0</v>
      </c>
      <c r="C1552" s="2"/>
      <c r="D1552" s="2"/>
      <c r="E1552" s="2"/>
      <c r="F1552" s="2"/>
      <c r="G1552" s="2"/>
    </row>
    <row r="1553">
      <c r="A1553" s="1" t="s">
        <v>881</v>
      </c>
      <c r="B1553" s="1">
        <v>0.0</v>
      </c>
      <c r="C1553" s="2"/>
      <c r="D1553" s="2"/>
      <c r="E1553" s="2"/>
      <c r="F1553" s="2"/>
      <c r="G1553" s="2"/>
    </row>
    <row r="1554">
      <c r="A1554" s="1" t="s">
        <v>882</v>
      </c>
      <c r="B1554" s="1">
        <v>63.0</v>
      </c>
      <c r="C1554" s="2"/>
      <c r="D1554" s="2"/>
      <c r="E1554" s="2"/>
      <c r="F1554" s="2"/>
      <c r="G1554" s="2"/>
    </row>
    <row r="1555">
      <c r="A1555" s="1" t="s">
        <v>883</v>
      </c>
      <c r="B1555" s="1">
        <v>59.0</v>
      </c>
      <c r="C1555" s="2"/>
      <c r="D1555" s="2"/>
      <c r="E1555" s="2"/>
      <c r="F1555" s="2"/>
      <c r="G1555" s="2"/>
    </row>
    <row r="1556">
      <c r="A1556" s="1" t="s">
        <v>884</v>
      </c>
      <c r="B1556" s="1">
        <v>20.0</v>
      </c>
      <c r="C1556" s="2"/>
      <c r="D1556" s="2"/>
      <c r="E1556" s="2"/>
      <c r="F1556" s="2"/>
      <c r="G1556" s="2"/>
    </row>
    <row r="1557">
      <c r="A1557" s="1" t="s">
        <v>885</v>
      </c>
      <c r="B1557" s="1">
        <v>32.0</v>
      </c>
      <c r="C1557" s="2"/>
      <c r="D1557" s="2"/>
      <c r="E1557" s="2"/>
      <c r="F1557" s="2"/>
      <c r="G1557" s="2"/>
    </row>
    <row r="1558">
      <c r="A1558" s="1" t="s">
        <v>886</v>
      </c>
      <c r="B1558" s="1">
        <v>0.0</v>
      </c>
      <c r="C1558" s="2"/>
      <c r="D1558" s="2"/>
      <c r="E1558" s="2"/>
      <c r="F1558" s="2"/>
      <c r="G1558" s="2"/>
    </row>
    <row r="1559">
      <c r="A1559" s="1" t="s">
        <v>887</v>
      </c>
      <c r="B1559" s="1">
        <v>39.0</v>
      </c>
      <c r="C1559" s="2"/>
      <c r="D1559" s="2"/>
      <c r="E1559" s="2"/>
      <c r="F1559" s="2"/>
      <c r="G1559" s="2"/>
    </row>
    <row r="1560">
      <c r="A1560" s="1" t="s">
        <v>888</v>
      </c>
      <c r="B1560" s="1">
        <v>50.0</v>
      </c>
      <c r="C1560" s="2"/>
      <c r="D1560" s="2"/>
      <c r="E1560" s="2"/>
      <c r="F1560" s="2"/>
      <c r="G1560" s="2"/>
    </row>
    <row r="1561">
      <c r="A1561" s="1" t="s">
        <v>889</v>
      </c>
      <c r="B1561" s="1">
        <v>80.0</v>
      </c>
      <c r="C1561" s="2"/>
      <c r="D1561" s="2"/>
      <c r="E1561" s="2"/>
      <c r="F1561" s="2"/>
      <c r="G1561" s="2"/>
    </row>
    <row r="1562">
      <c r="A1562" s="1" t="s">
        <v>890</v>
      </c>
      <c r="B1562" s="1">
        <v>81.0</v>
      </c>
      <c r="C1562" s="2"/>
      <c r="D1562" s="2"/>
      <c r="E1562" s="2"/>
      <c r="F1562" s="2"/>
      <c r="G1562" s="2"/>
    </row>
    <row r="1563">
      <c r="A1563" s="1" t="s">
        <v>891</v>
      </c>
      <c r="B1563" s="1">
        <v>14.0</v>
      </c>
      <c r="C1563" s="2"/>
      <c r="D1563" s="2"/>
      <c r="E1563" s="2"/>
      <c r="F1563" s="2"/>
      <c r="G1563" s="2"/>
    </row>
    <row r="1564">
      <c r="A1564" s="1" t="s">
        <v>892</v>
      </c>
      <c r="B1564" s="1">
        <v>0.0</v>
      </c>
      <c r="C1564" s="2"/>
      <c r="D1564" s="2"/>
      <c r="E1564" s="2"/>
      <c r="F1564" s="2"/>
      <c r="G1564" s="2"/>
    </row>
    <row r="1565">
      <c r="A1565" s="1" t="s">
        <v>893</v>
      </c>
      <c r="B1565" s="1">
        <v>36.0</v>
      </c>
      <c r="C1565" s="2"/>
      <c r="D1565" s="2"/>
      <c r="E1565" s="2"/>
      <c r="F1565" s="2"/>
      <c r="G1565" s="2"/>
    </row>
    <row r="1566">
      <c r="A1566" s="1" t="s">
        <v>894</v>
      </c>
      <c r="B1566" s="1">
        <v>6.0</v>
      </c>
      <c r="C1566" s="2"/>
      <c r="D1566" s="2"/>
      <c r="E1566" s="2"/>
      <c r="F1566" s="2"/>
      <c r="G1566" s="2"/>
    </row>
    <row r="1567">
      <c r="A1567" s="1" t="s">
        <v>895</v>
      </c>
      <c r="B1567" s="1">
        <v>1.0</v>
      </c>
      <c r="C1567" s="2"/>
      <c r="D1567" s="2"/>
      <c r="E1567" s="2"/>
      <c r="F1567" s="2"/>
      <c r="G1567" s="2"/>
    </row>
    <row r="1568">
      <c r="A1568" s="1" t="s">
        <v>896</v>
      </c>
      <c r="B1568" s="1">
        <v>36.0</v>
      </c>
      <c r="C1568" s="2"/>
      <c r="D1568" s="2"/>
      <c r="E1568" s="2"/>
      <c r="F1568" s="2"/>
      <c r="G1568" s="2"/>
    </row>
    <row r="1569">
      <c r="A1569" s="1" t="s">
        <v>897</v>
      </c>
      <c r="B1569" s="1">
        <v>0.0</v>
      </c>
      <c r="C1569" s="2"/>
      <c r="D1569" s="2"/>
      <c r="E1569" s="2"/>
      <c r="F1569" s="2"/>
      <c r="G1569" s="2"/>
    </row>
    <row r="1570">
      <c r="A1570" s="1" t="s">
        <v>898</v>
      </c>
      <c r="B1570" s="1">
        <v>86.0</v>
      </c>
      <c r="C1570" s="2"/>
      <c r="D1570" s="2"/>
      <c r="E1570" s="2"/>
      <c r="F1570" s="2"/>
      <c r="G1570" s="2"/>
    </row>
    <row r="1571">
      <c r="A1571" s="1" t="s">
        <v>899</v>
      </c>
      <c r="B1571" s="1">
        <v>38.0</v>
      </c>
      <c r="C1571" s="2"/>
      <c r="D1571" s="2"/>
      <c r="E1571" s="2"/>
      <c r="F1571" s="2"/>
      <c r="G1571" s="2"/>
    </row>
    <row r="1572">
      <c r="A1572" s="1" t="s">
        <v>900</v>
      </c>
      <c r="B1572" s="1">
        <v>79.0</v>
      </c>
      <c r="C1572" s="2"/>
      <c r="D1572" s="2"/>
      <c r="E1572" s="2"/>
      <c r="F1572" s="2"/>
      <c r="G1572" s="2"/>
    </row>
    <row r="1573">
      <c r="A1573" s="1" t="s">
        <v>901</v>
      </c>
      <c r="B1573" s="1">
        <v>0.0</v>
      </c>
      <c r="C1573" s="2"/>
      <c r="D1573" s="2"/>
      <c r="E1573" s="2"/>
      <c r="F1573" s="2"/>
      <c r="G1573" s="2"/>
    </row>
    <row r="1574">
      <c r="A1574" s="1" t="s">
        <v>902</v>
      </c>
      <c r="B1574" s="1">
        <v>0.0</v>
      </c>
      <c r="C1574" s="2"/>
      <c r="D1574" s="2"/>
      <c r="E1574" s="2"/>
      <c r="F1574" s="2"/>
      <c r="G1574" s="2"/>
    </row>
    <row r="1575">
      <c r="A1575" s="1" t="s">
        <v>903</v>
      </c>
      <c r="B1575" s="1">
        <v>22.0</v>
      </c>
      <c r="C1575" s="2"/>
      <c r="D1575" s="2"/>
      <c r="E1575" s="2"/>
      <c r="F1575" s="2"/>
      <c r="G1575" s="2"/>
    </row>
    <row r="1576">
      <c r="A1576" s="1" t="s">
        <v>904</v>
      </c>
      <c r="B1576" s="1">
        <v>0.0</v>
      </c>
      <c r="C1576" s="2"/>
      <c r="D1576" s="2"/>
      <c r="E1576" s="2"/>
      <c r="F1576" s="2"/>
      <c r="G1576" s="2"/>
    </row>
    <row r="1577">
      <c r="A1577" s="1" t="s">
        <v>905</v>
      </c>
      <c r="B1577" s="1">
        <v>0.0</v>
      </c>
      <c r="C1577" s="2"/>
      <c r="D1577" s="2"/>
      <c r="E1577" s="2"/>
      <c r="F1577" s="2"/>
      <c r="G1577" s="2"/>
    </row>
    <row r="1578">
      <c r="A1578" s="1" t="s">
        <v>906</v>
      </c>
      <c r="B1578" s="1">
        <v>72.0</v>
      </c>
      <c r="C1578" s="2"/>
      <c r="D1578" s="2"/>
      <c r="E1578" s="2"/>
      <c r="F1578" s="2"/>
      <c r="G1578" s="2"/>
    </row>
    <row r="1579">
      <c r="A1579" s="1" t="s">
        <v>907</v>
      </c>
      <c r="B1579" s="1">
        <v>0.0</v>
      </c>
      <c r="C1579" s="2"/>
      <c r="D1579" s="2"/>
      <c r="E1579" s="2"/>
      <c r="F1579" s="2"/>
      <c r="G1579" s="2"/>
    </row>
    <row r="1580">
      <c r="A1580" s="1" t="s">
        <v>908</v>
      </c>
      <c r="B1580" s="1">
        <v>0.0</v>
      </c>
      <c r="C1580" s="2"/>
      <c r="D1580" s="2"/>
      <c r="E1580" s="2"/>
      <c r="F1580" s="2"/>
      <c r="G1580" s="2"/>
    </row>
    <row r="1581">
      <c r="A1581" s="1" t="s">
        <v>909</v>
      </c>
      <c r="B1581" s="1">
        <v>22.0</v>
      </c>
      <c r="C1581" s="2"/>
      <c r="D1581" s="2"/>
      <c r="E1581" s="2"/>
      <c r="F1581" s="2"/>
      <c r="G1581" s="2"/>
    </row>
    <row r="1582">
      <c r="A1582" s="1" t="s">
        <v>910</v>
      </c>
      <c r="B1582" s="1">
        <v>0.0</v>
      </c>
      <c r="C1582" s="2"/>
      <c r="D1582" s="2"/>
      <c r="E1582" s="2"/>
      <c r="F1582" s="2"/>
      <c r="G1582" s="2"/>
    </row>
    <row r="1583">
      <c r="A1583" s="1" t="s">
        <v>911</v>
      </c>
      <c r="B1583" s="1">
        <v>0.0</v>
      </c>
      <c r="C1583" s="2"/>
      <c r="D1583" s="2"/>
      <c r="E1583" s="2"/>
      <c r="F1583" s="2"/>
      <c r="G1583" s="2"/>
    </row>
    <row r="1584">
      <c r="A1584" s="1" t="s">
        <v>912</v>
      </c>
      <c r="B1584" s="1">
        <v>60.0</v>
      </c>
      <c r="C1584" s="2"/>
      <c r="D1584" s="2"/>
      <c r="E1584" s="2"/>
      <c r="F1584" s="2"/>
      <c r="G1584" s="2"/>
    </row>
    <row r="1585">
      <c r="A1585" s="1" t="s">
        <v>913</v>
      </c>
      <c r="B1585" s="1">
        <v>18.0</v>
      </c>
      <c r="C1585" s="2"/>
      <c r="D1585" s="2"/>
      <c r="E1585" s="2"/>
      <c r="F1585" s="2"/>
      <c r="G1585" s="2"/>
    </row>
    <row r="1586">
      <c r="A1586" s="1" t="s">
        <v>914</v>
      </c>
      <c r="B1586" s="1">
        <v>94.0</v>
      </c>
      <c r="C1586" s="2"/>
      <c r="D1586" s="2"/>
      <c r="E1586" s="2"/>
      <c r="F1586" s="2"/>
      <c r="G1586" s="2"/>
    </row>
    <row r="1587">
      <c r="A1587" s="1" t="s">
        <v>915</v>
      </c>
      <c r="B1587" s="1">
        <v>14.0</v>
      </c>
      <c r="C1587" s="2"/>
      <c r="D1587" s="2"/>
      <c r="E1587" s="2"/>
      <c r="F1587" s="2"/>
      <c r="G1587" s="2"/>
    </row>
    <row r="1588">
      <c r="A1588" s="1" t="s">
        <v>916</v>
      </c>
      <c r="B1588" s="1">
        <v>0.0</v>
      </c>
      <c r="C1588" s="2"/>
      <c r="D1588" s="2"/>
      <c r="E1588" s="2"/>
      <c r="F1588" s="2"/>
      <c r="G1588" s="2"/>
    </row>
    <row r="1589">
      <c r="A1589" s="1" t="s">
        <v>917</v>
      </c>
      <c r="B1589" s="1">
        <v>0.0</v>
      </c>
      <c r="C1589" s="2"/>
      <c r="D1589" s="2"/>
      <c r="E1589" s="2"/>
      <c r="F1589" s="2"/>
      <c r="G1589" s="2"/>
    </row>
    <row r="1590">
      <c r="A1590" s="1" t="s">
        <v>918</v>
      </c>
      <c r="B1590" s="1">
        <v>42.0</v>
      </c>
      <c r="C1590" s="2"/>
      <c r="D1590" s="2"/>
      <c r="E1590" s="2"/>
      <c r="F1590" s="2"/>
      <c r="G1590" s="2"/>
    </row>
    <row r="1591">
      <c r="A1591" s="1" t="s">
        <v>919</v>
      </c>
      <c r="B1591" s="1">
        <v>0.0</v>
      </c>
      <c r="C1591" s="2"/>
      <c r="D1591" s="2"/>
      <c r="E1591" s="2"/>
      <c r="F1591" s="2"/>
      <c r="G1591" s="2"/>
    </row>
    <row r="1592">
      <c r="A1592" s="1" t="s">
        <v>920</v>
      </c>
      <c r="B1592" s="1">
        <v>78.0</v>
      </c>
      <c r="C1592" s="2"/>
      <c r="D1592" s="2"/>
      <c r="E1592" s="2"/>
      <c r="F1592" s="2"/>
      <c r="G1592" s="2"/>
    </row>
    <row r="1593">
      <c r="A1593" s="1" t="s">
        <v>921</v>
      </c>
      <c r="B1593" s="1">
        <v>40.0</v>
      </c>
      <c r="C1593" s="2"/>
      <c r="D1593" s="2"/>
      <c r="E1593" s="2"/>
      <c r="F1593" s="2"/>
      <c r="G1593" s="2"/>
    </row>
    <row r="1594">
      <c r="A1594" s="1" t="s">
        <v>922</v>
      </c>
      <c r="B1594" s="1">
        <v>3.0</v>
      </c>
      <c r="C1594" s="2"/>
      <c r="D1594" s="2"/>
      <c r="E1594" s="2"/>
      <c r="F1594" s="2"/>
      <c r="G1594" s="2"/>
    </row>
    <row r="1595">
      <c r="A1595" s="1" t="s">
        <v>923</v>
      </c>
      <c r="B1595" s="1">
        <v>26.0</v>
      </c>
      <c r="C1595" s="2"/>
      <c r="D1595" s="2"/>
      <c r="E1595" s="2"/>
      <c r="F1595" s="2"/>
      <c r="G1595" s="2"/>
    </row>
    <row r="1596">
      <c r="A1596" s="1" t="s">
        <v>924</v>
      </c>
      <c r="B1596" s="1">
        <v>48.0</v>
      </c>
      <c r="C1596" s="2"/>
      <c r="D1596" s="2"/>
      <c r="E1596" s="2"/>
      <c r="F1596" s="2"/>
      <c r="G1596" s="2"/>
    </row>
    <row r="1597">
      <c r="A1597" s="1" t="s">
        <v>925</v>
      </c>
      <c r="B1597" s="1" t="s">
        <v>926</v>
      </c>
      <c r="C1597" s="1">
        <v>72.0</v>
      </c>
      <c r="D1597" s="2"/>
      <c r="E1597" s="2"/>
      <c r="F1597" s="2"/>
      <c r="G1597" s="2"/>
    </row>
    <row r="1598">
      <c r="A1598" s="1" t="s">
        <v>927</v>
      </c>
      <c r="B1598" s="1">
        <v>1.0</v>
      </c>
      <c r="C1598" s="2"/>
      <c r="D1598" s="2"/>
      <c r="E1598" s="2"/>
      <c r="F1598" s="2"/>
      <c r="G1598" s="2"/>
    </row>
    <row r="1599">
      <c r="A1599" s="1" t="s">
        <v>928</v>
      </c>
      <c r="B1599" s="1">
        <v>0.0</v>
      </c>
      <c r="C1599" s="2"/>
      <c r="D1599" s="2"/>
      <c r="E1599" s="2"/>
      <c r="F1599" s="2"/>
      <c r="G1599" s="2"/>
    </row>
    <row r="1600">
      <c r="A1600" s="1" t="s">
        <v>929</v>
      </c>
      <c r="B1600" s="1">
        <v>0.0</v>
      </c>
      <c r="C1600" s="2"/>
      <c r="D1600" s="2"/>
      <c r="E1600" s="2"/>
      <c r="F1600" s="2"/>
      <c r="G1600" s="2"/>
    </row>
    <row r="1601">
      <c r="A1601" s="1" t="s">
        <v>930</v>
      </c>
      <c r="B1601" s="1">
        <v>20.0</v>
      </c>
      <c r="C1601" s="2"/>
      <c r="D1601" s="2"/>
      <c r="E1601" s="2"/>
      <c r="F1601" s="2"/>
      <c r="G1601" s="2"/>
    </row>
    <row r="1602">
      <c r="A1602" s="1" t="s">
        <v>931</v>
      </c>
      <c r="B1602" s="1">
        <v>0.0</v>
      </c>
      <c r="C1602" s="2"/>
      <c r="D1602" s="2"/>
      <c r="E1602" s="2"/>
      <c r="F1602" s="2"/>
      <c r="G1602" s="2"/>
    </row>
    <row r="1603">
      <c r="A1603" s="1" t="s">
        <v>932</v>
      </c>
      <c r="B1603" s="1">
        <v>0.0</v>
      </c>
      <c r="C1603" s="2"/>
      <c r="D1603" s="2"/>
      <c r="E1603" s="2"/>
      <c r="F1603" s="2"/>
      <c r="G1603" s="2"/>
    </row>
    <row r="1604">
      <c r="A1604" s="1" t="s">
        <v>933</v>
      </c>
      <c r="B1604" s="1">
        <v>69.0</v>
      </c>
      <c r="C1604" s="2"/>
      <c r="D1604" s="2"/>
      <c r="E1604" s="2"/>
      <c r="F1604" s="2"/>
      <c r="G1604" s="2"/>
    </row>
    <row r="1605">
      <c r="A1605" s="1" t="s">
        <v>864</v>
      </c>
      <c r="B1605" s="1">
        <v>24.0</v>
      </c>
      <c r="C1605" s="2"/>
      <c r="D1605" s="2"/>
      <c r="E1605" s="2"/>
      <c r="F1605" s="2"/>
      <c r="G1605" s="2"/>
    </row>
    <row r="1606">
      <c r="A1606" s="1" t="s">
        <v>865</v>
      </c>
      <c r="B1606" s="1">
        <v>0.0</v>
      </c>
      <c r="C1606" s="2"/>
      <c r="D1606" s="2"/>
      <c r="E1606" s="2"/>
      <c r="F1606" s="2"/>
      <c r="G1606" s="2"/>
    </row>
    <row r="1607">
      <c r="A1607" s="1" t="s">
        <v>866</v>
      </c>
      <c r="B1607" s="1">
        <v>0.0</v>
      </c>
      <c r="C1607" s="2"/>
      <c r="D1607" s="2"/>
      <c r="E1607" s="2"/>
      <c r="F1607" s="2"/>
      <c r="G1607" s="2"/>
    </row>
    <row r="1608">
      <c r="A1608" s="1" t="s">
        <v>867</v>
      </c>
      <c r="B1608" s="1">
        <v>0.0</v>
      </c>
      <c r="C1608" s="2"/>
      <c r="D1608" s="2"/>
      <c r="E1608" s="2"/>
      <c r="F1608" s="2"/>
      <c r="G1608" s="2"/>
    </row>
    <row r="1609">
      <c r="A1609" s="1" t="s">
        <v>868</v>
      </c>
      <c r="B1609" s="1">
        <v>0.0</v>
      </c>
      <c r="C1609" s="2"/>
      <c r="D1609" s="2"/>
      <c r="E1609" s="2"/>
      <c r="F1609" s="2"/>
      <c r="G1609" s="2"/>
    </row>
    <row r="1610">
      <c r="A1610" s="1" t="s">
        <v>869</v>
      </c>
      <c r="B1610" s="1">
        <v>70.0</v>
      </c>
      <c r="C1610" s="2"/>
      <c r="D1610" s="2"/>
      <c r="E1610" s="2"/>
      <c r="F1610" s="2"/>
      <c r="G1610" s="2"/>
    </row>
    <row r="1611">
      <c r="A1611" s="1" t="s">
        <v>870</v>
      </c>
      <c r="B1611" s="1">
        <v>0.0</v>
      </c>
      <c r="C1611" s="2"/>
      <c r="D1611" s="2"/>
      <c r="E1611" s="2"/>
      <c r="F1611" s="2"/>
      <c r="G1611" s="2"/>
    </row>
    <row r="1612">
      <c r="A1612" s="1" t="s">
        <v>871</v>
      </c>
      <c r="B1612" s="1">
        <v>0.0</v>
      </c>
      <c r="C1612" s="2"/>
      <c r="D1612" s="2"/>
      <c r="E1612" s="2"/>
      <c r="F1612" s="2"/>
      <c r="G1612" s="2"/>
    </row>
    <row r="1613">
      <c r="A1613" s="1" t="s">
        <v>872</v>
      </c>
      <c r="B1613" s="1">
        <v>0.0</v>
      </c>
      <c r="C1613" s="2"/>
      <c r="D1613" s="2"/>
      <c r="E1613" s="2"/>
      <c r="F1613" s="2"/>
      <c r="G1613" s="2"/>
    </row>
    <row r="1614">
      <c r="A1614" s="1" t="s">
        <v>873</v>
      </c>
      <c r="B1614" s="1">
        <v>33.0</v>
      </c>
      <c r="C1614" s="2"/>
      <c r="D1614" s="2"/>
      <c r="E1614" s="2"/>
      <c r="F1614" s="2"/>
      <c r="G1614" s="2"/>
    </row>
    <row r="1615">
      <c r="A1615" s="1" t="s">
        <v>874</v>
      </c>
      <c r="B1615" s="1">
        <v>26.0</v>
      </c>
      <c r="C1615" s="2"/>
      <c r="D1615" s="2"/>
      <c r="E1615" s="2"/>
      <c r="F1615" s="2"/>
      <c r="G1615" s="2"/>
    </row>
    <row r="1616">
      <c r="A1616" s="1" t="s">
        <v>875</v>
      </c>
      <c r="B1616" s="1">
        <v>35.0</v>
      </c>
      <c r="C1616" s="2"/>
      <c r="D1616" s="2"/>
      <c r="E1616" s="2"/>
      <c r="F1616" s="2"/>
      <c r="G1616" s="2"/>
    </row>
    <row r="1617">
      <c r="A1617" s="1" t="s">
        <v>876</v>
      </c>
      <c r="B1617" s="1">
        <v>86.0</v>
      </c>
      <c r="C1617" s="2"/>
      <c r="D1617" s="2"/>
      <c r="E1617" s="2"/>
      <c r="F1617" s="2"/>
      <c r="G1617" s="2"/>
    </row>
    <row r="1618">
      <c r="A1618" s="1" t="s">
        <v>877</v>
      </c>
      <c r="B1618" s="1">
        <v>0.0</v>
      </c>
      <c r="C1618" s="2"/>
      <c r="D1618" s="2"/>
      <c r="E1618" s="2"/>
      <c r="F1618" s="2"/>
      <c r="G1618" s="2"/>
    </row>
    <row r="1619">
      <c r="A1619" s="1" t="s">
        <v>878</v>
      </c>
      <c r="B1619" s="1">
        <v>0.0</v>
      </c>
      <c r="C1619" s="2"/>
      <c r="D1619" s="2"/>
      <c r="E1619" s="2"/>
      <c r="F1619" s="2"/>
      <c r="G1619" s="2"/>
    </row>
    <row r="1620">
      <c r="A1620" s="1" t="s">
        <v>879</v>
      </c>
      <c r="B1620" s="1">
        <v>0.0</v>
      </c>
      <c r="C1620" s="2"/>
      <c r="D1620" s="2"/>
      <c r="E1620" s="2"/>
      <c r="F1620" s="2"/>
      <c r="G1620" s="2"/>
    </row>
    <row r="1621">
      <c r="A1621" s="1" t="s">
        <v>880</v>
      </c>
      <c r="B1621" s="1">
        <v>0.0</v>
      </c>
      <c r="C1621" s="2"/>
      <c r="D1621" s="2"/>
      <c r="E1621" s="2"/>
      <c r="F1621" s="2"/>
      <c r="G1621" s="2"/>
    </row>
    <row r="1622">
      <c r="A1622" s="1" t="s">
        <v>881</v>
      </c>
      <c r="B1622" s="1">
        <v>0.0</v>
      </c>
      <c r="C1622" s="2"/>
      <c r="D1622" s="2"/>
      <c r="E1622" s="2"/>
      <c r="F1622" s="2"/>
      <c r="G1622" s="2"/>
    </row>
    <row r="1623">
      <c r="A1623" s="1" t="s">
        <v>882</v>
      </c>
      <c r="B1623" s="1">
        <v>63.0</v>
      </c>
      <c r="C1623" s="2"/>
      <c r="D1623" s="2"/>
      <c r="E1623" s="2"/>
      <c r="F1623" s="2"/>
      <c r="G1623" s="2"/>
    </row>
    <row r="1624">
      <c r="A1624" s="1" t="s">
        <v>883</v>
      </c>
      <c r="B1624" s="1">
        <v>59.0</v>
      </c>
      <c r="C1624" s="2"/>
      <c r="D1624" s="2"/>
      <c r="E1624" s="2"/>
      <c r="F1624" s="2"/>
      <c r="G1624" s="2"/>
    </row>
    <row r="1625">
      <c r="A1625" s="1" t="s">
        <v>884</v>
      </c>
      <c r="B1625" s="1">
        <v>20.0</v>
      </c>
      <c r="C1625" s="2"/>
      <c r="D1625" s="2"/>
      <c r="E1625" s="2"/>
      <c r="F1625" s="2"/>
      <c r="G1625" s="2"/>
    </row>
    <row r="1626">
      <c r="A1626" s="1" t="s">
        <v>885</v>
      </c>
      <c r="B1626" s="1">
        <v>32.0</v>
      </c>
      <c r="C1626" s="2"/>
      <c r="D1626" s="2"/>
      <c r="E1626" s="2"/>
      <c r="F1626" s="2"/>
      <c r="G1626" s="2"/>
    </row>
    <row r="1627">
      <c r="A1627" s="1" t="s">
        <v>886</v>
      </c>
      <c r="B1627" s="1">
        <v>0.0</v>
      </c>
      <c r="C1627" s="2"/>
      <c r="D1627" s="2"/>
      <c r="E1627" s="2"/>
      <c r="F1627" s="2"/>
      <c r="G1627" s="2"/>
    </row>
    <row r="1628">
      <c r="A1628" s="1" t="s">
        <v>887</v>
      </c>
      <c r="B1628" s="1">
        <v>39.0</v>
      </c>
      <c r="C1628" s="2"/>
      <c r="D1628" s="2"/>
      <c r="E1628" s="2"/>
      <c r="F1628" s="2"/>
      <c r="G1628" s="2"/>
    </row>
    <row r="1629">
      <c r="A1629" s="1" t="s">
        <v>888</v>
      </c>
      <c r="B1629" s="1">
        <v>50.0</v>
      </c>
      <c r="C1629" s="2"/>
      <c r="D1629" s="2"/>
      <c r="E1629" s="2"/>
      <c r="F1629" s="2"/>
      <c r="G1629" s="2"/>
    </row>
    <row r="1630">
      <c r="A1630" s="1" t="s">
        <v>889</v>
      </c>
      <c r="B1630" s="1">
        <v>80.0</v>
      </c>
      <c r="C1630" s="2"/>
      <c r="D1630" s="2"/>
      <c r="E1630" s="2"/>
      <c r="F1630" s="2"/>
      <c r="G1630" s="2"/>
    </row>
    <row r="1631">
      <c r="A1631" s="1" t="s">
        <v>890</v>
      </c>
      <c r="B1631" s="1">
        <v>81.0</v>
      </c>
      <c r="C1631" s="2"/>
      <c r="D1631" s="2"/>
      <c r="E1631" s="2"/>
      <c r="F1631" s="2"/>
      <c r="G1631" s="2"/>
    </row>
    <row r="1632">
      <c r="A1632" s="1" t="s">
        <v>891</v>
      </c>
      <c r="B1632" s="1">
        <v>14.0</v>
      </c>
      <c r="C1632" s="2"/>
      <c r="D1632" s="2"/>
      <c r="E1632" s="2"/>
      <c r="F1632" s="2"/>
      <c r="G1632" s="2"/>
    </row>
    <row r="1633">
      <c r="A1633" s="1" t="s">
        <v>892</v>
      </c>
      <c r="B1633" s="1">
        <v>0.0</v>
      </c>
      <c r="C1633" s="2"/>
      <c r="D1633" s="2"/>
      <c r="E1633" s="2"/>
      <c r="F1633" s="2"/>
      <c r="G1633" s="2"/>
    </row>
    <row r="1634">
      <c r="A1634" s="1" t="s">
        <v>893</v>
      </c>
      <c r="B1634" s="1">
        <v>36.0</v>
      </c>
      <c r="C1634" s="2"/>
      <c r="D1634" s="2"/>
      <c r="E1634" s="2"/>
      <c r="F1634" s="2"/>
      <c r="G1634" s="2"/>
    </row>
    <row r="1635">
      <c r="A1635" s="1" t="s">
        <v>894</v>
      </c>
      <c r="B1635" s="1">
        <v>6.0</v>
      </c>
      <c r="C1635" s="2"/>
      <c r="D1635" s="2"/>
      <c r="E1635" s="2"/>
      <c r="F1635" s="2"/>
      <c r="G1635" s="2"/>
    </row>
    <row r="1636">
      <c r="A1636" s="1" t="s">
        <v>895</v>
      </c>
      <c r="B1636" s="1">
        <v>1.0</v>
      </c>
      <c r="C1636" s="2"/>
      <c r="D1636" s="2"/>
      <c r="E1636" s="2"/>
      <c r="F1636" s="2"/>
      <c r="G1636" s="2"/>
    </row>
    <row r="1637">
      <c r="A1637" s="1" t="s">
        <v>896</v>
      </c>
      <c r="B1637" s="1">
        <v>36.0</v>
      </c>
      <c r="C1637" s="2"/>
      <c r="D1637" s="2"/>
      <c r="E1637" s="2"/>
      <c r="F1637" s="2"/>
      <c r="G1637" s="2"/>
    </row>
    <row r="1638">
      <c r="A1638" s="1" t="s">
        <v>897</v>
      </c>
      <c r="B1638" s="1">
        <v>0.0</v>
      </c>
      <c r="C1638" s="2"/>
      <c r="D1638" s="2"/>
      <c r="E1638" s="2"/>
      <c r="F1638" s="2"/>
      <c r="G1638" s="2"/>
    </row>
    <row r="1639">
      <c r="A1639" s="1" t="s">
        <v>898</v>
      </c>
      <c r="B1639" s="1">
        <v>86.0</v>
      </c>
      <c r="C1639" s="2"/>
      <c r="D1639" s="2"/>
      <c r="E1639" s="2"/>
      <c r="F1639" s="2"/>
      <c r="G1639" s="2"/>
    </row>
    <row r="1640">
      <c r="A1640" s="1" t="s">
        <v>899</v>
      </c>
      <c r="B1640" s="1">
        <v>38.0</v>
      </c>
      <c r="C1640" s="2"/>
      <c r="D1640" s="2"/>
      <c r="E1640" s="2"/>
      <c r="F1640" s="2"/>
      <c r="G1640" s="2"/>
    </row>
    <row r="1641">
      <c r="A1641" s="1" t="s">
        <v>900</v>
      </c>
      <c r="B1641" s="1">
        <v>79.0</v>
      </c>
      <c r="C1641" s="2"/>
      <c r="D1641" s="2"/>
      <c r="E1641" s="2"/>
      <c r="F1641" s="2"/>
      <c r="G1641" s="2"/>
    </row>
    <row r="1642">
      <c r="A1642" s="1" t="s">
        <v>901</v>
      </c>
      <c r="B1642" s="1">
        <v>0.0</v>
      </c>
      <c r="C1642" s="2"/>
      <c r="D1642" s="2"/>
      <c r="E1642" s="2"/>
      <c r="F1642" s="2"/>
      <c r="G1642" s="2"/>
    </row>
    <row r="1643">
      <c r="A1643" s="1" t="s">
        <v>902</v>
      </c>
      <c r="B1643" s="1">
        <v>0.0</v>
      </c>
      <c r="C1643" s="2"/>
      <c r="D1643" s="2"/>
      <c r="E1643" s="2"/>
      <c r="F1643" s="2"/>
      <c r="G1643" s="2"/>
    </row>
    <row r="1644">
      <c r="A1644" s="1" t="s">
        <v>903</v>
      </c>
      <c r="B1644" s="1">
        <v>22.0</v>
      </c>
      <c r="C1644" s="2"/>
      <c r="D1644" s="2"/>
      <c r="E1644" s="2"/>
      <c r="F1644" s="2"/>
      <c r="G1644" s="2"/>
    </row>
    <row r="1645">
      <c r="A1645" s="1" t="s">
        <v>904</v>
      </c>
      <c r="B1645" s="1">
        <v>0.0</v>
      </c>
      <c r="C1645" s="2"/>
      <c r="D1645" s="2"/>
      <c r="E1645" s="2"/>
      <c r="F1645" s="2"/>
      <c r="G1645" s="2"/>
    </row>
    <row r="1646">
      <c r="A1646" s="1" t="s">
        <v>905</v>
      </c>
      <c r="B1646" s="1">
        <v>0.0</v>
      </c>
      <c r="C1646" s="2"/>
      <c r="D1646" s="2"/>
      <c r="E1646" s="2"/>
      <c r="F1646" s="2"/>
      <c r="G1646" s="2"/>
    </row>
    <row r="1647">
      <c r="A1647" s="1" t="s">
        <v>906</v>
      </c>
      <c r="B1647" s="1">
        <v>72.0</v>
      </c>
      <c r="C1647" s="2"/>
      <c r="D1647" s="2"/>
      <c r="E1647" s="2"/>
      <c r="F1647" s="2"/>
      <c r="G1647" s="2"/>
    </row>
    <row r="1648">
      <c r="A1648" s="1" t="s">
        <v>907</v>
      </c>
      <c r="B1648" s="1">
        <v>0.0</v>
      </c>
      <c r="C1648" s="2"/>
      <c r="D1648" s="2"/>
      <c r="E1648" s="2"/>
      <c r="F1648" s="2"/>
      <c r="G1648" s="2"/>
    </row>
    <row r="1649">
      <c r="A1649" s="1" t="s">
        <v>908</v>
      </c>
      <c r="B1649" s="1">
        <v>0.0</v>
      </c>
      <c r="C1649" s="2"/>
      <c r="D1649" s="2"/>
      <c r="E1649" s="2"/>
      <c r="F1649" s="2"/>
      <c r="G1649" s="2"/>
    </row>
    <row r="1650">
      <c r="A1650" s="1" t="s">
        <v>909</v>
      </c>
      <c r="B1650" s="1">
        <v>22.0</v>
      </c>
      <c r="C1650" s="2"/>
      <c r="D1650" s="2"/>
      <c r="E1650" s="2"/>
      <c r="F1650" s="2"/>
      <c r="G1650" s="2"/>
    </row>
    <row r="1651">
      <c r="A1651" s="1" t="s">
        <v>910</v>
      </c>
      <c r="B1651" s="1">
        <v>0.0</v>
      </c>
      <c r="C1651" s="2"/>
      <c r="D1651" s="2"/>
      <c r="E1651" s="2"/>
      <c r="F1651" s="2"/>
      <c r="G1651" s="2"/>
    </row>
    <row r="1652">
      <c r="A1652" s="1" t="s">
        <v>911</v>
      </c>
      <c r="B1652" s="1">
        <v>0.0</v>
      </c>
      <c r="C1652" s="2"/>
      <c r="D1652" s="2"/>
      <c r="E1652" s="2"/>
      <c r="F1652" s="2"/>
      <c r="G1652" s="2"/>
    </row>
    <row r="1653">
      <c r="A1653" s="1" t="s">
        <v>912</v>
      </c>
      <c r="B1653" s="1">
        <v>60.0</v>
      </c>
      <c r="C1653" s="2"/>
      <c r="D1653" s="2"/>
      <c r="E1653" s="2"/>
      <c r="F1653" s="2"/>
      <c r="G1653" s="2"/>
    </row>
    <row r="1654">
      <c r="A1654" s="1" t="s">
        <v>913</v>
      </c>
      <c r="B1654" s="1">
        <v>18.0</v>
      </c>
      <c r="C1654" s="2"/>
      <c r="D1654" s="2"/>
      <c r="E1654" s="2"/>
      <c r="F1654" s="2"/>
      <c r="G1654" s="2"/>
    </row>
    <row r="1655">
      <c r="A1655" s="1" t="s">
        <v>914</v>
      </c>
      <c r="B1655" s="1">
        <v>94.0</v>
      </c>
      <c r="C1655" s="2"/>
      <c r="D1655" s="2"/>
      <c r="E1655" s="2"/>
      <c r="F1655" s="2"/>
      <c r="G1655" s="2"/>
    </row>
    <row r="1656">
      <c r="A1656" s="1" t="s">
        <v>915</v>
      </c>
      <c r="B1656" s="1">
        <v>14.0</v>
      </c>
      <c r="C1656" s="2"/>
      <c r="D1656" s="2"/>
      <c r="E1656" s="2"/>
      <c r="F1656" s="2"/>
      <c r="G1656" s="2"/>
    </row>
    <row r="1657">
      <c r="A1657" s="1" t="s">
        <v>916</v>
      </c>
      <c r="B1657" s="1">
        <v>0.0</v>
      </c>
      <c r="C1657" s="2"/>
      <c r="D1657" s="2"/>
      <c r="E1657" s="2"/>
      <c r="F1657" s="2"/>
      <c r="G1657" s="2"/>
    </row>
    <row r="1658">
      <c r="A1658" s="1" t="s">
        <v>917</v>
      </c>
      <c r="B1658" s="1">
        <v>0.0</v>
      </c>
      <c r="C1658" s="2"/>
      <c r="D1658" s="2"/>
      <c r="E1658" s="2"/>
      <c r="F1658" s="2"/>
      <c r="G1658" s="2"/>
    </row>
    <row r="1659">
      <c r="A1659" s="1" t="s">
        <v>918</v>
      </c>
      <c r="B1659" s="1">
        <v>42.0</v>
      </c>
      <c r="C1659" s="2"/>
      <c r="D1659" s="2"/>
      <c r="E1659" s="2"/>
      <c r="F1659" s="2"/>
      <c r="G1659" s="2"/>
    </row>
    <row r="1660">
      <c r="A1660" s="1" t="s">
        <v>919</v>
      </c>
      <c r="B1660" s="1">
        <v>0.0</v>
      </c>
      <c r="C1660" s="2"/>
      <c r="D1660" s="2"/>
      <c r="E1660" s="2"/>
      <c r="F1660" s="2"/>
      <c r="G1660" s="2"/>
    </row>
    <row r="1661">
      <c r="A1661" s="1" t="s">
        <v>920</v>
      </c>
      <c r="B1661" s="1">
        <v>78.0</v>
      </c>
      <c r="C1661" s="2"/>
      <c r="D1661" s="2"/>
      <c r="E1661" s="2"/>
      <c r="F1661" s="2"/>
      <c r="G1661" s="2"/>
    </row>
    <row r="1662">
      <c r="A1662" s="1" t="s">
        <v>921</v>
      </c>
      <c r="B1662" s="1">
        <v>40.0</v>
      </c>
      <c r="C1662" s="2"/>
      <c r="D1662" s="2"/>
      <c r="E1662" s="2"/>
      <c r="F1662" s="2"/>
      <c r="G1662" s="2"/>
    </row>
    <row r="1663">
      <c r="A1663" s="1" t="s">
        <v>922</v>
      </c>
      <c r="B1663" s="1">
        <v>3.0</v>
      </c>
      <c r="C1663" s="2"/>
      <c r="D1663" s="2"/>
      <c r="E1663" s="2"/>
      <c r="F1663" s="2"/>
      <c r="G1663" s="2"/>
    </row>
    <row r="1664">
      <c r="A1664" s="1" t="s">
        <v>923</v>
      </c>
      <c r="B1664" s="1">
        <v>26.0</v>
      </c>
      <c r="C1664" s="2"/>
      <c r="D1664" s="2"/>
      <c r="E1664" s="2"/>
      <c r="F1664" s="2"/>
      <c r="G1664" s="2"/>
    </row>
    <row r="1665">
      <c r="A1665" s="1" t="s">
        <v>924</v>
      </c>
      <c r="B1665" s="1">
        <v>48.0</v>
      </c>
      <c r="C1665" s="2"/>
      <c r="D1665" s="2"/>
      <c r="E1665" s="2"/>
      <c r="F1665" s="2"/>
      <c r="G1665" s="2"/>
    </row>
    <row r="1666">
      <c r="A1666" s="1" t="s">
        <v>925</v>
      </c>
      <c r="B1666" s="1" t="s">
        <v>926</v>
      </c>
      <c r="C1666" s="1">
        <v>72.0</v>
      </c>
      <c r="D1666" s="2"/>
      <c r="E1666" s="2"/>
      <c r="F1666" s="2"/>
      <c r="G1666" s="2"/>
    </row>
    <row r="1667">
      <c r="A1667" s="1" t="s">
        <v>927</v>
      </c>
      <c r="B1667" s="1">
        <v>1.0</v>
      </c>
      <c r="C1667" s="2"/>
      <c r="D1667" s="2"/>
      <c r="E1667" s="2"/>
      <c r="F1667" s="2"/>
      <c r="G1667" s="2"/>
    </row>
    <row r="1668">
      <c r="A1668" s="1" t="s">
        <v>928</v>
      </c>
      <c r="B1668" s="1">
        <v>0.0</v>
      </c>
      <c r="C1668" s="2"/>
      <c r="D1668" s="2"/>
      <c r="E1668" s="2"/>
      <c r="F1668" s="2"/>
      <c r="G1668" s="2"/>
    </row>
    <row r="1669">
      <c r="A1669" s="1" t="s">
        <v>929</v>
      </c>
      <c r="B1669" s="1">
        <v>0.0</v>
      </c>
      <c r="C1669" s="2"/>
      <c r="D1669" s="2"/>
      <c r="E1669" s="2"/>
      <c r="F1669" s="2"/>
      <c r="G1669" s="2"/>
    </row>
    <row r="1670">
      <c r="A1670" s="1" t="s">
        <v>930</v>
      </c>
      <c r="B1670" s="1">
        <v>20.0</v>
      </c>
      <c r="C1670" s="2"/>
      <c r="D1670" s="2"/>
      <c r="E1670" s="2"/>
      <c r="F1670" s="2"/>
      <c r="G1670" s="2"/>
    </row>
    <row r="1671">
      <c r="A1671" s="1" t="s">
        <v>931</v>
      </c>
      <c r="B1671" s="1">
        <v>0.0</v>
      </c>
      <c r="C1671" s="2"/>
      <c r="D1671" s="2"/>
      <c r="E1671" s="2"/>
      <c r="F1671" s="2"/>
      <c r="G1671" s="2"/>
    </row>
    <row r="1672">
      <c r="A1672" s="1" t="s">
        <v>932</v>
      </c>
      <c r="B1672" s="1">
        <v>0.0</v>
      </c>
      <c r="C1672" s="2"/>
      <c r="D1672" s="2"/>
      <c r="E1672" s="2"/>
      <c r="F1672" s="2"/>
      <c r="G1672" s="2"/>
    </row>
    <row r="1673">
      <c r="A1673" s="1" t="s">
        <v>933</v>
      </c>
      <c r="B1673" s="1">
        <v>69.0</v>
      </c>
      <c r="C1673" s="2"/>
      <c r="D1673" s="2"/>
      <c r="E1673" s="2"/>
      <c r="F1673" s="2"/>
      <c r="G1673" s="2"/>
    </row>
    <row r="1674">
      <c r="A1674" s="1" t="s">
        <v>934</v>
      </c>
      <c r="B1674" s="1">
        <v>23.0</v>
      </c>
      <c r="C1674" s="2"/>
      <c r="D1674" s="2"/>
      <c r="E1674" s="2"/>
      <c r="F1674" s="2"/>
      <c r="G1674" s="2"/>
    </row>
    <row r="1675">
      <c r="A1675" s="1" t="s">
        <v>935</v>
      </c>
      <c r="B1675" s="1">
        <v>96.0</v>
      </c>
      <c r="C1675" s="2"/>
      <c r="D1675" s="2"/>
      <c r="E1675" s="2"/>
      <c r="F1675" s="2"/>
      <c r="G1675" s="2"/>
    </row>
    <row r="1676">
      <c r="A1676" s="1" t="s">
        <v>936</v>
      </c>
      <c r="B1676" s="1">
        <v>93.0</v>
      </c>
      <c r="C1676" s="2"/>
      <c r="D1676" s="2"/>
      <c r="E1676" s="2"/>
      <c r="F1676" s="2"/>
      <c r="G1676" s="2"/>
    </row>
    <row r="1677">
      <c r="A1677" s="1" t="s">
        <v>937</v>
      </c>
      <c r="B1677" s="1">
        <v>40.0</v>
      </c>
      <c r="C1677" s="2"/>
      <c r="D1677" s="2"/>
      <c r="E1677" s="2"/>
      <c r="F1677" s="2"/>
      <c r="G1677" s="2"/>
    </row>
    <row r="1678">
      <c r="A1678" s="1" t="s">
        <v>938</v>
      </c>
      <c r="B1678" s="1">
        <v>39.0</v>
      </c>
      <c r="C1678" s="2"/>
      <c r="D1678" s="2"/>
      <c r="E1678" s="2"/>
      <c r="F1678" s="2"/>
      <c r="G1678" s="2"/>
    </row>
    <row r="1679">
      <c r="A1679" s="1" t="s">
        <v>939</v>
      </c>
      <c r="B1679" s="1">
        <v>0.0</v>
      </c>
      <c r="C1679" s="2"/>
      <c r="D1679" s="2"/>
      <c r="E1679" s="2"/>
      <c r="F1679" s="2"/>
      <c r="G1679" s="2"/>
    </row>
    <row r="1680">
      <c r="A1680" s="1" t="s">
        <v>940</v>
      </c>
      <c r="B1680" s="1">
        <v>0.0</v>
      </c>
      <c r="C1680" s="2"/>
      <c r="D1680" s="2"/>
      <c r="E1680" s="2"/>
      <c r="F1680" s="2"/>
      <c r="G1680" s="2"/>
    </row>
    <row r="1681">
      <c r="A1681" s="1" t="s">
        <v>941</v>
      </c>
      <c r="B1681" s="1">
        <v>0.0</v>
      </c>
      <c r="C1681" s="2"/>
      <c r="D1681" s="2"/>
      <c r="E1681" s="2"/>
      <c r="F1681" s="2"/>
      <c r="G1681" s="2"/>
    </row>
    <row r="1682">
      <c r="A1682" s="1" t="s">
        <v>942</v>
      </c>
      <c r="B1682" s="1">
        <v>0.0</v>
      </c>
      <c r="C1682" s="2"/>
      <c r="D1682" s="2"/>
      <c r="E1682" s="2"/>
      <c r="F1682" s="2"/>
      <c r="G1682" s="2"/>
    </row>
    <row r="1683">
      <c r="A1683" s="1" t="s">
        <v>943</v>
      </c>
      <c r="B1683" s="1">
        <v>78.0</v>
      </c>
      <c r="C1683" s="2"/>
      <c r="D1683" s="2"/>
      <c r="E1683" s="2"/>
      <c r="F1683" s="2"/>
      <c r="G1683" s="2"/>
    </row>
    <row r="1684">
      <c r="A1684" s="1" t="s">
        <v>944</v>
      </c>
      <c r="B1684" s="1">
        <v>0.0</v>
      </c>
      <c r="C1684" s="2"/>
      <c r="D1684" s="2"/>
      <c r="E1684" s="2"/>
      <c r="F1684" s="2"/>
      <c r="G1684" s="2"/>
    </row>
    <row r="1685">
      <c r="A1685" s="1" t="s">
        <v>945</v>
      </c>
      <c r="B1685" s="1">
        <v>0.0</v>
      </c>
      <c r="C1685" s="2"/>
      <c r="D1685" s="2"/>
      <c r="E1685" s="2"/>
      <c r="F1685" s="2"/>
      <c r="G1685" s="2"/>
    </row>
    <row r="1686">
      <c r="A1686" s="1" t="s">
        <v>946</v>
      </c>
      <c r="B1686" s="1">
        <v>0.0</v>
      </c>
      <c r="C1686" s="2"/>
      <c r="D1686" s="2"/>
      <c r="E1686" s="2"/>
      <c r="F1686" s="2"/>
      <c r="G1686" s="2"/>
    </row>
    <row r="1687">
      <c r="A1687" s="1" t="s">
        <v>947</v>
      </c>
      <c r="B1687" s="1">
        <v>0.0</v>
      </c>
      <c r="C1687" s="2"/>
      <c r="D1687" s="2"/>
      <c r="E1687" s="2"/>
      <c r="F1687" s="2"/>
      <c r="G1687" s="2"/>
    </row>
    <row r="1688">
      <c r="A1688" s="1" t="s">
        <v>948</v>
      </c>
      <c r="B1688" s="1">
        <v>0.0</v>
      </c>
      <c r="C1688" s="2"/>
      <c r="D1688" s="2"/>
      <c r="E1688" s="2"/>
      <c r="F1688" s="2"/>
      <c r="G1688" s="2"/>
    </row>
    <row r="1689">
      <c r="A1689" s="1" t="s">
        <v>949</v>
      </c>
      <c r="B1689" s="1">
        <v>0.0</v>
      </c>
      <c r="C1689" s="2"/>
      <c r="D1689" s="2"/>
      <c r="E1689" s="2"/>
      <c r="F1689" s="2"/>
      <c r="G1689" s="2"/>
    </row>
    <row r="1690">
      <c r="A1690" s="1" t="s">
        <v>950</v>
      </c>
      <c r="B1690" s="1">
        <v>92.0</v>
      </c>
      <c r="C1690" s="2"/>
      <c r="D1690" s="2"/>
      <c r="E1690" s="2"/>
      <c r="F1690" s="2"/>
      <c r="G1690" s="2"/>
    </row>
    <row r="1691">
      <c r="A1691" s="1" t="s">
        <v>951</v>
      </c>
      <c r="B1691" s="1">
        <v>0.0</v>
      </c>
      <c r="C1691" s="2"/>
      <c r="D1691" s="2"/>
      <c r="E1691" s="2"/>
      <c r="F1691" s="2"/>
      <c r="G1691" s="2"/>
    </row>
    <row r="1692">
      <c r="A1692" s="1" t="s">
        <v>952</v>
      </c>
      <c r="B1692" s="1">
        <v>80.0</v>
      </c>
      <c r="C1692" s="2"/>
      <c r="D1692" s="2"/>
      <c r="E1692" s="2"/>
      <c r="F1692" s="2"/>
      <c r="G1692" s="2"/>
    </row>
    <row r="1693">
      <c r="A1693" s="1" t="s">
        <v>953</v>
      </c>
      <c r="B1693" s="1">
        <v>0.0</v>
      </c>
      <c r="C1693" s="2"/>
      <c r="D1693" s="2"/>
      <c r="E1693" s="2"/>
      <c r="F1693" s="2"/>
      <c r="G1693" s="2"/>
    </row>
    <row r="1694">
      <c r="A1694" s="1" t="s">
        <v>954</v>
      </c>
      <c r="B1694" s="1">
        <v>0.0</v>
      </c>
      <c r="C1694" s="2"/>
      <c r="D1694" s="2"/>
      <c r="E1694" s="2"/>
      <c r="F1694" s="2"/>
      <c r="G1694" s="2"/>
    </row>
    <row r="1695">
      <c r="A1695" s="1" t="s">
        <v>955</v>
      </c>
      <c r="B1695" s="1">
        <v>79.0</v>
      </c>
      <c r="C1695" s="2"/>
      <c r="D1695" s="2"/>
      <c r="E1695" s="2"/>
      <c r="F1695" s="2"/>
      <c r="G1695" s="2"/>
    </row>
    <row r="1696">
      <c r="A1696" s="1" t="s">
        <v>956</v>
      </c>
      <c r="B1696" s="1">
        <v>0.0</v>
      </c>
      <c r="C1696" s="2"/>
      <c r="D1696" s="2"/>
      <c r="E1696" s="2"/>
      <c r="F1696" s="2"/>
      <c r="G1696" s="2"/>
    </row>
    <row r="1697">
      <c r="A1697" s="1" t="s">
        <v>957</v>
      </c>
      <c r="B1697" s="1">
        <v>0.0</v>
      </c>
      <c r="C1697" s="2"/>
      <c r="D1697" s="2"/>
      <c r="E1697" s="2"/>
      <c r="F1697" s="2"/>
      <c r="G1697" s="2"/>
    </row>
    <row r="1698">
      <c r="A1698" s="1" t="s">
        <v>958</v>
      </c>
      <c r="B1698" s="1">
        <v>0.0</v>
      </c>
      <c r="C1698" s="2"/>
      <c r="D1698" s="2"/>
      <c r="E1698" s="2"/>
      <c r="F1698" s="2"/>
      <c r="G1698" s="2"/>
    </row>
    <row r="1699">
      <c r="A1699" s="1" t="s">
        <v>959</v>
      </c>
      <c r="B1699" s="1">
        <v>0.0</v>
      </c>
      <c r="C1699" s="2"/>
      <c r="D1699" s="2"/>
      <c r="E1699" s="2"/>
      <c r="F1699" s="2"/>
      <c r="G1699" s="2"/>
    </row>
    <row r="1700">
      <c r="A1700" s="1" t="s">
        <v>960</v>
      </c>
      <c r="B1700" s="1">
        <v>0.0</v>
      </c>
      <c r="C1700" s="2"/>
      <c r="D1700" s="2"/>
      <c r="E1700" s="2"/>
      <c r="F1700" s="2"/>
      <c r="G1700" s="2"/>
    </row>
    <row r="1701">
      <c r="A1701" s="1" t="s">
        <v>961</v>
      </c>
      <c r="B1701" s="1">
        <v>0.0</v>
      </c>
      <c r="C1701" s="2"/>
      <c r="D1701" s="2"/>
      <c r="E1701" s="2"/>
      <c r="F1701" s="2"/>
      <c r="G1701" s="2"/>
    </row>
    <row r="1702">
      <c r="A1702" s="1" t="s">
        <v>962</v>
      </c>
      <c r="B1702" s="1">
        <v>0.0</v>
      </c>
      <c r="C1702" s="2"/>
      <c r="D1702" s="2"/>
      <c r="E1702" s="2"/>
      <c r="F1702" s="2"/>
      <c r="G1702" s="2"/>
    </row>
    <row r="1703">
      <c r="A1703" s="1" t="s">
        <v>963</v>
      </c>
      <c r="B1703" s="1">
        <v>32.0</v>
      </c>
      <c r="C1703" s="2"/>
      <c r="D1703" s="2"/>
      <c r="E1703" s="2"/>
      <c r="F1703" s="2"/>
      <c r="G1703" s="2"/>
    </row>
    <row r="1704">
      <c r="A1704" s="1" t="s">
        <v>964</v>
      </c>
      <c r="B1704" s="1">
        <v>0.0</v>
      </c>
      <c r="C1704" s="2"/>
      <c r="D1704" s="2"/>
      <c r="E1704" s="2"/>
      <c r="F1704" s="2"/>
      <c r="G1704" s="2"/>
    </row>
    <row r="1705">
      <c r="A1705" s="1" t="s">
        <v>965</v>
      </c>
      <c r="B1705" s="1">
        <v>96.0</v>
      </c>
      <c r="C1705" s="2"/>
      <c r="D1705" s="2"/>
      <c r="E1705" s="2"/>
      <c r="F1705" s="2"/>
      <c r="G1705" s="2"/>
    </row>
    <row r="1706">
      <c r="A1706" s="1" t="s">
        <v>966</v>
      </c>
      <c r="B1706" s="1" t="s">
        <v>967</v>
      </c>
      <c r="C1706" s="1" t="s">
        <v>968</v>
      </c>
      <c r="D1706" s="2"/>
      <c r="E1706" s="2"/>
      <c r="F1706" s="2"/>
      <c r="G1706" s="2"/>
    </row>
    <row r="1707">
      <c r="A1707" s="1" t="s">
        <v>969</v>
      </c>
      <c r="B1707" s="1">
        <v>0.0</v>
      </c>
      <c r="C1707" s="2"/>
      <c r="D1707" s="2"/>
      <c r="E1707" s="2"/>
      <c r="F1707" s="2"/>
      <c r="G1707" s="2"/>
    </row>
    <row r="1708">
      <c r="A1708" s="1" t="s">
        <v>970</v>
      </c>
      <c r="B1708" s="2"/>
      <c r="C1708" s="2"/>
      <c r="D1708" s="2"/>
      <c r="E1708" s="2"/>
      <c r="F1708" s="2"/>
      <c r="G1708" s="2"/>
    </row>
    <row r="1709">
      <c r="A1709" s="1" t="s">
        <v>971</v>
      </c>
      <c r="B1709" s="1">
        <v>0.0</v>
      </c>
      <c r="C1709" s="2"/>
      <c r="D1709" s="2"/>
      <c r="E1709" s="2"/>
      <c r="F1709" s="2"/>
      <c r="G1709" s="2"/>
    </row>
    <row r="1710">
      <c r="A1710" s="1" t="s">
        <v>972</v>
      </c>
      <c r="B1710" s="1">
        <v>0.0</v>
      </c>
      <c r="C1710" s="2"/>
      <c r="D1710" s="2"/>
      <c r="E1710" s="2"/>
      <c r="F1710" s="2"/>
      <c r="G1710" s="2"/>
    </row>
    <row r="1711">
      <c r="A1711" s="1" t="s">
        <v>973</v>
      </c>
      <c r="B1711" s="1">
        <v>0.0</v>
      </c>
      <c r="C1711" s="2"/>
      <c r="D1711" s="2"/>
      <c r="E1711" s="2"/>
      <c r="F1711" s="2"/>
      <c r="G1711" s="2"/>
    </row>
    <row r="1712">
      <c r="A1712" s="1" t="s">
        <v>974</v>
      </c>
      <c r="B1712" s="1">
        <v>0.0</v>
      </c>
      <c r="C1712" s="2"/>
      <c r="D1712" s="2"/>
      <c r="E1712" s="2"/>
      <c r="F1712" s="2"/>
      <c r="G1712" s="2"/>
    </row>
    <row r="1713">
      <c r="A1713" s="1" t="s">
        <v>975</v>
      </c>
      <c r="B1713" s="1">
        <v>0.0</v>
      </c>
      <c r="C1713" s="2"/>
      <c r="D1713" s="2"/>
      <c r="E1713" s="2"/>
      <c r="F1713" s="2"/>
      <c r="G1713" s="2"/>
    </row>
    <row r="1714">
      <c r="A1714" s="1" t="s">
        <v>976</v>
      </c>
      <c r="B1714" s="1">
        <v>0.0</v>
      </c>
      <c r="C1714" s="2"/>
      <c r="D1714" s="2"/>
      <c r="E1714" s="2"/>
      <c r="F1714" s="2"/>
      <c r="G1714" s="2"/>
    </row>
    <row r="1715">
      <c r="A1715" s="1" t="s">
        <v>977</v>
      </c>
      <c r="B1715" s="1">
        <v>81.0</v>
      </c>
      <c r="C1715" s="2"/>
      <c r="D1715" s="2"/>
      <c r="E1715" s="2"/>
      <c r="F1715" s="2"/>
      <c r="G1715" s="2"/>
    </row>
    <row r="1716">
      <c r="A1716" s="1" t="s">
        <v>978</v>
      </c>
      <c r="B1716" s="1">
        <v>0.0</v>
      </c>
      <c r="C1716" s="2"/>
      <c r="D1716" s="2"/>
      <c r="E1716" s="2"/>
      <c r="F1716" s="2"/>
      <c r="G1716" s="2"/>
    </row>
    <row r="1717">
      <c r="A1717" s="1" t="s">
        <v>979</v>
      </c>
      <c r="B1717" s="1">
        <v>0.0</v>
      </c>
      <c r="C1717" s="2"/>
      <c r="D1717" s="2"/>
      <c r="E1717" s="2"/>
      <c r="F1717" s="2"/>
      <c r="G1717" s="2"/>
    </row>
    <row r="1718">
      <c r="A1718" s="1" t="s">
        <v>980</v>
      </c>
      <c r="B1718" s="1" t="s">
        <v>981</v>
      </c>
      <c r="C1718" s="1">
        <v>12.0</v>
      </c>
      <c r="D1718" s="2"/>
      <c r="E1718" s="2"/>
      <c r="F1718" s="2"/>
      <c r="G1718" s="2"/>
    </row>
    <row r="1719">
      <c r="A1719" s="1" t="s">
        <v>982</v>
      </c>
      <c r="B1719" s="1">
        <v>0.0</v>
      </c>
      <c r="C1719" s="2"/>
      <c r="D1719" s="2"/>
      <c r="E1719" s="2"/>
      <c r="F1719" s="2"/>
      <c r="G1719" s="2"/>
    </row>
    <row r="1720">
      <c r="A1720" s="1" t="s">
        <v>983</v>
      </c>
      <c r="B1720" s="1">
        <v>0.0</v>
      </c>
      <c r="C1720" s="2"/>
      <c r="D1720" s="2"/>
      <c r="E1720" s="2"/>
      <c r="F1720" s="2"/>
      <c r="G1720" s="2"/>
    </row>
    <row r="1721">
      <c r="A1721" s="1" t="s">
        <v>984</v>
      </c>
      <c r="B1721" s="1">
        <v>38.0</v>
      </c>
      <c r="C1721" s="2"/>
      <c r="D1721" s="2"/>
      <c r="E1721" s="2"/>
      <c r="F1721" s="2"/>
      <c r="G1721" s="2"/>
    </row>
    <row r="1722">
      <c r="A1722" s="1" t="s">
        <v>985</v>
      </c>
      <c r="B1722" s="1">
        <v>0.0</v>
      </c>
      <c r="C1722" s="2"/>
      <c r="D1722" s="2"/>
      <c r="E1722" s="2"/>
      <c r="F1722" s="2"/>
      <c r="G1722" s="2"/>
    </row>
    <row r="1723">
      <c r="A1723" s="1" t="s">
        <v>986</v>
      </c>
      <c r="B1723" s="1">
        <v>0.0</v>
      </c>
      <c r="C1723" s="2"/>
      <c r="D1723" s="2"/>
      <c r="E1723" s="2"/>
      <c r="F1723" s="2"/>
      <c r="G1723" s="2"/>
    </row>
    <row r="1724">
      <c r="A1724" s="1" t="s">
        <v>987</v>
      </c>
      <c r="B1724" s="1">
        <v>0.0</v>
      </c>
      <c r="C1724" s="2"/>
      <c r="D1724" s="2"/>
      <c r="E1724" s="2"/>
      <c r="F1724" s="2"/>
      <c r="G1724" s="2"/>
    </row>
    <row r="1725">
      <c r="A1725" s="1" t="s">
        <v>988</v>
      </c>
      <c r="B1725" s="1">
        <v>56.0</v>
      </c>
      <c r="C1725" s="2"/>
      <c r="D1725" s="2"/>
      <c r="E1725" s="2"/>
      <c r="F1725" s="2"/>
      <c r="G1725" s="2"/>
    </row>
    <row r="1726">
      <c r="A1726" s="1" t="s">
        <v>989</v>
      </c>
      <c r="B1726" s="1">
        <v>0.0</v>
      </c>
      <c r="C1726" s="2"/>
      <c r="D1726" s="2"/>
      <c r="E1726" s="2"/>
      <c r="F1726" s="2"/>
      <c r="G1726" s="2"/>
    </row>
    <row r="1727">
      <c r="A1727" s="1" t="s">
        <v>990</v>
      </c>
      <c r="B1727" s="1">
        <v>50.0</v>
      </c>
      <c r="C1727" s="2"/>
      <c r="D1727" s="2"/>
      <c r="E1727" s="2"/>
      <c r="F1727" s="2"/>
      <c r="G1727" s="2"/>
    </row>
    <row r="1728">
      <c r="A1728" s="1" t="s">
        <v>991</v>
      </c>
      <c r="B1728" s="1">
        <v>0.0</v>
      </c>
      <c r="C1728" s="2"/>
      <c r="D1728" s="2"/>
      <c r="E1728" s="2"/>
      <c r="F1728" s="2"/>
      <c r="G1728" s="2"/>
    </row>
    <row r="1729">
      <c r="A1729" s="1" t="s">
        <v>992</v>
      </c>
      <c r="B1729" s="1">
        <v>0.0</v>
      </c>
      <c r="C1729" s="2"/>
      <c r="D1729" s="2"/>
      <c r="E1729" s="2"/>
      <c r="F1729" s="2"/>
      <c r="G1729" s="2"/>
    </row>
    <row r="1730">
      <c r="A1730" s="1" t="s">
        <v>993</v>
      </c>
      <c r="B1730" s="1">
        <v>43.0</v>
      </c>
      <c r="C1730" s="2"/>
      <c r="D1730" s="2"/>
      <c r="E1730" s="2"/>
      <c r="F1730" s="2"/>
      <c r="G1730" s="2"/>
    </row>
    <row r="1731">
      <c r="A1731" s="1" t="s">
        <v>994</v>
      </c>
      <c r="B1731" s="1">
        <v>0.0</v>
      </c>
      <c r="C1731" s="2"/>
      <c r="D1731" s="2"/>
      <c r="E1731" s="2"/>
      <c r="F1731" s="2"/>
      <c r="G1731" s="2"/>
    </row>
    <row r="1732">
      <c r="A1732" s="1" t="s">
        <v>995</v>
      </c>
      <c r="B1732" s="1">
        <v>72.0</v>
      </c>
      <c r="C1732" s="2"/>
      <c r="D1732" s="2"/>
      <c r="E1732" s="2"/>
      <c r="F1732" s="2"/>
      <c r="G1732" s="2"/>
    </row>
    <row r="1733">
      <c r="A1733" s="1" t="s">
        <v>996</v>
      </c>
      <c r="B1733" s="1">
        <v>30.0</v>
      </c>
      <c r="C1733" s="2"/>
      <c r="D1733" s="2"/>
      <c r="E1733" s="2"/>
      <c r="F1733" s="2"/>
      <c r="G1733" s="2"/>
    </row>
    <row r="1734">
      <c r="A1734" s="1" t="s">
        <v>997</v>
      </c>
      <c r="B1734" s="1">
        <v>92.0</v>
      </c>
      <c r="C1734" s="2"/>
      <c r="D1734" s="2"/>
      <c r="E1734" s="2"/>
      <c r="F1734" s="2"/>
      <c r="G1734" s="2"/>
    </row>
    <row r="1735">
      <c r="A1735" s="1" t="s">
        <v>998</v>
      </c>
      <c r="B1735" s="1">
        <v>78.0</v>
      </c>
      <c r="C1735" s="2"/>
      <c r="D1735" s="2"/>
      <c r="E1735" s="2"/>
      <c r="F1735" s="2"/>
      <c r="G1735" s="2"/>
    </row>
    <row r="1736">
      <c r="A1736" s="1" t="s">
        <v>999</v>
      </c>
      <c r="B1736" s="1">
        <v>0.0</v>
      </c>
      <c r="C1736" s="2"/>
      <c r="D1736" s="2"/>
      <c r="E1736" s="2"/>
      <c r="F1736" s="2"/>
      <c r="G1736" s="2"/>
    </row>
    <row r="1737">
      <c r="A1737" s="1" t="s">
        <v>1000</v>
      </c>
      <c r="B1737" s="1">
        <v>0.0</v>
      </c>
      <c r="C1737" s="2"/>
      <c r="D1737" s="2"/>
      <c r="E1737" s="2"/>
      <c r="F1737" s="2"/>
      <c r="G1737" s="2"/>
    </row>
    <row r="1738">
      <c r="A1738" s="1" t="s">
        <v>1001</v>
      </c>
      <c r="B1738" s="1">
        <v>0.0</v>
      </c>
      <c r="C1738" s="2"/>
      <c r="D1738" s="2"/>
      <c r="E1738" s="2"/>
      <c r="F1738" s="2"/>
      <c r="G1738" s="2"/>
    </row>
    <row r="1739">
      <c r="A1739" s="1" t="s">
        <v>1002</v>
      </c>
      <c r="B1739" s="1">
        <v>0.0</v>
      </c>
      <c r="C1739" s="2"/>
      <c r="D1739" s="2"/>
      <c r="E1739" s="2"/>
      <c r="F1739" s="2"/>
      <c r="G1739" s="2"/>
    </row>
    <row r="1740">
      <c r="A1740" s="1" t="s">
        <v>1003</v>
      </c>
      <c r="B1740" s="1">
        <v>0.0</v>
      </c>
      <c r="C1740" s="2"/>
      <c r="D1740" s="2"/>
      <c r="E1740" s="2"/>
      <c r="F1740" s="2"/>
      <c r="G1740" s="2"/>
    </row>
    <row r="1741">
      <c r="A1741" s="1" t="s">
        <v>1004</v>
      </c>
      <c r="B1741" s="1">
        <v>0.0</v>
      </c>
      <c r="C1741" s="2"/>
      <c r="D1741" s="2"/>
      <c r="E1741" s="2"/>
      <c r="F1741" s="2"/>
      <c r="G1741" s="2"/>
    </row>
    <row r="1742">
      <c r="A1742" s="1" t="s">
        <v>1005</v>
      </c>
      <c r="B1742" s="1">
        <v>0.0</v>
      </c>
      <c r="C1742" s="2"/>
      <c r="D1742" s="2"/>
      <c r="E1742" s="2"/>
      <c r="F1742" s="2"/>
      <c r="G1742" s="2"/>
    </row>
    <row r="1743">
      <c r="A1743" s="1" t="s">
        <v>1006</v>
      </c>
      <c r="B1743" s="1">
        <v>77.0</v>
      </c>
      <c r="C1743" s="2"/>
      <c r="D1743" s="2"/>
      <c r="E1743" s="2"/>
      <c r="F1743" s="2"/>
      <c r="G1743" s="2"/>
    </row>
    <row r="1744">
      <c r="A1744" s="1" t="s">
        <v>934</v>
      </c>
      <c r="B1744" s="1">
        <v>23.0</v>
      </c>
      <c r="C1744" s="2"/>
      <c r="D1744" s="2"/>
      <c r="E1744" s="2"/>
      <c r="F1744" s="2"/>
      <c r="G1744" s="2"/>
    </row>
    <row r="1745">
      <c r="A1745" s="1" t="s">
        <v>935</v>
      </c>
      <c r="B1745" s="1">
        <v>96.0</v>
      </c>
      <c r="C1745" s="2"/>
      <c r="D1745" s="2"/>
      <c r="E1745" s="2"/>
      <c r="F1745" s="2"/>
      <c r="G1745" s="2"/>
    </row>
    <row r="1746">
      <c r="A1746" s="1" t="s">
        <v>936</v>
      </c>
      <c r="B1746" s="1">
        <v>93.0</v>
      </c>
      <c r="C1746" s="2"/>
      <c r="D1746" s="2"/>
      <c r="E1746" s="2"/>
      <c r="F1746" s="2"/>
      <c r="G1746" s="2"/>
    </row>
    <row r="1747">
      <c r="A1747" s="1" t="s">
        <v>937</v>
      </c>
      <c r="B1747" s="1">
        <v>40.0</v>
      </c>
      <c r="C1747" s="2"/>
      <c r="D1747" s="2"/>
      <c r="E1747" s="2"/>
      <c r="F1747" s="2"/>
      <c r="G1747" s="2"/>
    </row>
    <row r="1748">
      <c r="A1748" s="1" t="s">
        <v>938</v>
      </c>
      <c r="B1748" s="1">
        <v>39.0</v>
      </c>
      <c r="C1748" s="2"/>
      <c r="D1748" s="2"/>
      <c r="E1748" s="2"/>
      <c r="F1748" s="2"/>
      <c r="G1748" s="2"/>
    </row>
    <row r="1749">
      <c r="A1749" s="1" t="s">
        <v>939</v>
      </c>
      <c r="B1749" s="1">
        <v>0.0</v>
      </c>
      <c r="C1749" s="2"/>
      <c r="D1749" s="2"/>
      <c r="E1749" s="2"/>
      <c r="F1749" s="2"/>
      <c r="G1749" s="2"/>
    </row>
    <row r="1750">
      <c r="A1750" s="1" t="s">
        <v>940</v>
      </c>
      <c r="B1750" s="1">
        <v>0.0</v>
      </c>
      <c r="C1750" s="2"/>
      <c r="D1750" s="2"/>
      <c r="E1750" s="2"/>
      <c r="F1750" s="2"/>
      <c r="G1750" s="2"/>
    </row>
    <row r="1751">
      <c r="A1751" s="1" t="s">
        <v>941</v>
      </c>
      <c r="B1751" s="1">
        <v>0.0</v>
      </c>
      <c r="C1751" s="2"/>
      <c r="D1751" s="2"/>
      <c r="E1751" s="2"/>
      <c r="F1751" s="2"/>
      <c r="G1751" s="2"/>
    </row>
    <row r="1752">
      <c r="A1752" s="1" t="s">
        <v>942</v>
      </c>
      <c r="B1752" s="1">
        <v>0.0</v>
      </c>
      <c r="C1752" s="2"/>
      <c r="D1752" s="2"/>
      <c r="E1752" s="2"/>
      <c r="F1752" s="2"/>
      <c r="G1752" s="2"/>
    </row>
    <row r="1753">
      <c r="A1753" s="1" t="s">
        <v>943</v>
      </c>
      <c r="B1753" s="1">
        <v>78.0</v>
      </c>
      <c r="C1753" s="2"/>
      <c r="D1753" s="2"/>
      <c r="E1753" s="2"/>
      <c r="F1753" s="2"/>
      <c r="G1753" s="2"/>
    </row>
    <row r="1754">
      <c r="A1754" s="1" t="s">
        <v>944</v>
      </c>
      <c r="B1754" s="1">
        <v>0.0</v>
      </c>
      <c r="C1754" s="2"/>
      <c r="D1754" s="2"/>
      <c r="E1754" s="2"/>
      <c r="F1754" s="2"/>
      <c r="G1754" s="2"/>
    </row>
    <row r="1755">
      <c r="A1755" s="1" t="s">
        <v>945</v>
      </c>
      <c r="B1755" s="1">
        <v>0.0</v>
      </c>
      <c r="C1755" s="2"/>
      <c r="D1755" s="2"/>
      <c r="E1755" s="2"/>
      <c r="F1755" s="2"/>
      <c r="G1755" s="2"/>
    </row>
    <row r="1756">
      <c r="A1756" s="1" t="s">
        <v>946</v>
      </c>
      <c r="B1756" s="1">
        <v>0.0</v>
      </c>
      <c r="C1756" s="2"/>
      <c r="D1756" s="2"/>
      <c r="E1756" s="2"/>
      <c r="F1756" s="2"/>
      <c r="G1756" s="2"/>
    </row>
    <row r="1757">
      <c r="A1757" s="1" t="s">
        <v>947</v>
      </c>
      <c r="B1757" s="1">
        <v>0.0</v>
      </c>
      <c r="C1757" s="2"/>
      <c r="D1757" s="2"/>
      <c r="E1757" s="2"/>
      <c r="F1757" s="2"/>
      <c r="G1757" s="2"/>
    </row>
    <row r="1758">
      <c r="A1758" s="1" t="s">
        <v>948</v>
      </c>
      <c r="B1758" s="1">
        <v>0.0</v>
      </c>
      <c r="C1758" s="2"/>
      <c r="D1758" s="2"/>
      <c r="E1758" s="2"/>
      <c r="F1758" s="2"/>
      <c r="G1758" s="2"/>
    </row>
    <row r="1759">
      <c r="A1759" s="1" t="s">
        <v>949</v>
      </c>
      <c r="B1759" s="1">
        <v>0.0</v>
      </c>
      <c r="C1759" s="2"/>
      <c r="D1759" s="2"/>
      <c r="E1759" s="2"/>
      <c r="F1759" s="2"/>
      <c r="G1759" s="2"/>
    </row>
    <row r="1760">
      <c r="A1760" s="1" t="s">
        <v>950</v>
      </c>
      <c r="B1760" s="1">
        <v>92.0</v>
      </c>
      <c r="C1760" s="2"/>
      <c r="D1760" s="2"/>
      <c r="E1760" s="2"/>
      <c r="F1760" s="2"/>
      <c r="G1760" s="2"/>
    </row>
    <row r="1761">
      <c r="A1761" s="1" t="s">
        <v>951</v>
      </c>
      <c r="B1761" s="1">
        <v>0.0</v>
      </c>
      <c r="C1761" s="2"/>
      <c r="D1761" s="2"/>
      <c r="E1761" s="2"/>
      <c r="F1761" s="2"/>
      <c r="G1761" s="2"/>
    </row>
    <row r="1762">
      <c r="A1762" s="1" t="s">
        <v>952</v>
      </c>
      <c r="B1762" s="1">
        <v>80.0</v>
      </c>
      <c r="C1762" s="2"/>
      <c r="D1762" s="2"/>
      <c r="E1762" s="2"/>
      <c r="F1762" s="2"/>
      <c r="G1762" s="2"/>
    </row>
    <row r="1763">
      <c r="A1763" s="1" t="s">
        <v>953</v>
      </c>
      <c r="B1763" s="1">
        <v>0.0</v>
      </c>
      <c r="C1763" s="2"/>
      <c r="D1763" s="2"/>
      <c r="E1763" s="2"/>
      <c r="F1763" s="2"/>
      <c r="G1763" s="2"/>
    </row>
    <row r="1764">
      <c r="A1764" s="1" t="s">
        <v>954</v>
      </c>
      <c r="B1764" s="1">
        <v>0.0</v>
      </c>
      <c r="C1764" s="2"/>
      <c r="D1764" s="2"/>
      <c r="E1764" s="2"/>
      <c r="F1764" s="2"/>
      <c r="G1764" s="2"/>
    </row>
    <row r="1765">
      <c r="A1765" s="1" t="s">
        <v>955</v>
      </c>
      <c r="B1765" s="1">
        <v>79.0</v>
      </c>
      <c r="C1765" s="2"/>
      <c r="D1765" s="2"/>
      <c r="E1765" s="2"/>
      <c r="F1765" s="2"/>
      <c r="G1765" s="2"/>
    </row>
    <row r="1766">
      <c r="A1766" s="1" t="s">
        <v>956</v>
      </c>
      <c r="B1766" s="1">
        <v>0.0</v>
      </c>
      <c r="C1766" s="2"/>
      <c r="D1766" s="2"/>
      <c r="E1766" s="2"/>
      <c r="F1766" s="2"/>
      <c r="G1766" s="2"/>
    </row>
    <row r="1767">
      <c r="A1767" s="1" t="s">
        <v>957</v>
      </c>
      <c r="B1767" s="1">
        <v>0.0</v>
      </c>
      <c r="C1767" s="2"/>
      <c r="D1767" s="2"/>
      <c r="E1767" s="2"/>
      <c r="F1767" s="2"/>
      <c r="G1767" s="2"/>
    </row>
    <row r="1768">
      <c r="A1768" s="1" t="s">
        <v>958</v>
      </c>
      <c r="B1768" s="1">
        <v>0.0</v>
      </c>
      <c r="C1768" s="2"/>
      <c r="D1768" s="2"/>
      <c r="E1768" s="2"/>
      <c r="F1768" s="2"/>
      <c r="G1768" s="2"/>
    </row>
    <row r="1769">
      <c r="A1769" s="1" t="s">
        <v>959</v>
      </c>
      <c r="B1769" s="1">
        <v>0.0</v>
      </c>
      <c r="C1769" s="2"/>
      <c r="D1769" s="2"/>
      <c r="E1769" s="2"/>
      <c r="F1769" s="2"/>
      <c r="G1769" s="2"/>
    </row>
    <row r="1770">
      <c r="A1770" s="1" t="s">
        <v>960</v>
      </c>
      <c r="B1770" s="1">
        <v>0.0</v>
      </c>
      <c r="C1770" s="2"/>
      <c r="D1770" s="2"/>
      <c r="E1770" s="2"/>
      <c r="F1770" s="2"/>
      <c r="G1770" s="2"/>
    </row>
    <row r="1771">
      <c r="A1771" s="1" t="s">
        <v>961</v>
      </c>
      <c r="B1771" s="1">
        <v>0.0</v>
      </c>
      <c r="C1771" s="2"/>
      <c r="D1771" s="2"/>
      <c r="E1771" s="2"/>
      <c r="F1771" s="2"/>
      <c r="G1771" s="2"/>
    </row>
    <row r="1772">
      <c r="A1772" s="1" t="s">
        <v>962</v>
      </c>
      <c r="B1772" s="1">
        <v>0.0</v>
      </c>
      <c r="C1772" s="2"/>
      <c r="D1772" s="2"/>
      <c r="E1772" s="2"/>
      <c r="F1772" s="2"/>
      <c r="G1772" s="2"/>
    </row>
    <row r="1773">
      <c r="A1773" s="1" t="s">
        <v>963</v>
      </c>
      <c r="B1773" s="1">
        <v>32.0</v>
      </c>
      <c r="C1773" s="2"/>
      <c r="D1773" s="2"/>
      <c r="E1773" s="2"/>
      <c r="F1773" s="2"/>
      <c r="G1773" s="2"/>
    </row>
    <row r="1774">
      <c r="A1774" s="1" t="s">
        <v>964</v>
      </c>
      <c r="B1774" s="1">
        <v>0.0</v>
      </c>
      <c r="C1774" s="2"/>
      <c r="D1774" s="2"/>
      <c r="E1774" s="2"/>
      <c r="F1774" s="2"/>
      <c r="G1774" s="2"/>
    </row>
    <row r="1775">
      <c r="A1775" s="1" t="s">
        <v>965</v>
      </c>
      <c r="B1775" s="1">
        <v>96.0</v>
      </c>
      <c r="C1775" s="2"/>
      <c r="D1775" s="2"/>
      <c r="E1775" s="2"/>
      <c r="F1775" s="2"/>
      <c r="G1775" s="2"/>
    </row>
    <row r="1776">
      <c r="A1776" s="1" t="s">
        <v>966</v>
      </c>
      <c r="B1776" s="1" t="s">
        <v>967</v>
      </c>
      <c r="C1776" s="1" t="s">
        <v>968</v>
      </c>
      <c r="D1776" s="2"/>
      <c r="E1776" s="2"/>
      <c r="F1776" s="2"/>
      <c r="G1776" s="2"/>
    </row>
    <row r="1777">
      <c r="A1777" s="1" t="s">
        <v>969</v>
      </c>
      <c r="B1777" s="1">
        <v>0.0</v>
      </c>
      <c r="C1777" s="2"/>
      <c r="D1777" s="2"/>
      <c r="E1777" s="2"/>
      <c r="F1777" s="2"/>
      <c r="G1777" s="2"/>
    </row>
    <row r="1778">
      <c r="A1778" s="1" t="s">
        <v>970</v>
      </c>
      <c r="B1778" s="2"/>
      <c r="C1778" s="2"/>
      <c r="D1778" s="2"/>
      <c r="E1778" s="2"/>
      <c r="F1778" s="2"/>
      <c r="G1778" s="2"/>
    </row>
    <row r="1779">
      <c r="A1779" s="1" t="s">
        <v>971</v>
      </c>
      <c r="B1779" s="1">
        <v>0.0</v>
      </c>
      <c r="C1779" s="2"/>
      <c r="D1779" s="2"/>
      <c r="E1779" s="2"/>
      <c r="F1779" s="2"/>
      <c r="G1779" s="2"/>
    </row>
    <row r="1780">
      <c r="A1780" s="1" t="s">
        <v>972</v>
      </c>
      <c r="B1780" s="1">
        <v>0.0</v>
      </c>
      <c r="C1780" s="2"/>
      <c r="D1780" s="2"/>
      <c r="E1780" s="2"/>
      <c r="F1780" s="2"/>
      <c r="G1780" s="2"/>
    </row>
    <row r="1781">
      <c r="A1781" s="1" t="s">
        <v>973</v>
      </c>
      <c r="B1781" s="1">
        <v>0.0</v>
      </c>
      <c r="C1781" s="2"/>
      <c r="D1781" s="2"/>
      <c r="E1781" s="2"/>
      <c r="F1781" s="2"/>
      <c r="G1781" s="2"/>
    </row>
    <row r="1782">
      <c r="A1782" s="1" t="s">
        <v>974</v>
      </c>
      <c r="B1782" s="1">
        <v>0.0</v>
      </c>
      <c r="C1782" s="2"/>
      <c r="D1782" s="2"/>
      <c r="E1782" s="2"/>
      <c r="F1782" s="2"/>
      <c r="G1782" s="2"/>
    </row>
    <row r="1783">
      <c r="A1783" s="1" t="s">
        <v>975</v>
      </c>
      <c r="B1783" s="1">
        <v>0.0</v>
      </c>
      <c r="C1783" s="2"/>
      <c r="D1783" s="2"/>
      <c r="E1783" s="2"/>
      <c r="F1783" s="2"/>
      <c r="G1783" s="2"/>
    </row>
    <row r="1784">
      <c r="A1784" s="1" t="s">
        <v>976</v>
      </c>
      <c r="B1784" s="1">
        <v>0.0</v>
      </c>
      <c r="C1784" s="2"/>
      <c r="D1784" s="2"/>
      <c r="E1784" s="2"/>
      <c r="F1784" s="2"/>
      <c r="G1784" s="2"/>
    </row>
    <row r="1785">
      <c r="A1785" s="1" t="s">
        <v>977</v>
      </c>
      <c r="B1785" s="1">
        <v>81.0</v>
      </c>
      <c r="C1785" s="2"/>
      <c r="D1785" s="2"/>
      <c r="E1785" s="2"/>
      <c r="F1785" s="2"/>
      <c r="G1785" s="2"/>
    </row>
    <row r="1786">
      <c r="A1786" s="1" t="s">
        <v>978</v>
      </c>
      <c r="B1786" s="1">
        <v>0.0</v>
      </c>
      <c r="C1786" s="2"/>
      <c r="D1786" s="2"/>
      <c r="E1786" s="2"/>
      <c r="F1786" s="2"/>
      <c r="G1786" s="2"/>
    </row>
    <row r="1787">
      <c r="A1787" s="1" t="s">
        <v>979</v>
      </c>
      <c r="B1787" s="1">
        <v>0.0</v>
      </c>
      <c r="C1787" s="2"/>
      <c r="D1787" s="2"/>
      <c r="E1787" s="2"/>
      <c r="F1787" s="2"/>
      <c r="G1787" s="2"/>
    </row>
    <row r="1788">
      <c r="A1788" s="1" t="s">
        <v>980</v>
      </c>
      <c r="B1788" s="1" t="s">
        <v>981</v>
      </c>
      <c r="C1788" s="1">
        <v>12.0</v>
      </c>
      <c r="D1788" s="2"/>
      <c r="E1788" s="2"/>
      <c r="F1788" s="2"/>
      <c r="G1788" s="2"/>
    </row>
    <row r="1789">
      <c r="A1789" s="1" t="s">
        <v>982</v>
      </c>
      <c r="B1789" s="1">
        <v>0.0</v>
      </c>
      <c r="C1789" s="2"/>
      <c r="D1789" s="2"/>
      <c r="E1789" s="2"/>
      <c r="F1789" s="2"/>
      <c r="G1789" s="2"/>
    </row>
    <row r="1790">
      <c r="A1790" s="1" t="s">
        <v>983</v>
      </c>
      <c r="B1790" s="1">
        <v>0.0</v>
      </c>
      <c r="C1790" s="2"/>
      <c r="D1790" s="2"/>
      <c r="E1790" s="2"/>
      <c r="F1790" s="2"/>
      <c r="G1790" s="2"/>
    </row>
    <row r="1791">
      <c r="A1791" s="1" t="s">
        <v>984</v>
      </c>
      <c r="B1791" s="1">
        <v>38.0</v>
      </c>
      <c r="C1791" s="2"/>
      <c r="D1791" s="2"/>
      <c r="E1791" s="2"/>
      <c r="F1791" s="2"/>
      <c r="G1791" s="2"/>
    </row>
    <row r="1792">
      <c r="A1792" s="1" t="s">
        <v>985</v>
      </c>
      <c r="B1792" s="1">
        <v>0.0</v>
      </c>
      <c r="C1792" s="2"/>
      <c r="D1792" s="2"/>
      <c r="E1792" s="2"/>
      <c r="F1792" s="2"/>
      <c r="G1792" s="2"/>
    </row>
    <row r="1793">
      <c r="A1793" s="1" t="s">
        <v>986</v>
      </c>
      <c r="B1793" s="1">
        <v>0.0</v>
      </c>
      <c r="C1793" s="2"/>
      <c r="D1793" s="2"/>
      <c r="E1793" s="2"/>
      <c r="F1793" s="2"/>
      <c r="G1793" s="2"/>
    </row>
    <row r="1794">
      <c r="A1794" s="1" t="s">
        <v>987</v>
      </c>
      <c r="B1794" s="1">
        <v>0.0</v>
      </c>
      <c r="C1794" s="2"/>
      <c r="D1794" s="2"/>
      <c r="E1794" s="2"/>
      <c r="F1794" s="2"/>
      <c r="G1794" s="2"/>
    </row>
    <row r="1795">
      <c r="A1795" s="1" t="s">
        <v>988</v>
      </c>
      <c r="B1795" s="1">
        <v>56.0</v>
      </c>
      <c r="C1795" s="2"/>
      <c r="D1795" s="2"/>
      <c r="E1795" s="2"/>
      <c r="F1795" s="2"/>
      <c r="G1795" s="2"/>
    </row>
    <row r="1796">
      <c r="A1796" s="1" t="s">
        <v>989</v>
      </c>
      <c r="B1796" s="1">
        <v>0.0</v>
      </c>
      <c r="C1796" s="2"/>
      <c r="D1796" s="2"/>
      <c r="E1796" s="2"/>
      <c r="F1796" s="2"/>
      <c r="G1796" s="2"/>
    </row>
    <row r="1797">
      <c r="A1797" s="1" t="s">
        <v>990</v>
      </c>
      <c r="B1797" s="1">
        <v>50.0</v>
      </c>
      <c r="C1797" s="2"/>
      <c r="D1797" s="2"/>
      <c r="E1797" s="2"/>
      <c r="F1797" s="2"/>
      <c r="G1797" s="2"/>
    </row>
    <row r="1798">
      <c r="A1798" s="1" t="s">
        <v>991</v>
      </c>
      <c r="B1798" s="1">
        <v>0.0</v>
      </c>
      <c r="C1798" s="2"/>
      <c r="D1798" s="2"/>
      <c r="E1798" s="2"/>
      <c r="F1798" s="2"/>
      <c r="G1798" s="2"/>
    </row>
    <row r="1799">
      <c r="A1799" s="1" t="s">
        <v>992</v>
      </c>
      <c r="B1799" s="1">
        <v>0.0</v>
      </c>
      <c r="C1799" s="2"/>
      <c r="D1799" s="2"/>
      <c r="E1799" s="2"/>
      <c r="F1799" s="2"/>
      <c r="G1799" s="2"/>
    </row>
    <row r="1800">
      <c r="A1800" s="1" t="s">
        <v>993</v>
      </c>
      <c r="B1800" s="1">
        <v>43.0</v>
      </c>
      <c r="C1800" s="2"/>
      <c r="D1800" s="2"/>
      <c r="E1800" s="2"/>
      <c r="F1800" s="2"/>
      <c r="G1800" s="2"/>
    </row>
    <row r="1801">
      <c r="A1801" s="1" t="s">
        <v>994</v>
      </c>
      <c r="B1801" s="1">
        <v>0.0</v>
      </c>
      <c r="C1801" s="2"/>
      <c r="D1801" s="2"/>
      <c r="E1801" s="2"/>
      <c r="F1801" s="2"/>
      <c r="G1801" s="2"/>
    </row>
    <row r="1802">
      <c r="A1802" s="1" t="s">
        <v>995</v>
      </c>
      <c r="B1802" s="1">
        <v>72.0</v>
      </c>
      <c r="C1802" s="2"/>
      <c r="D1802" s="2"/>
      <c r="E1802" s="2"/>
      <c r="F1802" s="2"/>
      <c r="G1802" s="2"/>
    </row>
    <row r="1803">
      <c r="A1803" s="1" t="s">
        <v>996</v>
      </c>
      <c r="B1803" s="1">
        <v>30.0</v>
      </c>
      <c r="C1803" s="2"/>
      <c r="D1803" s="2"/>
      <c r="E1803" s="2"/>
      <c r="F1803" s="2"/>
      <c r="G1803" s="2"/>
    </row>
    <row r="1804">
      <c r="A1804" s="1" t="s">
        <v>997</v>
      </c>
      <c r="B1804" s="1">
        <v>92.0</v>
      </c>
      <c r="C1804" s="2"/>
      <c r="D1804" s="2"/>
      <c r="E1804" s="2"/>
      <c r="F1804" s="2"/>
      <c r="G1804" s="2"/>
    </row>
    <row r="1805">
      <c r="A1805" s="1" t="s">
        <v>998</v>
      </c>
      <c r="B1805" s="1">
        <v>78.0</v>
      </c>
      <c r="C1805" s="2"/>
      <c r="D1805" s="2"/>
      <c r="E1805" s="2"/>
      <c r="F1805" s="2"/>
      <c r="G1805" s="2"/>
    </row>
    <row r="1806">
      <c r="A1806" s="1" t="s">
        <v>999</v>
      </c>
      <c r="B1806" s="1">
        <v>0.0</v>
      </c>
      <c r="C1806" s="2"/>
      <c r="D1806" s="2"/>
      <c r="E1806" s="2"/>
      <c r="F1806" s="2"/>
      <c r="G1806" s="2"/>
    </row>
    <row r="1807">
      <c r="A1807" s="1" t="s">
        <v>1000</v>
      </c>
      <c r="B1807" s="1">
        <v>0.0</v>
      </c>
      <c r="C1807" s="2"/>
      <c r="D1807" s="2"/>
      <c r="E1807" s="2"/>
      <c r="F1807" s="2"/>
      <c r="G1807" s="2"/>
    </row>
    <row r="1808">
      <c r="A1808" s="1" t="s">
        <v>1001</v>
      </c>
      <c r="B1808" s="1">
        <v>0.0</v>
      </c>
      <c r="C1808" s="2"/>
      <c r="D1808" s="2"/>
      <c r="E1808" s="2"/>
      <c r="F1808" s="2"/>
      <c r="G1808" s="2"/>
    </row>
    <row r="1809">
      <c r="A1809" s="1" t="s">
        <v>1002</v>
      </c>
      <c r="B1809" s="1">
        <v>0.0</v>
      </c>
      <c r="C1809" s="2"/>
      <c r="D1809" s="2"/>
      <c r="E1809" s="2"/>
      <c r="F1809" s="2"/>
      <c r="G1809" s="2"/>
    </row>
    <row r="1810">
      <c r="A1810" s="1" t="s">
        <v>1003</v>
      </c>
      <c r="B1810" s="1">
        <v>0.0</v>
      </c>
      <c r="C1810" s="2"/>
      <c r="D1810" s="2"/>
      <c r="E1810" s="2"/>
      <c r="F1810" s="2"/>
      <c r="G1810" s="2"/>
    </row>
    <row r="1811">
      <c r="A1811" s="1" t="s">
        <v>1004</v>
      </c>
      <c r="B1811" s="1">
        <v>0.0</v>
      </c>
      <c r="C1811" s="2"/>
      <c r="D1811" s="2"/>
      <c r="E1811" s="2"/>
      <c r="F1811" s="2"/>
      <c r="G1811" s="2"/>
    </row>
    <row r="1812">
      <c r="A1812" s="1" t="s">
        <v>1005</v>
      </c>
      <c r="B1812" s="1">
        <v>0.0</v>
      </c>
      <c r="C1812" s="2"/>
      <c r="D1812" s="2"/>
      <c r="E1812" s="2"/>
      <c r="F1812" s="2"/>
      <c r="G1812" s="2"/>
    </row>
    <row r="1813">
      <c r="A1813" s="1" t="s">
        <v>1006</v>
      </c>
      <c r="B1813" s="1">
        <v>77.0</v>
      </c>
      <c r="C1813" s="2"/>
      <c r="D1813" s="2"/>
      <c r="E1813" s="2"/>
      <c r="F1813" s="2"/>
      <c r="G1813" s="2"/>
    </row>
    <row r="1814">
      <c r="A1814" s="1" t="s">
        <v>1007</v>
      </c>
      <c r="B1814" s="1">
        <v>0.0</v>
      </c>
      <c r="C1814" s="2"/>
      <c r="D1814" s="2"/>
      <c r="E1814" s="2"/>
      <c r="F1814" s="2"/>
      <c r="G1814" s="2"/>
    </row>
    <row r="1815">
      <c r="A1815" s="1" t="s">
        <v>1008</v>
      </c>
      <c r="B1815" s="1">
        <v>43.0</v>
      </c>
      <c r="C1815" s="2"/>
      <c r="D1815" s="2"/>
      <c r="E1815" s="2"/>
      <c r="F1815" s="2"/>
      <c r="G1815" s="2"/>
    </row>
    <row r="1816">
      <c r="A1816" s="1" t="s">
        <v>1009</v>
      </c>
      <c r="B1816" s="1">
        <v>0.0</v>
      </c>
      <c r="C1816" s="2"/>
      <c r="D1816" s="2"/>
      <c r="E1816" s="2"/>
      <c r="F1816" s="2"/>
      <c r="G1816" s="2"/>
    </row>
    <row r="1817">
      <c r="A1817" s="1" t="s">
        <v>1010</v>
      </c>
      <c r="B1817" s="1" t="s">
        <v>1011</v>
      </c>
      <c r="C1817" s="1">
        <v>0.0</v>
      </c>
      <c r="D1817" s="2"/>
      <c r="E1817" s="2"/>
      <c r="F1817" s="2"/>
      <c r="G1817" s="2"/>
    </row>
    <row r="1818">
      <c r="A1818" s="1" t="s">
        <v>1012</v>
      </c>
      <c r="B1818" s="1">
        <v>0.0</v>
      </c>
      <c r="C1818" s="2"/>
      <c r="D1818" s="2"/>
      <c r="E1818" s="2"/>
      <c r="F1818" s="2"/>
      <c r="G1818" s="2"/>
    </row>
    <row r="1819">
      <c r="A1819" s="1" t="s">
        <v>1013</v>
      </c>
      <c r="B1819" s="1">
        <v>60.0</v>
      </c>
      <c r="C1819" s="2"/>
      <c r="D1819" s="2"/>
      <c r="E1819" s="2"/>
      <c r="F1819" s="2"/>
      <c r="G1819" s="2"/>
    </row>
    <row r="1820">
      <c r="A1820" s="1" t="s">
        <v>1014</v>
      </c>
      <c r="B1820" s="1">
        <v>0.0</v>
      </c>
      <c r="C1820" s="2"/>
      <c r="D1820" s="2"/>
      <c r="E1820" s="2"/>
      <c r="F1820" s="2"/>
      <c r="G1820" s="2"/>
    </row>
    <row r="1821">
      <c r="A1821" s="1" t="s">
        <v>1015</v>
      </c>
      <c r="B1821" s="1">
        <v>0.0</v>
      </c>
      <c r="C1821" s="2"/>
      <c r="D1821" s="2"/>
      <c r="E1821" s="2"/>
      <c r="F1821" s="2"/>
      <c r="G1821" s="2"/>
    </row>
    <row r="1822">
      <c r="A1822" s="1" t="s">
        <v>1016</v>
      </c>
      <c r="B1822" s="1">
        <v>0.0</v>
      </c>
      <c r="C1822" s="2"/>
      <c r="D1822" s="2"/>
      <c r="E1822" s="2"/>
      <c r="F1822" s="2"/>
      <c r="G1822" s="2"/>
    </row>
    <row r="1823">
      <c r="A1823" s="1" t="s">
        <v>1017</v>
      </c>
      <c r="B1823" s="1" t="s">
        <v>1018</v>
      </c>
      <c r="C1823" s="1" t="s">
        <v>1019</v>
      </c>
      <c r="D1823" s="1">
        <v>96.0</v>
      </c>
      <c r="E1823" s="2"/>
      <c r="F1823" s="2"/>
      <c r="G1823" s="2"/>
    </row>
    <row r="1824">
      <c r="A1824" s="1" t="s">
        <v>1020</v>
      </c>
      <c r="B1824" s="1">
        <v>0.0</v>
      </c>
      <c r="C1824" s="2"/>
      <c r="D1824" s="2"/>
      <c r="E1824" s="2"/>
      <c r="F1824" s="2"/>
      <c r="G1824" s="2"/>
    </row>
    <row r="1825">
      <c r="A1825" s="1" t="s">
        <v>1021</v>
      </c>
      <c r="B1825" s="1">
        <v>0.0</v>
      </c>
      <c r="C1825" s="2"/>
      <c r="D1825" s="2"/>
      <c r="E1825" s="2"/>
      <c r="F1825" s="2"/>
      <c r="G1825" s="2"/>
    </row>
    <row r="1826">
      <c r="A1826" s="1" t="s">
        <v>1022</v>
      </c>
      <c r="B1826" s="1">
        <v>0.0</v>
      </c>
      <c r="C1826" s="2"/>
      <c r="D1826" s="2"/>
      <c r="E1826" s="2"/>
      <c r="F1826" s="2"/>
      <c r="G1826" s="2"/>
    </row>
    <row r="1827">
      <c r="A1827" s="1" t="s">
        <v>1023</v>
      </c>
      <c r="B1827" s="1">
        <v>6.0</v>
      </c>
      <c r="C1827" s="2"/>
      <c r="D1827" s="2"/>
      <c r="E1827" s="2"/>
      <c r="F1827" s="2"/>
      <c r="G1827" s="2"/>
    </row>
    <row r="1828">
      <c r="A1828" s="1" t="s">
        <v>1024</v>
      </c>
      <c r="B1828" s="1">
        <v>0.0</v>
      </c>
      <c r="C1828" s="2"/>
      <c r="D1828" s="2"/>
      <c r="E1828" s="2"/>
      <c r="F1828" s="2"/>
      <c r="G1828" s="2"/>
    </row>
    <row r="1829">
      <c r="A1829" s="1" t="s">
        <v>1025</v>
      </c>
      <c r="B1829" s="1">
        <v>50.0</v>
      </c>
      <c r="C1829" s="2"/>
      <c r="D1829" s="2"/>
      <c r="E1829" s="2"/>
      <c r="F1829" s="2"/>
      <c r="G1829" s="2"/>
    </row>
    <row r="1830">
      <c r="A1830" s="1" t="s">
        <v>1026</v>
      </c>
      <c r="B1830" s="1">
        <v>78.0</v>
      </c>
      <c r="C1830" s="2"/>
      <c r="D1830" s="2"/>
      <c r="E1830" s="2"/>
      <c r="F1830" s="2"/>
      <c r="G1830" s="2"/>
    </row>
    <row r="1831">
      <c r="A1831" s="1" t="s">
        <v>1027</v>
      </c>
      <c r="B1831" s="1">
        <v>10.0</v>
      </c>
      <c r="C1831" s="2"/>
      <c r="D1831" s="2"/>
      <c r="E1831" s="2"/>
      <c r="F1831" s="2"/>
      <c r="G1831" s="2"/>
    </row>
    <row r="1832">
      <c r="A1832" s="1" t="s">
        <v>1028</v>
      </c>
      <c r="B1832" s="1">
        <v>0.0</v>
      </c>
      <c r="C1832" s="2"/>
      <c r="D1832" s="2"/>
      <c r="E1832" s="2"/>
      <c r="F1832" s="2"/>
      <c r="G1832" s="2"/>
    </row>
    <row r="1833">
      <c r="A1833" s="1" t="s">
        <v>1029</v>
      </c>
      <c r="B1833" s="1">
        <v>80.0</v>
      </c>
      <c r="C1833" s="2"/>
      <c r="D1833" s="2"/>
      <c r="E1833" s="2"/>
      <c r="F1833" s="2"/>
      <c r="G1833" s="2"/>
    </row>
    <row r="1834">
      <c r="A1834" s="1" t="s">
        <v>1030</v>
      </c>
      <c r="B1834" s="1">
        <v>0.0</v>
      </c>
      <c r="C1834" s="2"/>
      <c r="D1834" s="2"/>
      <c r="E1834" s="2"/>
      <c r="F1834" s="2"/>
      <c r="G1834" s="2"/>
    </row>
    <row r="1835">
      <c r="A1835" s="1" t="s">
        <v>1031</v>
      </c>
      <c r="B1835" s="1">
        <v>0.0</v>
      </c>
      <c r="C1835" s="2"/>
      <c r="D1835" s="2"/>
      <c r="E1835" s="2"/>
      <c r="F1835" s="2"/>
      <c r="G1835" s="2"/>
    </row>
    <row r="1836">
      <c r="A1836" s="1" t="s">
        <v>1032</v>
      </c>
      <c r="B1836" s="1">
        <v>0.0</v>
      </c>
      <c r="C1836" s="2"/>
      <c r="D1836" s="2"/>
      <c r="E1836" s="2"/>
      <c r="F1836" s="2"/>
      <c r="G1836" s="2"/>
    </row>
    <row r="1837">
      <c r="A1837" s="1" t="s">
        <v>1033</v>
      </c>
      <c r="B1837" s="1">
        <v>90.0</v>
      </c>
      <c r="C1837" s="2"/>
      <c r="D1837" s="2"/>
      <c r="E1837" s="2"/>
      <c r="F1837" s="2"/>
      <c r="G1837" s="2"/>
    </row>
    <row r="1838">
      <c r="A1838" s="1" t="s">
        <v>1034</v>
      </c>
      <c r="B1838" s="1">
        <v>40.0</v>
      </c>
      <c r="C1838" s="2"/>
      <c r="D1838" s="2"/>
      <c r="E1838" s="2"/>
      <c r="F1838" s="2"/>
      <c r="G1838" s="2"/>
    </row>
    <row r="1839">
      <c r="A1839" s="1" t="s">
        <v>1035</v>
      </c>
      <c r="B1839" s="1">
        <v>20.0</v>
      </c>
      <c r="C1839" s="2"/>
      <c r="D1839" s="2"/>
      <c r="E1839" s="2"/>
      <c r="F1839" s="2"/>
      <c r="G1839" s="2"/>
    </row>
    <row r="1840">
      <c r="A1840" s="1" t="s">
        <v>1036</v>
      </c>
      <c r="B1840" s="1">
        <v>0.0</v>
      </c>
      <c r="C1840" s="2"/>
      <c r="D1840" s="2"/>
      <c r="E1840" s="2"/>
      <c r="F1840" s="2"/>
      <c r="G1840" s="2"/>
    </row>
    <row r="1841">
      <c r="A1841" s="1" t="s">
        <v>1037</v>
      </c>
      <c r="B1841" s="1">
        <v>70.0</v>
      </c>
      <c r="C1841" s="2"/>
      <c r="D1841" s="2"/>
      <c r="E1841" s="2"/>
      <c r="F1841" s="2"/>
      <c r="G1841" s="2"/>
    </row>
    <row r="1842">
      <c r="A1842" s="1" t="s">
        <v>1038</v>
      </c>
      <c r="B1842" s="1">
        <v>67.0</v>
      </c>
      <c r="C1842" s="2"/>
      <c r="D1842" s="2"/>
      <c r="E1842" s="2"/>
      <c r="F1842" s="2"/>
      <c r="G1842" s="2"/>
    </row>
    <row r="1843">
      <c r="A1843" s="1" t="s">
        <v>1039</v>
      </c>
      <c r="B1843" s="1">
        <v>0.0</v>
      </c>
      <c r="C1843" s="2"/>
      <c r="D1843" s="2"/>
      <c r="E1843" s="2"/>
      <c r="F1843" s="2"/>
      <c r="G1843" s="2"/>
    </row>
    <row r="1844">
      <c r="A1844" s="1" t="s">
        <v>1040</v>
      </c>
      <c r="B1844" s="1">
        <v>40.0</v>
      </c>
      <c r="C1844" s="2"/>
      <c r="D1844" s="2"/>
      <c r="E1844" s="2"/>
      <c r="F1844" s="2"/>
      <c r="G1844" s="2"/>
    </row>
    <row r="1845">
      <c r="A1845" s="1" t="s">
        <v>1041</v>
      </c>
      <c r="B1845" s="1">
        <v>0.0</v>
      </c>
      <c r="C1845" s="2"/>
      <c r="D1845" s="2"/>
      <c r="E1845" s="2"/>
      <c r="F1845" s="2"/>
      <c r="G1845" s="2"/>
    </row>
    <row r="1846">
      <c r="A1846" s="1" t="s">
        <v>1042</v>
      </c>
      <c r="B1846" s="1">
        <v>0.0</v>
      </c>
      <c r="C1846" s="2"/>
      <c r="D1846" s="2"/>
      <c r="E1846" s="2"/>
      <c r="F1846" s="2"/>
      <c r="G1846" s="2"/>
    </row>
    <row r="1847">
      <c r="A1847" s="1" t="s">
        <v>1043</v>
      </c>
      <c r="B1847" s="1">
        <v>0.0</v>
      </c>
      <c r="C1847" s="2"/>
      <c r="D1847" s="2"/>
      <c r="E1847" s="2"/>
      <c r="F1847" s="2"/>
      <c r="G1847" s="2"/>
    </row>
    <row r="1848">
      <c r="A1848" s="1" t="s">
        <v>1044</v>
      </c>
      <c r="B1848" s="1">
        <v>32.0</v>
      </c>
      <c r="C1848" s="2"/>
      <c r="D1848" s="2"/>
      <c r="E1848" s="2"/>
      <c r="F1848" s="2"/>
      <c r="G1848" s="2"/>
    </row>
    <row r="1849">
      <c r="A1849" s="1" t="s">
        <v>1045</v>
      </c>
      <c r="B1849" s="1">
        <v>53.0</v>
      </c>
      <c r="C1849" s="2"/>
      <c r="D1849" s="2"/>
      <c r="E1849" s="2"/>
      <c r="F1849" s="2"/>
      <c r="G1849" s="2"/>
    </row>
    <row r="1850">
      <c r="A1850" s="1" t="s">
        <v>1046</v>
      </c>
      <c r="B1850" s="1">
        <v>37.0</v>
      </c>
      <c r="C1850" s="2"/>
      <c r="D1850" s="2"/>
      <c r="E1850" s="2"/>
      <c r="F1850" s="2"/>
      <c r="G1850" s="2"/>
    </row>
    <row r="1851">
      <c r="A1851" s="1" t="s">
        <v>1047</v>
      </c>
      <c r="B1851" s="1">
        <v>0.0</v>
      </c>
      <c r="C1851" s="2"/>
      <c r="D1851" s="2"/>
      <c r="E1851" s="2"/>
      <c r="F1851" s="2"/>
      <c r="G1851" s="2"/>
    </row>
    <row r="1852">
      <c r="A1852" s="1" t="s">
        <v>1048</v>
      </c>
      <c r="B1852" s="1">
        <v>0.0</v>
      </c>
      <c r="C1852" s="2"/>
      <c r="D1852" s="2"/>
      <c r="E1852" s="2"/>
      <c r="F1852" s="2"/>
      <c r="G1852" s="2"/>
    </row>
    <row r="1853">
      <c r="A1853" s="1" t="s">
        <v>1049</v>
      </c>
      <c r="B1853" s="1">
        <v>0.0</v>
      </c>
      <c r="C1853" s="2"/>
      <c r="D1853" s="2"/>
      <c r="E1853" s="2"/>
      <c r="F1853" s="2"/>
      <c r="G1853" s="2"/>
    </row>
    <row r="1854">
      <c r="A1854" s="1" t="s">
        <v>1050</v>
      </c>
      <c r="B1854" s="1">
        <v>8.0</v>
      </c>
      <c r="C1854" s="2"/>
      <c r="D1854" s="2"/>
      <c r="E1854" s="2"/>
      <c r="F1854" s="2"/>
      <c r="G1854" s="2"/>
    </row>
    <row r="1855">
      <c r="A1855" s="1" t="s">
        <v>1051</v>
      </c>
      <c r="B1855" s="1">
        <v>0.0</v>
      </c>
      <c r="C1855" s="2"/>
      <c r="D1855" s="2"/>
      <c r="E1855" s="2"/>
      <c r="F1855" s="2"/>
      <c r="G1855" s="2"/>
    </row>
    <row r="1856">
      <c r="A1856" s="1" t="s">
        <v>1052</v>
      </c>
      <c r="B1856" s="1">
        <v>0.0</v>
      </c>
      <c r="C1856" s="2"/>
      <c r="D1856" s="2"/>
      <c r="E1856" s="2"/>
      <c r="F1856" s="2"/>
      <c r="G1856" s="2"/>
    </row>
    <row r="1857">
      <c r="A1857" s="1" t="s">
        <v>1053</v>
      </c>
      <c r="B1857" s="1">
        <v>70.0</v>
      </c>
      <c r="C1857" s="2"/>
      <c r="D1857" s="2"/>
      <c r="E1857" s="2"/>
      <c r="F1857" s="2"/>
      <c r="G1857" s="2"/>
    </row>
    <row r="1858">
      <c r="A1858" s="1" t="s">
        <v>1054</v>
      </c>
      <c r="B1858" s="1">
        <v>48.0</v>
      </c>
      <c r="C1858" s="2"/>
      <c r="D1858" s="2"/>
      <c r="E1858" s="2"/>
      <c r="F1858" s="2"/>
      <c r="G1858" s="2"/>
    </row>
    <row r="1859">
      <c r="A1859" s="1" t="s">
        <v>1055</v>
      </c>
      <c r="B1859" s="1">
        <v>0.0</v>
      </c>
      <c r="C1859" s="2"/>
      <c r="D1859" s="2"/>
      <c r="E1859" s="2"/>
      <c r="F1859" s="2"/>
      <c r="G1859" s="2"/>
    </row>
    <row r="1860">
      <c r="A1860" s="1" t="s">
        <v>1056</v>
      </c>
      <c r="B1860" s="1">
        <v>0.0</v>
      </c>
      <c r="C1860" s="2"/>
      <c r="D1860" s="2"/>
      <c r="E1860" s="2"/>
      <c r="F1860" s="2"/>
      <c r="G1860" s="2"/>
    </row>
    <row r="1861">
      <c r="A1861" s="1" t="s">
        <v>1057</v>
      </c>
      <c r="B1861" s="1">
        <v>20.0</v>
      </c>
      <c r="C1861" s="2"/>
      <c r="D1861" s="2"/>
      <c r="E1861" s="2"/>
      <c r="F1861" s="2"/>
      <c r="G1861" s="2"/>
    </row>
    <row r="1862">
      <c r="A1862" s="1" t="s">
        <v>1058</v>
      </c>
      <c r="B1862" s="1">
        <v>74.0</v>
      </c>
      <c r="C1862" s="2"/>
      <c r="D1862" s="2"/>
      <c r="E1862" s="2"/>
      <c r="F1862" s="2"/>
      <c r="G1862" s="2"/>
    </row>
    <row r="1863">
      <c r="A1863" s="1" t="s">
        <v>1059</v>
      </c>
      <c r="B1863" s="1">
        <v>97.0</v>
      </c>
      <c r="C1863" s="2"/>
      <c r="D1863" s="2"/>
      <c r="E1863" s="2"/>
      <c r="F1863" s="2"/>
      <c r="G1863" s="2"/>
    </row>
    <row r="1864">
      <c r="A1864" s="1" t="s">
        <v>1060</v>
      </c>
      <c r="B1864" s="1">
        <v>0.0</v>
      </c>
      <c r="C1864" s="2"/>
      <c r="D1864" s="2"/>
      <c r="E1864" s="2"/>
      <c r="F1864" s="2"/>
      <c r="G1864" s="2"/>
    </row>
    <row r="1865">
      <c r="A1865" s="1" t="s">
        <v>1061</v>
      </c>
      <c r="B1865" s="1">
        <v>0.0</v>
      </c>
      <c r="C1865" s="2"/>
      <c r="D1865" s="2"/>
      <c r="E1865" s="2"/>
      <c r="F1865" s="2"/>
      <c r="G1865" s="2"/>
    </row>
    <row r="1866">
      <c r="A1866" s="1" t="s">
        <v>1062</v>
      </c>
      <c r="B1866" s="1">
        <v>0.0</v>
      </c>
      <c r="C1866" s="2"/>
      <c r="D1866" s="2"/>
      <c r="E1866" s="2"/>
      <c r="F1866" s="2"/>
      <c r="G1866" s="2"/>
    </row>
    <row r="1867">
      <c r="A1867" s="1" t="s">
        <v>1063</v>
      </c>
      <c r="B1867" s="1">
        <v>84.0</v>
      </c>
      <c r="C1867" s="2"/>
      <c r="D1867" s="2"/>
      <c r="E1867" s="2"/>
      <c r="F1867" s="2"/>
      <c r="G1867" s="2"/>
    </row>
    <row r="1868">
      <c r="A1868" s="1" t="s">
        <v>1064</v>
      </c>
      <c r="B1868" s="1">
        <v>0.0</v>
      </c>
      <c r="C1868" s="2"/>
      <c r="D1868" s="2"/>
      <c r="E1868" s="2"/>
      <c r="F1868" s="2"/>
      <c r="G1868" s="2"/>
    </row>
    <row r="1869">
      <c r="A1869" s="1" t="s">
        <v>1065</v>
      </c>
      <c r="B1869" s="1">
        <v>26.0</v>
      </c>
      <c r="C1869" s="2"/>
      <c r="D1869" s="2"/>
      <c r="E1869" s="2"/>
      <c r="F1869" s="2"/>
      <c r="G1869" s="2"/>
    </row>
    <row r="1870">
      <c r="A1870" s="1" t="s">
        <v>1066</v>
      </c>
      <c r="B1870" s="1">
        <v>90.0</v>
      </c>
      <c r="C1870" s="2"/>
      <c r="D1870" s="2"/>
      <c r="E1870" s="2"/>
      <c r="F1870" s="2"/>
      <c r="G1870" s="2"/>
    </row>
    <row r="1871">
      <c r="A1871" s="1" t="s">
        <v>1067</v>
      </c>
      <c r="B1871" s="1">
        <v>0.0</v>
      </c>
      <c r="C1871" s="2"/>
      <c r="D1871" s="2"/>
      <c r="E1871" s="2"/>
      <c r="F1871" s="2"/>
      <c r="G1871" s="2"/>
    </row>
    <row r="1872">
      <c r="A1872" s="1" t="s">
        <v>1068</v>
      </c>
      <c r="B1872" s="1">
        <v>51.0</v>
      </c>
      <c r="C1872" s="2"/>
      <c r="D1872" s="2"/>
      <c r="E1872" s="2"/>
      <c r="F1872" s="2"/>
      <c r="G1872" s="2"/>
    </row>
    <row r="1873">
      <c r="A1873" s="1" t="s">
        <v>1069</v>
      </c>
      <c r="B1873" s="1">
        <v>0.0</v>
      </c>
      <c r="C1873" s="2"/>
      <c r="D1873" s="2"/>
      <c r="E1873" s="2"/>
      <c r="F1873" s="2"/>
      <c r="G1873" s="2"/>
    </row>
    <row r="1874">
      <c r="A1874" s="1" t="s">
        <v>1070</v>
      </c>
      <c r="B1874" s="1">
        <v>0.0</v>
      </c>
      <c r="C1874" s="2"/>
      <c r="D1874" s="2"/>
      <c r="E1874" s="2"/>
      <c r="F1874" s="2"/>
      <c r="G1874" s="2"/>
    </row>
    <row r="1875">
      <c r="A1875" s="1" t="s">
        <v>1071</v>
      </c>
      <c r="B1875" s="1">
        <v>0.0</v>
      </c>
      <c r="C1875" s="2"/>
      <c r="D1875" s="2"/>
      <c r="E1875" s="2"/>
      <c r="F1875" s="2"/>
      <c r="G1875" s="2"/>
    </row>
    <row r="1876">
      <c r="A1876" s="1" t="s">
        <v>1072</v>
      </c>
      <c r="B1876" s="1">
        <v>0.0</v>
      </c>
      <c r="C1876" s="2"/>
      <c r="D1876" s="2"/>
      <c r="E1876" s="2"/>
      <c r="F1876" s="2"/>
      <c r="G1876" s="2"/>
    </row>
    <row r="1877">
      <c r="A1877" s="1" t="s">
        <v>1073</v>
      </c>
      <c r="B1877" s="1">
        <v>0.0</v>
      </c>
      <c r="C1877" s="2"/>
      <c r="D1877" s="2"/>
      <c r="E1877" s="2"/>
      <c r="F1877" s="2"/>
      <c r="G1877" s="2"/>
    </row>
    <row r="1878">
      <c r="A1878" s="1" t="s">
        <v>1074</v>
      </c>
      <c r="B1878" s="1">
        <v>61.0</v>
      </c>
      <c r="C1878" s="2"/>
      <c r="D1878" s="2"/>
      <c r="E1878" s="2"/>
      <c r="F1878" s="2"/>
      <c r="G1878" s="2"/>
    </row>
    <row r="1879">
      <c r="A1879" s="1" t="s">
        <v>1075</v>
      </c>
      <c r="B1879" s="1">
        <v>0.0</v>
      </c>
      <c r="C1879" s="2"/>
      <c r="D1879" s="2"/>
      <c r="E1879" s="2"/>
      <c r="F1879" s="2"/>
      <c r="G1879" s="2"/>
    </row>
    <row r="1880">
      <c r="A1880" s="1" t="s">
        <v>1076</v>
      </c>
      <c r="B1880" s="1">
        <v>0.0</v>
      </c>
      <c r="C1880" s="2"/>
      <c r="D1880" s="2"/>
      <c r="E1880" s="2"/>
      <c r="F1880" s="2"/>
      <c r="G1880" s="2"/>
    </row>
    <row r="1881">
      <c r="A1881" s="1" t="s">
        <v>1077</v>
      </c>
      <c r="B1881" s="1">
        <v>0.0</v>
      </c>
      <c r="C1881" s="2"/>
      <c r="D1881" s="2"/>
      <c r="E1881" s="2"/>
      <c r="F1881" s="2"/>
      <c r="G1881" s="2"/>
    </row>
    <row r="1882">
      <c r="A1882" s="1" t="s">
        <v>1078</v>
      </c>
      <c r="B1882" s="1">
        <v>0.0</v>
      </c>
      <c r="C1882" s="2"/>
      <c r="D1882" s="2"/>
      <c r="E1882" s="2"/>
      <c r="F1882" s="2"/>
      <c r="G1882" s="2"/>
    </row>
    <row r="1883">
      <c r="A1883" s="1" t="s">
        <v>1007</v>
      </c>
      <c r="B1883" s="1">
        <v>0.0</v>
      </c>
      <c r="C1883" s="2"/>
      <c r="D1883" s="2"/>
      <c r="E1883" s="2"/>
      <c r="F1883" s="2"/>
      <c r="G1883" s="2"/>
    </row>
    <row r="1884">
      <c r="A1884" s="1" t="s">
        <v>1008</v>
      </c>
      <c r="B1884" s="1">
        <v>43.0</v>
      </c>
      <c r="C1884" s="2"/>
      <c r="D1884" s="2"/>
      <c r="E1884" s="2"/>
      <c r="F1884" s="2"/>
      <c r="G1884" s="2"/>
    </row>
    <row r="1885">
      <c r="A1885" s="1" t="s">
        <v>1009</v>
      </c>
      <c r="B1885" s="1">
        <v>0.0</v>
      </c>
      <c r="C1885" s="2"/>
      <c r="D1885" s="2"/>
      <c r="E1885" s="2"/>
      <c r="F1885" s="2"/>
      <c r="G1885" s="2"/>
    </row>
    <row r="1886">
      <c r="A1886" s="1" t="s">
        <v>1010</v>
      </c>
      <c r="B1886" s="1" t="s">
        <v>1011</v>
      </c>
      <c r="C1886" s="1">
        <v>0.0</v>
      </c>
      <c r="D1886" s="2"/>
      <c r="E1886" s="2"/>
      <c r="F1886" s="2"/>
      <c r="G1886" s="2"/>
    </row>
    <row r="1887">
      <c r="A1887" s="1" t="s">
        <v>1012</v>
      </c>
      <c r="B1887" s="1">
        <v>0.0</v>
      </c>
      <c r="C1887" s="2"/>
      <c r="D1887" s="2"/>
      <c r="E1887" s="2"/>
      <c r="F1887" s="2"/>
      <c r="G1887" s="2"/>
    </row>
    <row r="1888">
      <c r="A1888" s="1" t="s">
        <v>1013</v>
      </c>
      <c r="B1888" s="1">
        <v>60.0</v>
      </c>
      <c r="C1888" s="2"/>
      <c r="D1888" s="2"/>
      <c r="E1888" s="2"/>
      <c r="F1888" s="2"/>
      <c r="G1888" s="2"/>
    </row>
    <row r="1889">
      <c r="A1889" s="1" t="s">
        <v>1014</v>
      </c>
      <c r="B1889" s="1">
        <v>0.0</v>
      </c>
      <c r="C1889" s="2"/>
      <c r="D1889" s="2"/>
      <c r="E1889" s="2"/>
      <c r="F1889" s="2"/>
      <c r="G1889" s="2"/>
    </row>
    <row r="1890">
      <c r="A1890" s="1" t="s">
        <v>1015</v>
      </c>
      <c r="B1890" s="1">
        <v>0.0</v>
      </c>
      <c r="C1890" s="2"/>
      <c r="D1890" s="2"/>
      <c r="E1890" s="2"/>
      <c r="F1890" s="2"/>
      <c r="G1890" s="2"/>
    </row>
    <row r="1891">
      <c r="A1891" s="1" t="s">
        <v>1016</v>
      </c>
      <c r="B1891" s="1">
        <v>0.0</v>
      </c>
      <c r="C1891" s="2"/>
      <c r="D1891" s="2"/>
      <c r="E1891" s="2"/>
      <c r="F1891" s="2"/>
      <c r="G1891" s="2"/>
    </row>
    <row r="1892">
      <c r="A1892" s="1" t="s">
        <v>1017</v>
      </c>
      <c r="B1892" s="1" t="s">
        <v>1018</v>
      </c>
      <c r="C1892" s="1" t="s">
        <v>1019</v>
      </c>
      <c r="D1892" s="1">
        <v>96.0</v>
      </c>
      <c r="E1892" s="2"/>
      <c r="F1892" s="2"/>
      <c r="G1892" s="2"/>
    </row>
    <row r="1893">
      <c r="A1893" s="1" t="s">
        <v>1020</v>
      </c>
      <c r="B1893" s="1">
        <v>0.0</v>
      </c>
      <c r="C1893" s="2"/>
      <c r="D1893" s="2"/>
      <c r="E1893" s="2"/>
      <c r="F1893" s="2"/>
      <c r="G1893" s="2"/>
    </row>
    <row r="1894">
      <c r="A1894" s="1" t="s">
        <v>1021</v>
      </c>
      <c r="B1894" s="1">
        <v>0.0</v>
      </c>
      <c r="C1894" s="2"/>
      <c r="D1894" s="2"/>
      <c r="E1894" s="2"/>
      <c r="F1894" s="2"/>
      <c r="G1894" s="2"/>
    </row>
    <row r="1895">
      <c r="A1895" s="1" t="s">
        <v>1022</v>
      </c>
      <c r="B1895" s="1">
        <v>0.0</v>
      </c>
      <c r="C1895" s="2"/>
      <c r="D1895" s="2"/>
      <c r="E1895" s="2"/>
      <c r="F1895" s="2"/>
      <c r="G1895" s="2"/>
    </row>
    <row r="1896">
      <c r="A1896" s="1" t="s">
        <v>1023</v>
      </c>
      <c r="B1896" s="1">
        <v>6.0</v>
      </c>
      <c r="C1896" s="2"/>
      <c r="D1896" s="2"/>
      <c r="E1896" s="2"/>
      <c r="F1896" s="2"/>
      <c r="G1896" s="2"/>
    </row>
    <row r="1897">
      <c r="A1897" s="1" t="s">
        <v>1024</v>
      </c>
      <c r="B1897" s="1">
        <v>0.0</v>
      </c>
      <c r="C1897" s="2"/>
      <c r="D1897" s="2"/>
      <c r="E1897" s="2"/>
      <c r="F1897" s="2"/>
      <c r="G1897" s="2"/>
    </row>
    <row r="1898">
      <c r="A1898" s="1" t="s">
        <v>1025</v>
      </c>
      <c r="B1898" s="1">
        <v>50.0</v>
      </c>
      <c r="C1898" s="2"/>
      <c r="D1898" s="2"/>
      <c r="E1898" s="2"/>
      <c r="F1898" s="2"/>
      <c r="G1898" s="2"/>
    </row>
    <row r="1899">
      <c r="A1899" s="1" t="s">
        <v>1026</v>
      </c>
      <c r="B1899" s="1">
        <v>78.0</v>
      </c>
      <c r="C1899" s="2"/>
      <c r="D1899" s="2"/>
      <c r="E1899" s="2"/>
      <c r="F1899" s="2"/>
      <c r="G1899" s="2"/>
    </row>
    <row r="1900">
      <c r="A1900" s="1" t="s">
        <v>1027</v>
      </c>
      <c r="B1900" s="1">
        <v>10.0</v>
      </c>
      <c r="C1900" s="2"/>
      <c r="D1900" s="2"/>
      <c r="E1900" s="2"/>
      <c r="F1900" s="2"/>
      <c r="G1900" s="2"/>
    </row>
    <row r="1901">
      <c r="A1901" s="1" t="s">
        <v>1028</v>
      </c>
      <c r="B1901" s="1">
        <v>0.0</v>
      </c>
      <c r="C1901" s="2"/>
      <c r="D1901" s="2"/>
      <c r="E1901" s="2"/>
      <c r="F1901" s="2"/>
      <c r="G1901" s="2"/>
    </row>
    <row r="1902">
      <c r="A1902" s="1" t="s">
        <v>1029</v>
      </c>
      <c r="B1902" s="1">
        <v>80.0</v>
      </c>
      <c r="C1902" s="2"/>
      <c r="D1902" s="2"/>
      <c r="E1902" s="2"/>
      <c r="F1902" s="2"/>
      <c r="G1902" s="2"/>
    </row>
    <row r="1903">
      <c r="A1903" s="1" t="s">
        <v>1030</v>
      </c>
      <c r="B1903" s="1">
        <v>0.0</v>
      </c>
      <c r="C1903" s="2"/>
      <c r="D1903" s="2"/>
      <c r="E1903" s="2"/>
      <c r="F1903" s="2"/>
      <c r="G1903" s="2"/>
    </row>
    <row r="1904">
      <c r="A1904" s="1" t="s">
        <v>1031</v>
      </c>
      <c r="B1904" s="1">
        <v>0.0</v>
      </c>
      <c r="C1904" s="2"/>
      <c r="D1904" s="2"/>
      <c r="E1904" s="2"/>
      <c r="F1904" s="2"/>
      <c r="G1904" s="2"/>
    </row>
    <row r="1905">
      <c r="A1905" s="1" t="s">
        <v>1032</v>
      </c>
      <c r="B1905" s="1">
        <v>0.0</v>
      </c>
      <c r="C1905" s="2"/>
      <c r="D1905" s="2"/>
      <c r="E1905" s="2"/>
      <c r="F1905" s="2"/>
      <c r="G1905" s="2"/>
    </row>
    <row r="1906">
      <c r="A1906" s="1" t="s">
        <v>1033</v>
      </c>
      <c r="B1906" s="1">
        <v>90.0</v>
      </c>
      <c r="C1906" s="2"/>
      <c r="D1906" s="2"/>
      <c r="E1906" s="2"/>
      <c r="F1906" s="2"/>
      <c r="G1906" s="2"/>
    </row>
    <row r="1907">
      <c r="A1907" s="1" t="s">
        <v>1034</v>
      </c>
      <c r="B1907" s="1">
        <v>40.0</v>
      </c>
      <c r="C1907" s="2"/>
      <c r="D1907" s="2"/>
      <c r="E1907" s="2"/>
      <c r="F1907" s="2"/>
      <c r="G1907" s="2"/>
    </row>
    <row r="1908">
      <c r="A1908" s="1" t="s">
        <v>1035</v>
      </c>
      <c r="B1908" s="1">
        <v>20.0</v>
      </c>
      <c r="C1908" s="2"/>
      <c r="D1908" s="2"/>
      <c r="E1908" s="2"/>
      <c r="F1908" s="2"/>
      <c r="G1908" s="2"/>
    </row>
    <row r="1909">
      <c r="A1909" s="1" t="s">
        <v>1036</v>
      </c>
      <c r="B1909" s="1">
        <v>0.0</v>
      </c>
      <c r="C1909" s="2"/>
      <c r="D1909" s="2"/>
      <c r="E1909" s="2"/>
      <c r="F1909" s="2"/>
      <c r="G1909" s="2"/>
    </row>
    <row r="1910">
      <c r="A1910" s="1" t="s">
        <v>1037</v>
      </c>
      <c r="B1910" s="1">
        <v>70.0</v>
      </c>
      <c r="C1910" s="2"/>
      <c r="D1910" s="2"/>
      <c r="E1910" s="2"/>
      <c r="F1910" s="2"/>
      <c r="G1910" s="2"/>
    </row>
    <row r="1911">
      <c r="A1911" s="1" t="s">
        <v>1038</v>
      </c>
      <c r="B1911" s="1">
        <v>67.0</v>
      </c>
      <c r="C1911" s="2"/>
      <c r="D1911" s="2"/>
      <c r="E1911" s="2"/>
      <c r="F1911" s="2"/>
      <c r="G1911" s="2"/>
    </row>
    <row r="1912">
      <c r="A1912" s="1" t="s">
        <v>1039</v>
      </c>
      <c r="B1912" s="1">
        <v>0.0</v>
      </c>
      <c r="C1912" s="2"/>
      <c r="D1912" s="2"/>
      <c r="E1912" s="2"/>
      <c r="F1912" s="2"/>
      <c r="G1912" s="2"/>
    </row>
    <row r="1913">
      <c r="A1913" s="1" t="s">
        <v>1040</v>
      </c>
      <c r="B1913" s="1">
        <v>40.0</v>
      </c>
      <c r="C1913" s="2"/>
      <c r="D1913" s="2"/>
      <c r="E1913" s="2"/>
      <c r="F1913" s="2"/>
      <c r="G1913" s="2"/>
    </row>
    <row r="1914">
      <c r="A1914" s="1" t="s">
        <v>1041</v>
      </c>
      <c r="B1914" s="1">
        <v>0.0</v>
      </c>
      <c r="C1914" s="2"/>
      <c r="D1914" s="2"/>
      <c r="E1914" s="2"/>
      <c r="F1914" s="2"/>
      <c r="G1914" s="2"/>
    </row>
    <row r="1915">
      <c r="A1915" s="1" t="s">
        <v>1042</v>
      </c>
      <c r="B1915" s="1">
        <v>0.0</v>
      </c>
      <c r="C1915" s="2"/>
      <c r="D1915" s="2"/>
      <c r="E1915" s="2"/>
      <c r="F1915" s="2"/>
      <c r="G1915" s="2"/>
    </row>
    <row r="1916">
      <c r="A1916" s="1" t="s">
        <v>1043</v>
      </c>
      <c r="B1916" s="1">
        <v>0.0</v>
      </c>
      <c r="C1916" s="2"/>
      <c r="D1916" s="2"/>
      <c r="E1916" s="2"/>
      <c r="F1916" s="2"/>
      <c r="G1916" s="2"/>
    </row>
    <row r="1917">
      <c r="A1917" s="1" t="s">
        <v>1044</v>
      </c>
      <c r="B1917" s="1">
        <v>32.0</v>
      </c>
      <c r="C1917" s="2"/>
      <c r="D1917" s="2"/>
      <c r="E1917" s="2"/>
      <c r="F1917" s="2"/>
      <c r="G1917" s="2"/>
    </row>
    <row r="1918">
      <c r="A1918" s="1" t="s">
        <v>1045</v>
      </c>
      <c r="B1918" s="1">
        <v>53.0</v>
      </c>
      <c r="C1918" s="2"/>
      <c r="D1918" s="2"/>
      <c r="E1918" s="2"/>
      <c r="F1918" s="2"/>
      <c r="G1918" s="2"/>
    </row>
    <row r="1919">
      <c r="A1919" s="1" t="s">
        <v>1046</v>
      </c>
      <c r="B1919" s="1">
        <v>37.0</v>
      </c>
      <c r="C1919" s="2"/>
      <c r="D1919" s="2"/>
      <c r="E1919" s="2"/>
      <c r="F1919" s="2"/>
      <c r="G1919" s="2"/>
    </row>
    <row r="1920">
      <c r="A1920" s="1" t="s">
        <v>1047</v>
      </c>
      <c r="B1920" s="1">
        <v>0.0</v>
      </c>
      <c r="C1920" s="2"/>
      <c r="D1920" s="2"/>
      <c r="E1920" s="2"/>
      <c r="F1920" s="2"/>
      <c r="G1920" s="2"/>
    </row>
    <row r="1921">
      <c r="A1921" s="1" t="s">
        <v>1048</v>
      </c>
      <c r="B1921" s="1">
        <v>0.0</v>
      </c>
      <c r="C1921" s="2"/>
      <c r="D1921" s="2"/>
      <c r="E1921" s="2"/>
      <c r="F1921" s="2"/>
      <c r="G1921" s="2"/>
    </row>
    <row r="1922">
      <c r="A1922" s="1" t="s">
        <v>1049</v>
      </c>
      <c r="B1922" s="1">
        <v>0.0</v>
      </c>
      <c r="C1922" s="2"/>
      <c r="D1922" s="2"/>
      <c r="E1922" s="2"/>
      <c r="F1922" s="2"/>
      <c r="G1922" s="2"/>
    </row>
    <row r="1923">
      <c r="A1923" s="1" t="s">
        <v>1050</v>
      </c>
      <c r="B1923" s="1">
        <v>8.0</v>
      </c>
      <c r="C1923" s="2"/>
      <c r="D1923" s="2"/>
      <c r="E1923" s="2"/>
      <c r="F1923" s="2"/>
      <c r="G1923" s="2"/>
    </row>
    <row r="1924">
      <c r="A1924" s="1" t="s">
        <v>1051</v>
      </c>
      <c r="B1924" s="1">
        <v>0.0</v>
      </c>
      <c r="C1924" s="2"/>
      <c r="D1924" s="2"/>
      <c r="E1924" s="2"/>
      <c r="F1924" s="2"/>
      <c r="G1924" s="2"/>
    </row>
    <row r="1925">
      <c r="A1925" s="1" t="s">
        <v>1052</v>
      </c>
      <c r="B1925" s="1">
        <v>0.0</v>
      </c>
      <c r="C1925" s="2"/>
      <c r="D1925" s="2"/>
      <c r="E1925" s="2"/>
      <c r="F1925" s="2"/>
      <c r="G1925" s="2"/>
    </row>
    <row r="1926">
      <c r="A1926" s="1" t="s">
        <v>1053</v>
      </c>
      <c r="B1926" s="1">
        <v>70.0</v>
      </c>
      <c r="C1926" s="2"/>
      <c r="D1926" s="2"/>
      <c r="E1926" s="2"/>
      <c r="F1926" s="2"/>
      <c r="G1926" s="2"/>
    </row>
    <row r="1927">
      <c r="A1927" s="1" t="s">
        <v>1054</v>
      </c>
      <c r="B1927" s="1">
        <v>48.0</v>
      </c>
      <c r="C1927" s="2"/>
      <c r="D1927" s="2"/>
      <c r="E1927" s="2"/>
      <c r="F1927" s="2"/>
      <c r="G1927" s="2"/>
    </row>
    <row r="1928">
      <c r="A1928" s="1" t="s">
        <v>1055</v>
      </c>
      <c r="B1928" s="1">
        <v>0.0</v>
      </c>
      <c r="C1928" s="2"/>
      <c r="D1928" s="2"/>
      <c r="E1928" s="2"/>
      <c r="F1928" s="2"/>
      <c r="G1928" s="2"/>
    </row>
    <row r="1929">
      <c r="A1929" s="1" t="s">
        <v>1056</v>
      </c>
      <c r="B1929" s="1">
        <v>0.0</v>
      </c>
      <c r="C1929" s="2"/>
      <c r="D1929" s="2"/>
      <c r="E1929" s="2"/>
      <c r="F1929" s="2"/>
      <c r="G1929" s="2"/>
    </row>
    <row r="1930">
      <c r="A1930" s="1" t="s">
        <v>1057</v>
      </c>
      <c r="B1930" s="1">
        <v>20.0</v>
      </c>
      <c r="C1930" s="2"/>
      <c r="D1930" s="2"/>
      <c r="E1930" s="2"/>
      <c r="F1930" s="2"/>
      <c r="G1930" s="2"/>
    </row>
    <row r="1931">
      <c r="A1931" s="1" t="s">
        <v>1058</v>
      </c>
      <c r="B1931" s="1">
        <v>74.0</v>
      </c>
      <c r="C1931" s="2"/>
      <c r="D1931" s="2"/>
      <c r="E1931" s="2"/>
      <c r="F1931" s="2"/>
      <c r="G1931" s="2"/>
    </row>
    <row r="1932">
      <c r="A1932" s="1" t="s">
        <v>1059</v>
      </c>
      <c r="B1932" s="1">
        <v>97.0</v>
      </c>
      <c r="C1932" s="2"/>
      <c r="D1932" s="2"/>
      <c r="E1932" s="2"/>
      <c r="F1932" s="2"/>
      <c r="G1932" s="2"/>
    </row>
    <row r="1933">
      <c r="A1933" s="1" t="s">
        <v>1060</v>
      </c>
      <c r="B1933" s="1">
        <v>0.0</v>
      </c>
      <c r="C1933" s="2"/>
      <c r="D1933" s="2"/>
      <c r="E1933" s="2"/>
      <c r="F1933" s="2"/>
      <c r="G1933" s="2"/>
    </row>
    <row r="1934">
      <c r="A1934" s="1" t="s">
        <v>1061</v>
      </c>
      <c r="B1934" s="1">
        <v>0.0</v>
      </c>
      <c r="C1934" s="2"/>
      <c r="D1934" s="2"/>
      <c r="E1934" s="2"/>
      <c r="F1934" s="2"/>
      <c r="G1934" s="2"/>
    </row>
    <row r="1935">
      <c r="A1935" s="1" t="s">
        <v>1062</v>
      </c>
      <c r="B1935" s="1">
        <v>0.0</v>
      </c>
      <c r="C1935" s="2"/>
      <c r="D1935" s="2"/>
      <c r="E1935" s="2"/>
      <c r="F1935" s="2"/>
      <c r="G1935" s="2"/>
    </row>
    <row r="1936">
      <c r="A1936" s="1" t="s">
        <v>1063</v>
      </c>
      <c r="B1936" s="1">
        <v>84.0</v>
      </c>
      <c r="C1936" s="2"/>
      <c r="D1936" s="2"/>
      <c r="E1936" s="2"/>
      <c r="F1936" s="2"/>
      <c r="G1936" s="2"/>
    </row>
    <row r="1937">
      <c r="A1937" s="1" t="s">
        <v>1064</v>
      </c>
      <c r="B1937" s="1">
        <v>0.0</v>
      </c>
      <c r="C1937" s="2"/>
      <c r="D1937" s="2"/>
      <c r="E1937" s="2"/>
      <c r="F1937" s="2"/>
      <c r="G1937" s="2"/>
    </row>
    <row r="1938">
      <c r="A1938" s="1" t="s">
        <v>1065</v>
      </c>
      <c r="B1938" s="1">
        <v>26.0</v>
      </c>
      <c r="C1938" s="2"/>
      <c r="D1938" s="2"/>
      <c r="E1938" s="2"/>
      <c r="F1938" s="2"/>
      <c r="G1938" s="2"/>
    </row>
    <row r="1939">
      <c r="A1939" s="1" t="s">
        <v>1066</v>
      </c>
      <c r="B1939" s="1">
        <v>90.0</v>
      </c>
      <c r="C1939" s="2"/>
      <c r="D1939" s="2"/>
      <c r="E1939" s="2"/>
      <c r="F1939" s="2"/>
      <c r="G1939" s="2"/>
    </row>
    <row r="1940">
      <c r="A1940" s="1" t="s">
        <v>1067</v>
      </c>
      <c r="B1940" s="1">
        <v>0.0</v>
      </c>
      <c r="C1940" s="2"/>
      <c r="D1940" s="2"/>
      <c r="E1940" s="2"/>
      <c r="F1940" s="2"/>
      <c r="G1940" s="2"/>
    </row>
    <row r="1941">
      <c r="A1941" s="1" t="s">
        <v>1068</v>
      </c>
      <c r="B1941" s="1">
        <v>51.0</v>
      </c>
      <c r="C1941" s="2"/>
      <c r="D1941" s="2"/>
      <c r="E1941" s="2"/>
      <c r="F1941" s="2"/>
      <c r="G1941" s="2"/>
    </row>
    <row r="1942">
      <c r="A1942" s="1" t="s">
        <v>1069</v>
      </c>
      <c r="B1942" s="1">
        <v>0.0</v>
      </c>
      <c r="C1942" s="2"/>
      <c r="D1942" s="2"/>
      <c r="E1942" s="2"/>
      <c r="F1942" s="2"/>
      <c r="G1942" s="2"/>
    </row>
    <row r="1943">
      <c r="A1943" s="1" t="s">
        <v>1070</v>
      </c>
      <c r="B1943" s="1">
        <v>0.0</v>
      </c>
      <c r="C1943" s="2"/>
      <c r="D1943" s="2"/>
      <c r="E1943" s="2"/>
      <c r="F1943" s="2"/>
      <c r="G1943" s="2"/>
    </row>
    <row r="1944">
      <c r="A1944" s="1" t="s">
        <v>1071</v>
      </c>
      <c r="B1944" s="1">
        <v>0.0</v>
      </c>
      <c r="C1944" s="2"/>
      <c r="D1944" s="2"/>
      <c r="E1944" s="2"/>
      <c r="F1944" s="2"/>
      <c r="G1944" s="2"/>
    </row>
    <row r="1945">
      <c r="A1945" s="1" t="s">
        <v>1072</v>
      </c>
      <c r="B1945" s="1">
        <v>0.0</v>
      </c>
      <c r="C1945" s="2"/>
      <c r="D1945" s="2"/>
      <c r="E1945" s="2"/>
      <c r="F1945" s="2"/>
      <c r="G1945" s="2"/>
    </row>
    <row r="1946">
      <c r="A1946" s="1" t="s">
        <v>1073</v>
      </c>
      <c r="B1946" s="1">
        <v>0.0</v>
      </c>
      <c r="C1946" s="2"/>
      <c r="D1946" s="2"/>
      <c r="E1946" s="2"/>
      <c r="F1946" s="2"/>
      <c r="G1946" s="2"/>
    </row>
    <row r="1947">
      <c r="A1947" s="1" t="s">
        <v>1074</v>
      </c>
      <c r="B1947" s="1">
        <v>61.0</v>
      </c>
      <c r="C1947" s="2"/>
      <c r="D1947" s="2"/>
      <c r="E1947" s="2"/>
      <c r="F1947" s="2"/>
      <c r="G1947" s="2"/>
    </row>
    <row r="1948">
      <c r="A1948" s="1" t="s">
        <v>1075</v>
      </c>
      <c r="B1948" s="1">
        <v>0.0</v>
      </c>
      <c r="C1948" s="2"/>
      <c r="D1948" s="2"/>
      <c r="E1948" s="2"/>
      <c r="F1948" s="2"/>
      <c r="G1948" s="2"/>
    </row>
    <row r="1949">
      <c r="A1949" s="1" t="s">
        <v>1076</v>
      </c>
      <c r="B1949" s="1">
        <v>0.0</v>
      </c>
      <c r="C1949" s="2"/>
      <c r="D1949" s="2"/>
      <c r="E1949" s="2"/>
      <c r="F1949" s="2"/>
      <c r="G1949" s="2"/>
    </row>
    <row r="1950">
      <c r="A1950" s="1" t="s">
        <v>1077</v>
      </c>
      <c r="B1950" s="1">
        <v>0.0</v>
      </c>
      <c r="C1950" s="2"/>
      <c r="D1950" s="2"/>
      <c r="E1950" s="2"/>
      <c r="F1950" s="2"/>
      <c r="G1950" s="2"/>
    </row>
    <row r="1951">
      <c r="A1951" s="1" t="s">
        <v>1078</v>
      </c>
      <c r="B1951" s="1">
        <v>0.0</v>
      </c>
      <c r="C1951" s="2"/>
      <c r="D1951" s="2"/>
      <c r="E1951" s="2"/>
      <c r="F1951" s="2"/>
      <c r="G1951" s="2"/>
    </row>
    <row r="1952">
      <c r="A1952" s="1" t="s">
        <v>1079</v>
      </c>
      <c r="B1952" s="1">
        <v>0.0</v>
      </c>
      <c r="C1952" s="2"/>
      <c r="D1952" s="2"/>
      <c r="E1952" s="2"/>
      <c r="F1952" s="2"/>
      <c r="G1952" s="2"/>
    </row>
    <row r="1953">
      <c r="A1953" s="1" t="s">
        <v>1080</v>
      </c>
      <c r="B1953" s="1">
        <v>0.0</v>
      </c>
      <c r="C1953" s="2"/>
      <c r="D1953" s="2"/>
      <c r="E1953" s="2"/>
      <c r="F1953" s="2"/>
      <c r="G1953" s="2"/>
    </row>
    <row r="1954">
      <c r="A1954" s="1" t="s">
        <v>1081</v>
      </c>
      <c r="B1954" s="1">
        <v>0.0</v>
      </c>
      <c r="C1954" s="2"/>
      <c r="D1954" s="2"/>
      <c r="E1954" s="2"/>
      <c r="F1954" s="2"/>
      <c r="G1954" s="2"/>
    </row>
    <row r="1955">
      <c r="A1955" s="1" t="s">
        <v>1082</v>
      </c>
      <c r="B1955" s="1" t="s">
        <v>1083</v>
      </c>
      <c r="C1955" s="1">
        <v>0.0</v>
      </c>
      <c r="D1955" s="2"/>
      <c r="E1955" s="2"/>
      <c r="F1955" s="2"/>
      <c r="G1955" s="2"/>
    </row>
    <row r="1956">
      <c r="A1956" s="1" t="s">
        <v>1084</v>
      </c>
      <c r="B1956" s="1">
        <v>0.0</v>
      </c>
      <c r="C1956" s="2"/>
      <c r="D1956" s="2"/>
      <c r="E1956" s="2"/>
      <c r="F1956" s="2"/>
      <c r="G1956" s="2"/>
    </row>
    <row r="1957">
      <c r="A1957" s="1" t="s">
        <v>1085</v>
      </c>
      <c r="B1957" s="1">
        <v>0.0</v>
      </c>
      <c r="C1957" s="2"/>
      <c r="D1957" s="2"/>
      <c r="E1957" s="2"/>
      <c r="F1957" s="2"/>
      <c r="G1957" s="2"/>
    </row>
    <row r="1958">
      <c r="A1958" s="1" t="s">
        <v>1086</v>
      </c>
      <c r="B1958" s="1">
        <v>2.0</v>
      </c>
      <c r="C1958" s="2"/>
      <c r="D1958" s="2"/>
      <c r="E1958" s="2"/>
      <c r="F1958" s="2"/>
      <c r="G1958" s="2"/>
    </row>
    <row r="1959">
      <c r="A1959" s="1" t="s">
        <v>1087</v>
      </c>
      <c r="B1959" s="1">
        <v>0.0</v>
      </c>
      <c r="C1959" s="2"/>
      <c r="D1959" s="2"/>
      <c r="E1959" s="2"/>
      <c r="F1959" s="2"/>
      <c r="G1959" s="2"/>
    </row>
    <row r="1960">
      <c r="A1960" s="1" t="s">
        <v>1088</v>
      </c>
      <c r="B1960" s="1" t="s">
        <v>1089</v>
      </c>
      <c r="C1960" s="1" t="s">
        <v>1090</v>
      </c>
      <c r="D1960" s="1">
        <v>0.0</v>
      </c>
      <c r="E1960" s="2"/>
      <c r="F1960" s="2"/>
      <c r="G1960" s="2"/>
    </row>
    <row r="1961">
      <c r="A1961" s="1" t="s">
        <v>1091</v>
      </c>
      <c r="B1961" s="1">
        <v>0.0</v>
      </c>
      <c r="C1961" s="2"/>
      <c r="D1961" s="2"/>
      <c r="E1961" s="2"/>
      <c r="F1961" s="2"/>
      <c r="G1961" s="2"/>
    </row>
    <row r="1962">
      <c r="A1962" s="1" t="s">
        <v>1092</v>
      </c>
      <c r="B1962" s="1">
        <v>0.0</v>
      </c>
      <c r="C1962" s="2"/>
      <c r="D1962" s="2"/>
      <c r="E1962" s="2"/>
      <c r="F1962" s="2"/>
      <c r="G1962" s="2"/>
    </row>
    <row r="1963">
      <c r="A1963" s="1" t="s">
        <v>1093</v>
      </c>
      <c r="B1963" s="1">
        <v>0.0</v>
      </c>
      <c r="C1963" s="2"/>
      <c r="D1963" s="2"/>
      <c r="E1963" s="2"/>
      <c r="F1963" s="2"/>
      <c r="G1963" s="2"/>
    </row>
    <row r="1964">
      <c r="A1964" s="1" t="s">
        <v>1094</v>
      </c>
      <c r="B1964" s="1">
        <v>0.0</v>
      </c>
      <c r="C1964" s="2"/>
      <c r="D1964" s="2"/>
      <c r="E1964" s="2"/>
      <c r="F1964" s="2"/>
      <c r="G1964" s="2"/>
    </row>
    <row r="1965">
      <c r="A1965" s="1" t="s">
        <v>1095</v>
      </c>
      <c r="B1965" s="1" t="s">
        <v>1096</v>
      </c>
      <c r="C1965" s="1">
        <v>18.0</v>
      </c>
      <c r="D1965" s="2"/>
      <c r="E1965" s="2"/>
      <c r="F1965" s="2"/>
      <c r="G1965" s="2"/>
    </row>
    <row r="1966">
      <c r="A1966" s="1" t="s">
        <v>1097</v>
      </c>
      <c r="B1966" s="1">
        <v>59.0</v>
      </c>
      <c r="C1966" s="2"/>
      <c r="D1966" s="2"/>
      <c r="E1966" s="2"/>
      <c r="F1966" s="2"/>
      <c r="G1966" s="2"/>
    </row>
    <row r="1967">
      <c r="A1967" s="1" t="s">
        <v>1098</v>
      </c>
      <c r="B1967" s="1">
        <v>70.0</v>
      </c>
      <c r="C1967" s="2"/>
      <c r="D1967" s="2"/>
      <c r="E1967" s="2"/>
      <c r="F1967" s="2"/>
      <c r="G1967" s="2"/>
    </row>
    <row r="1968">
      <c r="A1968" s="1" t="s">
        <v>1099</v>
      </c>
      <c r="B1968" s="1">
        <v>78.0</v>
      </c>
      <c r="C1968" s="2"/>
      <c r="D1968" s="2"/>
      <c r="E1968" s="2"/>
      <c r="F1968" s="2"/>
      <c r="G1968" s="2"/>
    </row>
    <row r="1969">
      <c r="A1969" s="1" t="s">
        <v>1100</v>
      </c>
      <c r="B1969" s="1">
        <v>11.0</v>
      </c>
      <c r="C1969" s="2"/>
      <c r="D1969" s="2"/>
      <c r="E1969" s="2"/>
      <c r="F1969" s="2"/>
      <c r="G1969" s="2"/>
    </row>
    <row r="1970">
      <c r="A1970" s="1" t="s">
        <v>1101</v>
      </c>
      <c r="B1970" s="1">
        <v>44.0</v>
      </c>
      <c r="C1970" s="2"/>
      <c r="D1970" s="2"/>
      <c r="E1970" s="2"/>
      <c r="F1970" s="2"/>
      <c r="G1970" s="2"/>
    </row>
    <row r="1971">
      <c r="A1971" s="1" t="s">
        <v>1102</v>
      </c>
      <c r="B1971" s="1">
        <v>10.0</v>
      </c>
      <c r="C1971" s="2"/>
      <c r="D1971" s="2"/>
      <c r="E1971" s="2"/>
      <c r="F1971" s="2"/>
      <c r="G1971" s="2"/>
    </row>
    <row r="1972">
      <c r="A1972" s="1" t="s">
        <v>1103</v>
      </c>
      <c r="B1972" s="1">
        <v>0.0</v>
      </c>
      <c r="C1972" s="2"/>
      <c r="D1972" s="2"/>
      <c r="E1972" s="2"/>
      <c r="F1972" s="2"/>
      <c r="G1972" s="2"/>
    </row>
    <row r="1973">
      <c r="A1973" s="1" t="s">
        <v>1104</v>
      </c>
      <c r="B1973" s="1">
        <v>0.0</v>
      </c>
      <c r="C1973" s="2"/>
      <c r="D1973" s="2"/>
      <c r="E1973" s="2"/>
      <c r="F1973" s="2"/>
      <c r="G1973" s="2"/>
    </row>
    <row r="1974">
      <c r="A1974" s="1" t="s">
        <v>1105</v>
      </c>
      <c r="B1974" s="1">
        <v>0.0</v>
      </c>
      <c r="C1974" s="2"/>
      <c r="D1974" s="2"/>
      <c r="E1974" s="2"/>
      <c r="F1974" s="2"/>
      <c r="G1974" s="2"/>
    </row>
    <row r="1975">
      <c r="A1975" s="1" t="s">
        <v>1106</v>
      </c>
      <c r="B1975" s="1">
        <v>32.0</v>
      </c>
      <c r="C1975" s="2"/>
      <c r="D1975" s="2"/>
      <c r="E1975" s="2"/>
      <c r="F1975" s="2"/>
      <c r="G1975" s="2"/>
    </row>
    <row r="1976">
      <c r="A1976" s="1" t="s">
        <v>1107</v>
      </c>
      <c r="B1976" s="1" t="s">
        <v>1108</v>
      </c>
      <c r="C1976" s="1">
        <v>12.0</v>
      </c>
      <c r="D1976" s="2"/>
      <c r="E1976" s="2"/>
      <c r="F1976" s="2"/>
      <c r="G1976" s="2"/>
    </row>
    <row r="1977">
      <c r="A1977" s="1" t="s">
        <v>1109</v>
      </c>
      <c r="B1977" s="1">
        <v>13.0</v>
      </c>
      <c r="C1977" s="2"/>
      <c r="D1977" s="2"/>
      <c r="E1977" s="2"/>
      <c r="F1977" s="2"/>
      <c r="G1977" s="2"/>
    </row>
    <row r="1978">
      <c r="A1978" s="1" t="s">
        <v>1110</v>
      </c>
      <c r="B1978" s="1">
        <v>40.0</v>
      </c>
      <c r="C1978" s="2"/>
      <c r="D1978" s="2"/>
      <c r="E1978" s="2"/>
      <c r="F1978" s="2"/>
      <c r="G1978" s="2"/>
    </row>
    <row r="1979">
      <c r="A1979" s="1" t="s">
        <v>1111</v>
      </c>
      <c r="B1979" s="1">
        <v>0.0</v>
      </c>
      <c r="C1979" s="2"/>
      <c r="D1979" s="2"/>
      <c r="E1979" s="2"/>
      <c r="F1979" s="2"/>
      <c r="G1979" s="2"/>
    </row>
    <row r="1980">
      <c r="A1980" s="1" t="s">
        <v>1112</v>
      </c>
      <c r="B1980" s="1">
        <v>0.0</v>
      </c>
      <c r="C1980" s="2"/>
      <c r="D1980" s="2"/>
      <c r="E1980" s="2"/>
      <c r="F1980" s="2"/>
      <c r="G1980" s="2"/>
    </row>
    <row r="1981">
      <c r="A1981" s="1" t="s">
        <v>1113</v>
      </c>
      <c r="B1981" s="1">
        <v>0.0</v>
      </c>
      <c r="C1981" s="2"/>
      <c r="D1981" s="2"/>
      <c r="E1981" s="2"/>
      <c r="F1981" s="2"/>
      <c r="G1981" s="2"/>
    </row>
    <row r="1982">
      <c r="A1982" s="1" t="s">
        <v>1114</v>
      </c>
      <c r="B1982" s="1">
        <v>0.0</v>
      </c>
      <c r="C1982" s="2"/>
      <c r="D1982" s="2"/>
      <c r="E1982" s="2"/>
      <c r="F1982" s="2"/>
      <c r="G1982" s="2"/>
    </row>
    <row r="1983">
      <c r="A1983" s="1" t="s">
        <v>1115</v>
      </c>
      <c r="B1983" s="1">
        <v>0.0</v>
      </c>
      <c r="C1983" s="2"/>
      <c r="D1983" s="2"/>
      <c r="E1983" s="2"/>
      <c r="F1983" s="2"/>
      <c r="G1983" s="2"/>
    </row>
    <row r="1984">
      <c r="A1984" s="1" t="s">
        <v>1116</v>
      </c>
      <c r="B1984" s="1">
        <v>0.0</v>
      </c>
      <c r="C1984" s="2"/>
      <c r="D1984" s="2"/>
      <c r="E1984" s="2"/>
      <c r="F1984" s="2"/>
      <c r="G1984" s="2"/>
    </row>
    <row r="1985">
      <c r="A1985" s="1" t="s">
        <v>1117</v>
      </c>
      <c r="B1985" s="1">
        <v>0.0</v>
      </c>
      <c r="C1985" s="2"/>
      <c r="D1985" s="2"/>
      <c r="E1985" s="2"/>
      <c r="F1985" s="2"/>
      <c r="G1985" s="2"/>
    </row>
    <row r="1986">
      <c r="A1986" s="1" t="s">
        <v>1118</v>
      </c>
      <c r="B1986" s="1">
        <v>0.0</v>
      </c>
      <c r="C1986" s="2"/>
      <c r="D1986" s="2"/>
      <c r="E1986" s="2"/>
      <c r="F1986" s="2"/>
      <c r="G1986" s="2"/>
    </row>
    <row r="1987">
      <c r="A1987" s="1" t="s">
        <v>1119</v>
      </c>
      <c r="B1987" s="1">
        <v>12.0</v>
      </c>
      <c r="C1987" s="2"/>
      <c r="D1987" s="2"/>
      <c r="E1987" s="2"/>
      <c r="F1987" s="2"/>
      <c r="G1987" s="2"/>
    </row>
    <row r="1988">
      <c r="A1988" s="1" t="s">
        <v>1120</v>
      </c>
      <c r="B1988" s="1">
        <v>0.0</v>
      </c>
      <c r="C1988" s="2"/>
      <c r="D1988" s="2"/>
      <c r="E1988" s="2"/>
      <c r="F1988" s="2"/>
      <c r="G1988" s="2"/>
    </row>
    <row r="1989">
      <c r="A1989" s="1" t="s">
        <v>1121</v>
      </c>
      <c r="B1989" s="1">
        <v>0.0</v>
      </c>
      <c r="C1989" s="2"/>
      <c r="D1989" s="2"/>
      <c r="E1989" s="2"/>
      <c r="F1989" s="2"/>
      <c r="G1989" s="2"/>
    </row>
    <row r="1990">
      <c r="A1990" s="1" t="s">
        <v>1122</v>
      </c>
      <c r="B1990" s="1">
        <v>0.0</v>
      </c>
      <c r="C1990" s="2"/>
      <c r="D1990" s="2"/>
      <c r="E1990" s="2"/>
      <c r="F1990" s="2"/>
      <c r="G1990" s="2"/>
    </row>
    <row r="1991">
      <c r="A1991" s="1" t="s">
        <v>1123</v>
      </c>
      <c r="B1991" s="1">
        <v>22.0</v>
      </c>
      <c r="C1991" s="2"/>
      <c r="D1991" s="2"/>
      <c r="E1991" s="2"/>
      <c r="F1991" s="2"/>
      <c r="G1991" s="2"/>
    </row>
    <row r="1992">
      <c r="A1992" s="1" t="s">
        <v>1124</v>
      </c>
      <c r="B1992" s="1">
        <v>60.0</v>
      </c>
      <c r="C1992" s="2"/>
      <c r="D1992" s="2"/>
      <c r="E1992" s="2"/>
      <c r="F1992" s="2"/>
      <c r="G1992" s="2"/>
    </row>
    <row r="1993">
      <c r="A1993" s="1" t="s">
        <v>1125</v>
      </c>
      <c r="B1993" s="1">
        <v>0.0</v>
      </c>
      <c r="C1993" s="2"/>
      <c r="D1993" s="2"/>
      <c r="E1993" s="2"/>
      <c r="F1993" s="2"/>
      <c r="G1993" s="2"/>
    </row>
    <row r="1994">
      <c r="A1994" s="1" t="s">
        <v>1126</v>
      </c>
      <c r="B1994" s="1">
        <v>60.0</v>
      </c>
      <c r="C1994" s="2"/>
      <c r="D1994" s="2"/>
      <c r="E1994" s="2"/>
      <c r="F1994" s="2"/>
      <c r="G1994" s="2"/>
    </row>
    <row r="1995">
      <c r="A1995" s="1" t="s">
        <v>1127</v>
      </c>
      <c r="B1995" s="1">
        <v>0.0</v>
      </c>
      <c r="C1995" s="2"/>
      <c r="D1995" s="2"/>
      <c r="E1995" s="2"/>
      <c r="F1995" s="2"/>
      <c r="G1995" s="2"/>
    </row>
    <row r="1996">
      <c r="A1996" s="1" t="s">
        <v>1128</v>
      </c>
      <c r="B1996" s="1">
        <v>80.0</v>
      </c>
      <c r="C1996" s="2"/>
      <c r="D1996" s="2"/>
      <c r="E1996" s="2"/>
      <c r="F1996" s="2"/>
      <c r="G1996" s="2"/>
    </row>
    <row r="1997">
      <c r="A1997" s="1" t="s">
        <v>1129</v>
      </c>
      <c r="B1997" s="1">
        <v>0.0</v>
      </c>
      <c r="C1997" s="2"/>
      <c r="D1997" s="2"/>
      <c r="E1997" s="2"/>
      <c r="F1997" s="2"/>
      <c r="G1997" s="2"/>
    </row>
    <row r="1998">
      <c r="A1998" s="1" t="s">
        <v>1130</v>
      </c>
      <c r="B1998" s="1">
        <v>0.0</v>
      </c>
      <c r="C1998" s="2"/>
      <c r="D1998" s="2"/>
      <c r="E1998" s="2"/>
      <c r="F1998" s="2"/>
      <c r="G1998" s="2"/>
    </row>
    <row r="1999">
      <c r="A1999" s="1" t="s">
        <v>1131</v>
      </c>
      <c r="B1999" s="1">
        <v>0.0</v>
      </c>
      <c r="C1999" s="2"/>
      <c r="D1999" s="2"/>
      <c r="E1999" s="2"/>
      <c r="F1999" s="2"/>
      <c r="G1999" s="2"/>
    </row>
    <row r="2000">
      <c r="A2000" s="1" t="s">
        <v>1132</v>
      </c>
      <c r="B2000" s="1">
        <v>0.0</v>
      </c>
      <c r="C2000" s="2"/>
      <c r="D2000" s="2"/>
      <c r="E2000" s="2"/>
      <c r="F2000" s="2"/>
      <c r="G2000" s="2"/>
    </row>
    <row r="2001">
      <c r="A2001" s="1" t="s">
        <v>1133</v>
      </c>
      <c r="B2001" s="1">
        <v>0.0</v>
      </c>
      <c r="C2001" s="2"/>
      <c r="D2001" s="2"/>
      <c r="E2001" s="2"/>
      <c r="F2001" s="2"/>
      <c r="G2001" s="2"/>
    </row>
    <row r="2002">
      <c r="A2002" s="1" t="s">
        <v>1134</v>
      </c>
      <c r="B2002" s="1">
        <v>0.0</v>
      </c>
      <c r="C2002" s="2"/>
      <c r="D2002" s="2"/>
      <c r="E2002" s="2"/>
      <c r="F2002" s="2"/>
      <c r="G2002" s="2"/>
    </row>
    <row r="2003">
      <c r="A2003" s="1" t="s">
        <v>1135</v>
      </c>
      <c r="B2003" s="1">
        <v>0.0</v>
      </c>
      <c r="C2003" s="2"/>
      <c r="D2003" s="2"/>
      <c r="E2003" s="2"/>
      <c r="F2003" s="2"/>
      <c r="G2003" s="2"/>
    </row>
    <row r="2004">
      <c r="A2004" s="1" t="s">
        <v>1136</v>
      </c>
      <c r="B2004" s="1">
        <v>0.0</v>
      </c>
      <c r="C2004" s="2"/>
      <c r="D2004" s="2"/>
      <c r="E2004" s="2"/>
      <c r="F2004" s="2"/>
      <c r="G2004" s="2"/>
    </row>
    <row r="2005">
      <c r="A2005" s="1" t="s">
        <v>1137</v>
      </c>
      <c r="B2005" s="1">
        <v>0.0</v>
      </c>
      <c r="C2005" s="2"/>
      <c r="D2005" s="2"/>
      <c r="E2005" s="2"/>
      <c r="F2005" s="2"/>
      <c r="G2005" s="2"/>
    </row>
    <row r="2006">
      <c r="A2006" s="1" t="s">
        <v>1138</v>
      </c>
      <c r="B2006" s="1">
        <v>0.0</v>
      </c>
      <c r="C2006" s="2"/>
      <c r="D2006" s="2"/>
      <c r="E2006" s="2"/>
      <c r="F2006" s="2"/>
      <c r="G2006" s="2"/>
    </row>
    <row r="2007">
      <c r="A2007" s="1" t="s">
        <v>1139</v>
      </c>
      <c r="B2007" s="1">
        <v>0.0</v>
      </c>
      <c r="C2007" s="2"/>
      <c r="D2007" s="2"/>
      <c r="E2007" s="2"/>
      <c r="F2007" s="2"/>
      <c r="G2007" s="2"/>
    </row>
    <row r="2008">
      <c r="A2008" s="1" t="s">
        <v>1140</v>
      </c>
      <c r="B2008" s="1">
        <v>0.0</v>
      </c>
      <c r="C2008" s="2"/>
      <c r="D2008" s="2"/>
      <c r="E2008" s="2"/>
      <c r="F2008" s="2"/>
      <c r="G2008" s="2"/>
    </row>
    <row r="2009">
      <c r="A2009" s="1" t="s">
        <v>1141</v>
      </c>
      <c r="B2009" s="1">
        <v>92.0</v>
      </c>
      <c r="C2009" s="2"/>
      <c r="D2009" s="2"/>
      <c r="E2009" s="2"/>
      <c r="F2009" s="2"/>
      <c r="G2009" s="2"/>
    </row>
    <row r="2010">
      <c r="A2010" s="1" t="s">
        <v>1142</v>
      </c>
      <c r="B2010" s="1">
        <v>0.0</v>
      </c>
      <c r="C2010" s="2"/>
      <c r="D2010" s="2"/>
      <c r="E2010" s="2"/>
      <c r="F2010" s="2"/>
      <c r="G2010" s="2"/>
    </row>
    <row r="2011">
      <c r="A2011" s="1" t="s">
        <v>1143</v>
      </c>
      <c r="B2011" s="1">
        <v>70.0</v>
      </c>
      <c r="C2011" s="2"/>
      <c r="D2011" s="2"/>
      <c r="E2011" s="2"/>
      <c r="F2011" s="2"/>
      <c r="G2011" s="2"/>
    </row>
    <row r="2012">
      <c r="A2012" s="1" t="s">
        <v>1144</v>
      </c>
      <c r="B2012" s="1">
        <v>0.0</v>
      </c>
      <c r="C2012" s="2"/>
      <c r="D2012" s="2"/>
      <c r="E2012" s="2"/>
      <c r="F2012" s="2"/>
      <c r="G2012" s="2"/>
    </row>
    <row r="2013">
      <c r="A2013" s="1" t="s">
        <v>1145</v>
      </c>
      <c r="B2013" s="1">
        <v>0.0</v>
      </c>
      <c r="C2013" s="2"/>
      <c r="D2013" s="2"/>
      <c r="E2013" s="2"/>
      <c r="F2013" s="2"/>
      <c r="G2013" s="2"/>
    </row>
    <row r="2014">
      <c r="A2014" s="1" t="s">
        <v>1146</v>
      </c>
      <c r="B2014" s="1">
        <v>0.0</v>
      </c>
      <c r="C2014" s="2"/>
      <c r="D2014" s="2"/>
      <c r="E2014" s="2"/>
      <c r="F2014" s="2"/>
      <c r="G2014" s="2"/>
    </row>
    <row r="2015">
      <c r="A2015" s="1" t="s">
        <v>1147</v>
      </c>
      <c r="B2015" s="1">
        <v>0.0</v>
      </c>
      <c r="C2015" s="2"/>
      <c r="D2015" s="2"/>
      <c r="E2015" s="2"/>
      <c r="F2015" s="2"/>
      <c r="G2015" s="2"/>
    </row>
    <row r="2016">
      <c r="A2016" s="1" t="s">
        <v>1148</v>
      </c>
      <c r="B2016" s="1">
        <v>0.0</v>
      </c>
      <c r="C2016" s="2"/>
      <c r="D2016" s="2"/>
      <c r="E2016" s="2"/>
      <c r="F2016" s="2"/>
      <c r="G2016" s="2"/>
    </row>
    <row r="2017">
      <c r="A2017" s="1" t="s">
        <v>1149</v>
      </c>
      <c r="B2017" s="1">
        <v>0.0</v>
      </c>
      <c r="C2017" s="2"/>
      <c r="D2017" s="2"/>
      <c r="E2017" s="2"/>
      <c r="F2017" s="2"/>
      <c r="G2017" s="2"/>
    </row>
    <row r="2018">
      <c r="A2018" s="1" t="s">
        <v>1150</v>
      </c>
      <c r="B2018" s="1">
        <v>0.0</v>
      </c>
      <c r="C2018" s="2"/>
      <c r="D2018" s="2"/>
      <c r="E2018" s="2"/>
      <c r="F2018" s="2"/>
      <c r="G2018" s="2"/>
    </row>
    <row r="2019">
      <c r="A2019" s="1" t="s">
        <v>1151</v>
      </c>
      <c r="B2019" s="1">
        <v>0.0</v>
      </c>
      <c r="C2019" s="2"/>
      <c r="D2019" s="2"/>
      <c r="E2019" s="2"/>
      <c r="F2019" s="2"/>
      <c r="G2019" s="2"/>
    </row>
    <row r="2020">
      <c r="A2020" s="1" t="s">
        <v>1152</v>
      </c>
      <c r="B2020" s="1">
        <v>0.0</v>
      </c>
      <c r="C2020" s="2"/>
      <c r="D2020" s="2"/>
      <c r="E2020" s="2"/>
      <c r="F2020" s="2"/>
      <c r="G2020" s="2"/>
    </row>
    <row r="2021">
      <c r="A2021" s="1" t="s">
        <v>1079</v>
      </c>
      <c r="B2021" s="1">
        <v>0.0</v>
      </c>
      <c r="C2021" s="2"/>
      <c r="D2021" s="2"/>
      <c r="E2021" s="2"/>
      <c r="F2021" s="2"/>
      <c r="G2021" s="2"/>
    </row>
    <row r="2022">
      <c r="A2022" s="1" t="s">
        <v>1080</v>
      </c>
      <c r="B2022" s="1">
        <v>0.0</v>
      </c>
      <c r="C2022" s="2"/>
      <c r="D2022" s="2"/>
      <c r="E2022" s="2"/>
      <c r="F2022" s="2"/>
      <c r="G2022" s="2"/>
    </row>
    <row r="2023">
      <c r="A2023" s="1" t="s">
        <v>1081</v>
      </c>
      <c r="B2023" s="1">
        <v>0.0</v>
      </c>
      <c r="C2023" s="2"/>
      <c r="D2023" s="2"/>
      <c r="E2023" s="2"/>
      <c r="F2023" s="2"/>
      <c r="G2023" s="2"/>
    </row>
    <row r="2024">
      <c r="A2024" s="1" t="s">
        <v>1082</v>
      </c>
      <c r="B2024" s="1" t="s">
        <v>1083</v>
      </c>
      <c r="C2024" s="1">
        <v>0.0</v>
      </c>
      <c r="D2024" s="2"/>
      <c r="E2024" s="2"/>
      <c r="F2024" s="2"/>
      <c r="G2024" s="2"/>
    </row>
    <row r="2025">
      <c r="A2025" s="1" t="s">
        <v>1084</v>
      </c>
      <c r="B2025" s="1">
        <v>0.0</v>
      </c>
      <c r="C2025" s="2"/>
      <c r="D2025" s="2"/>
      <c r="E2025" s="2"/>
      <c r="F2025" s="2"/>
      <c r="G2025" s="2"/>
    </row>
    <row r="2026">
      <c r="A2026" s="1" t="s">
        <v>1085</v>
      </c>
      <c r="B2026" s="1">
        <v>0.0</v>
      </c>
      <c r="C2026" s="2"/>
      <c r="D2026" s="2"/>
      <c r="E2026" s="2"/>
      <c r="F2026" s="2"/>
      <c r="G2026" s="2"/>
    </row>
    <row r="2027">
      <c r="A2027" s="1" t="s">
        <v>1086</v>
      </c>
      <c r="B2027" s="1">
        <v>2.0</v>
      </c>
      <c r="C2027" s="2"/>
      <c r="D2027" s="2"/>
      <c r="E2027" s="2"/>
      <c r="F2027" s="2"/>
      <c r="G2027" s="2"/>
    </row>
    <row r="2028">
      <c r="A2028" s="1" t="s">
        <v>1087</v>
      </c>
      <c r="B2028" s="1">
        <v>0.0</v>
      </c>
      <c r="C2028" s="2"/>
      <c r="D2028" s="2"/>
      <c r="E2028" s="2"/>
      <c r="F2028" s="2"/>
      <c r="G2028" s="2"/>
    </row>
    <row r="2029">
      <c r="A2029" s="1" t="s">
        <v>1088</v>
      </c>
      <c r="B2029" s="1" t="s">
        <v>1089</v>
      </c>
      <c r="C2029" s="1" t="s">
        <v>1090</v>
      </c>
      <c r="D2029" s="1">
        <v>0.0</v>
      </c>
      <c r="E2029" s="2"/>
      <c r="F2029" s="2"/>
      <c r="G2029" s="2"/>
    </row>
    <row r="2030">
      <c r="A2030" s="1" t="s">
        <v>1091</v>
      </c>
      <c r="B2030" s="1">
        <v>0.0</v>
      </c>
      <c r="C2030" s="2"/>
      <c r="D2030" s="2"/>
      <c r="E2030" s="2"/>
      <c r="F2030" s="2"/>
      <c r="G2030" s="2"/>
    </row>
    <row r="2031">
      <c r="A2031" s="1" t="s">
        <v>1092</v>
      </c>
      <c r="B2031" s="1">
        <v>0.0</v>
      </c>
      <c r="C2031" s="2"/>
      <c r="D2031" s="2"/>
      <c r="E2031" s="2"/>
      <c r="F2031" s="2"/>
      <c r="G2031" s="2"/>
    </row>
    <row r="2032">
      <c r="A2032" s="1" t="s">
        <v>1093</v>
      </c>
      <c r="B2032" s="1">
        <v>0.0</v>
      </c>
      <c r="C2032" s="2"/>
      <c r="D2032" s="2"/>
      <c r="E2032" s="2"/>
      <c r="F2032" s="2"/>
      <c r="G2032" s="2"/>
    </row>
    <row r="2033">
      <c r="A2033" s="1" t="s">
        <v>1094</v>
      </c>
      <c r="B2033" s="1">
        <v>0.0</v>
      </c>
      <c r="C2033" s="2"/>
      <c r="D2033" s="2"/>
      <c r="E2033" s="2"/>
      <c r="F2033" s="2"/>
      <c r="G2033" s="2"/>
    </row>
    <row r="2034">
      <c r="A2034" s="1" t="s">
        <v>1095</v>
      </c>
      <c r="B2034" s="1" t="s">
        <v>1096</v>
      </c>
      <c r="C2034" s="1">
        <v>18.0</v>
      </c>
      <c r="D2034" s="2"/>
      <c r="E2034" s="2"/>
      <c r="F2034" s="2"/>
      <c r="G2034" s="2"/>
    </row>
    <row r="2035">
      <c r="A2035" s="1" t="s">
        <v>1097</v>
      </c>
      <c r="B2035" s="1">
        <v>59.0</v>
      </c>
      <c r="C2035" s="2"/>
      <c r="D2035" s="2"/>
      <c r="E2035" s="2"/>
      <c r="F2035" s="2"/>
      <c r="G2035" s="2"/>
    </row>
    <row r="2036">
      <c r="A2036" s="1" t="s">
        <v>1098</v>
      </c>
      <c r="B2036" s="1">
        <v>70.0</v>
      </c>
      <c r="C2036" s="2"/>
      <c r="D2036" s="2"/>
      <c r="E2036" s="2"/>
      <c r="F2036" s="2"/>
      <c r="G2036" s="2"/>
    </row>
    <row r="2037">
      <c r="A2037" s="1" t="s">
        <v>1099</v>
      </c>
      <c r="B2037" s="1">
        <v>78.0</v>
      </c>
      <c r="C2037" s="2"/>
      <c r="D2037" s="2"/>
      <c r="E2037" s="2"/>
      <c r="F2037" s="2"/>
      <c r="G2037" s="2"/>
    </row>
    <row r="2038">
      <c r="A2038" s="1" t="s">
        <v>1100</v>
      </c>
      <c r="B2038" s="1">
        <v>11.0</v>
      </c>
      <c r="C2038" s="2"/>
      <c r="D2038" s="2"/>
      <c r="E2038" s="2"/>
      <c r="F2038" s="2"/>
      <c r="G2038" s="2"/>
    </row>
    <row r="2039">
      <c r="A2039" s="1" t="s">
        <v>1101</v>
      </c>
      <c r="B2039" s="1">
        <v>44.0</v>
      </c>
      <c r="C2039" s="2"/>
      <c r="D2039" s="2"/>
      <c r="E2039" s="2"/>
      <c r="F2039" s="2"/>
      <c r="G2039" s="2"/>
    </row>
    <row r="2040">
      <c r="A2040" s="1" t="s">
        <v>1102</v>
      </c>
      <c r="B2040" s="1">
        <v>10.0</v>
      </c>
      <c r="C2040" s="2"/>
      <c r="D2040" s="2"/>
      <c r="E2040" s="2"/>
      <c r="F2040" s="2"/>
      <c r="G2040" s="2"/>
    </row>
    <row r="2041">
      <c r="A2041" s="1" t="s">
        <v>1103</v>
      </c>
      <c r="B2041" s="1">
        <v>0.0</v>
      </c>
      <c r="C2041" s="2"/>
      <c r="D2041" s="2"/>
      <c r="E2041" s="2"/>
      <c r="F2041" s="2"/>
      <c r="G2041" s="2"/>
    </row>
    <row r="2042">
      <c r="A2042" s="1" t="s">
        <v>1104</v>
      </c>
      <c r="B2042" s="1">
        <v>0.0</v>
      </c>
      <c r="C2042" s="2"/>
      <c r="D2042" s="2"/>
      <c r="E2042" s="2"/>
      <c r="F2042" s="2"/>
      <c r="G2042" s="2"/>
    </row>
    <row r="2043">
      <c r="A2043" s="1" t="s">
        <v>1105</v>
      </c>
      <c r="B2043" s="1">
        <v>0.0</v>
      </c>
      <c r="C2043" s="2"/>
      <c r="D2043" s="2"/>
      <c r="E2043" s="2"/>
      <c r="F2043" s="2"/>
      <c r="G2043" s="2"/>
    </row>
    <row r="2044">
      <c r="A2044" s="1" t="s">
        <v>1106</v>
      </c>
      <c r="B2044" s="1">
        <v>32.0</v>
      </c>
      <c r="C2044" s="2"/>
      <c r="D2044" s="2"/>
      <c r="E2044" s="2"/>
      <c r="F2044" s="2"/>
      <c r="G2044" s="2"/>
    </row>
    <row r="2045">
      <c r="A2045" s="1" t="s">
        <v>1107</v>
      </c>
      <c r="B2045" s="1" t="s">
        <v>1108</v>
      </c>
      <c r="C2045" s="1">
        <v>12.0</v>
      </c>
      <c r="D2045" s="2"/>
      <c r="E2045" s="2"/>
      <c r="F2045" s="2"/>
      <c r="G2045" s="2"/>
    </row>
    <row r="2046">
      <c r="A2046" s="1" t="s">
        <v>1109</v>
      </c>
      <c r="B2046" s="1">
        <v>13.0</v>
      </c>
      <c r="C2046" s="2"/>
      <c r="D2046" s="2"/>
      <c r="E2046" s="2"/>
      <c r="F2046" s="2"/>
      <c r="G2046" s="2"/>
    </row>
    <row r="2047">
      <c r="A2047" s="1" t="s">
        <v>1110</v>
      </c>
      <c r="B2047" s="1">
        <v>40.0</v>
      </c>
      <c r="C2047" s="2"/>
      <c r="D2047" s="2"/>
      <c r="E2047" s="2"/>
      <c r="F2047" s="2"/>
      <c r="G2047" s="2"/>
    </row>
    <row r="2048">
      <c r="A2048" s="1" t="s">
        <v>1111</v>
      </c>
      <c r="B2048" s="1">
        <v>0.0</v>
      </c>
      <c r="C2048" s="2"/>
      <c r="D2048" s="2"/>
      <c r="E2048" s="2"/>
      <c r="F2048" s="2"/>
      <c r="G2048" s="2"/>
    </row>
    <row r="2049">
      <c r="A2049" s="1" t="s">
        <v>1112</v>
      </c>
      <c r="B2049" s="1">
        <v>0.0</v>
      </c>
      <c r="C2049" s="2"/>
      <c r="D2049" s="2"/>
      <c r="E2049" s="2"/>
      <c r="F2049" s="2"/>
      <c r="G2049" s="2"/>
    </row>
    <row r="2050">
      <c r="A2050" s="1" t="s">
        <v>1113</v>
      </c>
      <c r="B2050" s="1">
        <v>0.0</v>
      </c>
      <c r="C2050" s="2"/>
      <c r="D2050" s="2"/>
      <c r="E2050" s="2"/>
      <c r="F2050" s="2"/>
      <c r="G2050" s="2"/>
    </row>
    <row r="2051">
      <c r="A2051" s="1" t="s">
        <v>1114</v>
      </c>
      <c r="B2051" s="1">
        <v>0.0</v>
      </c>
      <c r="C2051" s="2"/>
      <c r="D2051" s="2"/>
      <c r="E2051" s="2"/>
      <c r="F2051" s="2"/>
      <c r="G2051" s="2"/>
    </row>
    <row r="2052">
      <c r="A2052" s="1" t="s">
        <v>1115</v>
      </c>
      <c r="B2052" s="1">
        <v>0.0</v>
      </c>
      <c r="C2052" s="2"/>
      <c r="D2052" s="2"/>
      <c r="E2052" s="2"/>
      <c r="F2052" s="2"/>
      <c r="G2052" s="2"/>
    </row>
    <row r="2053">
      <c r="A2053" s="1" t="s">
        <v>1116</v>
      </c>
      <c r="B2053" s="1">
        <v>0.0</v>
      </c>
      <c r="C2053" s="2"/>
      <c r="D2053" s="2"/>
      <c r="E2053" s="2"/>
      <c r="F2053" s="2"/>
      <c r="G2053" s="2"/>
    </row>
    <row r="2054">
      <c r="A2054" s="1" t="s">
        <v>1117</v>
      </c>
      <c r="B2054" s="1">
        <v>0.0</v>
      </c>
      <c r="C2054" s="2"/>
      <c r="D2054" s="2"/>
      <c r="E2054" s="2"/>
      <c r="F2054" s="2"/>
      <c r="G2054" s="2"/>
    </row>
    <row r="2055">
      <c r="A2055" s="1" t="s">
        <v>1118</v>
      </c>
      <c r="B2055" s="1">
        <v>0.0</v>
      </c>
      <c r="C2055" s="2"/>
      <c r="D2055" s="2"/>
      <c r="E2055" s="2"/>
      <c r="F2055" s="2"/>
      <c r="G2055" s="2"/>
    </row>
    <row r="2056">
      <c r="A2056" s="1" t="s">
        <v>1119</v>
      </c>
      <c r="B2056" s="1">
        <v>12.0</v>
      </c>
      <c r="C2056" s="2"/>
      <c r="D2056" s="2"/>
      <c r="E2056" s="2"/>
      <c r="F2056" s="2"/>
      <c r="G2056" s="2"/>
    </row>
    <row r="2057">
      <c r="A2057" s="1" t="s">
        <v>1120</v>
      </c>
      <c r="B2057" s="1">
        <v>0.0</v>
      </c>
      <c r="C2057" s="2"/>
      <c r="D2057" s="2"/>
      <c r="E2057" s="2"/>
      <c r="F2057" s="2"/>
      <c r="G2057" s="2"/>
    </row>
    <row r="2058">
      <c r="A2058" s="1" t="s">
        <v>1121</v>
      </c>
      <c r="B2058" s="1">
        <v>0.0</v>
      </c>
      <c r="C2058" s="2"/>
      <c r="D2058" s="2"/>
      <c r="E2058" s="2"/>
      <c r="F2058" s="2"/>
      <c r="G2058" s="2"/>
    </row>
    <row r="2059">
      <c r="A2059" s="1" t="s">
        <v>1122</v>
      </c>
      <c r="B2059" s="1">
        <v>0.0</v>
      </c>
      <c r="C2059" s="2"/>
      <c r="D2059" s="2"/>
      <c r="E2059" s="2"/>
      <c r="F2059" s="2"/>
      <c r="G2059" s="2"/>
    </row>
    <row r="2060">
      <c r="A2060" s="1" t="s">
        <v>1123</v>
      </c>
      <c r="B2060" s="1">
        <v>22.0</v>
      </c>
      <c r="C2060" s="2"/>
      <c r="D2060" s="2"/>
      <c r="E2060" s="2"/>
      <c r="F2060" s="2"/>
      <c r="G2060" s="2"/>
    </row>
    <row r="2061">
      <c r="A2061" s="1" t="s">
        <v>1124</v>
      </c>
      <c r="B2061" s="1">
        <v>60.0</v>
      </c>
      <c r="C2061" s="2"/>
      <c r="D2061" s="2"/>
      <c r="E2061" s="2"/>
      <c r="F2061" s="2"/>
      <c r="G2061" s="2"/>
    </row>
    <row r="2062">
      <c r="A2062" s="1" t="s">
        <v>1125</v>
      </c>
      <c r="B2062" s="1">
        <v>0.0</v>
      </c>
      <c r="C2062" s="2"/>
      <c r="D2062" s="2"/>
      <c r="E2062" s="2"/>
      <c r="F2062" s="2"/>
      <c r="G2062" s="2"/>
    </row>
    <row r="2063">
      <c r="A2063" s="1" t="s">
        <v>1126</v>
      </c>
      <c r="B2063" s="1">
        <v>60.0</v>
      </c>
      <c r="C2063" s="2"/>
      <c r="D2063" s="2"/>
      <c r="E2063" s="2"/>
      <c r="F2063" s="2"/>
      <c r="G2063" s="2"/>
    </row>
    <row r="2064">
      <c r="A2064" s="1" t="s">
        <v>1127</v>
      </c>
      <c r="B2064" s="1">
        <v>0.0</v>
      </c>
      <c r="C2064" s="2"/>
      <c r="D2064" s="2"/>
      <c r="E2064" s="2"/>
      <c r="F2064" s="2"/>
      <c r="G2064" s="2"/>
    </row>
    <row r="2065">
      <c r="A2065" s="1" t="s">
        <v>1128</v>
      </c>
      <c r="B2065" s="1">
        <v>80.0</v>
      </c>
      <c r="C2065" s="2"/>
      <c r="D2065" s="2"/>
      <c r="E2065" s="2"/>
      <c r="F2065" s="2"/>
      <c r="G2065" s="2"/>
    </row>
    <row r="2066">
      <c r="A2066" s="1" t="s">
        <v>1129</v>
      </c>
      <c r="B2066" s="1">
        <v>0.0</v>
      </c>
      <c r="C2066" s="2"/>
      <c r="D2066" s="2"/>
      <c r="E2066" s="2"/>
      <c r="F2066" s="2"/>
      <c r="G2066" s="2"/>
    </row>
    <row r="2067">
      <c r="A2067" s="1" t="s">
        <v>1130</v>
      </c>
      <c r="B2067" s="1">
        <v>0.0</v>
      </c>
      <c r="C2067" s="2"/>
      <c r="D2067" s="2"/>
      <c r="E2067" s="2"/>
      <c r="F2067" s="2"/>
      <c r="G2067" s="2"/>
    </row>
    <row r="2068">
      <c r="A2068" s="1" t="s">
        <v>1131</v>
      </c>
      <c r="B2068" s="1">
        <v>0.0</v>
      </c>
      <c r="C2068" s="2"/>
      <c r="D2068" s="2"/>
      <c r="E2068" s="2"/>
      <c r="F2068" s="2"/>
      <c r="G2068" s="2"/>
    </row>
    <row r="2069">
      <c r="A2069" s="1" t="s">
        <v>1132</v>
      </c>
      <c r="B2069" s="1">
        <v>0.0</v>
      </c>
      <c r="C2069" s="2"/>
      <c r="D2069" s="2"/>
      <c r="E2069" s="2"/>
      <c r="F2069" s="2"/>
      <c r="G2069" s="2"/>
    </row>
    <row r="2070">
      <c r="A2070" s="1" t="s">
        <v>1133</v>
      </c>
      <c r="B2070" s="1">
        <v>0.0</v>
      </c>
      <c r="C2070" s="2"/>
      <c r="D2070" s="2"/>
      <c r="E2070" s="2"/>
      <c r="F2070" s="2"/>
      <c r="G2070" s="2"/>
    </row>
    <row r="2071">
      <c r="A2071" s="1" t="s">
        <v>1134</v>
      </c>
      <c r="B2071" s="1">
        <v>0.0</v>
      </c>
      <c r="C2071" s="2"/>
      <c r="D2071" s="2"/>
      <c r="E2071" s="2"/>
      <c r="F2071" s="2"/>
      <c r="G2071" s="2"/>
    </row>
    <row r="2072">
      <c r="A2072" s="1" t="s">
        <v>1135</v>
      </c>
      <c r="B2072" s="1">
        <v>0.0</v>
      </c>
      <c r="C2072" s="2"/>
      <c r="D2072" s="2"/>
      <c r="E2072" s="2"/>
      <c r="F2072" s="2"/>
      <c r="G2072" s="2"/>
    </row>
    <row r="2073">
      <c r="A2073" s="1" t="s">
        <v>1136</v>
      </c>
      <c r="B2073" s="1">
        <v>0.0</v>
      </c>
      <c r="C2073" s="2"/>
      <c r="D2073" s="2"/>
      <c r="E2073" s="2"/>
      <c r="F2073" s="2"/>
      <c r="G2073" s="2"/>
    </row>
    <row r="2074">
      <c r="A2074" s="1" t="s">
        <v>1137</v>
      </c>
      <c r="B2074" s="1">
        <v>0.0</v>
      </c>
      <c r="C2074" s="2"/>
      <c r="D2074" s="2"/>
      <c r="E2074" s="2"/>
      <c r="F2074" s="2"/>
      <c r="G2074" s="2"/>
    </row>
    <row r="2075">
      <c r="A2075" s="1" t="s">
        <v>1138</v>
      </c>
      <c r="B2075" s="1">
        <v>0.0</v>
      </c>
      <c r="C2075" s="2"/>
      <c r="D2075" s="2"/>
      <c r="E2075" s="2"/>
      <c r="F2075" s="2"/>
      <c r="G2075" s="2"/>
    </row>
    <row r="2076">
      <c r="A2076" s="1" t="s">
        <v>1139</v>
      </c>
      <c r="B2076" s="1">
        <v>0.0</v>
      </c>
      <c r="C2076" s="2"/>
      <c r="D2076" s="2"/>
      <c r="E2076" s="2"/>
      <c r="F2076" s="2"/>
      <c r="G2076" s="2"/>
    </row>
    <row r="2077">
      <c r="A2077" s="1" t="s">
        <v>1140</v>
      </c>
      <c r="B2077" s="1">
        <v>0.0</v>
      </c>
      <c r="C2077" s="2"/>
      <c r="D2077" s="2"/>
      <c r="E2077" s="2"/>
      <c r="F2077" s="2"/>
      <c r="G2077" s="2"/>
    </row>
    <row r="2078">
      <c r="A2078" s="1" t="s">
        <v>1141</v>
      </c>
      <c r="B2078" s="1">
        <v>92.0</v>
      </c>
      <c r="C2078" s="2"/>
      <c r="D2078" s="2"/>
      <c r="E2078" s="2"/>
      <c r="F2078" s="2"/>
      <c r="G2078" s="2"/>
    </row>
    <row r="2079">
      <c r="A2079" s="1" t="s">
        <v>1142</v>
      </c>
      <c r="B2079" s="1">
        <v>0.0</v>
      </c>
      <c r="C2079" s="2"/>
      <c r="D2079" s="2"/>
      <c r="E2079" s="2"/>
      <c r="F2079" s="2"/>
      <c r="G2079" s="2"/>
    </row>
    <row r="2080">
      <c r="A2080" s="1" t="s">
        <v>1143</v>
      </c>
      <c r="B2080" s="1">
        <v>70.0</v>
      </c>
      <c r="C2080" s="2"/>
      <c r="D2080" s="2"/>
      <c r="E2080" s="2"/>
      <c r="F2080" s="2"/>
      <c r="G2080" s="2"/>
    </row>
    <row r="2081">
      <c r="A2081" s="1" t="s">
        <v>1144</v>
      </c>
      <c r="B2081" s="1">
        <v>0.0</v>
      </c>
      <c r="C2081" s="2"/>
      <c r="D2081" s="2"/>
      <c r="E2081" s="2"/>
      <c r="F2081" s="2"/>
      <c r="G2081" s="2"/>
    </row>
    <row r="2082">
      <c r="A2082" s="1" t="s">
        <v>1145</v>
      </c>
      <c r="B2082" s="1">
        <v>0.0</v>
      </c>
      <c r="C2082" s="2"/>
      <c r="D2082" s="2"/>
      <c r="E2082" s="2"/>
      <c r="F2082" s="2"/>
      <c r="G2082" s="2"/>
    </row>
    <row r="2083">
      <c r="A2083" s="1" t="s">
        <v>1146</v>
      </c>
      <c r="B2083" s="1">
        <v>0.0</v>
      </c>
      <c r="C2083" s="2"/>
      <c r="D2083" s="2"/>
      <c r="E2083" s="2"/>
      <c r="F2083" s="2"/>
      <c r="G2083" s="2"/>
    </row>
    <row r="2084">
      <c r="A2084" s="1" t="s">
        <v>1147</v>
      </c>
      <c r="B2084" s="1">
        <v>0.0</v>
      </c>
      <c r="C2084" s="2"/>
      <c r="D2084" s="2"/>
      <c r="E2084" s="2"/>
      <c r="F2084" s="2"/>
      <c r="G2084" s="2"/>
    </row>
    <row r="2085">
      <c r="A2085" s="1" t="s">
        <v>1148</v>
      </c>
      <c r="B2085" s="1">
        <v>0.0</v>
      </c>
      <c r="C2085" s="2"/>
      <c r="D2085" s="2"/>
      <c r="E2085" s="2"/>
      <c r="F2085" s="2"/>
      <c r="G2085" s="2"/>
    </row>
    <row r="2086">
      <c r="A2086" s="1" t="s">
        <v>1149</v>
      </c>
      <c r="B2086" s="1">
        <v>0.0</v>
      </c>
      <c r="C2086" s="2"/>
      <c r="D2086" s="2"/>
      <c r="E2086" s="2"/>
      <c r="F2086" s="2"/>
      <c r="G2086" s="2"/>
    </row>
    <row r="2087">
      <c r="A2087" s="1" t="s">
        <v>1150</v>
      </c>
      <c r="B2087" s="1">
        <v>0.0</v>
      </c>
      <c r="C2087" s="2"/>
      <c r="D2087" s="2"/>
      <c r="E2087" s="2"/>
      <c r="F2087" s="2"/>
      <c r="G2087" s="2"/>
    </row>
    <row r="2088">
      <c r="A2088" s="1" t="s">
        <v>1151</v>
      </c>
      <c r="B2088" s="1">
        <v>0.0</v>
      </c>
      <c r="C2088" s="2"/>
      <c r="D2088" s="2"/>
      <c r="E2088" s="2"/>
      <c r="F2088" s="2"/>
      <c r="G2088" s="2"/>
    </row>
    <row r="2089">
      <c r="A2089" s="1" t="s">
        <v>1152</v>
      </c>
      <c r="B2089" s="1">
        <v>0.0</v>
      </c>
      <c r="C2089" s="2"/>
      <c r="D2089" s="2"/>
      <c r="E2089" s="2"/>
      <c r="F2089" s="2"/>
      <c r="G2089" s="2"/>
    </row>
    <row r="2090">
      <c r="A2090" s="1" t="s">
        <v>1153</v>
      </c>
      <c r="B2090" s="1">
        <v>0.0</v>
      </c>
      <c r="C2090" s="2"/>
      <c r="D2090" s="2"/>
      <c r="E2090" s="2"/>
      <c r="F2090" s="2"/>
      <c r="G2090" s="2"/>
    </row>
    <row r="2091">
      <c r="A2091" s="1" t="s">
        <v>1154</v>
      </c>
      <c r="B2091" s="1">
        <v>84.0</v>
      </c>
      <c r="C2091" s="2"/>
      <c r="D2091" s="2"/>
      <c r="E2091" s="2"/>
      <c r="F2091" s="2"/>
      <c r="G2091" s="2"/>
    </row>
    <row r="2092">
      <c r="A2092" s="1" t="s">
        <v>1155</v>
      </c>
      <c r="B2092" s="1">
        <v>0.0</v>
      </c>
      <c r="C2092" s="2"/>
      <c r="D2092" s="2"/>
      <c r="E2092" s="2"/>
      <c r="F2092" s="2"/>
      <c r="G2092" s="2"/>
    </row>
    <row r="2093">
      <c r="A2093" s="1" t="s">
        <v>1156</v>
      </c>
      <c r="B2093" s="1">
        <v>65.0</v>
      </c>
      <c r="C2093" s="2"/>
      <c r="D2093" s="2"/>
      <c r="E2093" s="2"/>
      <c r="F2093" s="2"/>
      <c r="G2093" s="2"/>
    </row>
    <row r="2094">
      <c r="A2094" s="1" t="s">
        <v>1157</v>
      </c>
      <c r="B2094" s="1" t="s">
        <v>1158</v>
      </c>
      <c r="C2094" s="1">
        <v>0.0</v>
      </c>
      <c r="D2094" s="2"/>
      <c r="E2094" s="2"/>
      <c r="F2094" s="2"/>
      <c r="G2094" s="2"/>
    </row>
    <row r="2095">
      <c r="A2095" s="1" t="s">
        <v>1159</v>
      </c>
      <c r="B2095" s="1">
        <v>0.0</v>
      </c>
      <c r="C2095" s="2"/>
      <c r="D2095" s="2"/>
      <c r="E2095" s="2"/>
      <c r="F2095" s="2"/>
      <c r="G2095" s="2"/>
    </row>
    <row r="2096">
      <c r="A2096" s="1" t="s">
        <v>1160</v>
      </c>
      <c r="B2096" s="1">
        <v>74.0</v>
      </c>
      <c r="C2096" s="2"/>
      <c r="D2096" s="2"/>
      <c r="E2096" s="2"/>
      <c r="F2096" s="2"/>
      <c r="G2096" s="2"/>
    </row>
    <row r="2097">
      <c r="A2097" s="1" t="s">
        <v>1161</v>
      </c>
      <c r="B2097" s="1">
        <v>0.0</v>
      </c>
      <c r="C2097" s="2"/>
      <c r="D2097" s="2"/>
      <c r="E2097" s="2"/>
      <c r="F2097" s="2"/>
      <c r="G2097" s="2"/>
    </row>
    <row r="2098">
      <c r="A2098" s="1" t="s">
        <v>1162</v>
      </c>
      <c r="B2098" s="1">
        <v>20.0</v>
      </c>
      <c r="C2098" s="2"/>
      <c r="D2098" s="2"/>
      <c r="E2098" s="2"/>
      <c r="F2098" s="2"/>
      <c r="G2098" s="2"/>
    </row>
    <row r="2099">
      <c r="A2099" s="1" t="s">
        <v>1163</v>
      </c>
      <c r="B2099" s="1">
        <v>0.0</v>
      </c>
      <c r="C2099" s="2"/>
      <c r="D2099" s="2"/>
      <c r="E2099" s="2"/>
      <c r="F2099" s="2"/>
      <c r="G2099" s="2"/>
    </row>
    <row r="2100">
      <c r="A2100" s="1" t="s">
        <v>1164</v>
      </c>
      <c r="B2100" s="1">
        <v>0.0</v>
      </c>
      <c r="C2100" s="2"/>
      <c r="D2100" s="2"/>
      <c r="E2100" s="2"/>
      <c r="F2100" s="2"/>
      <c r="G2100" s="2"/>
    </row>
    <row r="2101">
      <c r="A2101" s="1" t="s">
        <v>1165</v>
      </c>
      <c r="B2101" s="1">
        <v>0.0</v>
      </c>
      <c r="C2101" s="2"/>
      <c r="D2101" s="2"/>
      <c r="E2101" s="2"/>
      <c r="F2101" s="2"/>
      <c r="G2101" s="2"/>
    </row>
    <row r="2102">
      <c r="A2102" s="1" t="s">
        <v>1166</v>
      </c>
      <c r="B2102" s="1">
        <v>80.0</v>
      </c>
      <c r="C2102" s="2"/>
      <c r="D2102" s="2"/>
      <c r="E2102" s="2"/>
      <c r="F2102" s="2"/>
      <c r="G2102" s="2"/>
    </row>
    <row r="2103">
      <c r="A2103" s="1" t="s">
        <v>1167</v>
      </c>
      <c r="B2103" s="1">
        <v>69.0</v>
      </c>
      <c r="C2103" s="2"/>
      <c r="D2103" s="2"/>
      <c r="E2103" s="2"/>
      <c r="F2103" s="2"/>
      <c r="G2103" s="2"/>
    </row>
    <row r="2104">
      <c r="A2104" s="1" t="s">
        <v>1168</v>
      </c>
      <c r="B2104" s="1">
        <v>85.0</v>
      </c>
      <c r="C2104" s="2"/>
      <c r="D2104" s="2"/>
      <c r="E2104" s="2"/>
      <c r="F2104" s="2"/>
      <c r="G2104" s="2"/>
    </row>
    <row r="2105">
      <c r="A2105" s="1" t="s">
        <v>1169</v>
      </c>
      <c r="B2105" s="1">
        <v>2.0</v>
      </c>
      <c r="C2105" s="2"/>
      <c r="D2105" s="2"/>
      <c r="E2105" s="2"/>
      <c r="F2105" s="2"/>
      <c r="G2105" s="2"/>
    </row>
    <row r="2106">
      <c r="A2106" s="1" t="s">
        <v>1170</v>
      </c>
      <c r="B2106" s="1">
        <v>66.0</v>
      </c>
      <c r="C2106" s="2"/>
      <c r="D2106" s="2"/>
      <c r="E2106" s="2"/>
      <c r="F2106" s="2"/>
      <c r="G2106" s="2"/>
    </row>
    <row r="2107">
      <c r="A2107" s="1" t="s">
        <v>1171</v>
      </c>
      <c r="B2107" s="1">
        <v>0.0</v>
      </c>
      <c r="C2107" s="2"/>
      <c r="D2107" s="2"/>
      <c r="E2107" s="2"/>
      <c r="F2107" s="2"/>
      <c r="G2107" s="2"/>
    </row>
    <row r="2108">
      <c r="A2108" s="1" t="s">
        <v>1172</v>
      </c>
      <c r="B2108" s="1">
        <v>89.0</v>
      </c>
      <c r="C2108" s="2"/>
      <c r="D2108" s="2"/>
      <c r="E2108" s="2"/>
      <c r="F2108" s="2"/>
      <c r="G2108" s="2"/>
    </row>
    <row r="2109">
      <c r="A2109" s="1" t="s">
        <v>1173</v>
      </c>
      <c r="B2109" s="1">
        <v>50.0</v>
      </c>
      <c r="C2109" s="2"/>
      <c r="D2109" s="2"/>
      <c r="E2109" s="2"/>
      <c r="F2109" s="2"/>
      <c r="G2109" s="2"/>
    </row>
    <row r="2110">
      <c r="A2110" s="1" t="s">
        <v>1174</v>
      </c>
      <c r="B2110" s="1">
        <v>0.0</v>
      </c>
      <c r="C2110" s="2"/>
      <c r="D2110" s="2"/>
      <c r="E2110" s="2"/>
      <c r="F2110" s="2"/>
      <c r="G2110" s="2"/>
    </row>
    <row r="2111">
      <c r="A2111" s="1" t="s">
        <v>1175</v>
      </c>
      <c r="B2111" s="1">
        <v>2.0</v>
      </c>
      <c r="C2111" s="2"/>
      <c r="D2111" s="2"/>
      <c r="E2111" s="2"/>
      <c r="F2111" s="2"/>
      <c r="G2111" s="2"/>
    </row>
    <row r="2112">
      <c r="A2112" s="1" t="s">
        <v>1176</v>
      </c>
      <c r="B2112" s="1">
        <v>0.0</v>
      </c>
      <c r="C2112" s="2"/>
      <c r="D2112" s="2"/>
      <c r="E2112" s="2"/>
      <c r="F2112" s="2"/>
      <c r="G2112" s="2"/>
    </row>
    <row r="2113">
      <c r="A2113" s="1" t="s">
        <v>1177</v>
      </c>
      <c r="B2113" s="1">
        <v>0.0</v>
      </c>
      <c r="C2113" s="2"/>
      <c r="D2113" s="2"/>
      <c r="E2113" s="2"/>
      <c r="F2113" s="2"/>
      <c r="G2113" s="2"/>
    </row>
    <row r="2114">
      <c r="A2114" s="1" t="s">
        <v>1178</v>
      </c>
      <c r="B2114" s="1">
        <v>0.0</v>
      </c>
      <c r="C2114" s="2"/>
      <c r="D2114" s="2"/>
      <c r="E2114" s="2"/>
      <c r="F2114" s="2"/>
      <c r="G2114" s="2"/>
    </row>
    <row r="2115">
      <c r="A2115" s="1" t="s">
        <v>1179</v>
      </c>
      <c r="B2115" s="1">
        <v>0.0</v>
      </c>
      <c r="C2115" s="2"/>
      <c r="D2115" s="2"/>
      <c r="E2115" s="2"/>
      <c r="F2115" s="2"/>
      <c r="G2115" s="2"/>
    </row>
    <row r="2116">
      <c r="A2116" s="1" t="s">
        <v>1180</v>
      </c>
      <c r="B2116" s="1">
        <v>0.0</v>
      </c>
      <c r="C2116" s="2"/>
      <c r="D2116" s="2"/>
      <c r="E2116" s="2"/>
      <c r="F2116" s="2"/>
      <c r="G2116" s="2"/>
    </row>
    <row r="2117">
      <c r="A2117" s="1" t="s">
        <v>1181</v>
      </c>
      <c r="B2117" s="1">
        <v>0.0</v>
      </c>
      <c r="C2117" s="2"/>
      <c r="D2117" s="2"/>
      <c r="E2117" s="2"/>
      <c r="F2117" s="2"/>
      <c r="G2117" s="2"/>
    </row>
    <row r="2118">
      <c r="A2118" s="1" t="s">
        <v>1182</v>
      </c>
      <c r="B2118" s="1">
        <v>0.0</v>
      </c>
      <c r="C2118" s="2"/>
      <c r="D2118" s="2"/>
      <c r="E2118" s="2"/>
      <c r="F2118" s="2"/>
      <c r="G2118" s="2"/>
    </row>
    <row r="2119">
      <c r="A2119" s="1" t="s">
        <v>1183</v>
      </c>
      <c r="B2119" s="1">
        <v>76.0</v>
      </c>
      <c r="C2119" s="2"/>
      <c r="D2119" s="2"/>
      <c r="E2119" s="2"/>
      <c r="F2119" s="2"/>
      <c r="G2119" s="2"/>
    </row>
    <row r="2120">
      <c r="A2120" s="1" t="s">
        <v>1184</v>
      </c>
      <c r="B2120" s="1">
        <v>0.0</v>
      </c>
      <c r="C2120" s="2"/>
      <c r="D2120" s="2"/>
      <c r="E2120" s="2"/>
      <c r="F2120" s="2"/>
      <c r="G2120" s="2"/>
    </row>
    <row r="2121">
      <c r="A2121" s="1" t="s">
        <v>1185</v>
      </c>
      <c r="B2121" s="1">
        <v>0.0</v>
      </c>
      <c r="C2121" s="2"/>
      <c r="D2121" s="2"/>
      <c r="E2121" s="2"/>
      <c r="F2121" s="2"/>
      <c r="G2121" s="2"/>
    </row>
    <row r="2122">
      <c r="A2122" s="1" t="s">
        <v>1186</v>
      </c>
      <c r="B2122" s="1">
        <v>28.0</v>
      </c>
      <c r="C2122" s="2"/>
      <c r="D2122" s="2"/>
      <c r="E2122" s="2"/>
      <c r="F2122" s="2"/>
      <c r="G2122" s="2"/>
    </row>
    <row r="2123">
      <c r="A2123" s="1" t="s">
        <v>1187</v>
      </c>
      <c r="B2123" s="1">
        <v>13.0</v>
      </c>
      <c r="C2123" s="2"/>
      <c r="D2123" s="2"/>
      <c r="E2123" s="2"/>
      <c r="F2123" s="2"/>
      <c r="G2123" s="2"/>
    </row>
    <row r="2124">
      <c r="A2124" s="1" t="s">
        <v>1188</v>
      </c>
      <c r="B2124" s="1">
        <v>80.0</v>
      </c>
      <c r="C2124" s="2"/>
      <c r="D2124" s="2"/>
      <c r="E2124" s="2"/>
      <c r="F2124" s="2"/>
      <c r="G2124" s="2"/>
    </row>
    <row r="2125">
      <c r="A2125" s="1" t="s">
        <v>1189</v>
      </c>
      <c r="B2125" s="1">
        <v>59.0</v>
      </c>
      <c r="C2125" s="2"/>
      <c r="D2125" s="2"/>
      <c r="E2125" s="2"/>
      <c r="F2125" s="2"/>
      <c r="G2125" s="2"/>
    </row>
    <row r="2126">
      <c r="A2126" s="1" t="s">
        <v>1190</v>
      </c>
      <c r="B2126" s="1" t="s">
        <v>1191</v>
      </c>
      <c r="C2126" s="1">
        <v>71.0</v>
      </c>
      <c r="D2126" s="2"/>
      <c r="E2126" s="2"/>
      <c r="F2126" s="2"/>
      <c r="G2126" s="2"/>
    </row>
    <row r="2127">
      <c r="A2127" s="1" t="s">
        <v>1192</v>
      </c>
      <c r="B2127" s="1">
        <v>0.0</v>
      </c>
      <c r="C2127" s="2"/>
      <c r="D2127" s="2"/>
      <c r="E2127" s="2"/>
      <c r="F2127" s="2"/>
      <c r="G2127" s="2"/>
    </row>
    <row r="2128">
      <c r="A2128" s="1" t="s">
        <v>1193</v>
      </c>
      <c r="B2128" s="1">
        <v>0.0</v>
      </c>
      <c r="C2128" s="2"/>
      <c r="D2128" s="2"/>
      <c r="E2128" s="2"/>
      <c r="F2128" s="2"/>
      <c r="G2128" s="2"/>
    </row>
    <row r="2129">
      <c r="A2129" s="1" t="s">
        <v>1194</v>
      </c>
      <c r="B2129" s="1">
        <v>0.0</v>
      </c>
      <c r="C2129" s="2"/>
      <c r="D2129" s="2"/>
      <c r="E2129" s="2"/>
      <c r="F2129" s="2"/>
      <c r="G2129" s="2"/>
    </row>
    <row r="2130">
      <c r="A2130" s="1" t="s">
        <v>1195</v>
      </c>
      <c r="B2130" s="1">
        <v>12.0</v>
      </c>
      <c r="C2130" s="2"/>
      <c r="D2130" s="2"/>
      <c r="E2130" s="2"/>
      <c r="F2130" s="2"/>
      <c r="G2130" s="2"/>
    </row>
    <row r="2131">
      <c r="A2131" s="1" t="s">
        <v>1196</v>
      </c>
      <c r="B2131" s="1">
        <v>36.0</v>
      </c>
      <c r="C2131" s="2"/>
      <c r="D2131" s="2"/>
      <c r="E2131" s="2"/>
      <c r="F2131" s="2"/>
      <c r="G2131" s="2"/>
    </row>
    <row r="2132">
      <c r="A2132" s="1" t="s">
        <v>1197</v>
      </c>
      <c r="B2132" s="1">
        <v>0.0</v>
      </c>
      <c r="C2132" s="2"/>
      <c r="D2132" s="2"/>
      <c r="E2132" s="2"/>
      <c r="F2132" s="2"/>
      <c r="G2132" s="2"/>
    </row>
    <row r="2133">
      <c r="A2133" s="1" t="s">
        <v>1198</v>
      </c>
      <c r="B2133" s="1">
        <v>0.0</v>
      </c>
      <c r="C2133" s="2"/>
      <c r="D2133" s="2"/>
      <c r="E2133" s="2"/>
      <c r="F2133" s="2"/>
      <c r="G2133" s="2"/>
    </row>
    <row r="2134">
      <c r="A2134" s="1" t="s">
        <v>1199</v>
      </c>
      <c r="B2134" s="1">
        <v>26.0</v>
      </c>
      <c r="C2134" s="2"/>
      <c r="D2134" s="2"/>
      <c r="E2134" s="2"/>
      <c r="F2134" s="2"/>
      <c r="G2134" s="2"/>
    </row>
    <row r="2135">
      <c r="A2135" s="1" t="s">
        <v>1200</v>
      </c>
      <c r="B2135" s="1">
        <v>0.0</v>
      </c>
      <c r="C2135" s="2"/>
      <c r="D2135" s="2"/>
      <c r="E2135" s="2"/>
      <c r="F2135" s="2"/>
      <c r="G2135" s="2"/>
    </row>
    <row r="2136">
      <c r="A2136" s="1" t="s">
        <v>1201</v>
      </c>
      <c r="B2136" s="1">
        <v>0.0</v>
      </c>
      <c r="C2136" s="2"/>
      <c r="D2136" s="2"/>
      <c r="E2136" s="2"/>
      <c r="F2136" s="2"/>
      <c r="G2136" s="2"/>
    </row>
    <row r="2137">
      <c r="A2137" s="1" t="s">
        <v>1202</v>
      </c>
      <c r="B2137" s="1">
        <v>0.0</v>
      </c>
      <c r="C2137" s="2"/>
      <c r="D2137" s="2"/>
      <c r="E2137" s="2"/>
      <c r="F2137" s="2"/>
      <c r="G2137" s="2"/>
    </row>
    <row r="2138">
      <c r="A2138" s="1" t="s">
        <v>1203</v>
      </c>
      <c r="B2138" s="1">
        <v>0.0</v>
      </c>
      <c r="C2138" s="2"/>
      <c r="D2138" s="2"/>
      <c r="E2138" s="2"/>
      <c r="F2138" s="2"/>
      <c r="G2138" s="2"/>
    </row>
    <row r="2139">
      <c r="A2139" s="1" t="s">
        <v>1204</v>
      </c>
      <c r="B2139" s="1">
        <v>0.0</v>
      </c>
      <c r="C2139" s="2"/>
      <c r="D2139" s="2"/>
      <c r="E2139" s="2"/>
      <c r="F2139" s="2"/>
      <c r="G2139" s="2"/>
    </row>
    <row r="2140">
      <c r="A2140" s="1" t="s">
        <v>1205</v>
      </c>
      <c r="B2140" s="1">
        <v>84.0</v>
      </c>
      <c r="C2140" s="2"/>
      <c r="D2140" s="2"/>
      <c r="E2140" s="2"/>
      <c r="F2140" s="2"/>
      <c r="G2140" s="2"/>
    </row>
    <row r="2141">
      <c r="A2141" s="1" t="s">
        <v>1206</v>
      </c>
      <c r="B2141" s="1">
        <v>72.0</v>
      </c>
      <c r="C2141" s="2"/>
      <c r="D2141" s="2"/>
      <c r="E2141" s="2"/>
      <c r="F2141" s="2"/>
      <c r="G2141" s="2"/>
    </row>
    <row r="2142">
      <c r="A2142" s="1" t="s">
        <v>1207</v>
      </c>
      <c r="B2142" s="1">
        <v>6.0</v>
      </c>
      <c r="C2142" s="2"/>
      <c r="D2142" s="2"/>
      <c r="E2142" s="2"/>
      <c r="F2142" s="2"/>
      <c r="G2142" s="2"/>
    </row>
    <row r="2143">
      <c r="A2143" s="1" t="s">
        <v>1208</v>
      </c>
      <c r="B2143" s="1">
        <v>0.0</v>
      </c>
      <c r="C2143" s="2"/>
      <c r="D2143" s="2"/>
      <c r="E2143" s="2"/>
      <c r="F2143" s="2"/>
      <c r="G2143" s="2"/>
    </row>
    <row r="2144">
      <c r="A2144" s="1" t="s">
        <v>1209</v>
      </c>
      <c r="B2144" s="1">
        <v>0.0</v>
      </c>
      <c r="C2144" s="2"/>
      <c r="D2144" s="2"/>
      <c r="E2144" s="2"/>
      <c r="F2144" s="2"/>
      <c r="G2144" s="2"/>
    </row>
    <row r="2145">
      <c r="A2145" s="1" t="s">
        <v>1210</v>
      </c>
      <c r="B2145" s="1">
        <v>0.0</v>
      </c>
      <c r="C2145" s="2"/>
      <c r="D2145" s="2"/>
      <c r="E2145" s="2"/>
      <c r="F2145" s="2"/>
      <c r="G2145" s="2"/>
    </row>
    <row r="2146">
      <c r="A2146" s="1" t="s">
        <v>1211</v>
      </c>
      <c r="B2146" s="1">
        <v>0.0</v>
      </c>
      <c r="C2146" s="2"/>
      <c r="D2146" s="2"/>
      <c r="E2146" s="2"/>
      <c r="F2146" s="2"/>
      <c r="G2146" s="2"/>
    </row>
    <row r="2147">
      <c r="A2147" s="1" t="s">
        <v>1212</v>
      </c>
      <c r="B2147" s="1">
        <v>0.0</v>
      </c>
      <c r="C2147" s="2"/>
      <c r="D2147" s="2"/>
      <c r="E2147" s="2"/>
      <c r="F2147" s="2"/>
      <c r="G2147" s="2"/>
    </row>
    <row r="2148">
      <c r="A2148" s="1" t="s">
        <v>1153</v>
      </c>
      <c r="B2148" s="1">
        <v>0.0</v>
      </c>
      <c r="C2148" s="2"/>
      <c r="D2148" s="2"/>
      <c r="E2148" s="2"/>
      <c r="F2148" s="2"/>
      <c r="G2148" s="2"/>
    </row>
    <row r="2149">
      <c r="A2149" s="1" t="s">
        <v>1154</v>
      </c>
      <c r="B2149" s="1">
        <v>84.0</v>
      </c>
      <c r="C2149" s="2"/>
      <c r="D2149" s="2"/>
      <c r="E2149" s="2"/>
      <c r="F2149" s="2"/>
      <c r="G2149" s="2"/>
    </row>
    <row r="2150">
      <c r="A2150" s="1" t="s">
        <v>1155</v>
      </c>
      <c r="B2150" s="1">
        <v>0.0</v>
      </c>
      <c r="C2150" s="2"/>
      <c r="D2150" s="2"/>
      <c r="E2150" s="2"/>
      <c r="F2150" s="2"/>
      <c r="G2150" s="2"/>
    </row>
    <row r="2151">
      <c r="A2151" s="1" t="s">
        <v>1156</v>
      </c>
      <c r="B2151" s="1">
        <v>65.0</v>
      </c>
      <c r="C2151" s="2"/>
      <c r="D2151" s="2"/>
      <c r="E2151" s="2"/>
      <c r="F2151" s="2"/>
      <c r="G2151" s="2"/>
    </row>
    <row r="2152">
      <c r="A2152" s="1" t="s">
        <v>1157</v>
      </c>
      <c r="B2152" s="1" t="s">
        <v>1158</v>
      </c>
      <c r="C2152" s="1">
        <v>0.0</v>
      </c>
      <c r="D2152" s="2"/>
      <c r="E2152" s="2"/>
      <c r="F2152" s="2"/>
      <c r="G2152" s="2"/>
    </row>
    <row r="2153">
      <c r="A2153" s="1" t="s">
        <v>1159</v>
      </c>
      <c r="B2153" s="1">
        <v>0.0</v>
      </c>
      <c r="C2153" s="2"/>
      <c r="D2153" s="2"/>
      <c r="E2153" s="2"/>
      <c r="F2153" s="2"/>
      <c r="G2153" s="2"/>
    </row>
    <row r="2154">
      <c r="A2154" s="1" t="s">
        <v>1160</v>
      </c>
      <c r="B2154" s="1">
        <v>74.0</v>
      </c>
      <c r="C2154" s="2"/>
      <c r="D2154" s="2"/>
      <c r="E2154" s="2"/>
      <c r="F2154" s="2"/>
      <c r="G2154" s="2"/>
    </row>
    <row r="2155">
      <c r="A2155" s="1" t="s">
        <v>1161</v>
      </c>
      <c r="B2155" s="1">
        <v>0.0</v>
      </c>
      <c r="C2155" s="2"/>
      <c r="D2155" s="2"/>
      <c r="E2155" s="2"/>
      <c r="F2155" s="2"/>
      <c r="G2155" s="2"/>
    </row>
    <row r="2156">
      <c r="A2156" s="1" t="s">
        <v>1162</v>
      </c>
      <c r="B2156" s="1">
        <v>20.0</v>
      </c>
      <c r="C2156" s="2"/>
      <c r="D2156" s="2"/>
      <c r="E2156" s="2"/>
      <c r="F2156" s="2"/>
      <c r="G2156" s="2"/>
    </row>
    <row r="2157">
      <c r="A2157" s="1" t="s">
        <v>1163</v>
      </c>
      <c r="B2157" s="1">
        <v>0.0</v>
      </c>
      <c r="C2157" s="2"/>
      <c r="D2157" s="2"/>
      <c r="E2157" s="2"/>
      <c r="F2157" s="2"/>
      <c r="G2157" s="2"/>
    </row>
    <row r="2158">
      <c r="A2158" s="1" t="s">
        <v>1164</v>
      </c>
      <c r="B2158" s="1">
        <v>0.0</v>
      </c>
      <c r="C2158" s="2"/>
      <c r="D2158" s="2"/>
      <c r="E2158" s="2"/>
      <c r="F2158" s="2"/>
      <c r="G2158" s="2"/>
    </row>
    <row r="2159">
      <c r="A2159" s="1" t="s">
        <v>1165</v>
      </c>
      <c r="B2159" s="1">
        <v>0.0</v>
      </c>
      <c r="C2159" s="2"/>
      <c r="D2159" s="2"/>
      <c r="E2159" s="2"/>
      <c r="F2159" s="2"/>
      <c r="G2159" s="2"/>
    </row>
    <row r="2160">
      <c r="A2160" s="1" t="s">
        <v>1166</v>
      </c>
      <c r="B2160" s="1">
        <v>80.0</v>
      </c>
      <c r="C2160" s="2"/>
      <c r="D2160" s="2"/>
      <c r="E2160" s="2"/>
      <c r="F2160" s="2"/>
      <c r="G2160" s="2"/>
    </row>
    <row r="2161">
      <c r="A2161" s="1" t="s">
        <v>1167</v>
      </c>
      <c r="B2161" s="1">
        <v>69.0</v>
      </c>
      <c r="C2161" s="2"/>
      <c r="D2161" s="2"/>
      <c r="E2161" s="2"/>
      <c r="F2161" s="2"/>
      <c r="G2161" s="2"/>
    </row>
    <row r="2162">
      <c r="A2162" s="1" t="s">
        <v>1168</v>
      </c>
      <c r="B2162" s="1">
        <v>85.0</v>
      </c>
      <c r="C2162" s="2"/>
      <c r="D2162" s="2"/>
      <c r="E2162" s="2"/>
      <c r="F2162" s="2"/>
      <c r="G2162" s="2"/>
    </row>
    <row r="2163">
      <c r="A2163" s="1" t="s">
        <v>1169</v>
      </c>
      <c r="B2163" s="1">
        <v>2.0</v>
      </c>
      <c r="C2163" s="2"/>
      <c r="D2163" s="2"/>
      <c r="E2163" s="2"/>
      <c r="F2163" s="2"/>
      <c r="G2163" s="2"/>
    </row>
    <row r="2164">
      <c r="A2164" s="1" t="s">
        <v>1170</v>
      </c>
      <c r="B2164" s="1">
        <v>66.0</v>
      </c>
      <c r="C2164" s="2"/>
      <c r="D2164" s="2"/>
      <c r="E2164" s="2"/>
      <c r="F2164" s="2"/>
      <c r="G2164" s="2"/>
    </row>
    <row r="2165">
      <c r="A2165" s="1" t="s">
        <v>1171</v>
      </c>
      <c r="B2165" s="1">
        <v>0.0</v>
      </c>
      <c r="C2165" s="2"/>
      <c r="D2165" s="2"/>
      <c r="E2165" s="2"/>
      <c r="F2165" s="2"/>
      <c r="G2165" s="2"/>
    </row>
    <row r="2166">
      <c r="A2166" s="1" t="s">
        <v>1172</v>
      </c>
      <c r="B2166" s="1">
        <v>89.0</v>
      </c>
      <c r="C2166" s="2"/>
      <c r="D2166" s="2"/>
      <c r="E2166" s="2"/>
      <c r="F2166" s="2"/>
      <c r="G2166" s="2"/>
    </row>
    <row r="2167">
      <c r="A2167" s="1" t="s">
        <v>1173</v>
      </c>
      <c r="B2167" s="1">
        <v>50.0</v>
      </c>
      <c r="C2167" s="2"/>
      <c r="D2167" s="2"/>
      <c r="E2167" s="2"/>
      <c r="F2167" s="2"/>
      <c r="G2167" s="2"/>
    </row>
    <row r="2168">
      <c r="A2168" s="1" t="s">
        <v>1174</v>
      </c>
      <c r="B2168" s="1">
        <v>0.0</v>
      </c>
      <c r="C2168" s="2"/>
      <c r="D2168" s="2"/>
      <c r="E2168" s="2"/>
      <c r="F2168" s="2"/>
      <c r="G2168" s="2"/>
    </row>
    <row r="2169">
      <c r="A2169" s="1" t="s">
        <v>1175</v>
      </c>
      <c r="B2169" s="1">
        <v>2.0</v>
      </c>
      <c r="C2169" s="2"/>
      <c r="D2169" s="2"/>
      <c r="E2169" s="2"/>
      <c r="F2169" s="2"/>
      <c r="G2169" s="2"/>
    </row>
    <row r="2170">
      <c r="A2170" s="1" t="s">
        <v>1176</v>
      </c>
      <c r="B2170" s="1">
        <v>0.0</v>
      </c>
      <c r="C2170" s="2"/>
      <c r="D2170" s="2"/>
      <c r="E2170" s="2"/>
      <c r="F2170" s="2"/>
      <c r="G2170" s="2"/>
    </row>
    <row r="2171">
      <c r="A2171" s="1" t="s">
        <v>1177</v>
      </c>
      <c r="B2171" s="1">
        <v>0.0</v>
      </c>
      <c r="C2171" s="2"/>
      <c r="D2171" s="2"/>
      <c r="E2171" s="2"/>
      <c r="F2171" s="2"/>
      <c r="G2171" s="2"/>
    </row>
    <row r="2172">
      <c r="A2172" s="1" t="s">
        <v>1178</v>
      </c>
      <c r="B2172" s="1">
        <v>0.0</v>
      </c>
      <c r="C2172" s="2"/>
      <c r="D2172" s="2"/>
      <c r="E2172" s="2"/>
      <c r="F2172" s="2"/>
      <c r="G2172" s="2"/>
    </row>
    <row r="2173">
      <c r="A2173" s="1" t="s">
        <v>1179</v>
      </c>
      <c r="B2173" s="1">
        <v>0.0</v>
      </c>
      <c r="C2173" s="2"/>
      <c r="D2173" s="2"/>
      <c r="E2173" s="2"/>
      <c r="F2173" s="2"/>
      <c r="G2173" s="2"/>
    </row>
    <row r="2174">
      <c r="A2174" s="1" t="s">
        <v>1180</v>
      </c>
      <c r="B2174" s="1">
        <v>0.0</v>
      </c>
      <c r="C2174" s="2"/>
      <c r="D2174" s="2"/>
      <c r="E2174" s="2"/>
      <c r="F2174" s="2"/>
      <c r="G2174" s="2"/>
    </row>
    <row r="2175">
      <c r="A2175" s="1" t="s">
        <v>1181</v>
      </c>
      <c r="B2175" s="1">
        <v>0.0</v>
      </c>
      <c r="C2175" s="2"/>
      <c r="D2175" s="2"/>
      <c r="E2175" s="2"/>
      <c r="F2175" s="2"/>
      <c r="G2175" s="2"/>
    </row>
    <row r="2176">
      <c r="A2176" s="1" t="s">
        <v>1182</v>
      </c>
      <c r="B2176" s="1">
        <v>0.0</v>
      </c>
      <c r="C2176" s="2"/>
      <c r="D2176" s="2"/>
      <c r="E2176" s="2"/>
      <c r="F2176" s="2"/>
      <c r="G2176" s="2"/>
    </row>
    <row r="2177">
      <c r="A2177" s="1" t="s">
        <v>1183</v>
      </c>
      <c r="B2177" s="1">
        <v>76.0</v>
      </c>
      <c r="C2177" s="2"/>
      <c r="D2177" s="2"/>
      <c r="E2177" s="2"/>
      <c r="F2177" s="2"/>
      <c r="G2177" s="2"/>
    </row>
    <row r="2178">
      <c r="A2178" s="1" t="s">
        <v>1184</v>
      </c>
      <c r="B2178" s="1">
        <v>0.0</v>
      </c>
      <c r="C2178" s="2"/>
      <c r="D2178" s="2"/>
      <c r="E2178" s="2"/>
      <c r="F2178" s="2"/>
      <c r="G2178" s="2"/>
    </row>
    <row r="2179">
      <c r="A2179" s="1" t="s">
        <v>1185</v>
      </c>
      <c r="B2179" s="1">
        <v>0.0</v>
      </c>
      <c r="C2179" s="2"/>
      <c r="D2179" s="2"/>
      <c r="E2179" s="2"/>
      <c r="F2179" s="2"/>
      <c r="G2179" s="2"/>
    </row>
    <row r="2180">
      <c r="A2180" s="1" t="s">
        <v>1186</v>
      </c>
      <c r="B2180" s="1">
        <v>28.0</v>
      </c>
      <c r="C2180" s="2"/>
      <c r="D2180" s="2"/>
      <c r="E2180" s="2"/>
      <c r="F2180" s="2"/>
      <c r="G2180" s="2"/>
    </row>
    <row r="2181">
      <c r="A2181" s="1" t="s">
        <v>1187</v>
      </c>
      <c r="B2181" s="1">
        <v>13.0</v>
      </c>
      <c r="C2181" s="2"/>
      <c r="D2181" s="2"/>
      <c r="E2181" s="2"/>
      <c r="F2181" s="2"/>
      <c r="G2181" s="2"/>
    </row>
    <row r="2182">
      <c r="A2182" s="1" t="s">
        <v>1188</v>
      </c>
      <c r="B2182" s="1">
        <v>80.0</v>
      </c>
      <c r="C2182" s="2"/>
      <c r="D2182" s="2"/>
      <c r="E2182" s="2"/>
      <c r="F2182" s="2"/>
      <c r="G2182" s="2"/>
    </row>
    <row r="2183">
      <c r="A2183" s="1" t="s">
        <v>1189</v>
      </c>
      <c r="B2183" s="1">
        <v>59.0</v>
      </c>
      <c r="C2183" s="2"/>
      <c r="D2183" s="2"/>
      <c r="E2183" s="2"/>
      <c r="F2183" s="2"/>
      <c r="G2183" s="2"/>
    </row>
    <row r="2184">
      <c r="A2184" s="1" t="s">
        <v>1190</v>
      </c>
      <c r="B2184" s="1" t="s">
        <v>1191</v>
      </c>
      <c r="C2184" s="1">
        <v>71.0</v>
      </c>
      <c r="D2184" s="2"/>
      <c r="E2184" s="2"/>
      <c r="F2184" s="2"/>
      <c r="G2184" s="2"/>
    </row>
    <row r="2185">
      <c r="A2185" s="1" t="s">
        <v>1192</v>
      </c>
      <c r="B2185" s="1">
        <v>0.0</v>
      </c>
      <c r="C2185" s="2"/>
      <c r="D2185" s="2"/>
      <c r="E2185" s="2"/>
      <c r="F2185" s="2"/>
      <c r="G2185" s="2"/>
    </row>
    <row r="2186">
      <c r="A2186" s="1" t="s">
        <v>1193</v>
      </c>
      <c r="B2186" s="1">
        <v>0.0</v>
      </c>
      <c r="C2186" s="2"/>
      <c r="D2186" s="2"/>
      <c r="E2186" s="2"/>
      <c r="F2186" s="2"/>
      <c r="G2186" s="2"/>
    </row>
    <row r="2187">
      <c r="A2187" s="1" t="s">
        <v>1194</v>
      </c>
      <c r="B2187" s="1">
        <v>0.0</v>
      </c>
      <c r="C2187" s="2"/>
      <c r="D2187" s="2"/>
      <c r="E2187" s="2"/>
      <c r="F2187" s="2"/>
      <c r="G2187" s="2"/>
    </row>
    <row r="2188">
      <c r="A2188" s="1" t="s">
        <v>1195</v>
      </c>
      <c r="B2188" s="1">
        <v>12.0</v>
      </c>
      <c r="C2188" s="2"/>
      <c r="D2188" s="2"/>
      <c r="E2188" s="2"/>
      <c r="F2188" s="2"/>
      <c r="G2188" s="2"/>
    </row>
    <row r="2189">
      <c r="A2189" s="1" t="s">
        <v>1196</v>
      </c>
      <c r="B2189" s="1">
        <v>36.0</v>
      </c>
      <c r="C2189" s="2"/>
      <c r="D2189" s="2"/>
      <c r="E2189" s="2"/>
      <c r="F2189" s="2"/>
      <c r="G2189" s="2"/>
    </row>
    <row r="2190">
      <c r="A2190" s="1" t="s">
        <v>1197</v>
      </c>
      <c r="B2190" s="1">
        <v>0.0</v>
      </c>
      <c r="C2190" s="2"/>
      <c r="D2190" s="2"/>
      <c r="E2190" s="2"/>
      <c r="F2190" s="2"/>
      <c r="G2190" s="2"/>
    </row>
    <row r="2191">
      <c r="A2191" s="1" t="s">
        <v>1198</v>
      </c>
      <c r="B2191" s="1">
        <v>0.0</v>
      </c>
      <c r="C2191" s="2"/>
      <c r="D2191" s="2"/>
      <c r="E2191" s="2"/>
      <c r="F2191" s="2"/>
      <c r="G2191" s="2"/>
    </row>
    <row r="2192">
      <c r="A2192" s="1" t="s">
        <v>1199</v>
      </c>
      <c r="B2192" s="1">
        <v>26.0</v>
      </c>
      <c r="C2192" s="2"/>
      <c r="D2192" s="2"/>
      <c r="E2192" s="2"/>
      <c r="F2192" s="2"/>
      <c r="G2192" s="2"/>
    </row>
    <row r="2193">
      <c r="A2193" s="1" t="s">
        <v>1200</v>
      </c>
      <c r="B2193" s="1">
        <v>0.0</v>
      </c>
      <c r="C2193" s="2"/>
      <c r="D2193" s="2"/>
      <c r="E2193" s="2"/>
      <c r="F2193" s="2"/>
      <c r="G2193" s="2"/>
    </row>
    <row r="2194">
      <c r="A2194" s="1" t="s">
        <v>1201</v>
      </c>
      <c r="B2194" s="1">
        <v>0.0</v>
      </c>
      <c r="C2194" s="2"/>
      <c r="D2194" s="2"/>
      <c r="E2194" s="2"/>
      <c r="F2194" s="2"/>
      <c r="G2194" s="2"/>
    </row>
    <row r="2195">
      <c r="A2195" s="1" t="s">
        <v>1202</v>
      </c>
      <c r="B2195" s="1">
        <v>0.0</v>
      </c>
      <c r="C2195" s="2"/>
      <c r="D2195" s="2"/>
      <c r="E2195" s="2"/>
      <c r="F2195" s="2"/>
      <c r="G2195" s="2"/>
    </row>
    <row r="2196">
      <c r="A2196" s="1" t="s">
        <v>1203</v>
      </c>
      <c r="B2196" s="1">
        <v>0.0</v>
      </c>
      <c r="C2196" s="2"/>
      <c r="D2196" s="2"/>
      <c r="E2196" s="2"/>
      <c r="F2196" s="2"/>
      <c r="G2196" s="2"/>
    </row>
    <row r="2197">
      <c r="A2197" s="1" t="s">
        <v>1204</v>
      </c>
      <c r="B2197" s="1">
        <v>0.0</v>
      </c>
      <c r="C2197" s="2"/>
      <c r="D2197" s="2"/>
      <c r="E2197" s="2"/>
      <c r="F2197" s="2"/>
      <c r="G2197" s="2"/>
    </row>
    <row r="2198">
      <c r="A2198" s="1" t="s">
        <v>1205</v>
      </c>
      <c r="B2198" s="1">
        <v>84.0</v>
      </c>
      <c r="C2198" s="2"/>
      <c r="D2198" s="2"/>
      <c r="E2198" s="2"/>
      <c r="F2198" s="2"/>
      <c r="G2198" s="2"/>
    </row>
    <row r="2199">
      <c r="A2199" s="1" t="s">
        <v>1206</v>
      </c>
      <c r="B2199" s="1">
        <v>72.0</v>
      </c>
      <c r="C2199" s="2"/>
      <c r="D2199" s="2"/>
      <c r="E2199" s="2"/>
      <c r="F2199" s="2"/>
      <c r="G2199" s="2"/>
    </row>
    <row r="2200">
      <c r="A2200" s="1" t="s">
        <v>1207</v>
      </c>
      <c r="B2200" s="1">
        <v>6.0</v>
      </c>
      <c r="C2200" s="2"/>
      <c r="D2200" s="2"/>
      <c r="E2200" s="2"/>
      <c r="F2200" s="2"/>
      <c r="G2200" s="2"/>
    </row>
    <row r="2201">
      <c r="A2201" s="1" t="s">
        <v>1208</v>
      </c>
      <c r="B2201" s="1">
        <v>0.0</v>
      </c>
      <c r="C2201" s="2"/>
      <c r="D2201" s="2"/>
      <c r="E2201" s="2"/>
      <c r="F2201" s="2"/>
      <c r="G2201" s="2"/>
    </row>
    <row r="2202">
      <c r="A2202" s="1" t="s">
        <v>1209</v>
      </c>
      <c r="B2202" s="1">
        <v>0.0</v>
      </c>
      <c r="C2202" s="2"/>
      <c r="D2202" s="2"/>
      <c r="E2202" s="2"/>
      <c r="F2202" s="2"/>
      <c r="G2202" s="2"/>
    </row>
    <row r="2203">
      <c r="A2203" s="1" t="s">
        <v>1210</v>
      </c>
      <c r="B2203" s="1">
        <v>0.0</v>
      </c>
      <c r="C2203" s="2"/>
      <c r="D2203" s="2"/>
      <c r="E2203" s="2"/>
      <c r="F2203" s="2"/>
      <c r="G2203" s="2"/>
    </row>
    <row r="2204">
      <c r="A2204" s="1" t="s">
        <v>1211</v>
      </c>
      <c r="B2204" s="1">
        <v>0.0</v>
      </c>
      <c r="C2204" s="2"/>
      <c r="D2204" s="2"/>
      <c r="E2204" s="2"/>
      <c r="F2204" s="2"/>
      <c r="G2204" s="2"/>
    </row>
    <row r="2205">
      <c r="A2205" s="1" t="s">
        <v>1212</v>
      </c>
      <c r="B2205" s="1">
        <v>0.0</v>
      </c>
      <c r="C2205" s="2"/>
      <c r="D2205" s="2"/>
      <c r="E2205" s="2"/>
      <c r="F2205" s="2"/>
      <c r="G2205" s="2"/>
    </row>
    <row r="2206">
      <c r="A2206" s="2"/>
      <c r="B2206" s="2"/>
      <c r="C2206" s="2"/>
      <c r="D2206" s="2"/>
      <c r="E2206" s="2"/>
      <c r="F2206" s="2"/>
      <c r="G2206" s="2"/>
    </row>
    <row r="2207">
      <c r="A2207" s="2"/>
      <c r="B2207" s="2"/>
      <c r="C2207" s="2"/>
      <c r="D2207" s="2"/>
      <c r="E2207" s="2"/>
      <c r="F2207" s="2"/>
      <c r="G2207" s="2"/>
    </row>
  </sheetData>
  <conditionalFormatting sqref="B1:B2207">
    <cfRule type="cellIs" dxfId="0" priority="1" operator="greaterThanOr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76.75"/>
    <col customWidth="1" min="4" max="4" width="62.63"/>
  </cols>
  <sheetData>
    <row r="1">
      <c r="A1" s="5"/>
      <c r="B1" s="5" t="s">
        <v>1214</v>
      </c>
      <c r="C1" s="5"/>
    </row>
    <row r="2">
      <c r="A2" s="5"/>
      <c r="B2" s="5"/>
      <c r="C2" s="5"/>
    </row>
    <row r="3">
      <c r="A3" s="5"/>
      <c r="B3" s="5"/>
      <c r="C3" s="5"/>
    </row>
    <row r="4">
      <c r="A4" s="5"/>
      <c r="B4" s="5" t="s">
        <v>1215</v>
      </c>
      <c r="C4" s="5"/>
      <c r="D4" s="5" t="s">
        <v>1216</v>
      </c>
    </row>
    <row r="5">
      <c r="A5" s="5"/>
      <c r="B5" s="5" t="s">
        <v>4</v>
      </c>
      <c r="C5" s="5"/>
      <c r="D5" s="5">
        <v>0.0</v>
      </c>
    </row>
    <row r="6">
      <c r="A6" s="5"/>
      <c r="B6" s="5" t="s">
        <v>5</v>
      </c>
      <c r="D6" s="5">
        <v>52.0</v>
      </c>
    </row>
    <row r="7">
      <c r="A7" s="5"/>
      <c r="B7" s="5" t="s">
        <v>6</v>
      </c>
      <c r="C7" s="5"/>
      <c r="D7" s="5">
        <v>0.0</v>
      </c>
    </row>
    <row r="8">
      <c r="A8" s="5"/>
      <c r="B8" s="5" t="s">
        <v>7</v>
      </c>
      <c r="C8" s="5"/>
      <c r="D8" s="5">
        <v>0.0</v>
      </c>
    </row>
    <row r="9">
      <c r="A9" s="5"/>
      <c r="B9" s="5" t="s">
        <v>8</v>
      </c>
      <c r="C9" s="5"/>
      <c r="D9" s="5">
        <v>0.0</v>
      </c>
    </row>
    <row r="10">
      <c r="A10" s="5"/>
      <c r="B10" s="5" t="s">
        <v>9</v>
      </c>
      <c r="C10" s="5"/>
      <c r="D10" s="5">
        <v>0.0</v>
      </c>
    </row>
    <row r="11">
      <c r="A11" s="5"/>
      <c r="B11" s="5" t="s">
        <v>10</v>
      </c>
      <c r="C11" s="5"/>
      <c r="D11" s="5">
        <v>0.0</v>
      </c>
    </row>
    <row r="12">
      <c r="A12" s="5"/>
      <c r="B12" s="5" t="s">
        <v>11</v>
      </c>
      <c r="C12" s="5"/>
      <c r="D12" s="5">
        <v>0.0</v>
      </c>
    </row>
    <row r="13">
      <c r="A13" s="5"/>
      <c r="B13" s="5" t="s">
        <v>12</v>
      </c>
      <c r="C13" s="5"/>
      <c r="D13" s="5">
        <v>67.0</v>
      </c>
    </row>
    <row r="14">
      <c r="A14" s="5"/>
      <c r="B14" s="5" t="s">
        <v>13</v>
      </c>
      <c r="C14" s="5"/>
      <c r="D14" s="5">
        <v>0.0</v>
      </c>
    </row>
    <row r="15">
      <c r="A15" s="5"/>
      <c r="B15" s="5" t="s">
        <v>14</v>
      </c>
      <c r="C15" s="5"/>
      <c r="D15" s="5">
        <v>0.0</v>
      </c>
    </row>
    <row r="16">
      <c r="A16" s="5"/>
      <c r="B16" s="5" t="s">
        <v>15</v>
      </c>
      <c r="C16" s="5"/>
      <c r="D16" s="5" t="s">
        <v>16</v>
      </c>
      <c r="E16" s="5">
        <v>97.0</v>
      </c>
    </row>
    <row r="17">
      <c r="A17" s="5"/>
      <c r="B17" s="5" t="s">
        <v>17</v>
      </c>
      <c r="C17" s="5"/>
      <c r="D17" s="5">
        <v>0.0</v>
      </c>
    </row>
    <row r="18">
      <c r="A18" s="5"/>
      <c r="B18" s="5" t="s">
        <v>18</v>
      </c>
      <c r="C18" s="5"/>
      <c r="D18" s="5">
        <v>23.0</v>
      </c>
    </row>
    <row r="19">
      <c r="A19" s="5"/>
      <c r="B19" s="5" t="s">
        <v>19</v>
      </c>
      <c r="C19" s="5"/>
      <c r="D19" s="5">
        <v>0.0</v>
      </c>
    </row>
    <row r="20">
      <c r="A20" s="5"/>
      <c r="B20" s="5" t="s">
        <v>20</v>
      </c>
      <c r="C20" s="5"/>
      <c r="D20" s="5">
        <v>0.0</v>
      </c>
    </row>
    <row r="21">
      <c r="A21" s="5"/>
      <c r="B21" s="5" t="s">
        <v>21</v>
      </c>
      <c r="C21" s="5"/>
      <c r="D21" s="5">
        <v>0.0</v>
      </c>
    </row>
    <row r="22">
      <c r="A22" s="5"/>
      <c r="B22" s="5" t="s">
        <v>22</v>
      </c>
      <c r="C22" s="5"/>
      <c r="D22" s="5">
        <v>0.0</v>
      </c>
    </row>
    <row r="23">
      <c r="A23" s="5"/>
      <c r="B23" s="5" t="s">
        <v>23</v>
      </c>
      <c r="C23" s="5"/>
      <c r="D23" s="5" t="s">
        <v>24</v>
      </c>
      <c r="E23" s="5">
        <v>0.0</v>
      </c>
    </row>
    <row r="24">
      <c r="A24" s="5"/>
      <c r="B24" s="5" t="s">
        <v>25</v>
      </c>
      <c r="C24" s="5"/>
      <c r="D24" s="5">
        <v>0.0</v>
      </c>
    </row>
    <row r="25">
      <c r="A25" s="5"/>
      <c r="B25" s="5" t="s">
        <v>26</v>
      </c>
      <c r="C25" s="5"/>
      <c r="D25" s="5">
        <v>0.0</v>
      </c>
    </row>
    <row r="26">
      <c r="A26" s="5"/>
      <c r="B26" s="5" t="s">
        <v>27</v>
      </c>
      <c r="C26" s="5"/>
      <c r="D26" s="5">
        <v>0.0</v>
      </c>
    </row>
    <row r="27">
      <c r="A27" s="5"/>
      <c r="B27" s="5" t="s">
        <v>28</v>
      </c>
      <c r="C27" s="5"/>
      <c r="D27" s="5">
        <v>0.0</v>
      </c>
    </row>
    <row r="28">
      <c r="A28" s="5"/>
      <c r="B28" s="5" t="s">
        <v>29</v>
      </c>
      <c r="C28" s="5"/>
      <c r="D28" s="5" t="s">
        <v>30</v>
      </c>
      <c r="E28" s="5" t="s">
        <v>31</v>
      </c>
    </row>
    <row r="29">
      <c r="A29" s="5"/>
      <c r="B29" s="5" t="s">
        <v>32</v>
      </c>
      <c r="C29" s="5"/>
      <c r="D29" s="5">
        <v>0.0</v>
      </c>
    </row>
    <row r="30">
      <c r="A30" s="5"/>
      <c r="B30" s="5" t="s">
        <v>33</v>
      </c>
      <c r="C30" s="5"/>
      <c r="D30" s="5" t="s">
        <v>34</v>
      </c>
    </row>
    <row r="31">
      <c r="A31" s="5"/>
      <c r="B31" s="5" t="s">
        <v>35</v>
      </c>
      <c r="C31" s="5"/>
      <c r="D31" s="5">
        <v>10.0</v>
      </c>
    </row>
    <row r="32">
      <c r="A32" s="5"/>
      <c r="B32" s="5" t="s">
        <v>36</v>
      </c>
      <c r="C32" s="5"/>
      <c r="D32" s="5">
        <v>0.0</v>
      </c>
    </row>
    <row r="33">
      <c r="A33" s="5"/>
      <c r="B33" s="5" t="s">
        <v>37</v>
      </c>
      <c r="C33" s="5"/>
      <c r="D33" s="5">
        <v>5.0</v>
      </c>
    </row>
    <row r="34">
      <c r="A34" s="5"/>
      <c r="B34" s="5" t="s">
        <v>38</v>
      </c>
      <c r="C34" s="5"/>
      <c r="D34" s="5">
        <v>86.0</v>
      </c>
    </row>
    <row r="35">
      <c r="A35" s="5"/>
      <c r="B35" s="5" t="s">
        <v>39</v>
      </c>
      <c r="C35" s="5"/>
      <c r="D35" s="5">
        <v>0.0</v>
      </c>
    </row>
    <row r="36">
      <c r="A36" s="5"/>
      <c r="B36" s="5" t="s">
        <v>40</v>
      </c>
      <c r="C36" s="5"/>
      <c r="D36" s="5">
        <v>0.0</v>
      </c>
    </row>
    <row r="37">
      <c r="A37" s="5"/>
      <c r="B37" s="5" t="s">
        <v>41</v>
      </c>
      <c r="C37" s="5"/>
      <c r="D37" s="5">
        <v>0.0</v>
      </c>
    </row>
    <row r="38">
      <c r="A38" s="5"/>
      <c r="B38" s="5" t="s">
        <v>42</v>
      </c>
      <c r="C38" s="5"/>
      <c r="D38" s="5">
        <v>18.0</v>
      </c>
    </row>
    <row r="39">
      <c r="A39" s="5"/>
      <c r="B39" s="5" t="s">
        <v>43</v>
      </c>
      <c r="C39" s="5"/>
      <c r="D39" s="5">
        <v>0.0</v>
      </c>
    </row>
    <row r="40">
      <c r="A40" s="5"/>
      <c r="B40" s="5" t="s">
        <v>44</v>
      </c>
      <c r="C40" s="5"/>
      <c r="D40" s="5" t="s">
        <v>45</v>
      </c>
      <c r="E40" s="5">
        <v>0.0</v>
      </c>
    </row>
    <row r="41">
      <c r="A41" s="5"/>
      <c r="B41" s="5" t="s">
        <v>46</v>
      </c>
      <c r="C41" s="5"/>
      <c r="D41" s="5">
        <v>0.0</v>
      </c>
    </row>
    <row r="42">
      <c r="A42" s="5"/>
      <c r="B42" s="5" t="s">
        <v>47</v>
      </c>
      <c r="C42" s="5"/>
      <c r="D42" s="5">
        <v>0.0</v>
      </c>
    </row>
    <row r="43">
      <c r="A43" s="5"/>
      <c r="B43" s="5" t="s">
        <v>48</v>
      </c>
      <c r="C43" s="5"/>
      <c r="D43" s="5">
        <v>67.0</v>
      </c>
    </row>
    <row r="44">
      <c r="A44" s="5"/>
      <c r="B44" s="5" t="s">
        <v>49</v>
      </c>
      <c r="C44" s="5"/>
      <c r="D44" s="5">
        <v>0.0</v>
      </c>
    </row>
    <row r="45">
      <c r="A45" s="5"/>
      <c r="B45" s="5" t="s">
        <v>50</v>
      </c>
      <c r="C45" s="5"/>
      <c r="D45" s="5">
        <v>0.0</v>
      </c>
    </row>
    <row r="46">
      <c r="A46" s="5"/>
      <c r="B46" s="5" t="s">
        <v>51</v>
      </c>
      <c r="C46" s="5"/>
      <c r="D46" s="5">
        <v>0.0</v>
      </c>
    </row>
    <row r="47">
      <c r="A47" s="5"/>
      <c r="B47" s="5" t="s">
        <v>52</v>
      </c>
      <c r="C47" s="5"/>
      <c r="D47" s="5">
        <v>0.0</v>
      </c>
    </row>
    <row r="48">
      <c r="A48" s="5"/>
      <c r="B48" s="5" t="s">
        <v>53</v>
      </c>
      <c r="C48" s="5"/>
      <c r="D48" s="5">
        <v>0.0</v>
      </c>
    </row>
    <row r="49">
      <c r="A49" s="5"/>
      <c r="B49" s="5" t="s">
        <v>54</v>
      </c>
      <c r="C49" s="5"/>
      <c r="D49" s="5">
        <v>0.0</v>
      </c>
    </row>
    <row r="50">
      <c r="A50" s="5"/>
      <c r="B50" s="5" t="s">
        <v>55</v>
      </c>
      <c r="C50" s="5"/>
      <c r="D50" s="5">
        <v>0.0</v>
      </c>
    </row>
    <row r="51">
      <c r="A51" s="5"/>
      <c r="B51" s="5" t="s">
        <v>56</v>
      </c>
      <c r="C51" s="5"/>
      <c r="D51" s="5">
        <v>0.0</v>
      </c>
    </row>
    <row r="52">
      <c r="A52" s="5"/>
      <c r="B52" s="5" t="s">
        <v>57</v>
      </c>
      <c r="C52" s="5"/>
      <c r="D52" s="5">
        <v>14.0</v>
      </c>
    </row>
    <row r="53">
      <c r="A53" s="5"/>
      <c r="B53" s="5" t="s">
        <v>58</v>
      </c>
      <c r="C53" s="5"/>
      <c r="D53" s="5" t="s">
        <v>59</v>
      </c>
      <c r="E53" s="5">
        <v>0.0</v>
      </c>
    </row>
    <row r="54">
      <c r="A54" s="5"/>
      <c r="B54" s="5" t="s">
        <v>60</v>
      </c>
      <c r="C54" s="5"/>
      <c r="D54" s="5">
        <v>0.0</v>
      </c>
    </row>
    <row r="55">
      <c r="A55" s="5"/>
      <c r="B55" s="5" t="s">
        <v>61</v>
      </c>
      <c r="C55" s="5"/>
      <c r="D55" s="5">
        <v>26.0</v>
      </c>
    </row>
    <row r="56">
      <c r="A56" s="5"/>
      <c r="B56" s="5" t="s">
        <v>62</v>
      </c>
      <c r="C56" s="5"/>
      <c r="D56" s="5">
        <v>5.0</v>
      </c>
    </row>
    <row r="57">
      <c r="A57" s="5"/>
      <c r="B57" s="5" t="s">
        <v>63</v>
      </c>
      <c r="C57" s="5"/>
      <c r="D57" s="5">
        <v>0.0</v>
      </c>
    </row>
    <row r="58">
      <c r="A58" s="5"/>
      <c r="B58" s="5" t="s">
        <v>64</v>
      </c>
      <c r="C58" s="5"/>
      <c r="D58" s="5">
        <v>0.0</v>
      </c>
    </row>
    <row r="59">
      <c r="A59" s="5"/>
      <c r="B59" s="5" t="s">
        <v>65</v>
      </c>
      <c r="C59" s="5"/>
      <c r="D59" s="5">
        <v>0.0</v>
      </c>
    </row>
    <row r="60">
      <c r="A60" s="5"/>
      <c r="B60" s="5" t="s">
        <v>66</v>
      </c>
      <c r="C60" s="5"/>
      <c r="D60" s="5">
        <v>0.0</v>
      </c>
    </row>
    <row r="61">
      <c r="A61" s="5"/>
      <c r="B61" s="5" t="s">
        <v>67</v>
      </c>
      <c r="C61" s="5"/>
      <c r="D61" s="5">
        <v>0.0</v>
      </c>
    </row>
    <row r="62">
      <c r="A62" s="5"/>
      <c r="B62" s="5" t="s">
        <v>68</v>
      </c>
      <c r="C62" s="5"/>
      <c r="D62" s="5">
        <v>0.0</v>
      </c>
    </row>
    <row r="63">
      <c r="A63" s="5"/>
      <c r="B63" s="5" t="s">
        <v>69</v>
      </c>
      <c r="C63" s="5"/>
      <c r="D63" s="5">
        <v>40.0</v>
      </c>
    </row>
    <row r="64">
      <c r="A64" s="5"/>
      <c r="B64" s="5" t="s">
        <v>70</v>
      </c>
      <c r="C64" s="5"/>
      <c r="D64" s="5">
        <v>0.0</v>
      </c>
    </row>
    <row r="65">
      <c r="A65" s="5"/>
      <c r="B65" s="5" t="s">
        <v>71</v>
      </c>
      <c r="C65" s="5"/>
      <c r="D65" s="5">
        <v>0.0</v>
      </c>
    </row>
    <row r="66">
      <c r="A66" s="5"/>
      <c r="B66" s="5" t="s">
        <v>72</v>
      </c>
      <c r="C66" s="5"/>
      <c r="D66" s="5">
        <v>68.0</v>
      </c>
    </row>
    <row r="67">
      <c r="A67" s="5"/>
      <c r="B67" s="5" t="s">
        <v>73</v>
      </c>
      <c r="C67" s="5"/>
      <c r="D67" s="5">
        <v>0.0</v>
      </c>
    </row>
    <row r="68">
      <c r="A68" s="5"/>
      <c r="B68" s="5" t="s">
        <v>74</v>
      </c>
      <c r="C68" s="5"/>
      <c r="D68" s="5">
        <v>13.0</v>
      </c>
    </row>
    <row r="69">
      <c r="A69" s="5"/>
      <c r="B69" s="5" t="s">
        <v>75</v>
      </c>
      <c r="C69" s="5"/>
      <c r="D69" s="5">
        <v>29.0</v>
      </c>
    </row>
    <row r="70">
      <c r="A70" s="5"/>
      <c r="B70" s="5" t="s">
        <v>76</v>
      </c>
      <c r="C70" s="5"/>
      <c r="D70" s="5">
        <v>0.0</v>
      </c>
    </row>
    <row r="71">
      <c r="A71" s="5"/>
      <c r="B71" s="5" t="s">
        <v>77</v>
      </c>
      <c r="C71" s="5"/>
      <c r="D71" s="5">
        <v>84.0</v>
      </c>
    </row>
    <row r="72">
      <c r="A72" s="5"/>
      <c r="B72" s="5" t="s">
        <v>78</v>
      </c>
      <c r="C72" s="5"/>
      <c r="D72" s="5">
        <v>58.0</v>
      </c>
    </row>
    <row r="73">
      <c r="A73" s="5"/>
      <c r="B73" s="5" t="s">
        <v>79</v>
      </c>
      <c r="C73" s="5"/>
      <c r="D73" s="5">
        <v>0.0</v>
      </c>
    </row>
    <row r="74">
      <c r="A74" s="5"/>
      <c r="B74" s="5" t="s">
        <v>80</v>
      </c>
      <c r="C74" s="5"/>
      <c r="D74" s="5">
        <v>12.0</v>
      </c>
    </row>
    <row r="75">
      <c r="A75" s="5"/>
      <c r="B75" s="5" t="s">
        <v>81</v>
      </c>
      <c r="C75" s="5"/>
      <c r="D75" s="5">
        <v>5.0</v>
      </c>
    </row>
    <row r="76">
      <c r="A76" s="5"/>
      <c r="B76" s="5" t="s">
        <v>82</v>
      </c>
      <c r="C76" s="5"/>
      <c r="D76" s="5">
        <v>70.0</v>
      </c>
    </row>
    <row r="77">
      <c r="A77" s="5"/>
      <c r="B77" s="5" t="s">
        <v>83</v>
      </c>
      <c r="C77" s="5"/>
      <c r="D77" s="5">
        <v>13.0</v>
      </c>
    </row>
    <row r="78">
      <c r="A78" s="5"/>
      <c r="B78" s="5" t="s">
        <v>84</v>
      </c>
      <c r="C78" s="5"/>
      <c r="D78" s="5">
        <v>0.0</v>
      </c>
    </row>
    <row r="79">
      <c r="A79" s="5"/>
      <c r="B79" s="5" t="s">
        <v>85</v>
      </c>
      <c r="C79" s="5"/>
      <c r="D79" s="5">
        <v>94.0</v>
      </c>
    </row>
    <row r="80">
      <c r="A80" s="5"/>
      <c r="B80" s="5" t="s">
        <v>86</v>
      </c>
      <c r="C80" s="5"/>
      <c r="D80" s="5">
        <v>36.0</v>
      </c>
    </row>
    <row r="81">
      <c r="A81" s="5"/>
      <c r="B81" s="5" t="s">
        <v>87</v>
      </c>
      <c r="C81" s="5"/>
      <c r="D81" s="5">
        <v>0.0</v>
      </c>
    </row>
    <row r="82">
      <c r="A82" s="5"/>
      <c r="B82" s="5" t="s">
        <v>88</v>
      </c>
      <c r="C82" s="5"/>
      <c r="D82" s="5">
        <v>50.0</v>
      </c>
    </row>
    <row r="83">
      <c r="A83" s="5"/>
      <c r="B83" s="5" t="s">
        <v>89</v>
      </c>
      <c r="C83" s="5"/>
      <c r="D83" s="5">
        <v>0.0</v>
      </c>
    </row>
    <row r="84">
      <c r="A84" s="5"/>
      <c r="B84" s="5" t="s">
        <v>90</v>
      </c>
      <c r="C84" s="5"/>
      <c r="D84" s="5">
        <v>0.0</v>
      </c>
    </row>
    <row r="85">
      <c r="A85" s="5"/>
      <c r="B85" s="5" t="s">
        <v>91</v>
      </c>
      <c r="C85" s="5"/>
      <c r="D85" s="5">
        <v>0.0</v>
      </c>
    </row>
    <row r="86">
      <c r="A86" s="5"/>
      <c r="B86" s="5" t="s">
        <v>92</v>
      </c>
      <c r="C86" s="5"/>
      <c r="D86" s="5">
        <v>0.0</v>
      </c>
    </row>
    <row r="87">
      <c r="A87" s="5"/>
      <c r="B87" s="5" t="s">
        <v>93</v>
      </c>
      <c r="C87" s="5"/>
      <c r="D87" s="5">
        <v>68.0</v>
      </c>
    </row>
    <row r="88">
      <c r="A88" s="5"/>
      <c r="B88" s="5" t="s">
        <v>94</v>
      </c>
      <c r="C88" s="5"/>
      <c r="D88" s="5">
        <v>34.0</v>
      </c>
    </row>
    <row r="89">
      <c r="A89" s="5"/>
      <c r="B89" s="5" t="s">
        <v>95</v>
      </c>
      <c r="C89" s="5"/>
      <c r="D89" s="5">
        <v>0.0</v>
      </c>
    </row>
    <row r="90">
      <c r="A90" s="5"/>
      <c r="B90" s="5" t="s">
        <v>96</v>
      </c>
      <c r="C90" s="5"/>
      <c r="D90" s="5">
        <v>72.0</v>
      </c>
    </row>
    <row r="91">
      <c r="A91" s="5"/>
      <c r="B91" s="5" t="s">
        <v>97</v>
      </c>
      <c r="C91" s="5"/>
      <c r="D91" s="5">
        <v>0.0</v>
      </c>
    </row>
    <row r="92">
      <c r="A92" s="5"/>
      <c r="B92" s="5" t="s">
        <v>98</v>
      </c>
      <c r="C92" s="5"/>
      <c r="D92" s="5">
        <v>0.0</v>
      </c>
    </row>
    <row r="93">
      <c r="A93" s="5"/>
      <c r="B93" s="5" t="s">
        <v>99</v>
      </c>
      <c r="C93" s="5"/>
      <c r="D93" s="5">
        <v>0.0</v>
      </c>
    </row>
    <row r="94">
      <c r="A94" s="5"/>
      <c r="B94" s="5" t="s">
        <v>100</v>
      </c>
      <c r="C94" s="5"/>
      <c r="D94" s="5">
        <v>0.0</v>
      </c>
    </row>
    <row r="95">
      <c r="A95" s="5"/>
      <c r="B95" s="5" t="s">
        <v>101</v>
      </c>
      <c r="C95" s="5"/>
      <c r="D95" s="5">
        <v>0.0</v>
      </c>
    </row>
    <row r="96">
      <c r="A96" s="5"/>
      <c r="B96" s="5" t="s">
        <v>102</v>
      </c>
      <c r="C96" s="5"/>
      <c r="D96" s="5" t="s">
        <v>103</v>
      </c>
      <c r="E96" s="5">
        <v>0.0</v>
      </c>
    </row>
    <row r="97">
      <c r="A97" s="5"/>
      <c r="B97" s="5" t="s">
        <v>104</v>
      </c>
      <c r="C97" s="5"/>
      <c r="D97" s="5">
        <v>0.0</v>
      </c>
    </row>
    <row r="98">
      <c r="A98" s="5"/>
      <c r="B98" s="5" t="s">
        <v>105</v>
      </c>
      <c r="C98" s="5"/>
      <c r="D98" s="5">
        <v>0.0</v>
      </c>
    </row>
    <row r="99">
      <c r="A99" s="5"/>
      <c r="B99" s="5" t="s">
        <v>106</v>
      </c>
      <c r="C99" s="5"/>
      <c r="D99" s="5">
        <v>0.0</v>
      </c>
    </row>
    <row r="100">
      <c r="A100" s="5"/>
      <c r="B100" s="5" t="s">
        <v>107</v>
      </c>
      <c r="C100" s="5"/>
      <c r="D100" s="5">
        <v>0.0</v>
      </c>
    </row>
    <row r="101">
      <c r="A101" s="5"/>
      <c r="B101" s="5" t="s">
        <v>108</v>
      </c>
      <c r="C101" s="5"/>
      <c r="D101" s="5">
        <v>0.0</v>
      </c>
    </row>
    <row r="102">
      <c r="A102" s="5"/>
      <c r="B102" s="5" t="s">
        <v>109</v>
      </c>
      <c r="C102" s="5"/>
      <c r="D102" s="5">
        <v>0.0</v>
      </c>
    </row>
    <row r="103">
      <c r="A103" s="5"/>
      <c r="B103" s="5" t="s">
        <v>110</v>
      </c>
      <c r="C103" s="5"/>
      <c r="D103" s="5">
        <v>0.0</v>
      </c>
    </row>
    <row r="104">
      <c r="A104" s="5"/>
      <c r="B104" s="5" t="s">
        <v>111</v>
      </c>
      <c r="C104" s="5"/>
      <c r="D104" s="5">
        <v>0.0</v>
      </c>
    </row>
    <row r="105">
      <c r="A105" s="5"/>
      <c r="B105" s="5" t="s">
        <v>112</v>
      </c>
      <c r="C105" s="5"/>
      <c r="D105" s="5">
        <v>7.0</v>
      </c>
    </row>
    <row r="106">
      <c r="A106" s="5"/>
      <c r="B106" s="5" t="s">
        <v>113</v>
      </c>
      <c r="C106" s="5"/>
      <c r="D106" s="5">
        <v>77.0</v>
      </c>
    </row>
    <row r="107">
      <c r="A107" s="5"/>
      <c r="B107" s="5" t="s">
        <v>114</v>
      </c>
      <c r="C107" s="5"/>
      <c r="D107" s="5">
        <v>0.0</v>
      </c>
    </row>
    <row r="108">
      <c r="A108" s="5"/>
      <c r="B108" s="5" t="s">
        <v>115</v>
      </c>
      <c r="C108" s="5"/>
      <c r="D108" s="5">
        <v>14.0</v>
      </c>
    </row>
    <row r="109">
      <c r="A109" s="5"/>
      <c r="B109" s="5" t="s">
        <v>116</v>
      </c>
      <c r="C109" s="5"/>
      <c r="D109" s="5">
        <v>0.0</v>
      </c>
    </row>
    <row r="110">
      <c r="A110" s="5"/>
      <c r="B110" s="5" t="s">
        <v>117</v>
      </c>
      <c r="C110" s="5"/>
      <c r="D110" s="5">
        <v>42.0</v>
      </c>
    </row>
    <row r="111">
      <c r="A111" s="5"/>
      <c r="B111" s="5" t="s">
        <v>118</v>
      </c>
      <c r="C111" s="5"/>
      <c r="D111" s="5">
        <v>0.0</v>
      </c>
    </row>
    <row r="112">
      <c r="A112" s="5"/>
      <c r="B112" s="5" t="s">
        <v>119</v>
      </c>
      <c r="C112" s="5"/>
      <c r="D112" s="5">
        <v>0.0</v>
      </c>
    </row>
    <row r="113">
      <c r="A113" s="5"/>
      <c r="B113" s="5" t="s">
        <v>120</v>
      </c>
      <c r="C113" s="5"/>
      <c r="D113" s="5">
        <v>0.0</v>
      </c>
    </row>
    <row r="114">
      <c r="A114" s="5"/>
      <c r="B114" s="5" t="s">
        <v>121</v>
      </c>
      <c r="C114" s="5"/>
      <c r="D114" s="5">
        <v>0.0</v>
      </c>
    </row>
    <row r="115">
      <c r="A115" s="5"/>
      <c r="B115" s="5" t="s">
        <v>122</v>
      </c>
      <c r="C115" s="5"/>
      <c r="D115" s="5">
        <v>14.0</v>
      </c>
    </row>
    <row r="116">
      <c r="A116" s="5"/>
      <c r="B116" s="5" t="s">
        <v>123</v>
      </c>
      <c r="C116" s="5"/>
      <c r="D116" s="5">
        <v>0.0</v>
      </c>
    </row>
    <row r="117">
      <c r="A117" s="5"/>
      <c r="B117" s="5" t="s">
        <v>124</v>
      </c>
      <c r="C117" s="5"/>
      <c r="D117" s="5">
        <v>42.0</v>
      </c>
    </row>
    <row r="118">
      <c r="A118" s="5"/>
      <c r="B118" s="5" t="s">
        <v>125</v>
      </c>
      <c r="C118" s="5"/>
      <c r="D118" s="5">
        <v>80.0</v>
      </c>
    </row>
    <row r="119">
      <c r="A119" s="5"/>
      <c r="B119" s="5" t="s">
        <v>126</v>
      </c>
      <c r="C119" s="5"/>
      <c r="D119" s="5">
        <v>0.0</v>
      </c>
    </row>
    <row r="120">
      <c r="A120" s="5"/>
      <c r="B120" s="5" t="s">
        <v>127</v>
      </c>
      <c r="C120" s="5"/>
      <c r="D120" s="5">
        <v>0.0</v>
      </c>
    </row>
    <row r="121">
      <c r="A121" s="5"/>
      <c r="B121" s="5" t="s">
        <v>128</v>
      </c>
      <c r="C121" s="5"/>
      <c r="D121" s="5">
        <v>0.0</v>
      </c>
    </row>
    <row r="122">
      <c r="A122" s="5"/>
      <c r="B122" s="5" t="s">
        <v>129</v>
      </c>
      <c r="C122" s="5"/>
      <c r="D122" s="5">
        <v>0.0</v>
      </c>
    </row>
    <row r="123">
      <c r="A123" s="5"/>
      <c r="B123" s="5" t="s">
        <v>130</v>
      </c>
      <c r="C123" s="5"/>
      <c r="D123" s="5">
        <v>0.0</v>
      </c>
    </row>
    <row r="124">
      <c r="A124" s="5"/>
      <c r="B124" s="5" t="s">
        <v>131</v>
      </c>
      <c r="C124" s="5"/>
      <c r="D124" s="5">
        <v>0.0</v>
      </c>
    </row>
    <row r="125">
      <c r="A125" s="5"/>
      <c r="B125" s="5" t="s">
        <v>132</v>
      </c>
      <c r="C125" s="5"/>
      <c r="D125" s="5">
        <v>84.0</v>
      </c>
    </row>
    <row r="126">
      <c r="A126" s="5"/>
      <c r="B126" s="5" t="s">
        <v>133</v>
      </c>
      <c r="C126" s="5"/>
      <c r="D126" s="5">
        <v>0.0</v>
      </c>
    </row>
    <row r="127">
      <c r="A127" s="5"/>
      <c r="B127" s="5" t="s">
        <v>134</v>
      </c>
      <c r="C127" s="5"/>
      <c r="D127" s="5">
        <v>65.0</v>
      </c>
    </row>
    <row r="128">
      <c r="A128" s="5"/>
      <c r="B128" s="5" t="s">
        <v>135</v>
      </c>
      <c r="C128" s="5"/>
      <c r="D128" s="5">
        <v>0.0</v>
      </c>
    </row>
    <row r="129">
      <c r="A129" s="5"/>
      <c r="B129" s="5" t="s">
        <v>136</v>
      </c>
      <c r="C129" s="5"/>
      <c r="D129" s="5">
        <v>0.0</v>
      </c>
    </row>
    <row r="130">
      <c r="A130" s="5"/>
      <c r="B130" s="5" t="s">
        <v>137</v>
      </c>
      <c r="C130" s="5"/>
      <c r="D130" s="5">
        <v>42.0</v>
      </c>
    </row>
    <row r="131">
      <c r="A131" s="5"/>
      <c r="B131" s="5" t="s">
        <v>138</v>
      </c>
      <c r="C131" s="5"/>
      <c r="D131" s="5">
        <v>0.0</v>
      </c>
    </row>
    <row r="132">
      <c r="A132" s="5"/>
      <c r="B132" s="5" t="s">
        <v>139</v>
      </c>
      <c r="C132" s="5"/>
      <c r="D132" s="5">
        <v>0.0</v>
      </c>
    </row>
    <row r="133">
      <c r="A133" s="5"/>
      <c r="B133" s="5" t="s">
        <v>140</v>
      </c>
      <c r="C133" s="5"/>
      <c r="D133" s="5">
        <v>82.0</v>
      </c>
    </row>
    <row r="134">
      <c r="A134" s="5"/>
      <c r="B134" s="5" t="s">
        <v>141</v>
      </c>
      <c r="C134" s="5"/>
      <c r="D134" s="5">
        <v>0.0</v>
      </c>
    </row>
    <row r="135">
      <c r="A135" s="5"/>
      <c r="B135" s="5" t="s">
        <v>142</v>
      </c>
      <c r="C135" s="5"/>
      <c r="D135" s="5">
        <v>0.0</v>
      </c>
    </row>
    <row r="136">
      <c r="A136" s="5"/>
      <c r="B136" s="5" t="s">
        <v>143</v>
      </c>
      <c r="C136" s="5"/>
      <c r="D136" s="5">
        <v>0.0</v>
      </c>
    </row>
    <row r="137">
      <c r="A137" s="5"/>
      <c r="B137" s="5" t="s">
        <v>144</v>
      </c>
      <c r="C137" s="5"/>
      <c r="D137" s="5">
        <v>0.0</v>
      </c>
    </row>
    <row r="138">
      <c r="A138" s="5"/>
      <c r="B138" s="5" t="s">
        <v>145</v>
      </c>
      <c r="C138" s="5"/>
      <c r="D138" s="5">
        <v>0.0</v>
      </c>
    </row>
    <row r="139">
      <c r="A139" s="5"/>
      <c r="B139" s="5" t="s">
        <v>146</v>
      </c>
      <c r="C139" s="5"/>
    </row>
    <row r="140">
      <c r="A140" s="5"/>
      <c r="B140" s="5" t="s">
        <v>147</v>
      </c>
      <c r="C140" s="5"/>
      <c r="D140" s="5">
        <v>0.0</v>
      </c>
    </row>
    <row r="141">
      <c r="A141" s="5"/>
      <c r="B141" s="5" t="s">
        <v>148</v>
      </c>
      <c r="C141" s="5"/>
    </row>
    <row r="142">
      <c r="A142" s="5"/>
      <c r="B142" s="5" t="s">
        <v>149</v>
      </c>
      <c r="C142" s="5"/>
      <c r="D142" s="5">
        <v>0.0</v>
      </c>
    </row>
    <row r="143">
      <c r="A143" s="5"/>
      <c r="B143" s="5" t="s">
        <v>150</v>
      </c>
      <c r="C143" s="5"/>
      <c r="D143" s="5">
        <v>0.0</v>
      </c>
    </row>
    <row r="144">
      <c r="A144" s="5"/>
      <c r="B144" s="5" t="s">
        <v>151</v>
      </c>
      <c r="C144" s="5"/>
      <c r="D144" s="5">
        <v>0.0</v>
      </c>
    </row>
    <row r="145">
      <c r="A145" s="5"/>
      <c r="B145" s="5" t="s">
        <v>152</v>
      </c>
      <c r="C145" s="5"/>
      <c r="D145" s="5">
        <v>0.0</v>
      </c>
    </row>
    <row r="146">
      <c r="A146" s="5"/>
      <c r="B146" s="5" t="s">
        <v>153</v>
      </c>
      <c r="C146" s="5"/>
      <c r="D146" s="5">
        <v>0.0</v>
      </c>
    </row>
    <row r="147">
      <c r="A147" s="5"/>
      <c r="B147" s="5" t="s">
        <v>154</v>
      </c>
      <c r="C147" s="5"/>
      <c r="D147" s="5">
        <v>0.0</v>
      </c>
    </row>
    <row r="148">
      <c r="A148" s="5"/>
      <c r="B148" s="5" t="s">
        <v>155</v>
      </c>
      <c r="C148" s="5"/>
      <c r="D148" s="5">
        <v>26.0</v>
      </c>
    </row>
    <row r="149">
      <c r="A149" s="5"/>
      <c r="B149" s="5" t="s">
        <v>156</v>
      </c>
      <c r="C149" s="5"/>
      <c r="D149" s="5">
        <v>0.0</v>
      </c>
    </row>
    <row r="150">
      <c r="A150" s="5"/>
      <c r="B150" s="5" t="s">
        <v>157</v>
      </c>
      <c r="C150" s="5"/>
      <c r="D150" s="5">
        <v>0.0</v>
      </c>
    </row>
    <row r="151">
      <c r="A151" s="5"/>
      <c r="B151" s="5" t="s">
        <v>158</v>
      </c>
      <c r="C151" s="5"/>
    </row>
    <row r="152">
      <c r="A152" s="5"/>
      <c r="B152" s="5" t="s">
        <v>159</v>
      </c>
      <c r="C152" s="5"/>
      <c r="D152" s="5">
        <v>6.0</v>
      </c>
    </row>
    <row r="153">
      <c r="A153" s="5"/>
      <c r="B153" s="5" t="s">
        <v>160</v>
      </c>
      <c r="C153" s="5"/>
    </row>
    <row r="154">
      <c r="A154" s="5"/>
      <c r="B154" s="5" t="s">
        <v>161</v>
      </c>
      <c r="C154" s="5"/>
      <c r="D154" s="5">
        <v>0.0</v>
      </c>
    </row>
    <row r="155">
      <c r="A155" s="5"/>
      <c r="B155" s="5" t="s">
        <v>162</v>
      </c>
      <c r="C155" s="5"/>
      <c r="D155" s="5">
        <v>0.0</v>
      </c>
    </row>
    <row r="156">
      <c r="A156" s="5"/>
      <c r="B156" s="5" t="s">
        <v>163</v>
      </c>
      <c r="C156" s="5"/>
      <c r="D156" s="5">
        <v>0.0</v>
      </c>
    </row>
    <row r="157">
      <c r="A157" s="5"/>
      <c r="B157" s="5" t="s">
        <v>164</v>
      </c>
      <c r="C157" s="5"/>
      <c r="D157" s="5">
        <v>0.0</v>
      </c>
    </row>
    <row r="158">
      <c r="A158" s="5"/>
      <c r="B158" s="5" t="s">
        <v>165</v>
      </c>
      <c r="C158" s="5"/>
      <c r="D158" s="5">
        <v>24.0</v>
      </c>
    </row>
    <row r="159">
      <c r="A159" s="5"/>
      <c r="B159" s="5" t="s">
        <v>166</v>
      </c>
      <c r="C159" s="5"/>
      <c r="D159" s="5">
        <v>17.0</v>
      </c>
    </row>
    <row r="160">
      <c r="A160" s="5"/>
      <c r="B160" s="5" t="s">
        <v>167</v>
      </c>
      <c r="C160" s="5"/>
      <c r="D160" s="5">
        <v>0.0</v>
      </c>
    </row>
    <row r="161">
      <c r="A161" s="5"/>
      <c r="B161" s="5" t="s">
        <v>168</v>
      </c>
      <c r="C161" s="5"/>
      <c r="D161" s="5">
        <v>0.0</v>
      </c>
    </row>
    <row r="162">
      <c r="A162" s="5"/>
      <c r="B162" s="5" t="s">
        <v>169</v>
      </c>
      <c r="C162" s="5"/>
      <c r="D162" s="5">
        <v>23.0</v>
      </c>
    </row>
    <row r="163">
      <c r="A163" s="5"/>
      <c r="B163" s="5" t="s">
        <v>170</v>
      </c>
      <c r="C163" s="5"/>
      <c r="D163" s="5">
        <v>6.0</v>
      </c>
    </row>
    <row r="164">
      <c r="A164" s="5"/>
      <c r="B164" s="5" t="s">
        <v>171</v>
      </c>
      <c r="C164" s="5"/>
      <c r="D164" s="5">
        <v>92.0</v>
      </c>
    </row>
    <row r="165">
      <c r="A165" s="5"/>
      <c r="B165" s="5" t="s">
        <v>172</v>
      </c>
      <c r="C165" s="5"/>
      <c r="D165" s="5">
        <v>77.0</v>
      </c>
    </row>
    <row r="166">
      <c r="A166" s="5"/>
      <c r="B166" s="5" t="s">
        <v>173</v>
      </c>
      <c r="C166" s="5"/>
      <c r="D166" s="5">
        <v>34.0</v>
      </c>
    </row>
    <row r="167">
      <c r="A167" s="5"/>
      <c r="B167" s="5" t="s">
        <v>174</v>
      </c>
      <c r="C167" s="5"/>
      <c r="D167" s="5">
        <v>42.0</v>
      </c>
    </row>
    <row r="168">
      <c r="A168" s="5"/>
      <c r="B168" s="5" t="s">
        <v>175</v>
      </c>
      <c r="C168" s="5"/>
      <c r="D168" s="5">
        <v>72.0</v>
      </c>
    </row>
    <row r="169">
      <c r="A169" s="5"/>
      <c r="B169" s="5" t="s">
        <v>176</v>
      </c>
      <c r="C169" s="5"/>
      <c r="D169" s="5">
        <v>11.0</v>
      </c>
    </row>
    <row r="170">
      <c r="A170" s="5"/>
      <c r="B170" s="5" t="s">
        <v>177</v>
      </c>
      <c r="C170" s="5"/>
      <c r="D170" s="5">
        <v>31.0</v>
      </c>
    </row>
    <row r="171">
      <c r="A171" s="5"/>
      <c r="B171" s="5" t="s">
        <v>178</v>
      </c>
      <c r="C171" s="5"/>
      <c r="D171" s="5">
        <v>53.0</v>
      </c>
    </row>
    <row r="172">
      <c r="A172" s="5"/>
      <c r="B172" s="5" t="s">
        <v>179</v>
      </c>
      <c r="C172" s="5"/>
      <c r="D172" s="5">
        <v>8.0</v>
      </c>
    </row>
    <row r="173">
      <c r="A173" s="5"/>
      <c r="B173" s="5" t="s">
        <v>180</v>
      </c>
      <c r="C173" s="5"/>
      <c r="D173" s="5">
        <v>54.0</v>
      </c>
    </row>
    <row r="174">
      <c r="A174" s="5"/>
      <c r="B174" s="5" t="s">
        <v>181</v>
      </c>
      <c r="C174" s="5"/>
      <c r="D174" s="5">
        <v>0.0</v>
      </c>
    </row>
    <row r="175">
      <c r="A175" s="5"/>
      <c r="B175" s="5" t="s">
        <v>182</v>
      </c>
      <c r="C175" s="5"/>
      <c r="D175" s="5">
        <v>0.0</v>
      </c>
    </row>
    <row r="176">
      <c r="A176" s="5"/>
      <c r="B176" s="5" t="s">
        <v>183</v>
      </c>
      <c r="C176" s="5"/>
      <c r="D176" s="5">
        <v>37.0</v>
      </c>
    </row>
    <row r="177">
      <c r="A177" s="5"/>
      <c r="B177" s="5" t="s">
        <v>184</v>
      </c>
      <c r="C177" s="5"/>
      <c r="D177" s="5">
        <v>0.0</v>
      </c>
    </row>
    <row r="178">
      <c r="A178" s="5"/>
      <c r="B178" s="5" t="s">
        <v>185</v>
      </c>
      <c r="C178" s="5"/>
    </row>
    <row r="179">
      <c r="A179" s="5"/>
      <c r="B179" s="5" t="s">
        <v>186</v>
      </c>
      <c r="C179" s="5"/>
      <c r="D179" s="5">
        <v>29.0</v>
      </c>
    </row>
    <row r="180">
      <c r="A180" s="5"/>
      <c r="B180" s="5" t="s">
        <v>187</v>
      </c>
      <c r="C180" s="5"/>
    </row>
    <row r="181">
      <c r="A181" s="5"/>
      <c r="B181" s="5" t="s">
        <v>188</v>
      </c>
      <c r="C181" s="5"/>
      <c r="D181" s="5">
        <v>0.0</v>
      </c>
    </row>
    <row r="182">
      <c r="A182" s="5"/>
      <c r="B182" s="5" t="s">
        <v>189</v>
      </c>
      <c r="C182" s="5"/>
      <c r="D182" s="5">
        <v>0.0</v>
      </c>
    </row>
    <row r="183">
      <c r="A183" s="5"/>
      <c r="B183" s="5" t="s">
        <v>190</v>
      </c>
      <c r="C183" s="5"/>
      <c r="D183" s="5">
        <v>0.0</v>
      </c>
    </row>
    <row r="184">
      <c r="A184" s="5"/>
      <c r="B184" s="5" t="s">
        <v>191</v>
      </c>
      <c r="C184" s="5"/>
      <c r="D184" s="5">
        <v>0.0</v>
      </c>
    </row>
    <row r="185">
      <c r="A185" s="5"/>
      <c r="B185" s="5" t="s">
        <v>192</v>
      </c>
      <c r="C185" s="5"/>
      <c r="D185" s="5">
        <v>0.0</v>
      </c>
    </row>
    <row r="186">
      <c r="A186" s="5"/>
      <c r="B186" s="5" t="s">
        <v>193</v>
      </c>
      <c r="C186" s="5"/>
      <c r="D186" s="5">
        <v>0.0</v>
      </c>
    </row>
    <row r="187">
      <c r="A187" s="5"/>
      <c r="B187" s="5" t="s">
        <v>194</v>
      </c>
      <c r="C187" s="5"/>
      <c r="D187" s="5">
        <v>28.0</v>
      </c>
    </row>
    <row r="188">
      <c r="A188" s="5"/>
      <c r="B188" s="5" t="s">
        <v>195</v>
      </c>
      <c r="C188" s="5"/>
      <c r="D188" s="5">
        <v>80.0</v>
      </c>
    </row>
    <row r="189">
      <c r="A189" s="5"/>
      <c r="B189" s="5" t="s">
        <v>196</v>
      </c>
      <c r="C189" s="5"/>
      <c r="D189" s="5">
        <v>0.0</v>
      </c>
    </row>
    <row r="190">
      <c r="A190" s="5"/>
      <c r="B190" s="5" t="s">
        <v>197</v>
      </c>
      <c r="C190" s="5"/>
      <c r="D190" s="5">
        <v>0.0</v>
      </c>
    </row>
    <row r="191">
      <c r="A191" s="5"/>
      <c r="B191" s="5" t="s">
        <v>198</v>
      </c>
      <c r="C191" s="5"/>
      <c r="D191" s="5">
        <v>84.0</v>
      </c>
    </row>
    <row r="192">
      <c r="A192" s="5"/>
      <c r="B192" s="5" t="s">
        <v>199</v>
      </c>
      <c r="C192" s="5"/>
      <c r="D192" s="5">
        <v>0.0</v>
      </c>
    </row>
    <row r="193">
      <c r="A193" s="5"/>
      <c r="B193" s="5" t="s">
        <v>200</v>
      </c>
      <c r="C193" s="5"/>
      <c r="D193" s="5">
        <v>0.0</v>
      </c>
    </row>
    <row r="194">
      <c r="A194" s="5"/>
      <c r="B194" s="5" t="s">
        <v>201</v>
      </c>
      <c r="C194" s="5"/>
      <c r="D194" s="5">
        <v>86.0</v>
      </c>
    </row>
    <row r="195">
      <c r="A195" s="5"/>
      <c r="B195" s="5" t="s">
        <v>202</v>
      </c>
      <c r="C195" s="5"/>
      <c r="D195" s="5">
        <v>0.0</v>
      </c>
    </row>
    <row r="196">
      <c r="A196" s="5"/>
      <c r="B196" s="5" t="s">
        <v>203</v>
      </c>
      <c r="C196" s="5"/>
      <c r="D196" s="5">
        <v>0.0</v>
      </c>
    </row>
    <row r="197">
      <c r="A197" s="5"/>
      <c r="B197" s="5" t="s">
        <v>204</v>
      </c>
      <c r="C197" s="5"/>
      <c r="D197" s="5">
        <v>14.0</v>
      </c>
    </row>
    <row r="198">
      <c r="A198" s="5"/>
      <c r="B198" s="5" t="s">
        <v>205</v>
      </c>
      <c r="C198" s="5"/>
      <c r="D198" s="5">
        <v>54.0</v>
      </c>
    </row>
    <row r="199">
      <c r="A199" s="5"/>
      <c r="B199" s="5" t="s">
        <v>206</v>
      </c>
      <c r="C199" s="5"/>
      <c r="D199" s="5">
        <v>71.0</v>
      </c>
    </row>
    <row r="200">
      <c r="A200" s="5"/>
      <c r="B200" s="5" t="s">
        <v>207</v>
      </c>
      <c r="C200" s="5"/>
      <c r="D200" s="5">
        <v>0.0</v>
      </c>
    </row>
    <row r="201">
      <c r="A201" s="5"/>
      <c r="B201" s="5" t="s">
        <v>208</v>
      </c>
      <c r="C201" s="5"/>
      <c r="D201" s="5">
        <v>40.0</v>
      </c>
    </row>
    <row r="202">
      <c r="A202" s="5"/>
      <c r="B202" s="5" t="s">
        <v>209</v>
      </c>
      <c r="C202" s="5"/>
      <c r="D202" s="5">
        <v>34.0</v>
      </c>
    </row>
    <row r="203">
      <c r="A203" s="5"/>
      <c r="B203" s="5" t="s">
        <v>210</v>
      </c>
      <c r="C203" s="5"/>
      <c r="D203" s="5">
        <v>0.0</v>
      </c>
    </row>
    <row r="204">
      <c r="A204" s="5"/>
      <c r="B204" s="5" t="s">
        <v>211</v>
      </c>
      <c r="C204" s="5"/>
      <c r="D204" s="5">
        <v>62.0</v>
      </c>
    </row>
    <row r="205">
      <c r="A205" s="5"/>
      <c r="B205" s="5" t="s">
        <v>212</v>
      </c>
      <c r="C205" s="5"/>
      <c r="D205" s="5">
        <v>40.0</v>
      </c>
    </row>
    <row r="206">
      <c r="A206" s="5"/>
      <c r="B206" s="5" t="s">
        <v>213</v>
      </c>
      <c r="C206" s="5"/>
      <c r="D206" s="5">
        <v>0.0</v>
      </c>
    </row>
    <row r="207">
      <c r="A207" s="5"/>
      <c r="B207" s="5" t="s">
        <v>214</v>
      </c>
      <c r="C207" s="5"/>
      <c r="D207" s="5">
        <v>0.0</v>
      </c>
    </row>
    <row r="208">
      <c r="A208" s="5"/>
      <c r="B208" s="5" t="s">
        <v>215</v>
      </c>
      <c r="C208" s="5"/>
      <c r="D208" s="5">
        <v>0.0</v>
      </c>
    </row>
    <row r="209">
      <c r="A209" s="5"/>
      <c r="B209" s="5" t="s">
        <v>216</v>
      </c>
      <c r="C209" s="5"/>
      <c r="D209" s="5">
        <v>4.0</v>
      </c>
    </row>
    <row r="210">
      <c r="A210" s="5"/>
      <c r="B210" s="5" t="s">
        <v>217</v>
      </c>
      <c r="C210" s="5"/>
      <c r="D210" s="5">
        <v>0.0</v>
      </c>
    </row>
    <row r="211">
      <c r="A211" s="5"/>
      <c r="B211" s="5" t="s">
        <v>145</v>
      </c>
      <c r="C211" s="5"/>
      <c r="D211" s="5">
        <v>0.0</v>
      </c>
    </row>
    <row r="212">
      <c r="A212" s="5"/>
      <c r="B212" s="5" t="s">
        <v>146</v>
      </c>
      <c r="C212" s="5"/>
    </row>
    <row r="213">
      <c r="A213" s="5"/>
      <c r="B213" s="5" t="s">
        <v>147</v>
      </c>
      <c r="C213" s="5"/>
      <c r="D213" s="5">
        <v>0.0</v>
      </c>
    </row>
    <row r="214">
      <c r="A214" s="5"/>
      <c r="B214" s="5" t="s">
        <v>148</v>
      </c>
      <c r="C214" s="5"/>
    </row>
    <row r="215">
      <c r="A215" s="5"/>
      <c r="B215" s="5" t="s">
        <v>149</v>
      </c>
      <c r="C215" s="5"/>
      <c r="D215" s="5">
        <v>0.0</v>
      </c>
    </row>
    <row r="216">
      <c r="A216" s="5"/>
      <c r="B216" s="5" t="s">
        <v>150</v>
      </c>
      <c r="C216" s="5"/>
      <c r="D216" s="5">
        <v>0.0</v>
      </c>
    </row>
    <row r="217">
      <c r="A217" s="5"/>
      <c r="B217" s="5" t="s">
        <v>151</v>
      </c>
      <c r="C217" s="5"/>
      <c r="D217" s="5">
        <v>0.0</v>
      </c>
    </row>
    <row r="218">
      <c r="A218" s="5"/>
      <c r="B218" s="5" t="s">
        <v>152</v>
      </c>
      <c r="C218" s="5"/>
      <c r="D218" s="5">
        <v>0.0</v>
      </c>
    </row>
    <row r="219">
      <c r="A219" s="5"/>
      <c r="B219" s="5" t="s">
        <v>153</v>
      </c>
      <c r="C219" s="5"/>
      <c r="D219" s="5">
        <v>0.0</v>
      </c>
    </row>
    <row r="220">
      <c r="A220" s="5"/>
      <c r="B220" s="5" t="s">
        <v>154</v>
      </c>
      <c r="C220" s="5"/>
      <c r="D220" s="5">
        <v>0.0</v>
      </c>
    </row>
    <row r="221">
      <c r="A221" s="5"/>
      <c r="B221" s="5" t="s">
        <v>155</v>
      </c>
      <c r="C221" s="5"/>
      <c r="D221" s="5">
        <v>26.0</v>
      </c>
    </row>
    <row r="222">
      <c r="A222" s="5"/>
      <c r="B222" s="5" t="s">
        <v>156</v>
      </c>
      <c r="C222" s="5"/>
      <c r="D222" s="5">
        <v>0.0</v>
      </c>
    </row>
    <row r="223">
      <c r="A223" s="5"/>
      <c r="B223" s="5" t="s">
        <v>157</v>
      </c>
      <c r="C223" s="5"/>
      <c r="D223" s="5">
        <v>0.0</v>
      </c>
    </row>
    <row r="224">
      <c r="A224" s="5"/>
      <c r="B224" s="5" t="s">
        <v>158</v>
      </c>
      <c r="C224" s="5"/>
    </row>
    <row r="225">
      <c r="A225" s="5"/>
      <c r="B225" s="5" t="s">
        <v>159</v>
      </c>
      <c r="C225" s="5"/>
      <c r="D225" s="5">
        <v>6.0</v>
      </c>
    </row>
    <row r="226">
      <c r="A226" s="5"/>
      <c r="B226" s="5" t="s">
        <v>160</v>
      </c>
      <c r="C226" s="5"/>
    </row>
    <row r="227">
      <c r="A227" s="5"/>
      <c r="B227" s="5" t="s">
        <v>161</v>
      </c>
      <c r="C227" s="5"/>
      <c r="D227" s="5">
        <v>0.0</v>
      </c>
    </row>
    <row r="228">
      <c r="A228" s="5"/>
      <c r="B228" s="5" t="s">
        <v>162</v>
      </c>
      <c r="C228" s="5"/>
      <c r="D228" s="5">
        <v>0.0</v>
      </c>
    </row>
    <row r="229">
      <c r="A229" s="5"/>
      <c r="B229" s="5" t="s">
        <v>163</v>
      </c>
      <c r="C229" s="5"/>
      <c r="D229" s="5">
        <v>0.0</v>
      </c>
    </row>
    <row r="230">
      <c r="A230" s="5"/>
      <c r="B230" s="5" t="s">
        <v>164</v>
      </c>
      <c r="C230" s="5"/>
      <c r="D230" s="5">
        <v>0.0</v>
      </c>
    </row>
    <row r="231">
      <c r="A231" s="5"/>
      <c r="B231" s="5" t="s">
        <v>165</v>
      </c>
      <c r="C231" s="5"/>
      <c r="D231" s="5">
        <v>24.0</v>
      </c>
    </row>
    <row r="232">
      <c r="A232" s="5"/>
      <c r="B232" s="5" t="s">
        <v>166</v>
      </c>
      <c r="C232" s="5"/>
      <c r="D232" s="5">
        <v>17.0</v>
      </c>
    </row>
    <row r="233">
      <c r="A233" s="5"/>
      <c r="B233" s="5" t="s">
        <v>167</v>
      </c>
      <c r="C233" s="5"/>
      <c r="D233" s="5">
        <v>0.0</v>
      </c>
    </row>
    <row r="234">
      <c r="A234" s="5"/>
      <c r="B234" s="5" t="s">
        <v>168</v>
      </c>
      <c r="C234" s="5"/>
      <c r="D234" s="5">
        <v>0.0</v>
      </c>
    </row>
    <row r="235">
      <c r="A235" s="5"/>
      <c r="B235" s="5" t="s">
        <v>169</v>
      </c>
      <c r="C235" s="5"/>
      <c r="D235" s="5">
        <v>23.0</v>
      </c>
    </row>
    <row r="236">
      <c r="A236" s="5"/>
      <c r="B236" s="5" t="s">
        <v>170</v>
      </c>
      <c r="C236" s="5"/>
      <c r="D236" s="5">
        <v>6.0</v>
      </c>
    </row>
    <row r="237">
      <c r="A237" s="5"/>
      <c r="B237" s="5" t="s">
        <v>171</v>
      </c>
      <c r="C237" s="5"/>
      <c r="D237" s="5">
        <v>92.0</v>
      </c>
    </row>
    <row r="238">
      <c r="A238" s="5"/>
      <c r="B238" s="5" t="s">
        <v>172</v>
      </c>
      <c r="C238" s="5"/>
      <c r="D238" s="5">
        <v>77.0</v>
      </c>
    </row>
    <row r="239">
      <c r="A239" s="5"/>
      <c r="B239" s="5" t="s">
        <v>173</v>
      </c>
      <c r="C239" s="5"/>
      <c r="D239" s="5">
        <v>34.0</v>
      </c>
    </row>
    <row r="240">
      <c r="A240" s="5"/>
      <c r="B240" s="5" t="s">
        <v>174</v>
      </c>
      <c r="C240" s="5"/>
      <c r="D240" s="5">
        <v>42.0</v>
      </c>
    </row>
    <row r="241">
      <c r="A241" s="5"/>
      <c r="B241" s="5" t="s">
        <v>175</v>
      </c>
      <c r="C241" s="5"/>
      <c r="D241" s="5">
        <v>72.0</v>
      </c>
    </row>
    <row r="242">
      <c r="A242" s="5"/>
      <c r="B242" s="5" t="s">
        <v>176</v>
      </c>
      <c r="C242" s="5"/>
      <c r="D242" s="5">
        <v>11.0</v>
      </c>
    </row>
    <row r="243">
      <c r="A243" s="5"/>
      <c r="B243" s="5" t="s">
        <v>177</v>
      </c>
      <c r="C243" s="5"/>
      <c r="D243" s="5">
        <v>31.0</v>
      </c>
    </row>
    <row r="244">
      <c r="A244" s="5"/>
      <c r="B244" s="5" t="s">
        <v>178</v>
      </c>
      <c r="C244" s="5"/>
      <c r="D244" s="5">
        <v>53.0</v>
      </c>
    </row>
    <row r="245">
      <c r="A245" s="5"/>
      <c r="B245" s="5" t="s">
        <v>179</v>
      </c>
      <c r="C245" s="5"/>
      <c r="D245" s="5">
        <v>8.0</v>
      </c>
    </row>
    <row r="246">
      <c r="A246" s="5"/>
      <c r="B246" s="5" t="s">
        <v>180</v>
      </c>
      <c r="C246" s="5"/>
      <c r="D246" s="5">
        <v>54.0</v>
      </c>
    </row>
    <row r="247">
      <c r="A247" s="5"/>
      <c r="B247" s="5" t="s">
        <v>181</v>
      </c>
      <c r="C247" s="5"/>
      <c r="D247" s="5">
        <v>0.0</v>
      </c>
    </row>
    <row r="248">
      <c r="A248" s="5"/>
      <c r="B248" s="5" t="s">
        <v>182</v>
      </c>
      <c r="C248" s="5"/>
      <c r="D248" s="5">
        <v>0.0</v>
      </c>
    </row>
    <row r="249">
      <c r="A249" s="5"/>
      <c r="B249" s="5" t="s">
        <v>183</v>
      </c>
      <c r="C249" s="5"/>
      <c r="D249" s="5">
        <v>37.0</v>
      </c>
    </row>
    <row r="250">
      <c r="A250" s="5"/>
      <c r="B250" s="5" t="s">
        <v>184</v>
      </c>
      <c r="C250" s="5"/>
      <c r="D250" s="5">
        <v>0.0</v>
      </c>
    </row>
    <row r="251">
      <c r="A251" s="5"/>
      <c r="B251" s="5" t="s">
        <v>185</v>
      </c>
      <c r="C251" s="5"/>
    </row>
    <row r="252">
      <c r="A252" s="5"/>
      <c r="B252" s="5" t="s">
        <v>186</v>
      </c>
      <c r="C252" s="5"/>
      <c r="D252" s="5">
        <v>29.0</v>
      </c>
    </row>
    <row r="253">
      <c r="A253" s="5"/>
      <c r="B253" s="5" t="s">
        <v>187</v>
      </c>
      <c r="C253" s="5"/>
    </row>
    <row r="254">
      <c r="A254" s="5"/>
      <c r="B254" s="5" t="s">
        <v>188</v>
      </c>
      <c r="C254" s="5"/>
      <c r="D254" s="5">
        <v>0.0</v>
      </c>
    </row>
    <row r="255">
      <c r="A255" s="5"/>
      <c r="B255" s="5" t="s">
        <v>189</v>
      </c>
      <c r="C255" s="5"/>
      <c r="D255" s="5">
        <v>0.0</v>
      </c>
    </row>
    <row r="256">
      <c r="A256" s="5"/>
      <c r="B256" s="5" t="s">
        <v>190</v>
      </c>
      <c r="C256" s="5"/>
      <c r="D256" s="5">
        <v>0.0</v>
      </c>
    </row>
    <row r="257">
      <c r="A257" s="5"/>
      <c r="B257" s="5" t="s">
        <v>191</v>
      </c>
      <c r="C257" s="5"/>
      <c r="D257" s="5">
        <v>0.0</v>
      </c>
    </row>
    <row r="258">
      <c r="A258" s="5"/>
      <c r="B258" s="5" t="s">
        <v>192</v>
      </c>
      <c r="C258" s="5"/>
      <c r="D258" s="5">
        <v>0.0</v>
      </c>
    </row>
    <row r="259">
      <c r="A259" s="5"/>
      <c r="B259" s="5" t="s">
        <v>193</v>
      </c>
      <c r="C259" s="5"/>
      <c r="D259" s="5">
        <v>0.0</v>
      </c>
    </row>
    <row r="260">
      <c r="A260" s="5"/>
      <c r="B260" s="5" t="s">
        <v>194</v>
      </c>
      <c r="C260" s="5"/>
      <c r="D260" s="5">
        <v>28.0</v>
      </c>
    </row>
    <row r="261">
      <c r="A261" s="5"/>
      <c r="B261" s="5" t="s">
        <v>195</v>
      </c>
      <c r="C261" s="5"/>
      <c r="D261" s="5">
        <v>80.0</v>
      </c>
    </row>
    <row r="262">
      <c r="A262" s="5"/>
      <c r="B262" s="5" t="s">
        <v>196</v>
      </c>
      <c r="C262" s="5"/>
      <c r="D262" s="5">
        <v>0.0</v>
      </c>
    </row>
    <row r="263">
      <c r="A263" s="5"/>
      <c r="B263" s="5" t="s">
        <v>197</v>
      </c>
      <c r="C263" s="5"/>
      <c r="D263" s="5">
        <v>0.0</v>
      </c>
    </row>
    <row r="264">
      <c r="A264" s="5"/>
      <c r="B264" s="5" t="s">
        <v>198</v>
      </c>
      <c r="C264" s="5"/>
      <c r="D264" s="5">
        <v>84.0</v>
      </c>
    </row>
    <row r="265">
      <c r="A265" s="5"/>
      <c r="B265" s="5" t="s">
        <v>199</v>
      </c>
      <c r="C265" s="5"/>
      <c r="D265" s="5">
        <v>0.0</v>
      </c>
    </row>
    <row r="266">
      <c r="A266" s="5"/>
      <c r="B266" s="5" t="s">
        <v>200</v>
      </c>
      <c r="C266" s="5"/>
      <c r="D266" s="5">
        <v>0.0</v>
      </c>
    </row>
    <row r="267">
      <c r="A267" s="5"/>
      <c r="B267" s="5" t="s">
        <v>201</v>
      </c>
      <c r="C267" s="5"/>
      <c r="D267" s="5">
        <v>86.0</v>
      </c>
    </row>
    <row r="268">
      <c r="A268" s="5"/>
      <c r="B268" s="5" t="s">
        <v>202</v>
      </c>
      <c r="C268" s="5"/>
      <c r="D268" s="5">
        <v>0.0</v>
      </c>
    </row>
    <row r="269">
      <c r="A269" s="5"/>
      <c r="B269" s="5" t="s">
        <v>203</v>
      </c>
      <c r="C269" s="5"/>
      <c r="D269" s="5">
        <v>0.0</v>
      </c>
    </row>
    <row r="270">
      <c r="A270" s="5"/>
      <c r="B270" s="5" t="s">
        <v>204</v>
      </c>
      <c r="C270" s="5"/>
      <c r="D270" s="5">
        <v>14.0</v>
      </c>
    </row>
    <row r="271">
      <c r="A271" s="5"/>
      <c r="B271" s="5" t="s">
        <v>205</v>
      </c>
      <c r="C271" s="5"/>
      <c r="D271" s="5">
        <v>54.0</v>
      </c>
    </row>
    <row r="272">
      <c r="A272" s="5"/>
      <c r="B272" s="5" t="s">
        <v>206</v>
      </c>
      <c r="C272" s="5"/>
      <c r="D272" s="5">
        <v>71.0</v>
      </c>
    </row>
    <row r="273">
      <c r="A273" s="5"/>
      <c r="B273" s="5" t="s">
        <v>207</v>
      </c>
      <c r="C273" s="5"/>
      <c r="D273" s="5">
        <v>0.0</v>
      </c>
    </row>
    <row r="274">
      <c r="A274" s="5"/>
      <c r="B274" s="5" t="s">
        <v>208</v>
      </c>
      <c r="C274" s="5"/>
      <c r="D274" s="5">
        <v>40.0</v>
      </c>
    </row>
    <row r="275">
      <c r="A275" s="5"/>
      <c r="B275" s="5" t="s">
        <v>209</v>
      </c>
      <c r="C275" s="5"/>
      <c r="D275" s="5">
        <v>34.0</v>
      </c>
    </row>
    <row r="276">
      <c r="A276" s="5"/>
      <c r="B276" s="5" t="s">
        <v>210</v>
      </c>
      <c r="C276" s="5"/>
      <c r="D276" s="5">
        <v>0.0</v>
      </c>
    </row>
    <row r="277">
      <c r="A277" s="5"/>
      <c r="B277" s="5" t="s">
        <v>211</v>
      </c>
      <c r="C277" s="5"/>
      <c r="D277" s="5">
        <v>62.0</v>
      </c>
    </row>
    <row r="278">
      <c r="A278" s="5"/>
      <c r="B278" s="5" t="s">
        <v>212</v>
      </c>
      <c r="C278" s="5"/>
      <c r="D278" s="5">
        <v>40.0</v>
      </c>
    </row>
    <row r="279">
      <c r="A279" s="5"/>
      <c r="B279" s="5" t="s">
        <v>213</v>
      </c>
      <c r="C279" s="5"/>
      <c r="D279" s="5">
        <v>0.0</v>
      </c>
    </row>
    <row r="280">
      <c r="A280" s="5"/>
      <c r="B280" s="5" t="s">
        <v>214</v>
      </c>
      <c r="C280" s="5"/>
      <c r="D280" s="5">
        <v>0.0</v>
      </c>
    </row>
    <row r="281">
      <c r="A281" s="5"/>
      <c r="B281" s="5" t="s">
        <v>215</v>
      </c>
      <c r="C281" s="5"/>
      <c r="D281" s="5">
        <v>0.0</v>
      </c>
    </row>
    <row r="282">
      <c r="A282" s="5"/>
      <c r="B282" s="5" t="s">
        <v>216</v>
      </c>
      <c r="C282" s="5"/>
      <c r="D282" s="5">
        <v>4.0</v>
      </c>
    </row>
    <row r="283">
      <c r="A283" s="5"/>
      <c r="B283" s="5" t="s">
        <v>217</v>
      </c>
      <c r="C283" s="5"/>
      <c r="D283" s="5">
        <v>0.0</v>
      </c>
    </row>
    <row r="284">
      <c r="A284" s="5"/>
      <c r="B284" s="5" t="s">
        <v>218</v>
      </c>
      <c r="C284" s="5"/>
      <c r="D284" s="5">
        <v>0.0</v>
      </c>
    </row>
    <row r="285">
      <c r="A285" s="5"/>
      <c r="B285" s="5" t="s">
        <v>219</v>
      </c>
      <c r="C285" s="5"/>
      <c r="D285" s="5">
        <v>13.0</v>
      </c>
    </row>
    <row r="286">
      <c r="A286" s="5"/>
      <c r="B286" s="5" t="s">
        <v>220</v>
      </c>
      <c r="C286" s="5"/>
      <c r="D286" s="5">
        <v>0.0</v>
      </c>
    </row>
    <row r="287">
      <c r="A287" s="5"/>
      <c r="B287" s="5" t="s">
        <v>221</v>
      </c>
      <c r="C287" s="5"/>
      <c r="D287" s="5">
        <v>0.0</v>
      </c>
    </row>
    <row r="288">
      <c r="A288" s="5"/>
      <c r="B288" s="5" t="s">
        <v>222</v>
      </c>
      <c r="C288" s="5"/>
      <c r="D288" s="5">
        <v>0.0</v>
      </c>
    </row>
    <row r="289">
      <c r="A289" s="5"/>
      <c r="B289" s="5" t="s">
        <v>223</v>
      </c>
      <c r="C289" s="5"/>
      <c r="D289" s="5">
        <v>0.0</v>
      </c>
    </row>
    <row r="290">
      <c r="A290" s="5"/>
      <c r="B290" s="5" t="s">
        <v>224</v>
      </c>
      <c r="C290" s="5"/>
      <c r="D290" s="5">
        <v>0.0</v>
      </c>
    </row>
    <row r="291">
      <c r="A291" s="5"/>
      <c r="B291" s="5" t="s">
        <v>225</v>
      </c>
      <c r="C291" s="5"/>
      <c r="D291" s="5">
        <v>0.0</v>
      </c>
    </row>
    <row r="292">
      <c r="A292" s="5"/>
      <c r="B292" s="5" t="s">
        <v>226</v>
      </c>
      <c r="C292" s="5"/>
    </row>
    <row r="293">
      <c r="A293" s="5"/>
      <c r="B293" s="5" t="s">
        <v>227</v>
      </c>
      <c r="C293" s="5"/>
      <c r="D293" s="5">
        <v>0.0</v>
      </c>
    </row>
    <row r="294">
      <c r="A294" s="5"/>
      <c r="B294" s="5" t="s">
        <v>228</v>
      </c>
      <c r="C294" s="5"/>
    </row>
    <row r="295">
      <c r="A295" s="5"/>
      <c r="B295" s="5" t="s">
        <v>229</v>
      </c>
      <c r="C295" s="5"/>
      <c r="D295" s="5">
        <v>0.0</v>
      </c>
    </row>
    <row r="296">
      <c r="A296" s="5"/>
      <c r="B296" s="5" t="s">
        <v>230</v>
      </c>
      <c r="C296" s="5"/>
      <c r="D296" s="5">
        <v>50.0</v>
      </c>
    </row>
    <row r="297">
      <c r="A297" s="5"/>
      <c r="B297" s="5" t="s">
        <v>231</v>
      </c>
      <c r="C297" s="5"/>
      <c r="D297" s="5">
        <v>0.0</v>
      </c>
    </row>
    <row r="298">
      <c r="A298" s="5"/>
      <c r="B298" s="5" t="s">
        <v>232</v>
      </c>
      <c r="C298" s="5"/>
      <c r="D298" s="5">
        <v>0.0</v>
      </c>
    </row>
    <row r="299">
      <c r="A299" s="5"/>
      <c r="B299" s="5" t="s">
        <v>233</v>
      </c>
      <c r="C299" s="5"/>
      <c r="D299" s="5">
        <v>0.0</v>
      </c>
    </row>
    <row r="300">
      <c r="A300" s="5"/>
      <c r="B300" s="5" t="s">
        <v>234</v>
      </c>
      <c r="C300" s="5"/>
      <c r="D300" s="5" t="s">
        <v>235</v>
      </c>
      <c r="E300" s="5">
        <v>0.0</v>
      </c>
    </row>
    <row r="301">
      <c r="A301" s="5"/>
      <c r="B301" s="5" t="s">
        <v>236</v>
      </c>
      <c r="C301" s="5"/>
      <c r="D301" s="5">
        <v>59.0</v>
      </c>
    </row>
    <row r="302">
      <c r="A302" s="5"/>
      <c r="B302" s="5" t="s">
        <v>237</v>
      </c>
      <c r="C302" s="5"/>
      <c r="D302" s="5">
        <v>0.0</v>
      </c>
    </row>
    <row r="303">
      <c r="A303" s="5"/>
      <c r="B303" s="5" t="s">
        <v>238</v>
      </c>
      <c r="C303" s="5"/>
      <c r="D303" s="5">
        <v>80.0</v>
      </c>
    </row>
    <row r="304">
      <c r="A304" s="5"/>
      <c r="B304" s="5" t="s">
        <v>239</v>
      </c>
      <c r="C304" s="5"/>
      <c r="D304" s="5">
        <v>50.0</v>
      </c>
    </row>
    <row r="305">
      <c r="A305" s="5"/>
      <c r="B305" s="5" t="s">
        <v>240</v>
      </c>
      <c r="C305" s="5"/>
      <c r="D305" s="5">
        <v>0.0</v>
      </c>
    </row>
    <row r="306">
      <c r="A306" s="5"/>
      <c r="B306" s="5" t="s">
        <v>241</v>
      </c>
      <c r="C306" s="5"/>
      <c r="D306" s="5">
        <v>0.0</v>
      </c>
    </row>
    <row r="307">
      <c r="A307" s="5"/>
      <c r="B307" s="5" t="s">
        <v>242</v>
      </c>
      <c r="C307" s="5"/>
      <c r="D307" s="5">
        <v>0.0</v>
      </c>
    </row>
    <row r="308">
      <c r="A308" s="5"/>
      <c r="B308" s="5" t="s">
        <v>243</v>
      </c>
      <c r="C308" s="5"/>
      <c r="D308" s="5">
        <v>0.0</v>
      </c>
    </row>
    <row r="309">
      <c r="A309" s="5"/>
      <c r="B309" s="5" t="s">
        <v>244</v>
      </c>
      <c r="C309" s="5"/>
      <c r="D309" s="5">
        <v>0.0</v>
      </c>
    </row>
    <row r="310">
      <c r="A310" s="5"/>
      <c r="B310" s="5" t="s">
        <v>245</v>
      </c>
      <c r="C310" s="5"/>
      <c r="D310" s="5">
        <v>0.0</v>
      </c>
    </row>
    <row r="311">
      <c r="A311" s="5"/>
      <c r="B311" s="5" t="s">
        <v>246</v>
      </c>
      <c r="C311" s="5"/>
      <c r="D311" s="5">
        <v>0.0</v>
      </c>
    </row>
    <row r="312">
      <c r="A312" s="5"/>
      <c r="B312" s="5" t="s">
        <v>247</v>
      </c>
      <c r="C312" s="5"/>
      <c r="D312" s="5">
        <v>0.0</v>
      </c>
    </row>
    <row r="313">
      <c r="A313" s="5"/>
      <c r="B313" s="5" t="s">
        <v>248</v>
      </c>
      <c r="C313" s="5"/>
      <c r="D313" s="5">
        <v>0.0</v>
      </c>
    </row>
    <row r="314">
      <c r="A314" s="5"/>
      <c r="B314" s="5" t="s">
        <v>249</v>
      </c>
      <c r="C314" s="5"/>
      <c r="D314" s="5">
        <v>0.0</v>
      </c>
    </row>
    <row r="315">
      <c r="A315" s="5"/>
      <c r="B315" s="5" t="s">
        <v>250</v>
      </c>
      <c r="C315" s="5"/>
      <c r="D315" s="5">
        <v>0.0</v>
      </c>
    </row>
    <row r="316">
      <c r="A316" s="5"/>
      <c r="B316" s="5" t="s">
        <v>251</v>
      </c>
      <c r="C316" s="5"/>
      <c r="D316" s="5">
        <v>0.0</v>
      </c>
    </row>
    <row r="317">
      <c r="A317" s="5"/>
      <c r="B317" s="5" t="s">
        <v>252</v>
      </c>
      <c r="C317" s="5"/>
      <c r="D317" s="5">
        <v>0.0</v>
      </c>
    </row>
    <row r="318">
      <c r="A318" s="5"/>
      <c r="B318" s="5" t="s">
        <v>253</v>
      </c>
      <c r="C318" s="5"/>
      <c r="D318" s="5">
        <v>0.0</v>
      </c>
    </row>
    <row r="319">
      <c r="A319" s="5"/>
      <c r="B319" s="5" t="s">
        <v>254</v>
      </c>
      <c r="C319" s="5"/>
      <c r="D319" s="5">
        <v>66.0</v>
      </c>
    </row>
    <row r="320">
      <c r="A320" s="5"/>
      <c r="B320" s="5" t="s">
        <v>255</v>
      </c>
      <c r="C320" s="5"/>
      <c r="D320" s="5">
        <v>0.0</v>
      </c>
    </row>
    <row r="321">
      <c r="A321" s="5"/>
      <c r="B321" s="5" t="s">
        <v>256</v>
      </c>
      <c r="C321" s="5"/>
      <c r="D321" s="5">
        <v>0.0</v>
      </c>
    </row>
    <row r="322">
      <c r="A322" s="5"/>
      <c r="B322" s="5" t="s">
        <v>257</v>
      </c>
      <c r="C322" s="5"/>
      <c r="D322" s="5">
        <v>23.0</v>
      </c>
    </row>
    <row r="323">
      <c r="A323" s="5"/>
      <c r="B323" s="5" t="s">
        <v>258</v>
      </c>
      <c r="C323" s="5"/>
      <c r="D323" s="5">
        <v>0.0</v>
      </c>
    </row>
    <row r="324">
      <c r="A324" s="5"/>
      <c r="B324" s="5" t="s">
        <v>259</v>
      </c>
      <c r="C324" s="5"/>
      <c r="D324" s="5">
        <v>0.0</v>
      </c>
    </row>
    <row r="325">
      <c r="A325" s="5"/>
      <c r="B325" s="5" t="s">
        <v>260</v>
      </c>
      <c r="C325" s="5"/>
      <c r="D325" s="5" t="s">
        <v>261</v>
      </c>
      <c r="E325" s="5">
        <v>0.0</v>
      </c>
    </row>
    <row r="326">
      <c r="A326" s="5"/>
      <c r="B326" s="5" t="s">
        <v>262</v>
      </c>
      <c r="C326" s="5"/>
      <c r="D326" s="5">
        <v>39.0</v>
      </c>
    </row>
    <row r="327">
      <c r="A327" s="5"/>
      <c r="B327" s="5" t="s">
        <v>263</v>
      </c>
      <c r="C327" s="5"/>
      <c r="D327" s="5">
        <v>0.0</v>
      </c>
    </row>
    <row r="328">
      <c r="A328" s="5"/>
      <c r="B328" s="5" t="s">
        <v>264</v>
      </c>
      <c r="C328" s="5"/>
      <c r="D328" s="5">
        <v>0.0</v>
      </c>
    </row>
    <row r="329">
      <c r="A329" s="5"/>
      <c r="B329" s="5" t="s">
        <v>265</v>
      </c>
      <c r="C329" s="5"/>
      <c r="D329" s="5">
        <v>0.0</v>
      </c>
    </row>
    <row r="330">
      <c r="A330" s="5"/>
      <c r="B330" s="5" t="s">
        <v>266</v>
      </c>
      <c r="C330" s="5"/>
      <c r="D330" s="5">
        <v>0.0</v>
      </c>
    </row>
    <row r="331">
      <c r="A331" s="5"/>
      <c r="B331" s="5" t="s">
        <v>267</v>
      </c>
      <c r="C331" s="5"/>
      <c r="D331" s="5">
        <v>30.0</v>
      </c>
    </row>
    <row r="332">
      <c r="A332" s="5"/>
      <c r="B332" s="5" t="s">
        <v>268</v>
      </c>
      <c r="C332" s="5"/>
      <c r="D332" s="5">
        <v>3.0</v>
      </c>
    </row>
    <row r="333">
      <c r="A333" s="5"/>
      <c r="B333" s="5" t="s">
        <v>269</v>
      </c>
      <c r="C333" s="5"/>
      <c r="D333" s="5">
        <v>0.0</v>
      </c>
    </row>
    <row r="334">
      <c r="A334" s="5"/>
      <c r="B334" s="5" t="s">
        <v>270</v>
      </c>
      <c r="C334" s="5"/>
      <c r="D334" s="5">
        <v>0.0</v>
      </c>
    </row>
    <row r="335">
      <c r="A335" s="5"/>
      <c r="B335" s="5" t="s">
        <v>271</v>
      </c>
      <c r="C335" s="5"/>
      <c r="D335" s="5">
        <v>66.0</v>
      </c>
    </row>
    <row r="336">
      <c r="A336" s="5"/>
      <c r="B336" s="5" t="s">
        <v>272</v>
      </c>
      <c r="C336" s="5"/>
      <c r="D336" s="5">
        <v>0.0</v>
      </c>
    </row>
    <row r="337">
      <c r="A337" s="5"/>
      <c r="B337" s="5" t="s">
        <v>273</v>
      </c>
      <c r="C337" s="5"/>
      <c r="D337" s="5">
        <v>0.0</v>
      </c>
    </row>
    <row r="338">
      <c r="A338" s="5"/>
      <c r="B338" s="5" t="s">
        <v>274</v>
      </c>
      <c r="C338" s="5"/>
      <c r="D338" s="5">
        <v>0.0</v>
      </c>
    </row>
    <row r="339">
      <c r="A339" s="5"/>
      <c r="B339" s="5" t="s">
        <v>275</v>
      </c>
      <c r="C339" s="5"/>
      <c r="D339" s="5">
        <v>0.0</v>
      </c>
    </row>
    <row r="340">
      <c r="A340" s="5"/>
      <c r="B340" s="5" t="s">
        <v>276</v>
      </c>
      <c r="C340" s="5"/>
      <c r="D340" s="5">
        <v>58.0</v>
      </c>
    </row>
    <row r="341">
      <c r="A341" s="5"/>
      <c r="B341" s="5" t="s">
        <v>277</v>
      </c>
      <c r="C341" s="5"/>
      <c r="D341" s="5">
        <v>99.0</v>
      </c>
    </row>
    <row r="342">
      <c r="A342" s="5"/>
      <c r="B342" s="5" t="s">
        <v>278</v>
      </c>
      <c r="C342" s="5"/>
      <c r="D342" s="5">
        <v>0.0</v>
      </c>
    </row>
    <row r="343">
      <c r="A343" s="5"/>
      <c r="B343" s="5" t="s">
        <v>279</v>
      </c>
      <c r="C343" s="5"/>
      <c r="D343" s="5">
        <v>0.0</v>
      </c>
    </row>
    <row r="344">
      <c r="A344" s="5"/>
      <c r="B344" s="5" t="s">
        <v>280</v>
      </c>
      <c r="C344" s="5"/>
      <c r="D344" s="5">
        <v>0.0</v>
      </c>
    </row>
    <row r="345">
      <c r="A345" s="5"/>
      <c r="B345" s="5" t="s">
        <v>281</v>
      </c>
      <c r="C345" s="5"/>
      <c r="D345" s="5">
        <v>0.0</v>
      </c>
    </row>
    <row r="346">
      <c r="A346" s="5"/>
      <c r="B346" s="5" t="s">
        <v>282</v>
      </c>
      <c r="C346" s="5"/>
      <c r="D346" s="5">
        <v>5.0</v>
      </c>
    </row>
    <row r="347">
      <c r="A347" s="5"/>
      <c r="B347" s="5" t="s">
        <v>283</v>
      </c>
      <c r="C347" s="5"/>
      <c r="D347" s="5">
        <v>48.0</v>
      </c>
    </row>
    <row r="348">
      <c r="A348" s="5"/>
      <c r="B348" s="5" t="s">
        <v>284</v>
      </c>
      <c r="C348" s="5"/>
      <c r="D348" s="5">
        <v>0.0</v>
      </c>
    </row>
    <row r="349">
      <c r="A349" s="5"/>
      <c r="B349" s="5" t="s">
        <v>285</v>
      </c>
      <c r="C349" s="5"/>
      <c r="D349" s="5">
        <v>0.0</v>
      </c>
    </row>
    <row r="350">
      <c r="A350" s="5"/>
      <c r="B350" s="5" t="s">
        <v>286</v>
      </c>
      <c r="C350" s="5"/>
      <c r="D350" s="5">
        <v>0.0</v>
      </c>
    </row>
    <row r="351">
      <c r="A351" s="5"/>
      <c r="B351" s="5" t="s">
        <v>287</v>
      </c>
      <c r="C351" s="5"/>
      <c r="D351" s="5">
        <v>0.0</v>
      </c>
    </row>
    <row r="352">
      <c r="A352" s="5"/>
      <c r="B352" s="5" t="s">
        <v>288</v>
      </c>
      <c r="C352" s="5"/>
      <c r="D352" s="5">
        <v>0.0</v>
      </c>
    </row>
    <row r="353">
      <c r="A353" s="5"/>
      <c r="B353" s="5" t="s">
        <v>289</v>
      </c>
      <c r="C353" s="5"/>
      <c r="D353" s="5">
        <v>0.0</v>
      </c>
    </row>
    <row r="354">
      <c r="A354" s="5"/>
      <c r="B354" s="5" t="s">
        <v>218</v>
      </c>
      <c r="C354" s="5"/>
      <c r="D354" s="5">
        <v>0.0</v>
      </c>
    </row>
    <row r="355">
      <c r="A355" s="5"/>
      <c r="B355" s="5" t="s">
        <v>219</v>
      </c>
      <c r="C355" s="5"/>
      <c r="D355" s="5">
        <v>13.0</v>
      </c>
    </row>
    <row r="356">
      <c r="A356" s="5"/>
      <c r="B356" s="5" t="s">
        <v>220</v>
      </c>
      <c r="C356" s="5"/>
      <c r="D356" s="5">
        <v>0.0</v>
      </c>
    </row>
    <row r="357">
      <c r="A357" s="5"/>
      <c r="B357" s="5" t="s">
        <v>221</v>
      </c>
      <c r="C357" s="5"/>
      <c r="D357" s="5">
        <v>0.0</v>
      </c>
    </row>
    <row r="358">
      <c r="A358" s="5"/>
      <c r="B358" s="5" t="s">
        <v>222</v>
      </c>
      <c r="C358" s="5"/>
      <c r="D358" s="5">
        <v>0.0</v>
      </c>
    </row>
    <row r="359">
      <c r="A359" s="5"/>
      <c r="B359" s="5" t="s">
        <v>223</v>
      </c>
      <c r="C359" s="5"/>
      <c r="D359" s="5">
        <v>0.0</v>
      </c>
    </row>
    <row r="360">
      <c r="A360" s="5"/>
      <c r="B360" s="5" t="s">
        <v>224</v>
      </c>
      <c r="C360" s="5"/>
      <c r="D360" s="5">
        <v>0.0</v>
      </c>
    </row>
    <row r="361">
      <c r="A361" s="5"/>
      <c r="B361" s="5" t="s">
        <v>225</v>
      </c>
      <c r="C361" s="5"/>
      <c r="D361" s="5">
        <v>0.0</v>
      </c>
    </row>
    <row r="362">
      <c r="A362" s="5"/>
      <c r="B362" s="5" t="s">
        <v>226</v>
      </c>
      <c r="C362" s="5"/>
    </row>
    <row r="363">
      <c r="A363" s="5"/>
      <c r="B363" s="5" t="s">
        <v>227</v>
      </c>
      <c r="C363" s="5"/>
      <c r="D363" s="5">
        <v>0.0</v>
      </c>
    </row>
    <row r="364">
      <c r="A364" s="5"/>
      <c r="B364" s="5" t="s">
        <v>228</v>
      </c>
      <c r="C364" s="5"/>
    </row>
    <row r="365">
      <c r="A365" s="5"/>
      <c r="B365" s="5" t="s">
        <v>229</v>
      </c>
      <c r="C365" s="5"/>
      <c r="D365" s="5">
        <v>0.0</v>
      </c>
    </row>
    <row r="366">
      <c r="A366" s="5"/>
      <c r="B366" s="5" t="s">
        <v>230</v>
      </c>
      <c r="C366" s="5"/>
      <c r="D366" s="5">
        <v>50.0</v>
      </c>
    </row>
    <row r="367">
      <c r="A367" s="5"/>
      <c r="B367" s="5" t="s">
        <v>231</v>
      </c>
      <c r="C367" s="5"/>
      <c r="D367" s="5">
        <v>0.0</v>
      </c>
    </row>
    <row r="368">
      <c r="A368" s="5"/>
      <c r="B368" s="5" t="s">
        <v>232</v>
      </c>
      <c r="C368" s="5"/>
      <c r="D368" s="5">
        <v>0.0</v>
      </c>
    </row>
    <row r="369">
      <c r="A369" s="5"/>
      <c r="B369" s="5" t="s">
        <v>233</v>
      </c>
      <c r="C369" s="5"/>
      <c r="D369" s="5">
        <v>0.0</v>
      </c>
    </row>
    <row r="370">
      <c r="A370" s="5"/>
      <c r="B370" s="5" t="s">
        <v>234</v>
      </c>
      <c r="C370" s="5"/>
      <c r="D370" s="5" t="s">
        <v>235</v>
      </c>
      <c r="E370" s="5">
        <v>0.0</v>
      </c>
    </row>
    <row r="371">
      <c r="A371" s="5"/>
      <c r="B371" s="5" t="s">
        <v>236</v>
      </c>
      <c r="C371" s="5"/>
      <c r="D371" s="5">
        <v>59.0</v>
      </c>
    </row>
    <row r="372">
      <c r="A372" s="5"/>
      <c r="B372" s="5" t="s">
        <v>237</v>
      </c>
      <c r="C372" s="5"/>
      <c r="D372" s="5">
        <v>0.0</v>
      </c>
    </row>
    <row r="373">
      <c r="A373" s="5"/>
      <c r="B373" s="5" t="s">
        <v>238</v>
      </c>
      <c r="C373" s="5"/>
      <c r="D373" s="5">
        <v>80.0</v>
      </c>
    </row>
    <row r="374">
      <c r="A374" s="5"/>
      <c r="B374" s="5" t="s">
        <v>239</v>
      </c>
      <c r="C374" s="5"/>
      <c r="D374" s="5">
        <v>50.0</v>
      </c>
    </row>
    <row r="375">
      <c r="A375" s="5"/>
      <c r="B375" s="5" t="s">
        <v>240</v>
      </c>
      <c r="C375" s="5"/>
      <c r="D375" s="5">
        <v>0.0</v>
      </c>
    </row>
    <row r="376">
      <c r="A376" s="5"/>
      <c r="B376" s="5" t="s">
        <v>241</v>
      </c>
      <c r="C376" s="5"/>
      <c r="D376" s="5">
        <v>0.0</v>
      </c>
    </row>
    <row r="377">
      <c r="A377" s="5"/>
      <c r="B377" s="5" t="s">
        <v>242</v>
      </c>
      <c r="C377" s="5"/>
      <c r="D377" s="5">
        <v>0.0</v>
      </c>
    </row>
    <row r="378">
      <c r="A378" s="5"/>
      <c r="B378" s="5" t="s">
        <v>243</v>
      </c>
      <c r="C378" s="5"/>
      <c r="D378" s="5">
        <v>0.0</v>
      </c>
    </row>
    <row r="379">
      <c r="A379" s="5"/>
      <c r="B379" s="5" t="s">
        <v>244</v>
      </c>
      <c r="C379" s="5"/>
      <c r="D379" s="5">
        <v>0.0</v>
      </c>
    </row>
    <row r="380">
      <c r="A380" s="5"/>
      <c r="B380" s="5" t="s">
        <v>245</v>
      </c>
      <c r="C380" s="5"/>
      <c r="D380" s="5">
        <v>0.0</v>
      </c>
    </row>
    <row r="381">
      <c r="A381" s="5"/>
      <c r="B381" s="5" t="s">
        <v>246</v>
      </c>
      <c r="C381" s="5"/>
      <c r="D381" s="5">
        <v>0.0</v>
      </c>
    </row>
    <row r="382">
      <c r="A382" s="5"/>
      <c r="B382" s="5" t="s">
        <v>247</v>
      </c>
      <c r="C382" s="5"/>
      <c r="D382" s="5">
        <v>0.0</v>
      </c>
    </row>
    <row r="383">
      <c r="A383" s="5"/>
      <c r="B383" s="5" t="s">
        <v>248</v>
      </c>
      <c r="C383" s="5"/>
      <c r="D383" s="5">
        <v>0.0</v>
      </c>
    </row>
    <row r="384">
      <c r="A384" s="5"/>
      <c r="B384" s="5" t="s">
        <v>249</v>
      </c>
      <c r="C384" s="5"/>
      <c r="D384" s="5">
        <v>0.0</v>
      </c>
    </row>
    <row r="385">
      <c r="A385" s="5"/>
      <c r="B385" s="5" t="s">
        <v>250</v>
      </c>
      <c r="C385" s="5"/>
      <c r="D385" s="5">
        <v>0.0</v>
      </c>
    </row>
    <row r="386">
      <c r="A386" s="5"/>
      <c r="B386" s="5" t="s">
        <v>251</v>
      </c>
      <c r="C386" s="5"/>
      <c r="D386" s="5">
        <v>0.0</v>
      </c>
    </row>
    <row r="387">
      <c r="A387" s="5"/>
      <c r="B387" s="5" t="s">
        <v>252</v>
      </c>
      <c r="C387" s="5"/>
      <c r="D387" s="5">
        <v>0.0</v>
      </c>
    </row>
    <row r="388">
      <c r="A388" s="5"/>
      <c r="B388" s="5" t="s">
        <v>253</v>
      </c>
      <c r="C388" s="5"/>
      <c r="D388" s="5">
        <v>0.0</v>
      </c>
    </row>
    <row r="389">
      <c r="A389" s="5"/>
      <c r="B389" s="5" t="s">
        <v>254</v>
      </c>
      <c r="C389" s="5"/>
      <c r="D389" s="5">
        <v>66.0</v>
      </c>
    </row>
    <row r="390">
      <c r="A390" s="5"/>
      <c r="B390" s="5" t="s">
        <v>255</v>
      </c>
      <c r="C390" s="5"/>
      <c r="D390" s="5">
        <v>0.0</v>
      </c>
    </row>
    <row r="391">
      <c r="A391" s="5"/>
      <c r="B391" s="5" t="s">
        <v>256</v>
      </c>
      <c r="C391" s="5"/>
      <c r="D391" s="5">
        <v>0.0</v>
      </c>
    </row>
    <row r="392">
      <c r="A392" s="5"/>
      <c r="B392" s="5" t="s">
        <v>257</v>
      </c>
      <c r="C392" s="5"/>
      <c r="D392" s="5">
        <v>23.0</v>
      </c>
    </row>
    <row r="393">
      <c r="A393" s="5"/>
      <c r="B393" s="5" t="s">
        <v>258</v>
      </c>
      <c r="C393" s="5"/>
      <c r="D393" s="5">
        <v>0.0</v>
      </c>
    </row>
    <row r="394">
      <c r="A394" s="5"/>
      <c r="B394" s="5" t="s">
        <v>259</v>
      </c>
      <c r="C394" s="5"/>
      <c r="D394" s="5">
        <v>0.0</v>
      </c>
    </row>
    <row r="395">
      <c r="A395" s="5"/>
      <c r="B395" s="5" t="s">
        <v>260</v>
      </c>
      <c r="C395" s="5"/>
      <c r="D395" s="5" t="s">
        <v>261</v>
      </c>
      <c r="E395" s="5">
        <v>0.0</v>
      </c>
    </row>
    <row r="396">
      <c r="A396" s="5"/>
      <c r="B396" s="5" t="s">
        <v>262</v>
      </c>
      <c r="C396" s="5"/>
      <c r="D396" s="5">
        <v>39.0</v>
      </c>
    </row>
    <row r="397">
      <c r="A397" s="5"/>
      <c r="B397" s="5" t="s">
        <v>263</v>
      </c>
      <c r="C397" s="5"/>
      <c r="D397" s="5">
        <v>0.0</v>
      </c>
    </row>
    <row r="398">
      <c r="A398" s="5"/>
      <c r="B398" s="5" t="s">
        <v>264</v>
      </c>
      <c r="C398" s="5"/>
      <c r="D398" s="5">
        <v>0.0</v>
      </c>
    </row>
    <row r="399">
      <c r="A399" s="5"/>
      <c r="B399" s="5" t="s">
        <v>265</v>
      </c>
      <c r="C399" s="5"/>
      <c r="D399" s="5">
        <v>0.0</v>
      </c>
    </row>
    <row r="400">
      <c r="A400" s="5"/>
      <c r="B400" s="5" t="s">
        <v>266</v>
      </c>
      <c r="C400" s="5"/>
      <c r="D400" s="5">
        <v>0.0</v>
      </c>
    </row>
    <row r="401">
      <c r="A401" s="5"/>
      <c r="B401" s="5" t="s">
        <v>267</v>
      </c>
      <c r="C401" s="5"/>
      <c r="D401" s="5">
        <v>30.0</v>
      </c>
    </row>
    <row r="402">
      <c r="A402" s="5"/>
      <c r="B402" s="5" t="s">
        <v>268</v>
      </c>
      <c r="C402" s="5"/>
      <c r="D402" s="5">
        <v>3.0</v>
      </c>
    </row>
    <row r="403">
      <c r="A403" s="5"/>
      <c r="B403" s="5" t="s">
        <v>269</v>
      </c>
      <c r="C403" s="5"/>
      <c r="D403" s="5">
        <v>0.0</v>
      </c>
    </row>
    <row r="404">
      <c r="A404" s="5"/>
      <c r="B404" s="5" t="s">
        <v>270</v>
      </c>
      <c r="C404" s="5"/>
      <c r="D404" s="5">
        <v>0.0</v>
      </c>
    </row>
    <row r="405">
      <c r="A405" s="5"/>
      <c r="B405" s="5" t="s">
        <v>271</v>
      </c>
      <c r="C405" s="5"/>
      <c r="D405" s="5">
        <v>66.0</v>
      </c>
    </row>
    <row r="406">
      <c r="A406" s="5"/>
      <c r="B406" s="5" t="s">
        <v>272</v>
      </c>
      <c r="C406" s="5"/>
      <c r="D406" s="5">
        <v>0.0</v>
      </c>
    </row>
    <row r="407">
      <c r="A407" s="5"/>
      <c r="B407" s="5" t="s">
        <v>273</v>
      </c>
      <c r="C407" s="5"/>
      <c r="D407" s="5">
        <v>0.0</v>
      </c>
    </row>
    <row r="408">
      <c r="A408" s="5"/>
      <c r="B408" s="5" t="s">
        <v>274</v>
      </c>
      <c r="C408" s="5"/>
      <c r="D408" s="5">
        <v>0.0</v>
      </c>
    </row>
    <row r="409">
      <c r="A409" s="5"/>
      <c r="B409" s="5" t="s">
        <v>275</v>
      </c>
      <c r="C409" s="5"/>
      <c r="D409" s="5">
        <v>0.0</v>
      </c>
    </row>
    <row r="410">
      <c r="A410" s="5"/>
      <c r="B410" s="5" t="s">
        <v>276</v>
      </c>
      <c r="C410" s="5"/>
      <c r="D410" s="5">
        <v>58.0</v>
      </c>
    </row>
    <row r="411">
      <c r="A411" s="5"/>
      <c r="B411" s="5" t="s">
        <v>277</v>
      </c>
      <c r="C411" s="5"/>
      <c r="D411" s="5">
        <v>99.0</v>
      </c>
    </row>
    <row r="412">
      <c r="A412" s="5"/>
      <c r="B412" s="5" t="s">
        <v>278</v>
      </c>
      <c r="C412" s="5"/>
      <c r="D412" s="5">
        <v>0.0</v>
      </c>
    </row>
    <row r="413">
      <c r="A413" s="5"/>
      <c r="B413" s="5" t="s">
        <v>279</v>
      </c>
      <c r="C413" s="5"/>
      <c r="D413" s="5">
        <v>0.0</v>
      </c>
    </row>
    <row r="414">
      <c r="A414" s="5"/>
      <c r="B414" s="5" t="s">
        <v>280</v>
      </c>
      <c r="C414" s="5"/>
      <c r="D414" s="5">
        <v>0.0</v>
      </c>
    </row>
    <row r="415">
      <c r="A415" s="5"/>
      <c r="B415" s="5" t="s">
        <v>281</v>
      </c>
      <c r="C415" s="5"/>
      <c r="D415" s="5">
        <v>0.0</v>
      </c>
    </row>
    <row r="416">
      <c r="A416" s="5"/>
      <c r="B416" s="5" t="s">
        <v>282</v>
      </c>
      <c r="C416" s="5"/>
      <c r="D416" s="5">
        <v>5.0</v>
      </c>
    </row>
    <row r="417">
      <c r="A417" s="5"/>
      <c r="B417" s="5" t="s">
        <v>283</v>
      </c>
      <c r="C417" s="5"/>
      <c r="D417" s="5">
        <v>48.0</v>
      </c>
    </row>
    <row r="418">
      <c r="A418" s="5"/>
      <c r="B418" s="5" t="s">
        <v>284</v>
      </c>
      <c r="C418" s="5"/>
      <c r="D418" s="5">
        <v>0.0</v>
      </c>
    </row>
    <row r="419">
      <c r="A419" s="5"/>
      <c r="B419" s="5" t="s">
        <v>285</v>
      </c>
      <c r="C419" s="5"/>
      <c r="D419" s="5">
        <v>0.0</v>
      </c>
    </row>
    <row r="420">
      <c r="A420" s="5"/>
      <c r="B420" s="5" t="s">
        <v>286</v>
      </c>
      <c r="C420" s="5"/>
      <c r="D420" s="5">
        <v>0.0</v>
      </c>
    </row>
    <row r="421">
      <c r="A421" s="5"/>
      <c r="B421" s="5" t="s">
        <v>287</v>
      </c>
      <c r="C421" s="5"/>
      <c r="D421" s="5">
        <v>0.0</v>
      </c>
    </row>
    <row r="422">
      <c r="A422" s="5"/>
      <c r="B422" s="5" t="s">
        <v>288</v>
      </c>
      <c r="C422" s="5"/>
      <c r="D422" s="5">
        <v>0.0</v>
      </c>
    </row>
    <row r="423">
      <c r="A423" s="5"/>
      <c r="B423" s="5" t="s">
        <v>289</v>
      </c>
      <c r="C423" s="5"/>
      <c r="D423" s="5">
        <v>0.0</v>
      </c>
    </row>
    <row r="424">
      <c r="A424" s="5"/>
      <c r="B424" s="5" t="s">
        <v>290</v>
      </c>
      <c r="C424" s="5"/>
      <c r="D424" s="5">
        <v>75.0</v>
      </c>
    </row>
    <row r="425">
      <c r="A425" s="5"/>
      <c r="B425" s="5" t="s">
        <v>291</v>
      </c>
      <c r="C425" s="5"/>
      <c r="D425" s="5">
        <v>0.0</v>
      </c>
    </row>
    <row r="426">
      <c r="A426" s="5"/>
      <c r="B426" s="5" t="s">
        <v>292</v>
      </c>
      <c r="C426" s="5"/>
      <c r="D426" s="5">
        <v>0.0</v>
      </c>
    </row>
    <row r="427">
      <c r="A427" s="5"/>
      <c r="B427" s="5" t="s">
        <v>293</v>
      </c>
      <c r="C427" s="5"/>
      <c r="D427" s="5">
        <v>30.0</v>
      </c>
    </row>
    <row r="428">
      <c r="A428" s="5"/>
      <c r="B428" s="5" t="s">
        <v>294</v>
      </c>
      <c r="C428" s="5"/>
      <c r="D428" s="5">
        <v>39.0</v>
      </c>
    </row>
    <row r="429">
      <c r="A429" s="5"/>
      <c r="B429" s="5" t="s">
        <v>295</v>
      </c>
      <c r="C429" s="5"/>
      <c r="D429" s="5">
        <v>50.0</v>
      </c>
    </row>
    <row r="430">
      <c r="A430" s="5"/>
      <c r="B430" s="5" t="s">
        <v>296</v>
      </c>
      <c r="C430" s="5"/>
      <c r="D430" s="5">
        <v>0.0</v>
      </c>
    </row>
    <row r="431">
      <c r="A431" s="5"/>
      <c r="B431" s="5" t="s">
        <v>297</v>
      </c>
      <c r="C431" s="5"/>
      <c r="D431" s="5">
        <v>0.0</v>
      </c>
    </row>
    <row r="432">
      <c r="A432" s="5"/>
      <c r="B432" s="5" t="s">
        <v>298</v>
      </c>
      <c r="C432" s="5"/>
      <c r="D432" s="5">
        <v>62.0</v>
      </c>
    </row>
    <row r="433">
      <c r="A433" s="5"/>
      <c r="B433" s="5" t="s">
        <v>299</v>
      </c>
      <c r="C433" s="5"/>
      <c r="D433" s="5">
        <v>0.0</v>
      </c>
    </row>
    <row r="434">
      <c r="A434" s="5"/>
      <c r="B434" s="5" t="s">
        <v>300</v>
      </c>
      <c r="C434" s="5"/>
      <c r="D434" s="5">
        <v>50.0</v>
      </c>
    </row>
    <row r="435">
      <c r="A435" s="5"/>
      <c r="B435" s="5" t="s">
        <v>301</v>
      </c>
      <c r="C435" s="5"/>
      <c r="D435" s="5">
        <v>0.0</v>
      </c>
    </row>
    <row r="436">
      <c r="A436" s="5"/>
      <c r="B436" s="5" t="s">
        <v>302</v>
      </c>
      <c r="C436" s="5"/>
      <c r="D436" s="5">
        <v>0.0</v>
      </c>
    </row>
    <row r="437">
      <c r="A437" s="5"/>
      <c r="B437" s="5" t="s">
        <v>303</v>
      </c>
      <c r="C437" s="5"/>
      <c r="D437" s="5">
        <v>96.0</v>
      </c>
    </row>
    <row r="438">
      <c r="A438" s="5"/>
      <c r="B438" s="5" t="s">
        <v>304</v>
      </c>
      <c r="C438" s="5"/>
      <c r="D438" s="5">
        <v>57.0</v>
      </c>
    </row>
    <row r="439">
      <c r="A439" s="5"/>
      <c r="B439" s="5" t="s">
        <v>305</v>
      </c>
      <c r="C439" s="5"/>
      <c r="D439" s="5">
        <v>0.0</v>
      </c>
    </row>
    <row r="440">
      <c r="A440" s="5"/>
      <c r="B440" s="5" t="s">
        <v>306</v>
      </c>
      <c r="C440" s="5"/>
      <c r="D440" s="5">
        <v>34.0</v>
      </c>
    </row>
    <row r="441">
      <c r="A441" s="5"/>
      <c r="B441" s="5" t="s">
        <v>307</v>
      </c>
      <c r="C441" s="5"/>
      <c r="D441" s="5">
        <v>68.0</v>
      </c>
    </row>
    <row r="442">
      <c r="A442" s="5"/>
      <c r="B442" s="5" t="s">
        <v>308</v>
      </c>
      <c r="C442" s="5"/>
      <c r="D442" s="5">
        <v>78.0</v>
      </c>
    </row>
    <row r="443">
      <c r="A443" s="5"/>
      <c r="B443" s="5" t="s">
        <v>309</v>
      </c>
      <c r="C443" s="5"/>
    </row>
    <row r="444">
      <c r="A444" s="5"/>
      <c r="B444" s="5" t="s">
        <v>310</v>
      </c>
      <c r="C444" s="5"/>
      <c r="D444" s="5">
        <v>12.0</v>
      </c>
    </row>
    <row r="445">
      <c r="A445" s="5"/>
      <c r="B445" s="5" t="s">
        <v>311</v>
      </c>
      <c r="C445" s="5"/>
    </row>
    <row r="446">
      <c r="A446" s="5"/>
      <c r="B446" s="5" t="s">
        <v>312</v>
      </c>
      <c r="C446" s="5"/>
      <c r="D446" s="5">
        <v>0.0</v>
      </c>
    </row>
    <row r="447">
      <c r="A447" s="5"/>
      <c r="B447" s="5" t="s">
        <v>313</v>
      </c>
      <c r="C447" s="5"/>
      <c r="D447" s="5">
        <v>82.0</v>
      </c>
    </row>
    <row r="448">
      <c r="A448" s="5"/>
      <c r="B448" s="5" t="s">
        <v>314</v>
      </c>
      <c r="C448" s="5"/>
      <c r="D448" s="5">
        <v>0.0</v>
      </c>
    </row>
    <row r="449">
      <c r="A449" s="5"/>
      <c r="B449" s="5" t="s">
        <v>315</v>
      </c>
      <c r="C449" s="5"/>
      <c r="D449" s="5">
        <v>0.0</v>
      </c>
    </row>
    <row r="450">
      <c r="A450" s="5"/>
      <c r="B450" s="5" t="s">
        <v>316</v>
      </c>
      <c r="C450" s="5"/>
      <c r="D450" s="5">
        <v>0.0</v>
      </c>
    </row>
    <row r="451">
      <c r="A451" s="5"/>
      <c r="B451" s="5" t="s">
        <v>317</v>
      </c>
      <c r="C451" s="5"/>
      <c r="D451" s="5">
        <v>0.0</v>
      </c>
    </row>
    <row r="452">
      <c r="A452" s="5"/>
      <c r="B452" s="5" t="s">
        <v>318</v>
      </c>
      <c r="C452" s="5"/>
      <c r="D452" s="5">
        <v>8.0</v>
      </c>
    </row>
    <row r="453">
      <c r="A453" s="5"/>
      <c r="B453" s="5" t="s">
        <v>319</v>
      </c>
      <c r="C453" s="5"/>
      <c r="D453" s="5">
        <v>0.0</v>
      </c>
    </row>
    <row r="454">
      <c r="A454" s="5"/>
      <c r="B454" s="5" t="s">
        <v>320</v>
      </c>
      <c r="C454" s="5"/>
      <c r="D454" s="5">
        <v>0.0</v>
      </c>
    </row>
    <row r="455">
      <c r="A455" s="5"/>
      <c r="B455" s="5" t="s">
        <v>321</v>
      </c>
      <c r="C455" s="5"/>
      <c r="D455" s="5">
        <v>0.0</v>
      </c>
    </row>
    <row r="456">
      <c r="A456" s="5"/>
      <c r="B456" s="5" t="s">
        <v>322</v>
      </c>
      <c r="C456" s="5"/>
      <c r="D456" s="5">
        <v>14.0</v>
      </c>
    </row>
    <row r="457">
      <c r="A457" s="5"/>
      <c r="B457" s="5" t="s">
        <v>323</v>
      </c>
      <c r="C457" s="5"/>
      <c r="D457" s="5">
        <v>0.0</v>
      </c>
    </row>
    <row r="458">
      <c r="A458" s="5"/>
      <c r="B458" s="5" t="s">
        <v>324</v>
      </c>
      <c r="C458" s="5"/>
      <c r="D458" s="5">
        <v>86.0</v>
      </c>
    </row>
    <row r="459">
      <c r="A459" s="5"/>
      <c r="B459" s="5" t="s">
        <v>325</v>
      </c>
      <c r="C459" s="5"/>
      <c r="D459" s="5">
        <v>66.0</v>
      </c>
    </row>
    <row r="460">
      <c r="A460" s="5"/>
      <c r="B460" s="5" t="s">
        <v>326</v>
      </c>
      <c r="C460" s="5"/>
      <c r="D460" s="5">
        <v>0.0</v>
      </c>
    </row>
    <row r="461">
      <c r="A461" s="5"/>
      <c r="B461" s="5" t="s">
        <v>327</v>
      </c>
      <c r="C461" s="5"/>
      <c r="D461" s="5">
        <v>94.0</v>
      </c>
    </row>
    <row r="462">
      <c r="A462" s="5"/>
      <c r="B462" s="5" t="s">
        <v>328</v>
      </c>
      <c r="C462" s="5"/>
      <c r="D462" s="5">
        <v>36.0</v>
      </c>
    </row>
    <row r="463">
      <c r="A463" s="5"/>
      <c r="B463" s="5" t="s">
        <v>329</v>
      </c>
      <c r="C463" s="5"/>
      <c r="D463" s="5">
        <v>0.0</v>
      </c>
    </row>
    <row r="464">
      <c r="A464" s="5"/>
      <c r="B464" s="5" t="s">
        <v>330</v>
      </c>
      <c r="C464" s="5"/>
      <c r="D464" s="5">
        <v>0.0</v>
      </c>
    </row>
    <row r="465">
      <c r="A465" s="5"/>
      <c r="B465" s="5" t="s">
        <v>331</v>
      </c>
      <c r="C465" s="5"/>
      <c r="D465" s="5">
        <v>0.0</v>
      </c>
    </row>
    <row r="466">
      <c r="A466" s="5"/>
      <c r="B466" s="5" t="s">
        <v>332</v>
      </c>
      <c r="C466" s="5"/>
      <c r="D466" s="5">
        <v>0.0</v>
      </c>
    </row>
    <row r="467">
      <c r="A467" s="5"/>
      <c r="B467" s="5" t="s">
        <v>333</v>
      </c>
      <c r="C467" s="5"/>
      <c r="D467" s="5">
        <v>0.0</v>
      </c>
    </row>
    <row r="468">
      <c r="A468" s="5"/>
      <c r="B468" s="5" t="s">
        <v>334</v>
      </c>
      <c r="C468" s="5"/>
      <c r="D468" s="5">
        <v>0.0</v>
      </c>
    </row>
    <row r="469">
      <c r="A469" s="5"/>
      <c r="B469" s="5" t="s">
        <v>335</v>
      </c>
      <c r="C469" s="5"/>
      <c r="D469" s="5">
        <v>14.0</v>
      </c>
    </row>
    <row r="470">
      <c r="A470" s="5"/>
      <c r="B470" s="5" t="s">
        <v>336</v>
      </c>
      <c r="C470" s="5"/>
      <c r="D470" s="5">
        <v>14.0</v>
      </c>
    </row>
    <row r="471">
      <c r="A471" s="5"/>
      <c r="B471" s="5" t="s">
        <v>337</v>
      </c>
      <c r="C471" s="5"/>
      <c r="D471" s="5">
        <v>0.0</v>
      </c>
    </row>
    <row r="472">
      <c r="A472" s="5"/>
      <c r="B472" s="5" t="s">
        <v>338</v>
      </c>
      <c r="C472" s="5"/>
      <c r="D472" s="5">
        <v>55.0</v>
      </c>
    </row>
    <row r="473">
      <c r="A473" s="5"/>
      <c r="B473" s="5" t="s">
        <v>339</v>
      </c>
      <c r="C473" s="5"/>
      <c r="D473" s="5">
        <v>0.0</v>
      </c>
    </row>
    <row r="474">
      <c r="A474" s="5"/>
      <c r="B474" s="5" t="s">
        <v>340</v>
      </c>
      <c r="C474" s="5"/>
      <c r="D474" s="5">
        <v>14.0</v>
      </c>
    </row>
    <row r="475">
      <c r="A475" s="5"/>
      <c r="B475" s="5" t="s">
        <v>341</v>
      </c>
      <c r="C475" s="5"/>
      <c r="D475" s="5">
        <v>0.0</v>
      </c>
    </row>
    <row r="476">
      <c r="A476" s="5"/>
      <c r="B476" s="5" t="s">
        <v>342</v>
      </c>
      <c r="C476" s="5"/>
      <c r="D476" s="5">
        <v>0.0</v>
      </c>
    </row>
    <row r="477">
      <c r="A477" s="5"/>
      <c r="B477" s="5" t="s">
        <v>343</v>
      </c>
      <c r="C477" s="5"/>
      <c r="D477" s="5">
        <v>99.0</v>
      </c>
    </row>
    <row r="478">
      <c r="A478" s="5"/>
      <c r="B478" s="5" t="s">
        <v>344</v>
      </c>
      <c r="C478" s="5"/>
      <c r="D478" s="5">
        <v>74.0</v>
      </c>
    </row>
    <row r="479">
      <c r="A479" s="5"/>
      <c r="B479" s="5" t="s">
        <v>345</v>
      </c>
      <c r="C479" s="5"/>
      <c r="D479" s="5">
        <v>18.0</v>
      </c>
    </row>
    <row r="480">
      <c r="A480" s="5"/>
      <c r="B480" s="5" t="s">
        <v>346</v>
      </c>
      <c r="C480" s="5"/>
      <c r="D480" s="5">
        <v>0.0</v>
      </c>
    </row>
    <row r="481">
      <c r="A481" s="5"/>
      <c r="B481" s="5" t="s">
        <v>347</v>
      </c>
      <c r="C481" s="5"/>
      <c r="D481" s="5">
        <v>0.0</v>
      </c>
    </row>
    <row r="482">
      <c r="A482" s="5"/>
      <c r="B482" s="5" t="s">
        <v>348</v>
      </c>
      <c r="C482" s="5"/>
      <c r="D482" s="5">
        <v>70.0</v>
      </c>
    </row>
    <row r="483">
      <c r="A483" s="5"/>
      <c r="B483" s="5" t="s">
        <v>349</v>
      </c>
      <c r="C483" s="5"/>
      <c r="D483" s="5">
        <v>0.0</v>
      </c>
    </row>
    <row r="484">
      <c r="A484" s="5"/>
      <c r="B484" s="5" t="s">
        <v>350</v>
      </c>
      <c r="C484" s="5"/>
      <c r="D484" s="5">
        <v>0.0</v>
      </c>
    </row>
    <row r="485">
      <c r="A485" s="5"/>
      <c r="B485" s="5" t="s">
        <v>351</v>
      </c>
      <c r="C485" s="5"/>
      <c r="D485" s="5">
        <v>44.0</v>
      </c>
    </row>
    <row r="486">
      <c r="A486" s="5"/>
      <c r="B486" s="5" t="s">
        <v>352</v>
      </c>
      <c r="C486" s="5"/>
      <c r="D486" s="5">
        <v>50.0</v>
      </c>
    </row>
    <row r="487">
      <c r="A487" s="5"/>
      <c r="B487" s="5" t="s">
        <v>353</v>
      </c>
      <c r="C487" s="5"/>
      <c r="D487" s="5">
        <v>0.0</v>
      </c>
    </row>
    <row r="488">
      <c r="A488" s="5"/>
      <c r="B488" s="5" t="s">
        <v>354</v>
      </c>
      <c r="C488" s="5"/>
      <c r="D488" s="5">
        <v>72.0</v>
      </c>
    </row>
    <row r="489">
      <c r="A489" s="5"/>
      <c r="B489" s="5" t="s">
        <v>355</v>
      </c>
      <c r="C489" s="5"/>
      <c r="D489" s="5">
        <v>6.0</v>
      </c>
    </row>
    <row r="490">
      <c r="A490" s="5"/>
      <c r="B490" s="5" t="s">
        <v>356</v>
      </c>
      <c r="C490" s="5"/>
      <c r="D490" s="5">
        <v>0.0</v>
      </c>
    </row>
    <row r="491">
      <c r="A491" s="5"/>
      <c r="B491" s="5" t="s">
        <v>357</v>
      </c>
      <c r="C491" s="5"/>
      <c r="D491" s="5">
        <v>0.0</v>
      </c>
    </row>
    <row r="492">
      <c r="A492" s="5"/>
      <c r="B492" s="5" t="s">
        <v>358</v>
      </c>
      <c r="C492" s="5"/>
      <c r="D492" s="5">
        <v>71.0</v>
      </c>
    </row>
    <row r="493">
      <c r="A493" s="5"/>
      <c r="B493" s="5" t="s">
        <v>359</v>
      </c>
      <c r="C493" s="5"/>
      <c r="D493" s="5">
        <v>25.0</v>
      </c>
    </row>
    <row r="494">
      <c r="A494" s="5"/>
      <c r="B494" s="5" t="s">
        <v>290</v>
      </c>
      <c r="C494" s="5"/>
      <c r="D494" s="5">
        <v>75.0</v>
      </c>
    </row>
    <row r="495">
      <c r="A495" s="5"/>
      <c r="B495" s="5" t="s">
        <v>291</v>
      </c>
      <c r="C495" s="5"/>
      <c r="D495" s="5">
        <v>0.0</v>
      </c>
    </row>
    <row r="496">
      <c r="A496" s="5"/>
      <c r="B496" s="5" t="s">
        <v>292</v>
      </c>
      <c r="C496" s="5"/>
      <c r="D496" s="5">
        <v>0.0</v>
      </c>
    </row>
    <row r="497">
      <c r="A497" s="5"/>
      <c r="B497" s="5" t="s">
        <v>293</v>
      </c>
      <c r="C497" s="5"/>
      <c r="D497" s="5">
        <v>30.0</v>
      </c>
    </row>
    <row r="498">
      <c r="A498" s="5"/>
      <c r="B498" s="5" t="s">
        <v>294</v>
      </c>
      <c r="C498" s="5"/>
      <c r="D498" s="5">
        <v>39.0</v>
      </c>
    </row>
    <row r="499">
      <c r="A499" s="5"/>
      <c r="B499" s="5" t="s">
        <v>295</v>
      </c>
      <c r="C499" s="5"/>
      <c r="D499" s="5">
        <v>50.0</v>
      </c>
    </row>
    <row r="500">
      <c r="A500" s="5"/>
      <c r="B500" s="5" t="s">
        <v>296</v>
      </c>
      <c r="C500" s="5"/>
      <c r="D500" s="5">
        <v>0.0</v>
      </c>
    </row>
    <row r="501">
      <c r="A501" s="5"/>
      <c r="B501" s="5" t="s">
        <v>297</v>
      </c>
      <c r="C501" s="5"/>
      <c r="D501" s="5">
        <v>0.0</v>
      </c>
    </row>
    <row r="502">
      <c r="A502" s="5"/>
      <c r="B502" s="5" t="s">
        <v>298</v>
      </c>
      <c r="C502" s="5"/>
      <c r="D502" s="5">
        <v>62.0</v>
      </c>
    </row>
    <row r="503">
      <c r="A503" s="5"/>
      <c r="B503" s="5" t="s">
        <v>299</v>
      </c>
      <c r="C503" s="5"/>
      <c r="D503" s="5">
        <v>0.0</v>
      </c>
    </row>
    <row r="504">
      <c r="A504" s="5"/>
      <c r="B504" s="5" t="s">
        <v>300</v>
      </c>
      <c r="C504" s="5"/>
      <c r="D504" s="5">
        <v>50.0</v>
      </c>
    </row>
    <row r="505">
      <c r="A505" s="5"/>
      <c r="B505" s="5" t="s">
        <v>301</v>
      </c>
      <c r="C505" s="5"/>
      <c r="D505" s="5">
        <v>0.0</v>
      </c>
    </row>
    <row r="506">
      <c r="A506" s="5"/>
      <c r="B506" s="5" t="s">
        <v>302</v>
      </c>
      <c r="C506" s="5"/>
      <c r="D506" s="5">
        <v>0.0</v>
      </c>
    </row>
    <row r="507">
      <c r="A507" s="5"/>
      <c r="B507" s="5" t="s">
        <v>303</v>
      </c>
      <c r="C507" s="5"/>
      <c r="D507" s="5">
        <v>96.0</v>
      </c>
    </row>
    <row r="508">
      <c r="A508" s="5"/>
      <c r="B508" s="5" t="s">
        <v>304</v>
      </c>
      <c r="C508" s="5"/>
      <c r="D508" s="5">
        <v>57.0</v>
      </c>
    </row>
    <row r="509">
      <c r="A509" s="5"/>
      <c r="B509" s="5" t="s">
        <v>305</v>
      </c>
      <c r="C509" s="5"/>
      <c r="D509" s="5">
        <v>0.0</v>
      </c>
    </row>
    <row r="510">
      <c r="A510" s="5"/>
      <c r="B510" s="5" t="s">
        <v>306</v>
      </c>
      <c r="C510" s="5"/>
      <c r="D510" s="5">
        <v>34.0</v>
      </c>
    </row>
    <row r="511">
      <c r="A511" s="5"/>
      <c r="B511" s="5" t="s">
        <v>307</v>
      </c>
      <c r="C511" s="5"/>
      <c r="D511" s="5">
        <v>68.0</v>
      </c>
    </row>
    <row r="512">
      <c r="A512" s="5"/>
      <c r="B512" s="5" t="s">
        <v>308</v>
      </c>
      <c r="C512" s="5"/>
      <c r="D512" s="5">
        <v>78.0</v>
      </c>
    </row>
    <row r="513">
      <c r="A513" s="5"/>
      <c r="B513" s="5" t="s">
        <v>309</v>
      </c>
      <c r="C513" s="5"/>
    </row>
    <row r="514">
      <c r="A514" s="5"/>
      <c r="B514" s="5" t="s">
        <v>310</v>
      </c>
      <c r="C514" s="5"/>
      <c r="D514" s="5">
        <v>12.0</v>
      </c>
    </row>
    <row r="515">
      <c r="A515" s="5"/>
      <c r="B515" s="5" t="s">
        <v>311</v>
      </c>
      <c r="C515" s="5"/>
    </row>
    <row r="516">
      <c r="A516" s="5"/>
      <c r="B516" s="5" t="s">
        <v>312</v>
      </c>
      <c r="C516" s="5"/>
      <c r="D516" s="5">
        <v>0.0</v>
      </c>
    </row>
    <row r="517">
      <c r="A517" s="5"/>
      <c r="B517" s="5" t="s">
        <v>313</v>
      </c>
      <c r="C517" s="5"/>
      <c r="D517" s="5">
        <v>82.0</v>
      </c>
    </row>
    <row r="518">
      <c r="A518" s="5"/>
      <c r="B518" s="5" t="s">
        <v>314</v>
      </c>
      <c r="C518" s="5"/>
      <c r="D518" s="5">
        <v>0.0</v>
      </c>
    </row>
    <row r="519">
      <c r="A519" s="5"/>
      <c r="B519" s="5" t="s">
        <v>315</v>
      </c>
      <c r="C519" s="5"/>
      <c r="D519" s="5">
        <v>0.0</v>
      </c>
    </row>
    <row r="520">
      <c r="A520" s="5"/>
      <c r="B520" s="5" t="s">
        <v>316</v>
      </c>
      <c r="C520" s="5"/>
      <c r="D520" s="5">
        <v>0.0</v>
      </c>
    </row>
    <row r="521">
      <c r="A521" s="5"/>
      <c r="B521" s="5" t="s">
        <v>317</v>
      </c>
      <c r="C521" s="5"/>
      <c r="D521" s="5">
        <v>0.0</v>
      </c>
    </row>
    <row r="522">
      <c r="A522" s="5"/>
      <c r="B522" s="5" t="s">
        <v>318</v>
      </c>
      <c r="C522" s="5"/>
      <c r="D522" s="5">
        <v>8.0</v>
      </c>
    </row>
    <row r="523">
      <c r="A523" s="5"/>
      <c r="B523" s="5" t="s">
        <v>319</v>
      </c>
      <c r="C523" s="5"/>
      <c r="D523" s="5">
        <v>0.0</v>
      </c>
    </row>
    <row r="524">
      <c r="A524" s="5"/>
      <c r="B524" s="5" t="s">
        <v>320</v>
      </c>
      <c r="C524" s="5"/>
      <c r="D524" s="5">
        <v>0.0</v>
      </c>
    </row>
    <row r="525">
      <c r="A525" s="5"/>
      <c r="B525" s="5" t="s">
        <v>321</v>
      </c>
      <c r="C525" s="5"/>
      <c r="D525" s="5">
        <v>0.0</v>
      </c>
    </row>
    <row r="526">
      <c r="A526" s="5"/>
      <c r="B526" s="5" t="s">
        <v>322</v>
      </c>
      <c r="C526" s="5"/>
      <c r="D526" s="5">
        <v>14.0</v>
      </c>
    </row>
    <row r="527">
      <c r="A527" s="5"/>
      <c r="B527" s="5" t="s">
        <v>323</v>
      </c>
      <c r="C527" s="5"/>
      <c r="D527" s="5">
        <v>0.0</v>
      </c>
    </row>
    <row r="528">
      <c r="A528" s="5"/>
      <c r="B528" s="5" t="s">
        <v>324</v>
      </c>
      <c r="C528" s="5"/>
      <c r="D528" s="5">
        <v>86.0</v>
      </c>
    </row>
    <row r="529">
      <c r="A529" s="5"/>
      <c r="B529" s="5" t="s">
        <v>325</v>
      </c>
      <c r="C529" s="5"/>
      <c r="D529" s="5">
        <v>66.0</v>
      </c>
    </row>
    <row r="530">
      <c r="A530" s="5"/>
      <c r="B530" s="5" t="s">
        <v>326</v>
      </c>
      <c r="C530" s="5"/>
      <c r="D530" s="5">
        <v>0.0</v>
      </c>
    </row>
    <row r="531">
      <c r="A531" s="5"/>
      <c r="B531" s="5" t="s">
        <v>327</v>
      </c>
      <c r="C531" s="5"/>
      <c r="D531" s="5">
        <v>94.0</v>
      </c>
    </row>
    <row r="532">
      <c r="A532" s="5"/>
      <c r="B532" s="5" t="s">
        <v>328</v>
      </c>
      <c r="C532" s="5"/>
      <c r="D532" s="5">
        <v>36.0</v>
      </c>
    </row>
    <row r="533">
      <c r="A533" s="5"/>
      <c r="B533" s="5" t="s">
        <v>329</v>
      </c>
      <c r="C533" s="5"/>
      <c r="D533" s="5">
        <v>0.0</v>
      </c>
    </row>
    <row r="534">
      <c r="A534" s="5"/>
      <c r="B534" s="5" t="s">
        <v>330</v>
      </c>
      <c r="C534" s="5"/>
      <c r="D534" s="5">
        <v>0.0</v>
      </c>
    </row>
    <row r="535">
      <c r="A535" s="5"/>
      <c r="B535" s="5" t="s">
        <v>331</v>
      </c>
      <c r="C535" s="5"/>
      <c r="D535" s="5">
        <v>0.0</v>
      </c>
    </row>
    <row r="536">
      <c r="A536" s="5"/>
      <c r="B536" s="5" t="s">
        <v>332</v>
      </c>
      <c r="C536" s="5"/>
      <c r="D536" s="5">
        <v>0.0</v>
      </c>
    </row>
    <row r="537">
      <c r="A537" s="5"/>
      <c r="B537" s="5" t="s">
        <v>333</v>
      </c>
      <c r="C537" s="5"/>
      <c r="D537" s="5">
        <v>0.0</v>
      </c>
    </row>
    <row r="538">
      <c r="A538" s="5"/>
      <c r="B538" s="5" t="s">
        <v>334</v>
      </c>
      <c r="C538" s="5"/>
      <c r="D538" s="5">
        <v>0.0</v>
      </c>
    </row>
    <row r="539">
      <c r="A539" s="5"/>
      <c r="B539" s="5" t="s">
        <v>335</v>
      </c>
      <c r="C539" s="5"/>
      <c r="D539" s="5">
        <v>14.0</v>
      </c>
    </row>
    <row r="540">
      <c r="A540" s="5"/>
      <c r="B540" s="5" t="s">
        <v>336</v>
      </c>
      <c r="C540" s="5"/>
      <c r="D540" s="5">
        <v>14.0</v>
      </c>
    </row>
    <row r="541">
      <c r="A541" s="5"/>
      <c r="B541" s="5" t="s">
        <v>337</v>
      </c>
      <c r="C541" s="5"/>
      <c r="D541" s="5">
        <v>0.0</v>
      </c>
    </row>
    <row r="542">
      <c r="A542" s="5"/>
      <c r="B542" s="5" t="s">
        <v>338</v>
      </c>
      <c r="C542" s="5"/>
      <c r="D542" s="5">
        <v>55.0</v>
      </c>
    </row>
    <row r="543">
      <c r="A543" s="5"/>
      <c r="B543" s="5" t="s">
        <v>339</v>
      </c>
      <c r="C543" s="5"/>
      <c r="D543" s="5">
        <v>0.0</v>
      </c>
    </row>
    <row r="544">
      <c r="A544" s="5"/>
      <c r="B544" s="5" t="s">
        <v>340</v>
      </c>
      <c r="C544" s="5"/>
      <c r="D544" s="5">
        <v>14.0</v>
      </c>
    </row>
    <row r="545">
      <c r="A545" s="5"/>
      <c r="B545" s="5" t="s">
        <v>341</v>
      </c>
      <c r="C545" s="5"/>
      <c r="D545" s="5">
        <v>0.0</v>
      </c>
    </row>
    <row r="546">
      <c r="A546" s="5"/>
      <c r="B546" s="5" t="s">
        <v>342</v>
      </c>
      <c r="C546" s="5"/>
      <c r="D546" s="5">
        <v>0.0</v>
      </c>
    </row>
    <row r="547">
      <c r="A547" s="5"/>
      <c r="B547" s="5" t="s">
        <v>343</v>
      </c>
      <c r="C547" s="5"/>
      <c r="D547" s="5">
        <v>99.0</v>
      </c>
    </row>
    <row r="548">
      <c r="A548" s="5"/>
      <c r="B548" s="5" t="s">
        <v>344</v>
      </c>
      <c r="C548" s="5"/>
      <c r="D548" s="5">
        <v>74.0</v>
      </c>
    </row>
    <row r="549">
      <c r="A549" s="5"/>
      <c r="B549" s="5" t="s">
        <v>345</v>
      </c>
      <c r="C549" s="5"/>
      <c r="D549" s="5">
        <v>18.0</v>
      </c>
    </row>
    <row r="550">
      <c r="A550" s="5"/>
      <c r="B550" s="5" t="s">
        <v>346</v>
      </c>
      <c r="C550" s="5"/>
      <c r="D550" s="5">
        <v>0.0</v>
      </c>
    </row>
    <row r="551">
      <c r="A551" s="5"/>
      <c r="B551" s="5" t="s">
        <v>347</v>
      </c>
      <c r="C551" s="5"/>
      <c r="D551" s="5">
        <v>0.0</v>
      </c>
    </row>
    <row r="552">
      <c r="A552" s="5"/>
      <c r="B552" s="5" t="s">
        <v>348</v>
      </c>
      <c r="C552" s="5"/>
      <c r="D552" s="5">
        <v>70.0</v>
      </c>
    </row>
    <row r="553">
      <c r="A553" s="5"/>
      <c r="B553" s="5" t="s">
        <v>349</v>
      </c>
      <c r="C553" s="5"/>
      <c r="D553" s="5">
        <v>0.0</v>
      </c>
    </row>
    <row r="554">
      <c r="A554" s="5"/>
      <c r="B554" s="5" t="s">
        <v>350</v>
      </c>
      <c r="C554" s="5"/>
      <c r="D554" s="5">
        <v>0.0</v>
      </c>
    </row>
    <row r="555">
      <c r="A555" s="5"/>
      <c r="B555" s="5" t="s">
        <v>351</v>
      </c>
      <c r="C555" s="5"/>
      <c r="D555" s="5">
        <v>44.0</v>
      </c>
    </row>
    <row r="556">
      <c r="A556" s="5"/>
      <c r="B556" s="5" t="s">
        <v>352</v>
      </c>
      <c r="C556" s="5"/>
      <c r="D556" s="5">
        <v>50.0</v>
      </c>
    </row>
    <row r="557">
      <c r="A557" s="5"/>
      <c r="B557" s="5" t="s">
        <v>353</v>
      </c>
      <c r="C557" s="5"/>
      <c r="D557" s="5">
        <v>0.0</v>
      </c>
    </row>
    <row r="558">
      <c r="A558" s="5"/>
      <c r="B558" s="5" t="s">
        <v>354</v>
      </c>
      <c r="C558" s="5"/>
      <c r="D558" s="5">
        <v>72.0</v>
      </c>
    </row>
    <row r="559">
      <c r="A559" s="5"/>
      <c r="B559" s="5" t="s">
        <v>355</v>
      </c>
      <c r="C559" s="5"/>
      <c r="D559" s="5">
        <v>6.0</v>
      </c>
    </row>
    <row r="560">
      <c r="A560" s="5"/>
      <c r="B560" s="5" t="s">
        <v>356</v>
      </c>
      <c r="C560" s="5"/>
      <c r="D560" s="5">
        <v>0.0</v>
      </c>
    </row>
    <row r="561">
      <c r="A561" s="5"/>
      <c r="B561" s="5" t="s">
        <v>357</v>
      </c>
      <c r="C561" s="5"/>
      <c r="D561" s="5">
        <v>0.0</v>
      </c>
    </row>
    <row r="562">
      <c r="A562" s="5"/>
      <c r="B562" s="5" t="s">
        <v>358</v>
      </c>
      <c r="C562" s="5"/>
      <c r="D562" s="5">
        <v>71.0</v>
      </c>
    </row>
    <row r="563">
      <c r="A563" s="5"/>
      <c r="B563" s="5" t="s">
        <v>359</v>
      </c>
      <c r="C563" s="5"/>
      <c r="D563" s="5">
        <v>25.0</v>
      </c>
    </row>
    <row r="564">
      <c r="A564" s="5"/>
      <c r="B564" s="5" t="s">
        <v>360</v>
      </c>
      <c r="C564" s="5"/>
      <c r="D564" s="5">
        <v>5.0</v>
      </c>
    </row>
    <row r="565">
      <c r="A565" s="5"/>
      <c r="B565" s="5" t="s">
        <v>361</v>
      </c>
      <c r="C565" s="5"/>
      <c r="D565" s="5">
        <v>0.0</v>
      </c>
    </row>
    <row r="566">
      <c r="A566" s="5"/>
      <c r="B566" s="5" t="s">
        <v>362</v>
      </c>
      <c r="C566" s="5"/>
      <c r="D566" s="5">
        <v>0.0</v>
      </c>
    </row>
    <row r="567">
      <c r="A567" s="5"/>
      <c r="B567" s="5" t="s">
        <v>363</v>
      </c>
      <c r="C567" s="5"/>
      <c r="D567" s="5">
        <v>0.0</v>
      </c>
    </row>
    <row r="568">
      <c r="A568" s="5"/>
      <c r="B568" s="5" t="s">
        <v>364</v>
      </c>
      <c r="C568" s="5"/>
      <c r="D568" s="5">
        <v>92.0</v>
      </c>
    </row>
    <row r="569">
      <c r="A569" s="5"/>
      <c r="B569" s="5" t="s">
        <v>365</v>
      </c>
      <c r="C569" s="5"/>
      <c r="D569" s="5">
        <v>0.0</v>
      </c>
    </row>
    <row r="570">
      <c r="A570" s="5"/>
      <c r="B570" s="5" t="s">
        <v>366</v>
      </c>
      <c r="C570" s="5"/>
      <c r="D570" s="5">
        <v>0.0</v>
      </c>
    </row>
    <row r="571">
      <c r="A571" s="5"/>
      <c r="B571" s="5" t="s">
        <v>367</v>
      </c>
      <c r="C571" s="5"/>
      <c r="D571" s="5">
        <v>0.0</v>
      </c>
    </row>
    <row r="572">
      <c r="A572" s="5"/>
      <c r="B572" s="5" t="s">
        <v>368</v>
      </c>
      <c r="C572" s="5"/>
      <c r="D572" s="5">
        <v>80.0</v>
      </c>
    </row>
    <row r="573">
      <c r="A573" s="5"/>
      <c r="B573" s="5" t="s">
        <v>369</v>
      </c>
      <c r="C573" s="5"/>
      <c r="D573" s="5">
        <v>0.0</v>
      </c>
    </row>
    <row r="574">
      <c r="A574" s="5"/>
      <c r="B574" s="5" t="s">
        <v>370</v>
      </c>
      <c r="C574" s="5"/>
      <c r="D574" s="5">
        <v>0.0</v>
      </c>
    </row>
    <row r="575">
      <c r="A575" s="5"/>
      <c r="B575" s="5" t="s">
        <v>371</v>
      </c>
      <c r="C575" s="5"/>
      <c r="D575" s="5">
        <v>52.0</v>
      </c>
    </row>
    <row r="576">
      <c r="A576" s="5"/>
      <c r="B576" s="5" t="s">
        <v>372</v>
      </c>
      <c r="C576" s="5"/>
      <c r="D576" s="5">
        <v>0.0</v>
      </c>
    </row>
    <row r="577">
      <c r="A577" s="5"/>
      <c r="B577" s="5" t="s">
        <v>373</v>
      </c>
      <c r="C577" s="5"/>
      <c r="D577" s="5">
        <v>0.0</v>
      </c>
    </row>
    <row r="578">
      <c r="A578" s="5"/>
      <c r="B578" s="5" t="s">
        <v>374</v>
      </c>
      <c r="C578" s="5"/>
      <c r="D578" s="5">
        <v>6.0</v>
      </c>
    </row>
    <row r="579">
      <c r="A579" s="5"/>
      <c r="B579" s="5" t="s">
        <v>375</v>
      </c>
      <c r="C579" s="5"/>
      <c r="D579" s="5">
        <v>35.0</v>
      </c>
    </row>
    <row r="580">
      <c r="A580" s="5"/>
      <c r="B580" s="5" t="s">
        <v>376</v>
      </c>
      <c r="C580" s="5"/>
      <c r="D580" s="5">
        <v>40.0</v>
      </c>
    </row>
    <row r="581">
      <c r="A581" s="5"/>
      <c r="B581" s="5" t="s">
        <v>377</v>
      </c>
      <c r="C581" s="5"/>
      <c r="D581" s="5">
        <v>75.0</v>
      </c>
    </row>
    <row r="582">
      <c r="A582" s="5"/>
      <c r="B582" s="5" t="s">
        <v>378</v>
      </c>
      <c r="C582" s="5"/>
      <c r="D582" s="5">
        <v>62.0</v>
      </c>
    </row>
    <row r="583">
      <c r="A583" s="5"/>
      <c r="B583" s="5" t="s">
        <v>379</v>
      </c>
      <c r="C583" s="5"/>
      <c r="D583" s="5">
        <v>0.0</v>
      </c>
    </row>
    <row r="584">
      <c r="A584" s="5"/>
      <c r="B584" s="5" t="s">
        <v>380</v>
      </c>
      <c r="C584" s="5"/>
      <c r="D584" s="5">
        <v>0.0</v>
      </c>
    </row>
    <row r="585">
      <c r="A585" s="5"/>
      <c r="B585" s="5" t="s">
        <v>381</v>
      </c>
      <c r="C585" s="5"/>
      <c r="D585" s="5">
        <v>14.0</v>
      </c>
    </row>
    <row r="586">
      <c r="A586" s="5"/>
      <c r="B586" s="5" t="s">
        <v>382</v>
      </c>
      <c r="C586" s="5"/>
      <c r="D586" s="5">
        <v>0.0</v>
      </c>
    </row>
    <row r="587">
      <c r="A587" s="5"/>
      <c r="B587" s="5" t="s">
        <v>383</v>
      </c>
      <c r="C587" s="5"/>
      <c r="D587" s="5">
        <v>0.0</v>
      </c>
    </row>
    <row r="588">
      <c r="A588" s="5"/>
      <c r="B588" s="5" t="s">
        <v>384</v>
      </c>
      <c r="C588" s="5"/>
      <c r="D588" s="5">
        <v>0.0</v>
      </c>
    </row>
    <row r="589">
      <c r="A589" s="5"/>
      <c r="B589" s="5" t="s">
        <v>385</v>
      </c>
      <c r="C589" s="5"/>
      <c r="D589" s="5">
        <v>20.0</v>
      </c>
    </row>
    <row r="590">
      <c r="A590" s="5"/>
      <c r="B590" s="5" t="s">
        <v>386</v>
      </c>
      <c r="C590" s="5"/>
      <c r="D590" s="5">
        <v>0.0</v>
      </c>
    </row>
    <row r="591">
      <c r="A591" s="5"/>
      <c r="B591" s="5" t="s">
        <v>387</v>
      </c>
      <c r="C591" s="5"/>
      <c r="D591" s="5">
        <v>0.0</v>
      </c>
    </row>
    <row r="592">
      <c r="A592" s="5"/>
      <c r="B592" s="5" t="s">
        <v>388</v>
      </c>
      <c r="C592" s="5"/>
      <c r="D592" s="5" t="s">
        <v>389</v>
      </c>
      <c r="E592" s="5">
        <v>37.0</v>
      </c>
    </row>
    <row r="593">
      <c r="A593" s="5"/>
      <c r="B593" s="5" t="s">
        <v>390</v>
      </c>
      <c r="C593" s="5"/>
      <c r="D593" s="5">
        <v>0.0</v>
      </c>
    </row>
    <row r="594">
      <c r="A594" s="5"/>
      <c r="B594" s="5" t="s">
        <v>391</v>
      </c>
      <c r="C594" s="5"/>
      <c r="D594" s="5">
        <v>40.0</v>
      </c>
    </row>
    <row r="595">
      <c r="A595" s="5"/>
      <c r="B595" s="5" t="s">
        <v>392</v>
      </c>
      <c r="C595" s="5"/>
      <c r="D595" s="5">
        <v>45.0</v>
      </c>
    </row>
    <row r="596">
      <c r="A596" s="5"/>
      <c r="B596" s="5" t="s">
        <v>393</v>
      </c>
      <c r="C596" s="5"/>
      <c r="D596" s="5">
        <v>0.0</v>
      </c>
    </row>
    <row r="597">
      <c r="A597" s="5"/>
      <c r="B597" s="5" t="s">
        <v>394</v>
      </c>
      <c r="C597" s="5"/>
      <c r="D597" s="5">
        <v>0.0</v>
      </c>
    </row>
    <row r="598">
      <c r="A598" s="5"/>
      <c r="B598" s="5" t="s">
        <v>395</v>
      </c>
      <c r="C598" s="5"/>
      <c r="D598" s="5">
        <v>0.0</v>
      </c>
    </row>
    <row r="599">
      <c r="A599" s="5"/>
      <c r="B599" s="5" t="s">
        <v>396</v>
      </c>
      <c r="C599" s="5"/>
      <c r="D599" s="5">
        <v>0.0</v>
      </c>
    </row>
    <row r="600">
      <c r="A600" s="5"/>
      <c r="B600" s="5" t="s">
        <v>397</v>
      </c>
      <c r="C600" s="5"/>
      <c r="D600" s="5">
        <v>40.0</v>
      </c>
    </row>
    <row r="601">
      <c r="A601" s="5"/>
      <c r="B601" s="5" t="s">
        <v>398</v>
      </c>
      <c r="C601" s="5"/>
      <c r="D601" s="5">
        <v>0.0</v>
      </c>
    </row>
    <row r="602">
      <c r="A602" s="5"/>
      <c r="B602" s="5" t="s">
        <v>399</v>
      </c>
      <c r="C602" s="5"/>
      <c r="D602" s="5" t="s">
        <v>400</v>
      </c>
      <c r="E602" s="5">
        <v>0.0</v>
      </c>
    </row>
    <row r="603">
      <c r="A603" s="5"/>
      <c r="B603" s="5" t="s">
        <v>401</v>
      </c>
      <c r="C603" s="5"/>
      <c r="D603" s="5">
        <v>0.0</v>
      </c>
    </row>
    <row r="604">
      <c r="A604" s="5"/>
      <c r="B604" s="5" t="s">
        <v>402</v>
      </c>
      <c r="C604" s="5"/>
      <c r="D604" s="5">
        <v>50.0</v>
      </c>
    </row>
    <row r="605">
      <c r="A605" s="5"/>
      <c r="B605" s="5" t="s">
        <v>403</v>
      </c>
      <c r="C605" s="5"/>
      <c r="D605" s="5">
        <v>0.0</v>
      </c>
    </row>
    <row r="606">
      <c r="A606" s="5"/>
      <c r="B606" s="5" t="s">
        <v>404</v>
      </c>
      <c r="C606" s="5"/>
      <c r="D606" s="5">
        <v>0.0</v>
      </c>
    </row>
    <row r="607">
      <c r="A607" s="5"/>
      <c r="B607" s="5" t="s">
        <v>405</v>
      </c>
      <c r="C607" s="5"/>
      <c r="D607" s="5">
        <v>0.0</v>
      </c>
    </row>
    <row r="608">
      <c r="A608" s="5"/>
      <c r="B608" s="5" t="s">
        <v>406</v>
      </c>
      <c r="C608" s="5"/>
      <c r="D608" s="5">
        <v>0.0</v>
      </c>
    </row>
    <row r="609">
      <c r="A609" s="5"/>
      <c r="B609" s="5" t="s">
        <v>407</v>
      </c>
      <c r="C609" s="5"/>
      <c r="D609" s="5">
        <v>0.0</v>
      </c>
    </row>
    <row r="610">
      <c r="A610" s="5"/>
      <c r="B610" s="5" t="s">
        <v>408</v>
      </c>
      <c r="C610" s="5"/>
      <c r="D610" s="5">
        <v>0.0</v>
      </c>
    </row>
    <row r="611">
      <c r="A611" s="5"/>
      <c r="B611" s="5" t="s">
        <v>409</v>
      </c>
      <c r="C611" s="5"/>
      <c r="D611" s="5">
        <v>0.0</v>
      </c>
    </row>
    <row r="612">
      <c r="A612" s="5"/>
      <c r="B612" s="5" t="s">
        <v>410</v>
      </c>
      <c r="C612" s="5"/>
      <c r="D612" s="5">
        <v>70.0</v>
      </c>
    </row>
    <row r="613">
      <c r="A613" s="5"/>
      <c r="B613" s="5" t="s">
        <v>411</v>
      </c>
      <c r="C613" s="5"/>
      <c r="D613" s="5">
        <v>0.0</v>
      </c>
    </row>
    <row r="614">
      <c r="A614" s="5"/>
      <c r="B614" s="5" t="s">
        <v>412</v>
      </c>
      <c r="C614" s="5"/>
      <c r="D614" s="5">
        <v>58.0</v>
      </c>
    </row>
    <row r="615">
      <c r="A615" s="5"/>
      <c r="B615" s="5" t="s">
        <v>413</v>
      </c>
      <c r="C615" s="5"/>
      <c r="D615" s="5">
        <v>70.0</v>
      </c>
    </row>
    <row r="616">
      <c r="A616" s="5"/>
      <c r="B616" s="5" t="s">
        <v>414</v>
      </c>
      <c r="C616" s="5"/>
      <c r="D616" s="5">
        <v>0.0</v>
      </c>
    </row>
    <row r="617">
      <c r="A617" s="5"/>
      <c r="B617" s="5" t="s">
        <v>415</v>
      </c>
      <c r="C617" s="5"/>
      <c r="D617" s="5">
        <v>0.0</v>
      </c>
    </row>
    <row r="618">
      <c r="A618" s="5"/>
      <c r="B618" s="5" t="s">
        <v>416</v>
      </c>
      <c r="C618" s="5"/>
      <c r="D618" s="5">
        <v>21.0</v>
      </c>
    </row>
    <row r="619">
      <c r="A619" s="5"/>
      <c r="B619" s="5" t="s">
        <v>417</v>
      </c>
      <c r="C619" s="5"/>
      <c r="D619" s="5">
        <v>0.0</v>
      </c>
    </row>
    <row r="620">
      <c r="A620" s="5"/>
      <c r="B620" s="5" t="s">
        <v>418</v>
      </c>
      <c r="C620" s="5"/>
      <c r="D620" s="5">
        <v>0.0</v>
      </c>
    </row>
    <row r="621">
      <c r="A621" s="5"/>
      <c r="B621" s="5" t="s">
        <v>419</v>
      </c>
      <c r="C621" s="5"/>
      <c r="D621" s="5">
        <v>0.0</v>
      </c>
    </row>
    <row r="622">
      <c r="A622" s="5"/>
      <c r="B622" s="5" t="s">
        <v>420</v>
      </c>
      <c r="C622" s="5"/>
      <c r="D622" s="5">
        <v>0.0</v>
      </c>
    </row>
    <row r="623">
      <c r="A623" s="5"/>
      <c r="B623" s="5" t="s">
        <v>421</v>
      </c>
      <c r="C623" s="5"/>
      <c r="D623" s="5">
        <v>0.0</v>
      </c>
    </row>
    <row r="624">
      <c r="A624" s="5"/>
      <c r="B624" s="5" t="s">
        <v>422</v>
      </c>
      <c r="C624" s="5"/>
      <c r="D624" s="5">
        <v>0.0</v>
      </c>
    </row>
    <row r="625">
      <c r="A625" s="5"/>
      <c r="B625" s="5" t="s">
        <v>423</v>
      </c>
      <c r="C625" s="5"/>
      <c r="D625" s="5">
        <v>0.0</v>
      </c>
    </row>
    <row r="626">
      <c r="A626" s="5"/>
      <c r="B626" s="5" t="s">
        <v>424</v>
      </c>
      <c r="C626" s="5"/>
      <c r="D626" s="5">
        <v>0.0</v>
      </c>
    </row>
    <row r="627">
      <c r="A627" s="5"/>
      <c r="B627" s="5" t="s">
        <v>425</v>
      </c>
      <c r="C627" s="5"/>
      <c r="D627" s="5">
        <v>0.0</v>
      </c>
    </row>
    <row r="628">
      <c r="A628" s="5"/>
      <c r="B628" s="5" t="s">
        <v>426</v>
      </c>
      <c r="C628" s="5"/>
      <c r="D628" s="5">
        <v>0.0</v>
      </c>
    </row>
    <row r="629">
      <c r="A629" s="5"/>
      <c r="B629" s="5" t="s">
        <v>427</v>
      </c>
      <c r="C629" s="5"/>
      <c r="D629" s="5">
        <v>0.0</v>
      </c>
    </row>
    <row r="630">
      <c r="A630" s="5"/>
      <c r="B630" s="5" t="s">
        <v>428</v>
      </c>
      <c r="C630" s="5"/>
      <c r="D630" s="5">
        <v>0.0</v>
      </c>
    </row>
    <row r="631">
      <c r="A631" s="5"/>
      <c r="B631" s="5" t="s">
        <v>429</v>
      </c>
      <c r="C631" s="5"/>
      <c r="D631" s="5">
        <v>50.0</v>
      </c>
    </row>
    <row r="632">
      <c r="A632" s="5"/>
      <c r="B632" s="5" t="s">
        <v>430</v>
      </c>
      <c r="C632" s="5"/>
      <c r="D632" s="5">
        <v>0.0</v>
      </c>
    </row>
    <row r="633">
      <c r="A633" s="5"/>
      <c r="B633" s="5" t="s">
        <v>360</v>
      </c>
      <c r="C633" s="5"/>
      <c r="D633" s="5">
        <v>5.0</v>
      </c>
    </row>
    <row r="634">
      <c r="A634" s="5"/>
      <c r="B634" s="5" t="s">
        <v>361</v>
      </c>
      <c r="C634" s="5"/>
      <c r="D634" s="5">
        <v>0.0</v>
      </c>
    </row>
    <row r="635">
      <c r="A635" s="5"/>
      <c r="B635" s="5" t="s">
        <v>362</v>
      </c>
      <c r="C635" s="5"/>
      <c r="D635" s="5">
        <v>0.0</v>
      </c>
    </row>
    <row r="636">
      <c r="A636" s="5"/>
      <c r="B636" s="5" t="s">
        <v>363</v>
      </c>
      <c r="C636" s="5"/>
      <c r="D636" s="5">
        <v>0.0</v>
      </c>
    </row>
    <row r="637">
      <c r="A637" s="5"/>
      <c r="B637" s="5" t="s">
        <v>364</v>
      </c>
      <c r="C637" s="5"/>
      <c r="D637" s="5">
        <v>92.0</v>
      </c>
    </row>
    <row r="638">
      <c r="A638" s="5"/>
      <c r="B638" s="5" t="s">
        <v>365</v>
      </c>
      <c r="C638" s="5"/>
      <c r="D638" s="5">
        <v>0.0</v>
      </c>
    </row>
    <row r="639">
      <c r="A639" s="5"/>
      <c r="B639" s="5" t="s">
        <v>366</v>
      </c>
      <c r="C639" s="5"/>
      <c r="D639" s="5">
        <v>0.0</v>
      </c>
    </row>
    <row r="640">
      <c r="A640" s="5"/>
      <c r="B640" s="5" t="s">
        <v>367</v>
      </c>
      <c r="C640" s="5"/>
      <c r="D640" s="5">
        <v>0.0</v>
      </c>
    </row>
    <row r="641">
      <c r="A641" s="5"/>
      <c r="B641" s="5" t="s">
        <v>368</v>
      </c>
      <c r="C641" s="5"/>
      <c r="D641" s="5">
        <v>80.0</v>
      </c>
    </row>
    <row r="642">
      <c r="A642" s="5"/>
      <c r="B642" s="5" t="s">
        <v>369</v>
      </c>
      <c r="C642" s="5"/>
      <c r="D642" s="5">
        <v>0.0</v>
      </c>
    </row>
    <row r="643">
      <c r="A643" s="5"/>
      <c r="B643" s="5" t="s">
        <v>370</v>
      </c>
      <c r="C643" s="5"/>
      <c r="D643" s="5">
        <v>0.0</v>
      </c>
    </row>
    <row r="644">
      <c r="A644" s="5"/>
      <c r="B644" s="5" t="s">
        <v>371</v>
      </c>
      <c r="C644" s="5"/>
      <c r="D644" s="5">
        <v>52.0</v>
      </c>
    </row>
    <row r="645">
      <c r="A645" s="5"/>
      <c r="B645" s="5" t="s">
        <v>372</v>
      </c>
      <c r="C645" s="5"/>
      <c r="D645" s="5">
        <v>0.0</v>
      </c>
    </row>
    <row r="646">
      <c r="A646" s="5"/>
      <c r="B646" s="5" t="s">
        <v>373</v>
      </c>
      <c r="C646" s="5"/>
      <c r="D646" s="5">
        <v>0.0</v>
      </c>
    </row>
    <row r="647">
      <c r="A647" s="5"/>
      <c r="B647" s="5" t="s">
        <v>374</v>
      </c>
      <c r="C647" s="5"/>
      <c r="D647" s="5">
        <v>6.0</v>
      </c>
    </row>
    <row r="648">
      <c r="A648" s="5"/>
      <c r="B648" s="5" t="s">
        <v>375</v>
      </c>
      <c r="C648" s="5"/>
      <c r="D648" s="5">
        <v>35.0</v>
      </c>
    </row>
    <row r="649">
      <c r="A649" s="5"/>
      <c r="B649" s="5" t="s">
        <v>376</v>
      </c>
      <c r="C649" s="5"/>
      <c r="D649" s="5">
        <v>40.0</v>
      </c>
    </row>
    <row r="650">
      <c r="A650" s="5"/>
      <c r="B650" s="5" t="s">
        <v>377</v>
      </c>
      <c r="C650" s="5"/>
      <c r="D650" s="5">
        <v>75.0</v>
      </c>
    </row>
    <row r="651">
      <c r="A651" s="5"/>
      <c r="B651" s="5" t="s">
        <v>378</v>
      </c>
      <c r="C651" s="5"/>
      <c r="D651" s="5">
        <v>62.0</v>
      </c>
    </row>
    <row r="652">
      <c r="A652" s="5"/>
      <c r="B652" s="5" t="s">
        <v>379</v>
      </c>
      <c r="C652" s="5"/>
      <c r="D652" s="5">
        <v>0.0</v>
      </c>
    </row>
    <row r="653">
      <c r="A653" s="5"/>
      <c r="B653" s="5" t="s">
        <v>380</v>
      </c>
      <c r="C653" s="5"/>
      <c r="D653" s="5">
        <v>0.0</v>
      </c>
    </row>
    <row r="654">
      <c r="A654" s="5"/>
      <c r="B654" s="5" t="s">
        <v>381</v>
      </c>
      <c r="C654" s="5"/>
      <c r="D654" s="5">
        <v>14.0</v>
      </c>
    </row>
    <row r="655">
      <c r="A655" s="5"/>
      <c r="B655" s="5" t="s">
        <v>382</v>
      </c>
      <c r="C655" s="5"/>
      <c r="D655" s="5">
        <v>0.0</v>
      </c>
    </row>
    <row r="656">
      <c r="A656" s="5"/>
      <c r="B656" s="5" t="s">
        <v>383</v>
      </c>
      <c r="C656" s="5"/>
      <c r="D656" s="5">
        <v>0.0</v>
      </c>
    </row>
    <row r="657">
      <c r="A657" s="5"/>
      <c r="B657" s="5" t="s">
        <v>384</v>
      </c>
      <c r="C657" s="5"/>
      <c r="D657" s="5">
        <v>0.0</v>
      </c>
    </row>
    <row r="658">
      <c r="A658" s="5"/>
      <c r="B658" s="5" t="s">
        <v>385</v>
      </c>
      <c r="C658" s="5"/>
      <c r="D658" s="5">
        <v>20.0</v>
      </c>
    </row>
    <row r="659">
      <c r="A659" s="5"/>
      <c r="B659" s="5" t="s">
        <v>386</v>
      </c>
      <c r="C659" s="5"/>
      <c r="D659" s="5">
        <v>0.0</v>
      </c>
    </row>
    <row r="660">
      <c r="A660" s="5"/>
      <c r="B660" s="5" t="s">
        <v>387</v>
      </c>
      <c r="C660" s="5"/>
      <c r="D660" s="5">
        <v>0.0</v>
      </c>
    </row>
    <row r="661">
      <c r="A661" s="5"/>
      <c r="B661" s="5" t="s">
        <v>388</v>
      </c>
      <c r="C661" s="5"/>
      <c r="D661" s="5" t="s">
        <v>389</v>
      </c>
      <c r="E661" s="5">
        <v>37.0</v>
      </c>
    </row>
    <row r="662">
      <c r="A662" s="5"/>
      <c r="B662" s="5" t="s">
        <v>390</v>
      </c>
      <c r="C662" s="5"/>
      <c r="D662" s="5">
        <v>0.0</v>
      </c>
    </row>
    <row r="663">
      <c r="A663" s="5"/>
      <c r="B663" s="5" t="s">
        <v>391</v>
      </c>
      <c r="C663" s="5"/>
      <c r="D663" s="5">
        <v>40.0</v>
      </c>
    </row>
    <row r="664">
      <c r="A664" s="5"/>
      <c r="B664" s="5" t="s">
        <v>392</v>
      </c>
      <c r="C664" s="5"/>
      <c r="D664" s="5">
        <v>45.0</v>
      </c>
    </row>
    <row r="665">
      <c r="A665" s="5"/>
      <c r="B665" s="5" t="s">
        <v>393</v>
      </c>
      <c r="C665" s="5"/>
      <c r="D665" s="5">
        <v>0.0</v>
      </c>
    </row>
    <row r="666">
      <c r="A666" s="5"/>
      <c r="B666" s="5" t="s">
        <v>394</v>
      </c>
      <c r="C666" s="5"/>
      <c r="D666" s="5">
        <v>0.0</v>
      </c>
    </row>
    <row r="667">
      <c r="A667" s="5"/>
      <c r="B667" s="5" t="s">
        <v>395</v>
      </c>
      <c r="C667" s="5"/>
      <c r="D667" s="5">
        <v>0.0</v>
      </c>
    </row>
    <row r="668">
      <c r="A668" s="5"/>
      <c r="B668" s="5" t="s">
        <v>396</v>
      </c>
      <c r="C668" s="5"/>
      <c r="D668" s="5">
        <v>0.0</v>
      </c>
    </row>
    <row r="669">
      <c r="A669" s="5"/>
      <c r="B669" s="5" t="s">
        <v>397</v>
      </c>
      <c r="C669" s="5"/>
      <c r="D669" s="5">
        <v>40.0</v>
      </c>
    </row>
    <row r="670">
      <c r="A670" s="5"/>
      <c r="B670" s="5" t="s">
        <v>398</v>
      </c>
      <c r="C670" s="5"/>
      <c r="D670" s="5">
        <v>0.0</v>
      </c>
    </row>
    <row r="671">
      <c r="A671" s="5"/>
      <c r="B671" s="5" t="s">
        <v>399</v>
      </c>
      <c r="C671" s="5"/>
      <c r="D671" s="5" t="s">
        <v>400</v>
      </c>
      <c r="E671" s="5">
        <v>0.0</v>
      </c>
    </row>
    <row r="672">
      <c r="A672" s="5"/>
      <c r="B672" s="5" t="s">
        <v>401</v>
      </c>
      <c r="C672" s="5"/>
      <c r="D672" s="5">
        <v>0.0</v>
      </c>
    </row>
    <row r="673">
      <c r="A673" s="5"/>
      <c r="B673" s="5" t="s">
        <v>402</v>
      </c>
      <c r="C673" s="5"/>
      <c r="D673" s="5">
        <v>50.0</v>
      </c>
    </row>
    <row r="674">
      <c r="A674" s="5"/>
      <c r="B674" s="5" t="s">
        <v>403</v>
      </c>
      <c r="C674" s="5"/>
      <c r="D674" s="5">
        <v>0.0</v>
      </c>
    </row>
    <row r="675">
      <c r="A675" s="5"/>
      <c r="B675" s="5" t="s">
        <v>404</v>
      </c>
      <c r="C675" s="5"/>
      <c r="D675" s="5">
        <v>0.0</v>
      </c>
    </row>
    <row r="676">
      <c r="A676" s="5"/>
      <c r="B676" s="5" t="s">
        <v>405</v>
      </c>
      <c r="C676" s="5"/>
      <c r="D676" s="5">
        <v>0.0</v>
      </c>
    </row>
    <row r="677">
      <c r="A677" s="5"/>
      <c r="B677" s="5" t="s">
        <v>406</v>
      </c>
      <c r="C677" s="5"/>
      <c r="D677" s="5">
        <v>0.0</v>
      </c>
    </row>
    <row r="678">
      <c r="A678" s="5"/>
      <c r="B678" s="5" t="s">
        <v>407</v>
      </c>
      <c r="C678" s="5"/>
      <c r="D678" s="5">
        <v>0.0</v>
      </c>
    </row>
    <row r="679">
      <c r="A679" s="5"/>
      <c r="B679" s="5" t="s">
        <v>408</v>
      </c>
      <c r="C679" s="5"/>
      <c r="D679" s="5">
        <v>0.0</v>
      </c>
    </row>
    <row r="680">
      <c r="A680" s="5"/>
      <c r="B680" s="5" t="s">
        <v>409</v>
      </c>
      <c r="C680" s="5"/>
      <c r="D680" s="5">
        <v>0.0</v>
      </c>
    </row>
    <row r="681">
      <c r="A681" s="5"/>
      <c r="B681" s="5" t="s">
        <v>410</v>
      </c>
      <c r="C681" s="5"/>
      <c r="D681" s="5">
        <v>70.0</v>
      </c>
    </row>
    <row r="682">
      <c r="A682" s="5"/>
      <c r="B682" s="5" t="s">
        <v>411</v>
      </c>
      <c r="C682" s="5"/>
      <c r="D682" s="5">
        <v>0.0</v>
      </c>
    </row>
    <row r="683">
      <c r="A683" s="5"/>
      <c r="B683" s="5" t="s">
        <v>412</v>
      </c>
      <c r="C683" s="5"/>
      <c r="D683" s="5">
        <v>58.0</v>
      </c>
    </row>
    <row r="684">
      <c r="A684" s="5"/>
      <c r="B684" s="5" t="s">
        <v>413</v>
      </c>
      <c r="C684" s="5"/>
      <c r="D684" s="5">
        <v>70.0</v>
      </c>
    </row>
    <row r="685">
      <c r="A685" s="5"/>
      <c r="B685" s="5" t="s">
        <v>414</v>
      </c>
      <c r="C685" s="5"/>
      <c r="D685" s="5">
        <v>0.0</v>
      </c>
    </row>
    <row r="686">
      <c r="A686" s="5"/>
      <c r="B686" s="5" t="s">
        <v>415</v>
      </c>
      <c r="C686" s="5"/>
      <c r="D686" s="5">
        <v>0.0</v>
      </c>
    </row>
    <row r="687">
      <c r="A687" s="5"/>
      <c r="B687" s="5" t="s">
        <v>416</v>
      </c>
      <c r="C687" s="5"/>
      <c r="D687" s="5">
        <v>21.0</v>
      </c>
    </row>
    <row r="688">
      <c r="A688" s="5"/>
      <c r="B688" s="5" t="s">
        <v>417</v>
      </c>
      <c r="C688" s="5"/>
      <c r="D688" s="5">
        <v>0.0</v>
      </c>
    </row>
    <row r="689">
      <c r="A689" s="5"/>
      <c r="B689" s="5" t="s">
        <v>418</v>
      </c>
      <c r="C689" s="5"/>
      <c r="D689" s="5">
        <v>0.0</v>
      </c>
    </row>
    <row r="690">
      <c r="A690" s="5"/>
      <c r="B690" s="5" t="s">
        <v>419</v>
      </c>
      <c r="C690" s="5"/>
      <c r="D690" s="5">
        <v>0.0</v>
      </c>
    </row>
    <row r="691">
      <c r="A691" s="5"/>
      <c r="B691" s="5" t="s">
        <v>420</v>
      </c>
      <c r="C691" s="5"/>
      <c r="D691" s="5">
        <v>0.0</v>
      </c>
    </row>
    <row r="692">
      <c r="A692" s="5"/>
      <c r="B692" s="5" t="s">
        <v>421</v>
      </c>
      <c r="C692" s="5"/>
      <c r="D692" s="5">
        <v>0.0</v>
      </c>
    </row>
    <row r="693">
      <c r="A693" s="5"/>
      <c r="B693" s="5" t="s">
        <v>422</v>
      </c>
      <c r="C693" s="5"/>
      <c r="D693" s="5">
        <v>0.0</v>
      </c>
    </row>
    <row r="694">
      <c r="A694" s="5"/>
      <c r="B694" s="5" t="s">
        <v>423</v>
      </c>
      <c r="C694" s="5"/>
      <c r="D694" s="5">
        <v>0.0</v>
      </c>
    </row>
    <row r="695">
      <c r="A695" s="5"/>
      <c r="B695" s="5" t="s">
        <v>424</v>
      </c>
      <c r="C695" s="5"/>
      <c r="D695" s="5">
        <v>0.0</v>
      </c>
    </row>
    <row r="696">
      <c r="A696" s="5"/>
      <c r="B696" s="5" t="s">
        <v>425</v>
      </c>
      <c r="C696" s="5"/>
      <c r="D696" s="5">
        <v>0.0</v>
      </c>
    </row>
    <row r="697">
      <c r="A697" s="5"/>
      <c r="B697" s="5" t="s">
        <v>426</v>
      </c>
      <c r="C697" s="5"/>
      <c r="D697" s="5">
        <v>0.0</v>
      </c>
    </row>
    <row r="698">
      <c r="A698" s="5"/>
      <c r="B698" s="5" t="s">
        <v>427</v>
      </c>
      <c r="C698" s="5"/>
      <c r="D698" s="5">
        <v>0.0</v>
      </c>
    </row>
    <row r="699">
      <c r="A699" s="5"/>
      <c r="B699" s="5" t="s">
        <v>428</v>
      </c>
      <c r="C699" s="5"/>
      <c r="D699" s="5">
        <v>0.0</v>
      </c>
    </row>
    <row r="700">
      <c r="A700" s="5"/>
      <c r="B700" s="5" t="s">
        <v>429</v>
      </c>
      <c r="C700" s="5"/>
      <c r="D700" s="5">
        <v>50.0</v>
      </c>
    </row>
    <row r="701">
      <c r="A701" s="5"/>
      <c r="B701" s="5" t="s">
        <v>430</v>
      </c>
      <c r="C701" s="5"/>
      <c r="D701" s="5">
        <v>0.0</v>
      </c>
    </row>
    <row r="702">
      <c r="A702" s="5"/>
      <c r="B702" s="5" t="s">
        <v>431</v>
      </c>
      <c r="C702" s="5"/>
      <c r="D702" s="5">
        <v>53.0</v>
      </c>
    </row>
    <row r="703">
      <c r="A703" s="5"/>
      <c r="B703" s="5" t="s">
        <v>432</v>
      </c>
      <c r="C703" s="5"/>
      <c r="D703" s="5">
        <v>73.0</v>
      </c>
    </row>
    <row r="704">
      <c r="A704" s="5"/>
      <c r="B704" s="5" t="s">
        <v>433</v>
      </c>
      <c r="C704" s="5"/>
      <c r="D704" s="5">
        <v>0.0</v>
      </c>
    </row>
    <row r="705">
      <c r="A705" s="5"/>
      <c r="B705" s="5" t="s">
        <v>434</v>
      </c>
      <c r="C705" s="5"/>
      <c r="D705" s="5">
        <v>50.0</v>
      </c>
    </row>
    <row r="706">
      <c r="A706" s="5"/>
      <c r="B706" s="5" t="s">
        <v>435</v>
      </c>
      <c r="C706" s="5"/>
      <c r="D706" s="5">
        <v>0.0</v>
      </c>
    </row>
    <row r="707">
      <c r="A707" s="5"/>
      <c r="B707" s="5" t="s">
        <v>436</v>
      </c>
      <c r="C707" s="5"/>
      <c r="D707" s="5">
        <v>0.0</v>
      </c>
    </row>
    <row r="708">
      <c r="A708" s="5"/>
      <c r="B708" s="5" t="s">
        <v>437</v>
      </c>
      <c r="C708" s="5"/>
      <c r="D708" s="5">
        <v>0.0</v>
      </c>
    </row>
    <row r="709">
      <c r="A709" s="5"/>
      <c r="B709" s="5" t="s">
        <v>438</v>
      </c>
      <c r="C709" s="5"/>
      <c r="D709" s="5">
        <v>0.0</v>
      </c>
    </row>
    <row r="710">
      <c r="A710" s="5"/>
      <c r="B710" s="5" t="s">
        <v>439</v>
      </c>
      <c r="C710" s="5"/>
      <c r="D710" s="5">
        <v>0.0</v>
      </c>
    </row>
    <row r="711">
      <c r="A711" s="5"/>
      <c r="B711" s="5" t="s">
        <v>440</v>
      </c>
      <c r="C711" s="5"/>
      <c r="D711" s="5">
        <v>0.0</v>
      </c>
    </row>
    <row r="712">
      <c r="A712" s="5"/>
      <c r="B712" s="5" t="s">
        <v>441</v>
      </c>
      <c r="C712" s="5"/>
      <c r="D712" s="5">
        <v>0.0</v>
      </c>
    </row>
    <row r="713">
      <c r="A713" s="5"/>
      <c r="B713" s="5" t="s">
        <v>442</v>
      </c>
      <c r="C713" s="5"/>
      <c r="D713" s="5">
        <v>0.0</v>
      </c>
    </row>
    <row r="714">
      <c r="A714" s="5"/>
      <c r="B714" s="5" t="s">
        <v>443</v>
      </c>
      <c r="C714" s="5"/>
      <c r="D714" s="5">
        <v>42.0</v>
      </c>
    </row>
    <row r="715">
      <c r="A715" s="5"/>
      <c r="B715" s="5" t="s">
        <v>444</v>
      </c>
      <c r="C715" s="5"/>
      <c r="D715" s="5">
        <v>50.0</v>
      </c>
    </row>
    <row r="716">
      <c r="A716" s="5"/>
      <c r="B716" s="5" t="s">
        <v>445</v>
      </c>
      <c r="C716" s="5"/>
      <c r="D716" s="5">
        <v>0.0</v>
      </c>
    </row>
    <row r="717">
      <c r="A717" s="5"/>
      <c r="B717" s="5" t="s">
        <v>446</v>
      </c>
      <c r="C717" s="5"/>
      <c r="D717" s="5">
        <v>92.0</v>
      </c>
    </row>
    <row r="718">
      <c r="A718" s="5"/>
      <c r="B718" s="5" t="s">
        <v>447</v>
      </c>
      <c r="C718" s="5"/>
      <c r="D718" s="5">
        <v>0.0</v>
      </c>
    </row>
    <row r="719">
      <c r="A719" s="5"/>
      <c r="B719" s="5" t="s">
        <v>448</v>
      </c>
      <c r="C719" s="5"/>
      <c r="D719" s="5">
        <v>0.0</v>
      </c>
    </row>
    <row r="720">
      <c r="A720" s="5"/>
      <c r="B720" s="5" t="s">
        <v>449</v>
      </c>
      <c r="C720" s="5"/>
      <c r="D720" s="5">
        <v>89.0</v>
      </c>
    </row>
    <row r="721">
      <c r="A721" s="5"/>
      <c r="B721" s="5" t="s">
        <v>450</v>
      </c>
      <c r="C721" s="5"/>
      <c r="D721" s="5">
        <v>0.0</v>
      </c>
    </row>
    <row r="722">
      <c r="A722" s="5"/>
      <c r="B722" s="5" t="s">
        <v>451</v>
      </c>
      <c r="C722" s="5"/>
      <c r="D722" s="5">
        <v>9.0</v>
      </c>
    </row>
    <row r="723">
      <c r="A723" s="5"/>
      <c r="B723" s="5" t="s">
        <v>452</v>
      </c>
      <c r="C723" s="5"/>
      <c r="D723" s="5">
        <v>40.0</v>
      </c>
    </row>
    <row r="724">
      <c r="A724" s="5"/>
      <c r="B724" s="5" t="s">
        <v>453</v>
      </c>
      <c r="C724" s="5"/>
      <c r="D724" s="5">
        <v>90.0</v>
      </c>
    </row>
    <row r="725">
      <c r="A725" s="5"/>
      <c r="B725" s="5" t="s">
        <v>454</v>
      </c>
      <c r="C725" s="5"/>
      <c r="D725" s="5">
        <v>0.0</v>
      </c>
    </row>
    <row r="726">
      <c r="A726" s="5"/>
      <c r="B726" s="5" t="s">
        <v>455</v>
      </c>
      <c r="C726" s="5"/>
      <c r="D726" s="5">
        <v>32.0</v>
      </c>
    </row>
    <row r="727">
      <c r="A727" s="5"/>
      <c r="B727" s="5" t="s">
        <v>456</v>
      </c>
      <c r="C727" s="5"/>
      <c r="D727" s="5">
        <v>48.0</v>
      </c>
    </row>
    <row r="728">
      <c r="A728" s="5"/>
      <c r="B728" s="5" t="s">
        <v>457</v>
      </c>
      <c r="C728" s="5"/>
      <c r="D728" s="5">
        <v>0.0</v>
      </c>
    </row>
    <row r="729">
      <c r="A729" s="5"/>
      <c r="B729" s="5" t="s">
        <v>458</v>
      </c>
      <c r="C729" s="5"/>
      <c r="D729" s="5">
        <v>0.0</v>
      </c>
    </row>
    <row r="730">
      <c r="A730" s="5"/>
      <c r="B730" s="5" t="s">
        <v>459</v>
      </c>
      <c r="C730" s="5"/>
      <c r="D730" s="5">
        <v>50.0</v>
      </c>
    </row>
    <row r="731">
      <c r="A731" s="5"/>
      <c r="B731" s="5" t="s">
        <v>460</v>
      </c>
      <c r="C731" s="5"/>
      <c r="D731" s="5">
        <v>0.0</v>
      </c>
    </row>
    <row r="732">
      <c r="A732" s="5"/>
      <c r="B732" s="5" t="s">
        <v>461</v>
      </c>
      <c r="C732" s="5"/>
      <c r="D732" s="5" t="s">
        <v>462</v>
      </c>
      <c r="E732" s="5" t="s">
        <v>463</v>
      </c>
      <c r="F732" s="5">
        <v>62.0</v>
      </c>
    </row>
    <row r="733">
      <c r="A733" s="5"/>
      <c r="B733" s="5" t="s">
        <v>464</v>
      </c>
      <c r="C733" s="5"/>
      <c r="D733" s="5" t="s">
        <v>465</v>
      </c>
      <c r="E733" s="5">
        <v>0.0</v>
      </c>
    </row>
    <row r="734">
      <c r="A734" s="5"/>
      <c r="B734" s="5" t="s">
        <v>466</v>
      </c>
      <c r="C734" s="5"/>
      <c r="D734" s="5">
        <v>0.0</v>
      </c>
    </row>
    <row r="735">
      <c r="A735" s="5"/>
      <c r="B735" s="5" t="s">
        <v>467</v>
      </c>
      <c r="C735" s="5"/>
      <c r="D735" s="5">
        <v>0.0</v>
      </c>
    </row>
    <row r="736">
      <c r="A736" s="5"/>
      <c r="B736" s="5" t="s">
        <v>468</v>
      </c>
      <c r="C736" s="5"/>
      <c r="D736" s="5">
        <v>0.0</v>
      </c>
    </row>
    <row r="737">
      <c r="A737" s="5"/>
      <c r="B737" s="5" t="s">
        <v>469</v>
      </c>
      <c r="C737" s="5"/>
      <c r="D737" s="5">
        <v>0.0</v>
      </c>
    </row>
    <row r="738">
      <c r="A738" s="5"/>
      <c r="B738" s="5" t="s">
        <v>470</v>
      </c>
      <c r="C738" s="5"/>
      <c r="D738" s="5">
        <v>10.0</v>
      </c>
    </row>
    <row r="739">
      <c r="A739" s="5"/>
      <c r="B739" s="5" t="s">
        <v>471</v>
      </c>
      <c r="C739" s="5"/>
      <c r="D739" s="5">
        <v>0.0</v>
      </c>
    </row>
    <row r="740">
      <c r="A740" s="5"/>
      <c r="B740" s="5" t="s">
        <v>472</v>
      </c>
      <c r="C740" s="5"/>
      <c r="D740" s="5">
        <v>29.0</v>
      </c>
    </row>
    <row r="741">
      <c r="A741" s="5"/>
      <c r="B741" s="5" t="s">
        <v>473</v>
      </c>
      <c r="C741" s="5"/>
      <c r="D741" s="5">
        <v>0.0</v>
      </c>
    </row>
    <row r="742">
      <c r="A742" s="5"/>
      <c r="B742" s="5" t="s">
        <v>474</v>
      </c>
      <c r="C742" s="5"/>
      <c r="D742" s="5">
        <v>65.0</v>
      </c>
    </row>
    <row r="743">
      <c r="A743" s="5"/>
      <c r="B743" s="5" t="s">
        <v>475</v>
      </c>
      <c r="C743" s="5"/>
      <c r="D743" s="5">
        <v>0.0</v>
      </c>
    </row>
    <row r="744">
      <c r="A744" s="5"/>
      <c r="B744" s="5" t="s">
        <v>476</v>
      </c>
      <c r="C744" s="5"/>
      <c r="D744" s="5">
        <v>0.0</v>
      </c>
    </row>
    <row r="745">
      <c r="A745" s="5"/>
      <c r="B745" s="5" t="s">
        <v>477</v>
      </c>
      <c r="C745" s="5"/>
      <c r="D745" s="5">
        <v>0.0</v>
      </c>
    </row>
    <row r="746">
      <c r="A746" s="5"/>
      <c r="B746" s="5" t="s">
        <v>478</v>
      </c>
      <c r="C746" s="5"/>
      <c r="D746" s="5">
        <v>0.0</v>
      </c>
    </row>
    <row r="747">
      <c r="A747" s="5"/>
      <c r="B747" s="5" t="s">
        <v>479</v>
      </c>
      <c r="C747" s="5"/>
      <c r="D747" s="5">
        <v>12.0</v>
      </c>
    </row>
    <row r="748">
      <c r="A748" s="5"/>
      <c r="B748" s="5" t="s">
        <v>480</v>
      </c>
      <c r="C748" s="5"/>
      <c r="D748" s="5">
        <v>0.0</v>
      </c>
    </row>
    <row r="749">
      <c r="A749" s="5"/>
      <c r="B749" s="5" t="s">
        <v>481</v>
      </c>
      <c r="C749" s="5"/>
      <c r="D749" s="5" t="s">
        <v>482</v>
      </c>
      <c r="E749" s="5">
        <v>95.0</v>
      </c>
    </row>
    <row r="750">
      <c r="A750" s="5"/>
      <c r="B750" s="5" t="s">
        <v>483</v>
      </c>
      <c r="C750" s="5"/>
      <c r="D750" s="5">
        <v>0.0</v>
      </c>
    </row>
    <row r="751">
      <c r="A751" s="5"/>
      <c r="B751" s="5" t="s">
        <v>484</v>
      </c>
      <c r="C751" s="5"/>
      <c r="D751" s="5">
        <v>11.0</v>
      </c>
    </row>
    <row r="752">
      <c r="A752" s="5"/>
      <c r="B752" s="5" t="s">
        <v>485</v>
      </c>
      <c r="C752" s="5"/>
      <c r="D752" s="5">
        <v>0.0</v>
      </c>
    </row>
    <row r="753">
      <c r="A753" s="5"/>
      <c r="B753" s="5" t="s">
        <v>486</v>
      </c>
      <c r="C753" s="5"/>
      <c r="D753" s="5" t="s">
        <v>487</v>
      </c>
    </row>
    <row r="754">
      <c r="A754" s="5"/>
      <c r="B754" s="5" t="s">
        <v>488</v>
      </c>
      <c r="C754" s="5"/>
      <c r="D754" s="5">
        <v>31.0</v>
      </c>
    </row>
    <row r="755">
      <c r="A755" s="5"/>
      <c r="B755" s="5" t="s">
        <v>489</v>
      </c>
      <c r="C755" s="5"/>
    </row>
    <row r="756">
      <c r="A756" s="5"/>
      <c r="B756" s="5" t="s">
        <v>490</v>
      </c>
      <c r="C756" s="5"/>
      <c r="D756" s="5">
        <v>0.0</v>
      </c>
    </row>
    <row r="757">
      <c r="A757" s="5"/>
      <c r="B757" s="5" t="s">
        <v>491</v>
      </c>
      <c r="C757" s="5"/>
      <c r="D757" s="5">
        <v>0.0</v>
      </c>
    </row>
    <row r="758">
      <c r="A758" s="5"/>
      <c r="B758" s="5" t="s">
        <v>492</v>
      </c>
      <c r="C758" s="5"/>
      <c r="D758" s="5">
        <v>0.0</v>
      </c>
    </row>
    <row r="759">
      <c r="A759" s="5"/>
      <c r="B759" s="5" t="s">
        <v>493</v>
      </c>
      <c r="C759" s="5"/>
      <c r="D759" s="5">
        <v>9.0</v>
      </c>
    </row>
    <row r="760">
      <c r="A760" s="5"/>
      <c r="B760" s="5" t="s">
        <v>494</v>
      </c>
      <c r="C760" s="5"/>
      <c r="D760" s="5">
        <v>0.0</v>
      </c>
    </row>
    <row r="761">
      <c r="A761" s="5"/>
      <c r="B761" s="5" t="s">
        <v>495</v>
      </c>
      <c r="C761" s="5"/>
      <c r="D761" s="5">
        <v>0.0</v>
      </c>
    </row>
    <row r="762">
      <c r="A762" s="5"/>
      <c r="B762" s="5" t="s">
        <v>496</v>
      </c>
      <c r="C762" s="5"/>
      <c r="D762" s="5">
        <v>80.0</v>
      </c>
    </row>
    <row r="763">
      <c r="A763" s="5"/>
      <c r="B763" s="5" t="s">
        <v>497</v>
      </c>
      <c r="C763" s="5"/>
      <c r="D763" s="5">
        <v>0.0</v>
      </c>
    </row>
    <row r="764">
      <c r="A764" s="5"/>
      <c r="B764" s="5" t="s">
        <v>498</v>
      </c>
      <c r="C764" s="5"/>
      <c r="D764" s="5">
        <v>14.0</v>
      </c>
    </row>
    <row r="765">
      <c r="A765" s="5"/>
      <c r="B765" s="5" t="s">
        <v>499</v>
      </c>
      <c r="C765" s="5"/>
      <c r="D765" s="5" t="s">
        <v>500</v>
      </c>
      <c r="E765" s="5">
        <v>18.0</v>
      </c>
    </row>
    <row r="766">
      <c r="A766" s="5"/>
      <c r="B766" s="5" t="s">
        <v>501</v>
      </c>
      <c r="C766" s="5"/>
      <c r="D766" s="5" t="s">
        <v>502</v>
      </c>
    </row>
    <row r="767">
      <c r="A767" s="5"/>
      <c r="B767" s="5" t="s">
        <v>503</v>
      </c>
      <c r="C767" s="5"/>
      <c r="D767" s="5">
        <v>90.0</v>
      </c>
    </row>
    <row r="768">
      <c r="A768" s="5"/>
      <c r="B768" s="5" t="s">
        <v>504</v>
      </c>
      <c r="C768" s="5"/>
    </row>
    <row r="769">
      <c r="A769" s="5"/>
      <c r="B769" s="5" t="s">
        <v>505</v>
      </c>
      <c r="C769" s="5"/>
      <c r="D769" s="5">
        <v>53.0</v>
      </c>
    </row>
    <row r="770">
      <c r="A770" s="5"/>
      <c r="B770" s="5" t="s">
        <v>506</v>
      </c>
      <c r="C770" s="5"/>
      <c r="D770" s="5">
        <v>82.0</v>
      </c>
    </row>
    <row r="771">
      <c r="A771" s="5"/>
      <c r="B771" s="5" t="s">
        <v>507</v>
      </c>
      <c r="C771" s="5"/>
      <c r="D771" s="5">
        <v>0.0</v>
      </c>
    </row>
    <row r="772">
      <c r="A772" s="5"/>
      <c r="B772" s="5" t="s">
        <v>508</v>
      </c>
      <c r="C772" s="5"/>
      <c r="D772" s="5">
        <v>70.0</v>
      </c>
    </row>
    <row r="773">
      <c r="A773" s="5"/>
      <c r="B773" s="5" t="s">
        <v>509</v>
      </c>
      <c r="C773" s="5"/>
      <c r="D773" s="5">
        <v>0.0</v>
      </c>
    </row>
    <row r="774">
      <c r="A774" s="5"/>
      <c r="B774" s="5" t="s">
        <v>431</v>
      </c>
      <c r="C774" s="5"/>
      <c r="D774" s="5">
        <v>53.0</v>
      </c>
    </row>
    <row r="775">
      <c r="A775" s="5"/>
      <c r="B775" s="5" t="s">
        <v>432</v>
      </c>
      <c r="C775" s="5"/>
      <c r="D775" s="5">
        <v>73.0</v>
      </c>
    </row>
    <row r="776">
      <c r="A776" s="5"/>
      <c r="B776" s="5" t="s">
        <v>433</v>
      </c>
      <c r="C776" s="5"/>
      <c r="D776" s="5">
        <v>0.0</v>
      </c>
    </row>
    <row r="777">
      <c r="A777" s="5"/>
      <c r="B777" s="5" t="s">
        <v>434</v>
      </c>
      <c r="C777" s="5"/>
      <c r="D777" s="5">
        <v>50.0</v>
      </c>
    </row>
    <row r="778">
      <c r="A778" s="5"/>
      <c r="B778" s="5" t="s">
        <v>435</v>
      </c>
      <c r="C778" s="5"/>
      <c r="D778" s="5">
        <v>0.0</v>
      </c>
    </row>
    <row r="779">
      <c r="A779" s="5"/>
      <c r="B779" s="5" t="s">
        <v>436</v>
      </c>
      <c r="C779" s="5"/>
      <c r="D779" s="5">
        <v>0.0</v>
      </c>
    </row>
    <row r="780">
      <c r="A780" s="5"/>
      <c r="B780" s="5" t="s">
        <v>437</v>
      </c>
      <c r="C780" s="5"/>
      <c r="D780" s="5">
        <v>0.0</v>
      </c>
    </row>
    <row r="781">
      <c r="A781" s="5"/>
      <c r="B781" s="5" t="s">
        <v>438</v>
      </c>
      <c r="C781" s="5"/>
      <c r="D781" s="5">
        <v>0.0</v>
      </c>
    </row>
    <row r="782">
      <c r="A782" s="5"/>
      <c r="B782" s="5" t="s">
        <v>439</v>
      </c>
      <c r="C782" s="5"/>
      <c r="D782" s="5">
        <v>0.0</v>
      </c>
    </row>
    <row r="783">
      <c r="A783" s="5"/>
      <c r="B783" s="5" t="s">
        <v>440</v>
      </c>
      <c r="C783" s="5"/>
      <c r="D783" s="5">
        <v>0.0</v>
      </c>
    </row>
    <row r="784">
      <c r="A784" s="5"/>
      <c r="B784" s="5" t="s">
        <v>441</v>
      </c>
      <c r="C784" s="5"/>
      <c r="D784" s="5">
        <v>0.0</v>
      </c>
    </row>
    <row r="785">
      <c r="A785" s="5"/>
      <c r="B785" s="5" t="s">
        <v>442</v>
      </c>
      <c r="C785" s="5"/>
      <c r="D785" s="5">
        <v>0.0</v>
      </c>
    </row>
    <row r="786">
      <c r="A786" s="5"/>
      <c r="B786" s="5" t="s">
        <v>443</v>
      </c>
      <c r="C786" s="5"/>
      <c r="D786" s="5">
        <v>42.0</v>
      </c>
    </row>
    <row r="787">
      <c r="A787" s="5"/>
      <c r="B787" s="5" t="s">
        <v>444</v>
      </c>
      <c r="C787" s="5"/>
      <c r="D787" s="5">
        <v>50.0</v>
      </c>
    </row>
    <row r="788">
      <c r="A788" s="5"/>
      <c r="B788" s="5" t="s">
        <v>445</v>
      </c>
      <c r="C788" s="5"/>
      <c r="D788" s="5">
        <v>0.0</v>
      </c>
    </row>
    <row r="789">
      <c r="A789" s="5"/>
      <c r="B789" s="5" t="s">
        <v>446</v>
      </c>
      <c r="C789" s="5"/>
      <c r="D789" s="5">
        <v>92.0</v>
      </c>
    </row>
    <row r="790">
      <c r="A790" s="5"/>
      <c r="B790" s="5" t="s">
        <v>447</v>
      </c>
      <c r="C790" s="5"/>
      <c r="D790" s="5">
        <v>0.0</v>
      </c>
    </row>
    <row r="791">
      <c r="A791" s="5"/>
      <c r="B791" s="5" t="s">
        <v>448</v>
      </c>
      <c r="C791" s="5"/>
      <c r="D791" s="5">
        <v>0.0</v>
      </c>
    </row>
    <row r="792">
      <c r="A792" s="5"/>
      <c r="B792" s="5" t="s">
        <v>449</v>
      </c>
      <c r="C792" s="5"/>
      <c r="D792" s="5">
        <v>89.0</v>
      </c>
    </row>
    <row r="793">
      <c r="A793" s="5"/>
      <c r="B793" s="5" t="s">
        <v>450</v>
      </c>
      <c r="C793" s="5"/>
      <c r="D793" s="5">
        <v>0.0</v>
      </c>
    </row>
    <row r="794">
      <c r="A794" s="5"/>
      <c r="B794" s="5" t="s">
        <v>451</v>
      </c>
      <c r="C794" s="5"/>
      <c r="D794" s="5">
        <v>9.0</v>
      </c>
    </row>
    <row r="795">
      <c r="A795" s="5"/>
      <c r="B795" s="5" t="s">
        <v>452</v>
      </c>
      <c r="C795" s="5"/>
      <c r="D795" s="5">
        <v>40.0</v>
      </c>
    </row>
    <row r="796">
      <c r="A796" s="5"/>
      <c r="B796" s="5" t="s">
        <v>453</v>
      </c>
      <c r="C796" s="5"/>
      <c r="D796" s="5">
        <v>90.0</v>
      </c>
    </row>
    <row r="797">
      <c r="A797" s="5"/>
      <c r="B797" s="5" t="s">
        <v>454</v>
      </c>
      <c r="C797" s="5"/>
      <c r="D797" s="5">
        <v>0.0</v>
      </c>
    </row>
    <row r="798">
      <c r="A798" s="5"/>
      <c r="B798" s="5" t="s">
        <v>455</v>
      </c>
      <c r="C798" s="5"/>
      <c r="D798" s="5">
        <v>32.0</v>
      </c>
    </row>
    <row r="799">
      <c r="A799" s="5"/>
      <c r="B799" s="5" t="s">
        <v>456</v>
      </c>
      <c r="C799" s="5"/>
      <c r="D799" s="5">
        <v>48.0</v>
      </c>
    </row>
    <row r="800">
      <c r="A800" s="5"/>
      <c r="B800" s="5" t="s">
        <v>457</v>
      </c>
      <c r="C800" s="5"/>
      <c r="D800" s="5">
        <v>0.0</v>
      </c>
    </row>
    <row r="801">
      <c r="A801" s="5"/>
      <c r="B801" s="5" t="s">
        <v>458</v>
      </c>
      <c r="C801" s="5"/>
      <c r="D801" s="5">
        <v>0.0</v>
      </c>
    </row>
    <row r="802">
      <c r="A802" s="5"/>
      <c r="B802" s="5" t="s">
        <v>459</v>
      </c>
      <c r="C802" s="5"/>
      <c r="D802" s="5">
        <v>50.0</v>
      </c>
    </row>
    <row r="803">
      <c r="A803" s="5"/>
      <c r="B803" s="5" t="s">
        <v>460</v>
      </c>
      <c r="C803" s="5"/>
      <c r="D803" s="5">
        <v>0.0</v>
      </c>
    </row>
    <row r="804">
      <c r="A804" s="5"/>
      <c r="B804" s="5" t="s">
        <v>461</v>
      </c>
      <c r="C804" s="5"/>
      <c r="D804" s="5" t="s">
        <v>462</v>
      </c>
      <c r="E804" s="5" t="s">
        <v>463</v>
      </c>
      <c r="F804" s="5">
        <v>62.0</v>
      </c>
    </row>
    <row r="805">
      <c r="A805" s="5"/>
      <c r="B805" s="5" t="s">
        <v>464</v>
      </c>
      <c r="C805" s="5"/>
      <c r="D805" s="5" t="s">
        <v>465</v>
      </c>
      <c r="E805" s="5">
        <v>0.0</v>
      </c>
    </row>
    <row r="806">
      <c r="A806" s="5"/>
      <c r="B806" s="5" t="s">
        <v>466</v>
      </c>
      <c r="C806" s="5"/>
      <c r="D806" s="5">
        <v>0.0</v>
      </c>
    </row>
    <row r="807">
      <c r="A807" s="5"/>
      <c r="B807" s="5" t="s">
        <v>467</v>
      </c>
      <c r="C807" s="5"/>
      <c r="D807" s="5">
        <v>0.0</v>
      </c>
    </row>
    <row r="808">
      <c r="A808" s="5"/>
      <c r="B808" s="5" t="s">
        <v>468</v>
      </c>
      <c r="C808" s="5"/>
      <c r="D808" s="5">
        <v>0.0</v>
      </c>
    </row>
    <row r="809">
      <c r="A809" s="5"/>
      <c r="B809" s="5" t="s">
        <v>469</v>
      </c>
      <c r="C809" s="5"/>
      <c r="D809" s="5">
        <v>0.0</v>
      </c>
    </row>
    <row r="810">
      <c r="A810" s="5"/>
      <c r="B810" s="5" t="s">
        <v>470</v>
      </c>
      <c r="C810" s="5"/>
      <c r="D810" s="5">
        <v>10.0</v>
      </c>
    </row>
    <row r="811">
      <c r="A811" s="5"/>
      <c r="B811" s="5" t="s">
        <v>471</v>
      </c>
      <c r="C811" s="5"/>
      <c r="D811" s="5">
        <v>0.0</v>
      </c>
    </row>
    <row r="812">
      <c r="A812" s="5"/>
      <c r="B812" s="5" t="s">
        <v>472</v>
      </c>
      <c r="C812" s="5"/>
      <c r="D812" s="5">
        <v>29.0</v>
      </c>
    </row>
    <row r="813">
      <c r="A813" s="5"/>
      <c r="B813" s="5" t="s">
        <v>473</v>
      </c>
      <c r="C813" s="5"/>
      <c r="D813" s="5">
        <v>0.0</v>
      </c>
    </row>
    <row r="814">
      <c r="A814" s="5"/>
      <c r="B814" s="5" t="s">
        <v>474</v>
      </c>
      <c r="C814" s="5"/>
      <c r="D814" s="5">
        <v>65.0</v>
      </c>
    </row>
    <row r="815">
      <c r="A815" s="5"/>
      <c r="B815" s="5" t="s">
        <v>475</v>
      </c>
      <c r="C815" s="5"/>
      <c r="D815" s="5">
        <v>0.0</v>
      </c>
    </row>
    <row r="816">
      <c r="A816" s="5"/>
      <c r="B816" s="5" t="s">
        <v>476</v>
      </c>
      <c r="C816" s="5"/>
      <c r="D816" s="5">
        <v>0.0</v>
      </c>
    </row>
    <row r="817">
      <c r="A817" s="5"/>
      <c r="B817" s="5" t="s">
        <v>477</v>
      </c>
      <c r="C817" s="5"/>
      <c r="D817" s="5">
        <v>0.0</v>
      </c>
    </row>
    <row r="818">
      <c r="A818" s="5"/>
      <c r="B818" s="5" t="s">
        <v>478</v>
      </c>
      <c r="C818" s="5"/>
      <c r="D818" s="5">
        <v>0.0</v>
      </c>
    </row>
    <row r="819">
      <c r="A819" s="5"/>
      <c r="B819" s="5" t="s">
        <v>479</v>
      </c>
      <c r="C819" s="5"/>
      <c r="D819" s="5">
        <v>12.0</v>
      </c>
    </row>
    <row r="820">
      <c r="A820" s="5"/>
      <c r="B820" s="5" t="s">
        <v>480</v>
      </c>
      <c r="C820" s="5"/>
      <c r="D820" s="5">
        <v>0.0</v>
      </c>
    </row>
    <row r="821">
      <c r="A821" s="5"/>
      <c r="B821" s="5" t="s">
        <v>481</v>
      </c>
      <c r="C821" s="5"/>
      <c r="D821" s="5" t="s">
        <v>482</v>
      </c>
      <c r="E821" s="5">
        <v>95.0</v>
      </c>
    </row>
    <row r="822">
      <c r="A822" s="5"/>
      <c r="B822" s="5" t="s">
        <v>483</v>
      </c>
      <c r="C822" s="5"/>
      <c r="D822" s="5">
        <v>0.0</v>
      </c>
    </row>
    <row r="823">
      <c r="A823" s="5"/>
      <c r="B823" s="5" t="s">
        <v>484</v>
      </c>
      <c r="C823" s="5"/>
      <c r="D823" s="5">
        <v>11.0</v>
      </c>
    </row>
    <row r="824">
      <c r="A824" s="5"/>
      <c r="B824" s="5" t="s">
        <v>485</v>
      </c>
      <c r="C824" s="5"/>
      <c r="D824" s="5">
        <v>0.0</v>
      </c>
    </row>
    <row r="825">
      <c r="A825" s="5"/>
      <c r="B825" s="5" t="s">
        <v>486</v>
      </c>
      <c r="C825" s="5"/>
      <c r="D825" s="5" t="s">
        <v>487</v>
      </c>
    </row>
    <row r="826">
      <c r="A826" s="5"/>
      <c r="B826" s="5" t="s">
        <v>488</v>
      </c>
      <c r="C826" s="5"/>
      <c r="D826" s="5">
        <v>31.0</v>
      </c>
    </row>
    <row r="827">
      <c r="A827" s="5"/>
      <c r="B827" s="5" t="s">
        <v>489</v>
      </c>
      <c r="C827" s="5"/>
    </row>
    <row r="828">
      <c r="A828" s="5"/>
      <c r="B828" s="5" t="s">
        <v>490</v>
      </c>
      <c r="C828" s="5"/>
      <c r="D828" s="5">
        <v>0.0</v>
      </c>
    </row>
    <row r="829">
      <c r="A829" s="5"/>
      <c r="B829" s="5" t="s">
        <v>491</v>
      </c>
      <c r="C829" s="5"/>
      <c r="D829" s="5">
        <v>0.0</v>
      </c>
    </row>
    <row r="830">
      <c r="A830" s="5"/>
      <c r="B830" s="5" t="s">
        <v>492</v>
      </c>
      <c r="C830" s="5"/>
      <c r="D830" s="5">
        <v>0.0</v>
      </c>
    </row>
    <row r="831">
      <c r="A831" s="5"/>
      <c r="B831" s="5" t="s">
        <v>493</v>
      </c>
      <c r="C831" s="5"/>
      <c r="D831" s="5">
        <v>9.0</v>
      </c>
    </row>
    <row r="832">
      <c r="A832" s="5"/>
      <c r="B832" s="5" t="s">
        <v>494</v>
      </c>
      <c r="C832" s="5"/>
      <c r="D832" s="5">
        <v>0.0</v>
      </c>
    </row>
    <row r="833">
      <c r="A833" s="5"/>
      <c r="B833" s="5" t="s">
        <v>495</v>
      </c>
      <c r="C833" s="5"/>
      <c r="D833" s="5">
        <v>0.0</v>
      </c>
    </row>
    <row r="834">
      <c r="A834" s="5"/>
      <c r="B834" s="5" t="s">
        <v>496</v>
      </c>
      <c r="C834" s="5"/>
      <c r="D834" s="5">
        <v>80.0</v>
      </c>
    </row>
    <row r="835">
      <c r="A835" s="5"/>
      <c r="B835" s="5" t="s">
        <v>497</v>
      </c>
      <c r="C835" s="5"/>
      <c r="D835" s="5">
        <v>0.0</v>
      </c>
    </row>
    <row r="836">
      <c r="A836" s="5"/>
      <c r="B836" s="5" t="s">
        <v>498</v>
      </c>
      <c r="C836" s="5"/>
      <c r="D836" s="5">
        <v>14.0</v>
      </c>
    </row>
    <row r="837">
      <c r="A837" s="5"/>
      <c r="B837" s="5" t="s">
        <v>499</v>
      </c>
      <c r="C837" s="5"/>
      <c r="D837" s="5" t="s">
        <v>500</v>
      </c>
      <c r="E837" s="5">
        <v>18.0</v>
      </c>
    </row>
    <row r="838">
      <c r="A838" s="5"/>
      <c r="B838" s="5" t="s">
        <v>501</v>
      </c>
      <c r="C838" s="5"/>
      <c r="D838" s="5" t="s">
        <v>502</v>
      </c>
    </row>
    <row r="839">
      <c r="A839" s="5"/>
      <c r="B839" s="5" t="s">
        <v>503</v>
      </c>
      <c r="C839" s="5"/>
      <c r="D839" s="5">
        <v>90.0</v>
      </c>
    </row>
    <row r="840">
      <c r="A840" s="5"/>
      <c r="B840" s="5" t="s">
        <v>504</v>
      </c>
      <c r="C840" s="5"/>
    </row>
    <row r="841">
      <c r="A841" s="5"/>
      <c r="B841" s="5" t="s">
        <v>505</v>
      </c>
      <c r="C841" s="5"/>
      <c r="D841" s="5">
        <v>53.0</v>
      </c>
    </row>
    <row r="842">
      <c r="A842" s="5"/>
      <c r="B842" s="5" t="s">
        <v>506</v>
      </c>
      <c r="C842" s="5"/>
      <c r="D842" s="5">
        <v>82.0</v>
      </c>
    </row>
    <row r="843">
      <c r="A843" s="5"/>
      <c r="B843" s="5" t="s">
        <v>507</v>
      </c>
      <c r="C843" s="5"/>
      <c r="D843" s="5">
        <v>0.0</v>
      </c>
    </row>
    <row r="844">
      <c r="A844" s="5"/>
      <c r="B844" s="5" t="s">
        <v>508</v>
      </c>
      <c r="C844" s="5"/>
      <c r="D844" s="5">
        <v>70.0</v>
      </c>
    </row>
    <row r="845">
      <c r="A845" s="5"/>
      <c r="B845" s="5" t="s">
        <v>509</v>
      </c>
      <c r="C845" s="5"/>
      <c r="D845" s="5">
        <v>0.0</v>
      </c>
    </row>
    <row r="846">
      <c r="A846" s="5"/>
      <c r="B846" s="5" t="s">
        <v>510</v>
      </c>
      <c r="C846" s="5"/>
      <c r="D846" s="5">
        <v>0.0</v>
      </c>
    </row>
    <row r="847">
      <c r="A847" s="5"/>
      <c r="B847" s="5" t="s">
        <v>511</v>
      </c>
      <c r="C847" s="5"/>
      <c r="D847" s="5">
        <v>99.0</v>
      </c>
    </row>
    <row r="848">
      <c r="A848" s="5"/>
      <c r="B848" s="5" t="s">
        <v>512</v>
      </c>
      <c r="C848" s="5"/>
      <c r="D848" s="5">
        <v>15.0</v>
      </c>
    </row>
    <row r="849">
      <c r="A849" s="5"/>
      <c r="B849" s="5" t="s">
        <v>513</v>
      </c>
      <c r="C849" s="5"/>
      <c r="D849" s="5">
        <v>0.0</v>
      </c>
    </row>
    <row r="850">
      <c r="A850" s="5"/>
      <c r="B850" s="5" t="s">
        <v>514</v>
      </c>
      <c r="C850" s="5"/>
      <c r="D850" s="5">
        <v>0.0</v>
      </c>
    </row>
    <row r="851">
      <c r="A851" s="5"/>
      <c r="B851" s="5" t="s">
        <v>515</v>
      </c>
      <c r="C851" s="5"/>
      <c r="D851" s="5">
        <v>64.0</v>
      </c>
    </row>
    <row r="852">
      <c r="A852" s="5"/>
      <c r="B852" s="5" t="s">
        <v>516</v>
      </c>
      <c r="C852" s="5"/>
      <c r="D852" s="5">
        <v>0.0</v>
      </c>
    </row>
    <row r="853">
      <c r="A853" s="5"/>
      <c r="B853" s="5" t="s">
        <v>517</v>
      </c>
      <c r="C853" s="5"/>
      <c r="D853" s="5">
        <v>0.0</v>
      </c>
    </row>
    <row r="854">
      <c r="A854" s="5"/>
      <c r="B854" s="5" t="s">
        <v>518</v>
      </c>
      <c r="C854" s="5"/>
      <c r="D854" s="5">
        <v>0.0</v>
      </c>
    </row>
    <row r="855">
      <c r="A855" s="5"/>
      <c r="B855" s="5" t="s">
        <v>519</v>
      </c>
      <c r="C855" s="5"/>
      <c r="D855" s="5">
        <v>0.0</v>
      </c>
    </row>
    <row r="856">
      <c r="A856" s="5"/>
      <c r="B856" s="5" t="s">
        <v>520</v>
      </c>
      <c r="C856" s="5"/>
      <c r="D856" s="5">
        <v>0.0</v>
      </c>
    </row>
    <row r="857">
      <c r="A857" s="5"/>
      <c r="B857" s="5" t="s">
        <v>521</v>
      </c>
      <c r="C857" s="5"/>
      <c r="D857" s="5">
        <v>62.0</v>
      </c>
    </row>
    <row r="858">
      <c r="A858" s="5"/>
      <c r="B858" s="5" t="s">
        <v>522</v>
      </c>
      <c r="C858" s="5"/>
      <c r="D858" s="5">
        <v>82.0</v>
      </c>
    </row>
    <row r="859">
      <c r="A859" s="5"/>
      <c r="B859" s="5" t="s">
        <v>523</v>
      </c>
      <c r="C859" s="5"/>
      <c r="D859" s="5">
        <v>0.0</v>
      </c>
    </row>
    <row r="860">
      <c r="A860" s="5"/>
      <c r="B860" s="5" t="s">
        <v>524</v>
      </c>
      <c r="C860" s="5"/>
      <c r="D860" s="5">
        <v>60.0</v>
      </c>
    </row>
    <row r="861">
      <c r="A861" s="5"/>
      <c r="B861" s="5" t="s">
        <v>525</v>
      </c>
      <c r="C861" s="5"/>
      <c r="D861" s="5">
        <v>0.0</v>
      </c>
    </row>
    <row r="862">
      <c r="A862" s="5"/>
      <c r="B862" s="5" t="s">
        <v>526</v>
      </c>
      <c r="C862" s="5"/>
      <c r="D862" s="5">
        <v>90.0</v>
      </c>
    </row>
    <row r="863">
      <c r="A863" s="5"/>
      <c r="B863" s="5" t="s">
        <v>527</v>
      </c>
      <c r="C863" s="5"/>
      <c r="D863" s="5">
        <v>0.0</v>
      </c>
    </row>
    <row r="864">
      <c r="A864" s="5"/>
      <c r="B864" s="5" t="s">
        <v>528</v>
      </c>
      <c r="C864" s="5"/>
      <c r="D864" s="5">
        <v>0.0</v>
      </c>
    </row>
    <row r="865">
      <c r="A865" s="5"/>
      <c r="B865" s="5" t="s">
        <v>529</v>
      </c>
      <c r="C865" s="5"/>
      <c r="D865" s="5">
        <v>0.0</v>
      </c>
    </row>
    <row r="866">
      <c r="A866" s="5"/>
      <c r="B866" s="5" t="s">
        <v>530</v>
      </c>
      <c r="C866" s="5"/>
      <c r="D866" s="5">
        <v>0.0</v>
      </c>
    </row>
    <row r="867">
      <c r="A867" s="5"/>
      <c r="B867" s="5" t="s">
        <v>531</v>
      </c>
      <c r="C867" s="5"/>
      <c r="D867" s="5">
        <v>0.0</v>
      </c>
    </row>
    <row r="868">
      <c r="A868" s="5"/>
      <c r="B868" s="5" t="s">
        <v>532</v>
      </c>
      <c r="C868" s="5"/>
      <c r="D868" s="5">
        <v>24.0</v>
      </c>
    </row>
    <row r="869">
      <c r="A869" s="5"/>
      <c r="B869" s="5" t="s">
        <v>533</v>
      </c>
      <c r="C869" s="5"/>
      <c r="D869" s="5">
        <v>21.0</v>
      </c>
    </row>
    <row r="870">
      <c r="A870" s="5"/>
      <c r="B870" s="5" t="s">
        <v>534</v>
      </c>
      <c r="C870" s="5"/>
      <c r="D870" s="5">
        <v>0.0</v>
      </c>
    </row>
    <row r="871">
      <c r="A871" s="5"/>
      <c r="B871" s="5" t="s">
        <v>535</v>
      </c>
      <c r="C871" s="5"/>
      <c r="D871" s="5">
        <v>28.0</v>
      </c>
    </row>
    <row r="872">
      <c r="A872" s="5"/>
      <c r="B872" s="5" t="s">
        <v>536</v>
      </c>
      <c r="C872" s="5"/>
      <c r="D872" s="5">
        <v>0.0</v>
      </c>
    </row>
    <row r="873">
      <c r="A873" s="5"/>
      <c r="B873" s="5" t="s">
        <v>537</v>
      </c>
      <c r="C873" s="5"/>
      <c r="D873" s="5">
        <v>0.0</v>
      </c>
    </row>
    <row r="874">
      <c r="A874" s="5"/>
      <c r="B874" s="5" t="s">
        <v>538</v>
      </c>
      <c r="C874" s="5"/>
      <c r="D874" s="5">
        <v>50.0</v>
      </c>
    </row>
    <row r="875">
      <c r="A875" s="5"/>
      <c r="B875" s="5" t="s">
        <v>539</v>
      </c>
      <c r="C875" s="5"/>
      <c r="D875" s="5">
        <v>58.0</v>
      </c>
    </row>
    <row r="876">
      <c r="A876" s="5"/>
      <c r="B876" s="5" t="s">
        <v>540</v>
      </c>
      <c r="C876" s="5"/>
      <c r="D876" s="5">
        <v>0.0</v>
      </c>
    </row>
    <row r="877">
      <c r="A877" s="5"/>
      <c r="B877" s="5" t="s">
        <v>541</v>
      </c>
      <c r="C877" s="5"/>
      <c r="D877" s="5">
        <v>0.0</v>
      </c>
    </row>
    <row r="878">
      <c r="A878" s="5"/>
      <c r="B878" s="5" t="s">
        <v>542</v>
      </c>
      <c r="C878" s="5"/>
      <c r="D878" s="5">
        <v>0.0</v>
      </c>
    </row>
    <row r="879">
      <c r="A879" s="5"/>
      <c r="B879" s="5" t="s">
        <v>543</v>
      </c>
      <c r="C879" s="5"/>
      <c r="D879" s="5">
        <v>0.0</v>
      </c>
    </row>
    <row r="880">
      <c r="A880" s="5"/>
      <c r="B880" s="5" t="s">
        <v>544</v>
      </c>
      <c r="C880" s="5"/>
      <c r="D880" s="5">
        <v>85.0</v>
      </c>
    </row>
    <row r="881">
      <c r="A881" s="5"/>
      <c r="B881" s="5" t="s">
        <v>545</v>
      </c>
      <c r="C881" s="5"/>
      <c r="D881" s="5">
        <v>0.0</v>
      </c>
    </row>
    <row r="882">
      <c r="A882" s="5"/>
      <c r="B882" s="5" t="s">
        <v>546</v>
      </c>
      <c r="C882" s="5"/>
      <c r="D882" s="5">
        <v>5.0</v>
      </c>
    </row>
    <row r="883">
      <c r="A883" s="5"/>
      <c r="B883" s="5" t="s">
        <v>547</v>
      </c>
      <c r="C883" s="5"/>
      <c r="D883" s="5">
        <v>0.0</v>
      </c>
    </row>
    <row r="884">
      <c r="A884" s="5"/>
      <c r="B884" s="5" t="s">
        <v>548</v>
      </c>
      <c r="C884" s="5"/>
      <c r="D884" s="5">
        <v>0.0</v>
      </c>
    </row>
    <row r="885">
      <c r="A885" s="5"/>
      <c r="B885" s="5" t="s">
        <v>549</v>
      </c>
      <c r="C885" s="5"/>
      <c r="D885" s="5" t="s">
        <v>550</v>
      </c>
      <c r="E885" s="5">
        <v>0.0</v>
      </c>
    </row>
    <row r="886">
      <c r="A886" s="5"/>
      <c r="B886" s="5" t="s">
        <v>551</v>
      </c>
      <c r="C886" s="5"/>
      <c r="D886" s="5" t="s">
        <v>552</v>
      </c>
      <c r="E886" s="5">
        <v>18.0</v>
      </c>
    </row>
    <row r="887">
      <c r="A887" s="5"/>
      <c r="B887" s="5" t="s">
        <v>553</v>
      </c>
      <c r="C887" s="5"/>
      <c r="D887" s="5">
        <v>0.0</v>
      </c>
    </row>
    <row r="888">
      <c r="A888" s="5"/>
      <c r="B888" s="5" t="s">
        <v>554</v>
      </c>
      <c r="C888" s="5"/>
      <c r="D888" s="5">
        <v>0.0</v>
      </c>
    </row>
    <row r="889">
      <c r="A889" s="5"/>
      <c r="B889" s="5" t="s">
        <v>555</v>
      </c>
      <c r="C889" s="5"/>
      <c r="D889" s="5">
        <v>46.0</v>
      </c>
    </row>
    <row r="890">
      <c r="A890" s="5"/>
      <c r="B890" s="5" t="s">
        <v>556</v>
      </c>
      <c r="C890" s="5"/>
      <c r="D890" s="5">
        <v>0.0</v>
      </c>
    </row>
    <row r="891">
      <c r="A891" s="5"/>
      <c r="B891" s="5" t="s">
        <v>557</v>
      </c>
      <c r="C891" s="5"/>
      <c r="D891" s="5">
        <v>0.0</v>
      </c>
    </row>
    <row r="892">
      <c r="A892" s="5"/>
      <c r="B892" s="5" t="s">
        <v>558</v>
      </c>
      <c r="C892" s="5"/>
      <c r="D892" s="5">
        <v>0.0</v>
      </c>
    </row>
    <row r="893">
      <c r="A893" s="5"/>
      <c r="B893" s="5" t="s">
        <v>559</v>
      </c>
      <c r="C893" s="5"/>
      <c r="D893" s="5">
        <v>0.0</v>
      </c>
    </row>
    <row r="894">
      <c r="A894" s="5"/>
      <c r="B894" s="5" t="s">
        <v>560</v>
      </c>
      <c r="C894" s="5"/>
      <c r="D894" s="5">
        <v>58.0</v>
      </c>
    </row>
    <row r="895">
      <c r="A895" s="5"/>
      <c r="B895" s="5" t="s">
        <v>561</v>
      </c>
      <c r="C895" s="5"/>
      <c r="D895" s="5">
        <v>0.0</v>
      </c>
    </row>
    <row r="896">
      <c r="A896" s="5"/>
      <c r="B896" s="5" t="s">
        <v>562</v>
      </c>
      <c r="C896" s="5"/>
      <c r="D896" s="5">
        <v>60.0</v>
      </c>
    </row>
    <row r="897">
      <c r="A897" s="5"/>
      <c r="B897" s="5" t="s">
        <v>563</v>
      </c>
      <c r="C897" s="5"/>
      <c r="D897" s="5">
        <v>0.0</v>
      </c>
    </row>
    <row r="898">
      <c r="A898" s="5"/>
      <c r="B898" s="5" t="s">
        <v>564</v>
      </c>
      <c r="C898" s="5"/>
      <c r="D898" s="5">
        <v>21.0</v>
      </c>
    </row>
    <row r="899">
      <c r="A899" s="5"/>
      <c r="B899" s="5" t="s">
        <v>565</v>
      </c>
      <c r="C899" s="5"/>
      <c r="D899" s="5">
        <v>0.0</v>
      </c>
    </row>
    <row r="900">
      <c r="A900" s="5"/>
      <c r="B900" s="5" t="s">
        <v>566</v>
      </c>
      <c r="C900" s="5"/>
      <c r="D900" s="5">
        <v>0.0</v>
      </c>
    </row>
    <row r="901">
      <c r="A901" s="5"/>
      <c r="B901" s="5" t="s">
        <v>567</v>
      </c>
      <c r="C901" s="5"/>
      <c r="D901" s="5">
        <v>0.0</v>
      </c>
    </row>
    <row r="902">
      <c r="A902" s="5"/>
      <c r="B902" s="5" t="s">
        <v>568</v>
      </c>
      <c r="C902" s="5"/>
      <c r="D902" s="5">
        <v>60.0</v>
      </c>
    </row>
    <row r="903">
      <c r="A903" s="5"/>
      <c r="B903" s="5" t="s">
        <v>569</v>
      </c>
      <c r="C903" s="5"/>
      <c r="D903" s="5">
        <v>50.0</v>
      </c>
    </row>
    <row r="904">
      <c r="A904" s="5"/>
      <c r="B904" s="5" t="s">
        <v>570</v>
      </c>
      <c r="C904" s="5"/>
      <c r="D904" s="5">
        <v>30.0</v>
      </c>
    </row>
    <row r="905">
      <c r="A905" s="5"/>
      <c r="B905" s="5" t="s">
        <v>571</v>
      </c>
      <c r="C905" s="5"/>
      <c r="D905" s="5">
        <v>0.0</v>
      </c>
    </row>
    <row r="906">
      <c r="A906" s="5"/>
      <c r="B906" s="5" t="s">
        <v>572</v>
      </c>
      <c r="C906" s="5"/>
      <c r="D906" s="5">
        <v>0.0</v>
      </c>
    </row>
    <row r="907">
      <c r="A907" s="5"/>
      <c r="B907" s="5" t="s">
        <v>573</v>
      </c>
      <c r="C907" s="5"/>
      <c r="D907" s="5" t="s">
        <v>574</v>
      </c>
      <c r="E907" s="5">
        <v>0.0</v>
      </c>
    </row>
    <row r="908">
      <c r="A908" s="5"/>
      <c r="B908" s="5" t="s">
        <v>575</v>
      </c>
      <c r="C908" s="5"/>
      <c r="D908" s="5">
        <v>0.0</v>
      </c>
    </row>
    <row r="909">
      <c r="A909" s="5"/>
      <c r="B909" s="5" t="s">
        <v>576</v>
      </c>
      <c r="C909" s="5"/>
      <c r="D909" s="5">
        <v>0.0</v>
      </c>
    </row>
    <row r="910">
      <c r="A910" s="5"/>
      <c r="B910" s="5" t="s">
        <v>577</v>
      </c>
      <c r="C910" s="5"/>
      <c r="D910" s="5">
        <v>0.0</v>
      </c>
    </row>
    <row r="911">
      <c r="A911" s="5"/>
      <c r="B911" s="5" t="s">
        <v>578</v>
      </c>
      <c r="C911" s="5"/>
      <c r="D911" s="5">
        <v>0.0</v>
      </c>
    </row>
    <row r="912">
      <c r="A912" s="5"/>
      <c r="B912" s="5" t="s">
        <v>579</v>
      </c>
      <c r="C912" s="5"/>
      <c r="D912" s="5">
        <v>0.0</v>
      </c>
    </row>
    <row r="913">
      <c r="A913" s="5"/>
      <c r="B913" s="5" t="s">
        <v>580</v>
      </c>
      <c r="C913" s="5"/>
      <c r="D913" s="5">
        <v>0.0</v>
      </c>
    </row>
    <row r="914">
      <c r="A914" s="5"/>
      <c r="B914" s="5" t="s">
        <v>581</v>
      </c>
      <c r="C914" s="5"/>
      <c r="D914" s="5">
        <v>0.0</v>
      </c>
    </row>
    <row r="915">
      <c r="A915" s="5"/>
      <c r="B915" s="5" t="s">
        <v>510</v>
      </c>
      <c r="C915" s="5"/>
      <c r="D915" s="5">
        <v>0.0</v>
      </c>
    </row>
    <row r="916">
      <c r="A916" s="5"/>
      <c r="B916" s="5" t="s">
        <v>511</v>
      </c>
      <c r="C916" s="5"/>
      <c r="D916" s="5">
        <v>99.0</v>
      </c>
    </row>
    <row r="917">
      <c r="A917" s="5"/>
      <c r="B917" s="5" t="s">
        <v>512</v>
      </c>
      <c r="C917" s="5"/>
      <c r="D917" s="5">
        <v>15.0</v>
      </c>
    </row>
    <row r="918">
      <c r="A918" s="5"/>
      <c r="B918" s="5" t="s">
        <v>513</v>
      </c>
      <c r="C918" s="5"/>
      <c r="D918" s="5">
        <v>0.0</v>
      </c>
    </row>
    <row r="919">
      <c r="A919" s="5"/>
      <c r="B919" s="5" t="s">
        <v>514</v>
      </c>
      <c r="C919" s="5"/>
      <c r="D919" s="5">
        <v>0.0</v>
      </c>
    </row>
    <row r="920">
      <c r="A920" s="5"/>
      <c r="B920" s="5" t="s">
        <v>515</v>
      </c>
      <c r="C920" s="5"/>
      <c r="D920" s="5">
        <v>64.0</v>
      </c>
    </row>
    <row r="921">
      <c r="A921" s="5"/>
      <c r="B921" s="5" t="s">
        <v>516</v>
      </c>
      <c r="C921" s="5"/>
      <c r="D921" s="5">
        <v>0.0</v>
      </c>
    </row>
    <row r="922">
      <c r="A922" s="5"/>
      <c r="B922" s="5" t="s">
        <v>517</v>
      </c>
      <c r="C922" s="5"/>
      <c r="D922" s="5">
        <v>0.0</v>
      </c>
    </row>
    <row r="923">
      <c r="A923" s="5"/>
      <c r="B923" s="5" t="s">
        <v>518</v>
      </c>
      <c r="C923" s="5"/>
      <c r="D923" s="5">
        <v>0.0</v>
      </c>
    </row>
    <row r="924">
      <c r="A924" s="5"/>
      <c r="B924" s="5" t="s">
        <v>519</v>
      </c>
      <c r="C924" s="5"/>
      <c r="D924" s="5">
        <v>0.0</v>
      </c>
    </row>
    <row r="925">
      <c r="A925" s="5"/>
      <c r="B925" s="5" t="s">
        <v>520</v>
      </c>
      <c r="C925" s="5"/>
      <c r="D925" s="5">
        <v>0.0</v>
      </c>
    </row>
    <row r="926">
      <c r="A926" s="5"/>
      <c r="B926" s="5" t="s">
        <v>521</v>
      </c>
      <c r="C926" s="5"/>
      <c r="D926" s="5">
        <v>62.0</v>
      </c>
    </row>
    <row r="927">
      <c r="A927" s="5"/>
      <c r="B927" s="5" t="s">
        <v>522</v>
      </c>
      <c r="C927" s="5"/>
      <c r="D927" s="5">
        <v>82.0</v>
      </c>
    </row>
    <row r="928">
      <c r="A928" s="5"/>
      <c r="B928" s="5" t="s">
        <v>523</v>
      </c>
      <c r="C928" s="5"/>
      <c r="D928" s="5">
        <v>0.0</v>
      </c>
    </row>
    <row r="929">
      <c r="A929" s="5"/>
      <c r="B929" s="5" t="s">
        <v>524</v>
      </c>
      <c r="C929" s="5"/>
      <c r="D929" s="5">
        <v>60.0</v>
      </c>
    </row>
    <row r="930">
      <c r="A930" s="5"/>
      <c r="B930" s="5" t="s">
        <v>525</v>
      </c>
      <c r="C930" s="5"/>
      <c r="D930" s="5">
        <v>0.0</v>
      </c>
    </row>
    <row r="931">
      <c r="A931" s="5"/>
      <c r="B931" s="5" t="s">
        <v>526</v>
      </c>
      <c r="C931" s="5"/>
      <c r="D931" s="5">
        <v>90.0</v>
      </c>
    </row>
    <row r="932">
      <c r="A932" s="5"/>
      <c r="B932" s="5" t="s">
        <v>527</v>
      </c>
      <c r="C932" s="5"/>
      <c r="D932" s="5">
        <v>0.0</v>
      </c>
    </row>
    <row r="933">
      <c r="A933" s="5"/>
      <c r="B933" s="5" t="s">
        <v>528</v>
      </c>
      <c r="C933" s="5"/>
      <c r="D933" s="5">
        <v>0.0</v>
      </c>
    </row>
    <row r="934">
      <c r="A934" s="5"/>
      <c r="B934" s="5" t="s">
        <v>529</v>
      </c>
      <c r="C934" s="5"/>
      <c r="D934" s="5">
        <v>0.0</v>
      </c>
    </row>
    <row r="935">
      <c r="A935" s="5"/>
      <c r="B935" s="5" t="s">
        <v>530</v>
      </c>
      <c r="C935" s="5"/>
      <c r="D935" s="5">
        <v>0.0</v>
      </c>
    </row>
    <row r="936">
      <c r="A936" s="5"/>
      <c r="B936" s="5" t="s">
        <v>531</v>
      </c>
      <c r="C936" s="5"/>
      <c r="D936" s="5">
        <v>0.0</v>
      </c>
    </row>
    <row r="937">
      <c r="A937" s="5"/>
      <c r="B937" s="5" t="s">
        <v>532</v>
      </c>
      <c r="C937" s="5"/>
      <c r="D937" s="5">
        <v>24.0</v>
      </c>
    </row>
    <row r="938">
      <c r="A938" s="5"/>
      <c r="B938" s="5" t="s">
        <v>533</v>
      </c>
      <c r="C938" s="5"/>
      <c r="D938" s="5">
        <v>21.0</v>
      </c>
    </row>
    <row r="939">
      <c r="A939" s="5"/>
      <c r="B939" s="5" t="s">
        <v>534</v>
      </c>
      <c r="C939" s="5"/>
      <c r="D939" s="5">
        <v>0.0</v>
      </c>
    </row>
    <row r="940">
      <c r="A940" s="5"/>
      <c r="B940" s="5" t="s">
        <v>535</v>
      </c>
      <c r="C940" s="5"/>
      <c r="D940" s="5">
        <v>28.0</v>
      </c>
    </row>
    <row r="941">
      <c r="A941" s="5"/>
      <c r="B941" s="5" t="s">
        <v>536</v>
      </c>
      <c r="C941" s="5"/>
      <c r="D941" s="5">
        <v>0.0</v>
      </c>
    </row>
    <row r="942">
      <c r="A942" s="5"/>
      <c r="B942" s="5" t="s">
        <v>537</v>
      </c>
      <c r="C942" s="5"/>
      <c r="D942" s="5">
        <v>0.0</v>
      </c>
    </row>
    <row r="943">
      <c r="A943" s="5"/>
      <c r="B943" s="5" t="s">
        <v>538</v>
      </c>
      <c r="C943" s="5"/>
      <c r="D943" s="5">
        <v>50.0</v>
      </c>
    </row>
    <row r="944">
      <c r="A944" s="5"/>
      <c r="B944" s="5" t="s">
        <v>539</v>
      </c>
      <c r="C944" s="5"/>
      <c r="D944" s="5">
        <v>58.0</v>
      </c>
    </row>
    <row r="945">
      <c r="A945" s="5"/>
      <c r="B945" s="5" t="s">
        <v>540</v>
      </c>
      <c r="C945" s="5"/>
      <c r="D945" s="5">
        <v>0.0</v>
      </c>
    </row>
    <row r="946">
      <c r="A946" s="5"/>
      <c r="B946" s="5" t="s">
        <v>541</v>
      </c>
      <c r="C946" s="5"/>
      <c r="D946" s="5">
        <v>0.0</v>
      </c>
    </row>
    <row r="947">
      <c r="A947" s="5"/>
      <c r="B947" s="5" t="s">
        <v>542</v>
      </c>
      <c r="C947" s="5"/>
      <c r="D947" s="5">
        <v>0.0</v>
      </c>
    </row>
    <row r="948">
      <c r="A948" s="5"/>
      <c r="B948" s="5" t="s">
        <v>543</v>
      </c>
      <c r="C948" s="5"/>
      <c r="D948" s="5">
        <v>0.0</v>
      </c>
    </row>
    <row r="949">
      <c r="A949" s="5"/>
      <c r="B949" s="5" t="s">
        <v>544</v>
      </c>
      <c r="C949" s="5"/>
      <c r="D949" s="5">
        <v>85.0</v>
      </c>
    </row>
    <row r="950">
      <c r="A950" s="5"/>
      <c r="B950" s="5" t="s">
        <v>545</v>
      </c>
      <c r="C950" s="5"/>
      <c r="D950" s="5">
        <v>0.0</v>
      </c>
    </row>
    <row r="951">
      <c r="A951" s="5"/>
      <c r="B951" s="5" t="s">
        <v>546</v>
      </c>
      <c r="C951" s="5"/>
      <c r="D951" s="5">
        <v>5.0</v>
      </c>
    </row>
    <row r="952">
      <c r="A952" s="5"/>
      <c r="B952" s="5" t="s">
        <v>547</v>
      </c>
      <c r="C952" s="5"/>
      <c r="D952" s="5">
        <v>0.0</v>
      </c>
    </row>
    <row r="953">
      <c r="A953" s="5"/>
      <c r="B953" s="5" t="s">
        <v>548</v>
      </c>
      <c r="C953" s="5"/>
      <c r="D953" s="5">
        <v>0.0</v>
      </c>
    </row>
    <row r="954">
      <c r="A954" s="5"/>
      <c r="B954" s="5" t="s">
        <v>549</v>
      </c>
      <c r="C954" s="5"/>
      <c r="D954" s="5" t="s">
        <v>550</v>
      </c>
      <c r="E954" s="5">
        <v>0.0</v>
      </c>
    </row>
    <row r="955">
      <c r="A955" s="5"/>
      <c r="B955" s="5" t="s">
        <v>551</v>
      </c>
      <c r="C955" s="5"/>
      <c r="D955" s="5" t="s">
        <v>552</v>
      </c>
      <c r="E955" s="5">
        <v>18.0</v>
      </c>
    </row>
    <row r="956">
      <c r="A956" s="5"/>
      <c r="B956" s="5" t="s">
        <v>553</v>
      </c>
      <c r="C956" s="5"/>
      <c r="D956" s="5">
        <v>0.0</v>
      </c>
    </row>
    <row r="957">
      <c r="A957" s="5"/>
      <c r="B957" s="5" t="s">
        <v>554</v>
      </c>
      <c r="C957" s="5"/>
      <c r="D957" s="5">
        <v>0.0</v>
      </c>
    </row>
    <row r="958">
      <c r="A958" s="5"/>
      <c r="B958" s="5" t="s">
        <v>555</v>
      </c>
      <c r="C958" s="5"/>
      <c r="D958" s="5">
        <v>46.0</v>
      </c>
    </row>
    <row r="959">
      <c r="A959" s="5"/>
      <c r="B959" s="5" t="s">
        <v>556</v>
      </c>
      <c r="C959" s="5"/>
      <c r="D959" s="5">
        <v>0.0</v>
      </c>
    </row>
    <row r="960">
      <c r="A960" s="5"/>
      <c r="B960" s="5" t="s">
        <v>557</v>
      </c>
      <c r="C960" s="5"/>
      <c r="D960" s="5">
        <v>0.0</v>
      </c>
    </row>
    <row r="961">
      <c r="A961" s="5"/>
      <c r="B961" s="5" t="s">
        <v>558</v>
      </c>
      <c r="C961" s="5"/>
      <c r="D961" s="5">
        <v>0.0</v>
      </c>
    </row>
    <row r="962">
      <c r="A962" s="5"/>
      <c r="B962" s="5" t="s">
        <v>559</v>
      </c>
      <c r="C962" s="5"/>
      <c r="D962" s="5">
        <v>0.0</v>
      </c>
    </row>
    <row r="963">
      <c r="A963" s="5"/>
      <c r="B963" s="5" t="s">
        <v>560</v>
      </c>
      <c r="C963" s="5"/>
      <c r="D963" s="5">
        <v>58.0</v>
      </c>
    </row>
    <row r="964">
      <c r="A964" s="5"/>
      <c r="B964" s="5" t="s">
        <v>561</v>
      </c>
      <c r="C964" s="5"/>
      <c r="D964" s="5">
        <v>0.0</v>
      </c>
    </row>
    <row r="965">
      <c r="A965" s="5"/>
      <c r="B965" s="5" t="s">
        <v>562</v>
      </c>
      <c r="C965" s="5"/>
      <c r="D965" s="5">
        <v>60.0</v>
      </c>
    </row>
    <row r="966">
      <c r="A966" s="5"/>
      <c r="B966" s="5" t="s">
        <v>563</v>
      </c>
      <c r="C966" s="5"/>
      <c r="D966" s="5">
        <v>0.0</v>
      </c>
    </row>
    <row r="967">
      <c r="A967" s="5"/>
      <c r="B967" s="5" t="s">
        <v>564</v>
      </c>
      <c r="C967" s="5"/>
      <c r="D967" s="5">
        <v>21.0</v>
      </c>
    </row>
    <row r="968">
      <c r="A968" s="5"/>
      <c r="B968" s="5" t="s">
        <v>565</v>
      </c>
      <c r="C968" s="5"/>
      <c r="D968" s="5">
        <v>0.0</v>
      </c>
    </row>
    <row r="969">
      <c r="A969" s="5"/>
      <c r="B969" s="5" t="s">
        <v>566</v>
      </c>
      <c r="C969" s="5"/>
      <c r="D969" s="5">
        <v>0.0</v>
      </c>
    </row>
    <row r="970">
      <c r="A970" s="5"/>
      <c r="B970" s="5" t="s">
        <v>567</v>
      </c>
      <c r="C970" s="5"/>
      <c r="D970" s="5">
        <v>0.0</v>
      </c>
    </row>
    <row r="971">
      <c r="A971" s="5"/>
      <c r="B971" s="5" t="s">
        <v>568</v>
      </c>
      <c r="C971" s="5"/>
      <c r="D971" s="5">
        <v>60.0</v>
      </c>
    </row>
    <row r="972">
      <c r="A972" s="5"/>
      <c r="B972" s="5" t="s">
        <v>569</v>
      </c>
      <c r="C972" s="5"/>
      <c r="D972" s="5">
        <v>50.0</v>
      </c>
    </row>
    <row r="973">
      <c r="A973" s="5"/>
      <c r="B973" s="5" t="s">
        <v>570</v>
      </c>
      <c r="C973" s="5"/>
      <c r="D973" s="5">
        <v>30.0</v>
      </c>
    </row>
    <row r="974">
      <c r="A974" s="5"/>
      <c r="B974" s="5" t="s">
        <v>571</v>
      </c>
      <c r="C974" s="5"/>
      <c r="D974" s="5">
        <v>0.0</v>
      </c>
    </row>
    <row r="975">
      <c r="A975" s="5"/>
      <c r="B975" s="5" t="s">
        <v>572</v>
      </c>
      <c r="C975" s="5"/>
      <c r="D975" s="5">
        <v>0.0</v>
      </c>
    </row>
    <row r="976">
      <c r="A976" s="5"/>
      <c r="B976" s="5" t="s">
        <v>573</v>
      </c>
      <c r="C976" s="5"/>
      <c r="D976" s="5" t="s">
        <v>574</v>
      </c>
      <c r="E976" s="5">
        <v>0.0</v>
      </c>
    </row>
    <row r="977">
      <c r="A977" s="5"/>
      <c r="B977" s="5" t="s">
        <v>575</v>
      </c>
      <c r="C977" s="5"/>
      <c r="D977" s="5">
        <v>0.0</v>
      </c>
    </row>
    <row r="978">
      <c r="A978" s="5"/>
      <c r="B978" s="5" t="s">
        <v>576</v>
      </c>
      <c r="C978" s="5"/>
      <c r="D978" s="5">
        <v>0.0</v>
      </c>
    </row>
    <row r="979">
      <c r="A979" s="5"/>
      <c r="B979" s="5" t="s">
        <v>577</v>
      </c>
      <c r="C979" s="5"/>
      <c r="D979" s="5">
        <v>0.0</v>
      </c>
    </row>
    <row r="980">
      <c r="A980" s="5"/>
      <c r="B980" s="5" t="s">
        <v>578</v>
      </c>
      <c r="C980" s="5"/>
      <c r="D980" s="5">
        <v>0.0</v>
      </c>
    </row>
    <row r="981">
      <c r="A981" s="5"/>
      <c r="B981" s="5" t="s">
        <v>579</v>
      </c>
      <c r="C981" s="5"/>
      <c r="D981" s="5">
        <v>0.0</v>
      </c>
    </row>
    <row r="982">
      <c r="A982" s="5"/>
      <c r="B982" s="5" t="s">
        <v>580</v>
      </c>
      <c r="C982" s="5"/>
      <c r="D982" s="5">
        <v>0.0</v>
      </c>
    </row>
    <row r="983">
      <c r="A983" s="5"/>
      <c r="B983" s="5" t="s">
        <v>581</v>
      </c>
      <c r="C983" s="5"/>
      <c r="D983" s="5">
        <v>0.0</v>
      </c>
    </row>
    <row r="984">
      <c r="A984" s="5"/>
      <c r="B984" s="5" t="s">
        <v>582</v>
      </c>
      <c r="C984" s="5"/>
      <c r="D984" s="5">
        <v>0.0</v>
      </c>
    </row>
    <row r="985">
      <c r="A985" s="5"/>
      <c r="B985" s="5" t="s">
        <v>583</v>
      </c>
      <c r="C985" s="5"/>
      <c r="D985" s="5">
        <v>62.0</v>
      </c>
    </row>
    <row r="986">
      <c r="A986" s="5"/>
      <c r="B986" s="5" t="s">
        <v>584</v>
      </c>
      <c r="C986" s="5"/>
      <c r="D986" s="5">
        <v>0.0</v>
      </c>
    </row>
    <row r="987">
      <c r="A987" s="5"/>
      <c r="B987" s="5" t="s">
        <v>585</v>
      </c>
      <c r="C987" s="5"/>
      <c r="D987" s="5">
        <v>0.0</v>
      </c>
    </row>
    <row r="988">
      <c r="A988" s="5"/>
      <c r="B988" s="5" t="s">
        <v>586</v>
      </c>
      <c r="C988" s="5"/>
      <c r="D988" s="5">
        <v>0.0</v>
      </c>
    </row>
    <row r="989">
      <c r="A989" s="5"/>
      <c r="B989" s="5" t="s">
        <v>587</v>
      </c>
      <c r="C989" s="5"/>
      <c r="D989" s="5">
        <v>78.0</v>
      </c>
    </row>
    <row r="990">
      <c r="A990" s="5"/>
      <c r="B990" s="5" t="s">
        <v>588</v>
      </c>
      <c r="C990" s="5"/>
      <c r="D990" s="5">
        <v>0.0</v>
      </c>
    </row>
    <row r="991">
      <c r="A991" s="5"/>
      <c r="B991" s="5" t="s">
        <v>589</v>
      </c>
      <c r="C991" s="5"/>
      <c r="D991" s="5">
        <v>0.0</v>
      </c>
    </row>
    <row r="992">
      <c r="A992" s="5"/>
      <c r="B992" s="5" t="s">
        <v>590</v>
      </c>
      <c r="C992" s="5"/>
      <c r="D992" s="5">
        <v>0.0</v>
      </c>
    </row>
    <row r="993">
      <c r="A993" s="5"/>
      <c r="B993" s="5" t="s">
        <v>591</v>
      </c>
      <c r="C993" s="5"/>
      <c r="D993" s="5">
        <v>0.0</v>
      </c>
    </row>
    <row r="994">
      <c r="A994" s="5"/>
      <c r="B994" s="5" t="s">
        <v>592</v>
      </c>
      <c r="C994" s="5"/>
      <c r="D994" s="5">
        <v>0.0</v>
      </c>
    </row>
    <row r="995">
      <c r="A995" s="5"/>
      <c r="B995" s="5" t="s">
        <v>593</v>
      </c>
      <c r="C995" s="5"/>
      <c r="D995" s="5">
        <v>46.0</v>
      </c>
    </row>
    <row r="996">
      <c r="A996" s="5"/>
      <c r="B996" s="5" t="s">
        <v>594</v>
      </c>
      <c r="C996" s="5"/>
      <c r="D996" s="5">
        <v>38.0</v>
      </c>
    </row>
    <row r="997">
      <c r="A997" s="5"/>
      <c r="B997" s="5" t="s">
        <v>595</v>
      </c>
      <c r="C997" s="5"/>
      <c r="D997" s="5">
        <v>79.0</v>
      </c>
    </row>
    <row r="998">
      <c r="A998" s="5"/>
      <c r="B998" s="5" t="s">
        <v>596</v>
      </c>
      <c r="C998" s="5"/>
      <c r="D998" s="5">
        <v>0.0</v>
      </c>
    </row>
    <row r="999">
      <c r="A999" s="5"/>
      <c r="B999" s="5" t="s">
        <v>597</v>
      </c>
      <c r="C999" s="5"/>
      <c r="D999" s="5">
        <v>47.0</v>
      </c>
    </row>
    <row r="1000">
      <c r="A1000" s="5"/>
      <c r="B1000" s="5" t="s">
        <v>598</v>
      </c>
      <c r="C1000" s="5"/>
      <c r="D1000" s="5">
        <v>0.0</v>
      </c>
    </row>
    <row r="1001">
      <c r="A1001" s="5"/>
      <c r="B1001" s="5" t="s">
        <v>599</v>
      </c>
      <c r="C1001" s="5"/>
      <c r="D1001" s="5">
        <v>0.0</v>
      </c>
    </row>
    <row r="1002">
      <c r="A1002" s="5"/>
      <c r="B1002" s="5" t="s">
        <v>600</v>
      </c>
      <c r="C1002" s="5"/>
      <c r="D1002" s="5">
        <v>0.0</v>
      </c>
    </row>
    <row r="1003">
      <c r="A1003" s="5"/>
      <c r="B1003" s="5" t="s">
        <v>601</v>
      </c>
      <c r="C1003" s="5"/>
      <c r="D1003" s="5">
        <v>0.0</v>
      </c>
    </row>
    <row r="1004">
      <c r="A1004" s="5"/>
      <c r="B1004" s="5" t="s">
        <v>602</v>
      </c>
      <c r="C1004" s="5"/>
      <c r="D1004" s="5">
        <v>24.0</v>
      </c>
    </row>
    <row r="1005">
      <c r="A1005" s="5"/>
      <c r="B1005" s="5" t="s">
        <v>603</v>
      </c>
      <c r="C1005" s="5"/>
      <c r="D1005" s="5">
        <v>66.0</v>
      </c>
    </row>
    <row r="1006">
      <c r="A1006" s="5"/>
      <c r="B1006" s="5" t="s">
        <v>604</v>
      </c>
      <c r="C1006" s="5"/>
      <c r="D1006" s="5">
        <v>0.0</v>
      </c>
    </row>
    <row r="1007">
      <c r="A1007" s="5"/>
      <c r="B1007" s="5" t="s">
        <v>605</v>
      </c>
      <c r="C1007" s="5"/>
      <c r="D1007" s="5">
        <v>67.0</v>
      </c>
    </row>
    <row r="1008">
      <c r="A1008" s="5"/>
      <c r="B1008" s="5" t="s">
        <v>606</v>
      </c>
      <c r="C1008" s="5"/>
      <c r="D1008" s="5">
        <v>0.0</v>
      </c>
    </row>
    <row r="1009">
      <c r="A1009" s="5"/>
      <c r="B1009" s="5" t="s">
        <v>607</v>
      </c>
      <c r="C1009" s="5"/>
      <c r="D1009" s="5" t="s">
        <v>608</v>
      </c>
      <c r="E1009" s="5">
        <v>0.0</v>
      </c>
    </row>
    <row r="1010">
      <c r="A1010" s="5"/>
      <c r="B1010" s="5" t="s">
        <v>609</v>
      </c>
      <c r="C1010" s="5"/>
      <c r="D1010" s="5">
        <v>0.0</v>
      </c>
    </row>
    <row r="1011">
      <c r="A1011" s="5"/>
      <c r="B1011" s="5" t="s">
        <v>610</v>
      </c>
      <c r="C1011" s="5"/>
      <c r="D1011" s="5">
        <v>0.0</v>
      </c>
    </row>
    <row r="1012">
      <c r="A1012" s="5"/>
      <c r="B1012" s="5" t="s">
        <v>611</v>
      </c>
      <c r="C1012" s="5"/>
      <c r="D1012" s="5">
        <v>0.0</v>
      </c>
    </row>
    <row r="1013">
      <c r="A1013" s="5"/>
      <c r="B1013" s="5" t="s">
        <v>612</v>
      </c>
      <c r="C1013" s="5"/>
      <c r="D1013" s="5">
        <v>32.0</v>
      </c>
    </row>
    <row r="1014">
      <c r="A1014" s="5"/>
      <c r="B1014" s="5" t="s">
        <v>613</v>
      </c>
      <c r="C1014" s="5"/>
      <c r="D1014" s="5">
        <v>0.0</v>
      </c>
    </row>
    <row r="1015">
      <c r="A1015" s="5"/>
      <c r="B1015" s="5" t="s">
        <v>614</v>
      </c>
      <c r="C1015" s="5"/>
      <c r="D1015" s="5">
        <v>0.0</v>
      </c>
    </row>
    <row r="1016">
      <c r="A1016" s="5"/>
      <c r="B1016" s="5" t="s">
        <v>615</v>
      </c>
      <c r="C1016" s="5"/>
      <c r="D1016" s="5">
        <v>0.0</v>
      </c>
    </row>
    <row r="1017">
      <c r="A1017" s="5"/>
      <c r="B1017" s="5" t="s">
        <v>616</v>
      </c>
      <c r="C1017" s="5"/>
      <c r="D1017" s="5">
        <v>0.0</v>
      </c>
    </row>
    <row r="1018">
      <c r="A1018" s="5"/>
      <c r="B1018" s="5" t="s">
        <v>617</v>
      </c>
      <c r="C1018" s="5"/>
      <c r="D1018" s="5">
        <v>0.0</v>
      </c>
    </row>
    <row r="1019">
      <c r="A1019" s="5"/>
      <c r="B1019" s="5" t="s">
        <v>618</v>
      </c>
      <c r="C1019" s="5"/>
      <c r="D1019" s="5">
        <v>0.0</v>
      </c>
    </row>
    <row r="1020">
      <c r="A1020" s="5"/>
      <c r="B1020" s="5" t="s">
        <v>619</v>
      </c>
      <c r="C1020" s="5"/>
      <c r="D1020" s="5">
        <v>87.0</v>
      </c>
    </row>
    <row r="1021">
      <c r="A1021" s="5"/>
      <c r="B1021" s="5" t="s">
        <v>620</v>
      </c>
      <c r="C1021" s="5"/>
      <c r="D1021" s="5">
        <v>0.0</v>
      </c>
    </row>
    <row r="1022">
      <c r="A1022" s="5"/>
      <c r="B1022" s="5" t="s">
        <v>621</v>
      </c>
      <c r="C1022" s="5"/>
      <c r="D1022" s="5">
        <v>0.0</v>
      </c>
    </row>
    <row r="1023">
      <c r="A1023" s="5"/>
      <c r="B1023" s="5" t="s">
        <v>622</v>
      </c>
      <c r="C1023" s="5"/>
      <c r="D1023" s="5">
        <v>0.0</v>
      </c>
    </row>
    <row r="1024">
      <c r="A1024" s="5"/>
      <c r="B1024" s="5" t="s">
        <v>623</v>
      </c>
      <c r="C1024" s="5"/>
      <c r="D1024" s="5">
        <v>14.0</v>
      </c>
    </row>
    <row r="1025">
      <c r="A1025" s="5"/>
      <c r="B1025" s="5" t="s">
        <v>624</v>
      </c>
      <c r="C1025" s="5"/>
      <c r="D1025" s="5">
        <v>76.0</v>
      </c>
    </row>
    <row r="1026">
      <c r="A1026" s="5"/>
      <c r="B1026" s="5" t="s">
        <v>625</v>
      </c>
      <c r="C1026" s="5"/>
      <c r="D1026" s="5">
        <v>20.0</v>
      </c>
    </row>
    <row r="1027">
      <c r="A1027" s="5"/>
      <c r="B1027" s="5" t="s">
        <v>626</v>
      </c>
      <c r="C1027" s="5"/>
      <c r="D1027" s="5">
        <v>0.0</v>
      </c>
    </row>
    <row r="1028">
      <c r="A1028" s="5"/>
      <c r="B1028" s="5" t="s">
        <v>627</v>
      </c>
      <c r="C1028" s="5"/>
      <c r="D1028" s="5">
        <v>0.0</v>
      </c>
    </row>
    <row r="1029">
      <c r="A1029" s="5"/>
      <c r="B1029" s="5" t="s">
        <v>628</v>
      </c>
      <c r="C1029" s="5"/>
      <c r="D1029" s="5">
        <v>8.0</v>
      </c>
    </row>
    <row r="1030">
      <c r="A1030" s="5"/>
      <c r="B1030" s="5" t="s">
        <v>629</v>
      </c>
      <c r="C1030" s="5"/>
      <c r="D1030" s="5">
        <v>0.0</v>
      </c>
    </row>
    <row r="1031">
      <c r="A1031" s="5"/>
      <c r="B1031" s="5" t="s">
        <v>630</v>
      </c>
      <c r="C1031" s="5"/>
      <c r="D1031" s="5">
        <v>0.0</v>
      </c>
    </row>
    <row r="1032">
      <c r="A1032" s="5"/>
      <c r="B1032" s="5" t="s">
        <v>631</v>
      </c>
      <c r="C1032" s="5"/>
      <c r="D1032" s="5">
        <v>0.0</v>
      </c>
    </row>
    <row r="1033">
      <c r="A1033" s="5"/>
      <c r="B1033" s="5" t="s">
        <v>632</v>
      </c>
      <c r="C1033" s="5"/>
      <c r="D1033" s="5">
        <v>78.0</v>
      </c>
    </row>
    <row r="1034">
      <c r="A1034" s="5"/>
      <c r="B1034" s="5" t="s">
        <v>633</v>
      </c>
      <c r="C1034" s="5"/>
      <c r="D1034" s="5">
        <v>6.0</v>
      </c>
    </row>
    <row r="1035">
      <c r="A1035" s="5"/>
      <c r="B1035" s="5" t="s">
        <v>634</v>
      </c>
      <c r="C1035" s="5"/>
      <c r="D1035" s="5">
        <v>89.0</v>
      </c>
    </row>
    <row r="1036">
      <c r="A1036" s="5"/>
      <c r="B1036" s="5" t="s">
        <v>635</v>
      </c>
      <c r="C1036" s="5"/>
      <c r="D1036" s="5">
        <v>38.0</v>
      </c>
    </row>
    <row r="1037">
      <c r="A1037" s="5"/>
      <c r="B1037" s="5" t="s">
        <v>636</v>
      </c>
      <c r="C1037" s="5"/>
      <c r="D1037" s="5">
        <v>68.0</v>
      </c>
    </row>
    <row r="1038">
      <c r="A1038" s="5"/>
      <c r="B1038" s="5" t="s">
        <v>637</v>
      </c>
      <c r="C1038" s="5"/>
      <c r="D1038" s="5">
        <v>0.0</v>
      </c>
    </row>
    <row r="1039">
      <c r="A1039" s="5"/>
      <c r="B1039" s="5" t="s">
        <v>638</v>
      </c>
      <c r="C1039" s="5"/>
      <c r="D1039" s="5">
        <v>0.0</v>
      </c>
    </row>
    <row r="1040">
      <c r="A1040" s="5"/>
      <c r="B1040" s="5" t="s">
        <v>639</v>
      </c>
      <c r="C1040" s="5"/>
      <c r="D1040" s="5">
        <v>0.0</v>
      </c>
    </row>
    <row r="1041">
      <c r="A1041" s="5"/>
      <c r="B1041" s="5" t="s">
        <v>640</v>
      </c>
      <c r="C1041" s="5"/>
      <c r="D1041" s="5">
        <v>90.0</v>
      </c>
    </row>
    <row r="1042">
      <c r="A1042" s="5"/>
      <c r="B1042" s="5" t="s">
        <v>641</v>
      </c>
      <c r="C1042" s="5"/>
      <c r="D1042" s="5">
        <v>0.0</v>
      </c>
    </row>
    <row r="1043">
      <c r="A1043" s="5"/>
      <c r="B1043" s="5" t="s">
        <v>642</v>
      </c>
      <c r="C1043" s="5"/>
      <c r="D1043" s="5">
        <v>0.0</v>
      </c>
    </row>
    <row r="1044">
      <c r="A1044" s="5"/>
      <c r="B1044" s="5" t="s">
        <v>643</v>
      </c>
      <c r="C1044" s="5"/>
      <c r="D1044" s="5">
        <v>57.0</v>
      </c>
    </row>
    <row r="1045">
      <c r="A1045" s="5"/>
      <c r="B1045" s="5" t="s">
        <v>644</v>
      </c>
      <c r="C1045" s="5"/>
      <c r="D1045" s="5">
        <v>20.0</v>
      </c>
    </row>
    <row r="1046">
      <c r="A1046" s="5"/>
      <c r="B1046" s="5" t="s">
        <v>645</v>
      </c>
      <c r="C1046" s="5"/>
      <c r="D1046" s="5">
        <v>0.0</v>
      </c>
    </row>
    <row r="1047">
      <c r="A1047" s="5"/>
      <c r="B1047" s="5" t="s">
        <v>646</v>
      </c>
      <c r="C1047" s="5"/>
      <c r="D1047" s="5">
        <v>50.0</v>
      </c>
    </row>
    <row r="1048">
      <c r="A1048" s="5"/>
      <c r="B1048" s="5" t="s">
        <v>647</v>
      </c>
      <c r="C1048" s="5"/>
      <c r="D1048" s="5">
        <v>0.0</v>
      </c>
    </row>
    <row r="1049">
      <c r="A1049" s="5"/>
      <c r="B1049" s="5" t="s">
        <v>648</v>
      </c>
      <c r="C1049" s="5"/>
      <c r="D1049" s="5">
        <v>0.0</v>
      </c>
    </row>
    <row r="1050">
      <c r="A1050" s="5"/>
      <c r="B1050" s="5" t="s">
        <v>649</v>
      </c>
      <c r="C1050" s="5"/>
      <c r="D1050" s="5">
        <v>0.0</v>
      </c>
    </row>
    <row r="1051">
      <c r="A1051" s="5"/>
      <c r="B1051" s="5" t="s">
        <v>650</v>
      </c>
      <c r="C1051" s="5"/>
      <c r="D1051" s="5">
        <v>0.0</v>
      </c>
    </row>
    <row r="1052">
      <c r="A1052" s="5"/>
      <c r="B1052" s="5" t="s">
        <v>651</v>
      </c>
      <c r="C1052" s="5"/>
      <c r="D1052" s="5">
        <v>0.0</v>
      </c>
    </row>
    <row r="1053">
      <c r="A1053" s="5"/>
      <c r="B1053" s="5" t="s">
        <v>582</v>
      </c>
      <c r="C1053" s="5"/>
      <c r="D1053" s="5">
        <v>0.0</v>
      </c>
    </row>
    <row r="1054">
      <c r="A1054" s="5"/>
      <c r="B1054" s="5" t="s">
        <v>583</v>
      </c>
      <c r="C1054" s="5"/>
      <c r="D1054" s="5">
        <v>62.0</v>
      </c>
    </row>
    <row r="1055">
      <c r="A1055" s="5"/>
      <c r="B1055" s="5" t="s">
        <v>584</v>
      </c>
      <c r="C1055" s="5"/>
      <c r="D1055" s="5">
        <v>0.0</v>
      </c>
    </row>
    <row r="1056">
      <c r="A1056" s="5"/>
      <c r="B1056" s="5" t="s">
        <v>585</v>
      </c>
      <c r="C1056" s="5"/>
      <c r="D1056" s="5">
        <v>0.0</v>
      </c>
    </row>
    <row r="1057">
      <c r="A1057" s="5"/>
      <c r="B1057" s="5" t="s">
        <v>586</v>
      </c>
      <c r="C1057" s="5"/>
      <c r="D1057" s="5">
        <v>0.0</v>
      </c>
    </row>
    <row r="1058">
      <c r="A1058" s="5"/>
      <c r="B1058" s="5" t="s">
        <v>587</v>
      </c>
      <c r="C1058" s="5"/>
      <c r="D1058" s="5">
        <v>78.0</v>
      </c>
    </row>
    <row r="1059">
      <c r="A1059" s="5"/>
      <c r="B1059" s="5" t="s">
        <v>588</v>
      </c>
      <c r="C1059" s="5"/>
      <c r="D1059" s="5">
        <v>0.0</v>
      </c>
    </row>
    <row r="1060">
      <c r="A1060" s="5"/>
      <c r="B1060" s="5" t="s">
        <v>589</v>
      </c>
      <c r="C1060" s="5"/>
      <c r="D1060" s="5">
        <v>0.0</v>
      </c>
    </row>
    <row r="1061">
      <c r="A1061" s="5"/>
      <c r="B1061" s="5" t="s">
        <v>590</v>
      </c>
      <c r="C1061" s="5"/>
      <c r="D1061" s="5">
        <v>0.0</v>
      </c>
    </row>
    <row r="1062">
      <c r="A1062" s="5"/>
      <c r="B1062" s="5" t="s">
        <v>591</v>
      </c>
      <c r="C1062" s="5"/>
      <c r="D1062" s="5">
        <v>0.0</v>
      </c>
    </row>
    <row r="1063">
      <c r="A1063" s="5"/>
      <c r="B1063" s="5" t="s">
        <v>592</v>
      </c>
      <c r="C1063" s="5"/>
      <c r="D1063" s="5">
        <v>0.0</v>
      </c>
    </row>
    <row r="1064">
      <c r="A1064" s="5"/>
      <c r="B1064" s="5" t="s">
        <v>593</v>
      </c>
      <c r="C1064" s="5"/>
      <c r="D1064" s="5">
        <v>46.0</v>
      </c>
    </row>
    <row r="1065">
      <c r="A1065" s="5"/>
      <c r="B1065" s="5" t="s">
        <v>594</v>
      </c>
      <c r="C1065" s="5"/>
      <c r="D1065" s="5">
        <v>38.0</v>
      </c>
    </row>
    <row r="1066">
      <c r="A1066" s="5"/>
      <c r="B1066" s="5" t="s">
        <v>595</v>
      </c>
      <c r="C1066" s="5"/>
      <c r="D1066" s="5">
        <v>79.0</v>
      </c>
    </row>
    <row r="1067">
      <c r="A1067" s="5"/>
      <c r="B1067" s="5" t="s">
        <v>596</v>
      </c>
      <c r="C1067" s="5"/>
      <c r="D1067" s="5">
        <v>0.0</v>
      </c>
    </row>
    <row r="1068">
      <c r="A1068" s="5"/>
      <c r="B1068" s="5" t="s">
        <v>597</v>
      </c>
      <c r="C1068" s="5"/>
      <c r="D1068" s="5">
        <v>47.0</v>
      </c>
    </row>
    <row r="1069">
      <c r="A1069" s="5"/>
      <c r="B1069" s="5" t="s">
        <v>598</v>
      </c>
      <c r="C1069" s="5"/>
      <c r="D1069" s="5">
        <v>0.0</v>
      </c>
    </row>
    <row r="1070">
      <c r="A1070" s="5"/>
      <c r="B1070" s="5" t="s">
        <v>599</v>
      </c>
      <c r="C1070" s="5"/>
      <c r="D1070" s="5">
        <v>0.0</v>
      </c>
    </row>
    <row r="1071">
      <c r="A1071" s="5"/>
      <c r="B1071" s="5" t="s">
        <v>600</v>
      </c>
      <c r="C1071" s="5"/>
      <c r="D1071" s="5">
        <v>0.0</v>
      </c>
    </row>
    <row r="1072">
      <c r="A1072" s="5"/>
      <c r="B1072" s="5" t="s">
        <v>601</v>
      </c>
      <c r="C1072" s="5"/>
      <c r="D1072" s="5">
        <v>0.0</v>
      </c>
    </row>
    <row r="1073">
      <c r="A1073" s="5"/>
      <c r="B1073" s="5" t="s">
        <v>602</v>
      </c>
      <c r="C1073" s="5"/>
      <c r="D1073" s="5">
        <v>24.0</v>
      </c>
    </row>
    <row r="1074">
      <c r="A1074" s="5"/>
      <c r="B1074" s="5" t="s">
        <v>603</v>
      </c>
      <c r="C1074" s="5"/>
      <c r="D1074" s="5">
        <v>66.0</v>
      </c>
    </row>
    <row r="1075">
      <c r="A1075" s="5"/>
      <c r="B1075" s="5" t="s">
        <v>604</v>
      </c>
      <c r="C1075" s="5"/>
      <c r="D1075" s="5">
        <v>0.0</v>
      </c>
    </row>
    <row r="1076">
      <c r="A1076" s="5"/>
      <c r="B1076" s="5" t="s">
        <v>605</v>
      </c>
      <c r="C1076" s="5"/>
      <c r="D1076" s="5">
        <v>67.0</v>
      </c>
    </row>
    <row r="1077">
      <c r="A1077" s="5"/>
      <c r="B1077" s="5" t="s">
        <v>606</v>
      </c>
      <c r="C1077" s="5"/>
      <c r="D1077" s="5">
        <v>0.0</v>
      </c>
    </row>
    <row r="1078">
      <c r="A1078" s="5"/>
      <c r="B1078" s="5" t="s">
        <v>607</v>
      </c>
      <c r="C1078" s="5"/>
      <c r="D1078" s="5" t="s">
        <v>608</v>
      </c>
      <c r="E1078" s="5">
        <v>0.0</v>
      </c>
    </row>
    <row r="1079">
      <c r="A1079" s="5"/>
      <c r="B1079" s="5" t="s">
        <v>609</v>
      </c>
      <c r="C1079" s="5"/>
      <c r="D1079" s="5">
        <v>0.0</v>
      </c>
    </row>
    <row r="1080">
      <c r="A1080" s="5"/>
      <c r="B1080" s="5" t="s">
        <v>610</v>
      </c>
      <c r="C1080" s="5"/>
      <c r="D1080" s="5">
        <v>0.0</v>
      </c>
    </row>
    <row r="1081">
      <c r="A1081" s="5"/>
      <c r="B1081" s="5" t="s">
        <v>611</v>
      </c>
      <c r="C1081" s="5"/>
      <c r="D1081" s="5">
        <v>0.0</v>
      </c>
    </row>
    <row r="1082">
      <c r="A1082" s="5"/>
      <c r="B1082" s="5" t="s">
        <v>612</v>
      </c>
      <c r="C1082" s="5"/>
      <c r="D1082" s="5">
        <v>32.0</v>
      </c>
    </row>
    <row r="1083">
      <c r="A1083" s="5"/>
      <c r="B1083" s="5" t="s">
        <v>613</v>
      </c>
      <c r="C1083" s="5"/>
      <c r="D1083" s="5">
        <v>0.0</v>
      </c>
    </row>
    <row r="1084">
      <c r="A1084" s="5"/>
      <c r="B1084" s="5" t="s">
        <v>614</v>
      </c>
      <c r="C1084" s="5"/>
      <c r="D1084" s="5">
        <v>0.0</v>
      </c>
    </row>
    <row r="1085">
      <c r="A1085" s="5"/>
      <c r="B1085" s="5" t="s">
        <v>615</v>
      </c>
      <c r="C1085" s="5"/>
      <c r="D1085" s="5">
        <v>0.0</v>
      </c>
    </row>
    <row r="1086">
      <c r="A1086" s="5"/>
      <c r="B1086" s="5" t="s">
        <v>616</v>
      </c>
      <c r="C1086" s="5"/>
      <c r="D1086" s="5">
        <v>0.0</v>
      </c>
    </row>
    <row r="1087">
      <c r="A1087" s="5"/>
      <c r="B1087" s="5" t="s">
        <v>617</v>
      </c>
      <c r="C1087" s="5"/>
      <c r="D1087" s="5">
        <v>0.0</v>
      </c>
    </row>
    <row r="1088">
      <c r="A1088" s="5"/>
      <c r="B1088" s="5" t="s">
        <v>618</v>
      </c>
      <c r="C1088" s="5"/>
      <c r="D1088" s="5">
        <v>0.0</v>
      </c>
    </row>
    <row r="1089">
      <c r="A1089" s="5"/>
      <c r="B1089" s="5" t="s">
        <v>619</v>
      </c>
      <c r="C1089" s="5"/>
      <c r="D1089" s="5">
        <v>87.0</v>
      </c>
    </row>
    <row r="1090">
      <c r="A1090" s="5"/>
      <c r="B1090" s="5" t="s">
        <v>620</v>
      </c>
      <c r="C1090" s="5"/>
      <c r="D1090" s="5">
        <v>0.0</v>
      </c>
    </row>
    <row r="1091">
      <c r="A1091" s="5"/>
      <c r="B1091" s="5" t="s">
        <v>621</v>
      </c>
      <c r="C1091" s="5"/>
      <c r="D1091" s="5">
        <v>0.0</v>
      </c>
    </row>
    <row r="1092">
      <c r="A1092" s="5"/>
      <c r="B1092" s="5" t="s">
        <v>622</v>
      </c>
      <c r="C1092" s="5"/>
      <c r="D1092" s="5">
        <v>0.0</v>
      </c>
    </row>
    <row r="1093">
      <c r="A1093" s="5"/>
      <c r="B1093" s="5" t="s">
        <v>623</v>
      </c>
      <c r="C1093" s="5"/>
      <c r="D1093" s="5">
        <v>14.0</v>
      </c>
    </row>
    <row r="1094">
      <c r="A1094" s="5"/>
      <c r="B1094" s="5" t="s">
        <v>624</v>
      </c>
      <c r="C1094" s="5"/>
      <c r="D1094" s="5">
        <v>76.0</v>
      </c>
    </row>
    <row r="1095">
      <c r="A1095" s="5"/>
      <c r="B1095" s="5" t="s">
        <v>625</v>
      </c>
      <c r="C1095" s="5"/>
      <c r="D1095" s="5">
        <v>20.0</v>
      </c>
    </row>
    <row r="1096">
      <c r="A1096" s="5"/>
      <c r="B1096" s="5" t="s">
        <v>626</v>
      </c>
      <c r="C1096" s="5"/>
      <c r="D1096" s="5">
        <v>0.0</v>
      </c>
    </row>
    <row r="1097">
      <c r="A1097" s="5"/>
      <c r="B1097" s="5" t="s">
        <v>627</v>
      </c>
      <c r="C1097" s="5"/>
      <c r="D1097" s="5">
        <v>0.0</v>
      </c>
    </row>
    <row r="1098">
      <c r="A1098" s="5"/>
      <c r="B1098" s="5" t="s">
        <v>628</v>
      </c>
      <c r="C1098" s="5"/>
      <c r="D1098" s="5">
        <v>8.0</v>
      </c>
    </row>
    <row r="1099">
      <c r="A1099" s="5"/>
      <c r="B1099" s="5" t="s">
        <v>629</v>
      </c>
      <c r="C1099" s="5"/>
      <c r="D1099" s="5">
        <v>0.0</v>
      </c>
    </row>
    <row r="1100">
      <c r="A1100" s="5"/>
      <c r="B1100" s="5" t="s">
        <v>630</v>
      </c>
      <c r="C1100" s="5"/>
      <c r="D1100" s="5">
        <v>0.0</v>
      </c>
    </row>
    <row r="1101">
      <c r="A1101" s="5"/>
      <c r="B1101" s="5" t="s">
        <v>631</v>
      </c>
      <c r="C1101" s="5"/>
      <c r="D1101" s="5">
        <v>0.0</v>
      </c>
    </row>
    <row r="1102">
      <c r="A1102" s="5"/>
      <c r="B1102" s="5" t="s">
        <v>632</v>
      </c>
      <c r="C1102" s="5"/>
      <c r="D1102" s="5">
        <v>78.0</v>
      </c>
    </row>
    <row r="1103">
      <c r="A1103" s="5"/>
      <c r="B1103" s="5" t="s">
        <v>633</v>
      </c>
      <c r="C1103" s="5"/>
      <c r="D1103" s="5">
        <v>6.0</v>
      </c>
    </row>
    <row r="1104">
      <c r="A1104" s="5"/>
      <c r="B1104" s="5" t="s">
        <v>634</v>
      </c>
      <c r="C1104" s="5"/>
      <c r="D1104" s="5">
        <v>89.0</v>
      </c>
    </row>
    <row r="1105">
      <c r="A1105" s="5"/>
      <c r="B1105" s="5" t="s">
        <v>635</v>
      </c>
      <c r="C1105" s="5"/>
      <c r="D1105" s="5">
        <v>38.0</v>
      </c>
    </row>
    <row r="1106">
      <c r="A1106" s="5"/>
      <c r="B1106" s="5" t="s">
        <v>636</v>
      </c>
      <c r="C1106" s="5"/>
      <c r="D1106" s="5">
        <v>68.0</v>
      </c>
    </row>
    <row r="1107">
      <c r="A1107" s="5"/>
      <c r="B1107" s="5" t="s">
        <v>637</v>
      </c>
      <c r="C1107" s="5"/>
      <c r="D1107" s="5">
        <v>0.0</v>
      </c>
    </row>
    <row r="1108">
      <c r="A1108" s="5"/>
      <c r="B1108" s="5" t="s">
        <v>638</v>
      </c>
      <c r="C1108" s="5"/>
      <c r="D1108" s="5">
        <v>0.0</v>
      </c>
    </row>
    <row r="1109">
      <c r="A1109" s="5"/>
      <c r="B1109" s="5" t="s">
        <v>639</v>
      </c>
      <c r="C1109" s="5"/>
      <c r="D1109" s="5">
        <v>0.0</v>
      </c>
    </row>
    <row r="1110">
      <c r="A1110" s="5"/>
      <c r="B1110" s="5" t="s">
        <v>640</v>
      </c>
      <c r="C1110" s="5"/>
      <c r="D1110" s="5">
        <v>90.0</v>
      </c>
    </row>
    <row r="1111">
      <c r="A1111" s="5"/>
      <c r="B1111" s="5" t="s">
        <v>641</v>
      </c>
      <c r="C1111" s="5"/>
      <c r="D1111" s="5">
        <v>0.0</v>
      </c>
    </row>
    <row r="1112">
      <c r="A1112" s="5"/>
      <c r="B1112" s="5" t="s">
        <v>642</v>
      </c>
      <c r="C1112" s="5"/>
      <c r="D1112" s="5">
        <v>0.0</v>
      </c>
    </row>
    <row r="1113">
      <c r="A1113" s="5"/>
      <c r="B1113" s="5" t="s">
        <v>643</v>
      </c>
      <c r="C1113" s="5"/>
      <c r="D1113" s="5">
        <v>57.0</v>
      </c>
    </row>
    <row r="1114">
      <c r="A1114" s="5"/>
      <c r="B1114" s="5" t="s">
        <v>644</v>
      </c>
      <c r="C1114" s="5"/>
      <c r="D1114" s="5">
        <v>20.0</v>
      </c>
    </row>
    <row r="1115">
      <c r="A1115" s="5"/>
      <c r="B1115" s="5" t="s">
        <v>645</v>
      </c>
      <c r="C1115" s="5"/>
      <c r="D1115" s="5">
        <v>0.0</v>
      </c>
    </row>
    <row r="1116">
      <c r="A1116" s="5"/>
      <c r="B1116" s="5" t="s">
        <v>646</v>
      </c>
      <c r="C1116" s="5"/>
      <c r="D1116" s="5">
        <v>50.0</v>
      </c>
    </row>
    <row r="1117">
      <c r="A1117" s="5"/>
      <c r="B1117" s="5" t="s">
        <v>647</v>
      </c>
      <c r="C1117" s="5"/>
      <c r="D1117" s="5">
        <v>0.0</v>
      </c>
    </row>
    <row r="1118">
      <c r="A1118" s="5"/>
      <c r="B1118" s="5" t="s">
        <v>648</v>
      </c>
      <c r="C1118" s="5"/>
      <c r="D1118" s="5">
        <v>0.0</v>
      </c>
    </row>
    <row r="1119">
      <c r="A1119" s="5"/>
      <c r="B1119" s="5" t="s">
        <v>649</v>
      </c>
      <c r="C1119" s="5"/>
      <c r="D1119" s="5">
        <v>0.0</v>
      </c>
    </row>
    <row r="1120">
      <c r="A1120" s="5"/>
      <c r="B1120" s="5" t="s">
        <v>650</v>
      </c>
      <c r="C1120" s="5"/>
      <c r="D1120" s="5">
        <v>0.0</v>
      </c>
    </row>
    <row r="1121">
      <c r="A1121" s="5"/>
      <c r="B1121" s="5" t="s">
        <v>651</v>
      </c>
      <c r="C1121" s="5"/>
      <c r="D1121" s="5">
        <v>0.0</v>
      </c>
    </row>
    <row r="1122">
      <c r="A1122" s="5"/>
      <c r="B1122" s="5" t="s">
        <v>652</v>
      </c>
      <c r="C1122" s="5"/>
      <c r="D1122" s="5">
        <v>0.0</v>
      </c>
    </row>
    <row r="1123">
      <c r="A1123" s="5"/>
      <c r="B1123" s="5" t="s">
        <v>653</v>
      </c>
      <c r="C1123" s="5"/>
      <c r="D1123" s="5">
        <v>0.0</v>
      </c>
    </row>
    <row r="1124">
      <c r="A1124" s="5"/>
      <c r="B1124" s="5" t="s">
        <v>654</v>
      </c>
      <c r="C1124" s="5"/>
      <c r="D1124" s="5">
        <v>0.0</v>
      </c>
    </row>
    <row r="1125">
      <c r="A1125" s="5"/>
      <c r="B1125" s="5" t="s">
        <v>655</v>
      </c>
      <c r="C1125" s="5"/>
      <c r="D1125" s="5">
        <v>92.0</v>
      </c>
    </row>
    <row r="1126">
      <c r="A1126" s="5"/>
      <c r="B1126" s="5" t="s">
        <v>656</v>
      </c>
      <c r="C1126" s="5"/>
      <c r="D1126" s="5">
        <v>0.0</v>
      </c>
    </row>
    <row r="1127">
      <c r="A1127" s="5"/>
      <c r="B1127" s="5" t="s">
        <v>657</v>
      </c>
      <c r="C1127" s="5"/>
      <c r="D1127" s="5">
        <v>0.0</v>
      </c>
    </row>
    <row r="1128">
      <c r="A1128" s="5"/>
      <c r="B1128" s="5" t="s">
        <v>658</v>
      </c>
      <c r="C1128" s="5"/>
      <c r="D1128" s="5">
        <v>0.0</v>
      </c>
    </row>
    <row r="1129">
      <c r="A1129" s="5"/>
      <c r="B1129" s="5" t="s">
        <v>659</v>
      </c>
      <c r="C1129" s="5"/>
      <c r="D1129" s="5">
        <v>0.0</v>
      </c>
    </row>
    <row r="1130">
      <c r="A1130" s="5"/>
      <c r="B1130" s="5" t="s">
        <v>660</v>
      </c>
      <c r="C1130" s="5"/>
      <c r="D1130" s="5">
        <v>0.0</v>
      </c>
    </row>
    <row r="1131">
      <c r="A1131" s="5"/>
      <c r="B1131" s="5" t="s">
        <v>661</v>
      </c>
      <c r="C1131" s="5"/>
      <c r="D1131" s="5">
        <v>0.0</v>
      </c>
    </row>
    <row r="1132">
      <c r="A1132" s="5"/>
      <c r="B1132" s="5" t="s">
        <v>662</v>
      </c>
      <c r="C1132" s="5"/>
      <c r="D1132" s="5">
        <v>0.0</v>
      </c>
    </row>
    <row r="1133">
      <c r="A1133" s="5"/>
      <c r="B1133" s="5" t="s">
        <v>663</v>
      </c>
      <c r="C1133" s="5"/>
      <c r="D1133" s="5" t="s">
        <v>664</v>
      </c>
      <c r="E1133" s="5">
        <v>0.0</v>
      </c>
    </row>
    <row r="1134">
      <c r="A1134" s="5"/>
      <c r="B1134" s="5" t="s">
        <v>665</v>
      </c>
      <c r="C1134" s="5"/>
      <c r="D1134" s="5">
        <v>0.0</v>
      </c>
    </row>
    <row r="1135">
      <c r="A1135" s="5"/>
      <c r="B1135" s="5" t="s">
        <v>666</v>
      </c>
      <c r="C1135" s="5"/>
      <c r="D1135" s="5">
        <v>0.0</v>
      </c>
    </row>
    <row r="1136">
      <c r="A1136" s="5"/>
      <c r="B1136" s="5" t="s">
        <v>667</v>
      </c>
      <c r="C1136" s="5"/>
      <c r="D1136" s="5">
        <v>68.0</v>
      </c>
    </row>
    <row r="1137">
      <c r="A1137" s="5"/>
      <c r="B1137" s="5" t="s">
        <v>668</v>
      </c>
      <c r="C1137" s="5"/>
      <c r="D1137" s="5">
        <v>0.0</v>
      </c>
    </row>
    <row r="1138">
      <c r="A1138" s="5"/>
      <c r="B1138" s="5" t="s">
        <v>669</v>
      </c>
      <c r="C1138" s="5"/>
      <c r="D1138" s="5">
        <v>0.0</v>
      </c>
    </row>
    <row r="1139">
      <c r="A1139" s="5"/>
      <c r="B1139" s="5" t="s">
        <v>670</v>
      </c>
      <c r="C1139" s="5"/>
      <c r="D1139" s="5">
        <v>0.0</v>
      </c>
    </row>
    <row r="1140">
      <c r="A1140" s="5"/>
      <c r="B1140" s="5" t="s">
        <v>671</v>
      </c>
      <c r="C1140" s="5"/>
      <c r="D1140" s="5">
        <v>0.0</v>
      </c>
    </row>
    <row r="1141">
      <c r="A1141" s="5"/>
      <c r="B1141" s="5" t="s">
        <v>672</v>
      </c>
      <c r="C1141" s="5"/>
      <c r="D1141" s="5">
        <v>95.0</v>
      </c>
    </row>
    <row r="1142">
      <c r="A1142" s="5"/>
      <c r="B1142" s="5" t="s">
        <v>673</v>
      </c>
      <c r="C1142" s="5"/>
      <c r="D1142" s="5">
        <v>32.0</v>
      </c>
    </row>
    <row r="1143">
      <c r="A1143" s="5"/>
      <c r="B1143" s="5" t="s">
        <v>674</v>
      </c>
      <c r="C1143" s="5"/>
      <c r="D1143" s="5">
        <v>79.0</v>
      </c>
    </row>
    <row r="1144">
      <c r="A1144" s="5"/>
      <c r="B1144" s="5" t="s">
        <v>675</v>
      </c>
      <c r="C1144" s="5"/>
      <c r="D1144" s="5">
        <v>4.0</v>
      </c>
    </row>
    <row r="1145">
      <c r="A1145" s="5"/>
      <c r="B1145" s="5" t="s">
        <v>676</v>
      </c>
      <c r="C1145" s="5"/>
      <c r="D1145" s="5">
        <v>0.0</v>
      </c>
    </row>
    <row r="1146">
      <c r="A1146" s="5"/>
      <c r="B1146" s="5" t="s">
        <v>677</v>
      </c>
      <c r="C1146" s="5"/>
      <c r="D1146" s="5">
        <v>82.0</v>
      </c>
    </row>
    <row r="1147">
      <c r="A1147" s="5"/>
      <c r="B1147" s="5" t="s">
        <v>678</v>
      </c>
      <c r="C1147" s="5"/>
      <c r="D1147" s="5">
        <v>0.0</v>
      </c>
    </row>
    <row r="1148">
      <c r="A1148" s="5"/>
      <c r="B1148" s="5" t="s">
        <v>679</v>
      </c>
      <c r="C1148" s="5"/>
      <c r="D1148" s="5">
        <v>0.0</v>
      </c>
    </row>
    <row r="1149">
      <c r="A1149" s="5"/>
      <c r="B1149" s="5" t="s">
        <v>680</v>
      </c>
      <c r="C1149" s="5"/>
      <c r="D1149" s="5">
        <v>0.0</v>
      </c>
    </row>
    <row r="1150">
      <c r="A1150" s="5"/>
      <c r="B1150" s="5" t="s">
        <v>681</v>
      </c>
      <c r="C1150" s="5"/>
      <c r="D1150" s="5">
        <v>0.0</v>
      </c>
    </row>
    <row r="1151">
      <c r="A1151" s="5"/>
      <c r="B1151" s="5" t="s">
        <v>682</v>
      </c>
      <c r="C1151" s="5"/>
      <c r="D1151" s="5">
        <v>0.0</v>
      </c>
    </row>
    <row r="1152">
      <c r="A1152" s="5"/>
      <c r="B1152" s="5" t="s">
        <v>683</v>
      </c>
      <c r="C1152" s="5"/>
      <c r="D1152" s="5">
        <v>72.0</v>
      </c>
    </row>
    <row r="1153">
      <c r="A1153" s="5"/>
      <c r="B1153" s="5" t="s">
        <v>684</v>
      </c>
      <c r="C1153" s="5"/>
      <c r="D1153" s="5">
        <v>0.0</v>
      </c>
    </row>
    <row r="1154">
      <c r="A1154" s="5"/>
      <c r="B1154" s="5" t="s">
        <v>685</v>
      </c>
      <c r="C1154" s="5"/>
      <c r="D1154" s="5">
        <v>0.0</v>
      </c>
    </row>
    <row r="1155">
      <c r="A1155" s="5"/>
      <c r="B1155" s="5" t="s">
        <v>686</v>
      </c>
      <c r="C1155" s="5"/>
      <c r="D1155" s="5">
        <v>17.0</v>
      </c>
    </row>
    <row r="1156">
      <c r="A1156" s="5"/>
      <c r="B1156" s="5" t="s">
        <v>687</v>
      </c>
      <c r="C1156" s="5"/>
      <c r="D1156" s="5">
        <v>50.0</v>
      </c>
    </row>
    <row r="1157">
      <c r="A1157" s="5"/>
      <c r="B1157" s="5" t="s">
        <v>688</v>
      </c>
      <c r="C1157" s="5"/>
      <c r="D1157" s="5">
        <v>0.0</v>
      </c>
    </row>
    <row r="1158">
      <c r="A1158" s="5"/>
      <c r="B1158" s="5" t="s">
        <v>689</v>
      </c>
      <c r="C1158" s="5"/>
      <c r="D1158" s="5">
        <v>0.0</v>
      </c>
    </row>
    <row r="1159">
      <c r="A1159" s="5"/>
      <c r="B1159" s="5" t="s">
        <v>690</v>
      </c>
      <c r="C1159" s="5"/>
      <c r="D1159" s="5">
        <v>0.0</v>
      </c>
    </row>
    <row r="1160">
      <c r="A1160" s="5"/>
      <c r="B1160" s="5" t="s">
        <v>691</v>
      </c>
      <c r="C1160" s="5"/>
      <c r="D1160" s="5">
        <v>50.0</v>
      </c>
    </row>
    <row r="1161">
      <c r="A1161" s="5"/>
      <c r="B1161" s="5" t="s">
        <v>692</v>
      </c>
      <c r="C1161" s="5"/>
      <c r="D1161" s="5">
        <v>0.0</v>
      </c>
    </row>
    <row r="1162">
      <c r="A1162" s="5"/>
      <c r="B1162" s="5" t="s">
        <v>693</v>
      </c>
      <c r="C1162" s="5"/>
      <c r="D1162" s="5">
        <v>0.0</v>
      </c>
    </row>
    <row r="1163">
      <c r="A1163" s="5"/>
      <c r="B1163" s="5" t="s">
        <v>694</v>
      </c>
      <c r="C1163" s="5"/>
      <c r="D1163" s="5">
        <v>35.0</v>
      </c>
    </row>
    <row r="1164">
      <c r="A1164" s="5"/>
      <c r="B1164" s="5" t="s">
        <v>695</v>
      </c>
      <c r="C1164" s="5"/>
      <c r="D1164" s="5">
        <v>0.0</v>
      </c>
    </row>
    <row r="1165">
      <c r="A1165" s="5"/>
      <c r="B1165" s="5" t="s">
        <v>696</v>
      </c>
      <c r="C1165" s="5"/>
      <c r="D1165" s="5">
        <v>48.0</v>
      </c>
    </row>
    <row r="1166">
      <c r="A1166" s="5"/>
      <c r="B1166" s="5" t="s">
        <v>697</v>
      </c>
      <c r="C1166" s="5"/>
      <c r="D1166" s="5">
        <v>0.0</v>
      </c>
    </row>
    <row r="1167">
      <c r="A1167" s="5"/>
      <c r="B1167" s="5" t="s">
        <v>698</v>
      </c>
      <c r="C1167" s="5"/>
      <c r="D1167" s="5">
        <v>50.0</v>
      </c>
    </row>
    <row r="1168">
      <c r="A1168" s="5"/>
      <c r="B1168" s="5" t="s">
        <v>699</v>
      </c>
      <c r="C1168" s="5"/>
      <c r="D1168" s="5">
        <v>56.0</v>
      </c>
    </row>
    <row r="1169">
      <c r="A1169" s="5"/>
      <c r="B1169" s="5" t="s">
        <v>700</v>
      </c>
      <c r="C1169" s="5"/>
      <c r="D1169" s="5">
        <v>0.0</v>
      </c>
    </row>
    <row r="1170">
      <c r="A1170" s="5"/>
      <c r="B1170" s="5" t="s">
        <v>701</v>
      </c>
      <c r="C1170" s="5"/>
      <c r="D1170" s="5">
        <v>0.0</v>
      </c>
    </row>
    <row r="1171">
      <c r="A1171" s="5"/>
      <c r="B1171" s="5" t="s">
        <v>702</v>
      </c>
      <c r="C1171" s="5"/>
      <c r="D1171" s="5">
        <v>0.0</v>
      </c>
    </row>
    <row r="1172">
      <c r="A1172" s="5"/>
      <c r="B1172" s="5" t="s">
        <v>703</v>
      </c>
      <c r="C1172" s="5"/>
      <c r="D1172" s="5">
        <v>0.0</v>
      </c>
    </row>
    <row r="1173">
      <c r="A1173" s="5"/>
      <c r="B1173" s="5" t="s">
        <v>704</v>
      </c>
      <c r="C1173" s="5"/>
      <c r="D1173" s="5">
        <v>15.0</v>
      </c>
    </row>
    <row r="1174">
      <c r="A1174" s="5"/>
      <c r="B1174" s="5" t="s">
        <v>705</v>
      </c>
      <c r="C1174" s="5"/>
      <c r="D1174" s="5">
        <v>70.0</v>
      </c>
    </row>
    <row r="1175">
      <c r="A1175" s="5"/>
      <c r="B1175" s="5" t="s">
        <v>706</v>
      </c>
      <c r="C1175" s="5"/>
      <c r="D1175" s="5">
        <v>0.0</v>
      </c>
    </row>
    <row r="1176">
      <c r="A1176" s="5"/>
      <c r="B1176" s="5" t="s">
        <v>707</v>
      </c>
      <c r="C1176" s="5"/>
      <c r="D1176" s="5">
        <v>0.0</v>
      </c>
    </row>
    <row r="1177">
      <c r="A1177" s="5"/>
      <c r="B1177" s="5" t="s">
        <v>708</v>
      </c>
      <c r="C1177" s="5"/>
      <c r="D1177" s="5">
        <v>0.0</v>
      </c>
    </row>
    <row r="1178">
      <c r="A1178" s="5"/>
      <c r="B1178" s="5" t="s">
        <v>709</v>
      </c>
      <c r="C1178" s="5"/>
      <c r="D1178" s="5">
        <v>0.0</v>
      </c>
    </row>
    <row r="1179">
      <c r="A1179" s="5"/>
      <c r="B1179" s="5" t="s">
        <v>710</v>
      </c>
      <c r="C1179" s="5"/>
      <c r="D1179" s="5">
        <v>0.0</v>
      </c>
    </row>
    <row r="1180">
      <c r="A1180" s="5"/>
      <c r="B1180" s="5" t="s">
        <v>711</v>
      </c>
      <c r="C1180" s="5"/>
      <c r="D1180" s="5">
        <v>0.0</v>
      </c>
    </row>
    <row r="1181">
      <c r="A1181" s="5"/>
      <c r="B1181" s="5" t="s">
        <v>712</v>
      </c>
      <c r="C1181" s="5"/>
      <c r="D1181" s="5">
        <v>80.0</v>
      </c>
    </row>
    <row r="1182">
      <c r="A1182" s="5"/>
      <c r="B1182" s="5" t="s">
        <v>713</v>
      </c>
      <c r="C1182" s="5"/>
      <c r="D1182" s="5">
        <v>12.0</v>
      </c>
    </row>
    <row r="1183">
      <c r="A1183" s="5"/>
      <c r="B1183" s="5" t="s">
        <v>714</v>
      </c>
      <c r="C1183" s="5"/>
      <c r="D1183" s="5">
        <v>0.0</v>
      </c>
    </row>
    <row r="1184">
      <c r="A1184" s="5"/>
      <c r="B1184" s="5" t="s">
        <v>715</v>
      </c>
      <c r="C1184" s="5"/>
      <c r="D1184" s="5">
        <v>0.0</v>
      </c>
    </row>
    <row r="1185">
      <c r="A1185" s="5"/>
      <c r="B1185" s="5" t="s">
        <v>716</v>
      </c>
      <c r="C1185" s="5"/>
      <c r="D1185" s="5">
        <v>20.0</v>
      </c>
    </row>
    <row r="1186">
      <c r="A1186" s="5"/>
      <c r="B1186" s="5" t="s">
        <v>717</v>
      </c>
      <c r="C1186" s="5"/>
      <c r="D1186" s="5">
        <v>0.0</v>
      </c>
    </row>
    <row r="1187">
      <c r="A1187" s="5"/>
      <c r="B1187" s="5" t="s">
        <v>718</v>
      </c>
      <c r="C1187" s="5"/>
      <c r="D1187" s="5">
        <v>0.0</v>
      </c>
    </row>
    <row r="1188">
      <c r="A1188" s="5"/>
      <c r="B1188" s="5" t="s">
        <v>719</v>
      </c>
      <c r="C1188" s="5"/>
      <c r="D1188" s="5">
        <v>0.0</v>
      </c>
    </row>
    <row r="1189">
      <c r="A1189" s="5"/>
      <c r="B1189" s="5" t="s">
        <v>720</v>
      </c>
      <c r="C1189" s="5"/>
      <c r="D1189" s="5">
        <v>24.0</v>
      </c>
    </row>
    <row r="1190">
      <c r="A1190" s="5"/>
      <c r="B1190" s="5" t="s">
        <v>721</v>
      </c>
      <c r="C1190" s="5"/>
      <c r="D1190" s="5">
        <v>0.0</v>
      </c>
    </row>
    <row r="1191">
      <c r="A1191" s="5"/>
      <c r="B1191" s="5" t="s">
        <v>652</v>
      </c>
      <c r="C1191" s="5"/>
      <c r="D1191" s="5">
        <v>0.0</v>
      </c>
    </row>
    <row r="1192">
      <c r="A1192" s="5"/>
      <c r="B1192" s="5" t="s">
        <v>653</v>
      </c>
      <c r="C1192" s="5"/>
      <c r="D1192" s="5">
        <v>0.0</v>
      </c>
    </row>
    <row r="1193">
      <c r="A1193" s="5"/>
      <c r="B1193" s="5" t="s">
        <v>654</v>
      </c>
      <c r="C1193" s="5"/>
      <c r="D1193" s="5">
        <v>0.0</v>
      </c>
    </row>
    <row r="1194">
      <c r="A1194" s="5"/>
      <c r="B1194" s="5" t="s">
        <v>655</v>
      </c>
      <c r="C1194" s="5"/>
      <c r="D1194" s="5">
        <v>92.0</v>
      </c>
    </row>
    <row r="1195">
      <c r="A1195" s="5"/>
      <c r="B1195" s="5" t="s">
        <v>656</v>
      </c>
      <c r="C1195" s="5"/>
      <c r="D1195" s="5">
        <v>0.0</v>
      </c>
    </row>
    <row r="1196">
      <c r="A1196" s="5"/>
      <c r="B1196" s="5" t="s">
        <v>657</v>
      </c>
      <c r="C1196" s="5"/>
      <c r="D1196" s="5">
        <v>0.0</v>
      </c>
    </row>
    <row r="1197">
      <c r="A1197" s="5"/>
      <c r="B1197" s="5" t="s">
        <v>658</v>
      </c>
      <c r="C1197" s="5"/>
      <c r="D1197" s="5">
        <v>0.0</v>
      </c>
    </row>
    <row r="1198">
      <c r="A1198" s="5"/>
      <c r="B1198" s="5" t="s">
        <v>659</v>
      </c>
      <c r="C1198" s="5"/>
      <c r="D1198" s="5">
        <v>0.0</v>
      </c>
    </row>
    <row r="1199">
      <c r="A1199" s="5"/>
      <c r="B1199" s="5" t="s">
        <v>660</v>
      </c>
      <c r="C1199" s="5"/>
      <c r="D1199" s="5">
        <v>0.0</v>
      </c>
    </row>
    <row r="1200">
      <c r="A1200" s="5"/>
      <c r="B1200" s="5" t="s">
        <v>661</v>
      </c>
      <c r="C1200" s="5"/>
      <c r="D1200" s="5">
        <v>0.0</v>
      </c>
    </row>
    <row r="1201">
      <c r="A1201" s="5"/>
      <c r="B1201" s="5" t="s">
        <v>662</v>
      </c>
      <c r="C1201" s="5"/>
      <c r="D1201" s="5">
        <v>0.0</v>
      </c>
    </row>
    <row r="1202">
      <c r="A1202" s="5"/>
      <c r="B1202" s="5" t="s">
        <v>663</v>
      </c>
      <c r="C1202" s="5"/>
      <c r="D1202" s="5" t="s">
        <v>664</v>
      </c>
      <c r="E1202" s="5">
        <v>0.0</v>
      </c>
    </row>
    <row r="1203">
      <c r="A1203" s="5"/>
      <c r="B1203" s="5" t="s">
        <v>665</v>
      </c>
      <c r="C1203" s="5"/>
      <c r="D1203" s="5">
        <v>0.0</v>
      </c>
    </row>
    <row r="1204">
      <c r="A1204" s="5"/>
      <c r="B1204" s="5" t="s">
        <v>666</v>
      </c>
      <c r="C1204" s="5"/>
      <c r="D1204" s="5">
        <v>0.0</v>
      </c>
    </row>
    <row r="1205">
      <c r="A1205" s="5"/>
      <c r="B1205" s="5" t="s">
        <v>667</v>
      </c>
      <c r="C1205" s="5"/>
      <c r="D1205" s="5">
        <v>68.0</v>
      </c>
    </row>
    <row r="1206">
      <c r="A1206" s="5"/>
      <c r="B1206" s="5" t="s">
        <v>668</v>
      </c>
      <c r="C1206" s="5"/>
      <c r="D1206" s="5">
        <v>0.0</v>
      </c>
    </row>
    <row r="1207">
      <c r="A1207" s="5"/>
      <c r="B1207" s="5" t="s">
        <v>669</v>
      </c>
      <c r="C1207" s="5"/>
      <c r="D1207" s="5">
        <v>0.0</v>
      </c>
    </row>
    <row r="1208">
      <c r="A1208" s="5"/>
      <c r="B1208" s="5" t="s">
        <v>670</v>
      </c>
      <c r="C1208" s="5"/>
      <c r="D1208" s="5">
        <v>0.0</v>
      </c>
    </row>
    <row r="1209">
      <c r="A1209" s="5"/>
      <c r="B1209" s="5" t="s">
        <v>671</v>
      </c>
      <c r="C1209" s="5"/>
      <c r="D1209" s="5">
        <v>0.0</v>
      </c>
    </row>
    <row r="1210">
      <c r="A1210" s="5"/>
      <c r="B1210" s="5" t="s">
        <v>672</v>
      </c>
      <c r="C1210" s="5"/>
      <c r="D1210" s="5">
        <v>95.0</v>
      </c>
    </row>
    <row r="1211">
      <c r="A1211" s="5"/>
      <c r="B1211" s="5" t="s">
        <v>673</v>
      </c>
      <c r="C1211" s="5"/>
      <c r="D1211" s="5">
        <v>32.0</v>
      </c>
    </row>
    <row r="1212">
      <c r="A1212" s="5"/>
      <c r="B1212" s="5" t="s">
        <v>674</v>
      </c>
      <c r="C1212" s="5"/>
      <c r="D1212" s="5">
        <v>79.0</v>
      </c>
    </row>
    <row r="1213">
      <c r="A1213" s="5"/>
      <c r="B1213" s="5" t="s">
        <v>675</v>
      </c>
      <c r="C1213" s="5"/>
      <c r="D1213" s="5">
        <v>4.0</v>
      </c>
    </row>
    <row r="1214">
      <c r="A1214" s="5"/>
      <c r="B1214" s="5" t="s">
        <v>676</v>
      </c>
      <c r="C1214" s="5"/>
      <c r="D1214" s="5">
        <v>0.0</v>
      </c>
    </row>
    <row r="1215">
      <c r="A1215" s="5"/>
      <c r="B1215" s="5" t="s">
        <v>677</v>
      </c>
      <c r="C1215" s="5"/>
      <c r="D1215" s="5">
        <v>82.0</v>
      </c>
    </row>
    <row r="1216">
      <c r="A1216" s="5"/>
      <c r="B1216" s="5" t="s">
        <v>678</v>
      </c>
      <c r="C1216" s="5"/>
      <c r="D1216" s="5">
        <v>0.0</v>
      </c>
    </row>
    <row r="1217">
      <c r="A1217" s="5"/>
      <c r="B1217" s="5" t="s">
        <v>679</v>
      </c>
      <c r="C1217" s="5"/>
      <c r="D1217" s="5">
        <v>0.0</v>
      </c>
    </row>
    <row r="1218">
      <c r="A1218" s="5"/>
      <c r="B1218" s="5" t="s">
        <v>680</v>
      </c>
      <c r="C1218" s="5"/>
      <c r="D1218" s="5">
        <v>0.0</v>
      </c>
    </row>
    <row r="1219">
      <c r="A1219" s="5"/>
      <c r="B1219" s="5" t="s">
        <v>681</v>
      </c>
      <c r="C1219" s="5"/>
      <c r="D1219" s="5">
        <v>0.0</v>
      </c>
    </row>
    <row r="1220">
      <c r="A1220" s="5"/>
      <c r="B1220" s="5" t="s">
        <v>682</v>
      </c>
      <c r="C1220" s="5"/>
      <c r="D1220" s="5">
        <v>0.0</v>
      </c>
    </row>
    <row r="1221">
      <c r="A1221" s="5"/>
      <c r="B1221" s="5" t="s">
        <v>683</v>
      </c>
      <c r="C1221" s="5"/>
      <c r="D1221" s="5">
        <v>72.0</v>
      </c>
    </row>
    <row r="1222">
      <c r="A1222" s="5"/>
      <c r="B1222" s="5" t="s">
        <v>684</v>
      </c>
      <c r="C1222" s="5"/>
      <c r="D1222" s="5">
        <v>0.0</v>
      </c>
    </row>
    <row r="1223">
      <c r="A1223" s="5"/>
      <c r="B1223" s="5" t="s">
        <v>685</v>
      </c>
      <c r="C1223" s="5"/>
      <c r="D1223" s="5">
        <v>0.0</v>
      </c>
    </row>
    <row r="1224">
      <c r="A1224" s="5"/>
      <c r="B1224" s="5" t="s">
        <v>686</v>
      </c>
      <c r="C1224" s="5"/>
      <c r="D1224" s="5">
        <v>17.0</v>
      </c>
    </row>
    <row r="1225">
      <c r="A1225" s="5"/>
      <c r="B1225" s="5" t="s">
        <v>687</v>
      </c>
      <c r="C1225" s="5"/>
      <c r="D1225" s="5">
        <v>50.0</v>
      </c>
    </row>
    <row r="1226">
      <c r="A1226" s="5"/>
      <c r="B1226" s="5" t="s">
        <v>688</v>
      </c>
      <c r="C1226" s="5"/>
      <c r="D1226" s="5">
        <v>0.0</v>
      </c>
    </row>
    <row r="1227">
      <c r="A1227" s="5"/>
      <c r="B1227" s="5" t="s">
        <v>689</v>
      </c>
      <c r="C1227" s="5"/>
      <c r="D1227" s="5">
        <v>0.0</v>
      </c>
    </row>
    <row r="1228">
      <c r="A1228" s="5"/>
      <c r="B1228" s="5" t="s">
        <v>690</v>
      </c>
      <c r="C1228" s="5"/>
      <c r="D1228" s="5">
        <v>0.0</v>
      </c>
    </row>
    <row r="1229">
      <c r="A1229" s="5"/>
      <c r="B1229" s="5" t="s">
        <v>691</v>
      </c>
      <c r="C1229" s="5"/>
      <c r="D1229" s="5">
        <v>50.0</v>
      </c>
    </row>
    <row r="1230">
      <c r="A1230" s="5"/>
      <c r="B1230" s="5" t="s">
        <v>692</v>
      </c>
      <c r="C1230" s="5"/>
      <c r="D1230" s="5">
        <v>0.0</v>
      </c>
    </row>
    <row r="1231">
      <c r="A1231" s="5"/>
      <c r="B1231" s="5" t="s">
        <v>693</v>
      </c>
      <c r="C1231" s="5"/>
      <c r="D1231" s="5">
        <v>0.0</v>
      </c>
    </row>
    <row r="1232">
      <c r="A1232" s="5"/>
      <c r="B1232" s="5" t="s">
        <v>694</v>
      </c>
      <c r="C1232" s="5"/>
      <c r="D1232" s="5">
        <v>35.0</v>
      </c>
    </row>
    <row r="1233">
      <c r="A1233" s="5"/>
      <c r="B1233" s="5" t="s">
        <v>695</v>
      </c>
      <c r="C1233" s="5"/>
      <c r="D1233" s="5">
        <v>0.0</v>
      </c>
    </row>
    <row r="1234">
      <c r="A1234" s="5"/>
      <c r="B1234" s="5" t="s">
        <v>696</v>
      </c>
      <c r="C1234" s="5"/>
      <c r="D1234" s="5">
        <v>48.0</v>
      </c>
    </row>
    <row r="1235">
      <c r="A1235" s="5"/>
      <c r="B1235" s="5" t="s">
        <v>697</v>
      </c>
      <c r="C1235" s="5"/>
      <c r="D1235" s="5">
        <v>0.0</v>
      </c>
    </row>
    <row r="1236">
      <c r="A1236" s="5"/>
      <c r="B1236" s="5" t="s">
        <v>698</v>
      </c>
      <c r="C1236" s="5"/>
      <c r="D1236" s="5">
        <v>50.0</v>
      </c>
    </row>
    <row r="1237">
      <c r="A1237" s="5"/>
      <c r="B1237" s="5" t="s">
        <v>699</v>
      </c>
      <c r="C1237" s="5"/>
      <c r="D1237" s="5">
        <v>56.0</v>
      </c>
    </row>
    <row r="1238">
      <c r="A1238" s="5"/>
      <c r="B1238" s="5" t="s">
        <v>700</v>
      </c>
      <c r="C1238" s="5"/>
      <c r="D1238" s="5">
        <v>0.0</v>
      </c>
    </row>
    <row r="1239">
      <c r="A1239" s="5"/>
      <c r="B1239" s="5" t="s">
        <v>701</v>
      </c>
      <c r="C1239" s="5"/>
      <c r="D1239" s="5">
        <v>0.0</v>
      </c>
    </row>
    <row r="1240">
      <c r="A1240" s="5"/>
      <c r="B1240" s="5" t="s">
        <v>702</v>
      </c>
      <c r="C1240" s="5"/>
      <c r="D1240" s="5">
        <v>0.0</v>
      </c>
    </row>
    <row r="1241">
      <c r="A1241" s="5"/>
      <c r="B1241" s="5" t="s">
        <v>703</v>
      </c>
      <c r="C1241" s="5"/>
      <c r="D1241" s="5">
        <v>0.0</v>
      </c>
    </row>
    <row r="1242">
      <c r="A1242" s="5"/>
      <c r="B1242" s="5" t="s">
        <v>704</v>
      </c>
      <c r="C1242" s="5"/>
      <c r="D1242" s="5">
        <v>15.0</v>
      </c>
    </row>
    <row r="1243">
      <c r="A1243" s="5"/>
      <c r="B1243" s="5" t="s">
        <v>705</v>
      </c>
      <c r="C1243" s="5"/>
      <c r="D1243" s="5">
        <v>70.0</v>
      </c>
    </row>
    <row r="1244">
      <c r="A1244" s="5"/>
      <c r="B1244" s="5" t="s">
        <v>706</v>
      </c>
      <c r="C1244" s="5"/>
      <c r="D1244" s="5">
        <v>0.0</v>
      </c>
    </row>
    <row r="1245">
      <c r="A1245" s="5"/>
      <c r="B1245" s="5" t="s">
        <v>707</v>
      </c>
      <c r="C1245" s="5"/>
      <c r="D1245" s="5">
        <v>0.0</v>
      </c>
    </row>
    <row r="1246">
      <c r="A1246" s="5"/>
      <c r="B1246" s="5" t="s">
        <v>708</v>
      </c>
      <c r="C1246" s="5"/>
      <c r="D1246" s="5">
        <v>0.0</v>
      </c>
    </row>
    <row r="1247">
      <c r="A1247" s="5"/>
      <c r="B1247" s="5" t="s">
        <v>709</v>
      </c>
      <c r="C1247" s="5"/>
      <c r="D1247" s="5">
        <v>0.0</v>
      </c>
    </row>
    <row r="1248">
      <c r="A1248" s="5"/>
      <c r="B1248" s="5" t="s">
        <v>710</v>
      </c>
      <c r="C1248" s="5"/>
      <c r="D1248" s="5">
        <v>0.0</v>
      </c>
    </row>
    <row r="1249">
      <c r="A1249" s="5"/>
      <c r="B1249" s="5" t="s">
        <v>711</v>
      </c>
      <c r="C1249" s="5"/>
      <c r="D1249" s="5">
        <v>0.0</v>
      </c>
    </row>
    <row r="1250">
      <c r="A1250" s="5"/>
      <c r="B1250" s="5" t="s">
        <v>712</v>
      </c>
      <c r="C1250" s="5"/>
      <c r="D1250" s="5">
        <v>80.0</v>
      </c>
    </row>
    <row r="1251">
      <c r="A1251" s="5"/>
      <c r="B1251" s="5" t="s">
        <v>713</v>
      </c>
      <c r="C1251" s="5"/>
      <c r="D1251" s="5">
        <v>12.0</v>
      </c>
    </row>
    <row r="1252">
      <c r="A1252" s="5"/>
      <c r="B1252" s="5" t="s">
        <v>714</v>
      </c>
      <c r="C1252" s="5"/>
      <c r="D1252" s="5">
        <v>0.0</v>
      </c>
    </row>
    <row r="1253">
      <c r="A1253" s="5"/>
      <c r="B1253" s="5" t="s">
        <v>715</v>
      </c>
      <c r="C1253" s="5"/>
      <c r="D1253" s="5">
        <v>0.0</v>
      </c>
    </row>
    <row r="1254">
      <c r="A1254" s="5"/>
      <c r="B1254" s="5" t="s">
        <v>716</v>
      </c>
      <c r="C1254" s="5"/>
      <c r="D1254" s="5">
        <v>20.0</v>
      </c>
    </row>
    <row r="1255">
      <c r="A1255" s="5"/>
      <c r="B1255" s="5" t="s">
        <v>717</v>
      </c>
      <c r="C1255" s="5"/>
      <c r="D1255" s="5">
        <v>0.0</v>
      </c>
    </row>
    <row r="1256">
      <c r="A1256" s="5"/>
      <c r="B1256" s="5" t="s">
        <v>718</v>
      </c>
      <c r="C1256" s="5"/>
      <c r="D1256" s="5">
        <v>0.0</v>
      </c>
    </row>
    <row r="1257">
      <c r="A1257" s="5"/>
      <c r="B1257" s="5" t="s">
        <v>719</v>
      </c>
      <c r="C1257" s="5"/>
      <c r="D1257" s="5">
        <v>0.0</v>
      </c>
    </row>
    <row r="1258">
      <c r="A1258" s="5"/>
      <c r="B1258" s="5" t="s">
        <v>720</v>
      </c>
      <c r="C1258" s="5"/>
      <c r="D1258" s="5">
        <v>24.0</v>
      </c>
    </row>
    <row r="1259">
      <c r="A1259" s="5"/>
      <c r="B1259" s="5" t="s">
        <v>721</v>
      </c>
      <c r="C1259" s="5"/>
      <c r="D1259" s="5">
        <v>0.0</v>
      </c>
    </row>
    <row r="1260">
      <c r="A1260" s="5"/>
      <c r="B1260" s="5" t="s">
        <v>722</v>
      </c>
      <c r="C1260" s="5"/>
      <c r="D1260" s="5" t="s">
        <v>723</v>
      </c>
      <c r="E1260" s="5" t="s">
        <v>724</v>
      </c>
      <c r="F1260" s="5" t="s">
        <v>725</v>
      </c>
      <c r="G1260" s="5">
        <v>0.0</v>
      </c>
    </row>
    <row r="1261">
      <c r="A1261" s="5"/>
      <c r="B1261" s="5" t="s">
        <v>726</v>
      </c>
      <c r="C1261" s="5"/>
      <c r="D1261" s="5">
        <v>48.0</v>
      </c>
    </row>
    <row r="1262">
      <c r="A1262" s="5"/>
      <c r="B1262" s="5" t="s">
        <v>727</v>
      </c>
      <c r="C1262" s="5"/>
      <c r="D1262" s="5">
        <v>0.0</v>
      </c>
    </row>
    <row r="1263">
      <c r="A1263" s="5"/>
      <c r="B1263" s="5" t="s">
        <v>728</v>
      </c>
      <c r="C1263" s="5"/>
      <c r="D1263" s="5">
        <v>0.0</v>
      </c>
    </row>
    <row r="1264">
      <c r="A1264" s="5"/>
      <c r="B1264" s="5" t="s">
        <v>729</v>
      </c>
      <c r="C1264" s="5"/>
      <c r="D1264" s="5">
        <v>0.0</v>
      </c>
    </row>
    <row r="1265">
      <c r="A1265" s="5"/>
      <c r="B1265" s="5" t="s">
        <v>730</v>
      </c>
      <c r="C1265" s="5"/>
      <c r="D1265" s="5">
        <v>0.0</v>
      </c>
    </row>
    <row r="1266">
      <c r="A1266" s="5"/>
      <c r="B1266" s="5" t="s">
        <v>731</v>
      </c>
      <c r="C1266" s="5"/>
      <c r="D1266" s="5">
        <v>0.0</v>
      </c>
    </row>
    <row r="1267">
      <c r="A1267" s="5"/>
      <c r="B1267" s="5" t="s">
        <v>732</v>
      </c>
      <c r="C1267" s="5"/>
      <c r="D1267" s="5">
        <v>0.0</v>
      </c>
    </row>
    <row r="1268">
      <c r="A1268" s="5"/>
      <c r="B1268" s="5" t="s">
        <v>733</v>
      </c>
      <c r="C1268" s="5"/>
      <c r="D1268" s="5">
        <v>95.0</v>
      </c>
    </row>
    <row r="1269">
      <c r="A1269" s="5"/>
      <c r="B1269" s="5" t="s">
        <v>734</v>
      </c>
      <c r="C1269" s="5"/>
      <c r="D1269" s="5">
        <v>0.0</v>
      </c>
    </row>
    <row r="1270">
      <c r="A1270" s="5"/>
      <c r="B1270" s="5" t="s">
        <v>735</v>
      </c>
      <c r="C1270" s="5"/>
      <c r="D1270" s="5">
        <v>47.0</v>
      </c>
    </row>
    <row r="1271">
      <c r="A1271" s="5"/>
      <c r="B1271" s="5" t="s">
        <v>736</v>
      </c>
      <c r="C1271" s="5"/>
      <c r="D1271" s="5">
        <v>0.0</v>
      </c>
    </row>
    <row r="1272">
      <c r="A1272" s="5"/>
      <c r="B1272" s="5" t="s">
        <v>737</v>
      </c>
      <c r="C1272" s="5"/>
      <c r="D1272" s="5">
        <v>0.0</v>
      </c>
    </row>
    <row r="1273">
      <c r="A1273" s="5"/>
      <c r="B1273" s="5" t="s">
        <v>738</v>
      </c>
      <c r="C1273" s="5"/>
      <c r="D1273" s="5">
        <v>0.0</v>
      </c>
    </row>
    <row r="1274">
      <c r="A1274" s="5"/>
      <c r="B1274" s="5" t="s">
        <v>739</v>
      </c>
      <c r="C1274" s="5"/>
      <c r="D1274" s="5">
        <v>0.0</v>
      </c>
    </row>
    <row r="1275">
      <c r="A1275" s="5"/>
      <c r="B1275" s="5" t="s">
        <v>740</v>
      </c>
      <c r="C1275" s="5"/>
      <c r="D1275" s="5">
        <v>0.0</v>
      </c>
    </row>
    <row r="1276">
      <c r="A1276" s="5"/>
      <c r="B1276" s="5" t="s">
        <v>741</v>
      </c>
      <c r="C1276" s="5"/>
      <c r="D1276" s="5">
        <v>0.0</v>
      </c>
    </row>
    <row r="1277">
      <c r="A1277" s="5"/>
      <c r="B1277" s="5" t="s">
        <v>742</v>
      </c>
      <c r="C1277" s="5"/>
      <c r="D1277" s="5">
        <v>0.0</v>
      </c>
    </row>
    <row r="1278">
      <c r="A1278" s="5"/>
      <c r="B1278" s="5" t="s">
        <v>743</v>
      </c>
      <c r="C1278" s="5"/>
      <c r="D1278" s="5">
        <v>0.0</v>
      </c>
    </row>
    <row r="1279">
      <c r="A1279" s="5"/>
      <c r="B1279" s="5" t="s">
        <v>744</v>
      </c>
      <c r="C1279" s="5"/>
      <c r="D1279" s="5">
        <v>0.0</v>
      </c>
    </row>
    <row r="1280">
      <c r="A1280" s="5"/>
      <c r="B1280" s="5" t="s">
        <v>745</v>
      </c>
      <c r="C1280" s="5"/>
      <c r="D1280" s="5">
        <v>28.0</v>
      </c>
    </row>
    <row r="1281">
      <c r="A1281" s="5"/>
      <c r="B1281" s="5" t="s">
        <v>746</v>
      </c>
      <c r="C1281" s="5"/>
      <c r="D1281" s="5">
        <v>0.0</v>
      </c>
    </row>
    <row r="1282">
      <c r="A1282" s="5"/>
      <c r="B1282" s="5" t="s">
        <v>747</v>
      </c>
      <c r="C1282" s="5"/>
      <c r="D1282" s="5">
        <v>0.0</v>
      </c>
    </row>
    <row r="1283">
      <c r="A1283" s="5"/>
      <c r="B1283" s="5" t="s">
        <v>748</v>
      </c>
      <c r="C1283" s="5"/>
      <c r="D1283" s="5">
        <v>0.0</v>
      </c>
    </row>
    <row r="1284">
      <c r="A1284" s="5"/>
      <c r="B1284" s="5" t="s">
        <v>749</v>
      </c>
      <c r="C1284" s="5"/>
      <c r="D1284" s="5">
        <v>22.0</v>
      </c>
    </row>
    <row r="1285">
      <c r="A1285" s="5"/>
      <c r="B1285" s="5" t="s">
        <v>750</v>
      </c>
      <c r="C1285" s="5"/>
      <c r="D1285" s="5">
        <v>0.0</v>
      </c>
    </row>
    <row r="1286">
      <c r="A1286" s="5"/>
      <c r="B1286" s="5" t="s">
        <v>751</v>
      </c>
      <c r="C1286" s="5"/>
      <c r="D1286" s="5">
        <v>66.0</v>
      </c>
    </row>
    <row r="1287">
      <c r="A1287" s="5"/>
      <c r="B1287" s="5" t="s">
        <v>752</v>
      </c>
      <c r="C1287" s="5"/>
      <c r="D1287" s="5">
        <v>0.0</v>
      </c>
    </row>
    <row r="1288">
      <c r="A1288" s="5"/>
      <c r="B1288" s="5" t="s">
        <v>753</v>
      </c>
      <c r="C1288" s="5"/>
      <c r="D1288" s="5">
        <v>0.0</v>
      </c>
    </row>
    <row r="1289">
      <c r="A1289" s="5"/>
      <c r="B1289" s="5" t="s">
        <v>754</v>
      </c>
      <c r="C1289" s="5"/>
      <c r="D1289" s="5">
        <v>0.0</v>
      </c>
    </row>
    <row r="1290">
      <c r="A1290" s="5"/>
      <c r="B1290" s="5" t="s">
        <v>755</v>
      </c>
      <c r="C1290" s="5"/>
      <c r="D1290" s="5">
        <v>0.0</v>
      </c>
    </row>
    <row r="1291">
      <c r="A1291" s="5"/>
      <c r="B1291" s="5" t="s">
        <v>756</v>
      </c>
      <c r="C1291" s="5"/>
      <c r="D1291" s="5">
        <v>0.0</v>
      </c>
    </row>
    <row r="1292">
      <c r="A1292" s="5"/>
      <c r="B1292" s="5" t="s">
        <v>757</v>
      </c>
      <c r="C1292" s="5"/>
      <c r="D1292" s="5">
        <v>0.0</v>
      </c>
    </row>
    <row r="1293">
      <c r="A1293" s="5"/>
      <c r="B1293" s="5" t="s">
        <v>758</v>
      </c>
      <c r="C1293" s="5"/>
      <c r="D1293" s="5">
        <v>0.0</v>
      </c>
    </row>
    <row r="1294">
      <c r="A1294" s="5"/>
      <c r="B1294" s="5" t="s">
        <v>759</v>
      </c>
      <c r="C1294" s="5"/>
      <c r="D1294" s="5">
        <v>66.0</v>
      </c>
    </row>
    <row r="1295">
      <c r="A1295" s="5"/>
      <c r="B1295" s="5" t="s">
        <v>760</v>
      </c>
      <c r="C1295" s="5"/>
      <c r="D1295" s="5">
        <v>0.0</v>
      </c>
    </row>
    <row r="1296">
      <c r="A1296" s="5"/>
      <c r="B1296" s="5" t="s">
        <v>761</v>
      </c>
      <c r="C1296" s="5"/>
      <c r="D1296" s="5">
        <v>0.0</v>
      </c>
    </row>
    <row r="1297">
      <c r="A1297" s="5"/>
      <c r="B1297" s="5" t="s">
        <v>762</v>
      </c>
      <c r="C1297" s="5"/>
      <c r="D1297" s="5">
        <v>20.0</v>
      </c>
    </row>
    <row r="1298">
      <c r="A1298" s="5"/>
      <c r="B1298" s="5" t="s">
        <v>763</v>
      </c>
      <c r="C1298" s="5"/>
      <c r="D1298" s="5">
        <v>10.0</v>
      </c>
    </row>
    <row r="1299">
      <c r="A1299" s="5"/>
      <c r="B1299" s="5" t="s">
        <v>764</v>
      </c>
      <c r="C1299" s="5"/>
      <c r="D1299" s="5">
        <v>0.0</v>
      </c>
    </row>
    <row r="1300">
      <c r="A1300" s="5"/>
      <c r="B1300" s="5" t="s">
        <v>765</v>
      </c>
      <c r="C1300" s="5"/>
      <c r="D1300" s="5">
        <v>0.0</v>
      </c>
    </row>
    <row r="1301">
      <c r="A1301" s="5"/>
      <c r="B1301" s="5" t="s">
        <v>766</v>
      </c>
      <c r="C1301" s="5"/>
      <c r="D1301" s="5">
        <v>0.0</v>
      </c>
    </row>
    <row r="1302">
      <c r="A1302" s="5"/>
      <c r="B1302" s="5" t="s">
        <v>767</v>
      </c>
      <c r="C1302" s="5"/>
      <c r="D1302" s="5">
        <v>0.0</v>
      </c>
    </row>
    <row r="1303">
      <c r="A1303" s="5"/>
      <c r="B1303" s="5" t="s">
        <v>768</v>
      </c>
      <c r="C1303" s="5"/>
      <c r="D1303" s="5">
        <v>0.0</v>
      </c>
    </row>
    <row r="1304">
      <c r="A1304" s="5"/>
      <c r="B1304" s="5" t="s">
        <v>769</v>
      </c>
      <c r="C1304" s="5"/>
      <c r="D1304" s="5">
        <v>88.0</v>
      </c>
    </row>
    <row r="1305">
      <c r="A1305" s="5"/>
      <c r="B1305" s="5" t="s">
        <v>770</v>
      </c>
      <c r="C1305" s="5"/>
      <c r="D1305" s="5">
        <v>0.0</v>
      </c>
    </row>
    <row r="1306">
      <c r="A1306" s="5"/>
      <c r="B1306" s="5" t="s">
        <v>771</v>
      </c>
      <c r="C1306" s="5"/>
      <c r="D1306" s="5">
        <v>0.0</v>
      </c>
    </row>
    <row r="1307">
      <c r="A1307" s="5"/>
      <c r="B1307" s="5" t="s">
        <v>772</v>
      </c>
      <c r="C1307" s="5"/>
      <c r="D1307" s="5">
        <v>46.0</v>
      </c>
    </row>
    <row r="1308">
      <c r="A1308" s="5"/>
      <c r="B1308" s="5" t="s">
        <v>773</v>
      </c>
      <c r="C1308" s="5"/>
      <c r="D1308" s="5">
        <v>67.0</v>
      </c>
    </row>
    <row r="1309">
      <c r="A1309" s="5"/>
      <c r="B1309" s="5" t="s">
        <v>774</v>
      </c>
      <c r="C1309" s="5"/>
      <c r="D1309" s="5">
        <v>40.0</v>
      </c>
    </row>
    <row r="1310">
      <c r="A1310" s="5"/>
      <c r="B1310" s="5" t="s">
        <v>775</v>
      </c>
      <c r="C1310" s="5"/>
      <c r="D1310" s="5">
        <v>0.0</v>
      </c>
    </row>
    <row r="1311">
      <c r="A1311" s="5"/>
      <c r="B1311" s="5" t="s">
        <v>776</v>
      </c>
      <c r="C1311" s="5"/>
      <c r="D1311" s="5">
        <v>0.0</v>
      </c>
    </row>
    <row r="1312">
      <c r="A1312" s="5"/>
      <c r="B1312" s="5" t="s">
        <v>777</v>
      </c>
      <c r="C1312" s="5"/>
      <c r="D1312" s="5">
        <v>0.0</v>
      </c>
    </row>
    <row r="1313">
      <c r="A1313" s="5"/>
      <c r="B1313" s="5" t="s">
        <v>778</v>
      </c>
      <c r="C1313" s="5"/>
      <c r="D1313" s="5">
        <v>80.0</v>
      </c>
    </row>
    <row r="1314">
      <c r="A1314" s="5"/>
      <c r="B1314" s="5" t="s">
        <v>779</v>
      </c>
      <c r="C1314" s="5"/>
      <c r="D1314" s="5">
        <v>32.0</v>
      </c>
    </row>
    <row r="1315">
      <c r="A1315" s="5"/>
      <c r="B1315" s="5" t="s">
        <v>780</v>
      </c>
      <c r="C1315" s="5"/>
      <c r="D1315" s="5">
        <v>0.0</v>
      </c>
    </row>
    <row r="1316">
      <c r="A1316" s="5"/>
      <c r="B1316" s="5" t="s">
        <v>781</v>
      </c>
      <c r="C1316" s="5"/>
      <c r="D1316" s="5">
        <v>0.0</v>
      </c>
    </row>
    <row r="1317">
      <c r="A1317" s="5"/>
      <c r="B1317" s="5" t="s">
        <v>782</v>
      </c>
      <c r="C1317" s="5"/>
      <c r="D1317" s="5">
        <v>57.0</v>
      </c>
    </row>
    <row r="1318">
      <c r="A1318" s="5"/>
      <c r="B1318" s="5" t="s">
        <v>783</v>
      </c>
      <c r="C1318" s="5"/>
      <c r="D1318" s="5">
        <v>71.0</v>
      </c>
    </row>
    <row r="1319">
      <c r="A1319" s="5"/>
      <c r="B1319" s="5" t="s">
        <v>784</v>
      </c>
      <c r="C1319" s="5"/>
      <c r="D1319" s="5">
        <v>32.0</v>
      </c>
    </row>
    <row r="1320">
      <c r="A1320" s="5"/>
      <c r="B1320" s="5" t="s">
        <v>785</v>
      </c>
      <c r="C1320" s="5"/>
      <c r="D1320" s="5">
        <v>0.0</v>
      </c>
    </row>
    <row r="1321">
      <c r="A1321" s="5"/>
      <c r="B1321" s="5" t="s">
        <v>786</v>
      </c>
      <c r="C1321" s="5"/>
      <c r="D1321" s="5">
        <v>4.0</v>
      </c>
    </row>
    <row r="1322">
      <c r="A1322" s="5"/>
      <c r="B1322" s="5" t="s">
        <v>787</v>
      </c>
      <c r="C1322" s="5"/>
      <c r="D1322" s="5">
        <v>12.0</v>
      </c>
    </row>
    <row r="1323">
      <c r="A1323" s="5"/>
      <c r="B1323" s="5" t="s">
        <v>788</v>
      </c>
      <c r="C1323" s="5"/>
      <c r="D1323" s="5">
        <v>0.0</v>
      </c>
    </row>
    <row r="1324">
      <c r="A1324" s="5"/>
      <c r="B1324" s="5" t="s">
        <v>789</v>
      </c>
      <c r="C1324" s="5"/>
      <c r="D1324" s="5">
        <v>0.0</v>
      </c>
    </row>
    <row r="1325">
      <c r="A1325" s="5"/>
      <c r="B1325" s="5" t="s">
        <v>790</v>
      </c>
      <c r="C1325" s="5"/>
      <c r="D1325" s="5">
        <v>0.0</v>
      </c>
    </row>
    <row r="1326">
      <c r="A1326" s="5"/>
      <c r="B1326" s="5" t="s">
        <v>791</v>
      </c>
      <c r="C1326" s="5"/>
      <c r="D1326" s="5">
        <v>0.0</v>
      </c>
    </row>
    <row r="1327">
      <c r="A1327" s="5"/>
      <c r="B1327" s="5" t="s">
        <v>792</v>
      </c>
      <c r="C1327" s="5"/>
      <c r="D1327" s="5">
        <v>80.0</v>
      </c>
    </row>
    <row r="1328">
      <c r="A1328" s="5"/>
      <c r="B1328" s="5" t="s">
        <v>793</v>
      </c>
      <c r="C1328" s="5"/>
      <c r="D1328" s="5">
        <v>0.0</v>
      </c>
    </row>
    <row r="1329">
      <c r="A1329" s="5"/>
      <c r="B1329" s="5" t="s">
        <v>722</v>
      </c>
      <c r="C1329" s="5"/>
      <c r="D1329" s="5" t="s">
        <v>723</v>
      </c>
      <c r="E1329" s="5" t="s">
        <v>724</v>
      </c>
      <c r="F1329" s="5" t="s">
        <v>725</v>
      </c>
      <c r="G1329" s="5">
        <v>0.0</v>
      </c>
    </row>
    <row r="1330">
      <c r="A1330" s="5"/>
      <c r="B1330" s="5" t="s">
        <v>726</v>
      </c>
      <c r="C1330" s="5"/>
      <c r="D1330" s="5">
        <v>48.0</v>
      </c>
    </row>
    <row r="1331">
      <c r="A1331" s="5"/>
      <c r="B1331" s="5" t="s">
        <v>727</v>
      </c>
      <c r="C1331" s="5"/>
      <c r="D1331" s="5">
        <v>0.0</v>
      </c>
    </row>
    <row r="1332">
      <c r="A1332" s="5"/>
      <c r="B1332" s="5" t="s">
        <v>728</v>
      </c>
      <c r="C1332" s="5"/>
      <c r="D1332" s="5">
        <v>0.0</v>
      </c>
    </row>
    <row r="1333">
      <c r="A1333" s="5"/>
      <c r="B1333" s="5" t="s">
        <v>729</v>
      </c>
      <c r="C1333" s="5"/>
      <c r="D1333" s="5">
        <v>0.0</v>
      </c>
    </row>
    <row r="1334">
      <c r="A1334" s="5"/>
      <c r="B1334" s="5" t="s">
        <v>730</v>
      </c>
      <c r="C1334" s="5"/>
      <c r="D1334" s="5">
        <v>0.0</v>
      </c>
    </row>
    <row r="1335">
      <c r="A1335" s="5"/>
      <c r="B1335" s="5" t="s">
        <v>731</v>
      </c>
      <c r="C1335" s="5"/>
      <c r="D1335" s="5">
        <v>0.0</v>
      </c>
    </row>
    <row r="1336">
      <c r="A1336" s="5"/>
      <c r="B1336" s="5" t="s">
        <v>732</v>
      </c>
      <c r="C1336" s="5"/>
      <c r="D1336" s="5">
        <v>0.0</v>
      </c>
    </row>
    <row r="1337">
      <c r="A1337" s="5"/>
      <c r="B1337" s="5" t="s">
        <v>733</v>
      </c>
      <c r="C1337" s="5"/>
      <c r="D1337" s="5">
        <v>95.0</v>
      </c>
    </row>
    <row r="1338">
      <c r="A1338" s="5"/>
      <c r="B1338" s="5" t="s">
        <v>734</v>
      </c>
      <c r="C1338" s="5"/>
      <c r="D1338" s="5">
        <v>0.0</v>
      </c>
    </row>
    <row r="1339">
      <c r="A1339" s="5"/>
      <c r="B1339" s="5" t="s">
        <v>735</v>
      </c>
      <c r="C1339" s="5"/>
      <c r="D1339" s="5">
        <v>47.0</v>
      </c>
    </row>
    <row r="1340">
      <c r="A1340" s="5"/>
      <c r="B1340" s="5" t="s">
        <v>736</v>
      </c>
      <c r="C1340" s="5"/>
      <c r="D1340" s="5">
        <v>0.0</v>
      </c>
    </row>
    <row r="1341">
      <c r="A1341" s="5"/>
      <c r="B1341" s="5" t="s">
        <v>737</v>
      </c>
      <c r="C1341" s="5"/>
      <c r="D1341" s="5">
        <v>0.0</v>
      </c>
    </row>
    <row r="1342">
      <c r="A1342" s="5"/>
      <c r="B1342" s="5" t="s">
        <v>738</v>
      </c>
      <c r="C1342" s="5"/>
      <c r="D1342" s="5">
        <v>0.0</v>
      </c>
    </row>
    <row r="1343">
      <c r="A1343" s="5"/>
      <c r="B1343" s="5" t="s">
        <v>739</v>
      </c>
      <c r="C1343" s="5"/>
      <c r="D1343" s="5">
        <v>0.0</v>
      </c>
    </row>
    <row r="1344">
      <c r="A1344" s="5"/>
      <c r="B1344" s="5" t="s">
        <v>740</v>
      </c>
      <c r="C1344" s="5"/>
      <c r="D1344" s="5">
        <v>0.0</v>
      </c>
    </row>
    <row r="1345">
      <c r="A1345" s="5"/>
      <c r="B1345" s="5" t="s">
        <v>741</v>
      </c>
      <c r="C1345" s="5"/>
      <c r="D1345" s="5">
        <v>0.0</v>
      </c>
    </row>
    <row r="1346">
      <c r="A1346" s="5"/>
      <c r="B1346" s="5" t="s">
        <v>742</v>
      </c>
      <c r="C1346" s="5"/>
      <c r="D1346" s="5">
        <v>0.0</v>
      </c>
    </row>
    <row r="1347">
      <c r="A1347" s="5"/>
      <c r="B1347" s="5" t="s">
        <v>743</v>
      </c>
      <c r="C1347" s="5"/>
      <c r="D1347" s="5">
        <v>0.0</v>
      </c>
    </row>
    <row r="1348">
      <c r="A1348" s="5"/>
      <c r="B1348" s="5" t="s">
        <v>744</v>
      </c>
      <c r="C1348" s="5"/>
      <c r="D1348" s="5">
        <v>0.0</v>
      </c>
    </row>
    <row r="1349">
      <c r="A1349" s="5"/>
      <c r="B1349" s="5" t="s">
        <v>745</v>
      </c>
      <c r="C1349" s="5"/>
      <c r="D1349" s="5">
        <v>28.0</v>
      </c>
    </row>
    <row r="1350">
      <c r="A1350" s="5"/>
      <c r="B1350" s="5" t="s">
        <v>746</v>
      </c>
      <c r="C1350" s="5"/>
      <c r="D1350" s="5">
        <v>0.0</v>
      </c>
    </row>
    <row r="1351">
      <c r="A1351" s="5"/>
      <c r="B1351" s="5" t="s">
        <v>747</v>
      </c>
      <c r="C1351" s="5"/>
      <c r="D1351" s="5">
        <v>0.0</v>
      </c>
    </row>
    <row r="1352">
      <c r="A1352" s="5"/>
      <c r="B1352" s="5" t="s">
        <v>748</v>
      </c>
      <c r="C1352" s="5"/>
      <c r="D1352" s="5">
        <v>0.0</v>
      </c>
    </row>
    <row r="1353">
      <c r="A1353" s="5"/>
      <c r="B1353" s="5" t="s">
        <v>749</v>
      </c>
      <c r="C1353" s="5"/>
      <c r="D1353" s="5">
        <v>22.0</v>
      </c>
    </row>
    <row r="1354">
      <c r="A1354" s="5"/>
      <c r="B1354" s="5" t="s">
        <v>750</v>
      </c>
      <c r="C1354" s="5"/>
      <c r="D1354" s="5">
        <v>0.0</v>
      </c>
    </row>
    <row r="1355">
      <c r="A1355" s="5"/>
      <c r="B1355" s="5" t="s">
        <v>751</v>
      </c>
      <c r="C1355" s="5"/>
      <c r="D1355" s="5">
        <v>66.0</v>
      </c>
    </row>
    <row r="1356">
      <c r="A1356" s="5"/>
      <c r="B1356" s="5" t="s">
        <v>752</v>
      </c>
      <c r="C1356" s="5"/>
      <c r="D1356" s="5">
        <v>0.0</v>
      </c>
    </row>
    <row r="1357">
      <c r="A1357" s="5"/>
      <c r="B1357" s="5" t="s">
        <v>753</v>
      </c>
      <c r="C1357" s="5"/>
      <c r="D1357" s="5">
        <v>0.0</v>
      </c>
    </row>
    <row r="1358">
      <c r="A1358" s="5"/>
      <c r="B1358" s="5" t="s">
        <v>754</v>
      </c>
      <c r="C1358" s="5"/>
      <c r="D1358" s="5">
        <v>0.0</v>
      </c>
    </row>
    <row r="1359">
      <c r="A1359" s="5"/>
      <c r="B1359" s="5" t="s">
        <v>755</v>
      </c>
      <c r="C1359" s="5"/>
      <c r="D1359" s="5">
        <v>0.0</v>
      </c>
    </row>
    <row r="1360">
      <c r="A1360" s="5"/>
      <c r="B1360" s="5" t="s">
        <v>756</v>
      </c>
      <c r="C1360" s="5"/>
      <c r="D1360" s="5">
        <v>0.0</v>
      </c>
    </row>
    <row r="1361">
      <c r="A1361" s="5"/>
      <c r="B1361" s="5" t="s">
        <v>757</v>
      </c>
      <c r="C1361" s="5"/>
      <c r="D1361" s="5">
        <v>0.0</v>
      </c>
    </row>
    <row r="1362">
      <c r="A1362" s="5"/>
      <c r="B1362" s="5" t="s">
        <v>758</v>
      </c>
      <c r="C1362" s="5"/>
      <c r="D1362" s="5">
        <v>0.0</v>
      </c>
    </row>
    <row r="1363">
      <c r="A1363" s="5"/>
      <c r="B1363" s="5" t="s">
        <v>759</v>
      </c>
      <c r="C1363" s="5"/>
      <c r="D1363" s="5">
        <v>66.0</v>
      </c>
    </row>
    <row r="1364">
      <c r="A1364" s="5"/>
      <c r="B1364" s="5" t="s">
        <v>760</v>
      </c>
      <c r="C1364" s="5"/>
      <c r="D1364" s="5">
        <v>0.0</v>
      </c>
    </row>
    <row r="1365">
      <c r="A1365" s="5"/>
      <c r="B1365" s="5" t="s">
        <v>761</v>
      </c>
      <c r="C1365" s="5"/>
      <c r="D1365" s="5">
        <v>0.0</v>
      </c>
    </row>
    <row r="1366">
      <c r="A1366" s="5"/>
      <c r="B1366" s="5" t="s">
        <v>762</v>
      </c>
      <c r="C1366" s="5"/>
      <c r="D1366" s="5">
        <v>20.0</v>
      </c>
    </row>
    <row r="1367">
      <c r="A1367" s="5"/>
      <c r="B1367" s="5" t="s">
        <v>763</v>
      </c>
      <c r="C1367" s="5"/>
      <c r="D1367" s="5">
        <v>10.0</v>
      </c>
    </row>
    <row r="1368">
      <c r="A1368" s="5"/>
      <c r="B1368" s="5" t="s">
        <v>764</v>
      </c>
      <c r="C1368" s="5"/>
      <c r="D1368" s="5">
        <v>0.0</v>
      </c>
    </row>
    <row r="1369">
      <c r="A1369" s="5"/>
      <c r="B1369" s="5" t="s">
        <v>765</v>
      </c>
      <c r="C1369" s="5"/>
      <c r="D1369" s="5">
        <v>0.0</v>
      </c>
    </row>
    <row r="1370">
      <c r="A1370" s="5"/>
      <c r="B1370" s="5" t="s">
        <v>766</v>
      </c>
      <c r="C1370" s="5"/>
      <c r="D1370" s="5">
        <v>0.0</v>
      </c>
    </row>
    <row r="1371">
      <c r="A1371" s="5"/>
      <c r="B1371" s="5" t="s">
        <v>767</v>
      </c>
      <c r="C1371" s="5"/>
      <c r="D1371" s="5">
        <v>0.0</v>
      </c>
    </row>
    <row r="1372">
      <c r="A1372" s="5"/>
      <c r="B1372" s="5" t="s">
        <v>768</v>
      </c>
      <c r="C1372" s="5"/>
      <c r="D1372" s="5">
        <v>0.0</v>
      </c>
    </row>
    <row r="1373">
      <c r="A1373" s="5"/>
      <c r="B1373" s="5" t="s">
        <v>769</v>
      </c>
      <c r="C1373" s="5"/>
      <c r="D1373" s="5">
        <v>88.0</v>
      </c>
    </row>
    <row r="1374">
      <c r="A1374" s="5"/>
      <c r="B1374" s="5" t="s">
        <v>770</v>
      </c>
      <c r="C1374" s="5"/>
      <c r="D1374" s="5">
        <v>0.0</v>
      </c>
    </row>
    <row r="1375">
      <c r="A1375" s="5"/>
      <c r="B1375" s="5" t="s">
        <v>771</v>
      </c>
      <c r="C1375" s="5"/>
      <c r="D1375" s="5">
        <v>0.0</v>
      </c>
    </row>
    <row r="1376">
      <c r="A1376" s="5"/>
      <c r="B1376" s="5" t="s">
        <v>772</v>
      </c>
      <c r="C1376" s="5"/>
      <c r="D1376" s="5">
        <v>46.0</v>
      </c>
    </row>
    <row r="1377">
      <c r="A1377" s="5"/>
      <c r="B1377" s="5" t="s">
        <v>773</v>
      </c>
      <c r="C1377" s="5"/>
      <c r="D1377" s="5">
        <v>67.0</v>
      </c>
    </row>
    <row r="1378">
      <c r="A1378" s="5"/>
      <c r="B1378" s="5" t="s">
        <v>774</v>
      </c>
      <c r="C1378" s="5"/>
      <c r="D1378" s="5">
        <v>40.0</v>
      </c>
    </row>
    <row r="1379">
      <c r="A1379" s="5"/>
      <c r="B1379" s="5" t="s">
        <v>775</v>
      </c>
      <c r="C1379" s="5"/>
      <c r="D1379" s="5">
        <v>0.0</v>
      </c>
    </row>
    <row r="1380">
      <c r="A1380" s="5"/>
      <c r="B1380" s="5" t="s">
        <v>776</v>
      </c>
      <c r="C1380" s="5"/>
      <c r="D1380" s="5">
        <v>0.0</v>
      </c>
    </row>
    <row r="1381">
      <c r="A1381" s="5"/>
      <c r="B1381" s="5" t="s">
        <v>777</v>
      </c>
      <c r="C1381" s="5"/>
      <c r="D1381" s="5">
        <v>0.0</v>
      </c>
    </row>
    <row r="1382">
      <c r="A1382" s="5"/>
      <c r="B1382" s="5" t="s">
        <v>778</v>
      </c>
      <c r="C1382" s="5"/>
      <c r="D1382" s="5">
        <v>80.0</v>
      </c>
    </row>
    <row r="1383">
      <c r="A1383" s="5"/>
      <c r="B1383" s="5" t="s">
        <v>779</v>
      </c>
      <c r="C1383" s="5"/>
      <c r="D1383" s="5">
        <v>32.0</v>
      </c>
    </row>
    <row r="1384">
      <c r="A1384" s="5"/>
      <c r="B1384" s="5" t="s">
        <v>780</v>
      </c>
      <c r="C1384" s="5"/>
      <c r="D1384" s="5">
        <v>0.0</v>
      </c>
    </row>
    <row r="1385">
      <c r="A1385" s="5"/>
      <c r="B1385" s="5" t="s">
        <v>781</v>
      </c>
      <c r="C1385" s="5"/>
      <c r="D1385" s="5">
        <v>0.0</v>
      </c>
    </row>
    <row r="1386">
      <c r="A1386" s="5"/>
      <c r="B1386" s="5" t="s">
        <v>782</v>
      </c>
      <c r="C1386" s="5"/>
      <c r="D1386" s="5">
        <v>57.0</v>
      </c>
    </row>
    <row r="1387">
      <c r="A1387" s="5"/>
      <c r="B1387" s="5" t="s">
        <v>783</v>
      </c>
      <c r="C1387" s="5"/>
      <c r="D1387" s="5">
        <v>71.0</v>
      </c>
    </row>
    <row r="1388">
      <c r="A1388" s="5"/>
      <c r="B1388" s="5" t="s">
        <v>784</v>
      </c>
      <c r="C1388" s="5"/>
      <c r="D1388" s="5">
        <v>32.0</v>
      </c>
    </row>
    <row r="1389">
      <c r="A1389" s="5"/>
      <c r="B1389" s="5" t="s">
        <v>785</v>
      </c>
      <c r="C1389" s="5"/>
      <c r="D1389" s="5">
        <v>0.0</v>
      </c>
    </row>
    <row r="1390">
      <c r="A1390" s="5"/>
      <c r="B1390" s="5" t="s">
        <v>786</v>
      </c>
      <c r="C1390" s="5"/>
      <c r="D1390" s="5">
        <v>4.0</v>
      </c>
    </row>
    <row r="1391">
      <c r="A1391" s="5"/>
      <c r="B1391" s="5" t="s">
        <v>787</v>
      </c>
      <c r="C1391" s="5"/>
      <c r="D1391" s="5">
        <v>12.0</v>
      </c>
    </row>
    <row r="1392">
      <c r="A1392" s="5"/>
      <c r="B1392" s="5" t="s">
        <v>788</v>
      </c>
      <c r="C1392" s="5"/>
      <c r="D1392" s="5">
        <v>0.0</v>
      </c>
    </row>
    <row r="1393">
      <c r="A1393" s="5"/>
      <c r="B1393" s="5" t="s">
        <v>789</v>
      </c>
      <c r="C1393" s="5"/>
      <c r="D1393" s="5">
        <v>0.0</v>
      </c>
    </row>
    <row r="1394">
      <c r="A1394" s="5"/>
      <c r="B1394" s="5" t="s">
        <v>790</v>
      </c>
      <c r="C1394" s="5"/>
      <c r="D1394" s="5">
        <v>0.0</v>
      </c>
    </row>
    <row r="1395">
      <c r="A1395" s="5"/>
      <c r="B1395" s="5" t="s">
        <v>791</v>
      </c>
      <c r="C1395" s="5"/>
      <c r="D1395" s="5">
        <v>0.0</v>
      </c>
    </row>
    <row r="1396">
      <c r="A1396" s="5"/>
      <c r="B1396" s="5" t="s">
        <v>792</v>
      </c>
      <c r="C1396" s="5"/>
      <c r="D1396" s="5">
        <v>80.0</v>
      </c>
    </row>
    <row r="1397">
      <c r="A1397" s="5"/>
      <c r="B1397" s="5" t="s">
        <v>793</v>
      </c>
      <c r="C1397" s="5"/>
      <c r="D1397" s="5">
        <v>0.0</v>
      </c>
    </row>
    <row r="1398">
      <c r="A1398" s="5"/>
      <c r="B1398" s="5" t="s">
        <v>794</v>
      </c>
      <c r="C1398" s="5"/>
      <c r="D1398" s="5">
        <v>60.0</v>
      </c>
    </row>
    <row r="1399">
      <c r="A1399" s="5"/>
      <c r="B1399" s="5" t="s">
        <v>795</v>
      </c>
      <c r="C1399" s="5"/>
      <c r="D1399" s="5">
        <v>0.0</v>
      </c>
    </row>
    <row r="1400">
      <c r="A1400" s="5"/>
      <c r="B1400" s="5" t="s">
        <v>796</v>
      </c>
      <c r="C1400" s="5"/>
      <c r="D1400" s="5">
        <v>90.0</v>
      </c>
    </row>
    <row r="1401">
      <c r="A1401" s="5"/>
      <c r="B1401" s="5" t="s">
        <v>797</v>
      </c>
      <c r="C1401" s="5"/>
      <c r="D1401" s="5">
        <v>0.0</v>
      </c>
    </row>
    <row r="1402">
      <c r="A1402" s="5"/>
      <c r="B1402" s="5" t="s">
        <v>798</v>
      </c>
      <c r="C1402" s="5"/>
      <c r="D1402" s="5">
        <v>0.0</v>
      </c>
    </row>
    <row r="1403">
      <c r="A1403" s="5"/>
      <c r="B1403" s="5" t="s">
        <v>799</v>
      </c>
      <c r="C1403" s="5"/>
      <c r="D1403" s="5">
        <v>0.0</v>
      </c>
    </row>
    <row r="1404">
      <c r="A1404" s="5"/>
      <c r="B1404" s="5" t="s">
        <v>800</v>
      </c>
      <c r="C1404" s="5"/>
      <c r="D1404" s="5">
        <v>0.0</v>
      </c>
    </row>
    <row r="1405">
      <c r="A1405" s="5"/>
      <c r="B1405" s="5" t="s">
        <v>801</v>
      </c>
      <c r="C1405" s="5"/>
      <c r="D1405" s="5">
        <v>0.0</v>
      </c>
    </row>
    <row r="1406">
      <c r="A1406" s="5"/>
      <c r="B1406" s="5" t="s">
        <v>802</v>
      </c>
      <c r="C1406" s="5"/>
      <c r="D1406" s="5">
        <v>19.0</v>
      </c>
    </row>
    <row r="1407">
      <c r="A1407" s="5"/>
      <c r="B1407" s="5" t="s">
        <v>803</v>
      </c>
      <c r="C1407" s="5"/>
      <c r="D1407" s="5">
        <v>0.0</v>
      </c>
    </row>
    <row r="1408">
      <c r="A1408" s="5"/>
      <c r="B1408" s="5" t="s">
        <v>804</v>
      </c>
      <c r="C1408" s="5"/>
      <c r="D1408" s="5">
        <v>0.0</v>
      </c>
    </row>
    <row r="1409">
      <c r="A1409" s="5"/>
      <c r="B1409" s="5" t="s">
        <v>805</v>
      </c>
      <c r="C1409" s="5"/>
      <c r="D1409" s="5">
        <v>42.0</v>
      </c>
    </row>
    <row r="1410">
      <c r="A1410" s="5"/>
      <c r="B1410" s="5" t="s">
        <v>806</v>
      </c>
      <c r="C1410" s="5"/>
      <c r="D1410" s="5">
        <v>57.0</v>
      </c>
    </row>
    <row r="1411">
      <c r="A1411" s="5"/>
      <c r="B1411" s="5" t="s">
        <v>807</v>
      </c>
      <c r="C1411" s="5"/>
      <c r="D1411" s="5">
        <v>17.0</v>
      </c>
    </row>
    <row r="1412">
      <c r="A1412" s="5"/>
      <c r="B1412" s="5" t="s">
        <v>808</v>
      </c>
      <c r="C1412" s="5"/>
      <c r="D1412" s="5">
        <v>10.0</v>
      </c>
    </row>
    <row r="1413">
      <c r="A1413" s="5"/>
      <c r="B1413" s="5" t="s">
        <v>809</v>
      </c>
      <c r="C1413" s="5"/>
      <c r="D1413" s="5">
        <v>0.0</v>
      </c>
    </row>
    <row r="1414">
      <c r="A1414" s="5"/>
      <c r="B1414" s="5" t="s">
        <v>810</v>
      </c>
      <c r="C1414" s="5"/>
      <c r="D1414" s="5">
        <v>8.0</v>
      </c>
    </row>
    <row r="1415">
      <c r="A1415" s="5"/>
      <c r="B1415" s="5" t="s">
        <v>811</v>
      </c>
      <c r="C1415" s="5"/>
      <c r="D1415" s="5">
        <v>8.0</v>
      </c>
    </row>
    <row r="1416">
      <c r="A1416" s="5"/>
      <c r="B1416" s="5" t="s">
        <v>812</v>
      </c>
      <c r="C1416" s="5"/>
      <c r="D1416" s="5">
        <v>11.0</v>
      </c>
    </row>
    <row r="1417">
      <c r="A1417" s="5"/>
      <c r="B1417" s="5" t="s">
        <v>813</v>
      </c>
      <c r="C1417" s="5"/>
      <c r="D1417" s="5">
        <v>24.0</v>
      </c>
    </row>
    <row r="1418">
      <c r="A1418" s="5"/>
      <c r="B1418" s="5" t="s">
        <v>814</v>
      </c>
      <c r="C1418" s="5"/>
      <c r="D1418" s="5">
        <v>0.0</v>
      </c>
    </row>
    <row r="1419">
      <c r="A1419" s="5"/>
      <c r="B1419" s="5" t="s">
        <v>815</v>
      </c>
      <c r="C1419" s="5"/>
      <c r="D1419" s="5">
        <v>0.0</v>
      </c>
    </row>
    <row r="1420">
      <c r="A1420" s="5"/>
      <c r="B1420" s="5" t="s">
        <v>816</v>
      </c>
      <c r="C1420" s="5"/>
      <c r="D1420" s="5">
        <v>0.0</v>
      </c>
    </row>
    <row r="1421">
      <c r="A1421" s="5"/>
      <c r="B1421" s="5" t="s">
        <v>817</v>
      </c>
      <c r="C1421" s="5"/>
      <c r="D1421" s="5" t="s">
        <v>818</v>
      </c>
      <c r="E1421" s="5">
        <v>8.0</v>
      </c>
    </row>
    <row r="1422">
      <c r="A1422" s="5"/>
      <c r="B1422" s="5" t="s">
        <v>819</v>
      </c>
      <c r="C1422" s="5"/>
      <c r="D1422" s="5">
        <v>0.0</v>
      </c>
    </row>
    <row r="1423">
      <c r="A1423" s="5"/>
      <c r="B1423" s="5" t="s">
        <v>820</v>
      </c>
      <c r="C1423" s="5"/>
      <c r="D1423" s="5">
        <v>50.0</v>
      </c>
    </row>
    <row r="1424">
      <c r="A1424" s="5"/>
      <c r="B1424" s="5" t="s">
        <v>821</v>
      </c>
      <c r="C1424" s="5"/>
      <c r="D1424" s="5">
        <v>29.0</v>
      </c>
    </row>
    <row r="1425">
      <c r="A1425" s="5"/>
      <c r="B1425" s="5" t="s">
        <v>822</v>
      </c>
      <c r="C1425" s="5"/>
      <c r="D1425" s="5">
        <v>29.0</v>
      </c>
    </row>
    <row r="1426">
      <c r="A1426" s="5"/>
      <c r="B1426" s="5" t="s">
        <v>823</v>
      </c>
      <c r="C1426" s="5"/>
      <c r="D1426" s="5">
        <v>46.0</v>
      </c>
    </row>
    <row r="1427">
      <c r="A1427" s="5"/>
      <c r="B1427" s="5" t="s">
        <v>824</v>
      </c>
      <c r="C1427" s="5"/>
      <c r="D1427" s="5">
        <v>64.0</v>
      </c>
    </row>
    <row r="1428">
      <c r="A1428" s="5"/>
      <c r="B1428" s="5" t="s">
        <v>825</v>
      </c>
      <c r="C1428" s="5"/>
      <c r="D1428" s="5">
        <v>0.0</v>
      </c>
    </row>
    <row r="1429">
      <c r="A1429" s="5"/>
      <c r="B1429" s="5" t="s">
        <v>826</v>
      </c>
      <c r="C1429" s="5"/>
      <c r="D1429" s="5">
        <v>0.0</v>
      </c>
    </row>
    <row r="1430">
      <c r="A1430" s="5"/>
      <c r="B1430" s="5" t="s">
        <v>827</v>
      </c>
      <c r="C1430" s="5"/>
      <c r="D1430" s="5">
        <v>0.0</v>
      </c>
    </row>
    <row r="1431">
      <c r="A1431" s="5"/>
      <c r="B1431" s="5" t="s">
        <v>828</v>
      </c>
      <c r="C1431" s="5"/>
      <c r="D1431" s="5">
        <v>0.0</v>
      </c>
    </row>
    <row r="1432">
      <c r="A1432" s="5"/>
      <c r="B1432" s="5" t="s">
        <v>829</v>
      </c>
      <c r="C1432" s="5"/>
      <c r="D1432" s="5">
        <v>0.0</v>
      </c>
    </row>
    <row r="1433">
      <c r="A1433" s="5"/>
      <c r="B1433" s="5" t="s">
        <v>830</v>
      </c>
      <c r="C1433" s="5"/>
      <c r="D1433" s="5">
        <v>0.0</v>
      </c>
    </row>
    <row r="1434">
      <c r="A1434" s="5"/>
      <c r="B1434" s="5" t="s">
        <v>831</v>
      </c>
      <c r="C1434" s="5"/>
      <c r="D1434" s="5">
        <v>0.0</v>
      </c>
    </row>
    <row r="1435">
      <c r="A1435" s="5"/>
      <c r="B1435" s="5" t="s">
        <v>832</v>
      </c>
      <c r="C1435" s="5"/>
      <c r="D1435" s="5">
        <v>0.0</v>
      </c>
    </row>
    <row r="1436">
      <c r="A1436" s="5"/>
      <c r="B1436" s="5" t="s">
        <v>833</v>
      </c>
      <c r="C1436" s="5"/>
      <c r="D1436" s="5">
        <v>0.0</v>
      </c>
    </row>
    <row r="1437">
      <c r="A1437" s="5"/>
      <c r="B1437" s="5" t="s">
        <v>834</v>
      </c>
      <c r="C1437" s="5"/>
      <c r="D1437" s="5">
        <v>18.0</v>
      </c>
    </row>
    <row r="1438">
      <c r="A1438" s="5"/>
      <c r="B1438" s="5" t="s">
        <v>835</v>
      </c>
      <c r="C1438" s="5"/>
      <c r="D1438" s="5">
        <v>0.0</v>
      </c>
    </row>
    <row r="1439">
      <c r="A1439" s="5"/>
      <c r="B1439" s="5" t="s">
        <v>836</v>
      </c>
      <c r="C1439" s="5"/>
      <c r="D1439" s="5">
        <v>0.0</v>
      </c>
    </row>
    <row r="1440">
      <c r="A1440" s="5"/>
      <c r="B1440" s="5" t="s">
        <v>837</v>
      </c>
      <c r="C1440" s="5"/>
      <c r="D1440" s="5">
        <v>44.0</v>
      </c>
    </row>
    <row r="1441">
      <c r="A1441" s="5"/>
      <c r="B1441" s="5" t="s">
        <v>838</v>
      </c>
      <c r="C1441" s="5"/>
      <c r="D1441" s="5">
        <v>0.0</v>
      </c>
    </row>
    <row r="1442">
      <c r="A1442" s="5"/>
      <c r="B1442" s="5" t="s">
        <v>839</v>
      </c>
      <c r="C1442" s="5"/>
      <c r="D1442" s="5">
        <v>83.0</v>
      </c>
    </row>
    <row r="1443">
      <c r="A1443" s="5"/>
      <c r="B1443" s="5" t="s">
        <v>840</v>
      </c>
      <c r="C1443" s="5"/>
      <c r="D1443" s="5">
        <v>0.0</v>
      </c>
    </row>
    <row r="1444">
      <c r="A1444" s="5"/>
      <c r="B1444" s="5" t="s">
        <v>841</v>
      </c>
      <c r="C1444" s="5"/>
      <c r="D1444" s="5">
        <v>0.0</v>
      </c>
    </row>
    <row r="1445">
      <c r="A1445" s="5"/>
      <c r="B1445" s="5" t="s">
        <v>842</v>
      </c>
      <c r="C1445" s="5"/>
      <c r="D1445" s="5">
        <v>86.0</v>
      </c>
    </row>
    <row r="1446">
      <c r="A1446" s="5"/>
      <c r="B1446" s="5" t="s">
        <v>843</v>
      </c>
      <c r="C1446" s="5"/>
      <c r="D1446" s="5">
        <v>0.0</v>
      </c>
    </row>
    <row r="1447">
      <c r="A1447" s="5"/>
      <c r="B1447" s="5" t="s">
        <v>844</v>
      </c>
      <c r="C1447" s="5"/>
      <c r="D1447" s="5">
        <v>27.0</v>
      </c>
    </row>
    <row r="1448">
      <c r="A1448" s="5"/>
      <c r="B1448" s="5" t="s">
        <v>845</v>
      </c>
      <c r="C1448" s="5"/>
      <c r="D1448" s="5">
        <v>0.0</v>
      </c>
    </row>
    <row r="1449">
      <c r="A1449" s="5"/>
      <c r="B1449" s="5" t="s">
        <v>846</v>
      </c>
      <c r="C1449" s="5"/>
      <c r="D1449" s="5">
        <v>0.0</v>
      </c>
    </row>
    <row r="1450">
      <c r="A1450" s="5"/>
      <c r="B1450" s="5" t="s">
        <v>847</v>
      </c>
      <c r="C1450" s="5"/>
      <c r="D1450" s="5">
        <v>70.0</v>
      </c>
    </row>
    <row r="1451">
      <c r="A1451" s="5"/>
      <c r="B1451" s="5" t="s">
        <v>848</v>
      </c>
      <c r="C1451" s="5"/>
      <c r="D1451" s="5">
        <v>0.0</v>
      </c>
    </row>
    <row r="1452">
      <c r="A1452" s="5"/>
      <c r="B1452" s="5" t="s">
        <v>849</v>
      </c>
      <c r="C1452" s="5"/>
      <c r="D1452" s="5">
        <v>0.0</v>
      </c>
    </row>
    <row r="1453">
      <c r="A1453" s="5"/>
      <c r="B1453" s="5" t="s">
        <v>850</v>
      </c>
      <c r="C1453" s="5"/>
      <c r="D1453" s="5">
        <v>0.0</v>
      </c>
    </row>
    <row r="1454">
      <c r="A1454" s="5"/>
      <c r="B1454" s="5" t="s">
        <v>851</v>
      </c>
      <c r="C1454" s="5"/>
      <c r="D1454" s="5">
        <v>0.0</v>
      </c>
    </row>
    <row r="1455">
      <c r="A1455" s="5"/>
      <c r="B1455" s="5" t="s">
        <v>852</v>
      </c>
      <c r="C1455" s="5"/>
      <c r="D1455" s="5">
        <v>39.0</v>
      </c>
    </row>
    <row r="1456">
      <c r="A1456" s="5"/>
      <c r="B1456" s="5" t="s">
        <v>853</v>
      </c>
      <c r="C1456" s="5"/>
      <c r="D1456" s="5">
        <v>0.0</v>
      </c>
    </row>
    <row r="1457">
      <c r="A1457" s="5"/>
      <c r="B1457" s="5" t="s">
        <v>854</v>
      </c>
      <c r="C1457" s="5"/>
      <c r="D1457" s="5">
        <v>71.0</v>
      </c>
    </row>
    <row r="1458">
      <c r="A1458" s="5"/>
      <c r="B1458" s="5" t="s">
        <v>855</v>
      </c>
      <c r="C1458" s="5"/>
      <c r="D1458" s="5">
        <v>0.0</v>
      </c>
    </row>
    <row r="1459">
      <c r="A1459" s="5"/>
      <c r="B1459" s="5" t="s">
        <v>856</v>
      </c>
      <c r="C1459" s="5"/>
      <c r="D1459" s="5">
        <v>0.0</v>
      </c>
    </row>
    <row r="1460">
      <c r="A1460" s="5"/>
      <c r="B1460" s="5" t="s">
        <v>857</v>
      </c>
      <c r="C1460" s="5"/>
      <c r="D1460" s="5">
        <v>0.0</v>
      </c>
    </row>
    <row r="1461">
      <c r="A1461" s="5"/>
      <c r="B1461" s="5" t="s">
        <v>858</v>
      </c>
      <c r="C1461" s="5"/>
      <c r="D1461" s="5">
        <v>68.0</v>
      </c>
    </row>
    <row r="1462">
      <c r="A1462" s="5"/>
      <c r="B1462" s="5" t="s">
        <v>859</v>
      </c>
      <c r="C1462" s="5"/>
      <c r="D1462" s="5">
        <v>81.0</v>
      </c>
    </row>
    <row r="1463">
      <c r="A1463" s="5"/>
      <c r="B1463" s="5" t="s">
        <v>860</v>
      </c>
      <c r="C1463" s="5"/>
      <c r="D1463" s="5">
        <v>0.0</v>
      </c>
    </row>
    <row r="1464">
      <c r="A1464" s="5"/>
      <c r="B1464" s="5" t="s">
        <v>861</v>
      </c>
      <c r="C1464" s="5"/>
      <c r="D1464" s="5">
        <v>0.0</v>
      </c>
    </row>
    <row r="1465">
      <c r="A1465" s="5"/>
      <c r="B1465" s="5" t="s">
        <v>862</v>
      </c>
      <c r="C1465" s="5"/>
      <c r="D1465" s="5">
        <v>0.0</v>
      </c>
    </row>
    <row r="1466">
      <c r="A1466" s="5"/>
      <c r="B1466" s="5" t="s">
        <v>863</v>
      </c>
      <c r="C1466" s="5"/>
      <c r="D1466" s="5">
        <v>0.0</v>
      </c>
    </row>
    <row r="1467">
      <c r="A1467" s="5"/>
      <c r="B1467" s="5" t="s">
        <v>794</v>
      </c>
      <c r="C1467" s="5"/>
      <c r="D1467" s="5">
        <v>60.0</v>
      </c>
    </row>
    <row r="1468">
      <c r="A1468" s="5"/>
      <c r="B1468" s="5" t="s">
        <v>795</v>
      </c>
      <c r="C1468" s="5"/>
      <c r="D1468" s="5">
        <v>0.0</v>
      </c>
    </row>
    <row r="1469">
      <c r="A1469" s="5"/>
      <c r="B1469" s="5" t="s">
        <v>796</v>
      </c>
      <c r="C1469" s="5"/>
      <c r="D1469" s="5">
        <v>90.0</v>
      </c>
    </row>
    <row r="1470">
      <c r="A1470" s="5"/>
      <c r="B1470" s="5" t="s">
        <v>797</v>
      </c>
      <c r="C1470" s="5"/>
      <c r="D1470" s="5">
        <v>0.0</v>
      </c>
    </row>
    <row r="1471">
      <c r="A1471" s="5"/>
      <c r="B1471" s="5" t="s">
        <v>798</v>
      </c>
      <c r="C1471" s="5"/>
      <c r="D1471" s="5">
        <v>0.0</v>
      </c>
    </row>
    <row r="1472">
      <c r="A1472" s="5"/>
      <c r="B1472" s="5" t="s">
        <v>799</v>
      </c>
      <c r="C1472" s="5"/>
      <c r="D1472" s="5">
        <v>0.0</v>
      </c>
    </row>
    <row r="1473">
      <c r="A1473" s="5"/>
      <c r="B1473" s="5" t="s">
        <v>800</v>
      </c>
      <c r="C1473" s="5"/>
      <c r="D1473" s="5">
        <v>0.0</v>
      </c>
    </row>
    <row r="1474">
      <c r="A1474" s="5"/>
      <c r="B1474" s="5" t="s">
        <v>801</v>
      </c>
      <c r="C1474" s="5"/>
      <c r="D1474" s="5">
        <v>0.0</v>
      </c>
    </row>
    <row r="1475">
      <c r="A1475" s="5"/>
      <c r="B1475" s="5" t="s">
        <v>802</v>
      </c>
      <c r="C1475" s="5"/>
      <c r="D1475" s="5">
        <v>19.0</v>
      </c>
    </row>
    <row r="1476">
      <c r="A1476" s="5"/>
      <c r="B1476" s="5" t="s">
        <v>803</v>
      </c>
      <c r="C1476" s="5"/>
      <c r="D1476" s="5">
        <v>0.0</v>
      </c>
    </row>
    <row r="1477">
      <c r="A1477" s="5"/>
      <c r="B1477" s="5" t="s">
        <v>804</v>
      </c>
      <c r="C1477" s="5"/>
      <c r="D1477" s="5">
        <v>0.0</v>
      </c>
    </row>
    <row r="1478">
      <c r="A1478" s="5"/>
      <c r="B1478" s="5" t="s">
        <v>805</v>
      </c>
      <c r="C1478" s="5"/>
      <c r="D1478" s="5">
        <v>42.0</v>
      </c>
    </row>
    <row r="1479">
      <c r="A1479" s="5"/>
      <c r="B1479" s="5" t="s">
        <v>806</v>
      </c>
      <c r="C1479" s="5"/>
      <c r="D1479" s="5">
        <v>57.0</v>
      </c>
    </row>
    <row r="1480">
      <c r="A1480" s="5"/>
      <c r="B1480" s="5" t="s">
        <v>807</v>
      </c>
      <c r="C1480" s="5"/>
      <c r="D1480" s="5">
        <v>17.0</v>
      </c>
    </row>
    <row r="1481">
      <c r="A1481" s="5"/>
      <c r="B1481" s="5" t="s">
        <v>808</v>
      </c>
      <c r="C1481" s="5"/>
      <c r="D1481" s="5">
        <v>10.0</v>
      </c>
    </row>
    <row r="1482">
      <c r="A1482" s="5"/>
      <c r="B1482" s="5" t="s">
        <v>809</v>
      </c>
      <c r="C1482" s="5"/>
      <c r="D1482" s="5">
        <v>0.0</v>
      </c>
    </row>
    <row r="1483">
      <c r="A1483" s="5"/>
      <c r="B1483" s="5" t="s">
        <v>810</v>
      </c>
      <c r="C1483" s="5"/>
      <c r="D1483" s="5">
        <v>8.0</v>
      </c>
    </row>
    <row r="1484">
      <c r="A1484" s="5"/>
      <c r="B1484" s="5" t="s">
        <v>811</v>
      </c>
      <c r="C1484" s="5"/>
      <c r="D1484" s="5">
        <v>8.0</v>
      </c>
    </row>
    <row r="1485">
      <c r="A1485" s="5"/>
      <c r="B1485" s="5" t="s">
        <v>812</v>
      </c>
      <c r="C1485" s="5"/>
      <c r="D1485" s="5">
        <v>11.0</v>
      </c>
    </row>
    <row r="1486">
      <c r="A1486" s="5"/>
      <c r="B1486" s="5" t="s">
        <v>813</v>
      </c>
      <c r="C1486" s="5"/>
      <c r="D1486" s="5">
        <v>24.0</v>
      </c>
    </row>
    <row r="1487">
      <c r="A1487" s="5"/>
      <c r="B1487" s="5" t="s">
        <v>814</v>
      </c>
      <c r="C1487" s="5"/>
      <c r="D1487" s="5">
        <v>0.0</v>
      </c>
    </row>
    <row r="1488">
      <c r="A1488" s="5"/>
      <c r="B1488" s="5" t="s">
        <v>815</v>
      </c>
      <c r="C1488" s="5"/>
      <c r="D1488" s="5">
        <v>0.0</v>
      </c>
    </row>
    <row r="1489">
      <c r="A1489" s="5"/>
      <c r="B1489" s="5" t="s">
        <v>816</v>
      </c>
      <c r="C1489" s="5"/>
      <c r="D1489" s="5">
        <v>0.0</v>
      </c>
    </row>
    <row r="1490">
      <c r="A1490" s="5"/>
      <c r="B1490" s="5" t="s">
        <v>817</v>
      </c>
      <c r="C1490" s="5"/>
      <c r="D1490" s="5" t="s">
        <v>818</v>
      </c>
      <c r="E1490" s="5">
        <v>8.0</v>
      </c>
    </row>
    <row r="1491">
      <c r="A1491" s="5"/>
      <c r="B1491" s="5" t="s">
        <v>819</v>
      </c>
      <c r="C1491" s="5"/>
      <c r="D1491" s="5">
        <v>0.0</v>
      </c>
    </row>
    <row r="1492">
      <c r="A1492" s="5"/>
      <c r="B1492" s="5" t="s">
        <v>820</v>
      </c>
      <c r="C1492" s="5"/>
      <c r="D1492" s="5">
        <v>50.0</v>
      </c>
    </row>
    <row r="1493">
      <c r="A1493" s="5"/>
      <c r="B1493" s="5" t="s">
        <v>821</v>
      </c>
      <c r="C1493" s="5"/>
      <c r="D1493" s="5">
        <v>29.0</v>
      </c>
    </row>
    <row r="1494">
      <c r="A1494" s="5"/>
      <c r="B1494" s="5" t="s">
        <v>822</v>
      </c>
      <c r="C1494" s="5"/>
      <c r="D1494" s="5">
        <v>29.0</v>
      </c>
    </row>
    <row r="1495">
      <c r="A1495" s="5"/>
      <c r="B1495" s="5" t="s">
        <v>823</v>
      </c>
      <c r="C1495" s="5"/>
      <c r="D1495" s="5">
        <v>46.0</v>
      </c>
    </row>
    <row r="1496">
      <c r="A1496" s="5"/>
      <c r="B1496" s="5" t="s">
        <v>824</v>
      </c>
      <c r="C1496" s="5"/>
      <c r="D1496" s="5">
        <v>64.0</v>
      </c>
    </row>
    <row r="1497">
      <c r="A1497" s="5"/>
      <c r="B1497" s="5" t="s">
        <v>825</v>
      </c>
      <c r="C1497" s="5"/>
      <c r="D1497" s="5">
        <v>0.0</v>
      </c>
    </row>
    <row r="1498">
      <c r="A1498" s="5"/>
      <c r="B1498" s="5" t="s">
        <v>826</v>
      </c>
      <c r="C1498" s="5"/>
      <c r="D1498" s="5">
        <v>0.0</v>
      </c>
    </row>
    <row r="1499">
      <c r="A1499" s="5"/>
      <c r="B1499" s="5" t="s">
        <v>827</v>
      </c>
      <c r="C1499" s="5"/>
      <c r="D1499" s="5">
        <v>0.0</v>
      </c>
    </row>
    <row r="1500">
      <c r="A1500" s="5"/>
      <c r="B1500" s="5" t="s">
        <v>828</v>
      </c>
      <c r="C1500" s="5"/>
      <c r="D1500" s="5">
        <v>0.0</v>
      </c>
    </row>
    <row r="1501">
      <c r="A1501" s="5"/>
      <c r="B1501" s="5" t="s">
        <v>829</v>
      </c>
      <c r="C1501" s="5"/>
      <c r="D1501" s="5">
        <v>0.0</v>
      </c>
    </row>
    <row r="1502">
      <c r="A1502" s="5"/>
      <c r="B1502" s="5" t="s">
        <v>830</v>
      </c>
      <c r="C1502" s="5"/>
      <c r="D1502" s="5">
        <v>0.0</v>
      </c>
    </row>
    <row r="1503">
      <c r="A1503" s="5"/>
      <c r="B1503" s="5" t="s">
        <v>831</v>
      </c>
      <c r="C1503" s="5"/>
      <c r="D1503" s="5">
        <v>0.0</v>
      </c>
    </row>
    <row r="1504">
      <c r="A1504" s="5"/>
      <c r="B1504" s="5" t="s">
        <v>832</v>
      </c>
      <c r="C1504" s="5"/>
      <c r="D1504" s="5">
        <v>0.0</v>
      </c>
    </row>
    <row r="1505">
      <c r="A1505" s="5"/>
      <c r="B1505" s="5" t="s">
        <v>833</v>
      </c>
      <c r="C1505" s="5"/>
      <c r="D1505" s="5">
        <v>0.0</v>
      </c>
    </row>
    <row r="1506">
      <c r="A1506" s="5"/>
      <c r="B1506" s="5" t="s">
        <v>834</v>
      </c>
      <c r="C1506" s="5"/>
      <c r="D1506" s="5">
        <v>18.0</v>
      </c>
    </row>
    <row r="1507">
      <c r="A1507" s="5"/>
      <c r="B1507" s="5" t="s">
        <v>835</v>
      </c>
      <c r="C1507" s="5"/>
      <c r="D1507" s="5">
        <v>0.0</v>
      </c>
    </row>
    <row r="1508">
      <c r="A1508" s="5"/>
      <c r="B1508" s="5" t="s">
        <v>836</v>
      </c>
      <c r="C1508" s="5"/>
      <c r="D1508" s="5">
        <v>0.0</v>
      </c>
    </row>
    <row r="1509">
      <c r="A1509" s="5"/>
      <c r="B1509" s="5" t="s">
        <v>837</v>
      </c>
      <c r="C1509" s="5"/>
      <c r="D1509" s="5">
        <v>44.0</v>
      </c>
    </row>
    <row r="1510">
      <c r="A1510" s="5"/>
      <c r="B1510" s="5" t="s">
        <v>838</v>
      </c>
      <c r="C1510" s="5"/>
      <c r="D1510" s="5">
        <v>0.0</v>
      </c>
    </row>
    <row r="1511">
      <c r="A1511" s="5"/>
      <c r="B1511" s="5" t="s">
        <v>839</v>
      </c>
      <c r="C1511" s="5"/>
      <c r="D1511" s="5">
        <v>83.0</v>
      </c>
    </row>
    <row r="1512">
      <c r="A1512" s="5"/>
      <c r="B1512" s="5" t="s">
        <v>840</v>
      </c>
      <c r="C1512" s="5"/>
      <c r="D1512" s="5">
        <v>0.0</v>
      </c>
    </row>
    <row r="1513">
      <c r="A1513" s="5"/>
      <c r="B1513" s="5" t="s">
        <v>841</v>
      </c>
      <c r="C1513" s="5"/>
      <c r="D1513" s="5">
        <v>0.0</v>
      </c>
    </row>
    <row r="1514">
      <c r="A1514" s="5"/>
      <c r="B1514" s="5" t="s">
        <v>842</v>
      </c>
      <c r="C1514" s="5"/>
      <c r="D1514" s="5">
        <v>86.0</v>
      </c>
    </row>
    <row r="1515">
      <c r="A1515" s="5"/>
      <c r="B1515" s="5" t="s">
        <v>843</v>
      </c>
      <c r="C1515" s="5"/>
      <c r="D1515" s="5">
        <v>0.0</v>
      </c>
    </row>
    <row r="1516">
      <c r="A1516" s="5"/>
      <c r="B1516" s="5" t="s">
        <v>844</v>
      </c>
      <c r="C1516" s="5"/>
      <c r="D1516" s="5">
        <v>27.0</v>
      </c>
    </row>
    <row r="1517">
      <c r="A1517" s="5"/>
      <c r="B1517" s="5" t="s">
        <v>845</v>
      </c>
      <c r="C1517" s="5"/>
      <c r="D1517" s="5">
        <v>0.0</v>
      </c>
    </row>
    <row r="1518">
      <c r="A1518" s="5"/>
      <c r="B1518" s="5" t="s">
        <v>846</v>
      </c>
      <c r="C1518" s="5"/>
      <c r="D1518" s="5">
        <v>0.0</v>
      </c>
    </row>
    <row r="1519">
      <c r="A1519" s="5"/>
      <c r="B1519" s="5" t="s">
        <v>847</v>
      </c>
      <c r="C1519" s="5"/>
      <c r="D1519" s="5">
        <v>70.0</v>
      </c>
    </row>
    <row r="1520">
      <c r="A1520" s="5"/>
      <c r="B1520" s="5" t="s">
        <v>848</v>
      </c>
      <c r="C1520" s="5"/>
      <c r="D1520" s="5">
        <v>0.0</v>
      </c>
    </row>
    <row r="1521">
      <c r="A1521" s="5"/>
      <c r="B1521" s="5" t="s">
        <v>849</v>
      </c>
      <c r="C1521" s="5"/>
      <c r="D1521" s="5">
        <v>0.0</v>
      </c>
    </row>
    <row r="1522">
      <c r="A1522" s="5"/>
      <c r="B1522" s="5" t="s">
        <v>850</v>
      </c>
      <c r="C1522" s="5"/>
      <c r="D1522" s="5">
        <v>0.0</v>
      </c>
    </row>
    <row r="1523">
      <c r="A1523" s="5"/>
      <c r="B1523" s="5" t="s">
        <v>851</v>
      </c>
      <c r="C1523" s="5"/>
      <c r="D1523" s="5">
        <v>0.0</v>
      </c>
    </row>
    <row r="1524">
      <c r="A1524" s="5"/>
      <c r="B1524" s="5" t="s">
        <v>852</v>
      </c>
      <c r="C1524" s="5"/>
      <c r="D1524" s="5">
        <v>39.0</v>
      </c>
    </row>
    <row r="1525">
      <c r="A1525" s="5"/>
      <c r="B1525" s="5" t="s">
        <v>853</v>
      </c>
      <c r="C1525" s="5"/>
      <c r="D1525" s="5">
        <v>0.0</v>
      </c>
    </row>
    <row r="1526">
      <c r="A1526" s="5"/>
      <c r="B1526" s="5" t="s">
        <v>854</v>
      </c>
      <c r="C1526" s="5"/>
      <c r="D1526" s="5">
        <v>71.0</v>
      </c>
    </row>
    <row r="1527">
      <c r="A1527" s="5"/>
      <c r="B1527" s="5" t="s">
        <v>855</v>
      </c>
      <c r="C1527" s="5"/>
      <c r="D1527" s="5">
        <v>0.0</v>
      </c>
    </row>
    <row r="1528">
      <c r="A1528" s="5"/>
      <c r="B1528" s="5" t="s">
        <v>856</v>
      </c>
      <c r="C1528" s="5"/>
      <c r="D1528" s="5">
        <v>0.0</v>
      </c>
    </row>
    <row r="1529">
      <c r="A1529" s="5"/>
      <c r="B1529" s="5" t="s">
        <v>857</v>
      </c>
      <c r="C1529" s="5"/>
      <c r="D1529" s="5">
        <v>0.0</v>
      </c>
    </row>
    <row r="1530">
      <c r="A1530" s="5"/>
      <c r="B1530" s="5" t="s">
        <v>858</v>
      </c>
      <c r="C1530" s="5"/>
      <c r="D1530" s="5">
        <v>68.0</v>
      </c>
    </row>
    <row r="1531">
      <c r="A1531" s="5"/>
      <c r="B1531" s="5" t="s">
        <v>859</v>
      </c>
      <c r="C1531" s="5"/>
      <c r="D1531" s="5">
        <v>81.0</v>
      </c>
    </row>
    <row r="1532">
      <c r="A1532" s="5"/>
      <c r="B1532" s="5" t="s">
        <v>860</v>
      </c>
      <c r="C1532" s="5"/>
      <c r="D1532" s="5">
        <v>0.0</v>
      </c>
    </row>
    <row r="1533">
      <c r="A1533" s="5"/>
      <c r="B1533" s="5" t="s">
        <v>861</v>
      </c>
      <c r="C1533" s="5"/>
      <c r="D1533" s="5">
        <v>0.0</v>
      </c>
    </row>
    <row r="1534">
      <c r="A1534" s="5"/>
      <c r="B1534" s="5" t="s">
        <v>862</v>
      </c>
      <c r="C1534" s="5"/>
      <c r="D1534" s="5">
        <v>0.0</v>
      </c>
    </row>
    <row r="1535">
      <c r="A1535" s="5"/>
      <c r="B1535" s="5" t="s">
        <v>863</v>
      </c>
      <c r="C1535" s="5"/>
      <c r="D1535" s="5">
        <v>0.0</v>
      </c>
    </row>
    <row r="1536">
      <c r="A1536" s="5"/>
      <c r="B1536" s="5" t="s">
        <v>864</v>
      </c>
      <c r="C1536" s="5"/>
      <c r="D1536" s="5">
        <v>24.0</v>
      </c>
    </row>
    <row r="1537">
      <c r="A1537" s="5"/>
      <c r="B1537" s="5" t="s">
        <v>865</v>
      </c>
      <c r="C1537" s="5"/>
      <c r="D1537" s="5">
        <v>0.0</v>
      </c>
    </row>
    <row r="1538">
      <c r="A1538" s="5"/>
      <c r="B1538" s="5" t="s">
        <v>866</v>
      </c>
      <c r="C1538" s="5"/>
      <c r="D1538" s="5">
        <v>0.0</v>
      </c>
    </row>
    <row r="1539">
      <c r="A1539" s="5"/>
      <c r="B1539" s="5" t="s">
        <v>867</v>
      </c>
      <c r="C1539" s="5"/>
      <c r="D1539" s="5">
        <v>0.0</v>
      </c>
    </row>
    <row r="1540">
      <c r="A1540" s="5"/>
      <c r="B1540" s="5" t="s">
        <v>868</v>
      </c>
      <c r="C1540" s="5"/>
      <c r="D1540" s="5">
        <v>0.0</v>
      </c>
    </row>
    <row r="1541">
      <c r="A1541" s="5"/>
      <c r="B1541" s="5" t="s">
        <v>869</v>
      </c>
      <c r="C1541" s="5"/>
      <c r="D1541" s="5">
        <v>70.0</v>
      </c>
    </row>
    <row r="1542">
      <c r="A1542" s="5"/>
      <c r="B1542" s="5" t="s">
        <v>870</v>
      </c>
      <c r="C1542" s="5"/>
      <c r="D1542" s="5">
        <v>0.0</v>
      </c>
    </row>
    <row r="1543">
      <c r="A1543" s="5"/>
      <c r="B1543" s="5" t="s">
        <v>871</v>
      </c>
      <c r="C1543" s="5"/>
      <c r="D1543" s="5">
        <v>0.0</v>
      </c>
    </row>
    <row r="1544">
      <c r="A1544" s="5"/>
      <c r="B1544" s="5" t="s">
        <v>872</v>
      </c>
      <c r="C1544" s="5"/>
      <c r="D1544" s="5">
        <v>0.0</v>
      </c>
    </row>
    <row r="1545">
      <c r="A1545" s="5"/>
      <c r="B1545" s="5" t="s">
        <v>873</v>
      </c>
      <c r="C1545" s="5"/>
      <c r="D1545" s="5">
        <v>33.0</v>
      </c>
    </row>
    <row r="1546">
      <c r="A1546" s="5"/>
      <c r="B1546" s="5" t="s">
        <v>874</v>
      </c>
      <c r="C1546" s="5"/>
      <c r="D1546" s="5">
        <v>26.0</v>
      </c>
    </row>
    <row r="1547">
      <c r="A1547" s="5"/>
      <c r="B1547" s="5" t="s">
        <v>875</v>
      </c>
      <c r="C1547" s="5"/>
      <c r="D1547" s="5">
        <v>35.0</v>
      </c>
    </row>
    <row r="1548">
      <c r="A1548" s="5"/>
      <c r="B1548" s="5" t="s">
        <v>876</v>
      </c>
      <c r="C1548" s="5"/>
      <c r="D1548" s="5">
        <v>86.0</v>
      </c>
    </row>
    <row r="1549">
      <c r="A1549" s="5"/>
      <c r="B1549" s="5" t="s">
        <v>877</v>
      </c>
      <c r="C1549" s="5"/>
      <c r="D1549" s="5">
        <v>0.0</v>
      </c>
    </row>
    <row r="1550">
      <c r="A1550" s="5"/>
      <c r="B1550" s="5" t="s">
        <v>878</v>
      </c>
      <c r="C1550" s="5"/>
      <c r="D1550" s="5">
        <v>0.0</v>
      </c>
    </row>
    <row r="1551">
      <c r="A1551" s="5"/>
      <c r="B1551" s="5" t="s">
        <v>879</v>
      </c>
      <c r="C1551" s="5"/>
      <c r="D1551" s="5">
        <v>0.0</v>
      </c>
    </row>
    <row r="1552">
      <c r="A1552" s="5"/>
      <c r="B1552" s="5" t="s">
        <v>880</v>
      </c>
      <c r="C1552" s="5"/>
      <c r="D1552" s="5">
        <v>0.0</v>
      </c>
    </row>
    <row r="1553">
      <c r="A1553" s="5"/>
      <c r="B1553" s="5" t="s">
        <v>881</v>
      </c>
      <c r="C1553" s="5"/>
      <c r="D1553" s="5">
        <v>0.0</v>
      </c>
    </row>
    <row r="1554">
      <c r="A1554" s="5"/>
      <c r="B1554" s="5" t="s">
        <v>882</v>
      </c>
      <c r="C1554" s="5"/>
      <c r="D1554" s="5">
        <v>63.0</v>
      </c>
    </row>
    <row r="1555">
      <c r="A1555" s="5"/>
      <c r="B1555" s="5" t="s">
        <v>883</v>
      </c>
      <c r="C1555" s="5"/>
      <c r="D1555" s="5">
        <v>59.0</v>
      </c>
    </row>
    <row r="1556">
      <c r="A1556" s="5"/>
      <c r="B1556" s="5" t="s">
        <v>884</v>
      </c>
      <c r="C1556" s="5"/>
      <c r="D1556" s="5">
        <v>20.0</v>
      </c>
    </row>
    <row r="1557">
      <c r="A1557" s="5"/>
      <c r="B1557" s="5" t="s">
        <v>885</v>
      </c>
      <c r="C1557" s="5"/>
      <c r="D1557" s="5">
        <v>32.0</v>
      </c>
    </row>
    <row r="1558">
      <c r="A1558" s="5"/>
      <c r="B1558" s="5" t="s">
        <v>886</v>
      </c>
      <c r="C1558" s="5"/>
      <c r="D1558" s="5">
        <v>0.0</v>
      </c>
    </row>
    <row r="1559">
      <c r="A1559" s="5"/>
      <c r="B1559" s="5" t="s">
        <v>887</v>
      </c>
      <c r="C1559" s="5"/>
      <c r="D1559" s="5">
        <v>39.0</v>
      </c>
    </row>
    <row r="1560">
      <c r="A1560" s="5"/>
      <c r="B1560" s="5" t="s">
        <v>888</v>
      </c>
      <c r="C1560" s="5"/>
      <c r="D1560" s="5">
        <v>50.0</v>
      </c>
    </row>
    <row r="1561">
      <c r="A1561" s="5"/>
      <c r="B1561" s="5" t="s">
        <v>889</v>
      </c>
      <c r="C1561" s="5"/>
      <c r="D1561" s="5">
        <v>80.0</v>
      </c>
    </row>
    <row r="1562">
      <c r="A1562" s="5"/>
      <c r="B1562" s="5" t="s">
        <v>890</v>
      </c>
      <c r="C1562" s="5"/>
      <c r="D1562" s="5">
        <v>81.0</v>
      </c>
    </row>
    <row r="1563">
      <c r="A1563" s="5"/>
      <c r="B1563" s="5" t="s">
        <v>891</v>
      </c>
      <c r="C1563" s="5"/>
      <c r="D1563" s="5">
        <v>14.0</v>
      </c>
    </row>
    <row r="1564">
      <c r="A1564" s="5"/>
      <c r="B1564" s="5" t="s">
        <v>892</v>
      </c>
      <c r="C1564" s="5"/>
      <c r="D1564" s="5">
        <v>0.0</v>
      </c>
    </row>
    <row r="1565">
      <c r="A1565" s="5"/>
      <c r="B1565" s="5" t="s">
        <v>893</v>
      </c>
      <c r="C1565" s="5"/>
      <c r="D1565" s="5">
        <v>36.0</v>
      </c>
    </row>
    <row r="1566">
      <c r="A1566" s="5"/>
      <c r="B1566" s="5" t="s">
        <v>894</v>
      </c>
      <c r="C1566" s="5"/>
      <c r="D1566" s="5">
        <v>6.0</v>
      </c>
    </row>
    <row r="1567">
      <c r="A1567" s="5"/>
      <c r="B1567" s="5" t="s">
        <v>895</v>
      </c>
      <c r="C1567" s="5"/>
      <c r="D1567" s="5">
        <v>1.0</v>
      </c>
    </row>
    <row r="1568">
      <c r="A1568" s="5"/>
      <c r="B1568" s="5" t="s">
        <v>896</v>
      </c>
      <c r="C1568" s="5"/>
      <c r="D1568" s="5">
        <v>36.0</v>
      </c>
    </row>
    <row r="1569">
      <c r="A1569" s="5"/>
      <c r="B1569" s="5" t="s">
        <v>897</v>
      </c>
      <c r="C1569" s="5"/>
      <c r="D1569" s="5">
        <v>0.0</v>
      </c>
    </row>
    <row r="1570">
      <c r="A1570" s="5"/>
      <c r="B1570" s="5" t="s">
        <v>898</v>
      </c>
      <c r="C1570" s="5"/>
      <c r="D1570" s="5">
        <v>86.0</v>
      </c>
    </row>
    <row r="1571">
      <c r="A1571" s="5"/>
      <c r="B1571" s="5" t="s">
        <v>899</v>
      </c>
      <c r="C1571" s="5"/>
      <c r="D1571" s="5">
        <v>38.0</v>
      </c>
    </row>
    <row r="1572">
      <c r="A1572" s="5"/>
      <c r="B1572" s="5" t="s">
        <v>900</v>
      </c>
      <c r="C1572" s="5"/>
      <c r="D1572" s="5">
        <v>79.0</v>
      </c>
    </row>
    <row r="1573">
      <c r="A1573" s="5"/>
      <c r="B1573" s="5" t="s">
        <v>901</v>
      </c>
      <c r="C1573" s="5"/>
      <c r="D1573" s="5">
        <v>0.0</v>
      </c>
    </row>
    <row r="1574">
      <c r="A1574" s="5"/>
      <c r="B1574" s="5" t="s">
        <v>902</v>
      </c>
      <c r="C1574" s="5"/>
      <c r="D1574" s="5">
        <v>0.0</v>
      </c>
    </row>
    <row r="1575">
      <c r="A1575" s="5"/>
      <c r="B1575" s="5" t="s">
        <v>903</v>
      </c>
      <c r="C1575" s="5"/>
      <c r="D1575" s="5">
        <v>22.0</v>
      </c>
    </row>
    <row r="1576">
      <c r="A1576" s="5"/>
      <c r="B1576" s="5" t="s">
        <v>904</v>
      </c>
      <c r="C1576" s="5"/>
      <c r="D1576" s="5">
        <v>0.0</v>
      </c>
    </row>
    <row r="1577">
      <c r="A1577" s="5"/>
      <c r="B1577" s="5" t="s">
        <v>905</v>
      </c>
      <c r="C1577" s="5"/>
      <c r="D1577" s="5">
        <v>0.0</v>
      </c>
    </row>
    <row r="1578">
      <c r="A1578" s="5"/>
      <c r="B1578" s="5" t="s">
        <v>906</v>
      </c>
      <c r="C1578" s="5"/>
      <c r="D1578" s="5">
        <v>72.0</v>
      </c>
    </row>
    <row r="1579">
      <c r="A1579" s="5"/>
      <c r="B1579" s="5" t="s">
        <v>907</v>
      </c>
      <c r="C1579" s="5"/>
      <c r="D1579" s="5">
        <v>0.0</v>
      </c>
    </row>
    <row r="1580">
      <c r="A1580" s="5"/>
      <c r="B1580" s="5" t="s">
        <v>908</v>
      </c>
      <c r="C1580" s="5"/>
      <c r="D1580" s="5">
        <v>0.0</v>
      </c>
    </row>
    <row r="1581">
      <c r="A1581" s="5"/>
      <c r="B1581" s="5" t="s">
        <v>909</v>
      </c>
      <c r="C1581" s="5"/>
      <c r="D1581" s="5">
        <v>22.0</v>
      </c>
    </row>
    <row r="1582">
      <c r="A1582" s="5"/>
      <c r="B1582" s="5" t="s">
        <v>910</v>
      </c>
      <c r="C1582" s="5"/>
      <c r="D1582" s="5">
        <v>0.0</v>
      </c>
    </row>
    <row r="1583">
      <c r="A1583" s="5"/>
      <c r="B1583" s="5" t="s">
        <v>911</v>
      </c>
      <c r="C1583" s="5"/>
      <c r="D1583" s="5">
        <v>0.0</v>
      </c>
    </row>
    <row r="1584">
      <c r="A1584" s="5"/>
      <c r="B1584" s="5" t="s">
        <v>912</v>
      </c>
      <c r="C1584" s="5"/>
      <c r="D1584" s="5">
        <v>60.0</v>
      </c>
    </row>
    <row r="1585">
      <c r="A1585" s="5"/>
      <c r="B1585" s="5" t="s">
        <v>913</v>
      </c>
      <c r="C1585" s="5"/>
      <c r="D1585" s="5">
        <v>18.0</v>
      </c>
    </row>
    <row r="1586">
      <c r="A1586" s="5"/>
      <c r="B1586" s="5" t="s">
        <v>914</v>
      </c>
      <c r="C1586" s="5"/>
      <c r="D1586" s="5">
        <v>94.0</v>
      </c>
    </row>
    <row r="1587">
      <c r="A1587" s="5"/>
      <c r="B1587" s="5" t="s">
        <v>915</v>
      </c>
      <c r="C1587" s="5"/>
      <c r="D1587" s="5">
        <v>14.0</v>
      </c>
    </row>
    <row r="1588">
      <c r="A1588" s="5"/>
      <c r="B1588" s="5" t="s">
        <v>916</v>
      </c>
      <c r="C1588" s="5"/>
      <c r="D1588" s="5">
        <v>0.0</v>
      </c>
    </row>
    <row r="1589">
      <c r="A1589" s="5"/>
      <c r="B1589" s="5" t="s">
        <v>917</v>
      </c>
      <c r="C1589" s="5"/>
      <c r="D1589" s="5">
        <v>0.0</v>
      </c>
    </row>
    <row r="1590">
      <c r="A1590" s="5"/>
      <c r="B1590" s="5" t="s">
        <v>918</v>
      </c>
      <c r="C1590" s="5"/>
      <c r="D1590" s="5">
        <v>42.0</v>
      </c>
    </row>
    <row r="1591">
      <c r="A1591" s="5"/>
      <c r="B1591" s="5" t="s">
        <v>919</v>
      </c>
      <c r="C1591" s="5"/>
      <c r="D1591" s="5">
        <v>0.0</v>
      </c>
    </row>
    <row r="1592">
      <c r="A1592" s="5"/>
      <c r="B1592" s="5" t="s">
        <v>920</v>
      </c>
      <c r="C1592" s="5"/>
      <c r="D1592" s="5">
        <v>78.0</v>
      </c>
    </row>
    <row r="1593">
      <c r="A1593" s="5"/>
      <c r="B1593" s="5" t="s">
        <v>921</v>
      </c>
      <c r="C1593" s="5"/>
      <c r="D1593" s="5">
        <v>40.0</v>
      </c>
    </row>
    <row r="1594">
      <c r="A1594" s="5"/>
      <c r="B1594" s="5" t="s">
        <v>922</v>
      </c>
      <c r="C1594" s="5"/>
      <c r="D1594" s="5">
        <v>3.0</v>
      </c>
    </row>
    <row r="1595">
      <c r="A1595" s="5"/>
      <c r="B1595" s="5" t="s">
        <v>923</v>
      </c>
      <c r="C1595" s="5"/>
      <c r="D1595" s="5">
        <v>26.0</v>
      </c>
    </row>
    <row r="1596">
      <c r="A1596" s="5"/>
      <c r="B1596" s="5" t="s">
        <v>924</v>
      </c>
      <c r="C1596" s="5"/>
      <c r="D1596" s="5">
        <v>48.0</v>
      </c>
    </row>
    <row r="1597">
      <c r="A1597" s="5"/>
      <c r="B1597" s="5" t="s">
        <v>925</v>
      </c>
      <c r="C1597" s="5"/>
      <c r="D1597" s="5" t="s">
        <v>926</v>
      </c>
      <c r="E1597" s="5">
        <v>72.0</v>
      </c>
    </row>
    <row r="1598">
      <c r="A1598" s="5"/>
      <c r="B1598" s="5" t="s">
        <v>927</v>
      </c>
      <c r="C1598" s="5"/>
      <c r="D1598" s="5">
        <v>1.0</v>
      </c>
    </row>
    <row r="1599">
      <c r="A1599" s="5"/>
      <c r="B1599" s="5" t="s">
        <v>928</v>
      </c>
      <c r="C1599" s="5"/>
      <c r="D1599" s="5">
        <v>0.0</v>
      </c>
    </row>
    <row r="1600">
      <c r="A1600" s="5"/>
      <c r="B1600" s="5" t="s">
        <v>929</v>
      </c>
      <c r="C1600" s="5"/>
      <c r="D1600" s="5">
        <v>0.0</v>
      </c>
    </row>
    <row r="1601">
      <c r="A1601" s="5"/>
      <c r="B1601" s="5" t="s">
        <v>930</v>
      </c>
      <c r="C1601" s="5"/>
      <c r="D1601" s="5">
        <v>20.0</v>
      </c>
    </row>
    <row r="1602">
      <c r="A1602" s="5"/>
      <c r="B1602" s="5" t="s">
        <v>931</v>
      </c>
      <c r="C1602" s="5"/>
      <c r="D1602" s="5">
        <v>0.0</v>
      </c>
    </row>
    <row r="1603">
      <c r="A1603" s="5"/>
      <c r="B1603" s="5" t="s">
        <v>932</v>
      </c>
      <c r="C1603" s="5"/>
      <c r="D1603" s="5">
        <v>0.0</v>
      </c>
    </row>
    <row r="1604">
      <c r="A1604" s="5"/>
      <c r="B1604" s="5" t="s">
        <v>933</v>
      </c>
      <c r="C1604" s="5"/>
      <c r="D1604" s="5">
        <v>69.0</v>
      </c>
    </row>
    <row r="1605">
      <c r="A1605" s="5"/>
      <c r="B1605" s="5" t="s">
        <v>864</v>
      </c>
      <c r="C1605" s="5"/>
      <c r="D1605" s="5">
        <v>24.0</v>
      </c>
    </row>
    <row r="1606">
      <c r="A1606" s="5"/>
      <c r="B1606" s="5" t="s">
        <v>865</v>
      </c>
      <c r="C1606" s="5"/>
      <c r="D1606" s="5">
        <v>0.0</v>
      </c>
    </row>
    <row r="1607">
      <c r="A1607" s="5"/>
      <c r="B1607" s="5" t="s">
        <v>866</v>
      </c>
      <c r="C1607" s="5"/>
      <c r="D1607" s="5">
        <v>0.0</v>
      </c>
    </row>
    <row r="1608">
      <c r="A1608" s="5"/>
      <c r="B1608" s="5" t="s">
        <v>867</v>
      </c>
      <c r="C1608" s="5"/>
      <c r="D1608" s="5">
        <v>0.0</v>
      </c>
    </row>
    <row r="1609">
      <c r="A1609" s="5"/>
      <c r="B1609" s="5" t="s">
        <v>868</v>
      </c>
      <c r="C1609" s="5"/>
      <c r="D1609" s="5">
        <v>0.0</v>
      </c>
    </row>
    <row r="1610">
      <c r="A1610" s="5"/>
      <c r="B1610" s="5" t="s">
        <v>869</v>
      </c>
      <c r="C1610" s="5"/>
      <c r="D1610" s="5">
        <v>70.0</v>
      </c>
    </row>
    <row r="1611">
      <c r="A1611" s="5"/>
      <c r="B1611" s="5" t="s">
        <v>870</v>
      </c>
      <c r="C1611" s="5"/>
      <c r="D1611" s="5">
        <v>0.0</v>
      </c>
    </row>
    <row r="1612">
      <c r="A1612" s="5"/>
      <c r="B1612" s="5" t="s">
        <v>871</v>
      </c>
      <c r="C1612" s="5"/>
      <c r="D1612" s="5">
        <v>0.0</v>
      </c>
    </row>
    <row r="1613">
      <c r="A1613" s="5"/>
      <c r="B1613" s="5" t="s">
        <v>872</v>
      </c>
      <c r="C1613" s="5"/>
      <c r="D1613" s="5">
        <v>0.0</v>
      </c>
    </row>
    <row r="1614">
      <c r="A1614" s="5"/>
      <c r="B1614" s="5" t="s">
        <v>873</v>
      </c>
      <c r="C1614" s="5"/>
      <c r="D1614" s="5">
        <v>33.0</v>
      </c>
    </row>
    <row r="1615">
      <c r="A1615" s="5"/>
      <c r="B1615" s="5" t="s">
        <v>874</v>
      </c>
      <c r="C1615" s="5"/>
      <c r="D1615" s="5">
        <v>26.0</v>
      </c>
    </row>
    <row r="1616">
      <c r="A1616" s="5"/>
      <c r="B1616" s="5" t="s">
        <v>875</v>
      </c>
      <c r="C1616" s="5"/>
      <c r="D1616" s="5">
        <v>35.0</v>
      </c>
    </row>
    <row r="1617">
      <c r="A1617" s="5"/>
      <c r="B1617" s="5" t="s">
        <v>876</v>
      </c>
      <c r="C1617" s="5"/>
      <c r="D1617" s="5">
        <v>86.0</v>
      </c>
    </row>
    <row r="1618">
      <c r="A1618" s="5"/>
      <c r="B1618" s="5" t="s">
        <v>877</v>
      </c>
      <c r="C1618" s="5"/>
      <c r="D1618" s="5">
        <v>0.0</v>
      </c>
    </row>
    <row r="1619">
      <c r="A1619" s="5"/>
      <c r="B1619" s="5" t="s">
        <v>878</v>
      </c>
      <c r="C1619" s="5"/>
      <c r="D1619" s="5">
        <v>0.0</v>
      </c>
    </row>
    <row r="1620">
      <c r="A1620" s="5"/>
      <c r="B1620" s="5" t="s">
        <v>879</v>
      </c>
      <c r="C1620" s="5"/>
      <c r="D1620" s="5">
        <v>0.0</v>
      </c>
    </row>
    <row r="1621">
      <c r="A1621" s="5"/>
      <c r="B1621" s="5" t="s">
        <v>880</v>
      </c>
      <c r="C1621" s="5"/>
      <c r="D1621" s="5">
        <v>0.0</v>
      </c>
    </row>
    <row r="1622">
      <c r="A1622" s="5"/>
      <c r="B1622" s="5" t="s">
        <v>881</v>
      </c>
      <c r="C1622" s="5"/>
      <c r="D1622" s="5">
        <v>0.0</v>
      </c>
    </row>
    <row r="1623">
      <c r="A1623" s="5"/>
      <c r="B1623" s="5" t="s">
        <v>882</v>
      </c>
      <c r="C1623" s="5"/>
      <c r="D1623" s="5">
        <v>63.0</v>
      </c>
    </row>
    <row r="1624">
      <c r="A1624" s="5"/>
      <c r="B1624" s="5" t="s">
        <v>883</v>
      </c>
      <c r="C1624" s="5"/>
      <c r="D1624" s="5">
        <v>59.0</v>
      </c>
    </row>
    <row r="1625">
      <c r="A1625" s="5"/>
      <c r="B1625" s="5" t="s">
        <v>884</v>
      </c>
      <c r="C1625" s="5"/>
      <c r="D1625" s="5">
        <v>20.0</v>
      </c>
    </row>
    <row r="1626">
      <c r="A1626" s="5"/>
      <c r="B1626" s="5" t="s">
        <v>885</v>
      </c>
      <c r="C1626" s="5"/>
      <c r="D1626" s="5">
        <v>32.0</v>
      </c>
    </row>
    <row r="1627">
      <c r="A1627" s="5"/>
      <c r="B1627" s="5" t="s">
        <v>886</v>
      </c>
      <c r="C1627" s="5"/>
      <c r="D1627" s="5">
        <v>0.0</v>
      </c>
    </row>
    <row r="1628">
      <c r="A1628" s="5"/>
      <c r="B1628" s="5" t="s">
        <v>887</v>
      </c>
      <c r="C1628" s="5"/>
      <c r="D1628" s="5">
        <v>39.0</v>
      </c>
    </row>
    <row r="1629">
      <c r="A1629" s="5"/>
      <c r="B1629" s="5" t="s">
        <v>888</v>
      </c>
      <c r="C1629" s="5"/>
      <c r="D1629" s="5">
        <v>50.0</v>
      </c>
    </row>
    <row r="1630">
      <c r="A1630" s="5"/>
      <c r="B1630" s="5" t="s">
        <v>889</v>
      </c>
      <c r="C1630" s="5"/>
      <c r="D1630" s="5">
        <v>80.0</v>
      </c>
    </row>
    <row r="1631">
      <c r="A1631" s="5"/>
      <c r="B1631" s="5" t="s">
        <v>890</v>
      </c>
      <c r="C1631" s="5"/>
      <c r="D1631" s="5">
        <v>81.0</v>
      </c>
    </row>
    <row r="1632">
      <c r="A1632" s="5"/>
      <c r="B1632" s="5" t="s">
        <v>891</v>
      </c>
      <c r="C1632" s="5"/>
      <c r="D1632" s="5">
        <v>14.0</v>
      </c>
    </row>
    <row r="1633">
      <c r="A1633" s="5"/>
      <c r="B1633" s="5" t="s">
        <v>892</v>
      </c>
      <c r="C1633" s="5"/>
      <c r="D1633" s="5">
        <v>0.0</v>
      </c>
    </row>
    <row r="1634">
      <c r="A1634" s="5"/>
      <c r="B1634" s="5" t="s">
        <v>893</v>
      </c>
      <c r="C1634" s="5"/>
      <c r="D1634" s="5">
        <v>36.0</v>
      </c>
    </row>
    <row r="1635">
      <c r="A1635" s="5"/>
      <c r="B1635" s="5" t="s">
        <v>894</v>
      </c>
      <c r="C1635" s="5"/>
      <c r="D1635" s="5">
        <v>6.0</v>
      </c>
    </row>
    <row r="1636">
      <c r="A1636" s="5"/>
      <c r="B1636" s="5" t="s">
        <v>895</v>
      </c>
      <c r="C1636" s="5"/>
      <c r="D1636" s="5">
        <v>1.0</v>
      </c>
    </row>
    <row r="1637">
      <c r="A1637" s="5"/>
      <c r="B1637" s="5" t="s">
        <v>896</v>
      </c>
      <c r="C1637" s="5"/>
      <c r="D1637" s="5">
        <v>36.0</v>
      </c>
    </row>
    <row r="1638">
      <c r="A1638" s="5"/>
      <c r="B1638" s="5" t="s">
        <v>897</v>
      </c>
      <c r="C1638" s="5"/>
      <c r="D1638" s="5">
        <v>0.0</v>
      </c>
    </row>
    <row r="1639">
      <c r="A1639" s="5"/>
      <c r="B1639" s="5" t="s">
        <v>898</v>
      </c>
      <c r="C1639" s="5"/>
      <c r="D1639" s="5">
        <v>86.0</v>
      </c>
    </row>
    <row r="1640">
      <c r="A1640" s="5"/>
      <c r="B1640" s="5" t="s">
        <v>899</v>
      </c>
      <c r="C1640" s="5"/>
      <c r="D1640" s="5">
        <v>38.0</v>
      </c>
    </row>
    <row r="1641">
      <c r="A1641" s="5"/>
      <c r="B1641" s="5" t="s">
        <v>900</v>
      </c>
      <c r="C1641" s="5"/>
      <c r="D1641" s="5">
        <v>79.0</v>
      </c>
    </row>
    <row r="1642">
      <c r="A1642" s="5"/>
      <c r="B1642" s="5" t="s">
        <v>901</v>
      </c>
      <c r="C1642" s="5"/>
      <c r="D1642" s="5">
        <v>0.0</v>
      </c>
    </row>
    <row r="1643">
      <c r="A1643" s="5"/>
      <c r="B1643" s="5" t="s">
        <v>902</v>
      </c>
      <c r="C1643" s="5"/>
      <c r="D1643" s="5">
        <v>0.0</v>
      </c>
    </row>
    <row r="1644">
      <c r="A1644" s="5"/>
      <c r="B1644" s="5" t="s">
        <v>903</v>
      </c>
      <c r="C1644" s="5"/>
      <c r="D1644" s="5">
        <v>22.0</v>
      </c>
    </row>
    <row r="1645">
      <c r="A1645" s="5"/>
      <c r="B1645" s="5" t="s">
        <v>904</v>
      </c>
      <c r="C1645" s="5"/>
      <c r="D1645" s="5">
        <v>0.0</v>
      </c>
    </row>
    <row r="1646">
      <c r="A1646" s="5"/>
      <c r="B1646" s="5" t="s">
        <v>905</v>
      </c>
      <c r="C1646" s="5"/>
      <c r="D1646" s="5">
        <v>0.0</v>
      </c>
    </row>
    <row r="1647">
      <c r="A1647" s="5"/>
      <c r="B1647" s="5" t="s">
        <v>906</v>
      </c>
      <c r="C1647" s="5"/>
      <c r="D1647" s="5">
        <v>72.0</v>
      </c>
    </row>
    <row r="1648">
      <c r="A1648" s="5"/>
      <c r="B1648" s="5" t="s">
        <v>907</v>
      </c>
      <c r="C1648" s="5"/>
      <c r="D1648" s="5">
        <v>0.0</v>
      </c>
    </row>
    <row r="1649">
      <c r="A1649" s="5"/>
      <c r="B1649" s="5" t="s">
        <v>908</v>
      </c>
      <c r="C1649" s="5"/>
      <c r="D1649" s="5">
        <v>0.0</v>
      </c>
    </row>
    <row r="1650">
      <c r="A1650" s="5"/>
      <c r="B1650" s="5" t="s">
        <v>909</v>
      </c>
      <c r="C1650" s="5"/>
      <c r="D1650" s="5">
        <v>22.0</v>
      </c>
    </row>
    <row r="1651">
      <c r="A1651" s="5"/>
      <c r="B1651" s="5" t="s">
        <v>910</v>
      </c>
      <c r="C1651" s="5"/>
      <c r="D1651" s="5">
        <v>0.0</v>
      </c>
    </row>
    <row r="1652">
      <c r="A1652" s="5"/>
      <c r="B1652" s="5" t="s">
        <v>911</v>
      </c>
      <c r="C1652" s="5"/>
      <c r="D1652" s="5">
        <v>0.0</v>
      </c>
    </row>
    <row r="1653">
      <c r="A1653" s="5"/>
      <c r="B1653" s="5" t="s">
        <v>912</v>
      </c>
      <c r="C1653" s="5"/>
      <c r="D1653" s="5">
        <v>60.0</v>
      </c>
    </row>
    <row r="1654">
      <c r="A1654" s="5"/>
      <c r="B1654" s="5" t="s">
        <v>913</v>
      </c>
      <c r="C1654" s="5"/>
      <c r="D1654" s="5">
        <v>18.0</v>
      </c>
    </row>
    <row r="1655">
      <c r="A1655" s="5"/>
      <c r="B1655" s="5" t="s">
        <v>914</v>
      </c>
      <c r="C1655" s="5"/>
      <c r="D1655" s="5">
        <v>94.0</v>
      </c>
    </row>
    <row r="1656">
      <c r="A1656" s="5"/>
      <c r="B1656" s="5" t="s">
        <v>915</v>
      </c>
      <c r="C1656" s="5"/>
      <c r="D1656" s="5">
        <v>14.0</v>
      </c>
    </row>
    <row r="1657">
      <c r="A1657" s="5"/>
      <c r="B1657" s="5" t="s">
        <v>916</v>
      </c>
      <c r="C1657" s="5"/>
      <c r="D1657" s="5">
        <v>0.0</v>
      </c>
    </row>
    <row r="1658">
      <c r="A1658" s="5"/>
      <c r="B1658" s="5" t="s">
        <v>917</v>
      </c>
      <c r="C1658" s="5"/>
      <c r="D1658" s="5">
        <v>0.0</v>
      </c>
    </row>
    <row r="1659">
      <c r="A1659" s="5"/>
      <c r="B1659" s="5" t="s">
        <v>918</v>
      </c>
      <c r="C1659" s="5"/>
      <c r="D1659" s="5">
        <v>42.0</v>
      </c>
    </row>
    <row r="1660">
      <c r="A1660" s="5"/>
      <c r="B1660" s="5" t="s">
        <v>919</v>
      </c>
      <c r="C1660" s="5"/>
      <c r="D1660" s="5">
        <v>0.0</v>
      </c>
    </row>
    <row r="1661">
      <c r="A1661" s="5"/>
      <c r="B1661" s="5" t="s">
        <v>920</v>
      </c>
      <c r="C1661" s="5"/>
      <c r="D1661" s="5">
        <v>78.0</v>
      </c>
    </row>
    <row r="1662">
      <c r="A1662" s="5"/>
      <c r="B1662" s="5" t="s">
        <v>921</v>
      </c>
      <c r="C1662" s="5"/>
      <c r="D1662" s="5">
        <v>40.0</v>
      </c>
    </row>
    <row r="1663">
      <c r="A1663" s="5"/>
      <c r="B1663" s="5" t="s">
        <v>922</v>
      </c>
      <c r="C1663" s="5"/>
      <c r="D1663" s="5">
        <v>3.0</v>
      </c>
    </row>
    <row r="1664">
      <c r="A1664" s="5"/>
      <c r="B1664" s="5" t="s">
        <v>923</v>
      </c>
      <c r="C1664" s="5"/>
      <c r="D1664" s="5">
        <v>26.0</v>
      </c>
    </row>
    <row r="1665">
      <c r="A1665" s="5"/>
      <c r="B1665" s="5" t="s">
        <v>924</v>
      </c>
      <c r="C1665" s="5"/>
      <c r="D1665" s="5">
        <v>48.0</v>
      </c>
    </row>
    <row r="1666">
      <c r="A1666" s="5"/>
      <c r="B1666" s="5" t="s">
        <v>925</v>
      </c>
      <c r="C1666" s="5"/>
      <c r="D1666" s="5" t="s">
        <v>926</v>
      </c>
      <c r="E1666" s="5">
        <v>72.0</v>
      </c>
    </row>
    <row r="1667">
      <c r="A1667" s="5"/>
      <c r="B1667" s="5" t="s">
        <v>927</v>
      </c>
      <c r="C1667" s="5"/>
      <c r="D1667" s="5">
        <v>1.0</v>
      </c>
    </row>
    <row r="1668">
      <c r="A1668" s="5"/>
      <c r="B1668" s="5" t="s">
        <v>928</v>
      </c>
      <c r="C1668" s="5"/>
      <c r="D1668" s="5">
        <v>0.0</v>
      </c>
    </row>
    <row r="1669">
      <c r="A1669" s="5"/>
      <c r="B1669" s="5" t="s">
        <v>929</v>
      </c>
      <c r="C1669" s="5"/>
      <c r="D1669" s="5">
        <v>0.0</v>
      </c>
    </row>
    <row r="1670">
      <c r="A1670" s="5"/>
      <c r="B1670" s="5" t="s">
        <v>930</v>
      </c>
      <c r="C1670" s="5"/>
      <c r="D1670" s="5">
        <v>20.0</v>
      </c>
    </row>
    <row r="1671">
      <c r="A1671" s="5"/>
      <c r="B1671" s="5" t="s">
        <v>931</v>
      </c>
      <c r="C1671" s="5"/>
      <c r="D1671" s="5">
        <v>0.0</v>
      </c>
    </row>
    <row r="1672">
      <c r="A1672" s="5"/>
      <c r="B1672" s="5" t="s">
        <v>932</v>
      </c>
      <c r="C1672" s="5"/>
      <c r="D1672" s="5">
        <v>0.0</v>
      </c>
    </row>
    <row r="1673">
      <c r="A1673" s="5"/>
      <c r="B1673" s="5" t="s">
        <v>933</v>
      </c>
      <c r="C1673" s="5"/>
      <c r="D1673" s="5">
        <v>69.0</v>
      </c>
    </row>
    <row r="1674">
      <c r="A1674" s="5"/>
      <c r="B1674" s="5" t="s">
        <v>934</v>
      </c>
      <c r="C1674" s="5"/>
      <c r="D1674" s="5">
        <v>23.0</v>
      </c>
    </row>
    <row r="1675">
      <c r="A1675" s="5"/>
      <c r="B1675" s="5" t="s">
        <v>935</v>
      </c>
      <c r="C1675" s="5"/>
      <c r="D1675" s="5">
        <v>96.0</v>
      </c>
    </row>
    <row r="1676">
      <c r="A1676" s="5"/>
      <c r="B1676" s="5" t="s">
        <v>936</v>
      </c>
      <c r="C1676" s="5"/>
      <c r="D1676" s="5">
        <v>93.0</v>
      </c>
    </row>
    <row r="1677">
      <c r="A1677" s="5"/>
      <c r="B1677" s="5" t="s">
        <v>937</v>
      </c>
      <c r="C1677" s="5"/>
      <c r="D1677" s="5">
        <v>40.0</v>
      </c>
    </row>
    <row r="1678">
      <c r="A1678" s="5"/>
      <c r="B1678" s="5" t="s">
        <v>938</v>
      </c>
      <c r="C1678" s="5"/>
      <c r="D1678" s="5">
        <v>39.0</v>
      </c>
    </row>
    <row r="1679">
      <c r="A1679" s="5"/>
      <c r="B1679" s="5" t="s">
        <v>939</v>
      </c>
      <c r="C1679" s="5"/>
      <c r="D1679" s="5">
        <v>0.0</v>
      </c>
    </row>
    <row r="1680">
      <c r="A1680" s="5"/>
      <c r="B1680" s="5" t="s">
        <v>940</v>
      </c>
      <c r="C1680" s="5"/>
      <c r="D1680" s="5">
        <v>0.0</v>
      </c>
    </row>
    <row r="1681">
      <c r="A1681" s="5"/>
      <c r="B1681" s="5" t="s">
        <v>941</v>
      </c>
      <c r="C1681" s="5"/>
      <c r="D1681" s="5">
        <v>0.0</v>
      </c>
    </row>
    <row r="1682">
      <c r="A1682" s="5"/>
      <c r="B1682" s="5" t="s">
        <v>942</v>
      </c>
      <c r="C1682" s="5"/>
      <c r="D1682" s="5">
        <v>0.0</v>
      </c>
    </row>
    <row r="1683">
      <c r="A1683" s="5"/>
      <c r="B1683" s="5" t="s">
        <v>943</v>
      </c>
      <c r="C1683" s="5"/>
      <c r="D1683" s="5">
        <v>78.0</v>
      </c>
    </row>
    <row r="1684">
      <c r="A1684" s="5"/>
      <c r="B1684" s="5" t="s">
        <v>944</v>
      </c>
      <c r="C1684" s="5"/>
      <c r="D1684" s="5">
        <v>0.0</v>
      </c>
    </row>
    <row r="1685">
      <c r="A1685" s="5"/>
      <c r="B1685" s="5" t="s">
        <v>945</v>
      </c>
      <c r="C1685" s="5"/>
      <c r="D1685" s="5">
        <v>0.0</v>
      </c>
    </row>
    <row r="1686">
      <c r="A1686" s="5"/>
      <c r="B1686" s="5" t="s">
        <v>946</v>
      </c>
      <c r="C1686" s="5"/>
      <c r="D1686" s="5">
        <v>0.0</v>
      </c>
    </row>
    <row r="1687">
      <c r="A1687" s="5"/>
      <c r="B1687" s="5" t="s">
        <v>947</v>
      </c>
      <c r="C1687" s="5"/>
      <c r="D1687" s="5">
        <v>0.0</v>
      </c>
    </row>
    <row r="1688">
      <c r="A1688" s="5"/>
      <c r="B1688" s="5" t="s">
        <v>948</v>
      </c>
      <c r="C1688" s="5"/>
      <c r="D1688" s="5">
        <v>0.0</v>
      </c>
    </row>
    <row r="1689">
      <c r="A1689" s="5"/>
      <c r="B1689" s="5" t="s">
        <v>949</v>
      </c>
      <c r="C1689" s="5"/>
      <c r="D1689" s="5">
        <v>0.0</v>
      </c>
    </row>
    <row r="1690">
      <c r="A1690" s="5"/>
      <c r="B1690" s="5" t="s">
        <v>950</v>
      </c>
      <c r="C1690" s="5"/>
      <c r="D1690" s="5">
        <v>92.0</v>
      </c>
    </row>
    <row r="1691">
      <c r="A1691" s="5"/>
      <c r="B1691" s="5" t="s">
        <v>951</v>
      </c>
      <c r="C1691" s="5"/>
      <c r="D1691" s="5">
        <v>0.0</v>
      </c>
    </row>
    <row r="1692">
      <c r="A1692" s="5"/>
      <c r="B1692" s="5" t="s">
        <v>952</v>
      </c>
      <c r="C1692" s="5"/>
      <c r="D1692" s="5">
        <v>80.0</v>
      </c>
    </row>
    <row r="1693">
      <c r="A1693" s="5"/>
      <c r="B1693" s="5" t="s">
        <v>953</v>
      </c>
      <c r="C1693" s="5"/>
      <c r="D1693" s="5">
        <v>0.0</v>
      </c>
    </row>
    <row r="1694">
      <c r="A1694" s="5"/>
      <c r="B1694" s="5" t="s">
        <v>954</v>
      </c>
      <c r="C1694" s="5"/>
      <c r="D1694" s="5">
        <v>0.0</v>
      </c>
    </row>
    <row r="1695">
      <c r="A1695" s="5"/>
      <c r="B1695" s="5" t="s">
        <v>955</v>
      </c>
      <c r="C1695" s="5"/>
      <c r="D1695" s="5">
        <v>79.0</v>
      </c>
    </row>
    <row r="1696">
      <c r="A1696" s="5"/>
      <c r="B1696" s="5" t="s">
        <v>956</v>
      </c>
      <c r="C1696" s="5"/>
      <c r="D1696" s="5">
        <v>0.0</v>
      </c>
    </row>
    <row r="1697">
      <c r="A1697" s="5"/>
      <c r="B1697" s="5" t="s">
        <v>957</v>
      </c>
      <c r="C1697" s="5"/>
      <c r="D1697" s="5">
        <v>0.0</v>
      </c>
    </row>
    <row r="1698">
      <c r="A1698" s="5"/>
      <c r="B1698" s="5" t="s">
        <v>958</v>
      </c>
      <c r="C1698" s="5"/>
      <c r="D1698" s="5">
        <v>0.0</v>
      </c>
    </row>
    <row r="1699">
      <c r="A1699" s="5"/>
      <c r="B1699" s="5" t="s">
        <v>959</v>
      </c>
      <c r="C1699" s="5"/>
      <c r="D1699" s="5">
        <v>0.0</v>
      </c>
    </row>
    <row r="1700">
      <c r="A1700" s="5"/>
      <c r="B1700" s="5" t="s">
        <v>960</v>
      </c>
      <c r="C1700" s="5"/>
      <c r="D1700" s="5">
        <v>0.0</v>
      </c>
    </row>
    <row r="1701">
      <c r="A1701" s="5"/>
      <c r="B1701" s="5" t="s">
        <v>961</v>
      </c>
      <c r="C1701" s="5"/>
      <c r="D1701" s="5">
        <v>0.0</v>
      </c>
    </row>
    <row r="1702">
      <c r="A1702" s="5"/>
      <c r="B1702" s="5" t="s">
        <v>962</v>
      </c>
      <c r="C1702" s="5"/>
      <c r="D1702" s="5">
        <v>0.0</v>
      </c>
    </row>
    <row r="1703">
      <c r="A1703" s="5"/>
      <c r="B1703" s="5" t="s">
        <v>963</v>
      </c>
      <c r="C1703" s="5"/>
      <c r="D1703" s="5">
        <v>32.0</v>
      </c>
    </row>
    <row r="1704">
      <c r="A1704" s="5"/>
      <c r="B1704" s="5" t="s">
        <v>964</v>
      </c>
      <c r="C1704" s="5"/>
      <c r="D1704" s="5">
        <v>0.0</v>
      </c>
    </row>
    <row r="1705">
      <c r="A1705" s="5"/>
      <c r="B1705" s="5" t="s">
        <v>965</v>
      </c>
      <c r="C1705" s="5"/>
      <c r="D1705" s="5">
        <v>96.0</v>
      </c>
    </row>
    <row r="1706">
      <c r="A1706" s="5"/>
      <c r="B1706" s="5" t="s">
        <v>966</v>
      </c>
      <c r="C1706" s="5"/>
      <c r="D1706" s="5" t="s">
        <v>967</v>
      </c>
      <c r="E1706" s="5" t="s">
        <v>968</v>
      </c>
    </row>
    <row r="1707">
      <c r="A1707" s="5"/>
      <c r="B1707" s="5" t="s">
        <v>969</v>
      </c>
      <c r="C1707" s="5"/>
      <c r="D1707" s="5">
        <v>0.0</v>
      </c>
    </row>
    <row r="1708">
      <c r="A1708" s="5"/>
      <c r="B1708" s="5" t="s">
        <v>970</v>
      </c>
      <c r="C1708" s="5"/>
    </row>
    <row r="1709">
      <c r="A1709" s="5"/>
      <c r="B1709" s="5" t="s">
        <v>971</v>
      </c>
      <c r="C1709" s="5"/>
      <c r="D1709" s="5">
        <v>0.0</v>
      </c>
    </row>
    <row r="1710">
      <c r="A1710" s="5"/>
      <c r="B1710" s="5" t="s">
        <v>972</v>
      </c>
      <c r="C1710" s="5"/>
      <c r="D1710" s="5">
        <v>0.0</v>
      </c>
    </row>
    <row r="1711">
      <c r="A1711" s="5"/>
      <c r="B1711" s="5" t="s">
        <v>973</v>
      </c>
      <c r="C1711" s="5"/>
      <c r="D1711" s="5">
        <v>0.0</v>
      </c>
    </row>
    <row r="1712">
      <c r="A1712" s="5"/>
      <c r="B1712" s="5" t="s">
        <v>974</v>
      </c>
      <c r="C1712" s="5"/>
      <c r="D1712" s="5">
        <v>0.0</v>
      </c>
    </row>
    <row r="1713">
      <c r="A1713" s="5"/>
      <c r="B1713" s="5" t="s">
        <v>975</v>
      </c>
      <c r="C1713" s="5"/>
      <c r="D1713" s="5">
        <v>0.0</v>
      </c>
    </row>
    <row r="1714">
      <c r="A1714" s="5"/>
      <c r="B1714" s="5" t="s">
        <v>976</v>
      </c>
      <c r="C1714" s="5"/>
      <c r="D1714" s="5">
        <v>0.0</v>
      </c>
    </row>
    <row r="1715">
      <c r="A1715" s="5"/>
      <c r="B1715" s="5" t="s">
        <v>977</v>
      </c>
      <c r="C1715" s="5"/>
      <c r="D1715" s="5">
        <v>81.0</v>
      </c>
    </row>
    <row r="1716">
      <c r="A1716" s="5"/>
      <c r="B1716" s="5" t="s">
        <v>978</v>
      </c>
      <c r="C1716" s="5"/>
      <c r="D1716" s="5">
        <v>0.0</v>
      </c>
    </row>
    <row r="1717">
      <c r="A1717" s="5"/>
      <c r="B1717" s="5" t="s">
        <v>979</v>
      </c>
      <c r="C1717" s="5"/>
      <c r="D1717" s="5">
        <v>0.0</v>
      </c>
    </row>
    <row r="1718">
      <c r="A1718" s="5"/>
      <c r="B1718" s="5" t="s">
        <v>980</v>
      </c>
      <c r="C1718" s="5"/>
      <c r="D1718" s="5" t="s">
        <v>981</v>
      </c>
      <c r="E1718" s="5">
        <v>12.0</v>
      </c>
    </row>
    <row r="1719">
      <c r="A1719" s="5"/>
      <c r="B1719" s="5" t="s">
        <v>982</v>
      </c>
      <c r="C1719" s="5"/>
      <c r="D1719" s="5">
        <v>0.0</v>
      </c>
    </row>
    <row r="1720">
      <c r="A1720" s="5"/>
      <c r="B1720" s="5" t="s">
        <v>983</v>
      </c>
      <c r="C1720" s="5"/>
      <c r="D1720" s="5">
        <v>0.0</v>
      </c>
    </row>
    <row r="1721">
      <c r="A1721" s="5"/>
      <c r="B1721" s="5" t="s">
        <v>984</v>
      </c>
      <c r="C1721" s="5"/>
      <c r="D1721" s="5">
        <v>38.0</v>
      </c>
    </row>
    <row r="1722">
      <c r="A1722" s="5"/>
      <c r="B1722" s="5" t="s">
        <v>985</v>
      </c>
      <c r="C1722" s="5"/>
      <c r="D1722" s="5">
        <v>0.0</v>
      </c>
    </row>
    <row r="1723">
      <c r="A1723" s="5"/>
      <c r="B1723" s="5" t="s">
        <v>986</v>
      </c>
      <c r="C1723" s="5"/>
      <c r="D1723" s="5">
        <v>0.0</v>
      </c>
    </row>
    <row r="1724">
      <c r="A1724" s="5"/>
      <c r="B1724" s="5" t="s">
        <v>987</v>
      </c>
      <c r="C1724" s="5"/>
      <c r="D1724" s="5">
        <v>0.0</v>
      </c>
    </row>
    <row r="1725">
      <c r="A1725" s="5"/>
      <c r="B1725" s="5" t="s">
        <v>988</v>
      </c>
      <c r="C1725" s="5"/>
      <c r="D1725" s="5">
        <v>56.0</v>
      </c>
    </row>
    <row r="1726">
      <c r="A1726" s="5"/>
      <c r="B1726" s="5" t="s">
        <v>989</v>
      </c>
      <c r="C1726" s="5"/>
      <c r="D1726" s="5">
        <v>0.0</v>
      </c>
    </row>
    <row r="1727">
      <c r="A1727" s="5"/>
      <c r="B1727" s="5" t="s">
        <v>990</v>
      </c>
      <c r="C1727" s="5"/>
      <c r="D1727" s="5">
        <v>50.0</v>
      </c>
    </row>
    <row r="1728">
      <c r="A1728" s="5"/>
      <c r="B1728" s="5" t="s">
        <v>991</v>
      </c>
      <c r="C1728" s="5"/>
      <c r="D1728" s="5">
        <v>0.0</v>
      </c>
    </row>
    <row r="1729">
      <c r="A1729" s="5"/>
      <c r="B1729" s="5" t="s">
        <v>992</v>
      </c>
      <c r="C1729" s="5"/>
      <c r="D1729" s="5">
        <v>0.0</v>
      </c>
    </row>
    <row r="1730">
      <c r="A1730" s="5"/>
      <c r="B1730" s="5" t="s">
        <v>993</v>
      </c>
      <c r="C1730" s="5"/>
      <c r="D1730" s="5">
        <v>43.0</v>
      </c>
    </row>
    <row r="1731">
      <c r="A1731" s="5"/>
      <c r="B1731" s="5" t="s">
        <v>994</v>
      </c>
      <c r="C1731" s="5"/>
      <c r="D1731" s="5">
        <v>0.0</v>
      </c>
    </row>
    <row r="1732">
      <c r="A1732" s="5"/>
      <c r="B1732" s="5" t="s">
        <v>995</v>
      </c>
      <c r="C1732" s="5"/>
      <c r="D1732" s="5">
        <v>72.0</v>
      </c>
    </row>
    <row r="1733">
      <c r="A1733" s="5"/>
      <c r="B1733" s="5" t="s">
        <v>996</v>
      </c>
      <c r="C1733" s="5"/>
      <c r="D1733" s="5">
        <v>30.0</v>
      </c>
    </row>
    <row r="1734">
      <c r="A1734" s="5"/>
      <c r="B1734" s="5" t="s">
        <v>997</v>
      </c>
      <c r="C1734" s="5"/>
      <c r="D1734" s="5">
        <v>92.0</v>
      </c>
    </row>
    <row r="1735">
      <c r="A1735" s="5"/>
      <c r="B1735" s="5" t="s">
        <v>998</v>
      </c>
      <c r="C1735" s="5"/>
      <c r="D1735" s="5">
        <v>78.0</v>
      </c>
    </row>
    <row r="1736">
      <c r="A1736" s="5"/>
      <c r="B1736" s="5" t="s">
        <v>999</v>
      </c>
      <c r="C1736" s="5"/>
      <c r="D1736" s="5">
        <v>0.0</v>
      </c>
    </row>
    <row r="1737">
      <c r="A1737" s="5"/>
      <c r="B1737" s="5" t="s">
        <v>1000</v>
      </c>
      <c r="C1737" s="5"/>
      <c r="D1737" s="5">
        <v>0.0</v>
      </c>
    </row>
    <row r="1738">
      <c r="A1738" s="5"/>
      <c r="B1738" s="5" t="s">
        <v>1001</v>
      </c>
      <c r="C1738" s="5"/>
      <c r="D1738" s="5">
        <v>0.0</v>
      </c>
    </row>
    <row r="1739">
      <c r="A1739" s="5"/>
      <c r="B1739" s="5" t="s">
        <v>1002</v>
      </c>
      <c r="C1739" s="5"/>
      <c r="D1739" s="5">
        <v>0.0</v>
      </c>
    </row>
    <row r="1740">
      <c r="A1740" s="5"/>
      <c r="B1740" s="5" t="s">
        <v>1003</v>
      </c>
      <c r="C1740" s="5"/>
      <c r="D1740" s="5">
        <v>0.0</v>
      </c>
    </row>
    <row r="1741">
      <c r="A1741" s="5"/>
      <c r="B1741" s="5" t="s">
        <v>1004</v>
      </c>
      <c r="C1741" s="5"/>
      <c r="D1741" s="5">
        <v>0.0</v>
      </c>
    </row>
    <row r="1742">
      <c r="A1742" s="5"/>
      <c r="B1742" s="5" t="s">
        <v>1005</v>
      </c>
      <c r="C1742" s="5"/>
      <c r="D1742" s="5">
        <v>0.0</v>
      </c>
    </row>
    <row r="1743">
      <c r="A1743" s="5"/>
      <c r="B1743" s="5" t="s">
        <v>1006</v>
      </c>
      <c r="C1743" s="5"/>
      <c r="D1743" s="5">
        <v>77.0</v>
      </c>
    </row>
    <row r="1744">
      <c r="A1744" s="5"/>
      <c r="B1744" s="5" t="s">
        <v>934</v>
      </c>
      <c r="C1744" s="5"/>
      <c r="D1744" s="5">
        <v>23.0</v>
      </c>
    </row>
    <row r="1745">
      <c r="A1745" s="5"/>
      <c r="B1745" s="5" t="s">
        <v>935</v>
      </c>
      <c r="C1745" s="5"/>
      <c r="D1745" s="5">
        <v>96.0</v>
      </c>
    </row>
    <row r="1746">
      <c r="A1746" s="5"/>
      <c r="B1746" s="5" t="s">
        <v>936</v>
      </c>
      <c r="C1746" s="5"/>
      <c r="D1746" s="5">
        <v>93.0</v>
      </c>
    </row>
    <row r="1747">
      <c r="A1747" s="5"/>
      <c r="B1747" s="5" t="s">
        <v>937</v>
      </c>
      <c r="C1747" s="5"/>
      <c r="D1747" s="5">
        <v>40.0</v>
      </c>
    </row>
    <row r="1748">
      <c r="A1748" s="5"/>
      <c r="B1748" s="5" t="s">
        <v>938</v>
      </c>
      <c r="C1748" s="5"/>
      <c r="D1748" s="5">
        <v>39.0</v>
      </c>
    </row>
    <row r="1749">
      <c r="A1749" s="5"/>
      <c r="B1749" s="5" t="s">
        <v>939</v>
      </c>
      <c r="C1749" s="5"/>
      <c r="D1749" s="5">
        <v>0.0</v>
      </c>
    </row>
    <row r="1750">
      <c r="A1750" s="5"/>
      <c r="B1750" s="5" t="s">
        <v>940</v>
      </c>
      <c r="C1750" s="5"/>
      <c r="D1750" s="5">
        <v>0.0</v>
      </c>
    </row>
    <row r="1751">
      <c r="A1751" s="5"/>
      <c r="B1751" s="5" t="s">
        <v>941</v>
      </c>
      <c r="C1751" s="5"/>
      <c r="D1751" s="5">
        <v>0.0</v>
      </c>
    </row>
    <row r="1752">
      <c r="A1752" s="5"/>
      <c r="B1752" s="5" t="s">
        <v>942</v>
      </c>
      <c r="C1752" s="5"/>
      <c r="D1752" s="5">
        <v>0.0</v>
      </c>
    </row>
    <row r="1753">
      <c r="A1753" s="5"/>
      <c r="B1753" s="5" t="s">
        <v>943</v>
      </c>
      <c r="C1753" s="5"/>
      <c r="D1753" s="5">
        <v>78.0</v>
      </c>
    </row>
    <row r="1754">
      <c r="A1754" s="5"/>
      <c r="B1754" s="5" t="s">
        <v>944</v>
      </c>
      <c r="C1754" s="5"/>
      <c r="D1754" s="5">
        <v>0.0</v>
      </c>
    </row>
    <row r="1755">
      <c r="A1755" s="5"/>
      <c r="B1755" s="5" t="s">
        <v>945</v>
      </c>
      <c r="C1755" s="5"/>
      <c r="D1755" s="5">
        <v>0.0</v>
      </c>
    </row>
    <row r="1756">
      <c r="A1756" s="5"/>
      <c r="B1756" s="5" t="s">
        <v>946</v>
      </c>
      <c r="C1756" s="5"/>
      <c r="D1756" s="5">
        <v>0.0</v>
      </c>
    </row>
    <row r="1757">
      <c r="A1757" s="5"/>
      <c r="B1757" s="5" t="s">
        <v>947</v>
      </c>
      <c r="C1757" s="5"/>
      <c r="D1757" s="5">
        <v>0.0</v>
      </c>
    </row>
    <row r="1758">
      <c r="A1758" s="5"/>
      <c r="B1758" s="5" t="s">
        <v>948</v>
      </c>
      <c r="C1758" s="5"/>
      <c r="D1758" s="5">
        <v>0.0</v>
      </c>
    </row>
    <row r="1759">
      <c r="A1759" s="5"/>
      <c r="B1759" s="5" t="s">
        <v>949</v>
      </c>
      <c r="C1759" s="5"/>
      <c r="D1759" s="5">
        <v>0.0</v>
      </c>
    </row>
    <row r="1760">
      <c r="A1760" s="5"/>
      <c r="B1760" s="5" t="s">
        <v>950</v>
      </c>
      <c r="C1760" s="5"/>
      <c r="D1760" s="5">
        <v>92.0</v>
      </c>
    </row>
    <row r="1761">
      <c r="A1761" s="5"/>
      <c r="B1761" s="5" t="s">
        <v>951</v>
      </c>
      <c r="C1761" s="5"/>
      <c r="D1761" s="5">
        <v>0.0</v>
      </c>
    </row>
    <row r="1762">
      <c r="A1762" s="5"/>
      <c r="B1762" s="5" t="s">
        <v>952</v>
      </c>
      <c r="C1762" s="5"/>
      <c r="D1762" s="5">
        <v>80.0</v>
      </c>
    </row>
    <row r="1763">
      <c r="A1763" s="5"/>
      <c r="B1763" s="5" t="s">
        <v>953</v>
      </c>
      <c r="C1763" s="5"/>
      <c r="D1763" s="5">
        <v>0.0</v>
      </c>
    </row>
    <row r="1764">
      <c r="A1764" s="5"/>
      <c r="B1764" s="5" t="s">
        <v>954</v>
      </c>
      <c r="C1764" s="5"/>
      <c r="D1764" s="5">
        <v>0.0</v>
      </c>
    </row>
    <row r="1765">
      <c r="A1765" s="5"/>
      <c r="B1765" s="5" t="s">
        <v>955</v>
      </c>
      <c r="C1765" s="5"/>
      <c r="D1765" s="5">
        <v>79.0</v>
      </c>
    </row>
    <row r="1766">
      <c r="A1766" s="5"/>
      <c r="B1766" s="5" t="s">
        <v>956</v>
      </c>
      <c r="C1766" s="5"/>
      <c r="D1766" s="5">
        <v>0.0</v>
      </c>
    </row>
    <row r="1767">
      <c r="A1767" s="5"/>
      <c r="B1767" s="5" t="s">
        <v>957</v>
      </c>
      <c r="C1767" s="5"/>
      <c r="D1767" s="5">
        <v>0.0</v>
      </c>
    </row>
    <row r="1768">
      <c r="A1768" s="5"/>
      <c r="B1768" s="5" t="s">
        <v>958</v>
      </c>
      <c r="C1768" s="5"/>
      <c r="D1768" s="5">
        <v>0.0</v>
      </c>
    </row>
    <row r="1769">
      <c r="A1769" s="5"/>
      <c r="B1769" s="5" t="s">
        <v>959</v>
      </c>
      <c r="C1769" s="5"/>
      <c r="D1769" s="5">
        <v>0.0</v>
      </c>
    </row>
    <row r="1770">
      <c r="A1770" s="5"/>
      <c r="B1770" s="5" t="s">
        <v>960</v>
      </c>
      <c r="C1770" s="5"/>
      <c r="D1770" s="5">
        <v>0.0</v>
      </c>
    </row>
    <row r="1771">
      <c r="A1771" s="5"/>
      <c r="B1771" s="5" t="s">
        <v>961</v>
      </c>
      <c r="C1771" s="5"/>
      <c r="D1771" s="5">
        <v>0.0</v>
      </c>
    </row>
    <row r="1772">
      <c r="A1772" s="5"/>
      <c r="B1772" s="5" t="s">
        <v>962</v>
      </c>
      <c r="C1772" s="5"/>
      <c r="D1772" s="5">
        <v>0.0</v>
      </c>
    </row>
    <row r="1773">
      <c r="A1773" s="5"/>
      <c r="B1773" s="5" t="s">
        <v>963</v>
      </c>
      <c r="C1773" s="5"/>
      <c r="D1773" s="5">
        <v>32.0</v>
      </c>
    </row>
    <row r="1774">
      <c r="A1774" s="5"/>
      <c r="B1774" s="5" t="s">
        <v>964</v>
      </c>
      <c r="C1774" s="5"/>
      <c r="D1774" s="5">
        <v>0.0</v>
      </c>
    </row>
    <row r="1775">
      <c r="A1775" s="5"/>
      <c r="B1775" s="5" t="s">
        <v>965</v>
      </c>
      <c r="C1775" s="5"/>
      <c r="D1775" s="5">
        <v>96.0</v>
      </c>
    </row>
    <row r="1776">
      <c r="A1776" s="5"/>
      <c r="B1776" s="5" t="s">
        <v>966</v>
      </c>
      <c r="C1776" s="5"/>
      <c r="D1776" s="5" t="s">
        <v>967</v>
      </c>
      <c r="E1776" s="5" t="s">
        <v>968</v>
      </c>
    </row>
    <row r="1777">
      <c r="A1777" s="5"/>
      <c r="B1777" s="5" t="s">
        <v>969</v>
      </c>
      <c r="C1777" s="5"/>
      <c r="D1777" s="5">
        <v>0.0</v>
      </c>
    </row>
    <row r="1778">
      <c r="A1778" s="5"/>
      <c r="B1778" s="5" t="s">
        <v>970</v>
      </c>
      <c r="C1778" s="5"/>
    </row>
    <row r="1779">
      <c r="A1779" s="5"/>
      <c r="B1779" s="5" t="s">
        <v>971</v>
      </c>
      <c r="C1779" s="5"/>
      <c r="D1779" s="5">
        <v>0.0</v>
      </c>
    </row>
    <row r="1780">
      <c r="A1780" s="5"/>
      <c r="B1780" s="5" t="s">
        <v>972</v>
      </c>
      <c r="C1780" s="5"/>
      <c r="D1780" s="5">
        <v>0.0</v>
      </c>
    </row>
    <row r="1781">
      <c r="A1781" s="5"/>
      <c r="B1781" s="5" t="s">
        <v>973</v>
      </c>
      <c r="C1781" s="5"/>
      <c r="D1781" s="5">
        <v>0.0</v>
      </c>
    </row>
    <row r="1782">
      <c r="A1782" s="5"/>
      <c r="B1782" s="5" t="s">
        <v>974</v>
      </c>
      <c r="C1782" s="5"/>
      <c r="D1782" s="5">
        <v>0.0</v>
      </c>
    </row>
    <row r="1783">
      <c r="A1783" s="5"/>
      <c r="B1783" s="5" t="s">
        <v>975</v>
      </c>
      <c r="C1783" s="5"/>
      <c r="D1783" s="5">
        <v>0.0</v>
      </c>
    </row>
    <row r="1784">
      <c r="A1784" s="5"/>
      <c r="B1784" s="5" t="s">
        <v>976</v>
      </c>
      <c r="C1784" s="5"/>
      <c r="D1784" s="5">
        <v>0.0</v>
      </c>
    </row>
    <row r="1785">
      <c r="A1785" s="5"/>
      <c r="B1785" s="5" t="s">
        <v>977</v>
      </c>
      <c r="C1785" s="5"/>
      <c r="D1785" s="5">
        <v>81.0</v>
      </c>
    </row>
    <row r="1786">
      <c r="A1786" s="5"/>
      <c r="B1786" s="5" t="s">
        <v>978</v>
      </c>
      <c r="C1786" s="5"/>
      <c r="D1786" s="5">
        <v>0.0</v>
      </c>
    </row>
    <row r="1787">
      <c r="A1787" s="5"/>
      <c r="B1787" s="5" t="s">
        <v>979</v>
      </c>
      <c r="C1787" s="5"/>
      <c r="D1787" s="5">
        <v>0.0</v>
      </c>
    </row>
    <row r="1788">
      <c r="A1788" s="5"/>
      <c r="B1788" s="5" t="s">
        <v>980</v>
      </c>
      <c r="C1788" s="5"/>
      <c r="D1788" s="5" t="s">
        <v>981</v>
      </c>
      <c r="E1788" s="5">
        <v>12.0</v>
      </c>
    </row>
    <row r="1789">
      <c r="A1789" s="5"/>
      <c r="B1789" s="5" t="s">
        <v>982</v>
      </c>
      <c r="C1789" s="5"/>
      <c r="D1789" s="5">
        <v>0.0</v>
      </c>
    </row>
    <row r="1790">
      <c r="A1790" s="5"/>
      <c r="B1790" s="5" t="s">
        <v>983</v>
      </c>
      <c r="C1790" s="5"/>
      <c r="D1790" s="5">
        <v>0.0</v>
      </c>
    </row>
    <row r="1791">
      <c r="A1791" s="5"/>
      <c r="B1791" s="5" t="s">
        <v>984</v>
      </c>
      <c r="C1791" s="5"/>
      <c r="D1791" s="5">
        <v>38.0</v>
      </c>
    </row>
    <row r="1792">
      <c r="A1792" s="5"/>
      <c r="B1792" s="5" t="s">
        <v>985</v>
      </c>
      <c r="C1792" s="5"/>
      <c r="D1792" s="5">
        <v>0.0</v>
      </c>
    </row>
    <row r="1793">
      <c r="A1793" s="5"/>
      <c r="B1793" s="5" t="s">
        <v>986</v>
      </c>
      <c r="C1793" s="5"/>
      <c r="D1793" s="5">
        <v>0.0</v>
      </c>
    </row>
    <row r="1794">
      <c r="A1794" s="5"/>
      <c r="B1794" s="5" t="s">
        <v>987</v>
      </c>
      <c r="C1794" s="5"/>
      <c r="D1794" s="5">
        <v>0.0</v>
      </c>
    </row>
    <row r="1795">
      <c r="A1795" s="5"/>
      <c r="B1795" s="5" t="s">
        <v>988</v>
      </c>
      <c r="C1795" s="5"/>
      <c r="D1795" s="5">
        <v>56.0</v>
      </c>
    </row>
    <row r="1796">
      <c r="A1796" s="5"/>
      <c r="B1796" s="5" t="s">
        <v>989</v>
      </c>
      <c r="C1796" s="5"/>
      <c r="D1796" s="5">
        <v>0.0</v>
      </c>
    </row>
    <row r="1797">
      <c r="A1797" s="5"/>
      <c r="B1797" s="5" t="s">
        <v>990</v>
      </c>
      <c r="C1797" s="5"/>
      <c r="D1797" s="5">
        <v>50.0</v>
      </c>
    </row>
    <row r="1798">
      <c r="A1798" s="5"/>
      <c r="B1798" s="5" t="s">
        <v>991</v>
      </c>
      <c r="C1798" s="5"/>
      <c r="D1798" s="5">
        <v>0.0</v>
      </c>
    </row>
    <row r="1799">
      <c r="A1799" s="5"/>
      <c r="B1799" s="5" t="s">
        <v>992</v>
      </c>
      <c r="C1799" s="5"/>
      <c r="D1799" s="5">
        <v>0.0</v>
      </c>
    </row>
    <row r="1800">
      <c r="A1800" s="5"/>
      <c r="B1800" s="5" t="s">
        <v>993</v>
      </c>
      <c r="C1800" s="5"/>
      <c r="D1800" s="5">
        <v>43.0</v>
      </c>
    </row>
    <row r="1801">
      <c r="A1801" s="5"/>
      <c r="B1801" s="5" t="s">
        <v>994</v>
      </c>
      <c r="C1801" s="5"/>
      <c r="D1801" s="5">
        <v>0.0</v>
      </c>
    </row>
    <row r="1802">
      <c r="A1802" s="5"/>
      <c r="B1802" s="5" t="s">
        <v>995</v>
      </c>
      <c r="C1802" s="5"/>
      <c r="D1802" s="5">
        <v>72.0</v>
      </c>
    </row>
    <row r="1803">
      <c r="A1803" s="5"/>
      <c r="B1803" s="5" t="s">
        <v>996</v>
      </c>
      <c r="C1803" s="5"/>
      <c r="D1803" s="5">
        <v>30.0</v>
      </c>
    </row>
    <row r="1804">
      <c r="A1804" s="5"/>
      <c r="B1804" s="5" t="s">
        <v>997</v>
      </c>
      <c r="C1804" s="5"/>
      <c r="D1804" s="5">
        <v>92.0</v>
      </c>
    </row>
    <row r="1805">
      <c r="A1805" s="5"/>
      <c r="B1805" s="5" t="s">
        <v>998</v>
      </c>
      <c r="C1805" s="5"/>
      <c r="D1805" s="5">
        <v>78.0</v>
      </c>
    </row>
    <row r="1806">
      <c r="A1806" s="5"/>
      <c r="B1806" s="5" t="s">
        <v>999</v>
      </c>
      <c r="C1806" s="5"/>
      <c r="D1806" s="5">
        <v>0.0</v>
      </c>
    </row>
    <row r="1807">
      <c r="A1807" s="5"/>
      <c r="B1807" s="5" t="s">
        <v>1000</v>
      </c>
      <c r="C1807" s="5"/>
      <c r="D1807" s="5">
        <v>0.0</v>
      </c>
    </row>
    <row r="1808">
      <c r="A1808" s="5"/>
      <c r="B1808" s="5" t="s">
        <v>1001</v>
      </c>
      <c r="C1808" s="5"/>
      <c r="D1808" s="5">
        <v>0.0</v>
      </c>
    </row>
    <row r="1809">
      <c r="A1809" s="5"/>
      <c r="B1809" s="5" t="s">
        <v>1002</v>
      </c>
      <c r="C1809" s="5"/>
      <c r="D1809" s="5">
        <v>0.0</v>
      </c>
    </row>
    <row r="1810">
      <c r="A1810" s="5"/>
      <c r="B1810" s="5" t="s">
        <v>1003</v>
      </c>
      <c r="C1810" s="5"/>
      <c r="D1810" s="5">
        <v>0.0</v>
      </c>
    </row>
    <row r="1811">
      <c r="A1811" s="5"/>
      <c r="B1811" s="5" t="s">
        <v>1004</v>
      </c>
      <c r="C1811" s="5"/>
      <c r="D1811" s="5">
        <v>0.0</v>
      </c>
    </row>
    <row r="1812">
      <c r="A1812" s="5"/>
      <c r="B1812" s="5" t="s">
        <v>1005</v>
      </c>
      <c r="C1812" s="5"/>
      <c r="D1812" s="5">
        <v>0.0</v>
      </c>
    </row>
    <row r="1813">
      <c r="A1813" s="5"/>
      <c r="B1813" s="5" t="s">
        <v>1006</v>
      </c>
      <c r="C1813" s="5"/>
      <c r="D1813" s="5">
        <v>77.0</v>
      </c>
    </row>
    <row r="1814">
      <c r="A1814" s="5"/>
      <c r="B1814" s="5" t="s">
        <v>1007</v>
      </c>
      <c r="C1814" s="5"/>
      <c r="D1814" s="5">
        <v>0.0</v>
      </c>
    </row>
    <row r="1815">
      <c r="A1815" s="5"/>
      <c r="B1815" s="5" t="s">
        <v>1008</v>
      </c>
      <c r="C1815" s="5"/>
      <c r="D1815" s="5">
        <v>43.0</v>
      </c>
    </row>
    <row r="1816">
      <c r="A1816" s="5"/>
      <c r="B1816" s="5" t="s">
        <v>1009</v>
      </c>
      <c r="C1816" s="5"/>
      <c r="D1816" s="5">
        <v>0.0</v>
      </c>
    </row>
    <row r="1817">
      <c r="A1817" s="5"/>
      <c r="B1817" s="5" t="s">
        <v>1010</v>
      </c>
      <c r="C1817" s="5"/>
      <c r="D1817" s="5" t="s">
        <v>1011</v>
      </c>
      <c r="E1817" s="5">
        <v>0.0</v>
      </c>
    </row>
    <row r="1818">
      <c r="A1818" s="5"/>
      <c r="B1818" s="5" t="s">
        <v>1012</v>
      </c>
      <c r="C1818" s="5"/>
      <c r="D1818" s="5">
        <v>0.0</v>
      </c>
    </row>
    <row r="1819">
      <c r="A1819" s="5"/>
      <c r="B1819" s="5" t="s">
        <v>1013</v>
      </c>
      <c r="C1819" s="5"/>
      <c r="D1819" s="5">
        <v>60.0</v>
      </c>
    </row>
    <row r="1820">
      <c r="A1820" s="5"/>
      <c r="B1820" s="5" t="s">
        <v>1014</v>
      </c>
      <c r="C1820" s="5"/>
      <c r="D1820" s="5">
        <v>0.0</v>
      </c>
    </row>
    <row r="1821">
      <c r="A1821" s="5"/>
      <c r="B1821" s="5" t="s">
        <v>1015</v>
      </c>
      <c r="C1821" s="5"/>
      <c r="D1821" s="5">
        <v>0.0</v>
      </c>
    </row>
    <row r="1822">
      <c r="A1822" s="5"/>
      <c r="B1822" s="5" t="s">
        <v>1016</v>
      </c>
      <c r="C1822" s="5"/>
      <c r="D1822" s="5">
        <v>0.0</v>
      </c>
    </row>
    <row r="1823">
      <c r="A1823" s="5"/>
      <c r="B1823" s="5" t="s">
        <v>1017</v>
      </c>
      <c r="C1823" s="5"/>
      <c r="D1823" s="5" t="s">
        <v>1018</v>
      </c>
      <c r="E1823" s="5" t="s">
        <v>1019</v>
      </c>
      <c r="F1823" s="5">
        <v>96.0</v>
      </c>
    </row>
    <row r="1824">
      <c r="A1824" s="5"/>
      <c r="B1824" s="5" t="s">
        <v>1020</v>
      </c>
      <c r="C1824" s="5"/>
      <c r="D1824" s="5">
        <v>0.0</v>
      </c>
    </row>
    <row r="1825">
      <c r="A1825" s="5"/>
      <c r="B1825" s="5" t="s">
        <v>1021</v>
      </c>
      <c r="C1825" s="5"/>
      <c r="D1825" s="5">
        <v>0.0</v>
      </c>
    </row>
    <row r="1826">
      <c r="A1826" s="5"/>
      <c r="B1826" s="5" t="s">
        <v>1022</v>
      </c>
      <c r="C1826" s="5"/>
      <c r="D1826" s="5">
        <v>0.0</v>
      </c>
    </row>
    <row r="1827">
      <c r="A1827" s="5"/>
      <c r="B1827" s="5" t="s">
        <v>1023</v>
      </c>
      <c r="C1827" s="5"/>
      <c r="D1827" s="5">
        <v>6.0</v>
      </c>
    </row>
    <row r="1828">
      <c r="A1828" s="5"/>
      <c r="B1828" s="5" t="s">
        <v>1024</v>
      </c>
      <c r="C1828" s="5"/>
      <c r="D1828" s="5">
        <v>0.0</v>
      </c>
    </row>
    <row r="1829">
      <c r="A1829" s="5"/>
      <c r="B1829" s="5" t="s">
        <v>1025</v>
      </c>
      <c r="C1829" s="5"/>
      <c r="D1829" s="5">
        <v>50.0</v>
      </c>
    </row>
    <row r="1830">
      <c r="A1830" s="5"/>
      <c r="B1830" s="5" t="s">
        <v>1026</v>
      </c>
      <c r="C1830" s="5"/>
      <c r="D1830" s="5">
        <v>78.0</v>
      </c>
    </row>
    <row r="1831">
      <c r="A1831" s="5"/>
      <c r="B1831" s="5" t="s">
        <v>1027</v>
      </c>
      <c r="C1831" s="5"/>
      <c r="D1831" s="5">
        <v>10.0</v>
      </c>
    </row>
    <row r="1832">
      <c r="A1832" s="5"/>
      <c r="B1832" s="5" t="s">
        <v>1028</v>
      </c>
      <c r="C1832" s="5"/>
      <c r="D1832" s="5">
        <v>0.0</v>
      </c>
    </row>
    <row r="1833">
      <c r="A1833" s="5"/>
      <c r="B1833" s="5" t="s">
        <v>1029</v>
      </c>
      <c r="C1833" s="5"/>
      <c r="D1833" s="5">
        <v>80.0</v>
      </c>
    </row>
    <row r="1834">
      <c r="A1834" s="5"/>
      <c r="B1834" s="5" t="s">
        <v>1030</v>
      </c>
      <c r="C1834" s="5"/>
      <c r="D1834" s="5">
        <v>0.0</v>
      </c>
    </row>
    <row r="1835">
      <c r="A1835" s="5"/>
      <c r="B1835" s="5" t="s">
        <v>1031</v>
      </c>
      <c r="C1835" s="5"/>
      <c r="D1835" s="5">
        <v>0.0</v>
      </c>
    </row>
    <row r="1836">
      <c r="A1836" s="5"/>
      <c r="B1836" s="5" t="s">
        <v>1032</v>
      </c>
      <c r="C1836" s="5"/>
      <c r="D1836" s="5">
        <v>0.0</v>
      </c>
    </row>
    <row r="1837">
      <c r="A1837" s="5"/>
      <c r="B1837" s="5" t="s">
        <v>1033</v>
      </c>
      <c r="C1837" s="5"/>
      <c r="D1837" s="5">
        <v>90.0</v>
      </c>
    </row>
    <row r="1838">
      <c r="A1838" s="5"/>
      <c r="B1838" s="5" t="s">
        <v>1034</v>
      </c>
      <c r="C1838" s="5"/>
      <c r="D1838" s="5">
        <v>40.0</v>
      </c>
    </row>
    <row r="1839">
      <c r="A1839" s="5"/>
      <c r="B1839" s="5" t="s">
        <v>1035</v>
      </c>
      <c r="C1839" s="5"/>
      <c r="D1839" s="5">
        <v>20.0</v>
      </c>
    </row>
    <row r="1840">
      <c r="A1840" s="5"/>
      <c r="B1840" s="5" t="s">
        <v>1036</v>
      </c>
      <c r="C1840" s="5"/>
      <c r="D1840" s="5">
        <v>0.0</v>
      </c>
    </row>
    <row r="1841">
      <c r="A1841" s="5"/>
      <c r="B1841" s="5" t="s">
        <v>1037</v>
      </c>
      <c r="C1841" s="5"/>
      <c r="D1841" s="5">
        <v>70.0</v>
      </c>
    </row>
    <row r="1842">
      <c r="A1842" s="5"/>
      <c r="B1842" s="5" t="s">
        <v>1038</v>
      </c>
      <c r="C1842" s="5"/>
      <c r="D1842" s="5">
        <v>67.0</v>
      </c>
    </row>
    <row r="1843">
      <c r="A1843" s="5"/>
      <c r="B1843" s="5" t="s">
        <v>1039</v>
      </c>
      <c r="C1843" s="5"/>
      <c r="D1843" s="5">
        <v>0.0</v>
      </c>
    </row>
    <row r="1844">
      <c r="A1844" s="5"/>
      <c r="B1844" s="5" t="s">
        <v>1040</v>
      </c>
      <c r="C1844" s="5"/>
      <c r="D1844" s="5">
        <v>40.0</v>
      </c>
    </row>
    <row r="1845">
      <c r="A1845" s="5"/>
      <c r="B1845" s="5" t="s">
        <v>1041</v>
      </c>
      <c r="C1845" s="5"/>
      <c r="D1845" s="5">
        <v>0.0</v>
      </c>
    </row>
    <row r="1846">
      <c r="A1846" s="5"/>
      <c r="B1846" s="5" t="s">
        <v>1042</v>
      </c>
      <c r="C1846" s="5"/>
      <c r="D1846" s="5">
        <v>0.0</v>
      </c>
    </row>
    <row r="1847">
      <c r="A1847" s="5"/>
      <c r="B1847" s="5" t="s">
        <v>1043</v>
      </c>
      <c r="C1847" s="5"/>
      <c r="D1847" s="5">
        <v>0.0</v>
      </c>
    </row>
    <row r="1848">
      <c r="A1848" s="5"/>
      <c r="B1848" s="5" t="s">
        <v>1044</v>
      </c>
      <c r="C1848" s="5"/>
      <c r="D1848" s="5">
        <v>32.0</v>
      </c>
    </row>
    <row r="1849">
      <c r="A1849" s="5"/>
      <c r="B1849" s="5" t="s">
        <v>1045</v>
      </c>
      <c r="C1849" s="5"/>
      <c r="D1849" s="5">
        <v>53.0</v>
      </c>
    </row>
    <row r="1850">
      <c r="A1850" s="5"/>
      <c r="B1850" s="5" t="s">
        <v>1046</v>
      </c>
      <c r="C1850" s="5"/>
      <c r="D1850" s="5">
        <v>37.0</v>
      </c>
    </row>
    <row r="1851">
      <c r="A1851" s="5"/>
      <c r="B1851" s="5" t="s">
        <v>1047</v>
      </c>
      <c r="C1851" s="5"/>
      <c r="D1851" s="5">
        <v>0.0</v>
      </c>
    </row>
    <row r="1852">
      <c r="A1852" s="5"/>
      <c r="B1852" s="5" t="s">
        <v>1048</v>
      </c>
      <c r="C1852" s="5"/>
      <c r="D1852" s="5">
        <v>0.0</v>
      </c>
    </row>
    <row r="1853">
      <c r="A1853" s="5"/>
      <c r="B1853" s="5" t="s">
        <v>1049</v>
      </c>
      <c r="C1853" s="5"/>
      <c r="D1853" s="5">
        <v>0.0</v>
      </c>
    </row>
    <row r="1854">
      <c r="A1854" s="5"/>
      <c r="B1854" s="5" t="s">
        <v>1050</v>
      </c>
      <c r="C1854" s="5"/>
      <c r="D1854" s="5">
        <v>8.0</v>
      </c>
    </row>
    <row r="1855">
      <c r="A1855" s="5"/>
      <c r="B1855" s="5" t="s">
        <v>1051</v>
      </c>
      <c r="C1855" s="5"/>
      <c r="D1855" s="5">
        <v>0.0</v>
      </c>
    </row>
    <row r="1856">
      <c r="A1856" s="5"/>
      <c r="B1856" s="5" t="s">
        <v>1052</v>
      </c>
      <c r="C1856" s="5"/>
      <c r="D1856" s="5">
        <v>0.0</v>
      </c>
    </row>
    <row r="1857">
      <c r="A1857" s="5"/>
      <c r="B1857" s="5" t="s">
        <v>1053</v>
      </c>
      <c r="C1857" s="5"/>
      <c r="D1857" s="5">
        <v>70.0</v>
      </c>
    </row>
    <row r="1858">
      <c r="A1858" s="5"/>
      <c r="B1858" s="5" t="s">
        <v>1054</v>
      </c>
      <c r="C1858" s="5"/>
      <c r="D1858" s="5">
        <v>48.0</v>
      </c>
    </row>
    <row r="1859">
      <c r="A1859" s="5"/>
      <c r="B1859" s="5" t="s">
        <v>1055</v>
      </c>
      <c r="C1859" s="5"/>
      <c r="D1859" s="5">
        <v>0.0</v>
      </c>
    </row>
    <row r="1860">
      <c r="A1860" s="5"/>
      <c r="B1860" s="5" t="s">
        <v>1056</v>
      </c>
      <c r="C1860" s="5"/>
      <c r="D1860" s="5">
        <v>0.0</v>
      </c>
    </row>
    <row r="1861">
      <c r="A1861" s="5"/>
      <c r="B1861" s="5" t="s">
        <v>1057</v>
      </c>
      <c r="C1861" s="5"/>
      <c r="D1861" s="5">
        <v>20.0</v>
      </c>
    </row>
    <row r="1862">
      <c r="A1862" s="5"/>
      <c r="B1862" s="5" t="s">
        <v>1058</v>
      </c>
      <c r="C1862" s="5"/>
      <c r="D1862" s="5">
        <v>74.0</v>
      </c>
    </row>
    <row r="1863">
      <c r="A1863" s="5"/>
      <c r="B1863" s="5" t="s">
        <v>1059</v>
      </c>
      <c r="C1863" s="5"/>
      <c r="D1863" s="5">
        <v>97.0</v>
      </c>
    </row>
    <row r="1864">
      <c r="A1864" s="5"/>
      <c r="B1864" s="5" t="s">
        <v>1060</v>
      </c>
      <c r="C1864" s="5"/>
      <c r="D1864" s="5">
        <v>0.0</v>
      </c>
    </row>
    <row r="1865">
      <c r="A1865" s="5"/>
      <c r="B1865" s="5" t="s">
        <v>1061</v>
      </c>
      <c r="C1865" s="5"/>
      <c r="D1865" s="5">
        <v>0.0</v>
      </c>
    </row>
    <row r="1866">
      <c r="A1866" s="5"/>
      <c r="B1866" s="5" t="s">
        <v>1062</v>
      </c>
      <c r="C1866" s="5"/>
      <c r="D1866" s="5">
        <v>0.0</v>
      </c>
    </row>
    <row r="1867">
      <c r="A1867" s="5"/>
      <c r="B1867" s="5" t="s">
        <v>1063</v>
      </c>
      <c r="C1867" s="5"/>
      <c r="D1867" s="5">
        <v>84.0</v>
      </c>
    </row>
    <row r="1868">
      <c r="A1868" s="5"/>
      <c r="B1868" s="5" t="s">
        <v>1064</v>
      </c>
      <c r="C1868" s="5"/>
      <c r="D1868" s="5">
        <v>0.0</v>
      </c>
    </row>
    <row r="1869">
      <c r="A1869" s="5"/>
      <c r="B1869" s="5" t="s">
        <v>1065</v>
      </c>
      <c r="C1869" s="5"/>
      <c r="D1869" s="5">
        <v>26.0</v>
      </c>
    </row>
    <row r="1870">
      <c r="A1870" s="5"/>
      <c r="B1870" s="5" t="s">
        <v>1066</v>
      </c>
      <c r="C1870" s="5"/>
      <c r="D1870" s="5">
        <v>90.0</v>
      </c>
    </row>
    <row r="1871">
      <c r="A1871" s="5"/>
      <c r="B1871" s="5" t="s">
        <v>1067</v>
      </c>
      <c r="C1871" s="5"/>
      <c r="D1871" s="5">
        <v>0.0</v>
      </c>
    </row>
    <row r="1872">
      <c r="A1872" s="5"/>
      <c r="B1872" s="5" t="s">
        <v>1068</v>
      </c>
      <c r="C1872" s="5"/>
      <c r="D1872" s="5">
        <v>51.0</v>
      </c>
    </row>
    <row r="1873">
      <c r="A1873" s="5"/>
      <c r="B1873" s="5" t="s">
        <v>1069</v>
      </c>
      <c r="C1873" s="5"/>
      <c r="D1873" s="5">
        <v>0.0</v>
      </c>
    </row>
    <row r="1874">
      <c r="A1874" s="5"/>
      <c r="B1874" s="5" t="s">
        <v>1070</v>
      </c>
      <c r="C1874" s="5"/>
      <c r="D1874" s="5">
        <v>0.0</v>
      </c>
    </row>
    <row r="1875">
      <c r="A1875" s="5"/>
      <c r="B1875" s="5" t="s">
        <v>1071</v>
      </c>
      <c r="C1875" s="5"/>
      <c r="D1875" s="5">
        <v>0.0</v>
      </c>
    </row>
    <row r="1876">
      <c r="A1876" s="5"/>
      <c r="B1876" s="5" t="s">
        <v>1072</v>
      </c>
      <c r="C1876" s="5"/>
      <c r="D1876" s="5">
        <v>0.0</v>
      </c>
    </row>
    <row r="1877">
      <c r="A1877" s="5"/>
      <c r="B1877" s="5" t="s">
        <v>1073</v>
      </c>
      <c r="C1877" s="5"/>
      <c r="D1877" s="5">
        <v>0.0</v>
      </c>
    </row>
    <row r="1878">
      <c r="A1878" s="5"/>
      <c r="B1878" s="5" t="s">
        <v>1074</v>
      </c>
      <c r="C1878" s="5"/>
      <c r="D1878" s="5">
        <v>61.0</v>
      </c>
    </row>
    <row r="1879">
      <c r="A1879" s="5"/>
      <c r="B1879" s="5" t="s">
        <v>1075</v>
      </c>
      <c r="C1879" s="5"/>
      <c r="D1879" s="5">
        <v>0.0</v>
      </c>
    </row>
    <row r="1880">
      <c r="A1880" s="5"/>
      <c r="B1880" s="5" t="s">
        <v>1076</v>
      </c>
      <c r="C1880" s="5"/>
      <c r="D1880" s="5">
        <v>0.0</v>
      </c>
    </row>
    <row r="1881">
      <c r="A1881" s="5"/>
      <c r="B1881" s="5" t="s">
        <v>1077</v>
      </c>
      <c r="C1881" s="5"/>
      <c r="D1881" s="5">
        <v>0.0</v>
      </c>
    </row>
    <row r="1882">
      <c r="A1882" s="5"/>
      <c r="B1882" s="5" t="s">
        <v>1078</v>
      </c>
      <c r="C1882" s="5"/>
      <c r="D1882" s="5">
        <v>0.0</v>
      </c>
    </row>
    <row r="1883">
      <c r="A1883" s="5"/>
      <c r="B1883" s="5" t="s">
        <v>1007</v>
      </c>
      <c r="C1883" s="5"/>
      <c r="D1883" s="5">
        <v>0.0</v>
      </c>
    </row>
    <row r="1884">
      <c r="A1884" s="5"/>
      <c r="B1884" s="5" t="s">
        <v>1008</v>
      </c>
      <c r="C1884" s="5"/>
      <c r="D1884" s="5">
        <v>43.0</v>
      </c>
    </row>
    <row r="1885">
      <c r="A1885" s="5"/>
      <c r="B1885" s="5" t="s">
        <v>1009</v>
      </c>
      <c r="C1885" s="5"/>
      <c r="D1885" s="5">
        <v>0.0</v>
      </c>
    </row>
    <row r="1886">
      <c r="A1886" s="5"/>
      <c r="B1886" s="5" t="s">
        <v>1010</v>
      </c>
      <c r="C1886" s="5"/>
      <c r="D1886" s="5" t="s">
        <v>1011</v>
      </c>
      <c r="E1886" s="5">
        <v>0.0</v>
      </c>
    </row>
    <row r="1887">
      <c r="A1887" s="5"/>
      <c r="B1887" s="5" t="s">
        <v>1012</v>
      </c>
      <c r="C1887" s="5"/>
      <c r="D1887" s="5">
        <v>0.0</v>
      </c>
    </row>
    <row r="1888">
      <c r="A1888" s="5"/>
      <c r="B1888" s="5" t="s">
        <v>1013</v>
      </c>
      <c r="C1888" s="5"/>
      <c r="D1888" s="5">
        <v>60.0</v>
      </c>
    </row>
    <row r="1889">
      <c r="A1889" s="5"/>
      <c r="B1889" s="5" t="s">
        <v>1014</v>
      </c>
      <c r="C1889" s="5"/>
      <c r="D1889" s="5">
        <v>0.0</v>
      </c>
    </row>
    <row r="1890">
      <c r="A1890" s="5"/>
      <c r="B1890" s="5" t="s">
        <v>1015</v>
      </c>
      <c r="C1890" s="5"/>
      <c r="D1890" s="5">
        <v>0.0</v>
      </c>
    </row>
    <row r="1891">
      <c r="A1891" s="5"/>
      <c r="B1891" s="5" t="s">
        <v>1016</v>
      </c>
      <c r="C1891" s="5"/>
      <c r="D1891" s="5">
        <v>0.0</v>
      </c>
    </row>
    <row r="1892">
      <c r="A1892" s="5"/>
      <c r="B1892" s="5" t="s">
        <v>1017</v>
      </c>
      <c r="C1892" s="5"/>
      <c r="D1892" s="5" t="s">
        <v>1018</v>
      </c>
      <c r="E1892" s="5" t="s">
        <v>1019</v>
      </c>
      <c r="F1892" s="5">
        <v>96.0</v>
      </c>
    </row>
    <row r="1893">
      <c r="A1893" s="5"/>
      <c r="B1893" s="5" t="s">
        <v>1020</v>
      </c>
      <c r="C1893" s="5"/>
      <c r="D1893" s="5">
        <v>0.0</v>
      </c>
    </row>
    <row r="1894">
      <c r="A1894" s="5"/>
      <c r="B1894" s="5" t="s">
        <v>1021</v>
      </c>
      <c r="C1894" s="5"/>
      <c r="D1894" s="5">
        <v>0.0</v>
      </c>
    </row>
    <row r="1895">
      <c r="A1895" s="5"/>
      <c r="B1895" s="5" t="s">
        <v>1022</v>
      </c>
      <c r="C1895" s="5"/>
      <c r="D1895" s="5">
        <v>0.0</v>
      </c>
    </row>
    <row r="1896">
      <c r="A1896" s="5"/>
      <c r="B1896" s="5" t="s">
        <v>1023</v>
      </c>
      <c r="C1896" s="5"/>
      <c r="D1896" s="5">
        <v>6.0</v>
      </c>
    </row>
    <row r="1897">
      <c r="A1897" s="5"/>
      <c r="B1897" s="5" t="s">
        <v>1024</v>
      </c>
      <c r="C1897" s="5"/>
      <c r="D1897" s="5">
        <v>0.0</v>
      </c>
    </row>
    <row r="1898">
      <c r="A1898" s="5"/>
      <c r="B1898" s="5" t="s">
        <v>1025</v>
      </c>
      <c r="C1898" s="5"/>
      <c r="D1898" s="5">
        <v>50.0</v>
      </c>
    </row>
    <row r="1899">
      <c r="A1899" s="5"/>
      <c r="B1899" s="5" t="s">
        <v>1026</v>
      </c>
      <c r="C1899" s="5"/>
      <c r="D1899" s="5">
        <v>78.0</v>
      </c>
    </row>
    <row r="1900">
      <c r="A1900" s="5"/>
      <c r="B1900" s="5" t="s">
        <v>1027</v>
      </c>
      <c r="C1900" s="5"/>
      <c r="D1900" s="5">
        <v>10.0</v>
      </c>
    </row>
    <row r="1901">
      <c r="A1901" s="5"/>
      <c r="B1901" s="5" t="s">
        <v>1028</v>
      </c>
      <c r="C1901" s="5"/>
      <c r="D1901" s="5">
        <v>0.0</v>
      </c>
    </row>
    <row r="1902">
      <c r="A1902" s="5"/>
      <c r="B1902" s="5" t="s">
        <v>1029</v>
      </c>
      <c r="C1902" s="5"/>
      <c r="D1902" s="5">
        <v>80.0</v>
      </c>
    </row>
    <row r="1903">
      <c r="A1903" s="5"/>
      <c r="B1903" s="5" t="s">
        <v>1030</v>
      </c>
      <c r="C1903" s="5"/>
      <c r="D1903" s="5">
        <v>0.0</v>
      </c>
    </row>
    <row r="1904">
      <c r="A1904" s="5"/>
      <c r="B1904" s="5" t="s">
        <v>1031</v>
      </c>
      <c r="C1904" s="5"/>
      <c r="D1904" s="5">
        <v>0.0</v>
      </c>
    </row>
    <row r="1905">
      <c r="A1905" s="5"/>
      <c r="B1905" s="5" t="s">
        <v>1032</v>
      </c>
      <c r="C1905" s="5"/>
      <c r="D1905" s="5">
        <v>0.0</v>
      </c>
    </row>
    <row r="1906">
      <c r="A1906" s="5"/>
      <c r="B1906" s="5" t="s">
        <v>1033</v>
      </c>
      <c r="C1906" s="5"/>
      <c r="D1906" s="5">
        <v>90.0</v>
      </c>
    </row>
    <row r="1907">
      <c r="A1907" s="5"/>
      <c r="B1907" s="5" t="s">
        <v>1034</v>
      </c>
      <c r="C1907" s="5"/>
      <c r="D1907" s="5">
        <v>40.0</v>
      </c>
    </row>
    <row r="1908">
      <c r="A1908" s="5"/>
      <c r="B1908" s="5" t="s">
        <v>1035</v>
      </c>
      <c r="C1908" s="5"/>
      <c r="D1908" s="5">
        <v>20.0</v>
      </c>
    </row>
    <row r="1909">
      <c r="A1909" s="5"/>
      <c r="B1909" s="5" t="s">
        <v>1036</v>
      </c>
      <c r="C1909" s="5"/>
      <c r="D1909" s="5">
        <v>0.0</v>
      </c>
    </row>
    <row r="1910">
      <c r="A1910" s="5"/>
      <c r="B1910" s="5" t="s">
        <v>1037</v>
      </c>
      <c r="C1910" s="5"/>
      <c r="D1910" s="5">
        <v>70.0</v>
      </c>
    </row>
    <row r="1911">
      <c r="A1911" s="5"/>
      <c r="B1911" s="5" t="s">
        <v>1038</v>
      </c>
      <c r="C1911" s="5"/>
      <c r="D1911" s="5">
        <v>67.0</v>
      </c>
    </row>
    <row r="1912">
      <c r="A1912" s="5"/>
      <c r="B1912" s="5" t="s">
        <v>1039</v>
      </c>
      <c r="C1912" s="5"/>
      <c r="D1912" s="5">
        <v>0.0</v>
      </c>
    </row>
    <row r="1913">
      <c r="A1913" s="5"/>
      <c r="B1913" s="5" t="s">
        <v>1040</v>
      </c>
      <c r="C1913" s="5"/>
      <c r="D1913" s="5">
        <v>40.0</v>
      </c>
    </row>
    <row r="1914">
      <c r="A1914" s="5"/>
      <c r="B1914" s="5" t="s">
        <v>1041</v>
      </c>
      <c r="C1914" s="5"/>
      <c r="D1914" s="5">
        <v>0.0</v>
      </c>
    </row>
    <row r="1915">
      <c r="A1915" s="5"/>
      <c r="B1915" s="5" t="s">
        <v>1042</v>
      </c>
      <c r="C1915" s="5"/>
      <c r="D1915" s="5">
        <v>0.0</v>
      </c>
    </row>
    <row r="1916">
      <c r="A1916" s="5"/>
      <c r="B1916" s="5" t="s">
        <v>1043</v>
      </c>
      <c r="C1916" s="5"/>
      <c r="D1916" s="5">
        <v>0.0</v>
      </c>
    </row>
    <row r="1917">
      <c r="A1917" s="5"/>
      <c r="B1917" s="5" t="s">
        <v>1044</v>
      </c>
      <c r="C1917" s="5"/>
      <c r="D1917" s="5">
        <v>32.0</v>
      </c>
    </row>
    <row r="1918">
      <c r="A1918" s="5"/>
      <c r="B1918" s="5" t="s">
        <v>1045</v>
      </c>
      <c r="C1918" s="5"/>
      <c r="D1918" s="5">
        <v>53.0</v>
      </c>
    </row>
    <row r="1919">
      <c r="A1919" s="5"/>
      <c r="B1919" s="5" t="s">
        <v>1046</v>
      </c>
      <c r="C1919" s="5"/>
      <c r="D1919" s="5">
        <v>37.0</v>
      </c>
    </row>
    <row r="1920">
      <c r="A1920" s="5"/>
      <c r="B1920" s="5" t="s">
        <v>1047</v>
      </c>
      <c r="C1920" s="5"/>
      <c r="D1920" s="5">
        <v>0.0</v>
      </c>
    </row>
    <row r="1921">
      <c r="A1921" s="5"/>
      <c r="B1921" s="5" t="s">
        <v>1048</v>
      </c>
      <c r="C1921" s="5"/>
      <c r="D1921" s="5">
        <v>0.0</v>
      </c>
    </row>
    <row r="1922">
      <c r="A1922" s="5"/>
      <c r="B1922" s="5" t="s">
        <v>1049</v>
      </c>
      <c r="C1922" s="5"/>
      <c r="D1922" s="5">
        <v>0.0</v>
      </c>
    </row>
    <row r="1923">
      <c r="A1923" s="5"/>
      <c r="B1923" s="5" t="s">
        <v>1050</v>
      </c>
      <c r="C1923" s="5"/>
      <c r="D1923" s="5">
        <v>8.0</v>
      </c>
    </row>
    <row r="1924">
      <c r="A1924" s="5"/>
      <c r="B1924" s="5" t="s">
        <v>1051</v>
      </c>
      <c r="C1924" s="5"/>
      <c r="D1924" s="5">
        <v>0.0</v>
      </c>
    </row>
    <row r="1925">
      <c r="A1925" s="5"/>
      <c r="B1925" s="5" t="s">
        <v>1052</v>
      </c>
      <c r="C1925" s="5"/>
      <c r="D1925" s="5">
        <v>0.0</v>
      </c>
    </row>
    <row r="1926">
      <c r="A1926" s="5"/>
      <c r="B1926" s="5" t="s">
        <v>1053</v>
      </c>
      <c r="C1926" s="5"/>
      <c r="D1926" s="5">
        <v>70.0</v>
      </c>
    </row>
    <row r="1927">
      <c r="A1927" s="5"/>
      <c r="B1927" s="5" t="s">
        <v>1054</v>
      </c>
      <c r="C1927" s="5"/>
      <c r="D1927" s="5">
        <v>48.0</v>
      </c>
    </row>
    <row r="1928">
      <c r="A1928" s="5"/>
      <c r="B1928" s="5" t="s">
        <v>1055</v>
      </c>
      <c r="C1928" s="5"/>
      <c r="D1928" s="5">
        <v>0.0</v>
      </c>
    </row>
    <row r="1929">
      <c r="A1929" s="5"/>
      <c r="B1929" s="5" t="s">
        <v>1056</v>
      </c>
      <c r="C1929" s="5"/>
      <c r="D1929" s="5">
        <v>0.0</v>
      </c>
    </row>
    <row r="1930">
      <c r="A1930" s="5"/>
      <c r="B1930" s="5" t="s">
        <v>1057</v>
      </c>
      <c r="C1930" s="5"/>
      <c r="D1930" s="5">
        <v>20.0</v>
      </c>
    </row>
    <row r="1931">
      <c r="A1931" s="5"/>
      <c r="B1931" s="5" t="s">
        <v>1058</v>
      </c>
      <c r="C1931" s="5"/>
      <c r="D1931" s="5">
        <v>74.0</v>
      </c>
    </row>
    <row r="1932">
      <c r="A1932" s="5"/>
      <c r="B1932" s="5" t="s">
        <v>1059</v>
      </c>
      <c r="C1932" s="5"/>
      <c r="D1932" s="5">
        <v>97.0</v>
      </c>
    </row>
    <row r="1933">
      <c r="A1933" s="5"/>
      <c r="B1933" s="5" t="s">
        <v>1060</v>
      </c>
      <c r="C1933" s="5"/>
      <c r="D1933" s="5">
        <v>0.0</v>
      </c>
    </row>
    <row r="1934">
      <c r="A1934" s="5"/>
      <c r="B1934" s="5" t="s">
        <v>1061</v>
      </c>
      <c r="C1934" s="5"/>
      <c r="D1934" s="5">
        <v>0.0</v>
      </c>
    </row>
    <row r="1935">
      <c r="A1935" s="5"/>
      <c r="B1935" s="5" t="s">
        <v>1062</v>
      </c>
      <c r="C1935" s="5"/>
      <c r="D1935" s="5">
        <v>0.0</v>
      </c>
    </row>
    <row r="1936">
      <c r="A1936" s="5"/>
      <c r="B1936" s="5" t="s">
        <v>1063</v>
      </c>
      <c r="C1936" s="5"/>
      <c r="D1936" s="5">
        <v>84.0</v>
      </c>
    </row>
    <row r="1937">
      <c r="A1937" s="5"/>
      <c r="B1937" s="5" t="s">
        <v>1064</v>
      </c>
      <c r="C1937" s="5"/>
      <c r="D1937" s="5">
        <v>0.0</v>
      </c>
    </row>
    <row r="1938">
      <c r="A1938" s="5"/>
      <c r="B1938" s="5" t="s">
        <v>1065</v>
      </c>
      <c r="C1938" s="5"/>
      <c r="D1938" s="5">
        <v>26.0</v>
      </c>
    </row>
    <row r="1939">
      <c r="A1939" s="5"/>
      <c r="B1939" s="5" t="s">
        <v>1066</v>
      </c>
      <c r="C1939" s="5"/>
      <c r="D1939" s="5">
        <v>90.0</v>
      </c>
    </row>
    <row r="1940">
      <c r="A1940" s="5"/>
      <c r="B1940" s="5" t="s">
        <v>1067</v>
      </c>
      <c r="C1940" s="5"/>
      <c r="D1940" s="5">
        <v>0.0</v>
      </c>
    </row>
    <row r="1941">
      <c r="A1941" s="5"/>
      <c r="B1941" s="5" t="s">
        <v>1068</v>
      </c>
      <c r="C1941" s="5"/>
      <c r="D1941" s="5">
        <v>51.0</v>
      </c>
    </row>
    <row r="1942">
      <c r="A1942" s="5"/>
      <c r="B1942" s="5" t="s">
        <v>1069</v>
      </c>
      <c r="C1942" s="5"/>
      <c r="D1942" s="5">
        <v>0.0</v>
      </c>
    </row>
    <row r="1943">
      <c r="A1943" s="5"/>
      <c r="B1943" s="5" t="s">
        <v>1070</v>
      </c>
      <c r="C1943" s="5"/>
      <c r="D1943" s="5">
        <v>0.0</v>
      </c>
    </row>
    <row r="1944">
      <c r="A1944" s="5"/>
      <c r="B1944" s="5" t="s">
        <v>1071</v>
      </c>
      <c r="C1944" s="5"/>
      <c r="D1944" s="5">
        <v>0.0</v>
      </c>
    </row>
    <row r="1945">
      <c r="A1945" s="5"/>
      <c r="B1945" s="5" t="s">
        <v>1072</v>
      </c>
      <c r="C1945" s="5"/>
      <c r="D1945" s="5">
        <v>0.0</v>
      </c>
    </row>
    <row r="1946">
      <c r="A1946" s="5"/>
      <c r="B1946" s="5" t="s">
        <v>1073</v>
      </c>
      <c r="C1946" s="5"/>
      <c r="D1946" s="5">
        <v>0.0</v>
      </c>
    </row>
    <row r="1947">
      <c r="A1947" s="5"/>
      <c r="B1947" s="5" t="s">
        <v>1074</v>
      </c>
      <c r="C1947" s="5"/>
      <c r="D1947" s="5">
        <v>61.0</v>
      </c>
    </row>
    <row r="1948">
      <c r="A1948" s="5"/>
      <c r="B1948" s="5" t="s">
        <v>1075</v>
      </c>
      <c r="C1948" s="5"/>
      <c r="D1948" s="5">
        <v>0.0</v>
      </c>
    </row>
    <row r="1949">
      <c r="A1949" s="5"/>
      <c r="B1949" s="5" t="s">
        <v>1076</v>
      </c>
      <c r="C1949" s="5"/>
      <c r="D1949" s="5">
        <v>0.0</v>
      </c>
    </row>
    <row r="1950">
      <c r="A1950" s="5"/>
      <c r="B1950" s="5" t="s">
        <v>1077</v>
      </c>
      <c r="C1950" s="5"/>
      <c r="D1950" s="5">
        <v>0.0</v>
      </c>
    </row>
    <row r="1951">
      <c r="A1951" s="5"/>
      <c r="B1951" s="5" t="s">
        <v>1078</v>
      </c>
      <c r="C1951" s="5"/>
      <c r="D1951" s="5">
        <v>0.0</v>
      </c>
    </row>
    <row r="1952">
      <c r="A1952" s="5"/>
      <c r="B1952" s="5" t="s">
        <v>1079</v>
      </c>
      <c r="C1952" s="5"/>
      <c r="D1952" s="5">
        <v>0.0</v>
      </c>
    </row>
    <row r="1953">
      <c r="A1953" s="5"/>
      <c r="B1953" s="5" t="s">
        <v>1080</v>
      </c>
      <c r="C1953" s="5"/>
      <c r="D1953" s="5">
        <v>0.0</v>
      </c>
    </row>
    <row r="1954">
      <c r="A1954" s="5"/>
      <c r="B1954" s="5" t="s">
        <v>1081</v>
      </c>
      <c r="C1954" s="5"/>
      <c r="D1954" s="5">
        <v>0.0</v>
      </c>
    </row>
    <row r="1955">
      <c r="A1955" s="5"/>
      <c r="B1955" s="5" t="s">
        <v>1082</v>
      </c>
      <c r="C1955" s="5"/>
      <c r="D1955" s="5" t="s">
        <v>1083</v>
      </c>
      <c r="E1955" s="5">
        <v>0.0</v>
      </c>
    </row>
    <row r="1956">
      <c r="A1956" s="5"/>
      <c r="B1956" s="5" t="s">
        <v>1084</v>
      </c>
      <c r="C1956" s="5"/>
      <c r="D1956" s="5">
        <v>0.0</v>
      </c>
    </row>
    <row r="1957">
      <c r="A1957" s="5"/>
      <c r="B1957" s="5" t="s">
        <v>1085</v>
      </c>
      <c r="C1957" s="5"/>
      <c r="D1957" s="5">
        <v>0.0</v>
      </c>
    </row>
    <row r="1958">
      <c r="A1958" s="5"/>
      <c r="B1958" s="5" t="s">
        <v>1086</v>
      </c>
      <c r="C1958" s="5"/>
      <c r="D1958" s="5">
        <v>2.0</v>
      </c>
    </row>
    <row r="1959">
      <c r="A1959" s="5"/>
      <c r="B1959" s="5" t="s">
        <v>1087</v>
      </c>
      <c r="C1959" s="5"/>
      <c r="D1959" s="5">
        <v>0.0</v>
      </c>
    </row>
    <row r="1960">
      <c r="A1960" s="5"/>
      <c r="B1960" s="5" t="s">
        <v>1088</v>
      </c>
      <c r="C1960" s="5"/>
      <c r="D1960" s="5" t="s">
        <v>1089</v>
      </c>
      <c r="E1960" s="5" t="s">
        <v>1090</v>
      </c>
      <c r="F1960" s="5">
        <v>0.0</v>
      </c>
    </row>
    <row r="1961">
      <c r="A1961" s="5"/>
      <c r="B1961" s="5" t="s">
        <v>1091</v>
      </c>
      <c r="C1961" s="5"/>
      <c r="D1961" s="5">
        <v>0.0</v>
      </c>
    </row>
    <row r="1962">
      <c r="A1962" s="5"/>
      <c r="B1962" s="5" t="s">
        <v>1092</v>
      </c>
      <c r="C1962" s="5"/>
      <c r="D1962" s="5">
        <v>0.0</v>
      </c>
    </row>
    <row r="1963">
      <c r="A1963" s="5"/>
      <c r="B1963" s="5" t="s">
        <v>1093</v>
      </c>
      <c r="C1963" s="5"/>
      <c r="D1963" s="5">
        <v>0.0</v>
      </c>
    </row>
    <row r="1964">
      <c r="A1964" s="5"/>
      <c r="B1964" s="5" t="s">
        <v>1094</v>
      </c>
      <c r="C1964" s="5"/>
      <c r="D1964" s="5">
        <v>0.0</v>
      </c>
    </row>
    <row r="1965">
      <c r="A1965" s="5"/>
      <c r="B1965" s="5" t="s">
        <v>1095</v>
      </c>
      <c r="C1965" s="5"/>
      <c r="D1965" s="5" t="s">
        <v>1096</v>
      </c>
      <c r="E1965" s="5">
        <v>18.0</v>
      </c>
    </row>
    <row r="1966">
      <c r="A1966" s="5"/>
      <c r="B1966" s="5" t="s">
        <v>1097</v>
      </c>
      <c r="C1966" s="5"/>
      <c r="D1966" s="5">
        <v>59.0</v>
      </c>
    </row>
    <row r="1967">
      <c r="A1967" s="5"/>
      <c r="B1967" s="5" t="s">
        <v>1098</v>
      </c>
      <c r="C1967" s="5"/>
      <c r="D1967" s="5">
        <v>70.0</v>
      </c>
    </row>
    <row r="1968">
      <c r="A1968" s="5"/>
      <c r="B1968" s="5" t="s">
        <v>1099</v>
      </c>
      <c r="C1968" s="5"/>
      <c r="D1968" s="5">
        <v>78.0</v>
      </c>
    </row>
    <row r="1969">
      <c r="A1969" s="5"/>
      <c r="B1969" s="5" t="s">
        <v>1100</v>
      </c>
      <c r="C1969" s="5"/>
      <c r="D1969" s="5">
        <v>11.0</v>
      </c>
    </row>
    <row r="1970">
      <c r="A1970" s="5"/>
      <c r="B1970" s="5" t="s">
        <v>1101</v>
      </c>
      <c r="C1970" s="5"/>
      <c r="D1970" s="5">
        <v>44.0</v>
      </c>
    </row>
    <row r="1971">
      <c r="A1971" s="5"/>
      <c r="B1971" s="5" t="s">
        <v>1102</v>
      </c>
      <c r="C1971" s="5"/>
      <c r="D1971" s="5">
        <v>10.0</v>
      </c>
    </row>
    <row r="1972">
      <c r="A1972" s="5"/>
      <c r="B1972" s="5" t="s">
        <v>1103</v>
      </c>
      <c r="C1972" s="5"/>
      <c r="D1972" s="5">
        <v>0.0</v>
      </c>
    </row>
    <row r="1973">
      <c r="A1973" s="5"/>
      <c r="B1973" s="5" t="s">
        <v>1104</v>
      </c>
      <c r="C1973" s="5"/>
      <c r="D1973" s="5">
        <v>0.0</v>
      </c>
    </row>
    <row r="1974">
      <c r="A1974" s="5"/>
      <c r="B1974" s="5" t="s">
        <v>1105</v>
      </c>
      <c r="C1974" s="5"/>
      <c r="D1974" s="5">
        <v>0.0</v>
      </c>
    </row>
    <row r="1975">
      <c r="A1975" s="5"/>
      <c r="B1975" s="5" t="s">
        <v>1106</v>
      </c>
      <c r="C1975" s="5"/>
      <c r="D1975" s="5">
        <v>32.0</v>
      </c>
    </row>
    <row r="1976">
      <c r="A1976" s="5"/>
      <c r="B1976" s="5" t="s">
        <v>1107</v>
      </c>
      <c r="C1976" s="5"/>
      <c r="D1976" s="5" t="s">
        <v>1108</v>
      </c>
      <c r="E1976" s="5">
        <v>12.0</v>
      </c>
    </row>
    <row r="1977">
      <c r="A1977" s="5"/>
      <c r="B1977" s="5" t="s">
        <v>1109</v>
      </c>
      <c r="C1977" s="5"/>
      <c r="D1977" s="5">
        <v>13.0</v>
      </c>
    </row>
    <row r="1978">
      <c r="A1978" s="5"/>
      <c r="B1978" s="5" t="s">
        <v>1110</v>
      </c>
      <c r="C1978" s="5"/>
      <c r="D1978" s="5">
        <v>40.0</v>
      </c>
    </row>
    <row r="1979">
      <c r="A1979" s="5"/>
      <c r="B1979" s="5" t="s">
        <v>1111</v>
      </c>
      <c r="C1979" s="5"/>
      <c r="D1979" s="5">
        <v>0.0</v>
      </c>
    </row>
    <row r="1980">
      <c r="A1980" s="5"/>
      <c r="B1980" s="5" t="s">
        <v>1112</v>
      </c>
      <c r="C1980" s="5"/>
      <c r="D1980" s="5">
        <v>0.0</v>
      </c>
    </row>
    <row r="1981">
      <c r="A1981" s="5"/>
      <c r="B1981" s="5" t="s">
        <v>1113</v>
      </c>
      <c r="C1981" s="5"/>
      <c r="D1981" s="5">
        <v>0.0</v>
      </c>
    </row>
    <row r="1982">
      <c r="A1982" s="5"/>
      <c r="B1982" s="5" t="s">
        <v>1114</v>
      </c>
      <c r="C1982" s="5"/>
      <c r="D1982" s="5">
        <v>0.0</v>
      </c>
    </row>
    <row r="1983">
      <c r="A1983" s="5"/>
      <c r="B1983" s="5" t="s">
        <v>1115</v>
      </c>
      <c r="C1983" s="5"/>
      <c r="D1983" s="5">
        <v>0.0</v>
      </c>
    </row>
    <row r="1984">
      <c r="A1984" s="5"/>
      <c r="B1984" s="5" t="s">
        <v>1116</v>
      </c>
      <c r="C1984" s="5"/>
      <c r="D1984" s="5">
        <v>0.0</v>
      </c>
    </row>
    <row r="1985">
      <c r="A1985" s="5"/>
      <c r="B1985" s="5" t="s">
        <v>1117</v>
      </c>
      <c r="C1985" s="5"/>
      <c r="D1985" s="5">
        <v>0.0</v>
      </c>
    </row>
    <row r="1986">
      <c r="A1986" s="5"/>
      <c r="B1986" s="5" t="s">
        <v>1118</v>
      </c>
      <c r="C1986" s="5"/>
      <c r="D1986" s="5">
        <v>0.0</v>
      </c>
    </row>
    <row r="1987">
      <c r="A1987" s="5"/>
      <c r="B1987" s="5" t="s">
        <v>1119</v>
      </c>
      <c r="C1987" s="5"/>
      <c r="D1987" s="5">
        <v>12.0</v>
      </c>
    </row>
    <row r="1988">
      <c r="A1988" s="5"/>
      <c r="B1988" s="5" t="s">
        <v>1120</v>
      </c>
      <c r="C1988" s="5"/>
      <c r="D1988" s="5">
        <v>0.0</v>
      </c>
    </row>
    <row r="1989">
      <c r="A1989" s="5"/>
      <c r="B1989" s="5" t="s">
        <v>1121</v>
      </c>
      <c r="C1989" s="5"/>
      <c r="D1989" s="5">
        <v>0.0</v>
      </c>
    </row>
    <row r="1990">
      <c r="A1990" s="5"/>
      <c r="B1990" s="5" t="s">
        <v>1122</v>
      </c>
      <c r="C1990" s="5"/>
      <c r="D1990" s="5">
        <v>0.0</v>
      </c>
    </row>
    <row r="1991">
      <c r="A1991" s="5"/>
      <c r="B1991" s="5" t="s">
        <v>1123</v>
      </c>
      <c r="C1991" s="5"/>
      <c r="D1991" s="5">
        <v>22.0</v>
      </c>
    </row>
    <row r="1992">
      <c r="A1992" s="5"/>
      <c r="B1992" s="5" t="s">
        <v>1124</v>
      </c>
      <c r="C1992" s="5"/>
      <c r="D1992" s="5">
        <v>60.0</v>
      </c>
    </row>
    <row r="1993">
      <c r="A1993" s="5"/>
      <c r="B1993" s="5" t="s">
        <v>1125</v>
      </c>
      <c r="C1993" s="5"/>
      <c r="D1993" s="5">
        <v>0.0</v>
      </c>
    </row>
    <row r="1994">
      <c r="A1994" s="5"/>
      <c r="B1994" s="5" t="s">
        <v>1126</v>
      </c>
      <c r="C1994" s="5"/>
      <c r="D1994" s="5">
        <v>60.0</v>
      </c>
    </row>
    <row r="1995">
      <c r="A1995" s="5"/>
      <c r="B1995" s="5" t="s">
        <v>1127</v>
      </c>
      <c r="C1995" s="5"/>
      <c r="D1995" s="5">
        <v>0.0</v>
      </c>
    </row>
    <row r="1996">
      <c r="A1996" s="5"/>
      <c r="B1996" s="5" t="s">
        <v>1128</v>
      </c>
      <c r="C1996" s="5"/>
      <c r="D1996" s="5">
        <v>80.0</v>
      </c>
    </row>
    <row r="1997">
      <c r="A1997" s="5"/>
      <c r="B1997" s="5" t="s">
        <v>1129</v>
      </c>
      <c r="C1997" s="5"/>
      <c r="D1997" s="5">
        <v>0.0</v>
      </c>
    </row>
    <row r="1998">
      <c r="A1998" s="5"/>
      <c r="B1998" s="5" t="s">
        <v>1130</v>
      </c>
      <c r="C1998" s="5"/>
      <c r="D1998" s="5">
        <v>0.0</v>
      </c>
    </row>
    <row r="1999">
      <c r="A1999" s="5"/>
      <c r="B1999" s="5" t="s">
        <v>1131</v>
      </c>
      <c r="C1999" s="5"/>
      <c r="D1999" s="5">
        <v>0.0</v>
      </c>
    </row>
    <row r="2000">
      <c r="A2000" s="5"/>
      <c r="B2000" s="5" t="s">
        <v>1132</v>
      </c>
      <c r="C2000" s="5"/>
      <c r="D2000" s="5">
        <v>0.0</v>
      </c>
    </row>
    <row r="2001">
      <c r="A2001" s="5"/>
      <c r="B2001" s="5" t="s">
        <v>1133</v>
      </c>
      <c r="C2001" s="5"/>
      <c r="D2001" s="5">
        <v>0.0</v>
      </c>
    </row>
    <row r="2002">
      <c r="A2002" s="5"/>
      <c r="B2002" s="5" t="s">
        <v>1134</v>
      </c>
      <c r="C2002" s="5"/>
      <c r="D2002" s="5">
        <v>0.0</v>
      </c>
    </row>
    <row r="2003">
      <c r="A2003" s="5"/>
      <c r="B2003" s="5" t="s">
        <v>1135</v>
      </c>
      <c r="C2003" s="5"/>
      <c r="D2003" s="5">
        <v>0.0</v>
      </c>
    </row>
    <row r="2004">
      <c r="A2004" s="5"/>
      <c r="B2004" s="5" t="s">
        <v>1136</v>
      </c>
      <c r="C2004" s="5"/>
      <c r="D2004" s="5">
        <v>0.0</v>
      </c>
    </row>
    <row r="2005">
      <c r="A2005" s="5"/>
      <c r="B2005" s="5" t="s">
        <v>1137</v>
      </c>
      <c r="C2005" s="5"/>
      <c r="D2005" s="5">
        <v>0.0</v>
      </c>
    </row>
    <row r="2006">
      <c r="A2006" s="5"/>
      <c r="B2006" s="5" t="s">
        <v>1138</v>
      </c>
      <c r="C2006" s="5"/>
      <c r="D2006" s="5">
        <v>0.0</v>
      </c>
    </row>
    <row r="2007">
      <c r="A2007" s="5"/>
      <c r="B2007" s="5" t="s">
        <v>1139</v>
      </c>
      <c r="C2007" s="5"/>
      <c r="D2007" s="5">
        <v>0.0</v>
      </c>
    </row>
    <row r="2008">
      <c r="A2008" s="5"/>
      <c r="B2008" s="5" t="s">
        <v>1140</v>
      </c>
      <c r="C2008" s="5"/>
      <c r="D2008" s="5">
        <v>0.0</v>
      </c>
    </row>
    <row r="2009">
      <c r="A2009" s="5"/>
      <c r="B2009" s="5" t="s">
        <v>1141</v>
      </c>
      <c r="C2009" s="5"/>
      <c r="D2009" s="5">
        <v>92.0</v>
      </c>
    </row>
    <row r="2010">
      <c r="A2010" s="5"/>
      <c r="B2010" s="5" t="s">
        <v>1142</v>
      </c>
      <c r="C2010" s="5"/>
      <c r="D2010" s="5">
        <v>0.0</v>
      </c>
    </row>
    <row r="2011">
      <c r="A2011" s="5"/>
      <c r="B2011" s="5" t="s">
        <v>1143</v>
      </c>
      <c r="C2011" s="5"/>
      <c r="D2011" s="5">
        <v>70.0</v>
      </c>
    </row>
    <row r="2012">
      <c r="A2012" s="5"/>
      <c r="B2012" s="5" t="s">
        <v>1144</v>
      </c>
      <c r="C2012" s="5"/>
      <c r="D2012" s="5">
        <v>0.0</v>
      </c>
    </row>
    <row r="2013">
      <c r="A2013" s="5"/>
      <c r="B2013" s="5" t="s">
        <v>1145</v>
      </c>
      <c r="C2013" s="5"/>
      <c r="D2013" s="5">
        <v>0.0</v>
      </c>
    </row>
    <row r="2014">
      <c r="A2014" s="5"/>
      <c r="B2014" s="5" t="s">
        <v>1146</v>
      </c>
      <c r="C2014" s="5"/>
      <c r="D2014" s="5">
        <v>0.0</v>
      </c>
    </row>
    <row r="2015">
      <c r="A2015" s="5"/>
      <c r="B2015" s="5" t="s">
        <v>1147</v>
      </c>
      <c r="C2015" s="5"/>
      <c r="D2015" s="5">
        <v>0.0</v>
      </c>
    </row>
    <row r="2016">
      <c r="A2016" s="5"/>
      <c r="B2016" s="5" t="s">
        <v>1148</v>
      </c>
      <c r="C2016" s="5"/>
      <c r="D2016" s="5">
        <v>0.0</v>
      </c>
    </row>
    <row r="2017">
      <c r="A2017" s="5"/>
      <c r="B2017" s="5" t="s">
        <v>1149</v>
      </c>
      <c r="C2017" s="5"/>
      <c r="D2017" s="5">
        <v>0.0</v>
      </c>
    </row>
    <row r="2018">
      <c r="A2018" s="5"/>
      <c r="B2018" s="5" t="s">
        <v>1150</v>
      </c>
      <c r="C2018" s="5"/>
      <c r="D2018" s="5">
        <v>0.0</v>
      </c>
    </row>
    <row r="2019">
      <c r="A2019" s="5"/>
      <c r="B2019" s="5" t="s">
        <v>1151</v>
      </c>
      <c r="C2019" s="5"/>
      <c r="D2019" s="5">
        <v>0.0</v>
      </c>
    </row>
    <row r="2020">
      <c r="A2020" s="5"/>
      <c r="B2020" s="5" t="s">
        <v>1152</v>
      </c>
      <c r="C2020" s="5"/>
      <c r="D2020" s="5">
        <v>0.0</v>
      </c>
    </row>
    <row r="2021">
      <c r="A2021" s="5"/>
      <c r="B2021" s="5" t="s">
        <v>1079</v>
      </c>
      <c r="C2021" s="5"/>
      <c r="D2021" s="5">
        <v>0.0</v>
      </c>
    </row>
    <row r="2022">
      <c r="A2022" s="5"/>
      <c r="B2022" s="5" t="s">
        <v>1080</v>
      </c>
      <c r="C2022" s="5"/>
      <c r="D2022" s="5">
        <v>0.0</v>
      </c>
    </row>
    <row r="2023">
      <c r="A2023" s="5"/>
      <c r="B2023" s="5" t="s">
        <v>1081</v>
      </c>
      <c r="C2023" s="5"/>
      <c r="D2023" s="5">
        <v>0.0</v>
      </c>
    </row>
    <row r="2024">
      <c r="A2024" s="5"/>
      <c r="B2024" s="5" t="s">
        <v>1082</v>
      </c>
      <c r="C2024" s="5"/>
      <c r="D2024" s="5" t="s">
        <v>1083</v>
      </c>
      <c r="E2024" s="5">
        <v>0.0</v>
      </c>
    </row>
    <row r="2025">
      <c r="A2025" s="5"/>
      <c r="B2025" s="5" t="s">
        <v>1084</v>
      </c>
      <c r="C2025" s="5"/>
      <c r="D2025" s="5">
        <v>0.0</v>
      </c>
    </row>
    <row r="2026">
      <c r="A2026" s="5"/>
      <c r="B2026" s="5" t="s">
        <v>1085</v>
      </c>
      <c r="C2026" s="5"/>
      <c r="D2026" s="5">
        <v>0.0</v>
      </c>
    </row>
    <row r="2027">
      <c r="A2027" s="5"/>
      <c r="B2027" s="5" t="s">
        <v>1086</v>
      </c>
      <c r="C2027" s="5"/>
      <c r="D2027" s="5">
        <v>2.0</v>
      </c>
    </row>
    <row r="2028">
      <c r="A2028" s="5"/>
      <c r="B2028" s="5" t="s">
        <v>1087</v>
      </c>
      <c r="C2028" s="5"/>
      <c r="D2028" s="5">
        <v>0.0</v>
      </c>
    </row>
    <row r="2029">
      <c r="A2029" s="5"/>
      <c r="B2029" s="5" t="s">
        <v>1088</v>
      </c>
      <c r="C2029" s="5"/>
      <c r="D2029" s="5" t="s">
        <v>1089</v>
      </c>
      <c r="E2029" s="5" t="s">
        <v>1090</v>
      </c>
      <c r="F2029" s="5">
        <v>0.0</v>
      </c>
    </row>
    <row r="2030">
      <c r="A2030" s="5"/>
      <c r="B2030" s="5" t="s">
        <v>1091</v>
      </c>
      <c r="C2030" s="5"/>
      <c r="D2030" s="5">
        <v>0.0</v>
      </c>
    </row>
    <row r="2031">
      <c r="A2031" s="5"/>
      <c r="B2031" s="5" t="s">
        <v>1092</v>
      </c>
      <c r="C2031" s="5"/>
      <c r="D2031" s="5">
        <v>0.0</v>
      </c>
    </row>
    <row r="2032">
      <c r="A2032" s="5"/>
      <c r="B2032" s="5" t="s">
        <v>1093</v>
      </c>
      <c r="C2032" s="5"/>
      <c r="D2032" s="5">
        <v>0.0</v>
      </c>
    </row>
    <row r="2033">
      <c r="A2033" s="5"/>
      <c r="B2033" s="5" t="s">
        <v>1094</v>
      </c>
      <c r="C2033" s="5"/>
      <c r="D2033" s="5">
        <v>0.0</v>
      </c>
    </row>
    <row r="2034">
      <c r="A2034" s="5"/>
      <c r="B2034" s="5" t="s">
        <v>1095</v>
      </c>
      <c r="C2034" s="5"/>
      <c r="D2034" s="5" t="s">
        <v>1096</v>
      </c>
      <c r="E2034" s="5">
        <v>18.0</v>
      </c>
    </row>
    <row r="2035">
      <c r="A2035" s="5"/>
      <c r="B2035" s="5" t="s">
        <v>1097</v>
      </c>
      <c r="C2035" s="5"/>
      <c r="D2035" s="5">
        <v>59.0</v>
      </c>
    </row>
    <row r="2036">
      <c r="A2036" s="5"/>
      <c r="B2036" s="5" t="s">
        <v>1098</v>
      </c>
      <c r="C2036" s="5"/>
      <c r="D2036" s="5">
        <v>70.0</v>
      </c>
    </row>
    <row r="2037">
      <c r="A2037" s="5"/>
      <c r="B2037" s="5" t="s">
        <v>1099</v>
      </c>
      <c r="C2037" s="5"/>
      <c r="D2037" s="5">
        <v>78.0</v>
      </c>
    </row>
    <row r="2038">
      <c r="A2038" s="5"/>
      <c r="B2038" s="5" t="s">
        <v>1100</v>
      </c>
      <c r="C2038" s="5"/>
      <c r="D2038" s="5">
        <v>11.0</v>
      </c>
    </row>
    <row r="2039">
      <c r="A2039" s="5"/>
      <c r="B2039" s="5" t="s">
        <v>1101</v>
      </c>
      <c r="C2039" s="5"/>
      <c r="D2039" s="5">
        <v>44.0</v>
      </c>
    </row>
    <row r="2040">
      <c r="A2040" s="5"/>
      <c r="B2040" s="5" t="s">
        <v>1102</v>
      </c>
      <c r="C2040" s="5"/>
      <c r="D2040" s="5">
        <v>10.0</v>
      </c>
    </row>
    <row r="2041">
      <c r="A2041" s="5"/>
      <c r="B2041" s="5" t="s">
        <v>1103</v>
      </c>
      <c r="C2041" s="5"/>
      <c r="D2041" s="5">
        <v>0.0</v>
      </c>
    </row>
    <row r="2042">
      <c r="A2042" s="5"/>
      <c r="B2042" s="5" t="s">
        <v>1104</v>
      </c>
      <c r="C2042" s="5"/>
      <c r="D2042" s="5">
        <v>0.0</v>
      </c>
    </row>
    <row r="2043">
      <c r="A2043" s="5"/>
      <c r="B2043" s="5" t="s">
        <v>1105</v>
      </c>
      <c r="C2043" s="5"/>
      <c r="D2043" s="5">
        <v>0.0</v>
      </c>
    </row>
    <row r="2044">
      <c r="A2044" s="5"/>
      <c r="B2044" s="5" t="s">
        <v>1106</v>
      </c>
      <c r="C2044" s="5"/>
      <c r="D2044" s="5">
        <v>32.0</v>
      </c>
    </row>
    <row r="2045">
      <c r="A2045" s="5"/>
      <c r="B2045" s="5" t="s">
        <v>1107</v>
      </c>
      <c r="C2045" s="5"/>
      <c r="D2045" s="5" t="s">
        <v>1108</v>
      </c>
      <c r="E2045" s="5">
        <v>12.0</v>
      </c>
    </row>
    <row r="2046">
      <c r="A2046" s="5"/>
      <c r="B2046" s="5" t="s">
        <v>1109</v>
      </c>
      <c r="C2046" s="5"/>
      <c r="D2046" s="5">
        <v>13.0</v>
      </c>
    </row>
    <row r="2047">
      <c r="A2047" s="5"/>
      <c r="B2047" s="5" t="s">
        <v>1110</v>
      </c>
      <c r="C2047" s="5"/>
      <c r="D2047" s="5">
        <v>40.0</v>
      </c>
    </row>
    <row r="2048">
      <c r="A2048" s="5"/>
      <c r="B2048" s="5" t="s">
        <v>1111</v>
      </c>
      <c r="C2048" s="5"/>
      <c r="D2048" s="5">
        <v>0.0</v>
      </c>
    </row>
    <row r="2049">
      <c r="A2049" s="5"/>
      <c r="B2049" s="5" t="s">
        <v>1112</v>
      </c>
      <c r="C2049" s="5"/>
      <c r="D2049" s="5">
        <v>0.0</v>
      </c>
    </row>
    <row r="2050">
      <c r="A2050" s="5"/>
      <c r="B2050" s="5" t="s">
        <v>1113</v>
      </c>
      <c r="C2050" s="5"/>
      <c r="D2050" s="5">
        <v>0.0</v>
      </c>
    </row>
    <row r="2051">
      <c r="A2051" s="5"/>
      <c r="B2051" s="5" t="s">
        <v>1114</v>
      </c>
      <c r="C2051" s="5"/>
      <c r="D2051" s="5">
        <v>0.0</v>
      </c>
    </row>
    <row r="2052">
      <c r="A2052" s="5"/>
      <c r="B2052" s="5" t="s">
        <v>1115</v>
      </c>
      <c r="C2052" s="5"/>
      <c r="D2052" s="5">
        <v>0.0</v>
      </c>
    </row>
    <row r="2053">
      <c r="A2053" s="5"/>
      <c r="B2053" s="5" t="s">
        <v>1116</v>
      </c>
      <c r="C2053" s="5"/>
      <c r="D2053" s="5">
        <v>0.0</v>
      </c>
    </row>
    <row r="2054">
      <c r="A2054" s="5"/>
      <c r="B2054" s="5" t="s">
        <v>1117</v>
      </c>
      <c r="C2054" s="5"/>
      <c r="D2054" s="5">
        <v>0.0</v>
      </c>
    </row>
    <row r="2055">
      <c r="A2055" s="5"/>
      <c r="B2055" s="5" t="s">
        <v>1118</v>
      </c>
      <c r="C2055" s="5"/>
      <c r="D2055" s="5">
        <v>0.0</v>
      </c>
    </row>
    <row r="2056">
      <c r="A2056" s="5"/>
      <c r="B2056" s="5" t="s">
        <v>1119</v>
      </c>
      <c r="C2056" s="5"/>
      <c r="D2056" s="5">
        <v>12.0</v>
      </c>
    </row>
    <row r="2057">
      <c r="A2057" s="5"/>
      <c r="B2057" s="5" t="s">
        <v>1120</v>
      </c>
      <c r="C2057" s="5"/>
      <c r="D2057" s="5">
        <v>0.0</v>
      </c>
    </row>
    <row r="2058">
      <c r="A2058" s="5"/>
      <c r="B2058" s="5" t="s">
        <v>1121</v>
      </c>
      <c r="C2058" s="5"/>
      <c r="D2058" s="5">
        <v>0.0</v>
      </c>
    </row>
    <row r="2059">
      <c r="A2059" s="5"/>
      <c r="B2059" s="5" t="s">
        <v>1122</v>
      </c>
      <c r="C2059" s="5"/>
      <c r="D2059" s="5">
        <v>0.0</v>
      </c>
    </row>
    <row r="2060">
      <c r="A2060" s="5"/>
      <c r="B2060" s="5" t="s">
        <v>1123</v>
      </c>
      <c r="C2060" s="5"/>
      <c r="D2060" s="5">
        <v>22.0</v>
      </c>
    </row>
    <row r="2061">
      <c r="A2061" s="5"/>
      <c r="B2061" s="5" t="s">
        <v>1124</v>
      </c>
      <c r="C2061" s="5"/>
      <c r="D2061" s="5">
        <v>60.0</v>
      </c>
    </row>
    <row r="2062">
      <c r="A2062" s="5"/>
      <c r="B2062" s="5" t="s">
        <v>1125</v>
      </c>
      <c r="C2062" s="5"/>
      <c r="D2062" s="5">
        <v>0.0</v>
      </c>
    </row>
    <row r="2063">
      <c r="A2063" s="5"/>
      <c r="B2063" s="5" t="s">
        <v>1126</v>
      </c>
      <c r="C2063" s="5"/>
      <c r="D2063" s="5">
        <v>60.0</v>
      </c>
    </row>
    <row r="2064">
      <c r="A2064" s="5"/>
      <c r="B2064" s="5" t="s">
        <v>1127</v>
      </c>
      <c r="C2064" s="5"/>
      <c r="D2064" s="5">
        <v>0.0</v>
      </c>
    </row>
    <row r="2065">
      <c r="A2065" s="5"/>
      <c r="B2065" s="5" t="s">
        <v>1128</v>
      </c>
      <c r="C2065" s="5"/>
      <c r="D2065" s="5">
        <v>80.0</v>
      </c>
    </row>
    <row r="2066">
      <c r="A2066" s="5"/>
      <c r="B2066" s="5" t="s">
        <v>1129</v>
      </c>
      <c r="C2066" s="5"/>
      <c r="D2066" s="5">
        <v>0.0</v>
      </c>
    </row>
    <row r="2067">
      <c r="A2067" s="5"/>
      <c r="B2067" s="5" t="s">
        <v>1130</v>
      </c>
      <c r="C2067" s="5"/>
      <c r="D2067" s="5">
        <v>0.0</v>
      </c>
    </row>
    <row r="2068">
      <c r="A2068" s="5"/>
      <c r="B2068" s="5" t="s">
        <v>1131</v>
      </c>
      <c r="C2068" s="5"/>
      <c r="D2068" s="5">
        <v>0.0</v>
      </c>
    </row>
    <row r="2069">
      <c r="A2069" s="5"/>
      <c r="B2069" s="5" t="s">
        <v>1132</v>
      </c>
      <c r="C2069" s="5"/>
      <c r="D2069" s="5">
        <v>0.0</v>
      </c>
    </row>
    <row r="2070">
      <c r="A2070" s="5"/>
      <c r="B2070" s="5" t="s">
        <v>1133</v>
      </c>
      <c r="C2070" s="5"/>
      <c r="D2070" s="5">
        <v>0.0</v>
      </c>
    </row>
    <row r="2071">
      <c r="A2071" s="5"/>
      <c r="B2071" s="5" t="s">
        <v>1134</v>
      </c>
      <c r="C2071" s="5"/>
      <c r="D2071" s="5">
        <v>0.0</v>
      </c>
    </row>
    <row r="2072">
      <c r="A2072" s="5"/>
      <c r="B2072" s="5" t="s">
        <v>1135</v>
      </c>
      <c r="C2072" s="5"/>
      <c r="D2072" s="5">
        <v>0.0</v>
      </c>
    </row>
    <row r="2073">
      <c r="A2073" s="5"/>
      <c r="B2073" s="5" t="s">
        <v>1136</v>
      </c>
      <c r="C2073" s="5"/>
      <c r="D2073" s="5">
        <v>0.0</v>
      </c>
    </row>
    <row r="2074">
      <c r="A2074" s="5"/>
      <c r="B2074" s="5" t="s">
        <v>1137</v>
      </c>
      <c r="C2074" s="5"/>
      <c r="D2074" s="5">
        <v>0.0</v>
      </c>
    </row>
    <row r="2075">
      <c r="A2075" s="5"/>
      <c r="B2075" s="5" t="s">
        <v>1138</v>
      </c>
      <c r="C2075" s="5"/>
      <c r="D2075" s="5">
        <v>0.0</v>
      </c>
    </row>
    <row r="2076">
      <c r="A2076" s="5"/>
      <c r="B2076" s="5" t="s">
        <v>1139</v>
      </c>
      <c r="C2076" s="5"/>
      <c r="D2076" s="5">
        <v>0.0</v>
      </c>
    </row>
    <row r="2077">
      <c r="A2077" s="5"/>
      <c r="B2077" s="5" t="s">
        <v>1140</v>
      </c>
      <c r="C2077" s="5"/>
      <c r="D2077" s="5">
        <v>0.0</v>
      </c>
    </row>
    <row r="2078">
      <c r="A2078" s="5"/>
      <c r="B2078" s="5" t="s">
        <v>1141</v>
      </c>
      <c r="C2078" s="5"/>
      <c r="D2078" s="5">
        <v>92.0</v>
      </c>
    </row>
    <row r="2079">
      <c r="A2079" s="5"/>
      <c r="B2079" s="5" t="s">
        <v>1142</v>
      </c>
      <c r="C2079" s="5"/>
      <c r="D2079" s="5">
        <v>0.0</v>
      </c>
    </row>
    <row r="2080">
      <c r="A2080" s="5"/>
      <c r="B2080" s="5" t="s">
        <v>1143</v>
      </c>
      <c r="C2080" s="5"/>
      <c r="D2080" s="5">
        <v>70.0</v>
      </c>
    </row>
    <row r="2081">
      <c r="A2081" s="5"/>
      <c r="B2081" s="5" t="s">
        <v>1144</v>
      </c>
      <c r="C2081" s="5"/>
      <c r="D2081" s="5">
        <v>0.0</v>
      </c>
    </row>
    <row r="2082">
      <c r="A2082" s="5"/>
      <c r="B2082" s="5" t="s">
        <v>1145</v>
      </c>
      <c r="C2082" s="5"/>
      <c r="D2082" s="5">
        <v>0.0</v>
      </c>
    </row>
    <row r="2083">
      <c r="A2083" s="5"/>
      <c r="B2083" s="5" t="s">
        <v>1146</v>
      </c>
      <c r="C2083" s="5"/>
      <c r="D2083" s="5">
        <v>0.0</v>
      </c>
    </row>
    <row r="2084">
      <c r="A2084" s="5"/>
      <c r="B2084" s="5" t="s">
        <v>1147</v>
      </c>
      <c r="C2084" s="5"/>
      <c r="D2084" s="5">
        <v>0.0</v>
      </c>
    </row>
    <row r="2085">
      <c r="A2085" s="5"/>
      <c r="B2085" s="5" t="s">
        <v>1148</v>
      </c>
      <c r="C2085" s="5"/>
      <c r="D2085" s="5">
        <v>0.0</v>
      </c>
    </row>
    <row r="2086">
      <c r="A2086" s="5"/>
      <c r="B2086" s="5" t="s">
        <v>1149</v>
      </c>
      <c r="C2086" s="5"/>
      <c r="D2086" s="5">
        <v>0.0</v>
      </c>
    </row>
    <row r="2087">
      <c r="A2087" s="5"/>
      <c r="B2087" s="5" t="s">
        <v>1150</v>
      </c>
      <c r="C2087" s="5"/>
      <c r="D2087" s="5">
        <v>0.0</v>
      </c>
    </row>
    <row r="2088">
      <c r="A2088" s="5"/>
      <c r="B2088" s="5" t="s">
        <v>1151</v>
      </c>
      <c r="C2088" s="5"/>
      <c r="D2088" s="5">
        <v>0.0</v>
      </c>
    </row>
    <row r="2089">
      <c r="A2089" s="5"/>
      <c r="B2089" s="5" t="s">
        <v>1152</v>
      </c>
      <c r="C2089" s="5"/>
      <c r="D2089" s="5">
        <v>0.0</v>
      </c>
    </row>
    <row r="2090">
      <c r="A2090" s="5"/>
      <c r="B2090" s="5" t="s">
        <v>1153</v>
      </c>
      <c r="C2090" s="5"/>
      <c r="D2090" s="5">
        <v>0.0</v>
      </c>
    </row>
    <row r="2091">
      <c r="A2091" s="5"/>
      <c r="B2091" s="5" t="s">
        <v>1154</v>
      </c>
      <c r="C2091" s="5"/>
      <c r="D2091" s="5">
        <v>84.0</v>
      </c>
    </row>
    <row r="2092">
      <c r="A2092" s="5"/>
      <c r="B2092" s="5" t="s">
        <v>1155</v>
      </c>
      <c r="C2092" s="5"/>
      <c r="D2092" s="5">
        <v>0.0</v>
      </c>
    </row>
    <row r="2093">
      <c r="A2093" s="5"/>
      <c r="B2093" s="5" t="s">
        <v>1156</v>
      </c>
      <c r="C2093" s="5"/>
      <c r="D2093" s="5">
        <v>65.0</v>
      </c>
    </row>
    <row r="2094">
      <c r="A2094" s="5"/>
      <c r="B2094" s="5" t="s">
        <v>1157</v>
      </c>
      <c r="C2094" s="5"/>
      <c r="D2094" s="5" t="s">
        <v>1158</v>
      </c>
      <c r="E2094" s="5">
        <v>0.0</v>
      </c>
    </row>
    <row r="2095">
      <c r="A2095" s="5"/>
      <c r="B2095" s="5" t="s">
        <v>1159</v>
      </c>
      <c r="C2095" s="5"/>
      <c r="D2095" s="5">
        <v>0.0</v>
      </c>
    </row>
    <row r="2096">
      <c r="A2096" s="5"/>
      <c r="B2096" s="5" t="s">
        <v>1160</v>
      </c>
      <c r="C2096" s="5"/>
      <c r="D2096" s="5">
        <v>74.0</v>
      </c>
    </row>
    <row r="2097">
      <c r="A2097" s="5"/>
      <c r="B2097" s="5" t="s">
        <v>1161</v>
      </c>
      <c r="C2097" s="5"/>
      <c r="D2097" s="5">
        <v>0.0</v>
      </c>
    </row>
    <row r="2098">
      <c r="A2098" s="5"/>
      <c r="B2098" s="5" t="s">
        <v>1162</v>
      </c>
      <c r="C2098" s="5"/>
      <c r="D2098" s="5">
        <v>20.0</v>
      </c>
    </row>
    <row r="2099">
      <c r="A2099" s="5"/>
      <c r="B2099" s="5" t="s">
        <v>1163</v>
      </c>
      <c r="C2099" s="5"/>
      <c r="D2099" s="5">
        <v>0.0</v>
      </c>
    </row>
    <row r="2100">
      <c r="A2100" s="5"/>
      <c r="B2100" s="5" t="s">
        <v>1164</v>
      </c>
      <c r="C2100" s="5"/>
      <c r="D2100" s="5">
        <v>0.0</v>
      </c>
    </row>
    <row r="2101">
      <c r="A2101" s="5"/>
      <c r="B2101" s="5" t="s">
        <v>1165</v>
      </c>
      <c r="C2101" s="5"/>
      <c r="D2101" s="5">
        <v>0.0</v>
      </c>
    </row>
    <row r="2102">
      <c r="A2102" s="5"/>
      <c r="B2102" s="5" t="s">
        <v>1166</v>
      </c>
      <c r="C2102" s="5"/>
      <c r="D2102" s="5">
        <v>80.0</v>
      </c>
    </row>
    <row r="2103">
      <c r="A2103" s="5"/>
      <c r="B2103" s="5" t="s">
        <v>1167</v>
      </c>
      <c r="C2103" s="5"/>
      <c r="D2103" s="5">
        <v>69.0</v>
      </c>
    </row>
    <row r="2104">
      <c r="A2104" s="5"/>
      <c r="B2104" s="5" t="s">
        <v>1168</v>
      </c>
      <c r="C2104" s="5"/>
      <c r="D2104" s="5">
        <v>85.0</v>
      </c>
    </row>
    <row r="2105">
      <c r="A2105" s="5"/>
      <c r="B2105" s="5" t="s">
        <v>1169</v>
      </c>
      <c r="C2105" s="5"/>
      <c r="D2105" s="5">
        <v>2.0</v>
      </c>
    </row>
    <row r="2106">
      <c r="A2106" s="5"/>
      <c r="B2106" s="5" t="s">
        <v>1170</v>
      </c>
      <c r="C2106" s="5"/>
      <c r="D2106" s="5">
        <v>66.0</v>
      </c>
    </row>
    <row r="2107">
      <c r="A2107" s="5"/>
      <c r="B2107" s="5" t="s">
        <v>1171</v>
      </c>
      <c r="C2107" s="5"/>
      <c r="D2107" s="5">
        <v>0.0</v>
      </c>
    </row>
    <row r="2108">
      <c r="A2108" s="5"/>
      <c r="B2108" s="5" t="s">
        <v>1172</v>
      </c>
      <c r="C2108" s="5"/>
      <c r="D2108" s="5">
        <v>89.0</v>
      </c>
    </row>
    <row r="2109">
      <c r="A2109" s="5"/>
      <c r="B2109" s="5" t="s">
        <v>1173</v>
      </c>
      <c r="C2109" s="5"/>
      <c r="D2109" s="5">
        <v>50.0</v>
      </c>
    </row>
    <row r="2110">
      <c r="A2110" s="5"/>
      <c r="B2110" s="5" t="s">
        <v>1174</v>
      </c>
      <c r="C2110" s="5"/>
      <c r="D2110" s="5">
        <v>0.0</v>
      </c>
    </row>
    <row r="2111">
      <c r="A2111" s="5"/>
      <c r="B2111" s="5" t="s">
        <v>1175</v>
      </c>
      <c r="C2111" s="5"/>
      <c r="D2111" s="5">
        <v>2.0</v>
      </c>
    </row>
    <row r="2112">
      <c r="A2112" s="5"/>
      <c r="B2112" s="5" t="s">
        <v>1176</v>
      </c>
      <c r="C2112" s="5"/>
      <c r="D2112" s="5">
        <v>0.0</v>
      </c>
    </row>
    <row r="2113">
      <c r="A2113" s="5"/>
      <c r="B2113" s="5" t="s">
        <v>1177</v>
      </c>
      <c r="C2113" s="5"/>
      <c r="D2113" s="5">
        <v>0.0</v>
      </c>
    </row>
    <row r="2114">
      <c r="A2114" s="5"/>
      <c r="B2114" s="5" t="s">
        <v>1178</v>
      </c>
      <c r="C2114" s="5"/>
      <c r="D2114" s="5">
        <v>0.0</v>
      </c>
    </row>
    <row r="2115">
      <c r="A2115" s="5"/>
      <c r="B2115" s="5" t="s">
        <v>1179</v>
      </c>
      <c r="C2115" s="5"/>
      <c r="D2115" s="5">
        <v>0.0</v>
      </c>
    </row>
    <row r="2116">
      <c r="A2116" s="5"/>
      <c r="B2116" s="5" t="s">
        <v>1180</v>
      </c>
      <c r="C2116" s="5"/>
      <c r="D2116" s="5">
        <v>0.0</v>
      </c>
    </row>
    <row r="2117">
      <c r="A2117" s="5"/>
      <c r="B2117" s="5" t="s">
        <v>1181</v>
      </c>
      <c r="C2117" s="5"/>
      <c r="D2117" s="5">
        <v>0.0</v>
      </c>
    </row>
    <row r="2118">
      <c r="A2118" s="5"/>
      <c r="B2118" s="5" t="s">
        <v>1182</v>
      </c>
      <c r="C2118" s="5"/>
      <c r="D2118" s="5">
        <v>0.0</v>
      </c>
    </row>
    <row r="2119">
      <c r="A2119" s="5"/>
      <c r="B2119" s="5" t="s">
        <v>1183</v>
      </c>
      <c r="C2119" s="5"/>
      <c r="D2119" s="5">
        <v>76.0</v>
      </c>
    </row>
    <row r="2120">
      <c r="A2120" s="5"/>
      <c r="B2120" s="5" t="s">
        <v>1184</v>
      </c>
      <c r="C2120" s="5"/>
      <c r="D2120" s="5">
        <v>0.0</v>
      </c>
    </row>
    <row r="2121">
      <c r="A2121" s="5"/>
      <c r="B2121" s="5" t="s">
        <v>1185</v>
      </c>
      <c r="C2121" s="5"/>
      <c r="D2121" s="5">
        <v>0.0</v>
      </c>
    </row>
    <row r="2122">
      <c r="A2122" s="5"/>
      <c r="B2122" s="5" t="s">
        <v>1186</v>
      </c>
      <c r="C2122" s="5"/>
      <c r="D2122" s="5">
        <v>28.0</v>
      </c>
    </row>
    <row r="2123">
      <c r="A2123" s="5"/>
      <c r="B2123" s="5" t="s">
        <v>1187</v>
      </c>
      <c r="C2123" s="5"/>
      <c r="D2123" s="5">
        <v>13.0</v>
      </c>
    </row>
    <row r="2124">
      <c r="A2124" s="5"/>
      <c r="B2124" s="5" t="s">
        <v>1188</v>
      </c>
      <c r="C2124" s="5"/>
      <c r="D2124" s="5">
        <v>80.0</v>
      </c>
    </row>
    <row r="2125">
      <c r="A2125" s="5"/>
      <c r="B2125" s="5" t="s">
        <v>1189</v>
      </c>
      <c r="C2125" s="5"/>
      <c r="D2125" s="5">
        <v>59.0</v>
      </c>
    </row>
    <row r="2126">
      <c r="A2126" s="5"/>
      <c r="B2126" s="5" t="s">
        <v>1190</v>
      </c>
      <c r="C2126" s="5"/>
      <c r="D2126" s="5" t="s">
        <v>1191</v>
      </c>
      <c r="E2126" s="5">
        <v>71.0</v>
      </c>
    </row>
    <row r="2127">
      <c r="A2127" s="5"/>
      <c r="B2127" s="5" t="s">
        <v>1192</v>
      </c>
      <c r="C2127" s="5"/>
      <c r="D2127" s="5">
        <v>0.0</v>
      </c>
    </row>
    <row r="2128">
      <c r="A2128" s="5"/>
      <c r="B2128" s="5" t="s">
        <v>1193</v>
      </c>
      <c r="C2128" s="5"/>
      <c r="D2128" s="5">
        <v>0.0</v>
      </c>
    </row>
    <row r="2129">
      <c r="A2129" s="5"/>
      <c r="B2129" s="5" t="s">
        <v>1194</v>
      </c>
      <c r="C2129" s="5"/>
      <c r="D2129" s="5">
        <v>0.0</v>
      </c>
    </row>
    <row r="2130">
      <c r="A2130" s="5"/>
      <c r="B2130" s="5" t="s">
        <v>1195</v>
      </c>
      <c r="C2130" s="5"/>
      <c r="D2130" s="5">
        <v>12.0</v>
      </c>
    </row>
    <row r="2131">
      <c r="A2131" s="5"/>
      <c r="B2131" s="5" t="s">
        <v>1196</v>
      </c>
      <c r="C2131" s="5"/>
      <c r="D2131" s="5">
        <v>36.0</v>
      </c>
    </row>
    <row r="2132">
      <c r="A2132" s="5"/>
      <c r="B2132" s="5" t="s">
        <v>1197</v>
      </c>
      <c r="C2132" s="5"/>
      <c r="D2132" s="5">
        <v>0.0</v>
      </c>
    </row>
    <row r="2133">
      <c r="A2133" s="5"/>
      <c r="B2133" s="5" t="s">
        <v>1198</v>
      </c>
      <c r="C2133" s="5"/>
      <c r="D2133" s="5">
        <v>0.0</v>
      </c>
    </row>
    <row r="2134">
      <c r="A2134" s="5"/>
      <c r="B2134" s="5" t="s">
        <v>1199</v>
      </c>
      <c r="C2134" s="5"/>
      <c r="D2134" s="5">
        <v>26.0</v>
      </c>
    </row>
    <row r="2135">
      <c r="A2135" s="5"/>
      <c r="B2135" s="5" t="s">
        <v>1200</v>
      </c>
      <c r="C2135" s="5"/>
      <c r="D2135" s="5">
        <v>0.0</v>
      </c>
    </row>
    <row r="2136">
      <c r="A2136" s="5"/>
      <c r="B2136" s="5" t="s">
        <v>1201</v>
      </c>
      <c r="C2136" s="5"/>
      <c r="D2136" s="5">
        <v>0.0</v>
      </c>
    </row>
    <row r="2137">
      <c r="A2137" s="5"/>
      <c r="B2137" s="5" t="s">
        <v>1202</v>
      </c>
      <c r="C2137" s="5"/>
      <c r="D2137" s="5">
        <v>0.0</v>
      </c>
    </row>
    <row r="2138">
      <c r="A2138" s="5"/>
      <c r="B2138" s="5" t="s">
        <v>1203</v>
      </c>
      <c r="C2138" s="5"/>
      <c r="D2138" s="5">
        <v>0.0</v>
      </c>
    </row>
    <row r="2139">
      <c r="A2139" s="5"/>
      <c r="B2139" s="5" t="s">
        <v>1204</v>
      </c>
      <c r="C2139" s="5"/>
      <c r="D2139" s="5">
        <v>0.0</v>
      </c>
    </row>
    <row r="2140">
      <c r="A2140" s="5"/>
      <c r="B2140" s="5" t="s">
        <v>1205</v>
      </c>
      <c r="C2140" s="5"/>
      <c r="D2140" s="5">
        <v>84.0</v>
      </c>
    </row>
    <row r="2141">
      <c r="A2141" s="5"/>
      <c r="B2141" s="5" t="s">
        <v>1206</v>
      </c>
      <c r="C2141" s="5"/>
      <c r="D2141" s="5">
        <v>72.0</v>
      </c>
    </row>
    <row r="2142">
      <c r="A2142" s="5"/>
      <c r="B2142" s="5" t="s">
        <v>1207</v>
      </c>
      <c r="C2142" s="5"/>
      <c r="D2142" s="5">
        <v>6.0</v>
      </c>
    </row>
    <row r="2143">
      <c r="A2143" s="5"/>
      <c r="B2143" s="5" t="s">
        <v>1208</v>
      </c>
      <c r="C2143" s="5"/>
      <c r="D2143" s="5">
        <v>0.0</v>
      </c>
    </row>
    <row r="2144">
      <c r="A2144" s="5"/>
      <c r="B2144" s="5" t="s">
        <v>1209</v>
      </c>
      <c r="C2144" s="5"/>
      <c r="D2144" s="5">
        <v>0.0</v>
      </c>
    </row>
    <row r="2145">
      <c r="A2145" s="5"/>
      <c r="B2145" s="5" t="s">
        <v>1210</v>
      </c>
      <c r="C2145" s="5"/>
      <c r="D2145" s="5">
        <v>0.0</v>
      </c>
    </row>
    <row r="2146">
      <c r="A2146" s="5"/>
      <c r="B2146" s="5" t="s">
        <v>1211</v>
      </c>
      <c r="C2146" s="5"/>
      <c r="D2146" s="5">
        <v>0.0</v>
      </c>
    </row>
    <row r="2147">
      <c r="A2147" s="5"/>
      <c r="B2147" s="5" t="s">
        <v>1212</v>
      </c>
      <c r="C2147" s="5"/>
      <c r="D2147" s="5">
        <v>0.0</v>
      </c>
    </row>
    <row r="2148">
      <c r="A2148" s="5"/>
      <c r="B2148" s="5" t="s">
        <v>1153</v>
      </c>
      <c r="C2148" s="5"/>
      <c r="D2148" s="5">
        <v>0.0</v>
      </c>
    </row>
    <row r="2149">
      <c r="A2149" s="5"/>
      <c r="B2149" s="5" t="s">
        <v>1154</v>
      </c>
      <c r="C2149" s="5"/>
      <c r="D2149" s="5">
        <v>84.0</v>
      </c>
    </row>
    <row r="2150">
      <c r="A2150" s="5"/>
      <c r="B2150" s="5" t="s">
        <v>1155</v>
      </c>
      <c r="C2150" s="5"/>
      <c r="D2150" s="5">
        <v>0.0</v>
      </c>
    </row>
    <row r="2151">
      <c r="A2151" s="5"/>
      <c r="B2151" s="5" t="s">
        <v>1156</v>
      </c>
      <c r="C2151" s="5"/>
      <c r="D2151" s="5">
        <v>65.0</v>
      </c>
    </row>
    <row r="2152">
      <c r="A2152" s="5"/>
      <c r="B2152" s="5" t="s">
        <v>1157</v>
      </c>
      <c r="C2152" s="5"/>
      <c r="D2152" s="5" t="s">
        <v>1158</v>
      </c>
      <c r="E2152" s="5">
        <v>0.0</v>
      </c>
    </row>
    <row r="2153">
      <c r="A2153" s="5"/>
      <c r="B2153" s="5" t="s">
        <v>1159</v>
      </c>
      <c r="C2153" s="5"/>
      <c r="D2153" s="5">
        <v>0.0</v>
      </c>
    </row>
    <row r="2154">
      <c r="A2154" s="5"/>
      <c r="B2154" s="5" t="s">
        <v>1160</v>
      </c>
      <c r="C2154" s="5"/>
      <c r="D2154" s="5">
        <v>74.0</v>
      </c>
    </row>
    <row r="2155">
      <c r="A2155" s="5"/>
      <c r="B2155" s="5" t="s">
        <v>1161</v>
      </c>
      <c r="C2155" s="5"/>
      <c r="D2155" s="5">
        <v>0.0</v>
      </c>
    </row>
    <row r="2156">
      <c r="A2156" s="5"/>
      <c r="B2156" s="5" t="s">
        <v>1162</v>
      </c>
      <c r="C2156" s="5"/>
      <c r="D2156" s="5">
        <v>20.0</v>
      </c>
    </row>
    <row r="2157">
      <c r="A2157" s="5"/>
      <c r="B2157" s="5" t="s">
        <v>1163</v>
      </c>
      <c r="C2157" s="5"/>
      <c r="D2157" s="5">
        <v>0.0</v>
      </c>
    </row>
    <row r="2158">
      <c r="A2158" s="5"/>
      <c r="B2158" s="5" t="s">
        <v>1164</v>
      </c>
      <c r="C2158" s="5"/>
      <c r="D2158" s="5">
        <v>0.0</v>
      </c>
    </row>
    <row r="2159">
      <c r="A2159" s="5"/>
      <c r="B2159" s="5" t="s">
        <v>1165</v>
      </c>
      <c r="C2159" s="5"/>
      <c r="D2159" s="5">
        <v>0.0</v>
      </c>
    </row>
    <row r="2160">
      <c r="A2160" s="5"/>
      <c r="B2160" s="5" t="s">
        <v>1166</v>
      </c>
      <c r="C2160" s="5"/>
      <c r="D2160" s="5">
        <v>80.0</v>
      </c>
    </row>
    <row r="2161">
      <c r="A2161" s="5"/>
      <c r="B2161" s="5" t="s">
        <v>1167</v>
      </c>
      <c r="C2161" s="5"/>
      <c r="D2161" s="5">
        <v>69.0</v>
      </c>
    </row>
    <row r="2162">
      <c r="A2162" s="5"/>
      <c r="B2162" s="5" t="s">
        <v>1168</v>
      </c>
      <c r="C2162" s="5"/>
      <c r="D2162" s="5">
        <v>85.0</v>
      </c>
    </row>
    <row r="2163">
      <c r="A2163" s="5"/>
      <c r="B2163" s="5" t="s">
        <v>1169</v>
      </c>
      <c r="C2163" s="5"/>
      <c r="D2163" s="5">
        <v>2.0</v>
      </c>
    </row>
    <row r="2164">
      <c r="A2164" s="5"/>
      <c r="B2164" s="5" t="s">
        <v>1170</v>
      </c>
      <c r="C2164" s="5"/>
      <c r="D2164" s="5">
        <v>66.0</v>
      </c>
    </row>
    <row r="2165">
      <c r="A2165" s="5"/>
      <c r="B2165" s="5" t="s">
        <v>1171</v>
      </c>
      <c r="C2165" s="5"/>
      <c r="D2165" s="5">
        <v>0.0</v>
      </c>
    </row>
    <row r="2166">
      <c r="A2166" s="5"/>
      <c r="B2166" s="5" t="s">
        <v>1172</v>
      </c>
      <c r="C2166" s="5"/>
      <c r="D2166" s="5">
        <v>89.0</v>
      </c>
    </row>
    <row r="2167">
      <c r="A2167" s="5"/>
      <c r="B2167" s="5" t="s">
        <v>1173</v>
      </c>
      <c r="C2167" s="5"/>
      <c r="D2167" s="5">
        <v>50.0</v>
      </c>
    </row>
    <row r="2168">
      <c r="A2168" s="5"/>
      <c r="B2168" s="5" t="s">
        <v>1174</v>
      </c>
      <c r="C2168" s="5"/>
      <c r="D2168" s="5">
        <v>0.0</v>
      </c>
    </row>
    <row r="2169">
      <c r="A2169" s="5"/>
      <c r="B2169" s="5" t="s">
        <v>1175</v>
      </c>
      <c r="C2169" s="5"/>
      <c r="D2169" s="5">
        <v>2.0</v>
      </c>
    </row>
    <row r="2170">
      <c r="A2170" s="5"/>
      <c r="B2170" s="5" t="s">
        <v>1176</v>
      </c>
      <c r="C2170" s="5"/>
      <c r="D2170" s="5">
        <v>0.0</v>
      </c>
    </row>
    <row r="2171">
      <c r="A2171" s="5"/>
      <c r="B2171" s="5" t="s">
        <v>1177</v>
      </c>
      <c r="C2171" s="5"/>
      <c r="D2171" s="5">
        <v>0.0</v>
      </c>
    </row>
    <row r="2172">
      <c r="A2172" s="5"/>
      <c r="B2172" s="5" t="s">
        <v>1178</v>
      </c>
      <c r="C2172" s="5"/>
      <c r="D2172" s="5">
        <v>0.0</v>
      </c>
    </row>
    <row r="2173">
      <c r="A2173" s="5"/>
      <c r="B2173" s="5" t="s">
        <v>1179</v>
      </c>
      <c r="C2173" s="5"/>
      <c r="D2173" s="5">
        <v>0.0</v>
      </c>
    </row>
    <row r="2174">
      <c r="A2174" s="5"/>
      <c r="B2174" s="5" t="s">
        <v>1180</v>
      </c>
      <c r="C2174" s="5"/>
      <c r="D2174" s="5">
        <v>0.0</v>
      </c>
    </row>
    <row r="2175">
      <c r="A2175" s="5"/>
      <c r="B2175" s="5" t="s">
        <v>1181</v>
      </c>
      <c r="C2175" s="5"/>
      <c r="D2175" s="5">
        <v>0.0</v>
      </c>
    </row>
    <row r="2176">
      <c r="A2176" s="5"/>
      <c r="B2176" s="5" t="s">
        <v>1182</v>
      </c>
      <c r="C2176" s="5"/>
      <c r="D2176" s="5">
        <v>0.0</v>
      </c>
    </row>
    <row r="2177">
      <c r="A2177" s="5"/>
      <c r="B2177" s="5" t="s">
        <v>1183</v>
      </c>
      <c r="C2177" s="5"/>
      <c r="D2177" s="5">
        <v>76.0</v>
      </c>
    </row>
    <row r="2178">
      <c r="A2178" s="5"/>
      <c r="B2178" s="5" t="s">
        <v>1184</v>
      </c>
      <c r="C2178" s="5"/>
      <c r="D2178" s="5">
        <v>0.0</v>
      </c>
    </row>
    <row r="2179">
      <c r="A2179" s="5"/>
      <c r="B2179" s="5" t="s">
        <v>1185</v>
      </c>
      <c r="C2179" s="5"/>
      <c r="D2179" s="5">
        <v>0.0</v>
      </c>
    </row>
    <row r="2180">
      <c r="A2180" s="5"/>
      <c r="B2180" s="5" t="s">
        <v>1186</v>
      </c>
      <c r="C2180" s="5"/>
      <c r="D2180" s="5">
        <v>28.0</v>
      </c>
    </row>
    <row r="2181">
      <c r="A2181" s="5"/>
      <c r="B2181" s="5" t="s">
        <v>1187</v>
      </c>
      <c r="C2181" s="5"/>
      <c r="D2181" s="5">
        <v>13.0</v>
      </c>
    </row>
    <row r="2182">
      <c r="A2182" s="5"/>
      <c r="B2182" s="5" t="s">
        <v>1188</v>
      </c>
      <c r="C2182" s="5"/>
      <c r="D2182" s="5">
        <v>80.0</v>
      </c>
    </row>
    <row r="2183">
      <c r="A2183" s="5"/>
      <c r="B2183" s="5" t="s">
        <v>1189</v>
      </c>
      <c r="C2183" s="5"/>
      <c r="D2183" s="5">
        <v>59.0</v>
      </c>
    </row>
    <row r="2184">
      <c r="A2184" s="5"/>
      <c r="B2184" s="5" t="s">
        <v>1190</v>
      </c>
      <c r="C2184" s="5"/>
      <c r="D2184" s="5" t="s">
        <v>1191</v>
      </c>
      <c r="E2184" s="5">
        <v>71.0</v>
      </c>
    </row>
    <row r="2185">
      <c r="A2185" s="5"/>
      <c r="B2185" s="5" t="s">
        <v>1192</v>
      </c>
      <c r="C2185" s="5"/>
      <c r="D2185" s="5">
        <v>0.0</v>
      </c>
    </row>
    <row r="2186">
      <c r="A2186" s="5"/>
      <c r="B2186" s="5" t="s">
        <v>1193</v>
      </c>
      <c r="C2186" s="5"/>
      <c r="D2186" s="5">
        <v>0.0</v>
      </c>
    </row>
    <row r="2187">
      <c r="A2187" s="5"/>
      <c r="B2187" s="5" t="s">
        <v>1194</v>
      </c>
      <c r="C2187" s="5"/>
      <c r="D2187" s="5">
        <v>0.0</v>
      </c>
    </row>
    <row r="2188">
      <c r="A2188" s="5"/>
      <c r="B2188" s="5" t="s">
        <v>1195</v>
      </c>
      <c r="C2188" s="5"/>
      <c r="D2188" s="5">
        <v>12.0</v>
      </c>
    </row>
    <row r="2189">
      <c r="A2189" s="5"/>
      <c r="B2189" s="5" t="s">
        <v>1196</v>
      </c>
      <c r="C2189" s="5"/>
      <c r="D2189" s="5">
        <v>36.0</v>
      </c>
    </row>
    <row r="2190">
      <c r="A2190" s="5"/>
      <c r="B2190" s="5" t="s">
        <v>1197</v>
      </c>
      <c r="C2190" s="5"/>
      <c r="D2190" s="5">
        <v>0.0</v>
      </c>
    </row>
    <row r="2191">
      <c r="A2191" s="5"/>
      <c r="B2191" s="5" t="s">
        <v>1198</v>
      </c>
      <c r="C2191" s="5"/>
      <c r="D2191" s="5">
        <v>0.0</v>
      </c>
    </row>
    <row r="2192">
      <c r="A2192" s="5"/>
      <c r="B2192" s="5" t="s">
        <v>1199</v>
      </c>
      <c r="C2192" s="5"/>
      <c r="D2192" s="5">
        <v>26.0</v>
      </c>
    </row>
    <row r="2193">
      <c r="A2193" s="5"/>
      <c r="B2193" s="5" t="s">
        <v>1200</v>
      </c>
      <c r="C2193" s="5"/>
      <c r="D2193" s="5">
        <v>0.0</v>
      </c>
    </row>
    <row r="2194">
      <c r="A2194" s="5"/>
      <c r="B2194" s="5" t="s">
        <v>1201</v>
      </c>
      <c r="C2194" s="5"/>
      <c r="D2194" s="5">
        <v>0.0</v>
      </c>
    </row>
    <row r="2195">
      <c r="A2195" s="5"/>
      <c r="B2195" s="5" t="s">
        <v>1202</v>
      </c>
      <c r="C2195" s="5"/>
      <c r="D2195" s="5">
        <v>0.0</v>
      </c>
    </row>
    <row r="2196">
      <c r="A2196" s="5"/>
      <c r="B2196" s="5" t="s">
        <v>1203</v>
      </c>
      <c r="C2196" s="5"/>
      <c r="D2196" s="5">
        <v>0.0</v>
      </c>
    </row>
    <row r="2197">
      <c r="A2197" s="5"/>
      <c r="B2197" s="5" t="s">
        <v>1204</v>
      </c>
      <c r="C2197" s="5"/>
      <c r="D2197" s="5">
        <v>0.0</v>
      </c>
    </row>
    <row r="2198">
      <c r="A2198" s="5"/>
      <c r="B2198" s="5" t="s">
        <v>1205</v>
      </c>
      <c r="C2198" s="5"/>
      <c r="D2198" s="5">
        <v>84.0</v>
      </c>
    </row>
    <row r="2199">
      <c r="A2199" s="5"/>
      <c r="B2199" s="5" t="s">
        <v>1206</v>
      </c>
      <c r="C2199" s="5"/>
      <c r="D2199" s="5">
        <v>72.0</v>
      </c>
    </row>
    <row r="2200">
      <c r="A2200" s="5"/>
      <c r="B2200" s="5" t="s">
        <v>1207</v>
      </c>
      <c r="C2200" s="5"/>
      <c r="D2200" s="5">
        <v>6.0</v>
      </c>
    </row>
    <row r="2201">
      <c r="A2201" s="5"/>
      <c r="B2201" s="5" t="s">
        <v>1208</v>
      </c>
      <c r="C2201" s="5"/>
      <c r="D2201" s="5">
        <v>0.0</v>
      </c>
    </row>
    <row r="2202">
      <c r="A2202" s="5"/>
      <c r="B2202" s="5" t="s">
        <v>1209</v>
      </c>
      <c r="C2202" s="5"/>
      <c r="D2202" s="5">
        <v>0.0</v>
      </c>
    </row>
    <row r="2203">
      <c r="A2203" s="5"/>
      <c r="B2203" s="5" t="s">
        <v>1210</v>
      </c>
      <c r="C2203" s="5"/>
      <c r="D2203" s="5">
        <v>0.0</v>
      </c>
    </row>
    <row r="2204">
      <c r="A2204" s="5"/>
      <c r="B2204" s="5" t="s">
        <v>1211</v>
      </c>
      <c r="C2204" s="5"/>
      <c r="D2204" s="5">
        <v>0.0</v>
      </c>
    </row>
    <row r="2205">
      <c r="A2205" s="5"/>
      <c r="B2205" s="5" t="s">
        <v>1212</v>
      </c>
      <c r="C2205" s="5"/>
      <c r="D2205" s="5">
        <v>0.0</v>
      </c>
    </row>
  </sheetData>
  <conditionalFormatting sqref="D1:D2207">
    <cfRule type="cellIs" dxfId="0" priority="1" operator="greaterThanOr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1" t="s">
        <v>1</v>
      </c>
      <c r="B2" s="2"/>
      <c r="C2" s="2"/>
      <c r="D2" s="2"/>
      <c r="E2" s="2"/>
      <c r="F2" s="2"/>
      <c r="G2" s="2"/>
    </row>
    <row r="3">
      <c r="A3" s="1" t="s">
        <v>2</v>
      </c>
      <c r="B3" s="2"/>
      <c r="C3" s="2"/>
      <c r="D3" s="2"/>
      <c r="E3" s="2"/>
      <c r="F3" s="2"/>
      <c r="G3" s="2"/>
    </row>
    <row r="4">
      <c r="A4" s="1" t="s">
        <v>3</v>
      </c>
      <c r="B4" s="2"/>
      <c r="C4" s="2"/>
      <c r="D4" s="2"/>
      <c r="E4" s="2"/>
      <c r="F4" s="2"/>
      <c r="G4" s="2"/>
    </row>
    <row r="5">
      <c r="A5" s="1" t="s">
        <v>4</v>
      </c>
      <c r="B5" s="1">
        <v>0.0</v>
      </c>
      <c r="C5" s="2"/>
      <c r="D5" s="2"/>
      <c r="E5" s="2"/>
      <c r="F5" s="2"/>
      <c r="G5" s="2"/>
    </row>
    <row r="6">
      <c r="A6" s="1" t="s">
        <v>5</v>
      </c>
      <c r="B6" s="1">
        <v>52.0</v>
      </c>
      <c r="C6" s="2"/>
      <c r="D6" s="2"/>
      <c r="E6" s="2"/>
      <c r="F6" s="2"/>
      <c r="G6" s="2"/>
    </row>
    <row r="7">
      <c r="A7" s="1" t="s">
        <v>6</v>
      </c>
      <c r="B7" s="1">
        <v>0.0</v>
      </c>
      <c r="C7" s="2"/>
      <c r="D7" s="2"/>
      <c r="E7" s="2"/>
      <c r="F7" s="2"/>
      <c r="G7" s="2"/>
    </row>
    <row r="8">
      <c r="A8" s="1" t="s">
        <v>7</v>
      </c>
      <c r="B8" s="1">
        <v>0.0</v>
      </c>
      <c r="C8" s="2"/>
      <c r="D8" s="2"/>
      <c r="E8" s="2"/>
      <c r="F8" s="2"/>
      <c r="G8" s="2"/>
    </row>
    <row r="9">
      <c r="A9" s="1" t="s">
        <v>8</v>
      </c>
      <c r="B9" s="1">
        <v>0.0</v>
      </c>
      <c r="C9" s="2"/>
      <c r="D9" s="2"/>
      <c r="E9" s="2"/>
      <c r="F9" s="2"/>
      <c r="G9" s="2"/>
    </row>
    <row r="10">
      <c r="A10" s="1" t="s">
        <v>9</v>
      </c>
      <c r="B10" s="1">
        <v>0.0</v>
      </c>
      <c r="C10" s="2"/>
      <c r="D10" s="2"/>
      <c r="E10" s="2"/>
      <c r="F10" s="2"/>
      <c r="G10" s="2"/>
    </row>
    <row r="11">
      <c r="A11" s="1" t="s">
        <v>10</v>
      </c>
      <c r="B11" s="1">
        <v>0.0</v>
      </c>
      <c r="C11" s="2"/>
      <c r="D11" s="2"/>
      <c r="E11" s="2"/>
      <c r="F11" s="2"/>
      <c r="G11" s="2"/>
    </row>
    <row r="12">
      <c r="A12" s="1" t="s">
        <v>11</v>
      </c>
      <c r="B12" s="1">
        <v>0.0</v>
      </c>
      <c r="C12" s="2"/>
      <c r="D12" s="2"/>
      <c r="E12" s="2"/>
      <c r="F12" s="2"/>
      <c r="G12" s="2"/>
    </row>
    <row r="13">
      <c r="A13" s="1" t="s">
        <v>12</v>
      </c>
      <c r="B13" s="1">
        <v>67.0</v>
      </c>
      <c r="C13" s="2"/>
      <c r="D13" s="2"/>
      <c r="E13" s="2"/>
      <c r="F13" s="2"/>
      <c r="G13" s="2"/>
    </row>
    <row r="14">
      <c r="A14" s="1" t="s">
        <v>13</v>
      </c>
      <c r="B14" s="1">
        <v>0.0</v>
      </c>
      <c r="C14" s="2"/>
      <c r="D14" s="2"/>
      <c r="E14" s="2"/>
      <c r="F14" s="2"/>
      <c r="G14" s="2"/>
    </row>
    <row r="15">
      <c r="A15" s="1" t="s">
        <v>14</v>
      </c>
      <c r="B15" s="1">
        <v>0.0</v>
      </c>
      <c r="C15" s="2"/>
      <c r="D15" s="2"/>
      <c r="E15" s="2"/>
      <c r="F15" s="2"/>
      <c r="G15" s="2"/>
    </row>
    <row r="16">
      <c r="A16" s="1" t="s">
        <v>15</v>
      </c>
      <c r="B16" s="1" t="s">
        <v>16</v>
      </c>
      <c r="C16" s="1">
        <v>97.0</v>
      </c>
      <c r="D16" s="2"/>
      <c r="E16" s="2"/>
      <c r="F16" s="2"/>
      <c r="G16" s="2"/>
    </row>
    <row r="17">
      <c r="A17" s="1" t="s">
        <v>17</v>
      </c>
      <c r="B17" s="1">
        <v>0.0</v>
      </c>
      <c r="C17" s="2"/>
      <c r="D17" s="2"/>
      <c r="E17" s="2"/>
      <c r="F17" s="2"/>
      <c r="G17" s="2"/>
    </row>
    <row r="18">
      <c r="A18" s="1" t="s">
        <v>18</v>
      </c>
      <c r="B18" s="1">
        <v>23.0</v>
      </c>
      <c r="C18" s="2"/>
      <c r="D18" s="2"/>
      <c r="E18" s="2"/>
      <c r="F18" s="2"/>
      <c r="G18" s="2"/>
    </row>
    <row r="19">
      <c r="A19" s="1" t="s">
        <v>19</v>
      </c>
      <c r="B19" s="1">
        <v>0.0</v>
      </c>
      <c r="C19" s="2"/>
      <c r="D19" s="2"/>
      <c r="E19" s="2"/>
      <c r="F19" s="2"/>
      <c r="G19" s="2"/>
    </row>
    <row r="20">
      <c r="A20" s="1" t="s">
        <v>20</v>
      </c>
      <c r="B20" s="1">
        <v>0.0</v>
      </c>
      <c r="C20" s="2"/>
      <c r="D20" s="2"/>
      <c r="E20" s="2"/>
      <c r="F20" s="2"/>
      <c r="G20" s="2"/>
    </row>
    <row r="21">
      <c r="A21" s="1" t="s">
        <v>21</v>
      </c>
      <c r="B21" s="1">
        <v>0.0</v>
      </c>
      <c r="C21" s="2"/>
      <c r="D21" s="2"/>
      <c r="E21" s="2"/>
      <c r="F21" s="2"/>
      <c r="G21" s="2"/>
    </row>
    <row r="22">
      <c r="A22" s="1" t="s">
        <v>22</v>
      </c>
      <c r="B22" s="1">
        <v>0.0</v>
      </c>
      <c r="C22" s="2"/>
      <c r="D22" s="2"/>
      <c r="E22" s="2"/>
      <c r="F22" s="2"/>
      <c r="G22" s="2"/>
    </row>
    <row r="23">
      <c r="A23" s="1" t="s">
        <v>23</v>
      </c>
      <c r="B23" s="1" t="s">
        <v>24</v>
      </c>
      <c r="C23" s="1">
        <v>0.0</v>
      </c>
      <c r="D23" s="2"/>
      <c r="E23" s="2"/>
      <c r="F23" s="2"/>
      <c r="G23" s="2"/>
    </row>
    <row r="24">
      <c r="A24" s="1" t="s">
        <v>25</v>
      </c>
      <c r="B24" s="1">
        <v>0.0</v>
      </c>
      <c r="C24" s="2"/>
      <c r="D24" s="2"/>
      <c r="E24" s="2"/>
      <c r="F24" s="2"/>
      <c r="G24" s="2"/>
    </row>
    <row r="25">
      <c r="A25" s="1" t="s">
        <v>26</v>
      </c>
      <c r="B25" s="1">
        <v>0.0</v>
      </c>
      <c r="C25" s="2"/>
      <c r="D25" s="2"/>
      <c r="E25" s="2"/>
      <c r="F25" s="2"/>
      <c r="G25" s="2"/>
    </row>
    <row r="26">
      <c r="A26" s="1" t="s">
        <v>27</v>
      </c>
      <c r="B26" s="1">
        <v>0.0</v>
      </c>
      <c r="C26" s="2"/>
      <c r="D26" s="2"/>
      <c r="E26" s="2"/>
      <c r="F26" s="2"/>
      <c r="G26" s="2"/>
    </row>
    <row r="27">
      <c r="A27" s="1" t="s">
        <v>28</v>
      </c>
      <c r="B27" s="1">
        <v>0.0</v>
      </c>
      <c r="C27" s="2"/>
      <c r="D27" s="2"/>
      <c r="E27" s="2"/>
      <c r="F27" s="2"/>
      <c r="G27" s="2"/>
    </row>
    <row r="28">
      <c r="A28" s="1" t="s">
        <v>29</v>
      </c>
      <c r="B28" s="1" t="s">
        <v>30</v>
      </c>
      <c r="C28" s="1" t="s">
        <v>31</v>
      </c>
      <c r="D28" s="2"/>
      <c r="E28" s="2"/>
      <c r="F28" s="2"/>
      <c r="G28" s="2"/>
    </row>
    <row r="29">
      <c r="A29" s="1" t="s">
        <v>32</v>
      </c>
      <c r="B29" s="1">
        <v>0.0</v>
      </c>
      <c r="C29" s="2"/>
      <c r="D29" s="2"/>
      <c r="E29" s="2"/>
      <c r="F29" s="2"/>
      <c r="G29" s="2"/>
    </row>
    <row r="30">
      <c r="A30" s="1" t="s">
        <v>33</v>
      </c>
      <c r="B30" s="1" t="s">
        <v>34</v>
      </c>
      <c r="C30" s="2"/>
      <c r="D30" s="2"/>
      <c r="E30" s="2"/>
      <c r="F30" s="2"/>
      <c r="G30" s="2"/>
    </row>
    <row r="31">
      <c r="A31" s="1" t="s">
        <v>35</v>
      </c>
      <c r="B31" s="1">
        <v>10.0</v>
      </c>
      <c r="C31" s="2"/>
      <c r="D31" s="2"/>
      <c r="E31" s="2"/>
      <c r="F31" s="2"/>
      <c r="G31" s="2"/>
    </row>
    <row r="32">
      <c r="A32" s="1" t="s">
        <v>36</v>
      </c>
      <c r="B32" s="1">
        <v>0.0</v>
      </c>
      <c r="C32" s="2"/>
      <c r="D32" s="2"/>
      <c r="E32" s="2"/>
      <c r="F32" s="2"/>
      <c r="G32" s="2"/>
    </row>
    <row r="33">
      <c r="A33" s="1" t="s">
        <v>37</v>
      </c>
      <c r="B33" s="1">
        <v>5.0</v>
      </c>
      <c r="C33" s="2"/>
      <c r="D33" s="2"/>
      <c r="E33" s="2"/>
      <c r="F33" s="2"/>
      <c r="G33" s="2"/>
    </row>
    <row r="34">
      <c r="A34" s="1" t="s">
        <v>38</v>
      </c>
      <c r="B34" s="1">
        <v>86.0</v>
      </c>
      <c r="C34" s="2"/>
      <c r="D34" s="2"/>
      <c r="E34" s="2"/>
      <c r="F34" s="2"/>
      <c r="G34" s="2"/>
    </row>
    <row r="35">
      <c r="A35" s="1" t="s">
        <v>39</v>
      </c>
      <c r="B35" s="1">
        <v>0.0</v>
      </c>
      <c r="C35" s="2"/>
      <c r="D35" s="2"/>
      <c r="E35" s="2"/>
      <c r="F35" s="2"/>
      <c r="G35" s="2"/>
    </row>
    <row r="36">
      <c r="A36" s="1" t="s">
        <v>40</v>
      </c>
      <c r="B36" s="1">
        <v>0.0</v>
      </c>
      <c r="C36" s="2"/>
      <c r="D36" s="2"/>
      <c r="E36" s="2"/>
      <c r="F36" s="2"/>
      <c r="G36" s="2"/>
    </row>
    <row r="37">
      <c r="A37" s="1" t="s">
        <v>41</v>
      </c>
      <c r="B37" s="1">
        <v>0.0</v>
      </c>
      <c r="C37" s="2"/>
      <c r="D37" s="2"/>
      <c r="E37" s="2"/>
      <c r="F37" s="2"/>
      <c r="G37" s="2"/>
    </row>
    <row r="38">
      <c r="A38" s="1" t="s">
        <v>42</v>
      </c>
      <c r="B38" s="1">
        <v>18.0</v>
      </c>
      <c r="C38" s="2"/>
      <c r="D38" s="2"/>
      <c r="E38" s="2"/>
      <c r="F38" s="2"/>
      <c r="G38" s="2"/>
    </row>
    <row r="39">
      <c r="A39" s="1" t="s">
        <v>43</v>
      </c>
      <c r="B39" s="1">
        <v>0.0</v>
      </c>
      <c r="C39" s="2"/>
      <c r="D39" s="2"/>
      <c r="E39" s="2"/>
      <c r="F39" s="2"/>
      <c r="G39" s="2"/>
    </row>
    <row r="40">
      <c r="A40" s="1" t="s">
        <v>44</v>
      </c>
      <c r="B40" s="1" t="s">
        <v>45</v>
      </c>
      <c r="C40" s="1">
        <v>0.0</v>
      </c>
      <c r="D40" s="2"/>
      <c r="E40" s="2"/>
      <c r="F40" s="2"/>
      <c r="G40" s="2"/>
    </row>
    <row r="41">
      <c r="A41" s="1" t="s">
        <v>46</v>
      </c>
      <c r="B41" s="1">
        <v>0.0</v>
      </c>
      <c r="C41" s="2"/>
      <c r="D41" s="2"/>
      <c r="E41" s="2"/>
      <c r="F41" s="2"/>
      <c r="G41" s="2"/>
    </row>
    <row r="42">
      <c r="A42" s="1" t="s">
        <v>47</v>
      </c>
      <c r="B42" s="1">
        <v>0.0</v>
      </c>
      <c r="C42" s="2"/>
      <c r="D42" s="2"/>
      <c r="E42" s="2"/>
      <c r="F42" s="2"/>
      <c r="G42" s="2"/>
    </row>
    <row r="43">
      <c r="A43" s="1" t="s">
        <v>48</v>
      </c>
      <c r="B43" s="1">
        <v>67.0</v>
      </c>
      <c r="C43" s="2"/>
      <c r="D43" s="2"/>
      <c r="E43" s="2"/>
      <c r="F43" s="2"/>
      <c r="G43" s="2"/>
    </row>
    <row r="44">
      <c r="A44" s="1" t="s">
        <v>49</v>
      </c>
      <c r="B44" s="1">
        <v>0.0</v>
      </c>
      <c r="C44" s="2"/>
      <c r="D44" s="2"/>
      <c r="E44" s="2"/>
      <c r="F44" s="2"/>
      <c r="G44" s="2"/>
    </row>
    <row r="45">
      <c r="A45" s="1" t="s">
        <v>50</v>
      </c>
      <c r="B45" s="1">
        <v>0.0</v>
      </c>
      <c r="C45" s="2"/>
      <c r="D45" s="2"/>
      <c r="E45" s="2"/>
      <c r="F45" s="2"/>
      <c r="G45" s="2"/>
    </row>
    <row r="46">
      <c r="A46" s="1" t="s">
        <v>51</v>
      </c>
      <c r="B46" s="1">
        <v>0.0</v>
      </c>
      <c r="C46" s="2"/>
      <c r="D46" s="2"/>
      <c r="E46" s="2"/>
      <c r="F46" s="2"/>
      <c r="G46" s="2"/>
    </row>
    <row r="47">
      <c r="A47" s="1" t="s">
        <v>52</v>
      </c>
      <c r="B47" s="1">
        <v>0.0</v>
      </c>
      <c r="C47" s="2"/>
      <c r="D47" s="2"/>
      <c r="E47" s="2"/>
      <c r="F47" s="2"/>
      <c r="G47" s="2"/>
    </row>
    <row r="48">
      <c r="A48" s="1" t="s">
        <v>53</v>
      </c>
      <c r="B48" s="1">
        <v>0.0</v>
      </c>
      <c r="C48" s="2"/>
      <c r="D48" s="2"/>
      <c r="E48" s="2"/>
      <c r="F48" s="2"/>
      <c r="G48" s="2"/>
    </row>
    <row r="49">
      <c r="A49" s="1" t="s">
        <v>54</v>
      </c>
      <c r="B49" s="1">
        <v>0.0</v>
      </c>
      <c r="C49" s="2"/>
      <c r="D49" s="2"/>
      <c r="E49" s="2"/>
      <c r="F49" s="2"/>
      <c r="G49" s="2"/>
    </row>
    <row r="50">
      <c r="A50" s="1" t="s">
        <v>55</v>
      </c>
      <c r="B50" s="1">
        <v>0.0</v>
      </c>
      <c r="C50" s="2"/>
      <c r="D50" s="2"/>
      <c r="E50" s="2"/>
      <c r="F50" s="2"/>
      <c r="G50" s="2"/>
    </row>
    <row r="51">
      <c r="A51" s="1" t="s">
        <v>56</v>
      </c>
      <c r="B51" s="1">
        <v>0.0</v>
      </c>
      <c r="C51" s="2"/>
      <c r="D51" s="2"/>
      <c r="E51" s="2"/>
      <c r="F51" s="2"/>
      <c r="G51" s="2"/>
    </row>
    <row r="52">
      <c r="A52" s="1" t="s">
        <v>57</v>
      </c>
      <c r="B52" s="1">
        <v>14.0</v>
      </c>
      <c r="C52" s="2"/>
      <c r="D52" s="2"/>
      <c r="E52" s="2"/>
      <c r="F52" s="2"/>
      <c r="G52" s="2"/>
    </row>
    <row r="53">
      <c r="A53" s="1" t="s">
        <v>58</v>
      </c>
      <c r="B53" s="1" t="s">
        <v>59</v>
      </c>
      <c r="C53" s="1">
        <v>0.0</v>
      </c>
      <c r="D53" s="2"/>
      <c r="E53" s="2"/>
      <c r="F53" s="2"/>
      <c r="G53" s="2"/>
    </row>
    <row r="54">
      <c r="A54" s="1" t="s">
        <v>60</v>
      </c>
      <c r="B54" s="1">
        <v>0.0</v>
      </c>
      <c r="C54" s="2"/>
      <c r="D54" s="2"/>
      <c r="E54" s="2"/>
      <c r="F54" s="2"/>
      <c r="G54" s="2"/>
    </row>
    <row r="55">
      <c r="A55" s="1" t="s">
        <v>61</v>
      </c>
      <c r="B55" s="1">
        <v>26.0</v>
      </c>
      <c r="C55" s="2"/>
      <c r="D55" s="2"/>
      <c r="E55" s="2"/>
      <c r="F55" s="2"/>
      <c r="G55" s="2"/>
    </row>
    <row r="56">
      <c r="A56" s="1" t="s">
        <v>62</v>
      </c>
      <c r="B56" s="1">
        <v>5.0</v>
      </c>
      <c r="C56" s="2"/>
      <c r="D56" s="2"/>
      <c r="E56" s="2"/>
      <c r="F56" s="2"/>
      <c r="G56" s="2"/>
    </row>
    <row r="57">
      <c r="A57" s="1" t="s">
        <v>63</v>
      </c>
      <c r="B57" s="1">
        <v>0.0</v>
      </c>
      <c r="C57" s="2"/>
      <c r="D57" s="2"/>
      <c r="E57" s="2"/>
      <c r="F57" s="2"/>
      <c r="G57" s="2"/>
    </row>
    <row r="58">
      <c r="A58" s="1" t="s">
        <v>64</v>
      </c>
      <c r="B58" s="1">
        <v>0.0</v>
      </c>
      <c r="C58" s="2"/>
      <c r="D58" s="2"/>
      <c r="E58" s="2"/>
      <c r="F58" s="2"/>
      <c r="G58" s="2"/>
    </row>
    <row r="59">
      <c r="A59" s="1" t="s">
        <v>65</v>
      </c>
      <c r="B59" s="1">
        <v>0.0</v>
      </c>
      <c r="C59" s="2"/>
      <c r="D59" s="2"/>
      <c r="E59" s="2"/>
      <c r="F59" s="2"/>
      <c r="G59" s="2"/>
    </row>
    <row r="60">
      <c r="A60" s="1" t="s">
        <v>66</v>
      </c>
      <c r="B60" s="1">
        <v>0.0</v>
      </c>
      <c r="C60" s="2"/>
      <c r="D60" s="2"/>
      <c r="E60" s="2"/>
      <c r="F60" s="2"/>
      <c r="G60" s="2"/>
    </row>
    <row r="61">
      <c r="A61" s="1" t="s">
        <v>67</v>
      </c>
      <c r="B61" s="1">
        <v>0.0</v>
      </c>
      <c r="C61" s="2"/>
      <c r="D61" s="2"/>
      <c r="E61" s="2"/>
      <c r="F61" s="2"/>
      <c r="G61" s="2"/>
    </row>
    <row r="62">
      <c r="A62" s="1" t="s">
        <v>68</v>
      </c>
      <c r="B62" s="1">
        <v>0.0</v>
      </c>
      <c r="C62" s="2"/>
      <c r="D62" s="2"/>
      <c r="E62" s="2"/>
      <c r="F62" s="2"/>
      <c r="G62" s="2"/>
    </row>
    <row r="63">
      <c r="A63" s="1" t="s">
        <v>69</v>
      </c>
      <c r="B63" s="1">
        <v>40.0</v>
      </c>
      <c r="C63" s="2"/>
      <c r="D63" s="2"/>
      <c r="E63" s="2"/>
      <c r="F63" s="2"/>
      <c r="G63" s="2"/>
    </row>
    <row r="64">
      <c r="A64" s="1" t="s">
        <v>70</v>
      </c>
      <c r="B64" s="1">
        <v>0.0</v>
      </c>
      <c r="C64" s="2"/>
      <c r="D64" s="2"/>
      <c r="E64" s="2"/>
      <c r="F64" s="2"/>
      <c r="G64" s="2"/>
    </row>
    <row r="65">
      <c r="A65" s="1" t="s">
        <v>71</v>
      </c>
      <c r="B65" s="1">
        <v>0.0</v>
      </c>
      <c r="C65" s="2"/>
      <c r="D65" s="2"/>
      <c r="E65" s="2"/>
      <c r="F65" s="2"/>
      <c r="G65" s="2"/>
    </row>
    <row r="66">
      <c r="A66" s="1" t="s">
        <v>72</v>
      </c>
      <c r="B66" s="1">
        <v>68.0</v>
      </c>
      <c r="C66" s="2"/>
      <c r="D66" s="2"/>
      <c r="E66" s="2"/>
      <c r="F66" s="2"/>
      <c r="G66" s="2"/>
    </row>
    <row r="67">
      <c r="A67" s="1" t="s">
        <v>73</v>
      </c>
      <c r="B67" s="1">
        <v>0.0</v>
      </c>
      <c r="C67" s="2"/>
      <c r="D67" s="2"/>
      <c r="E67" s="2"/>
      <c r="F67" s="2"/>
      <c r="G67" s="2"/>
    </row>
    <row r="68">
      <c r="A68" s="1" t="s">
        <v>74</v>
      </c>
      <c r="B68" s="1">
        <v>13.0</v>
      </c>
      <c r="C68" s="2"/>
      <c r="D68" s="2"/>
      <c r="E68" s="2"/>
      <c r="F68" s="2"/>
      <c r="G68" s="2"/>
    </row>
    <row r="69">
      <c r="A69" s="1" t="s">
        <v>75</v>
      </c>
      <c r="B69" s="1">
        <v>29.0</v>
      </c>
      <c r="C69" s="2"/>
      <c r="D69" s="2"/>
      <c r="E69" s="2"/>
      <c r="F69" s="2"/>
      <c r="G69" s="2"/>
    </row>
    <row r="70">
      <c r="A70" s="1" t="s">
        <v>76</v>
      </c>
      <c r="B70" s="1">
        <v>0.0</v>
      </c>
      <c r="C70" s="2"/>
      <c r="D70" s="2"/>
      <c r="E70" s="2"/>
      <c r="F70" s="2"/>
      <c r="G70" s="2"/>
    </row>
    <row r="71">
      <c r="A71" s="1" t="s">
        <v>77</v>
      </c>
      <c r="B71" s="1">
        <v>84.0</v>
      </c>
      <c r="C71" s="2"/>
      <c r="D71" s="2"/>
      <c r="E71" s="2"/>
      <c r="F71" s="2"/>
      <c r="G71" s="2"/>
    </row>
    <row r="72">
      <c r="A72" s="1" t="s">
        <v>78</v>
      </c>
      <c r="B72" s="1">
        <v>58.0</v>
      </c>
      <c r="C72" s="2"/>
      <c r="D72" s="2"/>
      <c r="E72" s="2"/>
      <c r="F72" s="2"/>
      <c r="G72" s="2"/>
    </row>
    <row r="73">
      <c r="A73" s="1" t="s">
        <v>79</v>
      </c>
      <c r="B73" s="1">
        <v>0.0</v>
      </c>
      <c r="C73" s="2"/>
      <c r="D73" s="2"/>
      <c r="E73" s="2"/>
      <c r="F73" s="2"/>
      <c r="G73" s="2"/>
    </row>
    <row r="74">
      <c r="A74" s="1" t="s">
        <v>80</v>
      </c>
      <c r="B74" s="1">
        <v>12.0</v>
      </c>
      <c r="C74" s="2"/>
      <c r="D74" s="2"/>
      <c r="E74" s="2"/>
      <c r="F74" s="2"/>
      <c r="G74" s="2"/>
    </row>
    <row r="75">
      <c r="A75" s="1" t="s">
        <v>81</v>
      </c>
      <c r="B75" s="1">
        <v>5.0</v>
      </c>
      <c r="C75" s="2"/>
      <c r="D75" s="2"/>
      <c r="E75" s="2"/>
      <c r="F75" s="2"/>
      <c r="G75" s="2"/>
    </row>
    <row r="76">
      <c r="A76" s="1" t="s">
        <v>82</v>
      </c>
      <c r="B76" s="1">
        <v>70.0</v>
      </c>
      <c r="C76" s="2"/>
      <c r="D76" s="2"/>
      <c r="E76" s="2"/>
      <c r="F76" s="2"/>
      <c r="G76" s="2"/>
    </row>
    <row r="77">
      <c r="A77" s="1" t="s">
        <v>83</v>
      </c>
      <c r="B77" s="1">
        <v>13.0</v>
      </c>
      <c r="C77" s="2"/>
      <c r="D77" s="2"/>
      <c r="E77" s="2"/>
      <c r="F77" s="2"/>
      <c r="G77" s="2"/>
    </row>
    <row r="78">
      <c r="A78" s="1" t="s">
        <v>84</v>
      </c>
      <c r="B78" s="1">
        <v>0.0</v>
      </c>
      <c r="C78" s="2"/>
      <c r="D78" s="2"/>
      <c r="E78" s="2"/>
      <c r="F78" s="2"/>
      <c r="G78" s="2"/>
    </row>
    <row r="79">
      <c r="A79" s="1" t="s">
        <v>85</v>
      </c>
      <c r="B79" s="1">
        <v>94.0</v>
      </c>
      <c r="C79" s="2"/>
      <c r="D79" s="2"/>
      <c r="E79" s="2"/>
      <c r="F79" s="2"/>
      <c r="G79" s="2"/>
    </row>
    <row r="80">
      <c r="A80" s="1" t="s">
        <v>86</v>
      </c>
      <c r="B80" s="1">
        <v>36.0</v>
      </c>
      <c r="C80" s="2"/>
      <c r="D80" s="2"/>
      <c r="E80" s="2"/>
      <c r="F80" s="2"/>
      <c r="G80" s="2"/>
    </row>
    <row r="81">
      <c r="A81" s="1" t="s">
        <v>87</v>
      </c>
      <c r="B81" s="1">
        <v>0.0</v>
      </c>
      <c r="C81" s="2"/>
      <c r="D81" s="2"/>
      <c r="E81" s="2"/>
      <c r="F81" s="2"/>
      <c r="G81" s="2"/>
    </row>
    <row r="82">
      <c r="A82" s="1" t="s">
        <v>88</v>
      </c>
      <c r="B82" s="1">
        <v>50.0</v>
      </c>
      <c r="C82" s="2"/>
      <c r="D82" s="2"/>
      <c r="E82" s="2"/>
      <c r="F82" s="2"/>
      <c r="G82" s="2"/>
    </row>
    <row r="83">
      <c r="A83" s="1" t="s">
        <v>89</v>
      </c>
      <c r="B83" s="1">
        <v>0.0</v>
      </c>
      <c r="C83" s="2"/>
      <c r="D83" s="2"/>
      <c r="E83" s="2"/>
      <c r="F83" s="2"/>
      <c r="G83" s="2"/>
    </row>
    <row r="84">
      <c r="A84" s="1" t="s">
        <v>90</v>
      </c>
      <c r="B84" s="1">
        <v>0.0</v>
      </c>
      <c r="C84" s="2"/>
      <c r="D84" s="2"/>
      <c r="E84" s="2"/>
      <c r="F84" s="2"/>
      <c r="G84" s="2"/>
    </row>
    <row r="85">
      <c r="A85" s="1" t="s">
        <v>91</v>
      </c>
      <c r="B85" s="1">
        <v>0.0</v>
      </c>
      <c r="C85" s="2"/>
      <c r="D85" s="2"/>
      <c r="E85" s="2"/>
      <c r="F85" s="2"/>
      <c r="G85" s="2"/>
    </row>
    <row r="86">
      <c r="A86" s="1" t="s">
        <v>92</v>
      </c>
      <c r="B86" s="1">
        <v>0.0</v>
      </c>
      <c r="C86" s="2"/>
      <c r="D86" s="2"/>
      <c r="E86" s="2"/>
      <c r="F86" s="2"/>
      <c r="G86" s="2"/>
    </row>
    <row r="87">
      <c r="A87" s="1" t="s">
        <v>93</v>
      </c>
      <c r="B87" s="1">
        <v>68.0</v>
      </c>
      <c r="C87" s="2"/>
      <c r="D87" s="2"/>
      <c r="E87" s="2"/>
      <c r="F87" s="2"/>
      <c r="G87" s="2"/>
    </row>
    <row r="88">
      <c r="A88" s="1" t="s">
        <v>94</v>
      </c>
      <c r="B88" s="1">
        <v>34.0</v>
      </c>
      <c r="C88" s="2"/>
      <c r="D88" s="2"/>
      <c r="E88" s="2"/>
      <c r="F88" s="2"/>
      <c r="G88" s="2"/>
    </row>
    <row r="89">
      <c r="A89" s="1" t="s">
        <v>95</v>
      </c>
      <c r="B89" s="1">
        <v>0.0</v>
      </c>
      <c r="C89" s="2"/>
      <c r="D89" s="2"/>
      <c r="E89" s="2"/>
      <c r="F89" s="2"/>
      <c r="G89" s="2"/>
    </row>
    <row r="90">
      <c r="A90" s="1" t="s">
        <v>96</v>
      </c>
      <c r="B90" s="1">
        <v>72.0</v>
      </c>
      <c r="C90" s="2"/>
      <c r="D90" s="2"/>
      <c r="E90" s="2"/>
      <c r="F90" s="2"/>
      <c r="G90" s="2"/>
    </row>
    <row r="91">
      <c r="A91" s="1" t="s">
        <v>97</v>
      </c>
      <c r="B91" s="1">
        <v>0.0</v>
      </c>
      <c r="C91" s="2"/>
      <c r="D91" s="2"/>
      <c r="E91" s="2"/>
      <c r="F91" s="2"/>
      <c r="G91" s="2"/>
    </row>
    <row r="92">
      <c r="A92" s="1" t="s">
        <v>98</v>
      </c>
      <c r="B92" s="1">
        <v>0.0</v>
      </c>
      <c r="C92" s="2"/>
      <c r="D92" s="2"/>
      <c r="E92" s="2"/>
      <c r="F92" s="2"/>
      <c r="G92" s="2"/>
    </row>
    <row r="93">
      <c r="A93" s="1" t="s">
        <v>99</v>
      </c>
      <c r="B93" s="1">
        <v>0.0</v>
      </c>
      <c r="C93" s="2"/>
      <c r="D93" s="2"/>
      <c r="E93" s="2"/>
      <c r="F93" s="2"/>
      <c r="G93" s="2"/>
    </row>
    <row r="94">
      <c r="A94" s="1" t="s">
        <v>100</v>
      </c>
      <c r="B94" s="1">
        <v>0.0</v>
      </c>
      <c r="C94" s="2"/>
      <c r="D94" s="2"/>
      <c r="E94" s="2"/>
      <c r="F94" s="2"/>
      <c r="G94" s="2"/>
    </row>
    <row r="95">
      <c r="A95" s="1" t="s">
        <v>101</v>
      </c>
      <c r="B95" s="1">
        <v>0.0</v>
      </c>
      <c r="C95" s="2"/>
      <c r="D95" s="2"/>
      <c r="E95" s="2"/>
      <c r="F95" s="2"/>
      <c r="G95" s="2"/>
    </row>
    <row r="96">
      <c r="A96" s="1" t="s">
        <v>102</v>
      </c>
      <c r="B96" s="1" t="s">
        <v>103</v>
      </c>
      <c r="C96" s="1">
        <v>0.0</v>
      </c>
      <c r="D96" s="2"/>
      <c r="E96" s="2"/>
      <c r="F96" s="2"/>
      <c r="G96" s="2"/>
    </row>
    <row r="97">
      <c r="A97" s="1" t="s">
        <v>104</v>
      </c>
      <c r="B97" s="1">
        <v>0.0</v>
      </c>
      <c r="C97" s="2"/>
      <c r="D97" s="2"/>
      <c r="E97" s="2"/>
      <c r="F97" s="2"/>
      <c r="G97" s="2"/>
    </row>
    <row r="98">
      <c r="A98" s="1" t="s">
        <v>105</v>
      </c>
      <c r="B98" s="1">
        <v>0.0</v>
      </c>
      <c r="C98" s="2"/>
      <c r="D98" s="2"/>
      <c r="E98" s="2"/>
      <c r="F98" s="2"/>
      <c r="G98" s="2"/>
    </row>
    <row r="99">
      <c r="A99" s="1" t="s">
        <v>106</v>
      </c>
      <c r="B99" s="1">
        <v>0.0</v>
      </c>
      <c r="C99" s="2"/>
      <c r="D99" s="2"/>
      <c r="E99" s="2"/>
      <c r="F99" s="2"/>
      <c r="G99" s="2"/>
    </row>
    <row r="100">
      <c r="A100" s="1" t="s">
        <v>107</v>
      </c>
      <c r="B100" s="1">
        <v>0.0</v>
      </c>
      <c r="C100" s="2"/>
      <c r="D100" s="2"/>
      <c r="E100" s="2"/>
      <c r="F100" s="2"/>
      <c r="G100" s="2"/>
    </row>
    <row r="101">
      <c r="A101" s="1" t="s">
        <v>108</v>
      </c>
      <c r="B101" s="1">
        <v>0.0</v>
      </c>
      <c r="C101" s="2"/>
      <c r="D101" s="2"/>
      <c r="E101" s="2"/>
      <c r="F101" s="2"/>
      <c r="G101" s="2"/>
    </row>
    <row r="102">
      <c r="A102" s="1" t="s">
        <v>109</v>
      </c>
      <c r="B102" s="1">
        <v>0.0</v>
      </c>
      <c r="C102" s="2"/>
      <c r="D102" s="2"/>
      <c r="E102" s="2"/>
      <c r="F102" s="2"/>
      <c r="G102" s="2"/>
    </row>
    <row r="103">
      <c r="A103" s="1" t="s">
        <v>110</v>
      </c>
      <c r="B103" s="1">
        <v>0.0</v>
      </c>
      <c r="C103" s="2"/>
      <c r="D103" s="2"/>
      <c r="E103" s="2"/>
      <c r="F103" s="2"/>
      <c r="G103" s="2"/>
    </row>
    <row r="104">
      <c r="A104" s="1" t="s">
        <v>111</v>
      </c>
      <c r="B104" s="1">
        <v>0.0</v>
      </c>
      <c r="C104" s="2"/>
      <c r="D104" s="2"/>
      <c r="E104" s="2"/>
      <c r="F104" s="2"/>
      <c r="G104" s="2"/>
    </row>
    <row r="105">
      <c r="A105" s="1" t="s">
        <v>112</v>
      </c>
      <c r="B105" s="1">
        <v>7.0</v>
      </c>
      <c r="C105" s="2"/>
      <c r="D105" s="2"/>
      <c r="E105" s="2"/>
      <c r="F105" s="2"/>
      <c r="G105" s="2"/>
    </row>
    <row r="106">
      <c r="A106" s="1" t="s">
        <v>113</v>
      </c>
      <c r="B106" s="1">
        <v>77.0</v>
      </c>
      <c r="C106" s="2"/>
      <c r="D106" s="2"/>
      <c r="E106" s="2"/>
      <c r="F106" s="2"/>
      <c r="G106" s="2"/>
    </row>
    <row r="107">
      <c r="A107" s="1" t="s">
        <v>114</v>
      </c>
      <c r="B107" s="1">
        <v>0.0</v>
      </c>
      <c r="C107" s="2"/>
      <c r="D107" s="2"/>
      <c r="E107" s="2"/>
      <c r="F107" s="2"/>
      <c r="G107" s="2"/>
    </row>
    <row r="108">
      <c r="A108" s="1" t="s">
        <v>115</v>
      </c>
      <c r="B108" s="1">
        <v>14.0</v>
      </c>
      <c r="C108" s="2"/>
      <c r="D108" s="2"/>
      <c r="E108" s="2"/>
      <c r="F108" s="2"/>
      <c r="G108" s="2"/>
    </row>
    <row r="109">
      <c r="A109" s="1" t="s">
        <v>116</v>
      </c>
      <c r="B109" s="1">
        <v>0.0</v>
      </c>
      <c r="C109" s="2"/>
      <c r="D109" s="2"/>
      <c r="E109" s="2"/>
      <c r="F109" s="2"/>
      <c r="G109" s="2"/>
    </row>
    <row r="110">
      <c r="A110" s="1" t="s">
        <v>117</v>
      </c>
      <c r="B110" s="1">
        <v>42.0</v>
      </c>
      <c r="C110" s="2"/>
      <c r="D110" s="2"/>
      <c r="E110" s="2"/>
      <c r="F110" s="2"/>
      <c r="G110" s="2"/>
    </row>
    <row r="111">
      <c r="A111" s="1" t="s">
        <v>118</v>
      </c>
      <c r="B111" s="1">
        <v>0.0</v>
      </c>
      <c r="C111" s="2"/>
      <c r="D111" s="2"/>
      <c r="E111" s="2"/>
      <c r="F111" s="2"/>
      <c r="G111" s="2"/>
    </row>
    <row r="112">
      <c r="A112" s="1" t="s">
        <v>119</v>
      </c>
      <c r="B112" s="1">
        <v>0.0</v>
      </c>
      <c r="C112" s="2"/>
      <c r="D112" s="2"/>
      <c r="E112" s="2"/>
      <c r="F112" s="2"/>
      <c r="G112" s="2"/>
    </row>
    <row r="113">
      <c r="A113" s="1" t="s">
        <v>120</v>
      </c>
      <c r="B113" s="1">
        <v>0.0</v>
      </c>
      <c r="C113" s="2"/>
      <c r="D113" s="2"/>
      <c r="E113" s="2"/>
      <c r="F113" s="2"/>
      <c r="G113" s="2"/>
    </row>
    <row r="114">
      <c r="A114" s="1" t="s">
        <v>121</v>
      </c>
      <c r="B114" s="1">
        <v>0.0</v>
      </c>
      <c r="C114" s="2"/>
      <c r="D114" s="2"/>
      <c r="E114" s="2"/>
      <c r="F114" s="2"/>
      <c r="G114" s="2"/>
    </row>
    <row r="115">
      <c r="A115" s="1" t="s">
        <v>122</v>
      </c>
      <c r="B115" s="1">
        <v>14.0</v>
      </c>
      <c r="C115" s="2"/>
      <c r="D115" s="2"/>
      <c r="E115" s="2"/>
      <c r="F115" s="2"/>
      <c r="G115" s="2"/>
    </row>
    <row r="116">
      <c r="A116" s="1" t="s">
        <v>123</v>
      </c>
      <c r="B116" s="1">
        <v>0.0</v>
      </c>
      <c r="C116" s="2"/>
      <c r="D116" s="2"/>
      <c r="E116" s="2"/>
      <c r="F116" s="2"/>
      <c r="G116" s="2"/>
    </row>
    <row r="117">
      <c r="A117" s="1" t="s">
        <v>124</v>
      </c>
      <c r="B117" s="1">
        <v>42.0</v>
      </c>
      <c r="C117" s="2"/>
      <c r="D117" s="2"/>
      <c r="E117" s="2"/>
      <c r="F117" s="2"/>
      <c r="G117" s="2"/>
    </row>
    <row r="118">
      <c r="A118" s="1" t="s">
        <v>125</v>
      </c>
      <c r="B118" s="1">
        <v>80.0</v>
      </c>
      <c r="C118" s="2"/>
      <c r="D118" s="2"/>
      <c r="E118" s="2"/>
      <c r="F118" s="2"/>
      <c r="G118" s="2"/>
    </row>
    <row r="119">
      <c r="A119" s="1" t="s">
        <v>126</v>
      </c>
      <c r="B119" s="1">
        <v>0.0</v>
      </c>
      <c r="C119" s="2"/>
      <c r="D119" s="2"/>
      <c r="E119" s="2"/>
      <c r="F119" s="2"/>
      <c r="G119" s="2"/>
    </row>
    <row r="120">
      <c r="A120" s="1" t="s">
        <v>127</v>
      </c>
      <c r="B120" s="1">
        <v>0.0</v>
      </c>
      <c r="C120" s="2"/>
      <c r="D120" s="2"/>
      <c r="E120" s="2"/>
      <c r="F120" s="2"/>
      <c r="G120" s="2"/>
    </row>
    <row r="121">
      <c r="A121" s="1" t="s">
        <v>128</v>
      </c>
      <c r="B121" s="1">
        <v>0.0</v>
      </c>
      <c r="C121" s="2"/>
      <c r="D121" s="2"/>
      <c r="E121" s="2"/>
      <c r="F121" s="2"/>
      <c r="G121" s="2"/>
    </row>
    <row r="122">
      <c r="A122" s="1" t="s">
        <v>129</v>
      </c>
      <c r="B122" s="1">
        <v>0.0</v>
      </c>
      <c r="C122" s="2"/>
      <c r="D122" s="2"/>
      <c r="E122" s="2"/>
      <c r="F122" s="2"/>
      <c r="G122" s="2"/>
    </row>
    <row r="123">
      <c r="A123" s="1" t="s">
        <v>130</v>
      </c>
      <c r="B123" s="1">
        <v>0.0</v>
      </c>
      <c r="C123" s="2"/>
      <c r="D123" s="2"/>
      <c r="E123" s="2"/>
      <c r="F123" s="2"/>
      <c r="G123" s="2"/>
    </row>
    <row r="124">
      <c r="A124" s="1" t="s">
        <v>131</v>
      </c>
      <c r="B124" s="1">
        <v>0.0</v>
      </c>
      <c r="C124" s="2"/>
      <c r="D124" s="2"/>
      <c r="E124" s="2"/>
      <c r="F124" s="2"/>
      <c r="G124" s="2"/>
    </row>
    <row r="125">
      <c r="A125" s="1" t="s">
        <v>132</v>
      </c>
      <c r="B125" s="1">
        <v>84.0</v>
      </c>
      <c r="C125" s="2"/>
      <c r="D125" s="2"/>
      <c r="E125" s="2"/>
      <c r="F125" s="2"/>
      <c r="G125" s="2"/>
    </row>
    <row r="126">
      <c r="A126" s="1" t="s">
        <v>133</v>
      </c>
      <c r="B126" s="1">
        <v>0.0</v>
      </c>
      <c r="C126" s="2"/>
      <c r="D126" s="2"/>
      <c r="E126" s="2"/>
      <c r="F126" s="2"/>
      <c r="G126" s="2"/>
    </row>
    <row r="127">
      <c r="A127" s="1" t="s">
        <v>134</v>
      </c>
      <c r="B127" s="1">
        <v>65.0</v>
      </c>
      <c r="C127" s="2"/>
      <c r="D127" s="2"/>
      <c r="E127" s="2"/>
      <c r="F127" s="2"/>
      <c r="G127" s="2"/>
    </row>
    <row r="128">
      <c r="A128" s="1" t="s">
        <v>135</v>
      </c>
      <c r="B128" s="1">
        <v>0.0</v>
      </c>
      <c r="C128" s="2"/>
      <c r="D128" s="2"/>
      <c r="E128" s="2"/>
      <c r="F128" s="2"/>
      <c r="G128" s="2"/>
    </row>
    <row r="129">
      <c r="A129" s="1" t="s">
        <v>136</v>
      </c>
      <c r="B129" s="1">
        <v>0.0</v>
      </c>
      <c r="C129" s="2"/>
      <c r="D129" s="2"/>
      <c r="E129" s="2"/>
      <c r="F129" s="2"/>
      <c r="G129" s="2"/>
    </row>
    <row r="130">
      <c r="A130" s="1" t="s">
        <v>137</v>
      </c>
      <c r="B130" s="1">
        <v>42.0</v>
      </c>
      <c r="C130" s="2"/>
      <c r="D130" s="2"/>
      <c r="E130" s="2"/>
      <c r="F130" s="2"/>
      <c r="G130" s="2"/>
    </row>
    <row r="131">
      <c r="A131" s="1" t="s">
        <v>138</v>
      </c>
      <c r="B131" s="1">
        <v>0.0</v>
      </c>
      <c r="C131" s="2"/>
      <c r="D131" s="2"/>
      <c r="E131" s="2"/>
      <c r="F131" s="2"/>
      <c r="G131" s="2"/>
    </row>
    <row r="132">
      <c r="A132" s="1" t="s">
        <v>139</v>
      </c>
      <c r="B132" s="1">
        <v>0.0</v>
      </c>
      <c r="C132" s="2"/>
      <c r="D132" s="2"/>
      <c r="E132" s="2"/>
      <c r="F132" s="2"/>
      <c r="G132" s="2"/>
    </row>
    <row r="133">
      <c r="A133" s="1" t="s">
        <v>140</v>
      </c>
      <c r="B133" s="1">
        <v>82.0</v>
      </c>
      <c r="C133" s="2"/>
      <c r="D133" s="2"/>
      <c r="E133" s="2"/>
      <c r="F133" s="2"/>
      <c r="G133" s="2"/>
    </row>
    <row r="134">
      <c r="A134" s="1" t="s">
        <v>141</v>
      </c>
      <c r="B134" s="1">
        <v>0.0</v>
      </c>
      <c r="C134" s="2"/>
      <c r="D134" s="2"/>
      <c r="E134" s="2"/>
      <c r="F134" s="2"/>
      <c r="G134" s="2"/>
    </row>
    <row r="135">
      <c r="A135" s="1" t="s">
        <v>142</v>
      </c>
      <c r="B135" s="1">
        <v>0.0</v>
      </c>
      <c r="C135" s="2"/>
      <c r="D135" s="2"/>
      <c r="E135" s="2"/>
      <c r="F135" s="2"/>
      <c r="G135" s="2"/>
    </row>
    <row r="136">
      <c r="A136" s="1" t="s">
        <v>143</v>
      </c>
      <c r="B136" s="1">
        <v>0.0</v>
      </c>
      <c r="C136" s="2"/>
      <c r="D136" s="2"/>
      <c r="E136" s="2"/>
      <c r="F136" s="2"/>
      <c r="G136" s="2"/>
    </row>
    <row r="137">
      <c r="A137" s="1" t="s">
        <v>144</v>
      </c>
      <c r="B137" s="1">
        <v>0.0</v>
      </c>
      <c r="C137" s="2"/>
      <c r="D137" s="2"/>
      <c r="E137" s="2"/>
      <c r="F137" s="2"/>
      <c r="G137" s="2"/>
    </row>
    <row r="138">
      <c r="A138" s="1" t="s">
        <v>145</v>
      </c>
      <c r="B138" s="1">
        <v>0.0</v>
      </c>
      <c r="C138" s="2"/>
      <c r="D138" s="2"/>
      <c r="E138" s="2"/>
      <c r="F138" s="2"/>
      <c r="G138" s="2"/>
    </row>
    <row r="139">
      <c r="A139" s="1" t="s">
        <v>146</v>
      </c>
      <c r="B139" s="2"/>
      <c r="C139" s="2"/>
      <c r="D139" s="2"/>
      <c r="E139" s="2"/>
      <c r="F139" s="2"/>
      <c r="G139" s="2"/>
    </row>
    <row r="140">
      <c r="A140" s="1" t="s">
        <v>147</v>
      </c>
      <c r="B140" s="1">
        <v>0.0</v>
      </c>
      <c r="C140" s="2"/>
      <c r="D140" s="2"/>
      <c r="E140" s="2"/>
      <c r="F140" s="2"/>
      <c r="G140" s="2"/>
    </row>
    <row r="141">
      <c r="A141" s="1" t="s">
        <v>148</v>
      </c>
      <c r="B141" s="2"/>
      <c r="C141" s="2"/>
      <c r="D141" s="2"/>
      <c r="E141" s="2"/>
      <c r="F141" s="2"/>
      <c r="G141" s="2"/>
    </row>
    <row r="142">
      <c r="A142" s="1" t="s">
        <v>149</v>
      </c>
      <c r="B142" s="1">
        <v>0.0</v>
      </c>
      <c r="C142" s="2"/>
      <c r="D142" s="2"/>
      <c r="E142" s="2"/>
      <c r="F142" s="2"/>
      <c r="G142" s="2"/>
    </row>
    <row r="143">
      <c r="A143" s="1" t="s">
        <v>150</v>
      </c>
      <c r="B143" s="1">
        <v>0.0</v>
      </c>
      <c r="C143" s="2"/>
      <c r="D143" s="2"/>
      <c r="E143" s="2"/>
      <c r="F143" s="2"/>
      <c r="G143" s="2"/>
    </row>
    <row r="144">
      <c r="A144" s="1" t="s">
        <v>151</v>
      </c>
      <c r="B144" s="1">
        <v>0.0</v>
      </c>
      <c r="C144" s="2"/>
      <c r="D144" s="2"/>
      <c r="E144" s="2"/>
      <c r="F144" s="2"/>
      <c r="G144" s="2"/>
    </row>
    <row r="145">
      <c r="A145" s="1" t="s">
        <v>152</v>
      </c>
      <c r="B145" s="1">
        <v>0.0</v>
      </c>
      <c r="C145" s="2"/>
      <c r="D145" s="2"/>
      <c r="E145" s="2"/>
      <c r="F145" s="2"/>
      <c r="G145" s="2"/>
    </row>
    <row r="146">
      <c r="A146" s="1" t="s">
        <v>153</v>
      </c>
      <c r="B146" s="1">
        <v>0.0</v>
      </c>
      <c r="C146" s="2"/>
      <c r="D146" s="2"/>
      <c r="E146" s="2"/>
      <c r="F146" s="2"/>
      <c r="G146" s="2"/>
    </row>
    <row r="147">
      <c r="A147" s="1" t="s">
        <v>154</v>
      </c>
      <c r="B147" s="1">
        <v>0.0</v>
      </c>
      <c r="C147" s="2"/>
      <c r="D147" s="2"/>
      <c r="E147" s="2"/>
      <c r="F147" s="2"/>
      <c r="G147" s="2"/>
    </row>
    <row r="148">
      <c r="A148" s="1" t="s">
        <v>155</v>
      </c>
      <c r="B148" s="1">
        <v>26.0</v>
      </c>
      <c r="C148" s="2"/>
      <c r="D148" s="2"/>
      <c r="E148" s="2"/>
      <c r="F148" s="2"/>
      <c r="G148" s="2"/>
    </row>
    <row r="149">
      <c r="A149" s="1" t="s">
        <v>156</v>
      </c>
      <c r="B149" s="1">
        <v>0.0</v>
      </c>
      <c r="C149" s="2"/>
      <c r="D149" s="2"/>
      <c r="E149" s="2"/>
      <c r="F149" s="2"/>
      <c r="G149" s="2"/>
    </row>
    <row r="150">
      <c r="A150" s="1" t="s">
        <v>157</v>
      </c>
      <c r="B150" s="1">
        <v>0.0</v>
      </c>
      <c r="C150" s="2"/>
      <c r="D150" s="2"/>
      <c r="E150" s="2"/>
      <c r="F150" s="2"/>
      <c r="G150" s="2"/>
    </row>
    <row r="151">
      <c r="A151" s="1" t="s">
        <v>158</v>
      </c>
      <c r="B151" s="2"/>
      <c r="C151" s="2"/>
      <c r="D151" s="2"/>
      <c r="E151" s="2"/>
      <c r="F151" s="2"/>
      <c r="G151" s="2"/>
    </row>
    <row r="152">
      <c r="A152" s="1" t="s">
        <v>159</v>
      </c>
      <c r="B152" s="1">
        <v>6.0</v>
      </c>
      <c r="C152" s="2"/>
      <c r="D152" s="2"/>
      <c r="E152" s="2"/>
      <c r="F152" s="2"/>
      <c r="G152" s="2"/>
    </row>
    <row r="153">
      <c r="A153" s="1" t="s">
        <v>160</v>
      </c>
      <c r="B153" s="2"/>
      <c r="C153" s="2"/>
      <c r="D153" s="2"/>
      <c r="E153" s="2"/>
      <c r="F153" s="2"/>
      <c r="G153" s="2"/>
    </row>
    <row r="154">
      <c r="A154" s="1" t="s">
        <v>161</v>
      </c>
      <c r="B154" s="1">
        <v>0.0</v>
      </c>
      <c r="C154" s="2"/>
      <c r="D154" s="2"/>
      <c r="E154" s="2"/>
      <c r="F154" s="2"/>
      <c r="G154" s="2"/>
    </row>
    <row r="155">
      <c r="A155" s="1" t="s">
        <v>162</v>
      </c>
      <c r="B155" s="1">
        <v>0.0</v>
      </c>
      <c r="C155" s="2"/>
      <c r="D155" s="2"/>
      <c r="E155" s="2"/>
      <c r="F155" s="2"/>
      <c r="G155" s="2"/>
    </row>
    <row r="156">
      <c r="A156" s="1" t="s">
        <v>163</v>
      </c>
      <c r="B156" s="1">
        <v>0.0</v>
      </c>
      <c r="C156" s="2"/>
      <c r="D156" s="2"/>
      <c r="E156" s="2"/>
      <c r="F156" s="2"/>
      <c r="G156" s="2"/>
    </row>
    <row r="157">
      <c r="A157" s="1" t="s">
        <v>164</v>
      </c>
      <c r="B157" s="1">
        <v>0.0</v>
      </c>
      <c r="C157" s="2"/>
      <c r="D157" s="2"/>
      <c r="E157" s="2"/>
      <c r="F157" s="2"/>
      <c r="G157" s="2"/>
    </row>
    <row r="158">
      <c r="A158" s="1" t="s">
        <v>165</v>
      </c>
      <c r="B158" s="1">
        <v>24.0</v>
      </c>
      <c r="C158" s="2"/>
      <c r="D158" s="2"/>
      <c r="E158" s="2"/>
      <c r="F158" s="2"/>
      <c r="G158" s="2"/>
    </row>
    <row r="159">
      <c r="A159" s="1" t="s">
        <v>166</v>
      </c>
      <c r="B159" s="1">
        <v>17.0</v>
      </c>
      <c r="C159" s="2"/>
      <c r="D159" s="2"/>
      <c r="E159" s="2"/>
      <c r="F159" s="2"/>
      <c r="G159" s="2"/>
    </row>
    <row r="160">
      <c r="A160" s="1" t="s">
        <v>167</v>
      </c>
      <c r="B160" s="1">
        <v>0.0</v>
      </c>
      <c r="C160" s="2"/>
      <c r="D160" s="2"/>
      <c r="E160" s="2"/>
      <c r="F160" s="2"/>
      <c r="G160" s="2"/>
    </row>
    <row r="161">
      <c r="A161" s="1" t="s">
        <v>168</v>
      </c>
      <c r="B161" s="1">
        <v>0.0</v>
      </c>
      <c r="C161" s="2"/>
      <c r="D161" s="2"/>
      <c r="E161" s="2"/>
      <c r="F161" s="2"/>
      <c r="G161" s="2"/>
    </row>
    <row r="162">
      <c r="A162" s="1" t="s">
        <v>169</v>
      </c>
      <c r="B162" s="1">
        <v>23.0</v>
      </c>
      <c r="C162" s="2"/>
      <c r="D162" s="2"/>
      <c r="E162" s="2"/>
      <c r="F162" s="2"/>
      <c r="G162" s="2"/>
    </row>
    <row r="163">
      <c r="A163" s="1" t="s">
        <v>170</v>
      </c>
      <c r="B163" s="1">
        <v>6.0</v>
      </c>
      <c r="C163" s="2"/>
      <c r="D163" s="2"/>
      <c r="E163" s="2"/>
      <c r="F163" s="2"/>
      <c r="G163" s="2"/>
    </row>
    <row r="164">
      <c r="A164" s="1" t="s">
        <v>171</v>
      </c>
      <c r="B164" s="1">
        <v>92.0</v>
      </c>
      <c r="C164" s="2"/>
      <c r="D164" s="2"/>
      <c r="E164" s="2"/>
      <c r="F164" s="2"/>
      <c r="G164" s="2"/>
    </row>
    <row r="165">
      <c r="A165" s="1" t="s">
        <v>172</v>
      </c>
      <c r="B165" s="1">
        <v>77.0</v>
      </c>
      <c r="C165" s="2"/>
      <c r="D165" s="2"/>
      <c r="E165" s="2"/>
      <c r="F165" s="2"/>
      <c r="G165" s="2"/>
    </row>
    <row r="166">
      <c r="A166" s="1" t="s">
        <v>173</v>
      </c>
      <c r="B166" s="1">
        <v>34.0</v>
      </c>
      <c r="C166" s="2"/>
      <c r="D166" s="2"/>
      <c r="E166" s="2"/>
      <c r="F166" s="2"/>
      <c r="G166" s="2"/>
    </row>
    <row r="167">
      <c r="A167" s="1" t="s">
        <v>174</v>
      </c>
      <c r="B167" s="1">
        <v>42.0</v>
      </c>
      <c r="C167" s="2"/>
      <c r="D167" s="2"/>
      <c r="E167" s="2"/>
      <c r="F167" s="2"/>
      <c r="G167" s="2"/>
    </row>
    <row r="168">
      <c r="A168" s="1" t="s">
        <v>175</v>
      </c>
      <c r="B168" s="1">
        <v>72.0</v>
      </c>
      <c r="C168" s="2"/>
      <c r="D168" s="2"/>
      <c r="E168" s="2"/>
      <c r="F168" s="2"/>
      <c r="G168" s="2"/>
    </row>
    <row r="169">
      <c r="A169" s="1" t="s">
        <v>176</v>
      </c>
      <c r="B169" s="1">
        <v>11.0</v>
      </c>
      <c r="C169" s="2"/>
      <c r="D169" s="2"/>
      <c r="E169" s="2"/>
      <c r="F169" s="2"/>
      <c r="G169" s="2"/>
    </row>
    <row r="170">
      <c r="A170" s="1" t="s">
        <v>177</v>
      </c>
      <c r="B170" s="1">
        <v>31.0</v>
      </c>
      <c r="C170" s="2"/>
      <c r="D170" s="2"/>
      <c r="E170" s="2"/>
      <c r="F170" s="2"/>
      <c r="G170" s="2"/>
    </row>
    <row r="171">
      <c r="A171" s="1" t="s">
        <v>178</v>
      </c>
      <c r="B171" s="1">
        <v>53.0</v>
      </c>
      <c r="C171" s="2"/>
      <c r="D171" s="2"/>
      <c r="E171" s="2"/>
      <c r="F171" s="2"/>
      <c r="G171" s="2"/>
    </row>
    <row r="172">
      <c r="A172" s="1" t="s">
        <v>179</v>
      </c>
      <c r="B172" s="1">
        <v>8.0</v>
      </c>
      <c r="C172" s="2"/>
      <c r="D172" s="2"/>
      <c r="E172" s="2"/>
      <c r="F172" s="2"/>
      <c r="G172" s="2"/>
    </row>
    <row r="173">
      <c r="A173" s="1" t="s">
        <v>180</v>
      </c>
      <c r="B173" s="1">
        <v>54.0</v>
      </c>
      <c r="C173" s="2"/>
      <c r="D173" s="2"/>
      <c r="E173" s="2"/>
      <c r="F173" s="2"/>
      <c r="G173" s="2"/>
    </row>
    <row r="174">
      <c r="A174" s="1" t="s">
        <v>181</v>
      </c>
      <c r="B174" s="1">
        <v>0.0</v>
      </c>
      <c r="C174" s="2"/>
      <c r="D174" s="2"/>
      <c r="E174" s="2"/>
      <c r="F174" s="2"/>
      <c r="G174" s="2"/>
    </row>
    <row r="175">
      <c r="A175" s="1" t="s">
        <v>182</v>
      </c>
      <c r="B175" s="1">
        <v>0.0</v>
      </c>
      <c r="C175" s="2"/>
      <c r="D175" s="2"/>
      <c r="E175" s="2"/>
      <c r="F175" s="2"/>
      <c r="G175" s="2"/>
    </row>
    <row r="176">
      <c r="A176" s="1" t="s">
        <v>183</v>
      </c>
      <c r="B176" s="1">
        <v>37.0</v>
      </c>
      <c r="C176" s="2"/>
      <c r="D176" s="2"/>
      <c r="E176" s="2"/>
      <c r="F176" s="2"/>
      <c r="G176" s="2"/>
    </row>
    <row r="177">
      <c r="A177" s="1" t="s">
        <v>184</v>
      </c>
      <c r="B177" s="1">
        <v>0.0</v>
      </c>
      <c r="C177" s="2"/>
      <c r="D177" s="2"/>
      <c r="E177" s="2"/>
      <c r="F177" s="2"/>
      <c r="G177" s="2"/>
    </row>
    <row r="178">
      <c r="A178" s="1" t="s">
        <v>185</v>
      </c>
      <c r="B178" s="2"/>
      <c r="C178" s="2"/>
      <c r="D178" s="2"/>
      <c r="E178" s="2"/>
      <c r="F178" s="2"/>
      <c r="G178" s="2"/>
    </row>
    <row r="179">
      <c r="A179" s="1" t="s">
        <v>186</v>
      </c>
      <c r="B179" s="1">
        <v>29.0</v>
      </c>
      <c r="C179" s="2"/>
      <c r="D179" s="2"/>
      <c r="E179" s="2"/>
      <c r="F179" s="2"/>
      <c r="G179" s="2"/>
    </row>
    <row r="180">
      <c r="A180" s="1" t="s">
        <v>187</v>
      </c>
      <c r="B180" s="2"/>
      <c r="C180" s="2"/>
      <c r="D180" s="2"/>
      <c r="E180" s="2"/>
      <c r="F180" s="2"/>
      <c r="G180" s="2"/>
    </row>
    <row r="181">
      <c r="A181" s="1" t="s">
        <v>188</v>
      </c>
      <c r="B181" s="1">
        <v>0.0</v>
      </c>
      <c r="C181" s="2"/>
      <c r="D181" s="2"/>
      <c r="E181" s="2"/>
      <c r="F181" s="2"/>
      <c r="G181" s="2"/>
    </row>
    <row r="182">
      <c r="A182" s="1" t="s">
        <v>189</v>
      </c>
      <c r="B182" s="1">
        <v>0.0</v>
      </c>
      <c r="C182" s="2"/>
      <c r="D182" s="2"/>
      <c r="E182" s="2"/>
      <c r="F182" s="2"/>
      <c r="G182" s="2"/>
    </row>
    <row r="183">
      <c r="A183" s="1" t="s">
        <v>190</v>
      </c>
      <c r="B183" s="1">
        <v>0.0</v>
      </c>
      <c r="C183" s="2"/>
      <c r="D183" s="2"/>
      <c r="E183" s="2"/>
      <c r="F183" s="2"/>
      <c r="G183" s="2"/>
    </row>
    <row r="184">
      <c r="A184" s="1" t="s">
        <v>191</v>
      </c>
      <c r="B184" s="1">
        <v>0.0</v>
      </c>
      <c r="C184" s="2"/>
      <c r="D184" s="2"/>
      <c r="E184" s="2"/>
      <c r="F184" s="2"/>
      <c r="G184" s="2"/>
    </row>
    <row r="185">
      <c r="A185" s="1" t="s">
        <v>192</v>
      </c>
      <c r="B185" s="1">
        <v>0.0</v>
      </c>
      <c r="C185" s="2"/>
      <c r="D185" s="2"/>
      <c r="E185" s="2"/>
      <c r="F185" s="2"/>
      <c r="G185" s="2"/>
    </row>
    <row r="186">
      <c r="A186" s="1" t="s">
        <v>193</v>
      </c>
      <c r="B186" s="1">
        <v>0.0</v>
      </c>
      <c r="C186" s="2"/>
      <c r="D186" s="2"/>
      <c r="E186" s="2"/>
      <c r="F186" s="2"/>
      <c r="G186" s="2"/>
    </row>
    <row r="187">
      <c r="A187" s="1" t="s">
        <v>194</v>
      </c>
      <c r="B187" s="1">
        <v>28.0</v>
      </c>
      <c r="C187" s="2"/>
      <c r="D187" s="2"/>
      <c r="E187" s="2"/>
      <c r="F187" s="2"/>
      <c r="G187" s="2"/>
    </row>
    <row r="188">
      <c r="A188" s="1" t="s">
        <v>195</v>
      </c>
      <c r="B188" s="1">
        <v>80.0</v>
      </c>
      <c r="C188" s="2"/>
      <c r="D188" s="2"/>
      <c r="E188" s="2"/>
      <c r="F188" s="2"/>
      <c r="G188" s="2"/>
    </row>
    <row r="189">
      <c r="A189" s="1" t="s">
        <v>196</v>
      </c>
      <c r="B189" s="1">
        <v>0.0</v>
      </c>
      <c r="C189" s="2"/>
      <c r="D189" s="2"/>
      <c r="E189" s="2"/>
      <c r="F189" s="2"/>
      <c r="G189" s="2"/>
    </row>
    <row r="190">
      <c r="A190" s="1" t="s">
        <v>197</v>
      </c>
      <c r="B190" s="1">
        <v>0.0</v>
      </c>
      <c r="C190" s="2"/>
      <c r="D190" s="2"/>
      <c r="E190" s="2"/>
      <c r="F190" s="2"/>
      <c r="G190" s="2"/>
    </row>
    <row r="191">
      <c r="A191" s="1" t="s">
        <v>198</v>
      </c>
      <c r="B191" s="1">
        <v>84.0</v>
      </c>
      <c r="C191" s="2"/>
      <c r="D191" s="2"/>
      <c r="E191" s="2"/>
      <c r="F191" s="2"/>
      <c r="G191" s="2"/>
    </row>
    <row r="192">
      <c r="A192" s="1" t="s">
        <v>199</v>
      </c>
      <c r="B192" s="1">
        <v>0.0</v>
      </c>
      <c r="C192" s="2"/>
      <c r="D192" s="2"/>
      <c r="E192" s="2"/>
      <c r="F192" s="2"/>
      <c r="G192" s="2"/>
    </row>
    <row r="193">
      <c r="A193" s="1" t="s">
        <v>200</v>
      </c>
      <c r="B193" s="1">
        <v>0.0</v>
      </c>
      <c r="C193" s="2"/>
      <c r="D193" s="2"/>
      <c r="E193" s="2"/>
      <c r="F193" s="2"/>
      <c r="G193" s="2"/>
    </row>
    <row r="194">
      <c r="A194" s="1" t="s">
        <v>201</v>
      </c>
      <c r="B194" s="1">
        <v>86.0</v>
      </c>
      <c r="C194" s="2"/>
      <c r="D194" s="2"/>
      <c r="E194" s="2"/>
      <c r="F194" s="2"/>
      <c r="G194" s="2"/>
    </row>
    <row r="195">
      <c r="A195" s="1" t="s">
        <v>202</v>
      </c>
      <c r="B195" s="1">
        <v>0.0</v>
      </c>
      <c r="C195" s="2"/>
      <c r="D195" s="2"/>
      <c r="E195" s="2"/>
      <c r="F195" s="2"/>
      <c r="G195" s="2"/>
    </row>
    <row r="196">
      <c r="A196" s="1" t="s">
        <v>203</v>
      </c>
      <c r="B196" s="1">
        <v>0.0</v>
      </c>
      <c r="C196" s="2"/>
      <c r="D196" s="2"/>
      <c r="E196" s="2"/>
      <c r="F196" s="2"/>
      <c r="G196" s="2"/>
    </row>
    <row r="197">
      <c r="A197" s="1" t="s">
        <v>204</v>
      </c>
      <c r="B197" s="1">
        <v>14.0</v>
      </c>
      <c r="C197" s="2"/>
      <c r="D197" s="2"/>
      <c r="E197" s="2"/>
      <c r="F197" s="2"/>
      <c r="G197" s="2"/>
    </row>
    <row r="198">
      <c r="A198" s="1" t="s">
        <v>205</v>
      </c>
      <c r="B198" s="1">
        <v>54.0</v>
      </c>
      <c r="C198" s="2"/>
      <c r="D198" s="2"/>
      <c r="E198" s="2"/>
      <c r="F198" s="2"/>
      <c r="G198" s="2"/>
    </row>
    <row r="199">
      <c r="A199" s="1" t="s">
        <v>206</v>
      </c>
      <c r="B199" s="1">
        <v>71.0</v>
      </c>
      <c r="C199" s="2"/>
      <c r="D199" s="2"/>
      <c r="E199" s="2"/>
      <c r="F199" s="2"/>
      <c r="G199" s="2"/>
    </row>
    <row r="200">
      <c r="A200" s="1" t="s">
        <v>207</v>
      </c>
      <c r="B200" s="1">
        <v>0.0</v>
      </c>
      <c r="C200" s="2"/>
      <c r="D200" s="2"/>
      <c r="E200" s="2"/>
      <c r="F200" s="2"/>
      <c r="G200" s="2"/>
    </row>
    <row r="201">
      <c r="A201" s="1" t="s">
        <v>208</v>
      </c>
      <c r="B201" s="1">
        <v>40.0</v>
      </c>
      <c r="C201" s="2"/>
      <c r="D201" s="2"/>
      <c r="E201" s="2"/>
      <c r="F201" s="2"/>
      <c r="G201" s="2"/>
    </row>
    <row r="202">
      <c r="A202" s="1" t="s">
        <v>209</v>
      </c>
      <c r="B202" s="1">
        <v>34.0</v>
      </c>
      <c r="C202" s="2"/>
      <c r="D202" s="2"/>
      <c r="E202" s="2"/>
      <c r="F202" s="2"/>
      <c r="G202" s="2"/>
    </row>
    <row r="203">
      <c r="A203" s="1" t="s">
        <v>210</v>
      </c>
      <c r="B203" s="1">
        <v>0.0</v>
      </c>
      <c r="C203" s="2"/>
      <c r="D203" s="2"/>
      <c r="E203" s="2"/>
      <c r="F203" s="2"/>
      <c r="G203" s="2"/>
    </row>
    <row r="204">
      <c r="A204" s="1" t="s">
        <v>211</v>
      </c>
      <c r="B204" s="1">
        <v>62.0</v>
      </c>
      <c r="C204" s="2"/>
      <c r="D204" s="2"/>
      <c r="E204" s="2"/>
      <c r="F204" s="2"/>
      <c r="G204" s="2"/>
    </row>
    <row r="205">
      <c r="A205" s="1" t="s">
        <v>212</v>
      </c>
      <c r="B205" s="1">
        <v>40.0</v>
      </c>
      <c r="C205" s="2"/>
      <c r="D205" s="2"/>
      <c r="E205" s="2"/>
      <c r="F205" s="2"/>
      <c r="G205" s="2"/>
    </row>
    <row r="206">
      <c r="A206" s="1" t="s">
        <v>213</v>
      </c>
      <c r="B206" s="1">
        <v>0.0</v>
      </c>
      <c r="C206" s="2"/>
      <c r="D206" s="2"/>
      <c r="E206" s="2"/>
      <c r="F206" s="2"/>
      <c r="G206" s="2"/>
    </row>
    <row r="207">
      <c r="A207" s="1" t="s">
        <v>214</v>
      </c>
      <c r="B207" s="1">
        <v>0.0</v>
      </c>
      <c r="C207" s="2"/>
      <c r="D207" s="2"/>
      <c r="E207" s="2"/>
      <c r="F207" s="2"/>
      <c r="G207" s="2"/>
    </row>
    <row r="208">
      <c r="A208" s="1" t="s">
        <v>215</v>
      </c>
      <c r="B208" s="1">
        <v>0.0</v>
      </c>
      <c r="C208" s="2"/>
      <c r="D208" s="2"/>
      <c r="E208" s="2"/>
      <c r="F208" s="2"/>
      <c r="G208" s="2"/>
    </row>
    <row r="209">
      <c r="A209" s="1" t="s">
        <v>216</v>
      </c>
      <c r="B209" s="1">
        <v>4.0</v>
      </c>
      <c r="C209" s="2"/>
      <c r="D209" s="2"/>
      <c r="E209" s="2"/>
      <c r="F209" s="2"/>
      <c r="G209" s="2"/>
    </row>
    <row r="210">
      <c r="A210" s="1" t="s">
        <v>217</v>
      </c>
      <c r="B210" s="1">
        <v>0.0</v>
      </c>
      <c r="C210" s="2"/>
      <c r="D210" s="2"/>
      <c r="E210" s="2"/>
      <c r="F210" s="2"/>
      <c r="G210" s="2"/>
    </row>
    <row r="211">
      <c r="A211" s="1" t="s">
        <v>145</v>
      </c>
      <c r="B211" s="1">
        <v>0.0</v>
      </c>
      <c r="C211" s="2"/>
      <c r="D211" s="2"/>
      <c r="E211" s="2"/>
      <c r="F211" s="2"/>
      <c r="G211" s="2"/>
    </row>
    <row r="212">
      <c r="A212" s="1" t="s">
        <v>146</v>
      </c>
      <c r="B212" s="2"/>
      <c r="C212" s="2"/>
      <c r="D212" s="2"/>
      <c r="E212" s="2"/>
      <c r="F212" s="2"/>
      <c r="G212" s="2"/>
    </row>
    <row r="213">
      <c r="A213" s="1" t="s">
        <v>147</v>
      </c>
      <c r="B213" s="1">
        <v>0.0</v>
      </c>
      <c r="C213" s="2"/>
      <c r="D213" s="2"/>
      <c r="E213" s="2"/>
      <c r="F213" s="2"/>
      <c r="G213" s="2"/>
    </row>
    <row r="214">
      <c r="A214" s="1" t="s">
        <v>148</v>
      </c>
      <c r="B214" s="2"/>
      <c r="C214" s="2"/>
      <c r="D214" s="2"/>
      <c r="E214" s="2"/>
      <c r="F214" s="2"/>
      <c r="G214" s="2"/>
    </row>
    <row r="215">
      <c r="A215" s="1" t="s">
        <v>149</v>
      </c>
      <c r="B215" s="1">
        <v>0.0</v>
      </c>
      <c r="C215" s="2"/>
      <c r="D215" s="2"/>
      <c r="E215" s="2"/>
      <c r="F215" s="2"/>
      <c r="G215" s="2"/>
    </row>
    <row r="216">
      <c r="A216" s="1" t="s">
        <v>150</v>
      </c>
      <c r="B216" s="1">
        <v>0.0</v>
      </c>
      <c r="C216" s="2"/>
      <c r="D216" s="2"/>
      <c r="E216" s="2"/>
      <c r="F216" s="2"/>
      <c r="G216" s="2"/>
    </row>
    <row r="217">
      <c r="A217" s="1" t="s">
        <v>151</v>
      </c>
      <c r="B217" s="1">
        <v>0.0</v>
      </c>
      <c r="C217" s="2"/>
      <c r="D217" s="2"/>
      <c r="E217" s="2"/>
      <c r="F217" s="2"/>
      <c r="G217" s="2"/>
    </row>
    <row r="218">
      <c r="A218" s="1" t="s">
        <v>152</v>
      </c>
      <c r="B218" s="1">
        <v>0.0</v>
      </c>
      <c r="C218" s="2"/>
      <c r="D218" s="2"/>
      <c r="E218" s="2"/>
      <c r="F218" s="2"/>
      <c r="G218" s="2"/>
    </row>
    <row r="219">
      <c r="A219" s="1" t="s">
        <v>153</v>
      </c>
      <c r="B219" s="1">
        <v>0.0</v>
      </c>
      <c r="C219" s="2"/>
      <c r="D219" s="2"/>
      <c r="E219" s="2"/>
      <c r="F219" s="2"/>
      <c r="G219" s="2"/>
    </row>
    <row r="220">
      <c r="A220" s="1" t="s">
        <v>154</v>
      </c>
      <c r="B220" s="1">
        <v>0.0</v>
      </c>
      <c r="C220" s="2"/>
      <c r="D220" s="2"/>
      <c r="E220" s="2"/>
      <c r="F220" s="2"/>
      <c r="G220" s="2"/>
    </row>
    <row r="221">
      <c r="A221" s="1" t="s">
        <v>155</v>
      </c>
      <c r="B221" s="1">
        <v>26.0</v>
      </c>
      <c r="C221" s="2"/>
      <c r="D221" s="2"/>
      <c r="E221" s="2"/>
      <c r="F221" s="2"/>
      <c r="G221" s="2"/>
    </row>
    <row r="222">
      <c r="A222" s="1" t="s">
        <v>156</v>
      </c>
      <c r="B222" s="1">
        <v>0.0</v>
      </c>
      <c r="C222" s="2"/>
      <c r="D222" s="2"/>
      <c r="E222" s="2"/>
      <c r="F222" s="2"/>
      <c r="G222" s="2"/>
    </row>
    <row r="223">
      <c r="A223" s="1" t="s">
        <v>157</v>
      </c>
      <c r="B223" s="1">
        <v>0.0</v>
      </c>
      <c r="C223" s="2"/>
      <c r="D223" s="2"/>
      <c r="E223" s="2"/>
      <c r="F223" s="2"/>
      <c r="G223" s="2"/>
    </row>
    <row r="224">
      <c r="A224" s="1" t="s">
        <v>158</v>
      </c>
      <c r="B224" s="2"/>
      <c r="C224" s="2"/>
      <c r="D224" s="2"/>
      <c r="E224" s="2"/>
      <c r="F224" s="2"/>
      <c r="G224" s="2"/>
    </row>
    <row r="225">
      <c r="A225" s="1" t="s">
        <v>159</v>
      </c>
      <c r="B225" s="1">
        <v>6.0</v>
      </c>
      <c r="C225" s="2"/>
      <c r="D225" s="2"/>
      <c r="E225" s="2"/>
      <c r="F225" s="2"/>
      <c r="G225" s="2"/>
    </row>
    <row r="226">
      <c r="A226" s="1" t="s">
        <v>160</v>
      </c>
      <c r="B226" s="2"/>
      <c r="C226" s="2"/>
      <c r="D226" s="2"/>
      <c r="E226" s="2"/>
      <c r="F226" s="2"/>
      <c r="G226" s="2"/>
    </row>
    <row r="227">
      <c r="A227" s="1" t="s">
        <v>161</v>
      </c>
      <c r="B227" s="1">
        <v>0.0</v>
      </c>
      <c r="C227" s="2"/>
      <c r="D227" s="2"/>
      <c r="E227" s="2"/>
      <c r="F227" s="2"/>
      <c r="G227" s="2"/>
    </row>
    <row r="228">
      <c r="A228" s="1" t="s">
        <v>162</v>
      </c>
      <c r="B228" s="1">
        <v>0.0</v>
      </c>
      <c r="C228" s="2"/>
      <c r="D228" s="2"/>
      <c r="E228" s="2"/>
      <c r="F228" s="2"/>
      <c r="G228" s="2"/>
    </row>
    <row r="229">
      <c r="A229" s="1" t="s">
        <v>163</v>
      </c>
      <c r="B229" s="1">
        <v>0.0</v>
      </c>
      <c r="C229" s="2"/>
      <c r="D229" s="2"/>
      <c r="E229" s="2"/>
      <c r="F229" s="2"/>
      <c r="G229" s="2"/>
    </row>
    <row r="230">
      <c r="A230" s="1" t="s">
        <v>164</v>
      </c>
      <c r="B230" s="1">
        <v>0.0</v>
      </c>
      <c r="C230" s="2"/>
      <c r="D230" s="2"/>
      <c r="E230" s="2"/>
      <c r="F230" s="2"/>
      <c r="G230" s="2"/>
    </row>
    <row r="231">
      <c r="A231" s="1" t="s">
        <v>165</v>
      </c>
      <c r="B231" s="1">
        <v>24.0</v>
      </c>
      <c r="C231" s="2"/>
      <c r="D231" s="2"/>
      <c r="E231" s="2"/>
      <c r="F231" s="2"/>
      <c r="G231" s="2"/>
    </row>
    <row r="232">
      <c r="A232" s="1" t="s">
        <v>166</v>
      </c>
      <c r="B232" s="1">
        <v>17.0</v>
      </c>
      <c r="C232" s="2"/>
      <c r="D232" s="2"/>
      <c r="E232" s="2"/>
      <c r="F232" s="2"/>
      <c r="G232" s="2"/>
    </row>
    <row r="233">
      <c r="A233" s="1" t="s">
        <v>167</v>
      </c>
      <c r="B233" s="1">
        <v>0.0</v>
      </c>
      <c r="C233" s="2"/>
      <c r="D233" s="2"/>
      <c r="E233" s="2"/>
      <c r="F233" s="2"/>
      <c r="G233" s="2"/>
    </row>
    <row r="234">
      <c r="A234" s="1" t="s">
        <v>168</v>
      </c>
      <c r="B234" s="1">
        <v>0.0</v>
      </c>
      <c r="C234" s="2"/>
      <c r="D234" s="2"/>
      <c r="E234" s="2"/>
      <c r="F234" s="2"/>
      <c r="G234" s="2"/>
    </row>
    <row r="235">
      <c r="A235" s="1" t="s">
        <v>169</v>
      </c>
      <c r="B235" s="1">
        <v>23.0</v>
      </c>
      <c r="C235" s="2"/>
      <c r="D235" s="2"/>
      <c r="E235" s="2"/>
      <c r="F235" s="2"/>
      <c r="G235" s="2"/>
    </row>
    <row r="236">
      <c r="A236" s="1" t="s">
        <v>170</v>
      </c>
      <c r="B236" s="1">
        <v>6.0</v>
      </c>
      <c r="C236" s="2"/>
      <c r="D236" s="2"/>
      <c r="E236" s="2"/>
      <c r="F236" s="2"/>
      <c r="G236" s="2"/>
    </row>
    <row r="237">
      <c r="A237" s="1" t="s">
        <v>171</v>
      </c>
      <c r="B237" s="1">
        <v>92.0</v>
      </c>
      <c r="C237" s="2"/>
      <c r="D237" s="2"/>
      <c r="E237" s="2"/>
      <c r="F237" s="2"/>
      <c r="G237" s="2"/>
    </row>
    <row r="238">
      <c r="A238" s="1" t="s">
        <v>172</v>
      </c>
      <c r="B238" s="1">
        <v>77.0</v>
      </c>
      <c r="C238" s="2"/>
      <c r="D238" s="2"/>
      <c r="E238" s="2"/>
      <c r="F238" s="2"/>
      <c r="G238" s="2"/>
    </row>
    <row r="239">
      <c r="A239" s="1" t="s">
        <v>173</v>
      </c>
      <c r="B239" s="1">
        <v>34.0</v>
      </c>
      <c r="C239" s="2"/>
      <c r="D239" s="2"/>
      <c r="E239" s="2"/>
      <c r="F239" s="2"/>
      <c r="G239" s="2"/>
    </row>
    <row r="240">
      <c r="A240" s="1" t="s">
        <v>174</v>
      </c>
      <c r="B240" s="1">
        <v>42.0</v>
      </c>
      <c r="C240" s="2"/>
      <c r="D240" s="2"/>
      <c r="E240" s="2"/>
      <c r="F240" s="2"/>
      <c r="G240" s="2"/>
    </row>
    <row r="241">
      <c r="A241" s="1" t="s">
        <v>175</v>
      </c>
      <c r="B241" s="1">
        <v>72.0</v>
      </c>
      <c r="C241" s="2"/>
      <c r="D241" s="2"/>
      <c r="E241" s="2"/>
      <c r="F241" s="2"/>
      <c r="G241" s="2"/>
    </row>
    <row r="242">
      <c r="A242" s="1" t="s">
        <v>176</v>
      </c>
      <c r="B242" s="1">
        <v>11.0</v>
      </c>
      <c r="C242" s="2"/>
      <c r="D242" s="2"/>
      <c r="E242" s="2"/>
      <c r="F242" s="2"/>
      <c r="G242" s="2"/>
    </row>
    <row r="243">
      <c r="A243" s="1" t="s">
        <v>177</v>
      </c>
      <c r="B243" s="1">
        <v>31.0</v>
      </c>
      <c r="C243" s="2"/>
      <c r="D243" s="2"/>
      <c r="E243" s="2"/>
      <c r="F243" s="2"/>
      <c r="G243" s="2"/>
    </row>
    <row r="244">
      <c r="A244" s="1" t="s">
        <v>178</v>
      </c>
      <c r="B244" s="1">
        <v>53.0</v>
      </c>
      <c r="C244" s="2"/>
      <c r="D244" s="2"/>
      <c r="E244" s="2"/>
      <c r="F244" s="2"/>
      <c r="G244" s="2"/>
    </row>
    <row r="245">
      <c r="A245" s="1" t="s">
        <v>179</v>
      </c>
      <c r="B245" s="1">
        <v>8.0</v>
      </c>
      <c r="C245" s="2"/>
      <c r="D245" s="2"/>
      <c r="E245" s="2"/>
      <c r="F245" s="2"/>
      <c r="G245" s="2"/>
    </row>
    <row r="246">
      <c r="A246" s="1" t="s">
        <v>180</v>
      </c>
      <c r="B246" s="1">
        <v>54.0</v>
      </c>
      <c r="C246" s="2"/>
      <c r="D246" s="2"/>
      <c r="E246" s="2"/>
      <c r="F246" s="2"/>
      <c r="G246" s="2"/>
    </row>
    <row r="247">
      <c r="A247" s="1" t="s">
        <v>181</v>
      </c>
      <c r="B247" s="1">
        <v>0.0</v>
      </c>
      <c r="C247" s="2"/>
      <c r="D247" s="2"/>
      <c r="E247" s="2"/>
      <c r="F247" s="2"/>
      <c r="G247" s="2"/>
    </row>
    <row r="248">
      <c r="A248" s="1" t="s">
        <v>182</v>
      </c>
      <c r="B248" s="1">
        <v>0.0</v>
      </c>
      <c r="C248" s="2"/>
      <c r="D248" s="2"/>
      <c r="E248" s="2"/>
      <c r="F248" s="2"/>
      <c r="G248" s="2"/>
    </row>
    <row r="249">
      <c r="A249" s="1" t="s">
        <v>183</v>
      </c>
      <c r="B249" s="1">
        <v>37.0</v>
      </c>
      <c r="C249" s="2"/>
      <c r="D249" s="2"/>
      <c r="E249" s="2"/>
      <c r="F249" s="2"/>
      <c r="G249" s="2"/>
    </row>
    <row r="250">
      <c r="A250" s="1" t="s">
        <v>184</v>
      </c>
      <c r="B250" s="1">
        <v>0.0</v>
      </c>
      <c r="C250" s="2"/>
      <c r="D250" s="2"/>
      <c r="E250" s="2"/>
      <c r="F250" s="2"/>
      <c r="G250" s="2"/>
    </row>
    <row r="251">
      <c r="A251" s="1" t="s">
        <v>185</v>
      </c>
      <c r="B251" s="2"/>
      <c r="C251" s="2"/>
      <c r="D251" s="2"/>
      <c r="E251" s="2"/>
      <c r="F251" s="2"/>
      <c r="G251" s="2"/>
    </row>
    <row r="252">
      <c r="A252" s="1" t="s">
        <v>186</v>
      </c>
      <c r="B252" s="1">
        <v>29.0</v>
      </c>
      <c r="C252" s="2"/>
      <c r="D252" s="2"/>
      <c r="E252" s="2"/>
      <c r="F252" s="2"/>
      <c r="G252" s="2"/>
    </row>
    <row r="253">
      <c r="A253" s="1" t="s">
        <v>187</v>
      </c>
      <c r="B253" s="2"/>
      <c r="C253" s="2"/>
      <c r="D253" s="2"/>
      <c r="E253" s="2"/>
      <c r="F253" s="2"/>
      <c r="G253" s="2"/>
    </row>
    <row r="254">
      <c r="A254" s="1" t="s">
        <v>188</v>
      </c>
      <c r="B254" s="1">
        <v>0.0</v>
      </c>
      <c r="C254" s="2"/>
      <c r="D254" s="2"/>
      <c r="E254" s="2"/>
      <c r="F254" s="2"/>
      <c r="G254" s="2"/>
    </row>
    <row r="255">
      <c r="A255" s="1" t="s">
        <v>189</v>
      </c>
      <c r="B255" s="1">
        <v>0.0</v>
      </c>
      <c r="C255" s="2"/>
      <c r="D255" s="2"/>
      <c r="E255" s="2"/>
      <c r="F255" s="2"/>
      <c r="G255" s="2"/>
    </row>
    <row r="256">
      <c r="A256" s="1" t="s">
        <v>190</v>
      </c>
      <c r="B256" s="1">
        <v>0.0</v>
      </c>
      <c r="C256" s="2"/>
      <c r="D256" s="2"/>
      <c r="E256" s="2"/>
      <c r="F256" s="2"/>
      <c r="G256" s="2"/>
    </row>
    <row r="257">
      <c r="A257" s="1" t="s">
        <v>191</v>
      </c>
      <c r="B257" s="1">
        <v>0.0</v>
      </c>
      <c r="C257" s="2"/>
      <c r="D257" s="2"/>
      <c r="E257" s="2"/>
      <c r="F257" s="2"/>
      <c r="G257" s="2"/>
    </row>
    <row r="258">
      <c r="A258" s="1" t="s">
        <v>192</v>
      </c>
      <c r="B258" s="1">
        <v>0.0</v>
      </c>
      <c r="C258" s="2"/>
      <c r="D258" s="2"/>
      <c r="E258" s="2"/>
      <c r="F258" s="2"/>
      <c r="G258" s="2"/>
    </row>
    <row r="259">
      <c r="A259" s="1" t="s">
        <v>193</v>
      </c>
      <c r="B259" s="1">
        <v>0.0</v>
      </c>
      <c r="C259" s="2"/>
      <c r="D259" s="2"/>
      <c r="E259" s="2"/>
      <c r="F259" s="2"/>
      <c r="G259" s="2"/>
    </row>
    <row r="260">
      <c r="A260" s="1" t="s">
        <v>194</v>
      </c>
      <c r="B260" s="1">
        <v>28.0</v>
      </c>
      <c r="C260" s="2"/>
      <c r="D260" s="2"/>
      <c r="E260" s="2"/>
      <c r="F260" s="2"/>
      <c r="G260" s="2"/>
    </row>
    <row r="261">
      <c r="A261" s="1" t="s">
        <v>195</v>
      </c>
      <c r="B261" s="1">
        <v>80.0</v>
      </c>
      <c r="C261" s="2"/>
      <c r="D261" s="2"/>
      <c r="E261" s="2"/>
      <c r="F261" s="2"/>
      <c r="G261" s="2"/>
    </row>
    <row r="262">
      <c r="A262" s="1" t="s">
        <v>196</v>
      </c>
      <c r="B262" s="1">
        <v>0.0</v>
      </c>
      <c r="C262" s="2"/>
      <c r="D262" s="2"/>
      <c r="E262" s="2"/>
      <c r="F262" s="2"/>
      <c r="G262" s="2"/>
    </row>
    <row r="263">
      <c r="A263" s="1" t="s">
        <v>197</v>
      </c>
      <c r="B263" s="1">
        <v>0.0</v>
      </c>
      <c r="C263" s="2"/>
      <c r="D263" s="2"/>
      <c r="E263" s="2"/>
      <c r="F263" s="2"/>
      <c r="G263" s="2"/>
    </row>
    <row r="264">
      <c r="A264" s="1" t="s">
        <v>198</v>
      </c>
      <c r="B264" s="1">
        <v>84.0</v>
      </c>
      <c r="C264" s="2"/>
      <c r="D264" s="2"/>
      <c r="E264" s="2"/>
      <c r="F264" s="2"/>
      <c r="G264" s="2"/>
    </row>
    <row r="265">
      <c r="A265" s="1" t="s">
        <v>199</v>
      </c>
      <c r="B265" s="1">
        <v>0.0</v>
      </c>
      <c r="C265" s="2"/>
      <c r="D265" s="2"/>
      <c r="E265" s="2"/>
      <c r="F265" s="2"/>
      <c r="G265" s="2"/>
    </row>
    <row r="266">
      <c r="A266" s="1" t="s">
        <v>200</v>
      </c>
      <c r="B266" s="1">
        <v>0.0</v>
      </c>
      <c r="C266" s="2"/>
      <c r="D266" s="2"/>
      <c r="E266" s="2"/>
      <c r="F266" s="2"/>
      <c r="G266" s="2"/>
    </row>
    <row r="267">
      <c r="A267" s="1" t="s">
        <v>201</v>
      </c>
      <c r="B267" s="1">
        <v>86.0</v>
      </c>
      <c r="C267" s="2"/>
      <c r="D267" s="2"/>
      <c r="E267" s="2"/>
      <c r="F267" s="2"/>
      <c r="G267" s="2"/>
    </row>
    <row r="268">
      <c r="A268" s="1" t="s">
        <v>202</v>
      </c>
      <c r="B268" s="1">
        <v>0.0</v>
      </c>
      <c r="C268" s="2"/>
      <c r="D268" s="2"/>
      <c r="E268" s="2"/>
      <c r="F268" s="2"/>
      <c r="G268" s="2"/>
    </row>
    <row r="269">
      <c r="A269" s="1" t="s">
        <v>203</v>
      </c>
      <c r="B269" s="1">
        <v>0.0</v>
      </c>
      <c r="C269" s="2"/>
      <c r="D269" s="2"/>
      <c r="E269" s="2"/>
      <c r="F269" s="2"/>
      <c r="G269" s="2"/>
    </row>
    <row r="270">
      <c r="A270" s="1" t="s">
        <v>204</v>
      </c>
      <c r="B270" s="1">
        <v>14.0</v>
      </c>
      <c r="C270" s="2"/>
      <c r="D270" s="2"/>
      <c r="E270" s="2"/>
      <c r="F270" s="2"/>
      <c r="G270" s="2"/>
    </row>
    <row r="271">
      <c r="A271" s="1" t="s">
        <v>205</v>
      </c>
      <c r="B271" s="1">
        <v>54.0</v>
      </c>
      <c r="C271" s="2"/>
      <c r="D271" s="2"/>
      <c r="E271" s="2"/>
      <c r="F271" s="2"/>
      <c r="G271" s="2"/>
    </row>
    <row r="272">
      <c r="A272" s="1" t="s">
        <v>206</v>
      </c>
      <c r="B272" s="1">
        <v>71.0</v>
      </c>
      <c r="C272" s="2"/>
      <c r="D272" s="2"/>
      <c r="E272" s="2"/>
      <c r="F272" s="2"/>
      <c r="G272" s="2"/>
    </row>
    <row r="273">
      <c r="A273" s="1" t="s">
        <v>207</v>
      </c>
      <c r="B273" s="1">
        <v>0.0</v>
      </c>
      <c r="C273" s="2"/>
      <c r="D273" s="2"/>
      <c r="E273" s="2"/>
      <c r="F273" s="2"/>
      <c r="G273" s="2"/>
    </row>
    <row r="274">
      <c r="A274" s="1" t="s">
        <v>208</v>
      </c>
      <c r="B274" s="1">
        <v>40.0</v>
      </c>
      <c r="C274" s="2"/>
      <c r="D274" s="2"/>
      <c r="E274" s="2"/>
      <c r="F274" s="2"/>
      <c r="G274" s="2"/>
    </row>
    <row r="275">
      <c r="A275" s="1" t="s">
        <v>209</v>
      </c>
      <c r="B275" s="1">
        <v>34.0</v>
      </c>
      <c r="C275" s="2"/>
      <c r="D275" s="2"/>
      <c r="E275" s="2"/>
      <c r="F275" s="2"/>
      <c r="G275" s="2"/>
    </row>
    <row r="276">
      <c r="A276" s="1" t="s">
        <v>210</v>
      </c>
      <c r="B276" s="1">
        <v>0.0</v>
      </c>
      <c r="C276" s="2"/>
      <c r="D276" s="2"/>
      <c r="E276" s="2"/>
      <c r="F276" s="2"/>
      <c r="G276" s="2"/>
    </row>
    <row r="277">
      <c r="A277" s="1" t="s">
        <v>211</v>
      </c>
      <c r="B277" s="1">
        <v>62.0</v>
      </c>
      <c r="C277" s="2"/>
      <c r="D277" s="2"/>
      <c r="E277" s="2"/>
      <c r="F277" s="2"/>
      <c r="G277" s="2"/>
    </row>
    <row r="278">
      <c r="A278" s="1" t="s">
        <v>212</v>
      </c>
      <c r="B278" s="1">
        <v>40.0</v>
      </c>
      <c r="C278" s="2"/>
      <c r="D278" s="2"/>
      <c r="E278" s="2"/>
      <c r="F278" s="2"/>
      <c r="G278" s="2"/>
    </row>
    <row r="279">
      <c r="A279" s="1" t="s">
        <v>213</v>
      </c>
      <c r="B279" s="1">
        <v>0.0</v>
      </c>
      <c r="C279" s="2"/>
      <c r="D279" s="2"/>
      <c r="E279" s="2"/>
      <c r="F279" s="2"/>
      <c r="G279" s="2"/>
    </row>
    <row r="280">
      <c r="A280" s="1" t="s">
        <v>214</v>
      </c>
      <c r="B280" s="1">
        <v>0.0</v>
      </c>
      <c r="C280" s="2"/>
      <c r="D280" s="2"/>
      <c r="E280" s="2"/>
      <c r="F280" s="2"/>
      <c r="G280" s="2"/>
    </row>
    <row r="281">
      <c r="A281" s="1" t="s">
        <v>215</v>
      </c>
      <c r="B281" s="1">
        <v>0.0</v>
      </c>
      <c r="C281" s="2"/>
      <c r="D281" s="2"/>
      <c r="E281" s="2"/>
      <c r="F281" s="2"/>
      <c r="G281" s="2"/>
    </row>
    <row r="282">
      <c r="A282" s="1" t="s">
        <v>216</v>
      </c>
      <c r="B282" s="1">
        <v>4.0</v>
      </c>
      <c r="C282" s="2"/>
      <c r="D282" s="2"/>
      <c r="E282" s="2"/>
      <c r="F282" s="2"/>
      <c r="G282" s="2"/>
    </row>
    <row r="283">
      <c r="A283" s="1" t="s">
        <v>217</v>
      </c>
      <c r="B283" s="1">
        <v>0.0</v>
      </c>
      <c r="C283" s="2"/>
      <c r="D283" s="2"/>
      <c r="E283" s="2"/>
      <c r="F283" s="2"/>
      <c r="G283" s="2"/>
    </row>
    <row r="284">
      <c r="A284" s="1" t="s">
        <v>218</v>
      </c>
      <c r="B284" s="1">
        <v>0.0</v>
      </c>
      <c r="C284" s="2"/>
      <c r="D284" s="2"/>
      <c r="E284" s="2"/>
      <c r="F284" s="2"/>
      <c r="G284" s="2"/>
    </row>
    <row r="285">
      <c r="A285" s="1" t="s">
        <v>219</v>
      </c>
      <c r="B285" s="1">
        <v>13.0</v>
      </c>
      <c r="C285" s="2"/>
      <c r="D285" s="2"/>
      <c r="E285" s="2"/>
      <c r="F285" s="2"/>
      <c r="G285" s="2"/>
    </row>
    <row r="286">
      <c r="A286" s="1" t="s">
        <v>220</v>
      </c>
      <c r="B286" s="1">
        <v>0.0</v>
      </c>
      <c r="C286" s="2"/>
      <c r="D286" s="2"/>
      <c r="E286" s="2"/>
      <c r="F286" s="2"/>
      <c r="G286" s="2"/>
    </row>
    <row r="287">
      <c r="A287" s="1" t="s">
        <v>221</v>
      </c>
      <c r="B287" s="1">
        <v>0.0</v>
      </c>
      <c r="C287" s="2"/>
      <c r="D287" s="2"/>
      <c r="E287" s="2"/>
      <c r="F287" s="2"/>
      <c r="G287" s="2"/>
    </row>
    <row r="288">
      <c r="A288" s="1" t="s">
        <v>222</v>
      </c>
      <c r="B288" s="1">
        <v>0.0</v>
      </c>
      <c r="C288" s="2"/>
      <c r="D288" s="2"/>
      <c r="E288" s="2"/>
      <c r="F288" s="2"/>
      <c r="G288" s="2"/>
    </row>
    <row r="289">
      <c r="A289" s="1" t="s">
        <v>223</v>
      </c>
      <c r="B289" s="1">
        <v>0.0</v>
      </c>
      <c r="C289" s="2"/>
      <c r="D289" s="2"/>
      <c r="E289" s="2"/>
      <c r="F289" s="2"/>
      <c r="G289" s="2"/>
    </row>
    <row r="290">
      <c r="A290" s="1" t="s">
        <v>224</v>
      </c>
      <c r="B290" s="1">
        <v>0.0</v>
      </c>
      <c r="C290" s="2"/>
      <c r="D290" s="2"/>
      <c r="E290" s="2"/>
      <c r="F290" s="2"/>
      <c r="G290" s="2"/>
    </row>
    <row r="291">
      <c r="A291" s="1" t="s">
        <v>225</v>
      </c>
      <c r="B291" s="1">
        <v>0.0</v>
      </c>
      <c r="C291" s="2"/>
      <c r="D291" s="2"/>
      <c r="E291" s="2"/>
      <c r="F291" s="2"/>
      <c r="G291" s="2"/>
    </row>
    <row r="292">
      <c r="A292" s="1" t="s">
        <v>226</v>
      </c>
      <c r="B292" s="2"/>
      <c r="C292" s="2"/>
      <c r="D292" s="2"/>
      <c r="E292" s="2"/>
      <c r="F292" s="2"/>
      <c r="G292" s="2"/>
    </row>
    <row r="293">
      <c r="A293" s="1" t="s">
        <v>227</v>
      </c>
      <c r="B293" s="1">
        <v>0.0</v>
      </c>
      <c r="C293" s="2"/>
      <c r="D293" s="2"/>
      <c r="E293" s="2"/>
      <c r="F293" s="2"/>
      <c r="G293" s="2"/>
    </row>
    <row r="294">
      <c r="A294" s="1" t="s">
        <v>228</v>
      </c>
      <c r="B294" s="2"/>
      <c r="C294" s="2"/>
      <c r="D294" s="2"/>
      <c r="E294" s="2"/>
      <c r="F294" s="2"/>
      <c r="G294" s="2"/>
    </row>
    <row r="295">
      <c r="A295" s="1" t="s">
        <v>229</v>
      </c>
      <c r="B295" s="1">
        <v>0.0</v>
      </c>
      <c r="C295" s="2"/>
      <c r="D295" s="2"/>
      <c r="E295" s="2"/>
      <c r="F295" s="2"/>
      <c r="G295" s="2"/>
    </row>
    <row r="296">
      <c r="A296" s="1" t="s">
        <v>230</v>
      </c>
      <c r="B296" s="1">
        <v>50.0</v>
      </c>
      <c r="C296" s="2"/>
      <c r="D296" s="2"/>
      <c r="E296" s="2"/>
      <c r="F296" s="2"/>
      <c r="G296" s="2"/>
    </row>
    <row r="297">
      <c r="A297" s="1" t="s">
        <v>231</v>
      </c>
      <c r="B297" s="1">
        <v>0.0</v>
      </c>
      <c r="C297" s="2"/>
      <c r="D297" s="2"/>
      <c r="E297" s="2"/>
      <c r="F297" s="2"/>
      <c r="G297" s="2"/>
    </row>
    <row r="298">
      <c r="A298" s="1" t="s">
        <v>232</v>
      </c>
      <c r="B298" s="1">
        <v>0.0</v>
      </c>
      <c r="C298" s="2"/>
      <c r="D298" s="2"/>
      <c r="E298" s="2"/>
      <c r="F298" s="2"/>
      <c r="G298" s="2"/>
    </row>
    <row r="299">
      <c r="A299" s="1" t="s">
        <v>233</v>
      </c>
      <c r="B299" s="1">
        <v>0.0</v>
      </c>
      <c r="C299" s="2"/>
      <c r="D299" s="2"/>
      <c r="E299" s="2"/>
      <c r="F299" s="2"/>
      <c r="G299" s="2"/>
    </row>
    <row r="300">
      <c r="A300" s="1" t="s">
        <v>234</v>
      </c>
      <c r="B300" s="1" t="s">
        <v>235</v>
      </c>
      <c r="C300" s="1">
        <v>0.0</v>
      </c>
      <c r="D300" s="2"/>
      <c r="E300" s="2"/>
      <c r="F300" s="2"/>
      <c r="G300" s="2"/>
    </row>
    <row r="301">
      <c r="A301" s="1" t="s">
        <v>236</v>
      </c>
      <c r="B301" s="1">
        <v>59.0</v>
      </c>
      <c r="C301" s="2"/>
      <c r="D301" s="2"/>
      <c r="E301" s="2"/>
      <c r="F301" s="2"/>
      <c r="G301" s="2"/>
    </row>
    <row r="302">
      <c r="A302" s="1" t="s">
        <v>237</v>
      </c>
      <c r="B302" s="1">
        <v>0.0</v>
      </c>
      <c r="C302" s="2"/>
      <c r="D302" s="2"/>
      <c r="E302" s="2"/>
      <c r="F302" s="2"/>
      <c r="G302" s="2"/>
    </row>
    <row r="303">
      <c r="A303" s="1" t="s">
        <v>238</v>
      </c>
      <c r="B303" s="1">
        <v>80.0</v>
      </c>
      <c r="C303" s="2"/>
      <c r="D303" s="2"/>
      <c r="E303" s="2"/>
      <c r="F303" s="2"/>
      <c r="G303" s="2"/>
    </row>
    <row r="304">
      <c r="A304" s="1" t="s">
        <v>239</v>
      </c>
      <c r="B304" s="1">
        <v>50.0</v>
      </c>
      <c r="C304" s="2"/>
      <c r="D304" s="2"/>
      <c r="E304" s="2"/>
      <c r="F304" s="2"/>
      <c r="G304" s="2"/>
    </row>
    <row r="305">
      <c r="A305" s="1" t="s">
        <v>240</v>
      </c>
      <c r="B305" s="1">
        <v>0.0</v>
      </c>
      <c r="C305" s="2"/>
      <c r="D305" s="2"/>
      <c r="E305" s="2"/>
      <c r="F305" s="2"/>
      <c r="G305" s="2"/>
    </row>
    <row r="306">
      <c r="A306" s="1" t="s">
        <v>241</v>
      </c>
      <c r="B306" s="1">
        <v>0.0</v>
      </c>
      <c r="C306" s="2"/>
      <c r="D306" s="2"/>
      <c r="E306" s="2"/>
      <c r="F306" s="2"/>
      <c r="G306" s="2"/>
    </row>
    <row r="307">
      <c r="A307" s="1" t="s">
        <v>242</v>
      </c>
      <c r="B307" s="1">
        <v>0.0</v>
      </c>
      <c r="C307" s="2"/>
      <c r="D307" s="2"/>
      <c r="E307" s="2"/>
      <c r="F307" s="2"/>
      <c r="G307" s="2"/>
    </row>
    <row r="308">
      <c r="A308" s="1" t="s">
        <v>243</v>
      </c>
      <c r="B308" s="1">
        <v>0.0</v>
      </c>
      <c r="C308" s="2"/>
      <c r="D308" s="2"/>
      <c r="E308" s="2"/>
      <c r="F308" s="2"/>
      <c r="G308" s="2"/>
    </row>
    <row r="309">
      <c r="A309" s="1" t="s">
        <v>244</v>
      </c>
      <c r="B309" s="1">
        <v>0.0</v>
      </c>
      <c r="C309" s="2"/>
      <c r="D309" s="2"/>
      <c r="E309" s="2"/>
      <c r="F309" s="2"/>
      <c r="G309" s="2"/>
    </row>
    <row r="310">
      <c r="A310" s="1" t="s">
        <v>245</v>
      </c>
      <c r="B310" s="1">
        <v>0.0</v>
      </c>
      <c r="C310" s="2"/>
      <c r="D310" s="2"/>
      <c r="E310" s="2"/>
      <c r="F310" s="2"/>
      <c r="G310" s="2"/>
    </row>
    <row r="311">
      <c r="A311" s="1" t="s">
        <v>246</v>
      </c>
      <c r="B311" s="1">
        <v>0.0</v>
      </c>
      <c r="C311" s="2"/>
      <c r="D311" s="2"/>
      <c r="E311" s="2"/>
      <c r="F311" s="2"/>
      <c r="G311" s="2"/>
    </row>
    <row r="312">
      <c r="A312" s="1" t="s">
        <v>247</v>
      </c>
      <c r="B312" s="1">
        <v>0.0</v>
      </c>
      <c r="C312" s="2"/>
      <c r="D312" s="2"/>
      <c r="E312" s="2"/>
      <c r="F312" s="2"/>
      <c r="G312" s="2"/>
    </row>
    <row r="313">
      <c r="A313" s="1" t="s">
        <v>248</v>
      </c>
      <c r="B313" s="1">
        <v>0.0</v>
      </c>
      <c r="C313" s="2"/>
      <c r="D313" s="2"/>
      <c r="E313" s="2"/>
      <c r="F313" s="2"/>
      <c r="G313" s="2"/>
    </row>
    <row r="314">
      <c r="A314" s="1" t="s">
        <v>249</v>
      </c>
      <c r="B314" s="1">
        <v>0.0</v>
      </c>
      <c r="C314" s="2"/>
      <c r="D314" s="2"/>
      <c r="E314" s="2"/>
      <c r="F314" s="2"/>
      <c r="G314" s="2"/>
    </row>
    <row r="315">
      <c r="A315" s="1" t="s">
        <v>250</v>
      </c>
      <c r="B315" s="1">
        <v>0.0</v>
      </c>
      <c r="C315" s="2"/>
      <c r="D315" s="2"/>
      <c r="E315" s="2"/>
      <c r="F315" s="2"/>
      <c r="G315" s="2"/>
    </row>
    <row r="316">
      <c r="A316" s="1" t="s">
        <v>251</v>
      </c>
      <c r="B316" s="1">
        <v>0.0</v>
      </c>
      <c r="C316" s="2"/>
      <c r="D316" s="2"/>
      <c r="E316" s="2"/>
      <c r="F316" s="2"/>
      <c r="G316" s="2"/>
    </row>
    <row r="317">
      <c r="A317" s="1" t="s">
        <v>252</v>
      </c>
      <c r="B317" s="1">
        <v>0.0</v>
      </c>
      <c r="C317" s="2"/>
      <c r="D317" s="2"/>
      <c r="E317" s="2"/>
      <c r="F317" s="2"/>
      <c r="G317" s="2"/>
    </row>
    <row r="318">
      <c r="A318" s="1" t="s">
        <v>253</v>
      </c>
      <c r="B318" s="1">
        <v>0.0</v>
      </c>
      <c r="C318" s="2"/>
      <c r="D318" s="2"/>
      <c r="E318" s="2"/>
      <c r="F318" s="2"/>
      <c r="G318" s="2"/>
    </row>
    <row r="319">
      <c r="A319" s="1" t="s">
        <v>254</v>
      </c>
      <c r="B319" s="1">
        <v>66.0</v>
      </c>
      <c r="C319" s="2"/>
      <c r="D319" s="2"/>
      <c r="E319" s="2"/>
      <c r="F319" s="2"/>
      <c r="G319" s="2"/>
    </row>
    <row r="320">
      <c r="A320" s="1" t="s">
        <v>255</v>
      </c>
      <c r="B320" s="1">
        <v>0.0</v>
      </c>
      <c r="C320" s="2"/>
      <c r="D320" s="2"/>
      <c r="E320" s="2"/>
      <c r="F320" s="2"/>
      <c r="G320" s="2"/>
    </row>
    <row r="321">
      <c r="A321" s="1" t="s">
        <v>256</v>
      </c>
      <c r="B321" s="1">
        <v>0.0</v>
      </c>
      <c r="C321" s="2"/>
      <c r="D321" s="2"/>
      <c r="E321" s="2"/>
      <c r="F321" s="2"/>
      <c r="G321" s="2"/>
    </row>
    <row r="322">
      <c r="A322" s="1" t="s">
        <v>257</v>
      </c>
      <c r="B322" s="1">
        <v>23.0</v>
      </c>
      <c r="C322" s="2"/>
      <c r="D322" s="2"/>
      <c r="E322" s="2"/>
      <c r="F322" s="2"/>
      <c r="G322" s="2"/>
    </row>
    <row r="323">
      <c r="A323" s="1" t="s">
        <v>258</v>
      </c>
      <c r="B323" s="1">
        <v>0.0</v>
      </c>
      <c r="C323" s="2"/>
      <c r="D323" s="2"/>
      <c r="E323" s="2"/>
      <c r="F323" s="2"/>
      <c r="G323" s="2"/>
    </row>
    <row r="324">
      <c r="A324" s="1" t="s">
        <v>259</v>
      </c>
      <c r="B324" s="1">
        <v>0.0</v>
      </c>
      <c r="C324" s="2"/>
      <c r="D324" s="2"/>
      <c r="E324" s="2"/>
      <c r="F324" s="2"/>
      <c r="G324" s="2"/>
    </row>
    <row r="325">
      <c r="A325" s="1" t="s">
        <v>260</v>
      </c>
      <c r="B325" s="1" t="s">
        <v>261</v>
      </c>
      <c r="C325" s="1">
        <v>0.0</v>
      </c>
      <c r="D325" s="2"/>
      <c r="E325" s="2"/>
      <c r="F325" s="2"/>
      <c r="G325" s="2"/>
    </row>
    <row r="326">
      <c r="A326" s="1" t="s">
        <v>262</v>
      </c>
      <c r="B326" s="1">
        <v>39.0</v>
      </c>
      <c r="C326" s="2"/>
      <c r="D326" s="2"/>
      <c r="E326" s="2"/>
      <c r="F326" s="2"/>
      <c r="G326" s="2"/>
    </row>
    <row r="327">
      <c r="A327" s="1" t="s">
        <v>263</v>
      </c>
      <c r="B327" s="1">
        <v>0.0</v>
      </c>
      <c r="C327" s="2"/>
      <c r="D327" s="2"/>
      <c r="E327" s="2"/>
      <c r="F327" s="2"/>
      <c r="G327" s="2"/>
    </row>
    <row r="328">
      <c r="A328" s="1" t="s">
        <v>264</v>
      </c>
      <c r="B328" s="1">
        <v>0.0</v>
      </c>
      <c r="C328" s="2"/>
      <c r="D328" s="2"/>
      <c r="E328" s="2"/>
      <c r="F328" s="2"/>
      <c r="G328" s="2"/>
    </row>
    <row r="329">
      <c r="A329" s="1" t="s">
        <v>265</v>
      </c>
      <c r="B329" s="1">
        <v>0.0</v>
      </c>
      <c r="C329" s="2"/>
      <c r="D329" s="2"/>
      <c r="E329" s="2"/>
      <c r="F329" s="2"/>
      <c r="G329" s="2"/>
    </row>
    <row r="330">
      <c r="A330" s="1" t="s">
        <v>266</v>
      </c>
      <c r="B330" s="1">
        <v>0.0</v>
      </c>
      <c r="C330" s="2"/>
      <c r="D330" s="2"/>
      <c r="E330" s="2"/>
      <c r="F330" s="2"/>
      <c r="G330" s="2"/>
    </row>
    <row r="331">
      <c r="A331" s="1" t="s">
        <v>267</v>
      </c>
      <c r="B331" s="1">
        <v>30.0</v>
      </c>
      <c r="C331" s="2"/>
      <c r="D331" s="2"/>
      <c r="E331" s="2"/>
      <c r="F331" s="2"/>
      <c r="G331" s="2"/>
    </row>
    <row r="332">
      <c r="A332" s="1" t="s">
        <v>268</v>
      </c>
      <c r="B332" s="1">
        <v>3.0</v>
      </c>
      <c r="C332" s="2"/>
      <c r="D332" s="2"/>
      <c r="E332" s="2"/>
      <c r="F332" s="2"/>
      <c r="G332" s="2"/>
    </row>
    <row r="333">
      <c r="A333" s="1" t="s">
        <v>269</v>
      </c>
      <c r="B333" s="1">
        <v>0.0</v>
      </c>
      <c r="C333" s="2"/>
      <c r="D333" s="2"/>
      <c r="E333" s="2"/>
      <c r="F333" s="2"/>
      <c r="G333" s="2"/>
    </row>
    <row r="334">
      <c r="A334" s="1" t="s">
        <v>270</v>
      </c>
      <c r="B334" s="1">
        <v>0.0</v>
      </c>
      <c r="C334" s="2"/>
      <c r="D334" s="2"/>
      <c r="E334" s="2"/>
      <c r="F334" s="2"/>
      <c r="G334" s="2"/>
    </row>
    <row r="335">
      <c r="A335" s="1" t="s">
        <v>271</v>
      </c>
      <c r="B335" s="1">
        <v>66.0</v>
      </c>
      <c r="C335" s="2"/>
      <c r="D335" s="2"/>
      <c r="E335" s="2"/>
      <c r="F335" s="2"/>
      <c r="G335" s="2"/>
    </row>
    <row r="336">
      <c r="A336" s="1" t="s">
        <v>272</v>
      </c>
      <c r="B336" s="1">
        <v>0.0</v>
      </c>
      <c r="C336" s="2"/>
      <c r="D336" s="2"/>
      <c r="E336" s="2"/>
      <c r="F336" s="2"/>
      <c r="G336" s="2"/>
    </row>
    <row r="337">
      <c r="A337" s="1" t="s">
        <v>273</v>
      </c>
      <c r="B337" s="1">
        <v>0.0</v>
      </c>
      <c r="C337" s="2"/>
      <c r="D337" s="2"/>
      <c r="E337" s="2"/>
      <c r="F337" s="2"/>
      <c r="G337" s="2"/>
    </row>
    <row r="338">
      <c r="A338" s="1" t="s">
        <v>274</v>
      </c>
      <c r="B338" s="1">
        <v>0.0</v>
      </c>
      <c r="C338" s="2"/>
      <c r="D338" s="2"/>
      <c r="E338" s="2"/>
      <c r="F338" s="2"/>
      <c r="G338" s="2"/>
    </row>
    <row r="339">
      <c r="A339" s="1" t="s">
        <v>275</v>
      </c>
      <c r="B339" s="1">
        <v>0.0</v>
      </c>
      <c r="C339" s="2"/>
      <c r="D339" s="2"/>
      <c r="E339" s="2"/>
      <c r="F339" s="2"/>
      <c r="G339" s="2"/>
    </row>
    <row r="340">
      <c r="A340" s="1" t="s">
        <v>276</v>
      </c>
      <c r="B340" s="1">
        <v>58.0</v>
      </c>
      <c r="C340" s="2"/>
      <c r="D340" s="2"/>
      <c r="E340" s="2"/>
      <c r="F340" s="2"/>
      <c r="G340" s="2"/>
    </row>
    <row r="341">
      <c r="A341" s="1" t="s">
        <v>277</v>
      </c>
      <c r="B341" s="1">
        <v>99.0</v>
      </c>
      <c r="C341" s="2"/>
      <c r="D341" s="2"/>
      <c r="E341" s="2"/>
      <c r="F341" s="2"/>
      <c r="G341" s="2"/>
    </row>
    <row r="342">
      <c r="A342" s="1" t="s">
        <v>278</v>
      </c>
      <c r="B342" s="1">
        <v>0.0</v>
      </c>
      <c r="C342" s="2"/>
      <c r="D342" s="2"/>
      <c r="E342" s="2"/>
      <c r="F342" s="2"/>
      <c r="G342" s="2"/>
    </row>
    <row r="343">
      <c r="A343" s="1" t="s">
        <v>279</v>
      </c>
      <c r="B343" s="1">
        <v>0.0</v>
      </c>
      <c r="C343" s="2"/>
      <c r="D343" s="2"/>
      <c r="E343" s="2"/>
      <c r="F343" s="2"/>
      <c r="G343" s="2"/>
    </row>
    <row r="344">
      <c r="A344" s="1" t="s">
        <v>280</v>
      </c>
      <c r="B344" s="1">
        <v>0.0</v>
      </c>
      <c r="C344" s="2"/>
      <c r="D344" s="2"/>
      <c r="E344" s="2"/>
      <c r="F344" s="2"/>
      <c r="G344" s="2"/>
    </row>
    <row r="345">
      <c r="A345" s="1" t="s">
        <v>281</v>
      </c>
      <c r="B345" s="1">
        <v>0.0</v>
      </c>
      <c r="C345" s="2"/>
      <c r="D345" s="2"/>
      <c r="E345" s="2"/>
      <c r="F345" s="2"/>
      <c r="G345" s="2"/>
    </row>
    <row r="346">
      <c r="A346" s="1" t="s">
        <v>282</v>
      </c>
      <c r="B346" s="1">
        <v>5.0</v>
      </c>
      <c r="C346" s="2"/>
      <c r="D346" s="2"/>
      <c r="E346" s="2"/>
      <c r="F346" s="2"/>
      <c r="G346" s="2"/>
    </row>
    <row r="347">
      <c r="A347" s="1" t="s">
        <v>283</v>
      </c>
      <c r="B347" s="1">
        <v>48.0</v>
      </c>
      <c r="C347" s="2"/>
      <c r="D347" s="2"/>
      <c r="E347" s="2"/>
      <c r="F347" s="2"/>
      <c r="G347" s="2"/>
    </row>
    <row r="348">
      <c r="A348" s="1" t="s">
        <v>284</v>
      </c>
      <c r="B348" s="1">
        <v>0.0</v>
      </c>
      <c r="C348" s="2"/>
      <c r="D348" s="2"/>
      <c r="E348" s="2"/>
      <c r="F348" s="2"/>
      <c r="G348" s="2"/>
    </row>
    <row r="349">
      <c r="A349" s="1" t="s">
        <v>285</v>
      </c>
      <c r="B349" s="1">
        <v>0.0</v>
      </c>
      <c r="C349" s="2"/>
      <c r="D349" s="2"/>
      <c r="E349" s="2"/>
      <c r="F349" s="2"/>
      <c r="G349" s="2"/>
    </row>
    <row r="350">
      <c r="A350" s="1" t="s">
        <v>286</v>
      </c>
      <c r="B350" s="1">
        <v>0.0</v>
      </c>
      <c r="C350" s="2"/>
      <c r="D350" s="2"/>
      <c r="E350" s="2"/>
      <c r="F350" s="2"/>
      <c r="G350" s="2"/>
    </row>
    <row r="351">
      <c r="A351" s="1" t="s">
        <v>287</v>
      </c>
      <c r="B351" s="1">
        <v>0.0</v>
      </c>
      <c r="C351" s="2"/>
      <c r="D351" s="2"/>
      <c r="E351" s="2"/>
      <c r="F351" s="2"/>
      <c r="G351" s="2"/>
    </row>
    <row r="352">
      <c r="A352" s="1" t="s">
        <v>288</v>
      </c>
      <c r="B352" s="1">
        <v>0.0</v>
      </c>
      <c r="C352" s="2"/>
      <c r="D352" s="2"/>
      <c r="E352" s="2"/>
      <c r="F352" s="2"/>
      <c r="G352" s="2"/>
    </row>
    <row r="353">
      <c r="A353" s="1" t="s">
        <v>289</v>
      </c>
      <c r="B353" s="1">
        <v>0.0</v>
      </c>
      <c r="C353" s="2"/>
      <c r="D353" s="2"/>
      <c r="E353" s="2"/>
      <c r="F353" s="2"/>
      <c r="G353" s="2"/>
    </row>
    <row r="354">
      <c r="A354" s="1" t="s">
        <v>218</v>
      </c>
      <c r="B354" s="1">
        <v>0.0</v>
      </c>
      <c r="C354" s="2"/>
      <c r="D354" s="2"/>
      <c r="E354" s="2"/>
      <c r="F354" s="2"/>
      <c r="G354" s="2"/>
    </row>
    <row r="355">
      <c r="A355" s="1" t="s">
        <v>219</v>
      </c>
      <c r="B355" s="1">
        <v>13.0</v>
      </c>
      <c r="C355" s="2"/>
      <c r="D355" s="2"/>
      <c r="E355" s="2"/>
      <c r="F355" s="2"/>
      <c r="G355" s="2"/>
    </row>
    <row r="356">
      <c r="A356" s="1" t="s">
        <v>220</v>
      </c>
      <c r="B356" s="1">
        <v>0.0</v>
      </c>
      <c r="C356" s="2"/>
      <c r="D356" s="2"/>
      <c r="E356" s="2"/>
      <c r="F356" s="2"/>
      <c r="G356" s="2"/>
    </row>
    <row r="357">
      <c r="A357" s="1" t="s">
        <v>221</v>
      </c>
      <c r="B357" s="1">
        <v>0.0</v>
      </c>
      <c r="C357" s="2"/>
      <c r="D357" s="2"/>
      <c r="E357" s="2"/>
      <c r="F357" s="2"/>
      <c r="G357" s="2"/>
    </row>
    <row r="358">
      <c r="A358" s="1" t="s">
        <v>222</v>
      </c>
      <c r="B358" s="1">
        <v>0.0</v>
      </c>
      <c r="C358" s="2"/>
      <c r="D358" s="2"/>
      <c r="E358" s="2"/>
      <c r="F358" s="2"/>
      <c r="G358" s="2"/>
    </row>
    <row r="359">
      <c r="A359" s="1" t="s">
        <v>223</v>
      </c>
      <c r="B359" s="1">
        <v>0.0</v>
      </c>
      <c r="C359" s="2"/>
      <c r="D359" s="2"/>
      <c r="E359" s="2"/>
      <c r="F359" s="2"/>
      <c r="G359" s="2"/>
    </row>
    <row r="360">
      <c r="A360" s="1" t="s">
        <v>224</v>
      </c>
      <c r="B360" s="1">
        <v>0.0</v>
      </c>
      <c r="C360" s="2"/>
      <c r="D360" s="2"/>
      <c r="E360" s="2"/>
      <c r="F360" s="2"/>
      <c r="G360" s="2"/>
    </row>
    <row r="361">
      <c r="A361" s="1" t="s">
        <v>225</v>
      </c>
      <c r="B361" s="1">
        <v>0.0</v>
      </c>
      <c r="C361" s="2"/>
      <c r="D361" s="2"/>
      <c r="E361" s="2"/>
      <c r="F361" s="2"/>
      <c r="G361" s="2"/>
    </row>
    <row r="362">
      <c r="A362" s="1" t="s">
        <v>226</v>
      </c>
      <c r="B362" s="2"/>
      <c r="C362" s="2"/>
      <c r="D362" s="2"/>
      <c r="E362" s="2"/>
      <c r="F362" s="2"/>
      <c r="G362" s="2"/>
    </row>
    <row r="363">
      <c r="A363" s="1" t="s">
        <v>227</v>
      </c>
      <c r="B363" s="1">
        <v>0.0</v>
      </c>
      <c r="C363" s="2"/>
      <c r="D363" s="2"/>
      <c r="E363" s="2"/>
      <c r="F363" s="2"/>
      <c r="G363" s="2"/>
    </row>
    <row r="364">
      <c r="A364" s="1" t="s">
        <v>228</v>
      </c>
      <c r="B364" s="2"/>
      <c r="C364" s="2"/>
      <c r="D364" s="2"/>
      <c r="E364" s="2"/>
      <c r="F364" s="2"/>
      <c r="G364" s="2"/>
    </row>
    <row r="365">
      <c r="A365" s="1" t="s">
        <v>229</v>
      </c>
      <c r="B365" s="1">
        <v>0.0</v>
      </c>
      <c r="C365" s="2"/>
      <c r="D365" s="2"/>
      <c r="E365" s="2"/>
      <c r="F365" s="2"/>
      <c r="G365" s="2"/>
    </row>
    <row r="366">
      <c r="A366" s="1" t="s">
        <v>230</v>
      </c>
      <c r="B366" s="1">
        <v>50.0</v>
      </c>
      <c r="C366" s="2"/>
      <c r="D366" s="2"/>
      <c r="E366" s="2"/>
      <c r="F366" s="2"/>
      <c r="G366" s="2"/>
    </row>
    <row r="367">
      <c r="A367" s="1" t="s">
        <v>231</v>
      </c>
      <c r="B367" s="1">
        <v>0.0</v>
      </c>
      <c r="C367" s="2"/>
      <c r="D367" s="2"/>
      <c r="E367" s="2"/>
      <c r="F367" s="2"/>
      <c r="G367" s="2"/>
    </row>
    <row r="368">
      <c r="A368" s="1" t="s">
        <v>232</v>
      </c>
      <c r="B368" s="1">
        <v>0.0</v>
      </c>
      <c r="C368" s="2"/>
      <c r="D368" s="2"/>
      <c r="E368" s="2"/>
      <c r="F368" s="2"/>
      <c r="G368" s="2"/>
    </row>
    <row r="369">
      <c r="A369" s="1" t="s">
        <v>233</v>
      </c>
      <c r="B369" s="1">
        <v>0.0</v>
      </c>
      <c r="C369" s="2"/>
      <c r="D369" s="2"/>
      <c r="E369" s="2"/>
      <c r="F369" s="2"/>
      <c r="G369" s="2"/>
    </row>
    <row r="370">
      <c r="A370" s="1" t="s">
        <v>234</v>
      </c>
      <c r="B370" s="1" t="s">
        <v>235</v>
      </c>
      <c r="C370" s="1">
        <v>0.0</v>
      </c>
      <c r="D370" s="2"/>
      <c r="E370" s="2"/>
      <c r="F370" s="2"/>
      <c r="G370" s="2"/>
    </row>
    <row r="371">
      <c r="A371" s="1" t="s">
        <v>236</v>
      </c>
      <c r="B371" s="1">
        <v>59.0</v>
      </c>
      <c r="C371" s="2"/>
      <c r="D371" s="2"/>
      <c r="E371" s="2"/>
      <c r="F371" s="2"/>
      <c r="G371" s="2"/>
    </row>
    <row r="372">
      <c r="A372" s="1" t="s">
        <v>237</v>
      </c>
      <c r="B372" s="1">
        <v>0.0</v>
      </c>
      <c r="C372" s="2"/>
      <c r="D372" s="2"/>
      <c r="E372" s="2"/>
      <c r="F372" s="2"/>
      <c r="G372" s="2"/>
    </row>
    <row r="373">
      <c r="A373" s="1" t="s">
        <v>238</v>
      </c>
      <c r="B373" s="1">
        <v>80.0</v>
      </c>
      <c r="C373" s="2"/>
      <c r="D373" s="2"/>
      <c r="E373" s="2"/>
      <c r="F373" s="2"/>
      <c r="G373" s="2"/>
    </row>
    <row r="374">
      <c r="A374" s="1" t="s">
        <v>239</v>
      </c>
      <c r="B374" s="1">
        <v>50.0</v>
      </c>
      <c r="C374" s="2"/>
      <c r="D374" s="2"/>
      <c r="E374" s="2"/>
      <c r="F374" s="2"/>
      <c r="G374" s="2"/>
    </row>
    <row r="375">
      <c r="A375" s="1" t="s">
        <v>240</v>
      </c>
      <c r="B375" s="1">
        <v>0.0</v>
      </c>
      <c r="C375" s="2"/>
      <c r="D375" s="2"/>
      <c r="E375" s="2"/>
      <c r="F375" s="2"/>
      <c r="G375" s="2"/>
    </row>
    <row r="376">
      <c r="A376" s="1" t="s">
        <v>241</v>
      </c>
      <c r="B376" s="1">
        <v>0.0</v>
      </c>
      <c r="C376" s="2"/>
      <c r="D376" s="2"/>
      <c r="E376" s="2"/>
      <c r="F376" s="2"/>
      <c r="G376" s="2"/>
    </row>
    <row r="377">
      <c r="A377" s="1" t="s">
        <v>242</v>
      </c>
      <c r="B377" s="1">
        <v>0.0</v>
      </c>
      <c r="C377" s="2"/>
      <c r="D377" s="2"/>
      <c r="E377" s="2"/>
      <c r="F377" s="2"/>
      <c r="G377" s="2"/>
    </row>
    <row r="378">
      <c r="A378" s="1" t="s">
        <v>243</v>
      </c>
      <c r="B378" s="1">
        <v>0.0</v>
      </c>
      <c r="C378" s="2"/>
      <c r="D378" s="2"/>
      <c r="E378" s="2"/>
      <c r="F378" s="2"/>
      <c r="G378" s="2"/>
    </row>
    <row r="379">
      <c r="A379" s="1" t="s">
        <v>244</v>
      </c>
      <c r="B379" s="1">
        <v>0.0</v>
      </c>
      <c r="C379" s="2"/>
      <c r="D379" s="2"/>
      <c r="E379" s="2"/>
      <c r="F379" s="2"/>
      <c r="G379" s="2"/>
    </row>
    <row r="380">
      <c r="A380" s="1" t="s">
        <v>245</v>
      </c>
      <c r="B380" s="1">
        <v>0.0</v>
      </c>
      <c r="C380" s="2"/>
      <c r="D380" s="2"/>
      <c r="E380" s="2"/>
      <c r="F380" s="2"/>
      <c r="G380" s="2"/>
    </row>
    <row r="381">
      <c r="A381" s="1" t="s">
        <v>246</v>
      </c>
      <c r="B381" s="1">
        <v>0.0</v>
      </c>
      <c r="C381" s="2"/>
      <c r="D381" s="2"/>
      <c r="E381" s="2"/>
      <c r="F381" s="2"/>
      <c r="G381" s="2"/>
    </row>
    <row r="382">
      <c r="A382" s="1" t="s">
        <v>247</v>
      </c>
      <c r="B382" s="1">
        <v>0.0</v>
      </c>
      <c r="C382" s="2"/>
      <c r="D382" s="2"/>
      <c r="E382" s="2"/>
      <c r="F382" s="2"/>
      <c r="G382" s="2"/>
    </row>
    <row r="383">
      <c r="A383" s="1" t="s">
        <v>248</v>
      </c>
      <c r="B383" s="1">
        <v>0.0</v>
      </c>
      <c r="C383" s="2"/>
      <c r="D383" s="2"/>
      <c r="E383" s="2"/>
      <c r="F383" s="2"/>
      <c r="G383" s="2"/>
    </row>
    <row r="384">
      <c r="A384" s="1" t="s">
        <v>249</v>
      </c>
      <c r="B384" s="1">
        <v>0.0</v>
      </c>
      <c r="C384" s="2"/>
      <c r="D384" s="2"/>
      <c r="E384" s="2"/>
      <c r="F384" s="2"/>
      <c r="G384" s="2"/>
    </row>
    <row r="385">
      <c r="A385" s="1" t="s">
        <v>250</v>
      </c>
      <c r="B385" s="1">
        <v>0.0</v>
      </c>
      <c r="C385" s="2"/>
      <c r="D385" s="2"/>
      <c r="E385" s="2"/>
      <c r="F385" s="2"/>
      <c r="G385" s="2"/>
    </row>
    <row r="386">
      <c r="A386" s="1" t="s">
        <v>251</v>
      </c>
      <c r="B386" s="1">
        <v>0.0</v>
      </c>
      <c r="C386" s="2"/>
      <c r="D386" s="2"/>
      <c r="E386" s="2"/>
      <c r="F386" s="2"/>
      <c r="G386" s="2"/>
    </row>
    <row r="387">
      <c r="A387" s="1" t="s">
        <v>252</v>
      </c>
      <c r="B387" s="1">
        <v>0.0</v>
      </c>
      <c r="C387" s="2"/>
      <c r="D387" s="2"/>
      <c r="E387" s="2"/>
      <c r="F387" s="2"/>
      <c r="G387" s="2"/>
    </row>
    <row r="388">
      <c r="A388" s="1" t="s">
        <v>253</v>
      </c>
      <c r="B388" s="1">
        <v>0.0</v>
      </c>
      <c r="C388" s="2"/>
      <c r="D388" s="2"/>
      <c r="E388" s="2"/>
      <c r="F388" s="2"/>
      <c r="G388" s="2"/>
    </row>
    <row r="389">
      <c r="A389" s="1" t="s">
        <v>254</v>
      </c>
      <c r="B389" s="1">
        <v>66.0</v>
      </c>
      <c r="C389" s="2"/>
      <c r="D389" s="2"/>
      <c r="E389" s="2"/>
      <c r="F389" s="2"/>
      <c r="G389" s="2"/>
    </row>
    <row r="390">
      <c r="A390" s="1" t="s">
        <v>255</v>
      </c>
      <c r="B390" s="1">
        <v>0.0</v>
      </c>
      <c r="C390" s="2"/>
      <c r="D390" s="2"/>
      <c r="E390" s="2"/>
      <c r="F390" s="2"/>
      <c r="G390" s="2"/>
    </row>
    <row r="391">
      <c r="A391" s="1" t="s">
        <v>256</v>
      </c>
      <c r="B391" s="1">
        <v>0.0</v>
      </c>
      <c r="C391" s="2"/>
      <c r="D391" s="2"/>
      <c r="E391" s="2"/>
      <c r="F391" s="2"/>
      <c r="G391" s="2"/>
    </row>
    <row r="392">
      <c r="A392" s="1" t="s">
        <v>257</v>
      </c>
      <c r="B392" s="1">
        <v>23.0</v>
      </c>
      <c r="C392" s="2"/>
      <c r="D392" s="2"/>
      <c r="E392" s="2"/>
      <c r="F392" s="2"/>
      <c r="G392" s="2"/>
    </row>
    <row r="393">
      <c r="A393" s="1" t="s">
        <v>258</v>
      </c>
      <c r="B393" s="1">
        <v>0.0</v>
      </c>
      <c r="C393" s="2"/>
      <c r="D393" s="2"/>
      <c r="E393" s="2"/>
      <c r="F393" s="2"/>
      <c r="G393" s="2"/>
    </row>
    <row r="394">
      <c r="A394" s="1" t="s">
        <v>259</v>
      </c>
      <c r="B394" s="1">
        <v>0.0</v>
      </c>
      <c r="C394" s="2"/>
      <c r="D394" s="2"/>
      <c r="E394" s="2"/>
      <c r="F394" s="2"/>
      <c r="G394" s="2"/>
    </row>
    <row r="395">
      <c r="A395" s="1" t="s">
        <v>260</v>
      </c>
      <c r="B395" s="1" t="s">
        <v>261</v>
      </c>
      <c r="C395" s="1">
        <v>0.0</v>
      </c>
      <c r="D395" s="2"/>
      <c r="E395" s="2"/>
      <c r="F395" s="2"/>
      <c r="G395" s="2"/>
    </row>
    <row r="396">
      <c r="A396" s="1" t="s">
        <v>262</v>
      </c>
      <c r="B396" s="1">
        <v>39.0</v>
      </c>
      <c r="C396" s="2"/>
      <c r="D396" s="2"/>
      <c r="E396" s="2"/>
      <c r="F396" s="2"/>
      <c r="G396" s="2"/>
    </row>
    <row r="397">
      <c r="A397" s="1" t="s">
        <v>263</v>
      </c>
      <c r="B397" s="1">
        <v>0.0</v>
      </c>
      <c r="C397" s="2"/>
      <c r="D397" s="2"/>
      <c r="E397" s="2"/>
      <c r="F397" s="2"/>
      <c r="G397" s="2"/>
    </row>
    <row r="398">
      <c r="A398" s="1" t="s">
        <v>264</v>
      </c>
      <c r="B398" s="1">
        <v>0.0</v>
      </c>
      <c r="C398" s="2"/>
      <c r="D398" s="2"/>
      <c r="E398" s="2"/>
      <c r="F398" s="2"/>
      <c r="G398" s="2"/>
    </row>
    <row r="399">
      <c r="A399" s="1" t="s">
        <v>265</v>
      </c>
      <c r="B399" s="1">
        <v>0.0</v>
      </c>
      <c r="C399" s="2"/>
      <c r="D399" s="2"/>
      <c r="E399" s="2"/>
      <c r="F399" s="2"/>
      <c r="G399" s="2"/>
    </row>
    <row r="400">
      <c r="A400" s="1" t="s">
        <v>266</v>
      </c>
      <c r="B400" s="1">
        <v>0.0</v>
      </c>
      <c r="C400" s="2"/>
      <c r="D400" s="2"/>
      <c r="E400" s="2"/>
      <c r="F400" s="2"/>
      <c r="G400" s="2"/>
    </row>
    <row r="401">
      <c r="A401" s="1" t="s">
        <v>267</v>
      </c>
      <c r="B401" s="1">
        <v>30.0</v>
      </c>
      <c r="C401" s="2"/>
      <c r="D401" s="2"/>
      <c r="E401" s="2"/>
      <c r="F401" s="2"/>
      <c r="G401" s="2"/>
    </row>
    <row r="402">
      <c r="A402" s="1" t="s">
        <v>268</v>
      </c>
      <c r="B402" s="1">
        <v>3.0</v>
      </c>
      <c r="C402" s="2"/>
      <c r="D402" s="2"/>
      <c r="E402" s="2"/>
      <c r="F402" s="2"/>
      <c r="G402" s="2"/>
    </row>
    <row r="403">
      <c r="A403" s="1" t="s">
        <v>269</v>
      </c>
      <c r="B403" s="1">
        <v>0.0</v>
      </c>
      <c r="C403" s="2"/>
      <c r="D403" s="2"/>
      <c r="E403" s="2"/>
      <c r="F403" s="2"/>
      <c r="G403" s="2"/>
    </row>
    <row r="404">
      <c r="A404" s="1" t="s">
        <v>270</v>
      </c>
      <c r="B404" s="1">
        <v>0.0</v>
      </c>
      <c r="C404" s="2"/>
      <c r="D404" s="2"/>
      <c r="E404" s="2"/>
      <c r="F404" s="2"/>
      <c r="G404" s="2"/>
    </row>
    <row r="405">
      <c r="A405" s="1" t="s">
        <v>271</v>
      </c>
      <c r="B405" s="1">
        <v>66.0</v>
      </c>
      <c r="C405" s="2"/>
      <c r="D405" s="2"/>
      <c r="E405" s="2"/>
      <c r="F405" s="2"/>
      <c r="G405" s="2"/>
    </row>
    <row r="406">
      <c r="A406" s="1" t="s">
        <v>272</v>
      </c>
      <c r="B406" s="1">
        <v>0.0</v>
      </c>
      <c r="C406" s="2"/>
      <c r="D406" s="2"/>
      <c r="E406" s="2"/>
      <c r="F406" s="2"/>
      <c r="G406" s="2"/>
    </row>
    <row r="407">
      <c r="A407" s="1" t="s">
        <v>273</v>
      </c>
      <c r="B407" s="1">
        <v>0.0</v>
      </c>
      <c r="C407" s="2"/>
      <c r="D407" s="2"/>
      <c r="E407" s="2"/>
      <c r="F407" s="2"/>
      <c r="G407" s="2"/>
    </row>
    <row r="408">
      <c r="A408" s="1" t="s">
        <v>274</v>
      </c>
      <c r="B408" s="1">
        <v>0.0</v>
      </c>
      <c r="C408" s="2"/>
      <c r="D408" s="2"/>
      <c r="E408" s="2"/>
      <c r="F408" s="2"/>
      <c r="G408" s="2"/>
    </row>
    <row r="409">
      <c r="A409" s="1" t="s">
        <v>275</v>
      </c>
      <c r="B409" s="1">
        <v>0.0</v>
      </c>
      <c r="C409" s="2"/>
      <c r="D409" s="2"/>
      <c r="E409" s="2"/>
      <c r="F409" s="2"/>
      <c r="G409" s="2"/>
    </row>
    <row r="410">
      <c r="A410" s="1" t="s">
        <v>276</v>
      </c>
      <c r="B410" s="1">
        <v>58.0</v>
      </c>
      <c r="C410" s="2"/>
      <c r="D410" s="2"/>
      <c r="E410" s="2"/>
      <c r="F410" s="2"/>
      <c r="G410" s="2"/>
    </row>
    <row r="411">
      <c r="A411" s="1" t="s">
        <v>277</v>
      </c>
      <c r="B411" s="1">
        <v>99.0</v>
      </c>
      <c r="C411" s="2"/>
      <c r="D411" s="2"/>
      <c r="E411" s="2"/>
      <c r="F411" s="2"/>
      <c r="G411" s="2"/>
    </row>
    <row r="412">
      <c r="A412" s="1" t="s">
        <v>278</v>
      </c>
      <c r="B412" s="1">
        <v>0.0</v>
      </c>
      <c r="C412" s="2"/>
      <c r="D412" s="2"/>
      <c r="E412" s="2"/>
      <c r="F412" s="2"/>
      <c r="G412" s="2"/>
    </row>
    <row r="413">
      <c r="A413" s="1" t="s">
        <v>279</v>
      </c>
      <c r="B413" s="1">
        <v>0.0</v>
      </c>
      <c r="C413" s="2"/>
      <c r="D413" s="2"/>
      <c r="E413" s="2"/>
      <c r="F413" s="2"/>
      <c r="G413" s="2"/>
    </row>
    <row r="414">
      <c r="A414" s="1" t="s">
        <v>280</v>
      </c>
      <c r="B414" s="1">
        <v>0.0</v>
      </c>
      <c r="C414" s="2"/>
      <c r="D414" s="2"/>
      <c r="E414" s="2"/>
      <c r="F414" s="2"/>
      <c r="G414" s="2"/>
    </row>
    <row r="415">
      <c r="A415" s="1" t="s">
        <v>281</v>
      </c>
      <c r="B415" s="1">
        <v>0.0</v>
      </c>
      <c r="C415" s="2"/>
      <c r="D415" s="2"/>
      <c r="E415" s="2"/>
      <c r="F415" s="2"/>
      <c r="G415" s="2"/>
    </row>
    <row r="416">
      <c r="A416" s="1" t="s">
        <v>282</v>
      </c>
      <c r="B416" s="1">
        <v>5.0</v>
      </c>
      <c r="C416" s="2"/>
      <c r="D416" s="2"/>
      <c r="E416" s="2"/>
      <c r="F416" s="2"/>
      <c r="G416" s="2"/>
    </row>
    <row r="417">
      <c r="A417" s="1" t="s">
        <v>283</v>
      </c>
      <c r="B417" s="1">
        <v>48.0</v>
      </c>
      <c r="C417" s="2"/>
      <c r="D417" s="2"/>
      <c r="E417" s="2"/>
      <c r="F417" s="2"/>
      <c r="G417" s="2"/>
    </row>
    <row r="418">
      <c r="A418" s="1" t="s">
        <v>284</v>
      </c>
      <c r="B418" s="1">
        <v>0.0</v>
      </c>
      <c r="C418" s="2"/>
      <c r="D418" s="2"/>
      <c r="E418" s="2"/>
      <c r="F418" s="2"/>
      <c r="G418" s="2"/>
    </row>
    <row r="419">
      <c r="A419" s="1" t="s">
        <v>285</v>
      </c>
      <c r="B419" s="1">
        <v>0.0</v>
      </c>
      <c r="C419" s="2"/>
      <c r="D419" s="2"/>
      <c r="E419" s="2"/>
      <c r="F419" s="2"/>
      <c r="G419" s="2"/>
    </row>
    <row r="420">
      <c r="A420" s="1" t="s">
        <v>286</v>
      </c>
      <c r="B420" s="1">
        <v>0.0</v>
      </c>
      <c r="C420" s="2"/>
      <c r="D420" s="2"/>
      <c r="E420" s="2"/>
      <c r="F420" s="2"/>
      <c r="G420" s="2"/>
    </row>
    <row r="421">
      <c r="A421" s="1" t="s">
        <v>287</v>
      </c>
      <c r="B421" s="1">
        <v>0.0</v>
      </c>
      <c r="C421" s="2"/>
      <c r="D421" s="2"/>
      <c r="E421" s="2"/>
      <c r="F421" s="2"/>
      <c r="G421" s="2"/>
    </row>
    <row r="422">
      <c r="A422" s="1" t="s">
        <v>288</v>
      </c>
      <c r="B422" s="1">
        <v>0.0</v>
      </c>
      <c r="C422" s="2"/>
      <c r="D422" s="2"/>
      <c r="E422" s="2"/>
      <c r="F422" s="2"/>
      <c r="G422" s="2"/>
    </row>
    <row r="423">
      <c r="A423" s="1" t="s">
        <v>289</v>
      </c>
      <c r="B423" s="1">
        <v>0.0</v>
      </c>
      <c r="C423" s="2"/>
      <c r="D423" s="2"/>
      <c r="E423" s="2"/>
      <c r="F423" s="2"/>
      <c r="G423" s="2"/>
    </row>
    <row r="424">
      <c r="A424" s="1" t="s">
        <v>290</v>
      </c>
      <c r="B424" s="1">
        <v>75.0</v>
      </c>
      <c r="C424" s="2"/>
      <c r="D424" s="2"/>
      <c r="E424" s="2"/>
      <c r="F424" s="2"/>
      <c r="G424" s="2"/>
    </row>
    <row r="425">
      <c r="A425" s="1" t="s">
        <v>291</v>
      </c>
      <c r="B425" s="1">
        <v>0.0</v>
      </c>
      <c r="C425" s="2"/>
      <c r="D425" s="2"/>
      <c r="E425" s="2"/>
      <c r="F425" s="2"/>
      <c r="G425" s="2"/>
    </row>
    <row r="426">
      <c r="A426" s="1" t="s">
        <v>292</v>
      </c>
      <c r="B426" s="1">
        <v>0.0</v>
      </c>
      <c r="C426" s="2"/>
      <c r="D426" s="2"/>
      <c r="E426" s="2"/>
      <c r="F426" s="2"/>
      <c r="G426" s="2"/>
    </row>
    <row r="427">
      <c r="A427" s="1" t="s">
        <v>293</v>
      </c>
      <c r="B427" s="1">
        <v>30.0</v>
      </c>
      <c r="C427" s="2"/>
      <c r="D427" s="2"/>
      <c r="E427" s="2"/>
      <c r="F427" s="2"/>
      <c r="G427" s="2"/>
    </row>
    <row r="428">
      <c r="A428" s="1" t="s">
        <v>294</v>
      </c>
      <c r="B428" s="1">
        <v>39.0</v>
      </c>
      <c r="C428" s="2"/>
      <c r="D428" s="2"/>
      <c r="E428" s="2"/>
      <c r="F428" s="2"/>
      <c r="G428" s="2"/>
    </row>
    <row r="429">
      <c r="A429" s="1" t="s">
        <v>295</v>
      </c>
      <c r="B429" s="1">
        <v>50.0</v>
      </c>
      <c r="C429" s="2"/>
      <c r="D429" s="2"/>
      <c r="E429" s="2"/>
      <c r="F429" s="2"/>
      <c r="G429" s="2"/>
    </row>
    <row r="430">
      <c r="A430" s="1" t="s">
        <v>296</v>
      </c>
      <c r="B430" s="1">
        <v>0.0</v>
      </c>
      <c r="C430" s="2"/>
      <c r="D430" s="2"/>
      <c r="E430" s="2"/>
      <c r="F430" s="2"/>
      <c r="G430" s="2"/>
    </row>
    <row r="431">
      <c r="A431" s="1" t="s">
        <v>297</v>
      </c>
      <c r="B431" s="1">
        <v>0.0</v>
      </c>
      <c r="C431" s="2"/>
      <c r="D431" s="2"/>
      <c r="E431" s="2"/>
      <c r="F431" s="2"/>
      <c r="G431" s="2"/>
    </row>
    <row r="432">
      <c r="A432" s="1" t="s">
        <v>298</v>
      </c>
      <c r="B432" s="1">
        <v>62.0</v>
      </c>
      <c r="C432" s="2"/>
      <c r="D432" s="2"/>
      <c r="E432" s="2"/>
      <c r="F432" s="2"/>
      <c r="G432" s="2"/>
    </row>
    <row r="433">
      <c r="A433" s="1" t="s">
        <v>299</v>
      </c>
      <c r="B433" s="1">
        <v>0.0</v>
      </c>
      <c r="C433" s="2"/>
      <c r="D433" s="2"/>
      <c r="E433" s="2"/>
      <c r="F433" s="2"/>
      <c r="G433" s="2"/>
    </row>
    <row r="434">
      <c r="A434" s="1" t="s">
        <v>300</v>
      </c>
      <c r="B434" s="1">
        <v>50.0</v>
      </c>
      <c r="C434" s="2"/>
      <c r="D434" s="2"/>
      <c r="E434" s="2"/>
      <c r="F434" s="2"/>
      <c r="G434" s="2"/>
    </row>
    <row r="435">
      <c r="A435" s="1" t="s">
        <v>301</v>
      </c>
      <c r="B435" s="1">
        <v>0.0</v>
      </c>
      <c r="C435" s="2"/>
      <c r="D435" s="2"/>
      <c r="E435" s="2"/>
      <c r="F435" s="2"/>
      <c r="G435" s="2"/>
    </row>
    <row r="436">
      <c r="A436" s="1" t="s">
        <v>302</v>
      </c>
      <c r="B436" s="1">
        <v>0.0</v>
      </c>
      <c r="C436" s="2"/>
      <c r="D436" s="2"/>
      <c r="E436" s="2"/>
      <c r="F436" s="2"/>
      <c r="G436" s="2"/>
    </row>
    <row r="437">
      <c r="A437" s="1" t="s">
        <v>303</v>
      </c>
      <c r="B437" s="1">
        <v>96.0</v>
      </c>
      <c r="C437" s="2"/>
      <c r="D437" s="2"/>
      <c r="E437" s="2"/>
      <c r="F437" s="2"/>
      <c r="G437" s="2"/>
    </row>
    <row r="438">
      <c r="A438" s="1" t="s">
        <v>304</v>
      </c>
      <c r="B438" s="1">
        <v>57.0</v>
      </c>
      <c r="C438" s="2"/>
      <c r="D438" s="2"/>
      <c r="E438" s="2"/>
      <c r="F438" s="2"/>
      <c r="G438" s="2"/>
    </row>
    <row r="439">
      <c r="A439" s="1" t="s">
        <v>305</v>
      </c>
      <c r="B439" s="1">
        <v>0.0</v>
      </c>
      <c r="C439" s="2"/>
      <c r="D439" s="2"/>
      <c r="E439" s="2"/>
      <c r="F439" s="2"/>
      <c r="G439" s="2"/>
    </row>
    <row r="440">
      <c r="A440" s="1" t="s">
        <v>306</v>
      </c>
      <c r="B440" s="1">
        <v>34.0</v>
      </c>
      <c r="C440" s="2"/>
      <c r="D440" s="2"/>
      <c r="E440" s="2"/>
      <c r="F440" s="2"/>
      <c r="G440" s="2"/>
    </row>
    <row r="441">
      <c r="A441" s="1" t="s">
        <v>307</v>
      </c>
      <c r="B441" s="1">
        <v>68.0</v>
      </c>
      <c r="C441" s="2"/>
      <c r="D441" s="2"/>
      <c r="E441" s="2"/>
      <c r="F441" s="2"/>
      <c r="G441" s="2"/>
    </row>
    <row r="442">
      <c r="A442" s="1" t="s">
        <v>308</v>
      </c>
      <c r="B442" s="1">
        <v>78.0</v>
      </c>
      <c r="C442" s="2"/>
      <c r="D442" s="2"/>
      <c r="E442" s="2"/>
      <c r="F442" s="2"/>
      <c r="G442" s="2"/>
    </row>
    <row r="443">
      <c r="A443" s="1" t="s">
        <v>309</v>
      </c>
      <c r="B443" s="2"/>
      <c r="C443" s="2"/>
      <c r="D443" s="2"/>
      <c r="E443" s="2"/>
      <c r="F443" s="2"/>
      <c r="G443" s="2"/>
    </row>
    <row r="444">
      <c r="A444" s="1" t="s">
        <v>310</v>
      </c>
      <c r="B444" s="1">
        <v>12.0</v>
      </c>
      <c r="C444" s="2"/>
      <c r="D444" s="2"/>
      <c r="E444" s="2"/>
      <c r="F444" s="2"/>
      <c r="G444" s="2"/>
    </row>
    <row r="445">
      <c r="A445" s="1" t="s">
        <v>311</v>
      </c>
      <c r="B445" s="2"/>
      <c r="C445" s="2"/>
      <c r="D445" s="2"/>
      <c r="E445" s="2"/>
      <c r="F445" s="2"/>
      <c r="G445" s="2"/>
    </row>
    <row r="446">
      <c r="A446" s="1" t="s">
        <v>312</v>
      </c>
      <c r="B446" s="1">
        <v>0.0</v>
      </c>
      <c r="C446" s="2"/>
      <c r="D446" s="2"/>
      <c r="E446" s="2"/>
      <c r="F446" s="2"/>
      <c r="G446" s="2"/>
    </row>
    <row r="447">
      <c r="A447" s="1" t="s">
        <v>313</v>
      </c>
      <c r="B447" s="1">
        <v>82.0</v>
      </c>
      <c r="C447" s="2"/>
      <c r="D447" s="2"/>
      <c r="E447" s="2"/>
      <c r="F447" s="2"/>
      <c r="G447" s="2"/>
    </row>
    <row r="448">
      <c r="A448" s="1" t="s">
        <v>314</v>
      </c>
      <c r="B448" s="1">
        <v>0.0</v>
      </c>
      <c r="C448" s="2"/>
      <c r="D448" s="2"/>
      <c r="E448" s="2"/>
      <c r="F448" s="2"/>
      <c r="G448" s="2"/>
    </row>
    <row r="449">
      <c r="A449" s="1" t="s">
        <v>315</v>
      </c>
      <c r="B449" s="1">
        <v>0.0</v>
      </c>
      <c r="C449" s="2"/>
      <c r="D449" s="2"/>
      <c r="E449" s="2"/>
      <c r="F449" s="2"/>
      <c r="G449" s="2"/>
    </row>
    <row r="450">
      <c r="A450" s="1" t="s">
        <v>316</v>
      </c>
      <c r="B450" s="1">
        <v>0.0</v>
      </c>
      <c r="C450" s="2"/>
      <c r="D450" s="2"/>
      <c r="E450" s="2"/>
      <c r="F450" s="2"/>
      <c r="G450" s="2"/>
    </row>
    <row r="451">
      <c r="A451" s="1" t="s">
        <v>317</v>
      </c>
      <c r="B451" s="1">
        <v>0.0</v>
      </c>
      <c r="C451" s="2"/>
      <c r="D451" s="2"/>
      <c r="E451" s="2"/>
      <c r="F451" s="2"/>
      <c r="G451" s="2"/>
    </row>
    <row r="452">
      <c r="A452" s="1" t="s">
        <v>318</v>
      </c>
      <c r="B452" s="1">
        <v>8.0</v>
      </c>
      <c r="C452" s="2"/>
      <c r="D452" s="2"/>
      <c r="E452" s="2"/>
      <c r="F452" s="2"/>
      <c r="G452" s="2"/>
    </row>
    <row r="453">
      <c r="A453" s="1" t="s">
        <v>319</v>
      </c>
      <c r="B453" s="1">
        <v>0.0</v>
      </c>
      <c r="C453" s="2"/>
      <c r="D453" s="2"/>
      <c r="E453" s="2"/>
      <c r="F453" s="2"/>
      <c r="G453" s="2"/>
    </row>
    <row r="454">
      <c r="A454" s="1" t="s">
        <v>320</v>
      </c>
      <c r="B454" s="1">
        <v>0.0</v>
      </c>
      <c r="C454" s="2"/>
      <c r="D454" s="2"/>
      <c r="E454" s="2"/>
      <c r="F454" s="2"/>
      <c r="G454" s="2"/>
    </row>
    <row r="455">
      <c r="A455" s="1" t="s">
        <v>321</v>
      </c>
      <c r="B455" s="1">
        <v>0.0</v>
      </c>
      <c r="C455" s="2"/>
      <c r="D455" s="2"/>
      <c r="E455" s="2"/>
      <c r="F455" s="2"/>
      <c r="G455" s="2"/>
    </row>
    <row r="456">
      <c r="A456" s="1" t="s">
        <v>322</v>
      </c>
      <c r="B456" s="1">
        <v>14.0</v>
      </c>
      <c r="C456" s="2"/>
      <c r="D456" s="2"/>
      <c r="E456" s="2"/>
      <c r="F456" s="2"/>
      <c r="G456" s="2"/>
    </row>
    <row r="457">
      <c r="A457" s="1" t="s">
        <v>323</v>
      </c>
      <c r="B457" s="1">
        <v>0.0</v>
      </c>
      <c r="C457" s="2"/>
      <c r="D457" s="2"/>
      <c r="E457" s="2"/>
      <c r="F457" s="2"/>
      <c r="G457" s="2"/>
    </row>
    <row r="458">
      <c r="A458" s="1" t="s">
        <v>324</v>
      </c>
      <c r="B458" s="1">
        <v>86.0</v>
      </c>
      <c r="C458" s="2"/>
      <c r="D458" s="2"/>
      <c r="E458" s="2"/>
      <c r="F458" s="2"/>
      <c r="G458" s="2"/>
    </row>
    <row r="459">
      <c r="A459" s="1" t="s">
        <v>325</v>
      </c>
      <c r="B459" s="1">
        <v>66.0</v>
      </c>
      <c r="C459" s="2"/>
      <c r="D459" s="2"/>
      <c r="E459" s="2"/>
      <c r="F459" s="2"/>
      <c r="G459" s="2"/>
    </row>
    <row r="460">
      <c r="A460" s="1" t="s">
        <v>326</v>
      </c>
      <c r="B460" s="1">
        <v>0.0</v>
      </c>
      <c r="C460" s="2"/>
      <c r="D460" s="2"/>
      <c r="E460" s="2"/>
      <c r="F460" s="2"/>
      <c r="G460" s="2"/>
    </row>
    <row r="461">
      <c r="A461" s="1" t="s">
        <v>327</v>
      </c>
      <c r="B461" s="1">
        <v>94.0</v>
      </c>
      <c r="C461" s="2"/>
      <c r="D461" s="2"/>
      <c r="E461" s="2"/>
      <c r="F461" s="2"/>
      <c r="G461" s="2"/>
    </row>
    <row r="462">
      <c r="A462" s="1" t="s">
        <v>328</v>
      </c>
      <c r="B462" s="1">
        <v>36.0</v>
      </c>
      <c r="C462" s="2"/>
      <c r="D462" s="2"/>
      <c r="E462" s="2"/>
      <c r="F462" s="2"/>
      <c r="G462" s="2"/>
    </row>
    <row r="463">
      <c r="A463" s="1" t="s">
        <v>329</v>
      </c>
      <c r="B463" s="1">
        <v>0.0</v>
      </c>
      <c r="C463" s="2"/>
      <c r="D463" s="2"/>
      <c r="E463" s="2"/>
      <c r="F463" s="2"/>
      <c r="G463" s="2"/>
    </row>
    <row r="464">
      <c r="A464" s="1" t="s">
        <v>330</v>
      </c>
      <c r="B464" s="1">
        <v>0.0</v>
      </c>
      <c r="C464" s="2"/>
      <c r="D464" s="2"/>
      <c r="E464" s="2"/>
      <c r="F464" s="2"/>
      <c r="G464" s="2"/>
    </row>
    <row r="465">
      <c r="A465" s="1" t="s">
        <v>331</v>
      </c>
      <c r="B465" s="1">
        <v>0.0</v>
      </c>
      <c r="C465" s="2"/>
      <c r="D465" s="2"/>
      <c r="E465" s="2"/>
      <c r="F465" s="2"/>
      <c r="G465" s="2"/>
    </row>
    <row r="466">
      <c r="A466" s="1" t="s">
        <v>332</v>
      </c>
      <c r="B466" s="1">
        <v>0.0</v>
      </c>
      <c r="C466" s="2"/>
      <c r="D466" s="2"/>
      <c r="E466" s="2"/>
      <c r="F466" s="2"/>
      <c r="G466" s="2"/>
    </row>
    <row r="467">
      <c r="A467" s="1" t="s">
        <v>333</v>
      </c>
      <c r="B467" s="1">
        <v>0.0</v>
      </c>
      <c r="C467" s="2"/>
      <c r="D467" s="2"/>
      <c r="E467" s="2"/>
      <c r="F467" s="2"/>
      <c r="G467" s="2"/>
    </row>
    <row r="468">
      <c r="A468" s="1" t="s">
        <v>334</v>
      </c>
      <c r="B468" s="1">
        <v>0.0</v>
      </c>
      <c r="C468" s="2"/>
      <c r="D468" s="2"/>
      <c r="E468" s="2"/>
      <c r="F468" s="2"/>
      <c r="G468" s="2"/>
    </row>
    <row r="469">
      <c r="A469" s="1" t="s">
        <v>335</v>
      </c>
      <c r="B469" s="1">
        <v>14.0</v>
      </c>
      <c r="C469" s="2"/>
      <c r="D469" s="2"/>
      <c r="E469" s="2"/>
      <c r="F469" s="2"/>
      <c r="G469" s="2"/>
    </row>
    <row r="470">
      <c r="A470" s="1" t="s">
        <v>336</v>
      </c>
      <c r="B470" s="1">
        <v>14.0</v>
      </c>
      <c r="C470" s="2"/>
      <c r="D470" s="2"/>
      <c r="E470" s="2"/>
      <c r="F470" s="2"/>
      <c r="G470" s="2"/>
    </row>
    <row r="471">
      <c r="A471" s="1" t="s">
        <v>337</v>
      </c>
      <c r="B471" s="1">
        <v>0.0</v>
      </c>
      <c r="C471" s="2"/>
      <c r="D471" s="2"/>
      <c r="E471" s="2"/>
      <c r="F471" s="2"/>
      <c r="G471" s="2"/>
    </row>
    <row r="472">
      <c r="A472" s="1" t="s">
        <v>338</v>
      </c>
      <c r="B472" s="1">
        <v>55.0</v>
      </c>
      <c r="C472" s="2"/>
      <c r="D472" s="2"/>
      <c r="E472" s="2"/>
      <c r="F472" s="2"/>
      <c r="G472" s="2"/>
    </row>
    <row r="473">
      <c r="A473" s="1" t="s">
        <v>339</v>
      </c>
      <c r="B473" s="1">
        <v>0.0</v>
      </c>
      <c r="C473" s="2"/>
      <c r="D473" s="2"/>
      <c r="E473" s="2"/>
      <c r="F473" s="2"/>
      <c r="G473" s="2"/>
    </row>
    <row r="474">
      <c r="A474" s="1" t="s">
        <v>340</v>
      </c>
      <c r="B474" s="1">
        <v>14.0</v>
      </c>
      <c r="C474" s="2"/>
      <c r="D474" s="2"/>
      <c r="E474" s="2"/>
      <c r="F474" s="2"/>
      <c r="G474" s="2"/>
    </row>
    <row r="475">
      <c r="A475" s="1" t="s">
        <v>341</v>
      </c>
      <c r="B475" s="1">
        <v>0.0</v>
      </c>
      <c r="C475" s="2"/>
      <c r="D475" s="2"/>
      <c r="E475" s="2"/>
      <c r="F475" s="2"/>
      <c r="G475" s="2"/>
    </row>
    <row r="476">
      <c r="A476" s="1" t="s">
        <v>342</v>
      </c>
      <c r="B476" s="1">
        <v>0.0</v>
      </c>
      <c r="C476" s="2"/>
      <c r="D476" s="2"/>
      <c r="E476" s="2"/>
      <c r="F476" s="2"/>
      <c r="G476" s="2"/>
    </row>
    <row r="477">
      <c r="A477" s="1" t="s">
        <v>343</v>
      </c>
      <c r="B477" s="1">
        <v>99.0</v>
      </c>
      <c r="C477" s="2"/>
      <c r="D477" s="2"/>
      <c r="E477" s="2"/>
      <c r="F477" s="2"/>
      <c r="G477" s="2"/>
    </row>
    <row r="478">
      <c r="A478" s="1" t="s">
        <v>344</v>
      </c>
      <c r="B478" s="1">
        <v>74.0</v>
      </c>
      <c r="C478" s="2"/>
      <c r="D478" s="2"/>
      <c r="E478" s="2"/>
      <c r="F478" s="2"/>
      <c r="G478" s="2"/>
    </row>
    <row r="479">
      <c r="A479" s="1" t="s">
        <v>345</v>
      </c>
      <c r="B479" s="1">
        <v>18.0</v>
      </c>
      <c r="C479" s="2"/>
      <c r="D479" s="2"/>
      <c r="E479" s="2"/>
      <c r="F479" s="2"/>
      <c r="G479" s="2"/>
    </row>
    <row r="480">
      <c r="A480" s="1" t="s">
        <v>346</v>
      </c>
      <c r="B480" s="1">
        <v>0.0</v>
      </c>
      <c r="C480" s="2"/>
      <c r="D480" s="2"/>
      <c r="E480" s="2"/>
      <c r="F480" s="2"/>
      <c r="G480" s="2"/>
    </row>
    <row r="481">
      <c r="A481" s="1" t="s">
        <v>347</v>
      </c>
      <c r="B481" s="1">
        <v>0.0</v>
      </c>
      <c r="C481" s="2"/>
      <c r="D481" s="2"/>
      <c r="E481" s="2"/>
      <c r="F481" s="2"/>
      <c r="G481" s="2"/>
    </row>
    <row r="482">
      <c r="A482" s="1" t="s">
        <v>348</v>
      </c>
      <c r="B482" s="1">
        <v>70.0</v>
      </c>
      <c r="C482" s="2"/>
      <c r="D482" s="2"/>
      <c r="E482" s="2"/>
      <c r="F482" s="2"/>
      <c r="G482" s="2"/>
    </row>
    <row r="483">
      <c r="A483" s="1" t="s">
        <v>349</v>
      </c>
      <c r="B483" s="1">
        <v>0.0</v>
      </c>
      <c r="C483" s="2"/>
      <c r="D483" s="2"/>
      <c r="E483" s="2"/>
      <c r="F483" s="2"/>
      <c r="G483" s="2"/>
    </row>
    <row r="484">
      <c r="A484" s="1" t="s">
        <v>350</v>
      </c>
      <c r="B484" s="1">
        <v>0.0</v>
      </c>
      <c r="C484" s="2"/>
      <c r="D484" s="2"/>
      <c r="E484" s="2"/>
      <c r="F484" s="2"/>
      <c r="G484" s="2"/>
    </row>
    <row r="485">
      <c r="A485" s="1" t="s">
        <v>351</v>
      </c>
      <c r="B485" s="1">
        <v>44.0</v>
      </c>
      <c r="C485" s="2"/>
      <c r="D485" s="2"/>
      <c r="E485" s="2"/>
      <c r="F485" s="2"/>
      <c r="G485" s="2"/>
    </row>
    <row r="486">
      <c r="A486" s="1" t="s">
        <v>352</v>
      </c>
      <c r="B486" s="1">
        <v>50.0</v>
      </c>
      <c r="C486" s="2"/>
      <c r="D486" s="2"/>
      <c r="E486" s="2"/>
      <c r="F486" s="2"/>
      <c r="G486" s="2"/>
    </row>
    <row r="487">
      <c r="A487" s="1" t="s">
        <v>353</v>
      </c>
      <c r="B487" s="1">
        <v>0.0</v>
      </c>
      <c r="C487" s="2"/>
      <c r="D487" s="2"/>
      <c r="E487" s="2"/>
      <c r="F487" s="2"/>
      <c r="G487" s="2"/>
    </row>
    <row r="488">
      <c r="A488" s="1" t="s">
        <v>354</v>
      </c>
      <c r="B488" s="1">
        <v>72.0</v>
      </c>
      <c r="C488" s="2"/>
      <c r="D488" s="2"/>
      <c r="E488" s="2"/>
      <c r="F488" s="2"/>
      <c r="G488" s="2"/>
    </row>
    <row r="489">
      <c r="A489" s="1" t="s">
        <v>355</v>
      </c>
      <c r="B489" s="1">
        <v>6.0</v>
      </c>
      <c r="C489" s="2"/>
      <c r="D489" s="2"/>
      <c r="E489" s="2"/>
      <c r="F489" s="2"/>
      <c r="G489" s="2"/>
    </row>
    <row r="490">
      <c r="A490" s="1" t="s">
        <v>356</v>
      </c>
      <c r="B490" s="1">
        <v>0.0</v>
      </c>
      <c r="C490" s="2"/>
      <c r="D490" s="2"/>
      <c r="E490" s="2"/>
      <c r="F490" s="2"/>
      <c r="G490" s="2"/>
    </row>
    <row r="491">
      <c r="A491" s="1" t="s">
        <v>357</v>
      </c>
      <c r="B491" s="1">
        <v>0.0</v>
      </c>
      <c r="C491" s="2"/>
      <c r="D491" s="2"/>
      <c r="E491" s="2"/>
      <c r="F491" s="2"/>
      <c r="G491" s="2"/>
    </row>
    <row r="492">
      <c r="A492" s="1" t="s">
        <v>358</v>
      </c>
      <c r="B492" s="1">
        <v>71.0</v>
      </c>
      <c r="C492" s="2"/>
      <c r="D492" s="2"/>
      <c r="E492" s="2"/>
      <c r="F492" s="2"/>
      <c r="G492" s="2"/>
    </row>
    <row r="493">
      <c r="A493" s="1" t="s">
        <v>359</v>
      </c>
      <c r="B493" s="1">
        <v>25.0</v>
      </c>
      <c r="C493" s="2"/>
      <c r="D493" s="2"/>
      <c r="E493" s="2"/>
      <c r="F493" s="2"/>
      <c r="G493" s="2"/>
    </row>
    <row r="494">
      <c r="A494" s="1" t="s">
        <v>290</v>
      </c>
      <c r="B494" s="1">
        <v>75.0</v>
      </c>
      <c r="C494" s="2"/>
      <c r="D494" s="2"/>
      <c r="E494" s="2"/>
      <c r="F494" s="2"/>
      <c r="G494" s="2"/>
    </row>
    <row r="495">
      <c r="A495" s="1" t="s">
        <v>291</v>
      </c>
      <c r="B495" s="1">
        <v>0.0</v>
      </c>
      <c r="C495" s="2"/>
      <c r="D495" s="2"/>
      <c r="E495" s="2"/>
      <c r="F495" s="2"/>
      <c r="G495" s="2"/>
    </row>
    <row r="496">
      <c r="A496" s="1" t="s">
        <v>292</v>
      </c>
      <c r="B496" s="1">
        <v>0.0</v>
      </c>
      <c r="C496" s="2"/>
      <c r="D496" s="2"/>
      <c r="E496" s="2"/>
      <c r="F496" s="2"/>
      <c r="G496" s="2"/>
    </row>
    <row r="497">
      <c r="A497" s="1" t="s">
        <v>293</v>
      </c>
      <c r="B497" s="1">
        <v>30.0</v>
      </c>
      <c r="C497" s="2"/>
      <c r="D497" s="2"/>
      <c r="E497" s="2"/>
      <c r="F497" s="2"/>
      <c r="G497" s="2"/>
    </row>
    <row r="498">
      <c r="A498" s="1" t="s">
        <v>294</v>
      </c>
      <c r="B498" s="1">
        <v>39.0</v>
      </c>
      <c r="C498" s="2"/>
      <c r="D498" s="2"/>
      <c r="E498" s="2"/>
      <c r="F498" s="2"/>
      <c r="G498" s="2"/>
    </row>
    <row r="499">
      <c r="A499" s="1" t="s">
        <v>295</v>
      </c>
      <c r="B499" s="1">
        <v>50.0</v>
      </c>
      <c r="C499" s="2"/>
      <c r="D499" s="2"/>
      <c r="E499" s="2"/>
      <c r="F499" s="2"/>
      <c r="G499" s="2"/>
    </row>
    <row r="500">
      <c r="A500" s="1" t="s">
        <v>296</v>
      </c>
      <c r="B500" s="1">
        <v>0.0</v>
      </c>
      <c r="C500" s="2"/>
      <c r="D500" s="2"/>
      <c r="E500" s="2"/>
      <c r="F500" s="2"/>
      <c r="G500" s="2"/>
    </row>
    <row r="501">
      <c r="A501" s="1" t="s">
        <v>297</v>
      </c>
      <c r="B501" s="1">
        <v>0.0</v>
      </c>
      <c r="C501" s="2"/>
      <c r="D501" s="2"/>
      <c r="E501" s="2"/>
      <c r="F501" s="2"/>
      <c r="G501" s="2"/>
    </row>
    <row r="502">
      <c r="A502" s="1" t="s">
        <v>298</v>
      </c>
      <c r="B502" s="1">
        <v>62.0</v>
      </c>
      <c r="C502" s="2"/>
      <c r="D502" s="2"/>
      <c r="E502" s="2"/>
      <c r="F502" s="2"/>
      <c r="G502" s="2"/>
    </row>
    <row r="503">
      <c r="A503" s="1" t="s">
        <v>299</v>
      </c>
      <c r="B503" s="1">
        <v>0.0</v>
      </c>
      <c r="C503" s="2"/>
      <c r="D503" s="2"/>
      <c r="E503" s="2"/>
      <c r="F503" s="2"/>
      <c r="G503" s="2"/>
    </row>
    <row r="504">
      <c r="A504" s="1" t="s">
        <v>300</v>
      </c>
      <c r="B504" s="1">
        <v>50.0</v>
      </c>
      <c r="C504" s="2"/>
      <c r="D504" s="2"/>
      <c r="E504" s="2"/>
      <c r="F504" s="2"/>
      <c r="G504" s="2"/>
    </row>
    <row r="505">
      <c r="A505" s="1" t="s">
        <v>301</v>
      </c>
      <c r="B505" s="1">
        <v>0.0</v>
      </c>
      <c r="C505" s="2"/>
      <c r="D505" s="2"/>
      <c r="E505" s="2"/>
      <c r="F505" s="2"/>
      <c r="G505" s="2"/>
    </row>
    <row r="506">
      <c r="A506" s="1" t="s">
        <v>302</v>
      </c>
      <c r="B506" s="1">
        <v>0.0</v>
      </c>
      <c r="C506" s="2"/>
      <c r="D506" s="2"/>
      <c r="E506" s="2"/>
      <c r="F506" s="2"/>
      <c r="G506" s="2"/>
    </row>
    <row r="507">
      <c r="A507" s="1" t="s">
        <v>303</v>
      </c>
      <c r="B507" s="1">
        <v>96.0</v>
      </c>
      <c r="C507" s="2"/>
      <c r="D507" s="2"/>
      <c r="E507" s="2"/>
      <c r="F507" s="2"/>
      <c r="G507" s="2"/>
    </row>
    <row r="508">
      <c r="A508" s="1" t="s">
        <v>304</v>
      </c>
      <c r="B508" s="1">
        <v>57.0</v>
      </c>
      <c r="C508" s="2"/>
      <c r="D508" s="2"/>
      <c r="E508" s="2"/>
      <c r="F508" s="2"/>
      <c r="G508" s="2"/>
    </row>
    <row r="509">
      <c r="A509" s="1" t="s">
        <v>305</v>
      </c>
      <c r="B509" s="1">
        <v>0.0</v>
      </c>
      <c r="C509" s="2"/>
      <c r="D509" s="2"/>
      <c r="E509" s="2"/>
      <c r="F509" s="2"/>
      <c r="G509" s="2"/>
    </row>
    <row r="510">
      <c r="A510" s="1" t="s">
        <v>306</v>
      </c>
      <c r="B510" s="1">
        <v>34.0</v>
      </c>
      <c r="C510" s="2"/>
      <c r="D510" s="2"/>
      <c r="E510" s="2"/>
      <c r="F510" s="2"/>
      <c r="G510" s="2"/>
    </row>
    <row r="511">
      <c r="A511" s="1" t="s">
        <v>307</v>
      </c>
      <c r="B511" s="1">
        <v>68.0</v>
      </c>
      <c r="C511" s="2"/>
      <c r="D511" s="2"/>
      <c r="E511" s="2"/>
      <c r="F511" s="2"/>
      <c r="G511" s="2"/>
    </row>
    <row r="512">
      <c r="A512" s="1" t="s">
        <v>308</v>
      </c>
      <c r="B512" s="1">
        <v>78.0</v>
      </c>
      <c r="C512" s="2"/>
      <c r="D512" s="2"/>
      <c r="E512" s="2"/>
      <c r="F512" s="2"/>
      <c r="G512" s="2"/>
    </row>
    <row r="513">
      <c r="A513" s="1" t="s">
        <v>309</v>
      </c>
      <c r="B513" s="2"/>
      <c r="C513" s="2"/>
      <c r="D513" s="2"/>
      <c r="E513" s="2"/>
      <c r="F513" s="2"/>
      <c r="G513" s="2"/>
    </row>
    <row r="514">
      <c r="A514" s="1" t="s">
        <v>310</v>
      </c>
      <c r="B514" s="1">
        <v>12.0</v>
      </c>
      <c r="C514" s="2"/>
      <c r="D514" s="2"/>
      <c r="E514" s="2"/>
      <c r="F514" s="2"/>
      <c r="G514" s="2"/>
    </row>
    <row r="515">
      <c r="A515" s="1" t="s">
        <v>311</v>
      </c>
      <c r="B515" s="2"/>
      <c r="C515" s="2"/>
      <c r="D515" s="2"/>
      <c r="E515" s="2"/>
      <c r="F515" s="2"/>
      <c r="G515" s="2"/>
    </row>
    <row r="516">
      <c r="A516" s="1" t="s">
        <v>312</v>
      </c>
      <c r="B516" s="1">
        <v>0.0</v>
      </c>
      <c r="C516" s="2"/>
      <c r="D516" s="2"/>
      <c r="E516" s="2"/>
      <c r="F516" s="2"/>
      <c r="G516" s="2"/>
    </row>
    <row r="517">
      <c r="A517" s="1" t="s">
        <v>313</v>
      </c>
      <c r="B517" s="1">
        <v>82.0</v>
      </c>
      <c r="C517" s="2"/>
      <c r="D517" s="2"/>
      <c r="E517" s="2"/>
      <c r="F517" s="2"/>
      <c r="G517" s="2"/>
    </row>
    <row r="518">
      <c r="A518" s="1" t="s">
        <v>314</v>
      </c>
      <c r="B518" s="1">
        <v>0.0</v>
      </c>
      <c r="C518" s="2"/>
      <c r="D518" s="2"/>
      <c r="E518" s="2"/>
      <c r="F518" s="2"/>
      <c r="G518" s="2"/>
    </row>
    <row r="519">
      <c r="A519" s="1" t="s">
        <v>315</v>
      </c>
      <c r="B519" s="1">
        <v>0.0</v>
      </c>
      <c r="C519" s="2"/>
      <c r="D519" s="2"/>
      <c r="E519" s="2"/>
      <c r="F519" s="2"/>
      <c r="G519" s="2"/>
    </row>
    <row r="520">
      <c r="A520" s="1" t="s">
        <v>316</v>
      </c>
      <c r="B520" s="1">
        <v>0.0</v>
      </c>
      <c r="C520" s="2"/>
      <c r="D520" s="2"/>
      <c r="E520" s="2"/>
      <c r="F520" s="2"/>
      <c r="G520" s="2"/>
    </row>
    <row r="521">
      <c r="A521" s="1" t="s">
        <v>317</v>
      </c>
      <c r="B521" s="1">
        <v>0.0</v>
      </c>
      <c r="C521" s="2"/>
      <c r="D521" s="2"/>
      <c r="E521" s="2"/>
      <c r="F521" s="2"/>
      <c r="G521" s="2"/>
    </row>
    <row r="522">
      <c r="A522" s="1" t="s">
        <v>318</v>
      </c>
      <c r="B522" s="1">
        <v>8.0</v>
      </c>
      <c r="C522" s="2"/>
      <c r="D522" s="2"/>
      <c r="E522" s="2"/>
      <c r="F522" s="2"/>
      <c r="G522" s="2"/>
    </row>
    <row r="523">
      <c r="A523" s="1" t="s">
        <v>319</v>
      </c>
      <c r="B523" s="1">
        <v>0.0</v>
      </c>
      <c r="C523" s="2"/>
      <c r="D523" s="2"/>
      <c r="E523" s="2"/>
      <c r="F523" s="2"/>
      <c r="G523" s="2"/>
    </row>
    <row r="524">
      <c r="A524" s="1" t="s">
        <v>320</v>
      </c>
      <c r="B524" s="1">
        <v>0.0</v>
      </c>
      <c r="C524" s="2"/>
      <c r="D524" s="2"/>
      <c r="E524" s="2"/>
      <c r="F524" s="2"/>
      <c r="G524" s="2"/>
    </row>
    <row r="525">
      <c r="A525" s="1" t="s">
        <v>321</v>
      </c>
      <c r="B525" s="1">
        <v>0.0</v>
      </c>
      <c r="C525" s="2"/>
      <c r="D525" s="2"/>
      <c r="E525" s="2"/>
      <c r="F525" s="2"/>
      <c r="G525" s="2"/>
    </row>
    <row r="526">
      <c r="A526" s="1" t="s">
        <v>322</v>
      </c>
      <c r="B526" s="1">
        <v>14.0</v>
      </c>
      <c r="C526" s="2"/>
      <c r="D526" s="2"/>
      <c r="E526" s="2"/>
      <c r="F526" s="2"/>
      <c r="G526" s="2"/>
    </row>
    <row r="527">
      <c r="A527" s="1" t="s">
        <v>323</v>
      </c>
      <c r="B527" s="1">
        <v>0.0</v>
      </c>
      <c r="C527" s="2"/>
      <c r="D527" s="2"/>
      <c r="E527" s="2"/>
      <c r="F527" s="2"/>
      <c r="G527" s="2"/>
    </row>
    <row r="528">
      <c r="A528" s="1" t="s">
        <v>324</v>
      </c>
      <c r="B528" s="1">
        <v>86.0</v>
      </c>
      <c r="C528" s="2"/>
      <c r="D528" s="2"/>
      <c r="E528" s="2"/>
      <c r="F528" s="2"/>
      <c r="G528" s="2"/>
    </row>
    <row r="529">
      <c r="A529" s="1" t="s">
        <v>325</v>
      </c>
      <c r="B529" s="1">
        <v>66.0</v>
      </c>
      <c r="C529" s="2"/>
      <c r="D529" s="2"/>
      <c r="E529" s="2"/>
      <c r="F529" s="2"/>
      <c r="G529" s="2"/>
    </row>
    <row r="530">
      <c r="A530" s="1" t="s">
        <v>326</v>
      </c>
      <c r="B530" s="1">
        <v>0.0</v>
      </c>
      <c r="C530" s="2"/>
      <c r="D530" s="2"/>
      <c r="E530" s="2"/>
      <c r="F530" s="2"/>
      <c r="G530" s="2"/>
    </row>
    <row r="531">
      <c r="A531" s="1" t="s">
        <v>327</v>
      </c>
      <c r="B531" s="1">
        <v>94.0</v>
      </c>
      <c r="C531" s="2"/>
      <c r="D531" s="2"/>
      <c r="E531" s="2"/>
      <c r="F531" s="2"/>
      <c r="G531" s="2"/>
    </row>
    <row r="532">
      <c r="A532" s="1" t="s">
        <v>328</v>
      </c>
      <c r="B532" s="1">
        <v>36.0</v>
      </c>
      <c r="C532" s="2"/>
      <c r="D532" s="2"/>
      <c r="E532" s="2"/>
      <c r="F532" s="2"/>
      <c r="G532" s="2"/>
    </row>
    <row r="533">
      <c r="A533" s="1" t="s">
        <v>329</v>
      </c>
      <c r="B533" s="1">
        <v>0.0</v>
      </c>
      <c r="C533" s="2"/>
      <c r="D533" s="2"/>
      <c r="E533" s="2"/>
      <c r="F533" s="2"/>
      <c r="G533" s="2"/>
    </row>
    <row r="534">
      <c r="A534" s="1" t="s">
        <v>330</v>
      </c>
      <c r="B534" s="1">
        <v>0.0</v>
      </c>
      <c r="C534" s="2"/>
      <c r="D534" s="2"/>
      <c r="E534" s="2"/>
      <c r="F534" s="2"/>
      <c r="G534" s="2"/>
    </row>
    <row r="535">
      <c r="A535" s="1" t="s">
        <v>331</v>
      </c>
      <c r="B535" s="1">
        <v>0.0</v>
      </c>
      <c r="C535" s="2"/>
      <c r="D535" s="2"/>
      <c r="E535" s="2"/>
      <c r="F535" s="2"/>
      <c r="G535" s="2"/>
    </row>
    <row r="536">
      <c r="A536" s="1" t="s">
        <v>332</v>
      </c>
      <c r="B536" s="1">
        <v>0.0</v>
      </c>
      <c r="C536" s="2"/>
      <c r="D536" s="2"/>
      <c r="E536" s="2"/>
      <c r="F536" s="2"/>
      <c r="G536" s="2"/>
    </row>
    <row r="537">
      <c r="A537" s="1" t="s">
        <v>333</v>
      </c>
      <c r="B537" s="1">
        <v>0.0</v>
      </c>
      <c r="C537" s="2"/>
      <c r="D537" s="2"/>
      <c r="E537" s="2"/>
      <c r="F537" s="2"/>
      <c r="G537" s="2"/>
    </row>
    <row r="538">
      <c r="A538" s="1" t="s">
        <v>334</v>
      </c>
      <c r="B538" s="1">
        <v>0.0</v>
      </c>
      <c r="C538" s="2"/>
      <c r="D538" s="2"/>
      <c r="E538" s="2"/>
      <c r="F538" s="2"/>
      <c r="G538" s="2"/>
    </row>
    <row r="539">
      <c r="A539" s="1" t="s">
        <v>335</v>
      </c>
      <c r="B539" s="1">
        <v>14.0</v>
      </c>
      <c r="C539" s="2"/>
      <c r="D539" s="2"/>
      <c r="E539" s="2"/>
      <c r="F539" s="2"/>
      <c r="G539" s="2"/>
    </row>
    <row r="540">
      <c r="A540" s="1" t="s">
        <v>336</v>
      </c>
      <c r="B540" s="1">
        <v>14.0</v>
      </c>
      <c r="C540" s="2"/>
      <c r="D540" s="2"/>
      <c r="E540" s="2"/>
      <c r="F540" s="2"/>
      <c r="G540" s="2"/>
    </row>
    <row r="541">
      <c r="A541" s="1" t="s">
        <v>337</v>
      </c>
      <c r="B541" s="1">
        <v>0.0</v>
      </c>
      <c r="C541" s="2"/>
      <c r="D541" s="2"/>
      <c r="E541" s="2"/>
      <c r="F541" s="2"/>
      <c r="G541" s="2"/>
    </row>
    <row r="542">
      <c r="A542" s="1" t="s">
        <v>338</v>
      </c>
      <c r="B542" s="1">
        <v>55.0</v>
      </c>
      <c r="C542" s="2"/>
      <c r="D542" s="2"/>
      <c r="E542" s="2"/>
      <c r="F542" s="2"/>
      <c r="G542" s="2"/>
    </row>
    <row r="543">
      <c r="A543" s="1" t="s">
        <v>339</v>
      </c>
      <c r="B543" s="1">
        <v>0.0</v>
      </c>
      <c r="C543" s="2"/>
      <c r="D543" s="2"/>
      <c r="E543" s="2"/>
      <c r="F543" s="2"/>
      <c r="G543" s="2"/>
    </row>
    <row r="544">
      <c r="A544" s="1" t="s">
        <v>340</v>
      </c>
      <c r="B544" s="1">
        <v>14.0</v>
      </c>
      <c r="C544" s="2"/>
      <c r="D544" s="2"/>
      <c r="E544" s="2"/>
      <c r="F544" s="2"/>
      <c r="G544" s="2"/>
    </row>
    <row r="545">
      <c r="A545" s="1" t="s">
        <v>341</v>
      </c>
      <c r="B545" s="1">
        <v>0.0</v>
      </c>
      <c r="C545" s="2"/>
      <c r="D545" s="2"/>
      <c r="E545" s="2"/>
      <c r="F545" s="2"/>
      <c r="G545" s="2"/>
    </row>
    <row r="546">
      <c r="A546" s="1" t="s">
        <v>342</v>
      </c>
      <c r="B546" s="1">
        <v>0.0</v>
      </c>
      <c r="C546" s="2"/>
      <c r="D546" s="2"/>
      <c r="E546" s="2"/>
      <c r="F546" s="2"/>
      <c r="G546" s="2"/>
    </row>
    <row r="547">
      <c r="A547" s="1" t="s">
        <v>343</v>
      </c>
      <c r="B547" s="1">
        <v>99.0</v>
      </c>
      <c r="C547" s="2"/>
      <c r="D547" s="2"/>
      <c r="E547" s="2"/>
      <c r="F547" s="2"/>
      <c r="G547" s="2"/>
    </row>
    <row r="548">
      <c r="A548" s="1" t="s">
        <v>344</v>
      </c>
      <c r="B548" s="1">
        <v>74.0</v>
      </c>
      <c r="C548" s="2"/>
      <c r="D548" s="2"/>
      <c r="E548" s="2"/>
      <c r="F548" s="2"/>
      <c r="G548" s="2"/>
    </row>
    <row r="549">
      <c r="A549" s="1" t="s">
        <v>345</v>
      </c>
      <c r="B549" s="1">
        <v>18.0</v>
      </c>
      <c r="C549" s="2"/>
      <c r="D549" s="2"/>
      <c r="E549" s="2"/>
      <c r="F549" s="2"/>
      <c r="G549" s="2"/>
    </row>
    <row r="550">
      <c r="A550" s="1" t="s">
        <v>346</v>
      </c>
      <c r="B550" s="1">
        <v>0.0</v>
      </c>
      <c r="C550" s="2"/>
      <c r="D550" s="2"/>
      <c r="E550" s="2"/>
      <c r="F550" s="2"/>
      <c r="G550" s="2"/>
    </row>
    <row r="551">
      <c r="A551" s="1" t="s">
        <v>347</v>
      </c>
      <c r="B551" s="1">
        <v>0.0</v>
      </c>
      <c r="C551" s="2"/>
      <c r="D551" s="2"/>
      <c r="E551" s="2"/>
      <c r="F551" s="2"/>
      <c r="G551" s="2"/>
    </row>
    <row r="552">
      <c r="A552" s="1" t="s">
        <v>348</v>
      </c>
      <c r="B552" s="1">
        <v>70.0</v>
      </c>
      <c r="C552" s="2"/>
      <c r="D552" s="2"/>
      <c r="E552" s="2"/>
      <c r="F552" s="2"/>
      <c r="G552" s="2"/>
    </row>
    <row r="553">
      <c r="A553" s="1" t="s">
        <v>349</v>
      </c>
      <c r="B553" s="1">
        <v>0.0</v>
      </c>
      <c r="C553" s="2"/>
      <c r="D553" s="2"/>
      <c r="E553" s="2"/>
      <c r="F553" s="2"/>
      <c r="G553" s="2"/>
    </row>
    <row r="554">
      <c r="A554" s="1" t="s">
        <v>350</v>
      </c>
      <c r="B554" s="1">
        <v>0.0</v>
      </c>
      <c r="C554" s="2"/>
      <c r="D554" s="2"/>
      <c r="E554" s="2"/>
      <c r="F554" s="2"/>
      <c r="G554" s="2"/>
    </row>
    <row r="555">
      <c r="A555" s="1" t="s">
        <v>351</v>
      </c>
      <c r="B555" s="1">
        <v>44.0</v>
      </c>
      <c r="C555" s="2"/>
      <c r="D555" s="2"/>
      <c r="E555" s="2"/>
      <c r="F555" s="2"/>
      <c r="G555" s="2"/>
    </row>
    <row r="556">
      <c r="A556" s="1" t="s">
        <v>352</v>
      </c>
      <c r="B556" s="1">
        <v>50.0</v>
      </c>
      <c r="C556" s="2"/>
      <c r="D556" s="2"/>
      <c r="E556" s="2"/>
      <c r="F556" s="2"/>
      <c r="G556" s="2"/>
    </row>
    <row r="557">
      <c r="A557" s="1" t="s">
        <v>353</v>
      </c>
      <c r="B557" s="1">
        <v>0.0</v>
      </c>
      <c r="C557" s="2"/>
      <c r="D557" s="2"/>
      <c r="E557" s="2"/>
      <c r="F557" s="2"/>
      <c r="G557" s="2"/>
    </row>
    <row r="558">
      <c r="A558" s="1" t="s">
        <v>354</v>
      </c>
      <c r="B558" s="1">
        <v>72.0</v>
      </c>
      <c r="C558" s="2"/>
      <c r="D558" s="2"/>
      <c r="E558" s="2"/>
      <c r="F558" s="2"/>
      <c r="G558" s="2"/>
    </row>
    <row r="559">
      <c r="A559" s="1" t="s">
        <v>355</v>
      </c>
      <c r="B559" s="1">
        <v>6.0</v>
      </c>
      <c r="C559" s="2"/>
      <c r="D559" s="2"/>
      <c r="E559" s="2"/>
      <c r="F559" s="2"/>
      <c r="G559" s="2"/>
    </row>
    <row r="560">
      <c r="A560" s="1" t="s">
        <v>356</v>
      </c>
      <c r="B560" s="1">
        <v>0.0</v>
      </c>
      <c r="C560" s="2"/>
      <c r="D560" s="2"/>
      <c r="E560" s="2"/>
      <c r="F560" s="2"/>
      <c r="G560" s="2"/>
    </row>
    <row r="561">
      <c r="A561" s="1" t="s">
        <v>357</v>
      </c>
      <c r="B561" s="1">
        <v>0.0</v>
      </c>
      <c r="C561" s="2"/>
      <c r="D561" s="2"/>
      <c r="E561" s="2"/>
      <c r="F561" s="2"/>
      <c r="G561" s="2"/>
    </row>
    <row r="562">
      <c r="A562" s="1" t="s">
        <v>358</v>
      </c>
      <c r="B562" s="1">
        <v>71.0</v>
      </c>
      <c r="C562" s="2"/>
      <c r="D562" s="2"/>
      <c r="E562" s="2"/>
      <c r="F562" s="2"/>
      <c r="G562" s="2"/>
    </row>
    <row r="563">
      <c r="A563" s="1" t="s">
        <v>359</v>
      </c>
      <c r="B563" s="1">
        <v>25.0</v>
      </c>
      <c r="C563" s="2"/>
      <c r="D563" s="2"/>
      <c r="E563" s="2"/>
      <c r="F563" s="2"/>
      <c r="G563" s="2"/>
    </row>
    <row r="564">
      <c r="A564" s="1" t="s">
        <v>360</v>
      </c>
      <c r="B564" s="1">
        <v>5.0</v>
      </c>
      <c r="C564" s="2"/>
      <c r="D564" s="2"/>
      <c r="E564" s="2"/>
      <c r="F564" s="2"/>
      <c r="G564" s="2"/>
    </row>
    <row r="565">
      <c r="A565" s="1" t="s">
        <v>361</v>
      </c>
      <c r="B565" s="1">
        <v>0.0</v>
      </c>
      <c r="C565" s="2"/>
      <c r="D565" s="2"/>
      <c r="E565" s="2"/>
      <c r="F565" s="2"/>
      <c r="G565" s="2"/>
    </row>
    <row r="566">
      <c r="A566" s="1" t="s">
        <v>362</v>
      </c>
      <c r="B566" s="1">
        <v>0.0</v>
      </c>
      <c r="C566" s="2"/>
      <c r="D566" s="2"/>
      <c r="E566" s="2"/>
      <c r="F566" s="2"/>
      <c r="G566" s="2"/>
    </row>
    <row r="567">
      <c r="A567" s="1" t="s">
        <v>363</v>
      </c>
      <c r="B567" s="1">
        <v>0.0</v>
      </c>
      <c r="C567" s="2"/>
      <c r="D567" s="2"/>
      <c r="E567" s="2"/>
      <c r="F567" s="2"/>
      <c r="G567" s="2"/>
    </row>
    <row r="568">
      <c r="A568" s="1" t="s">
        <v>364</v>
      </c>
      <c r="B568" s="1">
        <v>92.0</v>
      </c>
      <c r="C568" s="2"/>
      <c r="D568" s="2"/>
      <c r="E568" s="2"/>
      <c r="F568" s="2"/>
      <c r="G568" s="2"/>
    </row>
    <row r="569">
      <c r="A569" s="1" t="s">
        <v>365</v>
      </c>
      <c r="B569" s="1">
        <v>0.0</v>
      </c>
      <c r="C569" s="2"/>
      <c r="D569" s="2"/>
      <c r="E569" s="2"/>
      <c r="F569" s="2"/>
      <c r="G569" s="2"/>
    </row>
    <row r="570">
      <c r="A570" s="1" t="s">
        <v>366</v>
      </c>
      <c r="B570" s="1">
        <v>0.0</v>
      </c>
      <c r="C570" s="2"/>
      <c r="D570" s="2"/>
      <c r="E570" s="2"/>
      <c r="F570" s="2"/>
      <c r="G570" s="2"/>
    </row>
    <row r="571">
      <c r="A571" s="1" t="s">
        <v>367</v>
      </c>
      <c r="B571" s="1">
        <v>0.0</v>
      </c>
      <c r="C571" s="2"/>
      <c r="D571" s="2"/>
      <c r="E571" s="2"/>
      <c r="F571" s="2"/>
      <c r="G571" s="2"/>
    </row>
    <row r="572">
      <c r="A572" s="1" t="s">
        <v>368</v>
      </c>
      <c r="B572" s="1">
        <v>80.0</v>
      </c>
      <c r="C572" s="2"/>
      <c r="D572" s="2"/>
      <c r="E572" s="2"/>
      <c r="F572" s="2"/>
      <c r="G572" s="2"/>
    </row>
    <row r="573">
      <c r="A573" s="1" t="s">
        <v>369</v>
      </c>
      <c r="B573" s="1">
        <v>0.0</v>
      </c>
      <c r="C573" s="2"/>
      <c r="D573" s="2"/>
      <c r="E573" s="2"/>
      <c r="F573" s="2"/>
      <c r="G573" s="2"/>
    </row>
    <row r="574">
      <c r="A574" s="1" t="s">
        <v>370</v>
      </c>
      <c r="B574" s="1">
        <v>0.0</v>
      </c>
      <c r="C574" s="2"/>
      <c r="D574" s="2"/>
      <c r="E574" s="2"/>
      <c r="F574" s="2"/>
      <c r="G574" s="2"/>
    </row>
    <row r="575">
      <c r="A575" s="1" t="s">
        <v>371</v>
      </c>
      <c r="B575" s="1">
        <v>52.0</v>
      </c>
      <c r="C575" s="2"/>
      <c r="D575" s="2"/>
      <c r="E575" s="2"/>
      <c r="F575" s="2"/>
      <c r="G575" s="2"/>
    </row>
    <row r="576">
      <c r="A576" s="1" t="s">
        <v>372</v>
      </c>
      <c r="B576" s="1">
        <v>0.0</v>
      </c>
      <c r="C576" s="2"/>
      <c r="D576" s="2"/>
      <c r="E576" s="2"/>
      <c r="F576" s="2"/>
      <c r="G576" s="2"/>
    </row>
    <row r="577">
      <c r="A577" s="1" t="s">
        <v>373</v>
      </c>
      <c r="B577" s="1">
        <v>0.0</v>
      </c>
      <c r="C577" s="2"/>
      <c r="D577" s="2"/>
      <c r="E577" s="2"/>
      <c r="F577" s="2"/>
      <c r="G577" s="2"/>
    </row>
    <row r="578">
      <c r="A578" s="1" t="s">
        <v>374</v>
      </c>
      <c r="B578" s="1">
        <v>6.0</v>
      </c>
      <c r="C578" s="2"/>
      <c r="D578" s="2"/>
      <c r="E578" s="2"/>
      <c r="F578" s="2"/>
      <c r="G578" s="2"/>
    </row>
    <row r="579">
      <c r="A579" s="1" t="s">
        <v>375</v>
      </c>
      <c r="B579" s="1">
        <v>35.0</v>
      </c>
      <c r="C579" s="2"/>
      <c r="D579" s="2"/>
      <c r="E579" s="2"/>
      <c r="F579" s="2"/>
      <c r="G579" s="2"/>
    </row>
    <row r="580">
      <c r="A580" s="1" t="s">
        <v>376</v>
      </c>
      <c r="B580" s="1">
        <v>40.0</v>
      </c>
      <c r="C580" s="2"/>
      <c r="D580" s="2"/>
      <c r="E580" s="2"/>
      <c r="F580" s="2"/>
      <c r="G580" s="2"/>
    </row>
    <row r="581">
      <c r="A581" s="1" t="s">
        <v>377</v>
      </c>
      <c r="B581" s="1">
        <v>75.0</v>
      </c>
      <c r="C581" s="2"/>
      <c r="D581" s="2"/>
      <c r="E581" s="2"/>
      <c r="F581" s="2"/>
      <c r="G581" s="2"/>
    </row>
    <row r="582">
      <c r="A582" s="1" t="s">
        <v>378</v>
      </c>
      <c r="B582" s="1">
        <v>62.0</v>
      </c>
      <c r="C582" s="2"/>
      <c r="D582" s="2"/>
      <c r="E582" s="2"/>
      <c r="F582" s="2"/>
      <c r="G582" s="2"/>
    </row>
    <row r="583">
      <c r="A583" s="1" t="s">
        <v>379</v>
      </c>
      <c r="B583" s="1">
        <v>0.0</v>
      </c>
      <c r="C583" s="2"/>
      <c r="D583" s="2"/>
      <c r="E583" s="2"/>
      <c r="F583" s="2"/>
      <c r="G583" s="2"/>
    </row>
    <row r="584">
      <c r="A584" s="1" t="s">
        <v>380</v>
      </c>
      <c r="B584" s="1">
        <v>0.0</v>
      </c>
      <c r="C584" s="2"/>
      <c r="D584" s="2"/>
      <c r="E584" s="2"/>
      <c r="F584" s="2"/>
      <c r="G584" s="2"/>
    </row>
    <row r="585">
      <c r="A585" s="1" t="s">
        <v>381</v>
      </c>
      <c r="B585" s="1">
        <v>14.0</v>
      </c>
      <c r="C585" s="2"/>
      <c r="D585" s="2"/>
      <c r="E585" s="2"/>
      <c r="F585" s="2"/>
      <c r="G585" s="2"/>
    </row>
    <row r="586">
      <c r="A586" s="1" t="s">
        <v>382</v>
      </c>
      <c r="B586" s="1">
        <v>0.0</v>
      </c>
      <c r="C586" s="2"/>
      <c r="D586" s="2"/>
      <c r="E586" s="2"/>
      <c r="F586" s="2"/>
      <c r="G586" s="2"/>
    </row>
    <row r="587">
      <c r="A587" s="1" t="s">
        <v>383</v>
      </c>
      <c r="B587" s="1">
        <v>0.0</v>
      </c>
      <c r="C587" s="2"/>
      <c r="D587" s="2"/>
      <c r="E587" s="2"/>
      <c r="F587" s="2"/>
      <c r="G587" s="2"/>
    </row>
    <row r="588">
      <c r="A588" s="1" t="s">
        <v>384</v>
      </c>
      <c r="B588" s="1">
        <v>0.0</v>
      </c>
      <c r="C588" s="2"/>
      <c r="D588" s="2"/>
      <c r="E588" s="2"/>
      <c r="F588" s="2"/>
      <c r="G588" s="2"/>
    </row>
    <row r="589">
      <c r="A589" s="1" t="s">
        <v>385</v>
      </c>
      <c r="B589" s="1">
        <v>20.0</v>
      </c>
      <c r="C589" s="2"/>
      <c r="D589" s="2"/>
      <c r="E589" s="2"/>
      <c r="F589" s="2"/>
      <c r="G589" s="2"/>
    </row>
    <row r="590">
      <c r="A590" s="1" t="s">
        <v>386</v>
      </c>
      <c r="B590" s="1">
        <v>0.0</v>
      </c>
      <c r="C590" s="2"/>
      <c r="D590" s="2"/>
      <c r="E590" s="2"/>
      <c r="F590" s="2"/>
      <c r="G590" s="2"/>
    </row>
    <row r="591">
      <c r="A591" s="1" t="s">
        <v>387</v>
      </c>
      <c r="B591" s="1">
        <v>0.0</v>
      </c>
      <c r="C591" s="2"/>
      <c r="D591" s="2"/>
      <c r="E591" s="2"/>
      <c r="F591" s="2"/>
      <c r="G591" s="2"/>
    </row>
    <row r="592">
      <c r="A592" s="1" t="s">
        <v>388</v>
      </c>
      <c r="B592" s="1" t="s">
        <v>389</v>
      </c>
      <c r="C592" s="1">
        <v>37.0</v>
      </c>
      <c r="D592" s="2"/>
      <c r="E592" s="2"/>
      <c r="F592" s="2"/>
      <c r="G592" s="2"/>
    </row>
    <row r="593">
      <c r="A593" s="1" t="s">
        <v>390</v>
      </c>
      <c r="B593" s="1">
        <v>0.0</v>
      </c>
      <c r="C593" s="2"/>
      <c r="D593" s="2"/>
      <c r="E593" s="2"/>
      <c r="F593" s="2"/>
      <c r="G593" s="2"/>
    </row>
    <row r="594">
      <c r="A594" s="1" t="s">
        <v>391</v>
      </c>
      <c r="B594" s="1">
        <v>40.0</v>
      </c>
      <c r="C594" s="2"/>
      <c r="D594" s="2"/>
      <c r="E594" s="2"/>
      <c r="F594" s="2"/>
      <c r="G594" s="2"/>
    </row>
    <row r="595">
      <c r="A595" s="1" t="s">
        <v>392</v>
      </c>
      <c r="B595" s="1">
        <v>45.0</v>
      </c>
      <c r="C595" s="2"/>
      <c r="D595" s="2"/>
      <c r="E595" s="2"/>
      <c r="F595" s="2"/>
      <c r="G595" s="2"/>
    </row>
    <row r="596">
      <c r="A596" s="1" t="s">
        <v>393</v>
      </c>
      <c r="B596" s="1">
        <v>0.0</v>
      </c>
      <c r="C596" s="2"/>
      <c r="D596" s="2"/>
      <c r="E596" s="2"/>
      <c r="F596" s="2"/>
      <c r="G596" s="2"/>
    </row>
    <row r="597">
      <c r="A597" s="1" t="s">
        <v>394</v>
      </c>
      <c r="B597" s="1">
        <v>0.0</v>
      </c>
      <c r="C597" s="2"/>
      <c r="D597" s="2"/>
      <c r="E597" s="2"/>
      <c r="F597" s="2"/>
      <c r="G597" s="2"/>
    </row>
    <row r="598">
      <c r="A598" s="1" t="s">
        <v>395</v>
      </c>
      <c r="B598" s="1">
        <v>0.0</v>
      </c>
      <c r="C598" s="2"/>
      <c r="D598" s="2"/>
      <c r="E598" s="2"/>
      <c r="F598" s="2"/>
      <c r="G598" s="2"/>
    </row>
    <row r="599">
      <c r="A599" s="1" t="s">
        <v>396</v>
      </c>
      <c r="B599" s="1">
        <v>0.0</v>
      </c>
      <c r="C599" s="2"/>
      <c r="D599" s="2"/>
      <c r="E599" s="2"/>
      <c r="F599" s="2"/>
      <c r="G599" s="2"/>
    </row>
    <row r="600">
      <c r="A600" s="1" t="s">
        <v>397</v>
      </c>
      <c r="B600" s="1">
        <v>40.0</v>
      </c>
      <c r="C600" s="2"/>
      <c r="D600" s="2"/>
      <c r="E600" s="2"/>
      <c r="F600" s="2"/>
      <c r="G600" s="2"/>
    </row>
    <row r="601">
      <c r="A601" s="1" t="s">
        <v>398</v>
      </c>
      <c r="B601" s="1">
        <v>0.0</v>
      </c>
      <c r="C601" s="2"/>
      <c r="D601" s="2"/>
      <c r="E601" s="2"/>
      <c r="F601" s="2"/>
      <c r="G601" s="2"/>
    </row>
    <row r="602">
      <c r="A602" s="1" t="s">
        <v>399</v>
      </c>
      <c r="B602" s="1" t="s">
        <v>400</v>
      </c>
      <c r="C602" s="1">
        <v>0.0</v>
      </c>
      <c r="D602" s="2"/>
      <c r="E602" s="2"/>
      <c r="F602" s="2"/>
      <c r="G602" s="2"/>
    </row>
    <row r="603">
      <c r="A603" s="1" t="s">
        <v>401</v>
      </c>
      <c r="B603" s="1">
        <v>0.0</v>
      </c>
      <c r="C603" s="2"/>
      <c r="D603" s="2"/>
      <c r="E603" s="2"/>
      <c r="F603" s="2"/>
      <c r="G603" s="2"/>
    </row>
    <row r="604">
      <c r="A604" s="1" t="s">
        <v>402</v>
      </c>
      <c r="B604" s="1">
        <v>50.0</v>
      </c>
      <c r="C604" s="2"/>
      <c r="D604" s="2"/>
      <c r="E604" s="2"/>
      <c r="F604" s="2"/>
      <c r="G604" s="2"/>
    </row>
    <row r="605">
      <c r="A605" s="1" t="s">
        <v>403</v>
      </c>
      <c r="B605" s="1">
        <v>0.0</v>
      </c>
      <c r="C605" s="2"/>
      <c r="D605" s="2"/>
      <c r="E605" s="2"/>
      <c r="F605" s="2"/>
      <c r="G605" s="2"/>
    </row>
    <row r="606">
      <c r="A606" s="1" t="s">
        <v>404</v>
      </c>
      <c r="B606" s="1">
        <v>0.0</v>
      </c>
      <c r="C606" s="2"/>
      <c r="D606" s="2"/>
      <c r="E606" s="2"/>
      <c r="F606" s="2"/>
      <c r="G606" s="2"/>
    </row>
    <row r="607">
      <c r="A607" s="1" t="s">
        <v>405</v>
      </c>
      <c r="B607" s="1">
        <v>0.0</v>
      </c>
      <c r="C607" s="2"/>
      <c r="D607" s="2"/>
      <c r="E607" s="2"/>
      <c r="F607" s="2"/>
      <c r="G607" s="2"/>
    </row>
    <row r="608">
      <c r="A608" s="1" t="s">
        <v>406</v>
      </c>
      <c r="B608" s="1">
        <v>0.0</v>
      </c>
      <c r="C608" s="2"/>
      <c r="D608" s="2"/>
      <c r="E608" s="2"/>
      <c r="F608" s="2"/>
      <c r="G608" s="2"/>
    </row>
    <row r="609">
      <c r="A609" s="1" t="s">
        <v>407</v>
      </c>
      <c r="B609" s="1">
        <v>0.0</v>
      </c>
      <c r="C609" s="2"/>
      <c r="D609" s="2"/>
      <c r="E609" s="2"/>
      <c r="F609" s="2"/>
      <c r="G609" s="2"/>
    </row>
    <row r="610">
      <c r="A610" s="1" t="s">
        <v>408</v>
      </c>
      <c r="B610" s="1">
        <v>0.0</v>
      </c>
      <c r="C610" s="2"/>
      <c r="D610" s="2"/>
      <c r="E610" s="2"/>
      <c r="F610" s="2"/>
      <c r="G610" s="2"/>
    </row>
    <row r="611">
      <c r="A611" s="1" t="s">
        <v>409</v>
      </c>
      <c r="B611" s="1">
        <v>0.0</v>
      </c>
      <c r="C611" s="2"/>
      <c r="D611" s="2"/>
      <c r="E611" s="2"/>
      <c r="F611" s="2"/>
      <c r="G611" s="2"/>
    </row>
    <row r="612">
      <c r="A612" s="1" t="s">
        <v>410</v>
      </c>
      <c r="B612" s="1">
        <v>70.0</v>
      </c>
      <c r="C612" s="2"/>
      <c r="D612" s="2"/>
      <c r="E612" s="2"/>
      <c r="F612" s="2"/>
      <c r="G612" s="2"/>
    </row>
    <row r="613">
      <c r="A613" s="1" t="s">
        <v>411</v>
      </c>
      <c r="B613" s="1">
        <v>0.0</v>
      </c>
      <c r="C613" s="2"/>
      <c r="D613" s="2"/>
      <c r="E613" s="2"/>
      <c r="F613" s="2"/>
      <c r="G613" s="2"/>
    </row>
    <row r="614">
      <c r="A614" s="1" t="s">
        <v>412</v>
      </c>
      <c r="B614" s="1">
        <v>58.0</v>
      </c>
      <c r="C614" s="2"/>
      <c r="D614" s="2"/>
      <c r="E614" s="2"/>
      <c r="F614" s="2"/>
      <c r="G614" s="2"/>
    </row>
    <row r="615">
      <c r="A615" s="1" t="s">
        <v>413</v>
      </c>
      <c r="B615" s="1">
        <v>70.0</v>
      </c>
      <c r="C615" s="2"/>
      <c r="D615" s="2"/>
      <c r="E615" s="2"/>
      <c r="F615" s="2"/>
      <c r="G615" s="2"/>
    </row>
    <row r="616">
      <c r="A616" s="1" t="s">
        <v>414</v>
      </c>
      <c r="B616" s="1">
        <v>0.0</v>
      </c>
      <c r="C616" s="2"/>
      <c r="D616" s="2"/>
      <c r="E616" s="2"/>
      <c r="F616" s="2"/>
      <c r="G616" s="2"/>
    </row>
    <row r="617">
      <c r="A617" s="1" t="s">
        <v>415</v>
      </c>
      <c r="B617" s="1">
        <v>0.0</v>
      </c>
      <c r="C617" s="2"/>
      <c r="D617" s="2"/>
      <c r="E617" s="2"/>
      <c r="F617" s="2"/>
      <c r="G617" s="2"/>
    </row>
    <row r="618">
      <c r="A618" s="1" t="s">
        <v>416</v>
      </c>
      <c r="B618" s="1">
        <v>21.0</v>
      </c>
      <c r="C618" s="2"/>
      <c r="D618" s="2"/>
      <c r="E618" s="2"/>
      <c r="F618" s="2"/>
      <c r="G618" s="2"/>
    </row>
    <row r="619">
      <c r="A619" s="1" t="s">
        <v>417</v>
      </c>
      <c r="B619" s="1">
        <v>0.0</v>
      </c>
      <c r="C619" s="2"/>
      <c r="D619" s="2"/>
      <c r="E619" s="2"/>
      <c r="F619" s="2"/>
      <c r="G619" s="2"/>
    </row>
    <row r="620">
      <c r="A620" s="1" t="s">
        <v>418</v>
      </c>
      <c r="B620" s="1">
        <v>0.0</v>
      </c>
      <c r="C620" s="2"/>
      <c r="D620" s="2"/>
      <c r="E620" s="2"/>
      <c r="F620" s="2"/>
      <c r="G620" s="2"/>
    </row>
    <row r="621">
      <c r="A621" s="1" t="s">
        <v>419</v>
      </c>
      <c r="B621" s="1">
        <v>0.0</v>
      </c>
      <c r="C621" s="2"/>
      <c r="D621" s="2"/>
      <c r="E621" s="2"/>
      <c r="F621" s="2"/>
      <c r="G621" s="2"/>
    </row>
    <row r="622">
      <c r="A622" s="1" t="s">
        <v>420</v>
      </c>
      <c r="B622" s="1">
        <v>0.0</v>
      </c>
      <c r="C622" s="2"/>
      <c r="D622" s="2"/>
      <c r="E622" s="2"/>
      <c r="F622" s="2"/>
      <c r="G622" s="2"/>
    </row>
    <row r="623">
      <c r="A623" s="1" t="s">
        <v>421</v>
      </c>
      <c r="B623" s="1">
        <v>0.0</v>
      </c>
      <c r="C623" s="2"/>
      <c r="D623" s="2"/>
      <c r="E623" s="2"/>
      <c r="F623" s="2"/>
      <c r="G623" s="2"/>
    </row>
    <row r="624">
      <c r="A624" s="1" t="s">
        <v>422</v>
      </c>
      <c r="B624" s="1">
        <v>0.0</v>
      </c>
      <c r="C624" s="2"/>
      <c r="D624" s="2"/>
      <c r="E624" s="2"/>
      <c r="F624" s="2"/>
      <c r="G624" s="2"/>
    </row>
    <row r="625">
      <c r="A625" s="1" t="s">
        <v>423</v>
      </c>
      <c r="B625" s="1">
        <v>0.0</v>
      </c>
      <c r="C625" s="2"/>
      <c r="D625" s="2"/>
      <c r="E625" s="2"/>
      <c r="F625" s="2"/>
      <c r="G625" s="2"/>
    </row>
    <row r="626">
      <c r="A626" s="1" t="s">
        <v>424</v>
      </c>
      <c r="B626" s="1">
        <v>0.0</v>
      </c>
      <c r="C626" s="2"/>
      <c r="D626" s="2"/>
      <c r="E626" s="2"/>
      <c r="F626" s="2"/>
      <c r="G626" s="2"/>
    </row>
    <row r="627">
      <c r="A627" s="1" t="s">
        <v>425</v>
      </c>
      <c r="B627" s="1">
        <v>0.0</v>
      </c>
      <c r="C627" s="2"/>
      <c r="D627" s="2"/>
      <c r="E627" s="2"/>
      <c r="F627" s="2"/>
      <c r="G627" s="2"/>
    </row>
    <row r="628">
      <c r="A628" s="1" t="s">
        <v>426</v>
      </c>
      <c r="B628" s="1">
        <v>0.0</v>
      </c>
      <c r="C628" s="2"/>
      <c r="D628" s="2"/>
      <c r="E628" s="2"/>
      <c r="F628" s="2"/>
      <c r="G628" s="2"/>
    </row>
    <row r="629">
      <c r="A629" s="1" t="s">
        <v>427</v>
      </c>
      <c r="B629" s="1">
        <v>0.0</v>
      </c>
      <c r="C629" s="2"/>
      <c r="D629" s="2"/>
      <c r="E629" s="2"/>
      <c r="F629" s="2"/>
      <c r="G629" s="2"/>
    </row>
    <row r="630">
      <c r="A630" s="1" t="s">
        <v>428</v>
      </c>
      <c r="B630" s="1">
        <v>0.0</v>
      </c>
      <c r="C630" s="2"/>
      <c r="D630" s="2"/>
      <c r="E630" s="2"/>
      <c r="F630" s="2"/>
      <c r="G630" s="2"/>
    </row>
    <row r="631">
      <c r="A631" s="1" t="s">
        <v>429</v>
      </c>
      <c r="B631" s="1">
        <v>50.0</v>
      </c>
      <c r="C631" s="2"/>
      <c r="D631" s="2"/>
      <c r="E631" s="2"/>
      <c r="F631" s="2"/>
      <c r="G631" s="2"/>
    </row>
    <row r="632">
      <c r="A632" s="1" t="s">
        <v>430</v>
      </c>
      <c r="B632" s="1">
        <v>0.0</v>
      </c>
      <c r="C632" s="2"/>
      <c r="D632" s="2"/>
      <c r="E632" s="2"/>
      <c r="F632" s="2"/>
      <c r="G632" s="2"/>
    </row>
    <row r="633">
      <c r="A633" s="1" t="s">
        <v>360</v>
      </c>
      <c r="B633" s="1">
        <v>5.0</v>
      </c>
      <c r="C633" s="2"/>
      <c r="D633" s="2"/>
      <c r="E633" s="2"/>
      <c r="F633" s="2"/>
      <c r="G633" s="2"/>
    </row>
    <row r="634">
      <c r="A634" s="1" t="s">
        <v>361</v>
      </c>
      <c r="B634" s="1">
        <v>0.0</v>
      </c>
      <c r="C634" s="2"/>
      <c r="D634" s="2"/>
      <c r="E634" s="2"/>
      <c r="F634" s="2"/>
      <c r="G634" s="2"/>
    </row>
    <row r="635">
      <c r="A635" s="1" t="s">
        <v>362</v>
      </c>
      <c r="B635" s="1">
        <v>0.0</v>
      </c>
      <c r="C635" s="2"/>
      <c r="D635" s="2"/>
      <c r="E635" s="2"/>
      <c r="F635" s="2"/>
      <c r="G635" s="2"/>
    </row>
    <row r="636">
      <c r="A636" s="1" t="s">
        <v>363</v>
      </c>
      <c r="B636" s="1">
        <v>0.0</v>
      </c>
      <c r="C636" s="2"/>
      <c r="D636" s="2"/>
      <c r="E636" s="2"/>
      <c r="F636" s="2"/>
      <c r="G636" s="2"/>
    </row>
    <row r="637">
      <c r="A637" s="1" t="s">
        <v>364</v>
      </c>
      <c r="B637" s="1">
        <v>92.0</v>
      </c>
      <c r="C637" s="2"/>
      <c r="D637" s="2"/>
      <c r="E637" s="2"/>
      <c r="F637" s="2"/>
      <c r="G637" s="2"/>
    </row>
    <row r="638">
      <c r="A638" s="1" t="s">
        <v>365</v>
      </c>
      <c r="B638" s="1">
        <v>0.0</v>
      </c>
      <c r="C638" s="2"/>
      <c r="D638" s="2"/>
      <c r="E638" s="2"/>
      <c r="F638" s="2"/>
      <c r="G638" s="2"/>
    </row>
    <row r="639">
      <c r="A639" s="1" t="s">
        <v>366</v>
      </c>
      <c r="B639" s="1">
        <v>0.0</v>
      </c>
      <c r="C639" s="2"/>
      <c r="D639" s="2"/>
      <c r="E639" s="2"/>
      <c r="F639" s="2"/>
      <c r="G639" s="2"/>
    </row>
    <row r="640">
      <c r="A640" s="1" t="s">
        <v>367</v>
      </c>
      <c r="B640" s="1">
        <v>0.0</v>
      </c>
      <c r="C640" s="2"/>
      <c r="D640" s="2"/>
      <c r="E640" s="2"/>
      <c r="F640" s="2"/>
      <c r="G640" s="2"/>
    </row>
    <row r="641">
      <c r="A641" s="1" t="s">
        <v>368</v>
      </c>
      <c r="B641" s="1">
        <v>80.0</v>
      </c>
      <c r="C641" s="2"/>
      <c r="D641" s="2"/>
      <c r="E641" s="2"/>
      <c r="F641" s="2"/>
      <c r="G641" s="2"/>
    </row>
    <row r="642">
      <c r="A642" s="1" t="s">
        <v>369</v>
      </c>
      <c r="B642" s="1">
        <v>0.0</v>
      </c>
      <c r="C642" s="2"/>
      <c r="D642" s="2"/>
      <c r="E642" s="2"/>
      <c r="F642" s="2"/>
      <c r="G642" s="2"/>
    </row>
    <row r="643">
      <c r="A643" s="1" t="s">
        <v>370</v>
      </c>
      <c r="B643" s="1">
        <v>0.0</v>
      </c>
      <c r="C643" s="2"/>
      <c r="D643" s="2"/>
      <c r="E643" s="2"/>
      <c r="F643" s="2"/>
      <c r="G643" s="2"/>
    </row>
    <row r="644">
      <c r="A644" s="1" t="s">
        <v>371</v>
      </c>
      <c r="B644" s="1">
        <v>52.0</v>
      </c>
      <c r="C644" s="2"/>
      <c r="D644" s="2"/>
      <c r="E644" s="2"/>
      <c r="F644" s="2"/>
      <c r="G644" s="2"/>
    </row>
    <row r="645">
      <c r="A645" s="1" t="s">
        <v>372</v>
      </c>
      <c r="B645" s="1">
        <v>0.0</v>
      </c>
      <c r="C645" s="2"/>
      <c r="D645" s="2"/>
      <c r="E645" s="2"/>
      <c r="F645" s="2"/>
      <c r="G645" s="2"/>
    </row>
    <row r="646">
      <c r="A646" s="1" t="s">
        <v>373</v>
      </c>
      <c r="B646" s="1">
        <v>0.0</v>
      </c>
      <c r="C646" s="2"/>
      <c r="D646" s="2"/>
      <c r="E646" s="2"/>
      <c r="F646" s="2"/>
      <c r="G646" s="2"/>
    </row>
    <row r="647">
      <c r="A647" s="1" t="s">
        <v>374</v>
      </c>
      <c r="B647" s="1">
        <v>6.0</v>
      </c>
      <c r="C647" s="2"/>
      <c r="D647" s="2"/>
      <c r="E647" s="2"/>
      <c r="F647" s="2"/>
      <c r="G647" s="2"/>
    </row>
    <row r="648">
      <c r="A648" s="1" t="s">
        <v>375</v>
      </c>
      <c r="B648" s="1">
        <v>35.0</v>
      </c>
      <c r="C648" s="2"/>
      <c r="D648" s="2"/>
      <c r="E648" s="2"/>
      <c r="F648" s="2"/>
      <c r="G648" s="2"/>
    </row>
    <row r="649">
      <c r="A649" s="1" t="s">
        <v>376</v>
      </c>
      <c r="B649" s="1">
        <v>40.0</v>
      </c>
      <c r="C649" s="2"/>
      <c r="D649" s="2"/>
      <c r="E649" s="2"/>
      <c r="F649" s="2"/>
      <c r="G649" s="2"/>
    </row>
    <row r="650">
      <c r="A650" s="1" t="s">
        <v>377</v>
      </c>
      <c r="B650" s="1">
        <v>75.0</v>
      </c>
      <c r="C650" s="2"/>
      <c r="D650" s="2"/>
      <c r="E650" s="2"/>
      <c r="F650" s="2"/>
      <c r="G650" s="2"/>
    </row>
    <row r="651">
      <c r="A651" s="1" t="s">
        <v>378</v>
      </c>
      <c r="B651" s="1">
        <v>62.0</v>
      </c>
      <c r="C651" s="2"/>
      <c r="D651" s="2"/>
      <c r="E651" s="2"/>
      <c r="F651" s="2"/>
      <c r="G651" s="2"/>
    </row>
    <row r="652">
      <c r="A652" s="1" t="s">
        <v>379</v>
      </c>
      <c r="B652" s="1">
        <v>0.0</v>
      </c>
      <c r="C652" s="2"/>
      <c r="D652" s="2"/>
      <c r="E652" s="2"/>
      <c r="F652" s="2"/>
      <c r="G652" s="2"/>
    </row>
    <row r="653">
      <c r="A653" s="1" t="s">
        <v>380</v>
      </c>
      <c r="B653" s="1">
        <v>0.0</v>
      </c>
      <c r="C653" s="2"/>
      <c r="D653" s="2"/>
      <c r="E653" s="2"/>
      <c r="F653" s="2"/>
      <c r="G653" s="2"/>
    </row>
    <row r="654">
      <c r="A654" s="1" t="s">
        <v>381</v>
      </c>
      <c r="B654" s="1">
        <v>14.0</v>
      </c>
      <c r="C654" s="2"/>
      <c r="D654" s="2"/>
      <c r="E654" s="2"/>
      <c r="F654" s="2"/>
      <c r="G654" s="2"/>
    </row>
    <row r="655">
      <c r="A655" s="1" t="s">
        <v>382</v>
      </c>
      <c r="B655" s="1">
        <v>0.0</v>
      </c>
      <c r="C655" s="2"/>
      <c r="D655" s="2"/>
      <c r="E655" s="2"/>
      <c r="F655" s="2"/>
      <c r="G655" s="2"/>
    </row>
    <row r="656">
      <c r="A656" s="1" t="s">
        <v>383</v>
      </c>
      <c r="B656" s="1">
        <v>0.0</v>
      </c>
      <c r="C656" s="2"/>
      <c r="D656" s="2"/>
      <c r="E656" s="2"/>
      <c r="F656" s="2"/>
      <c r="G656" s="2"/>
    </row>
    <row r="657">
      <c r="A657" s="1" t="s">
        <v>384</v>
      </c>
      <c r="B657" s="1">
        <v>0.0</v>
      </c>
      <c r="C657" s="2"/>
      <c r="D657" s="2"/>
      <c r="E657" s="2"/>
      <c r="F657" s="2"/>
      <c r="G657" s="2"/>
    </row>
    <row r="658">
      <c r="A658" s="1" t="s">
        <v>385</v>
      </c>
      <c r="B658" s="1">
        <v>20.0</v>
      </c>
      <c r="C658" s="2"/>
      <c r="D658" s="2"/>
      <c r="E658" s="2"/>
      <c r="F658" s="2"/>
      <c r="G658" s="2"/>
    </row>
    <row r="659">
      <c r="A659" s="1" t="s">
        <v>386</v>
      </c>
      <c r="B659" s="1">
        <v>0.0</v>
      </c>
      <c r="C659" s="2"/>
      <c r="D659" s="2"/>
      <c r="E659" s="2"/>
      <c r="F659" s="2"/>
      <c r="G659" s="2"/>
    </row>
    <row r="660">
      <c r="A660" s="1" t="s">
        <v>387</v>
      </c>
      <c r="B660" s="1">
        <v>0.0</v>
      </c>
      <c r="C660" s="2"/>
      <c r="D660" s="2"/>
      <c r="E660" s="2"/>
      <c r="F660" s="2"/>
      <c r="G660" s="2"/>
    </row>
    <row r="661">
      <c r="A661" s="1" t="s">
        <v>388</v>
      </c>
      <c r="B661" s="1" t="s">
        <v>389</v>
      </c>
      <c r="C661" s="1">
        <v>37.0</v>
      </c>
      <c r="D661" s="2"/>
      <c r="E661" s="2"/>
      <c r="F661" s="2"/>
      <c r="G661" s="2"/>
    </row>
    <row r="662">
      <c r="A662" s="1" t="s">
        <v>390</v>
      </c>
      <c r="B662" s="1">
        <v>0.0</v>
      </c>
      <c r="C662" s="2"/>
      <c r="D662" s="2"/>
      <c r="E662" s="2"/>
      <c r="F662" s="2"/>
      <c r="G662" s="2"/>
    </row>
    <row r="663">
      <c r="A663" s="1" t="s">
        <v>391</v>
      </c>
      <c r="B663" s="1">
        <v>40.0</v>
      </c>
      <c r="C663" s="2"/>
      <c r="D663" s="2"/>
      <c r="E663" s="2"/>
      <c r="F663" s="2"/>
      <c r="G663" s="2"/>
    </row>
    <row r="664">
      <c r="A664" s="1" t="s">
        <v>392</v>
      </c>
      <c r="B664" s="1">
        <v>45.0</v>
      </c>
      <c r="C664" s="2"/>
      <c r="D664" s="2"/>
      <c r="E664" s="2"/>
      <c r="F664" s="2"/>
      <c r="G664" s="2"/>
    </row>
    <row r="665">
      <c r="A665" s="1" t="s">
        <v>393</v>
      </c>
      <c r="B665" s="1">
        <v>0.0</v>
      </c>
      <c r="C665" s="2"/>
      <c r="D665" s="2"/>
      <c r="E665" s="2"/>
      <c r="F665" s="2"/>
      <c r="G665" s="2"/>
    </row>
    <row r="666">
      <c r="A666" s="1" t="s">
        <v>394</v>
      </c>
      <c r="B666" s="1">
        <v>0.0</v>
      </c>
      <c r="C666" s="2"/>
      <c r="D666" s="2"/>
      <c r="E666" s="2"/>
      <c r="F666" s="2"/>
      <c r="G666" s="2"/>
    </row>
    <row r="667">
      <c r="A667" s="1" t="s">
        <v>395</v>
      </c>
      <c r="B667" s="1">
        <v>0.0</v>
      </c>
      <c r="C667" s="2"/>
      <c r="D667" s="2"/>
      <c r="E667" s="2"/>
      <c r="F667" s="2"/>
      <c r="G667" s="2"/>
    </row>
    <row r="668">
      <c r="A668" s="1" t="s">
        <v>396</v>
      </c>
      <c r="B668" s="1">
        <v>0.0</v>
      </c>
      <c r="C668" s="2"/>
      <c r="D668" s="2"/>
      <c r="E668" s="2"/>
      <c r="F668" s="2"/>
      <c r="G668" s="2"/>
    </row>
    <row r="669">
      <c r="A669" s="1" t="s">
        <v>397</v>
      </c>
      <c r="B669" s="1">
        <v>40.0</v>
      </c>
      <c r="C669" s="2"/>
      <c r="D669" s="2"/>
      <c r="E669" s="2"/>
      <c r="F669" s="2"/>
      <c r="G669" s="2"/>
    </row>
    <row r="670">
      <c r="A670" s="1" t="s">
        <v>398</v>
      </c>
      <c r="B670" s="1">
        <v>0.0</v>
      </c>
      <c r="C670" s="2"/>
      <c r="D670" s="2"/>
      <c r="E670" s="2"/>
      <c r="F670" s="2"/>
      <c r="G670" s="2"/>
    </row>
    <row r="671">
      <c r="A671" s="1" t="s">
        <v>399</v>
      </c>
      <c r="B671" s="1" t="s">
        <v>400</v>
      </c>
      <c r="C671" s="1">
        <v>0.0</v>
      </c>
      <c r="D671" s="2"/>
      <c r="E671" s="2"/>
      <c r="F671" s="2"/>
      <c r="G671" s="2"/>
    </row>
    <row r="672">
      <c r="A672" s="1" t="s">
        <v>401</v>
      </c>
      <c r="B672" s="1">
        <v>0.0</v>
      </c>
      <c r="C672" s="2"/>
      <c r="D672" s="2"/>
      <c r="E672" s="2"/>
      <c r="F672" s="2"/>
      <c r="G672" s="2"/>
    </row>
    <row r="673">
      <c r="A673" s="1" t="s">
        <v>402</v>
      </c>
      <c r="B673" s="1">
        <v>50.0</v>
      </c>
      <c r="C673" s="2"/>
      <c r="D673" s="2"/>
      <c r="E673" s="2"/>
      <c r="F673" s="2"/>
      <c r="G673" s="2"/>
    </row>
    <row r="674">
      <c r="A674" s="1" t="s">
        <v>403</v>
      </c>
      <c r="B674" s="1">
        <v>0.0</v>
      </c>
      <c r="C674" s="2"/>
      <c r="D674" s="2"/>
      <c r="E674" s="2"/>
      <c r="F674" s="2"/>
      <c r="G674" s="2"/>
    </row>
    <row r="675">
      <c r="A675" s="1" t="s">
        <v>404</v>
      </c>
      <c r="B675" s="1">
        <v>0.0</v>
      </c>
      <c r="C675" s="2"/>
      <c r="D675" s="2"/>
      <c r="E675" s="2"/>
      <c r="F675" s="2"/>
      <c r="G675" s="2"/>
    </row>
    <row r="676">
      <c r="A676" s="1" t="s">
        <v>405</v>
      </c>
      <c r="B676" s="1">
        <v>0.0</v>
      </c>
      <c r="C676" s="2"/>
      <c r="D676" s="2"/>
      <c r="E676" s="2"/>
      <c r="F676" s="2"/>
      <c r="G676" s="2"/>
    </row>
    <row r="677">
      <c r="A677" s="1" t="s">
        <v>406</v>
      </c>
      <c r="B677" s="1">
        <v>0.0</v>
      </c>
      <c r="C677" s="2"/>
      <c r="D677" s="2"/>
      <c r="E677" s="2"/>
      <c r="F677" s="2"/>
      <c r="G677" s="2"/>
    </row>
    <row r="678">
      <c r="A678" s="1" t="s">
        <v>407</v>
      </c>
      <c r="B678" s="1">
        <v>0.0</v>
      </c>
      <c r="C678" s="2"/>
      <c r="D678" s="2"/>
      <c r="E678" s="2"/>
      <c r="F678" s="2"/>
      <c r="G678" s="2"/>
    </row>
    <row r="679">
      <c r="A679" s="1" t="s">
        <v>408</v>
      </c>
      <c r="B679" s="1">
        <v>0.0</v>
      </c>
      <c r="C679" s="2"/>
      <c r="D679" s="2"/>
      <c r="E679" s="2"/>
      <c r="F679" s="2"/>
      <c r="G679" s="2"/>
    </row>
    <row r="680">
      <c r="A680" s="1" t="s">
        <v>409</v>
      </c>
      <c r="B680" s="1">
        <v>0.0</v>
      </c>
      <c r="C680" s="2"/>
      <c r="D680" s="2"/>
      <c r="E680" s="2"/>
      <c r="F680" s="2"/>
      <c r="G680" s="2"/>
    </row>
    <row r="681">
      <c r="A681" s="1" t="s">
        <v>410</v>
      </c>
      <c r="B681" s="1">
        <v>70.0</v>
      </c>
      <c r="C681" s="2"/>
      <c r="D681" s="2"/>
      <c r="E681" s="2"/>
      <c r="F681" s="2"/>
      <c r="G681" s="2"/>
    </row>
    <row r="682">
      <c r="A682" s="1" t="s">
        <v>411</v>
      </c>
      <c r="B682" s="1">
        <v>0.0</v>
      </c>
      <c r="C682" s="2"/>
      <c r="D682" s="2"/>
      <c r="E682" s="2"/>
      <c r="F682" s="2"/>
      <c r="G682" s="2"/>
    </row>
    <row r="683">
      <c r="A683" s="1" t="s">
        <v>412</v>
      </c>
      <c r="B683" s="1">
        <v>58.0</v>
      </c>
      <c r="C683" s="2"/>
      <c r="D683" s="2"/>
      <c r="E683" s="2"/>
      <c r="F683" s="2"/>
      <c r="G683" s="2"/>
    </row>
    <row r="684">
      <c r="A684" s="1" t="s">
        <v>413</v>
      </c>
      <c r="B684" s="1">
        <v>70.0</v>
      </c>
      <c r="C684" s="2"/>
      <c r="D684" s="2"/>
      <c r="E684" s="2"/>
      <c r="F684" s="2"/>
      <c r="G684" s="2"/>
    </row>
    <row r="685">
      <c r="A685" s="1" t="s">
        <v>414</v>
      </c>
      <c r="B685" s="1">
        <v>0.0</v>
      </c>
      <c r="C685" s="2"/>
      <c r="D685" s="2"/>
      <c r="E685" s="2"/>
      <c r="F685" s="2"/>
      <c r="G685" s="2"/>
    </row>
    <row r="686">
      <c r="A686" s="1" t="s">
        <v>415</v>
      </c>
      <c r="B686" s="1">
        <v>0.0</v>
      </c>
      <c r="C686" s="2"/>
      <c r="D686" s="2"/>
      <c r="E686" s="2"/>
      <c r="F686" s="2"/>
      <c r="G686" s="2"/>
    </row>
    <row r="687">
      <c r="A687" s="1" t="s">
        <v>416</v>
      </c>
      <c r="B687" s="1">
        <v>21.0</v>
      </c>
      <c r="C687" s="2"/>
      <c r="D687" s="2"/>
      <c r="E687" s="2"/>
      <c r="F687" s="2"/>
      <c r="G687" s="2"/>
    </row>
    <row r="688">
      <c r="A688" s="1" t="s">
        <v>417</v>
      </c>
      <c r="B688" s="1">
        <v>0.0</v>
      </c>
      <c r="C688" s="2"/>
      <c r="D688" s="2"/>
      <c r="E688" s="2"/>
      <c r="F688" s="2"/>
      <c r="G688" s="2"/>
    </row>
    <row r="689">
      <c r="A689" s="1" t="s">
        <v>418</v>
      </c>
      <c r="B689" s="1">
        <v>0.0</v>
      </c>
      <c r="C689" s="2"/>
      <c r="D689" s="2"/>
      <c r="E689" s="2"/>
      <c r="F689" s="2"/>
      <c r="G689" s="2"/>
    </row>
    <row r="690">
      <c r="A690" s="1" t="s">
        <v>419</v>
      </c>
      <c r="B690" s="1">
        <v>0.0</v>
      </c>
      <c r="C690" s="2"/>
      <c r="D690" s="2"/>
      <c r="E690" s="2"/>
      <c r="F690" s="2"/>
      <c r="G690" s="2"/>
    </row>
    <row r="691">
      <c r="A691" s="1" t="s">
        <v>420</v>
      </c>
      <c r="B691" s="1">
        <v>0.0</v>
      </c>
      <c r="C691" s="2"/>
      <c r="D691" s="2"/>
      <c r="E691" s="2"/>
      <c r="F691" s="2"/>
      <c r="G691" s="2"/>
    </row>
    <row r="692">
      <c r="A692" s="1" t="s">
        <v>421</v>
      </c>
      <c r="B692" s="1">
        <v>0.0</v>
      </c>
      <c r="C692" s="2"/>
      <c r="D692" s="2"/>
      <c r="E692" s="2"/>
      <c r="F692" s="2"/>
      <c r="G692" s="2"/>
    </row>
    <row r="693">
      <c r="A693" s="1" t="s">
        <v>422</v>
      </c>
      <c r="B693" s="1">
        <v>0.0</v>
      </c>
      <c r="C693" s="2"/>
      <c r="D693" s="2"/>
      <c r="E693" s="2"/>
      <c r="F693" s="2"/>
      <c r="G693" s="2"/>
    </row>
    <row r="694">
      <c r="A694" s="1" t="s">
        <v>423</v>
      </c>
      <c r="B694" s="1">
        <v>0.0</v>
      </c>
      <c r="C694" s="2"/>
      <c r="D694" s="2"/>
      <c r="E694" s="2"/>
      <c r="F694" s="2"/>
      <c r="G694" s="2"/>
    </row>
    <row r="695">
      <c r="A695" s="1" t="s">
        <v>424</v>
      </c>
      <c r="B695" s="1">
        <v>0.0</v>
      </c>
      <c r="C695" s="2"/>
      <c r="D695" s="2"/>
      <c r="E695" s="2"/>
      <c r="F695" s="2"/>
      <c r="G695" s="2"/>
    </row>
    <row r="696">
      <c r="A696" s="1" t="s">
        <v>425</v>
      </c>
      <c r="B696" s="1">
        <v>0.0</v>
      </c>
      <c r="C696" s="2"/>
      <c r="D696" s="2"/>
      <c r="E696" s="2"/>
      <c r="F696" s="2"/>
      <c r="G696" s="2"/>
    </row>
    <row r="697">
      <c r="A697" s="1" t="s">
        <v>426</v>
      </c>
      <c r="B697" s="1">
        <v>0.0</v>
      </c>
      <c r="C697" s="2"/>
      <c r="D697" s="2"/>
      <c r="E697" s="2"/>
      <c r="F697" s="2"/>
      <c r="G697" s="2"/>
    </row>
    <row r="698">
      <c r="A698" s="1" t="s">
        <v>427</v>
      </c>
      <c r="B698" s="1">
        <v>0.0</v>
      </c>
      <c r="C698" s="2"/>
      <c r="D698" s="2"/>
      <c r="E698" s="2"/>
      <c r="F698" s="2"/>
      <c r="G698" s="2"/>
    </row>
    <row r="699">
      <c r="A699" s="1" t="s">
        <v>428</v>
      </c>
      <c r="B699" s="1">
        <v>0.0</v>
      </c>
      <c r="C699" s="2"/>
      <c r="D699" s="2"/>
      <c r="E699" s="2"/>
      <c r="F699" s="2"/>
      <c r="G699" s="2"/>
    </row>
    <row r="700">
      <c r="A700" s="1" t="s">
        <v>429</v>
      </c>
      <c r="B700" s="1">
        <v>50.0</v>
      </c>
      <c r="C700" s="2"/>
      <c r="D700" s="2"/>
      <c r="E700" s="2"/>
      <c r="F700" s="2"/>
      <c r="G700" s="2"/>
    </row>
    <row r="701">
      <c r="A701" s="1" t="s">
        <v>430</v>
      </c>
      <c r="B701" s="1">
        <v>0.0</v>
      </c>
      <c r="C701" s="2"/>
      <c r="D701" s="2"/>
      <c r="E701" s="2"/>
      <c r="F701" s="2"/>
      <c r="G701" s="2"/>
    </row>
    <row r="702">
      <c r="A702" s="1" t="s">
        <v>431</v>
      </c>
      <c r="B702" s="1">
        <v>53.0</v>
      </c>
      <c r="C702" s="2"/>
      <c r="D702" s="2"/>
      <c r="E702" s="2"/>
      <c r="F702" s="2"/>
      <c r="G702" s="2"/>
    </row>
    <row r="703">
      <c r="A703" s="1" t="s">
        <v>432</v>
      </c>
      <c r="B703" s="1">
        <v>73.0</v>
      </c>
      <c r="C703" s="2"/>
      <c r="D703" s="2"/>
      <c r="E703" s="2"/>
      <c r="F703" s="2"/>
      <c r="G703" s="2"/>
    </row>
    <row r="704">
      <c r="A704" s="1" t="s">
        <v>433</v>
      </c>
      <c r="B704" s="1">
        <v>0.0</v>
      </c>
      <c r="C704" s="2"/>
      <c r="D704" s="2"/>
      <c r="E704" s="2"/>
      <c r="F704" s="2"/>
      <c r="G704" s="2"/>
    </row>
    <row r="705">
      <c r="A705" s="1" t="s">
        <v>434</v>
      </c>
      <c r="B705" s="1">
        <v>50.0</v>
      </c>
      <c r="C705" s="2"/>
      <c r="D705" s="2"/>
      <c r="E705" s="2"/>
      <c r="F705" s="2"/>
      <c r="G705" s="2"/>
    </row>
    <row r="706">
      <c r="A706" s="1" t="s">
        <v>435</v>
      </c>
      <c r="B706" s="1">
        <v>0.0</v>
      </c>
      <c r="C706" s="2"/>
      <c r="D706" s="2"/>
      <c r="E706" s="2"/>
      <c r="F706" s="2"/>
      <c r="G706" s="2"/>
    </row>
    <row r="707">
      <c r="A707" s="1" t="s">
        <v>436</v>
      </c>
      <c r="B707" s="1">
        <v>0.0</v>
      </c>
      <c r="C707" s="2"/>
      <c r="D707" s="2"/>
      <c r="E707" s="2"/>
      <c r="F707" s="2"/>
      <c r="G707" s="2"/>
    </row>
    <row r="708">
      <c r="A708" s="1" t="s">
        <v>437</v>
      </c>
      <c r="B708" s="1">
        <v>0.0</v>
      </c>
      <c r="C708" s="2"/>
      <c r="D708" s="2"/>
      <c r="E708" s="2"/>
      <c r="F708" s="2"/>
      <c r="G708" s="2"/>
    </row>
    <row r="709">
      <c r="A709" s="1" t="s">
        <v>438</v>
      </c>
      <c r="B709" s="1">
        <v>0.0</v>
      </c>
      <c r="C709" s="2"/>
      <c r="D709" s="2"/>
      <c r="E709" s="2"/>
      <c r="F709" s="2"/>
      <c r="G709" s="2"/>
    </row>
    <row r="710">
      <c r="A710" s="1" t="s">
        <v>439</v>
      </c>
      <c r="B710" s="1">
        <v>0.0</v>
      </c>
      <c r="C710" s="2"/>
      <c r="D710" s="2"/>
      <c r="E710" s="2"/>
      <c r="F710" s="2"/>
      <c r="G710" s="2"/>
    </row>
    <row r="711">
      <c r="A711" s="1" t="s">
        <v>440</v>
      </c>
      <c r="B711" s="1">
        <v>0.0</v>
      </c>
      <c r="C711" s="2"/>
      <c r="D711" s="2"/>
      <c r="E711" s="2"/>
      <c r="F711" s="2"/>
      <c r="G711" s="2"/>
    </row>
    <row r="712">
      <c r="A712" s="1" t="s">
        <v>441</v>
      </c>
      <c r="B712" s="1">
        <v>0.0</v>
      </c>
      <c r="C712" s="2"/>
      <c r="D712" s="2"/>
      <c r="E712" s="2"/>
      <c r="F712" s="2"/>
      <c r="G712" s="2"/>
    </row>
    <row r="713">
      <c r="A713" s="1" t="s">
        <v>442</v>
      </c>
      <c r="B713" s="1">
        <v>0.0</v>
      </c>
      <c r="C713" s="2"/>
      <c r="D713" s="2"/>
      <c r="E713" s="2"/>
      <c r="F713" s="2"/>
      <c r="G713" s="2"/>
    </row>
    <row r="714">
      <c r="A714" s="1" t="s">
        <v>443</v>
      </c>
      <c r="B714" s="1">
        <v>42.0</v>
      </c>
      <c r="C714" s="2"/>
      <c r="D714" s="2"/>
      <c r="E714" s="2"/>
      <c r="F714" s="2"/>
      <c r="G714" s="2"/>
    </row>
    <row r="715">
      <c r="A715" s="1" t="s">
        <v>444</v>
      </c>
      <c r="B715" s="1">
        <v>50.0</v>
      </c>
      <c r="C715" s="2"/>
      <c r="D715" s="2"/>
      <c r="E715" s="2"/>
      <c r="F715" s="2"/>
      <c r="G715" s="2"/>
    </row>
    <row r="716">
      <c r="A716" s="1" t="s">
        <v>445</v>
      </c>
      <c r="B716" s="1">
        <v>0.0</v>
      </c>
      <c r="C716" s="2"/>
      <c r="D716" s="2"/>
      <c r="E716" s="2"/>
      <c r="F716" s="2"/>
      <c r="G716" s="2"/>
    </row>
    <row r="717">
      <c r="A717" s="1" t="s">
        <v>446</v>
      </c>
      <c r="B717" s="1">
        <v>92.0</v>
      </c>
      <c r="C717" s="2"/>
      <c r="D717" s="2"/>
      <c r="E717" s="2"/>
      <c r="F717" s="2"/>
      <c r="G717" s="2"/>
    </row>
    <row r="718">
      <c r="A718" s="1" t="s">
        <v>447</v>
      </c>
      <c r="B718" s="1">
        <v>0.0</v>
      </c>
      <c r="C718" s="2"/>
      <c r="D718" s="2"/>
      <c r="E718" s="2"/>
      <c r="F718" s="2"/>
      <c r="G718" s="2"/>
    </row>
    <row r="719">
      <c r="A719" s="1" t="s">
        <v>448</v>
      </c>
      <c r="B719" s="1">
        <v>0.0</v>
      </c>
      <c r="C719" s="2"/>
      <c r="D719" s="2"/>
      <c r="E719" s="2"/>
      <c r="F719" s="2"/>
      <c r="G719" s="2"/>
    </row>
    <row r="720">
      <c r="A720" s="1" t="s">
        <v>449</v>
      </c>
      <c r="B720" s="1">
        <v>89.0</v>
      </c>
      <c r="C720" s="2"/>
      <c r="D720" s="2"/>
      <c r="E720" s="2"/>
      <c r="F720" s="2"/>
      <c r="G720" s="2"/>
    </row>
    <row r="721">
      <c r="A721" s="1" t="s">
        <v>450</v>
      </c>
      <c r="B721" s="1">
        <v>0.0</v>
      </c>
      <c r="C721" s="2"/>
      <c r="D721" s="2"/>
      <c r="E721" s="2"/>
      <c r="F721" s="2"/>
      <c r="G721" s="2"/>
    </row>
    <row r="722">
      <c r="A722" s="1" t="s">
        <v>451</v>
      </c>
      <c r="B722" s="1">
        <v>9.0</v>
      </c>
      <c r="C722" s="2"/>
      <c r="D722" s="2"/>
      <c r="E722" s="2"/>
      <c r="F722" s="2"/>
      <c r="G722" s="2"/>
    </row>
    <row r="723">
      <c r="A723" s="1" t="s">
        <v>452</v>
      </c>
      <c r="B723" s="1">
        <v>40.0</v>
      </c>
      <c r="C723" s="2"/>
      <c r="D723" s="2"/>
      <c r="E723" s="2"/>
      <c r="F723" s="2"/>
      <c r="G723" s="2"/>
    </row>
    <row r="724">
      <c r="A724" s="1" t="s">
        <v>453</v>
      </c>
      <c r="B724" s="1">
        <v>90.0</v>
      </c>
      <c r="C724" s="2"/>
      <c r="D724" s="2"/>
      <c r="E724" s="2"/>
      <c r="F724" s="2"/>
      <c r="G724" s="2"/>
    </row>
    <row r="725">
      <c r="A725" s="1" t="s">
        <v>454</v>
      </c>
      <c r="B725" s="1">
        <v>0.0</v>
      </c>
      <c r="C725" s="2"/>
      <c r="D725" s="2"/>
      <c r="E725" s="2"/>
      <c r="F725" s="2"/>
      <c r="G725" s="2"/>
    </row>
    <row r="726">
      <c r="A726" s="1" t="s">
        <v>455</v>
      </c>
      <c r="B726" s="1">
        <v>32.0</v>
      </c>
      <c r="C726" s="2"/>
      <c r="D726" s="2"/>
      <c r="E726" s="2"/>
      <c r="F726" s="2"/>
      <c r="G726" s="2"/>
    </row>
    <row r="727">
      <c r="A727" s="1" t="s">
        <v>456</v>
      </c>
      <c r="B727" s="1">
        <v>48.0</v>
      </c>
      <c r="C727" s="2"/>
      <c r="D727" s="2"/>
      <c r="E727" s="2"/>
      <c r="F727" s="2"/>
      <c r="G727" s="2"/>
    </row>
    <row r="728">
      <c r="A728" s="1" t="s">
        <v>457</v>
      </c>
      <c r="B728" s="1">
        <v>0.0</v>
      </c>
      <c r="C728" s="2"/>
      <c r="D728" s="2"/>
      <c r="E728" s="2"/>
      <c r="F728" s="2"/>
      <c r="G728" s="2"/>
    </row>
    <row r="729">
      <c r="A729" s="1" t="s">
        <v>458</v>
      </c>
      <c r="B729" s="1">
        <v>0.0</v>
      </c>
      <c r="C729" s="2"/>
      <c r="D729" s="2"/>
      <c r="E729" s="2"/>
      <c r="F729" s="2"/>
      <c r="G729" s="2"/>
    </row>
    <row r="730">
      <c r="A730" s="1" t="s">
        <v>459</v>
      </c>
      <c r="B730" s="1">
        <v>50.0</v>
      </c>
      <c r="C730" s="2"/>
      <c r="D730" s="2"/>
      <c r="E730" s="2"/>
      <c r="F730" s="2"/>
      <c r="G730" s="2"/>
    </row>
    <row r="731">
      <c r="A731" s="1" t="s">
        <v>460</v>
      </c>
      <c r="B731" s="1">
        <v>0.0</v>
      </c>
      <c r="C731" s="2"/>
      <c r="D731" s="2"/>
      <c r="E731" s="2"/>
      <c r="F731" s="2"/>
      <c r="G731" s="2"/>
    </row>
    <row r="732">
      <c r="A732" s="1" t="s">
        <v>461</v>
      </c>
      <c r="B732" s="1" t="s">
        <v>462</v>
      </c>
      <c r="C732" s="1" t="s">
        <v>463</v>
      </c>
      <c r="D732" s="1">
        <v>62.0</v>
      </c>
      <c r="E732" s="2"/>
      <c r="F732" s="2"/>
      <c r="G732" s="2"/>
    </row>
    <row r="733">
      <c r="A733" s="1" t="s">
        <v>464</v>
      </c>
      <c r="B733" s="1" t="s">
        <v>465</v>
      </c>
      <c r="C733" s="1">
        <v>0.0</v>
      </c>
      <c r="D733" s="2"/>
      <c r="E733" s="2"/>
      <c r="F733" s="2"/>
      <c r="G733" s="2"/>
    </row>
    <row r="734">
      <c r="A734" s="1" t="s">
        <v>466</v>
      </c>
      <c r="B734" s="1">
        <v>0.0</v>
      </c>
      <c r="C734" s="2"/>
      <c r="D734" s="2"/>
      <c r="E734" s="2"/>
      <c r="F734" s="2"/>
      <c r="G734" s="2"/>
    </row>
    <row r="735">
      <c r="A735" s="1" t="s">
        <v>467</v>
      </c>
      <c r="B735" s="1">
        <v>0.0</v>
      </c>
      <c r="C735" s="2"/>
      <c r="D735" s="2"/>
      <c r="E735" s="2"/>
      <c r="F735" s="2"/>
      <c r="G735" s="2"/>
    </row>
    <row r="736">
      <c r="A736" s="1" t="s">
        <v>468</v>
      </c>
      <c r="B736" s="1">
        <v>0.0</v>
      </c>
      <c r="C736" s="2"/>
      <c r="D736" s="2"/>
      <c r="E736" s="2"/>
      <c r="F736" s="2"/>
      <c r="G736" s="2"/>
    </row>
    <row r="737">
      <c r="A737" s="1" t="s">
        <v>469</v>
      </c>
      <c r="B737" s="1">
        <v>0.0</v>
      </c>
      <c r="C737" s="2"/>
      <c r="D737" s="2"/>
      <c r="E737" s="2"/>
      <c r="F737" s="2"/>
      <c r="G737" s="2"/>
    </row>
    <row r="738">
      <c r="A738" s="1" t="s">
        <v>470</v>
      </c>
      <c r="B738" s="1">
        <v>10.0</v>
      </c>
      <c r="C738" s="2"/>
      <c r="D738" s="2"/>
      <c r="E738" s="2"/>
      <c r="F738" s="2"/>
      <c r="G738" s="2"/>
    </row>
    <row r="739">
      <c r="A739" s="1" t="s">
        <v>471</v>
      </c>
      <c r="B739" s="1">
        <v>0.0</v>
      </c>
      <c r="C739" s="2"/>
      <c r="D739" s="2"/>
      <c r="E739" s="2"/>
      <c r="F739" s="2"/>
      <c r="G739" s="2"/>
    </row>
    <row r="740">
      <c r="A740" s="1" t="s">
        <v>472</v>
      </c>
      <c r="B740" s="1">
        <v>29.0</v>
      </c>
      <c r="C740" s="2"/>
      <c r="D740" s="2"/>
      <c r="E740" s="2"/>
      <c r="F740" s="2"/>
      <c r="G740" s="2"/>
    </row>
    <row r="741">
      <c r="A741" s="1" t="s">
        <v>473</v>
      </c>
      <c r="B741" s="1">
        <v>0.0</v>
      </c>
      <c r="C741" s="2"/>
      <c r="D741" s="2"/>
      <c r="E741" s="2"/>
      <c r="F741" s="2"/>
      <c r="G741" s="2"/>
    </row>
    <row r="742">
      <c r="A742" s="1" t="s">
        <v>474</v>
      </c>
      <c r="B742" s="1">
        <v>65.0</v>
      </c>
      <c r="C742" s="2"/>
      <c r="D742" s="2"/>
      <c r="E742" s="2"/>
      <c r="F742" s="2"/>
      <c r="G742" s="2"/>
    </row>
    <row r="743">
      <c r="A743" s="1" t="s">
        <v>475</v>
      </c>
      <c r="B743" s="1">
        <v>0.0</v>
      </c>
      <c r="C743" s="2"/>
      <c r="D743" s="2"/>
      <c r="E743" s="2"/>
      <c r="F743" s="2"/>
      <c r="G743" s="2"/>
    </row>
    <row r="744">
      <c r="A744" s="1" t="s">
        <v>476</v>
      </c>
      <c r="B744" s="1">
        <v>0.0</v>
      </c>
      <c r="C744" s="2"/>
      <c r="D744" s="2"/>
      <c r="E744" s="2"/>
      <c r="F744" s="2"/>
      <c r="G744" s="2"/>
    </row>
    <row r="745">
      <c r="A745" s="1" t="s">
        <v>477</v>
      </c>
      <c r="B745" s="1">
        <v>0.0</v>
      </c>
      <c r="C745" s="2"/>
      <c r="D745" s="2"/>
      <c r="E745" s="2"/>
      <c r="F745" s="2"/>
      <c r="G745" s="2"/>
    </row>
    <row r="746">
      <c r="A746" s="1" t="s">
        <v>478</v>
      </c>
      <c r="B746" s="1">
        <v>0.0</v>
      </c>
      <c r="C746" s="2"/>
      <c r="D746" s="2"/>
      <c r="E746" s="2"/>
      <c r="F746" s="2"/>
      <c r="G746" s="2"/>
    </row>
    <row r="747">
      <c r="A747" s="1" t="s">
        <v>479</v>
      </c>
      <c r="B747" s="1">
        <v>12.0</v>
      </c>
      <c r="C747" s="2"/>
      <c r="D747" s="2"/>
      <c r="E747" s="2"/>
      <c r="F747" s="2"/>
      <c r="G747" s="2"/>
    </row>
    <row r="748">
      <c r="A748" s="1" t="s">
        <v>480</v>
      </c>
      <c r="B748" s="1">
        <v>0.0</v>
      </c>
      <c r="C748" s="2"/>
      <c r="D748" s="2"/>
      <c r="E748" s="2"/>
      <c r="F748" s="2"/>
      <c r="G748" s="2"/>
    </row>
    <row r="749">
      <c r="A749" s="1" t="s">
        <v>481</v>
      </c>
      <c r="B749" s="1" t="s">
        <v>482</v>
      </c>
      <c r="C749" s="1">
        <v>95.0</v>
      </c>
      <c r="D749" s="2"/>
      <c r="E749" s="2"/>
      <c r="F749" s="2"/>
      <c r="G749" s="2"/>
    </row>
    <row r="750">
      <c r="A750" s="1" t="s">
        <v>483</v>
      </c>
      <c r="B750" s="1">
        <v>0.0</v>
      </c>
      <c r="C750" s="2"/>
      <c r="D750" s="2"/>
      <c r="E750" s="2"/>
      <c r="F750" s="2"/>
      <c r="G750" s="2"/>
    </row>
    <row r="751">
      <c r="A751" s="1" t="s">
        <v>484</v>
      </c>
      <c r="B751" s="1">
        <v>11.0</v>
      </c>
      <c r="C751" s="2"/>
      <c r="D751" s="2"/>
      <c r="E751" s="2"/>
      <c r="F751" s="2"/>
      <c r="G751" s="2"/>
    </row>
    <row r="752">
      <c r="A752" s="1" t="s">
        <v>485</v>
      </c>
      <c r="B752" s="1">
        <v>0.0</v>
      </c>
      <c r="C752" s="2"/>
      <c r="D752" s="2"/>
      <c r="E752" s="2"/>
      <c r="F752" s="2"/>
      <c r="G752" s="2"/>
    </row>
    <row r="753">
      <c r="A753" s="1" t="s">
        <v>486</v>
      </c>
      <c r="B753" s="1" t="s">
        <v>487</v>
      </c>
      <c r="C753" s="2"/>
      <c r="D753" s="2"/>
      <c r="E753" s="2"/>
      <c r="F753" s="2"/>
      <c r="G753" s="2"/>
    </row>
    <row r="754">
      <c r="A754" s="1" t="s">
        <v>488</v>
      </c>
      <c r="B754" s="1">
        <v>31.0</v>
      </c>
      <c r="C754" s="2"/>
      <c r="D754" s="2"/>
      <c r="E754" s="2"/>
      <c r="F754" s="2"/>
      <c r="G754" s="2"/>
    </row>
    <row r="755">
      <c r="A755" s="1" t="s">
        <v>489</v>
      </c>
      <c r="B755" s="2"/>
      <c r="C755" s="2"/>
      <c r="D755" s="2"/>
      <c r="E755" s="2"/>
      <c r="F755" s="2"/>
      <c r="G755" s="2"/>
    </row>
    <row r="756">
      <c r="A756" s="1" t="s">
        <v>490</v>
      </c>
      <c r="B756" s="1">
        <v>0.0</v>
      </c>
      <c r="C756" s="2"/>
      <c r="D756" s="2"/>
      <c r="E756" s="2"/>
      <c r="F756" s="2"/>
      <c r="G756" s="2"/>
    </row>
    <row r="757">
      <c r="A757" s="1" t="s">
        <v>491</v>
      </c>
      <c r="B757" s="1">
        <v>0.0</v>
      </c>
      <c r="C757" s="2"/>
      <c r="D757" s="2"/>
      <c r="E757" s="2"/>
      <c r="F757" s="2"/>
      <c r="G757" s="2"/>
    </row>
    <row r="758">
      <c r="A758" s="1" t="s">
        <v>492</v>
      </c>
      <c r="B758" s="1">
        <v>0.0</v>
      </c>
      <c r="C758" s="2"/>
      <c r="D758" s="2"/>
      <c r="E758" s="2"/>
      <c r="F758" s="2"/>
      <c r="G758" s="2"/>
    </row>
    <row r="759">
      <c r="A759" s="1" t="s">
        <v>493</v>
      </c>
      <c r="B759" s="1">
        <v>9.0</v>
      </c>
      <c r="C759" s="2"/>
      <c r="D759" s="2"/>
      <c r="E759" s="2"/>
      <c r="F759" s="2"/>
      <c r="G759" s="2"/>
    </row>
    <row r="760">
      <c r="A760" s="1" t="s">
        <v>494</v>
      </c>
      <c r="B760" s="1">
        <v>0.0</v>
      </c>
      <c r="C760" s="2"/>
      <c r="D760" s="2"/>
      <c r="E760" s="2"/>
      <c r="F760" s="2"/>
      <c r="G760" s="2"/>
    </row>
    <row r="761">
      <c r="A761" s="1" t="s">
        <v>495</v>
      </c>
      <c r="B761" s="1">
        <v>0.0</v>
      </c>
      <c r="C761" s="2"/>
      <c r="D761" s="2"/>
      <c r="E761" s="2"/>
      <c r="F761" s="2"/>
      <c r="G761" s="2"/>
    </row>
    <row r="762">
      <c r="A762" s="1" t="s">
        <v>496</v>
      </c>
      <c r="B762" s="1">
        <v>80.0</v>
      </c>
      <c r="C762" s="2"/>
      <c r="D762" s="2"/>
      <c r="E762" s="2"/>
      <c r="F762" s="2"/>
      <c r="G762" s="2"/>
    </row>
    <row r="763">
      <c r="A763" s="1" t="s">
        <v>497</v>
      </c>
      <c r="B763" s="1">
        <v>0.0</v>
      </c>
      <c r="C763" s="2"/>
      <c r="D763" s="2"/>
      <c r="E763" s="2"/>
      <c r="F763" s="2"/>
      <c r="G763" s="2"/>
    </row>
    <row r="764">
      <c r="A764" s="1" t="s">
        <v>498</v>
      </c>
      <c r="B764" s="1">
        <v>14.0</v>
      </c>
      <c r="C764" s="2"/>
      <c r="D764" s="2"/>
      <c r="E764" s="2"/>
      <c r="F764" s="2"/>
      <c r="G764" s="2"/>
    </row>
    <row r="765">
      <c r="A765" s="1" t="s">
        <v>499</v>
      </c>
      <c r="B765" s="1" t="s">
        <v>500</v>
      </c>
      <c r="C765" s="1">
        <v>18.0</v>
      </c>
      <c r="D765" s="2"/>
      <c r="E765" s="2"/>
      <c r="F765" s="2"/>
      <c r="G765" s="2"/>
    </row>
    <row r="766">
      <c r="A766" s="1" t="s">
        <v>501</v>
      </c>
      <c r="B766" s="1" t="s">
        <v>502</v>
      </c>
      <c r="C766" s="2"/>
      <c r="D766" s="2"/>
      <c r="E766" s="2"/>
      <c r="F766" s="2"/>
      <c r="G766" s="2"/>
    </row>
    <row r="767">
      <c r="A767" s="1" t="s">
        <v>503</v>
      </c>
      <c r="B767" s="1">
        <v>90.0</v>
      </c>
      <c r="C767" s="2"/>
      <c r="D767" s="2"/>
      <c r="E767" s="2"/>
      <c r="F767" s="2"/>
      <c r="G767" s="2"/>
    </row>
    <row r="768">
      <c r="A768" s="1" t="s">
        <v>504</v>
      </c>
      <c r="B768" s="2"/>
      <c r="C768" s="2"/>
      <c r="D768" s="2"/>
      <c r="E768" s="2"/>
      <c r="F768" s="2"/>
      <c r="G768" s="2"/>
    </row>
    <row r="769">
      <c r="A769" s="1" t="s">
        <v>505</v>
      </c>
      <c r="B769" s="1">
        <v>53.0</v>
      </c>
      <c r="C769" s="2"/>
      <c r="D769" s="2"/>
      <c r="E769" s="2"/>
      <c r="F769" s="2"/>
      <c r="G769" s="2"/>
    </row>
    <row r="770">
      <c r="A770" s="1" t="s">
        <v>506</v>
      </c>
      <c r="B770" s="1">
        <v>82.0</v>
      </c>
      <c r="C770" s="2"/>
      <c r="D770" s="2"/>
      <c r="E770" s="2"/>
      <c r="F770" s="2"/>
      <c r="G770" s="2"/>
    </row>
    <row r="771">
      <c r="A771" s="1" t="s">
        <v>507</v>
      </c>
      <c r="B771" s="1">
        <v>0.0</v>
      </c>
      <c r="C771" s="2"/>
      <c r="D771" s="2"/>
      <c r="E771" s="2"/>
      <c r="F771" s="2"/>
      <c r="G771" s="2"/>
    </row>
    <row r="772">
      <c r="A772" s="1" t="s">
        <v>508</v>
      </c>
      <c r="B772" s="1">
        <v>70.0</v>
      </c>
      <c r="C772" s="2"/>
      <c r="D772" s="2"/>
      <c r="E772" s="2"/>
      <c r="F772" s="2"/>
      <c r="G772" s="2"/>
    </row>
    <row r="773">
      <c r="A773" s="1" t="s">
        <v>509</v>
      </c>
      <c r="B773" s="1">
        <v>0.0</v>
      </c>
      <c r="C773" s="2"/>
      <c r="D773" s="2"/>
      <c r="E773" s="2"/>
      <c r="F773" s="2"/>
      <c r="G773" s="2"/>
    </row>
    <row r="774">
      <c r="A774" s="1" t="s">
        <v>431</v>
      </c>
      <c r="B774" s="1">
        <v>53.0</v>
      </c>
      <c r="C774" s="2"/>
      <c r="D774" s="2"/>
      <c r="E774" s="2"/>
      <c r="F774" s="2"/>
      <c r="G774" s="2"/>
    </row>
    <row r="775">
      <c r="A775" s="1" t="s">
        <v>432</v>
      </c>
      <c r="B775" s="1">
        <v>73.0</v>
      </c>
      <c r="C775" s="2"/>
      <c r="D775" s="2"/>
      <c r="E775" s="2"/>
      <c r="F775" s="2"/>
      <c r="G775" s="2"/>
    </row>
    <row r="776">
      <c r="A776" s="1" t="s">
        <v>433</v>
      </c>
      <c r="B776" s="1">
        <v>0.0</v>
      </c>
      <c r="C776" s="2"/>
      <c r="D776" s="2"/>
      <c r="E776" s="2"/>
      <c r="F776" s="2"/>
      <c r="G776" s="2"/>
    </row>
    <row r="777">
      <c r="A777" s="1" t="s">
        <v>434</v>
      </c>
      <c r="B777" s="1">
        <v>50.0</v>
      </c>
      <c r="C777" s="2"/>
      <c r="D777" s="2"/>
      <c r="E777" s="2"/>
      <c r="F777" s="2"/>
      <c r="G777" s="2"/>
    </row>
    <row r="778">
      <c r="A778" s="1" t="s">
        <v>435</v>
      </c>
      <c r="B778" s="1">
        <v>0.0</v>
      </c>
      <c r="C778" s="2"/>
      <c r="D778" s="2"/>
      <c r="E778" s="2"/>
      <c r="F778" s="2"/>
      <c r="G778" s="2"/>
    </row>
    <row r="779">
      <c r="A779" s="1" t="s">
        <v>436</v>
      </c>
      <c r="B779" s="1">
        <v>0.0</v>
      </c>
      <c r="C779" s="2"/>
      <c r="D779" s="2"/>
      <c r="E779" s="2"/>
      <c r="F779" s="2"/>
      <c r="G779" s="2"/>
    </row>
    <row r="780">
      <c r="A780" s="1" t="s">
        <v>437</v>
      </c>
      <c r="B780" s="1">
        <v>0.0</v>
      </c>
      <c r="C780" s="2"/>
      <c r="D780" s="2"/>
      <c r="E780" s="2"/>
      <c r="F780" s="2"/>
      <c r="G780" s="2"/>
    </row>
    <row r="781">
      <c r="A781" s="1" t="s">
        <v>438</v>
      </c>
      <c r="B781" s="1">
        <v>0.0</v>
      </c>
      <c r="C781" s="2"/>
      <c r="D781" s="2"/>
      <c r="E781" s="2"/>
      <c r="F781" s="2"/>
      <c r="G781" s="2"/>
    </row>
    <row r="782">
      <c r="A782" s="1" t="s">
        <v>439</v>
      </c>
      <c r="B782" s="1">
        <v>0.0</v>
      </c>
      <c r="C782" s="2"/>
      <c r="D782" s="2"/>
      <c r="E782" s="2"/>
      <c r="F782" s="2"/>
      <c r="G782" s="2"/>
    </row>
    <row r="783">
      <c r="A783" s="1" t="s">
        <v>440</v>
      </c>
      <c r="B783" s="1">
        <v>0.0</v>
      </c>
      <c r="C783" s="2"/>
      <c r="D783" s="2"/>
      <c r="E783" s="2"/>
      <c r="F783" s="2"/>
      <c r="G783" s="2"/>
    </row>
    <row r="784">
      <c r="A784" s="1" t="s">
        <v>441</v>
      </c>
      <c r="B784" s="1">
        <v>0.0</v>
      </c>
      <c r="C784" s="2"/>
      <c r="D784" s="2"/>
      <c r="E784" s="2"/>
      <c r="F784" s="2"/>
      <c r="G784" s="2"/>
    </row>
    <row r="785">
      <c r="A785" s="1" t="s">
        <v>442</v>
      </c>
      <c r="B785" s="1">
        <v>0.0</v>
      </c>
      <c r="C785" s="2"/>
      <c r="D785" s="2"/>
      <c r="E785" s="2"/>
      <c r="F785" s="2"/>
      <c r="G785" s="2"/>
    </row>
    <row r="786">
      <c r="A786" s="1" t="s">
        <v>443</v>
      </c>
      <c r="B786" s="1">
        <v>42.0</v>
      </c>
      <c r="C786" s="2"/>
      <c r="D786" s="2"/>
      <c r="E786" s="2"/>
      <c r="F786" s="2"/>
      <c r="G786" s="2"/>
    </row>
    <row r="787">
      <c r="A787" s="1" t="s">
        <v>444</v>
      </c>
      <c r="B787" s="1">
        <v>50.0</v>
      </c>
      <c r="C787" s="2"/>
      <c r="D787" s="2"/>
      <c r="E787" s="2"/>
      <c r="F787" s="2"/>
      <c r="G787" s="2"/>
    </row>
    <row r="788">
      <c r="A788" s="1" t="s">
        <v>445</v>
      </c>
      <c r="B788" s="1">
        <v>0.0</v>
      </c>
      <c r="C788" s="2"/>
      <c r="D788" s="2"/>
      <c r="E788" s="2"/>
      <c r="F788" s="2"/>
      <c r="G788" s="2"/>
    </row>
    <row r="789">
      <c r="A789" s="1" t="s">
        <v>446</v>
      </c>
      <c r="B789" s="1">
        <v>92.0</v>
      </c>
      <c r="C789" s="2"/>
      <c r="D789" s="2"/>
      <c r="E789" s="2"/>
      <c r="F789" s="2"/>
      <c r="G789" s="2"/>
    </row>
    <row r="790">
      <c r="A790" s="1" t="s">
        <v>447</v>
      </c>
      <c r="B790" s="1">
        <v>0.0</v>
      </c>
      <c r="C790" s="2"/>
      <c r="D790" s="2"/>
      <c r="E790" s="2"/>
      <c r="F790" s="2"/>
      <c r="G790" s="2"/>
    </row>
    <row r="791">
      <c r="A791" s="1" t="s">
        <v>448</v>
      </c>
      <c r="B791" s="1">
        <v>0.0</v>
      </c>
      <c r="C791" s="2"/>
      <c r="D791" s="2"/>
      <c r="E791" s="2"/>
      <c r="F791" s="2"/>
      <c r="G791" s="2"/>
    </row>
    <row r="792">
      <c r="A792" s="1" t="s">
        <v>449</v>
      </c>
      <c r="B792" s="1">
        <v>89.0</v>
      </c>
      <c r="C792" s="2"/>
      <c r="D792" s="2"/>
      <c r="E792" s="2"/>
      <c r="F792" s="2"/>
      <c r="G792" s="2"/>
    </row>
    <row r="793">
      <c r="A793" s="1" t="s">
        <v>450</v>
      </c>
      <c r="B793" s="1">
        <v>0.0</v>
      </c>
      <c r="C793" s="2"/>
      <c r="D793" s="2"/>
      <c r="E793" s="2"/>
      <c r="F793" s="2"/>
      <c r="G793" s="2"/>
    </row>
    <row r="794">
      <c r="A794" s="1" t="s">
        <v>451</v>
      </c>
      <c r="B794" s="1">
        <v>9.0</v>
      </c>
      <c r="C794" s="2"/>
      <c r="D794" s="2"/>
      <c r="E794" s="2"/>
      <c r="F794" s="2"/>
      <c r="G794" s="2"/>
    </row>
    <row r="795">
      <c r="A795" s="1" t="s">
        <v>452</v>
      </c>
      <c r="B795" s="1">
        <v>40.0</v>
      </c>
      <c r="C795" s="2"/>
      <c r="D795" s="2"/>
      <c r="E795" s="2"/>
      <c r="F795" s="2"/>
      <c r="G795" s="2"/>
    </row>
    <row r="796">
      <c r="A796" s="1" t="s">
        <v>453</v>
      </c>
      <c r="B796" s="1">
        <v>90.0</v>
      </c>
      <c r="C796" s="2"/>
      <c r="D796" s="2"/>
      <c r="E796" s="2"/>
      <c r="F796" s="2"/>
      <c r="G796" s="2"/>
    </row>
    <row r="797">
      <c r="A797" s="1" t="s">
        <v>454</v>
      </c>
      <c r="B797" s="1">
        <v>0.0</v>
      </c>
      <c r="C797" s="2"/>
      <c r="D797" s="2"/>
      <c r="E797" s="2"/>
      <c r="F797" s="2"/>
      <c r="G797" s="2"/>
    </row>
    <row r="798">
      <c r="A798" s="1" t="s">
        <v>455</v>
      </c>
      <c r="B798" s="1">
        <v>32.0</v>
      </c>
      <c r="C798" s="2"/>
      <c r="D798" s="2"/>
      <c r="E798" s="2"/>
      <c r="F798" s="2"/>
      <c r="G798" s="2"/>
    </row>
    <row r="799">
      <c r="A799" s="1" t="s">
        <v>456</v>
      </c>
      <c r="B799" s="1">
        <v>48.0</v>
      </c>
      <c r="C799" s="2"/>
      <c r="D799" s="2"/>
      <c r="E799" s="2"/>
      <c r="F799" s="2"/>
      <c r="G799" s="2"/>
    </row>
    <row r="800">
      <c r="A800" s="1" t="s">
        <v>457</v>
      </c>
      <c r="B800" s="1">
        <v>0.0</v>
      </c>
      <c r="C800" s="2"/>
      <c r="D800" s="2"/>
      <c r="E800" s="2"/>
      <c r="F800" s="2"/>
      <c r="G800" s="2"/>
    </row>
    <row r="801">
      <c r="A801" s="1" t="s">
        <v>458</v>
      </c>
      <c r="B801" s="1">
        <v>0.0</v>
      </c>
      <c r="C801" s="2"/>
      <c r="D801" s="2"/>
      <c r="E801" s="2"/>
      <c r="F801" s="2"/>
      <c r="G801" s="2"/>
    </row>
    <row r="802">
      <c r="A802" s="1" t="s">
        <v>459</v>
      </c>
      <c r="B802" s="1">
        <v>50.0</v>
      </c>
      <c r="C802" s="2"/>
      <c r="D802" s="2"/>
      <c r="E802" s="2"/>
      <c r="F802" s="2"/>
      <c r="G802" s="2"/>
    </row>
    <row r="803">
      <c r="A803" s="1" t="s">
        <v>460</v>
      </c>
      <c r="B803" s="1">
        <v>0.0</v>
      </c>
      <c r="C803" s="2"/>
      <c r="D803" s="2"/>
      <c r="E803" s="2"/>
      <c r="F803" s="2"/>
      <c r="G803" s="2"/>
    </row>
    <row r="804">
      <c r="A804" s="1" t="s">
        <v>461</v>
      </c>
      <c r="B804" s="1" t="s">
        <v>462</v>
      </c>
      <c r="C804" s="1" t="s">
        <v>463</v>
      </c>
      <c r="D804" s="1">
        <v>62.0</v>
      </c>
      <c r="E804" s="2"/>
      <c r="F804" s="2"/>
      <c r="G804" s="2"/>
    </row>
    <row r="805">
      <c r="A805" s="1" t="s">
        <v>464</v>
      </c>
      <c r="B805" s="1" t="s">
        <v>465</v>
      </c>
      <c r="C805" s="1">
        <v>0.0</v>
      </c>
      <c r="D805" s="2"/>
      <c r="E805" s="2"/>
      <c r="F805" s="2"/>
      <c r="G805" s="2"/>
    </row>
    <row r="806">
      <c r="A806" s="1" t="s">
        <v>466</v>
      </c>
      <c r="B806" s="1">
        <v>0.0</v>
      </c>
      <c r="C806" s="2"/>
      <c r="D806" s="2"/>
      <c r="E806" s="2"/>
      <c r="F806" s="2"/>
      <c r="G806" s="2"/>
    </row>
    <row r="807">
      <c r="A807" s="1" t="s">
        <v>467</v>
      </c>
      <c r="B807" s="1">
        <v>0.0</v>
      </c>
      <c r="C807" s="2"/>
      <c r="D807" s="2"/>
      <c r="E807" s="2"/>
      <c r="F807" s="2"/>
      <c r="G807" s="2"/>
    </row>
    <row r="808">
      <c r="A808" s="1" t="s">
        <v>468</v>
      </c>
      <c r="B808" s="1">
        <v>0.0</v>
      </c>
      <c r="C808" s="2"/>
      <c r="D808" s="2"/>
      <c r="E808" s="2"/>
      <c r="F808" s="2"/>
      <c r="G808" s="2"/>
    </row>
    <row r="809">
      <c r="A809" s="1" t="s">
        <v>469</v>
      </c>
      <c r="B809" s="1">
        <v>0.0</v>
      </c>
      <c r="C809" s="2"/>
      <c r="D809" s="2"/>
      <c r="E809" s="2"/>
      <c r="F809" s="2"/>
      <c r="G809" s="2"/>
    </row>
    <row r="810">
      <c r="A810" s="1" t="s">
        <v>470</v>
      </c>
      <c r="B810" s="1">
        <v>10.0</v>
      </c>
      <c r="C810" s="2"/>
      <c r="D810" s="2"/>
      <c r="E810" s="2"/>
      <c r="F810" s="2"/>
      <c r="G810" s="2"/>
    </row>
    <row r="811">
      <c r="A811" s="1" t="s">
        <v>471</v>
      </c>
      <c r="B811" s="1">
        <v>0.0</v>
      </c>
      <c r="C811" s="2"/>
      <c r="D811" s="2"/>
      <c r="E811" s="2"/>
      <c r="F811" s="2"/>
      <c r="G811" s="2"/>
    </row>
    <row r="812">
      <c r="A812" s="1" t="s">
        <v>472</v>
      </c>
      <c r="B812" s="1">
        <v>29.0</v>
      </c>
      <c r="C812" s="2"/>
      <c r="D812" s="2"/>
      <c r="E812" s="2"/>
      <c r="F812" s="2"/>
      <c r="G812" s="2"/>
    </row>
    <row r="813">
      <c r="A813" s="1" t="s">
        <v>473</v>
      </c>
      <c r="B813" s="1">
        <v>0.0</v>
      </c>
      <c r="C813" s="2"/>
      <c r="D813" s="2"/>
      <c r="E813" s="2"/>
      <c r="F813" s="2"/>
      <c r="G813" s="2"/>
    </row>
    <row r="814">
      <c r="A814" s="1" t="s">
        <v>474</v>
      </c>
      <c r="B814" s="1">
        <v>65.0</v>
      </c>
      <c r="C814" s="2"/>
      <c r="D814" s="2"/>
      <c r="E814" s="2"/>
      <c r="F814" s="2"/>
      <c r="G814" s="2"/>
    </row>
    <row r="815">
      <c r="A815" s="1" t="s">
        <v>475</v>
      </c>
      <c r="B815" s="1">
        <v>0.0</v>
      </c>
      <c r="C815" s="2"/>
      <c r="D815" s="2"/>
      <c r="E815" s="2"/>
      <c r="F815" s="2"/>
      <c r="G815" s="2"/>
    </row>
    <row r="816">
      <c r="A816" s="1" t="s">
        <v>476</v>
      </c>
      <c r="B816" s="1">
        <v>0.0</v>
      </c>
      <c r="C816" s="2"/>
      <c r="D816" s="2"/>
      <c r="E816" s="2"/>
      <c r="F816" s="2"/>
      <c r="G816" s="2"/>
    </row>
    <row r="817">
      <c r="A817" s="1" t="s">
        <v>477</v>
      </c>
      <c r="B817" s="1">
        <v>0.0</v>
      </c>
      <c r="C817" s="2"/>
      <c r="D817" s="2"/>
      <c r="E817" s="2"/>
      <c r="F817" s="2"/>
      <c r="G817" s="2"/>
    </row>
    <row r="818">
      <c r="A818" s="1" t="s">
        <v>478</v>
      </c>
      <c r="B818" s="1">
        <v>0.0</v>
      </c>
      <c r="C818" s="2"/>
      <c r="D818" s="2"/>
      <c r="E818" s="2"/>
      <c r="F818" s="2"/>
      <c r="G818" s="2"/>
    </row>
    <row r="819">
      <c r="A819" s="1" t="s">
        <v>479</v>
      </c>
      <c r="B819" s="1">
        <v>12.0</v>
      </c>
      <c r="C819" s="2"/>
      <c r="D819" s="2"/>
      <c r="E819" s="2"/>
      <c r="F819" s="2"/>
      <c r="G819" s="2"/>
    </row>
    <row r="820">
      <c r="A820" s="1" t="s">
        <v>480</v>
      </c>
      <c r="B820" s="1">
        <v>0.0</v>
      </c>
      <c r="C820" s="2"/>
      <c r="D820" s="2"/>
      <c r="E820" s="2"/>
      <c r="F820" s="2"/>
      <c r="G820" s="2"/>
    </row>
    <row r="821">
      <c r="A821" s="1" t="s">
        <v>481</v>
      </c>
      <c r="B821" s="1" t="s">
        <v>482</v>
      </c>
      <c r="C821" s="1">
        <v>95.0</v>
      </c>
      <c r="D821" s="2"/>
      <c r="E821" s="2"/>
      <c r="F821" s="2"/>
      <c r="G821" s="2"/>
    </row>
    <row r="822">
      <c r="A822" s="1" t="s">
        <v>483</v>
      </c>
      <c r="B822" s="1">
        <v>0.0</v>
      </c>
      <c r="C822" s="2"/>
      <c r="D822" s="2"/>
      <c r="E822" s="2"/>
      <c r="F822" s="2"/>
      <c r="G822" s="2"/>
    </row>
    <row r="823">
      <c r="A823" s="1" t="s">
        <v>484</v>
      </c>
      <c r="B823" s="1">
        <v>11.0</v>
      </c>
      <c r="C823" s="2"/>
      <c r="D823" s="2"/>
      <c r="E823" s="2"/>
      <c r="F823" s="2"/>
      <c r="G823" s="2"/>
    </row>
    <row r="824">
      <c r="A824" s="1" t="s">
        <v>485</v>
      </c>
      <c r="B824" s="1">
        <v>0.0</v>
      </c>
      <c r="C824" s="2"/>
      <c r="D824" s="2"/>
      <c r="E824" s="2"/>
      <c r="F824" s="2"/>
      <c r="G824" s="2"/>
    </row>
    <row r="825">
      <c r="A825" s="1" t="s">
        <v>486</v>
      </c>
      <c r="B825" s="1" t="s">
        <v>487</v>
      </c>
      <c r="C825" s="2"/>
      <c r="D825" s="2"/>
      <c r="E825" s="2"/>
      <c r="F825" s="2"/>
      <c r="G825" s="2"/>
    </row>
    <row r="826">
      <c r="A826" s="1" t="s">
        <v>488</v>
      </c>
      <c r="B826" s="1">
        <v>31.0</v>
      </c>
      <c r="C826" s="2"/>
      <c r="D826" s="2"/>
      <c r="E826" s="2"/>
      <c r="F826" s="2"/>
      <c r="G826" s="2"/>
    </row>
    <row r="827">
      <c r="A827" s="1" t="s">
        <v>489</v>
      </c>
      <c r="B827" s="2"/>
      <c r="C827" s="2"/>
      <c r="D827" s="2"/>
      <c r="E827" s="2"/>
      <c r="F827" s="2"/>
      <c r="G827" s="2"/>
    </row>
    <row r="828">
      <c r="A828" s="1" t="s">
        <v>490</v>
      </c>
      <c r="B828" s="1">
        <v>0.0</v>
      </c>
      <c r="C828" s="2"/>
      <c r="D828" s="2"/>
      <c r="E828" s="2"/>
      <c r="F828" s="2"/>
      <c r="G828" s="2"/>
    </row>
    <row r="829">
      <c r="A829" s="1" t="s">
        <v>491</v>
      </c>
      <c r="B829" s="1">
        <v>0.0</v>
      </c>
      <c r="C829" s="2"/>
      <c r="D829" s="2"/>
      <c r="E829" s="2"/>
      <c r="F829" s="2"/>
      <c r="G829" s="2"/>
    </row>
    <row r="830">
      <c r="A830" s="1" t="s">
        <v>492</v>
      </c>
      <c r="B830" s="1">
        <v>0.0</v>
      </c>
      <c r="C830" s="2"/>
      <c r="D830" s="2"/>
      <c r="E830" s="2"/>
      <c r="F830" s="2"/>
      <c r="G830" s="2"/>
    </row>
    <row r="831">
      <c r="A831" s="1" t="s">
        <v>493</v>
      </c>
      <c r="B831" s="1">
        <v>9.0</v>
      </c>
      <c r="C831" s="2"/>
      <c r="D831" s="2"/>
      <c r="E831" s="2"/>
      <c r="F831" s="2"/>
      <c r="G831" s="2"/>
    </row>
    <row r="832">
      <c r="A832" s="1" t="s">
        <v>494</v>
      </c>
      <c r="B832" s="1">
        <v>0.0</v>
      </c>
      <c r="C832" s="2"/>
      <c r="D832" s="2"/>
      <c r="E832" s="2"/>
      <c r="F832" s="2"/>
      <c r="G832" s="2"/>
    </row>
    <row r="833">
      <c r="A833" s="1" t="s">
        <v>495</v>
      </c>
      <c r="B833" s="1">
        <v>0.0</v>
      </c>
      <c r="C833" s="2"/>
      <c r="D833" s="2"/>
      <c r="E833" s="2"/>
      <c r="F833" s="2"/>
      <c r="G833" s="2"/>
    </row>
    <row r="834">
      <c r="A834" s="1" t="s">
        <v>496</v>
      </c>
      <c r="B834" s="1">
        <v>80.0</v>
      </c>
      <c r="C834" s="2"/>
      <c r="D834" s="2"/>
      <c r="E834" s="2"/>
      <c r="F834" s="2"/>
      <c r="G834" s="2"/>
    </row>
    <row r="835">
      <c r="A835" s="1" t="s">
        <v>497</v>
      </c>
      <c r="B835" s="1">
        <v>0.0</v>
      </c>
      <c r="C835" s="2"/>
      <c r="D835" s="2"/>
      <c r="E835" s="2"/>
      <c r="F835" s="2"/>
      <c r="G835" s="2"/>
    </row>
    <row r="836">
      <c r="A836" s="1" t="s">
        <v>498</v>
      </c>
      <c r="B836" s="1">
        <v>14.0</v>
      </c>
      <c r="C836" s="2"/>
      <c r="D836" s="2"/>
      <c r="E836" s="2"/>
      <c r="F836" s="2"/>
      <c r="G836" s="2"/>
    </row>
    <row r="837">
      <c r="A837" s="1" t="s">
        <v>499</v>
      </c>
      <c r="B837" s="1" t="s">
        <v>500</v>
      </c>
      <c r="C837" s="1">
        <v>18.0</v>
      </c>
      <c r="D837" s="2"/>
      <c r="E837" s="2"/>
      <c r="F837" s="2"/>
      <c r="G837" s="2"/>
    </row>
    <row r="838">
      <c r="A838" s="1" t="s">
        <v>501</v>
      </c>
      <c r="B838" s="1" t="s">
        <v>502</v>
      </c>
      <c r="C838" s="2"/>
      <c r="D838" s="2"/>
      <c r="E838" s="2"/>
      <c r="F838" s="2"/>
      <c r="G838" s="2"/>
    </row>
    <row r="839">
      <c r="A839" s="1" t="s">
        <v>503</v>
      </c>
      <c r="B839" s="1">
        <v>90.0</v>
      </c>
      <c r="C839" s="2"/>
      <c r="D839" s="2"/>
      <c r="E839" s="2"/>
      <c r="F839" s="2"/>
      <c r="G839" s="2"/>
    </row>
    <row r="840">
      <c r="A840" s="1" t="s">
        <v>504</v>
      </c>
      <c r="B840" s="2"/>
      <c r="C840" s="2"/>
      <c r="D840" s="2"/>
      <c r="E840" s="2"/>
      <c r="F840" s="2"/>
      <c r="G840" s="2"/>
    </row>
    <row r="841">
      <c r="A841" s="1" t="s">
        <v>505</v>
      </c>
      <c r="B841" s="1">
        <v>53.0</v>
      </c>
      <c r="C841" s="2"/>
      <c r="D841" s="2"/>
      <c r="E841" s="2"/>
      <c r="F841" s="2"/>
      <c r="G841" s="2"/>
    </row>
    <row r="842">
      <c r="A842" s="1" t="s">
        <v>506</v>
      </c>
      <c r="B842" s="1">
        <v>82.0</v>
      </c>
      <c r="C842" s="2"/>
      <c r="D842" s="2"/>
      <c r="E842" s="2"/>
      <c r="F842" s="2"/>
      <c r="G842" s="2"/>
    </row>
    <row r="843">
      <c r="A843" s="1" t="s">
        <v>507</v>
      </c>
      <c r="B843" s="1">
        <v>0.0</v>
      </c>
      <c r="C843" s="2"/>
      <c r="D843" s="2"/>
      <c r="E843" s="2"/>
      <c r="F843" s="2"/>
      <c r="G843" s="2"/>
    </row>
    <row r="844">
      <c r="A844" s="1" t="s">
        <v>508</v>
      </c>
      <c r="B844" s="1">
        <v>70.0</v>
      </c>
      <c r="C844" s="2"/>
      <c r="D844" s="2"/>
      <c r="E844" s="2"/>
      <c r="F844" s="2"/>
      <c r="G844" s="2"/>
    </row>
    <row r="845">
      <c r="A845" s="1" t="s">
        <v>509</v>
      </c>
      <c r="B845" s="1">
        <v>0.0</v>
      </c>
      <c r="C845" s="2"/>
      <c r="D845" s="2"/>
      <c r="E845" s="2"/>
      <c r="F845" s="2"/>
      <c r="G845" s="2"/>
    </row>
    <row r="846">
      <c r="A846" s="1" t="s">
        <v>510</v>
      </c>
      <c r="B846" s="1">
        <v>0.0</v>
      </c>
      <c r="C846" s="2"/>
      <c r="D846" s="2"/>
      <c r="E846" s="2"/>
      <c r="F846" s="2"/>
      <c r="G846" s="2"/>
    </row>
    <row r="847">
      <c r="A847" s="1" t="s">
        <v>511</v>
      </c>
      <c r="B847" s="1">
        <v>99.0</v>
      </c>
      <c r="C847" s="2"/>
      <c r="D847" s="2"/>
      <c r="E847" s="2"/>
      <c r="F847" s="2"/>
      <c r="G847" s="2"/>
    </row>
    <row r="848">
      <c r="A848" s="1" t="s">
        <v>512</v>
      </c>
      <c r="B848" s="1">
        <v>15.0</v>
      </c>
      <c r="C848" s="2"/>
      <c r="D848" s="2"/>
      <c r="E848" s="2"/>
      <c r="F848" s="2"/>
      <c r="G848" s="2"/>
    </row>
    <row r="849">
      <c r="A849" s="1" t="s">
        <v>513</v>
      </c>
      <c r="B849" s="1">
        <v>0.0</v>
      </c>
      <c r="C849" s="2"/>
      <c r="D849" s="2"/>
      <c r="E849" s="2"/>
      <c r="F849" s="2"/>
      <c r="G849" s="2"/>
    </row>
    <row r="850">
      <c r="A850" s="1" t="s">
        <v>514</v>
      </c>
      <c r="B850" s="1">
        <v>0.0</v>
      </c>
      <c r="C850" s="2"/>
      <c r="D850" s="2"/>
      <c r="E850" s="2"/>
      <c r="F850" s="2"/>
      <c r="G850" s="2"/>
    </row>
    <row r="851">
      <c r="A851" s="1" t="s">
        <v>515</v>
      </c>
      <c r="B851" s="1">
        <v>64.0</v>
      </c>
      <c r="C851" s="2"/>
      <c r="D851" s="2"/>
      <c r="E851" s="2"/>
      <c r="F851" s="2"/>
      <c r="G851" s="2"/>
    </row>
    <row r="852">
      <c r="A852" s="1" t="s">
        <v>516</v>
      </c>
      <c r="B852" s="1">
        <v>0.0</v>
      </c>
      <c r="C852" s="2"/>
      <c r="D852" s="2"/>
      <c r="E852" s="2"/>
      <c r="F852" s="2"/>
      <c r="G852" s="2"/>
    </row>
    <row r="853">
      <c r="A853" s="1" t="s">
        <v>517</v>
      </c>
      <c r="B853" s="1">
        <v>0.0</v>
      </c>
      <c r="C853" s="2"/>
      <c r="D853" s="2"/>
      <c r="E853" s="2"/>
      <c r="F853" s="2"/>
      <c r="G853" s="2"/>
    </row>
    <row r="854">
      <c r="A854" s="1" t="s">
        <v>518</v>
      </c>
      <c r="B854" s="1">
        <v>0.0</v>
      </c>
      <c r="C854" s="2"/>
      <c r="D854" s="2"/>
      <c r="E854" s="2"/>
      <c r="F854" s="2"/>
      <c r="G854" s="2"/>
    </row>
    <row r="855">
      <c r="A855" s="1" t="s">
        <v>519</v>
      </c>
      <c r="B855" s="1">
        <v>0.0</v>
      </c>
      <c r="C855" s="2"/>
      <c r="D855" s="2"/>
      <c r="E855" s="2"/>
      <c r="F855" s="2"/>
      <c r="G855" s="2"/>
    </row>
    <row r="856">
      <c r="A856" s="1" t="s">
        <v>520</v>
      </c>
      <c r="B856" s="1">
        <v>0.0</v>
      </c>
      <c r="C856" s="2"/>
      <c r="D856" s="2"/>
      <c r="E856" s="2"/>
      <c r="F856" s="2"/>
      <c r="G856" s="2"/>
    </row>
    <row r="857">
      <c r="A857" s="1" t="s">
        <v>521</v>
      </c>
      <c r="B857" s="1">
        <v>62.0</v>
      </c>
      <c r="C857" s="2"/>
      <c r="D857" s="2"/>
      <c r="E857" s="2"/>
      <c r="F857" s="2"/>
      <c r="G857" s="2"/>
    </row>
    <row r="858">
      <c r="A858" s="1" t="s">
        <v>522</v>
      </c>
      <c r="B858" s="1">
        <v>82.0</v>
      </c>
      <c r="C858" s="2"/>
      <c r="D858" s="2"/>
      <c r="E858" s="2"/>
      <c r="F858" s="2"/>
      <c r="G858" s="2"/>
    </row>
    <row r="859">
      <c r="A859" s="1" t="s">
        <v>523</v>
      </c>
      <c r="B859" s="1">
        <v>0.0</v>
      </c>
      <c r="C859" s="2"/>
      <c r="D859" s="2"/>
      <c r="E859" s="2"/>
      <c r="F859" s="2"/>
      <c r="G859" s="2"/>
    </row>
    <row r="860">
      <c r="A860" s="1" t="s">
        <v>524</v>
      </c>
      <c r="B860" s="1">
        <v>60.0</v>
      </c>
      <c r="C860" s="2"/>
      <c r="D860" s="2"/>
      <c r="E860" s="2"/>
      <c r="F860" s="2"/>
      <c r="G860" s="2"/>
    </row>
    <row r="861">
      <c r="A861" s="1" t="s">
        <v>525</v>
      </c>
      <c r="B861" s="1">
        <v>0.0</v>
      </c>
      <c r="C861" s="2"/>
      <c r="D861" s="2"/>
      <c r="E861" s="2"/>
      <c r="F861" s="2"/>
      <c r="G861" s="2"/>
    </row>
    <row r="862">
      <c r="A862" s="1" t="s">
        <v>526</v>
      </c>
      <c r="B862" s="1">
        <v>90.0</v>
      </c>
      <c r="C862" s="2"/>
      <c r="D862" s="2"/>
      <c r="E862" s="2"/>
      <c r="F862" s="2"/>
      <c r="G862" s="2"/>
    </row>
    <row r="863">
      <c r="A863" s="1" t="s">
        <v>527</v>
      </c>
      <c r="B863" s="1">
        <v>0.0</v>
      </c>
      <c r="C863" s="2"/>
      <c r="D863" s="2"/>
      <c r="E863" s="2"/>
      <c r="F863" s="2"/>
      <c r="G863" s="2"/>
    </row>
    <row r="864">
      <c r="A864" s="1" t="s">
        <v>528</v>
      </c>
      <c r="B864" s="1">
        <v>0.0</v>
      </c>
      <c r="C864" s="2"/>
      <c r="D864" s="2"/>
      <c r="E864" s="2"/>
      <c r="F864" s="2"/>
      <c r="G864" s="2"/>
    </row>
    <row r="865">
      <c r="A865" s="1" t="s">
        <v>529</v>
      </c>
      <c r="B865" s="1">
        <v>0.0</v>
      </c>
      <c r="C865" s="2"/>
      <c r="D865" s="2"/>
      <c r="E865" s="2"/>
      <c r="F865" s="2"/>
      <c r="G865" s="2"/>
    </row>
    <row r="866">
      <c r="A866" s="1" t="s">
        <v>530</v>
      </c>
      <c r="B866" s="1">
        <v>0.0</v>
      </c>
      <c r="C866" s="2"/>
      <c r="D866" s="2"/>
      <c r="E866" s="2"/>
      <c r="F866" s="2"/>
      <c r="G866" s="2"/>
    </row>
    <row r="867">
      <c r="A867" s="1" t="s">
        <v>531</v>
      </c>
      <c r="B867" s="1">
        <v>0.0</v>
      </c>
      <c r="C867" s="2"/>
      <c r="D867" s="2"/>
      <c r="E867" s="2"/>
      <c r="F867" s="2"/>
      <c r="G867" s="2"/>
    </row>
    <row r="868">
      <c r="A868" s="1" t="s">
        <v>532</v>
      </c>
      <c r="B868" s="1">
        <v>24.0</v>
      </c>
      <c r="C868" s="2"/>
      <c r="D868" s="2"/>
      <c r="E868" s="2"/>
      <c r="F868" s="2"/>
      <c r="G868" s="2"/>
    </row>
    <row r="869">
      <c r="A869" s="1" t="s">
        <v>533</v>
      </c>
      <c r="B869" s="1">
        <v>21.0</v>
      </c>
      <c r="C869" s="2"/>
      <c r="D869" s="2"/>
      <c r="E869" s="2"/>
      <c r="F869" s="2"/>
      <c r="G869" s="2"/>
    </row>
    <row r="870">
      <c r="A870" s="1" t="s">
        <v>534</v>
      </c>
      <c r="B870" s="1">
        <v>0.0</v>
      </c>
      <c r="C870" s="2"/>
      <c r="D870" s="2"/>
      <c r="E870" s="2"/>
      <c r="F870" s="2"/>
      <c r="G870" s="2"/>
    </row>
    <row r="871">
      <c r="A871" s="1" t="s">
        <v>535</v>
      </c>
      <c r="B871" s="1">
        <v>28.0</v>
      </c>
      <c r="C871" s="2"/>
      <c r="D871" s="2"/>
      <c r="E871" s="2"/>
      <c r="F871" s="2"/>
      <c r="G871" s="2"/>
    </row>
    <row r="872">
      <c r="A872" s="1" t="s">
        <v>536</v>
      </c>
      <c r="B872" s="1">
        <v>0.0</v>
      </c>
      <c r="C872" s="2"/>
      <c r="D872" s="2"/>
      <c r="E872" s="2"/>
      <c r="F872" s="2"/>
      <c r="G872" s="2"/>
    </row>
    <row r="873">
      <c r="A873" s="1" t="s">
        <v>537</v>
      </c>
      <c r="B873" s="1">
        <v>0.0</v>
      </c>
      <c r="C873" s="2"/>
      <c r="D873" s="2"/>
      <c r="E873" s="2"/>
      <c r="F873" s="2"/>
      <c r="G873" s="2"/>
    </row>
    <row r="874">
      <c r="A874" s="1" t="s">
        <v>538</v>
      </c>
      <c r="B874" s="1">
        <v>50.0</v>
      </c>
      <c r="C874" s="2"/>
      <c r="D874" s="2"/>
      <c r="E874" s="2"/>
      <c r="F874" s="2"/>
      <c r="G874" s="2"/>
    </row>
    <row r="875">
      <c r="A875" s="1" t="s">
        <v>539</v>
      </c>
      <c r="B875" s="1">
        <v>58.0</v>
      </c>
      <c r="C875" s="2"/>
      <c r="D875" s="2"/>
      <c r="E875" s="2"/>
      <c r="F875" s="2"/>
      <c r="G875" s="2"/>
    </row>
    <row r="876">
      <c r="A876" s="1" t="s">
        <v>540</v>
      </c>
      <c r="B876" s="1">
        <v>0.0</v>
      </c>
      <c r="C876" s="2"/>
      <c r="D876" s="2"/>
      <c r="E876" s="2"/>
      <c r="F876" s="2"/>
      <c r="G876" s="2"/>
    </row>
    <row r="877">
      <c r="A877" s="1" t="s">
        <v>541</v>
      </c>
      <c r="B877" s="1">
        <v>0.0</v>
      </c>
      <c r="C877" s="2"/>
      <c r="D877" s="2"/>
      <c r="E877" s="2"/>
      <c r="F877" s="2"/>
      <c r="G877" s="2"/>
    </row>
    <row r="878">
      <c r="A878" s="1" t="s">
        <v>542</v>
      </c>
      <c r="B878" s="1">
        <v>0.0</v>
      </c>
      <c r="C878" s="2"/>
      <c r="D878" s="2"/>
      <c r="E878" s="2"/>
      <c r="F878" s="2"/>
      <c r="G878" s="2"/>
    </row>
    <row r="879">
      <c r="A879" s="1" t="s">
        <v>543</v>
      </c>
      <c r="B879" s="1">
        <v>0.0</v>
      </c>
      <c r="C879" s="2"/>
      <c r="D879" s="2"/>
      <c r="E879" s="2"/>
      <c r="F879" s="2"/>
      <c r="G879" s="2"/>
    </row>
    <row r="880">
      <c r="A880" s="1" t="s">
        <v>544</v>
      </c>
      <c r="B880" s="1">
        <v>85.0</v>
      </c>
      <c r="C880" s="2"/>
      <c r="D880" s="2"/>
      <c r="E880" s="2"/>
      <c r="F880" s="2"/>
      <c r="G880" s="2"/>
    </row>
    <row r="881">
      <c r="A881" s="1" t="s">
        <v>545</v>
      </c>
      <c r="B881" s="1">
        <v>0.0</v>
      </c>
      <c r="C881" s="2"/>
      <c r="D881" s="2"/>
      <c r="E881" s="2"/>
      <c r="F881" s="2"/>
      <c r="G881" s="2"/>
    </row>
    <row r="882">
      <c r="A882" s="1" t="s">
        <v>546</v>
      </c>
      <c r="B882" s="1">
        <v>5.0</v>
      </c>
      <c r="C882" s="2"/>
      <c r="D882" s="2"/>
      <c r="E882" s="2"/>
      <c r="F882" s="2"/>
      <c r="G882" s="2"/>
    </row>
    <row r="883">
      <c r="A883" s="1" t="s">
        <v>547</v>
      </c>
      <c r="B883" s="1">
        <v>0.0</v>
      </c>
      <c r="C883" s="2"/>
      <c r="D883" s="2"/>
      <c r="E883" s="2"/>
      <c r="F883" s="2"/>
      <c r="G883" s="2"/>
    </row>
    <row r="884">
      <c r="A884" s="1" t="s">
        <v>548</v>
      </c>
      <c r="B884" s="1">
        <v>0.0</v>
      </c>
      <c r="C884" s="2"/>
      <c r="D884" s="2"/>
      <c r="E884" s="2"/>
      <c r="F884" s="2"/>
      <c r="G884" s="2"/>
    </row>
    <row r="885">
      <c r="A885" s="1" t="s">
        <v>549</v>
      </c>
      <c r="B885" s="1" t="s">
        <v>550</v>
      </c>
      <c r="C885" s="1">
        <v>0.0</v>
      </c>
      <c r="D885" s="2"/>
      <c r="E885" s="2"/>
      <c r="F885" s="2"/>
      <c r="G885" s="2"/>
    </row>
    <row r="886">
      <c r="A886" s="1" t="s">
        <v>551</v>
      </c>
      <c r="B886" s="1" t="s">
        <v>552</v>
      </c>
      <c r="C886" s="1">
        <v>18.0</v>
      </c>
      <c r="D886" s="2"/>
      <c r="E886" s="2"/>
      <c r="F886" s="2"/>
      <c r="G886" s="2"/>
    </row>
    <row r="887">
      <c r="A887" s="1" t="s">
        <v>553</v>
      </c>
      <c r="B887" s="1">
        <v>0.0</v>
      </c>
      <c r="C887" s="2"/>
      <c r="D887" s="2"/>
      <c r="E887" s="2"/>
      <c r="F887" s="2"/>
      <c r="G887" s="2"/>
    </row>
    <row r="888">
      <c r="A888" s="1" t="s">
        <v>554</v>
      </c>
      <c r="B888" s="1">
        <v>0.0</v>
      </c>
      <c r="C888" s="2"/>
      <c r="D888" s="2"/>
      <c r="E888" s="2"/>
      <c r="F888" s="2"/>
      <c r="G888" s="2"/>
    </row>
    <row r="889">
      <c r="A889" s="1" t="s">
        <v>555</v>
      </c>
      <c r="B889" s="1">
        <v>46.0</v>
      </c>
      <c r="C889" s="2"/>
      <c r="D889" s="2"/>
      <c r="E889" s="2"/>
      <c r="F889" s="2"/>
      <c r="G889" s="2"/>
    </row>
    <row r="890">
      <c r="A890" s="1" t="s">
        <v>556</v>
      </c>
      <c r="B890" s="1">
        <v>0.0</v>
      </c>
      <c r="C890" s="2"/>
      <c r="D890" s="2"/>
      <c r="E890" s="2"/>
      <c r="F890" s="2"/>
      <c r="G890" s="2"/>
    </row>
    <row r="891">
      <c r="A891" s="1" t="s">
        <v>557</v>
      </c>
      <c r="B891" s="1">
        <v>0.0</v>
      </c>
      <c r="C891" s="2"/>
      <c r="D891" s="2"/>
      <c r="E891" s="2"/>
      <c r="F891" s="2"/>
      <c r="G891" s="2"/>
    </row>
    <row r="892">
      <c r="A892" s="1" t="s">
        <v>558</v>
      </c>
      <c r="B892" s="1">
        <v>0.0</v>
      </c>
      <c r="C892" s="2"/>
      <c r="D892" s="2"/>
      <c r="E892" s="2"/>
      <c r="F892" s="2"/>
      <c r="G892" s="2"/>
    </row>
    <row r="893">
      <c r="A893" s="1" t="s">
        <v>559</v>
      </c>
      <c r="B893" s="1">
        <v>0.0</v>
      </c>
      <c r="C893" s="2"/>
      <c r="D893" s="2"/>
      <c r="E893" s="2"/>
      <c r="F893" s="2"/>
      <c r="G893" s="2"/>
    </row>
    <row r="894">
      <c r="A894" s="1" t="s">
        <v>560</v>
      </c>
      <c r="B894" s="1">
        <v>58.0</v>
      </c>
      <c r="C894" s="2"/>
      <c r="D894" s="2"/>
      <c r="E894" s="2"/>
      <c r="F894" s="2"/>
      <c r="G894" s="2"/>
    </row>
    <row r="895">
      <c r="A895" s="1" t="s">
        <v>561</v>
      </c>
      <c r="B895" s="1">
        <v>0.0</v>
      </c>
      <c r="C895" s="2"/>
      <c r="D895" s="2"/>
      <c r="E895" s="2"/>
      <c r="F895" s="2"/>
      <c r="G895" s="2"/>
    </row>
    <row r="896">
      <c r="A896" s="1" t="s">
        <v>562</v>
      </c>
      <c r="B896" s="1">
        <v>60.0</v>
      </c>
      <c r="C896" s="2"/>
      <c r="D896" s="2"/>
      <c r="E896" s="2"/>
      <c r="F896" s="2"/>
      <c r="G896" s="2"/>
    </row>
    <row r="897">
      <c r="A897" s="1" t="s">
        <v>563</v>
      </c>
      <c r="B897" s="1">
        <v>0.0</v>
      </c>
      <c r="C897" s="2"/>
      <c r="D897" s="2"/>
      <c r="E897" s="2"/>
      <c r="F897" s="2"/>
      <c r="G897" s="2"/>
    </row>
    <row r="898">
      <c r="A898" s="1" t="s">
        <v>564</v>
      </c>
      <c r="B898" s="1">
        <v>21.0</v>
      </c>
      <c r="C898" s="2"/>
      <c r="D898" s="2"/>
      <c r="E898" s="2"/>
      <c r="F898" s="2"/>
      <c r="G898" s="2"/>
    </row>
    <row r="899">
      <c r="A899" s="1" t="s">
        <v>565</v>
      </c>
      <c r="B899" s="1">
        <v>0.0</v>
      </c>
      <c r="C899" s="2"/>
      <c r="D899" s="2"/>
      <c r="E899" s="2"/>
      <c r="F899" s="2"/>
      <c r="G899" s="2"/>
    </row>
    <row r="900">
      <c r="A900" s="1" t="s">
        <v>566</v>
      </c>
      <c r="B900" s="1">
        <v>0.0</v>
      </c>
      <c r="C900" s="2"/>
      <c r="D900" s="2"/>
      <c r="E900" s="2"/>
      <c r="F900" s="2"/>
      <c r="G900" s="2"/>
    </row>
    <row r="901">
      <c r="A901" s="1" t="s">
        <v>567</v>
      </c>
      <c r="B901" s="1">
        <v>0.0</v>
      </c>
      <c r="C901" s="2"/>
      <c r="D901" s="2"/>
      <c r="E901" s="2"/>
      <c r="F901" s="2"/>
      <c r="G901" s="2"/>
    </row>
    <row r="902">
      <c r="A902" s="1" t="s">
        <v>568</v>
      </c>
      <c r="B902" s="1">
        <v>60.0</v>
      </c>
      <c r="C902" s="2"/>
      <c r="D902" s="2"/>
      <c r="E902" s="2"/>
      <c r="F902" s="2"/>
      <c r="G902" s="2"/>
    </row>
    <row r="903">
      <c r="A903" s="1" t="s">
        <v>569</v>
      </c>
      <c r="B903" s="1">
        <v>50.0</v>
      </c>
      <c r="C903" s="2"/>
      <c r="D903" s="2"/>
      <c r="E903" s="2"/>
      <c r="F903" s="2"/>
      <c r="G903" s="2"/>
    </row>
    <row r="904">
      <c r="A904" s="1" t="s">
        <v>570</v>
      </c>
      <c r="B904" s="1">
        <v>30.0</v>
      </c>
      <c r="C904" s="2"/>
      <c r="D904" s="2"/>
      <c r="E904" s="2"/>
      <c r="F904" s="2"/>
      <c r="G904" s="2"/>
    </row>
    <row r="905">
      <c r="A905" s="1" t="s">
        <v>571</v>
      </c>
      <c r="B905" s="1">
        <v>0.0</v>
      </c>
      <c r="C905" s="2"/>
      <c r="D905" s="2"/>
      <c r="E905" s="2"/>
      <c r="F905" s="2"/>
      <c r="G905" s="2"/>
    </row>
    <row r="906">
      <c r="A906" s="1" t="s">
        <v>572</v>
      </c>
      <c r="B906" s="1">
        <v>0.0</v>
      </c>
      <c r="C906" s="2"/>
      <c r="D906" s="2"/>
      <c r="E906" s="2"/>
      <c r="F906" s="2"/>
      <c r="G906" s="2"/>
    </row>
    <row r="907">
      <c r="A907" s="1" t="s">
        <v>573</v>
      </c>
      <c r="B907" s="1" t="s">
        <v>574</v>
      </c>
      <c r="C907" s="1">
        <v>0.0</v>
      </c>
      <c r="D907" s="2"/>
      <c r="E907" s="2"/>
      <c r="F907" s="2"/>
      <c r="G907" s="2"/>
    </row>
    <row r="908">
      <c r="A908" s="1" t="s">
        <v>575</v>
      </c>
      <c r="B908" s="1">
        <v>0.0</v>
      </c>
      <c r="C908" s="2"/>
      <c r="D908" s="2"/>
      <c r="E908" s="2"/>
      <c r="F908" s="2"/>
      <c r="G908" s="2"/>
    </row>
    <row r="909">
      <c r="A909" s="1" t="s">
        <v>576</v>
      </c>
      <c r="B909" s="1">
        <v>0.0</v>
      </c>
      <c r="C909" s="2"/>
      <c r="D909" s="2"/>
      <c r="E909" s="2"/>
      <c r="F909" s="2"/>
      <c r="G909" s="2"/>
    </row>
    <row r="910">
      <c r="A910" s="1" t="s">
        <v>577</v>
      </c>
      <c r="B910" s="1">
        <v>0.0</v>
      </c>
      <c r="C910" s="2"/>
      <c r="D910" s="2"/>
      <c r="E910" s="2"/>
      <c r="F910" s="2"/>
      <c r="G910" s="2"/>
    </row>
    <row r="911">
      <c r="A911" s="1" t="s">
        <v>578</v>
      </c>
      <c r="B911" s="1">
        <v>0.0</v>
      </c>
      <c r="C911" s="2"/>
      <c r="D911" s="2"/>
      <c r="E911" s="2"/>
      <c r="F911" s="2"/>
      <c r="G911" s="2"/>
    </row>
    <row r="912">
      <c r="A912" s="1" t="s">
        <v>579</v>
      </c>
      <c r="B912" s="1">
        <v>0.0</v>
      </c>
      <c r="C912" s="2"/>
      <c r="D912" s="2"/>
      <c r="E912" s="2"/>
      <c r="F912" s="2"/>
      <c r="G912" s="2"/>
    </row>
    <row r="913">
      <c r="A913" s="1" t="s">
        <v>580</v>
      </c>
      <c r="B913" s="1">
        <v>0.0</v>
      </c>
      <c r="C913" s="2"/>
      <c r="D913" s="2"/>
      <c r="E913" s="2"/>
      <c r="F913" s="2"/>
      <c r="G913" s="2"/>
    </row>
    <row r="914">
      <c r="A914" s="1" t="s">
        <v>581</v>
      </c>
      <c r="B914" s="1">
        <v>0.0</v>
      </c>
      <c r="C914" s="2"/>
      <c r="D914" s="2"/>
      <c r="E914" s="2"/>
      <c r="F914" s="2"/>
      <c r="G914" s="2"/>
    </row>
    <row r="915">
      <c r="A915" s="1" t="s">
        <v>510</v>
      </c>
      <c r="B915" s="1">
        <v>0.0</v>
      </c>
      <c r="C915" s="2"/>
      <c r="D915" s="2"/>
      <c r="E915" s="2"/>
      <c r="F915" s="2"/>
      <c r="G915" s="2"/>
    </row>
    <row r="916">
      <c r="A916" s="1" t="s">
        <v>511</v>
      </c>
      <c r="B916" s="1">
        <v>99.0</v>
      </c>
      <c r="C916" s="2"/>
      <c r="D916" s="2"/>
      <c r="E916" s="2"/>
      <c r="F916" s="2"/>
      <c r="G916" s="2"/>
    </row>
    <row r="917">
      <c r="A917" s="1" t="s">
        <v>512</v>
      </c>
      <c r="B917" s="1">
        <v>15.0</v>
      </c>
      <c r="C917" s="2"/>
      <c r="D917" s="2"/>
      <c r="E917" s="2"/>
      <c r="F917" s="2"/>
      <c r="G917" s="2"/>
    </row>
    <row r="918">
      <c r="A918" s="1" t="s">
        <v>513</v>
      </c>
      <c r="B918" s="1">
        <v>0.0</v>
      </c>
      <c r="C918" s="2"/>
      <c r="D918" s="2"/>
      <c r="E918" s="2"/>
      <c r="F918" s="2"/>
      <c r="G918" s="2"/>
    </row>
    <row r="919">
      <c r="A919" s="1" t="s">
        <v>514</v>
      </c>
      <c r="B919" s="1">
        <v>0.0</v>
      </c>
      <c r="C919" s="2"/>
      <c r="D919" s="2"/>
      <c r="E919" s="2"/>
      <c r="F919" s="2"/>
      <c r="G919" s="2"/>
    </row>
    <row r="920">
      <c r="A920" s="1" t="s">
        <v>515</v>
      </c>
      <c r="B920" s="1">
        <v>64.0</v>
      </c>
      <c r="C920" s="2"/>
      <c r="D920" s="2"/>
      <c r="E920" s="2"/>
      <c r="F920" s="2"/>
      <c r="G920" s="2"/>
    </row>
    <row r="921">
      <c r="A921" s="1" t="s">
        <v>516</v>
      </c>
      <c r="B921" s="1">
        <v>0.0</v>
      </c>
      <c r="C921" s="2"/>
      <c r="D921" s="2"/>
      <c r="E921" s="2"/>
      <c r="F921" s="2"/>
      <c r="G921" s="2"/>
    </row>
    <row r="922">
      <c r="A922" s="1" t="s">
        <v>517</v>
      </c>
      <c r="B922" s="1">
        <v>0.0</v>
      </c>
      <c r="C922" s="2"/>
      <c r="D922" s="2"/>
      <c r="E922" s="2"/>
      <c r="F922" s="2"/>
      <c r="G922" s="2"/>
    </row>
    <row r="923">
      <c r="A923" s="1" t="s">
        <v>518</v>
      </c>
      <c r="B923" s="1">
        <v>0.0</v>
      </c>
      <c r="C923" s="2"/>
      <c r="D923" s="2"/>
      <c r="E923" s="2"/>
      <c r="F923" s="2"/>
      <c r="G923" s="2"/>
    </row>
    <row r="924">
      <c r="A924" s="1" t="s">
        <v>519</v>
      </c>
      <c r="B924" s="1">
        <v>0.0</v>
      </c>
      <c r="C924" s="2"/>
      <c r="D924" s="2"/>
      <c r="E924" s="2"/>
      <c r="F924" s="2"/>
      <c r="G924" s="2"/>
    </row>
    <row r="925">
      <c r="A925" s="1" t="s">
        <v>520</v>
      </c>
      <c r="B925" s="1">
        <v>0.0</v>
      </c>
      <c r="C925" s="2"/>
      <c r="D925" s="2"/>
      <c r="E925" s="2"/>
      <c r="F925" s="2"/>
      <c r="G925" s="2"/>
    </row>
    <row r="926">
      <c r="A926" s="1" t="s">
        <v>521</v>
      </c>
      <c r="B926" s="1">
        <v>62.0</v>
      </c>
      <c r="C926" s="2"/>
      <c r="D926" s="2"/>
      <c r="E926" s="2"/>
      <c r="F926" s="2"/>
      <c r="G926" s="2"/>
    </row>
    <row r="927">
      <c r="A927" s="1" t="s">
        <v>522</v>
      </c>
      <c r="B927" s="1">
        <v>82.0</v>
      </c>
      <c r="C927" s="2"/>
      <c r="D927" s="2"/>
      <c r="E927" s="2"/>
      <c r="F927" s="2"/>
      <c r="G927" s="2"/>
    </row>
    <row r="928">
      <c r="A928" s="1" t="s">
        <v>523</v>
      </c>
      <c r="B928" s="1">
        <v>0.0</v>
      </c>
      <c r="C928" s="2"/>
      <c r="D928" s="2"/>
      <c r="E928" s="2"/>
      <c r="F928" s="2"/>
      <c r="G928" s="2"/>
    </row>
    <row r="929">
      <c r="A929" s="1" t="s">
        <v>524</v>
      </c>
      <c r="B929" s="1">
        <v>60.0</v>
      </c>
      <c r="C929" s="2"/>
      <c r="D929" s="2"/>
      <c r="E929" s="2"/>
      <c r="F929" s="2"/>
      <c r="G929" s="2"/>
    </row>
    <row r="930">
      <c r="A930" s="1" t="s">
        <v>525</v>
      </c>
      <c r="B930" s="1">
        <v>0.0</v>
      </c>
      <c r="C930" s="2"/>
      <c r="D930" s="2"/>
      <c r="E930" s="2"/>
      <c r="F930" s="2"/>
      <c r="G930" s="2"/>
    </row>
    <row r="931">
      <c r="A931" s="1" t="s">
        <v>526</v>
      </c>
      <c r="B931" s="1">
        <v>90.0</v>
      </c>
      <c r="C931" s="2"/>
      <c r="D931" s="2"/>
      <c r="E931" s="2"/>
      <c r="F931" s="2"/>
      <c r="G931" s="2"/>
    </row>
    <row r="932">
      <c r="A932" s="1" t="s">
        <v>527</v>
      </c>
      <c r="B932" s="1">
        <v>0.0</v>
      </c>
      <c r="C932" s="2"/>
      <c r="D932" s="2"/>
      <c r="E932" s="2"/>
      <c r="F932" s="2"/>
      <c r="G932" s="2"/>
    </row>
    <row r="933">
      <c r="A933" s="1" t="s">
        <v>528</v>
      </c>
      <c r="B933" s="1">
        <v>0.0</v>
      </c>
      <c r="C933" s="2"/>
      <c r="D933" s="2"/>
      <c r="E933" s="2"/>
      <c r="F933" s="2"/>
      <c r="G933" s="2"/>
    </row>
    <row r="934">
      <c r="A934" s="1" t="s">
        <v>529</v>
      </c>
      <c r="B934" s="1">
        <v>0.0</v>
      </c>
      <c r="C934" s="2"/>
      <c r="D934" s="2"/>
      <c r="E934" s="2"/>
      <c r="F934" s="2"/>
      <c r="G934" s="2"/>
    </row>
    <row r="935">
      <c r="A935" s="1" t="s">
        <v>530</v>
      </c>
      <c r="B935" s="1">
        <v>0.0</v>
      </c>
      <c r="C935" s="2"/>
      <c r="D935" s="2"/>
      <c r="E935" s="2"/>
      <c r="F935" s="2"/>
      <c r="G935" s="2"/>
    </row>
    <row r="936">
      <c r="A936" s="1" t="s">
        <v>531</v>
      </c>
      <c r="B936" s="1">
        <v>0.0</v>
      </c>
      <c r="C936" s="2"/>
      <c r="D936" s="2"/>
      <c r="E936" s="2"/>
      <c r="F936" s="2"/>
      <c r="G936" s="2"/>
    </row>
    <row r="937">
      <c r="A937" s="1" t="s">
        <v>532</v>
      </c>
      <c r="B937" s="1">
        <v>24.0</v>
      </c>
      <c r="C937" s="2"/>
      <c r="D937" s="2"/>
      <c r="E937" s="2"/>
      <c r="F937" s="2"/>
      <c r="G937" s="2"/>
    </row>
    <row r="938">
      <c r="A938" s="1" t="s">
        <v>533</v>
      </c>
      <c r="B938" s="1">
        <v>21.0</v>
      </c>
      <c r="C938" s="2"/>
      <c r="D938" s="2"/>
      <c r="E938" s="2"/>
      <c r="F938" s="2"/>
      <c r="G938" s="2"/>
    </row>
    <row r="939">
      <c r="A939" s="1" t="s">
        <v>534</v>
      </c>
      <c r="B939" s="1">
        <v>0.0</v>
      </c>
      <c r="C939" s="2"/>
      <c r="D939" s="2"/>
      <c r="E939" s="2"/>
      <c r="F939" s="2"/>
      <c r="G939" s="2"/>
    </row>
    <row r="940">
      <c r="A940" s="1" t="s">
        <v>535</v>
      </c>
      <c r="B940" s="1">
        <v>28.0</v>
      </c>
      <c r="C940" s="2"/>
      <c r="D940" s="2"/>
      <c r="E940" s="2"/>
      <c r="F940" s="2"/>
      <c r="G940" s="2"/>
    </row>
    <row r="941">
      <c r="A941" s="1" t="s">
        <v>536</v>
      </c>
      <c r="B941" s="1">
        <v>0.0</v>
      </c>
      <c r="C941" s="2"/>
      <c r="D941" s="2"/>
      <c r="E941" s="2"/>
      <c r="F941" s="2"/>
      <c r="G941" s="2"/>
    </row>
    <row r="942">
      <c r="A942" s="1" t="s">
        <v>537</v>
      </c>
      <c r="B942" s="1">
        <v>0.0</v>
      </c>
      <c r="C942" s="2"/>
      <c r="D942" s="2"/>
      <c r="E942" s="2"/>
      <c r="F942" s="2"/>
      <c r="G942" s="2"/>
    </row>
    <row r="943">
      <c r="A943" s="1" t="s">
        <v>538</v>
      </c>
      <c r="B943" s="1">
        <v>50.0</v>
      </c>
      <c r="C943" s="2"/>
      <c r="D943" s="2"/>
      <c r="E943" s="2"/>
      <c r="F943" s="2"/>
      <c r="G943" s="2"/>
    </row>
    <row r="944">
      <c r="A944" s="1" t="s">
        <v>539</v>
      </c>
      <c r="B944" s="1">
        <v>58.0</v>
      </c>
      <c r="C944" s="2"/>
      <c r="D944" s="2"/>
      <c r="E944" s="2"/>
      <c r="F944" s="2"/>
      <c r="G944" s="2"/>
    </row>
    <row r="945">
      <c r="A945" s="1" t="s">
        <v>540</v>
      </c>
      <c r="B945" s="1">
        <v>0.0</v>
      </c>
      <c r="C945" s="2"/>
      <c r="D945" s="2"/>
      <c r="E945" s="2"/>
      <c r="F945" s="2"/>
      <c r="G945" s="2"/>
    </row>
    <row r="946">
      <c r="A946" s="1" t="s">
        <v>541</v>
      </c>
      <c r="B946" s="1">
        <v>0.0</v>
      </c>
      <c r="C946" s="2"/>
      <c r="D946" s="2"/>
      <c r="E946" s="2"/>
      <c r="F946" s="2"/>
      <c r="G946" s="2"/>
    </row>
    <row r="947">
      <c r="A947" s="1" t="s">
        <v>542</v>
      </c>
      <c r="B947" s="1">
        <v>0.0</v>
      </c>
      <c r="C947" s="2"/>
      <c r="D947" s="2"/>
      <c r="E947" s="2"/>
      <c r="F947" s="2"/>
      <c r="G947" s="2"/>
    </row>
    <row r="948">
      <c r="A948" s="1" t="s">
        <v>543</v>
      </c>
      <c r="B948" s="1">
        <v>0.0</v>
      </c>
      <c r="C948" s="2"/>
      <c r="D948" s="2"/>
      <c r="E948" s="2"/>
      <c r="F948" s="2"/>
      <c r="G948" s="2"/>
    </row>
    <row r="949">
      <c r="A949" s="1" t="s">
        <v>544</v>
      </c>
      <c r="B949" s="1">
        <v>85.0</v>
      </c>
      <c r="C949" s="2"/>
      <c r="D949" s="2"/>
      <c r="E949" s="2"/>
      <c r="F949" s="2"/>
      <c r="G949" s="2"/>
    </row>
    <row r="950">
      <c r="A950" s="1" t="s">
        <v>545</v>
      </c>
      <c r="B950" s="1">
        <v>0.0</v>
      </c>
      <c r="C950" s="2"/>
      <c r="D950" s="2"/>
      <c r="E950" s="2"/>
      <c r="F950" s="2"/>
      <c r="G950" s="2"/>
    </row>
    <row r="951">
      <c r="A951" s="1" t="s">
        <v>546</v>
      </c>
      <c r="B951" s="1">
        <v>5.0</v>
      </c>
      <c r="C951" s="2"/>
      <c r="D951" s="2"/>
      <c r="E951" s="2"/>
      <c r="F951" s="2"/>
      <c r="G951" s="2"/>
    </row>
    <row r="952">
      <c r="A952" s="1" t="s">
        <v>547</v>
      </c>
      <c r="B952" s="1">
        <v>0.0</v>
      </c>
      <c r="C952" s="2"/>
      <c r="D952" s="2"/>
      <c r="E952" s="2"/>
      <c r="F952" s="2"/>
      <c r="G952" s="2"/>
    </row>
    <row r="953">
      <c r="A953" s="1" t="s">
        <v>548</v>
      </c>
      <c r="B953" s="1">
        <v>0.0</v>
      </c>
      <c r="C953" s="2"/>
      <c r="D953" s="2"/>
      <c r="E953" s="2"/>
      <c r="F953" s="2"/>
      <c r="G953" s="2"/>
    </row>
    <row r="954">
      <c r="A954" s="1" t="s">
        <v>549</v>
      </c>
      <c r="B954" s="1" t="s">
        <v>550</v>
      </c>
      <c r="C954" s="1">
        <v>0.0</v>
      </c>
      <c r="D954" s="2"/>
      <c r="E954" s="2"/>
      <c r="F954" s="2"/>
      <c r="G954" s="2"/>
    </row>
    <row r="955">
      <c r="A955" s="1" t="s">
        <v>551</v>
      </c>
      <c r="B955" s="1" t="s">
        <v>552</v>
      </c>
      <c r="C955" s="1">
        <v>18.0</v>
      </c>
      <c r="D955" s="2"/>
      <c r="E955" s="2"/>
      <c r="F955" s="2"/>
      <c r="G955" s="2"/>
    </row>
    <row r="956">
      <c r="A956" s="1" t="s">
        <v>553</v>
      </c>
      <c r="B956" s="1">
        <v>0.0</v>
      </c>
      <c r="C956" s="2"/>
      <c r="D956" s="2"/>
      <c r="E956" s="2"/>
      <c r="F956" s="2"/>
      <c r="G956" s="2"/>
    </row>
    <row r="957">
      <c r="A957" s="1" t="s">
        <v>554</v>
      </c>
      <c r="B957" s="1">
        <v>0.0</v>
      </c>
      <c r="C957" s="2"/>
      <c r="D957" s="2"/>
      <c r="E957" s="2"/>
      <c r="F957" s="2"/>
      <c r="G957" s="2"/>
    </row>
    <row r="958">
      <c r="A958" s="1" t="s">
        <v>555</v>
      </c>
      <c r="B958" s="1">
        <v>46.0</v>
      </c>
      <c r="C958" s="2"/>
      <c r="D958" s="2"/>
      <c r="E958" s="2"/>
      <c r="F958" s="2"/>
      <c r="G958" s="2"/>
    </row>
    <row r="959">
      <c r="A959" s="1" t="s">
        <v>556</v>
      </c>
      <c r="B959" s="1">
        <v>0.0</v>
      </c>
      <c r="C959" s="2"/>
      <c r="D959" s="2"/>
      <c r="E959" s="2"/>
      <c r="F959" s="2"/>
      <c r="G959" s="2"/>
    </row>
    <row r="960">
      <c r="A960" s="1" t="s">
        <v>557</v>
      </c>
      <c r="B960" s="1">
        <v>0.0</v>
      </c>
      <c r="C960" s="2"/>
      <c r="D960" s="2"/>
      <c r="E960" s="2"/>
      <c r="F960" s="2"/>
      <c r="G960" s="2"/>
    </row>
    <row r="961">
      <c r="A961" s="1" t="s">
        <v>558</v>
      </c>
      <c r="B961" s="1">
        <v>0.0</v>
      </c>
      <c r="C961" s="2"/>
      <c r="D961" s="2"/>
      <c r="E961" s="2"/>
      <c r="F961" s="2"/>
      <c r="G961" s="2"/>
    </row>
    <row r="962">
      <c r="A962" s="1" t="s">
        <v>559</v>
      </c>
      <c r="B962" s="1">
        <v>0.0</v>
      </c>
      <c r="C962" s="2"/>
      <c r="D962" s="2"/>
      <c r="E962" s="2"/>
      <c r="F962" s="2"/>
      <c r="G962" s="2"/>
    </row>
    <row r="963">
      <c r="A963" s="1" t="s">
        <v>560</v>
      </c>
      <c r="B963" s="1">
        <v>58.0</v>
      </c>
      <c r="C963" s="2"/>
      <c r="D963" s="2"/>
      <c r="E963" s="2"/>
      <c r="F963" s="2"/>
      <c r="G963" s="2"/>
    </row>
    <row r="964">
      <c r="A964" s="1" t="s">
        <v>561</v>
      </c>
      <c r="B964" s="1">
        <v>0.0</v>
      </c>
      <c r="C964" s="2"/>
      <c r="D964" s="2"/>
      <c r="E964" s="2"/>
      <c r="F964" s="2"/>
      <c r="G964" s="2"/>
    </row>
    <row r="965">
      <c r="A965" s="1" t="s">
        <v>562</v>
      </c>
      <c r="B965" s="1">
        <v>60.0</v>
      </c>
      <c r="C965" s="2"/>
      <c r="D965" s="2"/>
      <c r="E965" s="2"/>
      <c r="F965" s="2"/>
      <c r="G965" s="2"/>
    </row>
    <row r="966">
      <c r="A966" s="1" t="s">
        <v>563</v>
      </c>
      <c r="B966" s="1">
        <v>0.0</v>
      </c>
      <c r="C966" s="2"/>
      <c r="D966" s="2"/>
      <c r="E966" s="2"/>
      <c r="F966" s="2"/>
      <c r="G966" s="2"/>
    </row>
    <row r="967">
      <c r="A967" s="1" t="s">
        <v>564</v>
      </c>
      <c r="B967" s="1">
        <v>21.0</v>
      </c>
      <c r="C967" s="2"/>
      <c r="D967" s="2"/>
      <c r="E967" s="2"/>
      <c r="F967" s="2"/>
      <c r="G967" s="2"/>
    </row>
    <row r="968">
      <c r="A968" s="1" t="s">
        <v>565</v>
      </c>
      <c r="B968" s="1">
        <v>0.0</v>
      </c>
      <c r="C968" s="2"/>
      <c r="D968" s="2"/>
      <c r="E968" s="2"/>
      <c r="F968" s="2"/>
      <c r="G968" s="2"/>
    </row>
    <row r="969">
      <c r="A969" s="1" t="s">
        <v>566</v>
      </c>
      <c r="B969" s="1">
        <v>0.0</v>
      </c>
      <c r="C969" s="2"/>
      <c r="D969" s="2"/>
      <c r="E969" s="2"/>
      <c r="F969" s="2"/>
      <c r="G969" s="2"/>
    </row>
    <row r="970">
      <c r="A970" s="1" t="s">
        <v>567</v>
      </c>
      <c r="B970" s="1">
        <v>0.0</v>
      </c>
      <c r="C970" s="2"/>
      <c r="D970" s="2"/>
      <c r="E970" s="2"/>
      <c r="F970" s="2"/>
      <c r="G970" s="2"/>
    </row>
    <row r="971">
      <c r="A971" s="1" t="s">
        <v>568</v>
      </c>
      <c r="B971" s="1">
        <v>60.0</v>
      </c>
      <c r="C971" s="2"/>
      <c r="D971" s="2"/>
      <c r="E971" s="2"/>
      <c r="F971" s="2"/>
      <c r="G971" s="2"/>
    </row>
    <row r="972">
      <c r="A972" s="1" t="s">
        <v>569</v>
      </c>
      <c r="B972" s="1">
        <v>50.0</v>
      </c>
      <c r="C972" s="2"/>
      <c r="D972" s="2"/>
      <c r="E972" s="2"/>
      <c r="F972" s="2"/>
      <c r="G972" s="2"/>
    </row>
    <row r="973">
      <c r="A973" s="1" t="s">
        <v>570</v>
      </c>
      <c r="B973" s="1">
        <v>30.0</v>
      </c>
      <c r="C973" s="2"/>
      <c r="D973" s="2"/>
      <c r="E973" s="2"/>
      <c r="F973" s="2"/>
      <c r="G973" s="2"/>
    </row>
    <row r="974">
      <c r="A974" s="1" t="s">
        <v>571</v>
      </c>
      <c r="B974" s="1">
        <v>0.0</v>
      </c>
      <c r="C974" s="2"/>
      <c r="D974" s="2"/>
      <c r="E974" s="2"/>
      <c r="F974" s="2"/>
      <c r="G974" s="2"/>
    </row>
    <row r="975">
      <c r="A975" s="1" t="s">
        <v>572</v>
      </c>
      <c r="B975" s="1">
        <v>0.0</v>
      </c>
      <c r="C975" s="2"/>
      <c r="D975" s="2"/>
      <c r="E975" s="2"/>
      <c r="F975" s="2"/>
      <c r="G975" s="2"/>
    </row>
    <row r="976">
      <c r="A976" s="1" t="s">
        <v>573</v>
      </c>
      <c r="B976" s="1" t="s">
        <v>574</v>
      </c>
      <c r="C976" s="1">
        <v>0.0</v>
      </c>
      <c r="D976" s="2"/>
      <c r="E976" s="2"/>
      <c r="F976" s="2"/>
      <c r="G976" s="2"/>
    </row>
    <row r="977">
      <c r="A977" s="1" t="s">
        <v>575</v>
      </c>
      <c r="B977" s="1">
        <v>0.0</v>
      </c>
      <c r="C977" s="2"/>
      <c r="D977" s="2"/>
      <c r="E977" s="2"/>
      <c r="F977" s="2"/>
      <c r="G977" s="2"/>
    </row>
    <row r="978">
      <c r="A978" s="1" t="s">
        <v>576</v>
      </c>
      <c r="B978" s="1">
        <v>0.0</v>
      </c>
      <c r="C978" s="2"/>
      <c r="D978" s="2"/>
      <c r="E978" s="2"/>
      <c r="F978" s="2"/>
      <c r="G978" s="2"/>
    </row>
    <row r="979">
      <c r="A979" s="1" t="s">
        <v>577</v>
      </c>
      <c r="B979" s="1">
        <v>0.0</v>
      </c>
      <c r="C979" s="2"/>
      <c r="D979" s="2"/>
      <c r="E979" s="2"/>
      <c r="F979" s="2"/>
      <c r="G979" s="2"/>
    </row>
    <row r="980">
      <c r="A980" s="1" t="s">
        <v>578</v>
      </c>
      <c r="B980" s="1">
        <v>0.0</v>
      </c>
      <c r="C980" s="2"/>
      <c r="D980" s="2"/>
      <c r="E980" s="2"/>
      <c r="F980" s="2"/>
      <c r="G980" s="2"/>
    </row>
    <row r="981">
      <c r="A981" s="1" t="s">
        <v>579</v>
      </c>
      <c r="B981" s="1">
        <v>0.0</v>
      </c>
      <c r="C981" s="2"/>
      <c r="D981" s="2"/>
      <c r="E981" s="2"/>
      <c r="F981" s="2"/>
      <c r="G981" s="2"/>
    </row>
    <row r="982">
      <c r="A982" s="1" t="s">
        <v>580</v>
      </c>
      <c r="B982" s="1">
        <v>0.0</v>
      </c>
      <c r="C982" s="2"/>
      <c r="D982" s="2"/>
      <c r="E982" s="2"/>
      <c r="F982" s="2"/>
      <c r="G982" s="2"/>
    </row>
    <row r="983">
      <c r="A983" s="1" t="s">
        <v>581</v>
      </c>
      <c r="B983" s="1">
        <v>0.0</v>
      </c>
      <c r="C983" s="2"/>
      <c r="D983" s="2"/>
      <c r="E983" s="2"/>
      <c r="F983" s="2"/>
      <c r="G983" s="2"/>
    </row>
    <row r="984">
      <c r="A984" s="1" t="s">
        <v>582</v>
      </c>
      <c r="B984" s="1">
        <v>0.0</v>
      </c>
      <c r="C984" s="2"/>
      <c r="D984" s="2"/>
      <c r="E984" s="2"/>
      <c r="F984" s="2"/>
      <c r="G984" s="2"/>
    </row>
    <row r="985">
      <c r="A985" s="1" t="s">
        <v>583</v>
      </c>
      <c r="B985" s="1">
        <v>62.0</v>
      </c>
      <c r="C985" s="2"/>
      <c r="D985" s="2"/>
      <c r="E985" s="2"/>
      <c r="F985" s="2"/>
      <c r="G985" s="2"/>
    </row>
    <row r="986">
      <c r="A986" s="1" t="s">
        <v>584</v>
      </c>
      <c r="B986" s="1">
        <v>0.0</v>
      </c>
      <c r="C986" s="2"/>
      <c r="D986" s="2"/>
      <c r="E986" s="2"/>
      <c r="F986" s="2"/>
      <c r="G986" s="2"/>
    </row>
    <row r="987">
      <c r="A987" s="1" t="s">
        <v>585</v>
      </c>
      <c r="B987" s="1">
        <v>0.0</v>
      </c>
      <c r="C987" s="2"/>
      <c r="D987" s="2"/>
      <c r="E987" s="2"/>
      <c r="F987" s="2"/>
      <c r="G987" s="2"/>
    </row>
    <row r="988">
      <c r="A988" s="1" t="s">
        <v>586</v>
      </c>
      <c r="B988" s="1">
        <v>0.0</v>
      </c>
      <c r="C988" s="2"/>
      <c r="D988" s="2"/>
      <c r="E988" s="2"/>
      <c r="F988" s="2"/>
      <c r="G988" s="2"/>
    </row>
    <row r="989">
      <c r="A989" s="1" t="s">
        <v>587</v>
      </c>
      <c r="B989" s="1">
        <v>78.0</v>
      </c>
      <c r="C989" s="2"/>
      <c r="D989" s="2"/>
      <c r="E989" s="2"/>
      <c r="F989" s="2"/>
      <c r="G989" s="2"/>
    </row>
    <row r="990">
      <c r="A990" s="1" t="s">
        <v>588</v>
      </c>
      <c r="B990" s="1">
        <v>0.0</v>
      </c>
      <c r="C990" s="2"/>
      <c r="D990" s="2"/>
      <c r="E990" s="2"/>
      <c r="F990" s="2"/>
      <c r="G990" s="2"/>
    </row>
    <row r="991">
      <c r="A991" s="1" t="s">
        <v>589</v>
      </c>
      <c r="B991" s="1">
        <v>0.0</v>
      </c>
      <c r="C991" s="2"/>
      <c r="D991" s="2"/>
      <c r="E991" s="2"/>
      <c r="F991" s="2"/>
      <c r="G991" s="2"/>
    </row>
    <row r="992">
      <c r="A992" s="1" t="s">
        <v>590</v>
      </c>
      <c r="B992" s="1">
        <v>0.0</v>
      </c>
      <c r="C992" s="2"/>
      <c r="D992" s="2"/>
      <c r="E992" s="2"/>
      <c r="F992" s="2"/>
      <c r="G992" s="2"/>
    </row>
    <row r="993">
      <c r="A993" s="1" t="s">
        <v>591</v>
      </c>
      <c r="B993" s="1">
        <v>0.0</v>
      </c>
      <c r="C993" s="2"/>
      <c r="D993" s="2"/>
      <c r="E993" s="2"/>
      <c r="F993" s="2"/>
      <c r="G993" s="2"/>
    </row>
    <row r="994">
      <c r="A994" s="1" t="s">
        <v>592</v>
      </c>
      <c r="B994" s="1">
        <v>0.0</v>
      </c>
      <c r="C994" s="2"/>
      <c r="D994" s="2"/>
      <c r="E994" s="2"/>
      <c r="F994" s="2"/>
      <c r="G994" s="2"/>
    </row>
    <row r="995">
      <c r="A995" s="1" t="s">
        <v>593</v>
      </c>
      <c r="B995" s="1">
        <v>46.0</v>
      </c>
      <c r="C995" s="2"/>
      <c r="D995" s="2"/>
      <c r="E995" s="2"/>
      <c r="F995" s="2"/>
      <c r="G995" s="2"/>
    </row>
    <row r="996">
      <c r="A996" s="1" t="s">
        <v>594</v>
      </c>
      <c r="B996" s="1">
        <v>38.0</v>
      </c>
      <c r="C996" s="2"/>
      <c r="D996" s="2"/>
      <c r="E996" s="2"/>
      <c r="F996" s="2"/>
      <c r="G996" s="2"/>
    </row>
    <row r="997">
      <c r="A997" s="1" t="s">
        <v>595</v>
      </c>
      <c r="B997" s="1">
        <v>79.0</v>
      </c>
      <c r="C997" s="2"/>
      <c r="D997" s="2"/>
      <c r="E997" s="2"/>
      <c r="F997" s="2"/>
      <c r="G997" s="2"/>
    </row>
    <row r="998">
      <c r="A998" s="1" t="s">
        <v>596</v>
      </c>
      <c r="B998" s="1">
        <v>0.0</v>
      </c>
      <c r="C998" s="2"/>
      <c r="D998" s="2"/>
      <c r="E998" s="2"/>
      <c r="F998" s="2"/>
      <c r="G998" s="2"/>
    </row>
    <row r="999">
      <c r="A999" s="1" t="s">
        <v>597</v>
      </c>
      <c r="B999" s="1">
        <v>47.0</v>
      </c>
      <c r="C999" s="2"/>
      <c r="D999" s="2"/>
      <c r="E999" s="2"/>
      <c r="F999" s="2"/>
      <c r="G999" s="2"/>
    </row>
    <row r="1000">
      <c r="A1000" s="1" t="s">
        <v>598</v>
      </c>
      <c r="B1000" s="1">
        <v>0.0</v>
      </c>
      <c r="C1000" s="2"/>
      <c r="D1000" s="2"/>
      <c r="E1000" s="2"/>
      <c r="F1000" s="2"/>
      <c r="G1000" s="2"/>
    </row>
    <row r="1001">
      <c r="A1001" s="1" t="s">
        <v>599</v>
      </c>
      <c r="B1001" s="1">
        <v>0.0</v>
      </c>
      <c r="C1001" s="2"/>
      <c r="D1001" s="2"/>
      <c r="E1001" s="2"/>
      <c r="F1001" s="2"/>
      <c r="G1001" s="2"/>
    </row>
    <row r="1002">
      <c r="A1002" s="1" t="s">
        <v>600</v>
      </c>
      <c r="B1002" s="1">
        <v>0.0</v>
      </c>
      <c r="C1002" s="2"/>
      <c r="D1002" s="2"/>
      <c r="E1002" s="2"/>
      <c r="F1002" s="2"/>
      <c r="G1002" s="2"/>
    </row>
    <row r="1003">
      <c r="A1003" s="1" t="s">
        <v>601</v>
      </c>
      <c r="B1003" s="1">
        <v>0.0</v>
      </c>
      <c r="C1003" s="2"/>
      <c r="D1003" s="2"/>
      <c r="E1003" s="2"/>
      <c r="F1003" s="2"/>
      <c r="G1003" s="2"/>
    </row>
    <row r="1004">
      <c r="A1004" s="1" t="s">
        <v>602</v>
      </c>
      <c r="B1004" s="1">
        <v>24.0</v>
      </c>
      <c r="C1004" s="2"/>
      <c r="D1004" s="2"/>
      <c r="E1004" s="2"/>
      <c r="F1004" s="2"/>
      <c r="G1004" s="2"/>
    </row>
    <row r="1005">
      <c r="A1005" s="1" t="s">
        <v>603</v>
      </c>
      <c r="B1005" s="1">
        <v>66.0</v>
      </c>
      <c r="C1005" s="2"/>
      <c r="D1005" s="2"/>
      <c r="E1005" s="2"/>
      <c r="F1005" s="2"/>
      <c r="G1005" s="2"/>
    </row>
    <row r="1006">
      <c r="A1006" s="1" t="s">
        <v>604</v>
      </c>
      <c r="B1006" s="1">
        <v>0.0</v>
      </c>
      <c r="C1006" s="2"/>
      <c r="D1006" s="2"/>
      <c r="E1006" s="2"/>
      <c r="F1006" s="2"/>
      <c r="G1006" s="2"/>
    </row>
    <row r="1007">
      <c r="A1007" s="1" t="s">
        <v>605</v>
      </c>
      <c r="B1007" s="1">
        <v>67.0</v>
      </c>
      <c r="C1007" s="2"/>
      <c r="D1007" s="2"/>
      <c r="E1007" s="2"/>
      <c r="F1007" s="2"/>
      <c r="G1007" s="2"/>
    </row>
    <row r="1008">
      <c r="A1008" s="1" t="s">
        <v>606</v>
      </c>
      <c r="B1008" s="1">
        <v>0.0</v>
      </c>
      <c r="C1008" s="2"/>
      <c r="D1008" s="2"/>
      <c r="E1008" s="2"/>
      <c r="F1008" s="2"/>
      <c r="G1008" s="2"/>
    </row>
    <row r="1009">
      <c r="A1009" s="1" t="s">
        <v>607</v>
      </c>
      <c r="B1009" s="1" t="s">
        <v>608</v>
      </c>
      <c r="C1009" s="1">
        <v>0.0</v>
      </c>
      <c r="D1009" s="2"/>
      <c r="E1009" s="2"/>
      <c r="F1009" s="2"/>
      <c r="G1009" s="2"/>
    </row>
    <row r="1010">
      <c r="A1010" s="1" t="s">
        <v>609</v>
      </c>
      <c r="B1010" s="1">
        <v>0.0</v>
      </c>
      <c r="C1010" s="2"/>
      <c r="D1010" s="2"/>
      <c r="E1010" s="2"/>
      <c r="F1010" s="2"/>
      <c r="G1010" s="2"/>
    </row>
    <row r="1011">
      <c r="A1011" s="1" t="s">
        <v>610</v>
      </c>
      <c r="B1011" s="1">
        <v>0.0</v>
      </c>
      <c r="C1011" s="2"/>
      <c r="D1011" s="2"/>
      <c r="E1011" s="2"/>
      <c r="F1011" s="2"/>
      <c r="G1011" s="2"/>
    </row>
    <row r="1012">
      <c r="A1012" s="1" t="s">
        <v>611</v>
      </c>
      <c r="B1012" s="1">
        <v>0.0</v>
      </c>
      <c r="C1012" s="2"/>
      <c r="D1012" s="2"/>
      <c r="E1012" s="2"/>
      <c r="F1012" s="2"/>
      <c r="G1012" s="2"/>
    </row>
    <row r="1013">
      <c r="A1013" s="1" t="s">
        <v>612</v>
      </c>
      <c r="B1013" s="1">
        <v>32.0</v>
      </c>
      <c r="C1013" s="2"/>
      <c r="D1013" s="2"/>
      <c r="E1013" s="2"/>
      <c r="F1013" s="2"/>
      <c r="G1013" s="2"/>
    </row>
    <row r="1014">
      <c r="A1014" s="1" t="s">
        <v>613</v>
      </c>
      <c r="B1014" s="1">
        <v>0.0</v>
      </c>
      <c r="C1014" s="2"/>
      <c r="D1014" s="2"/>
      <c r="E1014" s="2"/>
      <c r="F1014" s="2"/>
      <c r="G1014" s="2"/>
    </row>
    <row r="1015">
      <c r="A1015" s="1" t="s">
        <v>614</v>
      </c>
      <c r="B1015" s="1">
        <v>0.0</v>
      </c>
      <c r="C1015" s="2"/>
      <c r="D1015" s="2"/>
      <c r="E1015" s="2"/>
      <c r="F1015" s="2"/>
      <c r="G1015" s="2"/>
    </row>
    <row r="1016">
      <c r="A1016" s="1" t="s">
        <v>615</v>
      </c>
      <c r="B1016" s="1">
        <v>0.0</v>
      </c>
      <c r="C1016" s="2"/>
      <c r="D1016" s="2"/>
      <c r="E1016" s="2"/>
      <c r="F1016" s="2"/>
      <c r="G1016" s="2"/>
    </row>
    <row r="1017">
      <c r="A1017" s="1" t="s">
        <v>616</v>
      </c>
      <c r="B1017" s="1">
        <v>0.0</v>
      </c>
      <c r="C1017" s="2"/>
      <c r="D1017" s="2"/>
      <c r="E1017" s="2"/>
      <c r="F1017" s="2"/>
      <c r="G1017" s="2"/>
    </row>
    <row r="1018">
      <c r="A1018" s="1" t="s">
        <v>617</v>
      </c>
      <c r="B1018" s="1">
        <v>0.0</v>
      </c>
      <c r="C1018" s="2"/>
      <c r="D1018" s="2"/>
      <c r="E1018" s="2"/>
      <c r="F1018" s="2"/>
      <c r="G1018" s="2"/>
    </row>
    <row r="1019">
      <c r="A1019" s="1" t="s">
        <v>618</v>
      </c>
      <c r="B1019" s="1">
        <v>0.0</v>
      </c>
      <c r="C1019" s="2"/>
      <c r="D1019" s="2"/>
      <c r="E1019" s="2"/>
      <c r="F1019" s="2"/>
      <c r="G1019" s="2"/>
    </row>
    <row r="1020">
      <c r="A1020" s="1" t="s">
        <v>619</v>
      </c>
      <c r="B1020" s="1">
        <v>87.0</v>
      </c>
      <c r="C1020" s="2"/>
      <c r="D1020" s="2"/>
      <c r="E1020" s="2"/>
      <c r="F1020" s="2"/>
      <c r="G1020" s="2"/>
    </row>
    <row r="1021">
      <c r="A1021" s="1" t="s">
        <v>620</v>
      </c>
      <c r="B1021" s="1">
        <v>0.0</v>
      </c>
      <c r="C1021" s="2"/>
      <c r="D1021" s="2"/>
      <c r="E1021" s="2"/>
      <c r="F1021" s="2"/>
      <c r="G1021" s="2"/>
    </row>
    <row r="1022">
      <c r="A1022" s="1" t="s">
        <v>621</v>
      </c>
      <c r="B1022" s="1">
        <v>0.0</v>
      </c>
      <c r="C1022" s="2"/>
      <c r="D1022" s="2"/>
      <c r="E1022" s="2"/>
      <c r="F1022" s="2"/>
      <c r="G1022" s="2"/>
    </row>
    <row r="1023">
      <c r="A1023" s="1" t="s">
        <v>622</v>
      </c>
      <c r="B1023" s="1">
        <v>0.0</v>
      </c>
      <c r="C1023" s="2"/>
      <c r="D1023" s="2"/>
      <c r="E1023" s="2"/>
      <c r="F1023" s="2"/>
      <c r="G1023" s="2"/>
    </row>
    <row r="1024">
      <c r="A1024" s="1" t="s">
        <v>623</v>
      </c>
      <c r="B1024" s="1">
        <v>14.0</v>
      </c>
      <c r="C1024" s="2"/>
      <c r="D1024" s="2"/>
      <c r="E1024" s="2"/>
      <c r="F1024" s="2"/>
      <c r="G1024" s="2"/>
    </row>
    <row r="1025">
      <c r="A1025" s="1" t="s">
        <v>624</v>
      </c>
      <c r="B1025" s="1">
        <v>76.0</v>
      </c>
      <c r="C1025" s="2"/>
      <c r="D1025" s="2"/>
      <c r="E1025" s="2"/>
      <c r="F1025" s="2"/>
      <c r="G1025" s="2"/>
    </row>
    <row r="1026">
      <c r="A1026" s="1" t="s">
        <v>625</v>
      </c>
      <c r="B1026" s="1">
        <v>20.0</v>
      </c>
      <c r="C1026" s="2"/>
      <c r="D1026" s="2"/>
      <c r="E1026" s="2"/>
      <c r="F1026" s="2"/>
      <c r="G1026" s="2"/>
    </row>
    <row r="1027">
      <c r="A1027" s="1" t="s">
        <v>626</v>
      </c>
      <c r="B1027" s="1">
        <v>0.0</v>
      </c>
      <c r="C1027" s="2"/>
      <c r="D1027" s="2"/>
      <c r="E1027" s="2"/>
      <c r="F1027" s="2"/>
      <c r="G1027" s="2"/>
    </row>
    <row r="1028">
      <c r="A1028" s="1" t="s">
        <v>627</v>
      </c>
      <c r="B1028" s="1">
        <v>0.0</v>
      </c>
      <c r="C1028" s="2"/>
      <c r="D1028" s="2"/>
      <c r="E1028" s="2"/>
      <c r="F1028" s="2"/>
      <c r="G1028" s="2"/>
    </row>
    <row r="1029">
      <c r="A1029" s="1" t="s">
        <v>628</v>
      </c>
      <c r="B1029" s="1">
        <v>8.0</v>
      </c>
      <c r="C1029" s="2"/>
      <c r="D1029" s="2"/>
      <c r="E1029" s="2"/>
      <c r="F1029" s="2"/>
      <c r="G1029" s="2"/>
    </row>
    <row r="1030">
      <c r="A1030" s="1" t="s">
        <v>629</v>
      </c>
      <c r="B1030" s="1">
        <v>0.0</v>
      </c>
      <c r="C1030" s="2"/>
      <c r="D1030" s="2"/>
      <c r="E1030" s="2"/>
      <c r="F1030" s="2"/>
      <c r="G1030" s="2"/>
    </row>
    <row r="1031">
      <c r="A1031" s="1" t="s">
        <v>630</v>
      </c>
      <c r="B1031" s="1">
        <v>0.0</v>
      </c>
      <c r="C1031" s="2"/>
      <c r="D1031" s="2"/>
      <c r="E1031" s="2"/>
      <c r="F1031" s="2"/>
      <c r="G1031" s="2"/>
    </row>
    <row r="1032">
      <c r="A1032" s="1" t="s">
        <v>631</v>
      </c>
      <c r="B1032" s="1">
        <v>0.0</v>
      </c>
      <c r="C1032" s="2"/>
      <c r="D1032" s="2"/>
      <c r="E1032" s="2"/>
      <c r="F1032" s="2"/>
      <c r="G1032" s="2"/>
    </row>
    <row r="1033">
      <c r="A1033" s="1" t="s">
        <v>632</v>
      </c>
      <c r="B1033" s="1">
        <v>78.0</v>
      </c>
      <c r="C1033" s="2"/>
      <c r="D1033" s="2"/>
      <c r="E1033" s="2"/>
      <c r="F1033" s="2"/>
      <c r="G1033" s="2"/>
    </row>
    <row r="1034">
      <c r="A1034" s="1" t="s">
        <v>633</v>
      </c>
      <c r="B1034" s="1">
        <v>6.0</v>
      </c>
      <c r="C1034" s="2"/>
      <c r="D1034" s="2"/>
      <c r="E1034" s="2"/>
      <c r="F1034" s="2"/>
      <c r="G1034" s="2"/>
    </row>
    <row r="1035">
      <c r="A1035" s="1" t="s">
        <v>634</v>
      </c>
      <c r="B1035" s="1">
        <v>89.0</v>
      </c>
      <c r="C1035" s="2"/>
      <c r="D1035" s="2"/>
      <c r="E1035" s="2"/>
      <c r="F1035" s="2"/>
      <c r="G1035" s="2"/>
    </row>
    <row r="1036">
      <c r="A1036" s="1" t="s">
        <v>635</v>
      </c>
      <c r="B1036" s="1">
        <v>38.0</v>
      </c>
      <c r="C1036" s="2"/>
      <c r="D1036" s="2"/>
      <c r="E1036" s="2"/>
      <c r="F1036" s="2"/>
      <c r="G1036" s="2"/>
    </row>
    <row r="1037">
      <c r="A1037" s="1" t="s">
        <v>636</v>
      </c>
      <c r="B1037" s="1">
        <v>68.0</v>
      </c>
      <c r="C1037" s="2"/>
      <c r="D1037" s="2"/>
      <c r="E1037" s="2"/>
      <c r="F1037" s="2"/>
      <c r="G1037" s="2"/>
    </row>
    <row r="1038">
      <c r="A1038" s="1" t="s">
        <v>637</v>
      </c>
      <c r="B1038" s="1">
        <v>0.0</v>
      </c>
      <c r="C1038" s="2"/>
      <c r="D1038" s="2"/>
      <c r="E1038" s="2"/>
      <c r="F1038" s="2"/>
      <c r="G1038" s="2"/>
    </row>
    <row r="1039">
      <c r="A1039" s="1" t="s">
        <v>638</v>
      </c>
      <c r="B1039" s="1">
        <v>0.0</v>
      </c>
      <c r="C1039" s="2"/>
      <c r="D1039" s="2"/>
      <c r="E1039" s="2"/>
      <c r="F1039" s="2"/>
      <c r="G1039" s="2"/>
    </row>
    <row r="1040">
      <c r="A1040" s="1" t="s">
        <v>639</v>
      </c>
      <c r="B1040" s="1">
        <v>0.0</v>
      </c>
      <c r="C1040" s="2"/>
      <c r="D1040" s="2"/>
      <c r="E1040" s="2"/>
      <c r="F1040" s="2"/>
      <c r="G1040" s="2"/>
    </row>
    <row r="1041">
      <c r="A1041" s="1" t="s">
        <v>640</v>
      </c>
      <c r="B1041" s="1">
        <v>90.0</v>
      </c>
      <c r="C1041" s="2"/>
      <c r="D1041" s="2"/>
      <c r="E1041" s="2"/>
      <c r="F1041" s="2"/>
      <c r="G1041" s="2"/>
    </row>
    <row r="1042">
      <c r="A1042" s="1" t="s">
        <v>641</v>
      </c>
      <c r="B1042" s="1">
        <v>0.0</v>
      </c>
      <c r="C1042" s="2"/>
      <c r="D1042" s="2"/>
      <c r="E1042" s="2"/>
      <c r="F1042" s="2"/>
      <c r="G1042" s="2"/>
    </row>
    <row r="1043">
      <c r="A1043" s="1" t="s">
        <v>642</v>
      </c>
      <c r="B1043" s="1">
        <v>0.0</v>
      </c>
      <c r="C1043" s="2"/>
      <c r="D1043" s="2"/>
      <c r="E1043" s="2"/>
      <c r="F1043" s="2"/>
      <c r="G1043" s="2"/>
    </row>
    <row r="1044">
      <c r="A1044" s="1" t="s">
        <v>643</v>
      </c>
      <c r="B1044" s="1">
        <v>57.0</v>
      </c>
      <c r="C1044" s="2"/>
      <c r="D1044" s="2"/>
      <c r="E1044" s="2"/>
      <c r="F1044" s="2"/>
      <c r="G1044" s="2"/>
    </row>
    <row r="1045">
      <c r="A1045" s="1" t="s">
        <v>644</v>
      </c>
      <c r="B1045" s="1">
        <v>20.0</v>
      </c>
      <c r="C1045" s="2"/>
      <c r="D1045" s="2"/>
      <c r="E1045" s="2"/>
      <c r="F1045" s="2"/>
      <c r="G1045" s="2"/>
    </row>
    <row r="1046">
      <c r="A1046" s="1" t="s">
        <v>645</v>
      </c>
      <c r="B1046" s="1">
        <v>0.0</v>
      </c>
      <c r="C1046" s="2"/>
      <c r="D1046" s="2"/>
      <c r="E1046" s="2"/>
      <c r="F1046" s="2"/>
      <c r="G1046" s="2"/>
    </row>
    <row r="1047">
      <c r="A1047" s="1" t="s">
        <v>646</v>
      </c>
      <c r="B1047" s="1">
        <v>50.0</v>
      </c>
      <c r="C1047" s="2"/>
      <c r="D1047" s="2"/>
      <c r="E1047" s="2"/>
      <c r="F1047" s="2"/>
      <c r="G1047" s="2"/>
    </row>
    <row r="1048">
      <c r="A1048" s="1" t="s">
        <v>647</v>
      </c>
      <c r="B1048" s="1">
        <v>0.0</v>
      </c>
      <c r="C1048" s="2"/>
      <c r="D1048" s="2"/>
      <c r="E1048" s="2"/>
      <c r="F1048" s="2"/>
      <c r="G1048" s="2"/>
    </row>
    <row r="1049">
      <c r="A1049" s="1" t="s">
        <v>648</v>
      </c>
      <c r="B1049" s="1">
        <v>0.0</v>
      </c>
      <c r="C1049" s="2"/>
      <c r="D1049" s="2"/>
      <c r="E1049" s="2"/>
      <c r="F1049" s="2"/>
      <c r="G1049" s="2"/>
    </row>
    <row r="1050">
      <c r="A1050" s="1" t="s">
        <v>649</v>
      </c>
      <c r="B1050" s="1">
        <v>0.0</v>
      </c>
      <c r="C1050" s="2"/>
      <c r="D1050" s="2"/>
      <c r="E1050" s="2"/>
      <c r="F1050" s="2"/>
      <c r="G1050" s="2"/>
    </row>
    <row r="1051">
      <c r="A1051" s="1" t="s">
        <v>650</v>
      </c>
      <c r="B1051" s="1">
        <v>0.0</v>
      </c>
      <c r="C1051" s="2"/>
      <c r="D1051" s="2"/>
      <c r="E1051" s="2"/>
      <c r="F1051" s="2"/>
      <c r="G1051" s="2"/>
    </row>
    <row r="1052">
      <c r="A1052" s="1" t="s">
        <v>651</v>
      </c>
      <c r="B1052" s="1">
        <v>0.0</v>
      </c>
      <c r="C1052" s="2"/>
      <c r="D1052" s="2"/>
      <c r="E1052" s="2"/>
      <c r="F1052" s="2"/>
      <c r="G1052" s="2"/>
    </row>
    <row r="1053">
      <c r="A1053" s="1" t="s">
        <v>582</v>
      </c>
      <c r="B1053" s="1">
        <v>0.0</v>
      </c>
      <c r="C1053" s="2"/>
      <c r="D1053" s="2"/>
      <c r="E1053" s="2"/>
      <c r="F1053" s="2"/>
      <c r="G1053" s="2"/>
    </row>
    <row r="1054">
      <c r="A1054" s="1" t="s">
        <v>583</v>
      </c>
      <c r="B1054" s="1">
        <v>62.0</v>
      </c>
      <c r="C1054" s="2"/>
      <c r="D1054" s="2"/>
      <c r="E1054" s="2"/>
      <c r="F1054" s="2"/>
      <c r="G1054" s="2"/>
    </row>
    <row r="1055">
      <c r="A1055" s="1" t="s">
        <v>584</v>
      </c>
      <c r="B1055" s="1">
        <v>0.0</v>
      </c>
      <c r="C1055" s="2"/>
      <c r="D1055" s="2"/>
      <c r="E1055" s="2"/>
      <c r="F1055" s="2"/>
      <c r="G1055" s="2"/>
    </row>
    <row r="1056">
      <c r="A1056" s="1" t="s">
        <v>585</v>
      </c>
      <c r="B1056" s="1">
        <v>0.0</v>
      </c>
      <c r="C1056" s="2"/>
      <c r="D1056" s="2"/>
      <c r="E1056" s="2"/>
      <c r="F1056" s="2"/>
      <c r="G1056" s="2"/>
    </row>
    <row r="1057">
      <c r="A1057" s="1" t="s">
        <v>586</v>
      </c>
      <c r="B1057" s="1">
        <v>0.0</v>
      </c>
      <c r="C1057" s="2"/>
      <c r="D1057" s="2"/>
      <c r="E1057" s="2"/>
      <c r="F1057" s="2"/>
      <c r="G1057" s="2"/>
    </row>
    <row r="1058">
      <c r="A1058" s="1" t="s">
        <v>587</v>
      </c>
      <c r="B1058" s="1">
        <v>78.0</v>
      </c>
      <c r="C1058" s="2"/>
      <c r="D1058" s="2"/>
      <c r="E1058" s="2"/>
      <c r="F1058" s="2"/>
      <c r="G1058" s="2"/>
    </row>
    <row r="1059">
      <c r="A1059" s="1" t="s">
        <v>588</v>
      </c>
      <c r="B1059" s="1">
        <v>0.0</v>
      </c>
      <c r="C1059" s="2"/>
      <c r="D1059" s="2"/>
      <c r="E1059" s="2"/>
      <c r="F1059" s="2"/>
      <c r="G1059" s="2"/>
    </row>
    <row r="1060">
      <c r="A1060" s="1" t="s">
        <v>589</v>
      </c>
      <c r="B1060" s="1">
        <v>0.0</v>
      </c>
      <c r="C1060" s="2"/>
      <c r="D1060" s="2"/>
      <c r="E1060" s="2"/>
      <c r="F1060" s="2"/>
      <c r="G1060" s="2"/>
    </row>
    <row r="1061">
      <c r="A1061" s="1" t="s">
        <v>590</v>
      </c>
      <c r="B1061" s="1">
        <v>0.0</v>
      </c>
      <c r="C1061" s="2"/>
      <c r="D1061" s="2"/>
      <c r="E1061" s="2"/>
      <c r="F1061" s="2"/>
      <c r="G1061" s="2"/>
    </row>
    <row r="1062">
      <c r="A1062" s="1" t="s">
        <v>591</v>
      </c>
      <c r="B1062" s="1">
        <v>0.0</v>
      </c>
      <c r="C1062" s="2"/>
      <c r="D1062" s="2"/>
      <c r="E1062" s="2"/>
      <c r="F1062" s="2"/>
      <c r="G1062" s="2"/>
    </row>
    <row r="1063">
      <c r="A1063" s="1" t="s">
        <v>592</v>
      </c>
      <c r="B1063" s="1">
        <v>0.0</v>
      </c>
      <c r="C1063" s="2"/>
      <c r="D1063" s="2"/>
      <c r="E1063" s="2"/>
      <c r="F1063" s="2"/>
      <c r="G1063" s="2"/>
    </row>
    <row r="1064">
      <c r="A1064" s="1" t="s">
        <v>593</v>
      </c>
      <c r="B1064" s="1">
        <v>46.0</v>
      </c>
      <c r="C1064" s="2"/>
      <c r="D1064" s="2"/>
      <c r="E1064" s="2"/>
      <c r="F1064" s="2"/>
      <c r="G1064" s="2"/>
    </row>
    <row r="1065">
      <c r="A1065" s="1" t="s">
        <v>594</v>
      </c>
      <c r="B1065" s="1">
        <v>38.0</v>
      </c>
      <c r="C1065" s="2"/>
      <c r="D1065" s="2"/>
      <c r="E1065" s="2"/>
      <c r="F1065" s="2"/>
      <c r="G1065" s="2"/>
    </row>
    <row r="1066">
      <c r="A1066" s="1" t="s">
        <v>595</v>
      </c>
      <c r="B1066" s="1">
        <v>79.0</v>
      </c>
      <c r="C1066" s="2"/>
      <c r="D1066" s="2"/>
      <c r="E1066" s="2"/>
      <c r="F1066" s="2"/>
      <c r="G1066" s="2"/>
    </row>
    <row r="1067">
      <c r="A1067" s="1" t="s">
        <v>596</v>
      </c>
      <c r="B1067" s="1">
        <v>0.0</v>
      </c>
      <c r="C1067" s="2"/>
      <c r="D1067" s="2"/>
      <c r="E1067" s="2"/>
      <c r="F1067" s="2"/>
      <c r="G1067" s="2"/>
    </row>
    <row r="1068">
      <c r="A1068" s="1" t="s">
        <v>597</v>
      </c>
      <c r="B1068" s="1">
        <v>47.0</v>
      </c>
      <c r="C1068" s="2"/>
      <c r="D1068" s="2"/>
      <c r="E1068" s="2"/>
      <c r="F1068" s="2"/>
      <c r="G1068" s="2"/>
    </row>
    <row r="1069">
      <c r="A1069" s="1" t="s">
        <v>598</v>
      </c>
      <c r="B1069" s="1">
        <v>0.0</v>
      </c>
      <c r="C1069" s="2"/>
      <c r="D1069" s="2"/>
      <c r="E1069" s="2"/>
      <c r="F1069" s="2"/>
      <c r="G1069" s="2"/>
    </row>
    <row r="1070">
      <c r="A1070" s="1" t="s">
        <v>599</v>
      </c>
      <c r="B1070" s="1">
        <v>0.0</v>
      </c>
      <c r="C1070" s="2"/>
      <c r="D1070" s="2"/>
      <c r="E1070" s="2"/>
      <c r="F1070" s="2"/>
      <c r="G1070" s="2"/>
    </row>
    <row r="1071">
      <c r="A1071" s="1" t="s">
        <v>600</v>
      </c>
      <c r="B1071" s="1">
        <v>0.0</v>
      </c>
      <c r="C1071" s="2"/>
      <c r="D1071" s="2"/>
      <c r="E1071" s="2"/>
      <c r="F1071" s="2"/>
      <c r="G1071" s="2"/>
    </row>
    <row r="1072">
      <c r="A1072" s="1" t="s">
        <v>601</v>
      </c>
      <c r="B1072" s="1">
        <v>0.0</v>
      </c>
      <c r="C1072" s="2"/>
      <c r="D1072" s="2"/>
      <c r="E1072" s="2"/>
      <c r="F1072" s="2"/>
      <c r="G1072" s="2"/>
    </row>
    <row r="1073">
      <c r="A1073" s="1" t="s">
        <v>602</v>
      </c>
      <c r="B1073" s="1">
        <v>24.0</v>
      </c>
      <c r="C1073" s="2"/>
      <c r="D1073" s="2"/>
      <c r="E1073" s="2"/>
      <c r="F1073" s="2"/>
      <c r="G1073" s="2"/>
    </row>
    <row r="1074">
      <c r="A1074" s="1" t="s">
        <v>603</v>
      </c>
      <c r="B1074" s="1">
        <v>66.0</v>
      </c>
      <c r="C1074" s="2"/>
      <c r="D1074" s="2"/>
      <c r="E1074" s="2"/>
      <c r="F1074" s="2"/>
      <c r="G1074" s="2"/>
    </row>
    <row r="1075">
      <c r="A1075" s="1" t="s">
        <v>604</v>
      </c>
      <c r="B1075" s="1">
        <v>0.0</v>
      </c>
      <c r="C1075" s="2"/>
      <c r="D1075" s="2"/>
      <c r="E1075" s="2"/>
      <c r="F1075" s="2"/>
      <c r="G1075" s="2"/>
    </row>
    <row r="1076">
      <c r="A1076" s="1" t="s">
        <v>605</v>
      </c>
      <c r="B1076" s="1">
        <v>67.0</v>
      </c>
      <c r="C1076" s="2"/>
      <c r="D1076" s="2"/>
      <c r="E1076" s="2"/>
      <c r="F1076" s="2"/>
      <c r="G1076" s="2"/>
    </row>
    <row r="1077">
      <c r="A1077" s="1" t="s">
        <v>606</v>
      </c>
      <c r="B1077" s="1">
        <v>0.0</v>
      </c>
      <c r="C1077" s="2"/>
      <c r="D1077" s="2"/>
      <c r="E1077" s="2"/>
      <c r="F1077" s="2"/>
      <c r="G1077" s="2"/>
    </row>
    <row r="1078">
      <c r="A1078" s="1" t="s">
        <v>607</v>
      </c>
      <c r="B1078" s="1" t="s">
        <v>608</v>
      </c>
      <c r="C1078" s="1">
        <v>0.0</v>
      </c>
      <c r="D1078" s="2"/>
      <c r="E1078" s="2"/>
      <c r="F1078" s="2"/>
      <c r="G1078" s="2"/>
    </row>
    <row r="1079">
      <c r="A1079" s="1" t="s">
        <v>609</v>
      </c>
      <c r="B1079" s="1">
        <v>0.0</v>
      </c>
      <c r="C1079" s="2"/>
      <c r="D1079" s="2"/>
      <c r="E1079" s="2"/>
      <c r="F1079" s="2"/>
      <c r="G1079" s="2"/>
    </row>
    <row r="1080">
      <c r="A1080" s="1" t="s">
        <v>610</v>
      </c>
      <c r="B1080" s="1">
        <v>0.0</v>
      </c>
      <c r="C1080" s="2"/>
      <c r="D1080" s="2"/>
      <c r="E1080" s="2"/>
      <c r="F1080" s="2"/>
      <c r="G1080" s="2"/>
    </row>
    <row r="1081">
      <c r="A1081" s="1" t="s">
        <v>611</v>
      </c>
      <c r="B1081" s="1">
        <v>0.0</v>
      </c>
      <c r="C1081" s="2"/>
      <c r="D1081" s="2"/>
      <c r="E1081" s="2"/>
      <c r="F1081" s="2"/>
      <c r="G1081" s="2"/>
    </row>
    <row r="1082">
      <c r="A1082" s="1" t="s">
        <v>612</v>
      </c>
      <c r="B1082" s="1">
        <v>32.0</v>
      </c>
      <c r="C1082" s="2"/>
      <c r="D1082" s="2"/>
      <c r="E1082" s="2"/>
      <c r="F1082" s="2"/>
      <c r="G1082" s="2"/>
    </row>
    <row r="1083">
      <c r="A1083" s="1" t="s">
        <v>613</v>
      </c>
      <c r="B1083" s="1">
        <v>0.0</v>
      </c>
      <c r="C1083" s="2"/>
      <c r="D1083" s="2"/>
      <c r="E1083" s="2"/>
      <c r="F1083" s="2"/>
      <c r="G1083" s="2"/>
    </row>
    <row r="1084">
      <c r="A1084" s="1" t="s">
        <v>614</v>
      </c>
      <c r="B1084" s="1">
        <v>0.0</v>
      </c>
      <c r="C1084" s="2"/>
      <c r="D1084" s="2"/>
      <c r="E1084" s="2"/>
      <c r="F1084" s="2"/>
      <c r="G1084" s="2"/>
    </row>
    <row r="1085">
      <c r="A1085" s="1" t="s">
        <v>615</v>
      </c>
      <c r="B1085" s="1">
        <v>0.0</v>
      </c>
      <c r="C1085" s="2"/>
      <c r="D1085" s="2"/>
      <c r="E1085" s="2"/>
      <c r="F1085" s="2"/>
      <c r="G1085" s="2"/>
    </row>
    <row r="1086">
      <c r="A1086" s="1" t="s">
        <v>616</v>
      </c>
      <c r="B1086" s="1">
        <v>0.0</v>
      </c>
      <c r="C1086" s="2"/>
      <c r="D1086" s="2"/>
      <c r="E1086" s="2"/>
      <c r="F1086" s="2"/>
      <c r="G1086" s="2"/>
    </row>
    <row r="1087">
      <c r="A1087" s="1" t="s">
        <v>617</v>
      </c>
      <c r="B1087" s="1">
        <v>0.0</v>
      </c>
      <c r="C1087" s="2"/>
      <c r="D1087" s="2"/>
      <c r="E1087" s="2"/>
      <c r="F1087" s="2"/>
      <c r="G1087" s="2"/>
    </row>
    <row r="1088">
      <c r="A1088" s="1" t="s">
        <v>618</v>
      </c>
      <c r="B1088" s="1">
        <v>0.0</v>
      </c>
      <c r="C1088" s="2"/>
      <c r="D1088" s="2"/>
      <c r="E1088" s="2"/>
      <c r="F1088" s="2"/>
      <c r="G1088" s="2"/>
    </row>
    <row r="1089">
      <c r="A1089" s="1" t="s">
        <v>619</v>
      </c>
      <c r="B1089" s="1">
        <v>87.0</v>
      </c>
      <c r="C1089" s="2"/>
      <c r="D1089" s="2"/>
      <c r="E1089" s="2"/>
      <c r="F1089" s="2"/>
      <c r="G1089" s="2"/>
    </row>
    <row r="1090">
      <c r="A1090" s="1" t="s">
        <v>620</v>
      </c>
      <c r="B1090" s="1">
        <v>0.0</v>
      </c>
      <c r="C1090" s="2"/>
      <c r="D1090" s="2"/>
      <c r="E1090" s="2"/>
      <c r="F1090" s="2"/>
      <c r="G1090" s="2"/>
    </row>
    <row r="1091">
      <c r="A1091" s="1" t="s">
        <v>621</v>
      </c>
      <c r="B1091" s="1">
        <v>0.0</v>
      </c>
      <c r="C1091" s="2"/>
      <c r="D1091" s="2"/>
      <c r="E1091" s="2"/>
      <c r="F1091" s="2"/>
      <c r="G1091" s="2"/>
    </row>
    <row r="1092">
      <c r="A1092" s="1" t="s">
        <v>622</v>
      </c>
      <c r="B1092" s="1">
        <v>0.0</v>
      </c>
      <c r="C1092" s="2"/>
      <c r="D1092" s="2"/>
      <c r="E1092" s="2"/>
      <c r="F1092" s="2"/>
      <c r="G1092" s="2"/>
    </row>
    <row r="1093">
      <c r="A1093" s="1" t="s">
        <v>623</v>
      </c>
      <c r="B1093" s="1">
        <v>14.0</v>
      </c>
      <c r="C1093" s="2"/>
      <c r="D1093" s="2"/>
      <c r="E1093" s="2"/>
      <c r="F1093" s="2"/>
      <c r="G1093" s="2"/>
    </row>
    <row r="1094">
      <c r="A1094" s="1" t="s">
        <v>624</v>
      </c>
      <c r="B1094" s="1">
        <v>76.0</v>
      </c>
      <c r="C1094" s="2"/>
      <c r="D1094" s="2"/>
      <c r="E1094" s="2"/>
      <c r="F1094" s="2"/>
      <c r="G1094" s="2"/>
    </row>
    <row r="1095">
      <c r="A1095" s="1" t="s">
        <v>625</v>
      </c>
      <c r="B1095" s="1">
        <v>20.0</v>
      </c>
      <c r="C1095" s="2"/>
      <c r="D1095" s="2"/>
      <c r="E1095" s="2"/>
      <c r="F1095" s="2"/>
      <c r="G1095" s="2"/>
    </row>
    <row r="1096">
      <c r="A1096" s="1" t="s">
        <v>626</v>
      </c>
      <c r="B1096" s="1">
        <v>0.0</v>
      </c>
      <c r="C1096" s="2"/>
      <c r="D1096" s="2"/>
      <c r="E1096" s="2"/>
      <c r="F1096" s="2"/>
      <c r="G1096" s="2"/>
    </row>
    <row r="1097">
      <c r="A1097" s="1" t="s">
        <v>627</v>
      </c>
      <c r="B1097" s="1">
        <v>0.0</v>
      </c>
      <c r="C1097" s="2"/>
      <c r="D1097" s="2"/>
      <c r="E1097" s="2"/>
      <c r="F1097" s="2"/>
      <c r="G1097" s="2"/>
    </row>
    <row r="1098">
      <c r="A1098" s="1" t="s">
        <v>628</v>
      </c>
      <c r="B1098" s="1">
        <v>8.0</v>
      </c>
      <c r="C1098" s="2"/>
      <c r="D1098" s="2"/>
      <c r="E1098" s="2"/>
      <c r="F1098" s="2"/>
      <c r="G1098" s="2"/>
    </row>
    <row r="1099">
      <c r="A1099" s="1" t="s">
        <v>629</v>
      </c>
      <c r="B1099" s="1">
        <v>0.0</v>
      </c>
      <c r="C1099" s="2"/>
      <c r="D1099" s="2"/>
      <c r="E1099" s="2"/>
      <c r="F1099" s="2"/>
      <c r="G1099" s="2"/>
    </row>
    <row r="1100">
      <c r="A1100" s="1" t="s">
        <v>630</v>
      </c>
      <c r="B1100" s="1">
        <v>0.0</v>
      </c>
      <c r="C1100" s="2"/>
      <c r="D1100" s="2"/>
      <c r="E1100" s="2"/>
      <c r="F1100" s="2"/>
      <c r="G1100" s="2"/>
    </row>
    <row r="1101">
      <c r="A1101" s="1" t="s">
        <v>631</v>
      </c>
      <c r="B1101" s="1">
        <v>0.0</v>
      </c>
      <c r="C1101" s="2"/>
      <c r="D1101" s="2"/>
      <c r="E1101" s="2"/>
      <c r="F1101" s="2"/>
      <c r="G1101" s="2"/>
    </row>
    <row r="1102">
      <c r="A1102" s="1" t="s">
        <v>632</v>
      </c>
      <c r="B1102" s="1">
        <v>78.0</v>
      </c>
      <c r="C1102" s="2"/>
      <c r="D1102" s="2"/>
      <c r="E1102" s="2"/>
      <c r="F1102" s="2"/>
      <c r="G1102" s="2"/>
    </row>
    <row r="1103">
      <c r="A1103" s="1" t="s">
        <v>633</v>
      </c>
      <c r="B1103" s="1">
        <v>6.0</v>
      </c>
      <c r="C1103" s="2"/>
      <c r="D1103" s="2"/>
      <c r="E1103" s="2"/>
      <c r="F1103" s="2"/>
      <c r="G1103" s="2"/>
    </row>
    <row r="1104">
      <c r="A1104" s="1" t="s">
        <v>634</v>
      </c>
      <c r="B1104" s="1">
        <v>89.0</v>
      </c>
      <c r="C1104" s="2"/>
      <c r="D1104" s="2"/>
      <c r="E1104" s="2"/>
      <c r="F1104" s="2"/>
      <c r="G1104" s="2"/>
    </row>
    <row r="1105">
      <c r="A1105" s="1" t="s">
        <v>635</v>
      </c>
      <c r="B1105" s="1">
        <v>38.0</v>
      </c>
      <c r="C1105" s="2"/>
      <c r="D1105" s="2"/>
      <c r="E1105" s="2"/>
      <c r="F1105" s="2"/>
      <c r="G1105" s="2"/>
    </row>
    <row r="1106">
      <c r="A1106" s="1" t="s">
        <v>636</v>
      </c>
      <c r="B1106" s="1">
        <v>68.0</v>
      </c>
      <c r="C1106" s="2"/>
      <c r="D1106" s="2"/>
      <c r="E1106" s="2"/>
      <c r="F1106" s="2"/>
      <c r="G1106" s="2"/>
    </row>
    <row r="1107">
      <c r="A1107" s="1" t="s">
        <v>637</v>
      </c>
      <c r="B1107" s="1">
        <v>0.0</v>
      </c>
      <c r="C1107" s="2"/>
      <c r="D1107" s="2"/>
      <c r="E1107" s="2"/>
      <c r="F1107" s="2"/>
      <c r="G1107" s="2"/>
    </row>
    <row r="1108">
      <c r="A1108" s="1" t="s">
        <v>638</v>
      </c>
      <c r="B1108" s="1">
        <v>0.0</v>
      </c>
      <c r="C1108" s="2"/>
      <c r="D1108" s="2"/>
      <c r="E1108" s="2"/>
      <c r="F1108" s="2"/>
      <c r="G1108" s="2"/>
    </row>
    <row r="1109">
      <c r="A1109" s="1" t="s">
        <v>639</v>
      </c>
      <c r="B1109" s="1">
        <v>0.0</v>
      </c>
      <c r="C1109" s="2"/>
      <c r="D1109" s="2"/>
      <c r="E1109" s="2"/>
      <c r="F1109" s="2"/>
      <c r="G1109" s="2"/>
    </row>
    <row r="1110">
      <c r="A1110" s="1" t="s">
        <v>640</v>
      </c>
      <c r="B1110" s="1">
        <v>90.0</v>
      </c>
      <c r="C1110" s="2"/>
      <c r="D1110" s="2"/>
      <c r="E1110" s="2"/>
      <c r="F1110" s="2"/>
      <c r="G1110" s="2"/>
    </row>
    <row r="1111">
      <c r="A1111" s="1" t="s">
        <v>641</v>
      </c>
      <c r="B1111" s="1">
        <v>0.0</v>
      </c>
      <c r="C1111" s="2"/>
      <c r="D1111" s="2"/>
      <c r="E1111" s="2"/>
      <c r="F1111" s="2"/>
      <c r="G1111" s="2"/>
    </row>
    <row r="1112">
      <c r="A1112" s="1" t="s">
        <v>642</v>
      </c>
      <c r="B1112" s="1">
        <v>0.0</v>
      </c>
      <c r="C1112" s="2"/>
      <c r="D1112" s="2"/>
      <c r="E1112" s="2"/>
      <c r="F1112" s="2"/>
      <c r="G1112" s="2"/>
    </row>
    <row r="1113">
      <c r="A1113" s="1" t="s">
        <v>643</v>
      </c>
      <c r="B1113" s="1">
        <v>57.0</v>
      </c>
      <c r="C1113" s="2"/>
      <c r="D1113" s="2"/>
      <c r="E1113" s="2"/>
      <c r="F1113" s="2"/>
      <c r="G1113" s="2"/>
    </row>
    <row r="1114">
      <c r="A1114" s="1" t="s">
        <v>644</v>
      </c>
      <c r="B1114" s="1">
        <v>20.0</v>
      </c>
      <c r="C1114" s="2"/>
      <c r="D1114" s="2"/>
      <c r="E1114" s="2"/>
      <c r="F1114" s="2"/>
      <c r="G1114" s="2"/>
    </row>
    <row r="1115">
      <c r="A1115" s="1" t="s">
        <v>645</v>
      </c>
      <c r="B1115" s="1">
        <v>0.0</v>
      </c>
      <c r="C1115" s="2"/>
      <c r="D1115" s="2"/>
      <c r="E1115" s="2"/>
      <c r="F1115" s="2"/>
      <c r="G1115" s="2"/>
    </row>
    <row r="1116">
      <c r="A1116" s="1" t="s">
        <v>646</v>
      </c>
      <c r="B1116" s="1">
        <v>50.0</v>
      </c>
      <c r="C1116" s="2"/>
      <c r="D1116" s="2"/>
      <c r="E1116" s="2"/>
      <c r="F1116" s="2"/>
      <c r="G1116" s="2"/>
    </row>
    <row r="1117">
      <c r="A1117" s="1" t="s">
        <v>647</v>
      </c>
      <c r="B1117" s="1">
        <v>0.0</v>
      </c>
      <c r="C1117" s="2"/>
      <c r="D1117" s="2"/>
      <c r="E1117" s="2"/>
      <c r="F1117" s="2"/>
      <c r="G1117" s="2"/>
    </row>
    <row r="1118">
      <c r="A1118" s="1" t="s">
        <v>648</v>
      </c>
      <c r="B1118" s="1">
        <v>0.0</v>
      </c>
      <c r="C1118" s="2"/>
      <c r="D1118" s="2"/>
      <c r="E1118" s="2"/>
      <c r="F1118" s="2"/>
      <c r="G1118" s="2"/>
    </row>
    <row r="1119">
      <c r="A1119" s="1" t="s">
        <v>649</v>
      </c>
      <c r="B1119" s="1">
        <v>0.0</v>
      </c>
      <c r="C1119" s="2"/>
      <c r="D1119" s="2"/>
      <c r="E1119" s="2"/>
      <c r="F1119" s="2"/>
      <c r="G1119" s="2"/>
    </row>
    <row r="1120">
      <c r="A1120" s="1" t="s">
        <v>650</v>
      </c>
      <c r="B1120" s="1">
        <v>0.0</v>
      </c>
      <c r="C1120" s="2"/>
      <c r="D1120" s="2"/>
      <c r="E1120" s="2"/>
      <c r="F1120" s="2"/>
      <c r="G1120" s="2"/>
    </row>
    <row r="1121">
      <c r="A1121" s="1" t="s">
        <v>651</v>
      </c>
      <c r="B1121" s="1">
        <v>0.0</v>
      </c>
      <c r="C1121" s="2"/>
      <c r="D1121" s="2"/>
      <c r="E1121" s="2"/>
      <c r="F1121" s="2"/>
      <c r="G1121" s="2"/>
    </row>
    <row r="1122">
      <c r="A1122" s="1" t="s">
        <v>652</v>
      </c>
      <c r="B1122" s="1">
        <v>0.0</v>
      </c>
      <c r="C1122" s="2"/>
      <c r="D1122" s="2"/>
      <c r="E1122" s="2"/>
      <c r="F1122" s="2"/>
      <c r="G1122" s="2"/>
    </row>
    <row r="1123">
      <c r="A1123" s="1" t="s">
        <v>653</v>
      </c>
      <c r="B1123" s="1">
        <v>0.0</v>
      </c>
      <c r="C1123" s="2"/>
      <c r="D1123" s="2"/>
      <c r="E1123" s="2"/>
      <c r="F1123" s="2"/>
      <c r="G1123" s="2"/>
    </row>
    <row r="1124">
      <c r="A1124" s="1" t="s">
        <v>654</v>
      </c>
      <c r="B1124" s="1">
        <v>0.0</v>
      </c>
      <c r="C1124" s="2"/>
      <c r="D1124" s="2"/>
      <c r="E1124" s="2"/>
      <c r="F1124" s="2"/>
      <c r="G1124" s="2"/>
    </row>
    <row r="1125">
      <c r="A1125" s="1" t="s">
        <v>655</v>
      </c>
      <c r="B1125" s="1">
        <v>92.0</v>
      </c>
      <c r="C1125" s="2"/>
      <c r="D1125" s="2"/>
      <c r="E1125" s="2"/>
      <c r="F1125" s="2"/>
      <c r="G1125" s="2"/>
    </row>
    <row r="1126">
      <c r="A1126" s="1" t="s">
        <v>656</v>
      </c>
      <c r="B1126" s="1">
        <v>0.0</v>
      </c>
      <c r="C1126" s="2"/>
      <c r="D1126" s="2"/>
      <c r="E1126" s="2"/>
      <c r="F1126" s="2"/>
      <c r="G1126" s="2"/>
    </row>
    <row r="1127">
      <c r="A1127" s="1" t="s">
        <v>657</v>
      </c>
      <c r="B1127" s="1">
        <v>0.0</v>
      </c>
      <c r="C1127" s="2"/>
      <c r="D1127" s="2"/>
      <c r="E1127" s="2"/>
      <c r="F1127" s="2"/>
      <c r="G1127" s="2"/>
    </row>
    <row r="1128">
      <c r="A1128" s="1" t="s">
        <v>658</v>
      </c>
      <c r="B1128" s="1">
        <v>0.0</v>
      </c>
      <c r="C1128" s="2"/>
      <c r="D1128" s="2"/>
      <c r="E1128" s="2"/>
      <c r="F1128" s="2"/>
      <c r="G1128" s="2"/>
    </row>
    <row r="1129">
      <c r="A1129" s="1" t="s">
        <v>659</v>
      </c>
      <c r="B1129" s="1">
        <v>0.0</v>
      </c>
      <c r="C1129" s="2"/>
      <c r="D1129" s="2"/>
      <c r="E1129" s="2"/>
      <c r="F1129" s="2"/>
      <c r="G1129" s="2"/>
    </row>
    <row r="1130">
      <c r="A1130" s="1" t="s">
        <v>660</v>
      </c>
      <c r="B1130" s="1">
        <v>0.0</v>
      </c>
      <c r="C1130" s="2"/>
      <c r="D1130" s="2"/>
      <c r="E1130" s="2"/>
      <c r="F1130" s="2"/>
      <c r="G1130" s="2"/>
    </row>
    <row r="1131">
      <c r="A1131" s="1" t="s">
        <v>661</v>
      </c>
      <c r="B1131" s="1">
        <v>0.0</v>
      </c>
      <c r="C1131" s="2"/>
      <c r="D1131" s="2"/>
      <c r="E1131" s="2"/>
      <c r="F1131" s="2"/>
      <c r="G1131" s="2"/>
    </row>
    <row r="1132">
      <c r="A1132" s="1" t="s">
        <v>662</v>
      </c>
      <c r="B1132" s="1">
        <v>0.0</v>
      </c>
      <c r="C1132" s="2"/>
      <c r="D1132" s="2"/>
      <c r="E1132" s="2"/>
      <c r="F1132" s="2"/>
      <c r="G1132" s="2"/>
    </row>
    <row r="1133">
      <c r="A1133" s="1" t="s">
        <v>663</v>
      </c>
      <c r="B1133" s="1" t="s">
        <v>664</v>
      </c>
      <c r="C1133" s="1">
        <v>0.0</v>
      </c>
      <c r="D1133" s="2"/>
      <c r="E1133" s="2"/>
      <c r="F1133" s="2"/>
      <c r="G1133" s="2"/>
    </row>
    <row r="1134">
      <c r="A1134" s="1" t="s">
        <v>665</v>
      </c>
      <c r="B1134" s="1">
        <v>0.0</v>
      </c>
      <c r="C1134" s="2"/>
      <c r="D1134" s="2"/>
      <c r="E1134" s="2"/>
      <c r="F1134" s="2"/>
      <c r="G1134" s="2"/>
    </row>
    <row r="1135">
      <c r="A1135" s="1" t="s">
        <v>666</v>
      </c>
      <c r="B1135" s="1">
        <v>0.0</v>
      </c>
      <c r="C1135" s="2"/>
      <c r="D1135" s="2"/>
      <c r="E1135" s="2"/>
      <c r="F1135" s="2"/>
      <c r="G1135" s="2"/>
    </row>
    <row r="1136">
      <c r="A1136" s="1" t="s">
        <v>667</v>
      </c>
      <c r="B1136" s="1">
        <v>68.0</v>
      </c>
      <c r="C1136" s="2"/>
      <c r="D1136" s="2"/>
      <c r="E1136" s="2"/>
      <c r="F1136" s="2"/>
      <c r="G1136" s="2"/>
    </row>
    <row r="1137">
      <c r="A1137" s="1" t="s">
        <v>668</v>
      </c>
      <c r="B1137" s="1">
        <v>0.0</v>
      </c>
      <c r="C1137" s="2"/>
      <c r="D1137" s="2"/>
      <c r="E1137" s="2"/>
      <c r="F1137" s="2"/>
      <c r="G1137" s="2"/>
    </row>
    <row r="1138">
      <c r="A1138" s="1" t="s">
        <v>669</v>
      </c>
      <c r="B1138" s="1">
        <v>0.0</v>
      </c>
      <c r="C1138" s="2"/>
      <c r="D1138" s="2"/>
      <c r="E1138" s="2"/>
      <c r="F1138" s="2"/>
      <c r="G1138" s="2"/>
    </row>
    <row r="1139">
      <c r="A1139" s="1" t="s">
        <v>670</v>
      </c>
      <c r="B1139" s="1">
        <v>0.0</v>
      </c>
      <c r="C1139" s="2"/>
      <c r="D1139" s="2"/>
      <c r="E1139" s="2"/>
      <c r="F1139" s="2"/>
      <c r="G1139" s="2"/>
    </row>
    <row r="1140">
      <c r="A1140" s="1" t="s">
        <v>671</v>
      </c>
      <c r="B1140" s="1">
        <v>0.0</v>
      </c>
      <c r="C1140" s="2"/>
      <c r="D1140" s="2"/>
      <c r="E1140" s="2"/>
      <c r="F1140" s="2"/>
      <c r="G1140" s="2"/>
    </row>
    <row r="1141">
      <c r="A1141" s="1" t="s">
        <v>672</v>
      </c>
      <c r="B1141" s="1">
        <v>95.0</v>
      </c>
      <c r="C1141" s="2"/>
      <c r="D1141" s="2"/>
      <c r="E1141" s="2"/>
      <c r="F1141" s="2"/>
      <c r="G1141" s="2"/>
    </row>
    <row r="1142">
      <c r="A1142" s="1" t="s">
        <v>673</v>
      </c>
      <c r="B1142" s="1">
        <v>32.0</v>
      </c>
      <c r="C1142" s="2"/>
      <c r="D1142" s="2"/>
      <c r="E1142" s="2"/>
      <c r="F1142" s="2"/>
      <c r="G1142" s="2"/>
    </row>
    <row r="1143">
      <c r="A1143" s="1" t="s">
        <v>674</v>
      </c>
      <c r="B1143" s="1">
        <v>79.0</v>
      </c>
      <c r="C1143" s="2"/>
      <c r="D1143" s="2"/>
      <c r="E1143" s="2"/>
      <c r="F1143" s="2"/>
      <c r="G1143" s="2"/>
    </row>
    <row r="1144">
      <c r="A1144" s="1" t="s">
        <v>675</v>
      </c>
      <c r="B1144" s="1">
        <v>4.0</v>
      </c>
      <c r="C1144" s="2"/>
      <c r="D1144" s="2"/>
      <c r="E1144" s="2"/>
      <c r="F1144" s="2"/>
      <c r="G1144" s="2"/>
    </row>
    <row r="1145">
      <c r="A1145" s="1" t="s">
        <v>676</v>
      </c>
      <c r="B1145" s="1">
        <v>0.0</v>
      </c>
      <c r="C1145" s="2"/>
      <c r="D1145" s="2"/>
      <c r="E1145" s="2"/>
      <c r="F1145" s="2"/>
      <c r="G1145" s="2"/>
    </row>
    <row r="1146">
      <c r="A1146" s="1" t="s">
        <v>677</v>
      </c>
      <c r="B1146" s="1">
        <v>82.0</v>
      </c>
      <c r="C1146" s="2"/>
      <c r="D1146" s="2"/>
      <c r="E1146" s="2"/>
      <c r="F1146" s="2"/>
      <c r="G1146" s="2"/>
    </row>
    <row r="1147">
      <c r="A1147" s="1" t="s">
        <v>678</v>
      </c>
      <c r="B1147" s="1">
        <v>0.0</v>
      </c>
      <c r="C1147" s="2"/>
      <c r="D1147" s="2"/>
      <c r="E1147" s="2"/>
      <c r="F1147" s="2"/>
      <c r="G1147" s="2"/>
    </row>
    <row r="1148">
      <c r="A1148" s="1" t="s">
        <v>679</v>
      </c>
      <c r="B1148" s="1">
        <v>0.0</v>
      </c>
      <c r="C1148" s="2"/>
      <c r="D1148" s="2"/>
      <c r="E1148" s="2"/>
      <c r="F1148" s="2"/>
      <c r="G1148" s="2"/>
    </row>
    <row r="1149">
      <c r="A1149" s="1" t="s">
        <v>680</v>
      </c>
      <c r="B1149" s="1">
        <v>0.0</v>
      </c>
      <c r="C1149" s="2"/>
      <c r="D1149" s="2"/>
      <c r="E1149" s="2"/>
      <c r="F1149" s="2"/>
      <c r="G1149" s="2"/>
    </row>
    <row r="1150">
      <c r="A1150" s="1" t="s">
        <v>681</v>
      </c>
      <c r="B1150" s="1">
        <v>0.0</v>
      </c>
      <c r="C1150" s="2"/>
      <c r="D1150" s="2"/>
      <c r="E1150" s="2"/>
      <c r="F1150" s="2"/>
      <c r="G1150" s="2"/>
    </row>
    <row r="1151">
      <c r="A1151" s="1" t="s">
        <v>682</v>
      </c>
      <c r="B1151" s="1">
        <v>0.0</v>
      </c>
      <c r="C1151" s="2"/>
      <c r="D1151" s="2"/>
      <c r="E1151" s="2"/>
      <c r="F1151" s="2"/>
      <c r="G1151" s="2"/>
    </row>
    <row r="1152">
      <c r="A1152" s="1" t="s">
        <v>683</v>
      </c>
      <c r="B1152" s="1">
        <v>72.0</v>
      </c>
      <c r="C1152" s="2"/>
      <c r="D1152" s="2"/>
      <c r="E1152" s="2"/>
      <c r="F1152" s="2"/>
      <c r="G1152" s="2"/>
    </row>
    <row r="1153">
      <c r="A1153" s="1" t="s">
        <v>684</v>
      </c>
      <c r="B1153" s="1">
        <v>0.0</v>
      </c>
      <c r="C1153" s="2"/>
      <c r="D1153" s="2"/>
      <c r="E1153" s="2"/>
      <c r="F1153" s="2"/>
      <c r="G1153" s="2"/>
    </row>
    <row r="1154">
      <c r="A1154" s="1" t="s">
        <v>685</v>
      </c>
      <c r="B1154" s="1">
        <v>0.0</v>
      </c>
      <c r="C1154" s="2"/>
      <c r="D1154" s="2"/>
      <c r="E1154" s="2"/>
      <c r="F1154" s="2"/>
      <c r="G1154" s="2"/>
    </row>
    <row r="1155">
      <c r="A1155" s="1" t="s">
        <v>686</v>
      </c>
      <c r="B1155" s="1">
        <v>17.0</v>
      </c>
      <c r="C1155" s="2"/>
      <c r="D1155" s="2"/>
      <c r="E1155" s="2"/>
      <c r="F1155" s="2"/>
      <c r="G1155" s="2"/>
    </row>
    <row r="1156">
      <c r="A1156" s="1" t="s">
        <v>687</v>
      </c>
      <c r="B1156" s="1">
        <v>50.0</v>
      </c>
      <c r="C1156" s="2"/>
      <c r="D1156" s="2"/>
      <c r="E1156" s="2"/>
      <c r="F1156" s="2"/>
      <c r="G1156" s="2"/>
    </row>
    <row r="1157">
      <c r="A1157" s="1" t="s">
        <v>688</v>
      </c>
      <c r="B1157" s="1">
        <v>0.0</v>
      </c>
      <c r="C1157" s="2"/>
      <c r="D1157" s="2"/>
      <c r="E1157" s="2"/>
      <c r="F1157" s="2"/>
      <c r="G1157" s="2"/>
    </row>
    <row r="1158">
      <c r="A1158" s="1" t="s">
        <v>689</v>
      </c>
      <c r="B1158" s="1">
        <v>0.0</v>
      </c>
      <c r="C1158" s="2"/>
      <c r="D1158" s="2"/>
      <c r="E1158" s="2"/>
      <c r="F1158" s="2"/>
      <c r="G1158" s="2"/>
    </row>
    <row r="1159">
      <c r="A1159" s="1" t="s">
        <v>690</v>
      </c>
      <c r="B1159" s="1">
        <v>0.0</v>
      </c>
      <c r="C1159" s="2"/>
      <c r="D1159" s="2"/>
      <c r="E1159" s="2"/>
      <c r="F1159" s="2"/>
      <c r="G1159" s="2"/>
    </row>
    <row r="1160">
      <c r="A1160" s="1" t="s">
        <v>691</v>
      </c>
      <c r="B1160" s="1">
        <v>50.0</v>
      </c>
      <c r="C1160" s="2"/>
      <c r="D1160" s="2"/>
      <c r="E1160" s="2"/>
      <c r="F1160" s="2"/>
      <c r="G1160" s="2"/>
    </row>
    <row r="1161">
      <c r="A1161" s="1" t="s">
        <v>692</v>
      </c>
      <c r="B1161" s="1">
        <v>0.0</v>
      </c>
      <c r="C1161" s="2"/>
      <c r="D1161" s="2"/>
      <c r="E1161" s="2"/>
      <c r="F1161" s="2"/>
      <c r="G1161" s="2"/>
    </row>
    <row r="1162">
      <c r="A1162" s="1" t="s">
        <v>693</v>
      </c>
      <c r="B1162" s="1">
        <v>0.0</v>
      </c>
      <c r="C1162" s="2"/>
      <c r="D1162" s="2"/>
      <c r="E1162" s="2"/>
      <c r="F1162" s="2"/>
      <c r="G1162" s="2"/>
    </row>
    <row r="1163">
      <c r="A1163" s="1" t="s">
        <v>694</v>
      </c>
      <c r="B1163" s="1">
        <v>35.0</v>
      </c>
      <c r="C1163" s="2"/>
      <c r="D1163" s="2"/>
      <c r="E1163" s="2"/>
      <c r="F1163" s="2"/>
      <c r="G1163" s="2"/>
    </row>
    <row r="1164">
      <c r="A1164" s="1" t="s">
        <v>695</v>
      </c>
      <c r="B1164" s="1">
        <v>0.0</v>
      </c>
      <c r="C1164" s="2"/>
      <c r="D1164" s="2"/>
      <c r="E1164" s="2"/>
      <c r="F1164" s="2"/>
      <c r="G1164" s="2"/>
    </row>
    <row r="1165">
      <c r="A1165" s="1" t="s">
        <v>696</v>
      </c>
      <c r="B1165" s="1">
        <v>48.0</v>
      </c>
      <c r="C1165" s="2"/>
      <c r="D1165" s="2"/>
      <c r="E1165" s="2"/>
      <c r="F1165" s="2"/>
      <c r="G1165" s="2"/>
    </row>
    <row r="1166">
      <c r="A1166" s="1" t="s">
        <v>697</v>
      </c>
      <c r="B1166" s="1">
        <v>0.0</v>
      </c>
      <c r="C1166" s="2"/>
      <c r="D1166" s="2"/>
      <c r="E1166" s="2"/>
      <c r="F1166" s="2"/>
      <c r="G1166" s="2"/>
    </row>
    <row r="1167">
      <c r="A1167" s="1" t="s">
        <v>698</v>
      </c>
      <c r="B1167" s="1">
        <v>50.0</v>
      </c>
      <c r="C1167" s="2"/>
      <c r="D1167" s="2"/>
      <c r="E1167" s="2"/>
      <c r="F1167" s="2"/>
      <c r="G1167" s="2"/>
    </row>
    <row r="1168">
      <c r="A1168" s="1" t="s">
        <v>699</v>
      </c>
      <c r="B1168" s="1">
        <v>56.0</v>
      </c>
      <c r="C1168" s="2"/>
      <c r="D1168" s="2"/>
      <c r="E1168" s="2"/>
      <c r="F1168" s="2"/>
      <c r="G1168" s="2"/>
    </row>
    <row r="1169">
      <c r="A1169" s="1" t="s">
        <v>700</v>
      </c>
      <c r="B1169" s="1">
        <v>0.0</v>
      </c>
      <c r="C1169" s="2"/>
      <c r="D1169" s="2"/>
      <c r="E1169" s="2"/>
      <c r="F1169" s="2"/>
      <c r="G1169" s="2"/>
    </row>
    <row r="1170">
      <c r="A1170" s="1" t="s">
        <v>701</v>
      </c>
      <c r="B1170" s="1">
        <v>0.0</v>
      </c>
      <c r="C1170" s="2"/>
      <c r="D1170" s="2"/>
      <c r="E1170" s="2"/>
      <c r="F1170" s="2"/>
      <c r="G1170" s="2"/>
    </row>
    <row r="1171">
      <c r="A1171" s="1" t="s">
        <v>702</v>
      </c>
      <c r="B1171" s="1">
        <v>0.0</v>
      </c>
      <c r="C1171" s="2"/>
      <c r="D1171" s="2"/>
      <c r="E1171" s="2"/>
      <c r="F1171" s="2"/>
      <c r="G1171" s="2"/>
    </row>
    <row r="1172">
      <c r="A1172" s="1" t="s">
        <v>703</v>
      </c>
      <c r="B1172" s="1">
        <v>0.0</v>
      </c>
      <c r="C1172" s="2"/>
      <c r="D1172" s="2"/>
      <c r="E1172" s="2"/>
      <c r="F1172" s="2"/>
      <c r="G1172" s="2"/>
    </row>
    <row r="1173">
      <c r="A1173" s="1" t="s">
        <v>704</v>
      </c>
      <c r="B1173" s="1">
        <v>15.0</v>
      </c>
      <c r="C1173" s="2"/>
      <c r="D1173" s="2"/>
      <c r="E1173" s="2"/>
      <c r="F1173" s="2"/>
      <c r="G1173" s="2"/>
    </row>
    <row r="1174">
      <c r="A1174" s="1" t="s">
        <v>705</v>
      </c>
      <c r="B1174" s="1">
        <v>70.0</v>
      </c>
      <c r="C1174" s="2"/>
      <c r="D1174" s="2"/>
      <c r="E1174" s="2"/>
      <c r="F1174" s="2"/>
      <c r="G1174" s="2"/>
    </row>
    <row r="1175">
      <c r="A1175" s="1" t="s">
        <v>706</v>
      </c>
      <c r="B1175" s="1">
        <v>0.0</v>
      </c>
      <c r="C1175" s="2"/>
      <c r="D1175" s="2"/>
      <c r="E1175" s="2"/>
      <c r="F1175" s="2"/>
      <c r="G1175" s="2"/>
    </row>
    <row r="1176">
      <c r="A1176" s="1" t="s">
        <v>707</v>
      </c>
      <c r="B1176" s="1">
        <v>0.0</v>
      </c>
      <c r="C1176" s="2"/>
      <c r="D1176" s="2"/>
      <c r="E1176" s="2"/>
      <c r="F1176" s="2"/>
      <c r="G1176" s="2"/>
    </row>
    <row r="1177">
      <c r="A1177" s="1" t="s">
        <v>708</v>
      </c>
      <c r="B1177" s="1">
        <v>0.0</v>
      </c>
      <c r="C1177" s="2"/>
      <c r="D1177" s="2"/>
      <c r="E1177" s="2"/>
      <c r="F1177" s="2"/>
      <c r="G1177" s="2"/>
    </row>
    <row r="1178">
      <c r="A1178" s="1" t="s">
        <v>709</v>
      </c>
      <c r="B1178" s="1">
        <v>0.0</v>
      </c>
      <c r="C1178" s="2"/>
      <c r="D1178" s="2"/>
      <c r="E1178" s="2"/>
      <c r="F1178" s="2"/>
      <c r="G1178" s="2"/>
    </row>
    <row r="1179">
      <c r="A1179" s="1" t="s">
        <v>710</v>
      </c>
      <c r="B1179" s="1">
        <v>0.0</v>
      </c>
      <c r="C1179" s="2"/>
      <c r="D1179" s="2"/>
      <c r="E1179" s="2"/>
      <c r="F1179" s="2"/>
      <c r="G1179" s="2"/>
    </row>
    <row r="1180">
      <c r="A1180" s="1" t="s">
        <v>711</v>
      </c>
      <c r="B1180" s="1">
        <v>0.0</v>
      </c>
      <c r="C1180" s="2"/>
      <c r="D1180" s="2"/>
      <c r="E1180" s="2"/>
      <c r="F1180" s="2"/>
      <c r="G1180" s="2"/>
    </row>
    <row r="1181">
      <c r="A1181" s="1" t="s">
        <v>712</v>
      </c>
      <c r="B1181" s="1">
        <v>80.0</v>
      </c>
      <c r="C1181" s="2"/>
      <c r="D1181" s="2"/>
      <c r="E1181" s="2"/>
      <c r="F1181" s="2"/>
      <c r="G1181" s="2"/>
    </row>
    <row r="1182">
      <c r="A1182" s="1" t="s">
        <v>713</v>
      </c>
      <c r="B1182" s="1">
        <v>12.0</v>
      </c>
      <c r="C1182" s="2"/>
      <c r="D1182" s="2"/>
      <c r="E1182" s="2"/>
      <c r="F1182" s="2"/>
      <c r="G1182" s="2"/>
    </row>
    <row r="1183">
      <c r="A1183" s="1" t="s">
        <v>714</v>
      </c>
      <c r="B1183" s="1">
        <v>0.0</v>
      </c>
      <c r="C1183" s="2"/>
      <c r="D1183" s="2"/>
      <c r="E1183" s="2"/>
      <c r="F1183" s="2"/>
      <c r="G1183" s="2"/>
    </row>
    <row r="1184">
      <c r="A1184" s="1" t="s">
        <v>715</v>
      </c>
      <c r="B1184" s="1">
        <v>0.0</v>
      </c>
      <c r="C1184" s="2"/>
      <c r="D1184" s="2"/>
      <c r="E1184" s="2"/>
      <c r="F1184" s="2"/>
      <c r="G1184" s="2"/>
    </row>
    <row r="1185">
      <c r="A1185" s="1" t="s">
        <v>716</v>
      </c>
      <c r="B1185" s="1">
        <v>20.0</v>
      </c>
      <c r="C1185" s="2"/>
      <c r="D1185" s="2"/>
      <c r="E1185" s="2"/>
      <c r="F1185" s="2"/>
      <c r="G1185" s="2"/>
    </row>
    <row r="1186">
      <c r="A1186" s="1" t="s">
        <v>717</v>
      </c>
      <c r="B1186" s="1">
        <v>0.0</v>
      </c>
      <c r="C1186" s="2"/>
      <c r="D1186" s="2"/>
      <c r="E1186" s="2"/>
      <c r="F1186" s="2"/>
      <c r="G1186" s="2"/>
    </row>
    <row r="1187">
      <c r="A1187" s="1" t="s">
        <v>718</v>
      </c>
      <c r="B1187" s="1">
        <v>0.0</v>
      </c>
      <c r="C1187" s="2"/>
      <c r="D1187" s="2"/>
      <c r="E1187" s="2"/>
      <c r="F1187" s="2"/>
      <c r="G1187" s="2"/>
    </row>
    <row r="1188">
      <c r="A1188" s="1" t="s">
        <v>719</v>
      </c>
      <c r="B1188" s="1">
        <v>0.0</v>
      </c>
      <c r="C1188" s="2"/>
      <c r="D1188" s="2"/>
      <c r="E1188" s="2"/>
      <c r="F1188" s="2"/>
      <c r="G1188" s="2"/>
    </row>
    <row r="1189">
      <c r="A1189" s="1" t="s">
        <v>720</v>
      </c>
      <c r="B1189" s="1">
        <v>24.0</v>
      </c>
      <c r="C1189" s="2"/>
      <c r="D1189" s="2"/>
      <c r="E1189" s="2"/>
      <c r="F1189" s="2"/>
      <c r="G1189" s="2"/>
    </row>
    <row r="1190">
      <c r="A1190" s="1" t="s">
        <v>721</v>
      </c>
      <c r="B1190" s="1">
        <v>0.0</v>
      </c>
      <c r="C1190" s="2"/>
      <c r="D1190" s="2"/>
      <c r="E1190" s="2"/>
      <c r="F1190" s="2"/>
      <c r="G1190" s="2"/>
    </row>
    <row r="1191">
      <c r="A1191" s="1" t="s">
        <v>652</v>
      </c>
      <c r="B1191" s="1">
        <v>0.0</v>
      </c>
      <c r="C1191" s="2"/>
      <c r="D1191" s="2"/>
      <c r="E1191" s="2"/>
      <c r="F1191" s="2"/>
      <c r="G1191" s="2"/>
    </row>
    <row r="1192">
      <c r="A1192" s="1" t="s">
        <v>653</v>
      </c>
      <c r="B1192" s="1">
        <v>0.0</v>
      </c>
      <c r="C1192" s="2"/>
      <c r="D1192" s="2"/>
      <c r="E1192" s="2"/>
      <c r="F1192" s="2"/>
      <c r="G1192" s="2"/>
    </row>
    <row r="1193">
      <c r="A1193" s="1" t="s">
        <v>654</v>
      </c>
      <c r="B1193" s="1">
        <v>0.0</v>
      </c>
      <c r="C1193" s="2"/>
      <c r="D1193" s="2"/>
      <c r="E1193" s="2"/>
      <c r="F1193" s="2"/>
      <c r="G1193" s="2"/>
    </row>
    <row r="1194">
      <c r="A1194" s="1" t="s">
        <v>655</v>
      </c>
      <c r="B1194" s="1">
        <v>92.0</v>
      </c>
      <c r="C1194" s="2"/>
      <c r="D1194" s="2"/>
      <c r="E1194" s="2"/>
      <c r="F1194" s="2"/>
      <c r="G1194" s="2"/>
    </row>
    <row r="1195">
      <c r="A1195" s="1" t="s">
        <v>656</v>
      </c>
      <c r="B1195" s="1">
        <v>0.0</v>
      </c>
      <c r="C1195" s="2"/>
      <c r="D1195" s="2"/>
      <c r="E1195" s="2"/>
      <c r="F1195" s="2"/>
      <c r="G1195" s="2"/>
    </row>
    <row r="1196">
      <c r="A1196" s="1" t="s">
        <v>657</v>
      </c>
      <c r="B1196" s="1">
        <v>0.0</v>
      </c>
      <c r="C1196" s="2"/>
      <c r="D1196" s="2"/>
      <c r="E1196" s="2"/>
      <c r="F1196" s="2"/>
      <c r="G1196" s="2"/>
    </row>
    <row r="1197">
      <c r="A1197" s="1" t="s">
        <v>658</v>
      </c>
      <c r="B1197" s="1">
        <v>0.0</v>
      </c>
      <c r="C1197" s="2"/>
      <c r="D1197" s="2"/>
      <c r="E1197" s="2"/>
      <c r="F1197" s="2"/>
      <c r="G1197" s="2"/>
    </row>
    <row r="1198">
      <c r="A1198" s="1" t="s">
        <v>659</v>
      </c>
      <c r="B1198" s="1">
        <v>0.0</v>
      </c>
      <c r="C1198" s="2"/>
      <c r="D1198" s="2"/>
      <c r="E1198" s="2"/>
      <c r="F1198" s="2"/>
      <c r="G1198" s="2"/>
    </row>
    <row r="1199">
      <c r="A1199" s="1" t="s">
        <v>660</v>
      </c>
      <c r="B1199" s="1">
        <v>0.0</v>
      </c>
      <c r="C1199" s="2"/>
      <c r="D1199" s="2"/>
      <c r="E1199" s="2"/>
      <c r="F1199" s="2"/>
      <c r="G1199" s="2"/>
    </row>
    <row r="1200">
      <c r="A1200" s="1" t="s">
        <v>661</v>
      </c>
      <c r="B1200" s="1">
        <v>0.0</v>
      </c>
      <c r="C1200" s="2"/>
      <c r="D1200" s="2"/>
      <c r="E1200" s="2"/>
      <c r="F1200" s="2"/>
      <c r="G1200" s="2"/>
    </row>
    <row r="1201">
      <c r="A1201" s="1" t="s">
        <v>662</v>
      </c>
      <c r="B1201" s="1">
        <v>0.0</v>
      </c>
      <c r="C1201" s="2"/>
      <c r="D1201" s="2"/>
      <c r="E1201" s="2"/>
      <c r="F1201" s="2"/>
      <c r="G1201" s="2"/>
    </row>
    <row r="1202">
      <c r="A1202" s="1" t="s">
        <v>663</v>
      </c>
      <c r="B1202" s="1" t="s">
        <v>664</v>
      </c>
      <c r="C1202" s="1">
        <v>0.0</v>
      </c>
      <c r="D1202" s="2"/>
      <c r="E1202" s="2"/>
      <c r="F1202" s="2"/>
      <c r="G1202" s="2"/>
    </row>
    <row r="1203">
      <c r="A1203" s="1" t="s">
        <v>665</v>
      </c>
      <c r="B1203" s="1">
        <v>0.0</v>
      </c>
      <c r="C1203" s="2"/>
      <c r="D1203" s="2"/>
      <c r="E1203" s="2"/>
      <c r="F1203" s="2"/>
      <c r="G1203" s="2"/>
    </row>
    <row r="1204">
      <c r="A1204" s="1" t="s">
        <v>666</v>
      </c>
      <c r="B1204" s="1">
        <v>0.0</v>
      </c>
      <c r="C1204" s="2"/>
      <c r="D1204" s="2"/>
      <c r="E1204" s="2"/>
      <c r="F1204" s="2"/>
      <c r="G1204" s="2"/>
    </row>
    <row r="1205">
      <c r="A1205" s="1" t="s">
        <v>667</v>
      </c>
      <c r="B1205" s="1">
        <v>68.0</v>
      </c>
      <c r="C1205" s="2"/>
      <c r="D1205" s="2"/>
      <c r="E1205" s="2"/>
      <c r="F1205" s="2"/>
      <c r="G1205" s="2"/>
    </row>
    <row r="1206">
      <c r="A1206" s="1" t="s">
        <v>668</v>
      </c>
      <c r="B1206" s="1">
        <v>0.0</v>
      </c>
      <c r="C1206" s="2"/>
      <c r="D1206" s="2"/>
      <c r="E1206" s="2"/>
      <c r="F1206" s="2"/>
      <c r="G1206" s="2"/>
    </row>
    <row r="1207">
      <c r="A1207" s="1" t="s">
        <v>669</v>
      </c>
      <c r="B1207" s="1">
        <v>0.0</v>
      </c>
      <c r="C1207" s="2"/>
      <c r="D1207" s="2"/>
      <c r="E1207" s="2"/>
      <c r="F1207" s="2"/>
      <c r="G1207" s="2"/>
    </row>
    <row r="1208">
      <c r="A1208" s="1" t="s">
        <v>670</v>
      </c>
      <c r="B1208" s="1">
        <v>0.0</v>
      </c>
      <c r="C1208" s="2"/>
      <c r="D1208" s="2"/>
      <c r="E1208" s="2"/>
      <c r="F1208" s="2"/>
      <c r="G1208" s="2"/>
    </row>
    <row r="1209">
      <c r="A1209" s="1" t="s">
        <v>671</v>
      </c>
      <c r="B1209" s="1">
        <v>0.0</v>
      </c>
      <c r="C1209" s="2"/>
      <c r="D1209" s="2"/>
      <c r="E1209" s="2"/>
      <c r="F1209" s="2"/>
      <c r="G1209" s="2"/>
    </row>
    <row r="1210">
      <c r="A1210" s="1" t="s">
        <v>672</v>
      </c>
      <c r="B1210" s="1">
        <v>95.0</v>
      </c>
      <c r="C1210" s="2"/>
      <c r="D1210" s="2"/>
      <c r="E1210" s="2"/>
      <c r="F1210" s="2"/>
      <c r="G1210" s="2"/>
    </row>
    <row r="1211">
      <c r="A1211" s="1" t="s">
        <v>673</v>
      </c>
      <c r="B1211" s="1">
        <v>32.0</v>
      </c>
      <c r="C1211" s="2"/>
      <c r="D1211" s="2"/>
      <c r="E1211" s="2"/>
      <c r="F1211" s="2"/>
      <c r="G1211" s="2"/>
    </row>
    <row r="1212">
      <c r="A1212" s="1" t="s">
        <v>674</v>
      </c>
      <c r="B1212" s="1">
        <v>79.0</v>
      </c>
      <c r="C1212" s="2"/>
      <c r="D1212" s="2"/>
      <c r="E1212" s="2"/>
      <c r="F1212" s="2"/>
      <c r="G1212" s="2"/>
    </row>
    <row r="1213">
      <c r="A1213" s="1" t="s">
        <v>675</v>
      </c>
      <c r="B1213" s="1">
        <v>4.0</v>
      </c>
      <c r="C1213" s="2"/>
      <c r="D1213" s="2"/>
      <c r="E1213" s="2"/>
      <c r="F1213" s="2"/>
      <c r="G1213" s="2"/>
    </row>
    <row r="1214">
      <c r="A1214" s="1" t="s">
        <v>676</v>
      </c>
      <c r="B1214" s="1">
        <v>0.0</v>
      </c>
      <c r="C1214" s="2"/>
      <c r="D1214" s="2"/>
      <c r="E1214" s="2"/>
      <c r="F1214" s="2"/>
      <c r="G1214" s="2"/>
    </row>
    <row r="1215">
      <c r="A1215" s="1" t="s">
        <v>677</v>
      </c>
      <c r="B1215" s="1">
        <v>82.0</v>
      </c>
      <c r="C1215" s="2"/>
      <c r="D1215" s="2"/>
      <c r="E1215" s="2"/>
      <c r="F1215" s="2"/>
      <c r="G1215" s="2"/>
    </row>
    <row r="1216">
      <c r="A1216" s="1" t="s">
        <v>678</v>
      </c>
      <c r="B1216" s="1">
        <v>0.0</v>
      </c>
      <c r="C1216" s="2"/>
      <c r="D1216" s="2"/>
      <c r="E1216" s="2"/>
      <c r="F1216" s="2"/>
      <c r="G1216" s="2"/>
    </row>
    <row r="1217">
      <c r="A1217" s="1" t="s">
        <v>679</v>
      </c>
      <c r="B1217" s="1">
        <v>0.0</v>
      </c>
      <c r="C1217" s="2"/>
      <c r="D1217" s="2"/>
      <c r="E1217" s="2"/>
      <c r="F1217" s="2"/>
      <c r="G1217" s="2"/>
    </row>
    <row r="1218">
      <c r="A1218" s="1" t="s">
        <v>680</v>
      </c>
      <c r="B1218" s="1">
        <v>0.0</v>
      </c>
      <c r="C1218" s="2"/>
      <c r="D1218" s="2"/>
      <c r="E1218" s="2"/>
      <c r="F1218" s="2"/>
      <c r="G1218" s="2"/>
    </row>
    <row r="1219">
      <c r="A1219" s="1" t="s">
        <v>681</v>
      </c>
      <c r="B1219" s="1">
        <v>0.0</v>
      </c>
      <c r="C1219" s="2"/>
      <c r="D1219" s="2"/>
      <c r="E1219" s="2"/>
      <c r="F1219" s="2"/>
      <c r="G1219" s="2"/>
    </row>
    <row r="1220">
      <c r="A1220" s="1" t="s">
        <v>682</v>
      </c>
      <c r="B1220" s="1">
        <v>0.0</v>
      </c>
      <c r="C1220" s="2"/>
      <c r="D1220" s="2"/>
      <c r="E1220" s="2"/>
      <c r="F1220" s="2"/>
      <c r="G1220" s="2"/>
    </row>
    <row r="1221">
      <c r="A1221" s="1" t="s">
        <v>683</v>
      </c>
      <c r="B1221" s="1">
        <v>72.0</v>
      </c>
      <c r="C1221" s="2"/>
      <c r="D1221" s="2"/>
      <c r="E1221" s="2"/>
      <c r="F1221" s="2"/>
      <c r="G1221" s="2"/>
    </row>
    <row r="1222">
      <c r="A1222" s="1" t="s">
        <v>684</v>
      </c>
      <c r="B1222" s="1">
        <v>0.0</v>
      </c>
      <c r="C1222" s="2"/>
      <c r="D1222" s="2"/>
      <c r="E1222" s="2"/>
      <c r="F1222" s="2"/>
      <c r="G1222" s="2"/>
    </row>
    <row r="1223">
      <c r="A1223" s="1" t="s">
        <v>685</v>
      </c>
      <c r="B1223" s="1">
        <v>0.0</v>
      </c>
      <c r="C1223" s="2"/>
      <c r="D1223" s="2"/>
      <c r="E1223" s="2"/>
      <c r="F1223" s="2"/>
      <c r="G1223" s="2"/>
    </row>
    <row r="1224">
      <c r="A1224" s="1" t="s">
        <v>686</v>
      </c>
      <c r="B1224" s="1">
        <v>17.0</v>
      </c>
      <c r="C1224" s="2"/>
      <c r="D1224" s="2"/>
      <c r="E1224" s="2"/>
      <c r="F1224" s="2"/>
      <c r="G1224" s="2"/>
    </row>
    <row r="1225">
      <c r="A1225" s="1" t="s">
        <v>687</v>
      </c>
      <c r="B1225" s="1">
        <v>50.0</v>
      </c>
      <c r="C1225" s="2"/>
      <c r="D1225" s="2"/>
      <c r="E1225" s="2"/>
      <c r="F1225" s="2"/>
      <c r="G1225" s="2"/>
    </row>
    <row r="1226">
      <c r="A1226" s="1" t="s">
        <v>688</v>
      </c>
      <c r="B1226" s="1">
        <v>0.0</v>
      </c>
      <c r="C1226" s="2"/>
      <c r="D1226" s="2"/>
      <c r="E1226" s="2"/>
      <c r="F1226" s="2"/>
      <c r="G1226" s="2"/>
    </row>
    <row r="1227">
      <c r="A1227" s="1" t="s">
        <v>689</v>
      </c>
      <c r="B1227" s="1">
        <v>0.0</v>
      </c>
      <c r="C1227" s="2"/>
      <c r="D1227" s="2"/>
      <c r="E1227" s="2"/>
      <c r="F1227" s="2"/>
      <c r="G1227" s="2"/>
    </row>
    <row r="1228">
      <c r="A1228" s="1" t="s">
        <v>690</v>
      </c>
      <c r="B1228" s="1">
        <v>0.0</v>
      </c>
      <c r="C1228" s="2"/>
      <c r="D1228" s="2"/>
      <c r="E1228" s="2"/>
      <c r="F1228" s="2"/>
      <c r="G1228" s="2"/>
    </row>
    <row r="1229">
      <c r="A1229" s="1" t="s">
        <v>691</v>
      </c>
      <c r="B1229" s="1">
        <v>50.0</v>
      </c>
      <c r="C1229" s="2"/>
      <c r="D1229" s="2"/>
      <c r="E1229" s="2"/>
      <c r="F1229" s="2"/>
      <c r="G1229" s="2"/>
    </row>
    <row r="1230">
      <c r="A1230" s="1" t="s">
        <v>692</v>
      </c>
      <c r="B1230" s="1">
        <v>0.0</v>
      </c>
      <c r="C1230" s="2"/>
      <c r="D1230" s="2"/>
      <c r="E1230" s="2"/>
      <c r="F1230" s="2"/>
      <c r="G1230" s="2"/>
    </row>
    <row r="1231">
      <c r="A1231" s="1" t="s">
        <v>693</v>
      </c>
      <c r="B1231" s="1">
        <v>0.0</v>
      </c>
      <c r="C1231" s="2"/>
      <c r="D1231" s="2"/>
      <c r="E1231" s="2"/>
      <c r="F1231" s="2"/>
      <c r="G1231" s="2"/>
    </row>
    <row r="1232">
      <c r="A1232" s="1" t="s">
        <v>694</v>
      </c>
      <c r="B1232" s="1">
        <v>35.0</v>
      </c>
      <c r="C1232" s="2"/>
      <c r="D1232" s="2"/>
      <c r="E1232" s="2"/>
      <c r="F1232" s="2"/>
      <c r="G1232" s="2"/>
    </row>
    <row r="1233">
      <c r="A1233" s="1" t="s">
        <v>695</v>
      </c>
      <c r="B1233" s="1">
        <v>0.0</v>
      </c>
      <c r="C1233" s="2"/>
      <c r="D1233" s="2"/>
      <c r="E1233" s="2"/>
      <c r="F1233" s="2"/>
      <c r="G1233" s="2"/>
    </row>
    <row r="1234">
      <c r="A1234" s="1" t="s">
        <v>696</v>
      </c>
      <c r="B1234" s="1">
        <v>48.0</v>
      </c>
      <c r="C1234" s="2"/>
      <c r="D1234" s="2"/>
      <c r="E1234" s="2"/>
      <c r="F1234" s="2"/>
      <c r="G1234" s="2"/>
    </row>
    <row r="1235">
      <c r="A1235" s="1" t="s">
        <v>697</v>
      </c>
      <c r="B1235" s="1">
        <v>0.0</v>
      </c>
      <c r="C1235" s="2"/>
      <c r="D1235" s="2"/>
      <c r="E1235" s="2"/>
      <c r="F1235" s="2"/>
      <c r="G1235" s="2"/>
    </row>
    <row r="1236">
      <c r="A1236" s="1" t="s">
        <v>698</v>
      </c>
      <c r="B1236" s="1">
        <v>50.0</v>
      </c>
      <c r="C1236" s="2"/>
      <c r="D1236" s="2"/>
      <c r="E1236" s="2"/>
      <c r="F1236" s="2"/>
      <c r="G1236" s="2"/>
    </row>
    <row r="1237">
      <c r="A1237" s="1" t="s">
        <v>699</v>
      </c>
      <c r="B1237" s="1">
        <v>56.0</v>
      </c>
      <c r="C1237" s="2"/>
      <c r="D1237" s="2"/>
      <c r="E1237" s="2"/>
      <c r="F1237" s="2"/>
      <c r="G1237" s="2"/>
    </row>
    <row r="1238">
      <c r="A1238" s="1" t="s">
        <v>700</v>
      </c>
      <c r="B1238" s="1">
        <v>0.0</v>
      </c>
      <c r="C1238" s="2"/>
      <c r="D1238" s="2"/>
      <c r="E1238" s="2"/>
      <c r="F1238" s="2"/>
      <c r="G1238" s="2"/>
    </row>
    <row r="1239">
      <c r="A1239" s="1" t="s">
        <v>701</v>
      </c>
      <c r="B1239" s="1">
        <v>0.0</v>
      </c>
      <c r="C1239" s="2"/>
      <c r="D1239" s="2"/>
      <c r="E1239" s="2"/>
      <c r="F1239" s="2"/>
      <c r="G1239" s="2"/>
    </row>
    <row r="1240">
      <c r="A1240" s="1" t="s">
        <v>702</v>
      </c>
      <c r="B1240" s="1">
        <v>0.0</v>
      </c>
      <c r="C1240" s="2"/>
      <c r="D1240" s="2"/>
      <c r="E1240" s="2"/>
      <c r="F1240" s="2"/>
      <c r="G1240" s="2"/>
    </row>
    <row r="1241">
      <c r="A1241" s="1" t="s">
        <v>703</v>
      </c>
      <c r="B1241" s="1">
        <v>0.0</v>
      </c>
      <c r="C1241" s="2"/>
      <c r="D1241" s="2"/>
      <c r="E1241" s="2"/>
      <c r="F1241" s="2"/>
      <c r="G1241" s="2"/>
    </row>
    <row r="1242">
      <c r="A1242" s="1" t="s">
        <v>704</v>
      </c>
      <c r="B1242" s="1">
        <v>15.0</v>
      </c>
      <c r="C1242" s="2"/>
      <c r="D1242" s="2"/>
      <c r="E1242" s="2"/>
      <c r="F1242" s="2"/>
      <c r="G1242" s="2"/>
    </row>
    <row r="1243">
      <c r="A1243" s="1" t="s">
        <v>705</v>
      </c>
      <c r="B1243" s="1">
        <v>70.0</v>
      </c>
      <c r="C1243" s="2"/>
      <c r="D1243" s="2"/>
      <c r="E1243" s="2"/>
      <c r="F1243" s="2"/>
      <c r="G1243" s="2"/>
    </row>
    <row r="1244">
      <c r="A1244" s="1" t="s">
        <v>706</v>
      </c>
      <c r="B1244" s="1">
        <v>0.0</v>
      </c>
      <c r="C1244" s="2"/>
      <c r="D1244" s="2"/>
      <c r="E1244" s="2"/>
      <c r="F1244" s="2"/>
      <c r="G1244" s="2"/>
    </row>
    <row r="1245">
      <c r="A1245" s="1" t="s">
        <v>707</v>
      </c>
      <c r="B1245" s="1">
        <v>0.0</v>
      </c>
      <c r="C1245" s="2"/>
      <c r="D1245" s="2"/>
      <c r="E1245" s="2"/>
      <c r="F1245" s="2"/>
      <c r="G1245" s="2"/>
    </row>
    <row r="1246">
      <c r="A1246" s="1" t="s">
        <v>708</v>
      </c>
      <c r="B1246" s="1">
        <v>0.0</v>
      </c>
      <c r="C1246" s="2"/>
      <c r="D1246" s="2"/>
      <c r="E1246" s="2"/>
      <c r="F1246" s="2"/>
      <c r="G1246" s="2"/>
    </row>
    <row r="1247">
      <c r="A1247" s="1" t="s">
        <v>709</v>
      </c>
      <c r="B1247" s="1">
        <v>0.0</v>
      </c>
      <c r="C1247" s="2"/>
      <c r="D1247" s="2"/>
      <c r="E1247" s="2"/>
      <c r="F1247" s="2"/>
      <c r="G1247" s="2"/>
    </row>
    <row r="1248">
      <c r="A1248" s="1" t="s">
        <v>710</v>
      </c>
      <c r="B1248" s="1">
        <v>0.0</v>
      </c>
      <c r="C1248" s="2"/>
      <c r="D1248" s="2"/>
      <c r="E1248" s="2"/>
      <c r="F1248" s="2"/>
      <c r="G1248" s="2"/>
    </row>
    <row r="1249">
      <c r="A1249" s="1" t="s">
        <v>711</v>
      </c>
      <c r="B1249" s="1">
        <v>0.0</v>
      </c>
      <c r="C1249" s="2"/>
      <c r="D1249" s="2"/>
      <c r="E1249" s="2"/>
      <c r="F1249" s="2"/>
      <c r="G1249" s="2"/>
    </row>
    <row r="1250">
      <c r="A1250" s="1" t="s">
        <v>712</v>
      </c>
      <c r="B1250" s="1">
        <v>80.0</v>
      </c>
      <c r="C1250" s="2"/>
      <c r="D1250" s="2"/>
      <c r="E1250" s="2"/>
      <c r="F1250" s="2"/>
      <c r="G1250" s="2"/>
    </row>
    <row r="1251">
      <c r="A1251" s="1" t="s">
        <v>713</v>
      </c>
      <c r="B1251" s="1">
        <v>12.0</v>
      </c>
      <c r="C1251" s="2"/>
      <c r="D1251" s="2"/>
      <c r="E1251" s="2"/>
      <c r="F1251" s="2"/>
      <c r="G1251" s="2"/>
    </row>
    <row r="1252">
      <c r="A1252" s="1" t="s">
        <v>714</v>
      </c>
      <c r="B1252" s="1">
        <v>0.0</v>
      </c>
      <c r="C1252" s="2"/>
      <c r="D1252" s="2"/>
      <c r="E1252" s="2"/>
      <c r="F1252" s="2"/>
      <c r="G1252" s="2"/>
    </row>
    <row r="1253">
      <c r="A1253" s="1" t="s">
        <v>715</v>
      </c>
      <c r="B1253" s="1">
        <v>0.0</v>
      </c>
      <c r="C1253" s="2"/>
      <c r="D1253" s="2"/>
      <c r="E1253" s="2"/>
      <c r="F1253" s="2"/>
      <c r="G1253" s="2"/>
    </row>
    <row r="1254">
      <c r="A1254" s="1" t="s">
        <v>716</v>
      </c>
      <c r="B1254" s="1">
        <v>20.0</v>
      </c>
      <c r="C1254" s="2"/>
      <c r="D1254" s="2"/>
      <c r="E1254" s="2"/>
      <c r="F1254" s="2"/>
      <c r="G1254" s="2"/>
    </row>
    <row r="1255">
      <c r="A1255" s="1" t="s">
        <v>717</v>
      </c>
      <c r="B1255" s="1">
        <v>0.0</v>
      </c>
      <c r="C1255" s="2"/>
      <c r="D1255" s="2"/>
      <c r="E1255" s="2"/>
      <c r="F1255" s="2"/>
      <c r="G1255" s="2"/>
    </row>
    <row r="1256">
      <c r="A1256" s="1" t="s">
        <v>718</v>
      </c>
      <c r="B1256" s="1">
        <v>0.0</v>
      </c>
      <c r="C1256" s="2"/>
      <c r="D1256" s="2"/>
      <c r="E1256" s="2"/>
      <c r="F1256" s="2"/>
      <c r="G1256" s="2"/>
    </row>
    <row r="1257">
      <c r="A1257" s="1" t="s">
        <v>719</v>
      </c>
      <c r="B1257" s="1">
        <v>0.0</v>
      </c>
      <c r="C1257" s="2"/>
      <c r="D1257" s="2"/>
      <c r="E1257" s="2"/>
      <c r="F1257" s="2"/>
      <c r="G1257" s="2"/>
    </row>
    <row r="1258">
      <c r="A1258" s="1" t="s">
        <v>720</v>
      </c>
      <c r="B1258" s="1">
        <v>24.0</v>
      </c>
      <c r="C1258" s="2"/>
      <c r="D1258" s="2"/>
      <c r="E1258" s="2"/>
      <c r="F1258" s="2"/>
      <c r="G1258" s="2"/>
    </row>
    <row r="1259">
      <c r="A1259" s="1" t="s">
        <v>721</v>
      </c>
      <c r="B1259" s="1">
        <v>0.0</v>
      </c>
      <c r="C1259" s="2"/>
      <c r="D1259" s="2"/>
      <c r="E1259" s="2"/>
      <c r="F1259" s="2"/>
      <c r="G1259" s="2"/>
    </row>
    <row r="1260">
      <c r="A1260" s="1" t="s">
        <v>722</v>
      </c>
      <c r="B1260" s="1" t="s">
        <v>723</v>
      </c>
      <c r="C1260" s="1" t="s">
        <v>724</v>
      </c>
      <c r="D1260" s="1" t="s">
        <v>725</v>
      </c>
      <c r="E1260" s="1">
        <v>0.0</v>
      </c>
      <c r="F1260" s="2"/>
      <c r="G1260" s="2"/>
    </row>
    <row r="1261">
      <c r="A1261" s="1" t="s">
        <v>726</v>
      </c>
      <c r="B1261" s="1">
        <v>48.0</v>
      </c>
      <c r="C1261" s="2"/>
      <c r="D1261" s="2"/>
      <c r="E1261" s="2"/>
      <c r="F1261" s="2"/>
      <c r="G1261" s="2"/>
    </row>
    <row r="1262">
      <c r="A1262" s="1" t="s">
        <v>727</v>
      </c>
      <c r="B1262" s="1">
        <v>0.0</v>
      </c>
      <c r="C1262" s="2"/>
      <c r="D1262" s="2"/>
      <c r="E1262" s="2"/>
      <c r="F1262" s="2"/>
      <c r="G1262" s="2"/>
    </row>
    <row r="1263">
      <c r="A1263" s="1" t="s">
        <v>728</v>
      </c>
      <c r="B1263" s="1">
        <v>0.0</v>
      </c>
      <c r="C1263" s="2"/>
      <c r="D1263" s="2"/>
      <c r="E1263" s="2"/>
      <c r="F1263" s="2"/>
      <c r="G1263" s="2"/>
    </row>
    <row r="1264">
      <c r="A1264" s="1" t="s">
        <v>729</v>
      </c>
      <c r="B1264" s="1">
        <v>0.0</v>
      </c>
      <c r="C1264" s="2"/>
      <c r="D1264" s="2"/>
      <c r="E1264" s="2"/>
      <c r="F1264" s="2"/>
      <c r="G1264" s="2"/>
    </row>
    <row r="1265">
      <c r="A1265" s="1" t="s">
        <v>730</v>
      </c>
      <c r="B1265" s="1">
        <v>0.0</v>
      </c>
      <c r="C1265" s="2"/>
      <c r="D1265" s="2"/>
      <c r="E1265" s="2"/>
      <c r="F1265" s="2"/>
      <c r="G1265" s="2"/>
    </row>
    <row r="1266">
      <c r="A1266" s="1" t="s">
        <v>731</v>
      </c>
      <c r="B1266" s="1">
        <v>0.0</v>
      </c>
      <c r="C1266" s="2"/>
      <c r="D1266" s="2"/>
      <c r="E1266" s="2"/>
      <c r="F1266" s="2"/>
      <c r="G1266" s="2"/>
    </row>
    <row r="1267">
      <c r="A1267" s="1" t="s">
        <v>732</v>
      </c>
      <c r="B1267" s="1">
        <v>0.0</v>
      </c>
      <c r="C1267" s="2"/>
      <c r="D1267" s="2"/>
      <c r="E1267" s="2"/>
      <c r="F1267" s="2"/>
      <c r="G1267" s="2"/>
    </row>
    <row r="1268">
      <c r="A1268" s="1" t="s">
        <v>733</v>
      </c>
      <c r="B1268" s="1">
        <v>95.0</v>
      </c>
      <c r="C1268" s="2"/>
      <c r="D1268" s="2"/>
      <c r="E1268" s="2"/>
      <c r="F1268" s="2"/>
      <c r="G1268" s="2"/>
    </row>
    <row r="1269">
      <c r="A1269" s="1" t="s">
        <v>734</v>
      </c>
      <c r="B1269" s="1">
        <v>0.0</v>
      </c>
      <c r="C1269" s="2"/>
      <c r="D1269" s="2"/>
      <c r="E1269" s="2"/>
      <c r="F1269" s="2"/>
      <c r="G1269" s="2"/>
    </row>
    <row r="1270">
      <c r="A1270" s="1" t="s">
        <v>735</v>
      </c>
      <c r="B1270" s="1">
        <v>47.0</v>
      </c>
      <c r="C1270" s="2"/>
      <c r="D1270" s="2"/>
      <c r="E1270" s="2"/>
      <c r="F1270" s="2"/>
      <c r="G1270" s="2"/>
    </row>
    <row r="1271">
      <c r="A1271" s="1" t="s">
        <v>736</v>
      </c>
      <c r="B1271" s="1">
        <v>0.0</v>
      </c>
      <c r="C1271" s="2"/>
      <c r="D1271" s="2"/>
      <c r="E1271" s="2"/>
      <c r="F1271" s="2"/>
      <c r="G1271" s="2"/>
    </row>
    <row r="1272">
      <c r="A1272" s="1" t="s">
        <v>737</v>
      </c>
      <c r="B1272" s="1">
        <v>0.0</v>
      </c>
      <c r="C1272" s="2"/>
      <c r="D1272" s="2"/>
      <c r="E1272" s="2"/>
      <c r="F1272" s="2"/>
      <c r="G1272" s="2"/>
    </row>
    <row r="1273">
      <c r="A1273" s="1" t="s">
        <v>738</v>
      </c>
      <c r="B1273" s="1">
        <v>0.0</v>
      </c>
      <c r="C1273" s="2"/>
      <c r="D1273" s="2"/>
      <c r="E1273" s="2"/>
      <c r="F1273" s="2"/>
      <c r="G1273" s="2"/>
    </row>
    <row r="1274">
      <c r="A1274" s="1" t="s">
        <v>739</v>
      </c>
      <c r="B1274" s="1">
        <v>0.0</v>
      </c>
      <c r="C1274" s="2"/>
      <c r="D1274" s="2"/>
      <c r="E1274" s="2"/>
      <c r="F1274" s="2"/>
      <c r="G1274" s="2"/>
    </row>
    <row r="1275">
      <c r="A1275" s="1" t="s">
        <v>740</v>
      </c>
      <c r="B1275" s="1">
        <v>0.0</v>
      </c>
      <c r="C1275" s="2"/>
      <c r="D1275" s="2"/>
      <c r="E1275" s="2"/>
      <c r="F1275" s="2"/>
      <c r="G1275" s="2"/>
    </row>
    <row r="1276">
      <c r="A1276" s="1" t="s">
        <v>741</v>
      </c>
      <c r="B1276" s="1">
        <v>0.0</v>
      </c>
      <c r="C1276" s="2"/>
      <c r="D1276" s="2"/>
      <c r="E1276" s="2"/>
      <c r="F1276" s="2"/>
      <c r="G1276" s="2"/>
    </row>
    <row r="1277">
      <c r="A1277" s="1" t="s">
        <v>742</v>
      </c>
      <c r="B1277" s="1">
        <v>0.0</v>
      </c>
      <c r="C1277" s="2"/>
      <c r="D1277" s="2"/>
      <c r="E1277" s="2"/>
      <c r="F1277" s="2"/>
      <c r="G1277" s="2"/>
    </row>
    <row r="1278">
      <c r="A1278" s="1" t="s">
        <v>743</v>
      </c>
      <c r="B1278" s="1">
        <v>0.0</v>
      </c>
      <c r="C1278" s="2"/>
      <c r="D1278" s="2"/>
      <c r="E1278" s="2"/>
      <c r="F1278" s="2"/>
      <c r="G1278" s="2"/>
    </row>
    <row r="1279">
      <c r="A1279" s="1" t="s">
        <v>744</v>
      </c>
      <c r="B1279" s="1">
        <v>0.0</v>
      </c>
      <c r="C1279" s="2"/>
      <c r="D1279" s="2"/>
      <c r="E1279" s="2"/>
      <c r="F1279" s="2"/>
      <c r="G1279" s="2"/>
    </row>
    <row r="1280">
      <c r="A1280" s="1" t="s">
        <v>745</v>
      </c>
      <c r="B1280" s="1">
        <v>28.0</v>
      </c>
      <c r="C1280" s="2"/>
      <c r="D1280" s="2"/>
      <c r="E1280" s="2"/>
      <c r="F1280" s="2"/>
      <c r="G1280" s="2"/>
    </row>
    <row r="1281">
      <c r="A1281" s="1" t="s">
        <v>746</v>
      </c>
      <c r="B1281" s="1">
        <v>0.0</v>
      </c>
      <c r="C1281" s="2"/>
      <c r="D1281" s="2"/>
      <c r="E1281" s="2"/>
      <c r="F1281" s="2"/>
      <c r="G1281" s="2"/>
    </row>
    <row r="1282">
      <c r="A1282" s="1" t="s">
        <v>747</v>
      </c>
      <c r="B1282" s="1">
        <v>0.0</v>
      </c>
      <c r="C1282" s="2"/>
      <c r="D1282" s="2"/>
      <c r="E1282" s="2"/>
      <c r="F1282" s="2"/>
      <c r="G1282" s="2"/>
    </row>
    <row r="1283">
      <c r="A1283" s="1" t="s">
        <v>748</v>
      </c>
      <c r="B1283" s="1">
        <v>0.0</v>
      </c>
      <c r="C1283" s="2"/>
      <c r="D1283" s="2"/>
      <c r="E1283" s="2"/>
      <c r="F1283" s="2"/>
      <c r="G1283" s="2"/>
    </row>
    <row r="1284">
      <c r="A1284" s="1" t="s">
        <v>749</v>
      </c>
      <c r="B1284" s="1">
        <v>22.0</v>
      </c>
      <c r="C1284" s="2"/>
      <c r="D1284" s="2"/>
      <c r="E1284" s="2"/>
      <c r="F1284" s="2"/>
      <c r="G1284" s="2"/>
    </row>
    <row r="1285">
      <c r="A1285" s="1" t="s">
        <v>750</v>
      </c>
      <c r="B1285" s="1">
        <v>0.0</v>
      </c>
      <c r="C1285" s="2"/>
      <c r="D1285" s="2"/>
      <c r="E1285" s="2"/>
      <c r="F1285" s="2"/>
      <c r="G1285" s="2"/>
    </row>
    <row r="1286">
      <c r="A1286" s="1" t="s">
        <v>751</v>
      </c>
      <c r="B1286" s="1">
        <v>66.0</v>
      </c>
      <c r="C1286" s="2"/>
      <c r="D1286" s="2"/>
      <c r="E1286" s="2"/>
      <c r="F1286" s="2"/>
      <c r="G1286" s="2"/>
    </row>
    <row r="1287">
      <c r="A1287" s="1" t="s">
        <v>752</v>
      </c>
      <c r="B1287" s="1">
        <v>0.0</v>
      </c>
      <c r="C1287" s="2"/>
      <c r="D1287" s="2"/>
      <c r="E1287" s="2"/>
      <c r="F1287" s="2"/>
      <c r="G1287" s="2"/>
    </row>
    <row r="1288">
      <c r="A1288" s="1" t="s">
        <v>753</v>
      </c>
      <c r="B1288" s="1">
        <v>0.0</v>
      </c>
      <c r="C1288" s="2"/>
      <c r="D1288" s="2"/>
      <c r="E1288" s="2"/>
      <c r="F1288" s="2"/>
      <c r="G1288" s="2"/>
    </row>
    <row r="1289">
      <c r="A1289" s="1" t="s">
        <v>754</v>
      </c>
      <c r="B1289" s="1">
        <v>0.0</v>
      </c>
      <c r="C1289" s="2"/>
      <c r="D1289" s="2"/>
      <c r="E1289" s="2"/>
      <c r="F1289" s="2"/>
      <c r="G1289" s="2"/>
    </row>
    <row r="1290">
      <c r="A1290" s="1" t="s">
        <v>755</v>
      </c>
      <c r="B1290" s="1">
        <v>0.0</v>
      </c>
      <c r="C1290" s="2"/>
      <c r="D1290" s="2"/>
      <c r="E1290" s="2"/>
      <c r="F1290" s="2"/>
      <c r="G1290" s="2"/>
    </row>
    <row r="1291">
      <c r="A1291" s="1" t="s">
        <v>756</v>
      </c>
      <c r="B1291" s="1">
        <v>0.0</v>
      </c>
      <c r="C1291" s="2"/>
      <c r="D1291" s="2"/>
      <c r="E1291" s="2"/>
      <c r="F1291" s="2"/>
      <c r="G1291" s="2"/>
    </row>
    <row r="1292">
      <c r="A1292" s="1" t="s">
        <v>757</v>
      </c>
      <c r="B1292" s="1">
        <v>0.0</v>
      </c>
      <c r="C1292" s="2"/>
      <c r="D1292" s="2"/>
      <c r="E1292" s="2"/>
      <c r="F1292" s="2"/>
      <c r="G1292" s="2"/>
    </row>
    <row r="1293">
      <c r="A1293" s="1" t="s">
        <v>758</v>
      </c>
      <c r="B1293" s="1">
        <v>0.0</v>
      </c>
      <c r="C1293" s="2"/>
      <c r="D1293" s="2"/>
      <c r="E1293" s="2"/>
      <c r="F1293" s="2"/>
      <c r="G1293" s="2"/>
    </row>
    <row r="1294">
      <c r="A1294" s="1" t="s">
        <v>759</v>
      </c>
      <c r="B1294" s="1">
        <v>66.0</v>
      </c>
      <c r="C1294" s="2"/>
      <c r="D1294" s="2"/>
      <c r="E1294" s="2"/>
      <c r="F1294" s="2"/>
      <c r="G1294" s="2"/>
    </row>
    <row r="1295">
      <c r="A1295" s="1" t="s">
        <v>760</v>
      </c>
      <c r="B1295" s="1">
        <v>0.0</v>
      </c>
      <c r="C1295" s="2"/>
      <c r="D1295" s="2"/>
      <c r="E1295" s="2"/>
      <c r="F1295" s="2"/>
      <c r="G1295" s="2"/>
    </row>
    <row r="1296">
      <c r="A1296" s="1" t="s">
        <v>761</v>
      </c>
      <c r="B1296" s="1">
        <v>0.0</v>
      </c>
      <c r="C1296" s="2"/>
      <c r="D1296" s="2"/>
      <c r="E1296" s="2"/>
      <c r="F1296" s="2"/>
      <c r="G1296" s="2"/>
    </row>
    <row r="1297">
      <c r="A1297" s="1" t="s">
        <v>762</v>
      </c>
      <c r="B1297" s="1">
        <v>20.0</v>
      </c>
      <c r="C1297" s="2"/>
      <c r="D1297" s="2"/>
      <c r="E1297" s="2"/>
      <c r="F1297" s="2"/>
      <c r="G1297" s="2"/>
    </row>
    <row r="1298">
      <c r="A1298" s="1" t="s">
        <v>763</v>
      </c>
      <c r="B1298" s="1">
        <v>10.0</v>
      </c>
      <c r="C1298" s="2"/>
      <c r="D1298" s="2"/>
      <c r="E1298" s="2"/>
      <c r="F1298" s="2"/>
      <c r="G1298" s="2"/>
    </row>
    <row r="1299">
      <c r="A1299" s="1" t="s">
        <v>764</v>
      </c>
      <c r="B1299" s="1">
        <v>0.0</v>
      </c>
      <c r="C1299" s="2"/>
      <c r="D1299" s="2"/>
      <c r="E1299" s="2"/>
      <c r="F1299" s="2"/>
      <c r="G1299" s="2"/>
    </row>
    <row r="1300">
      <c r="A1300" s="1" t="s">
        <v>765</v>
      </c>
      <c r="B1300" s="1">
        <v>0.0</v>
      </c>
      <c r="C1300" s="2"/>
      <c r="D1300" s="2"/>
      <c r="E1300" s="2"/>
      <c r="F1300" s="2"/>
      <c r="G1300" s="2"/>
    </row>
    <row r="1301">
      <c r="A1301" s="1" t="s">
        <v>766</v>
      </c>
      <c r="B1301" s="1">
        <v>0.0</v>
      </c>
      <c r="C1301" s="2"/>
      <c r="D1301" s="2"/>
      <c r="E1301" s="2"/>
      <c r="F1301" s="2"/>
      <c r="G1301" s="2"/>
    </row>
    <row r="1302">
      <c r="A1302" s="1" t="s">
        <v>767</v>
      </c>
      <c r="B1302" s="1">
        <v>0.0</v>
      </c>
      <c r="C1302" s="2"/>
      <c r="D1302" s="2"/>
      <c r="E1302" s="2"/>
      <c r="F1302" s="2"/>
      <c r="G1302" s="2"/>
    </row>
    <row r="1303">
      <c r="A1303" s="1" t="s">
        <v>768</v>
      </c>
      <c r="B1303" s="1">
        <v>0.0</v>
      </c>
      <c r="C1303" s="2"/>
      <c r="D1303" s="2"/>
      <c r="E1303" s="2"/>
      <c r="F1303" s="2"/>
      <c r="G1303" s="2"/>
    </row>
    <row r="1304">
      <c r="A1304" s="1" t="s">
        <v>769</v>
      </c>
      <c r="B1304" s="1">
        <v>88.0</v>
      </c>
      <c r="C1304" s="2"/>
      <c r="D1304" s="2"/>
      <c r="E1304" s="2"/>
      <c r="F1304" s="2"/>
      <c r="G1304" s="2"/>
    </row>
    <row r="1305">
      <c r="A1305" s="1" t="s">
        <v>770</v>
      </c>
      <c r="B1305" s="1">
        <v>0.0</v>
      </c>
      <c r="C1305" s="2"/>
      <c r="D1305" s="2"/>
      <c r="E1305" s="2"/>
      <c r="F1305" s="2"/>
      <c r="G1305" s="2"/>
    </row>
    <row r="1306">
      <c r="A1306" s="1" t="s">
        <v>771</v>
      </c>
      <c r="B1306" s="1">
        <v>0.0</v>
      </c>
      <c r="C1306" s="2"/>
      <c r="D1306" s="2"/>
      <c r="E1306" s="2"/>
      <c r="F1306" s="2"/>
      <c r="G1306" s="2"/>
    </row>
    <row r="1307">
      <c r="A1307" s="1" t="s">
        <v>772</v>
      </c>
      <c r="B1307" s="1">
        <v>46.0</v>
      </c>
      <c r="C1307" s="2"/>
      <c r="D1307" s="2"/>
      <c r="E1307" s="2"/>
      <c r="F1307" s="2"/>
      <c r="G1307" s="2"/>
    </row>
    <row r="1308">
      <c r="A1308" s="1" t="s">
        <v>773</v>
      </c>
      <c r="B1308" s="1">
        <v>67.0</v>
      </c>
      <c r="C1308" s="2"/>
      <c r="D1308" s="2"/>
      <c r="E1308" s="2"/>
      <c r="F1308" s="2"/>
      <c r="G1308" s="2"/>
    </row>
    <row r="1309">
      <c r="A1309" s="1" t="s">
        <v>774</v>
      </c>
      <c r="B1309" s="1">
        <v>40.0</v>
      </c>
      <c r="C1309" s="2"/>
      <c r="D1309" s="2"/>
      <c r="E1309" s="2"/>
      <c r="F1309" s="2"/>
      <c r="G1309" s="2"/>
    </row>
    <row r="1310">
      <c r="A1310" s="1" t="s">
        <v>775</v>
      </c>
      <c r="B1310" s="1">
        <v>0.0</v>
      </c>
      <c r="C1310" s="2"/>
      <c r="D1310" s="2"/>
      <c r="E1310" s="2"/>
      <c r="F1310" s="2"/>
      <c r="G1310" s="2"/>
    </row>
    <row r="1311">
      <c r="A1311" s="1" t="s">
        <v>776</v>
      </c>
      <c r="B1311" s="1">
        <v>0.0</v>
      </c>
      <c r="C1311" s="2"/>
      <c r="D1311" s="2"/>
      <c r="E1311" s="2"/>
      <c r="F1311" s="2"/>
      <c r="G1311" s="2"/>
    </row>
    <row r="1312">
      <c r="A1312" s="1" t="s">
        <v>777</v>
      </c>
      <c r="B1312" s="1">
        <v>0.0</v>
      </c>
      <c r="C1312" s="2"/>
      <c r="D1312" s="2"/>
      <c r="E1312" s="2"/>
      <c r="F1312" s="2"/>
      <c r="G1312" s="2"/>
    </row>
    <row r="1313">
      <c r="A1313" s="1" t="s">
        <v>778</v>
      </c>
      <c r="B1313" s="1">
        <v>80.0</v>
      </c>
      <c r="C1313" s="2"/>
      <c r="D1313" s="2"/>
      <c r="E1313" s="2"/>
      <c r="F1313" s="2"/>
      <c r="G1313" s="2"/>
    </row>
    <row r="1314">
      <c r="A1314" s="1" t="s">
        <v>779</v>
      </c>
      <c r="B1314" s="1">
        <v>32.0</v>
      </c>
      <c r="C1314" s="2"/>
      <c r="D1314" s="2"/>
      <c r="E1314" s="2"/>
      <c r="F1314" s="2"/>
      <c r="G1314" s="2"/>
    </row>
    <row r="1315">
      <c r="A1315" s="1" t="s">
        <v>780</v>
      </c>
      <c r="B1315" s="1">
        <v>0.0</v>
      </c>
      <c r="C1315" s="2"/>
      <c r="D1315" s="2"/>
      <c r="E1315" s="2"/>
      <c r="F1315" s="2"/>
      <c r="G1315" s="2"/>
    </row>
    <row r="1316">
      <c r="A1316" s="1" t="s">
        <v>781</v>
      </c>
      <c r="B1316" s="1">
        <v>0.0</v>
      </c>
      <c r="C1316" s="2"/>
      <c r="D1316" s="2"/>
      <c r="E1316" s="2"/>
      <c r="F1316" s="2"/>
      <c r="G1316" s="2"/>
    </row>
    <row r="1317">
      <c r="A1317" s="1" t="s">
        <v>782</v>
      </c>
      <c r="B1317" s="1">
        <v>57.0</v>
      </c>
      <c r="C1317" s="2"/>
      <c r="D1317" s="2"/>
      <c r="E1317" s="2"/>
      <c r="F1317" s="2"/>
      <c r="G1317" s="2"/>
    </row>
    <row r="1318">
      <c r="A1318" s="1" t="s">
        <v>783</v>
      </c>
      <c r="B1318" s="1">
        <v>71.0</v>
      </c>
      <c r="C1318" s="2"/>
      <c r="D1318" s="2"/>
      <c r="E1318" s="2"/>
      <c r="F1318" s="2"/>
      <c r="G1318" s="2"/>
    </row>
    <row r="1319">
      <c r="A1319" s="1" t="s">
        <v>784</v>
      </c>
      <c r="B1319" s="1">
        <v>32.0</v>
      </c>
      <c r="C1319" s="2"/>
      <c r="D1319" s="2"/>
      <c r="E1319" s="2"/>
      <c r="F1319" s="2"/>
      <c r="G1319" s="2"/>
    </row>
    <row r="1320">
      <c r="A1320" s="1" t="s">
        <v>785</v>
      </c>
      <c r="B1320" s="1">
        <v>0.0</v>
      </c>
      <c r="C1320" s="2"/>
      <c r="D1320" s="2"/>
      <c r="E1320" s="2"/>
      <c r="F1320" s="2"/>
      <c r="G1320" s="2"/>
    </row>
    <row r="1321">
      <c r="A1321" s="1" t="s">
        <v>786</v>
      </c>
      <c r="B1321" s="1">
        <v>4.0</v>
      </c>
      <c r="C1321" s="2"/>
      <c r="D1321" s="2"/>
      <c r="E1321" s="2"/>
      <c r="F1321" s="2"/>
      <c r="G1321" s="2"/>
    </row>
    <row r="1322">
      <c r="A1322" s="1" t="s">
        <v>787</v>
      </c>
      <c r="B1322" s="1">
        <v>12.0</v>
      </c>
      <c r="C1322" s="2"/>
      <c r="D1322" s="2"/>
      <c r="E1322" s="2"/>
      <c r="F1322" s="2"/>
      <c r="G1322" s="2"/>
    </row>
    <row r="1323">
      <c r="A1323" s="1" t="s">
        <v>788</v>
      </c>
      <c r="B1323" s="1">
        <v>0.0</v>
      </c>
      <c r="C1323" s="2"/>
      <c r="D1323" s="2"/>
      <c r="E1323" s="2"/>
      <c r="F1323" s="2"/>
      <c r="G1323" s="2"/>
    </row>
    <row r="1324">
      <c r="A1324" s="1" t="s">
        <v>789</v>
      </c>
      <c r="B1324" s="1">
        <v>0.0</v>
      </c>
      <c r="C1324" s="2"/>
      <c r="D1324" s="2"/>
      <c r="E1324" s="2"/>
      <c r="F1324" s="2"/>
      <c r="G1324" s="2"/>
    </row>
    <row r="1325">
      <c r="A1325" s="1" t="s">
        <v>790</v>
      </c>
      <c r="B1325" s="1">
        <v>0.0</v>
      </c>
      <c r="C1325" s="2"/>
      <c r="D1325" s="2"/>
      <c r="E1325" s="2"/>
      <c r="F1325" s="2"/>
      <c r="G1325" s="2"/>
    </row>
    <row r="1326">
      <c r="A1326" s="1" t="s">
        <v>791</v>
      </c>
      <c r="B1326" s="1">
        <v>0.0</v>
      </c>
      <c r="C1326" s="2"/>
      <c r="D1326" s="2"/>
      <c r="E1326" s="2"/>
      <c r="F1326" s="2"/>
      <c r="G1326" s="2"/>
    </row>
    <row r="1327">
      <c r="A1327" s="1" t="s">
        <v>792</v>
      </c>
      <c r="B1327" s="1">
        <v>80.0</v>
      </c>
      <c r="C1327" s="2"/>
      <c r="D1327" s="2"/>
      <c r="E1327" s="2"/>
      <c r="F1327" s="2"/>
      <c r="G1327" s="2"/>
    </row>
    <row r="1328">
      <c r="A1328" s="1" t="s">
        <v>793</v>
      </c>
      <c r="B1328" s="1">
        <v>0.0</v>
      </c>
      <c r="C1328" s="2"/>
      <c r="D1328" s="2"/>
      <c r="E1328" s="2"/>
      <c r="F1328" s="2"/>
      <c r="G1328" s="2"/>
    </row>
    <row r="1329">
      <c r="A1329" s="1" t="s">
        <v>722</v>
      </c>
      <c r="B1329" s="1" t="s">
        <v>723</v>
      </c>
      <c r="C1329" s="1" t="s">
        <v>724</v>
      </c>
      <c r="D1329" s="1" t="s">
        <v>725</v>
      </c>
      <c r="E1329" s="1">
        <v>0.0</v>
      </c>
      <c r="F1329" s="2"/>
      <c r="G1329" s="2"/>
    </row>
    <row r="1330">
      <c r="A1330" s="1" t="s">
        <v>726</v>
      </c>
      <c r="B1330" s="1">
        <v>48.0</v>
      </c>
      <c r="C1330" s="2"/>
      <c r="D1330" s="2"/>
      <c r="E1330" s="2"/>
      <c r="F1330" s="2"/>
      <c r="G1330" s="2"/>
    </row>
    <row r="1331">
      <c r="A1331" s="1" t="s">
        <v>727</v>
      </c>
      <c r="B1331" s="1">
        <v>0.0</v>
      </c>
      <c r="C1331" s="2"/>
      <c r="D1331" s="2"/>
      <c r="E1331" s="2"/>
      <c r="F1331" s="2"/>
      <c r="G1331" s="2"/>
    </row>
    <row r="1332">
      <c r="A1332" s="1" t="s">
        <v>728</v>
      </c>
      <c r="B1332" s="1">
        <v>0.0</v>
      </c>
      <c r="C1332" s="2"/>
      <c r="D1332" s="2"/>
      <c r="E1332" s="2"/>
      <c r="F1332" s="2"/>
      <c r="G1332" s="2"/>
    </row>
    <row r="1333">
      <c r="A1333" s="1" t="s">
        <v>729</v>
      </c>
      <c r="B1333" s="1">
        <v>0.0</v>
      </c>
      <c r="C1333" s="2"/>
      <c r="D1333" s="2"/>
      <c r="E1333" s="2"/>
      <c r="F1333" s="2"/>
      <c r="G1333" s="2"/>
    </row>
    <row r="1334">
      <c r="A1334" s="1" t="s">
        <v>730</v>
      </c>
      <c r="B1334" s="1">
        <v>0.0</v>
      </c>
      <c r="C1334" s="2"/>
      <c r="D1334" s="2"/>
      <c r="E1334" s="2"/>
      <c r="F1334" s="2"/>
      <c r="G1334" s="2"/>
    </row>
    <row r="1335">
      <c r="A1335" s="1" t="s">
        <v>731</v>
      </c>
      <c r="B1335" s="1">
        <v>0.0</v>
      </c>
      <c r="C1335" s="2"/>
      <c r="D1335" s="2"/>
      <c r="E1335" s="2"/>
      <c r="F1335" s="2"/>
      <c r="G1335" s="2"/>
    </row>
    <row r="1336">
      <c r="A1336" s="1" t="s">
        <v>732</v>
      </c>
      <c r="B1336" s="1">
        <v>0.0</v>
      </c>
      <c r="C1336" s="2"/>
      <c r="D1336" s="2"/>
      <c r="E1336" s="2"/>
      <c r="F1336" s="2"/>
      <c r="G1336" s="2"/>
    </row>
    <row r="1337">
      <c r="A1337" s="1" t="s">
        <v>733</v>
      </c>
      <c r="B1337" s="1">
        <v>95.0</v>
      </c>
      <c r="C1337" s="2"/>
      <c r="D1337" s="2"/>
      <c r="E1337" s="2"/>
      <c r="F1337" s="2"/>
      <c r="G1337" s="2"/>
    </row>
    <row r="1338">
      <c r="A1338" s="1" t="s">
        <v>734</v>
      </c>
      <c r="B1338" s="1">
        <v>0.0</v>
      </c>
      <c r="C1338" s="2"/>
      <c r="D1338" s="2"/>
      <c r="E1338" s="2"/>
      <c r="F1338" s="2"/>
      <c r="G1338" s="2"/>
    </row>
    <row r="1339">
      <c r="A1339" s="1" t="s">
        <v>735</v>
      </c>
      <c r="B1339" s="1">
        <v>47.0</v>
      </c>
      <c r="C1339" s="2"/>
      <c r="D1339" s="2"/>
      <c r="E1339" s="2"/>
      <c r="F1339" s="2"/>
      <c r="G1339" s="2"/>
    </row>
    <row r="1340">
      <c r="A1340" s="1" t="s">
        <v>736</v>
      </c>
      <c r="B1340" s="1">
        <v>0.0</v>
      </c>
      <c r="C1340" s="2"/>
      <c r="D1340" s="2"/>
      <c r="E1340" s="2"/>
      <c r="F1340" s="2"/>
      <c r="G1340" s="2"/>
    </row>
    <row r="1341">
      <c r="A1341" s="1" t="s">
        <v>737</v>
      </c>
      <c r="B1341" s="1">
        <v>0.0</v>
      </c>
      <c r="C1341" s="2"/>
      <c r="D1341" s="2"/>
      <c r="E1341" s="2"/>
      <c r="F1341" s="2"/>
      <c r="G1341" s="2"/>
    </row>
    <row r="1342">
      <c r="A1342" s="1" t="s">
        <v>738</v>
      </c>
      <c r="B1342" s="1">
        <v>0.0</v>
      </c>
      <c r="C1342" s="2"/>
      <c r="D1342" s="2"/>
      <c r="E1342" s="2"/>
      <c r="F1342" s="2"/>
      <c r="G1342" s="2"/>
    </row>
    <row r="1343">
      <c r="A1343" s="1" t="s">
        <v>739</v>
      </c>
      <c r="B1343" s="1">
        <v>0.0</v>
      </c>
      <c r="C1343" s="2"/>
      <c r="D1343" s="2"/>
      <c r="E1343" s="2"/>
      <c r="F1343" s="2"/>
      <c r="G1343" s="2"/>
    </row>
    <row r="1344">
      <c r="A1344" s="1" t="s">
        <v>740</v>
      </c>
      <c r="B1344" s="1">
        <v>0.0</v>
      </c>
      <c r="C1344" s="2"/>
      <c r="D1344" s="2"/>
      <c r="E1344" s="2"/>
      <c r="F1344" s="2"/>
      <c r="G1344" s="2"/>
    </row>
    <row r="1345">
      <c r="A1345" s="1" t="s">
        <v>741</v>
      </c>
      <c r="B1345" s="1">
        <v>0.0</v>
      </c>
      <c r="C1345" s="2"/>
      <c r="D1345" s="2"/>
      <c r="E1345" s="2"/>
      <c r="F1345" s="2"/>
      <c r="G1345" s="2"/>
    </row>
    <row r="1346">
      <c r="A1346" s="1" t="s">
        <v>742</v>
      </c>
      <c r="B1346" s="1">
        <v>0.0</v>
      </c>
      <c r="C1346" s="2"/>
      <c r="D1346" s="2"/>
      <c r="E1346" s="2"/>
      <c r="F1346" s="2"/>
      <c r="G1346" s="2"/>
    </row>
    <row r="1347">
      <c r="A1347" s="1" t="s">
        <v>743</v>
      </c>
      <c r="B1347" s="1">
        <v>0.0</v>
      </c>
      <c r="C1347" s="2"/>
      <c r="D1347" s="2"/>
      <c r="E1347" s="2"/>
      <c r="F1347" s="2"/>
      <c r="G1347" s="2"/>
    </row>
    <row r="1348">
      <c r="A1348" s="1" t="s">
        <v>744</v>
      </c>
      <c r="B1348" s="1">
        <v>0.0</v>
      </c>
      <c r="C1348" s="2"/>
      <c r="D1348" s="2"/>
      <c r="E1348" s="2"/>
      <c r="F1348" s="2"/>
      <c r="G1348" s="2"/>
    </row>
    <row r="1349">
      <c r="A1349" s="1" t="s">
        <v>745</v>
      </c>
      <c r="B1349" s="1">
        <v>28.0</v>
      </c>
      <c r="C1349" s="2"/>
      <c r="D1349" s="2"/>
      <c r="E1349" s="2"/>
      <c r="F1349" s="2"/>
      <c r="G1349" s="2"/>
    </row>
    <row r="1350">
      <c r="A1350" s="1" t="s">
        <v>746</v>
      </c>
      <c r="B1350" s="1">
        <v>0.0</v>
      </c>
      <c r="C1350" s="2"/>
      <c r="D1350" s="2"/>
      <c r="E1350" s="2"/>
      <c r="F1350" s="2"/>
      <c r="G1350" s="2"/>
    </row>
    <row r="1351">
      <c r="A1351" s="1" t="s">
        <v>747</v>
      </c>
      <c r="B1351" s="1">
        <v>0.0</v>
      </c>
      <c r="C1351" s="2"/>
      <c r="D1351" s="2"/>
      <c r="E1351" s="2"/>
      <c r="F1351" s="2"/>
      <c r="G1351" s="2"/>
    </row>
    <row r="1352">
      <c r="A1352" s="1" t="s">
        <v>748</v>
      </c>
      <c r="B1352" s="1">
        <v>0.0</v>
      </c>
      <c r="C1352" s="2"/>
      <c r="D1352" s="2"/>
      <c r="E1352" s="2"/>
      <c r="F1352" s="2"/>
      <c r="G1352" s="2"/>
    </row>
    <row r="1353">
      <c r="A1353" s="1" t="s">
        <v>749</v>
      </c>
      <c r="B1353" s="1">
        <v>22.0</v>
      </c>
      <c r="C1353" s="2"/>
      <c r="D1353" s="2"/>
      <c r="E1353" s="2"/>
      <c r="F1353" s="2"/>
      <c r="G1353" s="2"/>
    </row>
    <row r="1354">
      <c r="A1354" s="1" t="s">
        <v>750</v>
      </c>
      <c r="B1354" s="1">
        <v>0.0</v>
      </c>
      <c r="C1354" s="2"/>
      <c r="D1354" s="2"/>
      <c r="E1354" s="2"/>
      <c r="F1354" s="2"/>
      <c r="G1354" s="2"/>
    </row>
    <row r="1355">
      <c r="A1355" s="1" t="s">
        <v>751</v>
      </c>
      <c r="B1355" s="1">
        <v>66.0</v>
      </c>
      <c r="C1355" s="2"/>
      <c r="D1355" s="2"/>
      <c r="E1355" s="2"/>
      <c r="F1355" s="2"/>
      <c r="G1355" s="2"/>
    </row>
    <row r="1356">
      <c r="A1356" s="1" t="s">
        <v>752</v>
      </c>
      <c r="B1356" s="1">
        <v>0.0</v>
      </c>
      <c r="C1356" s="2"/>
      <c r="D1356" s="2"/>
      <c r="E1356" s="2"/>
      <c r="F1356" s="2"/>
      <c r="G1356" s="2"/>
    </row>
    <row r="1357">
      <c r="A1357" s="1" t="s">
        <v>753</v>
      </c>
      <c r="B1357" s="1">
        <v>0.0</v>
      </c>
      <c r="C1357" s="2"/>
      <c r="D1357" s="2"/>
      <c r="E1357" s="2"/>
      <c r="F1357" s="2"/>
      <c r="G1357" s="2"/>
    </row>
    <row r="1358">
      <c r="A1358" s="1" t="s">
        <v>754</v>
      </c>
      <c r="B1358" s="1">
        <v>0.0</v>
      </c>
      <c r="C1358" s="2"/>
      <c r="D1358" s="2"/>
      <c r="E1358" s="2"/>
      <c r="F1358" s="2"/>
      <c r="G1358" s="2"/>
    </row>
    <row r="1359">
      <c r="A1359" s="1" t="s">
        <v>755</v>
      </c>
      <c r="B1359" s="1">
        <v>0.0</v>
      </c>
      <c r="C1359" s="2"/>
      <c r="D1359" s="2"/>
      <c r="E1359" s="2"/>
      <c r="F1359" s="2"/>
      <c r="G1359" s="2"/>
    </row>
    <row r="1360">
      <c r="A1360" s="1" t="s">
        <v>756</v>
      </c>
      <c r="B1360" s="1">
        <v>0.0</v>
      </c>
      <c r="C1360" s="2"/>
      <c r="D1360" s="2"/>
      <c r="E1360" s="2"/>
      <c r="F1360" s="2"/>
      <c r="G1360" s="2"/>
    </row>
    <row r="1361">
      <c r="A1361" s="1" t="s">
        <v>757</v>
      </c>
      <c r="B1361" s="1">
        <v>0.0</v>
      </c>
      <c r="C1361" s="2"/>
      <c r="D1361" s="2"/>
      <c r="E1361" s="2"/>
      <c r="F1361" s="2"/>
      <c r="G1361" s="2"/>
    </row>
    <row r="1362">
      <c r="A1362" s="1" t="s">
        <v>758</v>
      </c>
      <c r="B1362" s="1">
        <v>0.0</v>
      </c>
      <c r="C1362" s="2"/>
      <c r="D1362" s="2"/>
      <c r="E1362" s="2"/>
      <c r="F1362" s="2"/>
      <c r="G1362" s="2"/>
    </row>
    <row r="1363">
      <c r="A1363" s="1" t="s">
        <v>759</v>
      </c>
      <c r="B1363" s="1">
        <v>66.0</v>
      </c>
      <c r="C1363" s="2"/>
      <c r="D1363" s="2"/>
      <c r="E1363" s="2"/>
      <c r="F1363" s="2"/>
      <c r="G1363" s="2"/>
    </row>
    <row r="1364">
      <c r="A1364" s="1" t="s">
        <v>760</v>
      </c>
      <c r="B1364" s="1">
        <v>0.0</v>
      </c>
      <c r="C1364" s="2"/>
      <c r="D1364" s="2"/>
      <c r="E1364" s="2"/>
      <c r="F1364" s="2"/>
      <c r="G1364" s="2"/>
    </row>
    <row r="1365">
      <c r="A1365" s="1" t="s">
        <v>761</v>
      </c>
      <c r="B1365" s="1">
        <v>0.0</v>
      </c>
      <c r="C1365" s="2"/>
      <c r="D1365" s="2"/>
      <c r="E1365" s="2"/>
      <c r="F1365" s="2"/>
      <c r="G1365" s="2"/>
    </row>
    <row r="1366">
      <c r="A1366" s="1" t="s">
        <v>762</v>
      </c>
      <c r="B1366" s="1">
        <v>20.0</v>
      </c>
      <c r="C1366" s="2"/>
      <c r="D1366" s="2"/>
      <c r="E1366" s="2"/>
      <c r="F1366" s="2"/>
      <c r="G1366" s="2"/>
    </row>
    <row r="1367">
      <c r="A1367" s="1" t="s">
        <v>763</v>
      </c>
      <c r="B1367" s="1">
        <v>10.0</v>
      </c>
      <c r="C1367" s="2"/>
      <c r="D1367" s="2"/>
      <c r="E1367" s="2"/>
      <c r="F1367" s="2"/>
      <c r="G1367" s="2"/>
    </row>
    <row r="1368">
      <c r="A1368" s="1" t="s">
        <v>764</v>
      </c>
      <c r="B1368" s="1">
        <v>0.0</v>
      </c>
      <c r="C1368" s="2"/>
      <c r="D1368" s="2"/>
      <c r="E1368" s="2"/>
      <c r="F1368" s="2"/>
      <c r="G1368" s="2"/>
    </row>
    <row r="1369">
      <c r="A1369" s="1" t="s">
        <v>765</v>
      </c>
      <c r="B1369" s="1">
        <v>0.0</v>
      </c>
      <c r="C1369" s="2"/>
      <c r="D1369" s="2"/>
      <c r="E1369" s="2"/>
      <c r="F1369" s="2"/>
      <c r="G1369" s="2"/>
    </row>
    <row r="1370">
      <c r="A1370" s="1" t="s">
        <v>766</v>
      </c>
      <c r="B1370" s="1">
        <v>0.0</v>
      </c>
      <c r="C1370" s="2"/>
      <c r="D1370" s="2"/>
      <c r="E1370" s="2"/>
      <c r="F1370" s="2"/>
      <c r="G1370" s="2"/>
    </row>
    <row r="1371">
      <c r="A1371" s="1" t="s">
        <v>767</v>
      </c>
      <c r="B1371" s="1">
        <v>0.0</v>
      </c>
      <c r="C1371" s="2"/>
      <c r="D1371" s="2"/>
      <c r="E1371" s="2"/>
      <c r="F1371" s="2"/>
      <c r="G1371" s="2"/>
    </row>
    <row r="1372">
      <c r="A1372" s="1" t="s">
        <v>768</v>
      </c>
      <c r="B1372" s="1">
        <v>0.0</v>
      </c>
      <c r="C1372" s="2"/>
      <c r="D1372" s="2"/>
      <c r="E1372" s="2"/>
      <c r="F1372" s="2"/>
      <c r="G1372" s="2"/>
    </row>
    <row r="1373">
      <c r="A1373" s="1" t="s">
        <v>769</v>
      </c>
      <c r="B1373" s="1">
        <v>88.0</v>
      </c>
      <c r="C1373" s="2"/>
      <c r="D1373" s="2"/>
      <c r="E1373" s="2"/>
      <c r="F1373" s="2"/>
      <c r="G1373" s="2"/>
    </row>
    <row r="1374">
      <c r="A1374" s="1" t="s">
        <v>770</v>
      </c>
      <c r="B1374" s="1">
        <v>0.0</v>
      </c>
      <c r="C1374" s="2"/>
      <c r="D1374" s="2"/>
      <c r="E1374" s="2"/>
      <c r="F1374" s="2"/>
      <c r="G1374" s="2"/>
    </row>
    <row r="1375">
      <c r="A1375" s="1" t="s">
        <v>771</v>
      </c>
      <c r="B1375" s="1">
        <v>0.0</v>
      </c>
      <c r="C1375" s="2"/>
      <c r="D1375" s="2"/>
      <c r="E1375" s="2"/>
      <c r="F1375" s="2"/>
      <c r="G1375" s="2"/>
    </row>
    <row r="1376">
      <c r="A1376" s="1" t="s">
        <v>772</v>
      </c>
      <c r="B1376" s="1">
        <v>46.0</v>
      </c>
      <c r="C1376" s="2"/>
      <c r="D1376" s="2"/>
      <c r="E1376" s="2"/>
      <c r="F1376" s="2"/>
      <c r="G1376" s="2"/>
    </row>
    <row r="1377">
      <c r="A1377" s="1" t="s">
        <v>773</v>
      </c>
      <c r="B1377" s="1">
        <v>67.0</v>
      </c>
      <c r="C1377" s="2"/>
      <c r="D1377" s="2"/>
      <c r="E1377" s="2"/>
      <c r="F1377" s="2"/>
      <c r="G1377" s="2"/>
    </row>
    <row r="1378">
      <c r="A1378" s="1" t="s">
        <v>774</v>
      </c>
      <c r="B1378" s="1">
        <v>40.0</v>
      </c>
      <c r="C1378" s="2"/>
      <c r="D1378" s="2"/>
      <c r="E1378" s="2"/>
      <c r="F1378" s="2"/>
      <c r="G1378" s="2"/>
    </row>
    <row r="1379">
      <c r="A1379" s="1" t="s">
        <v>775</v>
      </c>
      <c r="B1379" s="1">
        <v>0.0</v>
      </c>
      <c r="C1379" s="2"/>
      <c r="D1379" s="2"/>
      <c r="E1379" s="2"/>
      <c r="F1379" s="2"/>
      <c r="G1379" s="2"/>
    </row>
    <row r="1380">
      <c r="A1380" s="1" t="s">
        <v>776</v>
      </c>
      <c r="B1380" s="1">
        <v>0.0</v>
      </c>
      <c r="C1380" s="2"/>
      <c r="D1380" s="2"/>
      <c r="E1380" s="2"/>
      <c r="F1380" s="2"/>
      <c r="G1380" s="2"/>
    </row>
    <row r="1381">
      <c r="A1381" s="1" t="s">
        <v>777</v>
      </c>
      <c r="B1381" s="1">
        <v>0.0</v>
      </c>
      <c r="C1381" s="2"/>
      <c r="D1381" s="2"/>
      <c r="E1381" s="2"/>
      <c r="F1381" s="2"/>
      <c r="G1381" s="2"/>
    </row>
    <row r="1382">
      <c r="A1382" s="1" t="s">
        <v>778</v>
      </c>
      <c r="B1382" s="1">
        <v>80.0</v>
      </c>
      <c r="C1382" s="2"/>
      <c r="D1382" s="2"/>
      <c r="E1382" s="2"/>
      <c r="F1382" s="2"/>
      <c r="G1382" s="2"/>
    </row>
    <row r="1383">
      <c r="A1383" s="1" t="s">
        <v>779</v>
      </c>
      <c r="B1383" s="1">
        <v>32.0</v>
      </c>
      <c r="C1383" s="2"/>
      <c r="D1383" s="2"/>
      <c r="E1383" s="2"/>
      <c r="F1383" s="2"/>
      <c r="G1383" s="2"/>
    </row>
    <row r="1384">
      <c r="A1384" s="1" t="s">
        <v>780</v>
      </c>
      <c r="B1384" s="1">
        <v>0.0</v>
      </c>
      <c r="C1384" s="2"/>
      <c r="D1384" s="2"/>
      <c r="E1384" s="2"/>
      <c r="F1384" s="2"/>
      <c r="G1384" s="2"/>
    </row>
    <row r="1385">
      <c r="A1385" s="1" t="s">
        <v>781</v>
      </c>
      <c r="B1385" s="1">
        <v>0.0</v>
      </c>
      <c r="C1385" s="2"/>
      <c r="D1385" s="2"/>
      <c r="E1385" s="2"/>
      <c r="F1385" s="2"/>
      <c r="G1385" s="2"/>
    </row>
    <row r="1386">
      <c r="A1386" s="1" t="s">
        <v>782</v>
      </c>
      <c r="B1386" s="1">
        <v>57.0</v>
      </c>
      <c r="C1386" s="2"/>
      <c r="D1386" s="2"/>
      <c r="E1386" s="2"/>
      <c r="F1386" s="2"/>
      <c r="G1386" s="2"/>
    </row>
    <row r="1387">
      <c r="A1387" s="1" t="s">
        <v>783</v>
      </c>
      <c r="B1387" s="1">
        <v>71.0</v>
      </c>
      <c r="C1387" s="2"/>
      <c r="D1387" s="2"/>
      <c r="E1387" s="2"/>
      <c r="F1387" s="2"/>
      <c r="G1387" s="2"/>
    </row>
    <row r="1388">
      <c r="A1388" s="1" t="s">
        <v>784</v>
      </c>
      <c r="B1388" s="1">
        <v>32.0</v>
      </c>
      <c r="C1388" s="2"/>
      <c r="D1388" s="2"/>
      <c r="E1388" s="2"/>
      <c r="F1388" s="2"/>
      <c r="G1388" s="2"/>
    </row>
    <row r="1389">
      <c r="A1389" s="1" t="s">
        <v>785</v>
      </c>
      <c r="B1389" s="1">
        <v>0.0</v>
      </c>
      <c r="C1389" s="2"/>
      <c r="D1389" s="2"/>
      <c r="E1389" s="2"/>
      <c r="F1389" s="2"/>
      <c r="G1389" s="2"/>
    </row>
    <row r="1390">
      <c r="A1390" s="1" t="s">
        <v>786</v>
      </c>
      <c r="B1390" s="1">
        <v>4.0</v>
      </c>
      <c r="C1390" s="2"/>
      <c r="D1390" s="2"/>
      <c r="E1390" s="2"/>
      <c r="F1390" s="2"/>
      <c r="G1390" s="2"/>
    </row>
    <row r="1391">
      <c r="A1391" s="1" t="s">
        <v>787</v>
      </c>
      <c r="B1391" s="1">
        <v>12.0</v>
      </c>
      <c r="C1391" s="2"/>
      <c r="D1391" s="2"/>
      <c r="E1391" s="2"/>
      <c r="F1391" s="2"/>
      <c r="G1391" s="2"/>
    </row>
    <row r="1392">
      <c r="A1392" s="1" t="s">
        <v>788</v>
      </c>
      <c r="B1392" s="1">
        <v>0.0</v>
      </c>
      <c r="C1392" s="2"/>
      <c r="D1392" s="2"/>
      <c r="E1392" s="2"/>
      <c r="F1392" s="2"/>
      <c r="G1392" s="2"/>
    </row>
    <row r="1393">
      <c r="A1393" s="1" t="s">
        <v>789</v>
      </c>
      <c r="B1393" s="1">
        <v>0.0</v>
      </c>
      <c r="C1393" s="2"/>
      <c r="D1393" s="2"/>
      <c r="E1393" s="2"/>
      <c r="F1393" s="2"/>
      <c r="G1393" s="2"/>
    </row>
    <row r="1394">
      <c r="A1394" s="1" t="s">
        <v>790</v>
      </c>
      <c r="B1394" s="1">
        <v>0.0</v>
      </c>
      <c r="C1394" s="2"/>
      <c r="D1394" s="2"/>
      <c r="E1394" s="2"/>
      <c r="F1394" s="2"/>
      <c r="G1394" s="2"/>
    </row>
    <row r="1395">
      <c r="A1395" s="1" t="s">
        <v>791</v>
      </c>
      <c r="B1395" s="1">
        <v>0.0</v>
      </c>
      <c r="C1395" s="2"/>
      <c r="D1395" s="2"/>
      <c r="E1395" s="2"/>
      <c r="F1395" s="2"/>
      <c r="G1395" s="2"/>
    </row>
    <row r="1396">
      <c r="A1396" s="1" t="s">
        <v>792</v>
      </c>
      <c r="B1396" s="1">
        <v>80.0</v>
      </c>
      <c r="C1396" s="2"/>
      <c r="D1396" s="2"/>
      <c r="E1396" s="2"/>
      <c r="F1396" s="2"/>
      <c r="G1396" s="2"/>
    </row>
    <row r="1397">
      <c r="A1397" s="1" t="s">
        <v>793</v>
      </c>
      <c r="B1397" s="1">
        <v>0.0</v>
      </c>
      <c r="C1397" s="2"/>
      <c r="D1397" s="2"/>
      <c r="E1397" s="2"/>
      <c r="F1397" s="2"/>
      <c r="G1397" s="2"/>
    </row>
    <row r="1398">
      <c r="A1398" s="1" t="s">
        <v>794</v>
      </c>
      <c r="B1398" s="1">
        <v>60.0</v>
      </c>
      <c r="C1398" s="2"/>
      <c r="D1398" s="2"/>
      <c r="E1398" s="2"/>
      <c r="F1398" s="2"/>
      <c r="G1398" s="2"/>
    </row>
    <row r="1399">
      <c r="A1399" s="1" t="s">
        <v>795</v>
      </c>
      <c r="B1399" s="1">
        <v>0.0</v>
      </c>
      <c r="C1399" s="2"/>
      <c r="D1399" s="2"/>
      <c r="E1399" s="2"/>
      <c r="F1399" s="2"/>
      <c r="G1399" s="2"/>
    </row>
    <row r="1400">
      <c r="A1400" s="1" t="s">
        <v>796</v>
      </c>
      <c r="B1400" s="1">
        <v>90.0</v>
      </c>
      <c r="C1400" s="2"/>
      <c r="D1400" s="2"/>
      <c r="E1400" s="2"/>
      <c r="F1400" s="2"/>
      <c r="G1400" s="2"/>
    </row>
    <row r="1401">
      <c r="A1401" s="1" t="s">
        <v>797</v>
      </c>
      <c r="B1401" s="1">
        <v>0.0</v>
      </c>
      <c r="C1401" s="2"/>
      <c r="D1401" s="2"/>
      <c r="E1401" s="2"/>
      <c r="F1401" s="2"/>
      <c r="G1401" s="2"/>
    </row>
    <row r="1402">
      <c r="A1402" s="1" t="s">
        <v>798</v>
      </c>
      <c r="B1402" s="1">
        <v>0.0</v>
      </c>
      <c r="C1402" s="2"/>
      <c r="D1402" s="2"/>
      <c r="E1402" s="2"/>
      <c r="F1402" s="2"/>
      <c r="G1402" s="2"/>
    </row>
    <row r="1403">
      <c r="A1403" s="1" t="s">
        <v>799</v>
      </c>
      <c r="B1403" s="1">
        <v>0.0</v>
      </c>
      <c r="C1403" s="2"/>
      <c r="D1403" s="2"/>
      <c r="E1403" s="2"/>
      <c r="F1403" s="2"/>
      <c r="G1403" s="2"/>
    </row>
    <row r="1404">
      <c r="A1404" s="1" t="s">
        <v>800</v>
      </c>
      <c r="B1404" s="1">
        <v>0.0</v>
      </c>
      <c r="C1404" s="2"/>
      <c r="D1404" s="2"/>
      <c r="E1404" s="2"/>
      <c r="F1404" s="2"/>
      <c r="G1404" s="2"/>
    </row>
    <row r="1405">
      <c r="A1405" s="1" t="s">
        <v>801</v>
      </c>
      <c r="B1405" s="1">
        <v>0.0</v>
      </c>
      <c r="C1405" s="2"/>
      <c r="D1405" s="2"/>
      <c r="E1405" s="2"/>
      <c r="F1405" s="2"/>
      <c r="G1405" s="2"/>
    </row>
    <row r="1406">
      <c r="A1406" s="1" t="s">
        <v>802</v>
      </c>
      <c r="B1406" s="1">
        <v>19.0</v>
      </c>
      <c r="C1406" s="2"/>
      <c r="D1406" s="2"/>
      <c r="E1406" s="2"/>
      <c r="F1406" s="2"/>
      <c r="G1406" s="2"/>
    </row>
    <row r="1407">
      <c r="A1407" s="1" t="s">
        <v>803</v>
      </c>
      <c r="B1407" s="1">
        <v>0.0</v>
      </c>
      <c r="C1407" s="2"/>
      <c r="D1407" s="2"/>
      <c r="E1407" s="2"/>
      <c r="F1407" s="2"/>
      <c r="G1407" s="2"/>
    </row>
    <row r="1408">
      <c r="A1408" s="1" t="s">
        <v>804</v>
      </c>
      <c r="B1408" s="1">
        <v>0.0</v>
      </c>
      <c r="C1408" s="2"/>
      <c r="D1408" s="2"/>
      <c r="E1408" s="2"/>
      <c r="F1408" s="2"/>
      <c r="G1408" s="2"/>
    </row>
    <row r="1409">
      <c r="A1409" s="1" t="s">
        <v>805</v>
      </c>
      <c r="B1409" s="1">
        <v>42.0</v>
      </c>
      <c r="C1409" s="2"/>
      <c r="D1409" s="2"/>
      <c r="E1409" s="2"/>
      <c r="F1409" s="2"/>
      <c r="G1409" s="2"/>
    </row>
    <row r="1410">
      <c r="A1410" s="1" t="s">
        <v>806</v>
      </c>
      <c r="B1410" s="1">
        <v>57.0</v>
      </c>
      <c r="C1410" s="2"/>
      <c r="D1410" s="2"/>
      <c r="E1410" s="2"/>
      <c r="F1410" s="2"/>
      <c r="G1410" s="2"/>
    </row>
    <row r="1411">
      <c r="A1411" s="1" t="s">
        <v>807</v>
      </c>
      <c r="B1411" s="1">
        <v>17.0</v>
      </c>
      <c r="C1411" s="2"/>
      <c r="D1411" s="2"/>
      <c r="E1411" s="2"/>
      <c r="F1411" s="2"/>
      <c r="G1411" s="2"/>
    </row>
    <row r="1412">
      <c r="A1412" s="1" t="s">
        <v>808</v>
      </c>
      <c r="B1412" s="1">
        <v>10.0</v>
      </c>
      <c r="C1412" s="2"/>
      <c r="D1412" s="2"/>
      <c r="E1412" s="2"/>
      <c r="F1412" s="2"/>
      <c r="G1412" s="2"/>
    </row>
    <row r="1413">
      <c r="A1413" s="1" t="s">
        <v>809</v>
      </c>
      <c r="B1413" s="1">
        <v>0.0</v>
      </c>
      <c r="C1413" s="2"/>
      <c r="D1413" s="2"/>
      <c r="E1413" s="2"/>
      <c r="F1413" s="2"/>
      <c r="G1413" s="2"/>
    </row>
    <row r="1414">
      <c r="A1414" s="1" t="s">
        <v>810</v>
      </c>
      <c r="B1414" s="1">
        <v>8.0</v>
      </c>
      <c r="C1414" s="2"/>
      <c r="D1414" s="2"/>
      <c r="E1414" s="2"/>
      <c r="F1414" s="2"/>
      <c r="G1414" s="2"/>
    </row>
    <row r="1415">
      <c r="A1415" s="1" t="s">
        <v>811</v>
      </c>
      <c r="B1415" s="1">
        <v>8.0</v>
      </c>
      <c r="C1415" s="2"/>
      <c r="D1415" s="2"/>
      <c r="E1415" s="2"/>
      <c r="F1415" s="2"/>
      <c r="G1415" s="2"/>
    </row>
    <row r="1416">
      <c r="A1416" s="1" t="s">
        <v>812</v>
      </c>
      <c r="B1416" s="1">
        <v>11.0</v>
      </c>
      <c r="C1416" s="2"/>
      <c r="D1416" s="2"/>
      <c r="E1416" s="2"/>
      <c r="F1416" s="2"/>
      <c r="G1416" s="2"/>
    </row>
    <row r="1417">
      <c r="A1417" s="1" t="s">
        <v>813</v>
      </c>
      <c r="B1417" s="1">
        <v>24.0</v>
      </c>
      <c r="C1417" s="2"/>
      <c r="D1417" s="2"/>
      <c r="E1417" s="2"/>
      <c r="F1417" s="2"/>
      <c r="G1417" s="2"/>
    </row>
    <row r="1418">
      <c r="A1418" s="1" t="s">
        <v>814</v>
      </c>
      <c r="B1418" s="1">
        <v>0.0</v>
      </c>
      <c r="C1418" s="2"/>
      <c r="D1418" s="2"/>
      <c r="E1418" s="2"/>
      <c r="F1418" s="2"/>
      <c r="G1418" s="2"/>
    </row>
    <row r="1419">
      <c r="A1419" s="1" t="s">
        <v>815</v>
      </c>
      <c r="B1419" s="1">
        <v>0.0</v>
      </c>
      <c r="C1419" s="2"/>
      <c r="D1419" s="2"/>
      <c r="E1419" s="2"/>
      <c r="F1419" s="2"/>
      <c r="G1419" s="2"/>
    </row>
    <row r="1420">
      <c r="A1420" s="1" t="s">
        <v>816</v>
      </c>
      <c r="B1420" s="1">
        <v>0.0</v>
      </c>
      <c r="C1420" s="2"/>
      <c r="D1420" s="2"/>
      <c r="E1420" s="2"/>
      <c r="F1420" s="2"/>
      <c r="G1420" s="2"/>
    </row>
    <row r="1421">
      <c r="A1421" s="1" t="s">
        <v>817</v>
      </c>
      <c r="B1421" s="1" t="s">
        <v>818</v>
      </c>
      <c r="C1421" s="1">
        <v>8.0</v>
      </c>
      <c r="D1421" s="2"/>
      <c r="E1421" s="2"/>
      <c r="F1421" s="2"/>
      <c r="G1421" s="2"/>
    </row>
    <row r="1422">
      <c r="A1422" s="1" t="s">
        <v>819</v>
      </c>
      <c r="B1422" s="1">
        <v>0.0</v>
      </c>
      <c r="C1422" s="2"/>
      <c r="D1422" s="2"/>
      <c r="E1422" s="2"/>
      <c r="F1422" s="2"/>
      <c r="G1422" s="2"/>
    </row>
    <row r="1423">
      <c r="A1423" s="1" t="s">
        <v>820</v>
      </c>
      <c r="B1423" s="1">
        <v>50.0</v>
      </c>
      <c r="C1423" s="2"/>
      <c r="D1423" s="2"/>
      <c r="E1423" s="2"/>
      <c r="F1423" s="2"/>
      <c r="G1423" s="2"/>
    </row>
    <row r="1424">
      <c r="A1424" s="1" t="s">
        <v>821</v>
      </c>
      <c r="B1424" s="1">
        <v>29.0</v>
      </c>
      <c r="C1424" s="2"/>
      <c r="D1424" s="2"/>
      <c r="E1424" s="2"/>
      <c r="F1424" s="2"/>
      <c r="G1424" s="2"/>
    </row>
    <row r="1425">
      <c r="A1425" s="1" t="s">
        <v>822</v>
      </c>
      <c r="B1425" s="1">
        <v>29.0</v>
      </c>
      <c r="C1425" s="2"/>
      <c r="D1425" s="2"/>
      <c r="E1425" s="2"/>
      <c r="F1425" s="2"/>
      <c r="G1425" s="2"/>
    </row>
    <row r="1426">
      <c r="A1426" s="1" t="s">
        <v>823</v>
      </c>
      <c r="B1426" s="1">
        <v>46.0</v>
      </c>
      <c r="C1426" s="2"/>
      <c r="D1426" s="2"/>
      <c r="E1426" s="2"/>
      <c r="F1426" s="2"/>
      <c r="G1426" s="2"/>
    </row>
    <row r="1427">
      <c r="A1427" s="1" t="s">
        <v>824</v>
      </c>
      <c r="B1427" s="1">
        <v>64.0</v>
      </c>
      <c r="C1427" s="2"/>
      <c r="D1427" s="2"/>
      <c r="E1427" s="2"/>
      <c r="F1427" s="2"/>
      <c r="G1427" s="2"/>
    </row>
    <row r="1428">
      <c r="A1428" s="1" t="s">
        <v>825</v>
      </c>
      <c r="B1428" s="1">
        <v>0.0</v>
      </c>
      <c r="C1428" s="2"/>
      <c r="D1428" s="2"/>
      <c r="E1428" s="2"/>
      <c r="F1428" s="2"/>
      <c r="G1428" s="2"/>
    </row>
    <row r="1429">
      <c r="A1429" s="1" t="s">
        <v>826</v>
      </c>
      <c r="B1429" s="1">
        <v>0.0</v>
      </c>
      <c r="C1429" s="2"/>
      <c r="D1429" s="2"/>
      <c r="E1429" s="2"/>
      <c r="F1429" s="2"/>
      <c r="G1429" s="2"/>
    </row>
    <row r="1430">
      <c r="A1430" s="1" t="s">
        <v>827</v>
      </c>
      <c r="B1430" s="1">
        <v>0.0</v>
      </c>
      <c r="C1430" s="2"/>
      <c r="D1430" s="2"/>
      <c r="E1430" s="2"/>
      <c r="F1430" s="2"/>
      <c r="G1430" s="2"/>
    </row>
    <row r="1431">
      <c r="A1431" s="1" t="s">
        <v>828</v>
      </c>
      <c r="B1431" s="1">
        <v>0.0</v>
      </c>
      <c r="C1431" s="2"/>
      <c r="D1431" s="2"/>
      <c r="E1431" s="2"/>
      <c r="F1431" s="2"/>
      <c r="G1431" s="2"/>
    </row>
    <row r="1432">
      <c r="A1432" s="1" t="s">
        <v>829</v>
      </c>
      <c r="B1432" s="1">
        <v>0.0</v>
      </c>
      <c r="C1432" s="2"/>
      <c r="D1432" s="2"/>
      <c r="E1432" s="2"/>
      <c r="F1432" s="2"/>
      <c r="G1432" s="2"/>
    </row>
    <row r="1433">
      <c r="A1433" s="1" t="s">
        <v>830</v>
      </c>
      <c r="B1433" s="1">
        <v>0.0</v>
      </c>
      <c r="C1433" s="2"/>
      <c r="D1433" s="2"/>
      <c r="E1433" s="2"/>
      <c r="F1433" s="2"/>
      <c r="G1433" s="2"/>
    </row>
    <row r="1434">
      <c r="A1434" s="1" t="s">
        <v>831</v>
      </c>
      <c r="B1434" s="1">
        <v>0.0</v>
      </c>
      <c r="C1434" s="2"/>
      <c r="D1434" s="2"/>
      <c r="E1434" s="2"/>
      <c r="F1434" s="2"/>
      <c r="G1434" s="2"/>
    </row>
    <row r="1435">
      <c r="A1435" s="1" t="s">
        <v>832</v>
      </c>
      <c r="B1435" s="1">
        <v>0.0</v>
      </c>
      <c r="C1435" s="2"/>
      <c r="D1435" s="2"/>
      <c r="E1435" s="2"/>
      <c r="F1435" s="2"/>
      <c r="G1435" s="2"/>
    </row>
    <row r="1436">
      <c r="A1436" s="1" t="s">
        <v>833</v>
      </c>
      <c r="B1436" s="1">
        <v>0.0</v>
      </c>
      <c r="C1436" s="2"/>
      <c r="D1436" s="2"/>
      <c r="E1436" s="2"/>
      <c r="F1436" s="2"/>
      <c r="G1436" s="2"/>
    </row>
    <row r="1437">
      <c r="A1437" s="1" t="s">
        <v>834</v>
      </c>
      <c r="B1437" s="1">
        <v>18.0</v>
      </c>
      <c r="C1437" s="2"/>
      <c r="D1437" s="2"/>
      <c r="E1437" s="2"/>
      <c r="F1437" s="2"/>
      <c r="G1437" s="2"/>
    </row>
    <row r="1438">
      <c r="A1438" s="1" t="s">
        <v>835</v>
      </c>
      <c r="B1438" s="1">
        <v>0.0</v>
      </c>
      <c r="C1438" s="2"/>
      <c r="D1438" s="2"/>
      <c r="E1438" s="2"/>
      <c r="F1438" s="2"/>
      <c r="G1438" s="2"/>
    </row>
    <row r="1439">
      <c r="A1439" s="1" t="s">
        <v>836</v>
      </c>
      <c r="B1439" s="1">
        <v>0.0</v>
      </c>
      <c r="C1439" s="2"/>
      <c r="D1439" s="2"/>
      <c r="E1439" s="2"/>
      <c r="F1439" s="2"/>
      <c r="G1439" s="2"/>
    </row>
    <row r="1440">
      <c r="A1440" s="1" t="s">
        <v>837</v>
      </c>
      <c r="B1440" s="1">
        <v>44.0</v>
      </c>
      <c r="C1440" s="2"/>
      <c r="D1440" s="2"/>
      <c r="E1440" s="2"/>
      <c r="F1440" s="2"/>
      <c r="G1440" s="2"/>
    </row>
    <row r="1441">
      <c r="A1441" s="1" t="s">
        <v>838</v>
      </c>
      <c r="B1441" s="1">
        <v>0.0</v>
      </c>
      <c r="C1441" s="2"/>
      <c r="D1441" s="2"/>
      <c r="E1441" s="2"/>
      <c r="F1441" s="2"/>
      <c r="G1441" s="2"/>
    </row>
    <row r="1442">
      <c r="A1442" s="1" t="s">
        <v>839</v>
      </c>
      <c r="B1442" s="1">
        <v>83.0</v>
      </c>
      <c r="C1442" s="2"/>
      <c r="D1442" s="2"/>
      <c r="E1442" s="2"/>
      <c r="F1442" s="2"/>
      <c r="G1442" s="2"/>
    </row>
    <row r="1443">
      <c r="A1443" s="1" t="s">
        <v>840</v>
      </c>
      <c r="B1443" s="1">
        <v>0.0</v>
      </c>
      <c r="C1443" s="2"/>
      <c r="D1443" s="2"/>
      <c r="E1443" s="2"/>
      <c r="F1443" s="2"/>
      <c r="G1443" s="2"/>
    </row>
    <row r="1444">
      <c r="A1444" s="1" t="s">
        <v>841</v>
      </c>
      <c r="B1444" s="1">
        <v>0.0</v>
      </c>
      <c r="C1444" s="2"/>
      <c r="D1444" s="2"/>
      <c r="E1444" s="2"/>
      <c r="F1444" s="2"/>
      <c r="G1444" s="2"/>
    </row>
    <row r="1445">
      <c r="A1445" s="1" t="s">
        <v>842</v>
      </c>
      <c r="B1445" s="1">
        <v>86.0</v>
      </c>
      <c r="C1445" s="2"/>
      <c r="D1445" s="2"/>
      <c r="E1445" s="2"/>
      <c r="F1445" s="2"/>
      <c r="G1445" s="2"/>
    </row>
    <row r="1446">
      <c r="A1446" s="1" t="s">
        <v>843</v>
      </c>
      <c r="B1446" s="1">
        <v>0.0</v>
      </c>
      <c r="C1446" s="2"/>
      <c r="D1446" s="2"/>
      <c r="E1446" s="2"/>
      <c r="F1446" s="2"/>
      <c r="G1446" s="2"/>
    </row>
    <row r="1447">
      <c r="A1447" s="1" t="s">
        <v>844</v>
      </c>
      <c r="B1447" s="1">
        <v>27.0</v>
      </c>
      <c r="C1447" s="2"/>
      <c r="D1447" s="2"/>
      <c r="E1447" s="2"/>
      <c r="F1447" s="2"/>
      <c r="G1447" s="2"/>
    </row>
    <row r="1448">
      <c r="A1448" s="1" t="s">
        <v>845</v>
      </c>
      <c r="B1448" s="1">
        <v>0.0</v>
      </c>
      <c r="C1448" s="2"/>
      <c r="D1448" s="2"/>
      <c r="E1448" s="2"/>
      <c r="F1448" s="2"/>
      <c r="G1448" s="2"/>
    </row>
    <row r="1449">
      <c r="A1449" s="1" t="s">
        <v>846</v>
      </c>
      <c r="B1449" s="1">
        <v>0.0</v>
      </c>
      <c r="C1449" s="2"/>
      <c r="D1449" s="2"/>
      <c r="E1449" s="2"/>
      <c r="F1449" s="2"/>
      <c r="G1449" s="2"/>
    </row>
    <row r="1450">
      <c r="A1450" s="1" t="s">
        <v>847</v>
      </c>
      <c r="B1450" s="1">
        <v>70.0</v>
      </c>
      <c r="C1450" s="2"/>
      <c r="D1450" s="2"/>
      <c r="E1450" s="2"/>
      <c r="F1450" s="2"/>
      <c r="G1450" s="2"/>
    </row>
    <row r="1451">
      <c r="A1451" s="1" t="s">
        <v>848</v>
      </c>
      <c r="B1451" s="1">
        <v>0.0</v>
      </c>
      <c r="C1451" s="2"/>
      <c r="D1451" s="2"/>
      <c r="E1451" s="2"/>
      <c r="F1451" s="2"/>
      <c r="G1451" s="2"/>
    </row>
    <row r="1452">
      <c r="A1452" s="1" t="s">
        <v>849</v>
      </c>
      <c r="B1452" s="1">
        <v>0.0</v>
      </c>
      <c r="C1452" s="2"/>
      <c r="D1452" s="2"/>
      <c r="E1452" s="2"/>
      <c r="F1452" s="2"/>
      <c r="G1452" s="2"/>
    </row>
    <row r="1453">
      <c r="A1453" s="1" t="s">
        <v>850</v>
      </c>
      <c r="B1453" s="1">
        <v>0.0</v>
      </c>
      <c r="C1453" s="2"/>
      <c r="D1453" s="2"/>
      <c r="E1453" s="2"/>
      <c r="F1453" s="2"/>
      <c r="G1453" s="2"/>
    </row>
    <row r="1454">
      <c r="A1454" s="1" t="s">
        <v>851</v>
      </c>
      <c r="B1454" s="1">
        <v>0.0</v>
      </c>
      <c r="C1454" s="2"/>
      <c r="D1454" s="2"/>
      <c r="E1454" s="2"/>
      <c r="F1454" s="2"/>
      <c r="G1454" s="2"/>
    </row>
    <row r="1455">
      <c r="A1455" s="1" t="s">
        <v>852</v>
      </c>
      <c r="B1455" s="1">
        <v>39.0</v>
      </c>
      <c r="C1455" s="2"/>
      <c r="D1455" s="2"/>
      <c r="E1455" s="2"/>
      <c r="F1455" s="2"/>
      <c r="G1455" s="2"/>
    </row>
    <row r="1456">
      <c r="A1456" s="1" t="s">
        <v>853</v>
      </c>
      <c r="B1456" s="1">
        <v>0.0</v>
      </c>
      <c r="C1456" s="2"/>
      <c r="D1456" s="2"/>
      <c r="E1456" s="2"/>
      <c r="F1456" s="2"/>
      <c r="G1456" s="2"/>
    </row>
    <row r="1457">
      <c r="A1457" s="1" t="s">
        <v>854</v>
      </c>
      <c r="B1457" s="1">
        <v>71.0</v>
      </c>
      <c r="C1457" s="2"/>
      <c r="D1457" s="2"/>
      <c r="E1457" s="2"/>
      <c r="F1457" s="2"/>
      <c r="G1457" s="2"/>
    </row>
    <row r="1458">
      <c r="A1458" s="1" t="s">
        <v>855</v>
      </c>
      <c r="B1458" s="1">
        <v>0.0</v>
      </c>
      <c r="C1458" s="2"/>
      <c r="D1458" s="2"/>
      <c r="E1458" s="2"/>
      <c r="F1458" s="2"/>
      <c r="G1458" s="2"/>
    </row>
    <row r="1459">
      <c r="A1459" s="1" t="s">
        <v>856</v>
      </c>
      <c r="B1459" s="1">
        <v>0.0</v>
      </c>
      <c r="C1459" s="2"/>
      <c r="D1459" s="2"/>
      <c r="E1459" s="2"/>
      <c r="F1459" s="2"/>
      <c r="G1459" s="2"/>
    </row>
    <row r="1460">
      <c r="A1460" s="1" t="s">
        <v>857</v>
      </c>
      <c r="B1460" s="1">
        <v>0.0</v>
      </c>
      <c r="C1460" s="2"/>
      <c r="D1460" s="2"/>
      <c r="E1460" s="2"/>
      <c r="F1460" s="2"/>
      <c r="G1460" s="2"/>
    </row>
    <row r="1461">
      <c r="A1461" s="1" t="s">
        <v>858</v>
      </c>
      <c r="B1461" s="1">
        <v>68.0</v>
      </c>
      <c r="C1461" s="2"/>
      <c r="D1461" s="2"/>
      <c r="E1461" s="2"/>
      <c r="F1461" s="2"/>
      <c r="G1461" s="2"/>
    </row>
    <row r="1462">
      <c r="A1462" s="1" t="s">
        <v>859</v>
      </c>
      <c r="B1462" s="1">
        <v>81.0</v>
      </c>
      <c r="C1462" s="2"/>
      <c r="D1462" s="2"/>
      <c r="E1462" s="2"/>
      <c r="F1462" s="2"/>
      <c r="G1462" s="2"/>
    </row>
    <row r="1463">
      <c r="A1463" s="1" t="s">
        <v>860</v>
      </c>
      <c r="B1463" s="1">
        <v>0.0</v>
      </c>
      <c r="C1463" s="2"/>
      <c r="D1463" s="2"/>
      <c r="E1463" s="2"/>
      <c r="F1463" s="2"/>
      <c r="G1463" s="2"/>
    </row>
    <row r="1464">
      <c r="A1464" s="1" t="s">
        <v>861</v>
      </c>
      <c r="B1464" s="1">
        <v>0.0</v>
      </c>
      <c r="C1464" s="2"/>
      <c r="D1464" s="2"/>
      <c r="E1464" s="2"/>
      <c r="F1464" s="2"/>
      <c r="G1464" s="2"/>
    </row>
    <row r="1465">
      <c r="A1465" s="1" t="s">
        <v>862</v>
      </c>
      <c r="B1465" s="1">
        <v>0.0</v>
      </c>
      <c r="C1465" s="2"/>
      <c r="D1465" s="2"/>
      <c r="E1465" s="2"/>
      <c r="F1465" s="2"/>
      <c r="G1465" s="2"/>
    </row>
    <row r="1466">
      <c r="A1466" s="1" t="s">
        <v>863</v>
      </c>
      <c r="B1466" s="1">
        <v>0.0</v>
      </c>
      <c r="C1466" s="2"/>
      <c r="D1466" s="2"/>
      <c r="E1466" s="2"/>
      <c r="F1466" s="2"/>
      <c r="G1466" s="2"/>
    </row>
    <row r="1467">
      <c r="A1467" s="1" t="s">
        <v>794</v>
      </c>
      <c r="B1467" s="1">
        <v>60.0</v>
      </c>
      <c r="C1467" s="2"/>
      <c r="D1467" s="2"/>
      <c r="E1467" s="2"/>
      <c r="F1467" s="2"/>
      <c r="G1467" s="2"/>
    </row>
    <row r="1468">
      <c r="A1468" s="1" t="s">
        <v>795</v>
      </c>
      <c r="B1468" s="1">
        <v>0.0</v>
      </c>
      <c r="C1468" s="2"/>
      <c r="D1468" s="2"/>
      <c r="E1468" s="2"/>
      <c r="F1468" s="2"/>
      <c r="G1468" s="2"/>
    </row>
    <row r="1469">
      <c r="A1469" s="1" t="s">
        <v>796</v>
      </c>
      <c r="B1469" s="1">
        <v>90.0</v>
      </c>
      <c r="C1469" s="2"/>
      <c r="D1469" s="2"/>
      <c r="E1469" s="2"/>
      <c r="F1469" s="2"/>
      <c r="G1469" s="2"/>
    </row>
    <row r="1470">
      <c r="A1470" s="1" t="s">
        <v>797</v>
      </c>
      <c r="B1470" s="1">
        <v>0.0</v>
      </c>
      <c r="C1470" s="2"/>
      <c r="D1470" s="2"/>
      <c r="E1470" s="2"/>
      <c r="F1470" s="2"/>
      <c r="G1470" s="2"/>
    </row>
    <row r="1471">
      <c r="A1471" s="1" t="s">
        <v>798</v>
      </c>
      <c r="B1471" s="1">
        <v>0.0</v>
      </c>
      <c r="C1471" s="2"/>
      <c r="D1471" s="2"/>
      <c r="E1471" s="2"/>
      <c r="F1471" s="2"/>
      <c r="G1471" s="2"/>
    </row>
    <row r="1472">
      <c r="A1472" s="1" t="s">
        <v>799</v>
      </c>
      <c r="B1472" s="1">
        <v>0.0</v>
      </c>
      <c r="C1472" s="2"/>
      <c r="D1472" s="2"/>
      <c r="E1472" s="2"/>
      <c r="F1472" s="2"/>
      <c r="G1472" s="2"/>
    </row>
    <row r="1473">
      <c r="A1473" s="1" t="s">
        <v>800</v>
      </c>
      <c r="B1473" s="1">
        <v>0.0</v>
      </c>
      <c r="C1473" s="2"/>
      <c r="D1473" s="2"/>
      <c r="E1473" s="2"/>
      <c r="F1473" s="2"/>
      <c r="G1473" s="2"/>
    </row>
    <row r="1474">
      <c r="A1474" s="1" t="s">
        <v>801</v>
      </c>
      <c r="B1474" s="1">
        <v>0.0</v>
      </c>
      <c r="C1474" s="2"/>
      <c r="D1474" s="2"/>
      <c r="E1474" s="2"/>
      <c r="F1474" s="2"/>
      <c r="G1474" s="2"/>
    </row>
    <row r="1475">
      <c r="A1475" s="1" t="s">
        <v>802</v>
      </c>
      <c r="B1475" s="1">
        <v>19.0</v>
      </c>
      <c r="C1475" s="2"/>
      <c r="D1475" s="2"/>
      <c r="E1475" s="2"/>
      <c r="F1475" s="2"/>
      <c r="G1475" s="2"/>
    </row>
    <row r="1476">
      <c r="A1476" s="1" t="s">
        <v>803</v>
      </c>
      <c r="B1476" s="1">
        <v>0.0</v>
      </c>
      <c r="C1476" s="2"/>
      <c r="D1476" s="2"/>
      <c r="E1476" s="2"/>
      <c r="F1476" s="2"/>
      <c r="G1476" s="2"/>
    </row>
    <row r="1477">
      <c r="A1477" s="1" t="s">
        <v>804</v>
      </c>
      <c r="B1477" s="1">
        <v>0.0</v>
      </c>
      <c r="C1477" s="2"/>
      <c r="D1477" s="2"/>
      <c r="E1477" s="2"/>
      <c r="F1477" s="2"/>
      <c r="G1477" s="2"/>
    </row>
    <row r="1478">
      <c r="A1478" s="1" t="s">
        <v>805</v>
      </c>
      <c r="B1478" s="1">
        <v>42.0</v>
      </c>
      <c r="C1478" s="2"/>
      <c r="D1478" s="2"/>
      <c r="E1478" s="2"/>
      <c r="F1478" s="2"/>
      <c r="G1478" s="2"/>
    </row>
    <row r="1479">
      <c r="A1479" s="1" t="s">
        <v>806</v>
      </c>
      <c r="B1479" s="1">
        <v>57.0</v>
      </c>
      <c r="C1479" s="2"/>
      <c r="D1479" s="2"/>
      <c r="E1479" s="2"/>
      <c r="F1479" s="2"/>
      <c r="G1479" s="2"/>
    </row>
    <row r="1480">
      <c r="A1480" s="1" t="s">
        <v>807</v>
      </c>
      <c r="B1480" s="1">
        <v>17.0</v>
      </c>
      <c r="C1480" s="2"/>
      <c r="D1480" s="2"/>
      <c r="E1480" s="2"/>
      <c r="F1480" s="2"/>
      <c r="G1480" s="2"/>
    </row>
    <row r="1481">
      <c r="A1481" s="1" t="s">
        <v>808</v>
      </c>
      <c r="B1481" s="1">
        <v>10.0</v>
      </c>
      <c r="C1481" s="2"/>
      <c r="D1481" s="2"/>
      <c r="E1481" s="2"/>
      <c r="F1481" s="2"/>
      <c r="G1481" s="2"/>
    </row>
    <row r="1482">
      <c r="A1482" s="1" t="s">
        <v>809</v>
      </c>
      <c r="B1482" s="1">
        <v>0.0</v>
      </c>
      <c r="C1482" s="2"/>
      <c r="D1482" s="2"/>
      <c r="E1482" s="2"/>
      <c r="F1482" s="2"/>
      <c r="G1482" s="2"/>
    </row>
    <row r="1483">
      <c r="A1483" s="1" t="s">
        <v>810</v>
      </c>
      <c r="B1483" s="1">
        <v>8.0</v>
      </c>
      <c r="C1483" s="2"/>
      <c r="D1483" s="2"/>
      <c r="E1483" s="2"/>
      <c r="F1483" s="2"/>
      <c r="G1483" s="2"/>
    </row>
    <row r="1484">
      <c r="A1484" s="1" t="s">
        <v>811</v>
      </c>
      <c r="B1484" s="1">
        <v>8.0</v>
      </c>
      <c r="C1484" s="2"/>
      <c r="D1484" s="2"/>
      <c r="E1484" s="2"/>
      <c r="F1484" s="2"/>
      <c r="G1484" s="2"/>
    </row>
    <row r="1485">
      <c r="A1485" s="1" t="s">
        <v>812</v>
      </c>
      <c r="B1485" s="1">
        <v>11.0</v>
      </c>
      <c r="C1485" s="2"/>
      <c r="D1485" s="2"/>
      <c r="E1485" s="2"/>
      <c r="F1485" s="2"/>
      <c r="G1485" s="2"/>
    </row>
    <row r="1486">
      <c r="A1486" s="1" t="s">
        <v>813</v>
      </c>
      <c r="B1486" s="1">
        <v>24.0</v>
      </c>
      <c r="C1486" s="2"/>
      <c r="D1486" s="2"/>
      <c r="E1486" s="2"/>
      <c r="F1486" s="2"/>
      <c r="G1486" s="2"/>
    </row>
    <row r="1487">
      <c r="A1487" s="1" t="s">
        <v>814</v>
      </c>
      <c r="B1487" s="1">
        <v>0.0</v>
      </c>
      <c r="C1487" s="2"/>
      <c r="D1487" s="2"/>
      <c r="E1487" s="2"/>
      <c r="F1487" s="2"/>
      <c r="G1487" s="2"/>
    </row>
    <row r="1488">
      <c r="A1488" s="1" t="s">
        <v>815</v>
      </c>
      <c r="B1488" s="1">
        <v>0.0</v>
      </c>
      <c r="C1488" s="2"/>
      <c r="D1488" s="2"/>
      <c r="E1488" s="2"/>
      <c r="F1488" s="2"/>
      <c r="G1488" s="2"/>
    </row>
    <row r="1489">
      <c r="A1489" s="1" t="s">
        <v>816</v>
      </c>
      <c r="B1489" s="1">
        <v>0.0</v>
      </c>
      <c r="C1489" s="2"/>
      <c r="D1489" s="2"/>
      <c r="E1489" s="2"/>
      <c r="F1489" s="2"/>
      <c r="G1489" s="2"/>
    </row>
    <row r="1490">
      <c r="A1490" s="1" t="s">
        <v>817</v>
      </c>
      <c r="B1490" s="1" t="s">
        <v>818</v>
      </c>
      <c r="C1490" s="1">
        <v>8.0</v>
      </c>
      <c r="D1490" s="2"/>
      <c r="E1490" s="2"/>
      <c r="F1490" s="2"/>
      <c r="G1490" s="2"/>
    </row>
    <row r="1491">
      <c r="A1491" s="1" t="s">
        <v>819</v>
      </c>
      <c r="B1491" s="1">
        <v>0.0</v>
      </c>
      <c r="C1491" s="2"/>
      <c r="D1491" s="2"/>
      <c r="E1491" s="2"/>
      <c r="F1491" s="2"/>
      <c r="G1491" s="2"/>
    </row>
    <row r="1492">
      <c r="A1492" s="1" t="s">
        <v>820</v>
      </c>
      <c r="B1492" s="1">
        <v>50.0</v>
      </c>
      <c r="C1492" s="2"/>
      <c r="D1492" s="2"/>
      <c r="E1492" s="2"/>
      <c r="F1492" s="2"/>
      <c r="G1492" s="2"/>
    </row>
    <row r="1493">
      <c r="A1493" s="1" t="s">
        <v>821</v>
      </c>
      <c r="B1493" s="1">
        <v>29.0</v>
      </c>
      <c r="C1493" s="2"/>
      <c r="D1493" s="2"/>
      <c r="E1493" s="2"/>
      <c r="F1493" s="2"/>
      <c r="G1493" s="2"/>
    </row>
    <row r="1494">
      <c r="A1494" s="1" t="s">
        <v>822</v>
      </c>
      <c r="B1494" s="1">
        <v>29.0</v>
      </c>
      <c r="C1494" s="2"/>
      <c r="D1494" s="2"/>
      <c r="E1494" s="2"/>
      <c r="F1494" s="2"/>
      <c r="G1494" s="2"/>
    </row>
    <row r="1495">
      <c r="A1495" s="1" t="s">
        <v>823</v>
      </c>
      <c r="B1495" s="1">
        <v>46.0</v>
      </c>
      <c r="C1495" s="2"/>
      <c r="D1495" s="2"/>
      <c r="E1495" s="2"/>
      <c r="F1495" s="2"/>
      <c r="G1495" s="2"/>
    </row>
    <row r="1496">
      <c r="A1496" s="1" t="s">
        <v>824</v>
      </c>
      <c r="B1496" s="1">
        <v>64.0</v>
      </c>
      <c r="C1496" s="2"/>
      <c r="D1496" s="2"/>
      <c r="E1496" s="2"/>
      <c r="F1496" s="2"/>
      <c r="G1496" s="2"/>
    </row>
    <row r="1497">
      <c r="A1497" s="1" t="s">
        <v>825</v>
      </c>
      <c r="B1497" s="1">
        <v>0.0</v>
      </c>
      <c r="C1497" s="2"/>
      <c r="D1497" s="2"/>
      <c r="E1497" s="2"/>
      <c r="F1497" s="2"/>
      <c r="G1497" s="2"/>
    </row>
    <row r="1498">
      <c r="A1498" s="1" t="s">
        <v>826</v>
      </c>
      <c r="B1498" s="1">
        <v>0.0</v>
      </c>
      <c r="C1498" s="2"/>
      <c r="D1498" s="2"/>
      <c r="E1498" s="2"/>
      <c r="F1498" s="2"/>
      <c r="G1498" s="2"/>
    </row>
    <row r="1499">
      <c r="A1499" s="1" t="s">
        <v>827</v>
      </c>
      <c r="B1499" s="1">
        <v>0.0</v>
      </c>
      <c r="C1499" s="2"/>
      <c r="D1499" s="2"/>
      <c r="E1499" s="2"/>
      <c r="F1499" s="2"/>
      <c r="G1499" s="2"/>
    </row>
    <row r="1500">
      <c r="A1500" s="1" t="s">
        <v>828</v>
      </c>
      <c r="B1500" s="1">
        <v>0.0</v>
      </c>
      <c r="C1500" s="2"/>
      <c r="D1500" s="2"/>
      <c r="E1500" s="2"/>
      <c r="F1500" s="2"/>
      <c r="G1500" s="2"/>
    </row>
    <row r="1501">
      <c r="A1501" s="1" t="s">
        <v>829</v>
      </c>
      <c r="B1501" s="1">
        <v>0.0</v>
      </c>
      <c r="C1501" s="2"/>
      <c r="D1501" s="2"/>
      <c r="E1501" s="2"/>
      <c r="F1501" s="2"/>
      <c r="G1501" s="2"/>
    </row>
    <row r="1502">
      <c r="A1502" s="1" t="s">
        <v>830</v>
      </c>
      <c r="B1502" s="1">
        <v>0.0</v>
      </c>
      <c r="C1502" s="2"/>
      <c r="D1502" s="2"/>
      <c r="E1502" s="2"/>
      <c r="F1502" s="2"/>
      <c r="G1502" s="2"/>
    </row>
    <row r="1503">
      <c r="A1503" s="1" t="s">
        <v>831</v>
      </c>
      <c r="B1503" s="1">
        <v>0.0</v>
      </c>
      <c r="C1503" s="2"/>
      <c r="D1503" s="2"/>
      <c r="E1503" s="2"/>
      <c r="F1503" s="2"/>
      <c r="G1503" s="2"/>
    </row>
    <row r="1504">
      <c r="A1504" s="1" t="s">
        <v>832</v>
      </c>
      <c r="B1504" s="1">
        <v>0.0</v>
      </c>
      <c r="C1504" s="2"/>
      <c r="D1504" s="2"/>
      <c r="E1504" s="2"/>
      <c r="F1504" s="2"/>
      <c r="G1504" s="2"/>
    </row>
    <row r="1505">
      <c r="A1505" s="1" t="s">
        <v>833</v>
      </c>
      <c r="B1505" s="1">
        <v>0.0</v>
      </c>
      <c r="C1505" s="2"/>
      <c r="D1505" s="2"/>
      <c r="E1505" s="2"/>
      <c r="F1505" s="2"/>
      <c r="G1505" s="2"/>
    </row>
    <row r="1506">
      <c r="A1506" s="1" t="s">
        <v>834</v>
      </c>
      <c r="B1506" s="1">
        <v>18.0</v>
      </c>
      <c r="C1506" s="2"/>
      <c r="D1506" s="2"/>
      <c r="E1506" s="2"/>
      <c r="F1506" s="2"/>
      <c r="G1506" s="2"/>
    </row>
    <row r="1507">
      <c r="A1507" s="1" t="s">
        <v>835</v>
      </c>
      <c r="B1507" s="1">
        <v>0.0</v>
      </c>
      <c r="C1507" s="2"/>
      <c r="D1507" s="2"/>
      <c r="E1507" s="2"/>
      <c r="F1507" s="2"/>
      <c r="G1507" s="2"/>
    </row>
    <row r="1508">
      <c r="A1508" s="1" t="s">
        <v>836</v>
      </c>
      <c r="B1508" s="1">
        <v>0.0</v>
      </c>
      <c r="C1508" s="2"/>
      <c r="D1508" s="2"/>
      <c r="E1508" s="2"/>
      <c r="F1508" s="2"/>
      <c r="G1508" s="2"/>
    </row>
    <row r="1509">
      <c r="A1509" s="1" t="s">
        <v>837</v>
      </c>
      <c r="B1509" s="1">
        <v>44.0</v>
      </c>
      <c r="C1509" s="2"/>
      <c r="D1509" s="2"/>
      <c r="E1509" s="2"/>
      <c r="F1509" s="2"/>
      <c r="G1509" s="2"/>
    </row>
    <row r="1510">
      <c r="A1510" s="1" t="s">
        <v>838</v>
      </c>
      <c r="B1510" s="1">
        <v>0.0</v>
      </c>
      <c r="C1510" s="2"/>
      <c r="D1510" s="2"/>
      <c r="E1510" s="2"/>
      <c r="F1510" s="2"/>
      <c r="G1510" s="2"/>
    </row>
    <row r="1511">
      <c r="A1511" s="1" t="s">
        <v>839</v>
      </c>
      <c r="B1511" s="1">
        <v>83.0</v>
      </c>
      <c r="C1511" s="2"/>
      <c r="D1511" s="2"/>
      <c r="E1511" s="2"/>
      <c r="F1511" s="2"/>
      <c r="G1511" s="2"/>
    </row>
    <row r="1512">
      <c r="A1512" s="1" t="s">
        <v>840</v>
      </c>
      <c r="B1512" s="1">
        <v>0.0</v>
      </c>
      <c r="C1512" s="2"/>
      <c r="D1512" s="2"/>
      <c r="E1512" s="2"/>
      <c r="F1512" s="2"/>
      <c r="G1512" s="2"/>
    </row>
    <row r="1513">
      <c r="A1513" s="1" t="s">
        <v>841</v>
      </c>
      <c r="B1513" s="1">
        <v>0.0</v>
      </c>
      <c r="C1513" s="2"/>
      <c r="D1513" s="2"/>
      <c r="E1513" s="2"/>
      <c r="F1513" s="2"/>
      <c r="G1513" s="2"/>
    </row>
    <row r="1514">
      <c r="A1514" s="1" t="s">
        <v>842</v>
      </c>
      <c r="B1514" s="1">
        <v>86.0</v>
      </c>
      <c r="C1514" s="2"/>
      <c r="D1514" s="2"/>
      <c r="E1514" s="2"/>
      <c r="F1514" s="2"/>
      <c r="G1514" s="2"/>
    </row>
    <row r="1515">
      <c r="A1515" s="1" t="s">
        <v>843</v>
      </c>
      <c r="B1515" s="1">
        <v>0.0</v>
      </c>
      <c r="C1515" s="2"/>
      <c r="D1515" s="2"/>
      <c r="E1515" s="2"/>
      <c r="F1515" s="2"/>
      <c r="G1515" s="2"/>
    </row>
    <row r="1516">
      <c r="A1516" s="1" t="s">
        <v>844</v>
      </c>
      <c r="B1516" s="1">
        <v>27.0</v>
      </c>
      <c r="C1516" s="2"/>
      <c r="D1516" s="2"/>
      <c r="E1516" s="2"/>
      <c r="F1516" s="2"/>
      <c r="G1516" s="2"/>
    </row>
    <row r="1517">
      <c r="A1517" s="1" t="s">
        <v>845</v>
      </c>
      <c r="B1517" s="1">
        <v>0.0</v>
      </c>
      <c r="C1517" s="2"/>
      <c r="D1517" s="2"/>
      <c r="E1517" s="2"/>
      <c r="F1517" s="2"/>
      <c r="G1517" s="2"/>
    </row>
    <row r="1518">
      <c r="A1518" s="1" t="s">
        <v>846</v>
      </c>
      <c r="B1518" s="1">
        <v>0.0</v>
      </c>
      <c r="C1518" s="2"/>
      <c r="D1518" s="2"/>
      <c r="E1518" s="2"/>
      <c r="F1518" s="2"/>
      <c r="G1518" s="2"/>
    </row>
    <row r="1519">
      <c r="A1519" s="1" t="s">
        <v>847</v>
      </c>
      <c r="B1519" s="1">
        <v>70.0</v>
      </c>
      <c r="C1519" s="2"/>
      <c r="D1519" s="2"/>
      <c r="E1519" s="2"/>
      <c r="F1519" s="2"/>
      <c r="G1519" s="2"/>
    </row>
    <row r="1520">
      <c r="A1520" s="1" t="s">
        <v>848</v>
      </c>
      <c r="B1520" s="1">
        <v>0.0</v>
      </c>
      <c r="C1520" s="2"/>
      <c r="D1520" s="2"/>
      <c r="E1520" s="2"/>
      <c r="F1520" s="2"/>
      <c r="G1520" s="2"/>
    </row>
    <row r="1521">
      <c r="A1521" s="1" t="s">
        <v>849</v>
      </c>
      <c r="B1521" s="1">
        <v>0.0</v>
      </c>
      <c r="C1521" s="2"/>
      <c r="D1521" s="2"/>
      <c r="E1521" s="2"/>
      <c r="F1521" s="2"/>
      <c r="G1521" s="2"/>
    </row>
    <row r="1522">
      <c r="A1522" s="1" t="s">
        <v>850</v>
      </c>
      <c r="B1522" s="1">
        <v>0.0</v>
      </c>
      <c r="C1522" s="2"/>
      <c r="D1522" s="2"/>
      <c r="E1522" s="2"/>
      <c r="F1522" s="2"/>
      <c r="G1522" s="2"/>
    </row>
    <row r="1523">
      <c r="A1523" s="1" t="s">
        <v>851</v>
      </c>
      <c r="B1523" s="1">
        <v>0.0</v>
      </c>
      <c r="C1523" s="2"/>
      <c r="D1523" s="2"/>
      <c r="E1523" s="2"/>
      <c r="F1523" s="2"/>
      <c r="G1523" s="2"/>
    </row>
    <row r="1524">
      <c r="A1524" s="1" t="s">
        <v>852</v>
      </c>
      <c r="B1524" s="1">
        <v>39.0</v>
      </c>
      <c r="C1524" s="2"/>
      <c r="D1524" s="2"/>
      <c r="E1524" s="2"/>
      <c r="F1524" s="2"/>
      <c r="G1524" s="2"/>
    </row>
    <row r="1525">
      <c r="A1525" s="1" t="s">
        <v>853</v>
      </c>
      <c r="B1525" s="1">
        <v>0.0</v>
      </c>
      <c r="C1525" s="2"/>
      <c r="D1525" s="2"/>
      <c r="E1525" s="2"/>
      <c r="F1525" s="2"/>
      <c r="G1525" s="2"/>
    </row>
    <row r="1526">
      <c r="A1526" s="1" t="s">
        <v>854</v>
      </c>
      <c r="B1526" s="1">
        <v>71.0</v>
      </c>
      <c r="C1526" s="2"/>
      <c r="D1526" s="2"/>
      <c r="E1526" s="2"/>
      <c r="F1526" s="2"/>
      <c r="G1526" s="2"/>
    </row>
    <row r="1527">
      <c r="A1527" s="1" t="s">
        <v>855</v>
      </c>
      <c r="B1527" s="1">
        <v>0.0</v>
      </c>
      <c r="C1527" s="2"/>
      <c r="D1527" s="2"/>
      <c r="E1527" s="2"/>
      <c r="F1527" s="2"/>
      <c r="G1527" s="2"/>
    </row>
    <row r="1528">
      <c r="A1528" s="1" t="s">
        <v>856</v>
      </c>
      <c r="B1528" s="1">
        <v>0.0</v>
      </c>
      <c r="C1528" s="2"/>
      <c r="D1528" s="2"/>
      <c r="E1528" s="2"/>
      <c r="F1528" s="2"/>
      <c r="G1528" s="2"/>
    </row>
    <row r="1529">
      <c r="A1529" s="1" t="s">
        <v>857</v>
      </c>
      <c r="B1529" s="1">
        <v>0.0</v>
      </c>
      <c r="C1529" s="2"/>
      <c r="D1529" s="2"/>
      <c r="E1529" s="2"/>
      <c r="F1529" s="2"/>
      <c r="G1529" s="2"/>
    </row>
    <row r="1530">
      <c r="A1530" s="1" t="s">
        <v>858</v>
      </c>
      <c r="B1530" s="1">
        <v>68.0</v>
      </c>
      <c r="C1530" s="2"/>
      <c r="D1530" s="2"/>
      <c r="E1530" s="2"/>
      <c r="F1530" s="2"/>
      <c r="G1530" s="2"/>
    </row>
    <row r="1531">
      <c r="A1531" s="1" t="s">
        <v>859</v>
      </c>
      <c r="B1531" s="1">
        <v>81.0</v>
      </c>
      <c r="C1531" s="2"/>
      <c r="D1531" s="2"/>
      <c r="E1531" s="2"/>
      <c r="F1531" s="2"/>
      <c r="G1531" s="2"/>
    </row>
    <row r="1532">
      <c r="A1532" s="1" t="s">
        <v>860</v>
      </c>
      <c r="B1532" s="1">
        <v>0.0</v>
      </c>
      <c r="C1532" s="2"/>
      <c r="D1532" s="2"/>
      <c r="E1532" s="2"/>
      <c r="F1532" s="2"/>
      <c r="G1532" s="2"/>
    </row>
    <row r="1533">
      <c r="A1533" s="1" t="s">
        <v>861</v>
      </c>
      <c r="B1533" s="1">
        <v>0.0</v>
      </c>
      <c r="C1533" s="2"/>
      <c r="D1533" s="2"/>
      <c r="E1533" s="2"/>
      <c r="F1533" s="2"/>
      <c r="G1533" s="2"/>
    </row>
    <row r="1534">
      <c r="A1534" s="1" t="s">
        <v>862</v>
      </c>
      <c r="B1534" s="1">
        <v>0.0</v>
      </c>
      <c r="C1534" s="2"/>
      <c r="D1534" s="2"/>
      <c r="E1534" s="2"/>
      <c r="F1534" s="2"/>
      <c r="G1534" s="2"/>
    </row>
    <row r="1535">
      <c r="A1535" s="1" t="s">
        <v>863</v>
      </c>
      <c r="B1535" s="1">
        <v>0.0</v>
      </c>
      <c r="C1535" s="2"/>
      <c r="D1535" s="2"/>
      <c r="E1535" s="2"/>
      <c r="F1535" s="2"/>
      <c r="G1535" s="2"/>
    </row>
    <row r="1536">
      <c r="A1536" s="1" t="s">
        <v>864</v>
      </c>
      <c r="B1536" s="1">
        <v>24.0</v>
      </c>
      <c r="C1536" s="2"/>
      <c r="D1536" s="2"/>
      <c r="E1536" s="2"/>
      <c r="F1536" s="2"/>
      <c r="G1536" s="2"/>
    </row>
    <row r="1537">
      <c r="A1537" s="1" t="s">
        <v>865</v>
      </c>
      <c r="B1537" s="1">
        <v>0.0</v>
      </c>
      <c r="C1537" s="2"/>
      <c r="D1537" s="2"/>
      <c r="E1537" s="2"/>
      <c r="F1537" s="2"/>
      <c r="G1537" s="2"/>
    </row>
    <row r="1538">
      <c r="A1538" s="1" t="s">
        <v>866</v>
      </c>
      <c r="B1538" s="1">
        <v>0.0</v>
      </c>
      <c r="C1538" s="2"/>
      <c r="D1538" s="2"/>
      <c r="E1538" s="2"/>
      <c r="F1538" s="2"/>
      <c r="G1538" s="2"/>
    </row>
    <row r="1539">
      <c r="A1539" s="1" t="s">
        <v>867</v>
      </c>
      <c r="B1539" s="1">
        <v>0.0</v>
      </c>
      <c r="C1539" s="2"/>
      <c r="D1539" s="2"/>
      <c r="E1539" s="2"/>
      <c r="F1539" s="2"/>
      <c r="G1539" s="2"/>
    </row>
    <row r="1540">
      <c r="A1540" s="1" t="s">
        <v>868</v>
      </c>
      <c r="B1540" s="1">
        <v>0.0</v>
      </c>
      <c r="C1540" s="2"/>
      <c r="D1540" s="2"/>
      <c r="E1540" s="2"/>
      <c r="F1540" s="2"/>
      <c r="G1540" s="2"/>
    </row>
    <row r="1541">
      <c r="A1541" s="1" t="s">
        <v>869</v>
      </c>
      <c r="B1541" s="1">
        <v>70.0</v>
      </c>
      <c r="C1541" s="2"/>
      <c r="D1541" s="2"/>
      <c r="E1541" s="2"/>
      <c r="F1541" s="2"/>
      <c r="G1541" s="2"/>
    </row>
    <row r="1542">
      <c r="A1542" s="1" t="s">
        <v>870</v>
      </c>
      <c r="B1542" s="1">
        <v>0.0</v>
      </c>
      <c r="C1542" s="2"/>
      <c r="D1542" s="2"/>
      <c r="E1542" s="2"/>
      <c r="F1542" s="2"/>
      <c r="G1542" s="2"/>
    </row>
    <row r="1543">
      <c r="A1543" s="1" t="s">
        <v>871</v>
      </c>
      <c r="B1543" s="1">
        <v>0.0</v>
      </c>
      <c r="C1543" s="2"/>
      <c r="D1543" s="2"/>
      <c r="E1543" s="2"/>
      <c r="F1543" s="2"/>
      <c r="G1543" s="2"/>
    </row>
    <row r="1544">
      <c r="A1544" s="1" t="s">
        <v>872</v>
      </c>
      <c r="B1544" s="1">
        <v>0.0</v>
      </c>
      <c r="C1544" s="2"/>
      <c r="D1544" s="2"/>
      <c r="E1544" s="2"/>
      <c r="F1544" s="2"/>
      <c r="G1544" s="2"/>
    </row>
    <row r="1545">
      <c r="A1545" s="1" t="s">
        <v>873</v>
      </c>
      <c r="B1545" s="1">
        <v>33.0</v>
      </c>
      <c r="C1545" s="2"/>
      <c r="D1545" s="2"/>
      <c r="E1545" s="2"/>
      <c r="F1545" s="2"/>
      <c r="G1545" s="2"/>
    </row>
    <row r="1546">
      <c r="A1546" s="1" t="s">
        <v>874</v>
      </c>
      <c r="B1546" s="1">
        <v>26.0</v>
      </c>
      <c r="C1546" s="2"/>
      <c r="D1546" s="2"/>
      <c r="E1546" s="2"/>
      <c r="F1546" s="2"/>
      <c r="G1546" s="2"/>
    </row>
    <row r="1547">
      <c r="A1547" s="1" t="s">
        <v>875</v>
      </c>
      <c r="B1547" s="1">
        <v>35.0</v>
      </c>
      <c r="C1547" s="2"/>
      <c r="D1547" s="2"/>
      <c r="E1547" s="2"/>
      <c r="F1547" s="2"/>
      <c r="G1547" s="2"/>
    </row>
    <row r="1548">
      <c r="A1548" s="1" t="s">
        <v>876</v>
      </c>
      <c r="B1548" s="1">
        <v>86.0</v>
      </c>
      <c r="C1548" s="2"/>
      <c r="D1548" s="2"/>
      <c r="E1548" s="2"/>
      <c r="F1548" s="2"/>
      <c r="G1548" s="2"/>
    </row>
    <row r="1549">
      <c r="A1549" s="1" t="s">
        <v>877</v>
      </c>
      <c r="B1549" s="1">
        <v>0.0</v>
      </c>
      <c r="C1549" s="2"/>
      <c r="D1549" s="2"/>
      <c r="E1549" s="2"/>
      <c r="F1549" s="2"/>
      <c r="G1549" s="2"/>
    </row>
    <row r="1550">
      <c r="A1550" s="1" t="s">
        <v>878</v>
      </c>
      <c r="B1550" s="1">
        <v>0.0</v>
      </c>
      <c r="C1550" s="2"/>
      <c r="D1550" s="2"/>
      <c r="E1550" s="2"/>
      <c r="F1550" s="2"/>
      <c r="G1550" s="2"/>
    </row>
    <row r="1551">
      <c r="A1551" s="1" t="s">
        <v>879</v>
      </c>
      <c r="B1551" s="1">
        <v>0.0</v>
      </c>
      <c r="C1551" s="2"/>
      <c r="D1551" s="2"/>
      <c r="E1551" s="2"/>
      <c r="F1551" s="2"/>
      <c r="G1551" s="2"/>
    </row>
    <row r="1552">
      <c r="A1552" s="1" t="s">
        <v>880</v>
      </c>
      <c r="B1552" s="1">
        <v>0.0</v>
      </c>
      <c r="C1552" s="2"/>
      <c r="D1552" s="2"/>
      <c r="E1552" s="2"/>
      <c r="F1552" s="2"/>
      <c r="G1552" s="2"/>
    </row>
    <row r="1553">
      <c r="A1553" s="1" t="s">
        <v>881</v>
      </c>
      <c r="B1553" s="1">
        <v>0.0</v>
      </c>
      <c r="C1553" s="2"/>
      <c r="D1553" s="2"/>
      <c r="E1553" s="2"/>
      <c r="F1553" s="2"/>
      <c r="G1553" s="2"/>
    </row>
    <row r="1554">
      <c r="A1554" s="1" t="s">
        <v>882</v>
      </c>
      <c r="B1554" s="1">
        <v>63.0</v>
      </c>
      <c r="C1554" s="2"/>
      <c r="D1554" s="2"/>
      <c r="E1554" s="2"/>
      <c r="F1554" s="2"/>
      <c r="G1554" s="2"/>
    </row>
    <row r="1555">
      <c r="A1555" s="1" t="s">
        <v>883</v>
      </c>
      <c r="B1555" s="1">
        <v>59.0</v>
      </c>
      <c r="C1555" s="2"/>
      <c r="D1555" s="2"/>
      <c r="E1555" s="2"/>
      <c r="F1555" s="2"/>
      <c r="G1555" s="2"/>
    </row>
    <row r="1556">
      <c r="A1556" s="1" t="s">
        <v>884</v>
      </c>
      <c r="B1556" s="1">
        <v>20.0</v>
      </c>
      <c r="C1556" s="2"/>
      <c r="D1556" s="2"/>
      <c r="E1556" s="2"/>
      <c r="F1556" s="2"/>
      <c r="G1556" s="2"/>
    </row>
    <row r="1557">
      <c r="A1557" s="1" t="s">
        <v>885</v>
      </c>
      <c r="B1557" s="1">
        <v>32.0</v>
      </c>
      <c r="C1557" s="2"/>
      <c r="D1557" s="2"/>
      <c r="E1557" s="2"/>
      <c r="F1557" s="2"/>
      <c r="G1557" s="2"/>
    </row>
    <row r="1558">
      <c r="A1558" s="1" t="s">
        <v>886</v>
      </c>
      <c r="B1558" s="1">
        <v>0.0</v>
      </c>
      <c r="C1558" s="2"/>
      <c r="D1558" s="2"/>
      <c r="E1558" s="2"/>
      <c r="F1558" s="2"/>
      <c r="G1558" s="2"/>
    </row>
    <row r="1559">
      <c r="A1559" s="1" t="s">
        <v>887</v>
      </c>
      <c r="B1559" s="1">
        <v>39.0</v>
      </c>
      <c r="C1559" s="2"/>
      <c r="D1559" s="2"/>
      <c r="E1559" s="2"/>
      <c r="F1559" s="2"/>
      <c r="G1559" s="2"/>
    </row>
    <row r="1560">
      <c r="A1560" s="1" t="s">
        <v>888</v>
      </c>
      <c r="B1560" s="1">
        <v>50.0</v>
      </c>
      <c r="C1560" s="2"/>
      <c r="D1560" s="2"/>
      <c r="E1560" s="2"/>
      <c r="F1560" s="2"/>
      <c r="G1560" s="2"/>
    </row>
    <row r="1561">
      <c r="A1561" s="1" t="s">
        <v>889</v>
      </c>
      <c r="B1561" s="1">
        <v>80.0</v>
      </c>
      <c r="C1561" s="2"/>
      <c r="D1561" s="2"/>
      <c r="E1561" s="2"/>
      <c r="F1561" s="2"/>
      <c r="G1561" s="2"/>
    </row>
    <row r="1562">
      <c r="A1562" s="1" t="s">
        <v>890</v>
      </c>
      <c r="B1562" s="1">
        <v>81.0</v>
      </c>
      <c r="C1562" s="2"/>
      <c r="D1562" s="2"/>
      <c r="E1562" s="2"/>
      <c r="F1562" s="2"/>
      <c r="G1562" s="2"/>
    </row>
    <row r="1563">
      <c r="A1563" s="1" t="s">
        <v>891</v>
      </c>
      <c r="B1563" s="1">
        <v>14.0</v>
      </c>
      <c r="C1563" s="2"/>
      <c r="D1563" s="2"/>
      <c r="E1563" s="2"/>
      <c r="F1563" s="2"/>
      <c r="G1563" s="2"/>
    </row>
    <row r="1564">
      <c r="A1564" s="1" t="s">
        <v>892</v>
      </c>
      <c r="B1564" s="1">
        <v>0.0</v>
      </c>
      <c r="C1564" s="2"/>
      <c r="D1564" s="2"/>
      <c r="E1564" s="2"/>
      <c r="F1564" s="2"/>
      <c r="G1564" s="2"/>
    </row>
    <row r="1565">
      <c r="A1565" s="1" t="s">
        <v>893</v>
      </c>
      <c r="B1565" s="1">
        <v>36.0</v>
      </c>
      <c r="C1565" s="2"/>
      <c r="D1565" s="2"/>
      <c r="E1565" s="2"/>
      <c r="F1565" s="2"/>
      <c r="G1565" s="2"/>
    </row>
    <row r="1566">
      <c r="A1566" s="1" t="s">
        <v>894</v>
      </c>
      <c r="B1566" s="1">
        <v>6.0</v>
      </c>
      <c r="C1566" s="2"/>
      <c r="D1566" s="2"/>
      <c r="E1566" s="2"/>
      <c r="F1566" s="2"/>
      <c r="G1566" s="2"/>
    </row>
    <row r="1567">
      <c r="A1567" s="1" t="s">
        <v>895</v>
      </c>
      <c r="B1567" s="1">
        <v>1.0</v>
      </c>
      <c r="C1567" s="2"/>
      <c r="D1567" s="2"/>
      <c r="E1567" s="2"/>
      <c r="F1567" s="2"/>
      <c r="G1567" s="2"/>
    </row>
    <row r="1568">
      <c r="A1568" s="1" t="s">
        <v>896</v>
      </c>
      <c r="B1568" s="1">
        <v>36.0</v>
      </c>
      <c r="C1568" s="2"/>
      <c r="D1568" s="2"/>
      <c r="E1568" s="2"/>
      <c r="F1568" s="2"/>
      <c r="G1568" s="2"/>
    </row>
    <row r="1569">
      <c r="A1569" s="1" t="s">
        <v>897</v>
      </c>
      <c r="B1569" s="1">
        <v>0.0</v>
      </c>
      <c r="C1569" s="2"/>
      <c r="D1569" s="2"/>
      <c r="E1569" s="2"/>
      <c r="F1569" s="2"/>
      <c r="G1569" s="2"/>
    </row>
    <row r="1570">
      <c r="A1570" s="1" t="s">
        <v>898</v>
      </c>
      <c r="B1570" s="1">
        <v>86.0</v>
      </c>
      <c r="C1570" s="2"/>
      <c r="D1570" s="2"/>
      <c r="E1570" s="2"/>
      <c r="F1570" s="2"/>
      <c r="G1570" s="2"/>
    </row>
    <row r="1571">
      <c r="A1571" s="1" t="s">
        <v>899</v>
      </c>
      <c r="B1571" s="1">
        <v>38.0</v>
      </c>
      <c r="C1571" s="2"/>
      <c r="D1571" s="2"/>
      <c r="E1571" s="2"/>
      <c r="F1571" s="2"/>
      <c r="G1571" s="2"/>
    </row>
    <row r="1572">
      <c r="A1572" s="1" t="s">
        <v>900</v>
      </c>
      <c r="B1572" s="1">
        <v>79.0</v>
      </c>
      <c r="C1572" s="2"/>
      <c r="D1572" s="2"/>
      <c r="E1572" s="2"/>
      <c r="F1572" s="2"/>
      <c r="G1572" s="2"/>
    </row>
    <row r="1573">
      <c r="A1573" s="1" t="s">
        <v>901</v>
      </c>
      <c r="B1573" s="1">
        <v>0.0</v>
      </c>
      <c r="C1573" s="2"/>
      <c r="D1573" s="2"/>
      <c r="E1573" s="2"/>
      <c r="F1573" s="2"/>
      <c r="G1573" s="2"/>
    </row>
    <row r="1574">
      <c r="A1574" s="1" t="s">
        <v>902</v>
      </c>
      <c r="B1574" s="1">
        <v>0.0</v>
      </c>
      <c r="C1574" s="2"/>
      <c r="D1574" s="2"/>
      <c r="E1574" s="2"/>
      <c r="F1574" s="2"/>
      <c r="G1574" s="2"/>
    </row>
    <row r="1575">
      <c r="A1575" s="1" t="s">
        <v>903</v>
      </c>
      <c r="B1575" s="1">
        <v>22.0</v>
      </c>
      <c r="C1575" s="2"/>
      <c r="D1575" s="2"/>
      <c r="E1575" s="2"/>
      <c r="F1575" s="2"/>
      <c r="G1575" s="2"/>
    </row>
    <row r="1576">
      <c r="A1576" s="1" t="s">
        <v>904</v>
      </c>
      <c r="B1576" s="1">
        <v>0.0</v>
      </c>
      <c r="C1576" s="2"/>
      <c r="D1576" s="2"/>
      <c r="E1576" s="2"/>
      <c r="F1576" s="2"/>
      <c r="G1576" s="2"/>
    </row>
    <row r="1577">
      <c r="A1577" s="1" t="s">
        <v>905</v>
      </c>
      <c r="B1577" s="1">
        <v>0.0</v>
      </c>
      <c r="C1577" s="2"/>
      <c r="D1577" s="2"/>
      <c r="E1577" s="2"/>
      <c r="F1577" s="2"/>
      <c r="G1577" s="2"/>
    </row>
    <row r="1578">
      <c r="A1578" s="1" t="s">
        <v>906</v>
      </c>
      <c r="B1578" s="1">
        <v>72.0</v>
      </c>
      <c r="C1578" s="2"/>
      <c r="D1578" s="2"/>
      <c r="E1578" s="2"/>
      <c r="F1578" s="2"/>
      <c r="G1578" s="2"/>
    </row>
    <row r="1579">
      <c r="A1579" s="1" t="s">
        <v>907</v>
      </c>
      <c r="B1579" s="1">
        <v>0.0</v>
      </c>
      <c r="C1579" s="2"/>
      <c r="D1579" s="2"/>
      <c r="E1579" s="2"/>
      <c r="F1579" s="2"/>
      <c r="G1579" s="2"/>
    </row>
    <row r="1580">
      <c r="A1580" s="1" t="s">
        <v>908</v>
      </c>
      <c r="B1580" s="1">
        <v>0.0</v>
      </c>
      <c r="C1580" s="2"/>
      <c r="D1580" s="2"/>
      <c r="E1580" s="2"/>
      <c r="F1580" s="2"/>
      <c r="G1580" s="2"/>
    </row>
    <row r="1581">
      <c r="A1581" s="1" t="s">
        <v>909</v>
      </c>
      <c r="B1581" s="1">
        <v>22.0</v>
      </c>
      <c r="C1581" s="2"/>
      <c r="D1581" s="2"/>
      <c r="E1581" s="2"/>
      <c r="F1581" s="2"/>
      <c r="G1581" s="2"/>
    </row>
    <row r="1582">
      <c r="A1582" s="1" t="s">
        <v>910</v>
      </c>
      <c r="B1582" s="1">
        <v>0.0</v>
      </c>
      <c r="C1582" s="2"/>
      <c r="D1582" s="2"/>
      <c r="E1582" s="2"/>
      <c r="F1582" s="2"/>
      <c r="G1582" s="2"/>
    </row>
    <row r="1583">
      <c r="A1583" s="1" t="s">
        <v>911</v>
      </c>
      <c r="B1583" s="1">
        <v>0.0</v>
      </c>
      <c r="C1583" s="2"/>
      <c r="D1583" s="2"/>
      <c r="E1583" s="2"/>
      <c r="F1583" s="2"/>
      <c r="G1583" s="2"/>
    </row>
    <row r="1584">
      <c r="A1584" s="1" t="s">
        <v>912</v>
      </c>
      <c r="B1584" s="1">
        <v>60.0</v>
      </c>
      <c r="C1584" s="2"/>
      <c r="D1584" s="2"/>
      <c r="E1584" s="2"/>
      <c r="F1584" s="2"/>
      <c r="G1584" s="2"/>
    </row>
    <row r="1585">
      <c r="A1585" s="1" t="s">
        <v>913</v>
      </c>
      <c r="B1585" s="1">
        <v>18.0</v>
      </c>
      <c r="C1585" s="2"/>
      <c r="D1585" s="2"/>
      <c r="E1585" s="2"/>
      <c r="F1585" s="2"/>
      <c r="G1585" s="2"/>
    </row>
    <row r="1586">
      <c r="A1586" s="1" t="s">
        <v>914</v>
      </c>
      <c r="B1586" s="1">
        <v>94.0</v>
      </c>
      <c r="C1586" s="2"/>
      <c r="D1586" s="2"/>
      <c r="E1586" s="2"/>
      <c r="F1586" s="2"/>
      <c r="G1586" s="2"/>
    </row>
    <row r="1587">
      <c r="A1587" s="1" t="s">
        <v>915</v>
      </c>
      <c r="B1587" s="1">
        <v>14.0</v>
      </c>
      <c r="C1587" s="2"/>
      <c r="D1587" s="2"/>
      <c r="E1587" s="2"/>
      <c r="F1587" s="2"/>
      <c r="G1587" s="2"/>
    </row>
    <row r="1588">
      <c r="A1588" s="1" t="s">
        <v>916</v>
      </c>
      <c r="B1588" s="1">
        <v>0.0</v>
      </c>
      <c r="C1588" s="2"/>
      <c r="D1588" s="2"/>
      <c r="E1588" s="2"/>
      <c r="F1588" s="2"/>
      <c r="G1588" s="2"/>
    </row>
    <row r="1589">
      <c r="A1589" s="1" t="s">
        <v>917</v>
      </c>
      <c r="B1589" s="1">
        <v>0.0</v>
      </c>
      <c r="C1589" s="2"/>
      <c r="D1589" s="2"/>
      <c r="E1589" s="2"/>
      <c r="F1589" s="2"/>
      <c r="G1589" s="2"/>
    </row>
    <row r="1590">
      <c r="A1590" s="1" t="s">
        <v>918</v>
      </c>
      <c r="B1590" s="1">
        <v>42.0</v>
      </c>
      <c r="C1590" s="2"/>
      <c r="D1590" s="2"/>
      <c r="E1590" s="2"/>
      <c r="F1590" s="2"/>
      <c r="G1590" s="2"/>
    </row>
    <row r="1591">
      <c r="A1591" s="1" t="s">
        <v>919</v>
      </c>
      <c r="B1591" s="1">
        <v>0.0</v>
      </c>
      <c r="C1591" s="2"/>
      <c r="D1591" s="2"/>
      <c r="E1591" s="2"/>
      <c r="F1591" s="2"/>
      <c r="G1591" s="2"/>
    </row>
    <row r="1592">
      <c r="A1592" s="1" t="s">
        <v>920</v>
      </c>
      <c r="B1592" s="1">
        <v>78.0</v>
      </c>
      <c r="C1592" s="2"/>
      <c r="D1592" s="2"/>
      <c r="E1592" s="2"/>
      <c r="F1592" s="2"/>
      <c r="G1592" s="2"/>
    </row>
    <row r="1593">
      <c r="A1593" s="1" t="s">
        <v>921</v>
      </c>
      <c r="B1593" s="1">
        <v>40.0</v>
      </c>
      <c r="C1593" s="2"/>
      <c r="D1593" s="2"/>
      <c r="E1593" s="2"/>
      <c r="F1593" s="2"/>
      <c r="G1593" s="2"/>
    </row>
    <row r="1594">
      <c r="A1594" s="1" t="s">
        <v>922</v>
      </c>
      <c r="B1594" s="1">
        <v>3.0</v>
      </c>
      <c r="C1594" s="2"/>
      <c r="D1594" s="2"/>
      <c r="E1594" s="2"/>
      <c r="F1594" s="2"/>
      <c r="G1594" s="2"/>
    </row>
    <row r="1595">
      <c r="A1595" s="1" t="s">
        <v>923</v>
      </c>
      <c r="B1595" s="1">
        <v>26.0</v>
      </c>
      <c r="C1595" s="2"/>
      <c r="D1595" s="2"/>
      <c r="E1595" s="2"/>
      <c r="F1595" s="2"/>
      <c r="G1595" s="2"/>
    </row>
    <row r="1596">
      <c r="A1596" s="1" t="s">
        <v>924</v>
      </c>
      <c r="B1596" s="1">
        <v>48.0</v>
      </c>
      <c r="C1596" s="2"/>
      <c r="D1596" s="2"/>
      <c r="E1596" s="2"/>
      <c r="F1596" s="2"/>
      <c r="G1596" s="2"/>
    </row>
    <row r="1597">
      <c r="A1597" s="1" t="s">
        <v>925</v>
      </c>
      <c r="B1597" s="1" t="s">
        <v>926</v>
      </c>
      <c r="C1597" s="1">
        <v>72.0</v>
      </c>
      <c r="D1597" s="2"/>
      <c r="E1597" s="2"/>
      <c r="F1597" s="2"/>
      <c r="G1597" s="2"/>
    </row>
    <row r="1598">
      <c r="A1598" s="1" t="s">
        <v>927</v>
      </c>
      <c r="B1598" s="1">
        <v>1.0</v>
      </c>
      <c r="C1598" s="2"/>
      <c r="D1598" s="2"/>
      <c r="E1598" s="2"/>
      <c r="F1598" s="2"/>
      <c r="G1598" s="2"/>
    </row>
    <row r="1599">
      <c r="A1599" s="1" t="s">
        <v>928</v>
      </c>
      <c r="B1599" s="1">
        <v>0.0</v>
      </c>
      <c r="C1599" s="2"/>
      <c r="D1599" s="2"/>
      <c r="E1599" s="2"/>
      <c r="F1599" s="2"/>
      <c r="G1599" s="2"/>
    </row>
    <row r="1600">
      <c r="A1600" s="1" t="s">
        <v>929</v>
      </c>
      <c r="B1600" s="1">
        <v>0.0</v>
      </c>
      <c r="C1600" s="2"/>
      <c r="D1600" s="2"/>
      <c r="E1600" s="2"/>
      <c r="F1600" s="2"/>
      <c r="G1600" s="2"/>
    </row>
    <row r="1601">
      <c r="A1601" s="1" t="s">
        <v>930</v>
      </c>
      <c r="B1601" s="1">
        <v>20.0</v>
      </c>
      <c r="C1601" s="2"/>
      <c r="D1601" s="2"/>
      <c r="E1601" s="2"/>
      <c r="F1601" s="2"/>
      <c r="G1601" s="2"/>
    </row>
    <row r="1602">
      <c r="A1602" s="1" t="s">
        <v>931</v>
      </c>
      <c r="B1602" s="1">
        <v>0.0</v>
      </c>
      <c r="C1602" s="2"/>
      <c r="D1602" s="2"/>
      <c r="E1602" s="2"/>
      <c r="F1602" s="2"/>
      <c r="G1602" s="2"/>
    </row>
    <row r="1603">
      <c r="A1603" s="1" t="s">
        <v>932</v>
      </c>
      <c r="B1603" s="1">
        <v>0.0</v>
      </c>
      <c r="C1603" s="2"/>
      <c r="D1603" s="2"/>
      <c r="E1603" s="2"/>
      <c r="F1603" s="2"/>
      <c r="G1603" s="2"/>
    </row>
    <row r="1604">
      <c r="A1604" s="1" t="s">
        <v>933</v>
      </c>
      <c r="B1604" s="1">
        <v>69.0</v>
      </c>
      <c r="C1604" s="2"/>
      <c r="D1604" s="2"/>
      <c r="E1604" s="2"/>
      <c r="F1604" s="2"/>
      <c r="G1604" s="2"/>
    </row>
    <row r="1605">
      <c r="A1605" s="1" t="s">
        <v>864</v>
      </c>
      <c r="B1605" s="1">
        <v>24.0</v>
      </c>
      <c r="C1605" s="2"/>
      <c r="D1605" s="2"/>
      <c r="E1605" s="2"/>
      <c r="F1605" s="2"/>
      <c r="G1605" s="2"/>
    </row>
    <row r="1606">
      <c r="A1606" s="1" t="s">
        <v>865</v>
      </c>
      <c r="B1606" s="1">
        <v>0.0</v>
      </c>
      <c r="C1606" s="2"/>
      <c r="D1606" s="2"/>
      <c r="E1606" s="2"/>
      <c r="F1606" s="2"/>
      <c r="G1606" s="2"/>
    </row>
    <row r="1607">
      <c r="A1607" s="1" t="s">
        <v>866</v>
      </c>
      <c r="B1607" s="1">
        <v>0.0</v>
      </c>
      <c r="C1607" s="2"/>
      <c r="D1607" s="2"/>
      <c r="E1607" s="2"/>
      <c r="F1607" s="2"/>
      <c r="G1607" s="2"/>
    </row>
    <row r="1608">
      <c r="A1608" s="1" t="s">
        <v>867</v>
      </c>
      <c r="B1608" s="1">
        <v>0.0</v>
      </c>
      <c r="C1608" s="2"/>
      <c r="D1608" s="2"/>
      <c r="E1608" s="2"/>
      <c r="F1608" s="2"/>
      <c r="G1608" s="2"/>
    </row>
    <row r="1609">
      <c r="A1609" s="1" t="s">
        <v>868</v>
      </c>
      <c r="B1609" s="1">
        <v>0.0</v>
      </c>
      <c r="C1609" s="2"/>
      <c r="D1609" s="2"/>
      <c r="E1609" s="2"/>
      <c r="F1609" s="2"/>
      <c r="G1609" s="2"/>
    </row>
    <row r="1610">
      <c r="A1610" s="1" t="s">
        <v>869</v>
      </c>
      <c r="B1610" s="1">
        <v>70.0</v>
      </c>
      <c r="C1610" s="2"/>
      <c r="D1610" s="2"/>
      <c r="E1610" s="2"/>
      <c r="F1610" s="2"/>
      <c r="G1610" s="2"/>
    </row>
    <row r="1611">
      <c r="A1611" s="1" t="s">
        <v>870</v>
      </c>
      <c r="B1611" s="1">
        <v>0.0</v>
      </c>
      <c r="C1611" s="2"/>
      <c r="D1611" s="2"/>
      <c r="E1611" s="2"/>
      <c r="F1611" s="2"/>
      <c r="G1611" s="2"/>
    </row>
    <row r="1612">
      <c r="A1612" s="1" t="s">
        <v>871</v>
      </c>
      <c r="B1612" s="1">
        <v>0.0</v>
      </c>
      <c r="C1612" s="2"/>
      <c r="D1612" s="2"/>
      <c r="E1612" s="2"/>
      <c r="F1612" s="2"/>
      <c r="G1612" s="2"/>
    </row>
    <row r="1613">
      <c r="A1613" s="1" t="s">
        <v>872</v>
      </c>
      <c r="B1613" s="1">
        <v>0.0</v>
      </c>
      <c r="C1613" s="2"/>
      <c r="D1613" s="2"/>
      <c r="E1613" s="2"/>
      <c r="F1613" s="2"/>
      <c r="G1613" s="2"/>
    </row>
    <row r="1614">
      <c r="A1614" s="1" t="s">
        <v>873</v>
      </c>
      <c r="B1614" s="1">
        <v>33.0</v>
      </c>
      <c r="C1614" s="2"/>
      <c r="D1614" s="2"/>
      <c r="E1614" s="2"/>
      <c r="F1614" s="2"/>
      <c r="G1614" s="2"/>
    </row>
    <row r="1615">
      <c r="A1615" s="1" t="s">
        <v>874</v>
      </c>
      <c r="B1615" s="1">
        <v>26.0</v>
      </c>
      <c r="C1615" s="2"/>
      <c r="D1615" s="2"/>
      <c r="E1615" s="2"/>
      <c r="F1615" s="2"/>
      <c r="G1615" s="2"/>
    </row>
    <row r="1616">
      <c r="A1616" s="1" t="s">
        <v>875</v>
      </c>
      <c r="B1616" s="1">
        <v>35.0</v>
      </c>
      <c r="C1616" s="2"/>
      <c r="D1616" s="2"/>
      <c r="E1616" s="2"/>
      <c r="F1616" s="2"/>
      <c r="G1616" s="2"/>
    </row>
    <row r="1617">
      <c r="A1617" s="1" t="s">
        <v>876</v>
      </c>
      <c r="B1617" s="1">
        <v>86.0</v>
      </c>
      <c r="C1617" s="2"/>
      <c r="D1617" s="2"/>
      <c r="E1617" s="2"/>
      <c r="F1617" s="2"/>
      <c r="G1617" s="2"/>
    </row>
    <row r="1618">
      <c r="A1618" s="1" t="s">
        <v>877</v>
      </c>
      <c r="B1618" s="1">
        <v>0.0</v>
      </c>
      <c r="C1618" s="2"/>
      <c r="D1618" s="2"/>
      <c r="E1618" s="2"/>
      <c r="F1618" s="2"/>
      <c r="G1618" s="2"/>
    </row>
    <row r="1619">
      <c r="A1619" s="1" t="s">
        <v>878</v>
      </c>
      <c r="B1619" s="1">
        <v>0.0</v>
      </c>
      <c r="C1619" s="2"/>
      <c r="D1619" s="2"/>
      <c r="E1619" s="2"/>
      <c r="F1619" s="2"/>
      <c r="G1619" s="2"/>
    </row>
    <row r="1620">
      <c r="A1620" s="1" t="s">
        <v>879</v>
      </c>
      <c r="B1620" s="1">
        <v>0.0</v>
      </c>
      <c r="C1620" s="2"/>
      <c r="D1620" s="2"/>
      <c r="E1620" s="2"/>
      <c r="F1620" s="2"/>
      <c r="G1620" s="2"/>
    </row>
    <row r="1621">
      <c r="A1621" s="1" t="s">
        <v>880</v>
      </c>
      <c r="B1621" s="1">
        <v>0.0</v>
      </c>
      <c r="C1621" s="2"/>
      <c r="D1621" s="2"/>
      <c r="E1621" s="2"/>
      <c r="F1621" s="2"/>
      <c r="G1621" s="2"/>
    </row>
    <row r="1622">
      <c r="A1622" s="1" t="s">
        <v>881</v>
      </c>
      <c r="B1622" s="1">
        <v>0.0</v>
      </c>
      <c r="C1622" s="2"/>
      <c r="D1622" s="2"/>
      <c r="E1622" s="2"/>
      <c r="F1622" s="2"/>
      <c r="G1622" s="2"/>
    </row>
    <row r="1623">
      <c r="A1623" s="1" t="s">
        <v>882</v>
      </c>
      <c r="B1623" s="1">
        <v>63.0</v>
      </c>
      <c r="C1623" s="2"/>
      <c r="D1623" s="2"/>
      <c r="E1623" s="2"/>
      <c r="F1623" s="2"/>
      <c r="G1623" s="2"/>
    </row>
    <row r="1624">
      <c r="A1624" s="1" t="s">
        <v>883</v>
      </c>
      <c r="B1624" s="1">
        <v>59.0</v>
      </c>
      <c r="C1624" s="2"/>
      <c r="D1624" s="2"/>
      <c r="E1624" s="2"/>
      <c r="F1624" s="2"/>
      <c r="G1624" s="2"/>
    </row>
    <row r="1625">
      <c r="A1625" s="1" t="s">
        <v>884</v>
      </c>
      <c r="B1625" s="1">
        <v>20.0</v>
      </c>
      <c r="C1625" s="2"/>
      <c r="D1625" s="2"/>
      <c r="E1625" s="2"/>
      <c r="F1625" s="2"/>
      <c r="G1625" s="2"/>
    </row>
    <row r="1626">
      <c r="A1626" s="1" t="s">
        <v>885</v>
      </c>
      <c r="B1626" s="1">
        <v>32.0</v>
      </c>
      <c r="C1626" s="2"/>
      <c r="D1626" s="2"/>
      <c r="E1626" s="2"/>
      <c r="F1626" s="2"/>
      <c r="G1626" s="2"/>
    </row>
    <row r="1627">
      <c r="A1627" s="1" t="s">
        <v>886</v>
      </c>
      <c r="B1627" s="1">
        <v>0.0</v>
      </c>
      <c r="C1627" s="2"/>
      <c r="D1627" s="2"/>
      <c r="E1627" s="2"/>
      <c r="F1627" s="2"/>
      <c r="G1627" s="2"/>
    </row>
    <row r="1628">
      <c r="A1628" s="1" t="s">
        <v>887</v>
      </c>
      <c r="B1628" s="1">
        <v>39.0</v>
      </c>
      <c r="C1628" s="2"/>
      <c r="D1628" s="2"/>
      <c r="E1628" s="2"/>
      <c r="F1628" s="2"/>
      <c r="G1628" s="2"/>
    </row>
    <row r="1629">
      <c r="A1629" s="1" t="s">
        <v>888</v>
      </c>
      <c r="B1629" s="1">
        <v>50.0</v>
      </c>
      <c r="C1629" s="2"/>
      <c r="D1629" s="2"/>
      <c r="E1629" s="2"/>
      <c r="F1629" s="2"/>
      <c r="G1629" s="2"/>
    </row>
    <row r="1630">
      <c r="A1630" s="1" t="s">
        <v>889</v>
      </c>
      <c r="B1630" s="1">
        <v>80.0</v>
      </c>
      <c r="C1630" s="2"/>
      <c r="D1630" s="2"/>
      <c r="E1630" s="2"/>
      <c r="F1630" s="2"/>
      <c r="G1630" s="2"/>
    </row>
    <row r="1631">
      <c r="A1631" s="1" t="s">
        <v>890</v>
      </c>
      <c r="B1631" s="1">
        <v>81.0</v>
      </c>
      <c r="C1631" s="2"/>
      <c r="D1631" s="2"/>
      <c r="E1631" s="2"/>
      <c r="F1631" s="2"/>
      <c r="G1631" s="2"/>
    </row>
    <row r="1632">
      <c r="A1632" s="1" t="s">
        <v>891</v>
      </c>
      <c r="B1632" s="1">
        <v>14.0</v>
      </c>
      <c r="C1632" s="2"/>
      <c r="D1632" s="2"/>
      <c r="E1632" s="2"/>
      <c r="F1632" s="2"/>
      <c r="G1632" s="2"/>
    </row>
    <row r="1633">
      <c r="A1633" s="1" t="s">
        <v>892</v>
      </c>
      <c r="B1633" s="1">
        <v>0.0</v>
      </c>
      <c r="C1633" s="2"/>
      <c r="D1633" s="2"/>
      <c r="E1633" s="2"/>
      <c r="F1633" s="2"/>
      <c r="G1633" s="2"/>
    </row>
    <row r="1634">
      <c r="A1634" s="1" t="s">
        <v>893</v>
      </c>
      <c r="B1634" s="1">
        <v>36.0</v>
      </c>
      <c r="C1634" s="2"/>
      <c r="D1634" s="2"/>
      <c r="E1634" s="2"/>
      <c r="F1634" s="2"/>
      <c r="G1634" s="2"/>
    </row>
    <row r="1635">
      <c r="A1635" s="1" t="s">
        <v>894</v>
      </c>
      <c r="B1635" s="1">
        <v>6.0</v>
      </c>
      <c r="C1635" s="2"/>
      <c r="D1635" s="2"/>
      <c r="E1635" s="2"/>
      <c r="F1635" s="2"/>
      <c r="G1635" s="2"/>
    </row>
    <row r="1636">
      <c r="A1636" s="1" t="s">
        <v>895</v>
      </c>
      <c r="B1636" s="1">
        <v>1.0</v>
      </c>
      <c r="C1636" s="2"/>
      <c r="D1636" s="2"/>
      <c r="E1636" s="2"/>
      <c r="F1636" s="2"/>
      <c r="G1636" s="2"/>
    </row>
    <row r="1637">
      <c r="A1637" s="1" t="s">
        <v>896</v>
      </c>
      <c r="B1637" s="1">
        <v>36.0</v>
      </c>
      <c r="C1637" s="2"/>
      <c r="D1637" s="2"/>
      <c r="E1637" s="2"/>
      <c r="F1637" s="2"/>
      <c r="G1637" s="2"/>
    </row>
    <row r="1638">
      <c r="A1638" s="1" t="s">
        <v>897</v>
      </c>
      <c r="B1638" s="1">
        <v>0.0</v>
      </c>
      <c r="C1638" s="2"/>
      <c r="D1638" s="2"/>
      <c r="E1638" s="2"/>
      <c r="F1638" s="2"/>
      <c r="G1638" s="2"/>
    </row>
    <row r="1639">
      <c r="A1639" s="1" t="s">
        <v>898</v>
      </c>
      <c r="B1639" s="1">
        <v>86.0</v>
      </c>
      <c r="C1639" s="2"/>
      <c r="D1639" s="2"/>
      <c r="E1639" s="2"/>
      <c r="F1639" s="2"/>
      <c r="G1639" s="2"/>
    </row>
    <row r="1640">
      <c r="A1640" s="1" t="s">
        <v>899</v>
      </c>
      <c r="B1640" s="1">
        <v>38.0</v>
      </c>
      <c r="C1640" s="2"/>
      <c r="D1640" s="2"/>
      <c r="E1640" s="2"/>
      <c r="F1640" s="2"/>
      <c r="G1640" s="2"/>
    </row>
    <row r="1641">
      <c r="A1641" s="1" t="s">
        <v>900</v>
      </c>
      <c r="B1641" s="1">
        <v>79.0</v>
      </c>
      <c r="C1641" s="2"/>
      <c r="D1641" s="2"/>
      <c r="E1641" s="2"/>
      <c r="F1641" s="2"/>
      <c r="G1641" s="2"/>
    </row>
    <row r="1642">
      <c r="A1642" s="1" t="s">
        <v>901</v>
      </c>
      <c r="B1642" s="1">
        <v>0.0</v>
      </c>
      <c r="C1642" s="2"/>
      <c r="D1642" s="2"/>
      <c r="E1642" s="2"/>
      <c r="F1642" s="2"/>
      <c r="G1642" s="2"/>
    </row>
    <row r="1643">
      <c r="A1643" s="1" t="s">
        <v>902</v>
      </c>
      <c r="B1643" s="1">
        <v>0.0</v>
      </c>
      <c r="C1643" s="2"/>
      <c r="D1643" s="2"/>
      <c r="E1643" s="2"/>
      <c r="F1643" s="2"/>
      <c r="G1643" s="2"/>
    </row>
    <row r="1644">
      <c r="A1644" s="1" t="s">
        <v>903</v>
      </c>
      <c r="B1644" s="1">
        <v>22.0</v>
      </c>
      <c r="C1644" s="2"/>
      <c r="D1644" s="2"/>
      <c r="E1644" s="2"/>
      <c r="F1644" s="2"/>
      <c r="G1644" s="2"/>
    </row>
    <row r="1645">
      <c r="A1645" s="1" t="s">
        <v>904</v>
      </c>
      <c r="B1645" s="1">
        <v>0.0</v>
      </c>
      <c r="C1645" s="2"/>
      <c r="D1645" s="2"/>
      <c r="E1645" s="2"/>
      <c r="F1645" s="2"/>
      <c r="G1645" s="2"/>
    </row>
    <row r="1646">
      <c r="A1646" s="1" t="s">
        <v>905</v>
      </c>
      <c r="B1646" s="1">
        <v>0.0</v>
      </c>
      <c r="C1646" s="2"/>
      <c r="D1646" s="2"/>
      <c r="E1646" s="2"/>
      <c r="F1646" s="2"/>
      <c r="G1646" s="2"/>
    </row>
    <row r="1647">
      <c r="A1647" s="1" t="s">
        <v>906</v>
      </c>
      <c r="B1647" s="1">
        <v>72.0</v>
      </c>
      <c r="C1647" s="2"/>
      <c r="D1647" s="2"/>
      <c r="E1647" s="2"/>
      <c r="F1647" s="2"/>
      <c r="G1647" s="2"/>
    </row>
    <row r="1648">
      <c r="A1648" s="1" t="s">
        <v>907</v>
      </c>
      <c r="B1648" s="1">
        <v>0.0</v>
      </c>
      <c r="C1648" s="2"/>
      <c r="D1648" s="2"/>
      <c r="E1648" s="2"/>
      <c r="F1648" s="2"/>
      <c r="G1648" s="2"/>
    </row>
    <row r="1649">
      <c r="A1649" s="1" t="s">
        <v>908</v>
      </c>
      <c r="B1649" s="1">
        <v>0.0</v>
      </c>
      <c r="C1649" s="2"/>
      <c r="D1649" s="2"/>
      <c r="E1649" s="2"/>
      <c r="F1649" s="2"/>
      <c r="G1649" s="2"/>
    </row>
    <row r="1650">
      <c r="A1650" s="1" t="s">
        <v>909</v>
      </c>
      <c r="B1650" s="1">
        <v>22.0</v>
      </c>
      <c r="C1650" s="2"/>
      <c r="D1650" s="2"/>
      <c r="E1650" s="2"/>
      <c r="F1650" s="2"/>
      <c r="G1650" s="2"/>
    </row>
    <row r="1651">
      <c r="A1651" s="1" t="s">
        <v>910</v>
      </c>
      <c r="B1651" s="1">
        <v>0.0</v>
      </c>
      <c r="C1651" s="2"/>
      <c r="D1651" s="2"/>
      <c r="E1651" s="2"/>
      <c r="F1651" s="2"/>
      <c r="G1651" s="2"/>
    </row>
    <row r="1652">
      <c r="A1652" s="1" t="s">
        <v>911</v>
      </c>
      <c r="B1652" s="1">
        <v>0.0</v>
      </c>
      <c r="C1652" s="2"/>
      <c r="D1652" s="2"/>
      <c r="E1652" s="2"/>
      <c r="F1652" s="2"/>
      <c r="G1652" s="2"/>
    </row>
    <row r="1653">
      <c r="A1653" s="1" t="s">
        <v>912</v>
      </c>
      <c r="B1653" s="1">
        <v>60.0</v>
      </c>
      <c r="C1653" s="2"/>
      <c r="D1653" s="2"/>
      <c r="E1653" s="2"/>
      <c r="F1653" s="2"/>
      <c r="G1653" s="2"/>
    </row>
    <row r="1654">
      <c r="A1654" s="1" t="s">
        <v>913</v>
      </c>
      <c r="B1654" s="1">
        <v>18.0</v>
      </c>
      <c r="C1654" s="2"/>
      <c r="D1654" s="2"/>
      <c r="E1654" s="2"/>
      <c r="F1654" s="2"/>
      <c r="G1654" s="2"/>
    </row>
    <row r="1655">
      <c r="A1655" s="1" t="s">
        <v>914</v>
      </c>
      <c r="B1655" s="1">
        <v>94.0</v>
      </c>
      <c r="C1655" s="2"/>
      <c r="D1655" s="2"/>
      <c r="E1655" s="2"/>
      <c r="F1655" s="2"/>
      <c r="G1655" s="2"/>
    </row>
    <row r="1656">
      <c r="A1656" s="1" t="s">
        <v>915</v>
      </c>
      <c r="B1656" s="1">
        <v>14.0</v>
      </c>
      <c r="C1656" s="2"/>
      <c r="D1656" s="2"/>
      <c r="E1656" s="2"/>
      <c r="F1656" s="2"/>
      <c r="G1656" s="2"/>
    </row>
    <row r="1657">
      <c r="A1657" s="1" t="s">
        <v>916</v>
      </c>
      <c r="B1657" s="1">
        <v>0.0</v>
      </c>
      <c r="C1657" s="2"/>
      <c r="D1657" s="2"/>
      <c r="E1657" s="2"/>
      <c r="F1657" s="2"/>
      <c r="G1657" s="2"/>
    </row>
    <row r="1658">
      <c r="A1658" s="1" t="s">
        <v>917</v>
      </c>
      <c r="B1658" s="1">
        <v>0.0</v>
      </c>
      <c r="C1658" s="2"/>
      <c r="D1658" s="2"/>
      <c r="E1658" s="2"/>
      <c r="F1658" s="2"/>
      <c r="G1658" s="2"/>
    </row>
    <row r="1659">
      <c r="A1659" s="1" t="s">
        <v>918</v>
      </c>
      <c r="B1659" s="1">
        <v>42.0</v>
      </c>
      <c r="C1659" s="2"/>
      <c r="D1659" s="2"/>
      <c r="E1659" s="2"/>
      <c r="F1659" s="2"/>
      <c r="G1659" s="2"/>
    </row>
    <row r="1660">
      <c r="A1660" s="1" t="s">
        <v>919</v>
      </c>
      <c r="B1660" s="1">
        <v>0.0</v>
      </c>
      <c r="C1660" s="2"/>
      <c r="D1660" s="2"/>
      <c r="E1660" s="2"/>
      <c r="F1660" s="2"/>
      <c r="G1660" s="2"/>
    </row>
    <row r="1661">
      <c r="A1661" s="1" t="s">
        <v>920</v>
      </c>
      <c r="B1661" s="1">
        <v>78.0</v>
      </c>
      <c r="C1661" s="2"/>
      <c r="D1661" s="2"/>
      <c r="E1661" s="2"/>
      <c r="F1661" s="2"/>
      <c r="G1661" s="2"/>
    </row>
    <row r="1662">
      <c r="A1662" s="1" t="s">
        <v>921</v>
      </c>
      <c r="B1662" s="1">
        <v>40.0</v>
      </c>
      <c r="C1662" s="2"/>
      <c r="D1662" s="2"/>
      <c r="E1662" s="2"/>
      <c r="F1662" s="2"/>
      <c r="G1662" s="2"/>
    </row>
    <row r="1663">
      <c r="A1663" s="1" t="s">
        <v>922</v>
      </c>
      <c r="B1663" s="1">
        <v>3.0</v>
      </c>
      <c r="C1663" s="2"/>
      <c r="D1663" s="2"/>
      <c r="E1663" s="2"/>
      <c r="F1663" s="2"/>
      <c r="G1663" s="2"/>
    </row>
    <row r="1664">
      <c r="A1664" s="1" t="s">
        <v>923</v>
      </c>
      <c r="B1664" s="1">
        <v>26.0</v>
      </c>
      <c r="C1664" s="2"/>
      <c r="D1664" s="2"/>
      <c r="E1664" s="2"/>
      <c r="F1664" s="2"/>
      <c r="G1664" s="2"/>
    </row>
    <row r="1665">
      <c r="A1665" s="1" t="s">
        <v>924</v>
      </c>
      <c r="B1665" s="1">
        <v>48.0</v>
      </c>
      <c r="C1665" s="2"/>
      <c r="D1665" s="2"/>
      <c r="E1665" s="2"/>
      <c r="F1665" s="2"/>
      <c r="G1665" s="2"/>
    </row>
    <row r="1666">
      <c r="A1666" s="1" t="s">
        <v>925</v>
      </c>
      <c r="B1666" s="1" t="s">
        <v>926</v>
      </c>
      <c r="C1666" s="1">
        <v>72.0</v>
      </c>
      <c r="D1666" s="2"/>
      <c r="E1666" s="2"/>
      <c r="F1666" s="2"/>
      <c r="G1666" s="2"/>
    </row>
    <row r="1667">
      <c r="A1667" s="1" t="s">
        <v>927</v>
      </c>
      <c r="B1667" s="1">
        <v>1.0</v>
      </c>
      <c r="C1667" s="2"/>
      <c r="D1667" s="2"/>
      <c r="E1667" s="2"/>
      <c r="F1667" s="2"/>
      <c r="G1667" s="2"/>
    </row>
    <row r="1668">
      <c r="A1668" s="1" t="s">
        <v>928</v>
      </c>
      <c r="B1668" s="1">
        <v>0.0</v>
      </c>
      <c r="C1668" s="2"/>
      <c r="D1668" s="2"/>
      <c r="E1668" s="2"/>
      <c r="F1668" s="2"/>
      <c r="G1668" s="2"/>
    </row>
    <row r="1669">
      <c r="A1669" s="1" t="s">
        <v>929</v>
      </c>
      <c r="B1669" s="1">
        <v>0.0</v>
      </c>
      <c r="C1669" s="2"/>
      <c r="D1669" s="2"/>
      <c r="E1669" s="2"/>
      <c r="F1669" s="2"/>
      <c r="G1669" s="2"/>
    </row>
    <row r="1670">
      <c r="A1670" s="1" t="s">
        <v>930</v>
      </c>
      <c r="B1670" s="1">
        <v>20.0</v>
      </c>
      <c r="C1670" s="2"/>
      <c r="D1670" s="2"/>
      <c r="E1670" s="2"/>
      <c r="F1670" s="2"/>
      <c r="G1670" s="2"/>
    </row>
    <row r="1671">
      <c r="A1671" s="1" t="s">
        <v>931</v>
      </c>
      <c r="B1671" s="1">
        <v>0.0</v>
      </c>
      <c r="C1671" s="2"/>
      <c r="D1671" s="2"/>
      <c r="E1671" s="2"/>
      <c r="F1671" s="2"/>
      <c r="G1671" s="2"/>
    </row>
    <row r="1672">
      <c r="A1672" s="1" t="s">
        <v>932</v>
      </c>
      <c r="B1672" s="1">
        <v>0.0</v>
      </c>
      <c r="C1672" s="2"/>
      <c r="D1672" s="2"/>
      <c r="E1672" s="2"/>
      <c r="F1672" s="2"/>
      <c r="G1672" s="2"/>
    </row>
    <row r="1673">
      <c r="A1673" s="1" t="s">
        <v>933</v>
      </c>
      <c r="B1673" s="1">
        <v>69.0</v>
      </c>
      <c r="C1673" s="2"/>
      <c r="D1673" s="2"/>
      <c r="E1673" s="2"/>
      <c r="F1673" s="2"/>
      <c r="G1673" s="2"/>
    </row>
    <row r="1674">
      <c r="A1674" s="1" t="s">
        <v>934</v>
      </c>
      <c r="B1674" s="1">
        <v>23.0</v>
      </c>
      <c r="C1674" s="2"/>
      <c r="D1674" s="2"/>
      <c r="E1674" s="2"/>
      <c r="F1674" s="2"/>
      <c r="G1674" s="2"/>
    </row>
    <row r="1675">
      <c r="A1675" s="1" t="s">
        <v>935</v>
      </c>
      <c r="B1675" s="1">
        <v>96.0</v>
      </c>
      <c r="C1675" s="2"/>
      <c r="D1675" s="2"/>
      <c r="E1675" s="2"/>
      <c r="F1675" s="2"/>
      <c r="G1675" s="2"/>
    </row>
    <row r="1676">
      <c r="A1676" s="1" t="s">
        <v>936</v>
      </c>
      <c r="B1676" s="1">
        <v>93.0</v>
      </c>
      <c r="C1676" s="2"/>
      <c r="D1676" s="2"/>
      <c r="E1676" s="2"/>
      <c r="F1676" s="2"/>
      <c r="G1676" s="2"/>
    </row>
    <row r="1677">
      <c r="A1677" s="1" t="s">
        <v>937</v>
      </c>
      <c r="B1677" s="1">
        <v>40.0</v>
      </c>
      <c r="C1677" s="2"/>
      <c r="D1677" s="2"/>
      <c r="E1677" s="2"/>
      <c r="F1677" s="2"/>
      <c r="G1677" s="2"/>
    </row>
    <row r="1678">
      <c r="A1678" s="1" t="s">
        <v>938</v>
      </c>
      <c r="B1678" s="1">
        <v>39.0</v>
      </c>
      <c r="C1678" s="2"/>
      <c r="D1678" s="2"/>
      <c r="E1678" s="2"/>
      <c r="F1678" s="2"/>
      <c r="G1678" s="2"/>
    </row>
    <row r="1679">
      <c r="A1679" s="1" t="s">
        <v>939</v>
      </c>
      <c r="B1679" s="1">
        <v>0.0</v>
      </c>
      <c r="C1679" s="2"/>
      <c r="D1679" s="2"/>
      <c r="E1679" s="2"/>
      <c r="F1679" s="2"/>
      <c r="G1679" s="2"/>
    </row>
    <row r="1680">
      <c r="A1680" s="1" t="s">
        <v>940</v>
      </c>
      <c r="B1680" s="1">
        <v>0.0</v>
      </c>
      <c r="C1680" s="2"/>
      <c r="D1680" s="2"/>
      <c r="E1680" s="2"/>
      <c r="F1680" s="2"/>
      <c r="G1680" s="2"/>
    </row>
    <row r="1681">
      <c r="A1681" s="1" t="s">
        <v>941</v>
      </c>
      <c r="B1681" s="1">
        <v>0.0</v>
      </c>
      <c r="C1681" s="2"/>
      <c r="D1681" s="2"/>
      <c r="E1681" s="2"/>
      <c r="F1681" s="2"/>
      <c r="G1681" s="2"/>
    </row>
    <row r="1682">
      <c r="A1682" s="1" t="s">
        <v>942</v>
      </c>
      <c r="B1682" s="1">
        <v>0.0</v>
      </c>
      <c r="C1682" s="2"/>
      <c r="D1682" s="2"/>
      <c r="E1682" s="2"/>
      <c r="F1682" s="2"/>
      <c r="G1682" s="2"/>
    </row>
    <row r="1683">
      <c r="A1683" s="1" t="s">
        <v>943</v>
      </c>
      <c r="B1683" s="1">
        <v>78.0</v>
      </c>
      <c r="C1683" s="2"/>
      <c r="D1683" s="2"/>
      <c r="E1683" s="2"/>
      <c r="F1683" s="2"/>
      <c r="G1683" s="2"/>
    </row>
    <row r="1684">
      <c r="A1684" s="1" t="s">
        <v>944</v>
      </c>
      <c r="B1684" s="1">
        <v>0.0</v>
      </c>
      <c r="C1684" s="2"/>
      <c r="D1684" s="2"/>
      <c r="E1684" s="2"/>
      <c r="F1684" s="2"/>
      <c r="G1684" s="2"/>
    </row>
    <row r="1685">
      <c r="A1685" s="1" t="s">
        <v>945</v>
      </c>
      <c r="B1685" s="1">
        <v>0.0</v>
      </c>
      <c r="C1685" s="2"/>
      <c r="D1685" s="2"/>
      <c r="E1685" s="2"/>
      <c r="F1685" s="2"/>
      <c r="G1685" s="2"/>
    </row>
    <row r="1686">
      <c r="A1686" s="1" t="s">
        <v>946</v>
      </c>
      <c r="B1686" s="1">
        <v>0.0</v>
      </c>
      <c r="C1686" s="2"/>
      <c r="D1686" s="2"/>
      <c r="E1686" s="2"/>
      <c r="F1686" s="2"/>
      <c r="G1686" s="2"/>
    </row>
    <row r="1687">
      <c r="A1687" s="1" t="s">
        <v>947</v>
      </c>
      <c r="B1687" s="1">
        <v>0.0</v>
      </c>
      <c r="C1687" s="2"/>
      <c r="D1687" s="2"/>
      <c r="E1687" s="2"/>
      <c r="F1687" s="2"/>
      <c r="G1687" s="2"/>
    </row>
    <row r="1688">
      <c r="A1688" s="1" t="s">
        <v>948</v>
      </c>
      <c r="B1688" s="1">
        <v>0.0</v>
      </c>
      <c r="C1688" s="2"/>
      <c r="D1688" s="2"/>
      <c r="E1688" s="2"/>
      <c r="F1688" s="2"/>
      <c r="G1688" s="2"/>
    </row>
    <row r="1689">
      <c r="A1689" s="1" t="s">
        <v>949</v>
      </c>
      <c r="B1689" s="1">
        <v>0.0</v>
      </c>
      <c r="C1689" s="2"/>
      <c r="D1689" s="2"/>
      <c r="E1689" s="2"/>
      <c r="F1689" s="2"/>
      <c r="G1689" s="2"/>
    </row>
    <row r="1690">
      <c r="A1690" s="1" t="s">
        <v>950</v>
      </c>
      <c r="B1690" s="1">
        <v>92.0</v>
      </c>
      <c r="C1690" s="2"/>
      <c r="D1690" s="2"/>
      <c r="E1690" s="2"/>
      <c r="F1690" s="2"/>
      <c r="G1690" s="2"/>
    </row>
    <row r="1691">
      <c r="A1691" s="1" t="s">
        <v>951</v>
      </c>
      <c r="B1691" s="1">
        <v>0.0</v>
      </c>
      <c r="C1691" s="2"/>
      <c r="D1691" s="2"/>
      <c r="E1691" s="2"/>
      <c r="F1691" s="2"/>
      <c r="G1691" s="2"/>
    </row>
    <row r="1692">
      <c r="A1692" s="1" t="s">
        <v>952</v>
      </c>
      <c r="B1692" s="1">
        <v>80.0</v>
      </c>
      <c r="C1692" s="2"/>
      <c r="D1692" s="2"/>
      <c r="E1692" s="2"/>
      <c r="F1692" s="2"/>
      <c r="G1692" s="2"/>
    </row>
    <row r="1693">
      <c r="A1693" s="1" t="s">
        <v>953</v>
      </c>
      <c r="B1693" s="1">
        <v>0.0</v>
      </c>
      <c r="C1693" s="2"/>
      <c r="D1693" s="2"/>
      <c r="E1693" s="2"/>
      <c r="F1693" s="2"/>
      <c r="G1693" s="2"/>
    </row>
    <row r="1694">
      <c r="A1694" s="1" t="s">
        <v>954</v>
      </c>
      <c r="B1694" s="1">
        <v>0.0</v>
      </c>
      <c r="C1694" s="2"/>
      <c r="D1694" s="2"/>
      <c r="E1694" s="2"/>
      <c r="F1694" s="2"/>
      <c r="G1694" s="2"/>
    </row>
    <row r="1695">
      <c r="A1695" s="1" t="s">
        <v>955</v>
      </c>
      <c r="B1695" s="1">
        <v>79.0</v>
      </c>
      <c r="C1695" s="2"/>
      <c r="D1695" s="2"/>
      <c r="E1695" s="2"/>
      <c r="F1695" s="2"/>
      <c r="G1695" s="2"/>
    </row>
    <row r="1696">
      <c r="A1696" s="1" t="s">
        <v>956</v>
      </c>
      <c r="B1696" s="1">
        <v>0.0</v>
      </c>
      <c r="C1696" s="2"/>
      <c r="D1696" s="2"/>
      <c r="E1696" s="2"/>
      <c r="F1696" s="2"/>
      <c r="G1696" s="2"/>
    </row>
    <row r="1697">
      <c r="A1697" s="1" t="s">
        <v>957</v>
      </c>
      <c r="B1697" s="1">
        <v>0.0</v>
      </c>
      <c r="C1697" s="2"/>
      <c r="D1697" s="2"/>
      <c r="E1697" s="2"/>
      <c r="F1697" s="2"/>
      <c r="G1697" s="2"/>
    </row>
    <row r="1698">
      <c r="A1698" s="1" t="s">
        <v>958</v>
      </c>
      <c r="B1698" s="1">
        <v>0.0</v>
      </c>
      <c r="C1698" s="2"/>
      <c r="D1698" s="2"/>
      <c r="E1698" s="2"/>
      <c r="F1698" s="2"/>
      <c r="G1698" s="2"/>
    </row>
    <row r="1699">
      <c r="A1699" s="1" t="s">
        <v>959</v>
      </c>
      <c r="B1699" s="1">
        <v>0.0</v>
      </c>
      <c r="C1699" s="2"/>
      <c r="D1699" s="2"/>
      <c r="E1699" s="2"/>
      <c r="F1699" s="2"/>
      <c r="G1699" s="2"/>
    </row>
    <row r="1700">
      <c r="A1700" s="1" t="s">
        <v>960</v>
      </c>
      <c r="B1700" s="1">
        <v>0.0</v>
      </c>
      <c r="C1700" s="2"/>
      <c r="D1700" s="2"/>
      <c r="E1700" s="2"/>
      <c r="F1700" s="2"/>
      <c r="G1700" s="2"/>
    </row>
    <row r="1701">
      <c r="A1701" s="1" t="s">
        <v>961</v>
      </c>
      <c r="B1701" s="1">
        <v>0.0</v>
      </c>
      <c r="C1701" s="2"/>
      <c r="D1701" s="2"/>
      <c r="E1701" s="2"/>
      <c r="F1701" s="2"/>
      <c r="G1701" s="2"/>
    </row>
    <row r="1702">
      <c r="A1702" s="1" t="s">
        <v>962</v>
      </c>
      <c r="B1702" s="1">
        <v>0.0</v>
      </c>
      <c r="C1702" s="2"/>
      <c r="D1702" s="2"/>
      <c r="E1702" s="2"/>
      <c r="F1702" s="2"/>
      <c r="G1702" s="2"/>
    </row>
    <row r="1703">
      <c r="A1703" s="1" t="s">
        <v>963</v>
      </c>
      <c r="B1703" s="1">
        <v>32.0</v>
      </c>
      <c r="C1703" s="2"/>
      <c r="D1703" s="2"/>
      <c r="E1703" s="2"/>
      <c r="F1703" s="2"/>
      <c r="G1703" s="2"/>
    </row>
    <row r="1704">
      <c r="A1704" s="1" t="s">
        <v>964</v>
      </c>
      <c r="B1704" s="1">
        <v>0.0</v>
      </c>
      <c r="C1704" s="2"/>
      <c r="D1704" s="2"/>
      <c r="E1704" s="2"/>
      <c r="F1704" s="2"/>
      <c r="G1704" s="2"/>
    </row>
    <row r="1705">
      <c r="A1705" s="1" t="s">
        <v>965</v>
      </c>
      <c r="B1705" s="1">
        <v>96.0</v>
      </c>
      <c r="C1705" s="2"/>
      <c r="D1705" s="2"/>
      <c r="E1705" s="2"/>
      <c r="F1705" s="2"/>
      <c r="G1705" s="2"/>
    </row>
    <row r="1706">
      <c r="A1706" s="1" t="s">
        <v>966</v>
      </c>
      <c r="B1706" s="1" t="s">
        <v>967</v>
      </c>
      <c r="C1706" s="1" t="s">
        <v>968</v>
      </c>
      <c r="D1706" s="2"/>
      <c r="E1706" s="2"/>
      <c r="F1706" s="2"/>
      <c r="G1706" s="2"/>
    </row>
    <row r="1707">
      <c r="A1707" s="1" t="s">
        <v>969</v>
      </c>
      <c r="B1707" s="1">
        <v>0.0</v>
      </c>
      <c r="C1707" s="2"/>
      <c r="D1707" s="2"/>
      <c r="E1707" s="2"/>
      <c r="F1707" s="2"/>
      <c r="G1707" s="2"/>
    </row>
    <row r="1708">
      <c r="A1708" s="1" t="s">
        <v>970</v>
      </c>
      <c r="B1708" s="2"/>
      <c r="C1708" s="2"/>
      <c r="D1708" s="2"/>
      <c r="E1708" s="2"/>
      <c r="F1708" s="2"/>
      <c r="G1708" s="2"/>
    </row>
    <row r="1709">
      <c r="A1709" s="1" t="s">
        <v>971</v>
      </c>
      <c r="B1709" s="1">
        <v>0.0</v>
      </c>
      <c r="C1709" s="2"/>
      <c r="D1709" s="2"/>
      <c r="E1709" s="2"/>
      <c r="F1709" s="2"/>
      <c r="G1709" s="2"/>
    </row>
    <row r="1710">
      <c r="A1710" s="1" t="s">
        <v>972</v>
      </c>
      <c r="B1710" s="1">
        <v>0.0</v>
      </c>
      <c r="C1710" s="2"/>
      <c r="D1710" s="2"/>
      <c r="E1710" s="2"/>
      <c r="F1710" s="2"/>
      <c r="G1710" s="2"/>
    </row>
    <row r="1711">
      <c r="A1711" s="1" t="s">
        <v>973</v>
      </c>
      <c r="B1711" s="1">
        <v>0.0</v>
      </c>
      <c r="C1711" s="2"/>
      <c r="D1711" s="2"/>
      <c r="E1711" s="2"/>
      <c r="F1711" s="2"/>
      <c r="G1711" s="2"/>
    </row>
    <row r="1712">
      <c r="A1712" s="1" t="s">
        <v>974</v>
      </c>
      <c r="B1712" s="1">
        <v>0.0</v>
      </c>
      <c r="C1712" s="2"/>
      <c r="D1712" s="2"/>
      <c r="E1712" s="2"/>
      <c r="F1712" s="2"/>
      <c r="G1712" s="2"/>
    </row>
    <row r="1713">
      <c r="A1713" s="1" t="s">
        <v>975</v>
      </c>
      <c r="B1713" s="1">
        <v>0.0</v>
      </c>
      <c r="C1713" s="2"/>
      <c r="D1713" s="2"/>
      <c r="E1713" s="2"/>
      <c r="F1713" s="2"/>
      <c r="G1713" s="2"/>
    </row>
    <row r="1714">
      <c r="A1714" s="1" t="s">
        <v>976</v>
      </c>
      <c r="B1714" s="1">
        <v>0.0</v>
      </c>
      <c r="C1714" s="2"/>
      <c r="D1714" s="2"/>
      <c r="E1714" s="2"/>
      <c r="F1714" s="2"/>
      <c r="G1714" s="2"/>
    </row>
    <row r="1715">
      <c r="A1715" s="1" t="s">
        <v>977</v>
      </c>
      <c r="B1715" s="1">
        <v>81.0</v>
      </c>
      <c r="C1715" s="2"/>
      <c r="D1715" s="2"/>
      <c r="E1715" s="2"/>
      <c r="F1715" s="2"/>
      <c r="G1715" s="2"/>
    </row>
    <row r="1716">
      <c r="A1716" s="1" t="s">
        <v>978</v>
      </c>
      <c r="B1716" s="1">
        <v>0.0</v>
      </c>
      <c r="C1716" s="2"/>
      <c r="D1716" s="2"/>
      <c r="E1716" s="2"/>
      <c r="F1716" s="2"/>
      <c r="G1716" s="2"/>
    </row>
    <row r="1717">
      <c r="A1717" s="1" t="s">
        <v>979</v>
      </c>
      <c r="B1717" s="1">
        <v>0.0</v>
      </c>
      <c r="C1717" s="2"/>
      <c r="D1717" s="2"/>
      <c r="E1717" s="2"/>
      <c r="F1717" s="2"/>
      <c r="G1717" s="2"/>
    </row>
    <row r="1718">
      <c r="A1718" s="1" t="s">
        <v>980</v>
      </c>
      <c r="B1718" s="1" t="s">
        <v>981</v>
      </c>
      <c r="C1718" s="1">
        <v>12.0</v>
      </c>
      <c r="D1718" s="2"/>
      <c r="E1718" s="2"/>
      <c r="F1718" s="2"/>
      <c r="G1718" s="2"/>
    </row>
    <row r="1719">
      <c r="A1719" s="1" t="s">
        <v>982</v>
      </c>
      <c r="B1719" s="1">
        <v>0.0</v>
      </c>
      <c r="C1719" s="2"/>
      <c r="D1719" s="2"/>
      <c r="E1719" s="2"/>
      <c r="F1719" s="2"/>
      <c r="G1719" s="2"/>
    </row>
    <row r="1720">
      <c r="A1720" s="1" t="s">
        <v>983</v>
      </c>
      <c r="B1720" s="1">
        <v>0.0</v>
      </c>
      <c r="C1720" s="2"/>
      <c r="D1720" s="2"/>
      <c r="E1720" s="2"/>
      <c r="F1720" s="2"/>
      <c r="G1720" s="2"/>
    </row>
    <row r="1721">
      <c r="A1721" s="1" t="s">
        <v>984</v>
      </c>
      <c r="B1721" s="1">
        <v>38.0</v>
      </c>
      <c r="C1721" s="2"/>
      <c r="D1721" s="2"/>
      <c r="E1721" s="2"/>
      <c r="F1721" s="2"/>
      <c r="G1721" s="2"/>
    </row>
    <row r="1722">
      <c r="A1722" s="1" t="s">
        <v>985</v>
      </c>
      <c r="B1722" s="1">
        <v>0.0</v>
      </c>
      <c r="C1722" s="2"/>
      <c r="D1722" s="2"/>
      <c r="E1722" s="2"/>
      <c r="F1722" s="2"/>
      <c r="G1722" s="2"/>
    </row>
    <row r="1723">
      <c r="A1723" s="1" t="s">
        <v>986</v>
      </c>
      <c r="B1723" s="1">
        <v>0.0</v>
      </c>
      <c r="C1723" s="2"/>
      <c r="D1723" s="2"/>
      <c r="E1723" s="2"/>
      <c r="F1723" s="2"/>
      <c r="G1723" s="2"/>
    </row>
    <row r="1724">
      <c r="A1724" s="1" t="s">
        <v>987</v>
      </c>
      <c r="B1724" s="1">
        <v>0.0</v>
      </c>
      <c r="C1724" s="2"/>
      <c r="D1724" s="2"/>
      <c r="E1724" s="2"/>
      <c r="F1724" s="2"/>
      <c r="G1724" s="2"/>
    </row>
    <row r="1725">
      <c r="A1725" s="1" t="s">
        <v>988</v>
      </c>
      <c r="B1725" s="1">
        <v>56.0</v>
      </c>
      <c r="C1725" s="2"/>
      <c r="D1725" s="2"/>
      <c r="E1725" s="2"/>
      <c r="F1725" s="2"/>
      <c r="G1725" s="2"/>
    </row>
    <row r="1726">
      <c r="A1726" s="1" t="s">
        <v>989</v>
      </c>
      <c r="B1726" s="1">
        <v>0.0</v>
      </c>
      <c r="C1726" s="2"/>
      <c r="D1726" s="2"/>
      <c r="E1726" s="2"/>
      <c r="F1726" s="2"/>
      <c r="G1726" s="2"/>
    </row>
    <row r="1727">
      <c r="A1727" s="1" t="s">
        <v>990</v>
      </c>
      <c r="B1727" s="1">
        <v>50.0</v>
      </c>
      <c r="C1727" s="2"/>
      <c r="D1727" s="2"/>
      <c r="E1727" s="2"/>
      <c r="F1727" s="2"/>
      <c r="G1727" s="2"/>
    </row>
    <row r="1728">
      <c r="A1728" s="1" t="s">
        <v>991</v>
      </c>
      <c r="B1728" s="1">
        <v>0.0</v>
      </c>
      <c r="C1728" s="2"/>
      <c r="D1728" s="2"/>
      <c r="E1728" s="2"/>
      <c r="F1728" s="2"/>
      <c r="G1728" s="2"/>
    </row>
    <row r="1729">
      <c r="A1729" s="1" t="s">
        <v>992</v>
      </c>
      <c r="B1729" s="1">
        <v>0.0</v>
      </c>
      <c r="C1729" s="2"/>
      <c r="D1729" s="2"/>
      <c r="E1729" s="2"/>
      <c r="F1729" s="2"/>
      <c r="G1729" s="2"/>
    </row>
    <row r="1730">
      <c r="A1730" s="1" t="s">
        <v>993</v>
      </c>
      <c r="B1730" s="1">
        <v>43.0</v>
      </c>
      <c r="C1730" s="2"/>
      <c r="D1730" s="2"/>
      <c r="E1730" s="2"/>
      <c r="F1730" s="2"/>
      <c r="G1730" s="2"/>
    </row>
    <row r="1731">
      <c r="A1731" s="1" t="s">
        <v>994</v>
      </c>
      <c r="B1731" s="1">
        <v>0.0</v>
      </c>
      <c r="C1731" s="2"/>
      <c r="D1731" s="2"/>
      <c r="E1731" s="2"/>
      <c r="F1731" s="2"/>
      <c r="G1731" s="2"/>
    </row>
    <row r="1732">
      <c r="A1732" s="1" t="s">
        <v>995</v>
      </c>
      <c r="B1732" s="1">
        <v>72.0</v>
      </c>
      <c r="C1732" s="2"/>
      <c r="D1732" s="2"/>
      <c r="E1732" s="2"/>
      <c r="F1732" s="2"/>
      <c r="G1732" s="2"/>
    </row>
    <row r="1733">
      <c r="A1733" s="1" t="s">
        <v>996</v>
      </c>
      <c r="B1733" s="1">
        <v>30.0</v>
      </c>
      <c r="C1733" s="2"/>
      <c r="D1733" s="2"/>
      <c r="E1733" s="2"/>
      <c r="F1733" s="2"/>
      <c r="G1733" s="2"/>
    </row>
    <row r="1734">
      <c r="A1734" s="1" t="s">
        <v>997</v>
      </c>
      <c r="B1734" s="1">
        <v>92.0</v>
      </c>
      <c r="C1734" s="2"/>
      <c r="D1734" s="2"/>
      <c r="E1734" s="2"/>
      <c r="F1734" s="2"/>
      <c r="G1734" s="2"/>
    </row>
    <row r="1735">
      <c r="A1735" s="1" t="s">
        <v>998</v>
      </c>
      <c r="B1735" s="1">
        <v>78.0</v>
      </c>
      <c r="C1735" s="2"/>
      <c r="D1735" s="2"/>
      <c r="E1735" s="2"/>
      <c r="F1735" s="2"/>
      <c r="G1735" s="2"/>
    </row>
    <row r="1736">
      <c r="A1736" s="1" t="s">
        <v>999</v>
      </c>
      <c r="B1736" s="1">
        <v>0.0</v>
      </c>
      <c r="C1736" s="2"/>
      <c r="D1736" s="2"/>
      <c r="E1736" s="2"/>
      <c r="F1736" s="2"/>
      <c r="G1736" s="2"/>
    </row>
    <row r="1737">
      <c r="A1737" s="1" t="s">
        <v>1000</v>
      </c>
      <c r="B1737" s="1">
        <v>0.0</v>
      </c>
      <c r="C1737" s="2"/>
      <c r="D1737" s="2"/>
      <c r="E1737" s="2"/>
      <c r="F1737" s="2"/>
      <c r="G1737" s="2"/>
    </row>
    <row r="1738">
      <c r="A1738" s="1" t="s">
        <v>1001</v>
      </c>
      <c r="B1738" s="1">
        <v>0.0</v>
      </c>
      <c r="C1738" s="2"/>
      <c r="D1738" s="2"/>
      <c r="E1738" s="2"/>
      <c r="F1738" s="2"/>
      <c r="G1738" s="2"/>
    </row>
    <row r="1739">
      <c r="A1739" s="1" t="s">
        <v>1002</v>
      </c>
      <c r="B1739" s="1">
        <v>0.0</v>
      </c>
      <c r="C1739" s="2"/>
      <c r="D1739" s="2"/>
      <c r="E1739" s="2"/>
      <c r="F1739" s="2"/>
      <c r="G1739" s="2"/>
    </row>
    <row r="1740">
      <c r="A1740" s="1" t="s">
        <v>1003</v>
      </c>
      <c r="B1740" s="1">
        <v>0.0</v>
      </c>
      <c r="C1740" s="2"/>
      <c r="D1740" s="2"/>
      <c r="E1740" s="2"/>
      <c r="F1740" s="2"/>
      <c r="G1740" s="2"/>
    </row>
    <row r="1741">
      <c r="A1741" s="1" t="s">
        <v>1004</v>
      </c>
      <c r="B1741" s="1">
        <v>0.0</v>
      </c>
      <c r="C1741" s="2"/>
      <c r="D1741" s="2"/>
      <c r="E1741" s="2"/>
      <c r="F1741" s="2"/>
      <c r="G1741" s="2"/>
    </row>
    <row r="1742">
      <c r="A1742" s="1" t="s">
        <v>1005</v>
      </c>
      <c r="B1742" s="1">
        <v>0.0</v>
      </c>
      <c r="C1742" s="2"/>
      <c r="D1742" s="2"/>
      <c r="E1742" s="2"/>
      <c r="F1742" s="2"/>
      <c r="G1742" s="2"/>
    </row>
    <row r="1743">
      <c r="A1743" s="1" t="s">
        <v>1006</v>
      </c>
      <c r="B1743" s="1">
        <v>77.0</v>
      </c>
      <c r="C1743" s="2"/>
      <c r="D1743" s="2"/>
      <c r="E1743" s="2"/>
      <c r="F1743" s="2"/>
      <c r="G1743" s="2"/>
    </row>
    <row r="1744">
      <c r="A1744" s="1" t="s">
        <v>934</v>
      </c>
      <c r="B1744" s="1">
        <v>23.0</v>
      </c>
      <c r="C1744" s="2"/>
      <c r="D1744" s="2"/>
      <c r="E1744" s="2"/>
      <c r="F1744" s="2"/>
      <c r="G1744" s="2"/>
    </row>
    <row r="1745">
      <c r="A1745" s="1" t="s">
        <v>935</v>
      </c>
      <c r="B1745" s="1">
        <v>96.0</v>
      </c>
      <c r="C1745" s="2"/>
      <c r="D1745" s="2"/>
      <c r="E1745" s="2"/>
      <c r="F1745" s="2"/>
      <c r="G1745" s="2"/>
    </row>
    <row r="1746">
      <c r="A1746" s="1" t="s">
        <v>936</v>
      </c>
      <c r="B1746" s="1">
        <v>93.0</v>
      </c>
      <c r="C1746" s="2"/>
      <c r="D1746" s="2"/>
      <c r="E1746" s="2"/>
      <c r="F1746" s="2"/>
      <c r="G1746" s="2"/>
    </row>
    <row r="1747">
      <c r="A1747" s="1" t="s">
        <v>937</v>
      </c>
      <c r="B1747" s="1">
        <v>40.0</v>
      </c>
      <c r="C1747" s="2"/>
      <c r="D1747" s="2"/>
      <c r="E1747" s="2"/>
      <c r="F1747" s="2"/>
      <c r="G1747" s="2"/>
    </row>
    <row r="1748">
      <c r="A1748" s="1" t="s">
        <v>938</v>
      </c>
      <c r="B1748" s="1">
        <v>39.0</v>
      </c>
      <c r="C1748" s="2"/>
      <c r="D1748" s="2"/>
      <c r="E1748" s="2"/>
      <c r="F1748" s="2"/>
      <c r="G1748" s="2"/>
    </row>
    <row r="1749">
      <c r="A1749" s="1" t="s">
        <v>939</v>
      </c>
      <c r="B1749" s="1">
        <v>0.0</v>
      </c>
      <c r="C1749" s="2"/>
      <c r="D1749" s="2"/>
      <c r="E1749" s="2"/>
      <c r="F1749" s="2"/>
      <c r="G1749" s="2"/>
    </row>
    <row r="1750">
      <c r="A1750" s="1" t="s">
        <v>940</v>
      </c>
      <c r="B1750" s="1">
        <v>0.0</v>
      </c>
      <c r="C1750" s="2"/>
      <c r="D1750" s="2"/>
      <c r="E1750" s="2"/>
      <c r="F1750" s="2"/>
      <c r="G1750" s="2"/>
    </row>
    <row r="1751">
      <c r="A1751" s="1" t="s">
        <v>941</v>
      </c>
      <c r="B1751" s="1">
        <v>0.0</v>
      </c>
      <c r="C1751" s="2"/>
      <c r="D1751" s="2"/>
      <c r="E1751" s="2"/>
      <c r="F1751" s="2"/>
      <c r="G1751" s="2"/>
    </row>
    <row r="1752">
      <c r="A1752" s="1" t="s">
        <v>942</v>
      </c>
      <c r="B1752" s="1">
        <v>0.0</v>
      </c>
      <c r="C1752" s="2"/>
      <c r="D1752" s="2"/>
      <c r="E1752" s="2"/>
      <c r="F1752" s="2"/>
      <c r="G1752" s="2"/>
    </row>
    <row r="1753">
      <c r="A1753" s="1" t="s">
        <v>943</v>
      </c>
      <c r="B1753" s="1">
        <v>78.0</v>
      </c>
      <c r="C1753" s="2"/>
      <c r="D1753" s="2"/>
      <c r="E1753" s="2"/>
      <c r="F1753" s="2"/>
      <c r="G1753" s="2"/>
    </row>
    <row r="1754">
      <c r="A1754" s="1" t="s">
        <v>944</v>
      </c>
      <c r="B1754" s="1">
        <v>0.0</v>
      </c>
      <c r="C1754" s="2"/>
      <c r="D1754" s="2"/>
      <c r="E1754" s="2"/>
      <c r="F1754" s="2"/>
      <c r="G1754" s="2"/>
    </row>
    <row r="1755">
      <c r="A1755" s="1" t="s">
        <v>945</v>
      </c>
      <c r="B1755" s="1">
        <v>0.0</v>
      </c>
      <c r="C1755" s="2"/>
      <c r="D1755" s="2"/>
      <c r="E1755" s="2"/>
      <c r="F1755" s="2"/>
      <c r="G1755" s="2"/>
    </row>
    <row r="1756">
      <c r="A1756" s="1" t="s">
        <v>946</v>
      </c>
      <c r="B1756" s="1">
        <v>0.0</v>
      </c>
      <c r="C1756" s="2"/>
      <c r="D1756" s="2"/>
      <c r="E1756" s="2"/>
      <c r="F1756" s="2"/>
      <c r="G1756" s="2"/>
    </row>
    <row r="1757">
      <c r="A1757" s="1" t="s">
        <v>947</v>
      </c>
      <c r="B1757" s="1">
        <v>0.0</v>
      </c>
      <c r="C1757" s="2"/>
      <c r="D1757" s="2"/>
      <c r="E1757" s="2"/>
      <c r="F1757" s="2"/>
      <c r="G1757" s="2"/>
    </row>
    <row r="1758">
      <c r="A1758" s="1" t="s">
        <v>948</v>
      </c>
      <c r="B1758" s="1">
        <v>0.0</v>
      </c>
      <c r="C1758" s="2"/>
      <c r="D1758" s="2"/>
      <c r="E1758" s="2"/>
      <c r="F1758" s="2"/>
      <c r="G1758" s="2"/>
    </row>
    <row r="1759">
      <c r="A1759" s="1" t="s">
        <v>949</v>
      </c>
      <c r="B1759" s="1">
        <v>0.0</v>
      </c>
      <c r="C1759" s="2"/>
      <c r="D1759" s="2"/>
      <c r="E1759" s="2"/>
      <c r="F1759" s="2"/>
      <c r="G1759" s="2"/>
    </row>
    <row r="1760">
      <c r="A1760" s="1" t="s">
        <v>950</v>
      </c>
      <c r="B1760" s="1">
        <v>92.0</v>
      </c>
      <c r="C1760" s="2"/>
      <c r="D1760" s="2"/>
      <c r="E1760" s="2"/>
      <c r="F1760" s="2"/>
      <c r="G1760" s="2"/>
    </row>
    <row r="1761">
      <c r="A1761" s="1" t="s">
        <v>951</v>
      </c>
      <c r="B1761" s="1">
        <v>0.0</v>
      </c>
      <c r="C1761" s="2"/>
      <c r="D1761" s="2"/>
      <c r="E1761" s="2"/>
      <c r="F1761" s="2"/>
      <c r="G1761" s="2"/>
    </row>
    <row r="1762">
      <c r="A1762" s="1" t="s">
        <v>952</v>
      </c>
      <c r="B1762" s="1">
        <v>80.0</v>
      </c>
      <c r="C1762" s="2"/>
      <c r="D1762" s="2"/>
      <c r="E1762" s="2"/>
      <c r="F1762" s="2"/>
      <c r="G1762" s="2"/>
    </row>
    <row r="1763">
      <c r="A1763" s="1" t="s">
        <v>953</v>
      </c>
      <c r="B1763" s="1">
        <v>0.0</v>
      </c>
      <c r="C1763" s="2"/>
      <c r="D1763" s="2"/>
      <c r="E1763" s="2"/>
      <c r="F1763" s="2"/>
      <c r="G1763" s="2"/>
    </row>
    <row r="1764">
      <c r="A1764" s="1" t="s">
        <v>954</v>
      </c>
      <c r="B1764" s="1">
        <v>0.0</v>
      </c>
      <c r="C1764" s="2"/>
      <c r="D1764" s="2"/>
      <c r="E1764" s="2"/>
      <c r="F1764" s="2"/>
      <c r="G1764" s="2"/>
    </row>
    <row r="1765">
      <c r="A1765" s="1" t="s">
        <v>955</v>
      </c>
      <c r="B1765" s="1">
        <v>79.0</v>
      </c>
      <c r="C1765" s="2"/>
      <c r="D1765" s="2"/>
      <c r="E1765" s="2"/>
      <c r="F1765" s="2"/>
      <c r="G1765" s="2"/>
    </row>
    <row r="1766">
      <c r="A1766" s="1" t="s">
        <v>956</v>
      </c>
      <c r="B1766" s="1">
        <v>0.0</v>
      </c>
      <c r="C1766" s="2"/>
      <c r="D1766" s="2"/>
      <c r="E1766" s="2"/>
      <c r="F1766" s="2"/>
      <c r="G1766" s="2"/>
    </row>
    <row r="1767">
      <c r="A1767" s="1" t="s">
        <v>957</v>
      </c>
      <c r="B1767" s="1">
        <v>0.0</v>
      </c>
      <c r="C1767" s="2"/>
      <c r="D1767" s="2"/>
      <c r="E1767" s="2"/>
      <c r="F1767" s="2"/>
      <c r="G1767" s="2"/>
    </row>
    <row r="1768">
      <c r="A1768" s="1" t="s">
        <v>958</v>
      </c>
      <c r="B1768" s="1">
        <v>0.0</v>
      </c>
      <c r="C1768" s="2"/>
      <c r="D1768" s="2"/>
      <c r="E1768" s="2"/>
      <c r="F1768" s="2"/>
      <c r="G1768" s="2"/>
    </row>
    <row r="1769">
      <c r="A1769" s="1" t="s">
        <v>959</v>
      </c>
      <c r="B1769" s="1">
        <v>0.0</v>
      </c>
      <c r="C1769" s="2"/>
      <c r="D1769" s="2"/>
      <c r="E1769" s="2"/>
      <c r="F1769" s="2"/>
      <c r="G1769" s="2"/>
    </row>
    <row r="1770">
      <c r="A1770" s="1" t="s">
        <v>960</v>
      </c>
      <c r="B1770" s="1">
        <v>0.0</v>
      </c>
      <c r="C1770" s="2"/>
      <c r="D1770" s="2"/>
      <c r="E1770" s="2"/>
      <c r="F1770" s="2"/>
      <c r="G1770" s="2"/>
    </row>
    <row r="1771">
      <c r="A1771" s="1" t="s">
        <v>961</v>
      </c>
      <c r="B1771" s="1">
        <v>0.0</v>
      </c>
      <c r="C1771" s="2"/>
      <c r="D1771" s="2"/>
      <c r="E1771" s="2"/>
      <c r="F1771" s="2"/>
      <c r="G1771" s="2"/>
    </row>
    <row r="1772">
      <c r="A1772" s="1" t="s">
        <v>962</v>
      </c>
      <c r="B1772" s="1">
        <v>0.0</v>
      </c>
      <c r="C1772" s="2"/>
      <c r="D1772" s="2"/>
      <c r="E1772" s="2"/>
      <c r="F1772" s="2"/>
      <c r="G1772" s="2"/>
    </row>
    <row r="1773">
      <c r="A1773" s="1" t="s">
        <v>963</v>
      </c>
      <c r="B1773" s="1">
        <v>32.0</v>
      </c>
      <c r="C1773" s="2"/>
      <c r="D1773" s="2"/>
      <c r="E1773" s="2"/>
      <c r="F1773" s="2"/>
      <c r="G1773" s="2"/>
    </row>
    <row r="1774">
      <c r="A1774" s="1" t="s">
        <v>964</v>
      </c>
      <c r="B1774" s="1">
        <v>0.0</v>
      </c>
      <c r="C1774" s="2"/>
      <c r="D1774" s="2"/>
      <c r="E1774" s="2"/>
      <c r="F1774" s="2"/>
      <c r="G1774" s="2"/>
    </row>
    <row r="1775">
      <c r="A1775" s="1" t="s">
        <v>965</v>
      </c>
      <c r="B1775" s="1">
        <v>96.0</v>
      </c>
      <c r="C1775" s="2"/>
      <c r="D1775" s="2"/>
      <c r="E1775" s="2"/>
      <c r="F1775" s="2"/>
      <c r="G1775" s="2"/>
    </row>
    <row r="1776">
      <c r="A1776" s="1" t="s">
        <v>966</v>
      </c>
      <c r="B1776" s="1" t="s">
        <v>967</v>
      </c>
      <c r="C1776" s="1" t="s">
        <v>968</v>
      </c>
      <c r="D1776" s="2"/>
      <c r="E1776" s="2"/>
      <c r="F1776" s="2"/>
      <c r="G1776" s="2"/>
    </row>
    <row r="1777">
      <c r="A1777" s="1" t="s">
        <v>969</v>
      </c>
      <c r="B1777" s="1">
        <v>0.0</v>
      </c>
      <c r="C1777" s="2"/>
      <c r="D1777" s="2"/>
      <c r="E1777" s="2"/>
      <c r="F1777" s="2"/>
      <c r="G1777" s="2"/>
    </row>
    <row r="1778">
      <c r="A1778" s="1" t="s">
        <v>970</v>
      </c>
      <c r="B1778" s="2"/>
      <c r="C1778" s="2"/>
      <c r="D1778" s="2"/>
      <c r="E1778" s="2"/>
      <c r="F1778" s="2"/>
      <c r="G1778" s="2"/>
    </row>
    <row r="1779">
      <c r="A1779" s="1" t="s">
        <v>971</v>
      </c>
      <c r="B1779" s="1">
        <v>0.0</v>
      </c>
      <c r="C1779" s="2"/>
      <c r="D1779" s="2"/>
      <c r="E1779" s="2"/>
      <c r="F1779" s="2"/>
      <c r="G1779" s="2"/>
    </row>
    <row r="1780">
      <c r="A1780" s="1" t="s">
        <v>972</v>
      </c>
      <c r="B1780" s="1">
        <v>0.0</v>
      </c>
      <c r="C1780" s="2"/>
      <c r="D1780" s="2"/>
      <c r="E1780" s="2"/>
      <c r="F1780" s="2"/>
      <c r="G1780" s="2"/>
    </row>
    <row r="1781">
      <c r="A1781" s="1" t="s">
        <v>973</v>
      </c>
      <c r="B1781" s="1">
        <v>0.0</v>
      </c>
      <c r="C1781" s="2"/>
      <c r="D1781" s="2"/>
      <c r="E1781" s="2"/>
      <c r="F1781" s="2"/>
      <c r="G1781" s="2"/>
    </row>
    <row r="1782">
      <c r="A1782" s="1" t="s">
        <v>974</v>
      </c>
      <c r="B1782" s="1">
        <v>0.0</v>
      </c>
      <c r="C1782" s="2"/>
      <c r="D1782" s="2"/>
      <c r="E1782" s="2"/>
      <c r="F1782" s="2"/>
      <c r="G1782" s="2"/>
    </row>
    <row r="1783">
      <c r="A1783" s="1" t="s">
        <v>975</v>
      </c>
      <c r="B1783" s="1">
        <v>0.0</v>
      </c>
      <c r="C1783" s="2"/>
      <c r="D1783" s="2"/>
      <c r="E1783" s="2"/>
      <c r="F1783" s="2"/>
      <c r="G1783" s="2"/>
    </row>
    <row r="1784">
      <c r="A1784" s="1" t="s">
        <v>976</v>
      </c>
      <c r="B1784" s="1">
        <v>0.0</v>
      </c>
      <c r="C1784" s="2"/>
      <c r="D1784" s="2"/>
      <c r="E1784" s="2"/>
      <c r="F1784" s="2"/>
      <c r="G1784" s="2"/>
    </row>
    <row r="1785">
      <c r="A1785" s="1" t="s">
        <v>977</v>
      </c>
      <c r="B1785" s="1">
        <v>81.0</v>
      </c>
      <c r="C1785" s="2"/>
      <c r="D1785" s="2"/>
      <c r="E1785" s="2"/>
      <c r="F1785" s="2"/>
      <c r="G1785" s="2"/>
    </row>
    <row r="1786">
      <c r="A1786" s="1" t="s">
        <v>978</v>
      </c>
      <c r="B1786" s="1">
        <v>0.0</v>
      </c>
      <c r="C1786" s="2"/>
      <c r="D1786" s="2"/>
      <c r="E1786" s="2"/>
      <c r="F1786" s="2"/>
      <c r="G1786" s="2"/>
    </row>
    <row r="1787">
      <c r="A1787" s="1" t="s">
        <v>979</v>
      </c>
      <c r="B1787" s="1">
        <v>0.0</v>
      </c>
      <c r="C1787" s="2"/>
      <c r="D1787" s="2"/>
      <c r="E1787" s="2"/>
      <c r="F1787" s="2"/>
      <c r="G1787" s="2"/>
    </row>
    <row r="1788">
      <c r="A1788" s="1" t="s">
        <v>980</v>
      </c>
      <c r="B1788" s="1" t="s">
        <v>981</v>
      </c>
      <c r="C1788" s="1">
        <v>12.0</v>
      </c>
      <c r="D1788" s="2"/>
      <c r="E1788" s="2"/>
      <c r="F1788" s="2"/>
      <c r="G1788" s="2"/>
    </row>
    <row r="1789">
      <c r="A1789" s="1" t="s">
        <v>982</v>
      </c>
      <c r="B1789" s="1">
        <v>0.0</v>
      </c>
      <c r="C1789" s="2"/>
      <c r="D1789" s="2"/>
      <c r="E1789" s="2"/>
      <c r="F1789" s="2"/>
      <c r="G1789" s="2"/>
    </row>
    <row r="1790">
      <c r="A1790" s="1" t="s">
        <v>983</v>
      </c>
      <c r="B1790" s="1">
        <v>0.0</v>
      </c>
      <c r="C1790" s="2"/>
      <c r="D1790" s="2"/>
      <c r="E1790" s="2"/>
      <c r="F1790" s="2"/>
      <c r="G1790" s="2"/>
    </row>
    <row r="1791">
      <c r="A1791" s="1" t="s">
        <v>984</v>
      </c>
      <c r="B1791" s="1">
        <v>38.0</v>
      </c>
      <c r="C1791" s="2"/>
      <c r="D1791" s="2"/>
      <c r="E1791" s="2"/>
      <c r="F1791" s="2"/>
      <c r="G1791" s="2"/>
    </row>
    <row r="1792">
      <c r="A1792" s="1" t="s">
        <v>985</v>
      </c>
      <c r="B1792" s="1">
        <v>0.0</v>
      </c>
      <c r="C1792" s="2"/>
      <c r="D1792" s="2"/>
      <c r="E1792" s="2"/>
      <c r="F1792" s="2"/>
      <c r="G1792" s="2"/>
    </row>
    <row r="1793">
      <c r="A1793" s="1" t="s">
        <v>986</v>
      </c>
      <c r="B1793" s="1">
        <v>0.0</v>
      </c>
      <c r="C1793" s="2"/>
      <c r="D1793" s="2"/>
      <c r="E1793" s="2"/>
      <c r="F1793" s="2"/>
      <c r="G1793" s="2"/>
    </row>
    <row r="1794">
      <c r="A1794" s="1" t="s">
        <v>987</v>
      </c>
      <c r="B1794" s="1">
        <v>0.0</v>
      </c>
      <c r="C1794" s="2"/>
      <c r="D1794" s="2"/>
      <c r="E1794" s="2"/>
      <c r="F1794" s="2"/>
      <c r="G1794" s="2"/>
    </row>
    <row r="1795">
      <c r="A1795" s="1" t="s">
        <v>988</v>
      </c>
      <c r="B1795" s="1">
        <v>56.0</v>
      </c>
      <c r="C1795" s="2"/>
      <c r="D1795" s="2"/>
      <c r="E1795" s="2"/>
      <c r="F1795" s="2"/>
      <c r="G1795" s="2"/>
    </row>
    <row r="1796">
      <c r="A1796" s="1" t="s">
        <v>989</v>
      </c>
      <c r="B1796" s="1">
        <v>0.0</v>
      </c>
      <c r="C1796" s="2"/>
      <c r="D1796" s="2"/>
      <c r="E1796" s="2"/>
      <c r="F1796" s="2"/>
      <c r="G1796" s="2"/>
    </row>
    <row r="1797">
      <c r="A1797" s="1" t="s">
        <v>990</v>
      </c>
      <c r="B1797" s="1">
        <v>50.0</v>
      </c>
      <c r="C1797" s="2"/>
      <c r="D1797" s="2"/>
      <c r="E1797" s="2"/>
      <c r="F1797" s="2"/>
      <c r="G1797" s="2"/>
    </row>
    <row r="1798">
      <c r="A1798" s="1" t="s">
        <v>991</v>
      </c>
      <c r="B1798" s="1">
        <v>0.0</v>
      </c>
      <c r="C1798" s="2"/>
      <c r="D1798" s="2"/>
      <c r="E1798" s="2"/>
      <c r="F1798" s="2"/>
      <c r="G1798" s="2"/>
    </row>
    <row r="1799">
      <c r="A1799" s="1" t="s">
        <v>992</v>
      </c>
      <c r="B1799" s="1">
        <v>0.0</v>
      </c>
      <c r="C1799" s="2"/>
      <c r="D1799" s="2"/>
      <c r="E1799" s="2"/>
      <c r="F1799" s="2"/>
      <c r="G1799" s="2"/>
    </row>
    <row r="1800">
      <c r="A1800" s="1" t="s">
        <v>993</v>
      </c>
      <c r="B1800" s="1">
        <v>43.0</v>
      </c>
      <c r="C1800" s="2"/>
      <c r="D1800" s="2"/>
      <c r="E1800" s="2"/>
      <c r="F1800" s="2"/>
      <c r="G1800" s="2"/>
    </row>
    <row r="1801">
      <c r="A1801" s="1" t="s">
        <v>994</v>
      </c>
      <c r="B1801" s="1">
        <v>0.0</v>
      </c>
      <c r="C1801" s="2"/>
      <c r="D1801" s="2"/>
      <c r="E1801" s="2"/>
      <c r="F1801" s="2"/>
      <c r="G1801" s="2"/>
    </row>
    <row r="1802">
      <c r="A1802" s="1" t="s">
        <v>995</v>
      </c>
      <c r="B1802" s="1">
        <v>72.0</v>
      </c>
      <c r="C1802" s="2"/>
      <c r="D1802" s="2"/>
      <c r="E1802" s="2"/>
      <c r="F1802" s="2"/>
      <c r="G1802" s="2"/>
    </row>
    <row r="1803">
      <c r="A1803" s="1" t="s">
        <v>996</v>
      </c>
      <c r="B1803" s="1">
        <v>30.0</v>
      </c>
      <c r="C1803" s="2"/>
      <c r="D1803" s="2"/>
      <c r="E1803" s="2"/>
      <c r="F1803" s="2"/>
      <c r="G1803" s="2"/>
    </row>
    <row r="1804">
      <c r="A1804" s="1" t="s">
        <v>997</v>
      </c>
      <c r="B1804" s="1">
        <v>92.0</v>
      </c>
      <c r="C1804" s="2"/>
      <c r="D1804" s="2"/>
      <c r="E1804" s="2"/>
      <c r="F1804" s="2"/>
      <c r="G1804" s="2"/>
    </row>
    <row r="1805">
      <c r="A1805" s="1" t="s">
        <v>998</v>
      </c>
      <c r="B1805" s="1">
        <v>78.0</v>
      </c>
      <c r="C1805" s="2"/>
      <c r="D1805" s="2"/>
      <c r="E1805" s="2"/>
      <c r="F1805" s="2"/>
      <c r="G1805" s="2"/>
    </row>
    <row r="1806">
      <c r="A1806" s="1" t="s">
        <v>999</v>
      </c>
      <c r="B1806" s="1">
        <v>0.0</v>
      </c>
      <c r="C1806" s="2"/>
      <c r="D1806" s="2"/>
      <c r="E1806" s="2"/>
      <c r="F1806" s="2"/>
      <c r="G1806" s="2"/>
    </row>
    <row r="1807">
      <c r="A1807" s="1" t="s">
        <v>1000</v>
      </c>
      <c r="B1807" s="1">
        <v>0.0</v>
      </c>
      <c r="C1807" s="2"/>
      <c r="D1807" s="2"/>
      <c r="E1807" s="2"/>
      <c r="F1807" s="2"/>
      <c r="G1807" s="2"/>
    </row>
    <row r="1808">
      <c r="A1808" s="1" t="s">
        <v>1001</v>
      </c>
      <c r="B1808" s="1">
        <v>0.0</v>
      </c>
      <c r="C1808" s="2"/>
      <c r="D1808" s="2"/>
      <c r="E1808" s="2"/>
      <c r="F1808" s="2"/>
      <c r="G1808" s="2"/>
    </row>
    <row r="1809">
      <c r="A1809" s="1" t="s">
        <v>1002</v>
      </c>
      <c r="B1809" s="1">
        <v>0.0</v>
      </c>
      <c r="C1809" s="2"/>
      <c r="D1809" s="2"/>
      <c r="E1809" s="2"/>
      <c r="F1809" s="2"/>
      <c r="G1809" s="2"/>
    </row>
    <row r="1810">
      <c r="A1810" s="1" t="s">
        <v>1003</v>
      </c>
      <c r="B1810" s="1">
        <v>0.0</v>
      </c>
      <c r="C1810" s="2"/>
      <c r="D1810" s="2"/>
      <c r="E1810" s="2"/>
      <c r="F1810" s="2"/>
      <c r="G1810" s="2"/>
    </row>
    <row r="1811">
      <c r="A1811" s="1" t="s">
        <v>1004</v>
      </c>
      <c r="B1811" s="1">
        <v>0.0</v>
      </c>
      <c r="C1811" s="2"/>
      <c r="D1811" s="2"/>
      <c r="E1811" s="2"/>
      <c r="F1811" s="2"/>
      <c r="G1811" s="2"/>
    </row>
    <row r="1812">
      <c r="A1812" s="1" t="s">
        <v>1005</v>
      </c>
      <c r="B1812" s="1">
        <v>0.0</v>
      </c>
      <c r="C1812" s="2"/>
      <c r="D1812" s="2"/>
      <c r="E1812" s="2"/>
      <c r="F1812" s="2"/>
      <c r="G1812" s="2"/>
    </row>
    <row r="1813">
      <c r="A1813" s="1" t="s">
        <v>1006</v>
      </c>
      <c r="B1813" s="1">
        <v>77.0</v>
      </c>
      <c r="C1813" s="2"/>
      <c r="D1813" s="2"/>
      <c r="E1813" s="2"/>
      <c r="F1813" s="2"/>
      <c r="G1813" s="2"/>
    </row>
    <row r="1814">
      <c r="A1814" s="1" t="s">
        <v>1007</v>
      </c>
      <c r="B1814" s="1">
        <v>0.0</v>
      </c>
      <c r="C1814" s="2"/>
      <c r="D1814" s="2"/>
      <c r="E1814" s="2"/>
      <c r="F1814" s="2"/>
      <c r="G1814" s="2"/>
    </row>
    <row r="1815">
      <c r="A1815" s="1" t="s">
        <v>1008</v>
      </c>
      <c r="B1815" s="1">
        <v>43.0</v>
      </c>
      <c r="C1815" s="2"/>
      <c r="D1815" s="2"/>
      <c r="E1815" s="2"/>
      <c r="F1815" s="2"/>
      <c r="G1815" s="2"/>
    </row>
    <row r="1816">
      <c r="A1816" s="1" t="s">
        <v>1009</v>
      </c>
      <c r="B1816" s="1">
        <v>0.0</v>
      </c>
      <c r="C1816" s="2"/>
      <c r="D1816" s="2"/>
      <c r="E1816" s="2"/>
      <c r="F1816" s="2"/>
      <c r="G1816" s="2"/>
    </row>
    <row r="1817">
      <c r="A1817" s="1" t="s">
        <v>1010</v>
      </c>
      <c r="B1817" s="1" t="s">
        <v>1011</v>
      </c>
      <c r="C1817" s="1">
        <v>0.0</v>
      </c>
      <c r="D1817" s="2"/>
      <c r="E1817" s="2"/>
      <c r="F1817" s="2"/>
      <c r="G1817" s="2"/>
    </row>
    <row r="1818">
      <c r="A1818" s="1" t="s">
        <v>1012</v>
      </c>
      <c r="B1818" s="1">
        <v>0.0</v>
      </c>
      <c r="C1818" s="2"/>
      <c r="D1818" s="2"/>
      <c r="E1818" s="2"/>
      <c r="F1818" s="2"/>
      <c r="G1818" s="2"/>
    </row>
    <row r="1819">
      <c r="A1819" s="1" t="s">
        <v>1013</v>
      </c>
      <c r="B1819" s="1">
        <v>60.0</v>
      </c>
      <c r="C1819" s="2"/>
      <c r="D1819" s="2"/>
      <c r="E1819" s="2"/>
      <c r="F1819" s="2"/>
      <c r="G1819" s="2"/>
    </row>
    <row r="1820">
      <c r="A1820" s="1" t="s">
        <v>1014</v>
      </c>
      <c r="B1820" s="1">
        <v>0.0</v>
      </c>
      <c r="C1820" s="2"/>
      <c r="D1820" s="2"/>
      <c r="E1820" s="2"/>
      <c r="F1820" s="2"/>
      <c r="G1820" s="2"/>
    </row>
    <row r="1821">
      <c r="A1821" s="1" t="s">
        <v>1015</v>
      </c>
      <c r="B1821" s="1">
        <v>0.0</v>
      </c>
      <c r="C1821" s="2"/>
      <c r="D1821" s="2"/>
      <c r="E1821" s="2"/>
      <c r="F1821" s="2"/>
      <c r="G1821" s="2"/>
    </row>
    <row r="1822">
      <c r="A1822" s="1" t="s">
        <v>1016</v>
      </c>
      <c r="B1822" s="1">
        <v>0.0</v>
      </c>
      <c r="C1822" s="2"/>
      <c r="D1822" s="2"/>
      <c r="E1822" s="2"/>
      <c r="F1822" s="2"/>
      <c r="G1822" s="2"/>
    </row>
    <row r="1823">
      <c r="A1823" s="1" t="s">
        <v>1017</v>
      </c>
      <c r="B1823" s="1" t="s">
        <v>1018</v>
      </c>
      <c r="C1823" s="1" t="s">
        <v>1019</v>
      </c>
      <c r="D1823" s="1">
        <v>96.0</v>
      </c>
      <c r="E1823" s="2"/>
      <c r="F1823" s="2"/>
      <c r="G1823" s="2"/>
    </row>
    <row r="1824">
      <c r="A1824" s="1" t="s">
        <v>1020</v>
      </c>
      <c r="B1824" s="1">
        <v>0.0</v>
      </c>
      <c r="C1824" s="2"/>
      <c r="D1824" s="2"/>
      <c r="E1824" s="2"/>
      <c r="F1824" s="2"/>
      <c r="G1824" s="2"/>
    </row>
    <row r="1825">
      <c r="A1825" s="1" t="s">
        <v>1021</v>
      </c>
      <c r="B1825" s="1">
        <v>0.0</v>
      </c>
      <c r="C1825" s="2"/>
      <c r="D1825" s="2"/>
      <c r="E1825" s="2"/>
      <c r="F1825" s="2"/>
      <c r="G1825" s="2"/>
    </row>
    <row r="1826">
      <c r="A1826" s="1" t="s">
        <v>1022</v>
      </c>
      <c r="B1826" s="1">
        <v>0.0</v>
      </c>
      <c r="C1826" s="2"/>
      <c r="D1826" s="2"/>
      <c r="E1826" s="2"/>
      <c r="F1826" s="2"/>
      <c r="G1826" s="2"/>
    </row>
    <row r="1827">
      <c r="A1827" s="1" t="s">
        <v>1023</v>
      </c>
      <c r="B1827" s="1">
        <v>6.0</v>
      </c>
      <c r="C1827" s="2"/>
      <c r="D1827" s="2"/>
      <c r="E1827" s="2"/>
      <c r="F1827" s="2"/>
      <c r="G1827" s="2"/>
    </row>
    <row r="1828">
      <c r="A1828" s="1" t="s">
        <v>1024</v>
      </c>
      <c r="B1828" s="1">
        <v>0.0</v>
      </c>
      <c r="C1828" s="2"/>
      <c r="D1828" s="2"/>
      <c r="E1828" s="2"/>
      <c r="F1828" s="2"/>
      <c r="G1828" s="2"/>
    </row>
    <row r="1829">
      <c r="A1829" s="1" t="s">
        <v>1025</v>
      </c>
      <c r="B1829" s="1">
        <v>50.0</v>
      </c>
      <c r="C1829" s="2"/>
      <c r="D1829" s="2"/>
      <c r="E1829" s="2"/>
      <c r="F1829" s="2"/>
      <c r="G1829" s="2"/>
    </row>
    <row r="1830">
      <c r="A1830" s="1" t="s">
        <v>1026</v>
      </c>
      <c r="B1830" s="1">
        <v>78.0</v>
      </c>
      <c r="C1830" s="2"/>
      <c r="D1830" s="2"/>
      <c r="E1830" s="2"/>
      <c r="F1830" s="2"/>
      <c r="G1830" s="2"/>
    </row>
    <row r="1831">
      <c r="A1831" s="1" t="s">
        <v>1027</v>
      </c>
      <c r="B1831" s="1">
        <v>10.0</v>
      </c>
      <c r="C1831" s="2"/>
      <c r="D1831" s="2"/>
      <c r="E1831" s="2"/>
      <c r="F1831" s="2"/>
      <c r="G1831" s="2"/>
    </row>
    <row r="1832">
      <c r="A1832" s="1" t="s">
        <v>1028</v>
      </c>
      <c r="B1832" s="1">
        <v>0.0</v>
      </c>
      <c r="C1832" s="2"/>
      <c r="D1832" s="2"/>
      <c r="E1832" s="2"/>
      <c r="F1832" s="2"/>
      <c r="G1832" s="2"/>
    </row>
    <row r="1833">
      <c r="A1833" s="1" t="s">
        <v>1029</v>
      </c>
      <c r="B1833" s="1">
        <v>80.0</v>
      </c>
      <c r="C1833" s="2"/>
      <c r="D1833" s="2"/>
      <c r="E1833" s="2"/>
      <c r="F1833" s="2"/>
      <c r="G1833" s="2"/>
    </row>
    <row r="1834">
      <c r="A1834" s="1" t="s">
        <v>1030</v>
      </c>
      <c r="B1834" s="1">
        <v>0.0</v>
      </c>
      <c r="C1834" s="2"/>
      <c r="D1834" s="2"/>
      <c r="E1834" s="2"/>
      <c r="F1834" s="2"/>
      <c r="G1834" s="2"/>
    </row>
    <row r="1835">
      <c r="A1835" s="1" t="s">
        <v>1031</v>
      </c>
      <c r="B1835" s="1">
        <v>0.0</v>
      </c>
      <c r="C1835" s="2"/>
      <c r="D1835" s="2"/>
      <c r="E1835" s="2"/>
      <c r="F1835" s="2"/>
      <c r="G1835" s="2"/>
    </row>
    <row r="1836">
      <c r="A1836" s="1" t="s">
        <v>1032</v>
      </c>
      <c r="B1836" s="1">
        <v>0.0</v>
      </c>
      <c r="C1836" s="2"/>
      <c r="D1836" s="2"/>
      <c r="E1836" s="2"/>
      <c r="F1836" s="2"/>
      <c r="G1836" s="2"/>
    </row>
    <row r="1837">
      <c r="A1837" s="1" t="s">
        <v>1033</v>
      </c>
      <c r="B1837" s="1">
        <v>90.0</v>
      </c>
      <c r="C1837" s="2"/>
      <c r="D1837" s="2"/>
      <c r="E1837" s="2"/>
      <c r="F1837" s="2"/>
      <c r="G1837" s="2"/>
    </row>
    <row r="1838">
      <c r="A1838" s="1" t="s">
        <v>1034</v>
      </c>
      <c r="B1838" s="1">
        <v>40.0</v>
      </c>
      <c r="C1838" s="2"/>
      <c r="D1838" s="2"/>
      <c r="E1838" s="2"/>
      <c r="F1838" s="2"/>
      <c r="G1838" s="2"/>
    </row>
    <row r="1839">
      <c r="A1839" s="1" t="s">
        <v>1035</v>
      </c>
      <c r="B1839" s="1">
        <v>20.0</v>
      </c>
      <c r="C1839" s="2"/>
      <c r="D1839" s="2"/>
      <c r="E1839" s="2"/>
      <c r="F1839" s="2"/>
      <c r="G1839" s="2"/>
    </row>
    <row r="1840">
      <c r="A1840" s="1" t="s">
        <v>1036</v>
      </c>
      <c r="B1840" s="1">
        <v>0.0</v>
      </c>
      <c r="C1840" s="2"/>
      <c r="D1840" s="2"/>
      <c r="E1840" s="2"/>
      <c r="F1840" s="2"/>
      <c r="G1840" s="2"/>
    </row>
    <row r="1841">
      <c r="A1841" s="1" t="s">
        <v>1037</v>
      </c>
      <c r="B1841" s="1">
        <v>70.0</v>
      </c>
      <c r="C1841" s="2"/>
      <c r="D1841" s="2"/>
      <c r="E1841" s="2"/>
      <c r="F1841" s="2"/>
      <c r="G1841" s="2"/>
    </row>
    <row r="1842">
      <c r="A1842" s="1" t="s">
        <v>1038</v>
      </c>
      <c r="B1842" s="1">
        <v>67.0</v>
      </c>
      <c r="C1842" s="2"/>
      <c r="D1842" s="2"/>
      <c r="E1842" s="2"/>
      <c r="F1842" s="2"/>
      <c r="G1842" s="2"/>
    </row>
    <row r="1843">
      <c r="A1843" s="1" t="s">
        <v>1039</v>
      </c>
      <c r="B1843" s="1">
        <v>0.0</v>
      </c>
      <c r="C1843" s="2"/>
      <c r="D1843" s="2"/>
      <c r="E1843" s="2"/>
      <c r="F1843" s="2"/>
      <c r="G1843" s="2"/>
    </row>
    <row r="1844">
      <c r="A1844" s="1" t="s">
        <v>1040</v>
      </c>
      <c r="B1844" s="1">
        <v>40.0</v>
      </c>
      <c r="C1844" s="2"/>
      <c r="D1844" s="2"/>
      <c r="E1844" s="2"/>
      <c r="F1844" s="2"/>
      <c r="G1844" s="2"/>
    </row>
    <row r="1845">
      <c r="A1845" s="1" t="s">
        <v>1041</v>
      </c>
      <c r="B1845" s="1">
        <v>0.0</v>
      </c>
      <c r="C1845" s="2"/>
      <c r="D1845" s="2"/>
      <c r="E1845" s="2"/>
      <c r="F1845" s="2"/>
      <c r="G1845" s="2"/>
    </row>
    <row r="1846">
      <c r="A1846" s="1" t="s">
        <v>1042</v>
      </c>
      <c r="B1846" s="1">
        <v>0.0</v>
      </c>
      <c r="C1846" s="2"/>
      <c r="D1846" s="2"/>
      <c r="E1846" s="2"/>
      <c r="F1846" s="2"/>
      <c r="G1846" s="2"/>
    </row>
    <row r="1847">
      <c r="A1847" s="1" t="s">
        <v>1043</v>
      </c>
      <c r="B1847" s="1">
        <v>0.0</v>
      </c>
      <c r="C1847" s="2"/>
      <c r="D1847" s="2"/>
      <c r="E1847" s="2"/>
      <c r="F1847" s="2"/>
      <c r="G1847" s="2"/>
    </row>
    <row r="1848">
      <c r="A1848" s="1" t="s">
        <v>1044</v>
      </c>
      <c r="B1848" s="1">
        <v>32.0</v>
      </c>
      <c r="C1848" s="2"/>
      <c r="D1848" s="2"/>
      <c r="E1848" s="2"/>
      <c r="F1848" s="2"/>
      <c r="G1848" s="2"/>
    </row>
    <row r="1849">
      <c r="A1849" s="1" t="s">
        <v>1045</v>
      </c>
      <c r="B1849" s="1">
        <v>53.0</v>
      </c>
      <c r="C1849" s="2"/>
      <c r="D1849" s="2"/>
      <c r="E1849" s="2"/>
      <c r="F1849" s="2"/>
      <c r="G1849" s="2"/>
    </row>
    <row r="1850">
      <c r="A1850" s="1" t="s">
        <v>1046</v>
      </c>
      <c r="B1850" s="1">
        <v>37.0</v>
      </c>
      <c r="C1850" s="2"/>
      <c r="D1850" s="2"/>
      <c r="E1850" s="2"/>
      <c r="F1850" s="2"/>
      <c r="G1850" s="2"/>
    </row>
    <row r="1851">
      <c r="A1851" s="1" t="s">
        <v>1047</v>
      </c>
      <c r="B1851" s="1">
        <v>0.0</v>
      </c>
      <c r="C1851" s="2"/>
      <c r="D1851" s="2"/>
      <c r="E1851" s="2"/>
      <c r="F1851" s="2"/>
      <c r="G1851" s="2"/>
    </row>
    <row r="1852">
      <c r="A1852" s="1" t="s">
        <v>1048</v>
      </c>
      <c r="B1852" s="1">
        <v>0.0</v>
      </c>
      <c r="C1852" s="2"/>
      <c r="D1852" s="2"/>
      <c r="E1852" s="2"/>
      <c r="F1852" s="2"/>
      <c r="G1852" s="2"/>
    </row>
    <row r="1853">
      <c r="A1853" s="1" t="s">
        <v>1049</v>
      </c>
      <c r="B1853" s="1">
        <v>0.0</v>
      </c>
      <c r="C1853" s="2"/>
      <c r="D1853" s="2"/>
      <c r="E1853" s="2"/>
      <c r="F1853" s="2"/>
      <c r="G1853" s="2"/>
    </row>
    <row r="1854">
      <c r="A1854" s="1" t="s">
        <v>1050</v>
      </c>
      <c r="B1854" s="1">
        <v>8.0</v>
      </c>
      <c r="C1854" s="2"/>
      <c r="D1854" s="2"/>
      <c r="E1854" s="2"/>
      <c r="F1854" s="2"/>
      <c r="G1854" s="2"/>
    </row>
    <row r="1855">
      <c r="A1855" s="1" t="s">
        <v>1051</v>
      </c>
      <c r="B1855" s="1">
        <v>0.0</v>
      </c>
      <c r="C1855" s="2"/>
      <c r="D1855" s="2"/>
      <c r="E1855" s="2"/>
      <c r="F1855" s="2"/>
      <c r="G1855" s="2"/>
    </row>
    <row r="1856">
      <c r="A1856" s="1" t="s">
        <v>1052</v>
      </c>
      <c r="B1856" s="1">
        <v>0.0</v>
      </c>
      <c r="C1856" s="2"/>
      <c r="D1856" s="2"/>
      <c r="E1856" s="2"/>
      <c r="F1856" s="2"/>
      <c r="G1856" s="2"/>
    </row>
    <row r="1857">
      <c r="A1857" s="1" t="s">
        <v>1053</v>
      </c>
      <c r="B1857" s="1">
        <v>70.0</v>
      </c>
      <c r="C1857" s="2"/>
      <c r="D1857" s="2"/>
      <c r="E1857" s="2"/>
      <c r="F1857" s="2"/>
      <c r="G1857" s="2"/>
    </row>
    <row r="1858">
      <c r="A1858" s="1" t="s">
        <v>1054</v>
      </c>
      <c r="B1858" s="1">
        <v>48.0</v>
      </c>
      <c r="C1858" s="2"/>
      <c r="D1858" s="2"/>
      <c r="E1858" s="2"/>
      <c r="F1858" s="2"/>
      <c r="G1858" s="2"/>
    </row>
    <row r="1859">
      <c r="A1859" s="1" t="s">
        <v>1055</v>
      </c>
      <c r="B1859" s="1">
        <v>0.0</v>
      </c>
      <c r="C1859" s="2"/>
      <c r="D1859" s="2"/>
      <c r="E1859" s="2"/>
      <c r="F1859" s="2"/>
      <c r="G1859" s="2"/>
    </row>
    <row r="1860">
      <c r="A1860" s="1" t="s">
        <v>1056</v>
      </c>
      <c r="B1860" s="1">
        <v>0.0</v>
      </c>
      <c r="C1860" s="2"/>
      <c r="D1860" s="2"/>
      <c r="E1860" s="2"/>
      <c r="F1860" s="2"/>
      <c r="G1860" s="2"/>
    </row>
    <row r="1861">
      <c r="A1861" s="1" t="s">
        <v>1057</v>
      </c>
      <c r="B1861" s="1">
        <v>20.0</v>
      </c>
      <c r="C1861" s="2"/>
      <c r="D1861" s="2"/>
      <c r="E1861" s="2"/>
      <c r="F1861" s="2"/>
      <c r="G1861" s="2"/>
    </row>
    <row r="1862">
      <c r="A1862" s="1" t="s">
        <v>1058</v>
      </c>
      <c r="B1862" s="1">
        <v>74.0</v>
      </c>
      <c r="C1862" s="2"/>
      <c r="D1862" s="2"/>
      <c r="E1862" s="2"/>
      <c r="F1862" s="2"/>
      <c r="G1862" s="2"/>
    </row>
    <row r="1863">
      <c r="A1863" s="1" t="s">
        <v>1059</v>
      </c>
      <c r="B1863" s="1">
        <v>97.0</v>
      </c>
      <c r="C1863" s="2"/>
      <c r="D1863" s="2"/>
      <c r="E1863" s="2"/>
      <c r="F1863" s="2"/>
      <c r="G1863" s="2"/>
    </row>
    <row r="1864">
      <c r="A1864" s="1" t="s">
        <v>1060</v>
      </c>
      <c r="B1864" s="1">
        <v>0.0</v>
      </c>
      <c r="C1864" s="2"/>
      <c r="D1864" s="2"/>
      <c r="E1864" s="2"/>
      <c r="F1864" s="2"/>
      <c r="G1864" s="2"/>
    </row>
    <row r="1865">
      <c r="A1865" s="1" t="s">
        <v>1061</v>
      </c>
      <c r="B1865" s="1">
        <v>0.0</v>
      </c>
      <c r="C1865" s="2"/>
      <c r="D1865" s="2"/>
      <c r="E1865" s="2"/>
      <c r="F1865" s="2"/>
      <c r="G1865" s="2"/>
    </row>
    <row r="1866">
      <c r="A1866" s="1" t="s">
        <v>1062</v>
      </c>
      <c r="B1866" s="1">
        <v>0.0</v>
      </c>
      <c r="C1866" s="2"/>
      <c r="D1866" s="2"/>
      <c r="E1866" s="2"/>
      <c r="F1866" s="2"/>
      <c r="G1866" s="2"/>
    </row>
    <row r="1867">
      <c r="A1867" s="1" t="s">
        <v>1063</v>
      </c>
      <c r="B1867" s="1">
        <v>84.0</v>
      </c>
      <c r="C1867" s="2"/>
      <c r="D1867" s="2"/>
      <c r="E1867" s="2"/>
      <c r="F1867" s="2"/>
      <c r="G1867" s="2"/>
    </row>
    <row r="1868">
      <c r="A1868" s="1" t="s">
        <v>1064</v>
      </c>
      <c r="B1868" s="1">
        <v>0.0</v>
      </c>
      <c r="C1868" s="2"/>
      <c r="D1868" s="2"/>
      <c r="E1868" s="2"/>
      <c r="F1868" s="2"/>
      <c r="G1868" s="2"/>
    </row>
    <row r="1869">
      <c r="A1869" s="1" t="s">
        <v>1065</v>
      </c>
      <c r="B1869" s="1">
        <v>26.0</v>
      </c>
      <c r="C1869" s="2"/>
      <c r="D1869" s="2"/>
      <c r="E1869" s="2"/>
      <c r="F1869" s="2"/>
      <c r="G1869" s="2"/>
    </row>
    <row r="1870">
      <c r="A1870" s="1" t="s">
        <v>1066</v>
      </c>
      <c r="B1870" s="1">
        <v>90.0</v>
      </c>
      <c r="C1870" s="2"/>
      <c r="D1870" s="2"/>
      <c r="E1870" s="2"/>
      <c r="F1870" s="2"/>
      <c r="G1870" s="2"/>
    </row>
    <row r="1871">
      <c r="A1871" s="1" t="s">
        <v>1067</v>
      </c>
      <c r="B1871" s="1">
        <v>0.0</v>
      </c>
      <c r="C1871" s="2"/>
      <c r="D1871" s="2"/>
      <c r="E1871" s="2"/>
      <c r="F1871" s="2"/>
      <c r="G1871" s="2"/>
    </row>
    <row r="1872">
      <c r="A1872" s="1" t="s">
        <v>1068</v>
      </c>
      <c r="B1872" s="1">
        <v>51.0</v>
      </c>
      <c r="C1872" s="2"/>
      <c r="D1872" s="2"/>
      <c r="E1872" s="2"/>
      <c r="F1872" s="2"/>
      <c r="G1872" s="2"/>
    </row>
    <row r="1873">
      <c r="A1873" s="1" t="s">
        <v>1069</v>
      </c>
      <c r="B1873" s="1">
        <v>0.0</v>
      </c>
      <c r="C1873" s="2"/>
      <c r="D1873" s="2"/>
      <c r="E1873" s="2"/>
      <c r="F1873" s="2"/>
      <c r="G1873" s="2"/>
    </row>
    <row r="1874">
      <c r="A1874" s="1" t="s">
        <v>1070</v>
      </c>
      <c r="B1874" s="1">
        <v>0.0</v>
      </c>
      <c r="C1874" s="2"/>
      <c r="D1874" s="2"/>
      <c r="E1874" s="2"/>
      <c r="F1874" s="2"/>
      <c r="G1874" s="2"/>
    </row>
    <row r="1875">
      <c r="A1875" s="1" t="s">
        <v>1071</v>
      </c>
      <c r="B1875" s="1">
        <v>0.0</v>
      </c>
      <c r="C1875" s="2"/>
      <c r="D1875" s="2"/>
      <c r="E1875" s="2"/>
      <c r="F1875" s="2"/>
      <c r="G1875" s="2"/>
    </row>
    <row r="1876">
      <c r="A1876" s="1" t="s">
        <v>1072</v>
      </c>
      <c r="B1876" s="1">
        <v>0.0</v>
      </c>
      <c r="C1876" s="2"/>
      <c r="D1876" s="2"/>
      <c r="E1876" s="2"/>
      <c r="F1876" s="2"/>
      <c r="G1876" s="2"/>
    </row>
    <row r="1877">
      <c r="A1877" s="1" t="s">
        <v>1073</v>
      </c>
      <c r="B1877" s="1">
        <v>0.0</v>
      </c>
      <c r="C1877" s="2"/>
      <c r="D1877" s="2"/>
      <c r="E1877" s="2"/>
      <c r="F1877" s="2"/>
      <c r="G1877" s="2"/>
    </row>
    <row r="1878">
      <c r="A1878" s="1" t="s">
        <v>1074</v>
      </c>
      <c r="B1878" s="1">
        <v>61.0</v>
      </c>
      <c r="C1878" s="2"/>
      <c r="D1878" s="2"/>
      <c r="E1878" s="2"/>
      <c r="F1878" s="2"/>
      <c r="G1878" s="2"/>
    </row>
    <row r="1879">
      <c r="A1879" s="1" t="s">
        <v>1075</v>
      </c>
      <c r="B1879" s="1">
        <v>0.0</v>
      </c>
      <c r="C1879" s="2"/>
      <c r="D1879" s="2"/>
      <c r="E1879" s="2"/>
      <c r="F1879" s="2"/>
      <c r="G1879" s="2"/>
    </row>
    <row r="1880">
      <c r="A1880" s="1" t="s">
        <v>1076</v>
      </c>
      <c r="B1880" s="1">
        <v>0.0</v>
      </c>
      <c r="C1880" s="2"/>
      <c r="D1880" s="2"/>
      <c r="E1880" s="2"/>
      <c r="F1880" s="2"/>
      <c r="G1880" s="2"/>
    </row>
    <row r="1881">
      <c r="A1881" s="1" t="s">
        <v>1077</v>
      </c>
      <c r="B1881" s="1">
        <v>0.0</v>
      </c>
      <c r="C1881" s="2"/>
      <c r="D1881" s="2"/>
      <c r="E1881" s="2"/>
      <c r="F1881" s="2"/>
      <c r="G1881" s="2"/>
    </row>
    <row r="1882">
      <c r="A1882" s="1" t="s">
        <v>1078</v>
      </c>
      <c r="B1882" s="1">
        <v>0.0</v>
      </c>
      <c r="C1882" s="2"/>
      <c r="D1882" s="2"/>
      <c r="E1882" s="2"/>
      <c r="F1882" s="2"/>
      <c r="G1882" s="2"/>
    </row>
    <row r="1883">
      <c r="A1883" s="1" t="s">
        <v>1007</v>
      </c>
      <c r="B1883" s="1">
        <v>0.0</v>
      </c>
      <c r="C1883" s="2"/>
      <c r="D1883" s="2"/>
      <c r="E1883" s="2"/>
      <c r="F1883" s="2"/>
      <c r="G1883" s="2"/>
    </row>
    <row r="1884">
      <c r="A1884" s="1" t="s">
        <v>1008</v>
      </c>
      <c r="B1884" s="1">
        <v>43.0</v>
      </c>
      <c r="C1884" s="2"/>
      <c r="D1884" s="2"/>
      <c r="E1884" s="2"/>
      <c r="F1884" s="2"/>
      <c r="G1884" s="2"/>
    </row>
    <row r="1885">
      <c r="A1885" s="1" t="s">
        <v>1009</v>
      </c>
      <c r="B1885" s="1">
        <v>0.0</v>
      </c>
      <c r="C1885" s="2"/>
      <c r="D1885" s="2"/>
      <c r="E1885" s="2"/>
      <c r="F1885" s="2"/>
      <c r="G1885" s="2"/>
    </row>
    <row r="1886">
      <c r="A1886" s="1" t="s">
        <v>1010</v>
      </c>
      <c r="B1886" s="1" t="s">
        <v>1011</v>
      </c>
      <c r="C1886" s="1">
        <v>0.0</v>
      </c>
      <c r="D1886" s="2"/>
      <c r="E1886" s="2"/>
      <c r="F1886" s="2"/>
      <c r="G1886" s="2"/>
    </row>
    <row r="1887">
      <c r="A1887" s="1" t="s">
        <v>1012</v>
      </c>
      <c r="B1887" s="1">
        <v>0.0</v>
      </c>
      <c r="C1887" s="2"/>
      <c r="D1887" s="2"/>
      <c r="E1887" s="2"/>
      <c r="F1887" s="2"/>
      <c r="G1887" s="2"/>
    </row>
    <row r="1888">
      <c r="A1888" s="1" t="s">
        <v>1013</v>
      </c>
      <c r="B1888" s="1">
        <v>60.0</v>
      </c>
      <c r="C1888" s="2"/>
      <c r="D1888" s="2"/>
      <c r="E1888" s="2"/>
      <c r="F1888" s="2"/>
      <c r="G1888" s="2"/>
    </row>
    <row r="1889">
      <c r="A1889" s="1" t="s">
        <v>1014</v>
      </c>
      <c r="B1889" s="1">
        <v>0.0</v>
      </c>
      <c r="C1889" s="2"/>
      <c r="D1889" s="2"/>
      <c r="E1889" s="2"/>
      <c r="F1889" s="2"/>
      <c r="G1889" s="2"/>
    </row>
    <row r="1890">
      <c r="A1890" s="1" t="s">
        <v>1015</v>
      </c>
      <c r="B1890" s="1">
        <v>0.0</v>
      </c>
      <c r="C1890" s="2"/>
      <c r="D1890" s="2"/>
      <c r="E1890" s="2"/>
      <c r="F1890" s="2"/>
      <c r="G1890" s="2"/>
    </row>
    <row r="1891">
      <c r="A1891" s="1" t="s">
        <v>1016</v>
      </c>
      <c r="B1891" s="1">
        <v>0.0</v>
      </c>
      <c r="C1891" s="2"/>
      <c r="D1891" s="2"/>
      <c r="E1891" s="2"/>
      <c r="F1891" s="2"/>
      <c r="G1891" s="2"/>
    </row>
    <row r="1892">
      <c r="A1892" s="1" t="s">
        <v>1017</v>
      </c>
      <c r="B1892" s="1" t="s">
        <v>1018</v>
      </c>
      <c r="C1892" s="1" t="s">
        <v>1019</v>
      </c>
      <c r="D1892" s="1">
        <v>96.0</v>
      </c>
      <c r="E1892" s="2"/>
      <c r="F1892" s="2"/>
      <c r="G1892" s="2"/>
    </row>
    <row r="1893">
      <c r="A1893" s="1" t="s">
        <v>1020</v>
      </c>
      <c r="B1893" s="1">
        <v>0.0</v>
      </c>
      <c r="C1893" s="2"/>
      <c r="D1893" s="2"/>
      <c r="E1893" s="2"/>
      <c r="F1893" s="2"/>
      <c r="G1893" s="2"/>
    </row>
    <row r="1894">
      <c r="A1894" s="1" t="s">
        <v>1021</v>
      </c>
      <c r="B1894" s="1">
        <v>0.0</v>
      </c>
      <c r="C1894" s="2"/>
      <c r="D1894" s="2"/>
      <c r="E1894" s="2"/>
      <c r="F1894" s="2"/>
      <c r="G1894" s="2"/>
    </row>
    <row r="1895">
      <c r="A1895" s="1" t="s">
        <v>1022</v>
      </c>
      <c r="B1895" s="1">
        <v>0.0</v>
      </c>
      <c r="C1895" s="2"/>
      <c r="D1895" s="2"/>
      <c r="E1895" s="2"/>
      <c r="F1895" s="2"/>
      <c r="G1895" s="2"/>
    </row>
    <row r="1896">
      <c r="A1896" s="1" t="s">
        <v>1023</v>
      </c>
      <c r="B1896" s="1">
        <v>6.0</v>
      </c>
      <c r="C1896" s="2"/>
      <c r="D1896" s="2"/>
      <c r="E1896" s="2"/>
      <c r="F1896" s="2"/>
      <c r="G1896" s="2"/>
    </row>
    <row r="1897">
      <c r="A1897" s="1" t="s">
        <v>1024</v>
      </c>
      <c r="B1897" s="1">
        <v>0.0</v>
      </c>
      <c r="C1897" s="2"/>
      <c r="D1897" s="2"/>
      <c r="E1897" s="2"/>
      <c r="F1897" s="2"/>
      <c r="G1897" s="2"/>
    </row>
    <row r="1898">
      <c r="A1898" s="1" t="s">
        <v>1025</v>
      </c>
      <c r="B1898" s="1">
        <v>50.0</v>
      </c>
      <c r="C1898" s="2"/>
      <c r="D1898" s="2"/>
      <c r="E1898" s="2"/>
      <c r="F1898" s="2"/>
      <c r="G1898" s="2"/>
    </row>
    <row r="1899">
      <c r="A1899" s="1" t="s">
        <v>1026</v>
      </c>
      <c r="B1899" s="1">
        <v>78.0</v>
      </c>
      <c r="C1899" s="2"/>
      <c r="D1899" s="2"/>
      <c r="E1899" s="2"/>
      <c r="F1899" s="2"/>
      <c r="G1899" s="2"/>
    </row>
    <row r="1900">
      <c r="A1900" s="1" t="s">
        <v>1027</v>
      </c>
      <c r="B1900" s="1">
        <v>10.0</v>
      </c>
      <c r="C1900" s="2"/>
      <c r="D1900" s="2"/>
      <c r="E1900" s="2"/>
      <c r="F1900" s="2"/>
      <c r="G1900" s="2"/>
    </row>
    <row r="1901">
      <c r="A1901" s="1" t="s">
        <v>1028</v>
      </c>
      <c r="B1901" s="1">
        <v>0.0</v>
      </c>
      <c r="C1901" s="2"/>
      <c r="D1901" s="2"/>
      <c r="E1901" s="2"/>
      <c r="F1901" s="2"/>
      <c r="G1901" s="2"/>
    </row>
    <row r="1902">
      <c r="A1902" s="1" t="s">
        <v>1029</v>
      </c>
      <c r="B1902" s="1">
        <v>80.0</v>
      </c>
      <c r="C1902" s="2"/>
      <c r="D1902" s="2"/>
      <c r="E1902" s="2"/>
      <c r="F1902" s="2"/>
      <c r="G1902" s="2"/>
    </row>
    <row r="1903">
      <c r="A1903" s="1" t="s">
        <v>1030</v>
      </c>
      <c r="B1903" s="1">
        <v>0.0</v>
      </c>
      <c r="C1903" s="2"/>
      <c r="D1903" s="2"/>
      <c r="E1903" s="2"/>
      <c r="F1903" s="2"/>
      <c r="G1903" s="2"/>
    </row>
    <row r="1904">
      <c r="A1904" s="1" t="s">
        <v>1031</v>
      </c>
      <c r="B1904" s="1">
        <v>0.0</v>
      </c>
      <c r="C1904" s="2"/>
      <c r="D1904" s="2"/>
      <c r="E1904" s="2"/>
      <c r="F1904" s="2"/>
      <c r="G1904" s="2"/>
    </row>
    <row r="1905">
      <c r="A1905" s="1" t="s">
        <v>1032</v>
      </c>
      <c r="B1905" s="1">
        <v>0.0</v>
      </c>
      <c r="C1905" s="2"/>
      <c r="D1905" s="2"/>
      <c r="E1905" s="2"/>
      <c r="F1905" s="2"/>
      <c r="G1905" s="2"/>
    </row>
    <row r="1906">
      <c r="A1906" s="1" t="s">
        <v>1033</v>
      </c>
      <c r="B1906" s="1">
        <v>90.0</v>
      </c>
      <c r="C1906" s="2"/>
      <c r="D1906" s="2"/>
      <c r="E1906" s="2"/>
      <c r="F1906" s="2"/>
      <c r="G1906" s="2"/>
    </row>
    <row r="1907">
      <c r="A1907" s="1" t="s">
        <v>1034</v>
      </c>
      <c r="B1907" s="1">
        <v>40.0</v>
      </c>
      <c r="C1907" s="2"/>
      <c r="D1907" s="2"/>
      <c r="E1907" s="2"/>
      <c r="F1907" s="2"/>
      <c r="G1907" s="2"/>
    </row>
    <row r="1908">
      <c r="A1908" s="1" t="s">
        <v>1035</v>
      </c>
      <c r="B1908" s="1">
        <v>20.0</v>
      </c>
      <c r="C1908" s="2"/>
      <c r="D1908" s="2"/>
      <c r="E1908" s="2"/>
      <c r="F1908" s="2"/>
      <c r="G1908" s="2"/>
    </row>
    <row r="1909">
      <c r="A1909" s="1" t="s">
        <v>1036</v>
      </c>
      <c r="B1909" s="1">
        <v>0.0</v>
      </c>
      <c r="C1909" s="2"/>
      <c r="D1909" s="2"/>
      <c r="E1909" s="2"/>
      <c r="F1909" s="2"/>
      <c r="G1909" s="2"/>
    </row>
    <row r="1910">
      <c r="A1910" s="1" t="s">
        <v>1037</v>
      </c>
      <c r="B1910" s="1">
        <v>70.0</v>
      </c>
      <c r="C1910" s="2"/>
      <c r="D1910" s="2"/>
      <c r="E1910" s="2"/>
      <c r="F1910" s="2"/>
      <c r="G1910" s="2"/>
    </row>
    <row r="1911">
      <c r="A1911" s="1" t="s">
        <v>1038</v>
      </c>
      <c r="B1911" s="1">
        <v>67.0</v>
      </c>
      <c r="C1911" s="2"/>
      <c r="D1911" s="2"/>
      <c r="E1911" s="2"/>
      <c r="F1911" s="2"/>
      <c r="G1911" s="2"/>
    </row>
    <row r="1912">
      <c r="A1912" s="1" t="s">
        <v>1039</v>
      </c>
      <c r="B1912" s="1">
        <v>0.0</v>
      </c>
      <c r="C1912" s="2"/>
      <c r="D1912" s="2"/>
      <c r="E1912" s="2"/>
      <c r="F1912" s="2"/>
      <c r="G1912" s="2"/>
    </row>
    <row r="1913">
      <c r="A1913" s="1" t="s">
        <v>1040</v>
      </c>
      <c r="B1913" s="1">
        <v>40.0</v>
      </c>
      <c r="C1913" s="2"/>
      <c r="D1913" s="2"/>
      <c r="E1913" s="2"/>
      <c r="F1913" s="2"/>
      <c r="G1913" s="2"/>
    </row>
    <row r="1914">
      <c r="A1914" s="1" t="s">
        <v>1041</v>
      </c>
      <c r="B1914" s="1">
        <v>0.0</v>
      </c>
      <c r="C1914" s="2"/>
      <c r="D1914" s="2"/>
      <c r="E1914" s="2"/>
      <c r="F1914" s="2"/>
      <c r="G1914" s="2"/>
    </row>
    <row r="1915">
      <c r="A1915" s="1" t="s">
        <v>1042</v>
      </c>
      <c r="B1915" s="1">
        <v>0.0</v>
      </c>
      <c r="C1915" s="2"/>
      <c r="D1915" s="2"/>
      <c r="E1915" s="2"/>
      <c r="F1915" s="2"/>
      <c r="G1915" s="2"/>
    </row>
    <row r="1916">
      <c r="A1916" s="1" t="s">
        <v>1043</v>
      </c>
      <c r="B1916" s="1">
        <v>0.0</v>
      </c>
      <c r="C1916" s="2"/>
      <c r="D1916" s="2"/>
      <c r="E1916" s="2"/>
      <c r="F1916" s="2"/>
      <c r="G1916" s="2"/>
    </row>
    <row r="1917">
      <c r="A1917" s="1" t="s">
        <v>1044</v>
      </c>
      <c r="B1917" s="1">
        <v>32.0</v>
      </c>
      <c r="C1917" s="2"/>
      <c r="D1917" s="2"/>
      <c r="E1917" s="2"/>
      <c r="F1917" s="2"/>
      <c r="G1917" s="2"/>
    </row>
    <row r="1918">
      <c r="A1918" s="1" t="s">
        <v>1045</v>
      </c>
      <c r="B1918" s="1">
        <v>53.0</v>
      </c>
      <c r="C1918" s="2"/>
      <c r="D1918" s="2"/>
      <c r="E1918" s="2"/>
      <c r="F1918" s="2"/>
      <c r="G1918" s="2"/>
    </row>
    <row r="1919">
      <c r="A1919" s="1" t="s">
        <v>1046</v>
      </c>
      <c r="B1919" s="1">
        <v>37.0</v>
      </c>
      <c r="C1919" s="2"/>
      <c r="D1919" s="2"/>
      <c r="E1919" s="2"/>
      <c r="F1919" s="2"/>
      <c r="G1919" s="2"/>
    </row>
    <row r="1920">
      <c r="A1920" s="1" t="s">
        <v>1047</v>
      </c>
      <c r="B1920" s="1">
        <v>0.0</v>
      </c>
      <c r="C1920" s="2"/>
      <c r="D1920" s="2"/>
      <c r="E1920" s="2"/>
      <c r="F1920" s="2"/>
      <c r="G1920" s="2"/>
    </row>
    <row r="1921">
      <c r="A1921" s="1" t="s">
        <v>1048</v>
      </c>
      <c r="B1921" s="1">
        <v>0.0</v>
      </c>
      <c r="C1921" s="2"/>
      <c r="D1921" s="2"/>
      <c r="E1921" s="2"/>
      <c r="F1921" s="2"/>
      <c r="G1921" s="2"/>
    </row>
    <row r="1922">
      <c r="A1922" s="1" t="s">
        <v>1049</v>
      </c>
      <c r="B1922" s="1">
        <v>0.0</v>
      </c>
      <c r="C1922" s="2"/>
      <c r="D1922" s="2"/>
      <c r="E1922" s="2"/>
      <c r="F1922" s="2"/>
      <c r="G1922" s="2"/>
    </row>
    <row r="1923">
      <c r="A1923" s="1" t="s">
        <v>1050</v>
      </c>
      <c r="B1923" s="1">
        <v>8.0</v>
      </c>
      <c r="C1923" s="2"/>
      <c r="D1923" s="2"/>
      <c r="E1923" s="2"/>
      <c r="F1923" s="2"/>
      <c r="G1923" s="2"/>
    </row>
    <row r="1924">
      <c r="A1924" s="1" t="s">
        <v>1051</v>
      </c>
      <c r="B1924" s="1">
        <v>0.0</v>
      </c>
      <c r="C1924" s="2"/>
      <c r="D1924" s="2"/>
      <c r="E1924" s="2"/>
      <c r="F1924" s="2"/>
      <c r="G1924" s="2"/>
    </row>
    <row r="1925">
      <c r="A1925" s="1" t="s">
        <v>1052</v>
      </c>
      <c r="B1925" s="1">
        <v>0.0</v>
      </c>
      <c r="C1925" s="2"/>
      <c r="D1925" s="2"/>
      <c r="E1925" s="2"/>
      <c r="F1925" s="2"/>
      <c r="G1925" s="2"/>
    </row>
    <row r="1926">
      <c r="A1926" s="1" t="s">
        <v>1053</v>
      </c>
      <c r="B1926" s="1">
        <v>70.0</v>
      </c>
      <c r="C1926" s="2"/>
      <c r="D1926" s="2"/>
      <c r="E1926" s="2"/>
      <c r="F1926" s="2"/>
      <c r="G1926" s="2"/>
    </row>
    <row r="1927">
      <c r="A1927" s="1" t="s">
        <v>1054</v>
      </c>
      <c r="B1927" s="1">
        <v>48.0</v>
      </c>
      <c r="C1927" s="2"/>
      <c r="D1927" s="2"/>
      <c r="E1927" s="2"/>
      <c r="F1927" s="2"/>
      <c r="G1927" s="2"/>
    </row>
    <row r="1928">
      <c r="A1928" s="1" t="s">
        <v>1055</v>
      </c>
      <c r="B1928" s="1">
        <v>0.0</v>
      </c>
      <c r="C1928" s="2"/>
      <c r="D1928" s="2"/>
      <c r="E1928" s="2"/>
      <c r="F1928" s="2"/>
      <c r="G1928" s="2"/>
    </row>
    <row r="1929">
      <c r="A1929" s="1" t="s">
        <v>1056</v>
      </c>
      <c r="B1929" s="1">
        <v>0.0</v>
      </c>
      <c r="C1929" s="2"/>
      <c r="D1929" s="2"/>
      <c r="E1929" s="2"/>
      <c r="F1929" s="2"/>
      <c r="G1929" s="2"/>
    </row>
    <row r="1930">
      <c r="A1930" s="1" t="s">
        <v>1057</v>
      </c>
      <c r="B1930" s="1">
        <v>20.0</v>
      </c>
      <c r="C1930" s="2"/>
      <c r="D1930" s="2"/>
      <c r="E1930" s="2"/>
      <c r="F1930" s="2"/>
      <c r="G1930" s="2"/>
    </row>
    <row r="1931">
      <c r="A1931" s="1" t="s">
        <v>1058</v>
      </c>
      <c r="B1931" s="1">
        <v>74.0</v>
      </c>
      <c r="C1931" s="2"/>
      <c r="D1931" s="2"/>
      <c r="E1931" s="2"/>
      <c r="F1931" s="2"/>
      <c r="G1931" s="2"/>
    </row>
    <row r="1932">
      <c r="A1932" s="1" t="s">
        <v>1059</v>
      </c>
      <c r="B1932" s="1">
        <v>97.0</v>
      </c>
      <c r="C1932" s="2"/>
      <c r="D1932" s="2"/>
      <c r="E1932" s="2"/>
      <c r="F1932" s="2"/>
      <c r="G1932" s="2"/>
    </row>
    <row r="1933">
      <c r="A1933" s="1" t="s">
        <v>1060</v>
      </c>
      <c r="B1933" s="1">
        <v>0.0</v>
      </c>
      <c r="C1933" s="2"/>
      <c r="D1933" s="2"/>
      <c r="E1933" s="2"/>
      <c r="F1933" s="2"/>
      <c r="G1933" s="2"/>
    </row>
    <row r="1934">
      <c r="A1934" s="1" t="s">
        <v>1061</v>
      </c>
      <c r="B1934" s="1">
        <v>0.0</v>
      </c>
      <c r="C1934" s="2"/>
      <c r="D1934" s="2"/>
      <c r="E1934" s="2"/>
      <c r="F1934" s="2"/>
      <c r="G1934" s="2"/>
    </row>
    <row r="1935">
      <c r="A1935" s="1" t="s">
        <v>1062</v>
      </c>
      <c r="B1935" s="1">
        <v>0.0</v>
      </c>
      <c r="C1935" s="2"/>
      <c r="D1935" s="2"/>
      <c r="E1935" s="2"/>
      <c r="F1935" s="2"/>
      <c r="G1935" s="2"/>
    </row>
    <row r="1936">
      <c r="A1936" s="1" t="s">
        <v>1063</v>
      </c>
      <c r="B1936" s="1">
        <v>84.0</v>
      </c>
      <c r="C1936" s="2"/>
      <c r="D1936" s="2"/>
      <c r="E1936" s="2"/>
      <c r="F1936" s="2"/>
      <c r="G1936" s="2"/>
    </row>
    <row r="1937">
      <c r="A1937" s="1" t="s">
        <v>1064</v>
      </c>
      <c r="B1937" s="1">
        <v>0.0</v>
      </c>
      <c r="C1937" s="2"/>
      <c r="D1937" s="2"/>
      <c r="E1937" s="2"/>
      <c r="F1937" s="2"/>
      <c r="G1937" s="2"/>
    </row>
    <row r="1938">
      <c r="A1938" s="1" t="s">
        <v>1065</v>
      </c>
      <c r="B1938" s="1">
        <v>26.0</v>
      </c>
      <c r="C1938" s="2"/>
      <c r="D1938" s="2"/>
      <c r="E1938" s="2"/>
      <c r="F1938" s="2"/>
      <c r="G1938" s="2"/>
    </row>
    <row r="1939">
      <c r="A1939" s="1" t="s">
        <v>1066</v>
      </c>
      <c r="B1939" s="1">
        <v>90.0</v>
      </c>
      <c r="C1939" s="2"/>
      <c r="D1939" s="2"/>
      <c r="E1939" s="2"/>
      <c r="F1939" s="2"/>
      <c r="G1939" s="2"/>
    </row>
    <row r="1940">
      <c r="A1940" s="1" t="s">
        <v>1067</v>
      </c>
      <c r="B1940" s="1">
        <v>0.0</v>
      </c>
      <c r="C1940" s="2"/>
      <c r="D1940" s="2"/>
      <c r="E1940" s="2"/>
      <c r="F1940" s="2"/>
      <c r="G1940" s="2"/>
    </row>
    <row r="1941">
      <c r="A1941" s="1" t="s">
        <v>1068</v>
      </c>
      <c r="B1941" s="1">
        <v>51.0</v>
      </c>
      <c r="C1941" s="2"/>
      <c r="D1941" s="2"/>
      <c r="E1941" s="2"/>
      <c r="F1941" s="2"/>
      <c r="G1941" s="2"/>
    </row>
    <row r="1942">
      <c r="A1942" s="1" t="s">
        <v>1069</v>
      </c>
      <c r="B1942" s="1">
        <v>0.0</v>
      </c>
      <c r="C1942" s="2"/>
      <c r="D1942" s="2"/>
      <c r="E1942" s="2"/>
      <c r="F1942" s="2"/>
      <c r="G1942" s="2"/>
    </row>
    <row r="1943">
      <c r="A1943" s="1" t="s">
        <v>1070</v>
      </c>
      <c r="B1943" s="1">
        <v>0.0</v>
      </c>
      <c r="C1943" s="2"/>
      <c r="D1943" s="2"/>
      <c r="E1943" s="2"/>
      <c r="F1943" s="2"/>
      <c r="G1943" s="2"/>
    </row>
    <row r="1944">
      <c r="A1944" s="1" t="s">
        <v>1071</v>
      </c>
      <c r="B1944" s="1">
        <v>0.0</v>
      </c>
      <c r="C1944" s="2"/>
      <c r="D1944" s="2"/>
      <c r="E1944" s="2"/>
      <c r="F1944" s="2"/>
      <c r="G1944" s="2"/>
    </row>
    <row r="1945">
      <c r="A1945" s="1" t="s">
        <v>1072</v>
      </c>
      <c r="B1945" s="1">
        <v>0.0</v>
      </c>
      <c r="C1945" s="2"/>
      <c r="D1945" s="2"/>
      <c r="E1945" s="2"/>
      <c r="F1945" s="2"/>
      <c r="G1945" s="2"/>
    </row>
    <row r="1946">
      <c r="A1946" s="1" t="s">
        <v>1073</v>
      </c>
      <c r="B1946" s="1">
        <v>0.0</v>
      </c>
      <c r="C1946" s="2"/>
      <c r="D1946" s="2"/>
      <c r="E1946" s="2"/>
      <c r="F1946" s="2"/>
      <c r="G1946" s="2"/>
    </row>
    <row r="1947">
      <c r="A1947" s="1" t="s">
        <v>1074</v>
      </c>
      <c r="B1947" s="1">
        <v>61.0</v>
      </c>
      <c r="C1947" s="2"/>
      <c r="D1947" s="2"/>
      <c r="E1947" s="2"/>
      <c r="F1947" s="2"/>
      <c r="G1947" s="2"/>
    </row>
    <row r="1948">
      <c r="A1948" s="1" t="s">
        <v>1075</v>
      </c>
      <c r="B1948" s="1">
        <v>0.0</v>
      </c>
      <c r="C1948" s="2"/>
      <c r="D1948" s="2"/>
      <c r="E1948" s="2"/>
      <c r="F1948" s="2"/>
      <c r="G1948" s="2"/>
    </row>
    <row r="1949">
      <c r="A1949" s="1" t="s">
        <v>1076</v>
      </c>
      <c r="B1949" s="1">
        <v>0.0</v>
      </c>
      <c r="C1949" s="2"/>
      <c r="D1949" s="2"/>
      <c r="E1949" s="2"/>
      <c r="F1949" s="2"/>
      <c r="G1949" s="2"/>
    </row>
    <row r="1950">
      <c r="A1950" s="1" t="s">
        <v>1077</v>
      </c>
      <c r="B1950" s="1">
        <v>0.0</v>
      </c>
      <c r="C1950" s="2"/>
      <c r="D1950" s="2"/>
      <c r="E1950" s="2"/>
      <c r="F1950" s="2"/>
      <c r="G1950" s="2"/>
    </row>
    <row r="1951">
      <c r="A1951" s="1" t="s">
        <v>1078</v>
      </c>
      <c r="B1951" s="1">
        <v>0.0</v>
      </c>
      <c r="C1951" s="2"/>
      <c r="D1951" s="2"/>
      <c r="E1951" s="2"/>
      <c r="F1951" s="2"/>
      <c r="G1951" s="2"/>
    </row>
    <row r="1952">
      <c r="A1952" s="1" t="s">
        <v>1079</v>
      </c>
      <c r="B1952" s="1">
        <v>0.0</v>
      </c>
      <c r="C1952" s="2"/>
      <c r="D1952" s="2"/>
      <c r="E1952" s="2"/>
      <c r="F1952" s="2"/>
      <c r="G1952" s="2"/>
    </row>
    <row r="1953">
      <c r="A1953" s="1" t="s">
        <v>1080</v>
      </c>
      <c r="B1953" s="1">
        <v>0.0</v>
      </c>
      <c r="C1953" s="2"/>
      <c r="D1953" s="2"/>
      <c r="E1953" s="2"/>
      <c r="F1953" s="2"/>
      <c r="G1953" s="2"/>
    </row>
    <row r="1954">
      <c r="A1954" s="1" t="s">
        <v>1081</v>
      </c>
      <c r="B1954" s="1">
        <v>0.0</v>
      </c>
      <c r="C1954" s="2"/>
      <c r="D1954" s="2"/>
      <c r="E1954" s="2"/>
      <c r="F1954" s="2"/>
      <c r="G1954" s="2"/>
    </row>
    <row r="1955">
      <c r="A1955" s="1" t="s">
        <v>1082</v>
      </c>
      <c r="B1955" s="1" t="s">
        <v>1083</v>
      </c>
      <c r="C1955" s="1">
        <v>0.0</v>
      </c>
      <c r="D1955" s="2"/>
      <c r="E1955" s="2"/>
      <c r="F1955" s="2"/>
      <c r="G1955" s="2"/>
    </row>
    <row r="1956">
      <c r="A1956" s="1" t="s">
        <v>1084</v>
      </c>
      <c r="B1956" s="1">
        <v>0.0</v>
      </c>
      <c r="C1956" s="2"/>
      <c r="D1956" s="2"/>
      <c r="E1956" s="2"/>
      <c r="F1956" s="2"/>
      <c r="G1956" s="2"/>
    </row>
    <row r="1957">
      <c r="A1957" s="1" t="s">
        <v>1085</v>
      </c>
      <c r="B1957" s="1">
        <v>0.0</v>
      </c>
      <c r="C1957" s="2"/>
      <c r="D1957" s="2"/>
      <c r="E1957" s="2"/>
      <c r="F1957" s="2"/>
      <c r="G1957" s="2"/>
    </row>
    <row r="1958">
      <c r="A1958" s="1" t="s">
        <v>1086</v>
      </c>
      <c r="B1958" s="1">
        <v>2.0</v>
      </c>
      <c r="C1958" s="2"/>
      <c r="D1958" s="2"/>
      <c r="E1958" s="2"/>
      <c r="F1958" s="2"/>
      <c r="G1958" s="2"/>
    </row>
    <row r="1959">
      <c r="A1959" s="1" t="s">
        <v>1087</v>
      </c>
      <c r="B1959" s="1">
        <v>0.0</v>
      </c>
      <c r="C1959" s="2"/>
      <c r="D1959" s="2"/>
      <c r="E1959" s="2"/>
      <c r="F1959" s="2"/>
      <c r="G1959" s="2"/>
    </row>
    <row r="1960">
      <c r="A1960" s="1" t="s">
        <v>1088</v>
      </c>
      <c r="B1960" s="1" t="s">
        <v>1089</v>
      </c>
      <c r="C1960" s="1" t="s">
        <v>1090</v>
      </c>
      <c r="D1960" s="1">
        <v>0.0</v>
      </c>
      <c r="E1960" s="2"/>
      <c r="F1960" s="2"/>
      <c r="G1960" s="2"/>
    </row>
    <row r="1961">
      <c r="A1961" s="1" t="s">
        <v>1091</v>
      </c>
      <c r="B1961" s="1">
        <v>0.0</v>
      </c>
      <c r="C1961" s="2"/>
      <c r="D1961" s="2"/>
      <c r="E1961" s="2"/>
      <c r="F1961" s="2"/>
      <c r="G1961" s="2"/>
    </row>
    <row r="1962">
      <c r="A1962" s="1" t="s">
        <v>1092</v>
      </c>
      <c r="B1962" s="1">
        <v>0.0</v>
      </c>
      <c r="C1962" s="2"/>
      <c r="D1962" s="2"/>
      <c r="E1962" s="2"/>
      <c r="F1962" s="2"/>
      <c r="G1962" s="2"/>
    </row>
    <row r="1963">
      <c r="A1963" s="1" t="s">
        <v>1093</v>
      </c>
      <c r="B1963" s="1">
        <v>0.0</v>
      </c>
      <c r="C1963" s="2"/>
      <c r="D1963" s="2"/>
      <c r="E1963" s="2"/>
      <c r="F1963" s="2"/>
      <c r="G1963" s="2"/>
    </row>
    <row r="1964">
      <c r="A1964" s="1" t="s">
        <v>1094</v>
      </c>
      <c r="B1964" s="1">
        <v>0.0</v>
      </c>
      <c r="C1964" s="2"/>
      <c r="D1964" s="2"/>
      <c r="E1964" s="2"/>
      <c r="F1964" s="2"/>
      <c r="G1964" s="2"/>
    </row>
    <row r="1965">
      <c r="A1965" s="1" t="s">
        <v>1095</v>
      </c>
      <c r="B1965" s="1" t="s">
        <v>1096</v>
      </c>
      <c r="C1965" s="1">
        <v>18.0</v>
      </c>
      <c r="D1965" s="2"/>
      <c r="E1965" s="2"/>
      <c r="F1965" s="2"/>
      <c r="G1965" s="2"/>
    </row>
    <row r="1966">
      <c r="A1966" s="1" t="s">
        <v>1097</v>
      </c>
      <c r="B1966" s="1">
        <v>59.0</v>
      </c>
      <c r="C1966" s="2"/>
      <c r="D1966" s="2"/>
      <c r="E1966" s="2"/>
      <c r="F1966" s="2"/>
      <c r="G1966" s="2"/>
    </row>
    <row r="1967">
      <c r="A1967" s="1" t="s">
        <v>1098</v>
      </c>
      <c r="B1967" s="1">
        <v>70.0</v>
      </c>
      <c r="C1967" s="2"/>
      <c r="D1967" s="2"/>
      <c r="E1967" s="2"/>
      <c r="F1967" s="2"/>
      <c r="G1967" s="2"/>
    </row>
    <row r="1968">
      <c r="A1968" s="1" t="s">
        <v>1099</v>
      </c>
      <c r="B1968" s="1">
        <v>78.0</v>
      </c>
      <c r="C1968" s="2"/>
      <c r="D1968" s="2"/>
      <c r="E1968" s="2"/>
      <c r="F1968" s="2"/>
      <c r="G1968" s="2"/>
    </row>
    <row r="1969">
      <c r="A1969" s="1" t="s">
        <v>1100</v>
      </c>
      <c r="B1969" s="1">
        <v>11.0</v>
      </c>
      <c r="C1969" s="2"/>
      <c r="D1969" s="2"/>
      <c r="E1969" s="2"/>
      <c r="F1969" s="2"/>
      <c r="G1969" s="2"/>
    </row>
    <row r="1970">
      <c r="A1970" s="1" t="s">
        <v>1101</v>
      </c>
      <c r="B1970" s="1">
        <v>44.0</v>
      </c>
      <c r="C1970" s="2"/>
      <c r="D1970" s="2"/>
      <c r="E1970" s="2"/>
      <c r="F1970" s="2"/>
      <c r="G1970" s="2"/>
    </row>
    <row r="1971">
      <c r="A1971" s="1" t="s">
        <v>1102</v>
      </c>
      <c r="B1971" s="1">
        <v>10.0</v>
      </c>
      <c r="C1971" s="2"/>
      <c r="D1971" s="2"/>
      <c r="E1971" s="2"/>
      <c r="F1971" s="2"/>
      <c r="G1971" s="2"/>
    </row>
    <row r="1972">
      <c r="A1972" s="1" t="s">
        <v>1103</v>
      </c>
      <c r="B1972" s="1">
        <v>0.0</v>
      </c>
      <c r="C1972" s="2"/>
      <c r="D1972" s="2"/>
      <c r="E1972" s="2"/>
      <c r="F1972" s="2"/>
      <c r="G1972" s="2"/>
    </row>
    <row r="1973">
      <c r="A1973" s="1" t="s">
        <v>1104</v>
      </c>
      <c r="B1973" s="1">
        <v>0.0</v>
      </c>
      <c r="C1973" s="2"/>
      <c r="D1973" s="2"/>
      <c r="E1973" s="2"/>
      <c r="F1973" s="2"/>
      <c r="G1973" s="2"/>
    </row>
    <row r="1974">
      <c r="A1974" s="1" t="s">
        <v>1105</v>
      </c>
      <c r="B1974" s="1">
        <v>0.0</v>
      </c>
      <c r="C1974" s="2"/>
      <c r="D1974" s="2"/>
      <c r="E1974" s="2"/>
      <c r="F1974" s="2"/>
      <c r="G1974" s="2"/>
    </row>
    <row r="1975">
      <c r="A1975" s="1" t="s">
        <v>1106</v>
      </c>
      <c r="B1975" s="1">
        <v>32.0</v>
      </c>
      <c r="C1975" s="2"/>
      <c r="D1975" s="2"/>
      <c r="E1975" s="2"/>
      <c r="F1975" s="2"/>
      <c r="G1975" s="2"/>
    </row>
    <row r="1976">
      <c r="A1976" s="1" t="s">
        <v>1107</v>
      </c>
      <c r="B1976" s="1" t="s">
        <v>1108</v>
      </c>
      <c r="C1976" s="1">
        <v>12.0</v>
      </c>
      <c r="D1976" s="2"/>
      <c r="E1976" s="2"/>
      <c r="F1976" s="2"/>
      <c r="G1976" s="2"/>
    </row>
    <row r="1977">
      <c r="A1977" s="1" t="s">
        <v>1109</v>
      </c>
      <c r="B1977" s="1">
        <v>13.0</v>
      </c>
      <c r="C1977" s="2"/>
      <c r="D1977" s="2"/>
      <c r="E1977" s="2"/>
      <c r="F1977" s="2"/>
      <c r="G1977" s="2"/>
    </row>
    <row r="1978">
      <c r="A1978" s="1" t="s">
        <v>1110</v>
      </c>
      <c r="B1978" s="1">
        <v>40.0</v>
      </c>
      <c r="C1978" s="2"/>
      <c r="D1978" s="2"/>
      <c r="E1978" s="2"/>
      <c r="F1978" s="2"/>
      <c r="G1978" s="2"/>
    </row>
    <row r="1979">
      <c r="A1979" s="1" t="s">
        <v>1111</v>
      </c>
      <c r="B1979" s="1">
        <v>0.0</v>
      </c>
      <c r="C1979" s="2"/>
      <c r="D1979" s="2"/>
      <c r="E1979" s="2"/>
      <c r="F1979" s="2"/>
      <c r="G1979" s="2"/>
    </row>
    <row r="1980">
      <c r="A1980" s="1" t="s">
        <v>1112</v>
      </c>
      <c r="B1980" s="1">
        <v>0.0</v>
      </c>
      <c r="C1980" s="2"/>
      <c r="D1980" s="2"/>
      <c r="E1980" s="2"/>
      <c r="F1980" s="2"/>
      <c r="G1980" s="2"/>
    </row>
    <row r="1981">
      <c r="A1981" s="1" t="s">
        <v>1113</v>
      </c>
      <c r="B1981" s="1">
        <v>0.0</v>
      </c>
      <c r="C1981" s="2"/>
      <c r="D1981" s="2"/>
      <c r="E1981" s="2"/>
      <c r="F1981" s="2"/>
      <c r="G1981" s="2"/>
    </row>
    <row r="1982">
      <c r="A1982" s="1" t="s">
        <v>1114</v>
      </c>
      <c r="B1982" s="1">
        <v>0.0</v>
      </c>
      <c r="C1982" s="2"/>
      <c r="D1982" s="2"/>
      <c r="E1982" s="2"/>
      <c r="F1982" s="2"/>
      <c r="G1982" s="2"/>
    </row>
    <row r="1983">
      <c r="A1983" s="1" t="s">
        <v>1115</v>
      </c>
      <c r="B1983" s="1">
        <v>0.0</v>
      </c>
      <c r="C1983" s="2"/>
      <c r="D1983" s="2"/>
      <c r="E1983" s="2"/>
      <c r="F1983" s="2"/>
      <c r="G1983" s="2"/>
    </row>
    <row r="1984">
      <c r="A1984" s="1" t="s">
        <v>1116</v>
      </c>
      <c r="B1984" s="1">
        <v>0.0</v>
      </c>
      <c r="C1984" s="2"/>
      <c r="D1984" s="2"/>
      <c r="E1984" s="2"/>
      <c r="F1984" s="2"/>
      <c r="G1984" s="2"/>
    </row>
    <row r="1985">
      <c r="A1985" s="1" t="s">
        <v>1117</v>
      </c>
      <c r="B1985" s="1">
        <v>0.0</v>
      </c>
      <c r="C1985" s="2"/>
      <c r="D1985" s="2"/>
      <c r="E1985" s="2"/>
      <c r="F1985" s="2"/>
      <c r="G1985" s="2"/>
    </row>
    <row r="1986">
      <c r="A1986" s="1" t="s">
        <v>1118</v>
      </c>
      <c r="B1986" s="1">
        <v>0.0</v>
      </c>
      <c r="C1986" s="2"/>
      <c r="D1986" s="2"/>
      <c r="E1986" s="2"/>
      <c r="F1986" s="2"/>
      <c r="G1986" s="2"/>
    </row>
    <row r="1987">
      <c r="A1987" s="1" t="s">
        <v>1119</v>
      </c>
      <c r="B1987" s="1">
        <v>12.0</v>
      </c>
      <c r="C1987" s="2"/>
      <c r="D1987" s="2"/>
      <c r="E1987" s="2"/>
      <c r="F1987" s="2"/>
      <c r="G1987" s="2"/>
    </row>
    <row r="1988">
      <c r="A1988" s="1" t="s">
        <v>1120</v>
      </c>
      <c r="B1988" s="1">
        <v>0.0</v>
      </c>
      <c r="C1988" s="2"/>
      <c r="D1988" s="2"/>
      <c r="E1988" s="2"/>
      <c r="F1988" s="2"/>
      <c r="G1988" s="2"/>
    </row>
    <row r="1989">
      <c r="A1989" s="1" t="s">
        <v>1121</v>
      </c>
      <c r="B1989" s="1">
        <v>0.0</v>
      </c>
      <c r="C1989" s="2"/>
      <c r="D1989" s="2"/>
      <c r="E1989" s="2"/>
      <c r="F1989" s="2"/>
      <c r="G1989" s="2"/>
    </row>
    <row r="1990">
      <c r="A1990" s="1" t="s">
        <v>1122</v>
      </c>
      <c r="B1990" s="1">
        <v>0.0</v>
      </c>
      <c r="C1990" s="2"/>
      <c r="D1990" s="2"/>
      <c r="E1990" s="2"/>
      <c r="F1990" s="2"/>
      <c r="G1990" s="2"/>
    </row>
    <row r="1991">
      <c r="A1991" s="1" t="s">
        <v>1123</v>
      </c>
      <c r="B1991" s="1">
        <v>22.0</v>
      </c>
      <c r="C1991" s="2"/>
      <c r="D1991" s="2"/>
      <c r="E1991" s="2"/>
      <c r="F1991" s="2"/>
      <c r="G1991" s="2"/>
    </row>
    <row r="1992">
      <c r="A1992" s="1" t="s">
        <v>1124</v>
      </c>
      <c r="B1992" s="1">
        <v>60.0</v>
      </c>
      <c r="C1992" s="2"/>
      <c r="D1992" s="2"/>
      <c r="E1992" s="2"/>
      <c r="F1992" s="2"/>
      <c r="G1992" s="2"/>
    </row>
    <row r="1993">
      <c r="A1993" s="1" t="s">
        <v>1125</v>
      </c>
      <c r="B1993" s="1">
        <v>0.0</v>
      </c>
      <c r="C1993" s="2"/>
      <c r="D1993" s="2"/>
      <c r="E1993" s="2"/>
      <c r="F1993" s="2"/>
      <c r="G1993" s="2"/>
    </row>
    <row r="1994">
      <c r="A1994" s="1" t="s">
        <v>1126</v>
      </c>
      <c r="B1994" s="1">
        <v>60.0</v>
      </c>
      <c r="C1994" s="2"/>
      <c r="D1994" s="2"/>
      <c r="E1994" s="2"/>
      <c r="F1994" s="2"/>
      <c r="G1994" s="2"/>
    </row>
    <row r="1995">
      <c r="A1995" s="1" t="s">
        <v>1127</v>
      </c>
      <c r="B1995" s="1">
        <v>0.0</v>
      </c>
      <c r="C1995" s="2"/>
      <c r="D1995" s="2"/>
      <c r="E1995" s="2"/>
      <c r="F1995" s="2"/>
      <c r="G1995" s="2"/>
    </row>
    <row r="1996">
      <c r="A1996" s="1" t="s">
        <v>1128</v>
      </c>
      <c r="B1996" s="1">
        <v>80.0</v>
      </c>
      <c r="C1996" s="2"/>
      <c r="D1996" s="2"/>
      <c r="E1996" s="2"/>
      <c r="F1996" s="2"/>
      <c r="G1996" s="2"/>
    </row>
    <row r="1997">
      <c r="A1997" s="1" t="s">
        <v>1129</v>
      </c>
      <c r="B1997" s="1">
        <v>0.0</v>
      </c>
      <c r="C1997" s="2"/>
      <c r="D1997" s="2"/>
      <c r="E1997" s="2"/>
      <c r="F1997" s="2"/>
      <c r="G1997" s="2"/>
    </row>
    <row r="1998">
      <c r="A1998" s="1" t="s">
        <v>1130</v>
      </c>
      <c r="B1998" s="1">
        <v>0.0</v>
      </c>
      <c r="C1998" s="2"/>
      <c r="D1998" s="2"/>
      <c r="E1998" s="2"/>
      <c r="F1998" s="2"/>
      <c r="G1998" s="2"/>
    </row>
    <row r="1999">
      <c r="A1999" s="1" t="s">
        <v>1131</v>
      </c>
      <c r="B1999" s="1">
        <v>0.0</v>
      </c>
      <c r="C1999" s="2"/>
      <c r="D1999" s="2"/>
      <c r="E1999" s="2"/>
      <c r="F1999" s="2"/>
      <c r="G1999" s="2"/>
    </row>
    <row r="2000">
      <c r="A2000" s="1" t="s">
        <v>1132</v>
      </c>
      <c r="B2000" s="1">
        <v>0.0</v>
      </c>
      <c r="C2000" s="2"/>
      <c r="D2000" s="2"/>
      <c r="E2000" s="2"/>
      <c r="F2000" s="2"/>
      <c r="G2000" s="2"/>
    </row>
    <row r="2001">
      <c r="A2001" s="1" t="s">
        <v>1133</v>
      </c>
      <c r="B2001" s="1">
        <v>0.0</v>
      </c>
      <c r="C2001" s="2"/>
      <c r="D2001" s="2"/>
      <c r="E2001" s="2"/>
      <c r="F2001" s="2"/>
      <c r="G2001" s="2"/>
    </row>
    <row r="2002">
      <c r="A2002" s="1" t="s">
        <v>1134</v>
      </c>
      <c r="B2002" s="1">
        <v>0.0</v>
      </c>
      <c r="C2002" s="2"/>
      <c r="D2002" s="2"/>
      <c r="E2002" s="2"/>
      <c r="F2002" s="2"/>
      <c r="G2002" s="2"/>
    </row>
    <row r="2003">
      <c r="A2003" s="1" t="s">
        <v>1135</v>
      </c>
      <c r="B2003" s="1">
        <v>0.0</v>
      </c>
      <c r="C2003" s="2"/>
      <c r="D2003" s="2"/>
      <c r="E2003" s="2"/>
      <c r="F2003" s="2"/>
      <c r="G2003" s="2"/>
    </row>
    <row r="2004">
      <c r="A2004" s="1" t="s">
        <v>1136</v>
      </c>
      <c r="B2004" s="1">
        <v>0.0</v>
      </c>
      <c r="C2004" s="2"/>
      <c r="D2004" s="2"/>
      <c r="E2004" s="2"/>
      <c r="F2004" s="2"/>
      <c r="G2004" s="2"/>
    </row>
    <row r="2005">
      <c r="A2005" s="1" t="s">
        <v>1137</v>
      </c>
      <c r="B2005" s="1">
        <v>0.0</v>
      </c>
      <c r="C2005" s="2"/>
      <c r="D2005" s="2"/>
      <c r="E2005" s="2"/>
      <c r="F2005" s="2"/>
      <c r="G2005" s="2"/>
    </row>
    <row r="2006">
      <c r="A2006" s="1" t="s">
        <v>1138</v>
      </c>
      <c r="B2006" s="1">
        <v>0.0</v>
      </c>
      <c r="C2006" s="2"/>
      <c r="D2006" s="2"/>
      <c r="E2006" s="2"/>
      <c r="F2006" s="2"/>
      <c r="G2006" s="2"/>
    </row>
    <row r="2007">
      <c r="A2007" s="1" t="s">
        <v>1139</v>
      </c>
      <c r="B2007" s="1">
        <v>0.0</v>
      </c>
      <c r="C2007" s="2"/>
      <c r="D2007" s="2"/>
      <c r="E2007" s="2"/>
      <c r="F2007" s="2"/>
      <c r="G2007" s="2"/>
    </row>
    <row r="2008">
      <c r="A2008" s="1" t="s">
        <v>1140</v>
      </c>
      <c r="B2008" s="1">
        <v>0.0</v>
      </c>
      <c r="C2008" s="2"/>
      <c r="D2008" s="2"/>
      <c r="E2008" s="2"/>
      <c r="F2008" s="2"/>
      <c r="G2008" s="2"/>
    </row>
    <row r="2009">
      <c r="A2009" s="1" t="s">
        <v>1141</v>
      </c>
      <c r="B2009" s="1">
        <v>92.0</v>
      </c>
      <c r="C2009" s="2"/>
      <c r="D2009" s="2"/>
      <c r="E2009" s="2"/>
      <c r="F2009" s="2"/>
      <c r="G2009" s="2"/>
    </row>
    <row r="2010">
      <c r="A2010" s="1" t="s">
        <v>1142</v>
      </c>
      <c r="B2010" s="1">
        <v>0.0</v>
      </c>
      <c r="C2010" s="2"/>
      <c r="D2010" s="2"/>
      <c r="E2010" s="2"/>
      <c r="F2010" s="2"/>
      <c r="G2010" s="2"/>
    </row>
    <row r="2011">
      <c r="A2011" s="1" t="s">
        <v>1143</v>
      </c>
      <c r="B2011" s="1">
        <v>70.0</v>
      </c>
      <c r="C2011" s="2"/>
      <c r="D2011" s="2"/>
      <c r="E2011" s="2"/>
      <c r="F2011" s="2"/>
      <c r="G2011" s="2"/>
    </row>
    <row r="2012">
      <c r="A2012" s="1" t="s">
        <v>1144</v>
      </c>
      <c r="B2012" s="1">
        <v>0.0</v>
      </c>
      <c r="C2012" s="2"/>
      <c r="D2012" s="2"/>
      <c r="E2012" s="2"/>
      <c r="F2012" s="2"/>
      <c r="G2012" s="2"/>
    </row>
    <row r="2013">
      <c r="A2013" s="1" t="s">
        <v>1145</v>
      </c>
      <c r="B2013" s="1">
        <v>0.0</v>
      </c>
      <c r="C2013" s="2"/>
      <c r="D2013" s="2"/>
      <c r="E2013" s="2"/>
      <c r="F2013" s="2"/>
      <c r="G2013" s="2"/>
    </row>
    <row r="2014">
      <c r="A2014" s="1" t="s">
        <v>1146</v>
      </c>
      <c r="B2014" s="1">
        <v>0.0</v>
      </c>
      <c r="C2014" s="2"/>
      <c r="D2014" s="2"/>
      <c r="E2014" s="2"/>
      <c r="F2014" s="2"/>
      <c r="G2014" s="2"/>
    </row>
    <row r="2015">
      <c r="A2015" s="1" t="s">
        <v>1147</v>
      </c>
      <c r="B2015" s="1">
        <v>0.0</v>
      </c>
      <c r="C2015" s="2"/>
      <c r="D2015" s="2"/>
      <c r="E2015" s="2"/>
      <c r="F2015" s="2"/>
      <c r="G2015" s="2"/>
    </row>
    <row r="2016">
      <c r="A2016" s="1" t="s">
        <v>1148</v>
      </c>
      <c r="B2016" s="1">
        <v>0.0</v>
      </c>
      <c r="C2016" s="2"/>
      <c r="D2016" s="2"/>
      <c r="E2016" s="2"/>
      <c r="F2016" s="2"/>
      <c r="G2016" s="2"/>
    </row>
    <row r="2017">
      <c r="A2017" s="1" t="s">
        <v>1149</v>
      </c>
      <c r="B2017" s="1">
        <v>0.0</v>
      </c>
      <c r="C2017" s="2"/>
      <c r="D2017" s="2"/>
      <c r="E2017" s="2"/>
      <c r="F2017" s="2"/>
      <c r="G2017" s="2"/>
    </row>
    <row r="2018">
      <c r="A2018" s="1" t="s">
        <v>1150</v>
      </c>
      <c r="B2018" s="1">
        <v>0.0</v>
      </c>
      <c r="C2018" s="2"/>
      <c r="D2018" s="2"/>
      <c r="E2018" s="2"/>
      <c r="F2018" s="2"/>
      <c r="G2018" s="2"/>
    </row>
    <row r="2019">
      <c r="A2019" s="1" t="s">
        <v>1151</v>
      </c>
      <c r="B2019" s="1">
        <v>0.0</v>
      </c>
      <c r="C2019" s="2"/>
      <c r="D2019" s="2"/>
      <c r="E2019" s="2"/>
      <c r="F2019" s="2"/>
      <c r="G2019" s="2"/>
    </row>
    <row r="2020">
      <c r="A2020" s="1" t="s">
        <v>1152</v>
      </c>
      <c r="B2020" s="1">
        <v>0.0</v>
      </c>
      <c r="C2020" s="2"/>
      <c r="D2020" s="2"/>
      <c r="E2020" s="2"/>
      <c r="F2020" s="2"/>
      <c r="G2020" s="2"/>
    </row>
    <row r="2021">
      <c r="A2021" s="1" t="s">
        <v>1079</v>
      </c>
      <c r="B2021" s="1">
        <v>0.0</v>
      </c>
      <c r="C2021" s="2"/>
      <c r="D2021" s="2"/>
      <c r="E2021" s="2"/>
      <c r="F2021" s="2"/>
      <c r="G2021" s="2"/>
    </row>
    <row r="2022">
      <c r="A2022" s="1" t="s">
        <v>1080</v>
      </c>
      <c r="B2022" s="1">
        <v>0.0</v>
      </c>
      <c r="C2022" s="2"/>
      <c r="D2022" s="2"/>
      <c r="E2022" s="2"/>
      <c r="F2022" s="2"/>
      <c r="G2022" s="2"/>
    </row>
    <row r="2023">
      <c r="A2023" s="1" t="s">
        <v>1081</v>
      </c>
      <c r="B2023" s="1">
        <v>0.0</v>
      </c>
      <c r="C2023" s="2"/>
      <c r="D2023" s="2"/>
      <c r="E2023" s="2"/>
      <c r="F2023" s="2"/>
      <c r="G2023" s="2"/>
    </row>
    <row r="2024">
      <c r="A2024" s="1" t="s">
        <v>1082</v>
      </c>
      <c r="B2024" s="1" t="s">
        <v>1083</v>
      </c>
      <c r="C2024" s="1">
        <v>0.0</v>
      </c>
      <c r="D2024" s="2"/>
      <c r="E2024" s="2"/>
      <c r="F2024" s="2"/>
      <c r="G2024" s="2"/>
    </row>
    <row r="2025">
      <c r="A2025" s="1" t="s">
        <v>1084</v>
      </c>
      <c r="B2025" s="1">
        <v>0.0</v>
      </c>
      <c r="C2025" s="2"/>
      <c r="D2025" s="2"/>
      <c r="E2025" s="2"/>
      <c r="F2025" s="2"/>
      <c r="G2025" s="2"/>
    </row>
    <row r="2026">
      <c r="A2026" s="1" t="s">
        <v>1085</v>
      </c>
      <c r="B2026" s="1">
        <v>0.0</v>
      </c>
      <c r="C2026" s="2"/>
      <c r="D2026" s="2"/>
      <c r="E2026" s="2"/>
      <c r="F2026" s="2"/>
      <c r="G2026" s="2"/>
    </row>
    <row r="2027">
      <c r="A2027" s="1" t="s">
        <v>1086</v>
      </c>
      <c r="B2027" s="1">
        <v>2.0</v>
      </c>
      <c r="C2027" s="2"/>
      <c r="D2027" s="2"/>
      <c r="E2027" s="2"/>
      <c r="F2027" s="2"/>
      <c r="G2027" s="2"/>
    </row>
    <row r="2028">
      <c r="A2028" s="1" t="s">
        <v>1087</v>
      </c>
      <c r="B2028" s="1">
        <v>0.0</v>
      </c>
      <c r="C2028" s="2"/>
      <c r="D2028" s="2"/>
      <c r="E2028" s="2"/>
      <c r="F2028" s="2"/>
      <c r="G2028" s="2"/>
    </row>
    <row r="2029">
      <c r="A2029" s="1" t="s">
        <v>1088</v>
      </c>
      <c r="B2029" s="1" t="s">
        <v>1089</v>
      </c>
      <c r="C2029" s="1" t="s">
        <v>1090</v>
      </c>
      <c r="D2029" s="1">
        <v>0.0</v>
      </c>
      <c r="E2029" s="2"/>
      <c r="F2029" s="2"/>
      <c r="G2029" s="2"/>
    </row>
    <row r="2030">
      <c r="A2030" s="1" t="s">
        <v>1091</v>
      </c>
      <c r="B2030" s="1">
        <v>0.0</v>
      </c>
      <c r="C2030" s="2"/>
      <c r="D2030" s="2"/>
      <c r="E2030" s="2"/>
      <c r="F2030" s="2"/>
      <c r="G2030" s="2"/>
    </row>
    <row r="2031">
      <c r="A2031" s="1" t="s">
        <v>1092</v>
      </c>
      <c r="B2031" s="1">
        <v>0.0</v>
      </c>
      <c r="C2031" s="2"/>
      <c r="D2031" s="2"/>
      <c r="E2031" s="2"/>
      <c r="F2031" s="2"/>
      <c r="G2031" s="2"/>
    </row>
    <row r="2032">
      <c r="A2032" s="1" t="s">
        <v>1093</v>
      </c>
      <c r="B2032" s="1">
        <v>0.0</v>
      </c>
      <c r="C2032" s="2"/>
      <c r="D2032" s="2"/>
      <c r="E2032" s="2"/>
      <c r="F2032" s="2"/>
      <c r="G2032" s="2"/>
    </row>
    <row r="2033">
      <c r="A2033" s="1" t="s">
        <v>1094</v>
      </c>
      <c r="B2033" s="1">
        <v>0.0</v>
      </c>
      <c r="C2033" s="2"/>
      <c r="D2033" s="2"/>
      <c r="E2033" s="2"/>
      <c r="F2033" s="2"/>
      <c r="G2033" s="2"/>
    </row>
    <row r="2034">
      <c r="A2034" s="1" t="s">
        <v>1095</v>
      </c>
      <c r="B2034" s="1" t="s">
        <v>1096</v>
      </c>
      <c r="C2034" s="1">
        <v>18.0</v>
      </c>
      <c r="D2034" s="2"/>
      <c r="E2034" s="2"/>
      <c r="F2034" s="2"/>
      <c r="G2034" s="2"/>
    </row>
    <row r="2035">
      <c r="A2035" s="1" t="s">
        <v>1097</v>
      </c>
      <c r="B2035" s="1">
        <v>59.0</v>
      </c>
      <c r="C2035" s="2"/>
      <c r="D2035" s="2"/>
      <c r="E2035" s="2"/>
      <c r="F2035" s="2"/>
      <c r="G2035" s="2"/>
    </row>
    <row r="2036">
      <c r="A2036" s="1" t="s">
        <v>1098</v>
      </c>
      <c r="B2036" s="1">
        <v>70.0</v>
      </c>
      <c r="C2036" s="2"/>
      <c r="D2036" s="2"/>
      <c r="E2036" s="2"/>
      <c r="F2036" s="2"/>
      <c r="G2036" s="2"/>
    </row>
    <row r="2037">
      <c r="A2037" s="1" t="s">
        <v>1099</v>
      </c>
      <c r="B2037" s="1">
        <v>78.0</v>
      </c>
      <c r="C2037" s="2"/>
      <c r="D2037" s="2"/>
      <c r="E2037" s="2"/>
      <c r="F2037" s="2"/>
      <c r="G2037" s="2"/>
    </row>
    <row r="2038">
      <c r="A2038" s="1" t="s">
        <v>1100</v>
      </c>
      <c r="B2038" s="1">
        <v>11.0</v>
      </c>
      <c r="C2038" s="2"/>
      <c r="D2038" s="2"/>
      <c r="E2038" s="2"/>
      <c r="F2038" s="2"/>
      <c r="G2038" s="2"/>
    </row>
    <row r="2039">
      <c r="A2039" s="1" t="s">
        <v>1101</v>
      </c>
      <c r="B2039" s="1">
        <v>44.0</v>
      </c>
      <c r="C2039" s="2"/>
      <c r="D2039" s="2"/>
      <c r="E2039" s="2"/>
      <c r="F2039" s="2"/>
      <c r="G2039" s="2"/>
    </row>
    <row r="2040">
      <c r="A2040" s="1" t="s">
        <v>1102</v>
      </c>
      <c r="B2040" s="1">
        <v>10.0</v>
      </c>
      <c r="C2040" s="2"/>
      <c r="D2040" s="2"/>
      <c r="E2040" s="2"/>
      <c r="F2040" s="2"/>
      <c r="G2040" s="2"/>
    </row>
    <row r="2041">
      <c r="A2041" s="1" t="s">
        <v>1103</v>
      </c>
      <c r="B2041" s="1">
        <v>0.0</v>
      </c>
      <c r="C2041" s="2"/>
      <c r="D2041" s="2"/>
      <c r="E2041" s="2"/>
      <c r="F2041" s="2"/>
      <c r="G2041" s="2"/>
    </row>
    <row r="2042">
      <c r="A2042" s="1" t="s">
        <v>1104</v>
      </c>
      <c r="B2042" s="1">
        <v>0.0</v>
      </c>
      <c r="C2042" s="2"/>
      <c r="D2042" s="2"/>
      <c r="E2042" s="2"/>
      <c r="F2042" s="2"/>
      <c r="G2042" s="2"/>
    </row>
    <row r="2043">
      <c r="A2043" s="1" t="s">
        <v>1105</v>
      </c>
      <c r="B2043" s="1">
        <v>0.0</v>
      </c>
      <c r="C2043" s="2"/>
      <c r="D2043" s="2"/>
      <c r="E2043" s="2"/>
      <c r="F2043" s="2"/>
      <c r="G2043" s="2"/>
    </row>
    <row r="2044">
      <c r="A2044" s="1" t="s">
        <v>1106</v>
      </c>
      <c r="B2044" s="1">
        <v>32.0</v>
      </c>
      <c r="C2044" s="2"/>
      <c r="D2044" s="2"/>
      <c r="E2044" s="2"/>
      <c r="F2044" s="2"/>
      <c r="G2044" s="2"/>
    </row>
    <row r="2045">
      <c r="A2045" s="1" t="s">
        <v>1107</v>
      </c>
      <c r="B2045" s="1" t="s">
        <v>1108</v>
      </c>
      <c r="C2045" s="1">
        <v>12.0</v>
      </c>
      <c r="D2045" s="2"/>
      <c r="E2045" s="2"/>
      <c r="F2045" s="2"/>
      <c r="G2045" s="2"/>
    </row>
    <row r="2046">
      <c r="A2046" s="1" t="s">
        <v>1109</v>
      </c>
      <c r="B2046" s="1">
        <v>13.0</v>
      </c>
      <c r="C2046" s="2"/>
      <c r="D2046" s="2"/>
      <c r="E2046" s="2"/>
      <c r="F2046" s="2"/>
      <c r="G2046" s="2"/>
    </row>
    <row r="2047">
      <c r="A2047" s="1" t="s">
        <v>1110</v>
      </c>
      <c r="B2047" s="1">
        <v>40.0</v>
      </c>
      <c r="C2047" s="2"/>
      <c r="D2047" s="2"/>
      <c r="E2047" s="2"/>
      <c r="F2047" s="2"/>
      <c r="G2047" s="2"/>
    </row>
    <row r="2048">
      <c r="A2048" s="1" t="s">
        <v>1111</v>
      </c>
      <c r="B2048" s="1">
        <v>0.0</v>
      </c>
      <c r="C2048" s="2"/>
      <c r="D2048" s="2"/>
      <c r="E2048" s="2"/>
      <c r="F2048" s="2"/>
      <c r="G2048" s="2"/>
    </row>
    <row r="2049">
      <c r="A2049" s="1" t="s">
        <v>1112</v>
      </c>
      <c r="B2049" s="1">
        <v>0.0</v>
      </c>
      <c r="C2049" s="2"/>
      <c r="D2049" s="2"/>
      <c r="E2049" s="2"/>
      <c r="F2049" s="2"/>
      <c r="G2049" s="2"/>
    </row>
    <row r="2050">
      <c r="A2050" s="1" t="s">
        <v>1113</v>
      </c>
      <c r="B2050" s="1">
        <v>0.0</v>
      </c>
      <c r="C2050" s="2"/>
      <c r="D2050" s="2"/>
      <c r="E2050" s="2"/>
      <c r="F2050" s="2"/>
      <c r="G2050" s="2"/>
    </row>
    <row r="2051">
      <c r="A2051" s="1" t="s">
        <v>1114</v>
      </c>
      <c r="B2051" s="1">
        <v>0.0</v>
      </c>
      <c r="C2051" s="2"/>
      <c r="D2051" s="2"/>
      <c r="E2051" s="2"/>
      <c r="F2051" s="2"/>
      <c r="G2051" s="2"/>
    </row>
    <row r="2052">
      <c r="A2052" s="1" t="s">
        <v>1115</v>
      </c>
      <c r="B2052" s="1">
        <v>0.0</v>
      </c>
      <c r="C2052" s="2"/>
      <c r="D2052" s="2"/>
      <c r="E2052" s="2"/>
      <c r="F2052" s="2"/>
      <c r="G2052" s="2"/>
    </row>
    <row r="2053">
      <c r="A2053" s="1" t="s">
        <v>1116</v>
      </c>
      <c r="B2053" s="1">
        <v>0.0</v>
      </c>
      <c r="C2053" s="2"/>
      <c r="D2053" s="2"/>
      <c r="E2053" s="2"/>
      <c r="F2053" s="2"/>
      <c r="G2053" s="2"/>
    </row>
    <row r="2054">
      <c r="A2054" s="1" t="s">
        <v>1117</v>
      </c>
      <c r="B2054" s="1">
        <v>0.0</v>
      </c>
      <c r="C2054" s="2"/>
      <c r="D2054" s="2"/>
      <c r="E2054" s="2"/>
      <c r="F2054" s="2"/>
      <c r="G2054" s="2"/>
    </row>
    <row r="2055">
      <c r="A2055" s="1" t="s">
        <v>1118</v>
      </c>
      <c r="B2055" s="1">
        <v>0.0</v>
      </c>
      <c r="C2055" s="2"/>
      <c r="D2055" s="2"/>
      <c r="E2055" s="2"/>
      <c r="F2055" s="2"/>
      <c r="G2055" s="2"/>
    </row>
    <row r="2056">
      <c r="A2056" s="1" t="s">
        <v>1119</v>
      </c>
      <c r="B2056" s="1">
        <v>12.0</v>
      </c>
      <c r="C2056" s="2"/>
      <c r="D2056" s="2"/>
      <c r="E2056" s="2"/>
      <c r="F2056" s="2"/>
      <c r="G2056" s="2"/>
    </row>
    <row r="2057">
      <c r="A2057" s="1" t="s">
        <v>1120</v>
      </c>
      <c r="B2057" s="1">
        <v>0.0</v>
      </c>
      <c r="C2057" s="2"/>
      <c r="D2057" s="2"/>
      <c r="E2057" s="2"/>
      <c r="F2057" s="2"/>
      <c r="G2057" s="2"/>
    </row>
    <row r="2058">
      <c r="A2058" s="1" t="s">
        <v>1121</v>
      </c>
      <c r="B2058" s="1">
        <v>0.0</v>
      </c>
      <c r="C2058" s="2"/>
      <c r="D2058" s="2"/>
      <c r="E2058" s="2"/>
      <c r="F2058" s="2"/>
      <c r="G2058" s="2"/>
    </row>
    <row r="2059">
      <c r="A2059" s="1" t="s">
        <v>1122</v>
      </c>
      <c r="B2059" s="1">
        <v>0.0</v>
      </c>
      <c r="C2059" s="2"/>
      <c r="D2059" s="2"/>
      <c r="E2059" s="2"/>
      <c r="F2059" s="2"/>
      <c r="G2059" s="2"/>
    </row>
    <row r="2060">
      <c r="A2060" s="1" t="s">
        <v>1123</v>
      </c>
      <c r="B2060" s="1">
        <v>22.0</v>
      </c>
      <c r="C2060" s="2"/>
      <c r="D2060" s="2"/>
      <c r="E2060" s="2"/>
      <c r="F2060" s="2"/>
      <c r="G2060" s="2"/>
    </row>
    <row r="2061">
      <c r="A2061" s="1" t="s">
        <v>1124</v>
      </c>
      <c r="B2061" s="1">
        <v>60.0</v>
      </c>
      <c r="C2061" s="2"/>
      <c r="D2061" s="2"/>
      <c r="E2061" s="2"/>
      <c r="F2061" s="2"/>
      <c r="G2061" s="2"/>
    </row>
    <row r="2062">
      <c r="A2062" s="1" t="s">
        <v>1125</v>
      </c>
      <c r="B2062" s="1">
        <v>0.0</v>
      </c>
      <c r="C2062" s="2"/>
      <c r="D2062" s="2"/>
      <c r="E2062" s="2"/>
      <c r="F2062" s="2"/>
      <c r="G2062" s="2"/>
    </row>
    <row r="2063">
      <c r="A2063" s="1" t="s">
        <v>1126</v>
      </c>
      <c r="B2063" s="1">
        <v>60.0</v>
      </c>
      <c r="C2063" s="2"/>
      <c r="D2063" s="2"/>
      <c r="E2063" s="2"/>
      <c r="F2063" s="2"/>
      <c r="G2063" s="2"/>
    </row>
    <row r="2064">
      <c r="A2064" s="1" t="s">
        <v>1127</v>
      </c>
      <c r="B2064" s="1">
        <v>0.0</v>
      </c>
      <c r="C2064" s="2"/>
      <c r="D2064" s="2"/>
      <c r="E2064" s="2"/>
      <c r="F2064" s="2"/>
      <c r="G2064" s="2"/>
    </row>
    <row r="2065">
      <c r="A2065" s="1" t="s">
        <v>1128</v>
      </c>
      <c r="B2065" s="1">
        <v>80.0</v>
      </c>
      <c r="C2065" s="2"/>
      <c r="D2065" s="2"/>
      <c r="E2065" s="2"/>
      <c r="F2065" s="2"/>
      <c r="G2065" s="2"/>
    </row>
    <row r="2066">
      <c r="A2066" s="1" t="s">
        <v>1129</v>
      </c>
      <c r="B2066" s="1">
        <v>0.0</v>
      </c>
      <c r="C2066" s="2"/>
      <c r="D2066" s="2"/>
      <c r="E2066" s="2"/>
      <c r="F2066" s="2"/>
      <c r="G2066" s="2"/>
    </row>
    <row r="2067">
      <c r="A2067" s="1" t="s">
        <v>1130</v>
      </c>
      <c r="B2067" s="1">
        <v>0.0</v>
      </c>
      <c r="C2067" s="2"/>
      <c r="D2067" s="2"/>
      <c r="E2067" s="2"/>
      <c r="F2067" s="2"/>
      <c r="G2067" s="2"/>
    </row>
    <row r="2068">
      <c r="A2068" s="1" t="s">
        <v>1131</v>
      </c>
      <c r="B2068" s="1">
        <v>0.0</v>
      </c>
      <c r="C2068" s="2"/>
      <c r="D2068" s="2"/>
      <c r="E2068" s="2"/>
      <c r="F2068" s="2"/>
      <c r="G2068" s="2"/>
    </row>
    <row r="2069">
      <c r="A2069" s="1" t="s">
        <v>1132</v>
      </c>
      <c r="B2069" s="1">
        <v>0.0</v>
      </c>
      <c r="C2069" s="2"/>
      <c r="D2069" s="2"/>
      <c r="E2069" s="2"/>
      <c r="F2069" s="2"/>
      <c r="G2069" s="2"/>
    </row>
    <row r="2070">
      <c r="A2070" s="1" t="s">
        <v>1133</v>
      </c>
      <c r="B2070" s="1">
        <v>0.0</v>
      </c>
      <c r="C2070" s="2"/>
      <c r="D2070" s="2"/>
      <c r="E2070" s="2"/>
      <c r="F2070" s="2"/>
      <c r="G2070" s="2"/>
    </row>
    <row r="2071">
      <c r="A2071" s="1" t="s">
        <v>1134</v>
      </c>
      <c r="B2071" s="1">
        <v>0.0</v>
      </c>
      <c r="C2071" s="2"/>
      <c r="D2071" s="2"/>
      <c r="E2071" s="2"/>
      <c r="F2071" s="2"/>
      <c r="G2071" s="2"/>
    </row>
    <row r="2072">
      <c r="A2072" s="1" t="s">
        <v>1135</v>
      </c>
      <c r="B2072" s="1">
        <v>0.0</v>
      </c>
      <c r="C2072" s="2"/>
      <c r="D2072" s="2"/>
      <c r="E2072" s="2"/>
      <c r="F2072" s="2"/>
      <c r="G2072" s="2"/>
    </row>
    <row r="2073">
      <c r="A2073" s="1" t="s">
        <v>1136</v>
      </c>
      <c r="B2073" s="1">
        <v>0.0</v>
      </c>
      <c r="C2073" s="2"/>
      <c r="D2073" s="2"/>
      <c r="E2073" s="2"/>
      <c r="F2073" s="2"/>
      <c r="G2073" s="2"/>
    </row>
    <row r="2074">
      <c r="A2074" s="1" t="s">
        <v>1137</v>
      </c>
      <c r="B2074" s="1">
        <v>0.0</v>
      </c>
      <c r="C2074" s="2"/>
      <c r="D2074" s="2"/>
      <c r="E2074" s="2"/>
      <c r="F2074" s="2"/>
      <c r="G2074" s="2"/>
    </row>
    <row r="2075">
      <c r="A2075" s="1" t="s">
        <v>1138</v>
      </c>
      <c r="B2075" s="1">
        <v>0.0</v>
      </c>
      <c r="C2075" s="2"/>
      <c r="D2075" s="2"/>
      <c r="E2075" s="2"/>
      <c r="F2075" s="2"/>
      <c r="G2075" s="2"/>
    </row>
    <row r="2076">
      <c r="A2076" s="1" t="s">
        <v>1139</v>
      </c>
      <c r="B2076" s="1">
        <v>0.0</v>
      </c>
      <c r="C2076" s="2"/>
      <c r="D2076" s="2"/>
      <c r="E2076" s="2"/>
      <c r="F2076" s="2"/>
      <c r="G2076" s="2"/>
    </row>
    <row r="2077">
      <c r="A2077" s="1" t="s">
        <v>1140</v>
      </c>
      <c r="B2077" s="1">
        <v>0.0</v>
      </c>
      <c r="C2077" s="2"/>
      <c r="D2077" s="2"/>
      <c r="E2077" s="2"/>
      <c r="F2077" s="2"/>
      <c r="G2077" s="2"/>
    </row>
    <row r="2078">
      <c r="A2078" s="1" t="s">
        <v>1141</v>
      </c>
      <c r="B2078" s="1">
        <v>92.0</v>
      </c>
      <c r="C2078" s="2"/>
      <c r="D2078" s="2"/>
      <c r="E2078" s="2"/>
      <c r="F2078" s="2"/>
      <c r="G2078" s="2"/>
    </row>
    <row r="2079">
      <c r="A2079" s="1" t="s">
        <v>1142</v>
      </c>
      <c r="B2079" s="1">
        <v>0.0</v>
      </c>
      <c r="C2079" s="2"/>
      <c r="D2079" s="2"/>
      <c r="E2079" s="2"/>
      <c r="F2079" s="2"/>
      <c r="G2079" s="2"/>
    </row>
    <row r="2080">
      <c r="A2080" s="1" t="s">
        <v>1143</v>
      </c>
      <c r="B2080" s="1">
        <v>70.0</v>
      </c>
      <c r="C2080" s="2"/>
      <c r="D2080" s="2"/>
      <c r="E2080" s="2"/>
      <c r="F2080" s="2"/>
      <c r="G2080" s="2"/>
    </row>
    <row r="2081">
      <c r="A2081" s="1" t="s">
        <v>1144</v>
      </c>
      <c r="B2081" s="1">
        <v>0.0</v>
      </c>
      <c r="C2081" s="2"/>
      <c r="D2081" s="2"/>
      <c r="E2081" s="2"/>
      <c r="F2081" s="2"/>
      <c r="G2081" s="2"/>
    </row>
    <row r="2082">
      <c r="A2082" s="1" t="s">
        <v>1145</v>
      </c>
      <c r="B2082" s="1">
        <v>0.0</v>
      </c>
      <c r="C2082" s="2"/>
      <c r="D2082" s="2"/>
      <c r="E2082" s="2"/>
      <c r="F2082" s="2"/>
      <c r="G2082" s="2"/>
    </row>
    <row r="2083">
      <c r="A2083" s="1" t="s">
        <v>1146</v>
      </c>
      <c r="B2083" s="1">
        <v>0.0</v>
      </c>
      <c r="C2083" s="2"/>
      <c r="D2083" s="2"/>
      <c r="E2083" s="2"/>
      <c r="F2083" s="2"/>
      <c r="G2083" s="2"/>
    </row>
    <row r="2084">
      <c r="A2084" s="1" t="s">
        <v>1147</v>
      </c>
      <c r="B2084" s="1">
        <v>0.0</v>
      </c>
      <c r="C2084" s="2"/>
      <c r="D2084" s="2"/>
      <c r="E2084" s="2"/>
      <c r="F2084" s="2"/>
      <c r="G2084" s="2"/>
    </row>
    <row r="2085">
      <c r="A2085" s="1" t="s">
        <v>1148</v>
      </c>
      <c r="B2085" s="1">
        <v>0.0</v>
      </c>
      <c r="C2085" s="2"/>
      <c r="D2085" s="2"/>
      <c r="E2085" s="2"/>
      <c r="F2085" s="2"/>
      <c r="G2085" s="2"/>
    </row>
    <row r="2086">
      <c r="A2086" s="1" t="s">
        <v>1149</v>
      </c>
      <c r="B2086" s="1">
        <v>0.0</v>
      </c>
      <c r="C2086" s="2"/>
      <c r="D2086" s="2"/>
      <c r="E2086" s="2"/>
      <c r="F2086" s="2"/>
      <c r="G2086" s="2"/>
    </row>
    <row r="2087">
      <c r="A2087" s="1" t="s">
        <v>1150</v>
      </c>
      <c r="B2087" s="1">
        <v>0.0</v>
      </c>
      <c r="C2087" s="2"/>
      <c r="D2087" s="2"/>
      <c r="E2087" s="2"/>
      <c r="F2087" s="2"/>
      <c r="G2087" s="2"/>
    </row>
    <row r="2088">
      <c r="A2088" s="1" t="s">
        <v>1151</v>
      </c>
      <c r="B2088" s="1">
        <v>0.0</v>
      </c>
      <c r="C2088" s="2"/>
      <c r="D2088" s="2"/>
      <c r="E2088" s="2"/>
      <c r="F2088" s="2"/>
      <c r="G2088" s="2"/>
    </row>
    <row r="2089">
      <c r="A2089" s="1" t="s">
        <v>1152</v>
      </c>
      <c r="B2089" s="1">
        <v>0.0</v>
      </c>
      <c r="C2089" s="2"/>
      <c r="D2089" s="2"/>
      <c r="E2089" s="2"/>
      <c r="F2089" s="2"/>
      <c r="G2089" s="2"/>
    </row>
    <row r="2090">
      <c r="A2090" s="1" t="s">
        <v>1153</v>
      </c>
      <c r="B2090" s="1">
        <v>0.0</v>
      </c>
      <c r="C2090" s="2"/>
      <c r="D2090" s="2"/>
      <c r="E2090" s="2"/>
      <c r="F2090" s="2"/>
      <c r="G2090" s="2"/>
    </row>
    <row r="2091">
      <c r="A2091" s="1" t="s">
        <v>1154</v>
      </c>
      <c r="B2091" s="1">
        <v>84.0</v>
      </c>
      <c r="C2091" s="2"/>
      <c r="D2091" s="2"/>
      <c r="E2091" s="2"/>
      <c r="F2091" s="2"/>
      <c r="G2091" s="2"/>
    </row>
    <row r="2092">
      <c r="A2092" s="1" t="s">
        <v>1155</v>
      </c>
      <c r="B2092" s="1">
        <v>0.0</v>
      </c>
      <c r="C2092" s="2"/>
      <c r="D2092" s="2"/>
      <c r="E2092" s="2"/>
      <c r="F2092" s="2"/>
      <c r="G2092" s="2"/>
    </row>
    <row r="2093">
      <c r="A2093" s="1" t="s">
        <v>1156</v>
      </c>
      <c r="B2093" s="1">
        <v>65.0</v>
      </c>
      <c r="C2093" s="2"/>
      <c r="D2093" s="2"/>
      <c r="E2093" s="2"/>
      <c r="F2093" s="2"/>
      <c r="G2093" s="2"/>
    </row>
    <row r="2094">
      <c r="A2094" s="1" t="s">
        <v>1157</v>
      </c>
      <c r="B2094" s="1" t="s">
        <v>1158</v>
      </c>
      <c r="C2094" s="1">
        <v>0.0</v>
      </c>
      <c r="D2094" s="2"/>
      <c r="E2094" s="2"/>
      <c r="F2094" s="2"/>
      <c r="G2094" s="2"/>
    </row>
    <row r="2095">
      <c r="A2095" s="1" t="s">
        <v>1159</v>
      </c>
      <c r="B2095" s="1">
        <v>0.0</v>
      </c>
      <c r="C2095" s="2"/>
      <c r="D2095" s="2"/>
      <c r="E2095" s="2"/>
      <c r="F2095" s="2"/>
      <c r="G2095" s="2"/>
    </row>
    <row r="2096">
      <c r="A2096" s="1" t="s">
        <v>1160</v>
      </c>
      <c r="B2096" s="1">
        <v>74.0</v>
      </c>
      <c r="C2096" s="2"/>
      <c r="D2096" s="2"/>
      <c r="E2096" s="2"/>
      <c r="F2096" s="2"/>
      <c r="G2096" s="2"/>
    </row>
    <row r="2097">
      <c r="A2097" s="1" t="s">
        <v>1161</v>
      </c>
      <c r="B2097" s="1">
        <v>0.0</v>
      </c>
      <c r="C2097" s="2"/>
      <c r="D2097" s="2"/>
      <c r="E2097" s="2"/>
      <c r="F2097" s="2"/>
      <c r="G2097" s="2"/>
    </row>
    <row r="2098">
      <c r="A2098" s="1" t="s">
        <v>1162</v>
      </c>
      <c r="B2098" s="1">
        <v>20.0</v>
      </c>
      <c r="C2098" s="2"/>
      <c r="D2098" s="2"/>
      <c r="E2098" s="2"/>
      <c r="F2098" s="2"/>
      <c r="G2098" s="2"/>
    </row>
    <row r="2099">
      <c r="A2099" s="1" t="s">
        <v>1163</v>
      </c>
      <c r="B2099" s="1">
        <v>0.0</v>
      </c>
      <c r="C2099" s="2"/>
      <c r="D2099" s="2"/>
      <c r="E2099" s="2"/>
      <c r="F2099" s="2"/>
      <c r="G2099" s="2"/>
    </row>
    <row r="2100">
      <c r="A2100" s="1" t="s">
        <v>1164</v>
      </c>
      <c r="B2100" s="1">
        <v>0.0</v>
      </c>
      <c r="C2100" s="2"/>
      <c r="D2100" s="2"/>
      <c r="E2100" s="2"/>
      <c r="F2100" s="2"/>
      <c r="G2100" s="2"/>
    </row>
    <row r="2101">
      <c r="A2101" s="1" t="s">
        <v>1165</v>
      </c>
      <c r="B2101" s="1">
        <v>0.0</v>
      </c>
      <c r="C2101" s="2"/>
      <c r="D2101" s="2"/>
      <c r="E2101" s="2"/>
      <c r="F2101" s="2"/>
      <c r="G2101" s="2"/>
    </row>
    <row r="2102">
      <c r="A2102" s="1" t="s">
        <v>1166</v>
      </c>
      <c r="B2102" s="1">
        <v>80.0</v>
      </c>
      <c r="C2102" s="2"/>
      <c r="D2102" s="2"/>
      <c r="E2102" s="2"/>
      <c r="F2102" s="2"/>
      <c r="G2102" s="2"/>
    </row>
    <row r="2103">
      <c r="A2103" s="1" t="s">
        <v>1167</v>
      </c>
      <c r="B2103" s="1">
        <v>69.0</v>
      </c>
      <c r="C2103" s="2"/>
      <c r="D2103" s="2"/>
      <c r="E2103" s="2"/>
      <c r="F2103" s="2"/>
      <c r="G2103" s="2"/>
    </row>
    <row r="2104">
      <c r="A2104" s="1" t="s">
        <v>1168</v>
      </c>
      <c r="B2104" s="1">
        <v>85.0</v>
      </c>
      <c r="C2104" s="2"/>
      <c r="D2104" s="2"/>
      <c r="E2104" s="2"/>
      <c r="F2104" s="2"/>
      <c r="G2104" s="2"/>
    </row>
    <row r="2105">
      <c r="A2105" s="1" t="s">
        <v>1169</v>
      </c>
      <c r="B2105" s="1">
        <v>2.0</v>
      </c>
      <c r="C2105" s="2"/>
      <c r="D2105" s="2"/>
      <c r="E2105" s="2"/>
      <c r="F2105" s="2"/>
      <c r="G2105" s="2"/>
    </row>
    <row r="2106">
      <c r="A2106" s="1" t="s">
        <v>1170</v>
      </c>
      <c r="B2106" s="1">
        <v>66.0</v>
      </c>
      <c r="C2106" s="2"/>
      <c r="D2106" s="2"/>
      <c r="E2106" s="2"/>
      <c r="F2106" s="2"/>
      <c r="G2106" s="2"/>
    </row>
    <row r="2107">
      <c r="A2107" s="1" t="s">
        <v>1171</v>
      </c>
      <c r="B2107" s="1">
        <v>0.0</v>
      </c>
      <c r="C2107" s="2"/>
      <c r="D2107" s="2"/>
      <c r="E2107" s="2"/>
      <c r="F2107" s="2"/>
      <c r="G2107" s="2"/>
    </row>
    <row r="2108">
      <c r="A2108" s="1" t="s">
        <v>1172</v>
      </c>
      <c r="B2108" s="1">
        <v>89.0</v>
      </c>
      <c r="C2108" s="2"/>
      <c r="D2108" s="2"/>
      <c r="E2108" s="2"/>
      <c r="F2108" s="2"/>
      <c r="G2108" s="2"/>
    </row>
    <row r="2109">
      <c r="A2109" s="1" t="s">
        <v>1173</v>
      </c>
      <c r="B2109" s="1">
        <v>50.0</v>
      </c>
      <c r="C2109" s="2"/>
      <c r="D2109" s="2"/>
      <c r="E2109" s="2"/>
      <c r="F2109" s="2"/>
      <c r="G2109" s="2"/>
    </row>
    <row r="2110">
      <c r="A2110" s="1" t="s">
        <v>1174</v>
      </c>
      <c r="B2110" s="1">
        <v>0.0</v>
      </c>
      <c r="C2110" s="2"/>
      <c r="D2110" s="2"/>
      <c r="E2110" s="2"/>
      <c r="F2110" s="2"/>
      <c r="G2110" s="2"/>
    </row>
    <row r="2111">
      <c r="A2111" s="1" t="s">
        <v>1175</v>
      </c>
      <c r="B2111" s="1">
        <v>2.0</v>
      </c>
      <c r="C2111" s="2"/>
      <c r="D2111" s="2"/>
      <c r="E2111" s="2"/>
      <c r="F2111" s="2"/>
      <c r="G2111" s="2"/>
    </row>
    <row r="2112">
      <c r="A2112" s="1" t="s">
        <v>1176</v>
      </c>
      <c r="B2112" s="1">
        <v>0.0</v>
      </c>
      <c r="C2112" s="2"/>
      <c r="D2112" s="2"/>
      <c r="E2112" s="2"/>
      <c r="F2112" s="2"/>
      <c r="G2112" s="2"/>
    </row>
    <row r="2113">
      <c r="A2113" s="1" t="s">
        <v>1177</v>
      </c>
      <c r="B2113" s="1">
        <v>0.0</v>
      </c>
      <c r="C2113" s="2"/>
      <c r="D2113" s="2"/>
      <c r="E2113" s="2"/>
      <c r="F2113" s="2"/>
      <c r="G2113" s="2"/>
    </row>
    <row r="2114">
      <c r="A2114" s="1" t="s">
        <v>1178</v>
      </c>
      <c r="B2114" s="1">
        <v>0.0</v>
      </c>
      <c r="C2114" s="2"/>
      <c r="D2114" s="2"/>
      <c r="E2114" s="2"/>
      <c r="F2114" s="2"/>
      <c r="G2114" s="2"/>
    </row>
    <row r="2115">
      <c r="A2115" s="1" t="s">
        <v>1179</v>
      </c>
      <c r="B2115" s="1">
        <v>0.0</v>
      </c>
      <c r="C2115" s="2"/>
      <c r="D2115" s="2"/>
      <c r="E2115" s="2"/>
      <c r="F2115" s="2"/>
      <c r="G2115" s="2"/>
    </row>
    <row r="2116">
      <c r="A2116" s="1" t="s">
        <v>1180</v>
      </c>
      <c r="B2116" s="1">
        <v>0.0</v>
      </c>
      <c r="C2116" s="2"/>
      <c r="D2116" s="2"/>
      <c r="E2116" s="2"/>
      <c r="F2116" s="2"/>
      <c r="G2116" s="2"/>
    </row>
    <row r="2117">
      <c r="A2117" s="1" t="s">
        <v>1181</v>
      </c>
      <c r="B2117" s="1">
        <v>0.0</v>
      </c>
      <c r="C2117" s="2"/>
      <c r="D2117" s="2"/>
      <c r="E2117" s="2"/>
      <c r="F2117" s="2"/>
      <c r="G2117" s="2"/>
    </row>
    <row r="2118">
      <c r="A2118" s="1" t="s">
        <v>1182</v>
      </c>
      <c r="B2118" s="1">
        <v>0.0</v>
      </c>
      <c r="C2118" s="2"/>
      <c r="D2118" s="2"/>
      <c r="E2118" s="2"/>
      <c r="F2118" s="2"/>
      <c r="G2118" s="2"/>
    </row>
    <row r="2119">
      <c r="A2119" s="1" t="s">
        <v>1183</v>
      </c>
      <c r="B2119" s="1">
        <v>76.0</v>
      </c>
      <c r="C2119" s="2"/>
      <c r="D2119" s="2"/>
      <c r="E2119" s="2"/>
      <c r="F2119" s="2"/>
      <c r="G2119" s="2"/>
    </row>
    <row r="2120">
      <c r="A2120" s="1" t="s">
        <v>1184</v>
      </c>
      <c r="B2120" s="1">
        <v>0.0</v>
      </c>
      <c r="C2120" s="2"/>
      <c r="D2120" s="2"/>
      <c r="E2120" s="2"/>
      <c r="F2120" s="2"/>
      <c r="G2120" s="2"/>
    </row>
    <row r="2121">
      <c r="A2121" s="1" t="s">
        <v>1185</v>
      </c>
      <c r="B2121" s="1">
        <v>0.0</v>
      </c>
      <c r="C2121" s="2"/>
      <c r="D2121" s="2"/>
      <c r="E2121" s="2"/>
      <c r="F2121" s="2"/>
      <c r="G2121" s="2"/>
    </row>
    <row r="2122">
      <c r="A2122" s="1" t="s">
        <v>1186</v>
      </c>
      <c r="B2122" s="1">
        <v>28.0</v>
      </c>
      <c r="C2122" s="2"/>
      <c r="D2122" s="2"/>
      <c r="E2122" s="2"/>
      <c r="F2122" s="2"/>
      <c r="G2122" s="2"/>
    </row>
    <row r="2123">
      <c r="A2123" s="1" t="s">
        <v>1187</v>
      </c>
      <c r="B2123" s="1">
        <v>13.0</v>
      </c>
      <c r="C2123" s="2"/>
      <c r="D2123" s="2"/>
      <c r="E2123" s="2"/>
      <c r="F2123" s="2"/>
      <c r="G2123" s="2"/>
    </row>
    <row r="2124">
      <c r="A2124" s="1" t="s">
        <v>1188</v>
      </c>
      <c r="B2124" s="1">
        <v>80.0</v>
      </c>
      <c r="C2124" s="2"/>
      <c r="D2124" s="2"/>
      <c r="E2124" s="2"/>
      <c r="F2124" s="2"/>
      <c r="G2124" s="2"/>
    </row>
    <row r="2125">
      <c r="A2125" s="1" t="s">
        <v>1189</v>
      </c>
      <c r="B2125" s="1">
        <v>59.0</v>
      </c>
      <c r="C2125" s="2"/>
      <c r="D2125" s="2"/>
      <c r="E2125" s="2"/>
      <c r="F2125" s="2"/>
      <c r="G2125" s="2"/>
    </row>
    <row r="2126">
      <c r="A2126" s="1" t="s">
        <v>1190</v>
      </c>
      <c r="B2126" s="1" t="s">
        <v>1191</v>
      </c>
      <c r="C2126" s="1">
        <v>71.0</v>
      </c>
      <c r="D2126" s="2"/>
      <c r="E2126" s="2"/>
      <c r="F2126" s="2"/>
      <c r="G2126" s="2"/>
    </row>
    <row r="2127">
      <c r="A2127" s="1" t="s">
        <v>1192</v>
      </c>
      <c r="B2127" s="1">
        <v>0.0</v>
      </c>
      <c r="C2127" s="2"/>
      <c r="D2127" s="2"/>
      <c r="E2127" s="2"/>
      <c r="F2127" s="2"/>
      <c r="G2127" s="2"/>
    </row>
    <row r="2128">
      <c r="A2128" s="1" t="s">
        <v>1193</v>
      </c>
      <c r="B2128" s="1">
        <v>0.0</v>
      </c>
      <c r="C2128" s="2"/>
      <c r="D2128" s="2"/>
      <c r="E2128" s="2"/>
      <c r="F2128" s="2"/>
      <c r="G2128" s="2"/>
    </row>
    <row r="2129">
      <c r="A2129" s="1" t="s">
        <v>1194</v>
      </c>
      <c r="B2129" s="1">
        <v>0.0</v>
      </c>
      <c r="C2129" s="2"/>
      <c r="D2129" s="2"/>
      <c r="E2129" s="2"/>
      <c r="F2129" s="2"/>
      <c r="G2129" s="2"/>
    </row>
    <row r="2130">
      <c r="A2130" s="1" t="s">
        <v>1195</v>
      </c>
      <c r="B2130" s="1">
        <v>12.0</v>
      </c>
      <c r="C2130" s="2"/>
      <c r="D2130" s="2"/>
      <c r="E2130" s="2"/>
      <c r="F2130" s="2"/>
      <c r="G2130" s="2"/>
    </row>
    <row r="2131">
      <c r="A2131" s="1" t="s">
        <v>1196</v>
      </c>
      <c r="B2131" s="1">
        <v>36.0</v>
      </c>
      <c r="C2131" s="2"/>
      <c r="D2131" s="2"/>
      <c r="E2131" s="2"/>
      <c r="F2131" s="2"/>
      <c r="G2131" s="2"/>
    </row>
    <row r="2132">
      <c r="A2132" s="1" t="s">
        <v>1197</v>
      </c>
      <c r="B2132" s="1">
        <v>0.0</v>
      </c>
      <c r="C2132" s="2"/>
      <c r="D2132" s="2"/>
      <c r="E2132" s="2"/>
      <c r="F2132" s="2"/>
      <c r="G2132" s="2"/>
    </row>
    <row r="2133">
      <c r="A2133" s="1" t="s">
        <v>1198</v>
      </c>
      <c r="B2133" s="1">
        <v>0.0</v>
      </c>
      <c r="C2133" s="2"/>
      <c r="D2133" s="2"/>
      <c r="E2133" s="2"/>
      <c r="F2133" s="2"/>
      <c r="G2133" s="2"/>
    </row>
    <row r="2134">
      <c r="A2134" s="1" t="s">
        <v>1199</v>
      </c>
      <c r="B2134" s="1">
        <v>26.0</v>
      </c>
      <c r="C2134" s="2"/>
      <c r="D2134" s="2"/>
      <c r="E2134" s="2"/>
      <c r="F2134" s="2"/>
      <c r="G2134" s="2"/>
    </row>
    <row r="2135">
      <c r="A2135" s="1" t="s">
        <v>1200</v>
      </c>
      <c r="B2135" s="1">
        <v>0.0</v>
      </c>
      <c r="C2135" s="2"/>
      <c r="D2135" s="2"/>
      <c r="E2135" s="2"/>
      <c r="F2135" s="2"/>
      <c r="G2135" s="2"/>
    </row>
    <row r="2136">
      <c r="A2136" s="1" t="s">
        <v>1201</v>
      </c>
      <c r="B2136" s="1">
        <v>0.0</v>
      </c>
      <c r="C2136" s="2"/>
      <c r="D2136" s="2"/>
      <c r="E2136" s="2"/>
      <c r="F2136" s="2"/>
      <c r="G2136" s="2"/>
    </row>
    <row r="2137">
      <c r="A2137" s="1" t="s">
        <v>1202</v>
      </c>
      <c r="B2137" s="1">
        <v>0.0</v>
      </c>
      <c r="C2137" s="2"/>
      <c r="D2137" s="2"/>
      <c r="E2137" s="2"/>
      <c r="F2137" s="2"/>
      <c r="G2137" s="2"/>
    </row>
    <row r="2138">
      <c r="A2138" s="1" t="s">
        <v>1203</v>
      </c>
      <c r="B2138" s="1">
        <v>0.0</v>
      </c>
      <c r="C2138" s="2"/>
      <c r="D2138" s="2"/>
      <c r="E2138" s="2"/>
      <c r="F2138" s="2"/>
      <c r="G2138" s="2"/>
    </row>
    <row r="2139">
      <c r="A2139" s="1" t="s">
        <v>1204</v>
      </c>
      <c r="B2139" s="1">
        <v>0.0</v>
      </c>
      <c r="C2139" s="2"/>
      <c r="D2139" s="2"/>
      <c r="E2139" s="2"/>
      <c r="F2139" s="2"/>
      <c r="G2139" s="2"/>
    </row>
    <row r="2140">
      <c r="A2140" s="1" t="s">
        <v>1205</v>
      </c>
      <c r="B2140" s="1">
        <v>84.0</v>
      </c>
      <c r="C2140" s="2"/>
      <c r="D2140" s="2"/>
      <c r="E2140" s="2"/>
      <c r="F2140" s="2"/>
      <c r="G2140" s="2"/>
    </row>
    <row r="2141">
      <c r="A2141" s="1" t="s">
        <v>1206</v>
      </c>
      <c r="B2141" s="1">
        <v>72.0</v>
      </c>
      <c r="C2141" s="2"/>
      <c r="D2141" s="2"/>
      <c r="E2141" s="2"/>
      <c r="F2141" s="2"/>
      <c r="G2141" s="2"/>
    </row>
    <row r="2142">
      <c r="A2142" s="1" t="s">
        <v>1207</v>
      </c>
      <c r="B2142" s="1">
        <v>6.0</v>
      </c>
      <c r="C2142" s="2"/>
      <c r="D2142" s="2"/>
      <c r="E2142" s="2"/>
      <c r="F2142" s="2"/>
      <c r="G2142" s="2"/>
    </row>
    <row r="2143">
      <c r="A2143" s="1" t="s">
        <v>1208</v>
      </c>
      <c r="B2143" s="1">
        <v>0.0</v>
      </c>
      <c r="C2143" s="2"/>
      <c r="D2143" s="2"/>
      <c r="E2143" s="2"/>
      <c r="F2143" s="2"/>
      <c r="G2143" s="2"/>
    </row>
    <row r="2144">
      <c r="A2144" s="1" t="s">
        <v>1209</v>
      </c>
      <c r="B2144" s="1">
        <v>0.0</v>
      </c>
      <c r="C2144" s="2"/>
      <c r="D2144" s="2"/>
      <c r="E2144" s="2"/>
      <c r="F2144" s="2"/>
      <c r="G2144" s="2"/>
    </row>
    <row r="2145">
      <c r="A2145" s="1" t="s">
        <v>1210</v>
      </c>
      <c r="B2145" s="1">
        <v>0.0</v>
      </c>
      <c r="C2145" s="2"/>
      <c r="D2145" s="2"/>
      <c r="E2145" s="2"/>
      <c r="F2145" s="2"/>
      <c r="G2145" s="2"/>
    </row>
    <row r="2146">
      <c r="A2146" s="1" t="s">
        <v>1211</v>
      </c>
      <c r="B2146" s="1">
        <v>0.0</v>
      </c>
      <c r="C2146" s="2"/>
      <c r="D2146" s="2"/>
      <c r="E2146" s="2"/>
      <c r="F2146" s="2"/>
      <c r="G2146" s="2"/>
    </row>
    <row r="2147">
      <c r="A2147" s="1" t="s">
        <v>1212</v>
      </c>
      <c r="B2147" s="1">
        <v>0.0</v>
      </c>
      <c r="C2147" s="2"/>
      <c r="D2147" s="2"/>
      <c r="E2147" s="2"/>
      <c r="F2147" s="2"/>
      <c r="G2147" s="2"/>
    </row>
    <row r="2148">
      <c r="A2148" s="1" t="s">
        <v>1153</v>
      </c>
      <c r="B2148" s="1">
        <v>0.0</v>
      </c>
      <c r="C2148" s="2"/>
      <c r="D2148" s="2"/>
      <c r="E2148" s="2"/>
      <c r="F2148" s="2"/>
      <c r="G2148" s="2"/>
    </row>
    <row r="2149">
      <c r="A2149" s="1" t="s">
        <v>1154</v>
      </c>
      <c r="B2149" s="1">
        <v>84.0</v>
      </c>
      <c r="C2149" s="2"/>
      <c r="D2149" s="2"/>
      <c r="E2149" s="2"/>
      <c r="F2149" s="2"/>
      <c r="G2149" s="2"/>
    </row>
    <row r="2150">
      <c r="A2150" s="1" t="s">
        <v>1155</v>
      </c>
      <c r="B2150" s="1">
        <v>0.0</v>
      </c>
      <c r="C2150" s="2"/>
      <c r="D2150" s="2"/>
      <c r="E2150" s="2"/>
      <c r="F2150" s="2"/>
      <c r="G2150" s="2"/>
    </row>
    <row r="2151">
      <c r="A2151" s="1" t="s">
        <v>1156</v>
      </c>
      <c r="B2151" s="1">
        <v>65.0</v>
      </c>
      <c r="C2151" s="2"/>
      <c r="D2151" s="2"/>
      <c r="E2151" s="2"/>
      <c r="F2151" s="2"/>
      <c r="G2151" s="2"/>
    </row>
    <row r="2152">
      <c r="A2152" s="1" t="s">
        <v>1157</v>
      </c>
      <c r="B2152" s="1" t="s">
        <v>1158</v>
      </c>
      <c r="C2152" s="1">
        <v>0.0</v>
      </c>
      <c r="D2152" s="2"/>
      <c r="E2152" s="2"/>
      <c r="F2152" s="2"/>
      <c r="G2152" s="2"/>
    </row>
    <row r="2153">
      <c r="A2153" s="1" t="s">
        <v>1159</v>
      </c>
      <c r="B2153" s="1">
        <v>0.0</v>
      </c>
      <c r="C2153" s="2"/>
      <c r="D2153" s="2"/>
      <c r="E2153" s="2"/>
      <c r="F2153" s="2"/>
      <c r="G2153" s="2"/>
    </row>
    <row r="2154">
      <c r="A2154" s="1" t="s">
        <v>1160</v>
      </c>
      <c r="B2154" s="1">
        <v>74.0</v>
      </c>
      <c r="C2154" s="2"/>
      <c r="D2154" s="2"/>
      <c r="E2154" s="2"/>
      <c r="F2154" s="2"/>
      <c r="G2154" s="2"/>
    </row>
    <row r="2155">
      <c r="A2155" s="1" t="s">
        <v>1161</v>
      </c>
      <c r="B2155" s="1">
        <v>0.0</v>
      </c>
      <c r="C2155" s="2"/>
      <c r="D2155" s="2"/>
      <c r="E2155" s="2"/>
      <c r="F2155" s="2"/>
      <c r="G2155" s="2"/>
    </row>
    <row r="2156">
      <c r="A2156" s="1" t="s">
        <v>1162</v>
      </c>
      <c r="B2156" s="1">
        <v>20.0</v>
      </c>
      <c r="C2156" s="2"/>
      <c r="D2156" s="2"/>
      <c r="E2156" s="2"/>
      <c r="F2156" s="2"/>
      <c r="G2156" s="2"/>
    </row>
    <row r="2157">
      <c r="A2157" s="1" t="s">
        <v>1163</v>
      </c>
      <c r="B2157" s="1">
        <v>0.0</v>
      </c>
      <c r="C2157" s="2"/>
      <c r="D2157" s="2"/>
      <c r="E2157" s="2"/>
      <c r="F2157" s="2"/>
      <c r="G2157" s="2"/>
    </row>
    <row r="2158">
      <c r="A2158" s="1" t="s">
        <v>1164</v>
      </c>
      <c r="B2158" s="1">
        <v>0.0</v>
      </c>
      <c r="C2158" s="2"/>
      <c r="D2158" s="2"/>
      <c r="E2158" s="2"/>
      <c r="F2158" s="2"/>
      <c r="G2158" s="2"/>
    </row>
    <row r="2159">
      <c r="A2159" s="1" t="s">
        <v>1165</v>
      </c>
      <c r="B2159" s="1">
        <v>0.0</v>
      </c>
      <c r="C2159" s="2"/>
      <c r="D2159" s="2"/>
      <c r="E2159" s="2"/>
      <c r="F2159" s="2"/>
      <c r="G2159" s="2"/>
    </row>
    <row r="2160">
      <c r="A2160" s="1" t="s">
        <v>1166</v>
      </c>
      <c r="B2160" s="1">
        <v>80.0</v>
      </c>
      <c r="C2160" s="2"/>
      <c r="D2160" s="2"/>
      <c r="E2160" s="2"/>
      <c r="F2160" s="2"/>
      <c r="G2160" s="2"/>
    </row>
    <row r="2161">
      <c r="A2161" s="1" t="s">
        <v>1167</v>
      </c>
      <c r="B2161" s="1">
        <v>69.0</v>
      </c>
      <c r="C2161" s="2"/>
      <c r="D2161" s="2"/>
      <c r="E2161" s="2"/>
      <c r="F2161" s="2"/>
      <c r="G2161" s="2"/>
    </row>
    <row r="2162">
      <c r="A2162" s="1" t="s">
        <v>1168</v>
      </c>
      <c r="B2162" s="1">
        <v>85.0</v>
      </c>
      <c r="C2162" s="2"/>
      <c r="D2162" s="2"/>
      <c r="E2162" s="2"/>
      <c r="F2162" s="2"/>
      <c r="G2162" s="2"/>
    </row>
    <row r="2163">
      <c r="A2163" s="1" t="s">
        <v>1169</v>
      </c>
      <c r="B2163" s="1">
        <v>2.0</v>
      </c>
      <c r="C2163" s="2"/>
      <c r="D2163" s="2"/>
      <c r="E2163" s="2"/>
      <c r="F2163" s="2"/>
      <c r="G2163" s="2"/>
    </row>
    <row r="2164">
      <c r="A2164" s="1" t="s">
        <v>1170</v>
      </c>
      <c r="B2164" s="1">
        <v>66.0</v>
      </c>
      <c r="C2164" s="2"/>
      <c r="D2164" s="2"/>
      <c r="E2164" s="2"/>
      <c r="F2164" s="2"/>
      <c r="G2164" s="2"/>
    </row>
    <row r="2165">
      <c r="A2165" s="1" t="s">
        <v>1171</v>
      </c>
      <c r="B2165" s="1">
        <v>0.0</v>
      </c>
      <c r="C2165" s="2"/>
      <c r="D2165" s="2"/>
      <c r="E2165" s="2"/>
      <c r="F2165" s="2"/>
      <c r="G2165" s="2"/>
    </row>
    <row r="2166">
      <c r="A2166" s="1" t="s">
        <v>1172</v>
      </c>
      <c r="B2166" s="1">
        <v>89.0</v>
      </c>
      <c r="C2166" s="2"/>
      <c r="D2166" s="2"/>
      <c r="E2166" s="2"/>
      <c r="F2166" s="2"/>
      <c r="G2166" s="2"/>
    </row>
    <row r="2167">
      <c r="A2167" s="1" t="s">
        <v>1173</v>
      </c>
      <c r="B2167" s="1">
        <v>50.0</v>
      </c>
      <c r="C2167" s="2"/>
      <c r="D2167" s="2"/>
      <c r="E2167" s="2"/>
      <c r="F2167" s="2"/>
      <c r="G2167" s="2"/>
    </row>
    <row r="2168">
      <c r="A2168" s="1" t="s">
        <v>1174</v>
      </c>
      <c r="B2168" s="1">
        <v>0.0</v>
      </c>
      <c r="C2168" s="2"/>
      <c r="D2168" s="2"/>
      <c r="E2168" s="2"/>
      <c r="F2168" s="2"/>
      <c r="G2168" s="2"/>
    </row>
    <row r="2169">
      <c r="A2169" s="1" t="s">
        <v>1175</v>
      </c>
      <c r="B2169" s="1">
        <v>2.0</v>
      </c>
      <c r="C2169" s="2"/>
      <c r="D2169" s="2"/>
      <c r="E2169" s="2"/>
      <c r="F2169" s="2"/>
      <c r="G2169" s="2"/>
    </row>
    <row r="2170">
      <c r="A2170" s="1" t="s">
        <v>1176</v>
      </c>
      <c r="B2170" s="1">
        <v>0.0</v>
      </c>
      <c r="C2170" s="2"/>
      <c r="D2170" s="2"/>
      <c r="E2170" s="2"/>
      <c r="F2170" s="2"/>
      <c r="G2170" s="2"/>
    </row>
    <row r="2171">
      <c r="A2171" s="1" t="s">
        <v>1177</v>
      </c>
      <c r="B2171" s="1">
        <v>0.0</v>
      </c>
      <c r="C2171" s="2"/>
      <c r="D2171" s="2"/>
      <c r="E2171" s="2"/>
      <c r="F2171" s="2"/>
      <c r="G2171" s="2"/>
    </row>
    <row r="2172">
      <c r="A2172" s="1" t="s">
        <v>1178</v>
      </c>
      <c r="B2172" s="1">
        <v>0.0</v>
      </c>
      <c r="C2172" s="2"/>
      <c r="D2172" s="2"/>
      <c r="E2172" s="2"/>
      <c r="F2172" s="2"/>
      <c r="G2172" s="2"/>
    </row>
    <row r="2173">
      <c r="A2173" s="1" t="s">
        <v>1179</v>
      </c>
      <c r="B2173" s="1">
        <v>0.0</v>
      </c>
      <c r="C2173" s="2"/>
      <c r="D2173" s="2"/>
      <c r="E2173" s="2"/>
      <c r="F2173" s="2"/>
      <c r="G2173" s="2"/>
    </row>
    <row r="2174">
      <c r="A2174" s="1" t="s">
        <v>1180</v>
      </c>
      <c r="B2174" s="1">
        <v>0.0</v>
      </c>
      <c r="C2174" s="2"/>
      <c r="D2174" s="2"/>
      <c r="E2174" s="2"/>
      <c r="F2174" s="2"/>
      <c r="G2174" s="2"/>
    </row>
    <row r="2175">
      <c r="A2175" s="1" t="s">
        <v>1181</v>
      </c>
      <c r="B2175" s="1">
        <v>0.0</v>
      </c>
      <c r="C2175" s="2"/>
      <c r="D2175" s="2"/>
      <c r="E2175" s="2"/>
      <c r="F2175" s="2"/>
      <c r="G2175" s="2"/>
    </row>
    <row r="2176">
      <c r="A2176" s="1" t="s">
        <v>1182</v>
      </c>
      <c r="B2176" s="1">
        <v>0.0</v>
      </c>
      <c r="C2176" s="2"/>
      <c r="D2176" s="2"/>
      <c r="E2176" s="2"/>
      <c r="F2176" s="2"/>
      <c r="G2176" s="2"/>
    </row>
    <row r="2177">
      <c r="A2177" s="1" t="s">
        <v>1183</v>
      </c>
      <c r="B2177" s="1">
        <v>76.0</v>
      </c>
      <c r="C2177" s="2"/>
      <c r="D2177" s="2"/>
      <c r="E2177" s="2"/>
      <c r="F2177" s="2"/>
      <c r="G2177" s="2"/>
    </row>
    <row r="2178">
      <c r="A2178" s="1" t="s">
        <v>1184</v>
      </c>
      <c r="B2178" s="1">
        <v>0.0</v>
      </c>
      <c r="C2178" s="2"/>
      <c r="D2178" s="2"/>
      <c r="E2178" s="2"/>
      <c r="F2178" s="2"/>
      <c r="G2178" s="2"/>
    </row>
    <row r="2179">
      <c r="A2179" s="1" t="s">
        <v>1185</v>
      </c>
      <c r="B2179" s="1">
        <v>0.0</v>
      </c>
      <c r="C2179" s="2"/>
      <c r="D2179" s="2"/>
      <c r="E2179" s="2"/>
      <c r="F2179" s="2"/>
      <c r="G2179" s="2"/>
    </row>
    <row r="2180">
      <c r="A2180" s="1" t="s">
        <v>1186</v>
      </c>
      <c r="B2180" s="1">
        <v>28.0</v>
      </c>
      <c r="C2180" s="2"/>
      <c r="D2180" s="2"/>
      <c r="E2180" s="2"/>
      <c r="F2180" s="2"/>
      <c r="G2180" s="2"/>
    </row>
    <row r="2181">
      <c r="A2181" s="1" t="s">
        <v>1187</v>
      </c>
      <c r="B2181" s="1">
        <v>13.0</v>
      </c>
      <c r="C2181" s="2"/>
      <c r="D2181" s="2"/>
      <c r="E2181" s="2"/>
      <c r="F2181" s="2"/>
      <c r="G2181" s="2"/>
    </row>
    <row r="2182">
      <c r="A2182" s="1" t="s">
        <v>1188</v>
      </c>
      <c r="B2182" s="1">
        <v>80.0</v>
      </c>
      <c r="C2182" s="2"/>
      <c r="D2182" s="2"/>
      <c r="E2182" s="2"/>
      <c r="F2182" s="2"/>
      <c r="G2182" s="2"/>
    </row>
    <row r="2183">
      <c r="A2183" s="1" t="s">
        <v>1189</v>
      </c>
      <c r="B2183" s="1">
        <v>59.0</v>
      </c>
      <c r="C2183" s="2"/>
      <c r="D2183" s="2"/>
      <c r="E2183" s="2"/>
      <c r="F2183" s="2"/>
      <c r="G2183" s="2"/>
    </row>
    <row r="2184">
      <c r="A2184" s="1" t="s">
        <v>1190</v>
      </c>
      <c r="B2184" s="1" t="s">
        <v>1191</v>
      </c>
      <c r="C2184" s="1">
        <v>71.0</v>
      </c>
      <c r="D2184" s="2"/>
      <c r="E2184" s="2"/>
      <c r="F2184" s="2"/>
      <c r="G2184" s="2"/>
    </row>
    <row r="2185">
      <c r="A2185" s="1" t="s">
        <v>1192</v>
      </c>
      <c r="B2185" s="1">
        <v>0.0</v>
      </c>
      <c r="C2185" s="2"/>
      <c r="D2185" s="2"/>
      <c r="E2185" s="2"/>
      <c r="F2185" s="2"/>
      <c r="G2185" s="2"/>
    </row>
    <row r="2186">
      <c r="A2186" s="1" t="s">
        <v>1193</v>
      </c>
      <c r="B2186" s="1">
        <v>0.0</v>
      </c>
      <c r="C2186" s="2"/>
      <c r="D2186" s="2"/>
      <c r="E2186" s="2"/>
      <c r="F2186" s="2"/>
      <c r="G2186" s="2"/>
    </row>
    <row r="2187">
      <c r="A2187" s="1" t="s">
        <v>1194</v>
      </c>
      <c r="B2187" s="1">
        <v>0.0</v>
      </c>
      <c r="C2187" s="2"/>
      <c r="D2187" s="2"/>
      <c r="E2187" s="2"/>
      <c r="F2187" s="2"/>
      <c r="G2187" s="2"/>
    </row>
    <row r="2188">
      <c r="A2188" s="1" t="s">
        <v>1195</v>
      </c>
      <c r="B2188" s="1">
        <v>12.0</v>
      </c>
      <c r="C2188" s="2"/>
      <c r="D2188" s="2"/>
      <c r="E2188" s="2"/>
      <c r="F2188" s="2"/>
      <c r="G2188" s="2"/>
    </row>
    <row r="2189">
      <c r="A2189" s="1" t="s">
        <v>1196</v>
      </c>
      <c r="B2189" s="1">
        <v>36.0</v>
      </c>
      <c r="C2189" s="2"/>
      <c r="D2189" s="2"/>
      <c r="E2189" s="2"/>
      <c r="F2189" s="2"/>
      <c r="G2189" s="2"/>
    </row>
    <row r="2190">
      <c r="A2190" s="1" t="s">
        <v>1197</v>
      </c>
      <c r="B2190" s="1">
        <v>0.0</v>
      </c>
      <c r="C2190" s="2"/>
      <c r="D2190" s="2"/>
      <c r="E2190" s="2"/>
      <c r="F2190" s="2"/>
      <c r="G2190" s="2"/>
    </row>
    <row r="2191">
      <c r="A2191" s="1" t="s">
        <v>1198</v>
      </c>
      <c r="B2191" s="1">
        <v>0.0</v>
      </c>
      <c r="C2191" s="2"/>
      <c r="D2191" s="2"/>
      <c r="E2191" s="2"/>
      <c r="F2191" s="2"/>
      <c r="G2191" s="2"/>
    </row>
    <row r="2192">
      <c r="A2192" s="1" t="s">
        <v>1199</v>
      </c>
      <c r="B2192" s="1">
        <v>26.0</v>
      </c>
      <c r="C2192" s="2"/>
      <c r="D2192" s="2"/>
      <c r="E2192" s="2"/>
      <c r="F2192" s="2"/>
      <c r="G2192" s="2"/>
    </row>
    <row r="2193">
      <c r="A2193" s="1" t="s">
        <v>1200</v>
      </c>
      <c r="B2193" s="1">
        <v>0.0</v>
      </c>
      <c r="C2193" s="2"/>
      <c r="D2193" s="2"/>
      <c r="E2193" s="2"/>
      <c r="F2193" s="2"/>
      <c r="G2193" s="2"/>
    </row>
    <row r="2194">
      <c r="A2194" s="1" t="s">
        <v>1201</v>
      </c>
      <c r="B2194" s="1">
        <v>0.0</v>
      </c>
      <c r="C2194" s="2"/>
      <c r="D2194" s="2"/>
      <c r="E2194" s="2"/>
      <c r="F2194" s="2"/>
      <c r="G2194" s="2"/>
    </row>
    <row r="2195">
      <c r="A2195" s="1" t="s">
        <v>1202</v>
      </c>
      <c r="B2195" s="1">
        <v>0.0</v>
      </c>
      <c r="C2195" s="2"/>
      <c r="D2195" s="2"/>
      <c r="E2195" s="2"/>
      <c r="F2195" s="2"/>
      <c r="G2195" s="2"/>
    </row>
    <row r="2196">
      <c r="A2196" s="1" t="s">
        <v>1203</v>
      </c>
      <c r="B2196" s="1">
        <v>0.0</v>
      </c>
      <c r="C2196" s="2"/>
      <c r="D2196" s="2"/>
      <c r="E2196" s="2"/>
      <c r="F2196" s="2"/>
      <c r="G2196" s="2"/>
    </row>
    <row r="2197">
      <c r="A2197" s="1" t="s">
        <v>1204</v>
      </c>
      <c r="B2197" s="1">
        <v>0.0</v>
      </c>
      <c r="C2197" s="2"/>
      <c r="D2197" s="2"/>
      <c r="E2197" s="2"/>
      <c r="F2197" s="2"/>
      <c r="G2197" s="2"/>
    </row>
    <row r="2198">
      <c r="A2198" s="1" t="s">
        <v>1205</v>
      </c>
      <c r="B2198" s="1">
        <v>84.0</v>
      </c>
      <c r="C2198" s="2"/>
      <c r="D2198" s="2"/>
      <c r="E2198" s="2"/>
      <c r="F2198" s="2"/>
      <c r="G2198" s="2"/>
    </row>
    <row r="2199">
      <c r="A2199" s="1" t="s">
        <v>1206</v>
      </c>
      <c r="B2199" s="1">
        <v>72.0</v>
      </c>
      <c r="C2199" s="2"/>
      <c r="D2199" s="2"/>
      <c r="E2199" s="2"/>
      <c r="F2199" s="2"/>
      <c r="G2199" s="2"/>
    </row>
    <row r="2200">
      <c r="A2200" s="1" t="s">
        <v>1207</v>
      </c>
      <c r="B2200" s="1">
        <v>6.0</v>
      </c>
      <c r="C2200" s="2"/>
      <c r="D2200" s="2"/>
      <c r="E2200" s="2"/>
      <c r="F2200" s="2"/>
      <c r="G2200" s="2"/>
    </row>
    <row r="2201">
      <c r="A2201" s="1" t="s">
        <v>1208</v>
      </c>
      <c r="B2201" s="1">
        <v>0.0</v>
      </c>
      <c r="C2201" s="2"/>
      <c r="D2201" s="2"/>
      <c r="E2201" s="2"/>
      <c r="F2201" s="2"/>
      <c r="G2201" s="2"/>
    </row>
    <row r="2202">
      <c r="A2202" s="1" t="s">
        <v>1209</v>
      </c>
      <c r="B2202" s="1">
        <v>0.0</v>
      </c>
      <c r="C2202" s="2"/>
      <c r="D2202" s="2"/>
      <c r="E2202" s="2"/>
      <c r="F2202" s="2"/>
      <c r="G2202" s="2"/>
    </row>
    <row r="2203">
      <c r="A2203" s="1" t="s">
        <v>1210</v>
      </c>
      <c r="B2203" s="1">
        <v>0.0</v>
      </c>
      <c r="C2203" s="2"/>
      <c r="D2203" s="2"/>
      <c r="E2203" s="2"/>
      <c r="F2203" s="2"/>
      <c r="G2203" s="2"/>
    </row>
    <row r="2204">
      <c r="A2204" s="1" t="s">
        <v>1211</v>
      </c>
      <c r="B2204" s="1">
        <v>0.0</v>
      </c>
      <c r="C2204" s="2"/>
      <c r="D2204" s="2"/>
      <c r="E2204" s="2"/>
      <c r="F2204" s="2"/>
      <c r="G2204" s="2"/>
    </row>
    <row r="2205">
      <c r="A2205" s="1" t="s">
        <v>1212</v>
      </c>
      <c r="B2205" s="1">
        <v>0.0</v>
      </c>
      <c r="C2205" s="2"/>
      <c r="D2205" s="2"/>
      <c r="E2205" s="2"/>
      <c r="F2205" s="2"/>
      <c r="G2205" s="2"/>
    </row>
    <row r="2206">
      <c r="A2206" s="2"/>
      <c r="B2206" s="2"/>
      <c r="C2206" s="2"/>
      <c r="D2206" s="2"/>
      <c r="E2206" s="2"/>
      <c r="F2206" s="2"/>
      <c r="G2206" s="2"/>
    </row>
    <row r="2207">
      <c r="A2207" s="2"/>
      <c r="B2207" s="2"/>
      <c r="C2207" s="2"/>
      <c r="D2207" s="2"/>
      <c r="E2207" s="2"/>
      <c r="F2207" s="2"/>
      <c r="G2207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4.5"/>
  </cols>
  <sheetData>
    <row r="1">
      <c r="A1" s="5" t="s">
        <v>1214</v>
      </c>
    </row>
    <row r="2">
      <c r="B2" s="5" t="s">
        <v>1217</v>
      </c>
    </row>
    <row r="3">
      <c r="A3" s="5" t="s">
        <v>1215</v>
      </c>
    </row>
    <row r="4">
      <c r="B4" s="5" t="s">
        <v>1218</v>
      </c>
    </row>
    <row r="5">
      <c r="A5" s="5" t="s">
        <v>1219</v>
      </c>
      <c r="B5" s="5">
        <v>56.0</v>
      </c>
    </row>
    <row r="6">
      <c r="A6" s="5" t="s">
        <v>1220</v>
      </c>
      <c r="B6" s="5">
        <v>4359.52</v>
      </c>
    </row>
    <row r="7">
      <c r="A7" s="5" t="s">
        <v>1221</v>
      </c>
      <c r="B7" s="5">
        <v>34.0</v>
      </c>
    </row>
    <row r="8">
      <c r="A8" s="5" t="s">
        <v>1222</v>
      </c>
      <c r="B8" s="5">
        <v>675.0</v>
      </c>
    </row>
    <row r="9">
      <c r="A9" s="5" t="s">
        <v>1223</v>
      </c>
      <c r="B9" s="5">
        <v>400.0</v>
      </c>
    </row>
    <row r="10">
      <c r="A10" s="5" t="s">
        <v>1224</v>
      </c>
      <c r="B10" s="5">
        <v>20632.0</v>
      </c>
    </row>
    <row r="11">
      <c r="A11" s="5" t="s">
        <v>1225</v>
      </c>
      <c r="B11" s="5">
        <v>2791.0</v>
      </c>
    </row>
    <row r="12">
      <c r="A12" s="5" t="s">
        <v>1226</v>
      </c>
      <c r="B12" s="5">
        <v>631.0</v>
      </c>
    </row>
    <row r="13">
      <c r="A13" s="5" t="s">
        <v>1227</v>
      </c>
      <c r="B13" s="5">
        <v>14561.67</v>
      </c>
    </row>
    <row r="14">
      <c r="A14" s="5" t="s">
        <v>1228</v>
      </c>
      <c r="B14" s="5">
        <v>15042.0</v>
      </c>
    </row>
    <row r="15">
      <c r="A15" s="5" t="s">
        <v>1229</v>
      </c>
      <c r="B15" s="5">
        <v>3888.0</v>
      </c>
    </row>
    <row r="16">
      <c r="A16" s="5" t="s">
        <v>1230</v>
      </c>
      <c r="B16" s="5">
        <v>228670.97</v>
      </c>
      <c r="E16" s="2"/>
    </row>
    <row r="17">
      <c r="A17" s="5" t="s">
        <v>1231</v>
      </c>
      <c r="B17" s="5">
        <v>124.0</v>
      </c>
    </row>
    <row r="18">
      <c r="A18" s="5" t="s">
        <v>1232</v>
      </c>
      <c r="B18" s="5">
        <v>31971.23</v>
      </c>
    </row>
    <row r="19">
      <c r="A19" s="5" t="s">
        <v>1233</v>
      </c>
      <c r="B19" s="5">
        <v>74.0</v>
      </c>
    </row>
    <row r="20">
      <c r="A20" s="5" t="s">
        <v>1234</v>
      </c>
      <c r="B20" s="5">
        <v>1517.0</v>
      </c>
    </row>
    <row r="21">
      <c r="A21" s="5" t="s">
        <v>1235</v>
      </c>
      <c r="B21" s="5">
        <v>4146.0</v>
      </c>
    </row>
    <row r="22">
      <c r="A22" s="5" t="s">
        <v>1236</v>
      </c>
      <c r="B22" s="5">
        <v>27.0</v>
      </c>
    </row>
    <row r="23">
      <c r="A23" s="5" t="s">
        <v>1237</v>
      </c>
      <c r="B23" s="5">
        <v>12532.0</v>
      </c>
    </row>
    <row r="24">
      <c r="A24" s="5" t="s">
        <v>1238</v>
      </c>
      <c r="B24" s="5">
        <v>663.0</v>
      </c>
    </row>
    <row r="25">
      <c r="A25" s="5" t="s">
        <v>1239</v>
      </c>
      <c r="B25" s="5">
        <v>214.0</v>
      </c>
    </row>
    <row r="26">
      <c r="A26" s="5" t="s">
        <v>1240</v>
      </c>
      <c r="B26" s="5">
        <v>24.0</v>
      </c>
    </row>
    <row r="27">
      <c r="A27" s="5" t="s">
        <v>1241</v>
      </c>
      <c r="B27" s="5">
        <v>339.0</v>
      </c>
    </row>
    <row r="28">
      <c r="A28" s="5" t="s">
        <v>1242</v>
      </c>
      <c r="B28" s="5">
        <v>200.0</v>
      </c>
    </row>
    <row r="30">
      <c r="A30" s="5"/>
    </row>
    <row r="31">
      <c r="A31" s="5" t="s">
        <v>1243</v>
      </c>
      <c r="B31" s="5">
        <v>185.1</v>
      </c>
    </row>
    <row r="32">
      <c r="A32" s="5" t="s">
        <v>1244</v>
      </c>
      <c r="B32" s="5">
        <v>56.0</v>
      </c>
    </row>
    <row r="33">
      <c r="A33" s="5" t="s">
        <v>1245</v>
      </c>
      <c r="B33" s="5">
        <v>796.05</v>
      </c>
    </row>
    <row r="34">
      <c r="A34" s="5" t="s">
        <v>1246</v>
      </c>
      <c r="B34" s="5">
        <v>3848.86</v>
      </c>
    </row>
    <row r="35">
      <c r="A35" s="5" t="s">
        <v>1247</v>
      </c>
      <c r="B35" s="5">
        <v>1478.0</v>
      </c>
    </row>
    <row r="36">
      <c r="A36" s="5" t="s">
        <v>1248</v>
      </c>
      <c r="B36" s="5">
        <v>5391.0</v>
      </c>
    </row>
    <row r="37">
      <c r="A37" s="5" t="s">
        <v>1249</v>
      </c>
      <c r="B37" s="5">
        <v>13988.0</v>
      </c>
    </row>
    <row r="38">
      <c r="A38" s="5" t="s">
        <v>1250</v>
      </c>
      <c r="B38" s="5">
        <v>4305.18</v>
      </c>
    </row>
    <row r="39">
      <c r="A39" s="5" t="s">
        <v>1251</v>
      </c>
      <c r="B39" s="5">
        <v>564.0</v>
      </c>
    </row>
    <row r="40">
      <c r="A40" s="5" t="s">
        <v>1252</v>
      </c>
      <c r="B40" s="5">
        <v>12605.0</v>
      </c>
    </row>
    <row r="41">
      <c r="A41" s="5" t="s">
        <v>1253</v>
      </c>
      <c r="B41" s="5">
        <v>332.0</v>
      </c>
    </row>
    <row r="42">
      <c r="A42" s="5" t="s">
        <v>1254</v>
      </c>
      <c r="B42" s="5">
        <v>299.0</v>
      </c>
    </row>
    <row r="43">
      <c r="A43" s="5" t="s">
        <v>1255</v>
      </c>
      <c r="B43" s="5">
        <v>118.67</v>
      </c>
    </row>
    <row r="44">
      <c r="A44" s="5" t="s">
        <v>1256</v>
      </c>
      <c r="B44" s="5">
        <v>106.0</v>
      </c>
    </row>
    <row r="45">
      <c r="A45" s="5" t="s">
        <v>1257</v>
      </c>
      <c r="B45" s="5">
        <v>340.0</v>
      </c>
    </row>
    <row r="46">
      <c r="A46" s="5" t="s">
        <v>1258</v>
      </c>
      <c r="B46" s="5">
        <v>102.0</v>
      </c>
    </row>
    <row r="47">
      <c r="A47" s="5" t="s">
        <v>1259</v>
      </c>
      <c r="B47" s="5">
        <v>178.0</v>
      </c>
    </row>
    <row r="48">
      <c r="A48" s="5" t="s">
        <v>1260</v>
      </c>
      <c r="B48" s="5">
        <v>170.0</v>
      </c>
    </row>
    <row r="49">
      <c r="A49" s="5" t="s">
        <v>1261</v>
      </c>
      <c r="B49" s="5">
        <v>356.0</v>
      </c>
    </row>
    <row r="50">
      <c r="A50" s="5" t="s">
        <v>1262</v>
      </c>
      <c r="B50" s="5">
        <v>34.0</v>
      </c>
    </row>
    <row r="51">
      <c r="A51" s="5" t="s">
        <v>1263</v>
      </c>
      <c r="B51" s="5">
        <v>621.0</v>
      </c>
    </row>
    <row r="52">
      <c r="A52" s="5" t="s">
        <v>1264</v>
      </c>
      <c r="B52" s="5">
        <v>4482.14</v>
      </c>
    </row>
    <row r="53">
      <c r="A53" s="5" t="s">
        <v>1265</v>
      </c>
      <c r="B53" s="5">
        <v>265.0</v>
      </c>
    </row>
    <row r="54">
      <c r="A54" s="5" t="s">
        <v>1266</v>
      </c>
      <c r="B54" s="5">
        <v>7722.0</v>
      </c>
    </row>
    <row r="55">
      <c r="A55" s="5" t="s">
        <v>1267</v>
      </c>
      <c r="B55" s="5">
        <v>1432.26</v>
      </c>
    </row>
    <row r="56">
      <c r="A56" s="5" t="s">
        <v>1268</v>
      </c>
      <c r="B56" s="5">
        <v>17008.05</v>
      </c>
    </row>
    <row r="57">
      <c r="A57" s="5" t="s">
        <v>1269</v>
      </c>
      <c r="B57" s="5">
        <v>72.0</v>
      </c>
    </row>
    <row r="58">
      <c r="A58" s="5" t="s">
        <v>1270</v>
      </c>
      <c r="B58" s="5">
        <v>5715.0</v>
      </c>
    </row>
    <row r="59">
      <c r="A59" s="5" t="s">
        <v>1271</v>
      </c>
      <c r="B59" s="5">
        <v>178.0</v>
      </c>
    </row>
    <row r="60">
      <c r="A60" s="5" t="s">
        <v>1272</v>
      </c>
      <c r="B60" s="5">
        <v>265.0</v>
      </c>
    </row>
    <row r="61">
      <c r="A61" s="5" t="s">
        <v>1273</v>
      </c>
      <c r="B61" s="5">
        <v>5105.0</v>
      </c>
    </row>
    <row r="62">
      <c r="A62" s="5" t="s">
        <v>1274</v>
      </c>
      <c r="B62" s="5">
        <v>587.0</v>
      </c>
    </row>
    <row r="63">
      <c r="A63" s="5" t="s">
        <v>1275</v>
      </c>
      <c r="B63" s="5">
        <v>239.4</v>
      </c>
    </row>
    <row r="64">
      <c r="A64" s="5" t="s">
        <v>1276</v>
      </c>
      <c r="B64" s="5">
        <v>670.0</v>
      </c>
    </row>
    <row r="65">
      <c r="A65" s="5" t="s">
        <v>1277</v>
      </c>
      <c r="B65" s="5">
        <v>5920.0</v>
      </c>
    </row>
    <row r="66">
      <c r="A66" s="5" t="s">
        <v>1278</v>
      </c>
      <c r="B66" s="5">
        <v>5951.68</v>
      </c>
    </row>
    <row r="67">
      <c r="A67" s="5" t="s">
        <v>1279</v>
      </c>
      <c r="B67" s="5">
        <v>442.0</v>
      </c>
    </row>
    <row r="68">
      <c r="A68" s="5" t="s">
        <v>1280</v>
      </c>
      <c r="B68" s="5">
        <v>7446.13</v>
      </c>
    </row>
    <row r="69">
      <c r="A69" s="5" t="s">
        <v>1281</v>
      </c>
      <c r="B69" s="5">
        <v>3573.29</v>
      </c>
    </row>
    <row r="70">
      <c r="A70" s="5" t="s">
        <v>1282</v>
      </c>
      <c r="B70" s="5">
        <v>92.0</v>
      </c>
    </row>
    <row r="71">
      <c r="A71" s="5" t="s">
        <v>1283</v>
      </c>
      <c r="B71" s="5">
        <v>7404.84</v>
      </c>
    </row>
    <row r="72">
      <c r="A72" s="5" t="s">
        <v>1284</v>
      </c>
      <c r="B72" s="5">
        <v>476.58</v>
      </c>
    </row>
    <row r="73">
      <c r="A73" s="5" t="s">
        <v>1285</v>
      </c>
      <c r="B73" s="5">
        <v>884.0</v>
      </c>
    </row>
    <row r="74">
      <c r="A74" s="5" t="s">
        <v>1286</v>
      </c>
      <c r="B74" s="5">
        <v>3858.12</v>
      </c>
    </row>
    <row r="75">
      <c r="A75" s="5" t="s">
        <v>1287</v>
      </c>
      <c r="B75" s="5">
        <v>12974.05</v>
      </c>
    </row>
    <row r="76">
      <c r="A76" s="5" t="s">
        <v>1288</v>
      </c>
      <c r="B76" s="5">
        <v>1640.7</v>
      </c>
    </row>
    <row r="77">
      <c r="A77" s="5" t="s">
        <v>1289</v>
      </c>
      <c r="B77" s="5">
        <v>3251.13</v>
      </c>
    </row>
    <row r="78">
      <c r="A78" s="5" t="s">
        <v>1290</v>
      </c>
      <c r="B78" s="5">
        <v>56.0</v>
      </c>
    </row>
    <row r="79">
      <c r="A79" s="5" t="s">
        <v>1291</v>
      </c>
      <c r="B79" s="5">
        <v>1117.94</v>
      </c>
    </row>
    <row r="80">
      <c r="A80" s="5" t="s">
        <v>1292</v>
      </c>
      <c r="B80" s="5">
        <v>32738.36</v>
      </c>
    </row>
    <row r="81">
      <c r="A81" s="5" t="s">
        <v>1293</v>
      </c>
      <c r="B81" s="5">
        <v>1219.0</v>
      </c>
    </row>
    <row r="82">
      <c r="A82" s="5" t="s">
        <v>1294</v>
      </c>
      <c r="B82" s="5">
        <v>193.5</v>
      </c>
    </row>
    <row r="83">
      <c r="A83" s="5" t="s">
        <v>1295</v>
      </c>
      <c r="B83" s="5">
        <v>34.0</v>
      </c>
    </row>
    <row r="84">
      <c r="A84" s="5" t="s">
        <v>1296</v>
      </c>
      <c r="B84" s="5">
        <v>443.0</v>
      </c>
    </row>
    <row r="85">
      <c r="A85" s="5" t="s">
        <v>1297</v>
      </c>
      <c r="B85" s="5">
        <v>320.0</v>
      </c>
    </row>
    <row r="86">
      <c r="A86" s="5" t="s">
        <v>1298</v>
      </c>
      <c r="B86" s="5">
        <v>774.0</v>
      </c>
    </row>
    <row r="87">
      <c r="A87" s="5" t="s">
        <v>1299</v>
      </c>
      <c r="B87" s="5">
        <v>1413.68</v>
      </c>
    </row>
    <row r="88">
      <c r="A88" s="5" t="s">
        <v>1300</v>
      </c>
      <c r="B88" s="5">
        <v>425.34</v>
      </c>
    </row>
    <row r="89">
      <c r="A89" s="5" t="s">
        <v>1301</v>
      </c>
      <c r="B89" s="5">
        <v>34.0</v>
      </c>
    </row>
    <row r="90">
      <c r="A90" s="5" t="s">
        <v>1302</v>
      </c>
      <c r="B90" s="5">
        <v>4462.72</v>
      </c>
    </row>
    <row r="91">
      <c r="A91" s="5" t="s">
        <v>1303</v>
      </c>
      <c r="B91" s="5">
        <v>1056.0</v>
      </c>
    </row>
    <row r="92">
      <c r="A92" s="5" t="s">
        <v>1304</v>
      </c>
      <c r="B92" s="5">
        <v>374.0</v>
      </c>
    </row>
    <row r="93">
      <c r="A93" s="5" t="s">
        <v>1305</v>
      </c>
      <c r="B93" s="5">
        <v>1770.0</v>
      </c>
    </row>
    <row r="94">
      <c r="A94" s="5" t="s">
        <v>1306</v>
      </c>
      <c r="B94" s="5">
        <v>6939.0</v>
      </c>
    </row>
    <row r="95">
      <c r="A95" s="5" t="s">
        <v>1307</v>
      </c>
      <c r="B95" s="5">
        <v>7947.0</v>
      </c>
    </row>
    <row r="96">
      <c r="A96" s="5" t="s">
        <v>1308</v>
      </c>
      <c r="B96" s="5">
        <v>206.0</v>
      </c>
    </row>
    <row r="97">
      <c r="A97" s="5" t="s">
        <v>1309</v>
      </c>
      <c r="B97" s="5">
        <v>7848.0</v>
      </c>
    </row>
    <row r="98">
      <c r="A98" s="5" t="s">
        <v>1310</v>
      </c>
      <c r="B98" s="5">
        <v>34.0</v>
      </c>
    </row>
    <row r="99">
      <c r="A99" s="5" t="s">
        <v>1311</v>
      </c>
      <c r="B99" s="5">
        <v>610.0</v>
      </c>
    </row>
    <row r="100">
      <c r="A100" s="5" t="s">
        <v>1312</v>
      </c>
      <c r="B100" s="5">
        <v>212.0</v>
      </c>
    </row>
    <row r="101">
      <c r="A101" s="5" t="s">
        <v>1313</v>
      </c>
      <c r="B101" s="5">
        <v>442.0</v>
      </c>
    </row>
    <row r="102">
      <c r="A102" s="5" t="s">
        <v>1314</v>
      </c>
      <c r="B102" s="5">
        <v>24.0</v>
      </c>
    </row>
    <row r="103">
      <c r="A103" s="5" t="s">
        <v>1315</v>
      </c>
      <c r="B103" s="5">
        <v>459.0</v>
      </c>
    </row>
    <row r="104">
      <c r="A104" s="5" t="s">
        <v>1316</v>
      </c>
      <c r="B104" s="5">
        <v>530.0</v>
      </c>
    </row>
    <row r="105">
      <c r="A105" s="5" t="s">
        <v>1317</v>
      </c>
      <c r="B105" s="5">
        <v>1286.07</v>
      </c>
    </row>
    <row r="106">
      <c r="A106" s="5" t="s">
        <v>1318</v>
      </c>
      <c r="B106" s="5">
        <v>2546.77</v>
      </c>
    </row>
    <row r="107">
      <c r="A107" s="5" t="s">
        <v>1319</v>
      </c>
      <c r="B107" s="5">
        <v>4680.0</v>
      </c>
    </row>
    <row r="108">
      <c r="A108" s="5" t="s">
        <v>1320</v>
      </c>
      <c r="B108" s="5">
        <v>16603.14</v>
      </c>
    </row>
    <row r="109">
      <c r="A109" s="5" t="s">
        <v>1321</v>
      </c>
      <c r="B109" s="5">
        <v>556.0</v>
      </c>
    </row>
    <row r="110">
      <c r="A110" s="5" t="s">
        <v>1322</v>
      </c>
      <c r="B110" s="5">
        <v>7.42</v>
      </c>
    </row>
    <row r="111">
      <c r="A111" s="5" t="s">
        <v>1323</v>
      </c>
      <c r="B111" s="5">
        <v>4014.0</v>
      </c>
    </row>
    <row r="112">
      <c r="A112" s="5" t="s">
        <v>1324</v>
      </c>
      <c r="B112" s="5">
        <v>9349.0</v>
      </c>
    </row>
    <row r="113">
      <c r="A113" s="5" t="s">
        <v>1325</v>
      </c>
      <c r="B113" s="5">
        <v>540.0</v>
      </c>
    </row>
    <row r="114">
      <c r="A114" s="5" t="s">
        <v>1326</v>
      </c>
      <c r="B114" s="5">
        <v>790.0</v>
      </c>
    </row>
    <row r="115">
      <c r="A115" s="5" t="s">
        <v>1327</v>
      </c>
      <c r="B115" s="5">
        <v>1857.14</v>
      </c>
    </row>
    <row r="116">
      <c r="A116" s="5" t="s">
        <v>1328</v>
      </c>
      <c r="B116" s="5">
        <v>286.0</v>
      </c>
    </row>
    <row r="117">
      <c r="A117" s="5" t="s">
        <v>1329</v>
      </c>
      <c r="B117" s="5">
        <v>120.42</v>
      </c>
    </row>
    <row r="118">
      <c r="A118" s="5" t="s">
        <v>1330</v>
      </c>
      <c r="B118" s="5">
        <v>40.8</v>
      </c>
    </row>
    <row r="119">
      <c r="A119" s="5" t="s">
        <v>1331</v>
      </c>
      <c r="B119" s="5">
        <v>852.0</v>
      </c>
    </row>
    <row r="120">
      <c r="A120" s="5" t="s">
        <v>1332</v>
      </c>
      <c r="B120" s="5">
        <v>587.0</v>
      </c>
    </row>
    <row r="121">
      <c r="A121" s="5" t="s">
        <v>1333</v>
      </c>
      <c r="B121" s="5">
        <v>166.0</v>
      </c>
    </row>
    <row r="122">
      <c r="A122" s="5" t="s">
        <v>1334</v>
      </c>
      <c r="B122" s="5">
        <v>1231.0</v>
      </c>
    </row>
    <row r="123">
      <c r="A123" s="5" t="s">
        <v>1335</v>
      </c>
      <c r="B123" s="5">
        <v>265.0</v>
      </c>
    </row>
    <row r="124">
      <c r="A124" s="5" t="s">
        <v>1336</v>
      </c>
      <c r="B124" s="5">
        <v>24.0</v>
      </c>
    </row>
    <row r="125">
      <c r="A125" s="5" t="s">
        <v>1337</v>
      </c>
      <c r="B125" s="5">
        <v>2593.84</v>
      </c>
    </row>
    <row r="126">
      <c r="A126" s="5" t="s">
        <v>1338</v>
      </c>
      <c r="B126" s="5">
        <v>880.0</v>
      </c>
    </row>
    <row r="127">
      <c r="A127" s="5" t="s">
        <v>1339</v>
      </c>
      <c r="B127" s="5">
        <v>52753.65</v>
      </c>
    </row>
    <row r="128">
      <c r="A128" s="5" t="s">
        <v>1340</v>
      </c>
      <c r="B128" s="5">
        <v>58.0</v>
      </c>
    </row>
    <row r="129">
      <c r="A129" s="5" t="s">
        <v>1341</v>
      </c>
      <c r="B129" s="5">
        <v>2501.0</v>
      </c>
    </row>
    <row r="130">
      <c r="A130" s="5" t="s">
        <v>1342</v>
      </c>
      <c r="B130" s="5">
        <v>6879.42</v>
      </c>
    </row>
    <row r="131">
      <c r="A131" s="5" t="s">
        <v>1343</v>
      </c>
      <c r="B131" s="5">
        <v>68.0</v>
      </c>
    </row>
    <row r="132">
      <c r="A132" s="5" t="s">
        <v>1344</v>
      </c>
      <c r="B132" s="5">
        <v>61.0</v>
      </c>
    </row>
    <row r="133">
      <c r="A133" s="5" t="s">
        <v>1345</v>
      </c>
      <c r="B133" s="5">
        <v>1403.82</v>
      </c>
    </row>
    <row r="134">
      <c r="A134" s="5" t="s">
        <v>1346</v>
      </c>
      <c r="B134" s="5">
        <v>102.0</v>
      </c>
    </row>
    <row r="135">
      <c r="A135" s="5" t="s">
        <v>1347</v>
      </c>
      <c r="B135" s="5">
        <v>1064.0</v>
      </c>
    </row>
    <row r="136">
      <c r="A136" s="5" t="s">
        <v>1348</v>
      </c>
      <c r="B136" s="5">
        <v>34.0</v>
      </c>
    </row>
    <row r="137">
      <c r="A137" s="5" t="s">
        <v>1349</v>
      </c>
      <c r="B137" s="5">
        <v>135.0</v>
      </c>
    </row>
    <row r="138">
      <c r="A138" s="5" t="s">
        <v>1350</v>
      </c>
      <c r="B138" s="5">
        <v>459.0</v>
      </c>
    </row>
    <row r="139">
      <c r="A139" s="5" t="s">
        <v>1351</v>
      </c>
      <c r="B139" s="5">
        <v>580.0</v>
      </c>
    </row>
    <row r="141">
      <c r="A141" s="5"/>
    </row>
    <row r="142">
      <c r="A142" s="5" t="s">
        <v>1352</v>
      </c>
      <c r="B142" s="5">
        <v>2630.0</v>
      </c>
    </row>
    <row r="143">
      <c r="A143" s="5" t="s">
        <v>1353</v>
      </c>
      <c r="B143" s="5">
        <v>3455.0</v>
      </c>
    </row>
    <row r="144">
      <c r="A144" s="5" t="s">
        <v>1354</v>
      </c>
      <c r="B144" s="5">
        <v>476.0</v>
      </c>
    </row>
    <row r="145">
      <c r="A145" s="5" t="s">
        <v>1355</v>
      </c>
      <c r="B145" s="5">
        <v>790.0</v>
      </c>
    </row>
    <row r="146">
      <c r="A146" s="5" t="s">
        <v>1356</v>
      </c>
      <c r="B146" s="5">
        <v>111.0</v>
      </c>
    </row>
    <row r="147">
      <c r="A147" s="5" t="s">
        <v>1357</v>
      </c>
      <c r="B147" s="5">
        <v>96.0</v>
      </c>
    </row>
    <row r="148">
      <c r="A148" s="5" t="s">
        <v>1358</v>
      </c>
      <c r="B148" s="5">
        <v>11301.26</v>
      </c>
    </row>
    <row r="149">
      <c r="A149" s="5" t="s">
        <v>1359</v>
      </c>
      <c r="B149" s="5">
        <v>46.0</v>
      </c>
    </row>
    <row r="150">
      <c r="A150" s="5" t="s">
        <v>1360</v>
      </c>
      <c r="B150" s="5">
        <v>16000.0</v>
      </c>
    </row>
    <row r="151">
      <c r="A151" s="5" t="s">
        <v>1361</v>
      </c>
      <c r="B151" s="5">
        <v>406.06</v>
      </c>
    </row>
    <row r="153">
      <c r="A153" s="5"/>
    </row>
    <row r="154">
      <c r="A154" s="5" t="s">
        <v>1362</v>
      </c>
      <c r="B154" s="5">
        <v>1600.0</v>
      </c>
    </row>
    <row r="155">
      <c r="A155" s="5" t="s">
        <v>1363</v>
      </c>
      <c r="B155" s="5">
        <v>4000.0</v>
      </c>
    </row>
    <row r="156">
      <c r="A156" s="5" t="s">
        <v>1364</v>
      </c>
      <c r="B156" s="5">
        <v>356.0</v>
      </c>
    </row>
    <row r="157">
      <c r="A157" s="5" t="s">
        <v>1365</v>
      </c>
      <c r="B157" s="5">
        <v>444.0</v>
      </c>
    </row>
    <row r="158">
      <c r="A158" s="5" t="s">
        <v>1366</v>
      </c>
      <c r="B158" s="5">
        <v>186.24</v>
      </c>
    </row>
    <row r="159">
      <c r="A159" s="5" t="s">
        <v>1367</v>
      </c>
      <c r="B159" s="5">
        <v>913125.17</v>
      </c>
    </row>
    <row r="160">
      <c r="A160" s="5" t="s">
        <v>1368</v>
      </c>
      <c r="B160" s="5">
        <v>80.0</v>
      </c>
    </row>
    <row r="161">
      <c r="A161" s="5" t="s">
        <v>1369</v>
      </c>
      <c r="B161" s="5">
        <v>34.0</v>
      </c>
    </row>
    <row r="162">
      <c r="A162" s="5" t="s">
        <v>1370</v>
      </c>
      <c r="B162" s="5">
        <v>6904.23</v>
      </c>
    </row>
    <row r="163">
      <c r="A163" s="5" t="s">
        <v>1371</v>
      </c>
      <c r="B163" s="5">
        <v>2691.06</v>
      </c>
    </row>
    <row r="164">
      <c r="A164" s="5" t="s">
        <v>1372</v>
      </c>
      <c r="B164" s="5">
        <v>2180.92</v>
      </c>
    </row>
    <row r="165">
      <c r="A165" s="5" t="s">
        <v>1373</v>
      </c>
      <c r="B165" s="5">
        <v>4985.77</v>
      </c>
    </row>
    <row r="166">
      <c r="A166" s="5" t="s">
        <v>1374</v>
      </c>
      <c r="B166" s="5">
        <v>847.34</v>
      </c>
    </row>
    <row r="167">
      <c r="A167" s="5" t="s">
        <v>1375</v>
      </c>
      <c r="B167" s="5">
        <v>3928.42</v>
      </c>
    </row>
    <row r="168">
      <c r="A168" s="5" t="s">
        <v>1376</v>
      </c>
      <c r="B168" s="5">
        <v>1390.72</v>
      </c>
    </row>
    <row r="169">
      <c r="A169" s="5" t="s">
        <v>1377</v>
      </c>
      <c r="B169" s="5">
        <v>396.11</v>
      </c>
    </row>
    <row r="170">
      <c r="A170" s="5" t="s">
        <v>1378</v>
      </c>
      <c r="B170" s="5">
        <v>208.31</v>
      </c>
    </row>
    <row r="171">
      <c r="A171" s="5" t="s">
        <v>1379</v>
      </c>
      <c r="B171" s="5">
        <v>2205.53</v>
      </c>
    </row>
    <row r="172">
      <c r="A172" s="5" t="s">
        <v>1380</v>
      </c>
      <c r="B172" s="5">
        <v>4752.08</v>
      </c>
    </row>
    <row r="173">
      <c r="A173" s="5" t="s">
        <v>1381</v>
      </c>
      <c r="B173" s="5">
        <v>1757.54</v>
      </c>
    </row>
    <row r="174">
      <c r="A174" s="5" t="s">
        <v>1382</v>
      </c>
      <c r="B174" s="5">
        <v>663.0</v>
      </c>
    </row>
    <row r="175">
      <c r="A175" s="5" t="s">
        <v>1383</v>
      </c>
      <c r="B175" s="5">
        <v>4480.0</v>
      </c>
    </row>
    <row r="176">
      <c r="A176" s="5" t="s">
        <v>1384</v>
      </c>
      <c r="B176" s="5">
        <v>97.37</v>
      </c>
    </row>
    <row r="177">
      <c r="A177" s="5" t="s">
        <v>1385</v>
      </c>
      <c r="B177" s="5">
        <v>24.0</v>
      </c>
    </row>
    <row r="178">
      <c r="A178" s="5" t="s">
        <v>1386</v>
      </c>
      <c r="B178" s="5">
        <v>3573.29</v>
      </c>
    </row>
    <row r="180">
      <c r="A180" s="5"/>
    </row>
    <row r="181">
      <c r="A181" s="5" t="s">
        <v>1387</v>
      </c>
      <c r="B181" s="5">
        <v>888.0</v>
      </c>
    </row>
    <row r="182">
      <c r="A182" s="5" t="s">
        <v>1388</v>
      </c>
      <c r="B182" s="5">
        <v>178.0</v>
      </c>
    </row>
    <row r="183">
      <c r="A183" s="5" t="s">
        <v>1389</v>
      </c>
      <c r="B183" s="5">
        <v>34.0</v>
      </c>
    </row>
    <row r="184">
      <c r="A184" s="5" t="s">
        <v>1390</v>
      </c>
      <c r="B184" s="5">
        <v>72.0</v>
      </c>
    </row>
    <row r="185">
      <c r="A185" s="5" t="s">
        <v>1391</v>
      </c>
      <c r="B185" s="5">
        <v>255.0</v>
      </c>
    </row>
    <row r="186">
      <c r="A186" s="5" t="s">
        <v>1392</v>
      </c>
      <c r="B186" s="5">
        <v>24.0</v>
      </c>
    </row>
    <row r="187">
      <c r="A187" s="5" t="s">
        <v>1393</v>
      </c>
      <c r="B187" s="5">
        <v>1367.28</v>
      </c>
    </row>
    <row r="188">
      <c r="A188" s="5" t="s">
        <v>1394</v>
      </c>
      <c r="B188" s="5">
        <v>184.8</v>
      </c>
    </row>
    <row r="189">
      <c r="A189" s="5" t="s">
        <v>1395</v>
      </c>
      <c r="B189" s="5">
        <v>3025.0</v>
      </c>
    </row>
    <row r="190">
      <c r="A190" s="5" t="s">
        <v>1396</v>
      </c>
      <c r="B190" s="5">
        <v>178.0</v>
      </c>
    </row>
    <row r="191">
      <c r="A191" s="5" t="s">
        <v>1397</v>
      </c>
      <c r="B191" s="5">
        <v>3784.84</v>
      </c>
    </row>
    <row r="192">
      <c r="A192" s="5" t="s">
        <v>1398</v>
      </c>
      <c r="B192" s="5">
        <v>106.0</v>
      </c>
    </row>
    <row r="193">
      <c r="A193" s="5" t="s">
        <v>1399</v>
      </c>
      <c r="B193" s="5">
        <v>903.0</v>
      </c>
    </row>
    <row r="194">
      <c r="A194" s="5" t="s">
        <v>1400</v>
      </c>
      <c r="B194" s="5">
        <v>166.86</v>
      </c>
    </row>
    <row r="195">
      <c r="A195" s="5" t="s">
        <v>1401</v>
      </c>
      <c r="B195" s="5">
        <v>201.0</v>
      </c>
    </row>
    <row r="196">
      <c r="A196" s="5" t="s">
        <v>1402</v>
      </c>
      <c r="B196" s="5">
        <v>202.0</v>
      </c>
    </row>
    <row r="197">
      <c r="A197" s="5" t="s">
        <v>1403</v>
      </c>
      <c r="B197" s="5">
        <v>992.14</v>
      </c>
    </row>
    <row r="198">
      <c r="A198" s="5" t="s">
        <v>1404</v>
      </c>
      <c r="B198" s="5">
        <v>222.54</v>
      </c>
    </row>
    <row r="199">
      <c r="A199" s="5" t="s">
        <v>1405</v>
      </c>
      <c r="B199" s="5">
        <v>1206.71</v>
      </c>
    </row>
    <row r="200">
      <c r="A200" s="5" t="s">
        <v>1406</v>
      </c>
      <c r="B200" s="5">
        <v>774.0</v>
      </c>
    </row>
    <row r="201">
      <c r="A201" s="5" t="s">
        <v>1407</v>
      </c>
      <c r="B201" s="5">
        <v>3586.4</v>
      </c>
    </row>
    <row r="202">
      <c r="A202" s="5" t="s">
        <v>1408</v>
      </c>
      <c r="B202" s="5">
        <v>9209.34</v>
      </c>
    </row>
    <row r="203">
      <c r="A203" s="5" t="s">
        <v>1409</v>
      </c>
      <c r="B203" s="5">
        <v>3187.0</v>
      </c>
    </row>
    <row r="204">
      <c r="A204" s="5" t="s">
        <v>1410</v>
      </c>
      <c r="B204" s="5">
        <v>1905.62</v>
      </c>
    </row>
    <row r="205">
      <c r="A205" s="5" t="s">
        <v>1411</v>
      </c>
      <c r="B205" s="5">
        <v>902.4</v>
      </c>
    </row>
    <row r="206">
      <c r="A206" s="5" t="s">
        <v>1412</v>
      </c>
      <c r="B206" s="5">
        <v>126.0</v>
      </c>
    </row>
    <row r="207">
      <c r="A207" s="5" t="s">
        <v>1413</v>
      </c>
      <c r="B207" s="5">
        <v>1329.0</v>
      </c>
    </row>
    <row r="208">
      <c r="A208" s="5" t="s">
        <v>1414</v>
      </c>
      <c r="B208" s="5">
        <v>24196.0</v>
      </c>
    </row>
    <row r="209">
      <c r="A209" s="5" t="s">
        <v>1415</v>
      </c>
      <c r="B209" s="5">
        <v>461.04</v>
      </c>
    </row>
    <row r="210">
      <c r="A210" s="5" t="s">
        <v>1416</v>
      </c>
      <c r="B210" s="5">
        <v>4814.0</v>
      </c>
    </row>
    <row r="211">
      <c r="A211" s="5" t="s">
        <v>1417</v>
      </c>
      <c r="B211" s="5">
        <v>240.0</v>
      </c>
    </row>
    <row r="212">
      <c r="A212" s="5" t="s">
        <v>1418</v>
      </c>
      <c r="B212" s="5">
        <v>2909.13</v>
      </c>
    </row>
    <row r="213">
      <c r="A213" s="5" t="s">
        <v>1419</v>
      </c>
      <c r="B213" s="5">
        <v>996.0</v>
      </c>
    </row>
    <row r="214">
      <c r="A214" s="5" t="s">
        <v>1420</v>
      </c>
      <c r="B214" s="5">
        <v>170.0</v>
      </c>
    </row>
    <row r="215">
      <c r="A215" s="5" t="s">
        <v>1421</v>
      </c>
      <c r="B215" s="5">
        <v>1284.0</v>
      </c>
    </row>
    <row r="216">
      <c r="A216" s="5" t="s">
        <v>1422</v>
      </c>
      <c r="B216" s="5">
        <v>248.0</v>
      </c>
    </row>
    <row r="217">
      <c r="A217" s="5" t="s">
        <v>1423</v>
      </c>
      <c r="B217" s="5">
        <v>4797.0</v>
      </c>
    </row>
    <row r="218">
      <c r="A218" s="5" t="s">
        <v>1424</v>
      </c>
      <c r="B218" s="5">
        <v>610.0</v>
      </c>
    </row>
    <row r="219">
      <c r="A219" s="5" t="s">
        <v>1425</v>
      </c>
      <c r="B219" s="5">
        <v>2564.0</v>
      </c>
    </row>
    <row r="221">
      <c r="A221" s="5"/>
    </row>
    <row r="222">
      <c r="A222" s="5" t="s">
        <v>1426</v>
      </c>
      <c r="B222" s="5">
        <v>34.0</v>
      </c>
    </row>
    <row r="223">
      <c r="A223" s="5" t="s">
        <v>1427</v>
      </c>
      <c r="B223" s="5">
        <v>4144.5</v>
      </c>
    </row>
    <row r="224">
      <c r="A224" s="5" t="s">
        <v>1428</v>
      </c>
      <c r="B224" s="5">
        <v>663.0</v>
      </c>
    </row>
    <row r="225">
      <c r="A225" s="5" t="s">
        <v>1429</v>
      </c>
      <c r="B225" s="5">
        <v>9699.0</v>
      </c>
    </row>
    <row r="226">
      <c r="A226" s="5" t="s">
        <v>1430</v>
      </c>
      <c r="B226" s="5">
        <v>34.0</v>
      </c>
    </row>
    <row r="227">
      <c r="A227" s="5" t="s">
        <v>1431</v>
      </c>
      <c r="B227" s="5">
        <v>1440.0</v>
      </c>
    </row>
    <row r="228">
      <c r="A228" s="5" t="s">
        <v>1432</v>
      </c>
      <c r="B228" s="5">
        <v>983.59</v>
      </c>
    </row>
    <row r="229">
      <c r="A229" s="5" t="s">
        <v>1433</v>
      </c>
      <c r="B229" s="5">
        <v>4950.0</v>
      </c>
    </row>
    <row r="230">
      <c r="A230" s="5" t="s">
        <v>1434</v>
      </c>
      <c r="B230" s="5">
        <v>2237.8</v>
      </c>
    </row>
    <row r="231">
      <c r="A231" s="5" t="s">
        <v>1435</v>
      </c>
      <c r="B231" s="5">
        <v>2783.5</v>
      </c>
    </row>
    <row r="232">
      <c r="A232" s="5" t="s">
        <v>1436</v>
      </c>
      <c r="B232" s="5">
        <v>443.0</v>
      </c>
    </row>
    <row r="233">
      <c r="A233" s="5" t="s">
        <v>1437</v>
      </c>
      <c r="B233" s="5">
        <v>7217.0</v>
      </c>
    </row>
    <row r="234">
      <c r="A234" s="5" t="s">
        <v>1438</v>
      </c>
      <c r="B234" s="5">
        <v>34.0</v>
      </c>
    </row>
    <row r="235">
      <c r="A235" s="5" t="s">
        <v>1439</v>
      </c>
      <c r="B235" s="5">
        <v>750.0</v>
      </c>
    </row>
    <row r="236">
      <c r="A236" s="5" t="s">
        <v>1440</v>
      </c>
      <c r="B236" s="5">
        <v>1420.0</v>
      </c>
    </row>
    <row r="237">
      <c r="A237" s="5" t="s">
        <v>1441</v>
      </c>
      <c r="B237" s="5">
        <v>1236.0</v>
      </c>
    </row>
    <row r="238">
      <c r="A238" s="5" t="s">
        <v>1442</v>
      </c>
      <c r="B238" s="5">
        <v>1500.0</v>
      </c>
    </row>
    <row r="239">
      <c r="A239" s="5" t="s">
        <v>1443</v>
      </c>
      <c r="B239" s="5">
        <v>178.0</v>
      </c>
    </row>
    <row r="240">
      <c r="A240" s="5" t="s">
        <v>1444</v>
      </c>
      <c r="B240" s="5">
        <v>178.0</v>
      </c>
    </row>
    <row r="241">
      <c r="A241" s="5" t="s">
        <v>1445</v>
      </c>
      <c r="B241" s="5">
        <v>108.0</v>
      </c>
    </row>
    <row r="242">
      <c r="A242" s="5" t="s">
        <v>1446</v>
      </c>
      <c r="B242" s="5">
        <v>56.0</v>
      </c>
    </row>
    <row r="243">
      <c r="A243" s="5" t="s">
        <v>1447</v>
      </c>
      <c r="B243" s="5">
        <v>12.0</v>
      </c>
    </row>
    <row r="244">
      <c r="A244" s="5" t="s">
        <v>1448</v>
      </c>
      <c r="B244" s="5">
        <v>442.0</v>
      </c>
    </row>
    <row r="245">
      <c r="A245" s="5" t="s">
        <v>1449</v>
      </c>
      <c r="B245" s="5">
        <v>1116.0</v>
      </c>
    </row>
    <row r="246">
      <c r="A246" s="5" t="s">
        <v>1450</v>
      </c>
      <c r="B246" s="5">
        <v>9564.66</v>
      </c>
    </row>
    <row r="247">
      <c r="A247" s="5" t="s">
        <v>1451</v>
      </c>
      <c r="B247" s="5">
        <v>1081.0</v>
      </c>
    </row>
    <row r="248">
      <c r="A248" s="5" t="s">
        <v>1452</v>
      </c>
      <c r="B248" s="5">
        <v>56.0</v>
      </c>
    </row>
    <row r="249">
      <c r="A249" s="5" t="s">
        <v>1453</v>
      </c>
      <c r="B249" s="5">
        <v>106281.23</v>
      </c>
    </row>
    <row r="250">
      <c r="A250" s="5" t="s">
        <v>1454</v>
      </c>
      <c r="B250" s="5">
        <v>178.0</v>
      </c>
    </row>
    <row r="251">
      <c r="A251" s="5" t="s">
        <v>1455</v>
      </c>
      <c r="B251" s="5">
        <v>2240.0</v>
      </c>
    </row>
    <row r="252">
      <c r="A252" s="5" t="s">
        <v>1456</v>
      </c>
      <c r="B252" s="5">
        <v>102.0</v>
      </c>
    </row>
    <row r="253">
      <c r="A253" s="5" t="s">
        <v>1457</v>
      </c>
      <c r="B253" s="5">
        <v>1175.39</v>
      </c>
    </row>
    <row r="254">
      <c r="A254" s="5" t="s">
        <v>1458</v>
      </c>
      <c r="B254" s="5">
        <v>2044.0</v>
      </c>
    </row>
    <row r="255">
      <c r="A255" s="5" t="s">
        <v>1459</v>
      </c>
      <c r="B255" s="5">
        <v>265.0</v>
      </c>
    </row>
    <row r="256">
      <c r="A256" s="5" t="s">
        <v>1460</v>
      </c>
      <c r="B256" s="5">
        <v>1500.0</v>
      </c>
    </row>
    <row r="257">
      <c r="A257" s="5" t="s">
        <v>1461</v>
      </c>
      <c r="B257" s="5">
        <v>558.0</v>
      </c>
    </row>
    <row r="258">
      <c r="A258" s="5" t="s">
        <v>1462</v>
      </c>
      <c r="B258" s="5">
        <v>735.3</v>
      </c>
    </row>
    <row r="259">
      <c r="A259" s="5" t="s">
        <v>1463</v>
      </c>
      <c r="B259" s="5">
        <v>755.03</v>
      </c>
    </row>
    <row r="260">
      <c r="A260" s="5" t="s">
        <v>1464</v>
      </c>
      <c r="B260" s="5">
        <v>886.0</v>
      </c>
    </row>
    <row r="261">
      <c r="A261" s="5" t="s">
        <v>1465</v>
      </c>
      <c r="B261" s="5">
        <v>505.0</v>
      </c>
    </row>
    <row r="262">
      <c r="A262" s="5" t="s">
        <v>1466</v>
      </c>
      <c r="B262" s="5">
        <v>3570.66</v>
      </c>
    </row>
    <row r="263">
      <c r="A263" s="5" t="s">
        <v>1467</v>
      </c>
      <c r="B263" s="5">
        <v>34.0</v>
      </c>
    </row>
    <row r="264">
      <c r="A264" s="5" t="s">
        <v>1468</v>
      </c>
      <c r="B264" s="5">
        <v>21.0</v>
      </c>
    </row>
    <row r="265">
      <c r="A265" s="5" t="s">
        <v>1469</v>
      </c>
      <c r="B265" s="5">
        <v>15000.0</v>
      </c>
    </row>
    <row r="266">
      <c r="A266" s="5" t="s">
        <v>1470</v>
      </c>
      <c r="B266" s="5">
        <v>944.0</v>
      </c>
    </row>
    <row r="267">
      <c r="A267" s="5" t="s">
        <v>1471</v>
      </c>
      <c r="B267" s="5">
        <v>908.58</v>
      </c>
    </row>
    <row r="268">
      <c r="A268" s="5" t="s">
        <v>1472</v>
      </c>
      <c r="B268" s="5">
        <v>28224.99</v>
      </c>
    </row>
    <row r="269">
      <c r="A269" s="5" t="s">
        <v>1473</v>
      </c>
      <c r="B269" s="5">
        <v>368.0</v>
      </c>
    </row>
    <row r="270">
      <c r="A270" s="5" t="s">
        <v>1474</v>
      </c>
      <c r="B270" s="5">
        <v>80.0</v>
      </c>
    </row>
    <row r="271">
      <c r="A271" s="5" t="s">
        <v>1475</v>
      </c>
      <c r="B271" s="5">
        <v>234.0</v>
      </c>
    </row>
    <row r="272">
      <c r="A272" s="5" t="s">
        <v>1476</v>
      </c>
      <c r="B272" s="5">
        <v>5110.0</v>
      </c>
    </row>
    <row r="273">
      <c r="A273" s="5" t="s">
        <v>1477</v>
      </c>
      <c r="B273" s="5">
        <v>5067.05</v>
      </c>
    </row>
    <row r="274">
      <c r="A274" s="5" t="s">
        <v>1478</v>
      </c>
      <c r="B274" s="5">
        <v>1290.48</v>
      </c>
    </row>
    <row r="275">
      <c r="A275" s="5" t="s">
        <v>1479</v>
      </c>
      <c r="B275" s="5">
        <v>8800.0</v>
      </c>
    </row>
    <row r="276">
      <c r="A276" s="5" t="s">
        <v>1480</v>
      </c>
      <c r="B276" s="5">
        <v>84.0</v>
      </c>
    </row>
    <row r="277">
      <c r="A277" s="5" t="s">
        <v>1481</v>
      </c>
      <c r="B277" s="5">
        <v>265.0</v>
      </c>
    </row>
    <row r="278">
      <c r="A278" s="5" t="s">
        <v>1482</v>
      </c>
      <c r="B278" s="5">
        <v>244.0</v>
      </c>
    </row>
    <row r="279">
      <c r="A279" s="5" t="s">
        <v>1483</v>
      </c>
      <c r="B279" s="5">
        <v>935.0</v>
      </c>
    </row>
    <row r="280">
      <c r="A280" s="5" t="s">
        <v>1484</v>
      </c>
      <c r="B280" s="5">
        <v>88.0</v>
      </c>
    </row>
    <row r="281">
      <c r="A281" s="5" t="s">
        <v>1485</v>
      </c>
      <c r="B281" s="5">
        <v>1012.0</v>
      </c>
    </row>
    <row r="282">
      <c r="A282" s="5" t="s">
        <v>1486</v>
      </c>
      <c r="B282" s="5">
        <v>1284.75</v>
      </c>
    </row>
    <row r="283">
      <c r="A283" s="5" t="s">
        <v>1487</v>
      </c>
      <c r="B283" s="5">
        <v>429.0</v>
      </c>
    </row>
    <row r="284">
      <c r="A284" s="5" t="s">
        <v>1488</v>
      </c>
      <c r="B284" s="5">
        <v>1863.0</v>
      </c>
    </row>
    <row r="285">
      <c r="A285" s="5" t="s">
        <v>1489</v>
      </c>
      <c r="B285" s="5">
        <v>2558.3</v>
      </c>
    </row>
    <row r="286">
      <c r="A286" s="5" t="s">
        <v>1490</v>
      </c>
      <c r="B286" s="5">
        <v>1465.39</v>
      </c>
    </row>
    <row r="287">
      <c r="A287" s="5" t="s">
        <v>1491</v>
      </c>
      <c r="B287" s="5">
        <v>3769.5</v>
      </c>
    </row>
    <row r="288">
      <c r="A288" s="5" t="s">
        <v>1492</v>
      </c>
      <c r="B288" s="5">
        <v>2048.0</v>
      </c>
    </row>
    <row r="289">
      <c r="A289" s="5" t="s">
        <v>1493</v>
      </c>
      <c r="B289" s="5">
        <v>2781.0</v>
      </c>
    </row>
    <row r="290">
      <c r="A290" s="5" t="s">
        <v>1494</v>
      </c>
      <c r="B290" s="5">
        <v>3829.62</v>
      </c>
    </row>
    <row r="291">
      <c r="A291" s="5" t="s">
        <v>1495</v>
      </c>
      <c r="B291" s="5">
        <v>330.0</v>
      </c>
    </row>
    <row r="292">
      <c r="A292" s="5" t="s">
        <v>1496</v>
      </c>
      <c r="B292" s="5">
        <v>709.5</v>
      </c>
    </row>
    <row r="293">
      <c r="A293" s="5" t="s">
        <v>1497</v>
      </c>
      <c r="B293" s="5">
        <v>3552.0</v>
      </c>
    </row>
    <row r="294">
      <c r="A294" s="5" t="s">
        <v>1498</v>
      </c>
      <c r="B294" s="5">
        <v>748.0</v>
      </c>
    </row>
    <row r="295">
      <c r="A295" s="5" t="s">
        <v>1499</v>
      </c>
      <c r="B295" s="5">
        <v>960.96</v>
      </c>
    </row>
    <row r="296">
      <c r="A296" s="5" t="s">
        <v>1500</v>
      </c>
      <c r="B296" s="5">
        <v>1211.57</v>
      </c>
    </row>
    <row r="297">
      <c r="A297" s="5" t="s">
        <v>1501</v>
      </c>
      <c r="B297" s="5">
        <v>34.0</v>
      </c>
    </row>
    <row r="298">
      <c r="A298" s="5" t="s">
        <v>1502</v>
      </c>
      <c r="B298" s="5">
        <v>2143.34</v>
      </c>
    </row>
    <row r="299">
      <c r="A299" s="5" t="s">
        <v>1503</v>
      </c>
      <c r="B299" s="5">
        <v>24699.68</v>
      </c>
    </row>
    <row r="300">
      <c r="A300" s="5" t="s">
        <v>1504</v>
      </c>
      <c r="B300" s="5">
        <v>19221.78</v>
      </c>
    </row>
    <row r="301">
      <c r="A301" s="5" t="s">
        <v>1505</v>
      </c>
      <c r="B301" s="5">
        <v>567.12</v>
      </c>
    </row>
    <row r="303">
      <c r="A303" s="5"/>
    </row>
    <row r="304">
      <c r="A304" s="5" t="s">
        <v>1506</v>
      </c>
      <c r="B304" s="5">
        <v>1015.0</v>
      </c>
    </row>
    <row r="305">
      <c r="A305" s="5" t="s">
        <v>1507</v>
      </c>
      <c r="B305" s="5">
        <v>1036.82</v>
      </c>
    </row>
    <row r="306">
      <c r="A306" s="5" t="s">
        <v>1508</v>
      </c>
      <c r="B306" s="5">
        <v>1020.0</v>
      </c>
    </row>
    <row r="307">
      <c r="A307" s="5" t="s">
        <v>1509</v>
      </c>
      <c r="B307" s="5">
        <v>265.0</v>
      </c>
    </row>
    <row r="308">
      <c r="A308" s="5" t="s">
        <v>1510</v>
      </c>
      <c r="B308" s="5">
        <v>12900.0</v>
      </c>
    </row>
    <row r="309">
      <c r="A309" s="5" t="s">
        <v>1511</v>
      </c>
      <c r="B309" s="5">
        <v>265.0</v>
      </c>
    </row>
    <row r="310">
      <c r="A310" s="5" t="s">
        <v>1512</v>
      </c>
      <c r="B310" s="5">
        <v>3735.08</v>
      </c>
    </row>
    <row r="311">
      <c r="A311" s="5" t="s">
        <v>1513</v>
      </c>
      <c r="B311" s="5">
        <v>332.0</v>
      </c>
    </row>
    <row r="312">
      <c r="A312" s="5" t="s">
        <v>1514</v>
      </c>
      <c r="B312" s="5">
        <v>530.0</v>
      </c>
    </row>
    <row r="313">
      <c r="A313" s="5" t="s">
        <v>1515</v>
      </c>
      <c r="B313" s="5">
        <v>886.0</v>
      </c>
    </row>
    <row r="314">
      <c r="A314" s="5" t="s">
        <v>1516</v>
      </c>
      <c r="B314" s="5">
        <v>250746.14</v>
      </c>
    </row>
    <row r="315">
      <c r="A315" s="5" t="s">
        <v>1517</v>
      </c>
      <c r="B315" s="5">
        <v>5064.0</v>
      </c>
    </row>
    <row r="316">
      <c r="A316" s="5" t="s">
        <v>1518</v>
      </c>
      <c r="B316" s="5">
        <v>22277.86</v>
      </c>
    </row>
    <row r="317">
      <c r="A317" s="5" t="s">
        <v>1519</v>
      </c>
      <c r="B317" s="5">
        <v>17086.66</v>
      </c>
    </row>
    <row r="318">
      <c r="A318" s="5" t="s">
        <v>1520</v>
      </c>
      <c r="B318" s="5">
        <v>2574.0</v>
      </c>
    </row>
    <row r="319">
      <c r="A319" s="5" t="s">
        <v>1521</v>
      </c>
      <c r="B319" s="5">
        <v>1610.94</v>
      </c>
    </row>
    <row r="320">
      <c r="A320" s="5" t="s">
        <v>1522</v>
      </c>
      <c r="B320" s="5">
        <v>122.36</v>
      </c>
    </row>
    <row r="321">
      <c r="A321" s="5" t="s">
        <v>1523</v>
      </c>
      <c r="B321" s="5">
        <v>24.0</v>
      </c>
    </row>
    <row r="322">
      <c r="A322" s="5" t="s">
        <v>1524</v>
      </c>
      <c r="B322" s="5">
        <v>8280.0</v>
      </c>
    </row>
    <row r="323">
      <c r="A323" s="5" t="s">
        <v>1525</v>
      </c>
      <c r="B323" s="5">
        <v>942.0</v>
      </c>
    </row>
    <row r="324">
      <c r="A324" s="5" t="s">
        <v>1526</v>
      </c>
      <c r="B324" s="5">
        <v>197.0</v>
      </c>
    </row>
    <row r="325">
      <c r="A325" s="5" t="s">
        <v>1527</v>
      </c>
      <c r="B325" s="5">
        <v>5772.0</v>
      </c>
    </row>
    <row r="326">
      <c r="A326" s="5" t="s">
        <v>1528</v>
      </c>
      <c r="B326" s="5">
        <v>168.0</v>
      </c>
    </row>
    <row r="327">
      <c r="A327" s="5" t="s">
        <v>1529</v>
      </c>
      <c r="B327" s="5">
        <v>655.14</v>
      </c>
    </row>
    <row r="328">
      <c r="A328" s="5" t="s">
        <v>1530</v>
      </c>
      <c r="B328" s="5">
        <v>1421.14</v>
      </c>
    </row>
    <row r="329">
      <c r="A329" s="5" t="s">
        <v>1531</v>
      </c>
      <c r="B329" s="5">
        <v>663.0</v>
      </c>
    </row>
    <row r="330">
      <c r="A330" s="5" t="s">
        <v>1532</v>
      </c>
      <c r="B330" s="5">
        <v>20584.55</v>
      </c>
    </row>
    <row r="331">
      <c r="A331" s="5" t="s">
        <v>1533</v>
      </c>
      <c r="B331" s="5">
        <v>554.0</v>
      </c>
    </row>
    <row r="332">
      <c r="A332" s="5" t="s">
        <v>1534</v>
      </c>
      <c r="B332" s="5">
        <v>48049.14</v>
      </c>
    </row>
    <row r="333">
      <c r="A333" s="5" t="s">
        <v>1535</v>
      </c>
      <c r="B333" s="5">
        <v>22173.0</v>
      </c>
    </row>
    <row r="334">
      <c r="A334" s="5" t="s">
        <v>1536</v>
      </c>
      <c r="B334" s="5">
        <v>2880.0</v>
      </c>
    </row>
    <row r="335">
      <c r="A335" s="5" t="s">
        <v>1537</v>
      </c>
      <c r="B335" s="5">
        <v>5207.99</v>
      </c>
    </row>
    <row r="336">
      <c r="A336" s="5" t="s">
        <v>1538</v>
      </c>
      <c r="B336" s="5">
        <v>7362.74</v>
      </c>
    </row>
    <row r="337">
      <c r="A337" s="5" t="s">
        <v>1539</v>
      </c>
      <c r="B337" s="5">
        <v>22396.18</v>
      </c>
    </row>
    <row r="338">
      <c r="A338" s="5" t="s">
        <v>1540</v>
      </c>
      <c r="B338" s="5">
        <v>1070.0</v>
      </c>
    </row>
    <row r="339">
      <c r="A339" s="5" t="s">
        <v>1541</v>
      </c>
      <c r="B339" s="5">
        <v>820.0</v>
      </c>
    </row>
    <row r="340">
      <c r="A340" s="5" t="s">
        <v>1542</v>
      </c>
      <c r="B340" s="5">
        <v>248842.7</v>
      </c>
    </row>
    <row r="341">
      <c r="A341" s="5" t="s">
        <v>1543</v>
      </c>
      <c r="B341" s="5">
        <v>4334.0</v>
      </c>
    </row>
    <row r="342">
      <c r="A342" s="5" t="s">
        <v>1544</v>
      </c>
      <c r="B342" s="5">
        <v>24.0</v>
      </c>
    </row>
    <row r="343">
      <c r="A343" s="5" t="s">
        <v>1545</v>
      </c>
      <c r="B343" s="5">
        <v>767.44</v>
      </c>
    </row>
    <row r="344">
      <c r="A344" s="5" t="s">
        <v>1546</v>
      </c>
      <c r="B344" s="5">
        <v>93511.5</v>
      </c>
    </row>
    <row r="345">
      <c r="A345" s="5" t="s">
        <v>1547</v>
      </c>
      <c r="B345" s="5">
        <v>610.0</v>
      </c>
    </row>
    <row r="346">
      <c r="A346" s="5" t="s">
        <v>1548</v>
      </c>
      <c r="B346" s="5">
        <v>251.72</v>
      </c>
    </row>
    <row r="347">
      <c r="A347" s="5" t="s">
        <v>1549</v>
      </c>
      <c r="B347" s="5">
        <v>12765.06</v>
      </c>
    </row>
    <row r="348">
      <c r="A348" s="5" t="s">
        <v>1550</v>
      </c>
      <c r="B348" s="5">
        <v>4086.0</v>
      </c>
    </row>
    <row r="349">
      <c r="A349" s="5" t="s">
        <v>1551</v>
      </c>
      <c r="B349" s="5">
        <v>14661.0</v>
      </c>
    </row>
    <row r="350">
      <c r="A350" s="5" t="s">
        <v>1552</v>
      </c>
      <c r="B350" s="5">
        <v>806.71</v>
      </c>
    </row>
    <row r="351">
      <c r="A351" s="5" t="s">
        <v>1553</v>
      </c>
      <c r="B351" s="5">
        <v>4909.25</v>
      </c>
    </row>
    <row r="352">
      <c r="A352" s="5" t="s">
        <v>1554</v>
      </c>
      <c r="B352" s="5">
        <v>10490.19</v>
      </c>
    </row>
    <row r="353">
      <c r="A353" s="5" t="s">
        <v>1555</v>
      </c>
      <c r="B353" s="5">
        <v>17448.05</v>
      </c>
    </row>
    <row r="354">
      <c r="A354" s="5" t="s">
        <v>1556</v>
      </c>
      <c r="B354" s="5">
        <v>444.0</v>
      </c>
    </row>
    <row r="355">
      <c r="A355" s="5" t="s">
        <v>1557</v>
      </c>
      <c r="B355" s="5">
        <v>27402.0</v>
      </c>
    </row>
    <row r="356">
      <c r="A356" s="5" t="s">
        <v>1558</v>
      </c>
      <c r="B356" s="5">
        <v>56.0</v>
      </c>
    </row>
    <row r="357">
      <c r="A357" s="5" t="s">
        <v>1559</v>
      </c>
      <c r="B357" s="5">
        <v>8831.92</v>
      </c>
    </row>
    <row r="358">
      <c r="A358" s="5" t="s">
        <v>1560</v>
      </c>
      <c r="B358" s="5">
        <v>527.0</v>
      </c>
    </row>
    <row r="359">
      <c r="A359" s="5" t="s">
        <v>1561</v>
      </c>
      <c r="B359" s="5">
        <v>2052.0</v>
      </c>
    </row>
    <row r="360">
      <c r="A360" s="5" t="s">
        <v>1562</v>
      </c>
      <c r="B360" s="5">
        <v>476.0</v>
      </c>
    </row>
    <row r="361">
      <c r="A361" s="5" t="s">
        <v>1563</v>
      </c>
      <c r="B361" s="5">
        <v>10780.8</v>
      </c>
    </row>
    <row r="362">
      <c r="A362" s="5" t="s">
        <v>1564</v>
      </c>
      <c r="B362" s="5">
        <v>332.0</v>
      </c>
    </row>
    <row r="363">
      <c r="A363" s="5" t="s">
        <v>1565</v>
      </c>
      <c r="B363" s="5">
        <v>626.0</v>
      </c>
    </row>
    <row r="364">
      <c r="A364" s="5" t="s">
        <v>1566</v>
      </c>
      <c r="B364" s="5">
        <v>4374.52</v>
      </c>
    </row>
    <row r="365">
      <c r="A365" s="5" t="s">
        <v>1567</v>
      </c>
      <c r="B365" s="5">
        <v>18132.0</v>
      </c>
    </row>
    <row r="366">
      <c r="A366" s="5" t="s">
        <v>1568</v>
      </c>
      <c r="B366" s="5">
        <v>16308.0</v>
      </c>
    </row>
    <row r="367">
      <c r="A367" s="5" t="s">
        <v>1569</v>
      </c>
      <c r="B367" s="5">
        <v>1055.06</v>
      </c>
    </row>
    <row r="368">
      <c r="A368" s="5" t="s">
        <v>1570</v>
      </c>
      <c r="B368" s="5">
        <v>8210.35</v>
      </c>
    </row>
    <row r="369">
      <c r="A369" s="5" t="s">
        <v>1571</v>
      </c>
      <c r="B369" s="5">
        <v>267.4</v>
      </c>
    </row>
    <row r="370">
      <c r="A370" s="5" t="s">
        <v>1572</v>
      </c>
      <c r="B370" s="5">
        <v>919.75</v>
      </c>
    </row>
    <row r="371">
      <c r="A371" s="5" t="s">
        <v>1573</v>
      </c>
      <c r="B371" s="5">
        <v>7710.62</v>
      </c>
    </row>
    <row r="372">
      <c r="A372" s="5" t="s">
        <v>1574</v>
      </c>
      <c r="B372" s="5">
        <v>6867.0</v>
      </c>
    </row>
    <row r="373">
      <c r="A373" s="5" t="s">
        <v>1575</v>
      </c>
      <c r="B373" s="5">
        <v>745.0</v>
      </c>
    </row>
    <row r="374">
      <c r="A374" s="5" t="s">
        <v>1576</v>
      </c>
      <c r="B374" s="5">
        <v>1249.14</v>
      </c>
    </row>
    <row r="375">
      <c r="A375" s="5" t="s">
        <v>1577</v>
      </c>
      <c r="B375" s="5">
        <v>181.0</v>
      </c>
    </row>
    <row r="376">
      <c r="A376" s="5" t="s">
        <v>1578</v>
      </c>
      <c r="B376" s="5">
        <v>578.0</v>
      </c>
    </row>
    <row r="377">
      <c r="A377" s="5" t="s">
        <v>1579</v>
      </c>
      <c r="B377" s="5">
        <v>46.0</v>
      </c>
    </row>
    <row r="378">
      <c r="A378" s="5" t="s">
        <v>1580</v>
      </c>
      <c r="B378" s="5">
        <v>4561.2</v>
      </c>
    </row>
    <row r="379">
      <c r="A379" s="5" t="s">
        <v>1581</v>
      </c>
      <c r="B379" s="5">
        <v>46.0</v>
      </c>
    </row>
    <row r="380">
      <c r="A380" s="5" t="s">
        <v>1582</v>
      </c>
      <c r="B380" s="5">
        <v>276.0</v>
      </c>
    </row>
    <row r="381">
      <c r="A381" s="5" t="s">
        <v>1583</v>
      </c>
      <c r="B381" s="5">
        <v>97.37</v>
      </c>
    </row>
    <row r="382">
      <c r="A382" s="5" t="s">
        <v>1584</v>
      </c>
      <c r="B382" s="5">
        <v>185.0</v>
      </c>
    </row>
    <row r="383">
      <c r="A383" s="5" t="s">
        <v>1585</v>
      </c>
      <c r="B383" s="5">
        <v>1640.4</v>
      </c>
    </row>
    <row r="384">
      <c r="A384" s="5" t="s">
        <v>1586</v>
      </c>
      <c r="B384" s="5">
        <v>7419.45</v>
      </c>
    </row>
    <row r="385">
      <c r="A385" s="5" t="s">
        <v>1587</v>
      </c>
      <c r="B385" s="5">
        <v>3440.0</v>
      </c>
    </row>
    <row r="386">
      <c r="A386" s="5" t="s">
        <v>1588</v>
      </c>
      <c r="B386" s="5">
        <v>1000.0</v>
      </c>
    </row>
    <row r="387">
      <c r="A387" s="5" t="s">
        <v>1589</v>
      </c>
      <c r="B387" s="5">
        <v>265.0</v>
      </c>
    </row>
    <row r="388">
      <c r="A388" s="5" t="s">
        <v>1590</v>
      </c>
      <c r="B388" s="5">
        <v>210.0</v>
      </c>
    </row>
    <row r="389">
      <c r="A389" s="5" t="s">
        <v>1591</v>
      </c>
      <c r="B389" s="5">
        <v>92.4</v>
      </c>
    </row>
    <row r="390">
      <c r="A390" s="5" t="s">
        <v>1592</v>
      </c>
      <c r="B390" s="5">
        <v>1267.0</v>
      </c>
    </row>
    <row r="391">
      <c r="A391" s="5" t="s">
        <v>1593</v>
      </c>
      <c r="B391" s="5">
        <v>3200.0</v>
      </c>
    </row>
    <row r="392">
      <c r="A392" s="5" t="s">
        <v>1594</v>
      </c>
      <c r="B392" s="5">
        <v>21.0</v>
      </c>
    </row>
    <row r="393">
      <c r="A393" s="5" t="s">
        <v>1595</v>
      </c>
      <c r="B393" s="5">
        <v>712.5</v>
      </c>
    </row>
    <row r="394">
      <c r="A394" s="5" t="s">
        <v>1596</v>
      </c>
      <c r="B394" s="5">
        <v>316.0</v>
      </c>
    </row>
    <row r="395">
      <c r="A395" s="5" t="s">
        <v>1597</v>
      </c>
      <c r="B395" s="5">
        <v>745.0</v>
      </c>
    </row>
    <row r="396">
      <c r="A396" s="5" t="s">
        <v>1598</v>
      </c>
      <c r="B396" s="5">
        <v>170.0</v>
      </c>
    </row>
    <row r="397">
      <c r="A397" s="5" t="s">
        <v>1599</v>
      </c>
      <c r="B397" s="5">
        <v>81440.0</v>
      </c>
    </row>
    <row r="398">
      <c r="A398" s="5" t="s">
        <v>1600</v>
      </c>
      <c r="B398" s="5">
        <v>102.0</v>
      </c>
    </row>
    <row r="399">
      <c r="A399" s="5" t="s">
        <v>1601</v>
      </c>
      <c r="B399" s="5">
        <v>364.0</v>
      </c>
    </row>
    <row r="400">
      <c r="A400" s="5" t="s">
        <v>1602</v>
      </c>
      <c r="B400" s="5">
        <v>782.0</v>
      </c>
    </row>
    <row r="401">
      <c r="A401" s="5" t="s">
        <v>1603</v>
      </c>
      <c r="B401" s="5">
        <v>97430.7</v>
      </c>
    </row>
    <row r="402">
      <c r="A402" s="5" t="s">
        <v>1604</v>
      </c>
      <c r="B402" s="5">
        <v>442.0</v>
      </c>
    </row>
    <row r="403">
      <c r="A403" s="5" t="s">
        <v>1605</v>
      </c>
      <c r="B403" s="5">
        <v>1182.58</v>
      </c>
    </row>
    <row r="404">
      <c r="A404" s="5" t="s">
        <v>1606</v>
      </c>
      <c r="B404" s="5">
        <v>12046.7</v>
      </c>
    </row>
    <row r="405">
      <c r="A405" s="5" t="s">
        <v>1607</v>
      </c>
      <c r="B405" s="5">
        <v>1163.0</v>
      </c>
    </row>
    <row r="406">
      <c r="A406" s="5" t="s">
        <v>1608</v>
      </c>
      <c r="B406" s="5">
        <v>551.0</v>
      </c>
    </row>
    <row r="407">
      <c r="A407" s="5" t="s">
        <v>1609</v>
      </c>
      <c r="B407" s="5">
        <v>47045.21</v>
      </c>
    </row>
    <row r="408">
      <c r="A408" s="5" t="s">
        <v>1610</v>
      </c>
      <c r="B408" s="5">
        <v>238.0</v>
      </c>
    </row>
    <row r="409">
      <c r="A409" s="5" t="s">
        <v>1611</v>
      </c>
      <c r="B409" s="5">
        <v>240.0</v>
      </c>
    </row>
    <row r="410">
      <c r="A410" s="5" t="s">
        <v>1612</v>
      </c>
      <c r="B410" s="5">
        <v>554.0</v>
      </c>
    </row>
    <row r="411">
      <c r="A411" s="5" t="s">
        <v>1613</v>
      </c>
      <c r="B411" s="5">
        <v>332.0</v>
      </c>
    </row>
    <row r="412">
      <c r="A412" s="5" t="s">
        <v>1614</v>
      </c>
      <c r="B412" s="5">
        <v>14480.0</v>
      </c>
    </row>
    <row r="413">
      <c r="A413" s="5" t="s">
        <v>1615</v>
      </c>
      <c r="B413" s="5">
        <v>1361.0</v>
      </c>
    </row>
    <row r="414">
      <c r="A414" s="5" t="s">
        <v>1616</v>
      </c>
      <c r="B414" s="5">
        <v>1138.0</v>
      </c>
    </row>
    <row r="415">
      <c r="A415" s="5" t="s">
        <v>1617</v>
      </c>
      <c r="B415" s="5">
        <v>477.0</v>
      </c>
    </row>
    <row r="416">
      <c r="A416" s="5" t="s">
        <v>1618</v>
      </c>
      <c r="B416" s="5">
        <v>858.0</v>
      </c>
    </row>
    <row r="417">
      <c r="A417" s="5" t="s">
        <v>1619</v>
      </c>
      <c r="B417" s="5">
        <v>17.0</v>
      </c>
    </row>
    <row r="418">
      <c r="A418" s="5" t="s">
        <v>1620</v>
      </c>
      <c r="B418" s="5">
        <v>356.0</v>
      </c>
    </row>
    <row r="419">
      <c r="A419" s="5" t="s">
        <v>1621</v>
      </c>
      <c r="B419" s="5">
        <v>665.0</v>
      </c>
    </row>
    <row r="420">
      <c r="A420" s="5" t="s">
        <v>1622</v>
      </c>
      <c r="B420" s="5">
        <v>27056.5</v>
      </c>
    </row>
    <row r="421">
      <c r="A421" s="5" t="s">
        <v>1623</v>
      </c>
      <c r="B421" s="5">
        <v>53.0</v>
      </c>
    </row>
    <row r="422">
      <c r="A422" s="5" t="s">
        <v>1624</v>
      </c>
      <c r="B422" s="5">
        <v>3593.53</v>
      </c>
    </row>
    <row r="423">
      <c r="A423" s="5" t="s">
        <v>1625</v>
      </c>
      <c r="B423" s="5">
        <v>1999.73</v>
      </c>
    </row>
    <row r="424">
      <c r="A424" s="5" t="s">
        <v>1626</v>
      </c>
      <c r="B424" s="5">
        <v>468.0</v>
      </c>
    </row>
    <row r="425">
      <c r="A425" s="5" t="s">
        <v>1627</v>
      </c>
      <c r="B425" s="5">
        <v>676.5</v>
      </c>
    </row>
    <row r="426">
      <c r="A426" s="5" t="s">
        <v>1628</v>
      </c>
      <c r="B426" s="5">
        <v>1387.0</v>
      </c>
    </row>
    <row r="427">
      <c r="A427" s="5" t="s">
        <v>1629</v>
      </c>
      <c r="B427" s="5">
        <v>72.0</v>
      </c>
    </row>
    <row r="428">
      <c r="A428" s="5" t="s">
        <v>1630</v>
      </c>
      <c r="B428" s="5">
        <v>401.0</v>
      </c>
    </row>
    <row r="429">
      <c r="A429" s="5" t="s">
        <v>1631</v>
      </c>
      <c r="B429" s="5">
        <v>270.0</v>
      </c>
    </row>
    <row r="430">
      <c r="A430" s="5" t="s">
        <v>1632</v>
      </c>
      <c r="B430" s="5">
        <v>12250.0</v>
      </c>
    </row>
    <row r="431">
      <c r="A431" s="5" t="s">
        <v>1633</v>
      </c>
      <c r="B431" s="5">
        <v>443.0</v>
      </c>
    </row>
    <row r="432">
      <c r="A432" s="5" t="s">
        <v>1634</v>
      </c>
      <c r="B432" s="5">
        <v>306.0</v>
      </c>
    </row>
    <row r="433">
      <c r="A433" s="5" t="s">
        <v>1635</v>
      </c>
      <c r="B433" s="5">
        <v>342.0</v>
      </c>
    </row>
    <row r="434">
      <c r="A434" s="5" t="s">
        <v>1636</v>
      </c>
      <c r="B434" s="5">
        <v>322.42</v>
      </c>
    </row>
    <row r="435">
      <c r="A435" s="5" t="s">
        <v>1637</v>
      </c>
      <c r="B435" s="5">
        <v>9733.5</v>
      </c>
    </row>
    <row r="436">
      <c r="A436" s="5" t="s">
        <v>1638</v>
      </c>
      <c r="B436" s="5">
        <v>1754.0</v>
      </c>
    </row>
    <row r="437">
      <c r="A437" s="5" t="s">
        <v>1639</v>
      </c>
      <c r="B437" s="5">
        <v>418156.92</v>
      </c>
    </row>
    <row r="438">
      <c r="A438" s="5" t="s">
        <v>1640</v>
      </c>
      <c r="B438" s="5">
        <v>1067.0</v>
      </c>
    </row>
    <row r="439">
      <c r="A439" s="5" t="s">
        <v>1641</v>
      </c>
      <c r="B439" s="5">
        <v>530.0</v>
      </c>
    </row>
    <row r="440">
      <c r="A440" s="5" t="s">
        <v>1642</v>
      </c>
      <c r="B440" s="5">
        <v>8762.89</v>
      </c>
    </row>
    <row r="441">
      <c r="A441" s="5" t="s">
        <v>1643</v>
      </c>
      <c r="B441" s="5">
        <v>4698.0</v>
      </c>
    </row>
    <row r="442">
      <c r="A442" s="5" t="s">
        <v>1644</v>
      </c>
      <c r="B442" s="5">
        <v>26050.09</v>
      </c>
    </row>
    <row r="443">
      <c r="A443" s="5" t="s">
        <v>1645</v>
      </c>
      <c r="B443" s="5">
        <v>1088.4</v>
      </c>
    </row>
    <row r="444">
      <c r="A444" s="5" t="s">
        <v>1646</v>
      </c>
      <c r="B444" s="5">
        <v>138.9</v>
      </c>
    </row>
    <row r="445">
      <c r="A445" s="5" t="s">
        <v>1647</v>
      </c>
      <c r="B445" s="5">
        <v>246.0</v>
      </c>
    </row>
    <row r="446">
      <c r="A446" s="5" t="s">
        <v>1648</v>
      </c>
      <c r="B446" s="5">
        <v>16545.32</v>
      </c>
    </row>
    <row r="447">
      <c r="A447" s="5" t="s">
        <v>1649</v>
      </c>
      <c r="B447" s="5">
        <v>286.48</v>
      </c>
    </row>
    <row r="448">
      <c r="A448" s="5" t="s">
        <v>1650</v>
      </c>
      <c r="B448" s="5">
        <v>34.0</v>
      </c>
    </row>
    <row r="449">
      <c r="A449" s="5" t="s">
        <v>1651</v>
      </c>
      <c r="B449" s="5">
        <v>390.0</v>
      </c>
    </row>
    <row r="450">
      <c r="A450" s="5" t="s">
        <v>1652</v>
      </c>
      <c r="B450" s="5">
        <v>4274.5</v>
      </c>
    </row>
    <row r="451">
      <c r="A451" s="5" t="s">
        <v>1653</v>
      </c>
      <c r="B451" s="5">
        <v>102.0</v>
      </c>
    </row>
    <row r="452">
      <c r="A452" s="5" t="s">
        <v>1654</v>
      </c>
      <c r="B452" s="5">
        <v>166142.62</v>
      </c>
    </row>
    <row r="453">
      <c r="A453" s="5" t="s">
        <v>1655</v>
      </c>
      <c r="B453" s="5">
        <v>810.0</v>
      </c>
    </row>
    <row r="454">
      <c r="A454" s="5" t="s">
        <v>1656</v>
      </c>
      <c r="B454" s="5">
        <v>2592.0</v>
      </c>
    </row>
    <row r="455">
      <c r="A455" s="5" t="s">
        <v>1657</v>
      </c>
      <c r="B455" s="5">
        <v>68.0</v>
      </c>
    </row>
    <row r="456">
      <c r="A456" s="5" t="s">
        <v>1658</v>
      </c>
      <c r="B456" s="5">
        <v>48.0</v>
      </c>
    </row>
    <row r="457">
      <c r="A457" s="5" t="s">
        <v>1659</v>
      </c>
      <c r="B457" s="5">
        <v>96.0</v>
      </c>
    </row>
    <row r="458">
      <c r="A458" s="5" t="s">
        <v>1660</v>
      </c>
      <c r="B458" s="5">
        <v>2900.1</v>
      </c>
    </row>
    <row r="459">
      <c r="A459" s="5" t="s">
        <v>1661</v>
      </c>
      <c r="B459" s="5">
        <v>1204.0</v>
      </c>
    </row>
    <row r="460">
      <c r="A460" s="5" t="s">
        <v>1662</v>
      </c>
      <c r="B460" s="5">
        <v>1644.29</v>
      </c>
    </row>
    <row r="461">
      <c r="A461" s="5" t="s">
        <v>1663</v>
      </c>
      <c r="B461" s="5">
        <v>136.0</v>
      </c>
    </row>
    <row r="462">
      <c r="A462" s="5" t="s">
        <v>1664</v>
      </c>
      <c r="B462" s="5">
        <v>2161.65</v>
      </c>
    </row>
    <row r="463">
      <c r="A463" s="5" t="s">
        <v>1665</v>
      </c>
      <c r="B463" s="5">
        <v>183.0</v>
      </c>
    </row>
    <row r="464">
      <c r="A464" s="5" t="s">
        <v>1666</v>
      </c>
      <c r="B464" s="5">
        <v>1588.0</v>
      </c>
    </row>
    <row r="465">
      <c r="A465" s="5" t="s">
        <v>1667</v>
      </c>
      <c r="B465" s="5">
        <v>524.0</v>
      </c>
    </row>
    <row r="466">
      <c r="A466" s="5" t="s">
        <v>1668</v>
      </c>
      <c r="B466" s="5">
        <v>443.0</v>
      </c>
    </row>
    <row r="467">
      <c r="A467" s="5" t="s">
        <v>1669</v>
      </c>
      <c r="B467" s="5">
        <v>352.12</v>
      </c>
    </row>
    <row r="468">
      <c r="A468" s="5" t="s">
        <v>1670</v>
      </c>
      <c r="B468" s="5">
        <v>911.0</v>
      </c>
    </row>
    <row r="469">
      <c r="A469" s="5" t="s">
        <v>1671</v>
      </c>
      <c r="B469" s="5">
        <v>19733.95</v>
      </c>
    </row>
    <row r="470">
      <c r="A470" s="5" t="s">
        <v>1672</v>
      </c>
      <c r="B470" s="5">
        <v>1600.0</v>
      </c>
    </row>
    <row r="471">
      <c r="A471" s="5" t="s">
        <v>1673</v>
      </c>
      <c r="B471" s="5">
        <v>126.11</v>
      </c>
    </row>
    <row r="472">
      <c r="A472" s="5" t="s">
        <v>1674</v>
      </c>
      <c r="B472" s="5">
        <v>34.0</v>
      </c>
    </row>
    <row r="473">
      <c r="A473" s="5" t="s">
        <v>1675</v>
      </c>
      <c r="B473" s="5">
        <v>958.31</v>
      </c>
    </row>
    <row r="475">
      <c r="A475" s="5"/>
    </row>
    <row r="476">
      <c r="A476" s="5" t="s">
        <v>1676</v>
      </c>
      <c r="B476" s="5">
        <v>444.0</v>
      </c>
    </row>
    <row r="477">
      <c r="A477" s="5" t="s">
        <v>1677</v>
      </c>
      <c r="B477" s="5">
        <v>12928.0</v>
      </c>
    </row>
    <row r="478">
      <c r="A478" s="5" t="s">
        <v>1678</v>
      </c>
      <c r="B478" s="5">
        <v>1155.0</v>
      </c>
    </row>
    <row r="479">
      <c r="A479" s="5" t="s">
        <v>1679</v>
      </c>
      <c r="B479" s="5">
        <v>2414.09</v>
      </c>
    </row>
    <row r="480">
      <c r="A480" s="5" t="s">
        <v>1680</v>
      </c>
      <c r="B480" s="5">
        <v>955.0</v>
      </c>
    </row>
    <row r="481">
      <c r="A481" s="5" t="s">
        <v>1681</v>
      </c>
      <c r="B481" s="5">
        <v>2422.0</v>
      </c>
    </row>
    <row r="482">
      <c r="A482" s="5" t="s">
        <v>1682</v>
      </c>
      <c r="B482" s="5">
        <v>295.8</v>
      </c>
    </row>
    <row r="483">
      <c r="A483" s="5" t="s">
        <v>1683</v>
      </c>
      <c r="B483" s="5">
        <v>1863.0</v>
      </c>
    </row>
    <row r="484">
      <c r="A484" s="5" t="s">
        <v>1684</v>
      </c>
      <c r="B484" s="5">
        <v>2512.14</v>
      </c>
    </row>
    <row r="485">
      <c r="A485" s="5" t="s">
        <v>1685</v>
      </c>
      <c r="B485" s="5">
        <v>7410.18</v>
      </c>
    </row>
    <row r="486">
      <c r="A486" s="5" t="s">
        <v>1686</v>
      </c>
      <c r="B486" s="5">
        <v>2008.9</v>
      </c>
    </row>
    <row r="488">
      <c r="A488" s="5"/>
    </row>
    <row r="489">
      <c r="A489" s="5" t="s">
        <v>1687</v>
      </c>
      <c r="B489" s="5">
        <v>3350.53</v>
      </c>
    </row>
    <row r="490">
      <c r="A490" s="5" t="s">
        <v>1688</v>
      </c>
      <c r="B490" s="5">
        <v>739.82</v>
      </c>
    </row>
    <row r="491">
      <c r="A491" s="5" t="s">
        <v>1689</v>
      </c>
      <c r="B491" s="5">
        <v>1046.0</v>
      </c>
    </row>
    <row r="492">
      <c r="A492" s="5" t="s">
        <v>1690</v>
      </c>
      <c r="B492" s="5">
        <v>1606.7</v>
      </c>
    </row>
    <row r="493">
      <c r="A493" s="5" t="s">
        <v>1691</v>
      </c>
      <c r="B493" s="5">
        <v>34.0</v>
      </c>
    </row>
    <row r="494">
      <c r="A494" s="5" t="s">
        <v>1692</v>
      </c>
      <c r="B494" s="5">
        <v>16720.0</v>
      </c>
    </row>
    <row r="495">
      <c r="A495" s="5" t="s">
        <v>1693</v>
      </c>
      <c r="B495" s="5">
        <v>2757.99</v>
      </c>
    </row>
    <row r="496">
      <c r="A496" s="5" t="s">
        <v>1694</v>
      </c>
      <c r="B496" s="5">
        <v>2675.15</v>
      </c>
    </row>
    <row r="497">
      <c r="A497" s="5" t="s">
        <v>1695</v>
      </c>
      <c r="B497" s="5">
        <v>1928.0</v>
      </c>
    </row>
    <row r="498">
      <c r="A498" s="5" t="s">
        <v>1696</v>
      </c>
      <c r="B498" s="5">
        <v>918.0</v>
      </c>
    </row>
    <row r="499">
      <c r="A499" s="5" t="s">
        <v>1697</v>
      </c>
      <c r="B499" s="5">
        <v>22016.64</v>
      </c>
    </row>
    <row r="500">
      <c r="A500" s="5" t="s">
        <v>1698</v>
      </c>
      <c r="B500" s="5">
        <v>2712.0</v>
      </c>
    </row>
    <row r="501">
      <c r="A501" s="5" t="s">
        <v>1699</v>
      </c>
      <c r="B501" s="5">
        <v>10200.0</v>
      </c>
    </row>
    <row r="502">
      <c r="A502" s="5" t="s">
        <v>1700</v>
      </c>
      <c r="B502" s="5">
        <v>587.0</v>
      </c>
    </row>
    <row r="503">
      <c r="A503" s="5" t="s">
        <v>1701</v>
      </c>
      <c r="B503" s="5">
        <v>1394.0</v>
      </c>
    </row>
    <row r="504">
      <c r="A504" s="5" t="s">
        <v>1702</v>
      </c>
      <c r="B504" s="5">
        <v>332.0</v>
      </c>
    </row>
    <row r="505">
      <c r="A505" s="5" t="s">
        <v>1703</v>
      </c>
      <c r="B505" s="5">
        <v>1026.62</v>
      </c>
    </row>
    <row r="506">
      <c r="A506" s="5" t="s">
        <v>1704</v>
      </c>
      <c r="B506" s="5">
        <v>9037.82</v>
      </c>
    </row>
    <row r="507">
      <c r="A507" s="5" t="s">
        <v>1705</v>
      </c>
      <c r="B507" s="5">
        <v>8000.0</v>
      </c>
    </row>
    <row r="508">
      <c r="A508" s="5" t="s">
        <v>1706</v>
      </c>
      <c r="B508" s="5">
        <v>4688.6</v>
      </c>
    </row>
    <row r="509">
      <c r="A509" s="5" t="s">
        <v>1707</v>
      </c>
      <c r="B509" s="5">
        <v>564.0</v>
      </c>
    </row>
    <row r="510">
      <c r="A510" s="5" t="s">
        <v>1708</v>
      </c>
      <c r="B510" s="5">
        <v>57169.9</v>
      </c>
    </row>
    <row r="511">
      <c r="A511" s="5" t="s">
        <v>1709</v>
      </c>
      <c r="B511" s="5">
        <v>3591.0</v>
      </c>
    </row>
    <row r="512">
      <c r="A512" s="5" t="s">
        <v>1710</v>
      </c>
      <c r="B512" s="5">
        <v>9360.0</v>
      </c>
    </row>
    <row r="513">
      <c r="A513" s="5" t="s">
        <v>1711</v>
      </c>
      <c r="B513" s="5">
        <v>442.0</v>
      </c>
    </row>
    <row r="514">
      <c r="A514" s="5" t="s">
        <v>1712</v>
      </c>
      <c r="B514" s="5">
        <v>91.0</v>
      </c>
    </row>
    <row r="515">
      <c r="A515" s="5" t="s">
        <v>1713</v>
      </c>
      <c r="B515" s="5">
        <v>1279.0</v>
      </c>
    </row>
    <row r="516">
      <c r="A516" s="5" t="s">
        <v>1714</v>
      </c>
      <c r="B516" s="5">
        <v>2056.24</v>
      </c>
    </row>
    <row r="517">
      <c r="A517" s="5" t="s">
        <v>1715</v>
      </c>
      <c r="B517" s="5">
        <v>4146.21</v>
      </c>
    </row>
    <row r="518">
      <c r="A518" s="5" t="s">
        <v>1716</v>
      </c>
      <c r="B518" s="5">
        <v>922.0</v>
      </c>
    </row>
    <row r="519">
      <c r="A519" s="5" t="s">
        <v>1717</v>
      </c>
      <c r="B519" s="5">
        <v>499.28</v>
      </c>
    </row>
    <row r="520">
      <c r="A520" s="5" t="s">
        <v>1718</v>
      </c>
      <c r="B520" s="5">
        <v>34.0</v>
      </c>
    </row>
    <row r="521">
      <c r="A521" s="5" t="s">
        <v>1719</v>
      </c>
      <c r="B521" s="5">
        <v>16.0</v>
      </c>
    </row>
    <row r="522">
      <c r="A522" s="5" t="s">
        <v>1720</v>
      </c>
      <c r="B522" s="5">
        <v>334.5</v>
      </c>
    </row>
    <row r="523">
      <c r="A523" s="5" t="s">
        <v>1721</v>
      </c>
      <c r="B523" s="5">
        <v>1089.58</v>
      </c>
    </row>
    <row r="524">
      <c r="A524" s="5" t="s">
        <v>1722</v>
      </c>
      <c r="B524" s="5">
        <v>482.0</v>
      </c>
    </row>
    <row r="525">
      <c r="A525" s="5" t="s">
        <v>1723</v>
      </c>
      <c r="B525" s="5">
        <v>3370.0</v>
      </c>
    </row>
    <row r="526">
      <c r="A526" s="5" t="s">
        <v>1724</v>
      </c>
      <c r="B526" s="5">
        <v>3144.0</v>
      </c>
    </row>
    <row r="527">
      <c r="A527" s="5" t="s">
        <v>1725</v>
      </c>
      <c r="B527" s="5">
        <v>14535.0</v>
      </c>
    </row>
    <row r="528">
      <c r="A528" s="5" t="s">
        <v>1726</v>
      </c>
      <c r="B528" s="5">
        <v>3028.85</v>
      </c>
    </row>
    <row r="529">
      <c r="A529" s="5" t="s">
        <v>1727</v>
      </c>
      <c r="B529" s="5">
        <v>1012.0</v>
      </c>
    </row>
    <row r="530">
      <c r="A530" s="5" t="s">
        <v>1728</v>
      </c>
      <c r="B530" s="5">
        <v>68700.05</v>
      </c>
    </row>
    <row r="531">
      <c r="A531" s="5" t="s">
        <v>1729</v>
      </c>
      <c r="B531" s="5">
        <v>4520.0</v>
      </c>
    </row>
    <row r="532">
      <c r="A532" s="5" t="s">
        <v>1730</v>
      </c>
      <c r="B532" s="5">
        <v>459.0</v>
      </c>
    </row>
    <row r="533">
      <c r="A533" s="5" t="s">
        <v>1731</v>
      </c>
      <c r="B533" s="5">
        <v>232.0</v>
      </c>
    </row>
    <row r="534">
      <c r="A534" s="5" t="s">
        <v>1732</v>
      </c>
      <c r="B534" s="5">
        <v>359.18</v>
      </c>
    </row>
    <row r="535">
      <c r="A535" s="5" t="s">
        <v>1733</v>
      </c>
      <c r="B535" s="5">
        <v>2350.0</v>
      </c>
    </row>
    <row r="536">
      <c r="A536" s="5" t="s">
        <v>1734</v>
      </c>
      <c r="B536" s="5">
        <v>39219.0</v>
      </c>
    </row>
    <row r="537">
      <c r="A537" s="5" t="s">
        <v>1735</v>
      </c>
      <c r="B537" s="5">
        <v>3059.46</v>
      </c>
    </row>
    <row r="538">
      <c r="A538" s="5" t="s">
        <v>1736</v>
      </c>
      <c r="B538" s="5">
        <v>10448.0</v>
      </c>
    </row>
    <row r="539">
      <c r="A539" s="5" t="s">
        <v>1737</v>
      </c>
      <c r="B539" s="5">
        <v>970.0</v>
      </c>
    </row>
    <row r="540">
      <c r="A540" s="5" t="s">
        <v>1738</v>
      </c>
      <c r="B540" s="5">
        <v>1825.0</v>
      </c>
    </row>
    <row r="541">
      <c r="A541" s="5" t="s">
        <v>1739</v>
      </c>
      <c r="B541" s="5">
        <v>1857.0</v>
      </c>
    </row>
    <row r="542">
      <c r="A542" s="5" t="s">
        <v>1740</v>
      </c>
      <c r="B542" s="5">
        <v>4281.58</v>
      </c>
    </row>
    <row r="543">
      <c r="A543" s="5" t="s">
        <v>1741</v>
      </c>
      <c r="B543" s="5">
        <v>941.0</v>
      </c>
    </row>
    <row r="544">
      <c r="A544" s="5" t="s">
        <v>1742</v>
      </c>
      <c r="B544" s="5">
        <v>897.6</v>
      </c>
    </row>
    <row r="545">
      <c r="A545" s="5" t="s">
        <v>1743</v>
      </c>
      <c r="B545" s="5">
        <v>575.0</v>
      </c>
    </row>
    <row r="546">
      <c r="A546" s="5" t="s">
        <v>1744</v>
      </c>
      <c r="B546" s="5">
        <v>560.21</v>
      </c>
    </row>
    <row r="547">
      <c r="A547" s="5" t="s">
        <v>1745</v>
      </c>
      <c r="B547" s="5">
        <v>1370.0</v>
      </c>
    </row>
    <row r="548">
      <c r="A548" s="5" t="s">
        <v>1746</v>
      </c>
      <c r="B548" s="5">
        <v>560.0</v>
      </c>
    </row>
    <row r="549">
      <c r="A549" s="5" t="s">
        <v>1747</v>
      </c>
      <c r="B549" s="5">
        <v>1293.0</v>
      </c>
    </row>
    <row r="550">
      <c r="A550" s="5" t="s">
        <v>1748</v>
      </c>
      <c r="B550" s="5">
        <v>15648.6</v>
      </c>
    </row>
    <row r="551">
      <c r="A551" s="5" t="s">
        <v>1749</v>
      </c>
      <c r="B551" s="5">
        <v>604.5</v>
      </c>
    </row>
    <row r="552">
      <c r="A552" s="5" t="s">
        <v>1750</v>
      </c>
      <c r="B552" s="5">
        <v>186.3</v>
      </c>
    </row>
    <row r="553">
      <c r="A553" s="5" t="s">
        <v>1751</v>
      </c>
      <c r="B553" s="5">
        <v>663.0</v>
      </c>
    </row>
    <row r="554">
      <c r="A554" s="5" t="s">
        <v>1752</v>
      </c>
      <c r="B554" s="5">
        <v>564.0</v>
      </c>
    </row>
    <row r="555">
      <c r="A555" s="5" t="s">
        <v>1753</v>
      </c>
      <c r="B555" s="5">
        <v>35834.0</v>
      </c>
    </row>
    <row r="556">
      <c r="A556" s="5" t="s">
        <v>1754</v>
      </c>
      <c r="B556" s="5">
        <v>322.0</v>
      </c>
    </row>
    <row r="557">
      <c r="A557" s="5" t="s">
        <v>1755</v>
      </c>
      <c r="B557" s="5">
        <v>516.0</v>
      </c>
    </row>
    <row r="558">
      <c r="A558" s="5" t="s">
        <v>1756</v>
      </c>
      <c r="B558" s="5">
        <v>167973.0</v>
      </c>
    </row>
    <row r="559">
      <c r="A559" s="5" t="s">
        <v>1757</v>
      </c>
      <c r="B559" s="5">
        <v>645.0</v>
      </c>
    </row>
    <row r="560">
      <c r="A560" s="5" t="s">
        <v>1758</v>
      </c>
      <c r="B560" s="5">
        <v>4710.0</v>
      </c>
    </row>
    <row r="561">
      <c r="A561" s="5" t="s">
        <v>1759</v>
      </c>
      <c r="B561" s="5">
        <v>639.0</v>
      </c>
    </row>
    <row r="562">
      <c r="A562" s="5" t="s">
        <v>1760</v>
      </c>
      <c r="B562" s="5">
        <v>3418.0</v>
      </c>
    </row>
    <row r="563">
      <c r="A563" s="5" t="s">
        <v>1761</v>
      </c>
      <c r="B563" s="5">
        <v>48.0</v>
      </c>
    </row>
    <row r="564">
      <c r="A564" s="5" t="s">
        <v>1762</v>
      </c>
      <c r="B564" s="5">
        <v>244366.62</v>
      </c>
    </row>
    <row r="565">
      <c r="A565" s="5" t="s">
        <v>1763</v>
      </c>
      <c r="B565" s="5">
        <v>2764.0</v>
      </c>
    </row>
    <row r="566">
      <c r="A566" s="5" t="s">
        <v>1764</v>
      </c>
      <c r="B566" s="5">
        <v>136.0</v>
      </c>
    </row>
    <row r="567">
      <c r="A567" s="5" t="s">
        <v>1765</v>
      </c>
      <c r="B567" s="5">
        <v>3550.0</v>
      </c>
    </row>
    <row r="568">
      <c r="A568" s="5" t="s">
        <v>1766</v>
      </c>
      <c r="B568" s="5">
        <v>5841.78</v>
      </c>
    </row>
    <row r="569">
      <c r="A569" s="5" t="s">
        <v>1767</v>
      </c>
      <c r="B569" s="5">
        <v>102.0</v>
      </c>
    </row>
    <row r="570">
      <c r="A570" s="5" t="s">
        <v>1768</v>
      </c>
      <c r="B570" s="5">
        <v>552.0</v>
      </c>
    </row>
    <row r="571">
      <c r="A571" s="5" t="s">
        <v>1769</v>
      </c>
      <c r="B571" s="5">
        <v>160.0</v>
      </c>
    </row>
    <row r="572">
      <c r="A572" s="5" t="s">
        <v>1770</v>
      </c>
      <c r="B572" s="5">
        <v>2640.0</v>
      </c>
    </row>
    <row r="573">
      <c r="A573" s="5" t="s">
        <v>1771</v>
      </c>
      <c r="B573" s="5">
        <v>360.0</v>
      </c>
    </row>
    <row r="574">
      <c r="A574" s="5" t="s">
        <v>1772</v>
      </c>
      <c r="B574" s="5">
        <v>13092.46</v>
      </c>
    </row>
    <row r="575">
      <c r="A575" s="5" t="s">
        <v>1773</v>
      </c>
      <c r="B575" s="5">
        <v>24464.38</v>
      </c>
    </row>
    <row r="576">
      <c r="A576" s="5" t="s">
        <v>1774</v>
      </c>
      <c r="B576" s="5">
        <v>80140.79</v>
      </c>
    </row>
    <row r="577">
      <c r="A577" s="5" t="s">
        <v>1775</v>
      </c>
      <c r="B577" s="5">
        <v>34.0</v>
      </c>
    </row>
    <row r="578">
      <c r="A578" s="5" t="s">
        <v>1776</v>
      </c>
      <c r="B578" s="5">
        <v>797.47</v>
      </c>
    </row>
    <row r="579">
      <c r="A579" s="5" t="s">
        <v>1777</v>
      </c>
      <c r="B579" s="5">
        <v>952.0</v>
      </c>
    </row>
    <row r="580">
      <c r="A580" s="5" t="s">
        <v>1778</v>
      </c>
      <c r="B580" s="5">
        <v>106.0</v>
      </c>
    </row>
    <row r="581">
      <c r="A581" s="5" t="s">
        <v>1779</v>
      </c>
      <c r="B581" s="5">
        <v>392.0</v>
      </c>
    </row>
    <row r="582">
      <c r="A582" s="5" t="s">
        <v>1780</v>
      </c>
      <c r="B582" s="5">
        <v>286.0</v>
      </c>
    </row>
    <row r="583">
      <c r="A583" s="5" t="s">
        <v>1781</v>
      </c>
      <c r="B583" s="5">
        <v>3241.24</v>
      </c>
    </row>
    <row r="584">
      <c r="A584" s="5" t="s">
        <v>1782</v>
      </c>
      <c r="B584" s="5">
        <v>1289.66</v>
      </c>
    </row>
    <row r="585">
      <c r="A585" s="5" t="s">
        <v>1783</v>
      </c>
      <c r="B585" s="5">
        <v>3923.0</v>
      </c>
    </row>
    <row r="586">
      <c r="A586" s="5" t="s">
        <v>1784</v>
      </c>
      <c r="B586" s="5">
        <v>1252.67</v>
      </c>
    </row>
    <row r="587">
      <c r="A587" s="5" t="s">
        <v>1785</v>
      </c>
      <c r="B587" s="5">
        <v>665.0</v>
      </c>
    </row>
    <row r="588">
      <c r="A588" s="5" t="s">
        <v>1786</v>
      </c>
      <c r="B588" s="5">
        <v>14.0</v>
      </c>
    </row>
    <row r="589">
      <c r="A589" s="5" t="s">
        <v>1787</v>
      </c>
      <c r="B589" s="5">
        <v>984.0</v>
      </c>
    </row>
    <row r="590">
      <c r="A590" s="5" t="s">
        <v>1788</v>
      </c>
      <c r="B590" s="5">
        <v>1496.0</v>
      </c>
    </row>
    <row r="591">
      <c r="A591" s="5" t="s">
        <v>1789</v>
      </c>
      <c r="B591" s="5">
        <v>24.0</v>
      </c>
    </row>
    <row r="592">
      <c r="A592" s="5" t="s">
        <v>1790</v>
      </c>
      <c r="B592" s="5">
        <v>58.32</v>
      </c>
    </row>
    <row r="593">
      <c r="A593" s="5" t="s">
        <v>1791</v>
      </c>
      <c r="B593" s="5">
        <v>1312.0</v>
      </c>
    </row>
    <row r="594">
      <c r="A594" s="5" t="s">
        <v>1792</v>
      </c>
      <c r="B594" s="5">
        <v>1102.0</v>
      </c>
    </row>
    <row r="595">
      <c r="A595" s="5" t="s">
        <v>1793</v>
      </c>
      <c r="B595" s="5">
        <v>1502.0</v>
      </c>
    </row>
    <row r="596">
      <c r="A596" s="5" t="s">
        <v>1794</v>
      </c>
      <c r="B596" s="5">
        <v>2658.0</v>
      </c>
    </row>
    <row r="597">
      <c r="A597" s="5" t="s">
        <v>1795</v>
      </c>
      <c r="B597" s="5">
        <v>774.0</v>
      </c>
    </row>
    <row r="598">
      <c r="A598" s="5" t="s">
        <v>1796</v>
      </c>
      <c r="B598" s="5">
        <v>178.0</v>
      </c>
    </row>
    <row r="599">
      <c r="A599" s="5" t="s">
        <v>1797</v>
      </c>
      <c r="B599" s="5">
        <v>17748.87</v>
      </c>
    </row>
    <row r="600">
      <c r="A600" s="5" t="s">
        <v>1798</v>
      </c>
      <c r="B600" s="5">
        <v>555.0</v>
      </c>
    </row>
    <row r="601">
      <c r="A601" s="5" t="s">
        <v>1799</v>
      </c>
      <c r="B601" s="5">
        <v>34.0</v>
      </c>
    </row>
    <row r="602">
      <c r="A602" s="5" t="s">
        <v>1800</v>
      </c>
      <c r="B602" s="5">
        <v>23.0</v>
      </c>
    </row>
    <row r="603">
      <c r="A603" s="5" t="s">
        <v>1801</v>
      </c>
      <c r="B603" s="5">
        <v>1089.14</v>
      </c>
    </row>
    <row r="604">
      <c r="A604" s="5" t="s">
        <v>1802</v>
      </c>
      <c r="B604" s="5">
        <v>753.76</v>
      </c>
    </row>
    <row r="605">
      <c r="A605" s="5" t="s">
        <v>1803</v>
      </c>
      <c r="B605" s="5">
        <v>241.2</v>
      </c>
    </row>
    <row r="606">
      <c r="A606" s="5" t="s">
        <v>1804</v>
      </c>
      <c r="B606" s="5">
        <v>48.0</v>
      </c>
    </row>
    <row r="607">
      <c r="A607" s="5" t="s">
        <v>1805</v>
      </c>
      <c r="B607" s="5">
        <v>663.0</v>
      </c>
    </row>
    <row r="608">
      <c r="A608" s="5" t="s">
        <v>1806</v>
      </c>
      <c r="B608" s="5">
        <v>1714.08</v>
      </c>
    </row>
    <row r="609">
      <c r="A609" s="5" t="s">
        <v>1807</v>
      </c>
      <c r="B609" s="5">
        <v>48.0</v>
      </c>
    </row>
    <row r="610">
      <c r="A610" s="5" t="s">
        <v>1808</v>
      </c>
      <c r="B610" s="5">
        <v>286.0</v>
      </c>
    </row>
    <row r="611">
      <c r="A611" s="5" t="s">
        <v>1809</v>
      </c>
      <c r="B611" s="5">
        <v>24.0</v>
      </c>
    </row>
    <row r="612">
      <c r="A612" s="5" t="s">
        <v>1810</v>
      </c>
      <c r="B612" s="5">
        <v>2217.78</v>
      </c>
    </row>
    <row r="613">
      <c r="A613" s="5" t="s">
        <v>1811</v>
      </c>
      <c r="B613" s="5">
        <v>738.06</v>
      </c>
    </row>
    <row r="614">
      <c r="A614" s="5" t="s">
        <v>1812</v>
      </c>
      <c r="B614" s="5">
        <v>507.89</v>
      </c>
    </row>
    <row r="615">
      <c r="A615" s="5" t="s">
        <v>1813</v>
      </c>
      <c r="B615" s="5">
        <v>2071.38</v>
      </c>
    </row>
    <row r="616">
      <c r="A616" s="5" t="s">
        <v>1814</v>
      </c>
      <c r="B616" s="5">
        <v>427.68</v>
      </c>
    </row>
    <row r="617">
      <c r="A617" s="5" t="s">
        <v>1815</v>
      </c>
      <c r="B617" s="5">
        <v>78310.0</v>
      </c>
    </row>
    <row r="618">
      <c r="A618" s="5" t="s">
        <v>1816</v>
      </c>
      <c r="B618" s="5">
        <v>42499.0</v>
      </c>
    </row>
    <row r="619">
      <c r="A619" s="5" t="s">
        <v>1817</v>
      </c>
      <c r="B619" s="5">
        <v>4551.0</v>
      </c>
    </row>
    <row r="620">
      <c r="A620" s="5" t="s">
        <v>1818</v>
      </c>
      <c r="B620" s="5">
        <v>868.9</v>
      </c>
    </row>
    <row r="621">
      <c r="A621" s="5" t="s">
        <v>1819</v>
      </c>
      <c r="B621" s="5">
        <v>223.0</v>
      </c>
    </row>
    <row r="622">
      <c r="A622" s="5" t="s">
        <v>1820</v>
      </c>
      <c r="B622" s="5">
        <v>444.0</v>
      </c>
    </row>
    <row r="623">
      <c r="A623" s="5" t="s">
        <v>1821</v>
      </c>
      <c r="B623" s="5">
        <v>2192.57</v>
      </c>
    </row>
    <row r="624">
      <c r="A624" s="5" t="s">
        <v>1822</v>
      </c>
      <c r="B624" s="5">
        <v>7026.2</v>
      </c>
    </row>
    <row r="625">
      <c r="A625" s="5" t="s">
        <v>1823</v>
      </c>
      <c r="B625" s="5">
        <v>16264.0</v>
      </c>
    </row>
    <row r="626">
      <c r="A626" s="5" t="s">
        <v>1824</v>
      </c>
      <c r="B626" s="5">
        <v>588.5</v>
      </c>
    </row>
    <row r="627">
      <c r="A627" s="5" t="s">
        <v>1825</v>
      </c>
      <c r="B627" s="5">
        <v>1990.0</v>
      </c>
    </row>
    <row r="628">
      <c r="A628" s="5" t="s">
        <v>1826</v>
      </c>
      <c r="B628" s="5">
        <v>220.0</v>
      </c>
    </row>
    <row r="629">
      <c r="A629" s="5" t="s">
        <v>1827</v>
      </c>
      <c r="B629" s="5">
        <v>95.0</v>
      </c>
    </row>
    <row r="630">
      <c r="A630" s="5" t="s">
        <v>1828</v>
      </c>
      <c r="B630" s="5">
        <v>2170.0</v>
      </c>
    </row>
    <row r="631">
      <c r="A631" s="5" t="s">
        <v>1829</v>
      </c>
      <c r="B631" s="5">
        <v>254.0</v>
      </c>
    </row>
    <row r="632">
      <c r="A632" s="5" t="s">
        <v>1830</v>
      </c>
      <c r="B632" s="5">
        <v>4024.0</v>
      </c>
    </row>
    <row r="633">
      <c r="A633" s="5" t="s">
        <v>1831</v>
      </c>
      <c r="B633" s="5">
        <v>585.0</v>
      </c>
    </row>
    <row r="634">
      <c r="A634" s="5" t="s">
        <v>1832</v>
      </c>
      <c r="B634" s="5">
        <v>332.0</v>
      </c>
    </row>
    <row r="635">
      <c r="A635" s="5" t="s">
        <v>1833</v>
      </c>
      <c r="B635" s="5">
        <v>623.92</v>
      </c>
    </row>
    <row r="636">
      <c r="A636" s="5" t="s">
        <v>1834</v>
      </c>
      <c r="B636" s="5">
        <v>178.0</v>
      </c>
    </row>
    <row r="637">
      <c r="A637" s="5" t="s">
        <v>1835</v>
      </c>
      <c r="B637" s="5">
        <v>178.0</v>
      </c>
    </row>
    <row r="638">
      <c r="A638" s="5" t="s">
        <v>1836</v>
      </c>
      <c r="B638" s="5">
        <v>1103.0</v>
      </c>
    </row>
    <row r="639">
      <c r="A639" s="5" t="s">
        <v>1837</v>
      </c>
      <c r="B639" s="5">
        <v>12084.0</v>
      </c>
    </row>
    <row r="640">
      <c r="A640" s="5" t="s">
        <v>1838</v>
      </c>
      <c r="B640" s="5">
        <v>700.0</v>
      </c>
    </row>
    <row r="641">
      <c r="A641" s="5" t="s">
        <v>1839</v>
      </c>
      <c r="B641" s="5">
        <v>2880.0</v>
      </c>
    </row>
    <row r="642">
      <c r="A642" s="5" t="s">
        <v>1840</v>
      </c>
      <c r="B642" s="5">
        <v>72.0</v>
      </c>
    </row>
    <row r="643">
      <c r="A643" s="5" t="s">
        <v>1841</v>
      </c>
      <c r="B643" s="5">
        <v>265.0</v>
      </c>
    </row>
    <row r="644">
      <c r="A644" s="5" t="s">
        <v>1842</v>
      </c>
      <c r="B644" s="5">
        <v>5600.0</v>
      </c>
    </row>
    <row r="645">
      <c r="A645" s="5" t="s">
        <v>1843</v>
      </c>
      <c r="B645" s="5">
        <v>2257.0</v>
      </c>
    </row>
    <row r="646">
      <c r="A646" s="5" t="s">
        <v>1844</v>
      </c>
      <c r="B646" s="5">
        <v>597.68</v>
      </c>
    </row>
    <row r="647">
      <c r="A647" s="5" t="s">
        <v>1845</v>
      </c>
      <c r="B647" s="5">
        <v>52.0</v>
      </c>
    </row>
    <row r="648">
      <c r="A648" s="5" t="s">
        <v>1846</v>
      </c>
      <c r="B648" s="5">
        <v>587.0</v>
      </c>
    </row>
    <row r="649">
      <c r="A649" s="5" t="s">
        <v>1847</v>
      </c>
      <c r="B649" s="5">
        <v>166.0</v>
      </c>
    </row>
    <row r="650">
      <c r="A650" s="5" t="s">
        <v>1848</v>
      </c>
      <c r="B650" s="5">
        <v>184.0</v>
      </c>
    </row>
    <row r="651">
      <c r="A651" s="5" t="s">
        <v>1849</v>
      </c>
      <c r="B651" s="5">
        <v>115329.95</v>
      </c>
    </row>
    <row r="652">
      <c r="A652" s="5" t="s">
        <v>1850</v>
      </c>
      <c r="B652" s="5">
        <v>880.32</v>
      </c>
    </row>
    <row r="653">
      <c r="A653" s="5" t="s">
        <v>1851</v>
      </c>
      <c r="B653" s="5">
        <v>1588.79</v>
      </c>
    </row>
    <row r="654">
      <c r="A654" s="5" t="s">
        <v>1852</v>
      </c>
      <c r="B654" s="5">
        <v>3366.04</v>
      </c>
    </row>
    <row r="655">
      <c r="A655" s="5" t="s">
        <v>1853</v>
      </c>
      <c r="B655" s="5">
        <v>24.0</v>
      </c>
    </row>
    <row r="656">
      <c r="A656" s="5" t="s">
        <v>1854</v>
      </c>
      <c r="B656" s="5">
        <v>1058.82</v>
      </c>
    </row>
    <row r="657">
      <c r="A657" s="5" t="s">
        <v>1855</v>
      </c>
      <c r="B657" s="5">
        <v>2286.0</v>
      </c>
    </row>
    <row r="658">
      <c r="A658" s="5" t="s">
        <v>1856</v>
      </c>
      <c r="B658" s="5">
        <v>444.0</v>
      </c>
    </row>
    <row r="659">
      <c r="A659" s="5" t="s">
        <v>1857</v>
      </c>
      <c r="B659" s="5">
        <v>231.0</v>
      </c>
    </row>
    <row r="660">
      <c r="A660" s="5" t="s">
        <v>1858</v>
      </c>
      <c r="B660" s="5">
        <v>34.0</v>
      </c>
    </row>
    <row r="661">
      <c r="A661" s="5" t="s">
        <v>1859</v>
      </c>
      <c r="B661" s="5">
        <v>5040.0</v>
      </c>
    </row>
    <row r="662">
      <c r="A662" s="5" t="s">
        <v>1860</v>
      </c>
      <c r="B662" s="5">
        <v>2163.72</v>
      </c>
    </row>
    <row r="663">
      <c r="A663" s="5" t="s">
        <v>1861</v>
      </c>
      <c r="B663" s="5">
        <v>172.0</v>
      </c>
    </row>
    <row r="664">
      <c r="A664" s="5" t="s">
        <v>1862</v>
      </c>
      <c r="B664" s="5">
        <v>178.0</v>
      </c>
    </row>
    <row r="665">
      <c r="A665" s="5" t="s">
        <v>1863</v>
      </c>
      <c r="B665" s="5">
        <v>11761.17</v>
      </c>
    </row>
    <row r="666">
      <c r="A666" s="5" t="s">
        <v>1864</v>
      </c>
      <c r="B666" s="5">
        <v>4000.5</v>
      </c>
    </row>
    <row r="667">
      <c r="A667" s="5" t="s">
        <v>1865</v>
      </c>
      <c r="B667" s="5">
        <v>1215.0</v>
      </c>
    </row>
    <row r="668">
      <c r="A668" s="5" t="s">
        <v>1866</v>
      </c>
      <c r="B668" s="5">
        <v>1548.0</v>
      </c>
    </row>
    <row r="669">
      <c r="A669" s="5" t="s">
        <v>1867</v>
      </c>
      <c r="B669" s="5">
        <v>7938.0</v>
      </c>
    </row>
    <row r="670">
      <c r="A670" s="5" t="s">
        <v>1868</v>
      </c>
      <c r="B670" s="5">
        <v>7642.5</v>
      </c>
    </row>
    <row r="671">
      <c r="A671" s="5" t="s">
        <v>1869</v>
      </c>
      <c r="B671" s="5">
        <v>1905.0</v>
      </c>
    </row>
    <row r="672">
      <c r="A672" s="5" t="s">
        <v>1870</v>
      </c>
      <c r="B672" s="5">
        <v>273.0</v>
      </c>
    </row>
    <row r="673">
      <c r="A673" s="5" t="s">
        <v>1871</v>
      </c>
      <c r="B673" s="5">
        <v>711.35</v>
      </c>
    </row>
    <row r="674">
      <c r="A674" s="5" t="s">
        <v>1872</v>
      </c>
      <c r="B674" s="5">
        <v>68.0</v>
      </c>
    </row>
    <row r="675">
      <c r="A675" s="5" t="s">
        <v>1873</v>
      </c>
      <c r="B675" s="5">
        <v>577.48</v>
      </c>
    </row>
    <row r="676">
      <c r="A676" s="5" t="s">
        <v>1874</v>
      </c>
      <c r="B676" s="5">
        <v>34.0</v>
      </c>
    </row>
    <row r="677">
      <c r="A677" s="5" t="s">
        <v>1875</v>
      </c>
      <c r="B677" s="5">
        <v>676.5</v>
      </c>
    </row>
    <row r="678">
      <c r="A678" s="5" t="s">
        <v>1876</v>
      </c>
      <c r="B678" s="5">
        <v>598.56</v>
      </c>
    </row>
    <row r="679">
      <c r="A679" s="5" t="s">
        <v>1877</v>
      </c>
      <c r="B679" s="5">
        <v>10720.0</v>
      </c>
    </row>
    <row r="680">
      <c r="A680" s="5" t="s">
        <v>1878</v>
      </c>
      <c r="B680" s="5">
        <v>2592.0</v>
      </c>
    </row>
    <row r="681">
      <c r="A681" s="5" t="s">
        <v>1879</v>
      </c>
      <c r="B681" s="5">
        <v>34.0</v>
      </c>
    </row>
    <row r="682">
      <c r="A682" s="5" t="s">
        <v>1880</v>
      </c>
      <c r="B682" s="5">
        <v>11052.0</v>
      </c>
    </row>
    <row r="683">
      <c r="A683" s="5" t="s">
        <v>1881</v>
      </c>
      <c r="B683" s="5">
        <v>1463.15</v>
      </c>
    </row>
    <row r="684">
      <c r="A684" s="5" t="s">
        <v>1882</v>
      </c>
      <c r="B684" s="5">
        <v>486.7</v>
      </c>
    </row>
    <row r="685">
      <c r="A685" s="5" t="s">
        <v>1883</v>
      </c>
      <c r="B685" s="5">
        <v>170.0</v>
      </c>
    </row>
    <row r="686">
      <c r="A686" s="5" t="s">
        <v>1884</v>
      </c>
      <c r="B686" s="5">
        <v>3600.0</v>
      </c>
    </row>
    <row r="687">
      <c r="A687" s="5" t="s">
        <v>1885</v>
      </c>
      <c r="B687" s="5">
        <v>2155.0</v>
      </c>
    </row>
    <row r="688">
      <c r="A688" s="5" t="s">
        <v>1886</v>
      </c>
      <c r="B688" s="5">
        <v>43566.0</v>
      </c>
    </row>
    <row r="689">
      <c r="A689" s="5" t="s">
        <v>1887</v>
      </c>
      <c r="B689" s="5">
        <v>708.0</v>
      </c>
    </row>
    <row r="690">
      <c r="A690" s="5" t="s">
        <v>1888</v>
      </c>
      <c r="B690" s="5">
        <v>588.0</v>
      </c>
    </row>
    <row r="691">
      <c r="A691" s="5" t="s">
        <v>1889</v>
      </c>
      <c r="B691" s="5">
        <v>529.8</v>
      </c>
    </row>
    <row r="692">
      <c r="A692" s="5" t="s">
        <v>1890</v>
      </c>
      <c r="B692" s="5">
        <v>1013.12</v>
      </c>
    </row>
    <row r="693">
      <c r="A693" s="5" t="s">
        <v>1891</v>
      </c>
      <c r="B693" s="5">
        <v>1705.0</v>
      </c>
    </row>
    <row r="694">
      <c r="A694" s="5" t="s">
        <v>1892</v>
      </c>
      <c r="B694" s="5">
        <v>1932.0</v>
      </c>
    </row>
    <row r="695">
      <c r="A695" s="5" t="s">
        <v>1893</v>
      </c>
      <c r="B695" s="5">
        <v>847.2</v>
      </c>
    </row>
    <row r="696">
      <c r="A696" s="5" t="s">
        <v>1894</v>
      </c>
      <c r="B696" s="5">
        <v>444.0</v>
      </c>
    </row>
    <row r="697">
      <c r="A697" s="5" t="s">
        <v>1895</v>
      </c>
      <c r="B697" s="5">
        <v>495.0</v>
      </c>
    </row>
    <row r="698">
      <c r="A698" s="5" t="s">
        <v>1896</v>
      </c>
      <c r="B698" s="5">
        <v>126.0</v>
      </c>
    </row>
    <row r="699">
      <c r="A699" s="5" t="s">
        <v>1897</v>
      </c>
      <c r="B699" s="5">
        <v>72621.24</v>
      </c>
    </row>
    <row r="700">
      <c r="A700" s="5" t="s">
        <v>1898</v>
      </c>
      <c r="B700" s="5">
        <v>34.0</v>
      </c>
    </row>
    <row r="701">
      <c r="A701" s="5" t="s">
        <v>1899</v>
      </c>
      <c r="B701" s="5">
        <v>141.0</v>
      </c>
    </row>
    <row r="702">
      <c r="A702" s="5" t="s">
        <v>1900</v>
      </c>
      <c r="B702" s="5">
        <v>3573.48</v>
      </c>
    </row>
    <row r="703">
      <c r="A703" s="5" t="s">
        <v>1901</v>
      </c>
      <c r="B703" s="5">
        <v>526.0</v>
      </c>
    </row>
    <row r="704">
      <c r="A704" s="5" t="s">
        <v>1902</v>
      </c>
      <c r="B704" s="5">
        <v>25882.0</v>
      </c>
    </row>
    <row r="705">
      <c r="A705" s="5" t="s">
        <v>1903</v>
      </c>
      <c r="B705" s="5">
        <v>745.0</v>
      </c>
    </row>
    <row r="706">
      <c r="A706" s="5" t="s">
        <v>1904</v>
      </c>
      <c r="B706" s="5">
        <v>789.0</v>
      </c>
    </row>
    <row r="707">
      <c r="A707" s="5" t="s">
        <v>1905</v>
      </c>
      <c r="B707" s="5">
        <v>48.0</v>
      </c>
    </row>
    <row r="708">
      <c r="A708" s="5" t="s">
        <v>1906</v>
      </c>
      <c r="B708" s="5">
        <v>1583.0</v>
      </c>
    </row>
    <row r="709">
      <c r="A709" s="5" t="s">
        <v>1907</v>
      </c>
      <c r="B709" s="5">
        <v>4926.95</v>
      </c>
    </row>
    <row r="710">
      <c r="A710" s="5" t="s">
        <v>1908</v>
      </c>
      <c r="B710" s="5">
        <v>4486.0</v>
      </c>
    </row>
    <row r="711">
      <c r="A711" s="5" t="s">
        <v>1909</v>
      </c>
      <c r="B711" s="5">
        <v>36770.47</v>
      </c>
    </row>
    <row r="712">
      <c r="A712" s="5" t="s">
        <v>1910</v>
      </c>
      <c r="B712" s="5">
        <v>21440.0</v>
      </c>
    </row>
    <row r="713">
      <c r="A713" s="5" t="s">
        <v>1911</v>
      </c>
      <c r="B713" s="5">
        <v>5706.0</v>
      </c>
    </row>
    <row r="714">
      <c r="A714" s="5" t="s">
        <v>1912</v>
      </c>
      <c r="B714" s="5">
        <v>1008.0</v>
      </c>
    </row>
    <row r="715">
      <c r="A715" s="5" t="s">
        <v>1913</v>
      </c>
      <c r="B715" s="5">
        <v>20880.0</v>
      </c>
    </row>
    <row r="716">
      <c r="A716" s="5" t="s">
        <v>1914</v>
      </c>
      <c r="B716" s="5">
        <v>443.0</v>
      </c>
    </row>
    <row r="717">
      <c r="A717" s="5" t="s">
        <v>1915</v>
      </c>
      <c r="B717" s="5">
        <v>198.0</v>
      </c>
    </row>
    <row r="718">
      <c r="A718" s="5" t="s">
        <v>1916</v>
      </c>
      <c r="B718" s="5">
        <v>27.0</v>
      </c>
    </row>
    <row r="719">
      <c r="A719" s="5" t="s">
        <v>1917</v>
      </c>
      <c r="B719" s="5">
        <v>200.0</v>
      </c>
    </row>
    <row r="720">
      <c r="A720" s="5" t="s">
        <v>1918</v>
      </c>
      <c r="B720" s="5">
        <v>1360.0</v>
      </c>
    </row>
    <row r="721">
      <c r="A721" s="5" t="s">
        <v>1919</v>
      </c>
      <c r="B721" s="5">
        <v>1598.28</v>
      </c>
    </row>
    <row r="722">
      <c r="A722" s="5" t="s">
        <v>1920</v>
      </c>
      <c r="B722" s="5">
        <v>332.0</v>
      </c>
    </row>
    <row r="723">
      <c r="A723" s="5" t="s">
        <v>1921</v>
      </c>
      <c r="B723" s="5">
        <v>3996.0</v>
      </c>
    </row>
    <row r="724">
      <c r="A724" s="5" t="s">
        <v>1922</v>
      </c>
      <c r="B724" s="5">
        <v>356.0</v>
      </c>
    </row>
    <row r="725">
      <c r="A725" s="5" t="s">
        <v>1923</v>
      </c>
      <c r="B725" s="5">
        <v>3809.22</v>
      </c>
    </row>
    <row r="726">
      <c r="A726" s="5" t="s">
        <v>1924</v>
      </c>
      <c r="B726" s="5">
        <v>42.0</v>
      </c>
    </row>
    <row r="727">
      <c r="A727" s="5" t="s">
        <v>1925</v>
      </c>
      <c r="B727" s="5">
        <v>180.66</v>
      </c>
    </row>
    <row r="728">
      <c r="A728" s="5" t="s">
        <v>1926</v>
      </c>
      <c r="B728" s="5">
        <v>277.0</v>
      </c>
    </row>
    <row r="729">
      <c r="A729" s="5" t="s">
        <v>1927</v>
      </c>
      <c r="B729" s="5">
        <v>1548.0</v>
      </c>
    </row>
    <row r="730">
      <c r="A730" s="5" t="s">
        <v>1928</v>
      </c>
      <c r="B730" s="5">
        <v>4209.0</v>
      </c>
    </row>
    <row r="731">
      <c r="A731" s="5" t="s">
        <v>1929</v>
      </c>
      <c r="B731" s="5">
        <v>105.0</v>
      </c>
    </row>
    <row r="732">
      <c r="A732" s="5" t="s">
        <v>1930</v>
      </c>
      <c r="B732" s="5">
        <v>400.0</v>
      </c>
    </row>
    <row r="733">
      <c r="A733" s="5" t="s">
        <v>1931</v>
      </c>
      <c r="B733" s="5">
        <v>1143.0</v>
      </c>
    </row>
    <row r="734">
      <c r="A734" s="5" t="s">
        <v>1932</v>
      </c>
      <c r="B734" s="5">
        <v>597.0</v>
      </c>
    </row>
    <row r="735">
      <c r="A735" s="5" t="s">
        <v>1933</v>
      </c>
      <c r="B735" s="5">
        <v>1229.66</v>
      </c>
    </row>
    <row r="736">
      <c r="A736" s="5" t="s">
        <v>1934</v>
      </c>
      <c r="B736" s="5">
        <v>58.0</v>
      </c>
    </row>
    <row r="737">
      <c r="A737" s="5" t="s">
        <v>1935</v>
      </c>
      <c r="B737" s="5">
        <v>696.0</v>
      </c>
    </row>
    <row r="738">
      <c r="A738" s="5" t="s">
        <v>1936</v>
      </c>
      <c r="B738" s="5">
        <v>111001.2</v>
      </c>
    </row>
    <row r="739">
      <c r="A739" s="5" t="s">
        <v>1937</v>
      </c>
      <c r="B739" s="5">
        <v>79590.1</v>
      </c>
    </row>
    <row r="740">
      <c r="A740" s="5" t="s">
        <v>1938</v>
      </c>
      <c r="B740" s="5">
        <v>842.0</v>
      </c>
    </row>
    <row r="741">
      <c r="A741" s="5" t="s">
        <v>1939</v>
      </c>
      <c r="B741" s="5">
        <v>4473.0</v>
      </c>
    </row>
    <row r="742">
      <c r="A742" s="5" t="s">
        <v>1940</v>
      </c>
      <c r="B742" s="5">
        <v>29255.0</v>
      </c>
    </row>
    <row r="743">
      <c r="A743" s="5" t="s">
        <v>1941</v>
      </c>
      <c r="B743" s="5">
        <v>396.0</v>
      </c>
    </row>
    <row r="744">
      <c r="A744" s="5" t="s">
        <v>1942</v>
      </c>
      <c r="B744" s="5">
        <v>611.0</v>
      </c>
    </row>
    <row r="745">
      <c r="A745" s="5" t="s">
        <v>1943</v>
      </c>
      <c r="B745" s="5">
        <v>581.88</v>
      </c>
    </row>
    <row r="746">
      <c r="A746" s="5" t="s">
        <v>1944</v>
      </c>
      <c r="B746" s="5">
        <v>637.0</v>
      </c>
    </row>
    <row r="747">
      <c r="A747" s="5" t="s">
        <v>1945</v>
      </c>
      <c r="B747" s="5">
        <v>56.0</v>
      </c>
    </row>
    <row r="748">
      <c r="A748" s="5" t="s">
        <v>1946</v>
      </c>
      <c r="B748" s="5">
        <v>3902.46</v>
      </c>
    </row>
    <row r="749">
      <c r="A749" s="5" t="s">
        <v>1947</v>
      </c>
      <c r="B749" s="5">
        <v>16317.67</v>
      </c>
    </row>
    <row r="750">
      <c r="A750" s="5" t="s">
        <v>1948</v>
      </c>
      <c r="B750" s="5">
        <v>749.4</v>
      </c>
    </row>
    <row r="751">
      <c r="A751" s="5" t="s">
        <v>1949</v>
      </c>
      <c r="B751" s="5">
        <v>7654.0</v>
      </c>
    </row>
    <row r="752">
      <c r="A752" s="5" t="s">
        <v>1950</v>
      </c>
      <c r="B752" s="5">
        <v>4329.0</v>
      </c>
    </row>
    <row r="753">
      <c r="A753" s="5" t="s">
        <v>1951</v>
      </c>
      <c r="B753" s="5">
        <v>400.0</v>
      </c>
    </row>
    <row r="754">
      <c r="A754" s="5" t="s">
        <v>1952</v>
      </c>
      <c r="B754" s="5">
        <v>344.8</v>
      </c>
    </row>
    <row r="755">
      <c r="A755" s="5" t="s">
        <v>1953</v>
      </c>
      <c r="B755" s="5">
        <v>259.32</v>
      </c>
    </row>
    <row r="756">
      <c r="A756" s="5" t="s">
        <v>1954</v>
      </c>
      <c r="B756" s="5">
        <v>610.0</v>
      </c>
    </row>
    <row r="757">
      <c r="A757" s="5" t="s">
        <v>1955</v>
      </c>
      <c r="B757" s="5">
        <v>663.0</v>
      </c>
    </row>
    <row r="758">
      <c r="A758" s="5" t="s">
        <v>1956</v>
      </c>
      <c r="B758" s="5">
        <v>56096.57</v>
      </c>
    </row>
    <row r="759">
      <c r="A759" s="5" t="s">
        <v>1957</v>
      </c>
      <c r="B759" s="5">
        <v>1647.71</v>
      </c>
    </row>
    <row r="760">
      <c r="A760" s="5" t="s">
        <v>1958</v>
      </c>
      <c r="B760" s="5">
        <v>61174.32</v>
      </c>
    </row>
    <row r="761">
      <c r="A761" s="5" t="s">
        <v>1959</v>
      </c>
      <c r="B761" s="5">
        <v>1008.0</v>
      </c>
    </row>
    <row r="762">
      <c r="A762" s="5" t="s">
        <v>1960</v>
      </c>
      <c r="B762" s="5">
        <v>760.04</v>
      </c>
    </row>
    <row r="763">
      <c r="A763" s="5" t="s">
        <v>1961</v>
      </c>
      <c r="B763" s="5">
        <v>2118.12</v>
      </c>
    </row>
    <row r="764">
      <c r="A764" s="5" t="s">
        <v>1962</v>
      </c>
      <c r="B764" s="5">
        <v>1768.0</v>
      </c>
    </row>
    <row r="765">
      <c r="A765" s="5" t="s">
        <v>1963</v>
      </c>
      <c r="B765" s="5">
        <v>3927.0</v>
      </c>
    </row>
    <row r="766">
      <c r="A766" s="5" t="s">
        <v>1964</v>
      </c>
      <c r="B766" s="5">
        <v>523.0</v>
      </c>
    </row>
    <row r="767">
      <c r="A767" s="5" t="s">
        <v>1965</v>
      </c>
      <c r="B767" s="5">
        <v>126.0</v>
      </c>
    </row>
    <row r="768">
      <c r="A768" s="5" t="s">
        <v>1966</v>
      </c>
      <c r="B768" s="5">
        <v>7484.8</v>
      </c>
    </row>
    <row r="769">
      <c r="A769" s="5" t="s">
        <v>1967</v>
      </c>
      <c r="B769" s="5">
        <v>68.0</v>
      </c>
    </row>
    <row r="770">
      <c r="A770" s="5" t="s">
        <v>1968</v>
      </c>
      <c r="B770" s="5">
        <v>1369.6</v>
      </c>
    </row>
    <row r="771">
      <c r="A771" s="5" t="s">
        <v>1969</v>
      </c>
      <c r="B771" s="5">
        <v>238.0</v>
      </c>
    </row>
    <row r="772">
      <c r="A772" s="5" t="s">
        <v>1970</v>
      </c>
      <c r="B772" s="5">
        <v>1164.9</v>
      </c>
    </row>
    <row r="773">
      <c r="A773" s="5" t="s">
        <v>1971</v>
      </c>
      <c r="B773" s="5">
        <v>884.0</v>
      </c>
    </row>
    <row r="774">
      <c r="A774" s="5" t="s">
        <v>1972</v>
      </c>
      <c r="B774" s="5">
        <v>24.0</v>
      </c>
    </row>
    <row r="775">
      <c r="A775" s="5" t="s">
        <v>1973</v>
      </c>
      <c r="B775" s="5">
        <v>774.0</v>
      </c>
    </row>
    <row r="776">
      <c r="A776" s="5" t="s">
        <v>1974</v>
      </c>
      <c r="B776" s="5">
        <v>1103.0</v>
      </c>
    </row>
    <row r="777">
      <c r="A777" s="5" t="s">
        <v>1975</v>
      </c>
      <c r="B777" s="5">
        <v>615.0</v>
      </c>
    </row>
    <row r="778">
      <c r="A778" s="5" t="s">
        <v>1976</v>
      </c>
      <c r="B778" s="5">
        <v>506.19</v>
      </c>
    </row>
    <row r="779">
      <c r="A779" s="5" t="s">
        <v>1977</v>
      </c>
      <c r="B779" s="5">
        <v>1293.0</v>
      </c>
    </row>
    <row r="780">
      <c r="A780" s="5" t="s">
        <v>1978</v>
      </c>
      <c r="B780" s="5">
        <v>313.0</v>
      </c>
    </row>
    <row r="781">
      <c r="A781" s="5" t="s">
        <v>1979</v>
      </c>
      <c r="B781" s="5">
        <v>464.42</v>
      </c>
    </row>
    <row r="782">
      <c r="A782" s="5" t="s">
        <v>1980</v>
      </c>
      <c r="B782" s="5">
        <v>14452.57</v>
      </c>
    </row>
    <row r="783">
      <c r="A783" s="5" t="s">
        <v>1981</v>
      </c>
      <c r="B783" s="5">
        <v>2960.17</v>
      </c>
    </row>
    <row r="784">
      <c r="A784" s="5" t="s">
        <v>1982</v>
      </c>
      <c r="B784" s="5">
        <v>359.1</v>
      </c>
    </row>
    <row r="785">
      <c r="A785" s="5" t="s">
        <v>1983</v>
      </c>
      <c r="B785" s="5">
        <v>1216.0</v>
      </c>
    </row>
    <row r="786">
      <c r="A786" s="5" t="s">
        <v>1984</v>
      </c>
      <c r="B786" s="5">
        <v>554.08</v>
      </c>
    </row>
    <row r="787">
      <c r="A787" s="5" t="s">
        <v>1985</v>
      </c>
      <c r="B787" s="5">
        <v>8238.08</v>
      </c>
    </row>
    <row r="788">
      <c r="A788" s="5" t="s">
        <v>1986</v>
      </c>
      <c r="B788" s="5">
        <v>7781.11</v>
      </c>
    </row>
    <row r="789">
      <c r="A789" s="5" t="s">
        <v>1987</v>
      </c>
      <c r="B789" s="5">
        <v>3451.24</v>
      </c>
    </row>
    <row r="790">
      <c r="A790" s="5" t="s">
        <v>1988</v>
      </c>
      <c r="B790" s="5">
        <v>3150.0</v>
      </c>
    </row>
    <row r="791">
      <c r="A791" s="5" t="s">
        <v>1989</v>
      </c>
      <c r="B791" s="5">
        <v>4880.0</v>
      </c>
    </row>
    <row r="792">
      <c r="A792" s="5" t="s">
        <v>1990</v>
      </c>
      <c r="B792" s="5">
        <v>21.0</v>
      </c>
    </row>
    <row r="793">
      <c r="A793" s="5" t="s">
        <v>1991</v>
      </c>
      <c r="B793" s="5">
        <v>626.08</v>
      </c>
    </row>
    <row r="794">
      <c r="A794" s="5" t="s">
        <v>1992</v>
      </c>
      <c r="B794" s="5">
        <v>4440.0</v>
      </c>
    </row>
    <row r="795">
      <c r="A795" s="5" t="s">
        <v>1993</v>
      </c>
      <c r="B795" s="5">
        <v>4980.5</v>
      </c>
    </row>
    <row r="796">
      <c r="A796" s="5" t="s">
        <v>1994</v>
      </c>
      <c r="B796" s="5">
        <v>2284.29</v>
      </c>
    </row>
    <row r="797">
      <c r="A797" s="5" t="s">
        <v>1995</v>
      </c>
      <c r="B797" s="5">
        <v>655.29</v>
      </c>
    </row>
    <row r="798">
      <c r="A798" s="5" t="s">
        <v>1996</v>
      </c>
      <c r="B798" s="5">
        <v>1239.46</v>
      </c>
    </row>
    <row r="799">
      <c r="A799" s="5" t="s">
        <v>1997</v>
      </c>
      <c r="B799" s="5">
        <v>50177.64</v>
      </c>
    </row>
    <row r="800">
      <c r="A800" s="5" t="s">
        <v>1998</v>
      </c>
      <c r="B800" s="5">
        <v>7298.0</v>
      </c>
    </row>
    <row r="801">
      <c r="A801" s="5" t="s">
        <v>1999</v>
      </c>
      <c r="B801" s="5">
        <v>1031.0</v>
      </c>
    </row>
    <row r="802">
      <c r="A802" s="5" t="s">
        <v>2000</v>
      </c>
      <c r="B802" s="5">
        <v>408.0</v>
      </c>
    </row>
    <row r="803">
      <c r="A803" s="5" t="s">
        <v>2001</v>
      </c>
      <c r="B803" s="5">
        <v>1020.0</v>
      </c>
    </row>
    <row r="804">
      <c r="A804" s="5" t="s">
        <v>2002</v>
      </c>
      <c r="B804" s="5">
        <v>286.0</v>
      </c>
    </row>
    <row r="805">
      <c r="A805" s="5" t="s">
        <v>2003</v>
      </c>
      <c r="B805" s="5">
        <v>112.0</v>
      </c>
    </row>
    <row r="806">
      <c r="A806" s="5" t="s">
        <v>2004</v>
      </c>
      <c r="B806" s="5">
        <v>27.0</v>
      </c>
    </row>
    <row r="807">
      <c r="A807" s="5" t="s">
        <v>2005</v>
      </c>
      <c r="B807" s="5">
        <v>24.0</v>
      </c>
    </row>
    <row r="808">
      <c r="A808" s="5" t="s">
        <v>2006</v>
      </c>
      <c r="B808" s="5">
        <v>521.0</v>
      </c>
    </row>
    <row r="809">
      <c r="A809" s="5" t="s">
        <v>2007</v>
      </c>
      <c r="B809" s="5">
        <v>927.18</v>
      </c>
    </row>
    <row r="810">
      <c r="A810" s="5" t="s">
        <v>2008</v>
      </c>
      <c r="B810" s="5">
        <v>89.0</v>
      </c>
    </row>
    <row r="811">
      <c r="A811" s="5" t="s">
        <v>2009</v>
      </c>
      <c r="B811" s="5">
        <v>11641.0</v>
      </c>
    </row>
    <row r="812">
      <c r="A812" s="5" t="s">
        <v>2010</v>
      </c>
      <c r="B812" s="5">
        <v>3080.44</v>
      </c>
    </row>
    <row r="813">
      <c r="A813" s="5" t="s">
        <v>2011</v>
      </c>
      <c r="B813" s="5">
        <v>102.0</v>
      </c>
    </row>
    <row r="814">
      <c r="A814" s="5" t="s">
        <v>2012</v>
      </c>
      <c r="B814" s="5">
        <v>2928.83</v>
      </c>
    </row>
    <row r="815">
      <c r="A815" s="5" t="s">
        <v>2013</v>
      </c>
      <c r="B815" s="5">
        <v>2997.0</v>
      </c>
    </row>
    <row r="816">
      <c r="A816" s="5" t="s">
        <v>2014</v>
      </c>
      <c r="B816" s="5">
        <v>1189.0</v>
      </c>
    </row>
    <row r="817">
      <c r="A817" s="5" t="s">
        <v>2015</v>
      </c>
      <c r="B817" s="5">
        <v>1365.86</v>
      </c>
    </row>
    <row r="818">
      <c r="A818" s="5" t="s">
        <v>2016</v>
      </c>
      <c r="B818" s="5">
        <v>34.0</v>
      </c>
    </row>
    <row r="819">
      <c r="A819" s="5" t="s">
        <v>2017</v>
      </c>
      <c r="B819" s="5">
        <v>41646.27</v>
      </c>
    </row>
    <row r="820">
      <c r="A820" s="5" t="s">
        <v>2018</v>
      </c>
      <c r="B820" s="5">
        <v>265.0</v>
      </c>
    </row>
    <row r="821">
      <c r="A821" s="5" t="s">
        <v>2019</v>
      </c>
      <c r="B821" s="5">
        <v>51.0</v>
      </c>
    </row>
    <row r="822">
      <c r="A822" s="5" t="s">
        <v>2020</v>
      </c>
      <c r="B822" s="5">
        <v>407.7</v>
      </c>
    </row>
    <row r="823">
      <c r="A823" s="5" t="s">
        <v>2021</v>
      </c>
      <c r="B823" s="5">
        <v>444.0</v>
      </c>
    </row>
    <row r="824">
      <c r="A824" s="5" t="s">
        <v>2022</v>
      </c>
      <c r="B824" s="5">
        <v>56.0</v>
      </c>
    </row>
    <row r="825">
      <c r="A825" s="5" t="s">
        <v>2023</v>
      </c>
      <c r="B825" s="5">
        <v>14.0</v>
      </c>
    </row>
    <row r="826">
      <c r="A826" s="5" t="s">
        <v>2024</v>
      </c>
      <c r="B826" s="5">
        <v>2501.0</v>
      </c>
    </row>
    <row r="827">
      <c r="A827" s="5" t="s">
        <v>2025</v>
      </c>
      <c r="B827" s="5">
        <v>335279.39</v>
      </c>
    </row>
    <row r="828">
      <c r="A828" s="5" t="s">
        <v>2026</v>
      </c>
      <c r="B828" s="5">
        <v>3441.0</v>
      </c>
    </row>
    <row r="829">
      <c r="A829" s="5" t="s">
        <v>2027</v>
      </c>
      <c r="B829" s="5">
        <v>1313.71</v>
      </c>
    </row>
    <row r="830">
      <c r="A830" s="5" t="s">
        <v>2028</v>
      </c>
      <c r="B830" s="5">
        <v>530.0</v>
      </c>
    </row>
    <row r="831">
      <c r="A831" s="5" t="s">
        <v>2029</v>
      </c>
      <c r="B831" s="5">
        <v>966.0</v>
      </c>
    </row>
    <row r="832">
      <c r="A832" s="5" t="s">
        <v>2030</v>
      </c>
      <c r="B832" s="5">
        <v>24.0</v>
      </c>
    </row>
    <row r="833">
      <c r="A833" s="5" t="s">
        <v>2031</v>
      </c>
      <c r="B833" s="5">
        <v>115874.68</v>
      </c>
    </row>
    <row r="834">
      <c r="A834" s="5" t="s">
        <v>2032</v>
      </c>
      <c r="B834" s="5">
        <v>388767.81</v>
      </c>
    </row>
    <row r="835">
      <c r="A835" s="5" t="s">
        <v>2033</v>
      </c>
      <c r="B835" s="5">
        <v>191.0</v>
      </c>
    </row>
    <row r="836">
      <c r="A836" s="5" t="s">
        <v>2034</v>
      </c>
      <c r="B836" s="5">
        <v>9054.0</v>
      </c>
    </row>
    <row r="837">
      <c r="A837" s="5" t="s">
        <v>2035</v>
      </c>
      <c r="B837" s="5">
        <v>300.0</v>
      </c>
    </row>
    <row r="838">
      <c r="A838" s="5" t="s">
        <v>2036</v>
      </c>
      <c r="B838" s="5">
        <v>98.0</v>
      </c>
    </row>
    <row r="839">
      <c r="A839" s="5" t="s">
        <v>2037</v>
      </c>
      <c r="B839" s="5">
        <v>2687.24</v>
      </c>
    </row>
    <row r="840">
      <c r="A840" s="5" t="s">
        <v>2038</v>
      </c>
      <c r="B840" s="5">
        <v>126.0</v>
      </c>
    </row>
    <row r="841">
      <c r="A841" s="5" t="s">
        <v>2039</v>
      </c>
      <c r="B841" s="5">
        <v>160.0</v>
      </c>
    </row>
    <row r="842">
      <c r="A842" s="5" t="s">
        <v>2040</v>
      </c>
      <c r="B842" s="5">
        <v>366.0</v>
      </c>
    </row>
    <row r="843">
      <c r="A843" s="5" t="s">
        <v>2041</v>
      </c>
      <c r="B843" s="5">
        <v>487.0</v>
      </c>
    </row>
    <row r="844">
      <c r="A844" s="5" t="s">
        <v>2042</v>
      </c>
      <c r="B844" s="5">
        <v>9174.7</v>
      </c>
    </row>
    <row r="845">
      <c r="A845" s="5" t="s">
        <v>2043</v>
      </c>
      <c r="B845" s="5">
        <v>68.0</v>
      </c>
    </row>
    <row r="846">
      <c r="A846" s="5" t="s">
        <v>2044</v>
      </c>
      <c r="B846" s="5">
        <v>1268.0</v>
      </c>
    </row>
    <row r="847">
      <c r="A847" s="5" t="s">
        <v>2045</v>
      </c>
      <c r="B847" s="5">
        <v>640.0</v>
      </c>
    </row>
    <row r="848">
      <c r="A848" s="5" t="s">
        <v>2046</v>
      </c>
      <c r="B848" s="5">
        <v>182.33</v>
      </c>
    </row>
    <row r="849">
      <c r="A849" s="5" t="s">
        <v>2047</v>
      </c>
      <c r="B849" s="5">
        <v>12445.26</v>
      </c>
    </row>
    <row r="850">
      <c r="A850" s="5" t="s">
        <v>2048</v>
      </c>
      <c r="B850" s="5">
        <v>366.35</v>
      </c>
    </row>
    <row r="851">
      <c r="A851" s="5" t="s">
        <v>2049</v>
      </c>
      <c r="B851" s="5">
        <v>1818.86</v>
      </c>
    </row>
    <row r="852">
      <c r="A852" s="5" t="s">
        <v>2050</v>
      </c>
      <c r="B852" s="5">
        <v>4825.0</v>
      </c>
    </row>
    <row r="853">
      <c r="A853" s="5" t="s">
        <v>2051</v>
      </c>
      <c r="B853" s="5">
        <v>783.0</v>
      </c>
    </row>
    <row r="854">
      <c r="A854" s="5" t="s">
        <v>2052</v>
      </c>
      <c r="B854" s="5">
        <v>23407.0</v>
      </c>
    </row>
    <row r="855">
      <c r="A855" s="5" t="s">
        <v>2053</v>
      </c>
      <c r="B855" s="5">
        <v>68.0</v>
      </c>
    </row>
    <row r="856">
      <c r="A856" s="5" t="s">
        <v>2054</v>
      </c>
      <c r="B856" s="5">
        <v>46.0</v>
      </c>
    </row>
    <row r="857">
      <c r="A857" s="5" t="s">
        <v>2055</v>
      </c>
      <c r="B857" s="5">
        <v>2389.63</v>
      </c>
    </row>
    <row r="858">
      <c r="A858" s="5" t="s">
        <v>2056</v>
      </c>
      <c r="B858" s="5">
        <v>2342.59</v>
      </c>
    </row>
    <row r="859">
      <c r="A859" s="5" t="s">
        <v>2057</v>
      </c>
      <c r="B859" s="5">
        <v>1522.2</v>
      </c>
    </row>
    <row r="860">
      <c r="A860" s="5" t="s">
        <v>2058</v>
      </c>
      <c r="B860" s="5">
        <v>2355.32</v>
      </c>
    </row>
    <row r="861">
      <c r="A861" s="5" t="s">
        <v>2059</v>
      </c>
      <c r="B861" s="5">
        <v>1915.0</v>
      </c>
    </row>
    <row r="862">
      <c r="A862" s="5" t="s">
        <v>2060</v>
      </c>
      <c r="B862" s="5">
        <v>730.39</v>
      </c>
    </row>
    <row r="863">
      <c r="A863" s="5" t="s">
        <v>2061</v>
      </c>
      <c r="B863" s="5">
        <v>40.5</v>
      </c>
    </row>
    <row r="864">
      <c r="A864" s="5" t="s">
        <v>2062</v>
      </c>
      <c r="B864" s="5">
        <v>331.8</v>
      </c>
    </row>
    <row r="865">
      <c r="A865" s="5" t="s">
        <v>2063</v>
      </c>
      <c r="B865" s="5">
        <v>7606.81</v>
      </c>
    </row>
    <row r="866">
      <c r="A866" s="5" t="s">
        <v>2064</v>
      </c>
      <c r="B866" s="5">
        <v>1089.14</v>
      </c>
    </row>
    <row r="867">
      <c r="A867" s="5" t="s">
        <v>2065</v>
      </c>
      <c r="B867" s="5">
        <v>265.0</v>
      </c>
    </row>
    <row r="868">
      <c r="A868" s="5" t="s">
        <v>2066</v>
      </c>
      <c r="B868" s="5">
        <v>317.36</v>
      </c>
    </row>
    <row r="869">
      <c r="A869" s="5" t="s">
        <v>2067</v>
      </c>
      <c r="B869" s="5">
        <v>802.06</v>
      </c>
    </row>
    <row r="870">
      <c r="A870" s="5" t="s">
        <v>2068</v>
      </c>
      <c r="B870" s="5">
        <v>912.01</v>
      </c>
    </row>
    <row r="871">
      <c r="A871" s="5" t="s">
        <v>2069</v>
      </c>
      <c r="B871" s="5">
        <v>488.36</v>
      </c>
    </row>
    <row r="872">
      <c r="A872" s="5" t="s">
        <v>2070</v>
      </c>
      <c r="B872" s="5">
        <v>288.0</v>
      </c>
    </row>
    <row r="873">
      <c r="A873" s="5" t="s">
        <v>2071</v>
      </c>
      <c r="B873" s="5">
        <v>166.86</v>
      </c>
    </row>
    <row r="874">
      <c r="A874" s="5" t="s">
        <v>2072</v>
      </c>
      <c r="B874" s="5">
        <v>485.38</v>
      </c>
    </row>
    <row r="875">
      <c r="A875" s="5" t="s">
        <v>2073</v>
      </c>
      <c r="B875" s="5">
        <v>1329.79</v>
      </c>
    </row>
    <row r="876">
      <c r="A876" s="5" t="s">
        <v>2074</v>
      </c>
      <c r="B876" s="5">
        <v>1272.0</v>
      </c>
    </row>
    <row r="877">
      <c r="A877" s="5" t="s">
        <v>2075</v>
      </c>
      <c r="B877" s="5">
        <v>2877.0</v>
      </c>
    </row>
    <row r="878">
      <c r="A878" s="5" t="s">
        <v>2076</v>
      </c>
      <c r="B878" s="5">
        <v>3006.22</v>
      </c>
    </row>
    <row r="879">
      <c r="A879" s="5" t="s">
        <v>2077</v>
      </c>
      <c r="B879" s="5">
        <v>3382.0</v>
      </c>
    </row>
    <row r="880">
      <c r="A880" s="5" t="s">
        <v>2078</v>
      </c>
      <c r="B880" s="5">
        <v>265.0</v>
      </c>
    </row>
    <row r="881">
      <c r="A881" s="5" t="s">
        <v>2079</v>
      </c>
      <c r="B881" s="5">
        <v>892.72</v>
      </c>
    </row>
    <row r="882">
      <c r="A882" s="5" t="s">
        <v>2080</v>
      </c>
      <c r="B882" s="5">
        <v>9458.0</v>
      </c>
    </row>
    <row r="883">
      <c r="A883" s="5" t="s">
        <v>2081</v>
      </c>
      <c r="B883" s="5">
        <v>7298.0</v>
      </c>
    </row>
    <row r="884">
      <c r="A884" s="5" t="s">
        <v>2082</v>
      </c>
      <c r="B884" s="5">
        <v>1016.22</v>
      </c>
    </row>
    <row r="885">
      <c r="A885" s="5" t="s">
        <v>2083</v>
      </c>
      <c r="B885" s="5">
        <v>33185.0</v>
      </c>
    </row>
    <row r="886">
      <c r="A886" s="5" t="s">
        <v>2084</v>
      </c>
      <c r="B886" s="5">
        <v>42924.0</v>
      </c>
    </row>
    <row r="887">
      <c r="A887" s="5" t="s">
        <v>2085</v>
      </c>
      <c r="B887" s="5">
        <v>117.6</v>
      </c>
    </row>
    <row r="888">
      <c r="A888" s="5" t="s">
        <v>2086</v>
      </c>
      <c r="B888" s="5">
        <v>7981.18</v>
      </c>
    </row>
    <row r="889">
      <c r="A889" s="5" t="s">
        <v>2087</v>
      </c>
      <c r="B889" s="5">
        <v>1978.94</v>
      </c>
    </row>
    <row r="890">
      <c r="A890" s="5" t="s">
        <v>2088</v>
      </c>
      <c r="B890" s="5">
        <v>178.14</v>
      </c>
    </row>
    <row r="891">
      <c r="A891" s="5" t="s">
        <v>2089</v>
      </c>
      <c r="B891" s="5">
        <v>26136.0</v>
      </c>
    </row>
    <row r="892">
      <c r="A892" s="5" t="s">
        <v>2090</v>
      </c>
      <c r="B892" s="5">
        <v>6406.0</v>
      </c>
    </row>
    <row r="893">
      <c r="A893" s="5" t="s">
        <v>2091</v>
      </c>
      <c r="B893" s="5">
        <v>117.42</v>
      </c>
    </row>
    <row r="894">
      <c r="A894" s="5" t="s">
        <v>2092</v>
      </c>
      <c r="B894" s="5">
        <v>984.0</v>
      </c>
    </row>
    <row r="895">
      <c r="A895" s="5" t="s">
        <v>2093</v>
      </c>
      <c r="B895" s="5">
        <v>120.78</v>
      </c>
    </row>
    <row r="896">
      <c r="A896" s="5" t="s">
        <v>2094</v>
      </c>
      <c r="B896" s="5">
        <v>1939.4</v>
      </c>
    </row>
    <row r="897">
      <c r="A897" s="5" t="s">
        <v>2095</v>
      </c>
      <c r="B897" s="5">
        <v>8192.03</v>
      </c>
    </row>
    <row r="898">
      <c r="A898" s="5" t="s">
        <v>2096</v>
      </c>
      <c r="B898" s="5">
        <v>5581.26</v>
      </c>
    </row>
    <row r="899">
      <c r="A899" s="5" t="s">
        <v>2097</v>
      </c>
      <c r="B899" s="5">
        <v>777.48</v>
      </c>
    </row>
    <row r="900">
      <c r="A900" s="5" t="s">
        <v>2098</v>
      </c>
      <c r="B900" s="5">
        <v>594.72</v>
      </c>
    </row>
    <row r="901">
      <c r="A901" s="5" t="s">
        <v>2099</v>
      </c>
      <c r="B901" s="5">
        <v>13872.01</v>
      </c>
    </row>
    <row r="902">
      <c r="A902" s="5" t="s">
        <v>2100</v>
      </c>
      <c r="B902" s="5">
        <v>587.0</v>
      </c>
    </row>
    <row r="903">
      <c r="A903" s="5" t="s">
        <v>2101</v>
      </c>
      <c r="B903" s="5">
        <v>491.0</v>
      </c>
    </row>
    <row r="904">
      <c r="A904" s="5" t="s">
        <v>2102</v>
      </c>
      <c r="B904" s="5">
        <v>2684.2</v>
      </c>
    </row>
    <row r="905">
      <c r="A905" s="5" t="s">
        <v>2103</v>
      </c>
      <c r="B905" s="5">
        <v>420.0</v>
      </c>
    </row>
    <row r="906">
      <c r="A906" s="5" t="s">
        <v>2104</v>
      </c>
      <c r="B906" s="5">
        <v>587.0</v>
      </c>
    </row>
    <row r="907">
      <c r="A907" s="5" t="s">
        <v>2105</v>
      </c>
      <c r="B907" s="5">
        <v>2432.69</v>
      </c>
    </row>
    <row r="908">
      <c r="A908" s="5" t="s">
        <v>2106</v>
      </c>
      <c r="B908" s="5">
        <v>11.23</v>
      </c>
    </row>
    <row r="909">
      <c r="A909" s="5" t="s">
        <v>2107</v>
      </c>
      <c r="B909" s="5">
        <v>35680.96</v>
      </c>
    </row>
    <row r="910">
      <c r="A910" s="5" t="s">
        <v>2108</v>
      </c>
      <c r="B910" s="5">
        <v>17441.93</v>
      </c>
    </row>
    <row r="911">
      <c r="A911" s="5" t="s">
        <v>2109</v>
      </c>
      <c r="B911" s="5">
        <v>365.4</v>
      </c>
    </row>
    <row r="912">
      <c r="A912" s="5" t="s">
        <v>2110</v>
      </c>
      <c r="B912" s="5">
        <v>75165.39</v>
      </c>
    </row>
    <row r="913">
      <c r="A913" s="5" t="s">
        <v>2111</v>
      </c>
      <c r="B913" s="5">
        <v>7654.0</v>
      </c>
    </row>
    <row r="914">
      <c r="A914" s="5" t="s">
        <v>2112</v>
      </c>
      <c r="B914" s="5">
        <v>265.0</v>
      </c>
    </row>
    <row r="915">
      <c r="A915" s="5" t="s">
        <v>2113</v>
      </c>
      <c r="B915" s="5">
        <v>9920.0</v>
      </c>
    </row>
    <row r="916">
      <c r="A916" s="5" t="s">
        <v>2114</v>
      </c>
      <c r="B916" s="5">
        <v>80.0</v>
      </c>
    </row>
    <row r="917">
      <c r="A917" s="5" t="s">
        <v>2115</v>
      </c>
      <c r="B917" s="5">
        <v>21846.78</v>
      </c>
    </row>
    <row r="918">
      <c r="A918" s="5" t="s">
        <v>2116</v>
      </c>
      <c r="B918" s="5">
        <v>396.0</v>
      </c>
    </row>
    <row r="919">
      <c r="A919" s="5" t="s">
        <v>2117</v>
      </c>
      <c r="B919" s="5">
        <v>265.0</v>
      </c>
    </row>
    <row r="920">
      <c r="A920" s="5" t="s">
        <v>2118</v>
      </c>
      <c r="B920" s="5">
        <v>111.0</v>
      </c>
    </row>
    <row r="921">
      <c r="A921" s="5" t="s">
        <v>2119</v>
      </c>
      <c r="B921" s="5">
        <v>34.0</v>
      </c>
    </row>
    <row r="922">
      <c r="A922" s="5" t="s">
        <v>2120</v>
      </c>
      <c r="B922" s="5">
        <v>9650.0</v>
      </c>
    </row>
    <row r="923">
      <c r="A923" s="5" t="s">
        <v>2121</v>
      </c>
      <c r="B923" s="5">
        <v>1845.0</v>
      </c>
    </row>
    <row r="924">
      <c r="A924" s="5" t="s">
        <v>2122</v>
      </c>
      <c r="B924" s="5">
        <v>18557.92</v>
      </c>
    </row>
    <row r="925">
      <c r="A925" s="5" t="s">
        <v>2123</v>
      </c>
      <c r="B925" s="5">
        <v>1560.0</v>
      </c>
    </row>
    <row r="926">
      <c r="A926" s="5" t="s">
        <v>2124</v>
      </c>
      <c r="B926" s="5">
        <v>1288.8</v>
      </c>
    </row>
    <row r="927">
      <c r="A927" s="5" t="s">
        <v>2125</v>
      </c>
      <c r="B927" s="5">
        <v>1539.0</v>
      </c>
    </row>
    <row r="928">
      <c r="A928" s="5" t="s">
        <v>2126</v>
      </c>
      <c r="B928" s="5">
        <v>50148.0</v>
      </c>
    </row>
    <row r="929">
      <c r="A929" s="5" t="s">
        <v>2127</v>
      </c>
      <c r="B929" s="5">
        <v>4200.79</v>
      </c>
    </row>
    <row r="930">
      <c r="A930" s="5" t="s">
        <v>2128</v>
      </c>
      <c r="B930" s="5">
        <v>37520.0</v>
      </c>
    </row>
    <row r="931">
      <c r="A931" s="5" t="s">
        <v>2129</v>
      </c>
      <c r="B931" s="5">
        <v>410.0</v>
      </c>
    </row>
    <row r="932">
      <c r="A932" s="5" t="s">
        <v>2130</v>
      </c>
      <c r="B932" s="5">
        <v>468.0</v>
      </c>
    </row>
    <row r="933">
      <c r="A933" s="5" t="s">
        <v>2131</v>
      </c>
      <c r="B933" s="5">
        <v>11081.0</v>
      </c>
    </row>
    <row r="934">
      <c r="A934" s="5" t="s">
        <v>2132</v>
      </c>
      <c r="B934" s="5">
        <v>27180.0</v>
      </c>
    </row>
    <row r="935">
      <c r="A935" s="5" t="s">
        <v>2133</v>
      </c>
      <c r="B935" s="5">
        <v>2158.0</v>
      </c>
    </row>
    <row r="936">
      <c r="A936" s="5" t="s">
        <v>2134</v>
      </c>
      <c r="B936" s="5">
        <v>195.0</v>
      </c>
    </row>
    <row r="937">
      <c r="A937" s="5" t="s">
        <v>2135</v>
      </c>
      <c r="B937" s="5">
        <v>692.32</v>
      </c>
    </row>
    <row r="938">
      <c r="A938" s="5" t="s">
        <v>2136</v>
      </c>
      <c r="B938" s="5">
        <v>444.0</v>
      </c>
    </row>
    <row r="939">
      <c r="A939" s="5" t="s">
        <v>2137</v>
      </c>
      <c r="B939" s="5">
        <v>1205.96</v>
      </c>
    </row>
    <row r="940">
      <c r="A940" s="5" t="s">
        <v>2138</v>
      </c>
      <c r="B940" s="5">
        <v>43712.0</v>
      </c>
    </row>
    <row r="942">
      <c r="A942" s="5"/>
    </row>
    <row r="943">
      <c r="A943" s="5" t="s">
        <v>2139</v>
      </c>
      <c r="B943" s="5">
        <v>1200.0</v>
      </c>
    </row>
    <row r="944">
      <c r="A944" s="5" t="s">
        <v>2140</v>
      </c>
      <c r="B944" s="5">
        <v>450.0</v>
      </c>
    </row>
    <row r="945">
      <c r="A945" s="5" t="s">
        <v>2141</v>
      </c>
      <c r="B945" s="5">
        <v>367.0</v>
      </c>
    </row>
    <row r="946">
      <c r="A946" s="5" t="s">
        <v>2142</v>
      </c>
      <c r="B946" s="5">
        <v>477.0</v>
      </c>
    </row>
    <row r="947">
      <c r="A947" s="5" t="s">
        <v>2143</v>
      </c>
      <c r="B947" s="5">
        <v>970.0</v>
      </c>
    </row>
    <row r="948">
      <c r="A948" s="5" t="s">
        <v>2144</v>
      </c>
      <c r="B948" s="5">
        <v>7826.0</v>
      </c>
    </row>
    <row r="949">
      <c r="A949" s="5" t="s">
        <v>2145</v>
      </c>
      <c r="B949" s="5">
        <v>6549.81</v>
      </c>
    </row>
    <row r="950">
      <c r="A950" s="5" t="s">
        <v>2146</v>
      </c>
      <c r="B950" s="5">
        <v>696.0</v>
      </c>
    </row>
    <row r="951">
      <c r="A951" s="5" t="s">
        <v>2147</v>
      </c>
      <c r="B951" s="5">
        <v>24.0</v>
      </c>
    </row>
    <row r="952">
      <c r="A952" s="5" t="s">
        <v>2148</v>
      </c>
      <c r="B952" s="5">
        <v>6850.12</v>
      </c>
    </row>
    <row r="953">
      <c r="A953" s="5" t="s">
        <v>2149</v>
      </c>
      <c r="B953" s="5">
        <v>444.0</v>
      </c>
    </row>
    <row r="954">
      <c r="A954" s="5" t="s">
        <v>2150</v>
      </c>
      <c r="B954" s="5">
        <v>811.0</v>
      </c>
    </row>
    <row r="955">
      <c r="A955" s="5" t="s">
        <v>2151</v>
      </c>
      <c r="B955" s="5">
        <v>7867.38</v>
      </c>
    </row>
    <row r="956">
      <c r="A956" s="5" t="s">
        <v>2152</v>
      </c>
      <c r="B956" s="5">
        <v>2009.0</v>
      </c>
    </row>
    <row r="957">
      <c r="A957" s="5" t="s">
        <v>2153</v>
      </c>
      <c r="B957" s="5">
        <v>116.0</v>
      </c>
    </row>
    <row r="958">
      <c r="A958" s="5" t="s">
        <v>2154</v>
      </c>
      <c r="B958" s="5">
        <v>568.0</v>
      </c>
    </row>
    <row r="959">
      <c r="A959" s="5" t="s">
        <v>2155</v>
      </c>
      <c r="B959" s="5">
        <v>889.56</v>
      </c>
    </row>
    <row r="960">
      <c r="A960" s="5" t="s">
        <v>2156</v>
      </c>
      <c r="B960" s="5">
        <v>587.0</v>
      </c>
    </row>
    <row r="961">
      <c r="A961" s="5" t="s">
        <v>2157</v>
      </c>
      <c r="B961" s="5">
        <v>676.5</v>
      </c>
    </row>
    <row r="962">
      <c r="A962" s="5" t="s">
        <v>2158</v>
      </c>
      <c r="B962" s="5">
        <v>160.0</v>
      </c>
    </row>
    <row r="963">
      <c r="A963" s="5" t="s">
        <v>2159</v>
      </c>
      <c r="B963" s="5">
        <v>2088.0</v>
      </c>
    </row>
    <row r="964">
      <c r="A964" s="5" t="s">
        <v>2160</v>
      </c>
      <c r="B964" s="5">
        <v>2721.43</v>
      </c>
    </row>
    <row r="965">
      <c r="A965" s="5" t="s">
        <v>2161</v>
      </c>
      <c r="B965" s="5">
        <v>19632.0</v>
      </c>
    </row>
    <row r="966">
      <c r="A966" s="5" t="s">
        <v>2162</v>
      </c>
      <c r="B966" s="5">
        <v>10495.72</v>
      </c>
    </row>
    <row r="967">
      <c r="A967" s="5" t="s">
        <v>2163</v>
      </c>
      <c r="B967" s="5">
        <v>3789.3</v>
      </c>
    </row>
    <row r="968">
      <c r="A968" s="5" t="s">
        <v>2164</v>
      </c>
      <c r="B968" s="5">
        <v>1494.92</v>
      </c>
    </row>
    <row r="969">
      <c r="A969" s="5" t="s">
        <v>2165</v>
      </c>
      <c r="B969" s="5">
        <v>1379.78</v>
      </c>
    </row>
    <row r="970">
      <c r="A970" s="5" t="s">
        <v>2166</v>
      </c>
      <c r="B970" s="5">
        <v>48.0</v>
      </c>
    </row>
    <row r="971">
      <c r="A971" s="5" t="s">
        <v>2167</v>
      </c>
      <c r="B971" s="5">
        <v>17975.0</v>
      </c>
    </row>
    <row r="972">
      <c r="A972" s="5" t="s">
        <v>2168</v>
      </c>
      <c r="B972" s="5">
        <v>5040.0</v>
      </c>
    </row>
    <row r="973">
      <c r="A973" s="5" t="s">
        <v>2169</v>
      </c>
      <c r="B973" s="5">
        <v>576.0</v>
      </c>
    </row>
    <row r="974">
      <c r="A974" s="5" t="s">
        <v>2170</v>
      </c>
      <c r="B974" s="5">
        <v>2674.0</v>
      </c>
    </row>
    <row r="975">
      <c r="A975" s="5" t="s">
        <v>2171</v>
      </c>
      <c r="B975" s="5">
        <v>1258.0</v>
      </c>
    </row>
    <row r="976">
      <c r="A976" s="5" t="s">
        <v>2172</v>
      </c>
      <c r="B976" s="5">
        <v>34.0</v>
      </c>
    </row>
    <row r="977">
      <c r="A977" s="5" t="s">
        <v>2173</v>
      </c>
      <c r="B977" s="5">
        <v>198.77</v>
      </c>
    </row>
    <row r="978">
      <c r="A978" s="5" t="s">
        <v>2174</v>
      </c>
      <c r="B978" s="5">
        <v>3522.44</v>
      </c>
    </row>
    <row r="979">
      <c r="A979" s="5" t="s">
        <v>2175</v>
      </c>
      <c r="B979" s="5">
        <v>1640.0</v>
      </c>
    </row>
    <row r="980">
      <c r="A980" s="5" t="s">
        <v>2176</v>
      </c>
      <c r="B980" s="5">
        <v>216.43</v>
      </c>
    </row>
    <row r="981">
      <c r="A981" s="5" t="s">
        <v>2177</v>
      </c>
      <c r="B981" s="5">
        <v>1031.0</v>
      </c>
    </row>
    <row r="982">
      <c r="A982" s="5" t="s">
        <v>2178</v>
      </c>
      <c r="B982" s="5">
        <v>4132.0</v>
      </c>
    </row>
    <row r="983">
      <c r="A983" s="5" t="s">
        <v>2179</v>
      </c>
      <c r="B983" s="5">
        <v>34.0</v>
      </c>
    </row>
    <row r="984">
      <c r="A984" s="5" t="s">
        <v>2180</v>
      </c>
      <c r="B984" s="5">
        <v>4461.6</v>
      </c>
    </row>
    <row r="985">
      <c r="A985" s="5" t="s">
        <v>2181</v>
      </c>
      <c r="B985" s="5">
        <v>1001.0</v>
      </c>
    </row>
    <row r="986">
      <c r="A986" s="5" t="s">
        <v>2182</v>
      </c>
      <c r="B986" s="5">
        <v>111.0</v>
      </c>
    </row>
    <row r="987">
      <c r="A987" s="5" t="s">
        <v>2183</v>
      </c>
      <c r="B987" s="5">
        <v>774.0</v>
      </c>
    </row>
    <row r="988">
      <c r="A988" s="5" t="s">
        <v>2184</v>
      </c>
      <c r="B988" s="5">
        <v>1404.96</v>
      </c>
    </row>
    <row r="989">
      <c r="A989" s="5" t="s">
        <v>2185</v>
      </c>
      <c r="B989" s="5">
        <v>444.0</v>
      </c>
    </row>
    <row r="990">
      <c r="A990" s="5" t="s">
        <v>2186</v>
      </c>
      <c r="B990" s="5">
        <v>6825.0</v>
      </c>
    </row>
    <row r="991">
      <c r="A991" s="5" t="s">
        <v>2187</v>
      </c>
      <c r="B991" s="5">
        <v>342.0</v>
      </c>
    </row>
    <row r="992">
      <c r="A992" s="5" t="s">
        <v>2188</v>
      </c>
      <c r="B992" s="5">
        <v>204.06</v>
      </c>
    </row>
    <row r="993">
      <c r="A993" s="5" t="s">
        <v>2189</v>
      </c>
      <c r="B993" s="5">
        <v>61.0</v>
      </c>
    </row>
    <row r="994">
      <c r="A994" s="5" t="s">
        <v>2190</v>
      </c>
      <c r="B994" s="5">
        <v>22507.5</v>
      </c>
    </row>
    <row r="995">
      <c r="A995" s="5" t="s">
        <v>2191</v>
      </c>
      <c r="B995" s="5">
        <v>129.78</v>
      </c>
    </row>
    <row r="996">
      <c r="A996" s="5" t="s">
        <v>2192</v>
      </c>
      <c r="B996" s="5">
        <v>9317.1</v>
      </c>
    </row>
    <row r="997">
      <c r="A997" s="5" t="s">
        <v>2193</v>
      </c>
      <c r="B997" s="5">
        <v>2852.0</v>
      </c>
    </row>
    <row r="998">
      <c r="A998" s="5" t="s">
        <v>2194</v>
      </c>
      <c r="B998" s="5">
        <v>24734.8</v>
      </c>
    </row>
    <row r="999">
      <c r="A999" s="5" t="s">
        <v>2195</v>
      </c>
      <c r="B999" s="5">
        <v>178.0</v>
      </c>
    </row>
    <row r="1000">
      <c r="A1000" s="5" t="s">
        <v>2196</v>
      </c>
      <c r="B1000" s="5">
        <v>444.0</v>
      </c>
    </row>
    <row r="1001">
      <c r="A1001" s="5" t="s">
        <v>2197</v>
      </c>
      <c r="B1001" s="5">
        <v>444.0</v>
      </c>
    </row>
    <row r="1002">
      <c r="A1002" s="5" t="s">
        <v>2198</v>
      </c>
      <c r="B1002" s="5">
        <v>702.9</v>
      </c>
    </row>
    <row r="1003">
      <c r="A1003" s="5" t="s">
        <v>2199</v>
      </c>
      <c r="B1003" s="5">
        <v>224.4</v>
      </c>
    </row>
    <row r="1004">
      <c r="A1004" s="5" t="s">
        <v>2200</v>
      </c>
      <c r="B1004" s="5">
        <v>9843.2</v>
      </c>
    </row>
    <row r="1005">
      <c r="A1005" s="5" t="s">
        <v>2201</v>
      </c>
      <c r="B1005" s="5">
        <v>1216.0</v>
      </c>
    </row>
    <row r="1006">
      <c r="A1006" s="5" t="s">
        <v>2202</v>
      </c>
      <c r="B1006" s="5">
        <v>1355.7</v>
      </c>
    </row>
    <row r="1007">
      <c r="A1007" s="5" t="s">
        <v>2203</v>
      </c>
      <c r="B1007" s="5">
        <v>8442.67</v>
      </c>
    </row>
    <row r="1008">
      <c r="A1008" s="5" t="s">
        <v>2204</v>
      </c>
      <c r="B1008" s="5">
        <v>587.0</v>
      </c>
    </row>
    <row r="1009">
      <c r="A1009" s="5" t="s">
        <v>2205</v>
      </c>
      <c r="B1009" s="5">
        <v>1287.4</v>
      </c>
    </row>
    <row r="1010">
      <c r="A1010" s="5" t="s">
        <v>2206</v>
      </c>
      <c r="B1010" s="5">
        <v>314.0</v>
      </c>
    </row>
    <row r="1011">
      <c r="A1011" s="5" t="s">
        <v>2207</v>
      </c>
      <c r="B1011" s="5">
        <v>34.0</v>
      </c>
    </row>
    <row r="1012">
      <c r="A1012" s="5" t="s">
        <v>2208</v>
      </c>
      <c r="B1012" s="5">
        <v>24342.0</v>
      </c>
    </row>
    <row r="1013">
      <c r="A1013" s="5" t="s">
        <v>2209</v>
      </c>
      <c r="B1013" s="5">
        <v>13714.32</v>
      </c>
    </row>
    <row r="1014">
      <c r="A1014" s="5" t="s">
        <v>2210</v>
      </c>
      <c r="B1014" s="5">
        <v>1118.53</v>
      </c>
    </row>
    <row r="1015">
      <c r="A1015" s="5" t="s">
        <v>2211</v>
      </c>
      <c r="B1015" s="5">
        <v>97.37</v>
      </c>
    </row>
    <row r="1016">
      <c r="A1016" s="5" t="s">
        <v>2212</v>
      </c>
      <c r="B1016" s="5">
        <v>46.0</v>
      </c>
    </row>
    <row r="1017">
      <c r="A1017" s="5" t="s">
        <v>2213</v>
      </c>
      <c r="B1017" s="5">
        <v>963.0</v>
      </c>
    </row>
    <row r="1018">
      <c r="A1018" s="5" t="s">
        <v>2214</v>
      </c>
      <c r="B1018" s="5">
        <v>135.0</v>
      </c>
    </row>
    <row r="1019">
      <c r="A1019" s="5" t="s">
        <v>2215</v>
      </c>
      <c r="B1019" s="5">
        <v>3049.08</v>
      </c>
    </row>
    <row r="1020">
      <c r="A1020" s="5" t="s">
        <v>2216</v>
      </c>
      <c r="B1020" s="5">
        <v>238.0</v>
      </c>
    </row>
    <row r="1021">
      <c r="A1021" s="5" t="s">
        <v>2217</v>
      </c>
      <c r="B1021" s="5">
        <v>1944.0</v>
      </c>
    </row>
    <row r="1022">
      <c r="A1022" s="5" t="s">
        <v>2218</v>
      </c>
      <c r="B1022" s="5">
        <v>12655.7</v>
      </c>
    </row>
    <row r="1023">
      <c r="A1023" s="5" t="s">
        <v>2219</v>
      </c>
      <c r="B1023" s="5">
        <v>4927.48</v>
      </c>
    </row>
    <row r="1024">
      <c r="A1024" s="5" t="s">
        <v>2220</v>
      </c>
      <c r="B1024" s="5">
        <v>443.0</v>
      </c>
    </row>
    <row r="1025">
      <c r="A1025" s="5" t="s">
        <v>2221</v>
      </c>
      <c r="B1025" s="5">
        <v>2934.0</v>
      </c>
    </row>
    <row r="1026">
      <c r="A1026" s="5" t="s">
        <v>2222</v>
      </c>
      <c r="B1026" s="5">
        <v>6499.2</v>
      </c>
    </row>
    <row r="1027">
      <c r="A1027" s="5" t="s">
        <v>2223</v>
      </c>
      <c r="B1027" s="5">
        <v>334.74</v>
      </c>
    </row>
    <row r="1028">
      <c r="A1028" s="5" t="s">
        <v>2224</v>
      </c>
      <c r="B1028" s="5">
        <v>3073.97</v>
      </c>
    </row>
    <row r="1029">
      <c r="A1029" s="5" t="s">
        <v>2225</v>
      </c>
      <c r="B1029" s="5">
        <v>9801.0</v>
      </c>
    </row>
    <row r="1030">
      <c r="A1030" s="5" t="s">
        <v>2226</v>
      </c>
      <c r="B1030" s="5">
        <v>609.0</v>
      </c>
    </row>
    <row r="1031">
      <c r="A1031" s="5" t="s">
        <v>2227</v>
      </c>
      <c r="B1031" s="5">
        <v>1530.0</v>
      </c>
    </row>
    <row r="1032">
      <c r="A1032" s="5" t="s">
        <v>2228</v>
      </c>
      <c r="B1032" s="5">
        <v>10043.84</v>
      </c>
    </row>
    <row r="1033">
      <c r="A1033" s="5" t="s">
        <v>2229</v>
      </c>
      <c r="B1033" s="5">
        <v>3053.0</v>
      </c>
    </row>
    <row r="1034">
      <c r="A1034" s="5" t="s">
        <v>2230</v>
      </c>
      <c r="B1034" s="5">
        <v>91175.26</v>
      </c>
    </row>
    <row r="1035">
      <c r="A1035" s="5" t="s">
        <v>2231</v>
      </c>
      <c r="B1035" s="5">
        <v>135.9</v>
      </c>
    </row>
    <row r="1036">
      <c r="A1036" s="5" t="s">
        <v>2232</v>
      </c>
      <c r="B1036" s="5">
        <v>27153.0</v>
      </c>
    </row>
    <row r="1037">
      <c r="A1037" s="5" t="s">
        <v>2233</v>
      </c>
      <c r="B1037" s="5">
        <v>4695.51</v>
      </c>
    </row>
    <row r="1038">
      <c r="A1038" s="5" t="s">
        <v>2234</v>
      </c>
      <c r="B1038" s="5">
        <v>7500.0</v>
      </c>
    </row>
    <row r="1039">
      <c r="A1039" s="5" t="s">
        <v>2235</v>
      </c>
      <c r="B1039" s="5">
        <v>136.0</v>
      </c>
    </row>
    <row r="1040">
      <c r="A1040" s="5" t="s">
        <v>2236</v>
      </c>
      <c r="B1040" s="5">
        <v>2062.0</v>
      </c>
    </row>
    <row r="1041">
      <c r="A1041" s="5" t="s">
        <v>2237</v>
      </c>
      <c r="B1041" s="5">
        <v>1814.0</v>
      </c>
    </row>
    <row r="1042">
      <c r="A1042" s="5" t="s">
        <v>2238</v>
      </c>
      <c r="B1042" s="5">
        <v>8196.0</v>
      </c>
    </row>
    <row r="1043">
      <c r="A1043" s="5" t="s">
        <v>2239</v>
      </c>
      <c r="B1043" s="5">
        <v>10568.61</v>
      </c>
    </row>
    <row r="1044">
      <c r="A1044" s="5" t="s">
        <v>2240</v>
      </c>
      <c r="B1044" s="5">
        <v>72.0</v>
      </c>
    </row>
    <row r="1045">
      <c r="A1045" s="5" t="s">
        <v>2241</v>
      </c>
      <c r="B1045" s="5">
        <v>11592.0</v>
      </c>
    </row>
    <row r="1046">
      <c r="A1046" s="5" t="s">
        <v>2242</v>
      </c>
      <c r="B1046" s="5">
        <v>6640.0</v>
      </c>
    </row>
    <row r="1047">
      <c r="A1047" s="5" t="s">
        <v>2243</v>
      </c>
      <c r="B1047" s="5">
        <v>76160.0</v>
      </c>
    </row>
    <row r="1048">
      <c r="A1048" s="5" t="s">
        <v>2244</v>
      </c>
      <c r="B1048" s="5">
        <v>265.0</v>
      </c>
    </row>
    <row r="1049">
      <c r="A1049" s="5" t="s">
        <v>2245</v>
      </c>
      <c r="B1049" s="5">
        <v>444.0</v>
      </c>
    </row>
    <row r="1050">
      <c r="A1050" s="5" t="s">
        <v>2246</v>
      </c>
      <c r="B1050" s="5">
        <v>1500.0</v>
      </c>
    </row>
    <row r="1051">
      <c r="A1051" s="5" t="s">
        <v>2247</v>
      </c>
      <c r="B1051" s="5">
        <v>146500.0</v>
      </c>
    </row>
    <row r="1052">
      <c r="A1052" s="5" t="s">
        <v>2248</v>
      </c>
      <c r="B1052" s="5">
        <v>527900.0</v>
      </c>
    </row>
    <row r="1053">
      <c r="A1053" s="5" t="s">
        <v>2249</v>
      </c>
      <c r="B1053" s="5">
        <v>7308.0</v>
      </c>
    </row>
    <row r="1054">
      <c r="A1054" s="5" t="s">
        <v>2250</v>
      </c>
      <c r="B1054" s="5">
        <v>2685.02</v>
      </c>
    </row>
    <row r="1055">
      <c r="A1055" s="5" t="s">
        <v>2251</v>
      </c>
      <c r="B1055" s="5">
        <v>6376.0</v>
      </c>
    </row>
    <row r="1056">
      <c r="A1056" s="5" t="s">
        <v>2252</v>
      </c>
      <c r="B1056" s="5">
        <v>459.0</v>
      </c>
    </row>
    <row r="1057">
      <c r="A1057" s="5" t="s">
        <v>2253</v>
      </c>
      <c r="B1057" s="5">
        <v>56.0</v>
      </c>
    </row>
    <row r="1058">
      <c r="A1058" s="5" t="s">
        <v>2254</v>
      </c>
      <c r="B1058" s="5">
        <v>5364.0</v>
      </c>
    </row>
    <row r="1059">
      <c r="A1059" s="5" t="s">
        <v>2255</v>
      </c>
      <c r="B1059" s="5">
        <v>621.0</v>
      </c>
    </row>
    <row r="1060">
      <c r="A1060" s="5" t="s">
        <v>2256</v>
      </c>
      <c r="B1060" s="5">
        <v>114.0</v>
      </c>
    </row>
    <row r="1061">
      <c r="A1061" s="5" t="s">
        <v>2257</v>
      </c>
      <c r="B1061" s="5">
        <v>1626.18</v>
      </c>
    </row>
    <row r="1062">
      <c r="A1062" s="5" t="s">
        <v>2258</v>
      </c>
      <c r="B1062" s="5">
        <v>1140.59</v>
      </c>
    </row>
    <row r="1063">
      <c r="A1063" s="5" t="s">
        <v>2259</v>
      </c>
      <c r="B1063" s="5">
        <v>92.7</v>
      </c>
    </row>
    <row r="1064">
      <c r="A1064" s="5" t="s">
        <v>2260</v>
      </c>
      <c r="B1064" s="5">
        <v>268643.78</v>
      </c>
    </row>
    <row r="1065">
      <c r="A1065" s="5" t="s">
        <v>2261</v>
      </c>
      <c r="B1065" s="5">
        <v>88450.11</v>
      </c>
    </row>
    <row r="1066">
      <c r="A1066" s="5" t="s">
        <v>2262</v>
      </c>
      <c r="B1066" s="5">
        <v>496229.44</v>
      </c>
    </row>
    <row r="1067">
      <c r="A1067" s="5" t="s">
        <v>2263</v>
      </c>
      <c r="B1067" s="5">
        <v>185.1</v>
      </c>
    </row>
    <row r="1068">
      <c r="A1068" s="5" t="s">
        <v>2264</v>
      </c>
      <c r="B1068" s="5">
        <v>2313.0</v>
      </c>
    </row>
    <row r="1069">
      <c r="A1069" s="5" t="s">
        <v>2265</v>
      </c>
      <c r="B1069" s="5">
        <v>24.0</v>
      </c>
    </row>
    <row r="1070">
      <c r="A1070" s="5" t="s">
        <v>2266</v>
      </c>
      <c r="B1070" s="5">
        <v>34.0</v>
      </c>
    </row>
    <row r="1071">
      <c r="A1071" s="5" t="s">
        <v>2267</v>
      </c>
      <c r="B1071" s="5">
        <v>2477.32</v>
      </c>
    </row>
    <row r="1072">
      <c r="A1072" s="5" t="s">
        <v>2268</v>
      </c>
      <c r="B1072" s="5">
        <v>145.12</v>
      </c>
    </row>
    <row r="1073">
      <c r="A1073" s="5" t="s">
        <v>2269</v>
      </c>
      <c r="B1073" s="5">
        <v>1261.13</v>
      </c>
    </row>
    <row r="1074">
      <c r="A1074" s="5" t="s">
        <v>2270</v>
      </c>
      <c r="B1074" s="5">
        <v>5908.4</v>
      </c>
    </row>
    <row r="1075">
      <c r="A1075" s="5" t="s">
        <v>2271</v>
      </c>
      <c r="B1075" s="5">
        <v>1372.0</v>
      </c>
    </row>
    <row r="1076">
      <c r="A1076" s="5" t="s">
        <v>2272</v>
      </c>
      <c r="B1076" s="5">
        <v>111.0</v>
      </c>
    </row>
    <row r="1077">
      <c r="A1077" s="5" t="s">
        <v>2273</v>
      </c>
      <c r="B1077" s="5">
        <v>6365.0</v>
      </c>
    </row>
    <row r="1078">
      <c r="A1078" s="5" t="s">
        <v>2274</v>
      </c>
      <c r="B1078" s="5">
        <v>1432.0</v>
      </c>
    </row>
    <row r="1079">
      <c r="A1079" s="5" t="s">
        <v>2275</v>
      </c>
      <c r="B1079" s="5">
        <v>34.0</v>
      </c>
    </row>
    <row r="1080">
      <c r="A1080" s="5" t="s">
        <v>2276</v>
      </c>
      <c r="B1080" s="5">
        <v>444.0</v>
      </c>
    </row>
    <row r="1081">
      <c r="A1081" s="5" t="s">
        <v>2277</v>
      </c>
      <c r="B1081" s="5">
        <v>98.0</v>
      </c>
    </row>
    <row r="1082">
      <c r="A1082" s="5" t="s">
        <v>2278</v>
      </c>
      <c r="B1082" s="5">
        <v>54406.0</v>
      </c>
    </row>
    <row r="1083">
      <c r="A1083" s="5" t="s">
        <v>2279</v>
      </c>
      <c r="B1083" s="5">
        <v>12998.12</v>
      </c>
    </row>
    <row r="1084">
      <c r="A1084" s="5" t="s">
        <v>2280</v>
      </c>
      <c r="B1084" s="5">
        <v>277.0</v>
      </c>
    </row>
    <row r="1085">
      <c r="A1085" s="5" t="s">
        <v>2281</v>
      </c>
      <c r="B1085" s="5">
        <v>12.0</v>
      </c>
    </row>
    <row r="1086">
      <c r="A1086" s="5" t="s">
        <v>2282</v>
      </c>
      <c r="B1086" s="5">
        <v>2501.0</v>
      </c>
    </row>
    <row r="1087">
      <c r="A1087" s="5" t="s">
        <v>2283</v>
      </c>
      <c r="B1087" s="5">
        <v>437.22</v>
      </c>
    </row>
    <row r="1088">
      <c r="A1088" s="5" t="s">
        <v>2284</v>
      </c>
      <c r="B1088" s="5">
        <v>6458.6</v>
      </c>
    </row>
    <row r="1089">
      <c r="A1089" s="5" t="s">
        <v>2285</v>
      </c>
      <c r="B1089" s="5">
        <v>1939.0</v>
      </c>
    </row>
    <row r="1090">
      <c r="A1090" s="5" t="s">
        <v>2286</v>
      </c>
      <c r="B1090" s="5">
        <v>242.6</v>
      </c>
    </row>
    <row r="1091">
      <c r="A1091" s="5" t="s">
        <v>2287</v>
      </c>
      <c r="B1091" s="5">
        <v>6240.0</v>
      </c>
    </row>
    <row r="1092">
      <c r="A1092" s="5" t="s">
        <v>2288</v>
      </c>
      <c r="B1092" s="5">
        <v>100.8</v>
      </c>
    </row>
    <row r="1093">
      <c r="A1093" s="5" t="s">
        <v>2289</v>
      </c>
      <c r="B1093" s="5">
        <v>8414.0</v>
      </c>
    </row>
    <row r="1094">
      <c r="A1094" s="5" t="s">
        <v>2290</v>
      </c>
      <c r="B1094" s="5">
        <v>515.0</v>
      </c>
    </row>
    <row r="1095">
      <c r="A1095" s="5" t="s">
        <v>2291</v>
      </c>
      <c r="B1095" s="5">
        <v>56.0</v>
      </c>
    </row>
    <row r="1096">
      <c r="A1096" s="5" t="s">
        <v>2292</v>
      </c>
      <c r="B1096" s="5">
        <v>443.0</v>
      </c>
    </row>
    <row r="1097">
      <c r="A1097" s="5" t="s">
        <v>2293</v>
      </c>
      <c r="B1097" s="5">
        <v>1224.0</v>
      </c>
    </row>
    <row r="1098">
      <c r="A1098" s="5" t="s">
        <v>2294</v>
      </c>
      <c r="B1098" s="5">
        <v>646.0</v>
      </c>
    </row>
    <row r="1099">
      <c r="A1099" s="5" t="s">
        <v>2295</v>
      </c>
      <c r="B1099" s="5">
        <v>5000.0</v>
      </c>
    </row>
    <row r="1100">
      <c r="A1100" s="5" t="s">
        <v>2296</v>
      </c>
      <c r="B1100" s="5">
        <v>153.0</v>
      </c>
    </row>
    <row r="1101">
      <c r="A1101" s="5" t="s">
        <v>2297</v>
      </c>
      <c r="B1101" s="5">
        <v>412.0</v>
      </c>
    </row>
    <row r="1102">
      <c r="A1102" s="5" t="s">
        <v>2298</v>
      </c>
      <c r="B1102" s="5">
        <v>1980.0</v>
      </c>
    </row>
    <row r="1103">
      <c r="A1103" s="5" t="s">
        <v>2299</v>
      </c>
      <c r="B1103" s="5">
        <v>1332.0</v>
      </c>
    </row>
    <row r="1104">
      <c r="A1104" s="5" t="s">
        <v>2300</v>
      </c>
      <c r="B1104" s="5">
        <v>21.0</v>
      </c>
    </row>
    <row r="1105">
      <c r="A1105" s="5" t="s">
        <v>2301</v>
      </c>
      <c r="B1105" s="5">
        <v>13962.92</v>
      </c>
    </row>
    <row r="1106">
      <c r="A1106" s="5" t="s">
        <v>2302</v>
      </c>
      <c r="B1106" s="5">
        <v>754.0</v>
      </c>
    </row>
    <row r="1107">
      <c r="A1107" s="5" t="s">
        <v>2303</v>
      </c>
      <c r="B1107" s="5">
        <v>550.7</v>
      </c>
    </row>
    <row r="1108">
      <c r="A1108" s="5" t="s">
        <v>2304</v>
      </c>
      <c r="B1108" s="5">
        <v>40.0</v>
      </c>
    </row>
    <row r="1109">
      <c r="A1109" s="5" t="s">
        <v>2305</v>
      </c>
      <c r="B1109" s="5">
        <v>60.0</v>
      </c>
    </row>
    <row r="1110">
      <c r="A1110" s="5" t="s">
        <v>2306</v>
      </c>
      <c r="B1110" s="5">
        <v>34.0</v>
      </c>
    </row>
    <row r="1111">
      <c r="A1111" s="5" t="s">
        <v>2307</v>
      </c>
      <c r="B1111" s="5">
        <v>19440.0</v>
      </c>
    </row>
    <row r="1112">
      <c r="A1112" s="5" t="s">
        <v>2308</v>
      </c>
      <c r="B1112" s="5">
        <v>1008.0</v>
      </c>
    </row>
    <row r="1113">
      <c r="A1113" s="5" t="s">
        <v>2309</v>
      </c>
      <c r="B1113" s="5">
        <v>114.0</v>
      </c>
    </row>
    <row r="1114">
      <c r="A1114" s="5" t="s">
        <v>2310</v>
      </c>
      <c r="B1114" s="5">
        <v>13141.0</v>
      </c>
    </row>
    <row r="1115">
      <c r="A1115" s="5" t="s">
        <v>2311</v>
      </c>
      <c r="B1115" s="5">
        <v>660.0</v>
      </c>
    </row>
    <row r="1116">
      <c r="A1116" s="5" t="s">
        <v>2312</v>
      </c>
      <c r="B1116" s="5">
        <v>444.0</v>
      </c>
    </row>
    <row r="1117">
      <c r="A1117" s="5" t="s">
        <v>2313</v>
      </c>
      <c r="B1117" s="5">
        <v>400.0</v>
      </c>
    </row>
    <row r="1118">
      <c r="A1118" s="5" t="s">
        <v>2314</v>
      </c>
      <c r="B1118" s="5">
        <v>2534.84</v>
      </c>
    </row>
    <row r="1119">
      <c r="A1119" s="5" t="s">
        <v>2315</v>
      </c>
      <c r="B1119" s="5">
        <v>302.0</v>
      </c>
    </row>
    <row r="1120">
      <c r="A1120" s="5" t="s">
        <v>2316</v>
      </c>
      <c r="B1120" s="5">
        <v>7304.65</v>
      </c>
    </row>
    <row r="1121">
      <c r="A1121" s="5" t="s">
        <v>2317</v>
      </c>
      <c r="B1121" s="5">
        <v>340.0</v>
      </c>
    </row>
    <row r="1122">
      <c r="A1122" s="5" t="s">
        <v>2318</v>
      </c>
      <c r="B1122" s="5">
        <v>2160.0</v>
      </c>
    </row>
    <row r="1123">
      <c r="A1123" s="5" t="s">
        <v>2319</v>
      </c>
      <c r="B1123" s="5">
        <v>259.74</v>
      </c>
    </row>
    <row r="1124">
      <c r="A1124" s="5" t="s">
        <v>2320</v>
      </c>
      <c r="B1124" s="5">
        <v>496.0</v>
      </c>
    </row>
    <row r="1125">
      <c r="A1125" s="5" t="s">
        <v>2321</v>
      </c>
      <c r="B1125" s="5">
        <v>10888.2</v>
      </c>
    </row>
    <row r="1126">
      <c r="A1126" s="5" t="s">
        <v>2322</v>
      </c>
      <c r="B1126" s="5">
        <v>58.0</v>
      </c>
    </row>
    <row r="1127">
      <c r="A1127" s="5" t="s">
        <v>2323</v>
      </c>
      <c r="B1127" s="5">
        <v>265.0</v>
      </c>
    </row>
    <row r="1128">
      <c r="A1128" s="5" t="s">
        <v>2324</v>
      </c>
      <c r="B1128" s="5">
        <v>236.0</v>
      </c>
    </row>
    <row r="1129">
      <c r="A1129" s="5" t="s">
        <v>2325</v>
      </c>
      <c r="B1129" s="5">
        <v>80138.8</v>
      </c>
    </row>
    <row r="1130">
      <c r="A1130" s="5" t="s">
        <v>2326</v>
      </c>
      <c r="B1130" s="5">
        <v>739980.69</v>
      </c>
    </row>
    <row r="1131">
      <c r="A1131" s="5" t="s">
        <v>2327</v>
      </c>
      <c r="B1131" s="5">
        <v>789.85</v>
      </c>
    </row>
    <row r="1132">
      <c r="A1132" s="5" t="s">
        <v>2328</v>
      </c>
      <c r="B1132" s="5">
        <v>180543.02</v>
      </c>
    </row>
    <row r="1133">
      <c r="A1133" s="5" t="s">
        <v>2329</v>
      </c>
      <c r="B1133" s="5">
        <v>2882.66</v>
      </c>
    </row>
    <row r="1134">
      <c r="A1134" s="5" t="s">
        <v>2330</v>
      </c>
      <c r="B1134" s="5">
        <v>18.0</v>
      </c>
    </row>
    <row r="1135">
      <c r="A1135" s="5" t="s">
        <v>2331</v>
      </c>
      <c r="B1135" s="5">
        <v>251.89</v>
      </c>
    </row>
    <row r="1136">
      <c r="A1136" s="5" t="s">
        <v>2332</v>
      </c>
      <c r="B1136" s="5">
        <v>17411.5</v>
      </c>
    </row>
    <row r="1137">
      <c r="A1137" s="5" t="s">
        <v>2333</v>
      </c>
      <c r="B1137" s="5">
        <v>657.0</v>
      </c>
    </row>
    <row r="1138">
      <c r="A1138" s="5" t="s">
        <v>2334</v>
      </c>
      <c r="B1138" s="5">
        <v>511.02</v>
      </c>
    </row>
    <row r="1139">
      <c r="A1139" s="5" t="s">
        <v>2335</v>
      </c>
      <c r="B1139" s="5">
        <v>774.0</v>
      </c>
    </row>
    <row r="1140">
      <c r="A1140" s="5" t="s">
        <v>2336</v>
      </c>
      <c r="B1140" s="5">
        <v>24.0</v>
      </c>
    </row>
    <row r="1141">
      <c r="A1141" s="5" t="s">
        <v>2337</v>
      </c>
      <c r="B1141" s="5">
        <v>645.0</v>
      </c>
    </row>
    <row r="1142">
      <c r="A1142" s="5" t="s">
        <v>2338</v>
      </c>
      <c r="B1142" s="5">
        <v>281.0</v>
      </c>
    </row>
    <row r="1143">
      <c r="A1143" s="5" t="s">
        <v>2339</v>
      </c>
      <c r="B1143" s="5">
        <v>178.0</v>
      </c>
    </row>
    <row r="1144">
      <c r="A1144" s="5" t="s">
        <v>2340</v>
      </c>
      <c r="B1144" s="5">
        <v>774.0</v>
      </c>
    </row>
    <row r="1145">
      <c r="A1145" s="5" t="s">
        <v>2341</v>
      </c>
      <c r="B1145" s="5">
        <v>10455.0</v>
      </c>
    </row>
    <row r="1146">
      <c r="A1146" s="5" t="s">
        <v>2342</v>
      </c>
      <c r="B1146" s="5">
        <v>1683.76</v>
      </c>
    </row>
    <row r="1147">
      <c r="A1147" s="5" t="s">
        <v>2343</v>
      </c>
      <c r="B1147" s="5">
        <v>2186.0</v>
      </c>
    </row>
    <row r="1148">
      <c r="A1148" s="5" t="s">
        <v>2344</v>
      </c>
      <c r="B1148" s="5">
        <v>1128.0</v>
      </c>
    </row>
    <row r="1149">
      <c r="A1149" s="5" t="s">
        <v>2345</v>
      </c>
      <c r="B1149" s="5">
        <v>710.28</v>
      </c>
    </row>
    <row r="1150">
      <c r="A1150" s="5" t="s">
        <v>2346</v>
      </c>
      <c r="B1150" s="5">
        <v>58390.13</v>
      </c>
    </row>
    <row r="1151">
      <c r="A1151" s="5" t="s">
        <v>2347</v>
      </c>
      <c r="B1151" s="5">
        <v>259.8</v>
      </c>
    </row>
    <row r="1152">
      <c r="A1152" s="5" t="s">
        <v>2348</v>
      </c>
      <c r="B1152" s="5">
        <v>8377.59</v>
      </c>
    </row>
    <row r="1153">
      <c r="A1153" s="5" t="s">
        <v>2349</v>
      </c>
      <c r="B1153" s="5">
        <v>2448.71</v>
      </c>
    </row>
    <row r="1154">
      <c r="A1154" s="5" t="s">
        <v>2350</v>
      </c>
      <c r="B1154" s="5">
        <v>120.0</v>
      </c>
    </row>
    <row r="1155">
      <c r="A1155" s="5" t="s">
        <v>2351</v>
      </c>
      <c r="B1155" s="5">
        <v>768.0</v>
      </c>
    </row>
    <row r="1156">
      <c r="A1156" s="5" t="s">
        <v>2352</v>
      </c>
      <c r="B1156" s="5">
        <v>1820.0</v>
      </c>
    </row>
    <row r="1157">
      <c r="A1157" s="5" t="s">
        <v>2353</v>
      </c>
      <c r="B1157" s="5">
        <v>1172.12</v>
      </c>
    </row>
    <row r="1158">
      <c r="A1158" s="5" t="s">
        <v>2354</v>
      </c>
      <c r="B1158" s="5">
        <v>17985.36</v>
      </c>
    </row>
    <row r="1159">
      <c r="A1159" s="5" t="s">
        <v>2355</v>
      </c>
      <c r="B1159" s="5">
        <v>3681.0</v>
      </c>
    </row>
    <row r="1160">
      <c r="A1160" s="5" t="s">
        <v>2356</v>
      </c>
      <c r="B1160" s="5">
        <v>24.0</v>
      </c>
    </row>
    <row r="1161">
      <c r="A1161" s="5" t="s">
        <v>2357</v>
      </c>
      <c r="B1161" s="5">
        <v>888.26</v>
      </c>
    </row>
    <row r="1162">
      <c r="A1162" s="5" t="s">
        <v>2358</v>
      </c>
      <c r="B1162" s="5">
        <v>3024.0</v>
      </c>
    </row>
    <row r="1163">
      <c r="A1163" s="5" t="s">
        <v>2359</v>
      </c>
      <c r="B1163" s="5">
        <v>421.0</v>
      </c>
    </row>
    <row r="1164">
      <c r="A1164" s="5" t="s">
        <v>2360</v>
      </c>
      <c r="B1164" s="5">
        <v>2152.0</v>
      </c>
    </row>
    <row r="1165">
      <c r="A1165" s="5" t="s">
        <v>2361</v>
      </c>
      <c r="B1165" s="5">
        <v>1188.0</v>
      </c>
    </row>
    <row r="1166">
      <c r="A1166" s="5" t="s">
        <v>2362</v>
      </c>
      <c r="B1166" s="5">
        <v>24.0</v>
      </c>
    </row>
    <row r="1167">
      <c r="A1167" s="5" t="s">
        <v>2363</v>
      </c>
      <c r="B1167" s="5">
        <v>1656.84</v>
      </c>
    </row>
    <row r="1168">
      <c r="A1168" s="5" t="s">
        <v>2364</v>
      </c>
      <c r="B1168" s="5">
        <v>134.72</v>
      </c>
    </row>
    <row r="1169">
      <c r="A1169" s="5" t="s">
        <v>2365</v>
      </c>
      <c r="B1169" s="5">
        <v>11156.06</v>
      </c>
    </row>
    <row r="1170">
      <c r="A1170" s="5" t="s">
        <v>2366</v>
      </c>
      <c r="B1170" s="5">
        <v>1173.0</v>
      </c>
    </row>
    <row r="1171">
      <c r="A1171" s="5" t="s">
        <v>2367</v>
      </c>
      <c r="B1171" s="5">
        <v>379.0</v>
      </c>
    </row>
    <row r="1172">
      <c r="A1172" s="5" t="s">
        <v>2368</v>
      </c>
      <c r="B1172" s="5">
        <v>4266.0</v>
      </c>
    </row>
    <row r="1173">
      <c r="A1173" s="5" t="s">
        <v>2369</v>
      </c>
      <c r="B1173" s="5">
        <v>14625.0</v>
      </c>
    </row>
    <row r="1174">
      <c r="A1174" s="5" t="s">
        <v>2370</v>
      </c>
      <c r="B1174" s="5">
        <v>2200.0</v>
      </c>
    </row>
  </sheetData>
  <conditionalFormatting sqref="B1:B151 B153:B473 B475:B486 B488:B940 B942:B1174">
    <cfRule type="cellIs" dxfId="0" priority="1" operator="greaterThanOr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40.38"/>
  </cols>
  <sheetData>
    <row r="1">
      <c r="A1" s="6" t="s">
        <v>0</v>
      </c>
      <c r="B1" s="7"/>
      <c r="C1" s="7"/>
      <c r="D1" s="7"/>
      <c r="E1" s="7"/>
      <c r="F1" s="7"/>
      <c r="G1" s="7"/>
    </row>
    <row r="2">
      <c r="A2" s="6" t="s">
        <v>1</v>
      </c>
      <c r="B2" s="7"/>
      <c r="C2" s="7"/>
      <c r="D2" s="7"/>
      <c r="E2" s="7"/>
      <c r="F2" s="7"/>
      <c r="G2" s="7"/>
    </row>
    <row r="3">
      <c r="A3" s="6" t="s">
        <v>2</v>
      </c>
      <c r="B3" s="7"/>
      <c r="C3" s="7"/>
      <c r="D3" s="7"/>
      <c r="E3" s="7"/>
      <c r="F3" s="7"/>
      <c r="G3" s="7"/>
    </row>
    <row r="4">
      <c r="A4" s="6" t="s">
        <v>3</v>
      </c>
      <c r="B4" s="7"/>
      <c r="C4" s="7"/>
      <c r="D4" s="7"/>
      <c r="E4" s="7"/>
      <c r="F4" s="7"/>
      <c r="G4" s="7"/>
    </row>
    <row r="5">
      <c r="A5" s="6" t="s">
        <v>4</v>
      </c>
      <c r="B5" s="6">
        <v>0.0</v>
      </c>
      <c r="C5" s="7"/>
      <c r="D5" s="7"/>
      <c r="E5" s="7"/>
      <c r="F5" s="7"/>
      <c r="G5" s="7"/>
    </row>
    <row r="6">
      <c r="A6" s="6" t="s">
        <v>5</v>
      </c>
      <c r="B6" s="6">
        <v>52.0</v>
      </c>
      <c r="C6" s="7"/>
      <c r="D6" s="7"/>
      <c r="E6" s="7"/>
      <c r="F6" s="7"/>
      <c r="G6" s="7"/>
    </row>
    <row r="7">
      <c r="A7" s="6" t="s">
        <v>6</v>
      </c>
      <c r="B7" s="6">
        <v>0.0</v>
      </c>
      <c r="C7" s="7"/>
      <c r="D7" s="7"/>
      <c r="E7" s="7"/>
      <c r="F7" s="7"/>
      <c r="G7" s="7"/>
    </row>
    <row r="8">
      <c r="A8" s="6" t="s">
        <v>7</v>
      </c>
      <c r="B8" s="6">
        <v>0.0</v>
      </c>
      <c r="C8" s="7"/>
      <c r="D8" s="7"/>
      <c r="E8" s="7"/>
      <c r="F8" s="7"/>
      <c r="G8" s="7"/>
    </row>
    <row r="9">
      <c r="A9" s="6" t="s">
        <v>8</v>
      </c>
      <c r="B9" s="6">
        <v>0.0</v>
      </c>
      <c r="C9" s="7"/>
      <c r="D9" s="7"/>
      <c r="E9" s="7"/>
      <c r="F9" s="7"/>
      <c r="G9" s="7"/>
    </row>
    <row r="10">
      <c r="A10" s="6" t="s">
        <v>9</v>
      </c>
      <c r="B10" s="6">
        <v>0.0</v>
      </c>
      <c r="C10" s="7"/>
      <c r="D10" s="7"/>
      <c r="E10" s="7"/>
      <c r="F10" s="7"/>
      <c r="G10" s="7"/>
    </row>
    <row r="11">
      <c r="A11" s="6" t="s">
        <v>10</v>
      </c>
      <c r="B11" s="6">
        <v>0.0</v>
      </c>
      <c r="C11" s="7"/>
      <c r="D11" s="7"/>
      <c r="E11" s="7"/>
      <c r="F11" s="7"/>
      <c r="G11" s="7"/>
    </row>
    <row r="12">
      <c r="A12" s="6" t="s">
        <v>11</v>
      </c>
      <c r="B12" s="6">
        <v>0.0</v>
      </c>
      <c r="C12" s="7"/>
      <c r="D12" s="7"/>
      <c r="E12" s="7"/>
      <c r="F12" s="7"/>
      <c r="G12" s="7"/>
    </row>
    <row r="13">
      <c r="A13" s="6" t="s">
        <v>12</v>
      </c>
      <c r="B13" s="6">
        <v>67.0</v>
      </c>
      <c r="C13" s="7"/>
      <c r="D13" s="7"/>
      <c r="E13" s="7"/>
      <c r="F13" s="7"/>
      <c r="G13" s="7"/>
    </row>
    <row r="14">
      <c r="A14" s="6" t="s">
        <v>13</v>
      </c>
      <c r="B14" s="6">
        <v>0.0</v>
      </c>
      <c r="C14" s="7"/>
      <c r="D14" s="7"/>
      <c r="E14" s="7"/>
      <c r="F14" s="7"/>
      <c r="G14" s="7"/>
    </row>
    <row r="15">
      <c r="A15" s="6" t="s">
        <v>14</v>
      </c>
      <c r="B15" s="6">
        <v>0.0</v>
      </c>
      <c r="C15" s="7"/>
      <c r="D15" s="7"/>
      <c r="E15" s="7"/>
      <c r="F15" s="7"/>
      <c r="G15" s="7"/>
    </row>
    <row r="16">
      <c r="A16" s="6" t="s">
        <v>15</v>
      </c>
      <c r="B16" s="6" t="s">
        <v>16</v>
      </c>
      <c r="C16" s="6">
        <v>97.0</v>
      </c>
      <c r="D16" s="7"/>
      <c r="E16" s="7"/>
      <c r="F16" s="7"/>
      <c r="G16" s="7"/>
    </row>
    <row r="17">
      <c r="A17" s="6" t="s">
        <v>17</v>
      </c>
      <c r="B17" s="6">
        <v>0.0</v>
      </c>
      <c r="C17" s="7"/>
      <c r="D17" s="7"/>
      <c r="E17" s="7"/>
      <c r="F17" s="7"/>
      <c r="G17" s="7"/>
    </row>
    <row r="18">
      <c r="A18" s="6" t="s">
        <v>18</v>
      </c>
      <c r="B18" s="6">
        <v>23.0</v>
      </c>
      <c r="C18" s="7"/>
      <c r="D18" s="7"/>
      <c r="E18" s="7"/>
      <c r="F18" s="7"/>
      <c r="G18" s="7"/>
    </row>
    <row r="19">
      <c r="A19" s="6" t="s">
        <v>19</v>
      </c>
      <c r="B19" s="6">
        <v>0.0</v>
      </c>
      <c r="C19" s="7"/>
      <c r="D19" s="7"/>
      <c r="E19" s="7"/>
      <c r="F19" s="7"/>
      <c r="G19" s="7"/>
    </row>
    <row r="20">
      <c r="A20" s="6" t="s">
        <v>20</v>
      </c>
      <c r="B20" s="6">
        <v>0.0</v>
      </c>
      <c r="C20" s="7"/>
      <c r="D20" s="7"/>
      <c r="E20" s="7"/>
      <c r="F20" s="7"/>
      <c r="G20" s="7"/>
    </row>
    <row r="21">
      <c r="A21" s="6" t="s">
        <v>21</v>
      </c>
      <c r="B21" s="6">
        <v>0.0</v>
      </c>
      <c r="C21" s="7"/>
      <c r="D21" s="7"/>
      <c r="E21" s="7"/>
      <c r="F21" s="7"/>
      <c r="G21" s="7"/>
    </row>
    <row r="22">
      <c r="A22" s="6" t="s">
        <v>22</v>
      </c>
      <c r="B22" s="6">
        <v>0.0</v>
      </c>
      <c r="C22" s="7"/>
      <c r="D22" s="7"/>
      <c r="E22" s="7"/>
      <c r="F22" s="7"/>
      <c r="G22" s="7"/>
    </row>
    <row r="23">
      <c r="A23" s="6" t="s">
        <v>23</v>
      </c>
      <c r="B23" s="6" t="s">
        <v>24</v>
      </c>
      <c r="C23" s="6">
        <v>0.0</v>
      </c>
      <c r="D23" s="7"/>
      <c r="E23" s="7"/>
      <c r="F23" s="7"/>
      <c r="G23" s="7"/>
    </row>
    <row r="24">
      <c r="A24" s="6" t="s">
        <v>25</v>
      </c>
      <c r="B24" s="6">
        <v>0.0</v>
      </c>
      <c r="C24" s="7"/>
      <c r="D24" s="7"/>
      <c r="E24" s="7"/>
      <c r="F24" s="7"/>
      <c r="G24" s="7"/>
    </row>
    <row r="25">
      <c r="A25" s="6" t="s">
        <v>26</v>
      </c>
      <c r="B25" s="6">
        <v>0.0</v>
      </c>
      <c r="C25" s="7"/>
      <c r="D25" s="7"/>
      <c r="E25" s="7"/>
      <c r="F25" s="7"/>
      <c r="G25" s="7"/>
    </row>
    <row r="26">
      <c r="A26" s="6" t="s">
        <v>27</v>
      </c>
      <c r="B26" s="6">
        <v>0.0</v>
      </c>
      <c r="C26" s="7"/>
      <c r="D26" s="7"/>
      <c r="E26" s="7"/>
      <c r="F26" s="7"/>
      <c r="G26" s="7"/>
    </row>
    <row r="27">
      <c r="A27" s="6" t="s">
        <v>28</v>
      </c>
      <c r="B27" s="6">
        <v>0.0</v>
      </c>
      <c r="C27" s="7"/>
      <c r="D27" s="7"/>
      <c r="E27" s="7"/>
      <c r="F27" s="7"/>
      <c r="G27" s="7"/>
    </row>
    <row r="28">
      <c r="A28" s="6" t="s">
        <v>29</v>
      </c>
      <c r="B28" s="6" t="s">
        <v>30</v>
      </c>
      <c r="C28" s="6" t="s">
        <v>31</v>
      </c>
      <c r="D28" s="7"/>
      <c r="E28" s="7"/>
      <c r="F28" s="7"/>
      <c r="G28" s="7"/>
    </row>
    <row r="29">
      <c r="A29" s="6" t="s">
        <v>32</v>
      </c>
      <c r="B29" s="6">
        <v>0.0</v>
      </c>
      <c r="C29" s="7"/>
      <c r="D29" s="7"/>
      <c r="E29" s="7"/>
      <c r="F29" s="7"/>
      <c r="G29" s="7"/>
    </row>
    <row r="30">
      <c r="A30" s="6" t="s">
        <v>33</v>
      </c>
      <c r="B30" s="6" t="s">
        <v>34</v>
      </c>
      <c r="C30" s="7"/>
      <c r="D30" s="7"/>
      <c r="E30" s="7"/>
      <c r="F30" s="7"/>
      <c r="G30" s="7"/>
    </row>
    <row r="31">
      <c r="A31" s="6" t="s">
        <v>35</v>
      </c>
      <c r="B31" s="6">
        <v>10.0</v>
      </c>
      <c r="C31" s="7"/>
      <c r="D31" s="7"/>
      <c r="E31" s="7"/>
      <c r="F31" s="7"/>
      <c r="G31" s="7"/>
    </row>
    <row r="32">
      <c r="A32" s="6" t="s">
        <v>36</v>
      </c>
      <c r="B32" s="6">
        <v>0.0</v>
      </c>
      <c r="C32" s="7"/>
      <c r="D32" s="7"/>
      <c r="E32" s="7"/>
      <c r="F32" s="7"/>
      <c r="G32" s="7"/>
    </row>
    <row r="33">
      <c r="A33" s="6" t="s">
        <v>37</v>
      </c>
      <c r="B33" s="6">
        <v>5.0</v>
      </c>
      <c r="C33" s="7"/>
      <c r="D33" s="7"/>
      <c r="E33" s="7"/>
      <c r="F33" s="7"/>
      <c r="G33" s="7"/>
    </row>
    <row r="34">
      <c r="A34" s="6" t="s">
        <v>38</v>
      </c>
      <c r="B34" s="6">
        <v>86.0</v>
      </c>
      <c r="C34" s="7"/>
      <c r="D34" s="7"/>
      <c r="E34" s="7"/>
      <c r="F34" s="7"/>
      <c r="G34" s="7"/>
    </row>
    <row r="35">
      <c r="A35" s="6" t="s">
        <v>39</v>
      </c>
      <c r="B35" s="6">
        <v>0.0</v>
      </c>
      <c r="C35" s="7"/>
      <c r="D35" s="7"/>
      <c r="E35" s="7"/>
      <c r="F35" s="7"/>
      <c r="G35" s="7"/>
    </row>
    <row r="36">
      <c r="A36" s="6" t="s">
        <v>40</v>
      </c>
      <c r="B36" s="6">
        <v>0.0</v>
      </c>
      <c r="C36" s="7"/>
      <c r="D36" s="7"/>
      <c r="E36" s="7"/>
      <c r="F36" s="7"/>
      <c r="G36" s="7"/>
    </row>
    <row r="37">
      <c r="A37" s="6" t="s">
        <v>41</v>
      </c>
      <c r="B37" s="6">
        <v>0.0</v>
      </c>
      <c r="C37" s="7"/>
      <c r="D37" s="7"/>
      <c r="E37" s="7"/>
      <c r="F37" s="7"/>
      <c r="G37" s="7"/>
    </row>
    <row r="38">
      <c r="A38" s="6" t="s">
        <v>42</v>
      </c>
      <c r="B38" s="6">
        <v>18.0</v>
      </c>
      <c r="C38" s="7"/>
      <c r="D38" s="7"/>
      <c r="E38" s="7"/>
      <c r="F38" s="7"/>
      <c r="G38" s="7"/>
    </row>
    <row r="39">
      <c r="A39" s="6" t="s">
        <v>43</v>
      </c>
      <c r="B39" s="6">
        <v>0.0</v>
      </c>
      <c r="C39" s="7"/>
      <c r="D39" s="7"/>
      <c r="E39" s="7"/>
      <c r="F39" s="7"/>
      <c r="G39" s="7"/>
    </row>
    <row r="40">
      <c r="A40" s="6" t="s">
        <v>44</v>
      </c>
      <c r="B40" s="6" t="s">
        <v>45</v>
      </c>
      <c r="C40" s="6">
        <v>0.0</v>
      </c>
      <c r="D40" s="7"/>
      <c r="E40" s="7"/>
      <c r="F40" s="7"/>
      <c r="G40" s="7"/>
    </row>
    <row r="41">
      <c r="A41" s="6" t="s">
        <v>46</v>
      </c>
      <c r="B41" s="6">
        <v>0.0</v>
      </c>
      <c r="C41" s="7"/>
      <c r="D41" s="7"/>
      <c r="E41" s="7"/>
      <c r="F41" s="7"/>
      <c r="G41" s="7"/>
    </row>
    <row r="42">
      <c r="A42" s="6" t="s">
        <v>47</v>
      </c>
      <c r="B42" s="6">
        <v>0.0</v>
      </c>
      <c r="C42" s="7"/>
      <c r="D42" s="7"/>
      <c r="E42" s="7"/>
      <c r="F42" s="7"/>
      <c r="G42" s="7"/>
    </row>
    <row r="43">
      <c r="A43" s="6" t="s">
        <v>48</v>
      </c>
      <c r="B43" s="6">
        <v>67.0</v>
      </c>
      <c r="C43" s="7"/>
      <c r="D43" s="7"/>
      <c r="E43" s="7"/>
      <c r="F43" s="7"/>
      <c r="G43" s="7"/>
    </row>
    <row r="44">
      <c r="A44" s="6" t="s">
        <v>49</v>
      </c>
      <c r="B44" s="6">
        <v>0.0</v>
      </c>
      <c r="C44" s="7"/>
      <c r="D44" s="7"/>
      <c r="E44" s="7"/>
      <c r="F44" s="7"/>
      <c r="G44" s="7"/>
    </row>
    <row r="45">
      <c r="A45" s="6" t="s">
        <v>50</v>
      </c>
      <c r="B45" s="6">
        <v>0.0</v>
      </c>
      <c r="C45" s="7"/>
      <c r="D45" s="7"/>
      <c r="E45" s="7"/>
      <c r="F45" s="7"/>
      <c r="G45" s="7"/>
    </row>
    <row r="46">
      <c r="A46" s="6" t="s">
        <v>51</v>
      </c>
      <c r="B46" s="6">
        <v>0.0</v>
      </c>
      <c r="C46" s="7"/>
      <c r="D46" s="7"/>
      <c r="E46" s="7"/>
      <c r="F46" s="7"/>
      <c r="G46" s="7"/>
    </row>
    <row r="47">
      <c r="A47" s="6" t="s">
        <v>52</v>
      </c>
      <c r="B47" s="6">
        <v>0.0</v>
      </c>
      <c r="C47" s="7"/>
      <c r="D47" s="7"/>
      <c r="E47" s="7"/>
      <c r="F47" s="7"/>
      <c r="G47" s="7"/>
    </row>
    <row r="48">
      <c r="A48" s="6" t="s">
        <v>53</v>
      </c>
      <c r="B48" s="6">
        <v>0.0</v>
      </c>
      <c r="C48" s="7"/>
      <c r="D48" s="7"/>
      <c r="E48" s="7"/>
      <c r="F48" s="7"/>
      <c r="G48" s="7"/>
    </row>
    <row r="49">
      <c r="A49" s="6" t="s">
        <v>54</v>
      </c>
      <c r="B49" s="6">
        <v>0.0</v>
      </c>
      <c r="C49" s="7"/>
      <c r="D49" s="7"/>
      <c r="E49" s="7"/>
      <c r="F49" s="7"/>
      <c r="G49" s="7"/>
    </row>
    <row r="50">
      <c r="A50" s="6" t="s">
        <v>55</v>
      </c>
      <c r="B50" s="6">
        <v>0.0</v>
      </c>
      <c r="C50" s="7"/>
      <c r="D50" s="7"/>
      <c r="E50" s="7"/>
      <c r="F50" s="7"/>
      <c r="G50" s="7"/>
    </row>
    <row r="51">
      <c r="A51" s="6" t="s">
        <v>56</v>
      </c>
      <c r="B51" s="6">
        <v>0.0</v>
      </c>
      <c r="C51" s="7"/>
      <c r="D51" s="7"/>
      <c r="E51" s="7"/>
      <c r="F51" s="7"/>
      <c r="G51" s="7"/>
    </row>
    <row r="52">
      <c r="A52" s="6" t="s">
        <v>57</v>
      </c>
      <c r="B52" s="6">
        <v>14.0</v>
      </c>
      <c r="C52" s="7"/>
      <c r="D52" s="7"/>
      <c r="E52" s="7"/>
      <c r="F52" s="7"/>
      <c r="G52" s="7"/>
    </row>
    <row r="53">
      <c r="A53" s="6" t="s">
        <v>58</v>
      </c>
      <c r="B53" s="6" t="s">
        <v>59</v>
      </c>
      <c r="C53" s="6">
        <v>0.0</v>
      </c>
      <c r="D53" s="7"/>
      <c r="E53" s="7"/>
      <c r="F53" s="7"/>
      <c r="G53" s="7"/>
    </row>
    <row r="54">
      <c r="A54" s="6" t="s">
        <v>60</v>
      </c>
      <c r="B54" s="6">
        <v>0.0</v>
      </c>
      <c r="C54" s="7"/>
      <c r="D54" s="7"/>
      <c r="E54" s="7"/>
      <c r="F54" s="7"/>
      <c r="G54" s="7"/>
    </row>
    <row r="55">
      <c r="A55" s="6" t="s">
        <v>61</v>
      </c>
      <c r="B55" s="6">
        <v>26.0</v>
      </c>
      <c r="C55" s="7"/>
      <c r="D55" s="7"/>
      <c r="E55" s="7"/>
      <c r="F55" s="7"/>
      <c r="G55" s="7"/>
    </row>
    <row r="56">
      <c r="A56" s="6" t="s">
        <v>62</v>
      </c>
      <c r="B56" s="6">
        <v>5.0</v>
      </c>
      <c r="C56" s="7"/>
      <c r="D56" s="7"/>
      <c r="E56" s="7"/>
      <c r="F56" s="7"/>
      <c r="G56" s="7"/>
    </row>
    <row r="57">
      <c r="A57" s="6" t="s">
        <v>63</v>
      </c>
      <c r="B57" s="6">
        <v>0.0</v>
      </c>
      <c r="C57" s="7"/>
      <c r="D57" s="7"/>
      <c r="E57" s="7"/>
      <c r="F57" s="7"/>
      <c r="G57" s="7"/>
    </row>
    <row r="58">
      <c r="A58" s="6" t="s">
        <v>64</v>
      </c>
      <c r="B58" s="6">
        <v>0.0</v>
      </c>
      <c r="C58" s="7"/>
      <c r="D58" s="7"/>
      <c r="E58" s="7"/>
      <c r="F58" s="7"/>
      <c r="G58" s="7"/>
    </row>
    <row r="59">
      <c r="A59" s="6" t="s">
        <v>65</v>
      </c>
      <c r="B59" s="6">
        <v>0.0</v>
      </c>
      <c r="C59" s="7"/>
      <c r="D59" s="7"/>
      <c r="E59" s="7"/>
      <c r="F59" s="7"/>
      <c r="G59" s="7"/>
    </row>
    <row r="60">
      <c r="A60" s="6" t="s">
        <v>66</v>
      </c>
      <c r="B60" s="6">
        <v>0.0</v>
      </c>
      <c r="C60" s="7"/>
      <c r="D60" s="7"/>
      <c r="E60" s="7"/>
      <c r="F60" s="7"/>
      <c r="G60" s="7"/>
    </row>
    <row r="61">
      <c r="A61" s="6" t="s">
        <v>67</v>
      </c>
      <c r="B61" s="6">
        <v>0.0</v>
      </c>
      <c r="C61" s="7"/>
      <c r="D61" s="7"/>
      <c r="E61" s="7"/>
      <c r="F61" s="7"/>
      <c r="G61" s="7"/>
    </row>
    <row r="62">
      <c r="A62" s="6" t="s">
        <v>68</v>
      </c>
      <c r="B62" s="6">
        <v>0.0</v>
      </c>
      <c r="C62" s="7"/>
      <c r="D62" s="7"/>
      <c r="E62" s="7"/>
      <c r="F62" s="7"/>
      <c r="G62" s="7"/>
    </row>
    <row r="63">
      <c r="A63" s="6" t="s">
        <v>69</v>
      </c>
      <c r="B63" s="6">
        <v>40.0</v>
      </c>
      <c r="C63" s="7"/>
      <c r="D63" s="7"/>
      <c r="E63" s="7"/>
      <c r="F63" s="7"/>
      <c r="G63" s="7"/>
    </row>
    <row r="64">
      <c r="A64" s="6" t="s">
        <v>70</v>
      </c>
      <c r="B64" s="6">
        <v>0.0</v>
      </c>
      <c r="C64" s="7"/>
      <c r="D64" s="7"/>
      <c r="E64" s="7"/>
      <c r="F64" s="7"/>
      <c r="G64" s="7"/>
    </row>
    <row r="65">
      <c r="A65" s="6" t="s">
        <v>71</v>
      </c>
      <c r="B65" s="6">
        <v>0.0</v>
      </c>
      <c r="C65" s="7"/>
      <c r="D65" s="7"/>
      <c r="E65" s="7"/>
      <c r="F65" s="7"/>
      <c r="G65" s="7"/>
    </row>
    <row r="66">
      <c r="A66" s="6" t="s">
        <v>72</v>
      </c>
      <c r="B66" s="6">
        <v>68.0</v>
      </c>
      <c r="C66" s="7"/>
      <c r="D66" s="7"/>
      <c r="E66" s="7"/>
      <c r="F66" s="7"/>
      <c r="G66" s="7"/>
    </row>
    <row r="67">
      <c r="A67" s="6" t="s">
        <v>73</v>
      </c>
      <c r="B67" s="6">
        <v>0.0</v>
      </c>
      <c r="C67" s="7"/>
      <c r="D67" s="7"/>
      <c r="E67" s="7"/>
      <c r="F67" s="7"/>
      <c r="G67" s="7"/>
    </row>
    <row r="68">
      <c r="A68" s="6" t="s">
        <v>74</v>
      </c>
      <c r="B68" s="6">
        <v>13.0</v>
      </c>
      <c r="C68" s="7"/>
      <c r="D68" s="7"/>
      <c r="E68" s="7"/>
      <c r="F68" s="7"/>
      <c r="G68" s="7"/>
    </row>
    <row r="69">
      <c r="A69" s="6" t="s">
        <v>75</v>
      </c>
      <c r="B69" s="6">
        <v>29.0</v>
      </c>
      <c r="C69" s="7"/>
      <c r="D69" s="7"/>
      <c r="E69" s="7"/>
      <c r="F69" s="7"/>
      <c r="G69" s="7"/>
    </row>
    <row r="70">
      <c r="A70" s="6" t="s">
        <v>76</v>
      </c>
      <c r="B70" s="6">
        <v>0.0</v>
      </c>
      <c r="C70" s="7"/>
      <c r="D70" s="7"/>
      <c r="E70" s="7"/>
      <c r="F70" s="7"/>
      <c r="G70" s="7"/>
    </row>
    <row r="71">
      <c r="A71" s="6" t="s">
        <v>77</v>
      </c>
      <c r="B71" s="6">
        <v>84.0</v>
      </c>
      <c r="C71" s="7"/>
      <c r="D71" s="7"/>
      <c r="E71" s="7"/>
      <c r="F71" s="7"/>
      <c r="G71" s="7"/>
    </row>
    <row r="72">
      <c r="A72" s="6" t="s">
        <v>78</v>
      </c>
      <c r="B72" s="6">
        <v>58.0</v>
      </c>
      <c r="C72" s="7"/>
      <c r="D72" s="7"/>
      <c r="E72" s="7"/>
      <c r="F72" s="7"/>
      <c r="G72" s="7"/>
    </row>
    <row r="73">
      <c r="A73" s="6" t="s">
        <v>79</v>
      </c>
      <c r="B73" s="6">
        <v>0.0</v>
      </c>
      <c r="C73" s="7"/>
      <c r="D73" s="7"/>
      <c r="E73" s="7"/>
      <c r="F73" s="7"/>
      <c r="G73" s="7"/>
    </row>
    <row r="74">
      <c r="A74" s="6" t="s">
        <v>80</v>
      </c>
      <c r="B74" s="6">
        <v>12.0</v>
      </c>
      <c r="C74" s="7"/>
      <c r="D74" s="7"/>
      <c r="E74" s="7"/>
      <c r="F74" s="7"/>
      <c r="G74" s="7"/>
    </row>
    <row r="75">
      <c r="A75" s="6" t="s">
        <v>81</v>
      </c>
      <c r="B75" s="6">
        <v>5.0</v>
      </c>
      <c r="C75" s="7"/>
      <c r="D75" s="7"/>
      <c r="E75" s="7"/>
      <c r="F75" s="7"/>
      <c r="G75" s="7"/>
    </row>
    <row r="76">
      <c r="A76" s="6" t="s">
        <v>82</v>
      </c>
      <c r="B76" s="6">
        <v>70.0</v>
      </c>
      <c r="C76" s="7"/>
      <c r="D76" s="7"/>
      <c r="E76" s="7"/>
      <c r="F76" s="7"/>
      <c r="G76" s="7"/>
    </row>
    <row r="77">
      <c r="A77" s="6" t="s">
        <v>83</v>
      </c>
      <c r="B77" s="6">
        <v>13.0</v>
      </c>
      <c r="C77" s="7"/>
      <c r="D77" s="7"/>
      <c r="E77" s="7"/>
      <c r="F77" s="7"/>
      <c r="G77" s="7"/>
    </row>
    <row r="78">
      <c r="A78" s="6" t="s">
        <v>84</v>
      </c>
      <c r="B78" s="6">
        <v>0.0</v>
      </c>
      <c r="C78" s="7"/>
      <c r="D78" s="7"/>
      <c r="E78" s="7"/>
      <c r="F78" s="7"/>
      <c r="G78" s="7"/>
    </row>
    <row r="79">
      <c r="A79" s="6" t="s">
        <v>85</v>
      </c>
      <c r="B79" s="6">
        <v>94.0</v>
      </c>
      <c r="C79" s="7"/>
      <c r="D79" s="7"/>
      <c r="E79" s="7"/>
      <c r="F79" s="7"/>
      <c r="G79" s="7"/>
    </row>
    <row r="80">
      <c r="A80" s="6" t="s">
        <v>86</v>
      </c>
      <c r="B80" s="6">
        <v>36.0</v>
      </c>
      <c r="C80" s="7"/>
      <c r="D80" s="7"/>
      <c r="E80" s="7"/>
      <c r="F80" s="7"/>
      <c r="G80" s="7"/>
    </row>
    <row r="81">
      <c r="A81" s="6" t="s">
        <v>87</v>
      </c>
      <c r="B81" s="6">
        <v>0.0</v>
      </c>
      <c r="C81" s="7"/>
      <c r="D81" s="7"/>
      <c r="E81" s="7"/>
      <c r="F81" s="7"/>
      <c r="G81" s="7"/>
    </row>
    <row r="82">
      <c r="A82" s="6" t="s">
        <v>88</v>
      </c>
      <c r="B82" s="6">
        <v>50.0</v>
      </c>
      <c r="C82" s="7"/>
      <c r="D82" s="7"/>
      <c r="E82" s="7"/>
      <c r="F82" s="7"/>
      <c r="G82" s="7"/>
    </row>
    <row r="83">
      <c r="A83" s="6" t="s">
        <v>89</v>
      </c>
      <c r="B83" s="6">
        <v>0.0</v>
      </c>
      <c r="C83" s="7"/>
      <c r="D83" s="7"/>
      <c r="E83" s="7"/>
      <c r="F83" s="7"/>
      <c r="G83" s="7"/>
    </row>
    <row r="84">
      <c r="A84" s="6" t="s">
        <v>90</v>
      </c>
      <c r="B84" s="6">
        <v>0.0</v>
      </c>
      <c r="C84" s="7"/>
      <c r="D84" s="7"/>
      <c r="E84" s="7"/>
      <c r="F84" s="7"/>
      <c r="G84" s="7"/>
    </row>
    <row r="85">
      <c r="A85" s="6" t="s">
        <v>91</v>
      </c>
      <c r="B85" s="6">
        <v>0.0</v>
      </c>
      <c r="C85" s="7"/>
      <c r="D85" s="7"/>
      <c r="E85" s="7"/>
      <c r="F85" s="7"/>
      <c r="G85" s="7"/>
    </row>
    <row r="86">
      <c r="A86" s="6" t="s">
        <v>92</v>
      </c>
      <c r="B86" s="6">
        <v>0.0</v>
      </c>
      <c r="C86" s="7"/>
      <c r="D86" s="7"/>
      <c r="E86" s="7"/>
      <c r="F86" s="7"/>
      <c r="G86" s="7"/>
    </row>
    <row r="87">
      <c r="A87" s="6" t="s">
        <v>93</v>
      </c>
      <c r="B87" s="6">
        <v>68.0</v>
      </c>
      <c r="C87" s="7"/>
      <c r="D87" s="7"/>
      <c r="E87" s="7"/>
      <c r="F87" s="7"/>
      <c r="G87" s="7"/>
    </row>
    <row r="88">
      <c r="A88" s="6" t="s">
        <v>94</v>
      </c>
      <c r="B88" s="6">
        <v>34.0</v>
      </c>
      <c r="C88" s="7"/>
      <c r="D88" s="7"/>
      <c r="E88" s="7"/>
      <c r="F88" s="7"/>
      <c r="G88" s="7"/>
    </row>
    <row r="89">
      <c r="A89" s="6" t="s">
        <v>95</v>
      </c>
      <c r="B89" s="6">
        <v>0.0</v>
      </c>
      <c r="C89" s="7"/>
      <c r="D89" s="7"/>
      <c r="E89" s="7"/>
      <c r="F89" s="7"/>
      <c r="G89" s="7"/>
    </row>
    <row r="90">
      <c r="A90" s="6" t="s">
        <v>96</v>
      </c>
      <c r="B90" s="6">
        <v>72.0</v>
      </c>
      <c r="C90" s="7"/>
      <c r="D90" s="7"/>
      <c r="E90" s="7"/>
      <c r="F90" s="7"/>
      <c r="G90" s="7"/>
    </row>
    <row r="91">
      <c r="A91" s="6" t="s">
        <v>97</v>
      </c>
      <c r="B91" s="6">
        <v>0.0</v>
      </c>
      <c r="C91" s="7"/>
      <c r="D91" s="7"/>
      <c r="E91" s="7"/>
      <c r="F91" s="7"/>
      <c r="G91" s="7"/>
    </row>
    <row r="92">
      <c r="A92" s="6" t="s">
        <v>98</v>
      </c>
      <c r="B92" s="6">
        <v>0.0</v>
      </c>
      <c r="C92" s="7"/>
      <c r="D92" s="7"/>
      <c r="E92" s="7"/>
      <c r="F92" s="7"/>
      <c r="G92" s="7"/>
    </row>
    <row r="93">
      <c r="A93" s="6" t="s">
        <v>99</v>
      </c>
      <c r="B93" s="6">
        <v>0.0</v>
      </c>
      <c r="C93" s="7"/>
      <c r="D93" s="7"/>
      <c r="E93" s="7"/>
      <c r="F93" s="7"/>
      <c r="G93" s="7"/>
    </row>
    <row r="94">
      <c r="A94" s="6" t="s">
        <v>100</v>
      </c>
      <c r="B94" s="6">
        <v>0.0</v>
      </c>
      <c r="C94" s="7"/>
      <c r="D94" s="7"/>
      <c r="E94" s="7"/>
      <c r="F94" s="7"/>
      <c r="G94" s="7"/>
    </row>
    <row r="95">
      <c r="A95" s="6" t="s">
        <v>101</v>
      </c>
      <c r="B95" s="6">
        <v>0.0</v>
      </c>
      <c r="C95" s="7"/>
      <c r="D95" s="7"/>
      <c r="E95" s="7"/>
      <c r="F95" s="7"/>
      <c r="G95" s="7"/>
    </row>
    <row r="96">
      <c r="A96" s="6" t="s">
        <v>102</v>
      </c>
      <c r="B96" s="6" t="s">
        <v>103</v>
      </c>
      <c r="C96" s="6">
        <v>0.0</v>
      </c>
      <c r="D96" s="7"/>
      <c r="E96" s="7"/>
      <c r="F96" s="7"/>
      <c r="G96" s="7"/>
    </row>
    <row r="97">
      <c r="A97" s="6" t="s">
        <v>104</v>
      </c>
      <c r="B97" s="6">
        <v>0.0</v>
      </c>
      <c r="C97" s="7"/>
      <c r="D97" s="7"/>
      <c r="E97" s="7"/>
      <c r="F97" s="7"/>
      <c r="G97" s="7"/>
    </row>
    <row r="98">
      <c r="A98" s="6" t="s">
        <v>105</v>
      </c>
      <c r="B98" s="6">
        <v>0.0</v>
      </c>
      <c r="C98" s="7"/>
      <c r="D98" s="7"/>
      <c r="E98" s="7"/>
      <c r="F98" s="7"/>
      <c r="G98" s="7"/>
    </row>
    <row r="99">
      <c r="A99" s="6" t="s">
        <v>106</v>
      </c>
      <c r="B99" s="6">
        <v>0.0</v>
      </c>
      <c r="C99" s="7"/>
      <c r="D99" s="7"/>
      <c r="E99" s="7"/>
      <c r="F99" s="7"/>
      <c r="G99" s="7"/>
    </row>
    <row r="100">
      <c r="A100" s="6" t="s">
        <v>107</v>
      </c>
      <c r="B100" s="6">
        <v>0.0</v>
      </c>
      <c r="C100" s="7"/>
      <c r="D100" s="7"/>
      <c r="E100" s="7"/>
      <c r="F100" s="7"/>
      <c r="G100" s="7"/>
    </row>
    <row r="101">
      <c r="A101" s="6" t="s">
        <v>108</v>
      </c>
      <c r="B101" s="6">
        <v>0.0</v>
      </c>
      <c r="C101" s="7"/>
      <c r="D101" s="7"/>
      <c r="E101" s="7"/>
      <c r="F101" s="7"/>
      <c r="G101" s="7"/>
    </row>
    <row r="102">
      <c r="A102" s="6" t="s">
        <v>109</v>
      </c>
      <c r="B102" s="6">
        <v>0.0</v>
      </c>
      <c r="C102" s="7"/>
      <c r="D102" s="7"/>
      <c r="E102" s="7"/>
      <c r="F102" s="7"/>
      <c r="G102" s="7"/>
    </row>
    <row r="103">
      <c r="A103" s="6" t="s">
        <v>110</v>
      </c>
      <c r="B103" s="6">
        <v>0.0</v>
      </c>
      <c r="C103" s="7"/>
      <c r="D103" s="7"/>
      <c r="E103" s="7"/>
      <c r="F103" s="7"/>
      <c r="G103" s="7"/>
    </row>
    <row r="104">
      <c r="A104" s="6" t="s">
        <v>111</v>
      </c>
      <c r="B104" s="6">
        <v>0.0</v>
      </c>
      <c r="C104" s="7"/>
      <c r="D104" s="7"/>
      <c r="E104" s="7"/>
      <c r="F104" s="7"/>
      <c r="G104" s="7"/>
    </row>
    <row r="105">
      <c r="A105" s="6" t="s">
        <v>112</v>
      </c>
      <c r="B105" s="6">
        <v>7.0</v>
      </c>
      <c r="C105" s="7"/>
      <c r="D105" s="7"/>
      <c r="E105" s="7"/>
      <c r="F105" s="7"/>
      <c r="G105" s="7"/>
    </row>
    <row r="106">
      <c r="A106" s="6" t="s">
        <v>113</v>
      </c>
      <c r="B106" s="6">
        <v>77.0</v>
      </c>
      <c r="C106" s="7"/>
      <c r="D106" s="7"/>
      <c r="E106" s="7"/>
      <c r="F106" s="7"/>
      <c r="G106" s="7"/>
    </row>
    <row r="107">
      <c r="A107" s="6" t="s">
        <v>114</v>
      </c>
      <c r="B107" s="6">
        <v>0.0</v>
      </c>
      <c r="C107" s="7"/>
      <c r="D107" s="7"/>
      <c r="E107" s="7"/>
      <c r="F107" s="7"/>
      <c r="G107" s="7"/>
    </row>
    <row r="108">
      <c r="A108" s="6" t="s">
        <v>115</v>
      </c>
      <c r="B108" s="6">
        <v>14.0</v>
      </c>
      <c r="C108" s="7"/>
      <c r="D108" s="7"/>
      <c r="E108" s="7"/>
      <c r="F108" s="7"/>
      <c r="G108" s="7"/>
    </row>
    <row r="109">
      <c r="A109" s="6" t="s">
        <v>116</v>
      </c>
      <c r="B109" s="6">
        <v>0.0</v>
      </c>
      <c r="C109" s="7"/>
      <c r="D109" s="7"/>
      <c r="E109" s="7"/>
      <c r="F109" s="7"/>
      <c r="G109" s="7"/>
    </row>
    <row r="110">
      <c r="A110" s="6" t="s">
        <v>117</v>
      </c>
      <c r="B110" s="6">
        <v>42.0</v>
      </c>
      <c r="C110" s="7"/>
      <c r="D110" s="7"/>
      <c r="E110" s="7"/>
      <c r="F110" s="7"/>
      <c r="G110" s="7"/>
    </row>
    <row r="111">
      <c r="A111" s="6" t="s">
        <v>118</v>
      </c>
      <c r="B111" s="6">
        <v>0.0</v>
      </c>
      <c r="C111" s="7"/>
      <c r="D111" s="7"/>
      <c r="E111" s="7"/>
      <c r="F111" s="7"/>
      <c r="G111" s="7"/>
    </row>
    <row r="112">
      <c r="A112" s="6" t="s">
        <v>119</v>
      </c>
      <c r="B112" s="6">
        <v>0.0</v>
      </c>
      <c r="C112" s="7"/>
      <c r="D112" s="7"/>
      <c r="E112" s="7"/>
      <c r="F112" s="7"/>
      <c r="G112" s="7"/>
    </row>
    <row r="113">
      <c r="A113" s="6" t="s">
        <v>120</v>
      </c>
      <c r="B113" s="6">
        <v>0.0</v>
      </c>
      <c r="C113" s="7"/>
      <c r="D113" s="7"/>
      <c r="E113" s="7"/>
      <c r="F113" s="7"/>
      <c r="G113" s="7"/>
    </row>
    <row r="114">
      <c r="A114" s="6" t="s">
        <v>121</v>
      </c>
      <c r="B114" s="6">
        <v>0.0</v>
      </c>
      <c r="C114" s="7"/>
      <c r="D114" s="7"/>
      <c r="E114" s="7"/>
      <c r="F114" s="7"/>
      <c r="G114" s="7"/>
    </row>
    <row r="115">
      <c r="A115" s="6" t="s">
        <v>122</v>
      </c>
      <c r="B115" s="6">
        <v>14.0</v>
      </c>
      <c r="C115" s="7"/>
      <c r="D115" s="7"/>
      <c r="E115" s="7"/>
      <c r="F115" s="7"/>
      <c r="G115" s="7"/>
    </row>
    <row r="116">
      <c r="A116" s="6" t="s">
        <v>123</v>
      </c>
      <c r="B116" s="6">
        <v>0.0</v>
      </c>
      <c r="C116" s="7"/>
      <c r="D116" s="7"/>
      <c r="E116" s="7"/>
      <c r="F116" s="7"/>
      <c r="G116" s="7"/>
    </row>
    <row r="117">
      <c r="A117" s="6" t="s">
        <v>124</v>
      </c>
      <c r="B117" s="6">
        <v>42.0</v>
      </c>
      <c r="C117" s="7"/>
      <c r="D117" s="7"/>
      <c r="E117" s="7"/>
      <c r="F117" s="7"/>
      <c r="G117" s="7"/>
    </row>
    <row r="118">
      <c r="A118" s="6" t="s">
        <v>125</v>
      </c>
      <c r="B118" s="6">
        <v>80.0</v>
      </c>
      <c r="C118" s="7"/>
      <c r="D118" s="7"/>
      <c r="E118" s="7"/>
      <c r="F118" s="7"/>
      <c r="G118" s="7"/>
    </row>
    <row r="119">
      <c r="A119" s="6" t="s">
        <v>126</v>
      </c>
      <c r="B119" s="6">
        <v>0.0</v>
      </c>
      <c r="C119" s="7"/>
      <c r="D119" s="7"/>
      <c r="E119" s="7"/>
      <c r="F119" s="7"/>
      <c r="G119" s="7"/>
    </row>
    <row r="120">
      <c r="A120" s="6" t="s">
        <v>127</v>
      </c>
      <c r="B120" s="6">
        <v>0.0</v>
      </c>
      <c r="C120" s="7"/>
      <c r="D120" s="7"/>
      <c r="E120" s="7"/>
      <c r="F120" s="7"/>
      <c r="G120" s="7"/>
    </row>
    <row r="121">
      <c r="A121" s="6" t="s">
        <v>128</v>
      </c>
      <c r="B121" s="6">
        <v>0.0</v>
      </c>
      <c r="C121" s="7"/>
      <c r="D121" s="7"/>
      <c r="E121" s="7"/>
      <c r="F121" s="7"/>
      <c r="G121" s="7"/>
    </row>
    <row r="122">
      <c r="A122" s="6" t="s">
        <v>129</v>
      </c>
      <c r="B122" s="6">
        <v>0.0</v>
      </c>
      <c r="C122" s="7"/>
      <c r="D122" s="7"/>
      <c r="E122" s="7"/>
      <c r="F122" s="7"/>
      <c r="G122" s="7"/>
    </row>
    <row r="123">
      <c r="A123" s="6" t="s">
        <v>130</v>
      </c>
      <c r="B123" s="6">
        <v>0.0</v>
      </c>
      <c r="C123" s="7"/>
      <c r="D123" s="7"/>
      <c r="E123" s="7"/>
      <c r="F123" s="7"/>
      <c r="G123" s="7"/>
    </row>
    <row r="124">
      <c r="A124" s="6" t="s">
        <v>131</v>
      </c>
      <c r="B124" s="6">
        <v>0.0</v>
      </c>
      <c r="C124" s="7"/>
      <c r="D124" s="7"/>
      <c r="E124" s="7"/>
      <c r="F124" s="7"/>
      <c r="G124" s="7"/>
    </row>
    <row r="125">
      <c r="A125" s="6" t="s">
        <v>132</v>
      </c>
      <c r="B125" s="6">
        <v>84.0</v>
      </c>
      <c r="C125" s="7"/>
      <c r="D125" s="7"/>
      <c r="E125" s="7"/>
      <c r="F125" s="7"/>
      <c r="G125" s="7"/>
    </row>
    <row r="126">
      <c r="A126" s="6" t="s">
        <v>133</v>
      </c>
      <c r="B126" s="6">
        <v>0.0</v>
      </c>
      <c r="C126" s="7"/>
      <c r="D126" s="7"/>
      <c r="E126" s="7"/>
      <c r="F126" s="7"/>
      <c r="G126" s="7"/>
    </row>
    <row r="127">
      <c r="A127" s="6" t="s">
        <v>134</v>
      </c>
      <c r="B127" s="6">
        <v>65.0</v>
      </c>
      <c r="C127" s="7"/>
      <c r="D127" s="7"/>
      <c r="E127" s="7"/>
      <c r="F127" s="7"/>
      <c r="G127" s="7"/>
    </row>
    <row r="128">
      <c r="A128" s="6" t="s">
        <v>135</v>
      </c>
      <c r="B128" s="6">
        <v>0.0</v>
      </c>
      <c r="C128" s="7"/>
      <c r="D128" s="7"/>
      <c r="E128" s="7"/>
      <c r="F128" s="7"/>
      <c r="G128" s="7"/>
    </row>
    <row r="129">
      <c r="A129" s="6" t="s">
        <v>136</v>
      </c>
      <c r="B129" s="6">
        <v>0.0</v>
      </c>
      <c r="C129" s="7"/>
      <c r="D129" s="7"/>
      <c r="E129" s="7"/>
      <c r="F129" s="7"/>
      <c r="G129" s="7"/>
    </row>
    <row r="130">
      <c r="A130" s="6" t="s">
        <v>137</v>
      </c>
      <c r="B130" s="6">
        <v>42.0</v>
      </c>
      <c r="C130" s="7"/>
      <c r="D130" s="7"/>
      <c r="E130" s="7"/>
      <c r="F130" s="7"/>
      <c r="G130" s="7"/>
    </row>
    <row r="131">
      <c r="A131" s="6" t="s">
        <v>138</v>
      </c>
      <c r="B131" s="6">
        <v>0.0</v>
      </c>
      <c r="C131" s="7"/>
      <c r="D131" s="7"/>
      <c r="E131" s="7"/>
      <c r="F131" s="7"/>
      <c r="G131" s="7"/>
    </row>
    <row r="132">
      <c r="A132" s="6" t="s">
        <v>139</v>
      </c>
      <c r="B132" s="6">
        <v>0.0</v>
      </c>
      <c r="C132" s="7"/>
      <c r="D132" s="7"/>
      <c r="E132" s="7"/>
      <c r="F132" s="7"/>
      <c r="G132" s="7"/>
    </row>
    <row r="133">
      <c r="A133" s="6" t="s">
        <v>140</v>
      </c>
      <c r="B133" s="6">
        <v>82.0</v>
      </c>
      <c r="C133" s="7"/>
      <c r="D133" s="7"/>
      <c r="E133" s="7"/>
      <c r="F133" s="7"/>
      <c r="G133" s="7"/>
    </row>
    <row r="134">
      <c r="A134" s="6" t="s">
        <v>141</v>
      </c>
      <c r="B134" s="6">
        <v>0.0</v>
      </c>
      <c r="C134" s="7"/>
      <c r="D134" s="7"/>
      <c r="E134" s="7"/>
      <c r="F134" s="7"/>
      <c r="G134" s="7"/>
    </row>
    <row r="135">
      <c r="A135" s="6" t="s">
        <v>142</v>
      </c>
      <c r="B135" s="6">
        <v>0.0</v>
      </c>
      <c r="C135" s="7"/>
      <c r="D135" s="7"/>
      <c r="E135" s="7"/>
      <c r="F135" s="7"/>
      <c r="G135" s="7"/>
    </row>
    <row r="136">
      <c r="A136" s="6" t="s">
        <v>143</v>
      </c>
      <c r="B136" s="6">
        <v>0.0</v>
      </c>
      <c r="C136" s="7"/>
      <c r="D136" s="7"/>
      <c r="E136" s="7"/>
      <c r="F136" s="7"/>
      <c r="G136" s="7"/>
    </row>
    <row r="137">
      <c r="A137" s="6" t="s">
        <v>144</v>
      </c>
      <c r="B137" s="6">
        <v>0.0</v>
      </c>
      <c r="C137" s="7"/>
      <c r="D137" s="7"/>
      <c r="E137" s="7"/>
      <c r="F137" s="7"/>
      <c r="G137" s="7"/>
    </row>
    <row r="138">
      <c r="A138" s="6" t="s">
        <v>145</v>
      </c>
      <c r="B138" s="6">
        <v>0.0</v>
      </c>
      <c r="C138" s="7"/>
      <c r="D138" s="7"/>
      <c r="E138" s="7"/>
      <c r="F138" s="7"/>
      <c r="G138" s="7"/>
    </row>
    <row r="139">
      <c r="A139" s="6" t="s">
        <v>146</v>
      </c>
      <c r="B139" s="7"/>
      <c r="C139" s="7"/>
      <c r="D139" s="7"/>
      <c r="E139" s="7"/>
      <c r="F139" s="7"/>
      <c r="G139" s="7"/>
    </row>
    <row r="140">
      <c r="A140" s="6" t="s">
        <v>147</v>
      </c>
      <c r="B140" s="6">
        <v>0.0</v>
      </c>
      <c r="C140" s="7"/>
      <c r="D140" s="7"/>
      <c r="E140" s="7"/>
      <c r="F140" s="7"/>
      <c r="G140" s="7"/>
    </row>
    <row r="141">
      <c r="A141" s="6" t="s">
        <v>148</v>
      </c>
      <c r="B141" s="7"/>
      <c r="C141" s="7"/>
      <c r="D141" s="7"/>
      <c r="E141" s="7"/>
      <c r="F141" s="7"/>
      <c r="G141" s="7"/>
    </row>
    <row r="142">
      <c r="A142" s="6" t="s">
        <v>149</v>
      </c>
      <c r="B142" s="6">
        <v>0.0</v>
      </c>
      <c r="C142" s="7"/>
      <c r="D142" s="7"/>
      <c r="E142" s="7"/>
      <c r="F142" s="7"/>
      <c r="G142" s="7"/>
    </row>
    <row r="143">
      <c r="A143" s="6" t="s">
        <v>150</v>
      </c>
      <c r="B143" s="6">
        <v>0.0</v>
      </c>
      <c r="C143" s="7"/>
      <c r="D143" s="7"/>
      <c r="E143" s="7"/>
      <c r="F143" s="7"/>
      <c r="G143" s="7"/>
    </row>
    <row r="144">
      <c r="A144" s="6" t="s">
        <v>151</v>
      </c>
      <c r="B144" s="6">
        <v>0.0</v>
      </c>
      <c r="C144" s="7"/>
      <c r="D144" s="7"/>
      <c r="E144" s="7"/>
      <c r="F144" s="7"/>
      <c r="G144" s="7"/>
    </row>
    <row r="145">
      <c r="A145" s="6" t="s">
        <v>152</v>
      </c>
      <c r="B145" s="6">
        <v>0.0</v>
      </c>
      <c r="C145" s="7"/>
      <c r="D145" s="7"/>
      <c r="E145" s="7"/>
      <c r="F145" s="7"/>
      <c r="G145" s="7"/>
    </row>
    <row r="146">
      <c r="A146" s="6" t="s">
        <v>153</v>
      </c>
      <c r="B146" s="6">
        <v>0.0</v>
      </c>
      <c r="C146" s="7"/>
      <c r="D146" s="7"/>
      <c r="E146" s="7"/>
      <c r="F146" s="7"/>
      <c r="G146" s="7"/>
    </row>
    <row r="147">
      <c r="A147" s="6" t="s">
        <v>154</v>
      </c>
      <c r="B147" s="6">
        <v>0.0</v>
      </c>
      <c r="C147" s="7"/>
      <c r="D147" s="7"/>
      <c r="E147" s="7"/>
      <c r="F147" s="7"/>
      <c r="G147" s="7"/>
    </row>
    <row r="148">
      <c r="A148" s="6" t="s">
        <v>155</v>
      </c>
      <c r="B148" s="6">
        <v>26.0</v>
      </c>
      <c r="C148" s="7"/>
      <c r="D148" s="7"/>
      <c r="E148" s="7"/>
      <c r="F148" s="7"/>
      <c r="G148" s="7"/>
    </row>
    <row r="149">
      <c r="A149" s="6" t="s">
        <v>156</v>
      </c>
      <c r="B149" s="6">
        <v>0.0</v>
      </c>
      <c r="C149" s="7"/>
      <c r="D149" s="7"/>
      <c r="E149" s="7"/>
      <c r="F149" s="7"/>
      <c r="G149" s="7"/>
    </row>
    <row r="150">
      <c r="A150" s="6" t="s">
        <v>157</v>
      </c>
      <c r="B150" s="6">
        <v>0.0</v>
      </c>
      <c r="C150" s="7"/>
      <c r="D150" s="7"/>
      <c r="E150" s="7"/>
      <c r="F150" s="7"/>
      <c r="G150" s="7"/>
    </row>
    <row r="151">
      <c r="A151" s="6" t="s">
        <v>158</v>
      </c>
      <c r="B151" s="7"/>
      <c r="C151" s="7"/>
      <c r="D151" s="7"/>
      <c r="E151" s="7"/>
      <c r="F151" s="7"/>
      <c r="G151" s="7"/>
    </row>
    <row r="152">
      <c r="A152" s="6" t="s">
        <v>159</v>
      </c>
      <c r="B152" s="6">
        <v>6.0</v>
      </c>
      <c r="C152" s="7"/>
      <c r="D152" s="7"/>
      <c r="E152" s="7"/>
      <c r="F152" s="7"/>
      <c r="G152" s="7"/>
    </row>
    <row r="153">
      <c r="A153" s="6" t="s">
        <v>160</v>
      </c>
      <c r="B153" s="7"/>
      <c r="C153" s="7"/>
      <c r="D153" s="7"/>
      <c r="E153" s="7"/>
      <c r="F153" s="7"/>
      <c r="G153" s="7"/>
    </row>
    <row r="154">
      <c r="A154" s="6" t="s">
        <v>161</v>
      </c>
      <c r="B154" s="6">
        <v>0.0</v>
      </c>
      <c r="C154" s="7"/>
      <c r="D154" s="7"/>
      <c r="E154" s="7"/>
      <c r="F154" s="7"/>
      <c r="G154" s="7"/>
    </row>
    <row r="155">
      <c r="A155" s="6" t="s">
        <v>162</v>
      </c>
      <c r="B155" s="6">
        <v>0.0</v>
      </c>
      <c r="C155" s="7"/>
      <c r="D155" s="7"/>
      <c r="E155" s="7"/>
      <c r="F155" s="7"/>
      <c r="G155" s="7"/>
    </row>
    <row r="156">
      <c r="A156" s="6" t="s">
        <v>163</v>
      </c>
      <c r="B156" s="6">
        <v>0.0</v>
      </c>
      <c r="C156" s="7"/>
      <c r="D156" s="7"/>
      <c r="E156" s="7"/>
      <c r="F156" s="7"/>
      <c r="G156" s="7"/>
    </row>
    <row r="157">
      <c r="A157" s="6" t="s">
        <v>164</v>
      </c>
      <c r="B157" s="6">
        <v>0.0</v>
      </c>
      <c r="C157" s="7"/>
      <c r="D157" s="7"/>
      <c r="E157" s="7"/>
      <c r="F157" s="7"/>
      <c r="G157" s="7"/>
    </row>
    <row r="158">
      <c r="A158" s="6" t="s">
        <v>165</v>
      </c>
      <c r="B158" s="6">
        <v>24.0</v>
      </c>
      <c r="C158" s="7"/>
      <c r="D158" s="7"/>
      <c r="E158" s="7"/>
      <c r="F158" s="7"/>
      <c r="G158" s="7"/>
    </row>
    <row r="159">
      <c r="A159" s="6" t="s">
        <v>166</v>
      </c>
      <c r="B159" s="6">
        <v>17.0</v>
      </c>
      <c r="C159" s="7"/>
      <c r="D159" s="7"/>
      <c r="E159" s="7"/>
      <c r="F159" s="7"/>
      <c r="G159" s="7"/>
    </row>
    <row r="160">
      <c r="A160" s="6" t="s">
        <v>167</v>
      </c>
      <c r="B160" s="6">
        <v>0.0</v>
      </c>
      <c r="C160" s="7"/>
      <c r="D160" s="7"/>
      <c r="E160" s="7"/>
      <c r="F160" s="7"/>
      <c r="G160" s="7"/>
    </row>
    <row r="161">
      <c r="A161" s="6" t="s">
        <v>168</v>
      </c>
      <c r="B161" s="6">
        <v>0.0</v>
      </c>
      <c r="C161" s="7"/>
      <c r="D161" s="7"/>
      <c r="E161" s="7"/>
      <c r="F161" s="7"/>
      <c r="G161" s="7"/>
    </row>
    <row r="162">
      <c r="A162" s="6" t="s">
        <v>169</v>
      </c>
      <c r="B162" s="6">
        <v>23.0</v>
      </c>
      <c r="C162" s="7"/>
      <c r="D162" s="7"/>
      <c r="E162" s="7"/>
      <c r="F162" s="7"/>
      <c r="G162" s="7"/>
    </row>
    <row r="163">
      <c r="A163" s="6" t="s">
        <v>170</v>
      </c>
      <c r="B163" s="6">
        <v>6.0</v>
      </c>
      <c r="C163" s="7"/>
      <c r="D163" s="7"/>
      <c r="E163" s="7"/>
      <c r="F163" s="7"/>
      <c r="G163" s="7"/>
    </row>
    <row r="164">
      <c r="A164" s="6" t="s">
        <v>171</v>
      </c>
      <c r="B164" s="6">
        <v>92.0</v>
      </c>
      <c r="C164" s="7"/>
      <c r="D164" s="7"/>
      <c r="E164" s="7"/>
      <c r="F164" s="7"/>
      <c r="G164" s="7"/>
    </row>
    <row r="165">
      <c r="A165" s="6" t="s">
        <v>172</v>
      </c>
      <c r="B165" s="6">
        <v>77.0</v>
      </c>
      <c r="C165" s="7"/>
      <c r="D165" s="7"/>
      <c r="E165" s="7"/>
      <c r="F165" s="7"/>
      <c r="G165" s="7"/>
    </row>
    <row r="166">
      <c r="A166" s="6" t="s">
        <v>173</v>
      </c>
      <c r="B166" s="6">
        <v>34.0</v>
      </c>
      <c r="C166" s="7"/>
      <c r="D166" s="7"/>
      <c r="E166" s="7"/>
      <c r="F166" s="7"/>
      <c r="G166" s="7"/>
    </row>
    <row r="167">
      <c r="A167" s="6" t="s">
        <v>174</v>
      </c>
      <c r="B167" s="6">
        <v>42.0</v>
      </c>
      <c r="C167" s="7"/>
      <c r="D167" s="7"/>
      <c r="E167" s="7"/>
      <c r="F167" s="7"/>
      <c r="G167" s="7"/>
    </row>
    <row r="168">
      <c r="A168" s="6" t="s">
        <v>175</v>
      </c>
      <c r="B168" s="6">
        <v>72.0</v>
      </c>
      <c r="C168" s="7"/>
      <c r="D168" s="7"/>
      <c r="E168" s="7"/>
      <c r="F168" s="7"/>
      <c r="G168" s="7"/>
    </row>
    <row r="169">
      <c r="A169" s="6" t="s">
        <v>176</v>
      </c>
      <c r="B169" s="6">
        <v>11.0</v>
      </c>
      <c r="C169" s="7"/>
      <c r="D169" s="7"/>
      <c r="E169" s="7"/>
      <c r="F169" s="7"/>
      <c r="G169" s="7"/>
    </row>
    <row r="170">
      <c r="A170" s="6" t="s">
        <v>177</v>
      </c>
      <c r="B170" s="6">
        <v>31.0</v>
      </c>
      <c r="C170" s="7"/>
      <c r="D170" s="7"/>
      <c r="E170" s="7"/>
      <c r="F170" s="7"/>
      <c r="G170" s="7"/>
    </row>
    <row r="171">
      <c r="A171" s="6" t="s">
        <v>178</v>
      </c>
      <c r="B171" s="6">
        <v>53.0</v>
      </c>
      <c r="C171" s="7"/>
      <c r="D171" s="7"/>
      <c r="E171" s="7"/>
      <c r="F171" s="7"/>
      <c r="G171" s="7"/>
    </row>
    <row r="172">
      <c r="A172" s="6" t="s">
        <v>179</v>
      </c>
      <c r="B172" s="6">
        <v>8.0</v>
      </c>
      <c r="C172" s="7"/>
      <c r="D172" s="7"/>
      <c r="E172" s="7"/>
      <c r="F172" s="7"/>
      <c r="G172" s="7"/>
    </row>
    <row r="173">
      <c r="A173" s="6" t="s">
        <v>180</v>
      </c>
      <c r="B173" s="6">
        <v>54.0</v>
      </c>
      <c r="C173" s="7"/>
      <c r="D173" s="7"/>
      <c r="E173" s="7"/>
      <c r="F173" s="7"/>
      <c r="G173" s="7"/>
    </row>
    <row r="174">
      <c r="A174" s="6" t="s">
        <v>181</v>
      </c>
      <c r="B174" s="6">
        <v>0.0</v>
      </c>
      <c r="C174" s="7"/>
      <c r="D174" s="7"/>
      <c r="E174" s="7"/>
      <c r="F174" s="7"/>
      <c r="G174" s="7"/>
    </row>
    <row r="175">
      <c r="A175" s="6" t="s">
        <v>182</v>
      </c>
      <c r="B175" s="6">
        <v>0.0</v>
      </c>
      <c r="C175" s="7"/>
      <c r="D175" s="7"/>
      <c r="E175" s="7"/>
      <c r="F175" s="7"/>
      <c r="G175" s="7"/>
    </row>
    <row r="176">
      <c r="A176" s="6" t="s">
        <v>183</v>
      </c>
      <c r="B176" s="6">
        <v>37.0</v>
      </c>
      <c r="C176" s="7"/>
      <c r="D176" s="7"/>
      <c r="E176" s="7"/>
      <c r="F176" s="7"/>
      <c r="G176" s="7"/>
    </row>
    <row r="177">
      <c r="A177" s="6" t="s">
        <v>184</v>
      </c>
      <c r="B177" s="6">
        <v>0.0</v>
      </c>
      <c r="C177" s="7"/>
      <c r="D177" s="7"/>
      <c r="E177" s="7"/>
      <c r="F177" s="7"/>
      <c r="G177" s="7"/>
    </row>
    <row r="178">
      <c r="A178" s="6" t="s">
        <v>185</v>
      </c>
      <c r="B178" s="7"/>
      <c r="C178" s="7"/>
      <c r="D178" s="7"/>
      <c r="E178" s="7"/>
      <c r="F178" s="7"/>
      <c r="G178" s="7"/>
    </row>
    <row r="179">
      <c r="A179" s="6" t="s">
        <v>186</v>
      </c>
      <c r="B179" s="6">
        <v>29.0</v>
      </c>
      <c r="C179" s="7"/>
      <c r="D179" s="7"/>
      <c r="E179" s="7"/>
      <c r="F179" s="7"/>
      <c r="G179" s="7"/>
    </row>
    <row r="180">
      <c r="A180" s="6" t="s">
        <v>187</v>
      </c>
      <c r="B180" s="7"/>
      <c r="C180" s="7"/>
      <c r="D180" s="7"/>
      <c r="E180" s="7"/>
      <c r="F180" s="7"/>
      <c r="G180" s="7"/>
    </row>
    <row r="181">
      <c r="A181" s="6" t="s">
        <v>188</v>
      </c>
      <c r="B181" s="6">
        <v>0.0</v>
      </c>
      <c r="C181" s="7"/>
      <c r="D181" s="7"/>
      <c r="E181" s="7"/>
      <c r="F181" s="7"/>
      <c r="G181" s="7"/>
    </row>
    <row r="182">
      <c r="A182" s="6" t="s">
        <v>189</v>
      </c>
      <c r="B182" s="6">
        <v>0.0</v>
      </c>
      <c r="C182" s="7"/>
      <c r="D182" s="7"/>
      <c r="E182" s="7"/>
      <c r="F182" s="7"/>
      <c r="G182" s="7"/>
    </row>
    <row r="183">
      <c r="A183" s="6" t="s">
        <v>190</v>
      </c>
      <c r="B183" s="6">
        <v>0.0</v>
      </c>
      <c r="C183" s="7"/>
      <c r="D183" s="7"/>
      <c r="E183" s="7"/>
      <c r="F183" s="7"/>
      <c r="G183" s="7"/>
    </row>
    <row r="184">
      <c r="A184" s="6" t="s">
        <v>191</v>
      </c>
      <c r="B184" s="6">
        <v>0.0</v>
      </c>
      <c r="C184" s="7"/>
      <c r="D184" s="7"/>
      <c r="E184" s="7"/>
      <c r="F184" s="7"/>
      <c r="G184" s="7"/>
    </row>
    <row r="185">
      <c r="A185" s="6" t="s">
        <v>192</v>
      </c>
      <c r="B185" s="6">
        <v>0.0</v>
      </c>
      <c r="C185" s="7"/>
      <c r="D185" s="7"/>
      <c r="E185" s="7"/>
      <c r="F185" s="7"/>
      <c r="G185" s="7"/>
    </row>
    <row r="186">
      <c r="A186" s="6" t="s">
        <v>193</v>
      </c>
      <c r="B186" s="6">
        <v>0.0</v>
      </c>
      <c r="C186" s="7"/>
      <c r="D186" s="7"/>
      <c r="E186" s="7"/>
      <c r="F186" s="7"/>
      <c r="G186" s="7"/>
    </row>
    <row r="187">
      <c r="A187" s="6" t="s">
        <v>194</v>
      </c>
      <c r="B187" s="6">
        <v>28.0</v>
      </c>
      <c r="C187" s="7"/>
      <c r="D187" s="7"/>
      <c r="E187" s="7"/>
      <c r="F187" s="7"/>
      <c r="G187" s="7"/>
    </row>
    <row r="188">
      <c r="A188" s="6" t="s">
        <v>195</v>
      </c>
      <c r="B188" s="6">
        <v>80.0</v>
      </c>
      <c r="C188" s="7"/>
      <c r="D188" s="7"/>
      <c r="E188" s="7"/>
      <c r="F188" s="7"/>
      <c r="G188" s="7"/>
    </row>
    <row r="189">
      <c r="A189" s="6" t="s">
        <v>196</v>
      </c>
      <c r="B189" s="6">
        <v>0.0</v>
      </c>
      <c r="C189" s="7"/>
      <c r="D189" s="7"/>
      <c r="E189" s="7"/>
      <c r="F189" s="7"/>
      <c r="G189" s="7"/>
    </row>
    <row r="190">
      <c r="A190" s="6" t="s">
        <v>197</v>
      </c>
      <c r="B190" s="6">
        <v>0.0</v>
      </c>
      <c r="C190" s="7"/>
      <c r="D190" s="7"/>
      <c r="E190" s="7"/>
      <c r="F190" s="7"/>
      <c r="G190" s="7"/>
    </row>
    <row r="191">
      <c r="A191" s="6" t="s">
        <v>198</v>
      </c>
      <c r="B191" s="6">
        <v>84.0</v>
      </c>
      <c r="C191" s="7"/>
      <c r="D191" s="7"/>
      <c r="E191" s="7"/>
      <c r="F191" s="7"/>
      <c r="G191" s="7"/>
    </row>
    <row r="192">
      <c r="A192" s="6" t="s">
        <v>199</v>
      </c>
      <c r="B192" s="6">
        <v>0.0</v>
      </c>
      <c r="C192" s="7"/>
      <c r="D192" s="7"/>
      <c r="E192" s="7"/>
      <c r="F192" s="7"/>
      <c r="G192" s="7"/>
    </row>
    <row r="193">
      <c r="A193" s="6" t="s">
        <v>200</v>
      </c>
      <c r="B193" s="6">
        <v>0.0</v>
      </c>
      <c r="C193" s="7"/>
      <c r="D193" s="7"/>
      <c r="E193" s="7"/>
      <c r="F193" s="7"/>
      <c r="G193" s="7"/>
    </row>
    <row r="194">
      <c r="A194" s="6" t="s">
        <v>201</v>
      </c>
      <c r="B194" s="6">
        <v>86.0</v>
      </c>
      <c r="C194" s="7"/>
      <c r="D194" s="7"/>
      <c r="E194" s="7"/>
      <c r="F194" s="7"/>
      <c r="G194" s="7"/>
    </row>
    <row r="195">
      <c r="A195" s="6" t="s">
        <v>202</v>
      </c>
      <c r="B195" s="6">
        <v>0.0</v>
      </c>
      <c r="C195" s="7"/>
      <c r="D195" s="7"/>
      <c r="E195" s="7"/>
      <c r="F195" s="7"/>
      <c r="G195" s="7"/>
    </row>
    <row r="196">
      <c r="A196" s="6" t="s">
        <v>203</v>
      </c>
      <c r="B196" s="6">
        <v>0.0</v>
      </c>
      <c r="C196" s="7"/>
      <c r="D196" s="7"/>
      <c r="E196" s="7"/>
      <c r="F196" s="7"/>
      <c r="G196" s="7"/>
    </row>
    <row r="197">
      <c r="A197" s="6" t="s">
        <v>204</v>
      </c>
      <c r="B197" s="6">
        <v>14.0</v>
      </c>
      <c r="C197" s="7"/>
      <c r="D197" s="7"/>
      <c r="E197" s="7"/>
      <c r="F197" s="7"/>
      <c r="G197" s="7"/>
    </row>
    <row r="198">
      <c r="A198" s="6" t="s">
        <v>205</v>
      </c>
      <c r="B198" s="6">
        <v>54.0</v>
      </c>
      <c r="C198" s="7"/>
      <c r="D198" s="7"/>
      <c r="E198" s="7"/>
      <c r="F198" s="7"/>
      <c r="G198" s="7"/>
    </row>
    <row r="199">
      <c r="A199" s="6" t="s">
        <v>206</v>
      </c>
      <c r="B199" s="6">
        <v>71.0</v>
      </c>
      <c r="C199" s="7"/>
      <c r="D199" s="7"/>
      <c r="E199" s="7"/>
      <c r="F199" s="7"/>
      <c r="G199" s="7"/>
    </row>
    <row r="200">
      <c r="A200" s="6" t="s">
        <v>207</v>
      </c>
      <c r="B200" s="6">
        <v>0.0</v>
      </c>
      <c r="C200" s="7"/>
      <c r="D200" s="7"/>
      <c r="E200" s="7"/>
      <c r="F200" s="7"/>
      <c r="G200" s="7"/>
    </row>
    <row r="201">
      <c r="A201" s="6" t="s">
        <v>208</v>
      </c>
      <c r="B201" s="6">
        <v>40.0</v>
      </c>
      <c r="C201" s="7"/>
      <c r="D201" s="7"/>
      <c r="E201" s="7"/>
      <c r="F201" s="7"/>
      <c r="G201" s="7"/>
    </row>
    <row r="202">
      <c r="A202" s="6" t="s">
        <v>209</v>
      </c>
      <c r="B202" s="6">
        <v>34.0</v>
      </c>
      <c r="C202" s="7"/>
      <c r="D202" s="7"/>
      <c r="E202" s="7"/>
      <c r="F202" s="7"/>
      <c r="G202" s="7"/>
    </row>
    <row r="203">
      <c r="A203" s="6" t="s">
        <v>210</v>
      </c>
      <c r="B203" s="6">
        <v>0.0</v>
      </c>
      <c r="C203" s="7"/>
      <c r="D203" s="7"/>
      <c r="E203" s="7"/>
      <c r="F203" s="7"/>
      <c r="G203" s="7"/>
    </row>
    <row r="204">
      <c r="A204" s="6" t="s">
        <v>211</v>
      </c>
      <c r="B204" s="6">
        <v>62.0</v>
      </c>
      <c r="C204" s="7"/>
      <c r="D204" s="7"/>
      <c r="E204" s="7"/>
      <c r="F204" s="7"/>
      <c r="G204" s="7"/>
    </row>
    <row r="205">
      <c r="A205" s="6" t="s">
        <v>212</v>
      </c>
      <c r="B205" s="6">
        <v>40.0</v>
      </c>
      <c r="C205" s="7"/>
      <c r="D205" s="7"/>
      <c r="E205" s="7"/>
      <c r="F205" s="7"/>
      <c r="G205" s="7"/>
    </row>
    <row r="206">
      <c r="A206" s="6" t="s">
        <v>213</v>
      </c>
      <c r="B206" s="6">
        <v>0.0</v>
      </c>
      <c r="C206" s="7"/>
      <c r="D206" s="7"/>
      <c r="E206" s="7"/>
      <c r="F206" s="7"/>
      <c r="G206" s="7"/>
    </row>
    <row r="207">
      <c r="A207" s="6" t="s">
        <v>214</v>
      </c>
      <c r="B207" s="6">
        <v>0.0</v>
      </c>
      <c r="C207" s="7"/>
      <c r="D207" s="7"/>
      <c r="E207" s="7"/>
      <c r="F207" s="7"/>
      <c r="G207" s="7"/>
    </row>
    <row r="208">
      <c r="A208" s="6" t="s">
        <v>215</v>
      </c>
      <c r="B208" s="6">
        <v>0.0</v>
      </c>
      <c r="C208" s="7"/>
      <c r="D208" s="7"/>
      <c r="E208" s="7"/>
      <c r="F208" s="7"/>
      <c r="G208" s="7"/>
    </row>
    <row r="209">
      <c r="A209" s="6" t="s">
        <v>216</v>
      </c>
      <c r="B209" s="6">
        <v>4.0</v>
      </c>
      <c r="C209" s="7"/>
      <c r="D209" s="7"/>
      <c r="E209" s="7"/>
      <c r="F209" s="7"/>
      <c r="G209" s="7"/>
    </row>
    <row r="210">
      <c r="A210" s="6" t="s">
        <v>217</v>
      </c>
      <c r="B210" s="6">
        <v>0.0</v>
      </c>
      <c r="C210" s="7"/>
      <c r="D210" s="7"/>
      <c r="E210" s="7"/>
      <c r="F210" s="7"/>
      <c r="G210" s="7"/>
    </row>
    <row r="211">
      <c r="A211" s="6" t="s">
        <v>145</v>
      </c>
      <c r="B211" s="6">
        <v>0.0</v>
      </c>
      <c r="C211" s="7"/>
      <c r="D211" s="7"/>
      <c r="E211" s="7"/>
      <c r="F211" s="7"/>
      <c r="G211" s="7"/>
    </row>
    <row r="212">
      <c r="A212" s="6" t="s">
        <v>146</v>
      </c>
      <c r="B212" s="7"/>
      <c r="C212" s="7"/>
      <c r="D212" s="7"/>
      <c r="E212" s="7"/>
      <c r="F212" s="7"/>
      <c r="G212" s="7"/>
    </row>
    <row r="213">
      <c r="A213" s="6" t="s">
        <v>147</v>
      </c>
      <c r="B213" s="6">
        <v>0.0</v>
      </c>
      <c r="C213" s="7"/>
      <c r="D213" s="7"/>
      <c r="E213" s="7"/>
      <c r="F213" s="7"/>
      <c r="G213" s="7"/>
    </row>
    <row r="214">
      <c r="A214" s="6" t="s">
        <v>148</v>
      </c>
      <c r="B214" s="7"/>
      <c r="C214" s="7"/>
      <c r="D214" s="7"/>
      <c r="E214" s="7"/>
      <c r="F214" s="7"/>
      <c r="G214" s="7"/>
    </row>
    <row r="215">
      <c r="A215" s="6" t="s">
        <v>149</v>
      </c>
      <c r="B215" s="6">
        <v>0.0</v>
      </c>
      <c r="C215" s="7"/>
      <c r="D215" s="7"/>
      <c r="E215" s="7"/>
      <c r="F215" s="7"/>
      <c r="G215" s="7"/>
    </row>
    <row r="216">
      <c r="A216" s="6" t="s">
        <v>150</v>
      </c>
      <c r="B216" s="6">
        <v>0.0</v>
      </c>
      <c r="C216" s="7"/>
      <c r="D216" s="7"/>
      <c r="E216" s="7"/>
      <c r="F216" s="7"/>
      <c r="G216" s="7"/>
    </row>
    <row r="217">
      <c r="A217" s="6" t="s">
        <v>151</v>
      </c>
      <c r="B217" s="6">
        <v>0.0</v>
      </c>
      <c r="C217" s="7"/>
      <c r="D217" s="7"/>
      <c r="E217" s="7"/>
      <c r="F217" s="7"/>
      <c r="G217" s="7"/>
    </row>
    <row r="218">
      <c r="A218" s="6" t="s">
        <v>152</v>
      </c>
      <c r="B218" s="6">
        <v>0.0</v>
      </c>
      <c r="C218" s="7"/>
      <c r="D218" s="7"/>
      <c r="E218" s="7"/>
      <c r="F218" s="7"/>
      <c r="G218" s="7"/>
    </row>
    <row r="219">
      <c r="A219" s="6" t="s">
        <v>153</v>
      </c>
      <c r="B219" s="6">
        <v>0.0</v>
      </c>
      <c r="C219" s="7"/>
      <c r="D219" s="7"/>
      <c r="E219" s="7"/>
      <c r="F219" s="7"/>
      <c r="G219" s="7"/>
    </row>
    <row r="220">
      <c r="A220" s="6" t="s">
        <v>154</v>
      </c>
      <c r="B220" s="6">
        <v>0.0</v>
      </c>
      <c r="C220" s="7"/>
      <c r="D220" s="7"/>
      <c r="E220" s="7"/>
      <c r="F220" s="7"/>
      <c r="G220" s="7"/>
    </row>
    <row r="221">
      <c r="A221" s="6" t="s">
        <v>155</v>
      </c>
      <c r="B221" s="6">
        <v>26.0</v>
      </c>
      <c r="C221" s="7"/>
      <c r="D221" s="7"/>
      <c r="E221" s="7"/>
      <c r="F221" s="7"/>
      <c r="G221" s="7"/>
    </row>
    <row r="222">
      <c r="A222" s="6" t="s">
        <v>156</v>
      </c>
      <c r="B222" s="6">
        <v>0.0</v>
      </c>
      <c r="C222" s="7"/>
      <c r="D222" s="7"/>
      <c r="E222" s="7"/>
      <c r="F222" s="7"/>
      <c r="G222" s="7"/>
    </row>
    <row r="223">
      <c r="A223" s="6" t="s">
        <v>157</v>
      </c>
      <c r="B223" s="6">
        <v>0.0</v>
      </c>
      <c r="C223" s="7"/>
      <c r="D223" s="7"/>
      <c r="E223" s="7"/>
      <c r="F223" s="7"/>
      <c r="G223" s="7"/>
    </row>
    <row r="224">
      <c r="A224" s="6" t="s">
        <v>158</v>
      </c>
      <c r="B224" s="7"/>
      <c r="C224" s="7"/>
      <c r="D224" s="7"/>
      <c r="E224" s="7"/>
      <c r="F224" s="7"/>
      <c r="G224" s="7"/>
    </row>
    <row r="225">
      <c r="A225" s="6" t="s">
        <v>159</v>
      </c>
      <c r="B225" s="6">
        <v>6.0</v>
      </c>
      <c r="C225" s="7"/>
      <c r="D225" s="7"/>
      <c r="E225" s="7"/>
      <c r="F225" s="7"/>
      <c r="G225" s="7"/>
    </row>
    <row r="226">
      <c r="A226" s="6" t="s">
        <v>160</v>
      </c>
      <c r="B226" s="7"/>
      <c r="C226" s="7"/>
      <c r="D226" s="7"/>
      <c r="E226" s="7"/>
      <c r="F226" s="7"/>
      <c r="G226" s="7"/>
    </row>
    <row r="227">
      <c r="A227" s="6" t="s">
        <v>161</v>
      </c>
      <c r="B227" s="6">
        <v>0.0</v>
      </c>
      <c r="C227" s="7"/>
      <c r="D227" s="7"/>
      <c r="E227" s="7"/>
      <c r="F227" s="7"/>
      <c r="G227" s="7"/>
    </row>
    <row r="228">
      <c r="A228" s="6" t="s">
        <v>162</v>
      </c>
      <c r="B228" s="6">
        <v>0.0</v>
      </c>
      <c r="C228" s="7"/>
      <c r="D228" s="7"/>
      <c r="E228" s="7"/>
      <c r="F228" s="7"/>
      <c r="G228" s="7"/>
    </row>
    <row r="229">
      <c r="A229" s="6" t="s">
        <v>163</v>
      </c>
      <c r="B229" s="6">
        <v>0.0</v>
      </c>
      <c r="C229" s="7"/>
      <c r="D229" s="7"/>
      <c r="E229" s="7"/>
      <c r="F229" s="7"/>
      <c r="G229" s="7"/>
    </row>
    <row r="230">
      <c r="A230" s="6" t="s">
        <v>164</v>
      </c>
      <c r="B230" s="6">
        <v>0.0</v>
      </c>
      <c r="C230" s="7"/>
      <c r="D230" s="7"/>
      <c r="E230" s="7"/>
      <c r="F230" s="7"/>
      <c r="G230" s="7"/>
    </row>
    <row r="231">
      <c r="A231" s="6" t="s">
        <v>165</v>
      </c>
      <c r="B231" s="6">
        <v>24.0</v>
      </c>
      <c r="C231" s="7"/>
      <c r="D231" s="7"/>
      <c r="E231" s="7"/>
      <c r="F231" s="7"/>
      <c r="G231" s="7"/>
    </row>
    <row r="232">
      <c r="A232" s="6" t="s">
        <v>166</v>
      </c>
      <c r="B232" s="6">
        <v>17.0</v>
      </c>
      <c r="C232" s="7"/>
      <c r="D232" s="7"/>
      <c r="E232" s="7"/>
      <c r="F232" s="7"/>
      <c r="G232" s="7"/>
    </row>
    <row r="233">
      <c r="A233" s="6" t="s">
        <v>167</v>
      </c>
      <c r="B233" s="6">
        <v>0.0</v>
      </c>
      <c r="C233" s="7"/>
      <c r="D233" s="7"/>
      <c r="E233" s="7"/>
      <c r="F233" s="7"/>
      <c r="G233" s="7"/>
    </row>
    <row r="234">
      <c r="A234" s="6" t="s">
        <v>168</v>
      </c>
      <c r="B234" s="6">
        <v>0.0</v>
      </c>
      <c r="C234" s="7"/>
      <c r="D234" s="7"/>
      <c r="E234" s="7"/>
      <c r="F234" s="7"/>
      <c r="G234" s="7"/>
    </row>
    <row r="235">
      <c r="A235" s="6" t="s">
        <v>169</v>
      </c>
      <c r="B235" s="6">
        <v>23.0</v>
      </c>
      <c r="C235" s="7"/>
      <c r="D235" s="7"/>
      <c r="E235" s="7"/>
      <c r="F235" s="7"/>
      <c r="G235" s="7"/>
    </row>
    <row r="236">
      <c r="A236" s="6" t="s">
        <v>170</v>
      </c>
      <c r="B236" s="6">
        <v>6.0</v>
      </c>
      <c r="C236" s="7"/>
      <c r="D236" s="7"/>
      <c r="E236" s="7"/>
      <c r="F236" s="7"/>
      <c r="G236" s="7"/>
    </row>
    <row r="237">
      <c r="A237" s="6" t="s">
        <v>171</v>
      </c>
      <c r="B237" s="6">
        <v>92.0</v>
      </c>
      <c r="C237" s="7"/>
      <c r="D237" s="7"/>
      <c r="E237" s="7"/>
      <c r="F237" s="7"/>
      <c r="G237" s="7"/>
    </row>
    <row r="238">
      <c r="A238" s="6" t="s">
        <v>172</v>
      </c>
      <c r="B238" s="6">
        <v>77.0</v>
      </c>
      <c r="C238" s="7"/>
      <c r="D238" s="7"/>
      <c r="E238" s="7"/>
      <c r="F238" s="7"/>
      <c r="G238" s="7"/>
    </row>
    <row r="239">
      <c r="A239" s="6" t="s">
        <v>173</v>
      </c>
      <c r="B239" s="6">
        <v>34.0</v>
      </c>
      <c r="C239" s="7"/>
      <c r="D239" s="7"/>
      <c r="E239" s="7"/>
      <c r="F239" s="7"/>
      <c r="G239" s="7"/>
    </row>
    <row r="240">
      <c r="A240" s="6" t="s">
        <v>174</v>
      </c>
      <c r="B240" s="6">
        <v>42.0</v>
      </c>
      <c r="C240" s="7"/>
      <c r="D240" s="7"/>
      <c r="E240" s="7"/>
      <c r="F240" s="7"/>
      <c r="G240" s="7"/>
    </row>
    <row r="241">
      <c r="A241" s="6" t="s">
        <v>175</v>
      </c>
      <c r="B241" s="6">
        <v>72.0</v>
      </c>
      <c r="C241" s="7"/>
      <c r="D241" s="7"/>
      <c r="E241" s="7"/>
      <c r="F241" s="7"/>
      <c r="G241" s="7"/>
    </row>
    <row r="242">
      <c r="A242" s="6" t="s">
        <v>176</v>
      </c>
      <c r="B242" s="6">
        <v>11.0</v>
      </c>
      <c r="C242" s="7"/>
      <c r="D242" s="7"/>
      <c r="E242" s="7"/>
      <c r="F242" s="7"/>
      <c r="G242" s="7"/>
    </row>
    <row r="243">
      <c r="A243" s="6" t="s">
        <v>177</v>
      </c>
      <c r="B243" s="6">
        <v>31.0</v>
      </c>
      <c r="C243" s="7"/>
      <c r="D243" s="7"/>
      <c r="E243" s="7"/>
      <c r="F243" s="7"/>
      <c r="G243" s="7"/>
    </row>
    <row r="244">
      <c r="A244" s="6" t="s">
        <v>178</v>
      </c>
      <c r="B244" s="6">
        <v>53.0</v>
      </c>
      <c r="C244" s="7"/>
      <c r="D244" s="7"/>
      <c r="E244" s="7"/>
      <c r="F244" s="7"/>
      <c r="G244" s="7"/>
    </row>
    <row r="245">
      <c r="A245" s="6" t="s">
        <v>179</v>
      </c>
      <c r="B245" s="6">
        <v>8.0</v>
      </c>
      <c r="C245" s="7"/>
      <c r="D245" s="7"/>
      <c r="E245" s="7"/>
      <c r="F245" s="7"/>
      <c r="G245" s="7"/>
    </row>
    <row r="246">
      <c r="A246" s="6" t="s">
        <v>180</v>
      </c>
      <c r="B246" s="6">
        <v>54.0</v>
      </c>
      <c r="C246" s="7"/>
      <c r="D246" s="7"/>
      <c r="E246" s="7"/>
      <c r="F246" s="7"/>
      <c r="G246" s="7"/>
    </row>
    <row r="247">
      <c r="A247" s="6" t="s">
        <v>181</v>
      </c>
      <c r="B247" s="6">
        <v>0.0</v>
      </c>
      <c r="C247" s="7"/>
      <c r="D247" s="7"/>
      <c r="E247" s="7"/>
      <c r="F247" s="7"/>
      <c r="G247" s="7"/>
    </row>
    <row r="248">
      <c r="A248" s="6" t="s">
        <v>182</v>
      </c>
      <c r="B248" s="6">
        <v>0.0</v>
      </c>
      <c r="C248" s="7"/>
      <c r="D248" s="7"/>
      <c r="E248" s="7"/>
      <c r="F248" s="7"/>
      <c r="G248" s="7"/>
    </row>
    <row r="249">
      <c r="A249" s="6" t="s">
        <v>183</v>
      </c>
      <c r="B249" s="6">
        <v>37.0</v>
      </c>
      <c r="C249" s="7"/>
      <c r="D249" s="7"/>
      <c r="E249" s="7"/>
      <c r="F249" s="7"/>
      <c r="G249" s="7"/>
    </row>
    <row r="250">
      <c r="A250" s="6" t="s">
        <v>184</v>
      </c>
      <c r="B250" s="6">
        <v>0.0</v>
      </c>
      <c r="C250" s="7"/>
      <c r="D250" s="7"/>
      <c r="E250" s="7"/>
      <c r="F250" s="7"/>
      <c r="G250" s="7"/>
    </row>
    <row r="251">
      <c r="A251" s="6" t="s">
        <v>185</v>
      </c>
      <c r="B251" s="7"/>
      <c r="C251" s="7"/>
      <c r="D251" s="7"/>
      <c r="E251" s="7"/>
      <c r="F251" s="7"/>
      <c r="G251" s="7"/>
    </row>
    <row r="252">
      <c r="A252" s="6" t="s">
        <v>186</v>
      </c>
      <c r="B252" s="6">
        <v>29.0</v>
      </c>
      <c r="C252" s="7"/>
      <c r="D252" s="7"/>
      <c r="E252" s="7"/>
      <c r="F252" s="7"/>
      <c r="G252" s="7"/>
    </row>
    <row r="253">
      <c r="A253" s="6" t="s">
        <v>187</v>
      </c>
      <c r="B253" s="7"/>
      <c r="C253" s="7"/>
      <c r="D253" s="7"/>
      <c r="E253" s="7"/>
      <c r="F253" s="7"/>
      <c r="G253" s="7"/>
    </row>
    <row r="254">
      <c r="A254" s="6" t="s">
        <v>188</v>
      </c>
      <c r="B254" s="6">
        <v>0.0</v>
      </c>
      <c r="C254" s="7"/>
      <c r="D254" s="7"/>
      <c r="E254" s="7"/>
      <c r="F254" s="7"/>
      <c r="G254" s="7"/>
    </row>
    <row r="255">
      <c r="A255" s="6" t="s">
        <v>189</v>
      </c>
      <c r="B255" s="6">
        <v>0.0</v>
      </c>
      <c r="C255" s="7"/>
      <c r="D255" s="7"/>
      <c r="E255" s="7"/>
      <c r="F255" s="7"/>
      <c r="G255" s="7"/>
    </row>
    <row r="256">
      <c r="A256" s="6" t="s">
        <v>190</v>
      </c>
      <c r="B256" s="6">
        <v>0.0</v>
      </c>
      <c r="C256" s="7"/>
      <c r="D256" s="7"/>
      <c r="E256" s="7"/>
      <c r="F256" s="7"/>
      <c r="G256" s="7"/>
    </row>
    <row r="257">
      <c r="A257" s="6" t="s">
        <v>191</v>
      </c>
      <c r="B257" s="6">
        <v>0.0</v>
      </c>
      <c r="C257" s="7"/>
      <c r="D257" s="7"/>
      <c r="E257" s="7"/>
      <c r="F257" s="7"/>
      <c r="G257" s="7"/>
    </row>
    <row r="258">
      <c r="A258" s="6" t="s">
        <v>192</v>
      </c>
      <c r="B258" s="6">
        <v>0.0</v>
      </c>
      <c r="C258" s="7"/>
      <c r="D258" s="7"/>
      <c r="E258" s="7"/>
      <c r="F258" s="7"/>
      <c r="G258" s="7"/>
    </row>
    <row r="259">
      <c r="A259" s="6" t="s">
        <v>193</v>
      </c>
      <c r="B259" s="6">
        <v>0.0</v>
      </c>
      <c r="C259" s="7"/>
      <c r="D259" s="7"/>
      <c r="E259" s="7"/>
      <c r="F259" s="7"/>
      <c r="G259" s="7"/>
    </row>
    <row r="260">
      <c r="A260" s="6" t="s">
        <v>194</v>
      </c>
      <c r="B260" s="6">
        <v>28.0</v>
      </c>
      <c r="C260" s="7"/>
      <c r="D260" s="7"/>
      <c r="E260" s="7"/>
      <c r="F260" s="7"/>
      <c r="G260" s="7"/>
    </row>
    <row r="261">
      <c r="A261" s="6" t="s">
        <v>195</v>
      </c>
      <c r="B261" s="6">
        <v>80.0</v>
      </c>
      <c r="C261" s="7"/>
      <c r="D261" s="7"/>
      <c r="E261" s="7"/>
      <c r="F261" s="7"/>
      <c r="G261" s="7"/>
    </row>
    <row r="262">
      <c r="A262" s="6" t="s">
        <v>196</v>
      </c>
      <c r="B262" s="6">
        <v>0.0</v>
      </c>
      <c r="C262" s="7"/>
      <c r="D262" s="7"/>
      <c r="E262" s="7"/>
      <c r="F262" s="7"/>
      <c r="G262" s="7"/>
    </row>
    <row r="263">
      <c r="A263" s="6" t="s">
        <v>197</v>
      </c>
      <c r="B263" s="6">
        <v>0.0</v>
      </c>
      <c r="C263" s="7"/>
      <c r="D263" s="7"/>
      <c r="E263" s="7"/>
      <c r="F263" s="7"/>
      <c r="G263" s="7"/>
    </row>
    <row r="264">
      <c r="A264" s="6" t="s">
        <v>198</v>
      </c>
      <c r="B264" s="6">
        <v>84.0</v>
      </c>
      <c r="C264" s="7"/>
      <c r="D264" s="7"/>
      <c r="E264" s="7"/>
      <c r="F264" s="7"/>
      <c r="G264" s="7"/>
    </row>
    <row r="265">
      <c r="A265" s="6" t="s">
        <v>199</v>
      </c>
      <c r="B265" s="6">
        <v>0.0</v>
      </c>
      <c r="C265" s="7"/>
      <c r="D265" s="7"/>
      <c r="E265" s="7"/>
      <c r="F265" s="7"/>
      <c r="G265" s="7"/>
    </row>
    <row r="266">
      <c r="A266" s="6" t="s">
        <v>200</v>
      </c>
      <c r="B266" s="6">
        <v>0.0</v>
      </c>
      <c r="C266" s="7"/>
      <c r="D266" s="7"/>
      <c r="E266" s="7"/>
      <c r="F266" s="7"/>
      <c r="G266" s="7"/>
    </row>
    <row r="267">
      <c r="A267" s="6" t="s">
        <v>201</v>
      </c>
      <c r="B267" s="6">
        <v>86.0</v>
      </c>
      <c r="C267" s="7"/>
      <c r="D267" s="7"/>
      <c r="E267" s="7"/>
      <c r="F267" s="7"/>
      <c r="G267" s="7"/>
    </row>
    <row r="268">
      <c r="A268" s="6" t="s">
        <v>202</v>
      </c>
      <c r="B268" s="6">
        <v>0.0</v>
      </c>
      <c r="C268" s="7"/>
      <c r="D268" s="7"/>
      <c r="E268" s="7"/>
      <c r="F268" s="7"/>
      <c r="G268" s="7"/>
    </row>
    <row r="269">
      <c r="A269" s="6" t="s">
        <v>203</v>
      </c>
      <c r="B269" s="6">
        <v>0.0</v>
      </c>
      <c r="C269" s="7"/>
      <c r="D269" s="7"/>
      <c r="E269" s="7"/>
      <c r="F269" s="7"/>
      <c r="G269" s="7"/>
    </row>
    <row r="270">
      <c r="A270" s="6" t="s">
        <v>204</v>
      </c>
      <c r="B270" s="6">
        <v>14.0</v>
      </c>
      <c r="C270" s="7"/>
      <c r="D270" s="7"/>
      <c r="E270" s="7"/>
      <c r="F270" s="7"/>
      <c r="G270" s="7"/>
    </row>
    <row r="271">
      <c r="A271" s="6" t="s">
        <v>205</v>
      </c>
      <c r="B271" s="6">
        <v>54.0</v>
      </c>
      <c r="C271" s="7"/>
      <c r="D271" s="7"/>
      <c r="E271" s="7"/>
      <c r="F271" s="7"/>
      <c r="G271" s="7"/>
    </row>
    <row r="272">
      <c r="A272" s="6" t="s">
        <v>206</v>
      </c>
      <c r="B272" s="6">
        <v>71.0</v>
      </c>
      <c r="C272" s="7"/>
      <c r="D272" s="7"/>
      <c r="E272" s="7"/>
      <c r="F272" s="7"/>
      <c r="G272" s="7"/>
    </row>
    <row r="273">
      <c r="A273" s="6" t="s">
        <v>207</v>
      </c>
      <c r="B273" s="6">
        <v>0.0</v>
      </c>
      <c r="C273" s="7"/>
      <c r="D273" s="7"/>
      <c r="E273" s="7"/>
      <c r="F273" s="7"/>
      <c r="G273" s="7"/>
    </row>
    <row r="274">
      <c r="A274" s="6" t="s">
        <v>208</v>
      </c>
      <c r="B274" s="6">
        <v>40.0</v>
      </c>
      <c r="C274" s="7"/>
      <c r="D274" s="7"/>
      <c r="E274" s="7"/>
      <c r="F274" s="7"/>
      <c r="G274" s="7"/>
    </row>
    <row r="275">
      <c r="A275" s="6" t="s">
        <v>209</v>
      </c>
      <c r="B275" s="6">
        <v>34.0</v>
      </c>
      <c r="C275" s="7"/>
      <c r="D275" s="7"/>
      <c r="E275" s="7"/>
      <c r="F275" s="7"/>
      <c r="G275" s="7"/>
    </row>
    <row r="276">
      <c r="A276" s="6" t="s">
        <v>210</v>
      </c>
      <c r="B276" s="6">
        <v>0.0</v>
      </c>
      <c r="C276" s="7"/>
      <c r="D276" s="7"/>
      <c r="E276" s="7"/>
      <c r="F276" s="7"/>
      <c r="G276" s="7"/>
    </row>
    <row r="277">
      <c r="A277" s="6" t="s">
        <v>211</v>
      </c>
      <c r="B277" s="6">
        <v>62.0</v>
      </c>
      <c r="C277" s="7"/>
      <c r="D277" s="7"/>
      <c r="E277" s="7"/>
      <c r="F277" s="7"/>
      <c r="G277" s="7"/>
    </row>
    <row r="278">
      <c r="A278" s="6" t="s">
        <v>212</v>
      </c>
      <c r="B278" s="6">
        <v>40.0</v>
      </c>
      <c r="C278" s="7"/>
      <c r="D278" s="7"/>
      <c r="E278" s="7"/>
      <c r="F278" s="7"/>
      <c r="G278" s="7"/>
    </row>
    <row r="279">
      <c r="A279" s="6" t="s">
        <v>213</v>
      </c>
      <c r="B279" s="6">
        <v>0.0</v>
      </c>
      <c r="C279" s="7"/>
      <c r="D279" s="7"/>
      <c r="E279" s="7"/>
      <c r="F279" s="7"/>
      <c r="G279" s="7"/>
    </row>
    <row r="280">
      <c r="A280" s="6" t="s">
        <v>214</v>
      </c>
      <c r="B280" s="6">
        <v>0.0</v>
      </c>
      <c r="C280" s="7"/>
      <c r="D280" s="7"/>
      <c r="E280" s="7"/>
      <c r="F280" s="7"/>
      <c r="G280" s="7"/>
    </row>
    <row r="281">
      <c r="A281" s="6" t="s">
        <v>215</v>
      </c>
      <c r="B281" s="6">
        <v>0.0</v>
      </c>
      <c r="C281" s="7"/>
      <c r="D281" s="7"/>
      <c r="E281" s="7"/>
      <c r="F281" s="7"/>
      <c r="G281" s="7"/>
    </row>
    <row r="282">
      <c r="A282" s="6" t="s">
        <v>216</v>
      </c>
      <c r="B282" s="6">
        <v>4.0</v>
      </c>
      <c r="C282" s="7"/>
      <c r="D282" s="7"/>
      <c r="E282" s="7"/>
      <c r="F282" s="7"/>
      <c r="G282" s="7"/>
    </row>
    <row r="283">
      <c r="A283" s="6" t="s">
        <v>217</v>
      </c>
      <c r="B283" s="6">
        <v>0.0</v>
      </c>
      <c r="C283" s="7"/>
      <c r="D283" s="7"/>
      <c r="E283" s="7"/>
      <c r="F283" s="7"/>
      <c r="G283" s="7"/>
    </row>
    <row r="284">
      <c r="A284" s="6" t="s">
        <v>218</v>
      </c>
      <c r="B284" s="6">
        <v>0.0</v>
      </c>
      <c r="C284" s="7"/>
      <c r="D284" s="7"/>
      <c r="E284" s="7"/>
      <c r="F284" s="7"/>
      <c r="G284" s="7"/>
    </row>
    <row r="285">
      <c r="A285" s="6" t="s">
        <v>219</v>
      </c>
      <c r="B285" s="6">
        <v>13.0</v>
      </c>
      <c r="C285" s="7"/>
      <c r="D285" s="7"/>
      <c r="E285" s="7"/>
      <c r="F285" s="7"/>
      <c r="G285" s="7"/>
    </row>
    <row r="286">
      <c r="A286" s="6" t="s">
        <v>220</v>
      </c>
      <c r="B286" s="6">
        <v>0.0</v>
      </c>
      <c r="C286" s="7"/>
      <c r="D286" s="7"/>
      <c r="E286" s="7"/>
      <c r="F286" s="7"/>
      <c r="G286" s="7"/>
    </row>
    <row r="287">
      <c r="A287" s="6" t="s">
        <v>221</v>
      </c>
      <c r="B287" s="6">
        <v>0.0</v>
      </c>
      <c r="C287" s="7"/>
      <c r="D287" s="7"/>
      <c r="E287" s="7"/>
      <c r="F287" s="7"/>
      <c r="G287" s="7"/>
    </row>
    <row r="288">
      <c r="A288" s="6" t="s">
        <v>222</v>
      </c>
      <c r="B288" s="6">
        <v>0.0</v>
      </c>
      <c r="C288" s="7"/>
      <c r="D288" s="7"/>
      <c r="E288" s="7"/>
      <c r="F288" s="7"/>
      <c r="G288" s="7"/>
    </row>
    <row r="289">
      <c r="A289" s="6" t="s">
        <v>223</v>
      </c>
      <c r="B289" s="6">
        <v>0.0</v>
      </c>
      <c r="C289" s="7"/>
      <c r="D289" s="7"/>
      <c r="E289" s="7"/>
      <c r="F289" s="7"/>
      <c r="G289" s="7"/>
    </row>
    <row r="290">
      <c r="A290" s="6" t="s">
        <v>224</v>
      </c>
      <c r="B290" s="6">
        <v>0.0</v>
      </c>
      <c r="C290" s="7"/>
      <c r="D290" s="7"/>
      <c r="E290" s="7"/>
      <c r="F290" s="7"/>
      <c r="G290" s="7"/>
    </row>
    <row r="291">
      <c r="A291" s="6" t="s">
        <v>225</v>
      </c>
      <c r="B291" s="6">
        <v>0.0</v>
      </c>
      <c r="C291" s="7"/>
      <c r="D291" s="7"/>
      <c r="E291" s="7"/>
      <c r="F291" s="7"/>
      <c r="G291" s="7"/>
    </row>
    <row r="292">
      <c r="A292" s="6" t="s">
        <v>226</v>
      </c>
      <c r="B292" s="7"/>
      <c r="C292" s="7"/>
      <c r="D292" s="7"/>
      <c r="E292" s="7"/>
      <c r="F292" s="7"/>
      <c r="G292" s="7"/>
    </row>
    <row r="293">
      <c r="A293" s="6" t="s">
        <v>227</v>
      </c>
      <c r="B293" s="6">
        <v>0.0</v>
      </c>
      <c r="C293" s="7"/>
      <c r="D293" s="7"/>
      <c r="E293" s="7"/>
      <c r="F293" s="7"/>
      <c r="G293" s="7"/>
    </row>
    <row r="294">
      <c r="A294" s="6" t="s">
        <v>228</v>
      </c>
      <c r="B294" s="7"/>
      <c r="C294" s="7"/>
      <c r="D294" s="7"/>
      <c r="E294" s="7"/>
      <c r="F294" s="7"/>
      <c r="G294" s="7"/>
    </row>
    <row r="295">
      <c r="A295" s="6" t="s">
        <v>229</v>
      </c>
      <c r="B295" s="6">
        <v>0.0</v>
      </c>
      <c r="C295" s="7"/>
      <c r="D295" s="7"/>
      <c r="E295" s="7"/>
      <c r="F295" s="7"/>
      <c r="G295" s="7"/>
    </row>
    <row r="296">
      <c r="A296" s="6" t="s">
        <v>230</v>
      </c>
      <c r="B296" s="6">
        <v>50.0</v>
      </c>
      <c r="C296" s="7"/>
      <c r="D296" s="7"/>
      <c r="E296" s="7"/>
      <c r="F296" s="7"/>
      <c r="G296" s="7"/>
    </row>
    <row r="297">
      <c r="A297" s="6" t="s">
        <v>231</v>
      </c>
      <c r="B297" s="6">
        <v>0.0</v>
      </c>
      <c r="C297" s="7"/>
      <c r="D297" s="7"/>
      <c r="E297" s="7"/>
      <c r="F297" s="7"/>
      <c r="G297" s="7"/>
    </row>
    <row r="298">
      <c r="A298" s="6" t="s">
        <v>232</v>
      </c>
      <c r="B298" s="6">
        <v>0.0</v>
      </c>
      <c r="C298" s="7"/>
      <c r="D298" s="7"/>
      <c r="E298" s="7"/>
      <c r="F298" s="7"/>
      <c r="G298" s="7"/>
    </row>
    <row r="299">
      <c r="A299" s="6" t="s">
        <v>233</v>
      </c>
      <c r="B299" s="6">
        <v>0.0</v>
      </c>
      <c r="C299" s="7"/>
      <c r="D299" s="7"/>
      <c r="E299" s="7"/>
      <c r="F299" s="7"/>
      <c r="G299" s="7"/>
    </row>
    <row r="300">
      <c r="A300" s="6" t="s">
        <v>234</v>
      </c>
      <c r="B300" s="6" t="s">
        <v>235</v>
      </c>
      <c r="C300" s="6">
        <v>0.0</v>
      </c>
      <c r="D300" s="7"/>
      <c r="E300" s="7"/>
      <c r="F300" s="7"/>
      <c r="G300" s="7"/>
    </row>
    <row r="301">
      <c r="A301" s="6" t="s">
        <v>236</v>
      </c>
      <c r="B301" s="6">
        <v>59.0</v>
      </c>
      <c r="C301" s="7"/>
      <c r="D301" s="7"/>
      <c r="E301" s="7"/>
      <c r="F301" s="7"/>
      <c r="G301" s="7"/>
    </row>
    <row r="302">
      <c r="A302" s="6" t="s">
        <v>237</v>
      </c>
      <c r="B302" s="6">
        <v>0.0</v>
      </c>
      <c r="C302" s="7"/>
      <c r="D302" s="7"/>
      <c r="E302" s="7"/>
      <c r="F302" s="7"/>
      <c r="G302" s="7"/>
    </row>
    <row r="303">
      <c r="A303" s="6" t="s">
        <v>238</v>
      </c>
      <c r="B303" s="6">
        <v>80.0</v>
      </c>
      <c r="C303" s="7"/>
      <c r="D303" s="7"/>
      <c r="E303" s="7"/>
      <c r="F303" s="7"/>
      <c r="G303" s="7"/>
    </row>
    <row r="304">
      <c r="A304" s="6" t="s">
        <v>239</v>
      </c>
      <c r="B304" s="6">
        <v>50.0</v>
      </c>
      <c r="C304" s="7"/>
      <c r="D304" s="7"/>
      <c r="E304" s="7"/>
      <c r="F304" s="7"/>
      <c r="G304" s="7"/>
    </row>
    <row r="305">
      <c r="A305" s="6" t="s">
        <v>240</v>
      </c>
      <c r="B305" s="6">
        <v>0.0</v>
      </c>
      <c r="C305" s="7"/>
      <c r="D305" s="7"/>
      <c r="E305" s="7"/>
      <c r="F305" s="7"/>
      <c r="G305" s="7"/>
    </row>
    <row r="306">
      <c r="A306" s="6" t="s">
        <v>241</v>
      </c>
      <c r="B306" s="6">
        <v>0.0</v>
      </c>
      <c r="C306" s="7"/>
      <c r="D306" s="7"/>
      <c r="E306" s="7"/>
      <c r="F306" s="7"/>
      <c r="G306" s="7"/>
    </row>
    <row r="307">
      <c r="A307" s="6" t="s">
        <v>242</v>
      </c>
      <c r="B307" s="6">
        <v>0.0</v>
      </c>
      <c r="C307" s="7"/>
      <c r="D307" s="7"/>
      <c r="E307" s="7"/>
      <c r="F307" s="7"/>
      <c r="G307" s="7"/>
    </row>
    <row r="308">
      <c r="A308" s="6" t="s">
        <v>243</v>
      </c>
      <c r="B308" s="6">
        <v>0.0</v>
      </c>
      <c r="C308" s="7"/>
      <c r="D308" s="7"/>
      <c r="E308" s="7"/>
      <c r="F308" s="7"/>
      <c r="G308" s="7"/>
    </row>
    <row r="309">
      <c r="A309" s="6" t="s">
        <v>244</v>
      </c>
      <c r="B309" s="6">
        <v>0.0</v>
      </c>
      <c r="C309" s="7"/>
      <c r="D309" s="7"/>
      <c r="E309" s="7"/>
      <c r="F309" s="7"/>
      <c r="G309" s="7"/>
    </row>
    <row r="310">
      <c r="A310" s="6" t="s">
        <v>245</v>
      </c>
      <c r="B310" s="6">
        <v>0.0</v>
      </c>
      <c r="C310" s="7"/>
      <c r="D310" s="7"/>
      <c r="E310" s="7"/>
      <c r="F310" s="7"/>
      <c r="G310" s="7"/>
    </row>
    <row r="311">
      <c r="A311" s="6" t="s">
        <v>246</v>
      </c>
      <c r="B311" s="6">
        <v>0.0</v>
      </c>
      <c r="C311" s="7"/>
      <c r="D311" s="7"/>
      <c r="E311" s="7"/>
      <c r="F311" s="7"/>
      <c r="G311" s="7"/>
    </row>
    <row r="312">
      <c r="A312" s="6" t="s">
        <v>247</v>
      </c>
      <c r="B312" s="6">
        <v>0.0</v>
      </c>
      <c r="C312" s="7"/>
      <c r="D312" s="7"/>
      <c r="E312" s="7"/>
      <c r="F312" s="7"/>
      <c r="G312" s="7"/>
    </row>
    <row r="313">
      <c r="A313" s="6" t="s">
        <v>248</v>
      </c>
      <c r="B313" s="6">
        <v>0.0</v>
      </c>
      <c r="C313" s="7"/>
      <c r="D313" s="7"/>
      <c r="E313" s="7"/>
      <c r="F313" s="7"/>
      <c r="G313" s="7"/>
    </row>
    <row r="314">
      <c r="A314" s="6" t="s">
        <v>249</v>
      </c>
      <c r="B314" s="6">
        <v>0.0</v>
      </c>
      <c r="C314" s="7"/>
      <c r="D314" s="7"/>
      <c r="E314" s="7"/>
      <c r="F314" s="7"/>
      <c r="G314" s="7"/>
    </row>
    <row r="315">
      <c r="A315" s="6" t="s">
        <v>250</v>
      </c>
      <c r="B315" s="6">
        <v>0.0</v>
      </c>
      <c r="C315" s="7"/>
      <c r="D315" s="7"/>
      <c r="E315" s="7"/>
      <c r="F315" s="7"/>
      <c r="G315" s="7"/>
    </row>
    <row r="316">
      <c r="A316" s="6" t="s">
        <v>251</v>
      </c>
      <c r="B316" s="6">
        <v>0.0</v>
      </c>
      <c r="C316" s="7"/>
      <c r="D316" s="7"/>
      <c r="E316" s="7"/>
      <c r="F316" s="7"/>
      <c r="G316" s="7"/>
    </row>
    <row r="317">
      <c r="A317" s="6" t="s">
        <v>252</v>
      </c>
      <c r="B317" s="6">
        <v>0.0</v>
      </c>
      <c r="C317" s="7"/>
      <c r="D317" s="7"/>
      <c r="E317" s="7"/>
      <c r="F317" s="7"/>
      <c r="G317" s="7"/>
    </row>
    <row r="318">
      <c r="A318" s="6" t="s">
        <v>253</v>
      </c>
      <c r="B318" s="6">
        <v>0.0</v>
      </c>
      <c r="C318" s="7"/>
      <c r="D318" s="7"/>
      <c r="E318" s="7"/>
      <c r="F318" s="7"/>
      <c r="G318" s="7"/>
    </row>
    <row r="319">
      <c r="A319" s="6" t="s">
        <v>254</v>
      </c>
      <c r="B319" s="6">
        <v>66.0</v>
      </c>
      <c r="C319" s="7"/>
      <c r="D319" s="7"/>
      <c r="E319" s="7"/>
      <c r="F319" s="7"/>
      <c r="G319" s="7"/>
    </row>
    <row r="320">
      <c r="A320" s="6" t="s">
        <v>255</v>
      </c>
      <c r="B320" s="6">
        <v>0.0</v>
      </c>
      <c r="C320" s="7"/>
      <c r="D320" s="7"/>
      <c r="E320" s="7"/>
      <c r="F320" s="7"/>
      <c r="G320" s="7"/>
    </row>
    <row r="321">
      <c r="A321" s="6" t="s">
        <v>256</v>
      </c>
      <c r="B321" s="6">
        <v>0.0</v>
      </c>
      <c r="C321" s="7"/>
      <c r="D321" s="7"/>
      <c r="E321" s="7"/>
      <c r="F321" s="7"/>
      <c r="G321" s="7"/>
    </row>
    <row r="322">
      <c r="A322" s="6" t="s">
        <v>257</v>
      </c>
      <c r="B322" s="6">
        <v>23.0</v>
      </c>
      <c r="C322" s="7"/>
      <c r="D322" s="7"/>
      <c r="E322" s="7"/>
      <c r="F322" s="7"/>
      <c r="G322" s="7"/>
    </row>
    <row r="323">
      <c r="A323" s="6" t="s">
        <v>258</v>
      </c>
      <c r="B323" s="6">
        <v>0.0</v>
      </c>
      <c r="C323" s="7"/>
      <c r="D323" s="7"/>
      <c r="E323" s="7"/>
      <c r="F323" s="7"/>
      <c r="G323" s="7"/>
    </row>
    <row r="324">
      <c r="A324" s="6" t="s">
        <v>259</v>
      </c>
      <c r="B324" s="6">
        <v>0.0</v>
      </c>
      <c r="C324" s="7"/>
      <c r="D324" s="7"/>
      <c r="E324" s="7"/>
      <c r="F324" s="7"/>
      <c r="G324" s="7"/>
    </row>
    <row r="325">
      <c r="A325" s="6" t="s">
        <v>260</v>
      </c>
      <c r="B325" s="6" t="s">
        <v>261</v>
      </c>
      <c r="C325" s="6">
        <v>0.0</v>
      </c>
      <c r="D325" s="7"/>
      <c r="E325" s="7"/>
      <c r="F325" s="7"/>
      <c r="G325" s="7"/>
    </row>
    <row r="326">
      <c r="A326" s="6" t="s">
        <v>262</v>
      </c>
      <c r="B326" s="6">
        <v>39.0</v>
      </c>
      <c r="C326" s="7"/>
      <c r="D326" s="7"/>
      <c r="E326" s="7"/>
      <c r="F326" s="7"/>
      <c r="G326" s="7"/>
    </row>
    <row r="327">
      <c r="A327" s="6" t="s">
        <v>263</v>
      </c>
      <c r="B327" s="6">
        <v>0.0</v>
      </c>
      <c r="C327" s="7"/>
      <c r="D327" s="7"/>
      <c r="E327" s="7"/>
      <c r="F327" s="7"/>
      <c r="G327" s="7"/>
    </row>
    <row r="328">
      <c r="A328" s="6" t="s">
        <v>264</v>
      </c>
      <c r="B328" s="6">
        <v>0.0</v>
      </c>
      <c r="C328" s="7"/>
      <c r="D328" s="7"/>
      <c r="E328" s="7"/>
      <c r="F328" s="7"/>
      <c r="G328" s="7"/>
    </row>
    <row r="329">
      <c r="A329" s="6" t="s">
        <v>265</v>
      </c>
      <c r="B329" s="6">
        <v>0.0</v>
      </c>
      <c r="C329" s="7"/>
      <c r="D329" s="7"/>
      <c r="E329" s="7"/>
      <c r="F329" s="7"/>
      <c r="G329" s="7"/>
    </row>
    <row r="330">
      <c r="A330" s="6" t="s">
        <v>266</v>
      </c>
      <c r="B330" s="6">
        <v>0.0</v>
      </c>
      <c r="C330" s="7"/>
      <c r="D330" s="7"/>
      <c r="E330" s="7"/>
      <c r="F330" s="7"/>
      <c r="G330" s="7"/>
    </row>
    <row r="331">
      <c r="A331" s="6" t="s">
        <v>267</v>
      </c>
      <c r="B331" s="6">
        <v>30.0</v>
      </c>
      <c r="C331" s="7"/>
      <c r="D331" s="7"/>
      <c r="E331" s="7"/>
      <c r="F331" s="7"/>
      <c r="G331" s="7"/>
    </row>
    <row r="332">
      <c r="A332" s="6" t="s">
        <v>268</v>
      </c>
      <c r="B332" s="6">
        <v>3.0</v>
      </c>
      <c r="C332" s="7"/>
      <c r="D332" s="7"/>
      <c r="E332" s="7"/>
      <c r="F332" s="7"/>
      <c r="G332" s="7"/>
    </row>
    <row r="333">
      <c r="A333" s="6" t="s">
        <v>269</v>
      </c>
      <c r="B333" s="6">
        <v>0.0</v>
      </c>
      <c r="C333" s="7"/>
      <c r="D333" s="7"/>
      <c r="E333" s="7"/>
      <c r="F333" s="7"/>
      <c r="G333" s="7"/>
    </row>
    <row r="334">
      <c r="A334" s="6" t="s">
        <v>270</v>
      </c>
      <c r="B334" s="6">
        <v>0.0</v>
      </c>
      <c r="C334" s="7"/>
      <c r="D334" s="7"/>
      <c r="E334" s="7"/>
      <c r="F334" s="7"/>
      <c r="G334" s="7"/>
    </row>
    <row r="335">
      <c r="A335" s="6" t="s">
        <v>271</v>
      </c>
      <c r="B335" s="6">
        <v>66.0</v>
      </c>
      <c r="C335" s="7"/>
      <c r="D335" s="7"/>
      <c r="E335" s="7"/>
      <c r="F335" s="7"/>
      <c r="G335" s="7"/>
    </row>
    <row r="336">
      <c r="A336" s="6" t="s">
        <v>272</v>
      </c>
      <c r="B336" s="6">
        <v>0.0</v>
      </c>
      <c r="C336" s="7"/>
      <c r="D336" s="7"/>
      <c r="E336" s="7"/>
      <c r="F336" s="7"/>
      <c r="G336" s="7"/>
    </row>
    <row r="337">
      <c r="A337" s="6" t="s">
        <v>273</v>
      </c>
      <c r="B337" s="6">
        <v>0.0</v>
      </c>
      <c r="C337" s="7"/>
      <c r="D337" s="7"/>
      <c r="E337" s="7"/>
      <c r="F337" s="7"/>
      <c r="G337" s="7"/>
    </row>
    <row r="338">
      <c r="A338" s="6" t="s">
        <v>274</v>
      </c>
      <c r="B338" s="6">
        <v>0.0</v>
      </c>
      <c r="C338" s="7"/>
      <c r="D338" s="7"/>
      <c r="E338" s="7"/>
      <c r="F338" s="7"/>
      <c r="G338" s="7"/>
    </row>
    <row r="339">
      <c r="A339" s="6" t="s">
        <v>275</v>
      </c>
      <c r="B339" s="6">
        <v>0.0</v>
      </c>
      <c r="C339" s="7"/>
      <c r="D339" s="7"/>
      <c r="E339" s="7"/>
      <c r="F339" s="7"/>
      <c r="G339" s="7"/>
    </row>
    <row r="340">
      <c r="A340" s="6" t="s">
        <v>276</v>
      </c>
      <c r="B340" s="6">
        <v>58.0</v>
      </c>
      <c r="C340" s="7"/>
      <c r="D340" s="7"/>
      <c r="E340" s="7"/>
      <c r="F340" s="7"/>
      <c r="G340" s="7"/>
    </row>
    <row r="341">
      <c r="A341" s="6" t="s">
        <v>277</v>
      </c>
      <c r="B341" s="6">
        <v>99.0</v>
      </c>
      <c r="C341" s="7"/>
      <c r="D341" s="7"/>
      <c r="E341" s="7"/>
      <c r="F341" s="7"/>
      <c r="G341" s="7"/>
    </row>
    <row r="342">
      <c r="A342" s="6" t="s">
        <v>278</v>
      </c>
      <c r="B342" s="6">
        <v>0.0</v>
      </c>
      <c r="C342" s="7"/>
      <c r="D342" s="7"/>
      <c r="E342" s="7"/>
      <c r="F342" s="7"/>
      <c r="G342" s="7"/>
    </row>
    <row r="343">
      <c r="A343" s="6" t="s">
        <v>279</v>
      </c>
      <c r="B343" s="6">
        <v>0.0</v>
      </c>
      <c r="C343" s="7"/>
      <c r="D343" s="7"/>
      <c r="E343" s="7"/>
      <c r="F343" s="7"/>
      <c r="G343" s="7"/>
    </row>
    <row r="344">
      <c r="A344" s="6" t="s">
        <v>280</v>
      </c>
      <c r="B344" s="6">
        <v>0.0</v>
      </c>
      <c r="C344" s="7"/>
      <c r="D344" s="7"/>
      <c r="E344" s="7"/>
      <c r="F344" s="7"/>
      <c r="G344" s="7"/>
    </row>
    <row r="345">
      <c r="A345" s="6" t="s">
        <v>281</v>
      </c>
      <c r="B345" s="6">
        <v>0.0</v>
      </c>
      <c r="C345" s="7"/>
      <c r="D345" s="7"/>
      <c r="E345" s="7"/>
      <c r="F345" s="7"/>
      <c r="G345" s="7"/>
    </row>
    <row r="346">
      <c r="A346" s="6" t="s">
        <v>282</v>
      </c>
      <c r="B346" s="6">
        <v>5.0</v>
      </c>
      <c r="C346" s="7"/>
      <c r="D346" s="7"/>
      <c r="E346" s="7"/>
      <c r="F346" s="7"/>
      <c r="G346" s="7"/>
    </row>
    <row r="347">
      <c r="A347" s="6" t="s">
        <v>283</v>
      </c>
      <c r="B347" s="6">
        <v>48.0</v>
      </c>
      <c r="C347" s="7"/>
      <c r="D347" s="7"/>
      <c r="E347" s="7"/>
      <c r="F347" s="7"/>
      <c r="G347" s="7"/>
    </row>
    <row r="348">
      <c r="A348" s="6" t="s">
        <v>284</v>
      </c>
      <c r="B348" s="6">
        <v>0.0</v>
      </c>
      <c r="C348" s="7"/>
      <c r="D348" s="7"/>
      <c r="E348" s="7"/>
      <c r="F348" s="7"/>
      <c r="G348" s="7"/>
    </row>
    <row r="349">
      <c r="A349" s="6" t="s">
        <v>285</v>
      </c>
      <c r="B349" s="6">
        <v>0.0</v>
      </c>
      <c r="C349" s="7"/>
      <c r="D349" s="7"/>
      <c r="E349" s="7"/>
      <c r="F349" s="7"/>
      <c r="G349" s="7"/>
    </row>
    <row r="350">
      <c r="A350" s="6" t="s">
        <v>286</v>
      </c>
      <c r="B350" s="6">
        <v>0.0</v>
      </c>
      <c r="C350" s="7"/>
      <c r="D350" s="7"/>
      <c r="E350" s="7"/>
      <c r="F350" s="7"/>
      <c r="G350" s="7"/>
    </row>
    <row r="351">
      <c r="A351" s="6" t="s">
        <v>287</v>
      </c>
      <c r="B351" s="6">
        <v>0.0</v>
      </c>
      <c r="C351" s="7"/>
      <c r="D351" s="7"/>
      <c r="E351" s="7"/>
      <c r="F351" s="7"/>
      <c r="G351" s="7"/>
    </row>
    <row r="352">
      <c r="A352" s="6" t="s">
        <v>288</v>
      </c>
      <c r="B352" s="6">
        <v>0.0</v>
      </c>
      <c r="C352" s="7"/>
      <c r="D352" s="7"/>
      <c r="E352" s="7"/>
      <c r="F352" s="7"/>
      <c r="G352" s="7"/>
    </row>
    <row r="353">
      <c r="A353" s="6" t="s">
        <v>289</v>
      </c>
      <c r="B353" s="6">
        <v>0.0</v>
      </c>
      <c r="C353" s="7"/>
      <c r="D353" s="7"/>
      <c r="E353" s="7"/>
      <c r="F353" s="7"/>
      <c r="G353" s="7"/>
    </row>
    <row r="354">
      <c r="A354" s="6" t="s">
        <v>218</v>
      </c>
      <c r="B354" s="6">
        <v>0.0</v>
      </c>
      <c r="C354" s="7"/>
      <c r="D354" s="7"/>
      <c r="E354" s="7"/>
      <c r="F354" s="7"/>
      <c r="G354" s="7"/>
    </row>
    <row r="355">
      <c r="A355" s="6" t="s">
        <v>219</v>
      </c>
      <c r="B355" s="6">
        <v>13.0</v>
      </c>
      <c r="C355" s="7"/>
      <c r="D355" s="7"/>
      <c r="E355" s="7"/>
      <c r="F355" s="7"/>
      <c r="G355" s="7"/>
    </row>
    <row r="356">
      <c r="A356" s="6" t="s">
        <v>220</v>
      </c>
      <c r="B356" s="6">
        <v>0.0</v>
      </c>
      <c r="C356" s="7"/>
      <c r="D356" s="7"/>
      <c r="E356" s="7"/>
      <c r="F356" s="7"/>
      <c r="G356" s="7"/>
    </row>
    <row r="357">
      <c r="A357" s="6" t="s">
        <v>221</v>
      </c>
      <c r="B357" s="6">
        <v>0.0</v>
      </c>
      <c r="C357" s="7"/>
      <c r="D357" s="7"/>
      <c r="E357" s="7"/>
      <c r="F357" s="7"/>
      <c r="G357" s="7"/>
    </row>
    <row r="358">
      <c r="A358" s="6" t="s">
        <v>222</v>
      </c>
      <c r="B358" s="6">
        <v>0.0</v>
      </c>
      <c r="C358" s="7"/>
      <c r="D358" s="7"/>
      <c r="E358" s="7"/>
      <c r="F358" s="7"/>
      <c r="G358" s="7"/>
    </row>
    <row r="359">
      <c r="A359" s="6" t="s">
        <v>223</v>
      </c>
      <c r="B359" s="6">
        <v>0.0</v>
      </c>
      <c r="C359" s="7"/>
      <c r="D359" s="7"/>
      <c r="E359" s="7"/>
      <c r="F359" s="7"/>
      <c r="G359" s="7"/>
    </row>
    <row r="360">
      <c r="A360" s="6" t="s">
        <v>224</v>
      </c>
      <c r="B360" s="6">
        <v>0.0</v>
      </c>
      <c r="C360" s="7"/>
      <c r="D360" s="7"/>
      <c r="E360" s="7"/>
      <c r="F360" s="7"/>
      <c r="G360" s="7"/>
    </row>
    <row r="361">
      <c r="A361" s="6" t="s">
        <v>225</v>
      </c>
      <c r="B361" s="6">
        <v>0.0</v>
      </c>
      <c r="C361" s="7"/>
      <c r="D361" s="7"/>
      <c r="E361" s="7"/>
      <c r="F361" s="7"/>
      <c r="G361" s="7"/>
    </row>
    <row r="362">
      <c r="A362" s="6" t="s">
        <v>226</v>
      </c>
      <c r="B362" s="7"/>
      <c r="C362" s="7"/>
      <c r="D362" s="7"/>
      <c r="E362" s="7"/>
      <c r="F362" s="7"/>
      <c r="G362" s="7"/>
    </row>
    <row r="363">
      <c r="A363" s="6" t="s">
        <v>227</v>
      </c>
      <c r="B363" s="6">
        <v>0.0</v>
      </c>
      <c r="C363" s="7"/>
      <c r="D363" s="7"/>
      <c r="E363" s="7"/>
      <c r="F363" s="7"/>
      <c r="G363" s="7"/>
    </row>
    <row r="364">
      <c r="A364" s="6" t="s">
        <v>228</v>
      </c>
      <c r="B364" s="7"/>
      <c r="C364" s="7"/>
      <c r="D364" s="7"/>
      <c r="E364" s="7"/>
      <c r="F364" s="7"/>
      <c r="G364" s="7"/>
    </row>
    <row r="365">
      <c r="A365" s="6" t="s">
        <v>229</v>
      </c>
      <c r="B365" s="6">
        <v>0.0</v>
      </c>
      <c r="C365" s="7"/>
      <c r="D365" s="7"/>
      <c r="E365" s="7"/>
      <c r="F365" s="7"/>
      <c r="G365" s="7"/>
    </row>
    <row r="366">
      <c r="A366" s="6" t="s">
        <v>230</v>
      </c>
      <c r="B366" s="6">
        <v>50.0</v>
      </c>
      <c r="C366" s="7"/>
      <c r="D366" s="7"/>
      <c r="E366" s="7"/>
      <c r="F366" s="7"/>
      <c r="G366" s="7"/>
    </row>
    <row r="367">
      <c r="A367" s="6" t="s">
        <v>231</v>
      </c>
      <c r="B367" s="6">
        <v>0.0</v>
      </c>
      <c r="C367" s="7"/>
      <c r="D367" s="7"/>
      <c r="E367" s="7"/>
      <c r="F367" s="7"/>
      <c r="G367" s="7"/>
    </row>
    <row r="368">
      <c r="A368" s="6" t="s">
        <v>232</v>
      </c>
      <c r="B368" s="6">
        <v>0.0</v>
      </c>
      <c r="C368" s="7"/>
      <c r="D368" s="7"/>
      <c r="E368" s="7"/>
      <c r="F368" s="7"/>
      <c r="G368" s="7"/>
    </row>
    <row r="369">
      <c r="A369" s="6" t="s">
        <v>233</v>
      </c>
      <c r="B369" s="6">
        <v>0.0</v>
      </c>
      <c r="C369" s="7"/>
      <c r="D369" s="7"/>
      <c r="E369" s="7"/>
      <c r="F369" s="7"/>
      <c r="G369" s="7"/>
    </row>
    <row r="370">
      <c r="A370" s="6" t="s">
        <v>234</v>
      </c>
      <c r="B370" s="6" t="s">
        <v>235</v>
      </c>
      <c r="C370" s="6">
        <v>0.0</v>
      </c>
      <c r="D370" s="7"/>
      <c r="E370" s="7"/>
      <c r="F370" s="7"/>
      <c r="G370" s="7"/>
    </row>
    <row r="371">
      <c r="A371" s="6" t="s">
        <v>236</v>
      </c>
      <c r="B371" s="6">
        <v>59.0</v>
      </c>
      <c r="C371" s="7"/>
      <c r="D371" s="7"/>
      <c r="E371" s="7"/>
      <c r="F371" s="7"/>
      <c r="G371" s="7"/>
    </row>
    <row r="372">
      <c r="A372" s="6" t="s">
        <v>237</v>
      </c>
      <c r="B372" s="6">
        <v>0.0</v>
      </c>
      <c r="C372" s="7"/>
      <c r="D372" s="7"/>
      <c r="E372" s="7"/>
      <c r="F372" s="7"/>
      <c r="G372" s="7"/>
    </row>
    <row r="373">
      <c r="A373" s="6" t="s">
        <v>238</v>
      </c>
      <c r="B373" s="6">
        <v>80.0</v>
      </c>
      <c r="C373" s="7"/>
      <c r="D373" s="7"/>
      <c r="E373" s="7"/>
      <c r="F373" s="7"/>
      <c r="G373" s="7"/>
    </row>
    <row r="374">
      <c r="A374" s="6" t="s">
        <v>239</v>
      </c>
      <c r="B374" s="6">
        <v>50.0</v>
      </c>
      <c r="C374" s="7"/>
      <c r="D374" s="7"/>
      <c r="E374" s="7"/>
      <c r="F374" s="7"/>
      <c r="G374" s="7"/>
    </row>
    <row r="375">
      <c r="A375" s="6" t="s">
        <v>240</v>
      </c>
      <c r="B375" s="6">
        <v>0.0</v>
      </c>
      <c r="C375" s="7"/>
      <c r="D375" s="7"/>
      <c r="E375" s="7"/>
      <c r="F375" s="7"/>
      <c r="G375" s="7"/>
    </row>
    <row r="376">
      <c r="A376" s="6" t="s">
        <v>241</v>
      </c>
      <c r="B376" s="6">
        <v>0.0</v>
      </c>
      <c r="C376" s="7"/>
      <c r="D376" s="7"/>
      <c r="E376" s="7"/>
      <c r="F376" s="7"/>
      <c r="G376" s="7"/>
    </row>
    <row r="377">
      <c r="A377" s="6" t="s">
        <v>242</v>
      </c>
      <c r="B377" s="6">
        <v>0.0</v>
      </c>
      <c r="C377" s="7"/>
      <c r="D377" s="7"/>
      <c r="E377" s="7"/>
      <c r="F377" s="7"/>
      <c r="G377" s="7"/>
    </row>
    <row r="378">
      <c r="A378" s="6" t="s">
        <v>243</v>
      </c>
      <c r="B378" s="6">
        <v>0.0</v>
      </c>
      <c r="C378" s="7"/>
      <c r="D378" s="7"/>
      <c r="E378" s="7"/>
      <c r="F378" s="7"/>
      <c r="G378" s="7"/>
    </row>
    <row r="379">
      <c r="A379" s="6" t="s">
        <v>244</v>
      </c>
      <c r="B379" s="6">
        <v>0.0</v>
      </c>
      <c r="C379" s="7"/>
      <c r="D379" s="7"/>
      <c r="E379" s="7"/>
      <c r="F379" s="7"/>
      <c r="G379" s="7"/>
    </row>
    <row r="380">
      <c r="A380" s="6" t="s">
        <v>245</v>
      </c>
      <c r="B380" s="6">
        <v>0.0</v>
      </c>
      <c r="C380" s="7"/>
      <c r="D380" s="7"/>
      <c r="E380" s="7"/>
      <c r="F380" s="7"/>
      <c r="G380" s="7"/>
    </row>
    <row r="381">
      <c r="A381" s="6" t="s">
        <v>246</v>
      </c>
      <c r="B381" s="6">
        <v>0.0</v>
      </c>
      <c r="C381" s="7"/>
      <c r="D381" s="7"/>
      <c r="E381" s="7"/>
      <c r="F381" s="7"/>
      <c r="G381" s="7"/>
    </row>
    <row r="382">
      <c r="A382" s="6" t="s">
        <v>247</v>
      </c>
      <c r="B382" s="6">
        <v>0.0</v>
      </c>
      <c r="C382" s="7"/>
      <c r="D382" s="7"/>
      <c r="E382" s="7"/>
      <c r="F382" s="7"/>
      <c r="G382" s="7"/>
    </row>
    <row r="383">
      <c r="A383" s="6" t="s">
        <v>248</v>
      </c>
      <c r="B383" s="6">
        <v>0.0</v>
      </c>
      <c r="C383" s="7"/>
      <c r="D383" s="7"/>
      <c r="E383" s="7"/>
      <c r="F383" s="7"/>
      <c r="G383" s="7"/>
    </row>
    <row r="384">
      <c r="A384" s="6" t="s">
        <v>249</v>
      </c>
      <c r="B384" s="6">
        <v>0.0</v>
      </c>
      <c r="C384" s="7"/>
      <c r="D384" s="7"/>
      <c r="E384" s="7"/>
      <c r="F384" s="7"/>
      <c r="G384" s="7"/>
    </row>
    <row r="385">
      <c r="A385" s="6" t="s">
        <v>250</v>
      </c>
      <c r="B385" s="6">
        <v>0.0</v>
      </c>
      <c r="C385" s="7"/>
      <c r="D385" s="7"/>
      <c r="E385" s="7"/>
      <c r="F385" s="7"/>
      <c r="G385" s="7"/>
    </row>
    <row r="386">
      <c r="A386" s="6" t="s">
        <v>251</v>
      </c>
      <c r="B386" s="6">
        <v>0.0</v>
      </c>
      <c r="C386" s="7"/>
      <c r="D386" s="7"/>
      <c r="E386" s="7"/>
      <c r="F386" s="7"/>
      <c r="G386" s="7"/>
    </row>
    <row r="387">
      <c r="A387" s="6" t="s">
        <v>252</v>
      </c>
      <c r="B387" s="6">
        <v>0.0</v>
      </c>
      <c r="C387" s="7"/>
      <c r="D387" s="7"/>
      <c r="E387" s="7"/>
      <c r="F387" s="7"/>
      <c r="G387" s="7"/>
    </row>
    <row r="388">
      <c r="A388" s="6" t="s">
        <v>253</v>
      </c>
      <c r="B388" s="6">
        <v>0.0</v>
      </c>
      <c r="C388" s="7"/>
      <c r="D388" s="7"/>
      <c r="E388" s="7"/>
      <c r="F388" s="7"/>
      <c r="G388" s="7"/>
    </row>
    <row r="389">
      <c r="A389" s="6" t="s">
        <v>254</v>
      </c>
      <c r="B389" s="6">
        <v>66.0</v>
      </c>
      <c r="C389" s="7"/>
      <c r="D389" s="7"/>
      <c r="E389" s="7"/>
      <c r="F389" s="7"/>
      <c r="G389" s="7"/>
    </row>
    <row r="390">
      <c r="A390" s="6" t="s">
        <v>255</v>
      </c>
      <c r="B390" s="6">
        <v>0.0</v>
      </c>
      <c r="C390" s="7"/>
      <c r="D390" s="7"/>
      <c r="E390" s="7"/>
      <c r="F390" s="7"/>
      <c r="G390" s="7"/>
    </row>
    <row r="391">
      <c r="A391" s="6" t="s">
        <v>256</v>
      </c>
      <c r="B391" s="6">
        <v>0.0</v>
      </c>
      <c r="C391" s="7"/>
      <c r="D391" s="7"/>
      <c r="E391" s="7"/>
      <c r="F391" s="7"/>
      <c r="G391" s="7"/>
    </row>
    <row r="392">
      <c r="A392" s="6" t="s">
        <v>257</v>
      </c>
      <c r="B392" s="6">
        <v>23.0</v>
      </c>
      <c r="C392" s="7"/>
      <c r="D392" s="7"/>
      <c r="E392" s="7"/>
      <c r="F392" s="7"/>
      <c r="G392" s="7"/>
    </row>
    <row r="393">
      <c r="A393" s="6" t="s">
        <v>258</v>
      </c>
      <c r="B393" s="6">
        <v>0.0</v>
      </c>
      <c r="C393" s="7"/>
      <c r="D393" s="7"/>
      <c r="E393" s="7"/>
      <c r="F393" s="7"/>
      <c r="G393" s="7"/>
    </row>
    <row r="394">
      <c r="A394" s="6" t="s">
        <v>259</v>
      </c>
      <c r="B394" s="6">
        <v>0.0</v>
      </c>
      <c r="C394" s="7"/>
      <c r="D394" s="7"/>
      <c r="E394" s="7"/>
      <c r="F394" s="7"/>
      <c r="G394" s="7"/>
    </row>
    <row r="395">
      <c r="A395" s="6" t="s">
        <v>260</v>
      </c>
      <c r="B395" s="6" t="s">
        <v>261</v>
      </c>
      <c r="C395" s="6">
        <v>0.0</v>
      </c>
      <c r="D395" s="7"/>
      <c r="E395" s="7"/>
      <c r="F395" s="7"/>
      <c r="G395" s="7"/>
    </row>
    <row r="396">
      <c r="A396" s="6" t="s">
        <v>262</v>
      </c>
      <c r="B396" s="6">
        <v>39.0</v>
      </c>
      <c r="C396" s="7"/>
      <c r="D396" s="7"/>
      <c r="E396" s="7"/>
      <c r="F396" s="7"/>
      <c r="G396" s="7"/>
    </row>
    <row r="397">
      <c r="A397" s="6" t="s">
        <v>263</v>
      </c>
      <c r="B397" s="6">
        <v>0.0</v>
      </c>
      <c r="C397" s="7"/>
      <c r="D397" s="7"/>
      <c r="E397" s="7"/>
      <c r="F397" s="7"/>
      <c r="G397" s="7"/>
    </row>
    <row r="398">
      <c r="A398" s="6" t="s">
        <v>264</v>
      </c>
      <c r="B398" s="6">
        <v>0.0</v>
      </c>
      <c r="C398" s="7"/>
      <c r="D398" s="7"/>
      <c r="E398" s="7"/>
      <c r="F398" s="7"/>
      <c r="G398" s="7"/>
    </row>
    <row r="399">
      <c r="A399" s="6" t="s">
        <v>265</v>
      </c>
      <c r="B399" s="6">
        <v>0.0</v>
      </c>
      <c r="C399" s="7"/>
      <c r="D399" s="7"/>
      <c r="E399" s="7"/>
      <c r="F399" s="7"/>
      <c r="G399" s="7"/>
    </row>
    <row r="400">
      <c r="A400" s="6" t="s">
        <v>266</v>
      </c>
      <c r="B400" s="6">
        <v>0.0</v>
      </c>
      <c r="C400" s="7"/>
      <c r="D400" s="7"/>
      <c r="E400" s="7"/>
      <c r="F400" s="7"/>
      <c r="G400" s="7"/>
    </row>
    <row r="401">
      <c r="A401" s="6" t="s">
        <v>267</v>
      </c>
      <c r="B401" s="6">
        <v>30.0</v>
      </c>
      <c r="C401" s="7"/>
      <c r="D401" s="7"/>
      <c r="E401" s="7"/>
      <c r="F401" s="7"/>
      <c r="G401" s="7"/>
    </row>
    <row r="402">
      <c r="A402" s="6" t="s">
        <v>268</v>
      </c>
      <c r="B402" s="6">
        <v>3.0</v>
      </c>
      <c r="C402" s="7"/>
      <c r="D402" s="7"/>
      <c r="E402" s="7"/>
      <c r="F402" s="7"/>
      <c r="G402" s="7"/>
    </row>
    <row r="403">
      <c r="A403" s="6" t="s">
        <v>269</v>
      </c>
      <c r="B403" s="6">
        <v>0.0</v>
      </c>
      <c r="C403" s="7"/>
      <c r="D403" s="7"/>
      <c r="E403" s="7"/>
      <c r="F403" s="7"/>
      <c r="G403" s="7"/>
    </row>
    <row r="404">
      <c r="A404" s="6" t="s">
        <v>270</v>
      </c>
      <c r="B404" s="6">
        <v>0.0</v>
      </c>
      <c r="C404" s="7"/>
      <c r="D404" s="7"/>
      <c r="E404" s="7"/>
      <c r="F404" s="7"/>
      <c r="G404" s="7"/>
    </row>
    <row r="405">
      <c r="A405" s="6" t="s">
        <v>271</v>
      </c>
      <c r="B405" s="6">
        <v>66.0</v>
      </c>
      <c r="C405" s="7"/>
      <c r="D405" s="7"/>
      <c r="E405" s="7"/>
      <c r="F405" s="7"/>
      <c r="G405" s="7"/>
    </row>
    <row r="406">
      <c r="A406" s="6" t="s">
        <v>272</v>
      </c>
      <c r="B406" s="6">
        <v>0.0</v>
      </c>
      <c r="C406" s="7"/>
      <c r="D406" s="7"/>
      <c r="E406" s="7"/>
      <c r="F406" s="7"/>
      <c r="G406" s="7"/>
    </row>
    <row r="407">
      <c r="A407" s="6" t="s">
        <v>273</v>
      </c>
      <c r="B407" s="6">
        <v>0.0</v>
      </c>
      <c r="C407" s="7"/>
      <c r="D407" s="7"/>
      <c r="E407" s="7"/>
      <c r="F407" s="7"/>
      <c r="G407" s="7"/>
    </row>
    <row r="408">
      <c r="A408" s="6" t="s">
        <v>274</v>
      </c>
      <c r="B408" s="6">
        <v>0.0</v>
      </c>
      <c r="C408" s="7"/>
      <c r="D408" s="7"/>
      <c r="E408" s="7"/>
      <c r="F408" s="7"/>
      <c r="G408" s="7"/>
    </row>
    <row r="409">
      <c r="A409" s="6" t="s">
        <v>275</v>
      </c>
      <c r="B409" s="6">
        <v>0.0</v>
      </c>
      <c r="C409" s="7"/>
      <c r="D409" s="7"/>
      <c r="E409" s="7"/>
      <c r="F409" s="7"/>
      <c r="G409" s="7"/>
    </row>
    <row r="410">
      <c r="A410" s="6" t="s">
        <v>276</v>
      </c>
      <c r="B410" s="6">
        <v>58.0</v>
      </c>
      <c r="C410" s="7"/>
      <c r="D410" s="7"/>
      <c r="E410" s="7"/>
      <c r="F410" s="7"/>
      <c r="G410" s="7"/>
    </row>
    <row r="411">
      <c r="A411" s="6" t="s">
        <v>277</v>
      </c>
      <c r="B411" s="6">
        <v>99.0</v>
      </c>
      <c r="C411" s="7"/>
      <c r="D411" s="7"/>
      <c r="E411" s="7"/>
      <c r="F411" s="7"/>
      <c r="G411" s="7"/>
    </row>
    <row r="412">
      <c r="A412" s="6" t="s">
        <v>278</v>
      </c>
      <c r="B412" s="6">
        <v>0.0</v>
      </c>
      <c r="C412" s="7"/>
      <c r="D412" s="7"/>
      <c r="E412" s="7"/>
      <c r="F412" s="7"/>
      <c r="G412" s="7"/>
    </row>
    <row r="413">
      <c r="A413" s="6" t="s">
        <v>279</v>
      </c>
      <c r="B413" s="6">
        <v>0.0</v>
      </c>
      <c r="C413" s="7"/>
      <c r="D413" s="7"/>
      <c r="E413" s="7"/>
      <c r="F413" s="7"/>
      <c r="G413" s="7"/>
    </row>
    <row r="414">
      <c r="A414" s="6" t="s">
        <v>280</v>
      </c>
      <c r="B414" s="6">
        <v>0.0</v>
      </c>
      <c r="C414" s="7"/>
      <c r="D414" s="7"/>
      <c r="E414" s="7"/>
      <c r="F414" s="7"/>
      <c r="G414" s="7"/>
    </row>
    <row r="415">
      <c r="A415" s="6" t="s">
        <v>281</v>
      </c>
      <c r="B415" s="6">
        <v>0.0</v>
      </c>
      <c r="C415" s="7"/>
      <c r="D415" s="7"/>
      <c r="E415" s="7"/>
      <c r="F415" s="7"/>
      <c r="G415" s="7"/>
    </row>
    <row r="416">
      <c r="A416" s="6" t="s">
        <v>282</v>
      </c>
      <c r="B416" s="6">
        <v>5.0</v>
      </c>
      <c r="C416" s="7"/>
      <c r="D416" s="7"/>
      <c r="E416" s="7"/>
      <c r="F416" s="7"/>
      <c r="G416" s="7"/>
    </row>
    <row r="417">
      <c r="A417" s="6" t="s">
        <v>283</v>
      </c>
      <c r="B417" s="6">
        <v>48.0</v>
      </c>
      <c r="C417" s="7"/>
      <c r="D417" s="7"/>
      <c r="E417" s="7"/>
      <c r="F417" s="7"/>
      <c r="G417" s="7"/>
    </row>
    <row r="418">
      <c r="A418" s="6" t="s">
        <v>284</v>
      </c>
      <c r="B418" s="6">
        <v>0.0</v>
      </c>
      <c r="C418" s="7"/>
      <c r="D418" s="7"/>
      <c r="E418" s="7"/>
      <c r="F418" s="7"/>
      <c r="G418" s="7"/>
    </row>
    <row r="419">
      <c r="A419" s="6" t="s">
        <v>285</v>
      </c>
      <c r="B419" s="6">
        <v>0.0</v>
      </c>
      <c r="C419" s="7"/>
      <c r="D419" s="7"/>
      <c r="E419" s="7"/>
      <c r="F419" s="7"/>
      <c r="G419" s="7"/>
    </row>
    <row r="420">
      <c r="A420" s="6" t="s">
        <v>286</v>
      </c>
      <c r="B420" s="6">
        <v>0.0</v>
      </c>
      <c r="C420" s="7"/>
      <c r="D420" s="7"/>
      <c r="E420" s="7"/>
      <c r="F420" s="7"/>
      <c r="G420" s="7"/>
    </row>
    <row r="421">
      <c r="A421" s="6" t="s">
        <v>287</v>
      </c>
      <c r="B421" s="6">
        <v>0.0</v>
      </c>
      <c r="C421" s="7"/>
      <c r="D421" s="7"/>
      <c r="E421" s="7"/>
      <c r="F421" s="7"/>
      <c r="G421" s="7"/>
    </row>
    <row r="422">
      <c r="A422" s="6" t="s">
        <v>288</v>
      </c>
      <c r="B422" s="6">
        <v>0.0</v>
      </c>
      <c r="C422" s="7"/>
      <c r="D422" s="7"/>
      <c r="E422" s="7"/>
      <c r="F422" s="7"/>
      <c r="G422" s="7"/>
    </row>
    <row r="423">
      <c r="A423" s="6" t="s">
        <v>289</v>
      </c>
      <c r="B423" s="6">
        <v>0.0</v>
      </c>
      <c r="C423" s="7"/>
      <c r="D423" s="7"/>
      <c r="E423" s="7"/>
      <c r="F423" s="7"/>
      <c r="G423" s="7"/>
    </row>
    <row r="424">
      <c r="A424" s="6" t="s">
        <v>290</v>
      </c>
      <c r="B424" s="6">
        <v>75.0</v>
      </c>
      <c r="C424" s="7"/>
      <c r="D424" s="7"/>
      <c r="E424" s="7"/>
      <c r="F424" s="7"/>
      <c r="G424" s="7"/>
    </row>
    <row r="425">
      <c r="A425" s="6" t="s">
        <v>291</v>
      </c>
      <c r="B425" s="6">
        <v>0.0</v>
      </c>
      <c r="C425" s="7"/>
      <c r="D425" s="7"/>
      <c r="E425" s="7"/>
      <c r="F425" s="7"/>
      <c r="G425" s="7"/>
    </row>
    <row r="426">
      <c r="A426" s="6" t="s">
        <v>292</v>
      </c>
      <c r="B426" s="6">
        <v>0.0</v>
      </c>
      <c r="C426" s="7"/>
      <c r="D426" s="7"/>
      <c r="E426" s="7"/>
      <c r="F426" s="7"/>
      <c r="G426" s="7"/>
    </row>
    <row r="427">
      <c r="A427" s="6" t="s">
        <v>293</v>
      </c>
      <c r="B427" s="6">
        <v>30.0</v>
      </c>
      <c r="C427" s="7"/>
      <c r="D427" s="7"/>
      <c r="E427" s="7"/>
      <c r="F427" s="7"/>
      <c r="G427" s="7"/>
    </row>
    <row r="428">
      <c r="A428" s="6" t="s">
        <v>294</v>
      </c>
      <c r="B428" s="6">
        <v>39.0</v>
      </c>
      <c r="C428" s="7"/>
      <c r="D428" s="7"/>
      <c r="E428" s="7"/>
      <c r="F428" s="7"/>
      <c r="G428" s="7"/>
    </row>
    <row r="429">
      <c r="A429" s="6" t="s">
        <v>295</v>
      </c>
      <c r="B429" s="6">
        <v>50.0</v>
      </c>
      <c r="C429" s="7"/>
      <c r="D429" s="7"/>
      <c r="E429" s="7"/>
      <c r="F429" s="7"/>
      <c r="G429" s="7"/>
    </row>
    <row r="430">
      <c r="A430" s="6" t="s">
        <v>296</v>
      </c>
      <c r="B430" s="6">
        <v>0.0</v>
      </c>
      <c r="C430" s="7"/>
      <c r="D430" s="7"/>
      <c r="E430" s="7"/>
      <c r="F430" s="7"/>
      <c r="G430" s="7"/>
    </row>
    <row r="431">
      <c r="A431" s="6" t="s">
        <v>297</v>
      </c>
      <c r="B431" s="6">
        <v>0.0</v>
      </c>
      <c r="C431" s="7"/>
      <c r="D431" s="7"/>
      <c r="E431" s="7"/>
      <c r="F431" s="7"/>
      <c r="G431" s="7"/>
    </row>
    <row r="432">
      <c r="A432" s="6" t="s">
        <v>298</v>
      </c>
      <c r="B432" s="6">
        <v>62.0</v>
      </c>
      <c r="C432" s="7"/>
      <c r="D432" s="7"/>
      <c r="E432" s="7"/>
      <c r="F432" s="7"/>
      <c r="G432" s="7"/>
    </row>
    <row r="433">
      <c r="A433" s="6" t="s">
        <v>299</v>
      </c>
      <c r="B433" s="6">
        <v>0.0</v>
      </c>
      <c r="C433" s="7"/>
      <c r="D433" s="7"/>
      <c r="E433" s="7"/>
      <c r="F433" s="7"/>
      <c r="G433" s="7"/>
    </row>
    <row r="434">
      <c r="A434" s="6" t="s">
        <v>300</v>
      </c>
      <c r="B434" s="6">
        <v>50.0</v>
      </c>
      <c r="C434" s="7"/>
      <c r="D434" s="7"/>
      <c r="E434" s="7"/>
      <c r="F434" s="7"/>
      <c r="G434" s="7"/>
    </row>
    <row r="435">
      <c r="A435" s="6" t="s">
        <v>301</v>
      </c>
      <c r="B435" s="6">
        <v>0.0</v>
      </c>
      <c r="C435" s="7"/>
      <c r="D435" s="7"/>
      <c r="E435" s="7"/>
      <c r="F435" s="7"/>
      <c r="G435" s="7"/>
    </row>
    <row r="436">
      <c r="A436" s="6" t="s">
        <v>302</v>
      </c>
      <c r="B436" s="6">
        <v>0.0</v>
      </c>
      <c r="C436" s="7"/>
      <c r="D436" s="7"/>
      <c r="E436" s="7"/>
      <c r="F436" s="7"/>
      <c r="G436" s="7"/>
    </row>
    <row r="437">
      <c r="A437" s="6" t="s">
        <v>303</v>
      </c>
      <c r="B437" s="6">
        <v>96.0</v>
      </c>
      <c r="C437" s="7"/>
      <c r="D437" s="7"/>
      <c r="E437" s="7"/>
      <c r="F437" s="7"/>
      <c r="G437" s="7"/>
    </row>
    <row r="438">
      <c r="A438" s="6" t="s">
        <v>304</v>
      </c>
      <c r="B438" s="6">
        <v>57.0</v>
      </c>
      <c r="C438" s="7"/>
      <c r="D438" s="7"/>
      <c r="E438" s="7"/>
      <c r="F438" s="7"/>
      <c r="G438" s="7"/>
    </row>
    <row r="439">
      <c r="A439" s="6" t="s">
        <v>305</v>
      </c>
      <c r="B439" s="6">
        <v>0.0</v>
      </c>
      <c r="C439" s="7"/>
      <c r="D439" s="7"/>
      <c r="E439" s="7"/>
      <c r="F439" s="7"/>
      <c r="G439" s="7"/>
    </row>
    <row r="440">
      <c r="A440" s="6" t="s">
        <v>306</v>
      </c>
      <c r="B440" s="6">
        <v>34.0</v>
      </c>
      <c r="C440" s="7"/>
      <c r="D440" s="7"/>
      <c r="E440" s="7"/>
      <c r="F440" s="7"/>
      <c r="G440" s="7"/>
    </row>
    <row r="441">
      <c r="A441" s="6" t="s">
        <v>307</v>
      </c>
      <c r="B441" s="6">
        <v>68.0</v>
      </c>
      <c r="C441" s="7"/>
      <c r="D441" s="7"/>
      <c r="E441" s="7"/>
      <c r="F441" s="7"/>
      <c r="G441" s="7"/>
    </row>
    <row r="442">
      <c r="A442" s="6" t="s">
        <v>308</v>
      </c>
      <c r="B442" s="6">
        <v>78.0</v>
      </c>
      <c r="C442" s="7"/>
      <c r="D442" s="7"/>
      <c r="E442" s="7"/>
      <c r="F442" s="7"/>
      <c r="G442" s="7"/>
    </row>
    <row r="443">
      <c r="A443" s="6" t="s">
        <v>309</v>
      </c>
      <c r="B443" s="7"/>
      <c r="C443" s="7"/>
      <c r="D443" s="7"/>
      <c r="E443" s="7"/>
      <c r="F443" s="7"/>
      <c r="G443" s="7"/>
    </row>
    <row r="444">
      <c r="A444" s="6" t="s">
        <v>310</v>
      </c>
      <c r="B444" s="6">
        <v>12.0</v>
      </c>
      <c r="C444" s="7"/>
      <c r="D444" s="7"/>
      <c r="E444" s="7"/>
      <c r="F444" s="7"/>
      <c r="G444" s="7"/>
    </row>
    <row r="445">
      <c r="A445" s="6" t="s">
        <v>311</v>
      </c>
      <c r="B445" s="7"/>
      <c r="C445" s="7"/>
      <c r="D445" s="7"/>
      <c r="E445" s="7"/>
      <c r="F445" s="7"/>
      <c r="G445" s="7"/>
    </row>
    <row r="446">
      <c r="A446" s="6" t="s">
        <v>312</v>
      </c>
      <c r="B446" s="6">
        <v>0.0</v>
      </c>
      <c r="C446" s="7"/>
      <c r="D446" s="7"/>
      <c r="E446" s="7"/>
      <c r="F446" s="7"/>
      <c r="G446" s="7"/>
    </row>
    <row r="447">
      <c r="A447" s="6" t="s">
        <v>313</v>
      </c>
      <c r="B447" s="6">
        <v>82.0</v>
      </c>
      <c r="C447" s="7"/>
      <c r="D447" s="7"/>
      <c r="E447" s="7"/>
      <c r="F447" s="7"/>
      <c r="G447" s="7"/>
    </row>
    <row r="448">
      <c r="A448" s="6" t="s">
        <v>314</v>
      </c>
      <c r="B448" s="6">
        <v>0.0</v>
      </c>
      <c r="C448" s="7"/>
      <c r="D448" s="7"/>
      <c r="E448" s="7"/>
      <c r="F448" s="7"/>
      <c r="G448" s="7"/>
    </row>
    <row r="449">
      <c r="A449" s="6" t="s">
        <v>315</v>
      </c>
      <c r="B449" s="6">
        <v>0.0</v>
      </c>
      <c r="C449" s="7"/>
      <c r="D449" s="7"/>
      <c r="E449" s="7"/>
      <c r="F449" s="7"/>
      <c r="G449" s="7"/>
    </row>
    <row r="450">
      <c r="A450" s="6" t="s">
        <v>316</v>
      </c>
      <c r="B450" s="6">
        <v>0.0</v>
      </c>
      <c r="C450" s="7"/>
      <c r="D450" s="7"/>
      <c r="E450" s="7"/>
      <c r="F450" s="7"/>
      <c r="G450" s="7"/>
    </row>
    <row r="451">
      <c r="A451" s="6" t="s">
        <v>317</v>
      </c>
      <c r="B451" s="6">
        <v>0.0</v>
      </c>
      <c r="C451" s="7"/>
      <c r="D451" s="7"/>
      <c r="E451" s="7"/>
      <c r="F451" s="7"/>
      <c r="G451" s="7"/>
    </row>
    <row r="452">
      <c r="A452" s="6" t="s">
        <v>318</v>
      </c>
      <c r="B452" s="6">
        <v>8.0</v>
      </c>
      <c r="C452" s="7"/>
      <c r="D452" s="7"/>
      <c r="E452" s="7"/>
      <c r="F452" s="7"/>
      <c r="G452" s="7"/>
    </row>
    <row r="453">
      <c r="A453" s="6" t="s">
        <v>319</v>
      </c>
      <c r="B453" s="6">
        <v>0.0</v>
      </c>
      <c r="C453" s="7"/>
      <c r="D453" s="7"/>
      <c r="E453" s="7"/>
      <c r="F453" s="7"/>
      <c r="G453" s="7"/>
    </row>
    <row r="454">
      <c r="A454" s="6" t="s">
        <v>320</v>
      </c>
      <c r="B454" s="6">
        <v>0.0</v>
      </c>
      <c r="C454" s="7"/>
      <c r="D454" s="7"/>
      <c r="E454" s="7"/>
      <c r="F454" s="7"/>
      <c r="G454" s="7"/>
    </row>
    <row r="455">
      <c r="A455" s="6" t="s">
        <v>321</v>
      </c>
      <c r="B455" s="6">
        <v>0.0</v>
      </c>
      <c r="C455" s="7"/>
      <c r="D455" s="7"/>
      <c r="E455" s="7"/>
      <c r="F455" s="7"/>
      <c r="G455" s="7"/>
    </row>
    <row r="456">
      <c r="A456" s="6" t="s">
        <v>322</v>
      </c>
      <c r="B456" s="6">
        <v>14.0</v>
      </c>
      <c r="C456" s="7"/>
      <c r="D456" s="7"/>
      <c r="E456" s="7"/>
      <c r="F456" s="7"/>
      <c r="G456" s="7"/>
    </row>
    <row r="457">
      <c r="A457" s="6" t="s">
        <v>323</v>
      </c>
      <c r="B457" s="6">
        <v>0.0</v>
      </c>
      <c r="C457" s="7"/>
      <c r="D457" s="7"/>
      <c r="E457" s="7"/>
      <c r="F457" s="7"/>
      <c r="G457" s="7"/>
    </row>
    <row r="458">
      <c r="A458" s="6" t="s">
        <v>324</v>
      </c>
      <c r="B458" s="6">
        <v>86.0</v>
      </c>
      <c r="C458" s="7"/>
      <c r="D458" s="7"/>
      <c r="E458" s="7"/>
      <c r="F458" s="7"/>
      <c r="G458" s="7"/>
    </row>
    <row r="459">
      <c r="A459" s="6" t="s">
        <v>325</v>
      </c>
      <c r="B459" s="6">
        <v>66.0</v>
      </c>
      <c r="C459" s="7"/>
      <c r="D459" s="7"/>
      <c r="E459" s="7"/>
      <c r="F459" s="7"/>
      <c r="G459" s="7"/>
    </row>
    <row r="460">
      <c r="A460" s="6" t="s">
        <v>326</v>
      </c>
      <c r="B460" s="6">
        <v>0.0</v>
      </c>
      <c r="C460" s="7"/>
      <c r="D460" s="7"/>
      <c r="E460" s="7"/>
      <c r="F460" s="7"/>
      <c r="G460" s="7"/>
    </row>
    <row r="461">
      <c r="A461" s="6" t="s">
        <v>327</v>
      </c>
      <c r="B461" s="6">
        <v>94.0</v>
      </c>
      <c r="C461" s="7"/>
      <c r="D461" s="7"/>
      <c r="E461" s="7"/>
      <c r="F461" s="7"/>
      <c r="G461" s="7"/>
    </row>
    <row r="462">
      <c r="A462" s="6" t="s">
        <v>328</v>
      </c>
      <c r="B462" s="6">
        <v>36.0</v>
      </c>
      <c r="C462" s="7"/>
      <c r="D462" s="7"/>
      <c r="E462" s="7"/>
      <c r="F462" s="7"/>
      <c r="G462" s="7"/>
    </row>
    <row r="463">
      <c r="A463" s="6" t="s">
        <v>329</v>
      </c>
      <c r="B463" s="6">
        <v>0.0</v>
      </c>
      <c r="C463" s="7"/>
      <c r="D463" s="7"/>
      <c r="E463" s="7"/>
      <c r="F463" s="7"/>
      <c r="G463" s="7"/>
    </row>
    <row r="464">
      <c r="A464" s="6" t="s">
        <v>330</v>
      </c>
      <c r="B464" s="6">
        <v>0.0</v>
      </c>
      <c r="C464" s="7"/>
      <c r="D464" s="7"/>
      <c r="E464" s="7"/>
      <c r="F464" s="7"/>
      <c r="G464" s="7"/>
    </row>
    <row r="465">
      <c r="A465" s="6" t="s">
        <v>331</v>
      </c>
      <c r="B465" s="6">
        <v>0.0</v>
      </c>
      <c r="C465" s="7"/>
      <c r="D465" s="7"/>
      <c r="E465" s="7"/>
      <c r="F465" s="7"/>
      <c r="G465" s="7"/>
    </row>
    <row r="466">
      <c r="A466" s="6" t="s">
        <v>332</v>
      </c>
      <c r="B466" s="6">
        <v>0.0</v>
      </c>
      <c r="C466" s="7"/>
      <c r="D466" s="7"/>
      <c r="E466" s="7"/>
      <c r="F466" s="7"/>
      <c r="G466" s="7"/>
    </row>
    <row r="467">
      <c r="A467" s="6" t="s">
        <v>333</v>
      </c>
      <c r="B467" s="6">
        <v>0.0</v>
      </c>
      <c r="C467" s="7"/>
      <c r="D467" s="7"/>
      <c r="E467" s="7"/>
      <c r="F467" s="7"/>
      <c r="G467" s="7"/>
    </row>
    <row r="468">
      <c r="A468" s="6" t="s">
        <v>334</v>
      </c>
      <c r="B468" s="6">
        <v>0.0</v>
      </c>
      <c r="C468" s="7"/>
      <c r="D468" s="7"/>
      <c r="E468" s="7"/>
      <c r="F468" s="7"/>
      <c r="G468" s="7"/>
    </row>
    <row r="469">
      <c r="A469" s="6" t="s">
        <v>335</v>
      </c>
      <c r="B469" s="6">
        <v>14.0</v>
      </c>
      <c r="C469" s="7"/>
      <c r="D469" s="7"/>
      <c r="E469" s="7"/>
      <c r="F469" s="7"/>
      <c r="G469" s="7"/>
    </row>
    <row r="470">
      <c r="A470" s="6" t="s">
        <v>336</v>
      </c>
      <c r="B470" s="6">
        <v>14.0</v>
      </c>
      <c r="C470" s="7"/>
      <c r="D470" s="7"/>
      <c r="E470" s="7"/>
      <c r="F470" s="7"/>
      <c r="G470" s="7"/>
    </row>
    <row r="471">
      <c r="A471" s="6" t="s">
        <v>337</v>
      </c>
      <c r="B471" s="6">
        <v>0.0</v>
      </c>
      <c r="C471" s="7"/>
      <c r="D471" s="7"/>
      <c r="E471" s="7"/>
      <c r="F471" s="7"/>
      <c r="G471" s="7"/>
    </row>
    <row r="472">
      <c r="A472" s="6" t="s">
        <v>338</v>
      </c>
      <c r="B472" s="6">
        <v>55.0</v>
      </c>
      <c r="C472" s="7"/>
      <c r="D472" s="7"/>
      <c r="E472" s="7"/>
      <c r="F472" s="7"/>
      <c r="G472" s="7"/>
    </row>
    <row r="473">
      <c r="A473" s="6" t="s">
        <v>339</v>
      </c>
      <c r="B473" s="6">
        <v>0.0</v>
      </c>
      <c r="C473" s="7"/>
      <c r="D473" s="7"/>
      <c r="E473" s="7"/>
      <c r="F473" s="7"/>
      <c r="G473" s="7"/>
    </row>
    <row r="474">
      <c r="A474" s="6" t="s">
        <v>340</v>
      </c>
      <c r="B474" s="6">
        <v>14.0</v>
      </c>
      <c r="C474" s="7"/>
      <c r="D474" s="7"/>
      <c r="E474" s="7"/>
      <c r="F474" s="7"/>
      <c r="G474" s="7"/>
    </row>
    <row r="475">
      <c r="A475" s="6" t="s">
        <v>341</v>
      </c>
      <c r="B475" s="6">
        <v>0.0</v>
      </c>
      <c r="C475" s="7"/>
      <c r="D475" s="7"/>
      <c r="E475" s="7"/>
      <c r="F475" s="7"/>
      <c r="G475" s="7"/>
    </row>
    <row r="476">
      <c r="A476" s="6" t="s">
        <v>342</v>
      </c>
      <c r="B476" s="6">
        <v>0.0</v>
      </c>
      <c r="C476" s="7"/>
      <c r="D476" s="7"/>
      <c r="E476" s="7"/>
      <c r="F476" s="7"/>
      <c r="G476" s="7"/>
    </row>
    <row r="477">
      <c r="A477" s="6" t="s">
        <v>343</v>
      </c>
      <c r="B477" s="6">
        <v>99.0</v>
      </c>
      <c r="C477" s="7"/>
      <c r="D477" s="7"/>
      <c r="E477" s="7"/>
      <c r="F477" s="7"/>
      <c r="G477" s="7"/>
    </row>
    <row r="478">
      <c r="A478" s="6" t="s">
        <v>344</v>
      </c>
      <c r="B478" s="6">
        <v>74.0</v>
      </c>
      <c r="C478" s="7"/>
      <c r="D478" s="7"/>
      <c r="E478" s="7"/>
      <c r="F478" s="7"/>
      <c r="G478" s="7"/>
    </row>
    <row r="479">
      <c r="A479" s="6" t="s">
        <v>345</v>
      </c>
      <c r="B479" s="6">
        <v>18.0</v>
      </c>
      <c r="C479" s="7"/>
      <c r="D479" s="7"/>
      <c r="E479" s="7"/>
      <c r="F479" s="7"/>
      <c r="G479" s="7"/>
    </row>
    <row r="480">
      <c r="A480" s="6" t="s">
        <v>346</v>
      </c>
      <c r="B480" s="6">
        <v>0.0</v>
      </c>
      <c r="C480" s="7"/>
      <c r="D480" s="7"/>
      <c r="E480" s="7"/>
      <c r="F480" s="7"/>
      <c r="G480" s="7"/>
    </row>
    <row r="481">
      <c r="A481" s="6" t="s">
        <v>347</v>
      </c>
      <c r="B481" s="6">
        <v>0.0</v>
      </c>
      <c r="C481" s="7"/>
      <c r="D481" s="7"/>
      <c r="E481" s="7"/>
      <c r="F481" s="7"/>
      <c r="G481" s="7"/>
    </row>
    <row r="482">
      <c r="A482" s="6" t="s">
        <v>348</v>
      </c>
      <c r="B482" s="6">
        <v>70.0</v>
      </c>
      <c r="C482" s="7"/>
      <c r="D482" s="7"/>
      <c r="E482" s="7"/>
      <c r="F482" s="7"/>
      <c r="G482" s="7"/>
    </row>
    <row r="483">
      <c r="A483" s="6" t="s">
        <v>349</v>
      </c>
      <c r="B483" s="6">
        <v>0.0</v>
      </c>
      <c r="C483" s="7"/>
      <c r="D483" s="7"/>
      <c r="E483" s="7"/>
      <c r="F483" s="7"/>
      <c r="G483" s="7"/>
    </row>
    <row r="484">
      <c r="A484" s="6" t="s">
        <v>350</v>
      </c>
      <c r="B484" s="6">
        <v>0.0</v>
      </c>
      <c r="C484" s="7"/>
      <c r="D484" s="7"/>
      <c r="E484" s="7"/>
      <c r="F484" s="7"/>
      <c r="G484" s="7"/>
    </row>
    <row r="485">
      <c r="A485" s="6" t="s">
        <v>351</v>
      </c>
      <c r="B485" s="6">
        <v>44.0</v>
      </c>
      <c r="C485" s="7"/>
      <c r="D485" s="7"/>
      <c r="E485" s="7"/>
      <c r="F485" s="7"/>
      <c r="G485" s="7"/>
    </row>
    <row r="486">
      <c r="A486" s="6" t="s">
        <v>352</v>
      </c>
      <c r="B486" s="6">
        <v>50.0</v>
      </c>
      <c r="C486" s="7"/>
      <c r="D486" s="7"/>
      <c r="E486" s="7"/>
      <c r="F486" s="7"/>
      <c r="G486" s="7"/>
    </row>
    <row r="487">
      <c r="A487" s="6" t="s">
        <v>353</v>
      </c>
      <c r="B487" s="6">
        <v>0.0</v>
      </c>
      <c r="C487" s="7"/>
      <c r="D487" s="7"/>
      <c r="E487" s="7"/>
      <c r="F487" s="7"/>
      <c r="G487" s="7"/>
    </row>
    <row r="488">
      <c r="A488" s="6" t="s">
        <v>354</v>
      </c>
      <c r="B488" s="6">
        <v>72.0</v>
      </c>
      <c r="C488" s="7"/>
      <c r="D488" s="7"/>
      <c r="E488" s="7"/>
      <c r="F488" s="7"/>
      <c r="G488" s="7"/>
    </row>
    <row r="489">
      <c r="A489" s="6" t="s">
        <v>355</v>
      </c>
      <c r="B489" s="6">
        <v>6.0</v>
      </c>
      <c r="C489" s="7"/>
      <c r="D489" s="7"/>
      <c r="E489" s="7"/>
      <c r="F489" s="7"/>
      <c r="G489" s="7"/>
    </row>
    <row r="490">
      <c r="A490" s="6" t="s">
        <v>356</v>
      </c>
      <c r="B490" s="6">
        <v>0.0</v>
      </c>
      <c r="C490" s="7"/>
      <c r="D490" s="7"/>
      <c r="E490" s="7"/>
      <c r="F490" s="7"/>
      <c r="G490" s="7"/>
    </row>
    <row r="491">
      <c r="A491" s="6" t="s">
        <v>357</v>
      </c>
      <c r="B491" s="6">
        <v>0.0</v>
      </c>
      <c r="C491" s="7"/>
      <c r="D491" s="7"/>
      <c r="E491" s="7"/>
      <c r="F491" s="7"/>
      <c r="G491" s="7"/>
    </row>
    <row r="492">
      <c r="A492" s="6" t="s">
        <v>358</v>
      </c>
      <c r="B492" s="6">
        <v>71.0</v>
      </c>
      <c r="C492" s="7"/>
      <c r="D492" s="7"/>
      <c r="E492" s="7"/>
      <c r="F492" s="7"/>
      <c r="G492" s="7"/>
    </row>
    <row r="493">
      <c r="A493" s="6" t="s">
        <v>359</v>
      </c>
      <c r="B493" s="6">
        <v>25.0</v>
      </c>
      <c r="C493" s="7"/>
      <c r="D493" s="7"/>
      <c r="E493" s="7"/>
      <c r="F493" s="7"/>
      <c r="G493" s="7"/>
    </row>
    <row r="494">
      <c r="A494" s="6" t="s">
        <v>290</v>
      </c>
      <c r="B494" s="6">
        <v>75.0</v>
      </c>
      <c r="C494" s="7"/>
      <c r="D494" s="7"/>
      <c r="E494" s="7"/>
      <c r="F494" s="7"/>
      <c r="G494" s="7"/>
    </row>
    <row r="495">
      <c r="A495" s="6" t="s">
        <v>291</v>
      </c>
      <c r="B495" s="6">
        <v>0.0</v>
      </c>
      <c r="C495" s="7"/>
      <c r="D495" s="7"/>
      <c r="E495" s="7"/>
      <c r="F495" s="7"/>
      <c r="G495" s="7"/>
    </row>
    <row r="496">
      <c r="A496" s="6" t="s">
        <v>292</v>
      </c>
      <c r="B496" s="6">
        <v>0.0</v>
      </c>
      <c r="C496" s="7"/>
      <c r="D496" s="7"/>
      <c r="E496" s="7"/>
      <c r="F496" s="7"/>
      <c r="G496" s="7"/>
    </row>
    <row r="497">
      <c r="A497" s="6" t="s">
        <v>293</v>
      </c>
      <c r="B497" s="6">
        <v>30.0</v>
      </c>
      <c r="C497" s="7"/>
      <c r="D497" s="7"/>
      <c r="E497" s="7"/>
      <c r="F497" s="7"/>
      <c r="G497" s="7"/>
    </row>
    <row r="498">
      <c r="A498" s="6" t="s">
        <v>294</v>
      </c>
      <c r="B498" s="6">
        <v>39.0</v>
      </c>
      <c r="C498" s="7"/>
      <c r="D498" s="7"/>
      <c r="E498" s="7"/>
      <c r="F498" s="7"/>
      <c r="G498" s="7"/>
    </row>
    <row r="499">
      <c r="A499" s="6" t="s">
        <v>295</v>
      </c>
      <c r="B499" s="6">
        <v>50.0</v>
      </c>
      <c r="C499" s="7"/>
      <c r="D499" s="7"/>
      <c r="E499" s="7"/>
      <c r="F499" s="7"/>
      <c r="G499" s="7"/>
    </row>
    <row r="500">
      <c r="A500" s="6" t="s">
        <v>296</v>
      </c>
      <c r="B500" s="6">
        <v>0.0</v>
      </c>
      <c r="C500" s="7"/>
      <c r="D500" s="7"/>
      <c r="E500" s="7"/>
      <c r="F500" s="7"/>
      <c r="G500" s="7"/>
    </row>
    <row r="501">
      <c r="A501" s="6" t="s">
        <v>297</v>
      </c>
      <c r="B501" s="6">
        <v>0.0</v>
      </c>
      <c r="C501" s="7"/>
      <c r="D501" s="7"/>
      <c r="E501" s="7"/>
      <c r="F501" s="7"/>
      <c r="G501" s="7"/>
    </row>
    <row r="502">
      <c r="A502" s="6" t="s">
        <v>298</v>
      </c>
      <c r="B502" s="6">
        <v>62.0</v>
      </c>
      <c r="C502" s="7"/>
      <c r="D502" s="7"/>
      <c r="E502" s="7"/>
      <c r="F502" s="7"/>
      <c r="G502" s="7"/>
    </row>
    <row r="503">
      <c r="A503" s="6" t="s">
        <v>299</v>
      </c>
      <c r="B503" s="6">
        <v>0.0</v>
      </c>
      <c r="C503" s="7"/>
      <c r="D503" s="7"/>
      <c r="E503" s="7"/>
      <c r="F503" s="7"/>
      <c r="G503" s="7"/>
    </row>
    <row r="504">
      <c r="A504" s="6" t="s">
        <v>300</v>
      </c>
      <c r="B504" s="6">
        <v>50.0</v>
      </c>
      <c r="C504" s="7"/>
      <c r="D504" s="7"/>
      <c r="E504" s="7"/>
      <c r="F504" s="7"/>
      <c r="G504" s="7"/>
    </row>
    <row r="505">
      <c r="A505" s="6" t="s">
        <v>301</v>
      </c>
      <c r="B505" s="6">
        <v>0.0</v>
      </c>
      <c r="C505" s="7"/>
      <c r="D505" s="7"/>
      <c r="E505" s="7"/>
      <c r="F505" s="7"/>
      <c r="G505" s="7"/>
    </row>
    <row r="506">
      <c r="A506" s="6" t="s">
        <v>302</v>
      </c>
      <c r="B506" s="6">
        <v>0.0</v>
      </c>
      <c r="C506" s="7"/>
      <c r="D506" s="7"/>
      <c r="E506" s="7"/>
      <c r="F506" s="7"/>
      <c r="G506" s="7"/>
    </row>
    <row r="507">
      <c r="A507" s="6" t="s">
        <v>303</v>
      </c>
      <c r="B507" s="6">
        <v>96.0</v>
      </c>
      <c r="C507" s="7"/>
      <c r="D507" s="7"/>
      <c r="E507" s="7"/>
      <c r="F507" s="7"/>
      <c r="G507" s="7"/>
    </row>
    <row r="508">
      <c r="A508" s="6" t="s">
        <v>304</v>
      </c>
      <c r="B508" s="6">
        <v>57.0</v>
      </c>
      <c r="C508" s="7"/>
      <c r="D508" s="7"/>
      <c r="E508" s="7"/>
      <c r="F508" s="7"/>
      <c r="G508" s="7"/>
    </row>
    <row r="509">
      <c r="A509" s="6" t="s">
        <v>305</v>
      </c>
      <c r="B509" s="6">
        <v>0.0</v>
      </c>
      <c r="C509" s="7"/>
      <c r="D509" s="7"/>
      <c r="E509" s="7"/>
      <c r="F509" s="7"/>
      <c r="G509" s="7"/>
    </row>
    <row r="510">
      <c r="A510" s="6" t="s">
        <v>306</v>
      </c>
      <c r="B510" s="6">
        <v>34.0</v>
      </c>
      <c r="C510" s="7"/>
      <c r="D510" s="7"/>
      <c r="E510" s="7"/>
      <c r="F510" s="7"/>
      <c r="G510" s="7"/>
    </row>
    <row r="511">
      <c r="A511" s="6" t="s">
        <v>307</v>
      </c>
      <c r="B511" s="6">
        <v>68.0</v>
      </c>
      <c r="C511" s="7"/>
      <c r="D511" s="7"/>
      <c r="E511" s="7"/>
      <c r="F511" s="7"/>
      <c r="G511" s="7"/>
    </row>
    <row r="512">
      <c r="A512" s="6" t="s">
        <v>308</v>
      </c>
      <c r="B512" s="6">
        <v>78.0</v>
      </c>
      <c r="C512" s="7"/>
      <c r="D512" s="7"/>
      <c r="E512" s="7"/>
      <c r="F512" s="7"/>
      <c r="G512" s="7"/>
    </row>
    <row r="513">
      <c r="A513" s="6" t="s">
        <v>309</v>
      </c>
      <c r="B513" s="7"/>
      <c r="C513" s="7"/>
      <c r="D513" s="7"/>
      <c r="E513" s="7"/>
      <c r="F513" s="7"/>
      <c r="G513" s="7"/>
    </row>
    <row r="514">
      <c r="A514" s="6" t="s">
        <v>310</v>
      </c>
      <c r="B514" s="6">
        <v>12.0</v>
      </c>
      <c r="C514" s="7"/>
      <c r="D514" s="7"/>
      <c r="E514" s="7"/>
      <c r="F514" s="7"/>
      <c r="G514" s="7"/>
    </row>
    <row r="515">
      <c r="A515" s="6" t="s">
        <v>311</v>
      </c>
      <c r="B515" s="7"/>
      <c r="C515" s="7"/>
      <c r="D515" s="7"/>
      <c r="E515" s="7"/>
      <c r="F515" s="7"/>
      <c r="G515" s="7"/>
    </row>
    <row r="516">
      <c r="A516" s="6" t="s">
        <v>312</v>
      </c>
      <c r="B516" s="6">
        <v>0.0</v>
      </c>
      <c r="C516" s="7"/>
      <c r="D516" s="7"/>
      <c r="E516" s="7"/>
      <c r="F516" s="7"/>
      <c r="G516" s="7"/>
    </row>
    <row r="517">
      <c r="A517" s="6" t="s">
        <v>313</v>
      </c>
      <c r="B517" s="6">
        <v>82.0</v>
      </c>
      <c r="C517" s="7"/>
      <c r="D517" s="7"/>
      <c r="E517" s="7"/>
      <c r="F517" s="7"/>
      <c r="G517" s="7"/>
    </row>
    <row r="518">
      <c r="A518" s="6" t="s">
        <v>314</v>
      </c>
      <c r="B518" s="6">
        <v>0.0</v>
      </c>
      <c r="C518" s="7"/>
      <c r="D518" s="7"/>
      <c r="E518" s="7"/>
      <c r="F518" s="7"/>
      <c r="G518" s="7"/>
    </row>
    <row r="519">
      <c r="A519" s="6" t="s">
        <v>315</v>
      </c>
      <c r="B519" s="6">
        <v>0.0</v>
      </c>
      <c r="C519" s="7"/>
      <c r="D519" s="7"/>
      <c r="E519" s="7"/>
      <c r="F519" s="7"/>
      <c r="G519" s="7"/>
    </row>
    <row r="520">
      <c r="A520" s="6" t="s">
        <v>316</v>
      </c>
      <c r="B520" s="6">
        <v>0.0</v>
      </c>
      <c r="C520" s="7"/>
      <c r="D520" s="7"/>
      <c r="E520" s="7"/>
      <c r="F520" s="7"/>
      <c r="G520" s="7"/>
    </row>
    <row r="521">
      <c r="A521" s="6" t="s">
        <v>317</v>
      </c>
      <c r="B521" s="6">
        <v>0.0</v>
      </c>
      <c r="C521" s="7"/>
      <c r="D521" s="7"/>
      <c r="E521" s="7"/>
      <c r="F521" s="7"/>
      <c r="G521" s="7"/>
    </row>
    <row r="522">
      <c r="A522" s="6" t="s">
        <v>318</v>
      </c>
      <c r="B522" s="6">
        <v>8.0</v>
      </c>
      <c r="C522" s="7"/>
      <c r="D522" s="7"/>
      <c r="E522" s="7"/>
      <c r="F522" s="7"/>
      <c r="G522" s="7"/>
    </row>
    <row r="523">
      <c r="A523" s="6" t="s">
        <v>319</v>
      </c>
      <c r="B523" s="6">
        <v>0.0</v>
      </c>
      <c r="C523" s="7"/>
      <c r="D523" s="7"/>
      <c r="E523" s="7"/>
      <c r="F523" s="7"/>
      <c r="G523" s="7"/>
    </row>
    <row r="524">
      <c r="A524" s="6" t="s">
        <v>320</v>
      </c>
      <c r="B524" s="6">
        <v>0.0</v>
      </c>
      <c r="C524" s="7"/>
      <c r="D524" s="7"/>
      <c r="E524" s="7"/>
      <c r="F524" s="7"/>
      <c r="G524" s="7"/>
    </row>
    <row r="525">
      <c r="A525" s="6" t="s">
        <v>321</v>
      </c>
      <c r="B525" s="6">
        <v>0.0</v>
      </c>
      <c r="C525" s="7"/>
      <c r="D525" s="7"/>
      <c r="E525" s="7"/>
      <c r="F525" s="7"/>
      <c r="G525" s="7"/>
    </row>
    <row r="526">
      <c r="A526" s="6" t="s">
        <v>322</v>
      </c>
      <c r="B526" s="6">
        <v>14.0</v>
      </c>
      <c r="C526" s="7"/>
      <c r="D526" s="7"/>
      <c r="E526" s="7"/>
      <c r="F526" s="7"/>
      <c r="G526" s="7"/>
    </row>
    <row r="527">
      <c r="A527" s="6" t="s">
        <v>323</v>
      </c>
      <c r="B527" s="6">
        <v>0.0</v>
      </c>
      <c r="C527" s="7"/>
      <c r="D527" s="7"/>
      <c r="E527" s="7"/>
      <c r="F527" s="7"/>
      <c r="G527" s="7"/>
    </row>
    <row r="528">
      <c r="A528" s="6" t="s">
        <v>324</v>
      </c>
      <c r="B528" s="6">
        <v>86.0</v>
      </c>
      <c r="C528" s="7"/>
      <c r="D528" s="7"/>
      <c r="E528" s="7"/>
      <c r="F528" s="7"/>
      <c r="G528" s="7"/>
    </row>
    <row r="529">
      <c r="A529" s="6" t="s">
        <v>325</v>
      </c>
      <c r="B529" s="6">
        <v>66.0</v>
      </c>
      <c r="C529" s="7"/>
      <c r="D529" s="7"/>
      <c r="E529" s="7"/>
      <c r="F529" s="7"/>
      <c r="G529" s="7"/>
    </row>
    <row r="530">
      <c r="A530" s="6" t="s">
        <v>326</v>
      </c>
      <c r="B530" s="6">
        <v>0.0</v>
      </c>
      <c r="C530" s="7"/>
      <c r="D530" s="7"/>
      <c r="E530" s="7"/>
      <c r="F530" s="7"/>
      <c r="G530" s="7"/>
    </row>
    <row r="531">
      <c r="A531" s="6" t="s">
        <v>327</v>
      </c>
      <c r="B531" s="6">
        <v>94.0</v>
      </c>
      <c r="C531" s="7"/>
      <c r="D531" s="7"/>
      <c r="E531" s="7"/>
      <c r="F531" s="7"/>
      <c r="G531" s="7"/>
    </row>
    <row r="532">
      <c r="A532" s="6" t="s">
        <v>328</v>
      </c>
      <c r="B532" s="6">
        <v>36.0</v>
      </c>
      <c r="C532" s="7"/>
      <c r="D532" s="7"/>
      <c r="E532" s="7"/>
      <c r="F532" s="7"/>
      <c r="G532" s="7"/>
    </row>
    <row r="533">
      <c r="A533" s="6" t="s">
        <v>329</v>
      </c>
      <c r="B533" s="6">
        <v>0.0</v>
      </c>
      <c r="C533" s="7"/>
      <c r="D533" s="7"/>
      <c r="E533" s="7"/>
      <c r="F533" s="7"/>
      <c r="G533" s="7"/>
    </row>
    <row r="534">
      <c r="A534" s="6" t="s">
        <v>330</v>
      </c>
      <c r="B534" s="6">
        <v>0.0</v>
      </c>
      <c r="C534" s="7"/>
      <c r="D534" s="7"/>
      <c r="E534" s="7"/>
      <c r="F534" s="7"/>
      <c r="G534" s="7"/>
    </row>
    <row r="535">
      <c r="A535" s="6" t="s">
        <v>331</v>
      </c>
      <c r="B535" s="6">
        <v>0.0</v>
      </c>
      <c r="C535" s="7"/>
      <c r="D535" s="7"/>
      <c r="E535" s="7"/>
      <c r="F535" s="7"/>
      <c r="G535" s="7"/>
    </row>
    <row r="536">
      <c r="A536" s="6" t="s">
        <v>332</v>
      </c>
      <c r="B536" s="6">
        <v>0.0</v>
      </c>
      <c r="C536" s="7"/>
      <c r="D536" s="7"/>
      <c r="E536" s="7"/>
      <c r="F536" s="7"/>
      <c r="G536" s="7"/>
    </row>
    <row r="537">
      <c r="A537" s="6" t="s">
        <v>333</v>
      </c>
      <c r="B537" s="6">
        <v>0.0</v>
      </c>
      <c r="C537" s="7"/>
      <c r="D537" s="7"/>
      <c r="E537" s="7"/>
      <c r="F537" s="7"/>
      <c r="G537" s="7"/>
    </row>
    <row r="538">
      <c r="A538" s="6" t="s">
        <v>334</v>
      </c>
      <c r="B538" s="6">
        <v>0.0</v>
      </c>
      <c r="C538" s="7"/>
      <c r="D538" s="7"/>
      <c r="E538" s="7"/>
      <c r="F538" s="7"/>
      <c r="G538" s="7"/>
    </row>
    <row r="539">
      <c r="A539" s="6" t="s">
        <v>335</v>
      </c>
      <c r="B539" s="6">
        <v>14.0</v>
      </c>
      <c r="C539" s="7"/>
      <c r="D539" s="7"/>
      <c r="E539" s="7"/>
      <c r="F539" s="7"/>
      <c r="G539" s="7"/>
    </row>
    <row r="540">
      <c r="A540" s="6" t="s">
        <v>336</v>
      </c>
      <c r="B540" s="6">
        <v>14.0</v>
      </c>
      <c r="C540" s="7"/>
      <c r="D540" s="7"/>
      <c r="E540" s="7"/>
      <c r="F540" s="7"/>
      <c r="G540" s="7"/>
    </row>
    <row r="541">
      <c r="A541" s="6" t="s">
        <v>337</v>
      </c>
      <c r="B541" s="6">
        <v>0.0</v>
      </c>
      <c r="C541" s="7"/>
      <c r="D541" s="7"/>
      <c r="E541" s="7"/>
      <c r="F541" s="7"/>
      <c r="G541" s="7"/>
    </row>
    <row r="542">
      <c r="A542" s="6" t="s">
        <v>338</v>
      </c>
      <c r="B542" s="6">
        <v>55.0</v>
      </c>
      <c r="C542" s="7"/>
      <c r="D542" s="7"/>
      <c r="E542" s="7"/>
      <c r="F542" s="7"/>
      <c r="G542" s="7"/>
    </row>
    <row r="543">
      <c r="A543" s="6" t="s">
        <v>339</v>
      </c>
      <c r="B543" s="6">
        <v>0.0</v>
      </c>
      <c r="C543" s="7"/>
      <c r="D543" s="7"/>
      <c r="E543" s="7"/>
      <c r="F543" s="7"/>
      <c r="G543" s="7"/>
    </row>
    <row r="544">
      <c r="A544" s="6" t="s">
        <v>340</v>
      </c>
      <c r="B544" s="6">
        <v>14.0</v>
      </c>
      <c r="C544" s="7"/>
      <c r="D544" s="7"/>
      <c r="E544" s="7"/>
      <c r="F544" s="7"/>
      <c r="G544" s="7"/>
    </row>
    <row r="545">
      <c r="A545" s="6" t="s">
        <v>341</v>
      </c>
      <c r="B545" s="6">
        <v>0.0</v>
      </c>
      <c r="C545" s="7"/>
      <c r="D545" s="7"/>
      <c r="E545" s="7"/>
      <c r="F545" s="7"/>
      <c r="G545" s="7"/>
    </row>
    <row r="546">
      <c r="A546" s="6" t="s">
        <v>342</v>
      </c>
      <c r="B546" s="6">
        <v>0.0</v>
      </c>
      <c r="C546" s="7"/>
      <c r="D546" s="7"/>
      <c r="E546" s="7"/>
      <c r="F546" s="7"/>
      <c r="G546" s="7"/>
    </row>
    <row r="547">
      <c r="A547" s="6" t="s">
        <v>343</v>
      </c>
      <c r="B547" s="6">
        <v>99.0</v>
      </c>
      <c r="C547" s="7"/>
      <c r="D547" s="7"/>
      <c r="E547" s="7"/>
      <c r="F547" s="7"/>
      <c r="G547" s="7"/>
    </row>
    <row r="548">
      <c r="A548" s="6" t="s">
        <v>344</v>
      </c>
      <c r="B548" s="6">
        <v>74.0</v>
      </c>
      <c r="C548" s="7"/>
      <c r="D548" s="7"/>
      <c r="E548" s="7"/>
      <c r="F548" s="7"/>
      <c r="G548" s="7"/>
    </row>
    <row r="549">
      <c r="A549" s="6" t="s">
        <v>345</v>
      </c>
      <c r="B549" s="6">
        <v>18.0</v>
      </c>
      <c r="C549" s="7"/>
      <c r="D549" s="7"/>
      <c r="E549" s="7"/>
      <c r="F549" s="7"/>
      <c r="G549" s="7"/>
    </row>
    <row r="550">
      <c r="A550" s="6" t="s">
        <v>346</v>
      </c>
      <c r="B550" s="6">
        <v>0.0</v>
      </c>
      <c r="C550" s="7"/>
      <c r="D550" s="7"/>
      <c r="E550" s="7"/>
      <c r="F550" s="7"/>
      <c r="G550" s="7"/>
    </row>
    <row r="551">
      <c r="A551" s="6" t="s">
        <v>347</v>
      </c>
      <c r="B551" s="6">
        <v>0.0</v>
      </c>
      <c r="C551" s="7"/>
      <c r="D551" s="7"/>
      <c r="E551" s="7"/>
      <c r="F551" s="7"/>
      <c r="G551" s="7"/>
    </row>
    <row r="552">
      <c r="A552" s="6" t="s">
        <v>348</v>
      </c>
      <c r="B552" s="6">
        <v>70.0</v>
      </c>
      <c r="C552" s="7"/>
      <c r="D552" s="7"/>
      <c r="E552" s="7"/>
      <c r="F552" s="7"/>
      <c r="G552" s="7"/>
    </row>
    <row r="553">
      <c r="A553" s="6" t="s">
        <v>349</v>
      </c>
      <c r="B553" s="6">
        <v>0.0</v>
      </c>
      <c r="C553" s="7"/>
      <c r="D553" s="7"/>
      <c r="E553" s="7"/>
      <c r="F553" s="7"/>
      <c r="G553" s="7"/>
    </row>
    <row r="554">
      <c r="A554" s="6" t="s">
        <v>350</v>
      </c>
      <c r="B554" s="6">
        <v>0.0</v>
      </c>
      <c r="C554" s="7"/>
      <c r="D554" s="7"/>
      <c r="E554" s="7"/>
      <c r="F554" s="7"/>
      <c r="G554" s="7"/>
    </row>
    <row r="555">
      <c r="A555" s="6" t="s">
        <v>351</v>
      </c>
      <c r="B555" s="6">
        <v>44.0</v>
      </c>
      <c r="C555" s="7"/>
      <c r="D555" s="7"/>
      <c r="E555" s="7"/>
      <c r="F555" s="7"/>
      <c r="G555" s="7"/>
    </row>
    <row r="556">
      <c r="A556" s="6" t="s">
        <v>352</v>
      </c>
      <c r="B556" s="6">
        <v>50.0</v>
      </c>
      <c r="C556" s="7"/>
      <c r="D556" s="7"/>
      <c r="E556" s="7"/>
      <c r="F556" s="7"/>
      <c r="G556" s="7"/>
    </row>
    <row r="557">
      <c r="A557" s="6" t="s">
        <v>353</v>
      </c>
      <c r="B557" s="6">
        <v>0.0</v>
      </c>
      <c r="C557" s="7"/>
      <c r="D557" s="7"/>
      <c r="E557" s="7"/>
      <c r="F557" s="7"/>
      <c r="G557" s="7"/>
    </row>
    <row r="558">
      <c r="A558" s="6" t="s">
        <v>354</v>
      </c>
      <c r="B558" s="6">
        <v>72.0</v>
      </c>
      <c r="C558" s="7"/>
      <c r="D558" s="7"/>
      <c r="E558" s="7"/>
      <c r="F558" s="7"/>
      <c r="G558" s="7"/>
    </row>
    <row r="559">
      <c r="A559" s="6" t="s">
        <v>355</v>
      </c>
      <c r="B559" s="6">
        <v>6.0</v>
      </c>
      <c r="C559" s="7"/>
      <c r="D559" s="7"/>
      <c r="E559" s="7"/>
      <c r="F559" s="7"/>
      <c r="G559" s="7"/>
    </row>
    <row r="560">
      <c r="A560" s="6" t="s">
        <v>356</v>
      </c>
      <c r="B560" s="6">
        <v>0.0</v>
      </c>
      <c r="C560" s="7"/>
      <c r="D560" s="7"/>
      <c r="E560" s="7"/>
      <c r="F560" s="7"/>
      <c r="G560" s="7"/>
    </row>
    <row r="561">
      <c r="A561" s="6" t="s">
        <v>357</v>
      </c>
      <c r="B561" s="6">
        <v>0.0</v>
      </c>
      <c r="C561" s="7"/>
      <c r="D561" s="7"/>
      <c r="E561" s="7"/>
      <c r="F561" s="7"/>
      <c r="G561" s="7"/>
    </row>
    <row r="562">
      <c r="A562" s="6" t="s">
        <v>358</v>
      </c>
      <c r="B562" s="6">
        <v>71.0</v>
      </c>
      <c r="C562" s="7"/>
      <c r="D562" s="7"/>
      <c r="E562" s="7"/>
      <c r="F562" s="7"/>
      <c r="G562" s="7"/>
    </row>
    <row r="563">
      <c r="A563" s="6" t="s">
        <v>359</v>
      </c>
      <c r="B563" s="6">
        <v>25.0</v>
      </c>
      <c r="C563" s="7"/>
      <c r="D563" s="7"/>
      <c r="E563" s="7"/>
      <c r="F563" s="7"/>
      <c r="G563" s="7"/>
    </row>
    <row r="564">
      <c r="A564" s="6" t="s">
        <v>360</v>
      </c>
      <c r="B564" s="6">
        <v>5.0</v>
      </c>
      <c r="C564" s="7"/>
      <c r="D564" s="7"/>
      <c r="E564" s="7"/>
      <c r="F564" s="7"/>
      <c r="G564" s="7"/>
    </row>
    <row r="565">
      <c r="A565" s="6" t="s">
        <v>361</v>
      </c>
      <c r="B565" s="6">
        <v>0.0</v>
      </c>
      <c r="C565" s="7"/>
      <c r="D565" s="7"/>
      <c r="E565" s="7"/>
      <c r="F565" s="7"/>
      <c r="G565" s="7"/>
    </row>
    <row r="566">
      <c r="A566" s="6" t="s">
        <v>362</v>
      </c>
      <c r="B566" s="6">
        <v>0.0</v>
      </c>
      <c r="C566" s="7"/>
      <c r="D566" s="7"/>
      <c r="E566" s="7"/>
      <c r="F566" s="7"/>
      <c r="G566" s="7"/>
    </row>
    <row r="567">
      <c r="A567" s="6" t="s">
        <v>363</v>
      </c>
      <c r="B567" s="6">
        <v>0.0</v>
      </c>
      <c r="C567" s="7"/>
      <c r="D567" s="7"/>
      <c r="E567" s="7"/>
      <c r="F567" s="7"/>
      <c r="G567" s="7"/>
    </row>
    <row r="568">
      <c r="A568" s="6" t="s">
        <v>364</v>
      </c>
      <c r="B568" s="6">
        <v>92.0</v>
      </c>
      <c r="C568" s="7"/>
      <c r="D568" s="7"/>
      <c r="E568" s="7"/>
      <c r="F568" s="7"/>
      <c r="G568" s="7"/>
    </row>
    <row r="569">
      <c r="A569" s="6" t="s">
        <v>365</v>
      </c>
      <c r="B569" s="6">
        <v>0.0</v>
      </c>
      <c r="C569" s="7"/>
      <c r="D569" s="7"/>
      <c r="E569" s="7"/>
      <c r="F569" s="7"/>
      <c r="G569" s="7"/>
    </row>
    <row r="570">
      <c r="A570" s="6" t="s">
        <v>366</v>
      </c>
      <c r="B570" s="6">
        <v>0.0</v>
      </c>
      <c r="C570" s="7"/>
      <c r="D570" s="7"/>
      <c r="E570" s="7"/>
      <c r="F570" s="7"/>
      <c r="G570" s="7"/>
    </row>
    <row r="571">
      <c r="A571" s="6" t="s">
        <v>367</v>
      </c>
      <c r="B571" s="6">
        <v>0.0</v>
      </c>
      <c r="C571" s="7"/>
      <c r="D571" s="7"/>
      <c r="E571" s="7"/>
      <c r="F571" s="7"/>
      <c r="G571" s="7"/>
    </row>
    <row r="572">
      <c r="A572" s="6" t="s">
        <v>368</v>
      </c>
      <c r="B572" s="6">
        <v>80.0</v>
      </c>
      <c r="C572" s="7"/>
      <c r="D572" s="7"/>
      <c r="E572" s="7"/>
      <c r="F572" s="7"/>
      <c r="G572" s="7"/>
    </row>
    <row r="573">
      <c r="A573" s="6" t="s">
        <v>369</v>
      </c>
      <c r="B573" s="6">
        <v>0.0</v>
      </c>
      <c r="C573" s="7"/>
      <c r="D573" s="7"/>
      <c r="E573" s="7"/>
      <c r="F573" s="7"/>
      <c r="G573" s="7"/>
    </row>
    <row r="574">
      <c r="A574" s="6" t="s">
        <v>370</v>
      </c>
      <c r="B574" s="6">
        <v>0.0</v>
      </c>
      <c r="C574" s="7"/>
      <c r="D574" s="7"/>
      <c r="E574" s="7"/>
      <c r="F574" s="7"/>
      <c r="G574" s="7"/>
    </row>
    <row r="575">
      <c r="A575" s="6" t="s">
        <v>371</v>
      </c>
      <c r="B575" s="6">
        <v>52.0</v>
      </c>
      <c r="C575" s="7"/>
      <c r="D575" s="7"/>
      <c r="E575" s="7"/>
      <c r="F575" s="7"/>
      <c r="G575" s="7"/>
    </row>
    <row r="576">
      <c r="A576" s="6" t="s">
        <v>372</v>
      </c>
      <c r="B576" s="6">
        <v>0.0</v>
      </c>
      <c r="C576" s="7"/>
      <c r="D576" s="7"/>
      <c r="E576" s="7"/>
      <c r="F576" s="7"/>
      <c r="G576" s="7"/>
    </row>
    <row r="577">
      <c r="A577" s="6" t="s">
        <v>373</v>
      </c>
      <c r="B577" s="6">
        <v>0.0</v>
      </c>
      <c r="C577" s="7"/>
      <c r="D577" s="7"/>
      <c r="E577" s="7"/>
      <c r="F577" s="7"/>
      <c r="G577" s="7"/>
    </row>
    <row r="578">
      <c r="A578" s="6" t="s">
        <v>374</v>
      </c>
      <c r="B578" s="6">
        <v>6.0</v>
      </c>
      <c r="C578" s="7"/>
      <c r="D578" s="7"/>
      <c r="E578" s="7"/>
      <c r="F578" s="7"/>
      <c r="G578" s="7"/>
    </row>
    <row r="579">
      <c r="A579" s="6" t="s">
        <v>375</v>
      </c>
      <c r="B579" s="6">
        <v>35.0</v>
      </c>
      <c r="C579" s="7"/>
      <c r="D579" s="7"/>
      <c r="E579" s="7"/>
      <c r="F579" s="7"/>
      <c r="G579" s="7"/>
    </row>
    <row r="580">
      <c r="A580" s="6" t="s">
        <v>376</v>
      </c>
      <c r="B580" s="6">
        <v>40.0</v>
      </c>
      <c r="C580" s="7"/>
      <c r="D580" s="7"/>
      <c r="E580" s="7"/>
      <c r="F580" s="7"/>
      <c r="G580" s="7"/>
    </row>
    <row r="581">
      <c r="A581" s="6" t="s">
        <v>377</v>
      </c>
      <c r="B581" s="6">
        <v>75.0</v>
      </c>
      <c r="C581" s="7"/>
      <c r="D581" s="7"/>
      <c r="E581" s="7"/>
      <c r="F581" s="7"/>
      <c r="G581" s="7"/>
    </row>
    <row r="582">
      <c r="A582" s="6" t="s">
        <v>378</v>
      </c>
      <c r="B582" s="6">
        <v>62.0</v>
      </c>
      <c r="C582" s="7"/>
      <c r="D582" s="7"/>
      <c r="E582" s="7"/>
      <c r="F582" s="7"/>
      <c r="G582" s="7"/>
    </row>
    <row r="583">
      <c r="A583" s="6" t="s">
        <v>379</v>
      </c>
      <c r="B583" s="6">
        <v>0.0</v>
      </c>
      <c r="C583" s="7"/>
      <c r="D583" s="7"/>
      <c r="E583" s="7"/>
      <c r="F583" s="7"/>
      <c r="G583" s="7"/>
    </row>
    <row r="584">
      <c r="A584" s="6" t="s">
        <v>380</v>
      </c>
      <c r="B584" s="6">
        <v>0.0</v>
      </c>
      <c r="C584" s="7"/>
      <c r="D584" s="7"/>
      <c r="E584" s="7"/>
      <c r="F584" s="7"/>
      <c r="G584" s="7"/>
    </row>
    <row r="585">
      <c r="A585" s="6" t="s">
        <v>381</v>
      </c>
      <c r="B585" s="6">
        <v>14.0</v>
      </c>
      <c r="C585" s="7"/>
      <c r="D585" s="7"/>
      <c r="E585" s="7"/>
      <c r="F585" s="7"/>
      <c r="G585" s="7"/>
    </row>
    <row r="586">
      <c r="A586" s="6" t="s">
        <v>382</v>
      </c>
      <c r="B586" s="6">
        <v>0.0</v>
      </c>
      <c r="C586" s="7"/>
      <c r="D586" s="7"/>
      <c r="E586" s="7"/>
      <c r="F586" s="7"/>
      <c r="G586" s="7"/>
    </row>
    <row r="587">
      <c r="A587" s="6" t="s">
        <v>383</v>
      </c>
      <c r="B587" s="6">
        <v>0.0</v>
      </c>
      <c r="C587" s="7"/>
      <c r="D587" s="7"/>
      <c r="E587" s="7"/>
      <c r="F587" s="7"/>
      <c r="G587" s="7"/>
    </row>
    <row r="588">
      <c r="A588" s="6" t="s">
        <v>384</v>
      </c>
      <c r="B588" s="6">
        <v>0.0</v>
      </c>
      <c r="C588" s="7"/>
      <c r="D588" s="7"/>
      <c r="E588" s="7"/>
      <c r="F588" s="7"/>
      <c r="G588" s="7"/>
    </row>
    <row r="589">
      <c r="A589" s="6" t="s">
        <v>385</v>
      </c>
      <c r="B589" s="6">
        <v>20.0</v>
      </c>
      <c r="C589" s="7"/>
      <c r="D589" s="7"/>
      <c r="E589" s="7"/>
      <c r="F589" s="7"/>
      <c r="G589" s="7"/>
    </row>
    <row r="590">
      <c r="A590" s="6" t="s">
        <v>386</v>
      </c>
      <c r="B590" s="6">
        <v>0.0</v>
      </c>
      <c r="C590" s="7"/>
      <c r="D590" s="7"/>
      <c r="E590" s="7"/>
      <c r="F590" s="7"/>
      <c r="G590" s="7"/>
    </row>
    <row r="591">
      <c r="A591" s="6" t="s">
        <v>387</v>
      </c>
      <c r="B591" s="6">
        <v>0.0</v>
      </c>
      <c r="C591" s="7"/>
      <c r="D591" s="7"/>
      <c r="E591" s="7"/>
      <c r="F591" s="7"/>
      <c r="G591" s="7"/>
    </row>
    <row r="592">
      <c r="A592" s="6" t="s">
        <v>388</v>
      </c>
      <c r="B592" s="6" t="s">
        <v>389</v>
      </c>
      <c r="C592" s="6">
        <v>37.0</v>
      </c>
      <c r="D592" s="7"/>
      <c r="E592" s="7"/>
      <c r="F592" s="7"/>
      <c r="G592" s="7"/>
    </row>
    <row r="593">
      <c r="A593" s="6" t="s">
        <v>390</v>
      </c>
      <c r="B593" s="6">
        <v>0.0</v>
      </c>
      <c r="C593" s="7"/>
      <c r="D593" s="7"/>
      <c r="E593" s="7"/>
      <c r="F593" s="7"/>
      <c r="G593" s="7"/>
    </row>
    <row r="594">
      <c r="A594" s="6" t="s">
        <v>391</v>
      </c>
      <c r="B594" s="6">
        <v>40.0</v>
      </c>
      <c r="C594" s="7"/>
      <c r="D594" s="7"/>
      <c r="E594" s="7"/>
      <c r="F594" s="7"/>
      <c r="G594" s="7"/>
    </row>
    <row r="595">
      <c r="A595" s="6" t="s">
        <v>392</v>
      </c>
      <c r="B595" s="6">
        <v>45.0</v>
      </c>
      <c r="C595" s="7"/>
      <c r="D595" s="7"/>
      <c r="E595" s="7"/>
      <c r="F595" s="7"/>
      <c r="G595" s="7"/>
    </row>
    <row r="596">
      <c r="A596" s="6" t="s">
        <v>393</v>
      </c>
      <c r="B596" s="6">
        <v>0.0</v>
      </c>
      <c r="C596" s="7"/>
      <c r="D596" s="7"/>
      <c r="E596" s="7"/>
      <c r="F596" s="7"/>
      <c r="G596" s="7"/>
    </row>
    <row r="597">
      <c r="A597" s="6" t="s">
        <v>394</v>
      </c>
      <c r="B597" s="6">
        <v>0.0</v>
      </c>
      <c r="C597" s="7"/>
      <c r="D597" s="7"/>
      <c r="E597" s="7"/>
      <c r="F597" s="7"/>
      <c r="G597" s="7"/>
    </row>
    <row r="598">
      <c r="A598" s="6" t="s">
        <v>395</v>
      </c>
      <c r="B598" s="6">
        <v>0.0</v>
      </c>
      <c r="C598" s="7"/>
      <c r="D598" s="7"/>
      <c r="E598" s="7"/>
      <c r="F598" s="7"/>
      <c r="G598" s="7"/>
    </row>
    <row r="599">
      <c r="A599" s="6" t="s">
        <v>396</v>
      </c>
      <c r="B599" s="6">
        <v>0.0</v>
      </c>
      <c r="C599" s="7"/>
      <c r="D599" s="7"/>
      <c r="E599" s="7"/>
      <c r="F599" s="7"/>
      <c r="G599" s="7"/>
    </row>
    <row r="600">
      <c r="A600" s="6" t="s">
        <v>397</v>
      </c>
      <c r="B600" s="6">
        <v>40.0</v>
      </c>
      <c r="C600" s="7"/>
      <c r="D600" s="7"/>
      <c r="E600" s="7"/>
      <c r="F600" s="7"/>
      <c r="G600" s="7"/>
    </row>
    <row r="601">
      <c r="A601" s="6" t="s">
        <v>398</v>
      </c>
      <c r="B601" s="6">
        <v>0.0</v>
      </c>
      <c r="C601" s="7"/>
      <c r="D601" s="7"/>
      <c r="E601" s="7"/>
      <c r="F601" s="7"/>
      <c r="G601" s="7"/>
    </row>
    <row r="602">
      <c r="A602" s="6" t="s">
        <v>399</v>
      </c>
      <c r="B602" s="6" t="s">
        <v>400</v>
      </c>
      <c r="C602" s="6">
        <v>0.0</v>
      </c>
      <c r="D602" s="7"/>
      <c r="E602" s="7"/>
      <c r="F602" s="7"/>
      <c r="G602" s="7"/>
    </row>
    <row r="603">
      <c r="A603" s="6" t="s">
        <v>401</v>
      </c>
      <c r="B603" s="6">
        <v>0.0</v>
      </c>
      <c r="C603" s="7"/>
      <c r="D603" s="7"/>
      <c r="E603" s="7"/>
      <c r="F603" s="7"/>
      <c r="G603" s="7"/>
    </row>
    <row r="604">
      <c r="A604" s="6" t="s">
        <v>402</v>
      </c>
      <c r="B604" s="6">
        <v>50.0</v>
      </c>
      <c r="C604" s="7"/>
      <c r="D604" s="7"/>
      <c r="E604" s="7"/>
      <c r="F604" s="7"/>
      <c r="G604" s="7"/>
    </row>
    <row r="605">
      <c r="A605" s="6" t="s">
        <v>403</v>
      </c>
      <c r="B605" s="6">
        <v>0.0</v>
      </c>
      <c r="C605" s="7"/>
      <c r="D605" s="7"/>
      <c r="E605" s="7"/>
      <c r="F605" s="7"/>
      <c r="G605" s="7"/>
    </row>
    <row r="606">
      <c r="A606" s="6" t="s">
        <v>404</v>
      </c>
      <c r="B606" s="6">
        <v>0.0</v>
      </c>
      <c r="C606" s="7"/>
      <c r="D606" s="7"/>
      <c r="E606" s="7"/>
      <c r="F606" s="7"/>
      <c r="G606" s="7"/>
    </row>
    <row r="607">
      <c r="A607" s="6" t="s">
        <v>405</v>
      </c>
      <c r="B607" s="6">
        <v>0.0</v>
      </c>
      <c r="C607" s="7"/>
      <c r="D607" s="7"/>
      <c r="E607" s="7"/>
      <c r="F607" s="7"/>
      <c r="G607" s="7"/>
    </row>
    <row r="608">
      <c r="A608" s="6" t="s">
        <v>406</v>
      </c>
      <c r="B608" s="6">
        <v>0.0</v>
      </c>
      <c r="C608" s="7"/>
      <c r="D608" s="7"/>
      <c r="E608" s="7"/>
      <c r="F608" s="7"/>
      <c r="G608" s="7"/>
    </row>
    <row r="609">
      <c r="A609" s="6" t="s">
        <v>407</v>
      </c>
      <c r="B609" s="6">
        <v>0.0</v>
      </c>
      <c r="C609" s="7"/>
      <c r="D609" s="7"/>
      <c r="E609" s="7"/>
      <c r="F609" s="7"/>
      <c r="G609" s="7"/>
    </row>
    <row r="610">
      <c r="A610" s="6" t="s">
        <v>408</v>
      </c>
      <c r="B610" s="6">
        <v>0.0</v>
      </c>
      <c r="C610" s="7"/>
      <c r="D610" s="7"/>
      <c r="E610" s="7"/>
      <c r="F610" s="7"/>
      <c r="G610" s="7"/>
    </row>
    <row r="611">
      <c r="A611" s="6" t="s">
        <v>409</v>
      </c>
      <c r="B611" s="6">
        <v>0.0</v>
      </c>
      <c r="C611" s="7"/>
      <c r="D611" s="7"/>
      <c r="E611" s="7"/>
      <c r="F611" s="7"/>
      <c r="G611" s="7"/>
    </row>
    <row r="612">
      <c r="A612" s="6" t="s">
        <v>410</v>
      </c>
      <c r="B612" s="6">
        <v>70.0</v>
      </c>
      <c r="C612" s="7"/>
      <c r="D612" s="7"/>
      <c r="E612" s="7"/>
      <c r="F612" s="7"/>
      <c r="G612" s="7"/>
    </row>
    <row r="613">
      <c r="A613" s="6" t="s">
        <v>411</v>
      </c>
      <c r="B613" s="6">
        <v>0.0</v>
      </c>
      <c r="C613" s="7"/>
      <c r="D613" s="7"/>
      <c r="E613" s="7"/>
      <c r="F613" s="7"/>
      <c r="G613" s="7"/>
    </row>
    <row r="614">
      <c r="A614" s="6" t="s">
        <v>412</v>
      </c>
      <c r="B614" s="6">
        <v>58.0</v>
      </c>
      <c r="C614" s="7"/>
      <c r="D614" s="7"/>
      <c r="E614" s="7"/>
      <c r="F614" s="7"/>
      <c r="G614" s="7"/>
    </row>
    <row r="615">
      <c r="A615" s="6" t="s">
        <v>413</v>
      </c>
      <c r="B615" s="6">
        <v>70.0</v>
      </c>
      <c r="C615" s="7"/>
      <c r="D615" s="7"/>
      <c r="E615" s="7"/>
      <c r="F615" s="7"/>
      <c r="G615" s="7"/>
    </row>
    <row r="616">
      <c r="A616" s="6" t="s">
        <v>414</v>
      </c>
      <c r="B616" s="6">
        <v>0.0</v>
      </c>
      <c r="C616" s="7"/>
      <c r="D616" s="7"/>
      <c r="E616" s="7"/>
      <c r="F616" s="7"/>
      <c r="G616" s="7"/>
    </row>
    <row r="617">
      <c r="A617" s="6" t="s">
        <v>415</v>
      </c>
      <c r="B617" s="6">
        <v>0.0</v>
      </c>
      <c r="C617" s="7"/>
      <c r="D617" s="7"/>
      <c r="E617" s="7"/>
      <c r="F617" s="7"/>
      <c r="G617" s="7"/>
    </row>
    <row r="618">
      <c r="A618" s="6" t="s">
        <v>416</v>
      </c>
      <c r="B618" s="6">
        <v>21.0</v>
      </c>
      <c r="C618" s="7"/>
      <c r="D618" s="7"/>
      <c r="E618" s="7"/>
      <c r="F618" s="7"/>
      <c r="G618" s="7"/>
    </row>
    <row r="619">
      <c r="A619" s="6" t="s">
        <v>417</v>
      </c>
      <c r="B619" s="6">
        <v>0.0</v>
      </c>
      <c r="C619" s="7"/>
      <c r="D619" s="7"/>
      <c r="E619" s="7"/>
      <c r="F619" s="7"/>
      <c r="G619" s="7"/>
    </row>
    <row r="620">
      <c r="A620" s="6" t="s">
        <v>418</v>
      </c>
      <c r="B620" s="6">
        <v>0.0</v>
      </c>
      <c r="C620" s="7"/>
      <c r="D620" s="7"/>
      <c r="E620" s="7"/>
      <c r="F620" s="7"/>
      <c r="G620" s="7"/>
    </row>
    <row r="621">
      <c r="A621" s="6" t="s">
        <v>419</v>
      </c>
      <c r="B621" s="6">
        <v>0.0</v>
      </c>
      <c r="C621" s="7"/>
      <c r="D621" s="7"/>
      <c r="E621" s="7"/>
      <c r="F621" s="7"/>
      <c r="G621" s="7"/>
    </row>
    <row r="622">
      <c r="A622" s="6" t="s">
        <v>420</v>
      </c>
      <c r="B622" s="6">
        <v>0.0</v>
      </c>
      <c r="C622" s="7"/>
      <c r="D622" s="7"/>
      <c r="E622" s="7"/>
      <c r="F622" s="7"/>
      <c r="G622" s="7"/>
    </row>
    <row r="623">
      <c r="A623" s="6" t="s">
        <v>421</v>
      </c>
      <c r="B623" s="6">
        <v>0.0</v>
      </c>
      <c r="C623" s="7"/>
      <c r="D623" s="7"/>
      <c r="E623" s="7"/>
      <c r="F623" s="7"/>
      <c r="G623" s="7"/>
    </row>
    <row r="624">
      <c r="A624" s="6" t="s">
        <v>422</v>
      </c>
      <c r="B624" s="6">
        <v>0.0</v>
      </c>
      <c r="C624" s="7"/>
      <c r="D624" s="7"/>
      <c r="E624" s="7"/>
      <c r="F624" s="7"/>
      <c r="G624" s="7"/>
    </row>
    <row r="625">
      <c r="A625" s="6" t="s">
        <v>423</v>
      </c>
      <c r="B625" s="6">
        <v>0.0</v>
      </c>
      <c r="C625" s="7"/>
      <c r="D625" s="7"/>
      <c r="E625" s="7"/>
      <c r="F625" s="7"/>
      <c r="G625" s="7"/>
    </row>
    <row r="626">
      <c r="A626" s="6" t="s">
        <v>424</v>
      </c>
      <c r="B626" s="6">
        <v>0.0</v>
      </c>
      <c r="C626" s="7"/>
      <c r="D626" s="7"/>
      <c r="E626" s="7"/>
      <c r="F626" s="7"/>
      <c r="G626" s="7"/>
    </row>
    <row r="627">
      <c r="A627" s="6" t="s">
        <v>425</v>
      </c>
      <c r="B627" s="6">
        <v>0.0</v>
      </c>
      <c r="C627" s="7"/>
      <c r="D627" s="7"/>
      <c r="E627" s="7"/>
      <c r="F627" s="7"/>
      <c r="G627" s="7"/>
    </row>
    <row r="628">
      <c r="A628" s="6" t="s">
        <v>426</v>
      </c>
      <c r="B628" s="6">
        <v>0.0</v>
      </c>
      <c r="C628" s="7"/>
      <c r="D628" s="7"/>
      <c r="E628" s="7"/>
      <c r="F628" s="7"/>
      <c r="G628" s="7"/>
    </row>
    <row r="629">
      <c r="A629" s="6" t="s">
        <v>427</v>
      </c>
      <c r="B629" s="6">
        <v>0.0</v>
      </c>
      <c r="C629" s="7"/>
      <c r="D629" s="7"/>
      <c r="E629" s="7"/>
      <c r="F629" s="7"/>
      <c r="G629" s="7"/>
    </row>
    <row r="630">
      <c r="A630" s="6" t="s">
        <v>428</v>
      </c>
      <c r="B630" s="6">
        <v>0.0</v>
      </c>
      <c r="C630" s="7"/>
      <c r="D630" s="7"/>
      <c r="E630" s="7"/>
      <c r="F630" s="7"/>
      <c r="G630" s="7"/>
    </row>
    <row r="631">
      <c r="A631" s="6" t="s">
        <v>429</v>
      </c>
      <c r="B631" s="6">
        <v>50.0</v>
      </c>
      <c r="C631" s="7"/>
      <c r="D631" s="7"/>
      <c r="E631" s="7"/>
      <c r="F631" s="7"/>
      <c r="G631" s="7"/>
    </row>
    <row r="632">
      <c r="A632" s="6" t="s">
        <v>430</v>
      </c>
      <c r="B632" s="6">
        <v>0.0</v>
      </c>
      <c r="C632" s="7"/>
      <c r="D632" s="7"/>
      <c r="E632" s="7"/>
      <c r="F632" s="7"/>
      <c r="G632" s="7"/>
    </row>
    <row r="633">
      <c r="A633" s="6" t="s">
        <v>360</v>
      </c>
      <c r="B633" s="6">
        <v>5.0</v>
      </c>
      <c r="C633" s="7"/>
      <c r="D633" s="7"/>
      <c r="E633" s="7"/>
      <c r="F633" s="7"/>
      <c r="G633" s="7"/>
    </row>
    <row r="634">
      <c r="A634" s="6" t="s">
        <v>361</v>
      </c>
      <c r="B634" s="6">
        <v>0.0</v>
      </c>
      <c r="C634" s="7"/>
      <c r="D634" s="7"/>
      <c r="E634" s="7"/>
      <c r="F634" s="7"/>
      <c r="G634" s="7"/>
    </row>
    <row r="635">
      <c r="A635" s="6" t="s">
        <v>362</v>
      </c>
      <c r="B635" s="6">
        <v>0.0</v>
      </c>
      <c r="C635" s="7"/>
      <c r="D635" s="7"/>
      <c r="E635" s="7"/>
      <c r="F635" s="7"/>
      <c r="G635" s="7"/>
    </row>
    <row r="636">
      <c r="A636" s="6" t="s">
        <v>363</v>
      </c>
      <c r="B636" s="6">
        <v>0.0</v>
      </c>
      <c r="C636" s="7"/>
      <c r="D636" s="7"/>
      <c r="E636" s="7"/>
      <c r="F636" s="7"/>
      <c r="G636" s="7"/>
    </row>
    <row r="637">
      <c r="A637" s="6" t="s">
        <v>364</v>
      </c>
      <c r="B637" s="6">
        <v>92.0</v>
      </c>
      <c r="C637" s="7"/>
      <c r="D637" s="7"/>
      <c r="E637" s="7"/>
      <c r="F637" s="7"/>
      <c r="G637" s="7"/>
    </row>
    <row r="638">
      <c r="A638" s="6" t="s">
        <v>365</v>
      </c>
      <c r="B638" s="6">
        <v>0.0</v>
      </c>
      <c r="C638" s="7"/>
      <c r="D638" s="7"/>
      <c r="E638" s="7"/>
      <c r="F638" s="7"/>
      <c r="G638" s="7"/>
    </row>
    <row r="639">
      <c r="A639" s="6" t="s">
        <v>366</v>
      </c>
      <c r="B639" s="6">
        <v>0.0</v>
      </c>
      <c r="C639" s="7"/>
      <c r="D639" s="7"/>
      <c r="E639" s="7"/>
      <c r="F639" s="7"/>
      <c r="G639" s="7"/>
    </row>
    <row r="640">
      <c r="A640" s="6" t="s">
        <v>367</v>
      </c>
      <c r="B640" s="6">
        <v>0.0</v>
      </c>
      <c r="C640" s="7"/>
      <c r="D640" s="7"/>
      <c r="E640" s="7"/>
      <c r="F640" s="7"/>
      <c r="G640" s="7"/>
    </row>
    <row r="641">
      <c r="A641" s="6" t="s">
        <v>368</v>
      </c>
      <c r="B641" s="6">
        <v>80.0</v>
      </c>
      <c r="C641" s="7"/>
      <c r="D641" s="7"/>
      <c r="E641" s="7"/>
      <c r="F641" s="7"/>
      <c r="G641" s="7"/>
    </row>
    <row r="642">
      <c r="A642" s="6" t="s">
        <v>369</v>
      </c>
      <c r="B642" s="6">
        <v>0.0</v>
      </c>
      <c r="C642" s="7"/>
      <c r="D642" s="7"/>
      <c r="E642" s="7"/>
      <c r="F642" s="7"/>
      <c r="G642" s="7"/>
    </row>
    <row r="643">
      <c r="A643" s="6" t="s">
        <v>370</v>
      </c>
      <c r="B643" s="6">
        <v>0.0</v>
      </c>
      <c r="C643" s="7"/>
      <c r="D643" s="7"/>
      <c r="E643" s="7"/>
      <c r="F643" s="7"/>
      <c r="G643" s="7"/>
    </row>
    <row r="644">
      <c r="A644" s="6" t="s">
        <v>371</v>
      </c>
      <c r="B644" s="6">
        <v>52.0</v>
      </c>
      <c r="C644" s="7"/>
      <c r="D644" s="7"/>
      <c r="E644" s="7"/>
      <c r="F644" s="7"/>
      <c r="G644" s="7"/>
    </row>
    <row r="645">
      <c r="A645" s="6" t="s">
        <v>372</v>
      </c>
      <c r="B645" s="6">
        <v>0.0</v>
      </c>
      <c r="C645" s="7"/>
      <c r="D645" s="7"/>
      <c r="E645" s="7"/>
      <c r="F645" s="7"/>
      <c r="G645" s="7"/>
    </row>
    <row r="646">
      <c r="A646" s="6" t="s">
        <v>373</v>
      </c>
      <c r="B646" s="6">
        <v>0.0</v>
      </c>
      <c r="C646" s="7"/>
      <c r="D646" s="7"/>
      <c r="E646" s="7"/>
      <c r="F646" s="7"/>
      <c r="G646" s="7"/>
    </row>
    <row r="647">
      <c r="A647" s="6" t="s">
        <v>374</v>
      </c>
      <c r="B647" s="6">
        <v>6.0</v>
      </c>
      <c r="C647" s="7"/>
      <c r="D647" s="7"/>
      <c r="E647" s="7"/>
      <c r="F647" s="7"/>
      <c r="G647" s="7"/>
    </row>
    <row r="648">
      <c r="A648" s="6" t="s">
        <v>375</v>
      </c>
      <c r="B648" s="6">
        <v>35.0</v>
      </c>
      <c r="C648" s="7"/>
      <c r="D648" s="7"/>
      <c r="E648" s="7"/>
      <c r="F648" s="7"/>
      <c r="G648" s="7"/>
    </row>
    <row r="649">
      <c r="A649" s="6" t="s">
        <v>376</v>
      </c>
      <c r="B649" s="6">
        <v>40.0</v>
      </c>
      <c r="C649" s="7"/>
      <c r="D649" s="7"/>
      <c r="E649" s="7"/>
      <c r="F649" s="7"/>
      <c r="G649" s="7"/>
    </row>
    <row r="650">
      <c r="A650" s="6" t="s">
        <v>377</v>
      </c>
      <c r="B650" s="6">
        <v>75.0</v>
      </c>
      <c r="C650" s="7"/>
      <c r="D650" s="7"/>
      <c r="E650" s="7"/>
      <c r="F650" s="7"/>
      <c r="G650" s="7"/>
    </row>
    <row r="651">
      <c r="A651" s="6" t="s">
        <v>378</v>
      </c>
      <c r="B651" s="6">
        <v>62.0</v>
      </c>
      <c r="C651" s="7"/>
      <c r="D651" s="7"/>
      <c r="E651" s="7"/>
      <c r="F651" s="7"/>
      <c r="G651" s="7"/>
    </row>
    <row r="652">
      <c r="A652" s="6" t="s">
        <v>379</v>
      </c>
      <c r="B652" s="6">
        <v>0.0</v>
      </c>
      <c r="C652" s="7"/>
      <c r="D652" s="7"/>
      <c r="E652" s="7"/>
      <c r="F652" s="7"/>
      <c r="G652" s="7"/>
    </row>
    <row r="653">
      <c r="A653" s="6" t="s">
        <v>380</v>
      </c>
      <c r="B653" s="6">
        <v>0.0</v>
      </c>
      <c r="C653" s="7"/>
      <c r="D653" s="7"/>
      <c r="E653" s="7"/>
      <c r="F653" s="7"/>
      <c r="G653" s="7"/>
    </row>
    <row r="654">
      <c r="A654" s="6" t="s">
        <v>381</v>
      </c>
      <c r="B654" s="6">
        <v>14.0</v>
      </c>
      <c r="C654" s="7"/>
      <c r="D654" s="7"/>
      <c r="E654" s="7"/>
      <c r="F654" s="7"/>
      <c r="G654" s="7"/>
    </row>
    <row r="655">
      <c r="A655" s="6" t="s">
        <v>382</v>
      </c>
      <c r="B655" s="6">
        <v>0.0</v>
      </c>
      <c r="C655" s="7"/>
      <c r="D655" s="7"/>
      <c r="E655" s="7"/>
      <c r="F655" s="7"/>
      <c r="G655" s="7"/>
    </row>
    <row r="656">
      <c r="A656" s="6" t="s">
        <v>383</v>
      </c>
      <c r="B656" s="6">
        <v>0.0</v>
      </c>
      <c r="C656" s="7"/>
      <c r="D656" s="7"/>
      <c r="E656" s="7"/>
      <c r="F656" s="7"/>
      <c r="G656" s="7"/>
    </row>
    <row r="657">
      <c r="A657" s="6" t="s">
        <v>384</v>
      </c>
      <c r="B657" s="6">
        <v>0.0</v>
      </c>
      <c r="C657" s="7"/>
      <c r="D657" s="7"/>
      <c r="E657" s="7"/>
      <c r="F657" s="7"/>
      <c r="G657" s="7"/>
    </row>
    <row r="658">
      <c r="A658" s="6" t="s">
        <v>385</v>
      </c>
      <c r="B658" s="6">
        <v>20.0</v>
      </c>
      <c r="C658" s="7"/>
      <c r="D658" s="7"/>
      <c r="E658" s="7"/>
      <c r="F658" s="7"/>
      <c r="G658" s="7"/>
    </row>
    <row r="659">
      <c r="A659" s="6" t="s">
        <v>386</v>
      </c>
      <c r="B659" s="6">
        <v>0.0</v>
      </c>
      <c r="C659" s="7"/>
      <c r="D659" s="7"/>
      <c r="E659" s="7"/>
      <c r="F659" s="7"/>
      <c r="G659" s="7"/>
    </row>
    <row r="660">
      <c r="A660" s="6" t="s">
        <v>387</v>
      </c>
      <c r="B660" s="6">
        <v>0.0</v>
      </c>
      <c r="C660" s="7"/>
      <c r="D660" s="7"/>
      <c r="E660" s="7"/>
      <c r="F660" s="7"/>
      <c r="G660" s="7"/>
    </row>
    <row r="661">
      <c r="A661" s="6" t="s">
        <v>388</v>
      </c>
      <c r="B661" s="6" t="s">
        <v>389</v>
      </c>
      <c r="C661" s="6">
        <v>37.0</v>
      </c>
      <c r="D661" s="7"/>
      <c r="E661" s="7"/>
      <c r="F661" s="7"/>
      <c r="G661" s="7"/>
    </row>
    <row r="662">
      <c r="A662" s="6" t="s">
        <v>390</v>
      </c>
      <c r="B662" s="6">
        <v>0.0</v>
      </c>
      <c r="C662" s="7"/>
      <c r="D662" s="7"/>
      <c r="E662" s="7"/>
      <c r="F662" s="7"/>
      <c r="G662" s="7"/>
    </row>
    <row r="663">
      <c r="A663" s="6" t="s">
        <v>391</v>
      </c>
      <c r="B663" s="6">
        <v>40.0</v>
      </c>
      <c r="C663" s="7"/>
      <c r="D663" s="7"/>
      <c r="E663" s="7"/>
      <c r="F663" s="7"/>
      <c r="G663" s="7"/>
    </row>
    <row r="664">
      <c r="A664" s="6" t="s">
        <v>392</v>
      </c>
      <c r="B664" s="6">
        <v>45.0</v>
      </c>
      <c r="C664" s="7"/>
      <c r="D664" s="7"/>
      <c r="E664" s="7"/>
      <c r="F664" s="7"/>
      <c r="G664" s="7"/>
    </row>
    <row r="665">
      <c r="A665" s="6" t="s">
        <v>393</v>
      </c>
      <c r="B665" s="6">
        <v>0.0</v>
      </c>
      <c r="C665" s="7"/>
      <c r="D665" s="7"/>
      <c r="E665" s="7"/>
      <c r="F665" s="7"/>
      <c r="G665" s="7"/>
    </row>
    <row r="666">
      <c r="A666" s="6" t="s">
        <v>394</v>
      </c>
      <c r="B666" s="6">
        <v>0.0</v>
      </c>
      <c r="C666" s="7"/>
      <c r="D666" s="7"/>
      <c r="E666" s="7"/>
      <c r="F666" s="7"/>
      <c r="G666" s="7"/>
    </row>
    <row r="667">
      <c r="A667" s="6" t="s">
        <v>395</v>
      </c>
      <c r="B667" s="6">
        <v>0.0</v>
      </c>
      <c r="C667" s="7"/>
      <c r="D667" s="7"/>
      <c r="E667" s="7"/>
      <c r="F667" s="7"/>
      <c r="G667" s="7"/>
    </row>
    <row r="668">
      <c r="A668" s="6" t="s">
        <v>396</v>
      </c>
      <c r="B668" s="6">
        <v>0.0</v>
      </c>
      <c r="C668" s="7"/>
      <c r="D668" s="7"/>
      <c r="E668" s="7"/>
      <c r="F668" s="7"/>
      <c r="G668" s="7"/>
    </row>
    <row r="669">
      <c r="A669" s="6" t="s">
        <v>397</v>
      </c>
      <c r="B669" s="6">
        <v>40.0</v>
      </c>
      <c r="C669" s="7"/>
      <c r="D669" s="7"/>
      <c r="E669" s="7"/>
      <c r="F669" s="7"/>
      <c r="G669" s="7"/>
    </row>
    <row r="670">
      <c r="A670" s="6" t="s">
        <v>398</v>
      </c>
      <c r="B670" s="6">
        <v>0.0</v>
      </c>
      <c r="C670" s="7"/>
      <c r="D670" s="7"/>
      <c r="E670" s="7"/>
      <c r="F670" s="7"/>
      <c r="G670" s="7"/>
    </row>
    <row r="671">
      <c r="A671" s="6" t="s">
        <v>399</v>
      </c>
      <c r="B671" s="6" t="s">
        <v>400</v>
      </c>
      <c r="C671" s="6">
        <v>0.0</v>
      </c>
      <c r="D671" s="7"/>
      <c r="E671" s="7"/>
      <c r="F671" s="7"/>
      <c r="G671" s="7"/>
    </row>
    <row r="672">
      <c r="A672" s="6" t="s">
        <v>401</v>
      </c>
      <c r="B672" s="6">
        <v>0.0</v>
      </c>
      <c r="C672" s="7"/>
      <c r="D672" s="7"/>
      <c r="E672" s="7"/>
      <c r="F672" s="7"/>
      <c r="G672" s="7"/>
    </row>
    <row r="673">
      <c r="A673" s="6" t="s">
        <v>402</v>
      </c>
      <c r="B673" s="6">
        <v>50.0</v>
      </c>
      <c r="C673" s="7"/>
      <c r="D673" s="7"/>
      <c r="E673" s="7"/>
      <c r="F673" s="7"/>
      <c r="G673" s="7"/>
    </row>
    <row r="674">
      <c r="A674" s="6" t="s">
        <v>403</v>
      </c>
      <c r="B674" s="6">
        <v>0.0</v>
      </c>
      <c r="C674" s="7"/>
      <c r="D674" s="7"/>
      <c r="E674" s="7"/>
      <c r="F674" s="7"/>
      <c r="G674" s="7"/>
    </row>
    <row r="675">
      <c r="A675" s="6" t="s">
        <v>404</v>
      </c>
      <c r="B675" s="6">
        <v>0.0</v>
      </c>
      <c r="C675" s="7"/>
      <c r="D675" s="7"/>
      <c r="E675" s="7"/>
      <c r="F675" s="7"/>
      <c r="G675" s="7"/>
    </row>
    <row r="676">
      <c r="A676" s="6" t="s">
        <v>405</v>
      </c>
      <c r="B676" s="6">
        <v>0.0</v>
      </c>
      <c r="C676" s="7"/>
      <c r="D676" s="7"/>
      <c r="E676" s="7"/>
      <c r="F676" s="7"/>
      <c r="G676" s="7"/>
    </row>
    <row r="677">
      <c r="A677" s="6" t="s">
        <v>406</v>
      </c>
      <c r="B677" s="6">
        <v>0.0</v>
      </c>
      <c r="C677" s="7"/>
      <c r="D677" s="7"/>
      <c r="E677" s="7"/>
      <c r="F677" s="7"/>
      <c r="G677" s="7"/>
    </row>
    <row r="678">
      <c r="A678" s="6" t="s">
        <v>407</v>
      </c>
      <c r="B678" s="6">
        <v>0.0</v>
      </c>
      <c r="C678" s="7"/>
      <c r="D678" s="7"/>
      <c r="E678" s="7"/>
      <c r="F678" s="7"/>
      <c r="G678" s="7"/>
    </row>
    <row r="679">
      <c r="A679" s="6" t="s">
        <v>408</v>
      </c>
      <c r="B679" s="6">
        <v>0.0</v>
      </c>
      <c r="C679" s="7"/>
      <c r="D679" s="7"/>
      <c r="E679" s="7"/>
      <c r="F679" s="7"/>
      <c r="G679" s="7"/>
    </row>
    <row r="680">
      <c r="A680" s="6" t="s">
        <v>409</v>
      </c>
      <c r="B680" s="6">
        <v>0.0</v>
      </c>
      <c r="C680" s="7"/>
      <c r="D680" s="7"/>
      <c r="E680" s="7"/>
      <c r="F680" s="7"/>
      <c r="G680" s="7"/>
    </row>
    <row r="681">
      <c r="A681" s="6" t="s">
        <v>410</v>
      </c>
      <c r="B681" s="6">
        <v>70.0</v>
      </c>
      <c r="C681" s="7"/>
      <c r="D681" s="7"/>
      <c r="E681" s="7"/>
      <c r="F681" s="7"/>
      <c r="G681" s="7"/>
    </row>
    <row r="682">
      <c r="A682" s="6" t="s">
        <v>411</v>
      </c>
      <c r="B682" s="6">
        <v>0.0</v>
      </c>
      <c r="C682" s="7"/>
      <c r="D682" s="7"/>
      <c r="E682" s="7"/>
      <c r="F682" s="7"/>
      <c r="G682" s="7"/>
    </row>
    <row r="683">
      <c r="A683" s="6" t="s">
        <v>412</v>
      </c>
      <c r="B683" s="6">
        <v>58.0</v>
      </c>
      <c r="C683" s="7"/>
      <c r="D683" s="7"/>
      <c r="E683" s="7"/>
      <c r="F683" s="7"/>
      <c r="G683" s="7"/>
    </row>
    <row r="684">
      <c r="A684" s="6" t="s">
        <v>413</v>
      </c>
      <c r="B684" s="6">
        <v>70.0</v>
      </c>
      <c r="C684" s="7"/>
      <c r="D684" s="7"/>
      <c r="E684" s="7"/>
      <c r="F684" s="7"/>
      <c r="G684" s="7"/>
    </row>
    <row r="685">
      <c r="A685" s="6" t="s">
        <v>414</v>
      </c>
      <c r="B685" s="6">
        <v>0.0</v>
      </c>
      <c r="C685" s="7"/>
      <c r="D685" s="7"/>
      <c r="E685" s="7"/>
      <c r="F685" s="7"/>
      <c r="G685" s="7"/>
    </row>
    <row r="686">
      <c r="A686" s="6" t="s">
        <v>415</v>
      </c>
      <c r="B686" s="6">
        <v>0.0</v>
      </c>
      <c r="C686" s="7"/>
      <c r="D686" s="7"/>
      <c r="E686" s="7"/>
      <c r="F686" s="7"/>
      <c r="G686" s="7"/>
    </row>
    <row r="687">
      <c r="A687" s="6" t="s">
        <v>416</v>
      </c>
      <c r="B687" s="6">
        <v>21.0</v>
      </c>
      <c r="C687" s="7"/>
      <c r="D687" s="7"/>
      <c r="E687" s="7"/>
      <c r="F687" s="7"/>
      <c r="G687" s="7"/>
    </row>
    <row r="688">
      <c r="A688" s="6" t="s">
        <v>417</v>
      </c>
      <c r="B688" s="6">
        <v>0.0</v>
      </c>
      <c r="C688" s="7"/>
      <c r="D688" s="7"/>
      <c r="E688" s="7"/>
      <c r="F688" s="7"/>
      <c r="G688" s="7"/>
    </row>
    <row r="689">
      <c r="A689" s="6" t="s">
        <v>418</v>
      </c>
      <c r="B689" s="6">
        <v>0.0</v>
      </c>
      <c r="C689" s="7"/>
      <c r="D689" s="7"/>
      <c r="E689" s="7"/>
      <c r="F689" s="7"/>
      <c r="G689" s="7"/>
    </row>
    <row r="690">
      <c r="A690" s="6" t="s">
        <v>419</v>
      </c>
      <c r="B690" s="6">
        <v>0.0</v>
      </c>
      <c r="C690" s="7"/>
      <c r="D690" s="7"/>
      <c r="E690" s="7"/>
      <c r="F690" s="7"/>
      <c r="G690" s="7"/>
    </row>
    <row r="691">
      <c r="A691" s="6" t="s">
        <v>420</v>
      </c>
      <c r="B691" s="6">
        <v>0.0</v>
      </c>
      <c r="C691" s="7"/>
      <c r="D691" s="7"/>
      <c r="E691" s="7"/>
      <c r="F691" s="7"/>
      <c r="G691" s="7"/>
    </row>
    <row r="692">
      <c r="A692" s="6" t="s">
        <v>421</v>
      </c>
      <c r="B692" s="6">
        <v>0.0</v>
      </c>
      <c r="C692" s="7"/>
      <c r="D692" s="7"/>
      <c r="E692" s="7"/>
      <c r="F692" s="7"/>
      <c r="G692" s="7"/>
    </row>
    <row r="693">
      <c r="A693" s="6" t="s">
        <v>422</v>
      </c>
      <c r="B693" s="6">
        <v>0.0</v>
      </c>
      <c r="C693" s="7"/>
      <c r="D693" s="7"/>
      <c r="E693" s="7"/>
      <c r="F693" s="7"/>
      <c r="G693" s="7"/>
    </row>
    <row r="694">
      <c r="A694" s="6" t="s">
        <v>423</v>
      </c>
      <c r="B694" s="6">
        <v>0.0</v>
      </c>
      <c r="C694" s="7"/>
      <c r="D694" s="7"/>
      <c r="E694" s="7"/>
      <c r="F694" s="7"/>
      <c r="G694" s="7"/>
    </row>
    <row r="695">
      <c r="A695" s="6" t="s">
        <v>424</v>
      </c>
      <c r="B695" s="6">
        <v>0.0</v>
      </c>
      <c r="C695" s="7"/>
      <c r="D695" s="7"/>
      <c r="E695" s="7"/>
      <c r="F695" s="7"/>
      <c r="G695" s="7"/>
    </row>
    <row r="696">
      <c r="A696" s="6" t="s">
        <v>425</v>
      </c>
      <c r="B696" s="6">
        <v>0.0</v>
      </c>
      <c r="C696" s="7"/>
      <c r="D696" s="7"/>
      <c r="E696" s="7"/>
      <c r="F696" s="7"/>
      <c r="G696" s="7"/>
    </row>
    <row r="697">
      <c r="A697" s="6" t="s">
        <v>426</v>
      </c>
      <c r="B697" s="6">
        <v>0.0</v>
      </c>
      <c r="C697" s="7"/>
      <c r="D697" s="7"/>
      <c r="E697" s="7"/>
      <c r="F697" s="7"/>
      <c r="G697" s="7"/>
    </row>
    <row r="698">
      <c r="A698" s="6" t="s">
        <v>427</v>
      </c>
      <c r="B698" s="6">
        <v>0.0</v>
      </c>
      <c r="C698" s="7"/>
      <c r="D698" s="7"/>
      <c r="E698" s="7"/>
      <c r="F698" s="7"/>
      <c r="G698" s="7"/>
    </row>
    <row r="699">
      <c r="A699" s="6" t="s">
        <v>428</v>
      </c>
      <c r="B699" s="6">
        <v>0.0</v>
      </c>
      <c r="C699" s="7"/>
      <c r="D699" s="7"/>
      <c r="E699" s="7"/>
      <c r="F699" s="7"/>
      <c r="G699" s="7"/>
    </row>
    <row r="700">
      <c r="A700" s="6" t="s">
        <v>429</v>
      </c>
      <c r="B700" s="6">
        <v>50.0</v>
      </c>
      <c r="C700" s="7"/>
      <c r="D700" s="7"/>
      <c r="E700" s="7"/>
      <c r="F700" s="7"/>
      <c r="G700" s="7"/>
    </row>
    <row r="701">
      <c r="A701" s="6" t="s">
        <v>430</v>
      </c>
      <c r="B701" s="6">
        <v>0.0</v>
      </c>
      <c r="C701" s="7"/>
      <c r="D701" s="7"/>
      <c r="E701" s="7"/>
      <c r="F701" s="7"/>
      <c r="G701" s="7"/>
    </row>
    <row r="702">
      <c r="A702" s="6" t="s">
        <v>431</v>
      </c>
      <c r="B702" s="6">
        <v>53.0</v>
      </c>
      <c r="C702" s="7"/>
      <c r="D702" s="7"/>
      <c r="E702" s="7"/>
      <c r="F702" s="7"/>
      <c r="G702" s="7"/>
    </row>
    <row r="703">
      <c r="A703" s="6" t="s">
        <v>432</v>
      </c>
      <c r="B703" s="6">
        <v>73.0</v>
      </c>
      <c r="C703" s="7"/>
      <c r="D703" s="7"/>
      <c r="E703" s="7"/>
      <c r="F703" s="7"/>
      <c r="G703" s="7"/>
    </row>
    <row r="704">
      <c r="A704" s="6" t="s">
        <v>433</v>
      </c>
      <c r="B704" s="6">
        <v>0.0</v>
      </c>
      <c r="C704" s="7"/>
      <c r="D704" s="7"/>
      <c r="E704" s="7"/>
      <c r="F704" s="7"/>
      <c r="G704" s="7"/>
    </row>
    <row r="705">
      <c r="A705" s="6" t="s">
        <v>434</v>
      </c>
      <c r="B705" s="6">
        <v>50.0</v>
      </c>
      <c r="C705" s="7"/>
      <c r="D705" s="7"/>
      <c r="E705" s="7"/>
      <c r="F705" s="7"/>
      <c r="G705" s="7"/>
    </row>
    <row r="706">
      <c r="A706" s="6" t="s">
        <v>435</v>
      </c>
      <c r="B706" s="6">
        <v>0.0</v>
      </c>
      <c r="C706" s="7"/>
      <c r="D706" s="7"/>
      <c r="E706" s="7"/>
      <c r="F706" s="7"/>
      <c r="G706" s="7"/>
    </row>
    <row r="707">
      <c r="A707" s="6" t="s">
        <v>436</v>
      </c>
      <c r="B707" s="6">
        <v>0.0</v>
      </c>
      <c r="C707" s="7"/>
      <c r="D707" s="7"/>
      <c r="E707" s="7"/>
      <c r="F707" s="7"/>
      <c r="G707" s="7"/>
    </row>
    <row r="708">
      <c r="A708" s="6" t="s">
        <v>437</v>
      </c>
      <c r="B708" s="6">
        <v>0.0</v>
      </c>
      <c r="C708" s="7"/>
      <c r="D708" s="7"/>
      <c r="E708" s="7"/>
      <c r="F708" s="7"/>
      <c r="G708" s="7"/>
    </row>
    <row r="709">
      <c r="A709" s="6" t="s">
        <v>438</v>
      </c>
      <c r="B709" s="6">
        <v>0.0</v>
      </c>
      <c r="C709" s="7"/>
      <c r="D709" s="7"/>
      <c r="E709" s="7"/>
      <c r="F709" s="7"/>
      <c r="G709" s="7"/>
    </row>
    <row r="710">
      <c r="A710" s="6" t="s">
        <v>439</v>
      </c>
      <c r="B710" s="6">
        <v>0.0</v>
      </c>
      <c r="C710" s="7"/>
      <c r="D710" s="7"/>
      <c r="E710" s="7"/>
      <c r="F710" s="7"/>
      <c r="G710" s="7"/>
    </row>
    <row r="711">
      <c r="A711" s="6" t="s">
        <v>440</v>
      </c>
      <c r="B711" s="6">
        <v>0.0</v>
      </c>
      <c r="C711" s="7"/>
      <c r="D711" s="7"/>
      <c r="E711" s="7"/>
      <c r="F711" s="7"/>
      <c r="G711" s="7"/>
    </row>
    <row r="712">
      <c r="A712" s="6" t="s">
        <v>441</v>
      </c>
      <c r="B712" s="6">
        <v>0.0</v>
      </c>
      <c r="C712" s="7"/>
      <c r="D712" s="7"/>
      <c r="E712" s="7"/>
      <c r="F712" s="7"/>
      <c r="G712" s="7"/>
    </row>
    <row r="713">
      <c r="A713" s="6" t="s">
        <v>442</v>
      </c>
      <c r="B713" s="6">
        <v>0.0</v>
      </c>
      <c r="C713" s="7"/>
      <c r="D713" s="7"/>
      <c r="E713" s="7"/>
      <c r="F713" s="7"/>
      <c r="G713" s="7"/>
    </row>
    <row r="714">
      <c r="A714" s="6" t="s">
        <v>443</v>
      </c>
      <c r="B714" s="6">
        <v>42.0</v>
      </c>
      <c r="C714" s="7"/>
      <c r="D714" s="7"/>
      <c r="E714" s="7"/>
      <c r="F714" s="7"/>
      <c r="G714" s="7"/>
    </row>
    <row r="715">
      <c r="A715" s="6" t="s">
        <v>444</v>
      </c>
      <c r="B715" s="6">
        <v>50.0</v>
      </c>
      <c r="C715" s="7"/>
      <c r="D715" s="7"/>
      <c r="E715" s="7"/>
      <c r="F715" s="7"/>
      <c r="G715" s="7"/>
    </row>
    <row r="716">
      <c r="A716" s="6" t="s">
        <v>445</v>
      </c>
      <c r="B716" s="6">
        <v>0.0</v>
      </c>
      <c r="C716" s="7"/>
      <c r="D716" s="7"/>
      <c r="E716" s="7"/>
      <c r="F716" s="7"/>
      <c r="G716" s="7"/>
    </row>
    <row r="717">
      <c r="A717" s="6" t="s">
        <v>446</v>
      </c>
      <c r="B717" s="6">
        <v>92.0</v>
      </c>
      <c r="C717" s="7"/>
      <c r="D717" s="7"/>
      <c r="E717" s="7"/>
      <c r="F717" s="7"/>
      <c r="G717" s="7"/>
    </row>
    <row r="718">
      <c r="A718" s="6" t="s">
        <v>447</v>
      </c>
      <c r="B718" s="6">
        <v>0.0</v>
      </c>
      <c r="C718" s="7"/>
      <c r="D718" s="7"/>
      <c r="E718" s="7"/>
      <c r="F718" s="7"/>
      <c r="G718" s="7"/>
    </row>
    <row r="719">
      <c r="A719" s="6" t="s">
        <v>448</v>
      </c>
      <c r="B719" s="6">
        <v>0.0</v>
      </c>
      <c r="C719" s="7"/>
      <c r="D719" s="7"/>
      <c r="E719" s="7"/>
      <c r="F719" s="7"/>
      <c r="G719" s="7"/>
    </row>
    <row r="720">
      <c r="A720" s="6" t="s">
        <v>449</v>
      </c>
      <c r="B720" s="6">
        <v>89.0</v>
      </c>
      <c r="C720" s="7"/>
      <c r="D720" s="7"/>
      <c r="E720" s="7"/>
      <c r="F720" s="7"/>
      <c r="G720" s="7"/>
    </row>
    <row r="721">
      <c r="A721" s="6" t="s">
        <v>450</v>
      </c>
      <c r="B721" s="6">
        <v>0.0</v>
      </c>
      <c r="C721" s="7"/>
      <c r="D721" s="7"/>
      <c r="E721" s="7"/>
      <c r="F721" s="7"/>
      <c r="G721" s="7"/>
    </row>
    <row r="722">
      <c r="A722" s="6" t="s">
        <v>451</v>
      </c>
      <c r="B722" s="6">
        <v>9.0</v>
      </c>
      <c r="C722" s="7"/>
      <c r="D722" s="7"/>
      <c r="E722" s="7"/>
      <c r="F722" s="7"/>
      <c r="G722" s="7"/>
    </row>
    <row r="723">
      <c r="A723" s="6" t="s">
        <v>452</v>
      </c>
      <c r="B723" s="6">
        <v>40.0</v>
      </c>
      <c r="C723" s="7"/>
      <c r="D723" s="7"/>
      <c r="E723" s="7"/>
      <c r="F723" s="7"/>
      <c r="G723" s="7"/>
    </row>
    <row r="724">
      <c r="A724" s="6" t="s">
        <v>453</v>
      </c>
      <c r="B724" s="6">
        <v>90.0</v>
      </c>
      <c r="C724" s="7"/>
      <c r="D724" s="7"/>
      <c r="E724" s="7"/>
      <c r="F724" s="7"/>
      <c r="G724" s="7"/>
    </row>
    <row r="725">
      <c r="A725" s="6" t="s">
        <v>454</v>
      </c>
      <c r="B725" s="6">
        <v>0.0</v>
      </c>
      <c r="C725" s="7"/>
      <c r="D725" s="7"/>
      <c r="E725" s="7"/>
      <c r="F725" s="7"/>
      <c r="G725" s="7"/>
    </row>
    <row r="726">
      <c r="A726" s="6" t="s">
        <v>455</v>
      </c>
      <c r="B726" s="6">
        <v>32.0</v>
      </c>
      <c r="C726" s="7"/>
      <c r="D726" s="7"/>
      <c r="E726" s="7"/>
      <c r="F726" s="7"/>
      <c r="G726" s="7"/>
    </row>
    <row r="727">
      <c r="A727" s="6" t="s">
        <v>456</v>
      </c>
      <c r="B727" s="6">
        <v>48.0</v>
      </c>
      <c r="C727" s="7"/>
      <c r="D727" s="7"/>
      <c r="E727" s="7"/>
      <c r="F727" s="7"/>
      <c r="G727" s="7"/>
    </row>
    <row r="728">
      <c r="A728" s="6" t="s">
        <v>457</v>
      </c>
      <c r="B728" s="6">
        <v>0.0</v>
      </c>
      <c r="C728" s="7"/>
      <c r="D728" s="7"/>
      <c r="E728" s="7"/>
      <c r="F728" s="7"/>
      <c r="G728" s="7"/>
    </row>
    <row r="729">
      <c r="A729" s="6" t="s">
        <v>458</v>
      </c>
      <c r="B729" s="6">
        <v>0.0</v>
      </c>
      <c r="C729" s="7"/>
      <c r="D729" s="7"/>
      <c r="E729" s="7"/>
      <c r="F729" s="7"/>
      <c r="G729" s="7"/>
    </row>
    <row r="730">
      <c r="A730" s="6" t="s">
        <v>459</v>
      </c>
      <c r="B730" s="6">
        <v>50.0</v>
      </c>
      <c r="C730" s="7"/>
      <c r="D730" s="7"/>
      <c r="E730" s="7"/>
      <c r="F730" s="7"/>
      <c r="G730" s="7"/>
    </row>
    <row r="731">
      <c r="A731" s="6" t="s">
        <v>460</v>
      </c>
      <c r="B731" s="6">
        <v>0.0</v>
      </c>
      <c r="C731" s="7"/>
      <c r="D731" s="7"/>
      <c r="E731" s="7"/>
      <c r="F731" s="7"/>
      <c r="G731" s="7"/>
    </row>
    <row r="732">
      <c r="A732" s="6" t="s">
        <v>461</v>
      </c>
      <c r="B732" s="6" t="s">
        <v>462</v>
      </c>
      <c r="C732" s="6" t="s">
        <v>463</v>
      </c>
      <c r="D732" s="6">
        <v>62.0</v>
      </c>
      <c r="E732" s="7"/>
      <c r="F732" s="7"/>
      <c r="G732" s="7"/>
    </row>
    <row r="733">
      <c r="A733" s="6" t="s">
        <v>464</v>
      </c>
      <c r="B733" s="6" t="s">
        <v>465</v>
      </c>
      <c r="C733" s="6">
        <v>0.0</v>
      </c>
      <c r="D733" s="7"/>
      <c r="E733" s="7"/>
      <c r="F733" s="7"/>
      <c r="G733" s="7"/>
    </row>
    <row r="734">
      <c r="A734" s="6" t="s">
        <v>466</v>
      </c>
      <c r="B734" s="6">
        <v>0.0</v>
      </c>
      <c r="C734" s="7"/>
      <c r="D734" s="7"/>
      <c r="E734" s="7"/>
      <c r="F734" s="7"/>
      <c r="G734" s="7"/>
    </row>
    <row r="735">
      <c r="A735" s="6" t="s">
        <v>467</v>
      </c>
      <c r="B735" s="6">
        <v>0.0</v>
      </c>
      <c r="C735" s="7"/>
      <c r="D735" s="7"/>
      <c r="E735" s="7"/>
      <c r="F735" s="7"/>
      <c r="G735" s="7"/>
    </row>
    <row r="736">
      <c r="A736" s="6" t="s">
        <v>468</v>
      </c>
      <c r="B736" s="6">
        <v>0.0</v>
      </c>
      <c r="C736" s="7"/>
      <c r="D736" s="7"/>
      <c r="E736" s="7"/>
      <c r="F736" s="7"/>
      <c r="G736" s="7"/>
    </row>
    <row r="737">
      <c r="A737" s="6" t="s">
        <v>469</v>
      </c>
      <c r="B737" s="6">
        <v>0.0</v>
      </c>
      <c r="C737" s="7"/>
      <c r="D737" s="7"/>
      <c r="E737" s="7"/>
      <c r="F737" s="7"/>
      <c r="G737" s="7"/>
    </row>
    <row r="738">
      <c r="A738" s="6" t="s">
        <v>470</v>
      </c>
      <c r="B738" s="6">
        <v>10.0</v>
      </c>
      <c r="C738" s="7"/>
      <c r="D738" s="7"/>
      <c r="E738" s="7"/>
      <c r="F738" s="7"/>
      <c r="G738" s="7"/>
    </row>
    <row r="739">
      <c r="A739" s="6" t="s">
        <v>471</v>
      </c>
      <c r="B739" s="6">
        <v>0.0</v>
      </c>
      <c r="C739" s="7"/>
      <c r="D739" s="7"/>
      <c r="E739" s="7"/>
      <c r="F739" s="7"/>
      <c r="G739" s="7"/>
    </row>
    <row r="740">
      <c r="A740" s="6" t="s">
        <v>472</v>
      </c>
      <c r="B740" s="6">
        <v>29.0</v>
      </c>
      <c r="C740" s="7"/>
      <c r="D740" s="7"/>
      <c r="E740" s="7"/>
      <c r="F740" s="7"/>
      <c r="G740" s="7"/>
    </row>
    <row r="741">
      <c r="A741" s="6" t="s">
        <v>473</v>
      </c>
      <c r="B741" s="6">
        <v>0.0</v>
      </c>
      <c r="C741" s="7"/>
      <c r="D741" s="7"/>
      <c r="E741" s="7"/>
      <c r="F741" s="7"/>
      <c r="G741" s="7"/>
    </row>
    <row r="742">
      <c r="A742" s="6" t="s">
        <v>474</v>
      </c>
      <c r="B742" s="6">
        <v>65.0</v>
      </c>
      <c r="C742" s="7"/>
      <c r="D742" s="7"/>
      <c r="E742" s="7"/>
      <c r="F742" s="7"/>
      <c r="G742" s="7"/>
    </row>
    <row r="743">
      <c r="A743" s="6" t="s">
        <v>475</v>
      </c>
      <c r="B743" s="6">
        <v>0.0</v>
      </c>
      <c r="C743" s="7"/>
      <c r="D743" s="7"/>
      <c r="E743" s="7"/>
      <c r="F743" s="7"/>
      <c r="G743" s="7"/>
    </row>
    <row r="744">
      <c r="A744" s="6" t="s">
        <v>476</v>
      </c>
      <c r="B744" s="6">
        <v>0.0</v>
      </c>
      <c r="C744" s="7"/>
      <c r="D744" s="7"/>
      <c r="E744" s="7"/>
      <c r="F744" s="7"/>
      <c r="G744" s="7"/>
    </row>
    <row r="745">
      <c r="A745" s="6" t="s">
        <v>477</v>
      </c>
      <c r="B745" s="6">
        <v>0.0</v>
      </c>
      <c r="C745" s="7"/>
      <c r="D745" s="7"/>
      <c r="E745" s="7"/>
      <c r="F745" s="7"/>
      <c r="G745" s="7"/>
    </row>
    <row r="746">
      <c r="A746" s="6" t="s">
        <v>478</v>
      </c>
      <c r="B746" s="6">
        <v>0.0</v>
      </c>
      <c r="C746" s="7"/>
      <c r="D746" s="7"/>
      <c r="E746" s="7"/>
      <c r="F746" s="7"/>
      <c r="G746" s="7"/>
    </row>
    <row r="747">
      <c r="A747" s="6" t="s">
        <v>479</v>
      </c>
      <c r="B747" s="6">
        <v>12.0</v>
      </c>
      <c r="C747" s="7"/>
      <c r="D747" s="7"/>
      <c r="E747" s="7"/>
      <c r="F747" s="7"/>
      <c r="G747" s="7"/>
    </row>
    <row r="748">
      <c r="A748" s="6" t="s">
        <v>480</v>
      </c>
      <c r="B748" s="6">
        <v>0.0</v>
      </c>
      <c r="C748" s="7"/>
      <c r="D748" s="7"/>
      <c r="E748" s="7"/>
      <c r="F748" s="7"/>
      <c r="G748" s="7"/>
    </row>
    <row r="749">
      <c r="A749" s="6" t="s">
        <v>481</v>
      </c>
      <c r="B749" s="6" t="s">
        <v>482</v>
      </c>
      <c r="C749" s="6">
        <v>95.0</v>
      </c>
      <c r="D749" s="7"/>
      <c r="E749" s="7"/>
      <c r="F749" s="7"/>
      <c r="G749" s="7"/>
    </row>
    <row r="750">
      <c r="A750" s="6" t="s">
        <v>483</v>
      </c>
      <c r="B750" s="6">
        <v>0.0</v>
      </c>
      <c r="C750" s="7"/>
      <c r="D750" s="7"/>
      <c r="E750" s="7"/>
      <c r="F750" s="7"/>
      <c r="G750" s="7"/>
    </row>
    <row r="751">
      <c r="A751" s="6" t="s">
        <v>484</v>
      </c>
      <c r="B751" s="6">
        <v>11.0</v>
      </c>
      <c r="C751" s="7"/>
      <c r="D751" s="7"/>
      <c r="E751" s="7"/>
      <c r="F751" s="7"/>
      <c r="G751" s="7"/>
    </row>
    <row r="752">
      <c r="A752" s="6" t="s">
        <v>485</v>
      </c>
      <c r="B752" s="6">
        <v>0.0</v>
      </c>
      <c r="C752" s="7"/>
      <c r="D752" s="7"/>
      <c r="E752" s="7"/>
      <c r="F752" s="7"/>
      <c r="G752" s="7"/>
    </row>
    <row r="753">
      <c r="A753" s="6" t="s">
        <v>486</v>
      </c>
      <c r="B753" s="6" t="s">
        <v>487</v>
      </c>
      <c r="C753" s="7"/>
      <c r="D753" s="7"/>
      <c r="E753" s="7"/>
      <c r="F753" s="7"/>
      <c r="G753" s="7"/>
    </row>
    <row r="754">
      <c r="A754" s="6" t="s">
        <v>488</v>
      </c>
      <c r="B754" s="6">
        <v>31.0</v>
      </c>
      <c r="C754" s="7"/>
      <c r="D754" s="7"/>
      <c r="E754" s="7"/>
      <c r="F754" s="7"/>
      <c r="G754" s="7"/>
    </row>
    <row r="755">
      <c r="A755" s="6" t="s">
        <v>489</v>
      </c>
      <c r="B755" s="7"/>
      <c r="C755" s="7"/>
      <c r="D755" s="7"/>
      <c r="E755" s="7"/>
      <c r="F755" s="7"/>
      <c r="G755" s="7"/>
    </row>
    <row r="756">
      <c r="A756" s="6" t="s">
        <v>490</v>
      </c>
      <c r="B756" s="6">
        <v>0.0</v>
      </c>
      <c r="C756" s="7"/>
      <c r="D756" s="7"/>
      <c r="E756" s="7"/>
      <c r="F756" s="7"/>
      <c r="G756" s="7"/>
    </row>
    <row r="757">
      <c r="A757" s="6" t="s">
        <v>491</v>
      </c>
      <c r="B757" s="6">
        <v>0.0</v>
      </c>
      <c r="C757" s="7"/>
      <c r="D757" s="7"/>
      <c r="E757" s="7"/>
      <c r="F757" s="7"/>
      <c r="G757" s="7"/>
    </row>
    <row r="758">
      <c r="A758" s="6" t="s">
        <v>492</v>
      </c>
      <c r="B758" s="6">
        <v>0.0</v>
      </c>
      <c r="C758" s="7"/>
      <c r="D758" s="7"/>
      <c r="E758" s="7"/>
      <c r="F758" s="7"/>
      <c r="G758" s="7"/>
    </row>
    <row r="759">
      <c r="A759" s="6" t="s">
        <v>493</v>
      </c>
      <c r="B759" s="6">
        <v>9.0</v>
      </c>
      <c r="C759" s="7"/>
      <c r="D759" s="7"/>
      <c r="E759" s="7"/>
      <c r="F759" s="7"/>
      <c r="G759" s="7"/>
    </row>
    <row r="760">
      <c r="A760" s="6" t="s">
        <v>494</v>
      </c>
      <c r="B760" s="6">
        <v>0.0</v>
      </c>
      <c r="C760" s="7"/>
      <c r="D760" s="7"/>
      <c r="E760" s="7"/>
      <c r="F760" s="7"/>
      <c r="G760" s="7"/>
    </row>
    <row r="761">
      <c r="A761" s="6" t="s">
        <v>495</v>
      </c>
      <c r="B761" s="6">
        <v>0.0</v>
      </c>
      <c r="C761" s="7"/>
      <c r="D761" s="7"/>
      <c r="E761" s="7"/>
      <c r="F761" s="7"/>
      <c r="G761" s="7"/>
    </row>
    <row r="762">
      <c r="A762" s="6" t="s">
        <v>496</v>
      </c>
      <c r="B762" s="6">
        <v>80.0</v>
      </c>
      <c r="C762" s="7"/>
      <c r="D762" s="7"/>
      <c r="E762" s="7"/>
      <c r="F762" s="7"/>
      <c r="G762" s="7"/>
    </row>
    <row r="763">
      <c r="A763" s="6" t="s">
        <v>497</v>
      </c>
      <c r="B763" s="6">
        <v>0.0</v>
      </c>
      <c r="C763" s="7"/>
      <c r="D763" s="7"/>
      <c r="E763" s="7"/>
      <c r="F763" s="7"/>
      <c r="G763" s="7"/>
    </row>
    <row r="764">
      <c r="A764" s="6" t="s">
        <v>498</v>
      </c>
      <c r="B764" s="6">
        <v>14.0</v>
      </c>
      <c r="C764" s="7"/>
      <c r="D764" s="7"/>
      <c r="E764" s="7"/>
      <c r="F764" s="7"/>
      <c r="G764" s="7"/>
    </row>
    <row r="765">
      <c r="A765" s="6" t="s">
        <v>499</v>
      </c>
      <c r="B765" s="6" t="s">
        <v>500</v>
      </c>
      <c r="C765" s="6">
        <v>18.0</v>
      </c>
      <c r="D765" s="7"/>
      <c r="E765" s="7"/>
      <c r="F765" s="7"/>
      <c r="G765" s="7"/>
    </row>
    <row r="766">
      <c r="A766" s="6" t="s">
        <v>501</v>
      </c>
      <c r="B766" s="6" t="s">
        <v>502</v>
      </c>
      <c r="C766" s="7"/>
      <c r="D766" s="7"/>
      <c r="E766" s="7"/>
      <c r="F766" s="7"/>
      <c r="G766" s="7"/>
    </row>
    <row r="767">
      <c r="A767" s="6" t="s">
        <v>503</v>
      </c>
      <c r="B767" s="6">
        <v>90.0</v>
      </c>
      <c r="C767" s="7"/>
      <c r="D767" s="7"/>
      <c r="E767" s="7"/>
      <c r="F767" s="7"/>
      <c r="G767" s="7"/>
    </row>
    <row r="768">
      <c r="A768" s="6" t="s">
        <v>504</v>
      </c>
      <c r="B768" s="7"/>
      <c r="C768" s="7"/>
      <c r="D768" s="7"/>
      <c r="E768" s="7"/>
      <c r="F768" s="7"/>
      <c r="G768" s="7"/>
    </row>
    <row r="769">
      <c r="A769" s="6" t="s">
        <v>505</v>
      </c>
      <c r="B769" s="6">
        <v>53.0</v>
      </c>
      <c r="C769" s="7"/>
      <c r="D769" s="7"/>
      <c r="E769" s="7"/>
      <c r="F769" s="7"/>
      <c r="G769" s="7"/>
    </row>
    <row r="770">
      <c r="A770" s="6" t="s">
        <v>506</v>
      </c>
      <c r="B770" s="6">
        <v>82.0</v>
      </c>
      <c r="C770" s="7"/>
      <c r="D770" s="7"/>
      <c r="E770" s="7"/>
      <c r="F770" s="7"/>
      <c r="G770" s="7"/>
    </row>
    <row r="771">
      <c r="A771" s="6" t="s">
        <v>507</v>
      </c>
      <c r="B771" s="6">
        <v>0.0</v>
      </c>
      <c r="C771" s="7"/>
      <c r="D771" s="7"/>
      <c r="E771" s="7"/>
      <c r="F771" s="7"/>
      <c r="G771" s="7"/>
    </row>
    <row r="772">
      <c r="A772" s="6" t="s">
        <v>508</v>
      </c>
      <c r="B772" s="6">
        <v>70.0</v>
      </c>
      <c r="C772" s="7"/>
      <c r="D772" s="7"/>
      <c r="E772" s="7"/>
      <c r="F772" s="7"/>
      <c r="G772" s="7"/>
    </row>
    <row r="773">
      <c r="A773" s="6" t="s">
        <v>509</v>
      </c>
      <c r="B773" s="6">
        <v>0.0</v>
      </c>
      <c r="C773" s="7"/>
      <c r="D773" s="7"/>
      <c r="E773" s="7"/>
      <c r="F773" s="7"/>
      <c r="G773" s="7"/>
    </row>
    <row r="774">
      <c r="A774" s="6" t="s">
        <v>431</v>
      </c>
      <c r="B774" s="6">
        <v>53.0</v>
      </c>
      <c r="C774" s="7"/>
      <c r="D774" s="7"/>
      <c r="E774" s="7"/>
      <c r="F774" s="7"/>
      <c r="G774" s="7"/>
    </row>
    <row r="775">
      <c r="A775" s="6" t="s">
        <v>432</v>
      </c>
      <c r="B775" s="6">
        <v>73.0</v>
      </c>
      <c r="C775" s="7"/>
      <c r="D775" s="7"/>
      <c r="E775" s="7"/>
      <c r="F775" s="7"/>
      <c r="G775" s="7"/>
    </row>
    <row r="776">
      <c r="A776" s="6" t="s">
        <v>433</v>
      </c>
      <c r="B776" s="6">
        <v>0.0</v>
      </c>
      <c r="C776" s="7"/>
      <c r="D776" s="7"/>
      <c r="E776" s="7"/>
      <c r="F776" s="7"/>
      <c r="G776" s="7"/>
    </row>
    <row r="777">
      <c r="A777" s="6" t="s">
        <v>434</v>
      </c>
      <c r="B777" s="6">
        <v>50.0</v>
      </c>
      <c r="C777" s="7"/>
      <c r="D777" s="7"/>
      <c r="E777" s="7"/>
      <c r="F777" s="7"/>
      <c r="G777" s="7"/>
    </row>
    <row r="778">
      <c r="A778" s="6" t="s">
        <v>435</v>
      </c>
      <c r="B778" s="6">
        <v>0.0</v>
      </c>
      <c r="C778" s="7"/>
      <c r="D778" s="7"/>
      <c r="E778" s="7"/>
      <c r="F778" s="7"/>
      <c r="G778" s="7"/>
    </row>
    <row r="779">
      <c r="A779" s="6" t="s">
        <v>436</v>
      </c>
      <c r="B779" s="6">
        <v>0.0</v>
      </c>
      <c r="C779" s="7"/>
      <c r="D779" s="7"/>
      <c r="E779" s="7"/>
      <c r="F779" s="7"/>
      <c r="G779" s="7"/>
    </row>
    <row r="780">
      <c r="A780" s="6" t="s">
        <v>437</v>
      </c>
      <c r="B780" s="6">
        <v>0.0</v>
      </c>
      <c r="C780" s="7"/>
      <c r="D780" s="7"/>
      <c r="E780" s="7"/>
      <c r="F780" s="7"/>
      <c r="G780" s="7"/>
    </row>
    <row r="781">
      <c r="A781" s="6" t="s">
        <v>438</v>
      </c>
      <c r="B781" s="6">
        <v>0.0</v>
      </c>
      <c r="C781" s="7"/>
      <c r="D781" s="7"/>
      <c r="E781" s="7"/>
      <c r="F781" s="7"/>
      <c r="G781" s="7"/>
    </row>
    <row r="782">
      <c r="A782" s="6" t="s">
        <v>439</v>
      </c>
      <c r="B782" s="6">
        <v>0.0</v>
      </c>
      <c r="C782" s="7"/>
      <c r="D782" s="7"/>
      <c r="E782" s="7"/>
      <c r="F782" s="7"/>
      <c r="G782" s="7"/>
    </row>
    <row r="783">
      <c r="A783" s="6" t="s">
        <v>440</v>
      </c>
      <c r="B783" s="6">
        <v>0.0</v>
      </c>
      <c r="C783" s="7"/>
      <c r="D783" s="7"/>
      <c r="E783" s="7"/>
      <c r="F783" s="7"/>
      <c r="G783" s="7"/>
    </row>
    <row r="784">
      <c r="A784" s="6" t="s">
        <v>441</v>
      </c>
      <c r="B784" s="6">
        <v>0.0</v>
      </c>
      <c r="C784" s="7"/>
      <c r="D784" s="7"/>
      <c r="E784" s="7"/>
      <c r="F784" s="7"/>
      <c r="G784" s="7"/>
    </row>
    <row r="785">
      <c r="A785" s="6" t="s">
        <v>442</v>
      </c>
      <c r="B785" s="6">
        <v>0.0</v>
      </c>
      <c r="C785" s="7"/>
      <c r="D785" s="7"/>
      <c r="E785" s="7"/>
      <c r="F785" s="7"/>
      <c r="G785" s="7"/>
    </row>
    <row r="786">
      <c r="A786" s="6" t="s">
        <v>443</v>
      </c>
      <c r="B786" s="6">
        <v>42.0</v>
      </c>
      <c r="C786" s="7"/>
      <c r="D786" s="7"/>
      <c r="E786" s="7"/>
      <c r="F786" s="7"/>
      <c r="G786" s="7"/>
    </row>
    <row r="787">
      <c r="A787" s="6" t="s">
        <v>444</v>
      </c>
      <c r="B787" s="6">
        <v>50.0</v>
      </c>
      <c r="C787" s="7"/>
      <c r="D787" s="7"/>
      <c r="E787" s="7"/>
      <c r="F787" s="7"/>
      <c r="G787" s="7"/>
    </row>
    <row r="788">
      <c r="A788" s="6" t="s">
        <v>445</v>
      </c>
      <c r="B788" s="6">
        <v>0.0</v>
      </c>
      <c r="C788" s="7"/>
      <c r="D788" s="7"/>
      <c r="E788" s="7"/>
      <c r="F788" s="7"/>
      <c r="G788" s="7"/>
    </row>
    <row r="789">
      <c r="A789" s="6" t="s">
        <v>446</v>
      </c>
      <c r="B789" s="6">
        <v>92.0</v>
      </c>
      <c r="C789" s="7"/>
      <c r="D789" s="7"/>
      <c r="E789" s="7"/>
      <c r="F789" s="7"/>
      <c r="G789" s="7"/>
    </row>
    <row r="790">
      <c r="A790" s="6" t="s">
        <v>447</v>
      </c>
      <c r="B790" s="6">
        <v>0.0</v>
      </c>
      <c r="C790" s="7"/>
      <c r="D790" s="7"/>
      <c r="E790" s="7"/>
      <c r="F790" s="7"/>
      <c r="G790" s="7"/>
    </row>
    <row r="791">
      <c r="A791" s="6" t="s">
        <v>448</v>
      </c>
      <c r="B791" s="6">
        <v>0.0</v>
      </c>
      <c r="C791" s="7"/>
      <c r="D791" s="7"/>
      <c r="E791" s="7"/>
      <c r="F791" s="7"/>
      <c r="G791" s="7"/>
    </row>
    <row r="792">
      <c r="A792" s="6" t="s">
        <v>449</v>
      </c>
      <c r="B792" s="6">
        <v>89.0</v>
      </c>
      <c r="C792" s="7"/>
      <c r="D792" s="7"/>
      <c r="E792" s="7"/>
      <c r="F792" s="7"/>
      <c r="G792" s="7"/>
    </row>
    <row r="793">
      <c r="A793" s="6" t="s">
        <v>450</v>
      </c>
      <c r="B793" s="6">
        <v>0.0</v>
      </c>
      <c r="C793" s="7"/>
      <c r="D793" s="7"/>
      <c r="E793" s="7"/>
      <c r="F793" s="7"/>
      <c r="G793" s="7"/>
    </row>
    <row r="794">
      <c r="A794" s="6" t="s">
        <v>451</v>
      </c>
      <c r="B794" s="6">
        <v>9.0</v>
      </c>
      <c r="C794" s="7"/>
      <c r="D794" s="7"/>
      <c r="E794" s="7"/>
      <c r="F794" s="7"/>
      <c r="G794" s="7"/>
    </row>
    <row r="795">
      <c r="A795" s="6" t="s">
        <v>452</v>
      </c>
      <c r="B795" s="6">
        <v>40.0</v>
      </c>
      <c r="C795" s="7"/>
      <c r="D795" s="7"/>
      <c r="E795" s="7"/>
      <c r="F795" s="7"/>
      <c r="G795" s="7"/>
    </row>
    <row r="796">
      <c r="A796" s="6" t="s">
        <v>453</v>
      </c>
      <c r="B796" s="6">
        <v>90.0</v>
      </c>
      <c r="C796" s="7"/>
      <c r="D796" s="7"/>
      <c r="E796" s="7"/>
      <c r="F796" s="7"/>
      <c r="G796" s="7"/>
    </row>
    <row r="797">
      <c r="A797" s="6" t="s">
        <v>454</v>
      </c>
      <c r="B797" s="6">
        <v>0.0</v>
      </c>
      <c r="C797" s="7"/>
      <c r="D797" s="7"/>
      <c r="E797" s="7"/>
      <c r="F797" s="7"/>
      <c r="G797" s="7"/>
    </row>
    <row r="798">
      <c r="A798" s="6" t="s">
        <v>455</v>
      </c>
      <c r="B798" s="6">
        <v>32.0</v>
      </c>
      <c r="C798" s="7"/>
      <c r="D798" s="7"/>
      <c r="E798" s="7"/>
      <c r="F798" s="7"/>
      <c r="G798" s="7"/>
    </row>
    <row r="799">
      <c r="A799" s="6" t="s">
        <v>456</v>
      </c>
      <c r="B799" s="6">
        <v>48.0</v>
      </c>
      <c r="C799" s="7"/>
      <c r="D799" s="7"/>
      <c r="E799" s="7"/>
      <c r="F799" s="7"/>
      <c r="G799" s="7"/>
    </row>
    <row r="800">
      <c r="A800" s="6" t="s">
        <v>457</v>
      </c>
      <c r="B800" s="6">
        <v>0.0</v>
      </c>
      <c r="C800" s="7"/>
      <c r="D800" s="7"/>
      <c r="E800" s="7"/>
      <c r="F800" s="7"/>
      <c r="G800" s="7"/>
    </row>
    <row r="801">
      <c r="A801" s="6" t="s">
        <v>458</v>
      </c>
      <c r="B801" s="6">
        <v>0.0</v>
      </c>
      <c r="C801" s="7"/>
      <c r="D801" s="7"/>
      <c r="E801" s="7"/>
      <c r="F801" s="7"/>
      <c r="G801" s="7"/>
    </row>
    <row r="802">
      <c r="A802" s="6" t="s">
        <v>459</v>
      </c>
      <c r="B802" s="6">
        <v>50.0</v>
      </c>
      <c r="C802" s="7"/>
      <c r="D802" s="7"/>
      <c r="E802" s="7"/>
      <c r="F802" s="7"/>
      <c r="G802" s="7"/>
    </row>
    <row r="803">
      <c r="A803" s="6" t="s">
        <v>460</v>
      </c>
      <c r="B803" s="6">
        <v>0.0</v>
      </c>
      <c r="C803" s="7"/>
      <c r="D803" s="7"/>
      <c r="E803" s="7"/>
      <c r="F803" s="7"/>
      <c r="G803" s="7"/>
    </row>
    <row r="804">
      <c r="A804" s="6" t="s">
        <v>461</v>
      </c>
      <c r="B804" s="6" t="s">
        <v>462</v>
      </c>
      <c r="C804" s="6" t="s">
        <v>463</v>
      </c>
      <c r="D804" s="6">
        <v>62.0</v>
      </c>
      <c r="E804" s="7"/>
      <c r="F804" s="7"/>
      <c r="G804" s="7"/>
    </row>
    <row r="805">
      <c r="A805" s="6" t="s">
        <v>464</v>
      </c>
      <c r="B805" s="6" t="s">
        <v>465</v>
      </c>
      <c r="C805" s="6">
        <v>0.0</v>
      </c>
      <c r="D805" s="7"/>
      <c r="E805" s="7"/>
      <c r="F805" s="7"/>
      <c r="G805" s="7"/>
    </row>
    <row r="806">
      <c r="A806" s="6" t="s">
        <v>466</v>
      </c>
      <c r="B806" s="6">
        <v>0.0</v>
      </c>
      <c r="C806" s="7"/>
      <c r="D806" s="7"/>
      <c r="E806" s="7"/>
      <c r="F806" s="7"/>
      <c r="G806" s="7"/>
    </row>
    <row r="807">
      <c r="A807" s="6" t="s">
        <v>467</v>
      </c>
      <c r="B807" s="6">
        <v>0.0</v>
      </c>
      <c r="C807" s="7"/>
      <c r="D807" s="7"/>
      <c r="E807" s="7"/>
      <c r="F807" s="7"/>
      <c r="G807" s="7"/>
    </row>
    <row r="808">
      <c r="A808" s="6" t="s">
        <v>468</v>
      </c>
      <c r="B808" s="6">
        <v>0.0</v>
      </c>
      <c r="C808" s="7"/>
      <c r="D808" s="7"/>
      <c r="E808" s="7"/>
      <c r="F808" s="7"/>
      <c r="G808" s="7"/>
    </row>
    <row r="809">
      <c r="A809" s="6" t="s">
        <v>469</v>
      </c>
      <c r="B809" s="6">
        <v>0.0</v>
      </c>
      <c r="C809" s="7"/>
      <c r="D809" s="7"/>
      <c r="E809" s="7"/>
      <c r="F809" s="7"/>
      <c r="G809" s="7"/>
    </row>
    <row r="810">
      <c r="A810" s="6" t="s">
        <v>470</v>
      </c>
      <c r="B810" s="6">
        <v>10.0</v>
      </c>
      <c r="C810" s="7"/>
      <c r="D810" s="7"/>
      <c r="E810" s="7"/>
      <c r="F810" s="7"/>
      <c r="G810" s="7"/>
    </row>
    <row r="811">
      <c r="A811" s="6" t="s">
        <v>471</v>
      </c>
      <c r="B811" s="6">
        <v>0.0</v>
      </c>
      <c r="C811" s="7"/>
      <c r="D811" s="7"/>
      <c r="E811" s="7"/>
      <c r="F811" s="7"/>
      <c r="G811" s="7"/>
    </row>
    <row r="812">
      <c r="A812" s="6" t="s">
        <v>472</v>
      </c>
      <c r="B812" s="6">
        <v>29.0</v>
      </c>
      <c r="C812" s="7"/>
      <c r="D812" s="7"/>
      <c r="E812" s="7"/>
      <c r="F812" s="7"/>
      <c r="G812" s="7"/>
    </row>
    <row r="813">
      <c r="A813" s="6" t="s">
        <v>473</v>
      </c>
      <c r="B813" s="6">
        <v>0.0</v>
      </c>
      <c r="C813" s="7"/>
      <c r="D813" s="7"/>
      <c r="E813" s="7"/>
      <c r="F813" s="7"/>
      <c r="G813" s="7"/>
    </row>
    <row r="814">
      <c r="A814" s="6" t="s">
        <v>474</v>
      </c>
      <c r="B814" s="6">
        <v>65.0</v>
      </c>
      <c r="C814" s="7"/>
      <c r="D814" s="7"/>
      <c r="E814" s="7"/>
      <c r="F814" s="7"/>
      <c r="G814" s="7"/>
    </row>
    <row r="815">
      <c r="A815" s="6" t="s">
        <v>475</v>
      </c>
      <c r="B815" s="6">
        <v>0.0</v>
      </c>
      <c r="C815" s="7"/>
      <c r="D815" s="7"/>
      <c r="E815" s="7"/>
      <c r="F815" s="7"/>
      <c r="G815" s="7"/>
    </row>
    <row r="816">
      <c r="A816" s="6" t="s">
        <v>476</v>
      </c>
      <c r="B816" s="6">
        <v>0.0</v>
      </c>
      <c r="C816" s="7"/>
      <c r="D816" s="7"/>
      <c r="E816" s="7"/>
      <c r="F816" s="7"/>
      <c r="G816" s="7"/>
    </row>
    <row r="817">
      <c r="A817" s="6" t="s">
        <v>477</v>
      </c>
      <c r="B817" s="6">
        <v>0.0</v>
      </c>
      <c r="C817" s="7"/>
      <c r="D817" s="7"/>
      <c r="E817" s="7"/>
      <c r="F817" s="7"/>
      <c r="G817" s="7"/>
    </row>
    <row r="818">
      <c r="A818" s="6" t="s">
        <v>478</v>
      </c>
      <c r="B818" s="6">
        <v>0.0</v>
      </c>
      <c r="C818" s="7"/>
      <c r="D818" s="7"/>
      <c r="E818" s="7"/>
      <c r="F818" s="7"/>
      <c r="G818" s="7"/>
    </row>
    <row r="819">
      <c r="A819" s="6" t="s">
        <v>479</v>
      </c>
      <c r="B819" s="6">
        <v>12.0</v>
      </c>
      <c r="C819" s="7"/>
      <c r="D819" s="7"/>
      <c r="E819" s="7"/>
      <c r="F819" s="7"/>
      <c r="G819" s="7"/>
    </row>
    <row r="820">
      <c r="A820" s="6" t="s">
        <v>480</v>
      </c>
      <c r="B820" s="6">
        <v>0.0</v>
      </c>
      <c r="C820" s="7"/>
      <c r="D820" s="7"/>
      <c r="E820" s="7"/>
      <c r="F820" s="7"/>
      <c r="G820" s="7"/>
    </row>
    <row r="821">
      <c r="A821" s="6" t="s">
        <v>481</v>
      </c>
      <c r="B821" s="6" t="s">
        <v>482</v>
      </c>
      <c r="C821" s="6">
        <v>95.0</v>
      </c>
      <c r="D821" s="7"/>
      <c r="E821" s="7"/>
      <c r="F821" s="7"/>
      <c r="G821" s="7"/>
    </row>
    <row r="822">
      <c r="A822" s="6" t="s">
        <v>483</v>
      </c>
      <c r="B822" s="6">
        <v>0.0</v>
      </c>
      <c r="C822" s="7"/>
      <c r="D822" s="7"/>
      <c r="E822" s="7"/>
      <c r="F822" s="7"/>
      <c r="G822" s="7"/>
    </row>
    <row r="823">
      <c r="A823" s="6" t="s">
        <v>484</v>
      </c>
      <c r="B823" s="6">
        <v>11.0</v>
      </c>
      <c r="C823" s="7"/>
      <c r="D823" s="7"/>
      <c r="E823" s="7"/>
      <c r="F823" s="7"/>
      <c r="G823" s="7"/>
    </row>
    <row r="824">
      <c r="A824" s="6" t="s">
        <v>485</v>
      </c>
      <c r="B824" s="6">
        <v>0.0</v>
      </c>
      <c r="C824" s="7"/>
      <c r="D824" s="7"/>
      <c r="E824" s="7"/>
      <c r="F824" s="7"/>
      <c r="G824" s="7"/>
    </row>
    <row r="825">
      <c r="A825" s="6" t="s">
        <v>486</v>
      </c>
      <c r="B825" s="6" t="s">
        <v>487</v>
      </c>
      <c r="C825" s="7"/>
      <c r="D825" s="7"/>
      <c r="E825" s="7"/>
      <c r="F825" s="7"/>
      <c r="G825" s="7"/>
    </row>
    <row r="826">
      <c r="A826" s="6" t="s">
        <v>488</v>
      </c>
      <c r="B826" s="6">
        <v>31.0</v>
      </c>
      <c r="C826" s="7"/>
      <c r="D826" s="7"/>
      <c r="E826" s="7"/>
      <c r="F826" s="7"/>
      <c r="G826" s="7"/>
    </row>
    <row r="827">
      <c r="A827" s="6" t="s">
        <v>489</v>
      </c>
      <c r="B827" s="7"/>
      <c r="C827" s="7"/>
      <c r="D827" s="7"/>
      <c r="E827" s="7"/>
      <c r="F827" s="7"/>
      <c r="G827" s="7"/>
    </row>
    <row r="828">
      <c r="A828" s="6" t="s">
        <v>490</v>
      </c>
      <c r="B828" s="6">
        <v>0.0</v>
      </c>
      <c r="C828" s="7"/>
      <c r="D828" s="7"/>
      <c r="E828" s="7"/>
      <c r="F828" s="7"/>
      <c r="G828" s="7"/>
    </row>
    <row r="829">
      <c r="A829" s="6" t="s">
        <v>491</v>
      </c>
      <c r="B829" s="6">
        <v>0.0</v>
      </c>
      <c r="C829" s="7"/>
      <c r="D829" s="7"/>
      <c r="E829" s="7"/>
      <c r="F829" s="7"/>
      <c r="G829" s="7"/>
    </row>
    <row r="830">
      <c r="A830" s="6" t="s">
        <v>492</v>
      </c>
      <c r="B830" s="6">
        <v>0.0</v>
      </c>
      <c r="C830" s="7"/>
      <c r="D830" s="7"/>
      <c r="E830" s="7"/>
      <c r="F830" s="7"/>
      <c r="G830" s="7"/>
    </row>
    <row r="831">
      <c r="A831" s="6" t="s">
        <v>493</v>
      </c>
      <c r="B831" s="6">
        <v>9.0</v>
      </c>
      <c r="C831" s="7"/>
      <c r="D831" s="7"/>
      <c r="E831" s="7"/>
      <c r="F831" s="7"/>
      <c r="G831" s="7"/>
    </row>
    <row r="832">
      <c r="A832" s="6" t="s">
        <v>494</v>
      </c>
      <c r="B832" s="6">
        <v>0.0</v>
      </c>
      <c r="C832" s="7"/>
      <c r="D832" s="7"/>
      <c r="E832" s="7"/>
      <c r="F832" s="7"/>
      <c r="G832" s="7"/>
    </row>
    <row r="833">
      <c r="A833" s="6" t="s">
        <v>495</v>
      </c>
      <c r="B833" s="6">
        <v>0.0</v>
      </c>
      <c r="C833" s="7"/>
      <c r="D833" s="7"/>
      <c r="E833" s="7"/>
      <c r="F833" s="7"/>
      <c r="G833" s="7"/>
    </row>
    <row r="834">
      <c r="A834" s="6" t="s">
        <v>496</v>
      </c>
      <c r="B834" s="6">
        <v>80.0</v>
      </c>
      <c r="C834" s="7"/>
      <c r="D834" s="7"/>
      <c r="E834" s="7"/>
      <c r="F834" s="7"/>
      <c r="G834" s="7"/>
    </row>
    <row r="835">
      <c r="A835" s="6" t="s">
        <v>497</v>
      </c>
      <c r="B835" s="6">
        <v>0.0</v>
      </c>
      <c r="C835" s="7"/>
      <c r="D835" s="7"/>
      <c r="E835" s="7"/>
      <c r="F835" s="7"/>
      <c r="G835" s="7"/>
    </row>
    <row r="836">
      <c r="A836" s="6" t="s">
        <v>498</v>
      </c>
      <c r="B836" s="6">
        <v>14.0</v>
      </c>
      <c r="C836" s="7"/>
      <c r="D836" s="7"/>
      <c r="E836" s="7"/>
      <c r="F836" s="7"/>
      <c r="G836" s="7"/>
    </row>
    <row r="837">
      <c r="A837" s="6" t="s">
        <v>499</v>
      </c>
      <c r="B837" s="6" t="s">
        <v>500</v>
      </c>
      <c r="C837" s="6">
        <v>18.0</v>
      </c>
      <c r="D837" s="7"/>
      <c r="E837" s="7"/>
      <c r="F837" s="7"/>
      <c r="G837" s="7"/>
    </row>
    <row r="838">
      <c r="A838" s="6" t="s">
        <v>501</v>
      </c>
      <c r="B838" s="6" t="s">
        <v>502</v>
      </c>
      <c r="C838" s="7"/>
      <c r="D838" s="7"/>
      <c r="E838" s="7"/>
      <c r="F838" s="7"/>
      <c r="G838" s="7"/>
    </row>
    <row r="839">
      <c r="A839" s="6" t="s">
        <v>503</v>
      </c>
      <c r="B839" s="6">
        <v>90.0</v>
      </c>
      <c r="C839" s="7"/>
      <c r="D839" s="7"/>
      <c r="E839" s="7"/>
      <c r="F839" s="7"/>
      <c r="G839" s="7"/>
    </row>
    <row r="840">
      <c r="A840" s="6" t="s">
        <v>504</v>
      </c>
      <c r="B840" s="7"/>
      <c r="C840" s="7"/>
      <c r="D840" s="7"/>
      <c r="E840" s="7"/>
      <c r="F840" s="7"/>
      <c r="G840" s="7"/>
    </row>
    <row r="841">
      <c r="A841" s="6" t="s">
        <v>505</v>
      </c>
      <c r="B841" s="6">
        <v>53.0</v>
      </c>
      <c r="C841" s="7"/>
      <c r="D841" s="7"/>
      <c r="E841" s="7"/>
      <c r="F841" s="7"/>
      <c r="G841" s="7"/>
    </row>
    <row r="842">
      <c r="A842" s="6" t="s">
        <v>506</v>
      </c>
      <c r="B842" s="6">
        <v>82.0</v>
      </c>
      <c r="C842" s="7"/>
      <c r="D842" s="7"/>
      <c r="E842" s="7"/>
      <c r="F842" s="7"/>
      <c r="G842" s="7"/>
    </row>
    <row r="843">
      <c r="A843" s="6" t="s">
        <v>507</v>
      </c>
      <c r="B843" s="6">
        <v>0.0</v>
      </c>
      <c r="C843" s="7"/>
      <c r="D843" s="7"/>
      <c r="E843" s="7"/>
      <c r="F843" s="7"/>
      <c r="G843" s="7"/>
    </row>
    <row r="844">
      <c r="A844" s="6" t="s">
        <v>508</v>
      </c>
      <c r="B844" s="6">
        <v>70.0</v>
      </c>
      <c r="C844" s="7"/>
      <c r="D844" s="7"/>
      <c r="E844" s="7"/>
      <c r="F844" s="7"/>
      <c r="G844" s="7"/>
    </row>
    <row r="845">
      <c r="A845" s="6" t="s">
        <v>509</v>
      </c>
      <c r="B845" s="6">
        <v>0.0</v>
      </c>
      <c r="C845" s="7"/>
      <c r="D845" s="7"/>
      <c r="E845" s="7"/>
      <c r="F845" s="7"/>
      <c r="G845" s="7"/>
    </row>
    <row r="846">
      <c r="A846" s="6" t="s">
        <v>510</v>
      </c>
      <c r="B846" s="6">
        <v>0.0</v>
      </c>
      <c r="C846" s="7"/>
      <c r="D846" s="7"/>
      <c r="E846" s="7"/>
      <c r="F846" s="7"/>
      <c r="G846" s="7"/>
    </row>
    <row r="847">
      <c r="A847" s="6" t="s">
        <v>511</v>
      </c>
      <c r="B847" s="6">
        <v>99.0</v>
      </c>
      <c r="C847" s="7"/>
      <c r="D847" s="7"/>
      <c r="E847" s="7"/>
      <c r="F847" s="7"/>
      <c r="G847" s="7"/>
    </row>
    <row r="848">
      <c r="A848" s="6" t="s">
        <v>512</v>
      </c>
      <c r="B848" s="6">
        <v>15.0</v>
      </c>
      <c r="C848" s="7"/>
      <c r="D848" s="7"/>
      <c r="E848" s="7"/>
      <c r="F848" s="7"/>
      <c r="G848" s="7"/>
    </row>
    <row r="849">
      <c r="A849" s="6" t="s">
        <v>513</v>
      </c>
      <c r="B849" s="6">
        <v>0.0</v>
      </c>
      <c r="C849" s="7"/>
      <c r="D849" s="7"/>
      <c r="E849" s="7"/>
      <c r="F849" s="7"/>
      <c r="G849" s="7"/>
    </row>
    <row r="850">
      <c r="A850" s="6" t="s">
        <v>514</v>
      </c>
      <c r="B850" s="6">
        <v>0.0</v>
      </c>
      <c r="C850" s="7"/>
      <c r="D850" s="7"/>
      <c r="E850" s="7"/>
      <c r="F850" s="7"/>
      <c r="G850" s="7"/>
    </row>
    <row r="851">
      <c r="A851" s="6" t="s">
        <v>515</v>
      </c>
      <c r="B851" s="6">
        <v>64.0</v>
      </c>
      <c r="C851" s="7"/>
      <c r="D851" s="7"/>
      <c r="E851" s="7"/>
      <c r="F851" s="7"/>
      <c r="G851" s="7"/>
    </row>
    <row r="852">
      <c r="A852" s="6" t="s">
        <v>516</v>
      </c>
      <c r="B852" s="6">
        <v>0.0</v>
      </c>
      <c r="C852" s="7"/>
      <c r="D852" s="7"/>
      <c r="E852" s="7"/>
      <c r="F852" s="7"/>
      <c r="G852" s="7"/>
    </row>
    <row r="853">
      <c r="A853" s="6" t="s">
        <v>517</v>
      </c>
      <c r="B853" s="6">
        <v>0.0</v>
      </c>
      <c r="C853" s="7"/>
      <c r="D853" s="7"/>
      <c r="E853" s="7"/>
      <c r="F853" s="7"/>
      <c r="G853" s="7"/>
    </row>
    <row r="854">
      <c r="A854" s="6" t="s">
        <v>518</v>
      </c>
      <c r="B854" s="6">
        <v>0.0</v>
      </c>
      <c r="C854" s="7"/>
      <c r="D854" s="7"/>
      <c r="E854" s="7"/>
      <c r="F854" s="7"/>
      <c r="G854" s="7"/>
    </row>
    <row r="855">
      <c r="A855" s="6" t="s">
        <v>519</v>
      </c>
      <c r="B855" s="6">
        <v>0.0</v>
      </c>
      <c r="C855" s="7"/>
      <c r="D855" s="7"/>
      <c r="E855" s="7"/>
      <c r="F855" s="7"/>
      <c r="G855" s="7"/>
    </row>
    <row r="856">
      <c r="A856" s="6" t="s">
        <v>520</v>
      </c>
      <c r="B856" s="6">
        <v>0.0</v>
      </c>
      <c r="C856" s="7"/>
      <c r="D856" s="7"/>
      <c r="E856" s="7"/>
      <c r="F856" s="7"/>
      <c r="G856" s="7"/>
    </row>
    <row r="857">
      <c r="A857" s="6" t="s">
        <v>521</v>
      </c>
      <c r="B857" s="6">
        <v>62.0</v>
      </c>
      <c r="C857" s="7"/>
      <c r="D857" s="7"/>
      <c r="E857" s="7"/>
      <c r="F857" s="7"/>
      <c r="G857" s="7"/>
    </row>
    <row r="858">
      <c r="A858" s="6" t="s">
        <v>522</v>
      </c>
      <c r="B858" s="6">
        <v>82.0</v>
      </c>
      <c r="C858" s="7"/>
      <c r="D858" s="7"/>
      <c r="E858" s="7"/>
      <c r="F858" s="7"/>
      <c r="G858" s="7"/>
    </row>
    <row r="859">
      <c r="A859" s="6" t="s">
        <v>523</v>
      </c>
      <c r="B859" s="6">
        <v>0.0</v>
      </c>
      <c r="C859" s="7"/>
      <c r="D859" s="7"/>
      <c r="E859" s="7"/>
      <c r="F859" s="7"/>
      <c r="G859" s="7"/>
    </row>
    <row r="860">
      <c r="A860" s="6" t="s">
        <v>524</v>
      </c>
      <c r="B860" s="6">
        <v>60.0</v>
      </c>
      <c r="C860" s="7"/>
      <c r="D860" s="7"/>
      <c r="E860" s="7"/>
      <c r="F860" s="7"/>
      <c r="G860" s="7"/>
    </row>
    <row r="861">
      <c r="A861" s="6" t="s">
        <v>525</v>
      </c>
      <c r="B861" s="6">
        <v>0.0</v>
      </c>
      <c r="C861" s="7"/>
      <c r="D861" s="7"/>
      <c r="E861" s="7"/>
      <c r="F861" s="7"/>
      <c r="G861" s="7"/>
    </row>
    <row r="862">
      <c r="A862" s="6" t="s">
        <v>526</v>
      </c>
      <c r="B862" s="6">
        <v>90.0</v>
      </c>
      <c r="C862" s="7"/>
      <c r="D862" s="7"/>
      <c r="E862" s="7"/>
      <c r="F862" s="7"/>
      <c r="G862" s="7"/>
    </row>
    <row r="863">
      <c r="A863" s="6" t="s">
        <v>527</v>
      </c>
      <c r="B863" s="6">
        <v>0.0</v>
      </c>
      <c r="C863" s="7"/>
      <c r="D863" s="7"/>
      <c r="E863" s="7"/>
      <c r="F863" s="7"/>
      <c r="G863" s="7"/>
    </row>
    <row r="864">
      <c r="A864" s="6" t="s">
        <v>528</v>
      </c>
      <c r="B864" s="6">
        <v>0.0</v>
      </c>
      <c r="C864" s="7"/>
      <c r="D864" s="7"/>
      <c r="E864" s="7"/>
      <c r="F864" s="7"/>
      <c r="G864" s="7"/>
    </row>
    <row r="865">
      <c r="A865" s="6" t="s">
        <v>529</v>
      </c>
      <c r="B865" s="6">
        <v>0.0</v>
      </c>
      <c r="C865" s="7"/>
      <c r="D865" s="7"/>
      <c r="E865" s="7"/>
      <c r="F865" s="7"/>
      <c r="G865" s="7"/>
    </row>
    <row r="866">
      <c r="A866" s="6" t="s">
        <v>530</v>
      </c>
      <c r="B866" s="6">
        <v>0.0</v>
      </c>
      <c r="C866" s="7"/>
      <c r="D866" s="7"/>
      <c r="E866" s="7"/>
      <c r="F866" s="7"/>
      <c r="G866" s="7"/>
    </row>
    <row r="867">
      <c r="A867" s="6" t="s">
        <v>531</v>
      </c>
      <c r="B867" s="6">
        <v>0.0</v>
      </c>
      <c r="C867" s="7"/>
      <c r="D867" s="7"/>
      <c r="E867" s="7"/>
      <c r="F867" s="7"/>
      <c r="G867" s="7"/>
    </row>
    <row r="868">
      <c r="A868" s="6" t="s">
        <v>532</v>
      </c>
      <c r="B868" s="6">
        <v>24.0</v>
      </c>
      <c r="C868" s="7"/>
      <c r="D868" s="7"/>
      <c r="E868" s="7"/>
      <c r="F868" s="7"/>
      <c r="G868" s="7"/>
    </row>
    <row r="869">
      <c r="A869" s="6" t="s">
        <v>533</v>
      </c>
      <c r="B869" s="6">
        <v>21.0</v>
      </c>
      <c r="C869" s="7"/>
      <c r="D869" s="7"/>
      <c r="E869" s="7"/>
      <c r="F869" s="7"/>
      <c r="G869" s="7"/>
    </row>
    <row r="870">
      <c r="A870" s="6" t="s">
        <v>534</v>
      </c>
      <c r="B870" s="6">
        <v>0.0</v>
      </c>
      <c r="C870" s="7"/>
      <c r="D870" s="7"/>
      <c r="E870" s="7"/>
      <c r="F870" s="7"/>
      <c r="G870" s="7"/>
    </row>
    <row r="871">
      <c r="A871" s="6" t="s">
        <v>535</v>
      </c>
      <c r="B871" s="6">
        <v>28.0</v>
      </c>
      <c r="C871" s="7"/>
      <c r="D871" s="7"/>
      <c r="E871" s="7"/>
      <c r="F871" s="7"/>
      <c r="G871" s="7"/>
    </row>
    <row r="872">
      <c r="A872" s="6" t="s">
        <v>536</v>
      </c>
      <c r="B872" s="6">
        <v>0.0</v>
      </c>
      <c r="C872" s="7"/>
      <c r="D872" s="7"/>
      <c r="E872" s="7"/>
      <c r="F872" s="7"/>
      <c r="G872" s="7"/>
    </row>
    <row r="873">
      <c r="A873" s="6" t="s">
        <v>537</v>
      </c>
      <c r="B873" s="6">
        <v>0.0</v>
      </c>
      <c r="C873" s="7"/>
      <c r="D873" s="7"/>
      <c r="E873" s="7"/>
      <c r="F873" s="7"/>
      <c r="G873" s="7"/>
    </row>
    <row r="874">
      <c r="A874" s="6" t="s">
        <v>538</v>
      </c>
      <c r="B874" s="6">
        <v>50.0</v>
      </c>
      <c r="C874" s="7"/>
      <c r="D874" s="7"/>
      <c r="E874" s="7"/>
      <c r="F874" s="7"/>
      <c r="G874" s="7"/>
    </row>
    <row r="875">
      <c r="A875" s="6" t="s">
        <v>539</v>
      </c>
      <c r="B875" s="6">
        <v>58.0</v>
      </c>
      <c r="C875" s="7"/>
      <c r="D875" s="7"/>
      <c r="E875" s="7"/>
      <c r="F875" s="7"/>
      <c r="G875" s="7"/>
    </row>
    <row r="876">
      <c r="A876" s="6" t="s">
        <v>540</v>
      </c>
      <c r="B876" s="6">
        <v>0.0</v>
      </c>
      <c r="C876" s="7"/>
      <c r="D876" s="7"/>
      <c r="E876" s="7"/>
      <c r="F876" s="7"/>
      <c r="G876" s="7"/>
    </row>
    <row r="877">
      <c r="A877" s="6" t="s">
        <v>541</v>
      </c>
      <c r="B877" s="6">
        <v>0.0</v>
      </c>
      <c r="C877" s="7"/>
      <c r="D877" s="7"/>
      <c r="E877" s="7"/>
      <c r="F877" s="7"/>
      <c r="G877" s="7"/>
    </row>
    <row r="878">
      <c r="A878" s="6" t="s">
        <v>542</v>
      </c>
      <c r="B878" s="6">
        <v>0.0</v>
      </c>
      <c r="C878" s="7"/>
      <c r="D878" s="7"/>
      <c r="E878" s="7"/>
      <c r="F878" s="7"/>
      <c r="G878" s="7"/>
    </row>
    <row r="879">
      <c r="A879" s="6" t="s">
        <v>543</v>
      </c>
      <c r="B879" s="6">
        <v>0.0</v>
      </c>
      <c r="C879" s="7"/>
      <c r="D879" s="7"/>
      <c r="E879" s="7"/>
      <c r="F879" s="7"/>
      <c r="G879" s="7"/>
    </row>
    <row r="880">
      <c r="A880" s="6" t="s">
        <v>544</v>
      </c>
      <c r="B880" s="6">
        <v>85.0</v>
      </c>
      <c r="C880" s="7"/>
      <c r="D880" s="7"/>
      <c r="E880" s="7"/>
      <c r="F880" s="7"/>
      <c r="G880" s="7"/>
    </row>
    <row r="881">
      <c r="A881" s="6" t="s">
        <v>545</v>
      </c>
      <c r="B881" s="6">
        <v>0.0</v>
      </c>
      <c r="C881" s="7"/>
      <c r="D881" s="7"/>
      <c r="E881" s="7"/>
      <c r="F881" s="7"/>
      <c r="G881" s="7"/>
    </row>
    <row r="882">
      <c r="A882" s="6" t="s">
        <v>546</v>
      </c>
      <c r="B882" s="6">
        <v>5.0</v>
      </c>
      <c r="C882" s="7"/>
      <c r="D882" s="7"/>
      <c r="E882" s="7"/>
      <c r="F882" s="7"/>
      <c r="G882" s="7"/>
    </row>
    <row r="883">
      <c r="A883" s="6" t="s">
        <v>547</v>
      </c>
      <c r="B883" s="6">
        <v>0.0</v>
      </c>
      <c r="C883" s="7"/>
      <c r="D883" s="7"/>
      <c r="E883" s="7"/>
      <c r="F883" s="7"/>
      <c r="G883" s="7"/>
    </row>
    <row r="884">
      <c r="A884" s="6" t="s">
        <v>548</v>
      </c>
      <c r="B884" s="6">
        <v>0.0</v>
      </c>
      <c r="C884" s="7"/>
      <c r="D884" s="7"/>
      <c r="E884" s="7"/>
      <c r="F884" s="7"/>
      <c r="G884" s="7"/>
    </row>
    <row r="885">
      <c r="A885" s="6" t="s">
        <v>549</v>
      </c>
      <c r="B885" s="6" t="s">
        <v>550</v>
      </c>
      <c r="C885" s="6">
        <v>0.0</v>
      </c>
      <c r="D885" s="7"/>
      <c r="E885" s="7"/>
      <c r="F885" s="7"/>
      <c r="G885" s="7"/>
    </row>
    <row r="886">
      <c r="A886" s="6" t="s">
        <v>551</v>
      </c>
      <c r="B886" s="6" t="s">
        <v>552</v>
      </c>
      <c r="C886" s="6">
        <v>18.0</v>
      </c>
      <c r="D886" s="7"/>
      <c r="E886" s="7"/>
      <c r="F886" s="7"/>
      <c r="G886" s="7"/>
    </row>
    <row r="887">
      <c r="A887" s="6" t="s">
        <v>553</v>
      </c>
      <c r="B887" s="6">
        <v>0.0</v>
      </c>
      <c r="C887" s="7"/>
      <c r="D887" s="7"/>
      <c r="E887" s="7"/>
      <c r="F887" s="7"/>
      <c r="G887" s="7"/>
    </row>
    <row r="888">
      <c r="A888" s="6" t="s">
        <v>554</v>
      </c>
      <c r="B888" s="6">
        <v>0.0</v>
      </c>
      <c r="C888" s="7"/>
      <c r="D888" s="7"/>
      <c r="E888" s="7"/>
      <c r="F888" s="7"/>
      <c r="G888" s="7"/>
    </row>
    <row r="889">
      <c r="A889" s="6" t="s">
        <v>555</v>
      </c>
      <c r="B889" s="6">
        <v>46.0</v>
      </c>
      <c r="C889" s="7"/>
      <c r="D889" s="7"/>
      <c r="E889" s="7"/>
      <c r="F889" s="7"/>
      <c r="G889" s="7"/>
    </row>
    <row r="890">
      <c r="A890" s="6" t="s">
        <v>556</v>
      </c>
      <c r="B890" s="6">
        <v>0.0</v>
      </c>
      <c r="C890" s="7"/>
      <c r="D890" s="7"/>
      <c r="E890" s="7"/>
      <c r="F890" s="7"/>
      <c r="G890" s="7"/>
    </row>
    <row r="891">
      <c r="A891" s="6" t="s">
        <v>557</v>
      </c>
      <c r="B891" s="6">
        <v>0.0</v>
      </c>
      <c r="C891" s="7"/>
      <c r="D891" s="7"/>
      <c r="E891" s="7"/>
      <c r="F891" s="7"/>
      <c r="G891" s="7"/>
    </row>
    <row r="892">
      <c r="A892" s="6" t="s">
        <v>558</v>
      </c>
      <c r="B892" s="6">
        <v>0.0</v>
      </c>
      <c r="C892" s="7"/>
      <c r="D892" s="7"/>
      <c r="E892" s="7"/>
      <c r="F892" s="7"/>
      <c r="G892" s="7"/>
    </row>
    <row r="893">
      <c r="A893" s="6" t="s">
        <v>559</v>
      </c>
      <c r="B893" s="6">
        <v>0.0</v>
      </c>
      <c r="C893" s="7"/>
      <c r="D893" s="7"/>
      <c r="E893" s="7"/>
      <c r="F893" s="7"/>
      <c r="G893" s="7"/>
    </row>
    <row r="894">
      <c r="A894" s="6" t="s">
        <v>560</v>
      </c>
      <c r="B894" s="6">
        <v>58.0</v>
      </c>
      <c r="C894" s="7"/>
      <c r="D894" s="7"/>
      <c r="E894" s="7"/>
      <c r="F894" s="7"/>
      <c r="G894" s="7"/>
    </row>
    <row r="895">
      <c r="A895" s="6" t="s">
        <v>561</v>
      </c>
      <c r="B895" s="6">
        <v>0.0</v>
      </c>
      <c r="C895" s="7"/>
      <c r="D895" s="7"/>
      <c r="E895" s="7"/>
      <c r="F895" s="7"/>
      <c r="G895" s="7"/>
    </row>
    <row r="896">
      <c r="A896" s="6" t="s">
        <v>562</v>
      </c>
      <c r="B896" s="6">
        <v>60.0</v>
      </c>
      <c r="C896" s="7"/>
      <c r="D896" s="7"/>
      <c r="E896" s="7"/>
      <c r="F896" s="7"/>
      <c r="G896" s="7"/>
    </row>
    <row r="897">
      <c r="A897" s="6" t="s">
        <v>563</v>
      </c>
      <c r="B897" s="6">
        <v>0.0</v>
      </c>
      <c r="C897" s="7"/>
      <c r="D897" s="7"/>
      <c r="E897" s="7"/>
      <c r="F897" s="7"/>
      <c r="G897" s="7"/>
    </row>
    <row r="898">
      <c r="A898" s="6" t="s">
        <v>564</v>
      </c>
      <c r="B898" s="6">
        <v>21.0</v>
      </c>
      <c r="C898" s="7"/>
      <c r="D898" s="7"/>
      <c r="E898" s="7"/>
      <c r="F898" s="7"/>
      <c r="G898" s="7"/>
    </row>
    <row r="899">
      <c r="A899" s="6" t="s">
        <v>565</v>
      </c>
      <c r="B899" s="6">
        <v>0.0</v>
      </c>
      <c r="C899" s="7"/>
      <c r="D899" s="7"/>
      <c r="E899" s="7"/>
      <c r="F899" s="7"/>
      <c r="G899" s="7"/>
    </row>
    <row r="900">
      <c r="A900" s="6" t="s">
        <v>566</v>
      </c>
      <c r="B900" s="6">
        <v>0.0</v>
      </c>
      <c r="C900" s="7"/>
      <c r="D900" s="7"/>
      <c r="E900" s="7"/>
      <c r="F900" s="7"/>
      <c r="G900" s="7"/>
    </row>
    <row r="901">
      <c r="A901" s="6" t="s">
        <v>567</v>
      </c>
      <c r="B901" s="6">
        <v>0.0</v>
      </c>
      <c r="C901" s="7"/>
      <c r="D901" s="7"/>
      <c r="E901" s="7"/>
      <c r="F901" s="7"/>
      <c r="G901" s="7"/>
    </row>
    <row r="902">
      <c r="A902" s="6" t="s">
        <v>568</v>
      </c>
      <c r="B902" s="6">
        <v>60.0</v>
      </c>
      <c r="C902" s="7"/>
      <c r="D902" s="7"/>
      <c r="E902" s="7"/>
      <c r="F902" s="7"/>
      <c r="G902" s="7"/>
    </row>
    <row r="903">
      <c r="A903" s="6" t="s">
        <v>569</v>
      </c>
      <c r="B903" s="6">
        <v>50.0</v>
      </c>
      <c r="C903" s="7"/>
      <c r="D903" s="7"/>
      <c r="E903" s="7"/>
      <c r="F903" s="7"/>
      <c r="G903" s="7"/>
    </row>
    <row r="904">
      <c r="A904" s="6" t="s">
        <v>570</v>
      </c>
      <c r="B904" s="6">
        <v>30.0</v>
      </c>
      <c r="C904" s="7"/>
      <c r="D904" s="7"/>
      <c r="E904" s="7"/>
      <c r="F904" s="7"/>
      <c r="G904" s="7"/>
    </row>
    <row r="905">
      <c r="A905" s="6" t="s">
        <v>571</v>
      </c>
      <c r="B905" s="6">
        <v>0.0</v>
      </c>
      <c r="C905" s="7"/>
      <c r="D905" s="7"/>
      <c r="E905" s="7"/>
      <c r="F905" s="7"/>
      <c r="G905" s="7"/>
    </row>
    <row r="906">
      <c r="A906" s="6" t="s">
        <v>572</v>
      </c>
      <c r="B906" s="6">
        <v>0.0</v>
      </c>
      <c r="C906" s="7"/>
      <c r="D906" s="7"/>
      <c r="E906" s="7"/>
      <c r="F906" s="7"/>
      <c r="G906" s="7"/>
    </row>
    <row r="907">
      <c r="A907" s="6" t="s">
        <v>573</v>
      </c>
      <c r="B907" s="6" t="s">
        <v>574</v>
      </c>
      <c r="C907" s="6">
        <v>0.0</v>
      </c>
      <c r="D907" s="7"/>
      <c r="E907" s="7"/>
      <c r="F907" s="7"/>
      <c r="G907" s="7"/>
    </row>
    <row r="908">
      <c r="A908" s="6" t="s">
        <v>575</v>
      </c>
      <c r="B908" s="6">
        <v>0.0</v>
      </c>
      <c r="C908" s="7"/>
      <c r="D908" s="7"/>
      <c r="E908" s="7"/>
      <c r="F908" s="7"/>
      <c r="G908" s="7"/>
    </row>
    <row r="909">
      <c r="A909" s="6" t="s">
        <v>576</v>
      </c>
      <c r="B909" s="6">
        <v>0.0</v>
      </c>
      <c r="C909" s="7"/>
      <c r="D909" s="7"/>
      <c r="E909" s="7"/>
      <c r="F909" s="7"/>
      <c r="G909" s="7"/>
    </row>
    <row r="910">
      <c r="A910" s="6" t="s">
        <v>577</v>
      </c>
      <c r="B910" s="6">
        <v>0.0</v>
      </c>
      <c r="C910" s="7"/>
      <c r="D910" s="7"/>
      <c r="E910" s="7"/>
      <c r="F910" s="7"/>
      <c r="G910" s="7"/>
    </row>
    <row r="911">
      <c r="A911" s="6" t="s">
        <v>578</v>
      </c>
      <c r="B911" s="6">
        <v>0.0</v>
      </c>
      <c r="C911" s="7"/>
      <c r="D911" s="7"/>
      <c r="E911" s="7"/>
      <c r="F911" s="7"/>
      <c r="G911" s="7"/>
    </row>
    <row r="912">
      <c r="A912" s="6" t="s">
        <v>579</v>
      </c>
      <c r="B912" s="6">
        <v>0.0</v>
      </c>
      <c r="C912" s="7"/>
      <c r="D912" s="7"/>
      <c r="E912" s="7"/>
      <c r="F912" s="7"/>
      <c r="G912" s="7"/>
    </row>
    <row r="913">
      <c r="A913" s="6" t="s">
        <v>580</v>
      </c>
      <c r="B913" s="6">
        <v>0.0</v>
      </c>
      <c r="C913" s="7"/>
      <c r="D913" s="7"/>
      <c r="E913" s="7"/>
      <c r="F913" s="7"/>
      <c r="G913" s="7"/>
    </row>
    <row r="914">
      <c r="A914" s="6" t="s">
        <v>581</v>
      </c>
      <c r="B914" s="6">
        <v>0.0</v>
      </c>
      <c r="C914" s="7"/>
      <c r="D914" s="7"/>
      <c r="E914" s="7"/>
      <c r="F914" s="7"/>
      <c r="G914" s="7"/>
    </row>
    <row r="915">
      <c r="A915" s="6" t="s">
        <v>510</v>
      </c>
      <c r="B915" s="6">
        <v>0.0</v>
      </c>
      <c r="C915" s="7"/>
      <c r="D915" s="7"/>
      <c r="E915" s="7"/>
      <c r="F915" s="7"/>
      <c r="G915" s="7"/>
    </row>
    <row r="916">
      <c r="A916" s="6" t="s">
        <v>511</v>
      </c>
      <c r="B916" s="6">
        <v>99.0</v>
      </c>
      <c r="C916" s="7"/>
      <c r="D916" s="7"/>
      <c r="E916" s="7"/>
      <c r="F916" s="7"/>
      <c r="G916" s="7"/>
    </row>
    <row r="917">
      <c r="A917" s="6" t="s">
        <v>512</v>
      </c>
      <c r="B917" s="6">
        <v>15.0</v>
      </c>
      <c r="C917" s="7"/>
      <c r="D917" s="7"/>
      <c r="E917" s="7"/>
      <c r="F917" s="7"/>
      <c r="G917" s="7"/>
    </row>
    <row r="918">
      <c r="A918" s="6" t="s">
        <v>513</v>
      </c>
      <c r="B918" s="6">
        <v>0.0</v>
      </c>
      <c r="C918" s="7"/>
      <c r="D918" s="7"/>
      <c r="E918" s="7"/>
      <c r="F918" s="7"/>
      <c r="G918" s="7"/>
    </row>
    <row r="919">
      <c r="A919" s="6" t="s">
        <v>514</v>
      </c>
      <c r="B919" s="6">
        <v>0.0</v>
      </c>
      <c r="C919" s="7"/>
      <c r="D919" s="7"/>
      <c r="E919" s="7"/>
      <c r="F919" s="7"/>
      <c r="G919" s="7"/>
    </row>
    <row r="920">
      <c r="A920" s="6" t="s">
        <v>515</v>
      </c>
      <c r="B920" s="6">
        <v>64.0</v>
      </c>
      <c r="C920" s="7"/>
      <c r="D920" s="7"/>
      <c r="E920" s="7"/>
      <c r="F920" s="7"/>
      <c r="G920" s="7"/>
    </row>
    <row r="921">
      <c r="A921" s="6" t="s">
        <v>516</v>
      </c>
      <c r="B921" s="6">
        <v>0.0</v>
      </c>
      <c r="C921" s="7"/>
      <c r="D921" s="7"/>
      <c r="E921" s="7"/>
      <c r="F921" s="7"/>
      <c r="G921" s="7"/>
    </row>
    <row r="922">
      <c r="A922" s="6" t="s">
        <v>517</v>
      </c>
      <c r="B922" s="6">
        <v>0.0</v>
      </c>
      <c r="C922" s="7"/>
      <c r="D922" s="7"/>
      <c r="E922" s="7"/>
      <c r="F922" s="7"/>
      <c r="G922" s="7"/>
    </row>
    <row r="923">
      <c r="A923" s="6" t="s">
        <v>518</v>
      </c>
      <c r="B923" s="6">
        <v>0.0</v>
      </c>
      <c r="C923" s="7"/>
      <c r="D923" s="7"/>
      <c r="E923" s="7"/>
      <c r="F923" s="7"/>
      <c r="G923" s="7"/>
    </row>
    <row r="924">
      <c r="A924" s="6" t="s">
        <v>519</v>
      </c>
      <c r="B924" s="6">
        <v>0.0</v>
      </c>
      <c r="C924" s="7"/>
      <c r="D924" s="7"/>
      <c r="E924" s="7"/>
      <c r="F924" s="7"/>
      <c r="G924" s="7"/>
    </row>
    <row r="925">
      <c r="A925" s="6" t="s">
        <v>520</v>
      </c>
      <c r="B925" s="6">
        <v>0.0</v>
      </c>
      <c r="C925" s="7"/>
      <c r="D925" s="7"/>
      <c r="E925" s="7"/>
      <c r="F925" s="7"/>
      <c r="G925" s="7"/>
    </row>
    <row r="926">
      <c r="A926" s="6" t="s">
        <v>521</v>
      </c>
      <c r="B926" s="6">
        <v>62.0</v>
      </c>
      <c r="C926" s="7"/>
      <c r="D926" s="7"/>
      <c r="E926" s="7"/>
      <c r="F926" s="7"/>
      <c r="G926" s="7"/>
    </row>
    <row r="927">
      <c r="A927" s="6" t="s">
        <v>522</v>
      </c>
      <c r="B927" s="6">
        <v>82.0</v>
      </c>
      <c r="C927" s="7"/>
      <c r="D927" s="7"/>
      <c r="E927" s="7"/>
      <c r="F927" s="7"/>
      <c r="G927" s="7"/>
    </row>
    <row r="928">
      <c r="A928" s="6" t="s">
        <v>523</v>
      </c>
      <c r="B928" s="6">
        <v>0.0</v>
      </c>
      <c r="C928" s="7"/>
      <c r="D928" s="7"/>
      <c r="E928" s="7"/>
      <c r="F928" s="7"/>
      <c r="G928" s="7"/>
    </row>
    <row r="929">
      <c r="A929" s="6" t="s">
        <v>524</v>
      </c>
      <c r="B929" s="6">
        <v>60.0</v>
      </c>
      <c r="C929" s="7"/>
      <c r="D929" s="7"/>
      <c r="E929" s="7"/>
      <c r="F929" s="7"/>
      <c r="G929" s="7"/>
    </row>
    <row r="930">
      <c r="A930" s="6" t="s">
        <v>525</v>
      </c>
      <c r="B930" s="6">
        <v>0.0</v>
      </c>
      <c r="C930" s="7"/>
      <c r="D930" s="7"/>
      <c r="E930" s="7"/>
      <c r="F930" s="7"/>
      <c r="G930" s="7"/>
    </row>
    <row r="931">
      <c r="A931" s="6" t="s">
        <v>526</v>
      </c>
      <c r="B931" s="6">
        <v>90.0</v>
      </c>
      <c r="C931" s="7"/>
      <c r="D931" s="7"/>
      <c r="E931" s="7"/>
      <c r="F931" s="7"/>
      <c r="G931" s="7"/>
    </row>
    <row r="932">
      <c r="A932" s="6" t="s">
        <v>527</v>
      </c>
      <c r="B932" s="6">
        <v>0.0</v>
      </c>
      <c r="C932" s="7"/>
      <c r="D932" s="7"/>
      <c r="E932" s="7"/>
      <c r="F932" s="7"/>
      <c r="G932" s="7"/>
    </row>
    <row r="933">
      <c r="A933" s="6" t="s">
        <v>528</v>
      </c>
      <c r="B933" s="6">
        <v>0.0</v>
      </c>
      <c r="C933" s="7"/>
      <c r="D933" s="7"/>
      <c r="E933" s="7"/>
      <c r="F933" s="7"/>
      <c r="G933" s="7"/>
    </row>
    <row r="934">
      <c r="A934" s="6" t="s">
        <v>529</v>
      </c>
      <c r="B934" s="6">
        <v>0.0</v>
      </c>
      <c r="C934" s="7"/>
      <c r="D934" s="7"/>
      <c r="E934" s="7"/>
      <c r="F934" s="7"/>
      <c r="G934" s="7"/>
    </row>
    <row r="935">
      <c r="A935" s="6" t="s">
        <v>530</v>
      </c>
      <c r="B935" s="6">
        <v>0.0</v>
      </c>
      <c r="C935" s="7"/>
      <c r="D935" s="7"/>
      <c r="E935" s="7"/>
      <c r="F935" s="7"/>
      <c r="G935" s="7"/>
    </row>
    <row r="936">
      <c r="A936" s="6" t="s">
        <v>531</v>
      </c>
      <c r="B936" s="6">
        <v>0.0</v>
      </c>
      <c r="C936" s="7"/>
      <c r="D936" s="7"/>
      <c r="E936" s="7"/>
      <c r="F936" s="7"/>
      <c r="G936" s="7"/>
    </row>
    <row r="937">
      <c r="A937" s="6" t="s">
        <v>532</v>
      </c>
      <c r="B937" s="6">
        <v>24.0</v>
      </c>
      <c r="C937" s="7"/>
      <c r="D937" s="7"/>
      <c r="E937" s="7"/>
      <c r="F937" s="7"/>
      <c r="G937" s="7"/>
    </row>
    <row r="938">
      <c r="A938" s="6" t="s">
        <v>533</v>
      </c>
      <c r="B938" s="6">
        <v>21.0</v>
      </c>
      <c r="C938" s="7"/>
      <c r="D938" s="7"/>
      <c r="E938" s="7"/>
      <c r="F938" s="7"/>
      <c r="G938" s="7"/>
    </row>
    <row r="939">
      <c r="A939" s="6" t="s">
        <v>534</v>
      </c>
      <c r="B939" s="6">
        <v>0.0</v>
      </c>
      <c r="C939" s="7"/>
      <c r="D939" s="7"/>
      <c r="E939" s="7"/>
      <c r="F939" s="7"/>
      <c r="G939" s="7"/>
    </row>
    <row r="940">
      <c r="A940" s="6" t="s">
        <v>535</v>
      </c>
      <c r="B940" s="6">
        <v>28.0</v>
      </c>
      <c r="C940" s="7"/>
      <c r="D940" s="7"/>
      <c r="E940" s="7"/>
      <c r="F940" s="7"/>
      <c r="G940" s="7"/>
    </row>
    <row r="941">
      <c r="A941" s="6" t="s">
        <v>536</v>
      </c>
      <c r="B941" s="6">
        <v>0.0</v>
      </c>
      <c r="C941" s="7"/>
      <c r="D941" s="7"/>
      <c r="E941" s="7"/>
      <c r="F941" s="7"/>
      <c r="G941" s="7"/>
    </row>
    <row r="942">
      <c r="A942" s="6" t="s">
        <v>537</v>
      </c>
      <c r="B942" s="6">
        <v>0.0</v>
      </c>
      <c r="C942" s="7"/>
      <c r="D942" s="7"/>
      <c r="E942" s="7"/>
      <c r="F942" s="7"/>
      <c r="G942" s="7"/>
    </row>
    <row r="943">
      <c r="A943" s="6" t="s">
        <v>538</v>
      </c>
      <c r="B943" s="6">
        <v>50.0</v>
      </c>
      <c r="C943" s="7"/>
      <c r="D943" s="7"/>
      <c r="E943" s="7"/>
      <c r="F943" s="7"/>
      <c r="G943" s="7"/>
    </row>
    <row r="944">
      <c r="A944" s="6" t="s">
        <v>539</v>
      </c>
      <c r="B944" s="6">
        <v>58.0</v>
      </c>
      <c r="C944" s="7"/>
      <c r="D944" s="7"/>
      <c r="E944" s="7"/>
      <c r="F944" s="7"/>
      <c r="G944" s="7"/>
    </row>
    <row r="945">
      <c r="A945" s="6" t="s">
        <v>540</v>
      </c>
      <c r="B945" s="6">
        <v>0.0</v>
      </c>
      <c r="C945" s="7"/>
      <c r="D945" s="7"/>
      <c r="E945" s="7"/>
      <c r="F945" s="7"/>
      <c r="G945" s="7"/>
    </row>
    <row r="946">
      <c r="A946" s="6" t="s">
        <v>541</v>
      </c>
      <c r="B946" s="6">
        <v>0.0</v>
      </c>
      <c r="C946" s="7"/>
      <c r="D946" s="7"/>
      <c r="E946" s="7"/>
      <c r="F946" s="7"/>
      <c r="G946" s="7"/>
    </row>
    <row r="947">
      <c r="A947" s="6" t="s">
        <v>542</v>
      </c>
      <c r="B947" s="6">
        <v>0.0</v>
      </c>
      <c r="C947" s="7"/>
      <c r="D947" s="7"/>
      <c r="E947" s="7"/>
      <c r="F947" s="7"/>
      <c r="G947" s="7"/>
    </row>
    <row r="948">
      <c r="A948" s="6" t="s">
        <v>543</v>
      </c>
      <c r="B948" s="6">
        <v>0.0</v>
      </c>
      <c r="C948" s="7"/>
      <c r="D948" s="7"/>
      <c r="E948" s="7"/>
      <c r="F948" s="7"/>
      <c r="G948" s="7"/>
    </row>
    <row r="949">
      <c r="A949" s="6" t="s">
        <v>544</v>
      </c>
      <c r="B949" s="6">
        <v>85.0</v>
      </c>
      <c r="C949" s="7"/>
      <c r="D949" s="7"/>
      <c r="E949" s="7"/>
      <c r="F949" s="7"/>
      <c r="G949" s="7"/>
    </row>
    <row r="950">
      <c r="A950" s="6" t="s">
        <v>545</v>
      </c>
      <c r="B950" s="6">
        <v>0.0</v>
      </c>
      <c r="C950" s="7"/>
      <c r="D950" s="7"/>
      <c r="E950" s="7"/>
      <c r="F950" s="7"/>
      <c r="G950" s="7"/>
    </row>
    <row r="951">
      <c r="A951" s="6" t="s">
        <v>546</v>
      </c>
      <c r="B951" s="6">
        <v>5.0</v>
      </c>
      <c r="C951" s="7"/>
      <c r="D951" s="7"/>
      <c r="E951" s="7"/>
      <c r="F951" s="7"/>
      <c r="G951" s="7"/>
    </row>
    <row r="952">
      <c r="A952" s="6" t="s">
        <v>547</v>
      </c>
      <c r="B952" s="6">
        <v>0.0</v>
      </c>
      <c r="C952" s="7"/>
      <c r="D952" s="7"/>
      <c r="E952" s="7"/>
      <c r="F952" s="7"/>
      <c r="G952" s="7"/>
    </row>
    <row r="953">
      <c r="A953" s="6" t="s">
        <v>548</v>
      </c>
      <c r="B953" s="6">
        <v>0.0</v>
      </c>
      <c r="C953" s="7"/>
      <c r="D953" s="7"/>
      <c r="E953" s="7"/>
      <c r="F953" s="7"/>
      <c r="G953" s="7"/>
    </row>
    <row r="954">
      <c r="A954" s="6" t="s">
        <v>549</v>
      </c>
      <c r="B954" s="6" t="s">
        <v>550</v>
      </c>
      <c r="C954" s="6">
        <v>0.0</v>
      </c>
      <c r="D954" s="7"/>
      <c r="E954" s="7"/>
      <c r="F954" s="7"/>
      <c r="G954" s="7"/>
    </row>
    <row r="955">
      <c r="A955" s="6" t="s">
        <v>551</v>
      </c>
      <c r="B955" s="6" t="s">
        <v>552</v>
      </c>
      <c r="C955" s="6">
        <v>18.0</v>
      </c>
      <c r="D955" s="7"/>
      <c r="E955" s="7"/>
      <c r="F955" s="7"/>
      <c r="G955" s="7"/>
    </row>
    <row r="956">
      <c r="A956" s="6" t="s">
        <v>553</v>
      </c>
      <c r="B956" s="6">
        <v>0.0</v>
      </c>
      <c r="C956" s="7"/>
      <c r="D956" s="7"/>
      <c r="E956" s="7"/>
      <c r="F956" s="7"/>
      <c r="G956" s="7"/>
    </row>
    <row r="957">
      <c r="A957" s="6" t="s">
        <v>554</v>
      </c>
      <c r="B957" s="6">
        <v>0.0</v>
      </c>
      <c r="C957" s="7"/>
      <c r="D957" s="7"/>
      <c r="E957" s="7"/>
      <c r="F957" s="7"/>
      <c r="G957" s="7"/>
    </row>
    <row r="958">
      <c r="A958" s="6" t="s">
        <v>555</v>
      </c>
      <c r="B958" s="6">
        <v>46.0</v>
      </c>
      <c r="C958" s="7"/>
      <c r="D958" s="7"/>
      <c r="E958" s="7"/>
      <c r="F958" s="7"/>
      <c r="G958" s="7"/>
    </row>
    <row r="959">
      <c r="A959" s="6" t="s">
        <v>556</v>
      </c>
      <c r="B959" s="6">
        <v>0.0</v>
      </c>
      <c r="C959" s="7"/>
      <c r="D959" s="7"/>
      <c r="E959" s="7"/>
      <c r="F959" s="7"/>
      <c r="G959" s="7"/>
    </row>
    <row r="960">
      <c r="A960" s="6" t="s">
        <v>557</v>
      </c>
      <c r="B960" s="6">
        <v>0.0</v>
      </c>
      <c r="C960" s="7"/>
      <c r="D960" s="7"/>
      <c r="E960" s="7"/>
      <c r="F960" s="7"/>
      <c r="G960" s="7"/>
    </row>
    <row r="961">
      <c r="A961" s="6" t="s">
        <v>558</v>
      </c>
      <c r="B961" s="6">
        <v>0.0</v>
      </c>
      <c r="C961" s="7"/>
      <c r="D961" s="7"/>
      <c r="E961" s="7"/>
      <c r="F961" s="7"/>
      <c r="G961" s="7"/>
    </row>
    <row r="962">
      <c r="A962" s="6" t="s">
        <v>559</v>
      </c>
      <c r="B962" s="6">
        <v>0.0</v>
      </c>
      <c r="C962" s="7"/>
      <c r="D962" s="7"/>
      <c r="E962" s="7"/>
      <c r="F962" s="7"/>
      <c r="G962" s="7"/>
    </row>
    <row r="963">
      <c r="A963" s="6" t="s">
        <v>560</v>
      </c>
      <c r="B963" s="6">
        <v>58.0</v>
      </c>
      <c r="C963" s="7"/>
      <c r="D963" s="7"/>
      <c r="E963" s="7"/>
      <c r="F963" s="7"/>
      <c r="G963" s="7"/>
    </row>
    <row r="964">
      <c r="A964" s="6" t="s">
        <v>561</v>
      </c>
      <c r="B964" s="6">
        <v>0.0</v>
      </c>
      <c r="C964" s="7"/>
      <c r="D964" s="7"/>
      <c r="E964" s="7"/>
      <c r="F964" s="7"/>
      <c r="G964" s="7"/>
    </row>
    <row r="965">
      <c r="A965" s="6" t="s">
        <v>562</v>
      </c>
      <c r="B965" s="6">
        <v>60.0</v>
      </c>
      <c r="C965" s="7"/>
      <c r="D965" s="7"/>
      <c r="E965" s="7"/>
      <c r="F965" s="7"/>
      <c r="G965" s="7"/>
    </row>
    <row r="966">
      <c r="A966" s="6" t="s">
        <v>563</v>
      </c>
      <c r="B966" s="6">
        <v>0.0</v>
      </c>
      <c r="C966" s="7"/>
      <c r="D966" s="7"/>
      <c r="E966" s="7"/>
      <c r="F966" s="7"/>
      <c r="G966" s="7"/>
    </row>
    <row r="967">
      <c r="A967" s="6" t="s">
        <v>564</v>
      </c>
      <c r="B967" s="6">
        <v>21.0</v>
      </c>
      <c r="C967" s="7"/>
      <c r="D967" s="7"/>
      <c r="E967" s="7"/>
      <c r="F967" s="7"/>
      <c r="G967" s="7"/>
    </row>
    <row r="968">
      <c r="A968" s="6" t="s">
        <v>565</v>
      </c>
      <c r="B968" s="6">
        <v>0.0</v>
      </c>
      <c r="C968" s="7"/>
      <c r="D968" s="7"/>
      <c r="E968" s="7"/>
      <c r="F968" s="7"/>
      <c r="G968" s="7"/>
    </row>
    <row r="969">
      <c r="A969" s="6" t="s">
        <v>566</v>
      </c>
      <c r="B969" s="6">
        <v>0.0</v>
      </c>
      <c r="C969" s="7"/>
      <c r="D969" s="7"/>
      <c r="E969" s="7"/>
      <c r="F969" s="7"/>
      <c r="G969" s="7"/>
    </row>
    <row r="970">
      <c r="A970" s="6" t="s">
        <v>567</v>
      </c>
      <c r="B970" s="6">
        <v>0.0</v>
      </c>
      <c r="C970" s="7"/>
      <c r="D970" s="7"/>
      <c r="E970" s="7"/>
      <c r="F970" s="7"/>
      <c r="G970" s="7"/>
    </row>
    <row r="971">
      <c r="A971" s="6" t="s">
        <v>568</v>
      </c>
      <c r="B971" s="6">
        <v>60.0</v>
      </c>
      <c r="C971" s="7"/>
      <c r="D971" s="7"/>
      <c r="E971" s="7"/>
      <c r="F971" s="7"/>
      <c r="G971" s="7"/>
    </row>
    <row r="972">
      <c r="A972" s="6" t="s">
        <v>569</v>
      </c>
      <c r="B972" s="6">
        <v>50.0</v>
      </c>
      <c r="C972" s="7"/>
      <c r="D972" s="7"/>
      <c r="E972" s="7"/>
      <c r="F972" s="7"/>
      <c r="G972" s="7"/>
    </row>
    <row r="973">
      <c r="A973" s="6" t="s">
        <v>570</v>
      </c>
      <c r="B973" s="6">
        <v>30.0</v>
      </c>
      <c r="C973" s="7"/>
      <c r="D973" s="7"/>
      <c r="E973" s="7"/>
      <c r="F973" s="7"/>
      <c r="G973" s="7"/>
    </row>
    <row r="974">
      <c r="A974" s="6" t="s">
        <v>571</v>
      </c>
      <c r="B974" s="6">
        <v>0.0</v>
      </c>
      <c r="C974" s="7"/>
      <c r="D974" s="7"/>
      <c r="E974" s="7"/>
      <c r="F974" s="7"/>
      <c r="G974" s="7"/>
    </row>
    <row r="975">
      <c r="A975" s="6" t="s">
        <v>572</v>
      </c>
      <c r="B975" s="6">
        <v>0.0</v>
      </c>
      <c r="C975" s="7"/>
      <c r="D975" s="7"/>
      <c r="E975" s="7"/>
      <c r="F975" s="7"/>
      <c r="G975" s="7"/>
    </row>
    <row r="976">
      <c r="A976" s="6" t="s">
        <v>573</v>
      </c>
      <c r="B976" s="6" t="s">
        <v>574</v>
      </c>
      <c r="C976" s="6">
        <v>0.0</v>
      </c>
      <c r="D976" s="7"/>
      <c r="E976" s="7"/>
      <c r="F976" s="7"/>
      <c r="G976" s="7"/>
    </row>
    <row r="977">
      <c r="A977" s="6" t="s">
        <v>575</v>
      </c>
      <c r="B977" s="6">
        <v>0.0</v>
      </c>
      <c r="C977" s="7"/>
      <c r="D977" s="7"/>
      <c r="E977" s="7"/>
      <c r="F977" s="7"/>
      <c r="G977" s="7"/>
    </row>
    <row r="978">
      <c r="A978" s="6" t="s">
        <v>576</v>
      </c>
      <c r="B978" s="6">
        <v>0.0</v>
      </c>
      <c r="C978" s="7"/>
      <c r="D978" s="7"/>
      <c r="E978" s="7"/>
      <c r="F978" s="7"/>
      <c r="G978" s="7"/>
    </row>
    <row r="979">
      <c r="A979" s="6" t="s">
        <v>577</v>
      </c>
      <c r="B979" s="6">
        <v>0.0</v>
      </c>
      <c r="C979" s="7"/>
      <c r="D979" s="7"/>
      <c r="E979" s="7"/>
      <c r="F979" s="7"/>
      <c r="G979" s="7"/>
    </row>
    <row r="980">
      <c r="A980" s="6" t="s">
        <v>578</v>
      </c>
      <c r="B980" s="6">
        <v>0.0</v>
      </c>
      <c r="C980" s="7"/>
      <c r="D980" s="7"/>
      <c r="E980" s="7"/>
      <c r="F980" s="7"/>
      <c r="G980" s="7"/>
    </row>
    <row r="981">
      <c r="A981" s="6" t="s">
        <v>579</v>
      </c>
      <c r="B981" s="6">
        <v>0.0</v>
      </c>
      <c r="C981" s="7"/>
      <c r="D981" s="7"/>
      <c r="E981" s="7"/>
      <c r="F981" s="7"/>
      <c r="G981" s="7"/>
    </row>
    <row r="982">
      <c r="A982" s="6" t="s">
        <v>580</v>
      </c>
      <c r="B982" s="6">
        <v>0.0</v>
      </c>
      <c r="C982" s="7"/>
      <c r="D982" s="7"/>
      <c r="E982" s="7"/>
      <c r="F982" s="7"/>
      <c r="G982" s="7"/>
    </row>
    <row r="983">
      <c r="A983" s="6" t="s">
        <v>581</v>
      </c>
      <c r="B983" s="6">
        <v>0.0</v>
      </c>
      <c r="C983" s="7"/>
      <c r="D983" s="7"/>
      <c r="E983" s="7"/>
      <c r="F983" s="7"/>
      <c r="G983" s="7"/>
    </row>
    <row r="984">
      <c r="A984" s="6" t="s">
        <v>582</v>
      </c>
      <c r="B984" s="6">
        <v>0.0</v>
      </c>
      <c r="C984" s="7"/>
      <c r="D984" s="7"/>
      <c r="E984" s="7"/>
      <c r="F984" s="7"/>
      <c r="G984" s="7"/>
    </row>
    <row r="985">
      <c r="A985" s="6" t="s">
        <v>583</v>
      </c>
      <c r="B985" s="6">
        <v>62.0</v>
      </c>
      <c r="C985" s="7"/>
      <c r="D985" s="7"/>
      <c r="E985" s="7"/>
      <c r="F985" s="7"/>
      <c r="G985" s="7"/>
    </row>
    <row r="986">
      <c r="A986" s="6" t="s">
        <v>584</v>
      </c>
      <c r="B986" s="6">
        <v>0.0</v>
      </c>
      <c r="C986" s="7"/>
      <c r="D986" s="7"/>
      <c r="E986" s="7"/>
      <c r="F986" s="7"/>
      <c r="G986" s="7"/>
    </row>
    <row r="987">
      <c r="A987" s="6" t="s">
        <v>585</v>
      </c>
      <c r="B987" s="6">
        <v>0.0</v>
      </c>
      <c r="C987" s="7"/>
      <c r="D987" s="7"/>
      <c r="E987" s="7"/>
      <c r="F987" s="7"/>
      <c r="G987" s="7"/>
    </row>
    <row r="988">
      <c r="A988" s="6" t="s">
        <v>586</v>
      </c>
      <c r="B988" s="6">
        <v>0.0</v>
      </c>
      <c r="C988" s="7"/>
      <c r="D988" s="7"/>
      <c r="E988" s="7"/>
      <c r="F988" s="7"/>
      <c r="G988" s="7"/>
    </row>
    <row r="989">
      <c r="A989" s="6" t="s">
        <v>587</v>
      </c>
      <c r="B989" s="6">
        <v>78.0</v>
      </c>
      <c r="C989" s="7"/>
      <c r="D989" s="7"/>
      <c r="E989" s="7"/>
      <c r="F989" s="7"/>
      <c r="G989" s="7"/>
    </row>
    <row r="990">
      <c r="A990" s="6" t="s">
        <v>588</v>
      </c>
      <c r="B990" s="6">
        <v>0.0</v>
      </c>
      <c r="C990" s="7"/>
      <c r="D990" s="7"/>
      <c r="E990" s="7"/>
      <c r="F990" s="7"/>
      <c r="G990" s="7"/>
    </row>
    <row r="991">
      <c r="A991" s="6" t="s">
        <v>589</v>
      </c>
      <c r="B991" s="6">
        <v>0.0</v>
      </c>
      <c r="C991" s="7"/>
      <c r="D991" s="7"/>
      <c r="E991" s="7"/>
      <c r="F991" s="7"/>
      <c r="G991" s="7"/>
    </row>
    <row r="992">
      <c r="A992" s="6" t="s">
        <v>590</v>
      </c>
      <c r="B992" s="6">
        <v>0.0</v>
      </c>
      <c r="C992" s="7"/>
      <c r="D992" s="7"/>
      <c r="E992" s="7"/>
      <c r="F992" s="7"/>
      <c r="G992" s="7"/>
    </row>
    <row r="993">
      <c r="A993" s="6" t="s">
        <v>591</v>
      </c>
      <c r="B993" s="6">
        <v>0.0</v>
      </c>
      <c r="C993" s="7"/>
      <c r="D993" s="7"/>
      <c r="E993" s="7"/>
      <c r="F993" s="7"/>
      <c r="G993" s="7"/>
    </row>
    <row r="994">
      <c r="A994" s="6" t="s">
        <v>592</v>
      </c>
      <c r="B994" s="6">
        <v>0.0</v>
      </c>
      <c r="C994" s="7"/>
      <c r="D994" s="7"/>
      <c r="E994" s="7"/>
      <c r="F994" s="7"/>
      <c r="G994" s="7"/>
    </row>
    <row r="995">
      <c r="A995" s="6" t="s">
        <v>593</v>
      </c>
      <c r="B995" s="6">
        <v>46.0</v>
      </c>
      <c r="C995" s="7"/>
      <c r="D995" s="7"/>
      <c r="E995" s="7"/>
      <c r="F995" s="7"/>
      <c r="G995" s="7"/>
    </row>
    <row r="996">
      <c r="A996" s="6" t="s">
        <v>594</v>
      </c>
      <c r="B996" s="6">
        <v>38.0</v>
      </c>
      <c r="C996" s="7"/>
      <c r="D996" s="7"/>
      <c r="E996" s="7"/>
      <c r="F996" s="7"/>
      <c r="G996" s="7"/>
    </row>
    <row r="997">
      <c r="A997" s="6" t="s">
        <v>595</v>
      </c>
      <c r="B997" s="6">
        <v>79.0</v>
      </c>
      <c r="C997" s="7"/>
      <c r="D997" s="7"/>
      <c r="E997" s="7"/>
      <c r="F997" s="7"/>
      <c r="G997" s="7"/>
    </row>
    <row r="998">
      <c r="A998" s="6" t="s">
        <v>596</v>
      </c>
      <c r="B998" s="6">
        <v>0.0</v>
      </c>
      <c r="C998" s="7"/>
      <c r="D998" s="7"/>
      <c r="E998" s="7"/>
      <c r="F998" s="7"/>
      <c r="G998" s="7"/>
    </row>
    <row r="999">
      <c r="A999" s="6" t="s">
        <v>597</v>
      </c>
      <c r="B999" s="6">
        <v>47.0</v>
      </c>
      <c r="C999" s="7"/>
      <c r="D999" s="7"/>
      <c r="E999" s="7"/>
      <c r="F999" s="7"/>
      <c r="G999" s="7"/>
    </row>
    <row r="1000">
      <c r="A1000" s="6" t="s">
        <v>598</v>
      </c>
      <c r="B1000" s="6">
        <v>0.0</v>
      </c>
      <c r="C1000" s="7"/>
      <c r="D1000" s="7"/>
      <c r="E1000" s="7"/>
      <c r="F1000" s="7"/>
      <c r="G1000" s="7"/>
    </row>
    <row r="1001">
      <c r="A1001" s="6" t="s">
        <v>599</v>
      </c>
      <c r="B1001" s="6">
        <v>0.0</v>
      </c>
      <c r="C1001" s="7"/>
      <c r="D1001" s="7"/>
      <c r="E1001" s="7"/>
      <c r="F1001" s="7"/>
      <c r="G1001" s="7"/>
    </row>
    <row r="1002">
      <c r="A1002" s="6" t="s">
        <v>600</v>
      </c>
      <c r="B1002" s="6">
        <v>0.0</v>
      </c>
      <c r="C1002" s="7"/>
      <c r="D1002" s="7"/>
      <c r="E1002" s="7"/>
      <c r="F1002" s="7"/>
      <c r="G1002" s="7"/>
    </row>
    <row r="1003">
      <c r="A1003" s="6" t="s">
        <v>601</v>
      </c>
      <c r="B1003" s="6">
        <v>0.0</v>
      </c>
      <c r="C1003" s="7"/>
      <c r="D1003" s="7"/>
      <c r="E1003" s="7"/>
      <c r="F1003" s="7"/>
      <c r="G1003" s="7"/>
    </row>
    <row r="1004">
      <c r="A1004" s="6" t="s">
        <v>602</v>
      </c>
      <c r="B1004" s="6">
        <v>24.0</v>
      </c>
      <c r="C1004" s="7"/>
      <c r="D1004" s="7"/>
      <c r="E1004" s="7"/>
      <c r="F1004" s="7"/>
      <c r="G1004" s="7"/>
    </row>
    <row r="1005">
      <c r="A1005" s="6" t="s">
        <v>603</v>
      </c>
      <c r="B1005" s="6">
        <v>66.0</v>
      </c>
      <c r="C1005" s="7"/>
      <c r="D1005" s="7"/>
      <c r="E1005" s="7"/>
      <c r="F1005" s="7"/>
      <c r="G1005" s="7"/>
    </row>
    <row r="1006">
      <c r="A1006" s="6" t="s">
        <v>604</v>
      </c>
      <c r="B1006" s="6">
        <v>0.0</v>
      </c>
      <c r="C1006" s="7"/>
      <c r="D1006" s="7"/>
      <c r="E1006" s="7"/>
      <c r="F1006" s="7"/>
      <c r="G1006" s="7"/>
    </row>
    <row r="1007">
      <c r="A1007" s="6" t="s">
        <v>605</v>
      </c>
      <c r="B1007" s="6">
        <v>67.0</v>
      </c>
      <c r="C1007" s="7"/>
      <c r="D1007" s="7"/>
      <c r="E1007" s="7"/>
      <c r="F1007" s="7"/>
      <c r="G1007" s="7"/>
    </row>
    <row r="1008">
      <c r="A1008" s="6" t="s">
        <v>606</v>
      </c>
      <c r="B1008" s="6">
        <v>0.0</v>
      </c>
      <c r="C1008" s="7"/>
      <c r="D1008" s="7"/>
      <c r="E1008" s="7"/>
      <c r="F1008" s="7"/>
      <c r="G1008" s="7"/>
    </row>
    <row r="1009">
      <c r="A1009" s="6" t="s">
        <v>607</v>
      </c>
      <c r="B1009" s="6" t="s">
        <v>608</v>
      </c>
      <c r="C1009" s="6">
        <v>0.0</v>
      </c>
      <c r="D1009" s="7"/>
      <c r="E1009" s="7"/>
      <c r="F1009" s="7"/>
      <c r="G1009" s="7"/>
    </row>
    <row r="1010">
      <c r="A1010" s="6" t="s">
        <v>609</v>
      </c>
      <c r="B1010" s="6">
        <v>0.0</v>
      </c>
      <c r="C1010" s="7"/>
      <c r="D1010" s="7"/>
      <c r="E1010" s="7"/>
      <c r="F1010" s="7"/>
      <c r="G1010" s="7"/>
    </row>
    <row r="1011">
      <c r="A1011" s="6" t="s">
        <v>610</v>
      </c>
      <c r="B1011" s="6">
        <v>0.0</v>
      </c>
      <c r="C1011" s="7"/>
      <c r="D1011" s="7"/>
      <c r="E1011" s="7"/>
      <c r="F1011" s="7"/>
      <c r="G1011" s="7"/>
    </row>
    <row r="1012">
      <c r="A1012" s="6" t="s">
        <v>611</v>
      </c>
      <c r="B1012" s="6">
        <v>0.0</v>
      </c>
      <c r="C1012" s="7"/>
      <c r="D1012" s="7"/>
      <c r="E1012" s="7"/>
      <c r="F1012" s="7"/>
      <c r="G1012" s="7"/>
    </row>
    <row r="1013">
      <c r="A1013" s="6" t="s">
        <v>612</v>
      </c>
      <c r="B1013" s="6">
        <v>32.0</v>
      </c>
      <c r="C1013" s="7"/>
      <c r="D1013" s="7"/>
      <c r="E1013" s="7"/>
      <c r="F1013" s="7"/>
      <c r="G1013" s="7"/>
    </row>
    <row r="1014">
      <c r="A1014" s="6" t="s">
        <v>613</v>
      </c>
      <c r="B1014" s="6">
        <v>0.0</v>
      </c>
      <c r="C1014" s="7"/>
      <c r="D1014" s="7"/>
      <c r="E1014" s="7"/>
      <c r="F1014" s="7"/>
      <c r="G1014" s="7"/>
    </row>
    <row r="1015">
      <c r="A1015" s="6" t="s">
        <v>614</v>
      </c>
      <c r="B1015" s="6">
        <v>0.0</v>
      </c>
      <c r="C1015" s="7"/>
      <c r="D1015" s="7"/>
      <c r="E1015" s="7"/>
      <c r="F1015" s="7"/>
      <c r="G1015" s="7"/>
    </row>
    <row r="1016">
      <c r="A1016" s="6" t="s">
        <v>615</v>
      </c>
      <c r="B1016" s="6">
        <v>0.0</v>
      </c>
      <c r="C1016" s="7"/>
      <c r="D1016" s="7"/>
      <c r="E1016" s="7"/>
      <c r="F1016" s="7"/>
      <c r="G1016" s="7"/>
    </row>
    <row r="1017">
      <c r="A1017" s="6" t="s">
        <v>616</v>
      </c>
      <c r="B1017" s="6">
        <v>0.0</v>
      </c>
      <c r="C1017" s="7"/>
      <c r="D1017" s="7"/>
      <c r="E1017" s="7"/>
      <c r="F1017" s="7"/>
      <c r="G1017" s="7"/>
    </row>
    <row r="1018">
      <c r="A1018" s="6" t="s">
        <v>617</v>
      </c>
      <c r="B1018" s="6">
        <v>0.0</v>
      </c>
      <c r="C1018" s="7"/>
      <c r="D1018" s="7"/>
      <c r="E1018" s="7"/>
      <c r="F1018" s="7"/>
      <c r="G1018" s="7"/>
    </row>
    <row r="1019">
      <c r="A1019" s="6" t="s">
        <v>618</v>
      </c>
      <c r="B1019" s="6">
        <v>0.0</v>
      </c>
      <c r="C1019" s="7"/>
      <c r="D1019" s="7"/>
      <c r="E1019" s="7"/>
      <c r="F1019" s="7"/>
      <c r="G1019" s="7"/>
    </row>
    <row r="1020">
      <c r="A1020" s="6" t="s">
        <v>619</v>
      </c>
      <c r="B1020" s="6">
        <v>87.0</v>
      </c>
      <c r="C1020" s="7"/>
      <c r="D1020" s="7"/>
      <c r="E1020" s="7"/>
      <c r="F1020" s="7"/>
      <c r="G1020" s="7"/>
    </row>
    <row r="1021">
      <c r="A1021" s="6" t="s">
        <v>620</v>
      </c>
      <c r="B1021" s="6">
        <v>0.0</v>
      </c>
      <c r="C1021" s="7"/>
      <c r="D1021" s="7"/>
      <c r="E1021" s="7"/>
      <c r="F1021" s="7"/>
      <c r="G1021" s="7"/>
    </row>
    <row r="1022">
      <c r="A1022" s="6" t="s">
        <v>621</v>
      </c>
      <c r="B1022" s="6">
        <v>0.0</v>
      </c>
      <c r="C1022" s="7"/>
      <c r="D1022" s="7"/>
      <c r="E1022" s="7"/>
      <c r="F1022" s="7"/>
      <c r="G1022" s="7"/>
    </row>
    <row r="1023">
      <c r="A1023" s="6" t="s">
        <v>622</v>
      </c>
      <c r="B1023" s="6">
        <v>0.0</v>
      </c>
      <c r="C1023" s="7"/>
      <c r="D1023" s="7"/>
      <c r="E1023" s="7"/>
      <c r="F1023" s="7"/>
      <c r="G1023" s="7"/>
    </row>
    <row r="1024">
      <c r="A1024" s="6" t="s">
        <v>623</v>
      </c>
      <c r="B1024" s="6">
        <v>14.0</v>
      </c>
      <c r="C1024" s="7"/>
      <c r="D1024" s="7"/>
      <c r="E1024" s="7"/>
      <c r="F1024" s="7"/>
      <c r="G1024" s="7"/>
    </row>
    <row r="1025">
      <c r="A1025" s="6" t="s">
        <v>624</v>
      </c>
      <c r="B1025" s="6">
        <v>76.0</v>
      </c>
      <c r="C1025" s="7"/>
      <c r="D1025" s="7"/>
      <c r="E1025" s="7"/>
      <c r="F1025" s="7"/>
      <c r="G1025" s="7"/>
    </row>
    <row r="1026">
      <c r="A1026" s="6" t="s">
        <v>625</v>
      </c>
      <c r="B1026" s="6">
        <v>20.0</v>
      </c>
      <c r="C1026" s="7"/>
      <c r="D1026" s="7"/>
      <c r="E1026" s="7"/>
      <c r="F1026" s="7"/>
      <c r="G1026" s="7"/>
    </row>
    <row r="1027">
      <c r="A1027" s="6" t="s">
        <v>626</v>
      </c>
      <c r="B1027" s="6">
        <v>0.0</v>
      </c>
      <c r="C1027" s="7"/>
      <c r="D1027" s="7"/>
      <c r="E1027" s="7"/>
      <c r="F1027" s="7"/>
      <c r="G1027" s="7"/>
    </row>
    <row r="1028">
      <c r="A1028" s="6" t="s">
        <v>627</v>
      </c>
      <c r="B1028" s="6">
        <v>0.0</v>
      </c>
      <c r="C1028" s="7"/>
      <c r="D1028" s="7"/>
      <c r="E1028" s="7"/>
      <c r="F1028" s="7"/>
      <c r="G1028" s="7"/>
    </row>
    <row r="1029">
      <c r="A1029" s="6" t="s">
        <v>628</v>
      </c>
      <c r="B1029" s="6">
        <v>8.0</v>
      </c>
      <c r="C1029" s="7"/>
      <c r="D1029" s="7"/>
      <c r="E1029" s="7"/>
      <c r="F1029" s="7"/>
      <c r="G1029" s="7"/>
    </row>
    <row r="1030">
      <c r="A1030" s="6" t="s">
        <v>629</v>
      </c>
      <c r="B1030" s="6">
        <v>0.0</v>
      </c>
      <c r="C1030" s="7"/>
      <c r="D1030" s="7"/>
      <c r="E1030" s="7"/>
      <c r="F1030" s="7"/>
      <c r="G1030" s="7"/>
    </row>
    <row r="1031">
      <c r="A1031" s="6" t="s">
        <v>630</v>
      </c>
      <c r="B1031" s="6">
        <v>0.0</v>
      </c>
      <c r="C1031" s="7"/>
      <c r="D1031" s="7"/>
      <c r="E1031" s="7"/>
      <c r="F1031" s="7"/>
      <c r="G1031" s="7"/>
    </row>
    <row r="1032">
      <c r="A1032" s="6" t="s">
        <v>631</v>
      </c>
      <c r="B1032" s="6">
        <v>0.0</v>
      </c>
      <c r="C1032" s="7"/>
      <c r="D1032" s="7"/>
      <c r="E1032" s="7"/>
      <c r="F1032" s="7"/>
      <c r="G1032" s="7"/>
    </row>
    <row r="1033">
      <c r="A1033" s="6" t="s">
        <v>632</v>
      </c>
      <c r="B1033" s="6">
        <v>78.0</v>
      </c>
      <c r="C1033" s="7"/>
      <c r="D1033" s="7"/>
      <c r="E1033" s="7"/>
      <c r="F1033" s="7"/>
      <c r="G1033" s="7"/>
    </row>
    <row r="1034">
      <c r="A1034" s="6" t="s">
        <v>633</v>
      </c>
      <c r="B1034" s="6">
        <v>6.0</v>
      </c>
      <c r="C1034" s="7"/>
      <c r="D1034" s="7"/>
      <c r="E1034" s="7"/>
      <c r="F1034" s="7"/>
      <c r="G1034" s="7"/>
    </row>
    <row r="1035">
      <c r="A1035" s="6" t="s">
        <v>634</v>
      </c>
      <c r="B1035" s="6">
        <v>89.0</v>
      </c>
      <c r="C1035" s="7"/>
      <c r="D1035" s="7"/>
      <c r="E1035" s="7"/>
      <c r="F1035" s="7"/>
      <c r="G1035" s="7"/>
    </row>
    <row r="1036">
      <c r="A1036" s="6" t="s">
        <v>635</v>
      </c>
      <c r="B1036" s="6">
        <v>38.0</v>
      </c>
      <c r="C1036" s="7"/>
      <c r="D1036" s="7"/>
      <c r="E1036" s="7"/>
      <c r="F1036" s="7"/>
      <c r="G1036" s="7"/>
    </row>
    <row r="1037">
      <c r="A1037" s="6" t="s">
        <v>636</v>
      </c>
      <c r="B1037" s="6">
        <v>68.0</v>
      </c>
      <c r="C1037" s="7"/>
      <c r="D1037" s="7"/>
      <c r="E1037" s="7"/>
      <c r="F1037" s="7"/>
      <c r="G1037" s="7"/>
    </row>
    <row r="1038">
      <c r="A1038" s="6" t="s">
        <v>637</v>
      </c>
      <c r="B1038" s="6">
        <v>0.0</v>
      </c>
      <c r="C1038" s="7"/>
      <c r="D1038" s="7"/>
      <c r="E1038" s="7"/>
      <c r="F1038" s="7"/>
      <c r="G1038" s="7"/>
    </row>
    <row r="1039">
      <c r="A1039" s="6" t="s">
        <v>638</v>
      </c>
      <c r="B1039" s="6">
        <v>0.0</v>
      </c>
      <c r="C1039" s="7"/>
      <c r="D1039" s="7"/>
      <c r="E1039" s="7"/>
      <c r="F1039" s="7"/>
      <c r="G1039" s="7"/>
    </row>
    <row r="1040">
      <c r="A1040" s="6" t="s">
        <v>639</v>
      </c>
      <c r="B1040" s="6">
        <v>0.0</v>
      </c>
      <c r="C1040" s="7"/>
      <c r="D1040" s="7"/>
      <c r="E1040" s="7"/>
      <c r="F1040" s="7"/>
      <c r="G1040" s="7"/>
    </row>
    <row r="1041">
      <c r="A1041" s="6" t="s">
        <v>640</v>
      </c>
      <c r="B1041" s="6">
        <v>90.0</v>
      </c>
      <c r="C1041" s="7"/>
      <c r="D1041" s="7"/>
      <c r="E1041" s="7"/>
      <c r="F1041" s="7"/>
      <c r="G1041" s="7"/>
    </row>
    <row r="1042">
      <c r="A1042" s="6" t="s">
        <v>641</v>
      </c>
      <c r="B1042" s="6">
        <v>0.0</v>
      </c>
      <c r="C1042" s="7"/>
      <c r="D1042" s="7"/>
      <c r="E1042" s="7"/>
      <c r="F1042" s="7"/>
      <c r="G1042" s="7"/>
    </row>
    <row r="1043">
      <c r="A1043" s="6" t="s">
        <v>642</v>
      </c>
      <c r="B1043" s="6">
        <v>0.0</v>
      </c>
      <c r="C1043" s="7"/>
      <c r="D1043" s="7"/>
      <c r="E1043" s="7"/>
      <c r="F1043" s="7"/>
      <c r="G1043" s="7"/>
    </row>
    <row r="1044">
      <c r="A1044" s="6" t="s">
        <v>643</v>
      </c>
      <c r="B1044" s="6">
        <v>57.0</v>
      </c>
      <c r="C1044" s="7"/>
      <c r="D1044" s="7"/>
      <c r="E1044" s="7"/>
      <c r="F1044" s="7"/>
      <c r="G1044" s="7"/>
    </row>
    <row r="1045">
      <c r="A1045" s="6" t="s">
        <v>644</v>
      </c>
      <c r="B1045" s="6">
        <v>20.0</v>
      </c>
      <c r="C1045" s="7"/>
      <c r="D1045" s="7"/>
      <c r="E1045" s="7"/>
      <c r="F1045" s="7"/>
      <c r="G1045" s="7"/>
    </row>
    <row r="1046">
      <c r="A1046" s="6" t="s">
        <v>645</v>
      </c>
      <c r="B1046" s="6">
        <v>0.0</v>
      </c>
      <c r="C1046" s="7"/>
      <c r="D1046" s="7"/>
      <c r="E1046" s="7"/>
      <c r="F1046" s="7"/>
      <c r="G1046" s="7"/>
    </row>
    <row r="1047">
      <c r="A1047" s="6" t="s">
        <v>646</v>
      </c>
      <c r="B1047" s="6">
        <v>50.0</v>
      </c>
      <c r="C1047" s="7"/>
      <c r="D1047" s="7"/>
      <c r="E1047" s="7"/>
      <c r="F1047" s="7"/>
      <c r="G1047" s="7"/>
    </row>
    <row r="1048">
      <c r="A1048" s="6" t="s">
        <v>647</v>
      </c>
      <c r="B1048" s="6">
        <v>0.0</v>
      </c>
      <c r="C1048" s="7"/>
      <c r="D1048" s="7"/>
      <c r="E1048" s="7"/>
      <c r="F1048" s="7"/>
      <c r="G1048" s="7"/>
    </row>
    <row r="1049">
      <c r="A1049" s="6" t="s">
        <v>648</v>
      </c>
      <c r="B1049" s="6">
        <v>0.0</v>
      </c>
      <c r="C1049" s="7"/>
      <c r="D1049" s="7"/>
      <c r="E1049" s="7"/>
      <c r="F1049" s="7"/>
      <c r="G1049" s="7"/>
    </row>
    <row r="1050">
      <c r="A1050" s="6" t="s">
        <v>649</v>
      </c>
      <c r="B1050" s="6">
        <v>0.0</v>
      </c>
      <c r="C1050" s="7"/>
      <c r="D1050" s="7"/>
      <c r="E1050" s="7"/>
      <c r="F1050" s="7"/>
      <c r="G1050" s="7"/>
    </row>
    <row r="1051">
      <c r="A1051" s="6" t="s">
        <v>650</v>
      </c>
      <c r="B1051" s="6">
        <v>0.0</v>
      </c>
      <c r="C1051" s="7"/>
      <c r="D1051" s="7"/>
      <c r="E1051" s="7"/>
      <c r="F1051" s="7"/>
      <c r="G1051" s="7"/>
    </row>
    <row r="1052">
      <c r="A1052" s="6" t="s">
        <v>651</v>
      </c>
      <c r="B1052" s="6">
        <v>0.0</v>
      </c>
      <c r="C1052" s="7"/>
      <c r="D1052" s="7"/>
      <c r="E1052" s="7"/>
      <c r="F1052" s="7"/>
      <c r="G1052" s="7"/>
    </row>
    <row r="1053">
      <c r="A1053" s="6" t="s">
        <v>582</v>
      </c>
      <c r="B1053" s="6">
        <v>0.0</v>
      </c>
      <c r="C1053" s="7"/>
      <c r="D1053" s="7"/>
      <c r="E1053" s="7"/>
      <c r="F1053" s="7"/>
      <c r="G1053" s="7"/>
    </row>
    <row r="1054">
      <c r="A1054" s="6" t="s">
        <v>583</v>
      </c>
      <c r="B1054" s="6">
        <v>62.0</v>
      </c>
      <c r="C1054" s="7"/>
      <c r="D1054" s="7"/>
      <c r="E1054" s="7"/>
      <c r="F1054" s="7"/>
      <c r="G1054" s="7"/>
    </row>
    <row r="1055">
      <c r="A1055" s="6" t="s">
        <v>584</v>
      </c>
      <c r="B1055" s="6">
        <v>0.0</v>
      </c>
      <c r="C1055" s="7"/>
      <c r="D1055" s="7"/>
      <c r="E1055" s="7"/>
      <c r="F1055" s="7"/>
      <c r="G1055" s="7"/>
    </row>
    <row r="1056">
      <c r="A1056" s="6" t="s">
        <v>585</v>
      </c>
      <c r="B1056" s="6">
        <v>0.0</v>
      </c>
      <c r="C1056" s="7"/>
      <c r="D1056" s="7"/>
      <c r="E1056" s="7"/>
      <c r="F1056" s="7"/>
      <c r="G1056" s="7"/>
    </row>
    <row r="1057">
      <c r="A1057" s="6" t="s">
        <v>586</v>
      </c>
      <c r="B1057" s="6">
        <v>0.0</v>
      </c>
      <c r="C1057" s="7"/>
      <c r="D1057" s="7"/>
      <c r="E1057" s="7"/>
      <c r="F1057" s="7"/>
      <c r="G1057" s="7"/>
    </row>
    <row r="1058">
      <c r="A1058" s="6" t="s">
        <v>587</v>
      </c>
      <c r="B1058" s="6">
        <v>78.0</v>
      </c>
      <c r="C1058" s="7"/>
      <c r="D1058" s="7"/>
      <c r="E1058" s="7"/>
      <c r="F1058" s="7"/>
      <c r="G1058" s="7"/>
    </row>
    <row r="1059">
      <c r="A1059" s="6" t="s">
        <v>588</v>
      </c>
      <c r="B1059" s="6">
        <v>0.0</v>
      </c>
      <c r="C1059" s="7"/>
      <c r="D1059" s="7"/>
      <c r="E1059" s="7"/>
      <c r="F1059" s="7"/>
      <c r="G1059" s="7"/>
    </row>
    <row r="1060">
      <c r="A1060" s="6" t="s">
        <v>589</v>
      </c>
      <c r="B1060" s="6">
        <v>0.0</v>
      </c>
      <c r="C1060" s="7"/>
      <c r="D1060" s="7"/>
      <c r="E1060" s="7"/>
      <c r="F1060" s="7"/>
      <c r="G1060" s="7"/>
    </row>
    <row r="1061">
      <c r="A1061" s="6" t="s">
        <v>590</v>
      </c>
      <c r="B1061" s="6">
        <v>0.0</v>
      </c>
      <c r="C1061" s="7"/>
      <c r="D1061" s="7"/>
      <c r="E1061" s="7"/>
      <c r="F1061" s="7"/>
      <c r="G1061" s="7"/>
    </row>
    <row r="1062">
      <c r="A1062" s="6" t="s">
        <v>591</v>
      </c>
      <c r="B1062" s="6">
        <v>0.0</v>
      </c>
      <c r="C1062" s="7"/>
      <c r="D1062" s="7"/>
      <c r="E1062" s="7"/>
      <c r="F1062" s="7"/>
      <c r="G1062" s="7"/>
    </row>
    <row r="1063">
      <c r="A1063" s="6" t="s">
        <v>592</v>
      </c>
      <c r="B1063" s="6">
        <v>0.0</v>
      </c>
      <c r="C1063" s="7"/>
      <c r="D1063" s="7"/>
      <c r="E1063" s="7"/>
      <c r="F1063" s="7"/>
      <c r="G1063" s="7"/>
    </row>
    <row r="1064">
      <c r="A1064" s="6" t="s">
        <v>593</v>
      </c>
      <c r="B1064" s="6">
        <v>46.0</v>
      </c>
      <c r="C1064" s="7"/>
      <c r="D1064" s="7"/>
      <c r="E1064" s="7"/>
      <c r="F1064" s="7"/>
      <c r="G1064" s="7"/>
    </row>
    <row r="1065">
      <c r="A1065" s="6" t="s">
        <v>594</v>
      </c>
      <c r="B1065" s="6">
        <v>38.0</v>
      </c>
      <c r="C1065" s="7"/>
      <c r="D1065" s="7"/>
      <c r="E1065" s="7"/>
      <c r="F1065" s="7"/>
      <c r="G1065" s="7"/>
    </row>
    <row r="1066">
      <c r="A1066" s="6" t="s">
        <v>595</v>
      </c>
      <c r="B1066" s="6">
        <v>79.0</v>
      </c>
      <c r="C1066" s="7"/>
      <c r="D1066" s="7"/>
      <c r="E1066" s="7"/>
      <c r="F1066" s="7"/>
      <c r="G1066" s="7"/>
    </row>
    <row r="1067">
      <c r="A1067" s="6" t="s">
        <v>596</v>
      </c>
      <c r="B1067" s="6">
        <v>0.0</v>
      </c>
      <c r="C1067" s="7"/>
      <c r="D1067" s="7"/>
      <c r="E1067" s="7"/>
      <c r="F1067" s="7"/>
      <c r="G1067" s="7"/>
    </row>
    <row r="1068">
      <c r="A1068" s="6" t="s">
        <v>597</v>
      </c>
      <c r="B1068" s="6">
        <v>47.0</v>
      </c>
      <c r="C1068" s="7"/>
      <c r="D1068" s="7"/>
      <c r="E1068" s="7"/>
      <c r="F1068" s="7"/>
      <c r="G1068" s="7"/>
    </row>
    <row r="1069">
      <c r="A1069" s="6" t="s">
        <v>598</v>
      </c>
      <c r="B1069" s="6">
        <v>0.0</v>
      </c>
      <c r="C1069" s="7"/>
      <c r="D1069" s="7"/>
      <c r="E1069" s="7"/>
      <c r="F1069" s="7"/>
      <c r="G1069" s="7"/>
    </row>
    <row r="1070">
      <c r="A1070" s="6" t="s">
        <v>599</v>
      </c>
      <c r="B1070" s="6">
        <v>0.0</v>
      </c>
      <c r="C1070" s="7"/>
      <c r="D1070" s="7"/>
      <c r="E1070" s="7"/>
      <c r="F1070" s="7"/>
      <c r="G1070" s="7"/>
    </row>
    <row r="1071">
      <c r="A1071" s="6" t="s">
        <v>600</v>
      </c>
      <c r="B1071" s="6">
        <v>0.0</v>
      </c>
      <c r="C1071" s="7"/>
      <c r="D1071" s="7"/>
      <c r="E1071" s="7"/>
      <c r="F1071" s="7"/>
      <c r="G1071" s="7"/>
    </row>
    <row r="1072">
      <c r="A1072" s="6" t="s">
        <v>601</v>
      </c>
      <c r="B1072" s="6">
        <v>0.0</v>
      </c>
      <c r="C1072" s="7"/>
      <c r="D1072" s="7"/>
      <c r="E1072" s="7"/>
      <c r="F1072" s="7"/>
      <c r="G1072" s="7"/>
    </row>
    <row r="1073">
      <c r="A1073" s="6" t="s">
        <v>602</v>
      </c>
      <c r="B1073" s="6">
        <v>24.0</v>
      </c>
      <c r="C1073" s="7"/>
      <c r="D1073" s="7"/>
      <c r="E1073" s="7"/>
      <c r="F1073" s="7"/>
      <c r="G1073" s="7"/>
    </row>
    <row r="1074">
      <c r="A1074" s="6" t="s">
        <v>603</v>
      </c>
      <c r="B1074" s="6">
        <v>66.0</v>
      </c>
      <c r="C1074" s="7"/>
      <c r="D1074" s="7"/>
      <c r="E1074" s="7"/>
      <c r="F1074" s="7"/>
      <c r="G1074" s="7"/>
    </row>
    <row r="1075">
      <c r="A1075" s="6" t="s">
        <v>604</v>
      </c>
      <c r="B1075" s="6">
        <v>0.0</v>
      </c>
      <c r="C1075" s="7"/>
      <c r="D1075" s="7"/>
      <c r="E1075" s="7"/>
      <c r="F1075" s="7"/>
      <c r="G1075" s="7"/>
    </row>
    <row r="1076">
      <c r="A1076" s="6" t="s">
        <v>605</v>
      </c>
      <c r="B1076" s="6">
        <v>67.0</v>
      </c>
      <c r="C1076" s="7"/>
      <c r="D1076" s="7"/>
      <c r="E1076" s="7"/>
      <c r="F1076" s="7"/>
      <c r="G1076" s="7"/>
    </row>
    <row r="1077">
      <c r="A1077" s="6" t="s">
        <v>606</v>
      </c>
      <c r="B1077" s="6">
        <v>0.0</v>
      </c>
      <c r="C1077" s="7"/>
      <c r="D1077" s="7"/>
      <c r="E1077" s="7"/>
      <c r="F1077" s="7"/>
      <c r="G1077" s="7"/>
    </row>
    <row r="1078">
      <c r="A1078" s="6" t="s">
        <v>607</v>
      </c>
      <c r="B1078" s="6" t="s">
        <v>608</v>
      </c>
      <c r="C1078" s="6">
        <v>0.0</v>
      </c>
      <c r="D1078" s="7"/>
      <c r="E1078" s="7"/>
      <c r="F1078" s="7"/>
      <c r="G1078" s="7"/>
    </row>
    <row r="1079">
      <c r="A1079" s="6" t="s">
        <v>609</v>
      </c>
      <c r="B1079" s="6">
        <v>0.0</v>
      </c>
      <c r="C1079" s="7"/>
      <c r="D1079" s="7"/>
      <c r="E1079" s="7"/>
      <c r="F1079" s="7"/>
      <c r="G1079" s="7"/>
    </row>
    <row r="1080">
      <c r="A1080" s="6" t="s">
        <v>610</v>
      </c>
      <c r="B1080" s="6">
        <v>0.0</v>
      </c>
      <c r="C1080" s="7"/>
      <c r="D1080" s="7"/>
      <c r="E1080" s="7"/>
      <c r="F1080" s="7"/>
      <c r="G1080" s="7"/>
    </row>
    <row r="1081">
      <c r="A1081" s="6" t="s">
        <v>611</v>
      </c>
      <c r="B1081" s="6">
        <v>0.0</v>
      </c>
      <c r="C1081" s="7"/>
      <c r="D1081" s="7"/>
      <c r="E1081" s="7"/>
      <c r="F1081" s="7"/>
      <c r="G1081" s="7"/>
    </row>
    <row r="1082">
      <c r="A1082" s="6" t="s">
        <v>612</v>
      </c>
      <c r="B1082" s="6">
        <v>32.0</v>
      </c>
      <c r="C1082" s="7"/>
      <c r="D1082" s="7"/>
      <c r="E1082" s="7"/>
      <c r="F1082" s="7"/>
      <c r="G1082" s="7"/>
    </row>
    <row r="1083">
      <c r="A1083" s="6" t="s">
        <v>613</v>
      </c>
      <c r="B1083" s="6">
        <v>0.0</v>
      </c>
      <c r="C1083" s="7"/>
      <c r="D1083" s="7"/>
      <c r="E1083" s="7"/>
      <c r="F1083" s="7"/>
      <c r="G1083" s="7"/>
    </row>
    <row r="1084">
      <c r="A1084" s="6" t="s">
        <v>614</v>
      </c>
      <c r="B1084" s="6">
        <v>0.0</v>
      </c>
      <c r="C1084" s="7"/>
      <c r="D1084" s="7"/>
      <c r="E1084" s="7"/>
      <c r="F1084" s="7"/>
      <c r="G1084" s="7"/>
    </row>
    <row r="1085">
      <c r="A1085" s="6" t="s">
        <v>615</v>
      </c>
      <c r="B1085" s="6">
        <v>0.0</v>
      </c>
      <c r="C1085" s="7"/>
      <c r="D1085" s="7"/>
      <c r="E1085" s="7"/>
      <c r="F1085" s="7"/>
      <c r="G1085" s="7"/>
    </row>
    <row r="1086">
      <c r="A1086" s="6" t="s">
        <v>616</v>
      </c>
      <c r="B1086" s="6">
        <v>0.0</v>
      </c>
      <c r="C1086" s="7"/>
      <c r="D1086" s="7"/>
      <c r="E1086" s="7"/>
      <c r="F1086" s="7"/>
      <c r="G1086" s="7"/>
    </row>
    <row r="1087">
      <c r="A1087" s="6" t="s">
        <v>617</v>
      </c>
      <c r="B1087" s="6">
        <v>0.0</v>
      </c>
      <c r="C1087" s="7"/>
      <c r="D1087" s="7"/>
      <c r="E1087" s="7"/>
      <c r="F1087" s="7"/>
      <c r="G1087" s="7"/>
    </row>
    <row r="1088">
      <c r="A1088" s="6" t="s">
        <v>618</v>
      </c>
      <c r="B1088" s="6">
        <v>0.0</v>
      </c>
      <c r="C1088" s="7"/>
      <c r="D1088" s="7"/>
      <c r="E1088" s="7"/>
      <c r="F1088" s="7"/>
      <c r="G1088" s="7"/>
    </row>
    <row r="1089">
      <c r="A1089" s="6" t="s">
        <v>619</v>
      </c>
      <c r="B1089" s="6">
        <v>87.0</v>
      </c>
      <c r="C1089" s="7"/>
      <c r="D1089" s="7"/>
      <c r="E1089" s="7"/>
      <c r="F1089" s="7"/>
      <c r="G1089" s="7"/>
    </row>
    <row r="1090">
      <c r="A1090" s="6" t="s">
        <v>620</v>
      </c>
      <c r="B1090" s="6">
        <v>0.0</v>
      </c>
      <c r="C1090" s="7"/>
      <c r="D1090" s="7"/>
      <c r="E1090" s="7"/>
      <c r="F1090" s="7"/>
      <c r="G1090" s="7"/>
    </row>
    <row r="1091">
      <c r="A1091" s="6" t="s">
        <v>621</v>
      </c>
      <c r="B1091" s="6">
        <v>0.0</v>
      </c>
      <c r="C1091" s="7"/>
      <c r="D1091" s="7"/>
      <c r="E1091" s="7"/>
      <c r="F1091" s="7"/>
      <c r="G1091" s="7"/>
    </row>
    <row r="1092">
      <c r="A1092" s="6" t="s">
        <v>622</v>
      </c>
      <c r="B1092" s="6">
        <v>0.0</v>
      </c>
      <c r="C1092" s="7"/>
      <c r="D1092" s="7"/>
      <c r="E1092" s="7"/>
      <c r="F1092" s="7"/>
      <c r="G1092" s="7"/>
    </row>
    <row r="1093">
      <c r="A1093" s="6" t="s">
        <v>623</v>
      </c>
      <c r="B1093" s="6">
        <v>14.0</v>
      </c>
      <c r="C1093" s="7"/>
      <c r="D1093" s="7"/>
      <c r="E1093" s="7"/>
      <c r="F1093" s="7"/>
      <c r="G1093" s="7"/>
    </row>
    <row r="1094">
      <c r="A1094" s="6" t="s">
        <v>624</v>
      </c>
      <c r="B1094" s="6">
        <v>76.0</v>
      </c>
      <c r="C1094" s="7"/>
      <c r="D1094" s="7"/>
      <c r="E1094" s="7"/>
      <c r="F1094" s="7"/>
      <c r="G1094" s="7"/>
    </row>
    <row r="1095">
      <c r="A1095" s="6" t="s">
        <v>625</v>
      </c>
      <c r="B1095" s="6">
        <v>20.0</v>
      </c>
      <c r="C1095" s="7"/>
      <c r="D1095" s="7"/>
      <c r="E1095" s="7"/>
      <c r="F1095" s="7"/>
      <c r="G1095" s="7"/>
    </row>
    <row r="1096">
      <c r="A1096" s="6" t="s">
        <v>626</v>
      </c>
      <c r="B1096" s="6">
        <v>0.0</v>
      </c>
      <c r="C1096" s="7"/>
      <c r="D1096" s="7"/>
      <c r="E1096" s="7"/>
      <c r="F1096" s="7"/>
      <c r="G1096" s="7"/>
    </row>
    <row r="1097">
      <c r="A1097" s="6" t="s">
        <v>627</v>
      </c>
      <c r="B1097" s="6">
        <v>0.0</v>
      </c>
      <c r="C1097" s="7"/>
      <c r="D1097" s="7"/>
      <c r="E1097" s="7"/>
      <c r="F1097" s="7"/>
      <c r="G1097" s="7"/>
    </row>
    <row r="1098">
      <c r="A1098" s="6" t="s">
        <v>628</v>
      </c>
      <c r="B1098" s="6">
        <v>8.0</v>
      </c>
      <c r="C1098" s="7"/>
      <c r="D1098" s="7"/>
      <c r="E1098" s="7"/>
      <c r="F1098" s="7"/>
      <c r="G1098" s="7"/>
    </row>
    <row r="1099">
      <c r="A1099" s="6" t="s">
        <v>629</v>
      </c>
      <c r="B1099" s="6">
        <v>0.0</v>
      </c>
      <c r="C1099" s="7"/>
      <c r="D1099" s="7"/>
      <c r="E1099" s="7"/>
      <c r="F1099" s="7"/>
      <c r="G1099" s="7"/>
    </row>
    <row r="1100">
      <c r="A1100" s="6" t="s">
        <v>630</v>
      </c>
      <c r="B1100" s="6">
        <v>0.0</v>
      </c>
      <c r="C1100" s="7"/>
      <c r="D1100" s="7"/>
      <c r="E1100" s="7"/>
      <c r="F1100" s="7"/>
      <c r="G1100" s="7"/>
    </row>
    <row r="1101">
      <c r="A1101" s="6" t="s">
        <v>631</v>
      </c>
      <c r="B1101" s="6">
        <v>0.0</v>
      </c>
      <c r="C1101" s="7"/>
      <c r="D1101" s="7"/>
      <c r="E1101" s="7"/>
      <c r="F1101" s="7"/>
      <c r="G1101" s="7"/>
    </row>
    <row r="1102">
      <c r="A1102" s="6" t="s">
        <v>632</v>
      </c>
      <c r="B1102" s="6">
        <v>78.0</v>
      </c>
      <c r="C1102" s="7"/>
      <c r="D1102" s="7"/>
      <c r="E1102" s="7"/>
      <c r="F1102" s="7"/>
      <c r="G1102" s="7"/>
    </row>
    <row r="1103">
      <c r="A1103" s="6" t="s">
        <v>633</v>
      </c>
      <c r="B1103" s="6">
        <v>6.0</v>
      </c>
      <c r="C1103" s="7"/>
      <c r="D1103" s="7"/>
      <c r="E1103" s="7"/>
      <c r="F1103" s="7"/>
      <c r="G1103" s="7"/>
    </row>
    <row r="1104">
      <c r="A1104" s="6" t="s">
        <v>634</v>
      </c>
      <c r="B1104" s="6">
        <v>89.0</v>
      </c>
      <c r="C1104" s="7"/>
      <c r="D1104" s="7"/>
      <c r="E1104" s="7"/>
      <c r="F1104" s="7"/>
      <c r="G1104" s="7"/>
    </row>
    <row r="1105">
      <c r="A1105" s="6" t="s">
        <v>635</v>
      </c>
      <c r="B1105" s="6">
        <v>38.0</v>
      </c>
      <c r="C1105" s="7"/>
      <c r="D1105" s="7"/>
      <c r="E1105" s="7"/>
      <c r="F1105" s="7"/>
      <c r="G1105" s="7"/>
    </row>
    <row r="1106">
      <c r="A1106" s="6" t="s">
        <v>636</v>
      </c>
      <c r="B1106" s="6">
        <v>68.0</v>
      </c>
      <c r="C1106" s="7"/>
      <c r="D1106" s="7"/>
      <c r="E1106" s="7"/>
      <c r="F1106" s="7"/>
      <c r="G1106" s="7"/>
    </row>
    <row r="1107">
      <c r="A1107" s="6" t="s">
        <v>637</v>
      </c>
      <c r="B1107" s="6">
        <v>0.0</v>
      </c>
      <c r="C1107" s="7"/>
      <c r="D1107" s="7"/>
      <c r="E1107" s="7"/>
      <c r="F1107" s="7"/>
      <c r="G1107" s="7"/>
    </row>
    <row r="1108">
      <c r="A1108" s="6" t="s">
        <v>638</v>
      </c>
      <c r="B1108" s="6">
        <v>0.0</v>
      </c>
      <c r="C1108" s="7"/>
      <c r="D1108" s="7"/>
      <c r="E1108" s="7"/>
      <c r="F1108" s="7"/>
      <c r="G1108" s="7"/>
    </row>
    <row r="1109">
      <c r="A1109" s="6" t="s">
        <v>639</v>
      </c>
      <c r="B1109" s="6">
        <v>0.0</v>
      </c>
      <c r="C1109" s="7"/>
      <c r="D1109" s="7"/>
      <c r="E1109" s="7"/>
      <c r="F1109" s="7"/>
      <c r="G1109" s="7"/>
    </row>
    <row r="1110">
      <c r="A1110" s="6" t="s">
        <v>640</v>
      </c>
      <c r="B1110" s="6">
        <v>90.0</v>
      </c>
      <c r="C1110" s="7"/>
      <c r="D1110" s="7"/>
      <c r="E1110" s="7"/>
      <c r="F1110" s="7"/>
      <c r="G1110" s="7"/>
    </row>
    <row r="1111">
      <c r="A1111" s="6" t="s">
        <v>641</v>
      </c>
      <c r="B1111" s="6">
        <v>0.0</v>
      </c>
      <c r="C1111" s="7"/>
      <c r="D1111" s="7"/>
      <c r="E1111" s="7"/>
      <c r="F1111" s="7"/>
      <c r="G1111" s="7"/>
    </row>
    <row r="1112">
      <c r="A1112" s="6" t="s">
        <v>642</v>
      </c>
      <c r="B1112" s="6">
        <v>0.0</v>
      </c>
      <c r="C1112" s="7"/>
      <c r="D1112" s="7"/>
      <c r="E1112" s="7"/>
      <c r="F1112" s="7"/>
      <c r="G1112" s="7"/>
    </row>
    <row r="1113">
      <c r="A1113" s="6" t="s">
        <v>643</v>
      </c>
      <c r="B1113" s="6">
        <v>57.0</v>
      </c>
      <c r="C1113" s="7"/>
      <c r="D1113" s="7"/>
      <c r="E1113" s="7"/>
      <c r="F1113" s="7"/>
      <c r="G1113" s="7"/>
    </row>
    <row r="1114">
      <c r="A1114" s="6" t="s">
        <v>644</v>
      </c>
      <c r="B1114" s="6">
        <v>20.0</v>
      </c>
      <c r="C1114" s="7"/>
      <c r="D1114" s="7"/>
      <c r="E1114" s="7"/>
      <c r="F1114" s="7"/>
      <c r="G1114" s="7"/>
    </row>
    <row r="1115">
      <c r="A1115" s="6" t="s">
        <v>645</v>
      </c>
      <c r="B1115" s="6">
        <v>0.0</v>
      </c>
      <c r="C1115" s="7"/>
      <c r="D1115" s="7"/>
      <c r="E1115" s="7"/>
      <c r="F1115" s="7"/>
      <c r="G1115" s="7"/>
    </row>
    <row r="1116">
      <c r="A1116" s="6" t="s">
        <v>646</v>
      </c>
      <c r="B1116" s="6">
        <v>50.0</v>
      </c>
      <c r="C1116" s="7"/>
      <c r="D1116" s="7"/>
      <c r="E1116" s="7"/>
      <c r="F1116" s="7"/>
      <c r="G1116" s="7"/>
    </row>
    <row r="1117">
      <c r="A1117" s="6" t="s">
        <v>647</v>
      </c>
      <c r="B1117" s="6">
        <v>0.0</v>
      </c>
      <c r="C1117" s="7"/>
      <c r="D1117" s="7"/>
      <c r="E1117" s="7"/>
      <c r="F1117" s="7"/>
      <c r="G1117" s="7"/>
    </row>
    <row r="1118">
      <c r="A1118" s="6" t="s">
        <v>648</v>
      </c>
      <c r="B1118" s="6">
        <v>0.0</v>
      </c>
      <c r="C1118" s="7"/>
      <c r="D1118" s="7"/>
      <c r="E1118" s="7"/>
      <c r="F1118" s="7"/>
      <c r="G1118" s="7"/>
    </row>
    <row r="1119">
      <c r="A1119" s="6" t="s">
        <v>649</v>
      </c>
      <c r="B1119" s="6">
        <v>0.0</v>
      </c>
      <c r="C1119" s="7"/>
      <c r="D1119" s="7"/>
      <c r="E1119" s="7"/>
      <c r="F1119" s="7"/>
      <c r="G1119" s="7"/>
    </row>
    <row r="1120">
      <c r="A1120" s="6" t="s">
        <v>650</v>
      </c>
      <c r="B1120" s="6">
        <v>0.0</v>
      </c>
      <c r="C1120" s="7"/>
      <c r="D1120" s="7"/>
      <c r="E1120" s="7"/>
      <c r="F1120" s="7"/>
      <c r="G1120" s="7"/>
    </row>
    <row r="1121">
      <c r="A1121" s="6" t="s">
        <v>651</v>
      </c>
      <c r="B1121" s="6">
        <v>0.0</v>
      </c>
      <c r="C1121" s="7"/>
      <c r="D1121" s="7"/>
      <c r="E1121" s="7"/>
      <c r="F1121" s="7"/>
      <c r="G1121" s="7"/>
    </row>
    <row r="1122">
      <c r="A1122" s="6" t="s">
        <v>652</v>
      </c>
      <c r="B1122" s="6">
        <v>0.0</v>
      </c>
      <c r="C1122" s="7"/>
      <c r="D1122" s="7"/>
      <c r="E1122" s="7"/>
      <c r="F1122" s="7"/>
      <c r="G1122" s="7"/>
    </row>
    <row r="1123">
      <c r="A1123" s="6" t="s">
        <v>653</v>
      </c>
      <c r="B1123" s="6">
        <v>0.0</v>
      </c>
      <c r="C1123" s="7"/>
      <c r="D1123" s="7"/>
      <c r="E1123" s="7"/>
      <c r="F1123" s="7"/>
      <c r="G1123" s="7"/>
    </row>
    <row r="1124">
      <c r="A1124" s="6" t="s">
        <v>654</v>
      </c>
      <c r="B1124" s="6">
        <v>0.0</v>
      </c>
      <c r="C1124" s="7"/>
      <c r="D1124" s="7"/>
      <c r="E1124" s="7"/>
      <c r="F1124" s="7"/>
      <c r="G1124" s="7"/>
    </row>
    <row r="1125">
      <c r="A1125" s="6" t="s">
        <v>655</v>
      </c>
      <c r="B1125" s="6">
        <v>92.0</v>
      </c>
      <c r="C1125" s="7"/>
      <c r="D1125" s="7"/>
      <c r="E1125" s="7"/>
      <c r="F1125" s="7"/>
      <c r="G1125" s="7"/>
    </row>
    <row r="1126">
      <c r="A1126" s="6" t="s">
        <v>656</v>
      </c>
      <c r="B1126" s="6">
        <v>0.0</v>
      </c>
      <c r="C1126" s="7"/>
      <c r="D1126" s="7"/>
      <c r="E1126" s="7"/>
      <c r="F1126" s="7"/>
      <c r="G1126" s="7"/>
    </row>
    <row r="1127">
      <c r="A1127" s="6" t="s">
        <v>657</v>
      </c>
      <c r="B1127" s="6">
        <v>0.0</v>
      </c>
      <c r="C1127" s="7"/>
      <c r="D1127" s="7"/>
      <c r="E1127" s="7"/>
      <c r="F1127" s="7"/>
      <c r="G1127" s="7"/>
    </row>
    <row r="1128">
      <c r="A1128" s="6" t="s">
        <v>658</v>
      </c>
      <c r="B1128" s="6">
        <v>0.0</v>
      </c>
      <c r="C1128" s="7"/>
      <c r="D1128" s="7"/>
      <c r="E1128" s="7"/>
      <c r="F1128" s="7"/>
      <c r="G1128" s="7"/>
    </row>
    <row r="1129">
      <c r="A1129" s="6" t="s">
        <v>659</v>
      </c>
      <c r="B1129" s="6">
        <v>0.0</v>
      </c>
      <c r="C1129" s="7"/>
      <c r="D1129" s="7"/>
      <c r="E1129" s="7"/>
      <c r="F1129" s="7"/>
      <c r="G1129" s="7"/>
    </row>
    <row r="1130">
      <c r="A1130" s="6" t="s">
        <v>660</v>
      </c>
      <c r="B1130" s="6">
        <v>0.0</v>
      </c>
      <c r="C1130" s="7"/>
      <c r="D1130" s="7"/>
      <c r="E1130" s="7"/>
      <c r="F1130" s="7"/>
      <c r="G1130" s="7"/>
    </row>
    <row r="1131">
      <c r="A1131" s="6" t="s">
        <v>661</v>
      </c>
      <c r="B1131" s="6">
        <v>0.0</v>
      </c>
      <c r="C1131" s="7"/>
      <c r="D1131" s="7"/>
      <c r="E1131" s="7"/>
      <c r="F1131" s="7"/>
      <c r="G1131" s="7"/>
    </row>
    <row r="1132">
      <c r="A1132" s="6" t="s">
        <v>662</v>
      </c>
      <c r="B1132" s="6">
        <v>0.0</v>
      </c>
      <c r="C1132" s="7"/>
      <c r="D1132" s="7"/>
      <c r="E1132" s="7"/>
      <c r="F1132" s="7"/>
      <c r="G1132" s="7"/>
    </row>
    <row r="1133">
      <c r="A1133" s="6" t="s">
        <v>663</v>
      </c>
      <c r="B1133" s="6" t="s">
        <v>664</v>
      </c>
      <c r="C1133" s="6">
        <v>0.0</v>
      </c>
      <c r="D1133" s="7"/>
      <c r="E1133" s="7"/>
      <c r="F1133" s="7"/>
      <c r="G1133" s="7"/>
    </row>
    <row r="1134">
      <c r="A1134" s="6" t="s">
        <v>665</v>
      </c>
      <c r="B1134" s="6">
        <v>0.0</v>
      </c>
      <c r="C1134" s="7"/>
      <c r="D1134" s="7"/>
      <c r="E1134" s="7"/>
      <c r="F1134" s="7"/>
      <c r="G1134" s="7"/>
    </row>
    <row r="1135">
      <c r="A1135" s="6" t="s">
        <v>666</v>
      </c>
      <c r="B1135" s="6">
        <v>0.0</v>
      </c>
      <c r="C1135" s="7"/>
      <c r="D1135" s="7"/>
      <c r="E1135" s="7"/>
      <c r="F1135" s="7"/>
      <c r="G1135" s="7"/>
    </row>
    <row r="1136">
      <c r="A1136" s="6" t="s">
        <v>667</v>
      </c>
      <c r="B1136" s="6">
        <v>68.0</v>
      </c>
      <c r="C1136" s="7"/>
      <c r="D1136" s="7"/>
      <c r="E1136" s="7"/>
      <c r="F1136" s="7"/>
      <c r="G1136" s="7"/>
    </row>
    <row r="1137">
      <c r="A1137" s="6" t="s">
        <v>668</v>
      </c>
      <c r="B1137" s="6">
        <v>0.0</v>
      </c>
      <c r="C1137" s="7"/>
      <c r="D1137" s="7"/>
      <c r="E1137" s="7"/>
      <c r="F1137" s="7"/>
      <c r="G1137" s="7"/>
    </row>
    <row r="1138">
      <c r="A1138" s="6" t="s">
        <v>669</v>
      </c>
      <c r="B1138" s="6">
        <v>0.0</v>
      </c>
      <c r="C1138" s="7"/>
      <c r="D1138" s="7"/>
      <c r="E1138" s="7"/>
      <c r="F1138" s="7"/>
      <c r="G1138" s="7"/>
    </row>
    <row r="1139">
      <c r="A1139" s="6" t="s">
        <v>670</v>
      </c>
      <c r="B1139" s="6">
        <v>0.0</v>
      </c>
      <c r="C1139" s="7"/>
      <c r="D1139" s="7"/>
      <c r="E1139" s="7"/>
      <c r="F1139" s="7"/>
      <c r="G1139" s="7"/>
    </row>
    <row r="1140">
      <c r="A1140" s="6" t="s">
        <v>671</v>
      </c>
      <c r="B1140" s="6">
        <v>0.0</v>
      </c>
      <c r="C1140" s="7"/>
      <c r="D1140" s="7"/>
      <c r="E1140" s="7"/>
      <c r="F1140" s="7"/>
      <c r="G1140" s="7"/>
    </row>
    <row r="1141">
      <c r="A1141" s="6" t="s">
        <v>672</v>
      </c>
      <c r="B1141" s="6">
        <v>95.0</v>
      </c>
      <c r="C1141" s="7"/>
      <c r="D1141" s="7"/>
      <c r="E1141" s="7"/>
      <c r="F1141" s="7"/>
      <c r="G1141" s="7"/>
    </row>
    <row r="1142">
      <c r="A1142" s="6" t="s">
        <v>673</v>
      </c>
      <c r="B1142" s="6">
        <v>32.0</v>
      </c>
      <c r="C1142" s="7"/>
      <c r="D1142" s="7"/>
      <c r="E1142" s="7"/>
      <c r="F1142" s="7"/>
      <c r="G1142" s="7"/>
    </row>
    <row r="1143">
      <c r="A1143" s="6" t="s">
        <v>674</v>
      </c>
      <c r="B1143" s="6">
        <v>79.0</v>
      </c>
      <c r="C1143" s="7"/>
      <c r="D1143" s="7"/>
      <c r="E1143" s="7"/>
      <c r="F1143" s="7"/>
      <c r="G1143" s="7"/>
    </row>
    <row r="1144">
      <c r="A1144" s="6" t="s">
        <v>675</v>
      </c>
      <c r="B1144" s="6">
        <v>4.0</v>
      </c>
      <c r="C1144" s="7"/>
      <c r="D1144" s="7"/>
      <c r="E1144" s="7"/>
      <c r="F1144" s="7"/>
      <c r="G1144" s="7"/>
    </row>
    <row r="1145">
      <c r="A1145" s="6" t="s">
        <v>676</v>
      </c>
      <c r="B1145" s="6">
        <v>0.0</v>
      </c>
      <c r="C1145" s="7"/>
      <c r="D1145" s="7"/>
      <c r="E1145" s="7"/>
      <c r="F1145" s="7"/>
      <c r="G1145" s="7"/>
    </row>
    <row r="1146">
      <c r="A1146" s="6" t="s">
        <v>677</v>
      </c>
      <c r="B1146" s="6">
        <v>82.0</v>
      </c>
      <c r="C1146" s="7"/>
      <c r="D1146" s="7"/>
      <c r="E1146" s="7"/>
      <c r="F1146" s="7"/>
      <c r="G1146" s="7"/>
    </row>
    <row r="1147">
      <c r="A1147" s="6" t="s">
        <v>678</v>
      </c>
      <c r="B1147" s="6">
        <v>0.0</v>
      </c>
      <c r="C1147" s="7"/>
      <c r="D1147" s="7"/>
      <c r="E1147" s="7"/>
      <c r="F1147" s="7"/>
      <c r="G1147" s="7"/>
    </row>
    <row r="1148">
      <c r="A1148" s="6" t="s">
        <v>679</v>
      </c>
      <c r="B1148" s="6">
        <v>0.0</v>
      </c>
      <c r="C1148" s="7"/>
      <c r="D1148" s="7"/>
      <c r="E1148" s="7"/>
      <c r="F1148" s="7"/>
      <c r="G1148" s="7"/>
    </row>
    <row r="1149">
      <c r="A1149" s="6" t="s">
        <v>680</v>
      </c>
      <c r="B1149" s="6">
        <v>0.0</v>
      </c>
      <c r="C1149" s="7"/>
      <c r="D1149" s="7"/>
      <c r="E1149" s="7"/>
      <c r="F1149" s="7"/>
      <c r="G1149" s="7"/>
    </row>
    <row r="1150">
      <c r="A1150" s="6" t="s">
        <v>681</v>
      </c>
      <c r="B1150" s="6">
        <v>0.0</v>
      </c>
      <c r="C1150" s="7"/>
      <c r="D1150" s="7"/>
      <c r="E1150" s="7"/>
      <c r="F1150" s="7"/>
      <c r="G1150" s="7"/>
    </row>
    <row r="1151">
      <c r="A1151" s="6" t="s">
        <v>682</v>
      </c>
      <c r="B1151" s="6">
        <v>0.0</v>
      </c>
      <c r="C1151" s="7"/>
      <c r="D1151" s="7"/>
      <c r="E1151" s="7"/>
      <c r="F1151" s="7"/>
      <c r="G1151" s="7"/>
    </row>
    <row r="1152">
      <c r="A1152" s="6" t="s">
        <v>683</v>
      </c>
      <c r="B1152" s="6">
        <v>72.0</v>
      </c>
      <c r="C1152" s="7"/>
      <c r="D1152" s="7"/>
      <c r="E1152" s="7"/>
      <c r="F1152" s="7"/>
      <c r="G1152" s="7"/>
    </row>
    <row r="1153">
      <c r="A1153" s="6" t="s">
        <v>684</v>
      </c>
      <c r="B1153" s="6">
        <v>0.0</v>
      </c>
      <c r="C1153" s="7"/>
      <c r="D1153" s="7"/>
      <c r="E1153" s="7"/>
      <c r="F1153" s="7"/>
      <c r="G1153" s="7"/>
    </row>
    <row r="1154">
      <c r="A1154" s="6" t="s">
        <v>685</v>
      </c>
      <c r="B1154" s="6">
        <v>0.0</v>
      </c>
      <c r="C1154" s="7"/>
      <c r="D1154" s="7"/>
      <c r="E1154" s="7"/>
      <c r="F1154" s="7"/>
      <c r="G1154" s="7"/>
    </row>
    <row r="1155">
      <c r="A1155" s="6" t="s">
        <v>686</v>
      </c>
      <c r="B1155" s="6">
        <v>17.0</v>
      </c>
      <c r="C1155" s="7"/>
      <c r="D1155" s="7"/>
      <c r="E1155" s="7"/>
      <c r="F1155" s="7"/>
      <c r="G1155" s="7"/>
    </row>
    <row r="1156">
      <c r="A1156" s="6" t="s">
        <v>687</v>
      </c>
      <c r="B1156" s="6">
        <v>50.0</v>
      </c>
      <c r="C1156" s="7"/>
      <c r="D1156" s="7"/>
      <c r="E1156" s="7"/>
      <c r="F1156" s="7"/>
      <c r="G1156" s="7"/>
    </row>
    <row r="1157">
      <c r="A1157" s="6" t="s">
        <v>688</v>
      </c>
      <c r="B1157" s="6">
        <v>0.0</v>
      </c>
      <c r="C1157" s="7"/>
      <c r="D1157" s="7"/>
      <c r="E1157" s="7"/>
      <c r="F1157" s="7"/>
      <c r="G1157" s="7"/>
    </row>
    <row r="1158">
      <c r="A1158" s="6" t="s">
        <v>689</v>
      </c>
      <c r="B1158" s="6">
        <v>0.0</v>
      </c>
      <c r="C1158" s="7"/>
      <c r="D1158" s="7"/>
      <c r="E1158" s="7"/>
      <c r="F1158" s="7"/>
      <c r="G1158" s="7"/>
    </row>
    <row r="1159">
      <c r="A1159" s="6" t="s">
        <v>690</v>
      </c>
      <c r="B1159" s="6">
        <v>0.0</v>
      </c>
      <c r="C1159" s="7"/>
      <c r="D1159" s="7"/>
      <c r="E1159" s="7"/>
      <c r="F1159" s="7"/>
      <c r="G1159" s="7"/>
    </row>
    <row r="1160">
      <c r="A1160" s="6" t="s">
        <v>691</v>
      </c>
      <c r="B1160" s="6">
        <v>50.0</v>
      </c>
      <c r="C1160" s="7"/>
      <c r="D1160" s="7"/>
      <c r="E1160" s="7"/>
      <c r="F1160" s="7"/>
      <c r="G1160" s="7"/>
    </row>
    <row r="1161">
      <c r="A1161" s="6" t="s">
        <v>692</v>
      </c>
      <c r="B1161" s="6">
        <v>0.0</v>
      </c>
      <c r="C1161" s="7"/>
      <c r="D1161" s="7"/>
      <c r="E1161" s="7"/>
      <c r="F1161" s="7"/>
      <c r="G1161" s="7"/>
    </row>
    <row r="1162">
      <c r="A1162" s="6" t="s">
        <v>693</v>
      </c>
      <c r="B1162" s="6">
        <v>0.0</v>
      </c>
      <c r="C1162" s="7"/>
      <c r="D1162" s="7"/>
      <c r="E1162" s="7"/>
      <c r="F1162" s="7"/>
      <c r="G1162" s="7"/>
    </row>
    <row r="1163">
      <c r="A1163" s="6" t="s">
        <v>694</v>
      </c>
      <c r="B1163" s="6">
        <v>35.0</v>
      </c>
      <c r="C1163" s="7"/>
      <c r="D1163" s="7"/>
      <c r="E1163" s="7"/>
      <c r="F1163" s="7"/>
      <c r="G1163" s="7"/>
    </row>
    <row r="1164">
      <c r="A1164" s="6" t="s">
        <v>695</v>
      </c>
      <c r="B1164" s="6">
        <v>0.0</v>
      </c>
      <c r="C1164" s="7"/>
      <c r="D1164" s="7"/>
      <c r="E1164" s="7"/>
      <c r="F1164" s="7"/>
      <c r="G1164" s="7"/>
    </row>
    <row r="1165">
      <c r="A1165" s="6" t="s">
        <v>696</v>
      </c>
      <c r="B1165" s="6">
        <v>48.0</v>
      </c>
      <c r="C1165" s="7"/>
      <c r="D1165" s="7"/>
      <c r="E1165" s="7"/>
      <c r="F1165" s="7"/>
      <c r="G1165" s="7"/>
    </row>
    <row r="1166">
      <c r="A1166" s="6" t="s">
        <v>697</v>
      </c>
      <c r="B1166" s="6">
        <v>0.0</v>
      </c>
      <c r="C1166" s="7"/>
      <c r="D1166" s="7"/>
      <c r="E1166" s="7"/>
      <c r="F1166" s="7"/>
      <c r="G1166" s="7"/>
    </row>
    <row r="1167">
      <c r="A1167" s="6" t="s">
        <v>698</v>
      </c>
      <c r="B1167" s="6">
        <v>50.0</v>
      </c>
      <c r="C1167" s="7"/>
      <c r="D1167" s="7"/>
      <c r="E1167" s="7"/>
      <c r="F1167" s="7"/>
      <c r="G1167" s="7"/>
    </row>
    <row r="1168">
      <c r="A1168" s="6" t="s">
        <v>699</v>
      </c>
      <c r="B1168" s="6">
        <v>56.0</v>
      </c>
      <c r="C1168" s="7"/>
      <c r="D1168" s="7"/>
      <c r="E1168" s="7"/>
      <c r="F1168" s="7"/>
      <c r="G1168" s="7"/>
    </row>
    <row r="1169">
      <c r="A1169" s="6" t="s">
        <v>700</v>
      </c>
      <c r="B1169" s="6">
        <v>0.0</v>
      </c>
      <c r="C1169" s="7"/>
      <c r="D1169" s="7"/>
      <c r="E1169" s="7"/>
      <c r="F1169" s="7"/>
      <c r="G1169" s="7"/>
    </row>
    <row r="1170">
      <c r="A1170" s="6" t="s">
        <v>701</v>
      </c>
      <c r="B1170" s="6">
        <v>0.0</v>
      </c>
      <c r="C1170" s="7"/>
      <c r="D1170" s="7"/>
      <c r="E1170" s="7"/>
      <c r="F1170" s="7"/>
      <c r="G1170" s="7"/>
    </row>
    <row r="1171">
      <c r="A1171" s="6" t="s">
        <v>702</v>
      </c>
      <c r="B1171" s="6">
        <v>0.0</v>
      </c>
      <c r="C1171" s="7"/>
      <c r="D1171" s="7"/>
      <c r="E1171" s="7"/>
      <c r="F1171" s="7"/>
      <c r="G1171" s="7"/>
    </row>
    <row r="1172">
      <c r="A1172" s="6" t="s">
        <v>703</v>
      </c>
      <c r="B1172" s="6">
        <v>0.0</v>
      </c>
      <c r="C1172" s="7"/>
      <c r="D1172" s="7"/>
      <c r="E1172" s="7"/>
      <c r="F1172" s="7"/>
      <c r="G1172" s="7"/>
    </row>
    <row r="1173">
      <c r="A1173" s="6" t="s">
        <v>704</v>
      </c>
      <c r="B1173" s="6">
        <v>15.0</v>
      </c>
      <c r="C1173" s="7"/>
      <c r="D1173" s="7"/>
      <c r="E1173" s="7"/>
      <c r="F1173" s="7"/>
      <c r="G1173" s="7"/>
    </row>
    <row r="1174">
      <c r="A1174" s="6" t="s">
        <v>705</v>
      </c>
      <c r="B1174" s="6">
        <v>70.0</v>
      </c>
      <c r="C1174" s="7"/>
      <c r="D1174" s="7"/>
      <c r="E1174" s="7"/>
      <c r="F1174" s="7"/>
      <c r="G1174" s="7"/>
    </row>
    <row r="1175">
      <c r="A1175" s="6" t="s">
        <v>706</v>
      </c>
      <c r="B1175" s="6">
        <v>0.0</v>
      </c>
      <c r="C1175" s="7"/>
      <c r="D1175" s="7"/>
      <c r="E1175" s="7"/>
      <c r="F1175" s="7"/>
      <c r="G1175" s="7"/>
    </row>
    <row r="1176">
      <c r="A1176" s="6" t="s">
        <v>707</v>
      </c>
      <c r="B1176" s="6">
        <v>0.0</v>
      </c>
      <c r="C1176" s="7"/>
      <c r="D1176" s="7"/>
      <c r="E1176" s="7"/>
      <c r="F1176" s="7"/>
      <c r="G1176" s="7"/>
    </row>
    <row r="1177">
      <c r="A1177" s="6" t="s">
        <v>708</v>
      </c>
      <c r="B1177" s="6">
        <v>0.0</v>
      </c>
      <c r="C1177" s="7"/>
      <c r="D1177" s="7"/>
      <c r="E1177" s="7"/>
      <c r="F1177" s="7"/>
      <c r="G1177" s="7"/>
    </row>
    <row r="1178">
      <c r="A1178" s="6" t="s">
        <v>709</v>
      </c>
      <c r="B1178" s="6">
        <v>0.0</v>
      </c>
      <c r="C1178" s="7"/>
      <c r="D1178" s="7"/>
      <c r="E1178" s="7"/>
      <c r="F1178" s="7"/>
      <c r="G1178" s="7"/>
    </row>
    <row r="1179">
      <c r="A1179" s="6" t="s">
        <v>710</v>
      </c>
      <c r="B1179" s="6">
        <v>0.0</v>
      </c>
      <c r="C1179" s="7"/>
      <c r="D1179" s="7"/>
      <c r="E1179" s="7"/>
      <c r="F1179" s="7"/>
      <c r="G1179" s="7"/>
    </row>
    <row r="1180">
      <c r="A1180" s="6" t="s">
        <v>711</v>
      </c>
      <c r="B1180" s="6">
        <v>0.0</v>
      </c>
      <c r="C1180" s="7"/>
      <c r="D1180" s="7"/>
      <c r="E1180" s="7"/>
      <c r="F1180" s="7"/>
      <c r="G1180" s="7"/>
    </row>
    <row r="1181">
      <c r="A1181" s="6" t="s">
        <v>712</v>
      </c>
      <c r="B1181" s="6">
        <v>80.0</v>
      </c>
      <c r="C1181" s="7"/>
      <c r="D1181" s="7"/>
      <c r="E1181" s="7"/>
      <c r="F1181" s="7"/>
      <c r="G1181" s="7"/>
    </row>
    <row r="1182">
      <c r="A1182" s="6" t="s">
        <v>713</v>
      </c>
      <c r="B1182" s="6">
        <v>12.0</v>
      </c>
      <c r="C1182" s="7"/>
      <c r="D1182" s="7"/>
      <c r="E1182" s="7"/>
      <c r="F1182" s="7"/>
      <c r="G1182" s="7"/>
    </row>
    <row r="1183">
      <c r="A1183" s="6" t="s">
        <v>714</v>
      </c>
      <c r="B1183" s="6">
        <v>0.0</v>
      </c>
      <c r="C1183" s="7"/>
      <c r="D1183" s="7"/>
      <c r="E1183" s="7"/>
      <c r="F1183" s="7"/>
      <c r="G1183" s="7"/>
    </row>
    <row r="1184">
      <c r="A1184" s="6" t="s">
        <v>715</v>
      </c>
      <c r="B1184" s="6">
        <v>0.0</v>
      </c>
      <c r="C1184" s="7"/>
      <c r="D1184" s="7"/>
      <c r="E1184" s="7"/>
      <c r="F1184" s="7"/>
      <c r="G1184" s="7"/>
    </row>
    <row r="1185">
      <c r="A1185" s="6" t="s">
        <v>716</v>
      </c>
      <c r="B1185" s="6">
        <v>20.0</v>
      </c>
      <c r="C1185" s="7"/>
      <c r="D1185" s="7"/>
      <c r="E1185" s="7"/>
      <c r="F1185" s="7"/>
      <c r="G1185" s="7"/>
    </row>
    <row r="1186">
      <c r="A1186" s="6" t="s">
        <v>717</v>
      </c>
      <c r="B1186" s="6">
        <v>0.0</v>
      </c>
      <c r="C1186" s="7"/>
      <c r="D1186" s="7"/>
      <c r="E1186" s="7"/>
      <c r="F1186" s="7"/>
      <c r="G1186" s="7"/>
    </row>
    <row r="1187">
      <c r="A1187" s="6" t="s">
        <v>718</v>
      </c>
      <c r="B1187" s="6">
        <v>0.0</v>
      </c>
      <c r="C1187" s="7"/>
      <c r="D1187" s="7"/>
      <c r="E1187" s="7"/>
      <c r="F1187" s="7"/>
      <c r="G1187" s="7"/>
    </row>
    <row r="1188">
      <c r="A1188" s="6" t="s">
        <v>719</v>
      </c>
      <c r="B1188" s="6">
        <v>0.0</v>
      </c>
      <c r="C1188" s="7"/>
      <c r="D1188" s="7"/>
      <c r="E1188" s="7"/>
      <c r="F1188" s="7"/>
      <c r="G1188" s="7"/>
    </row>
    <row r="1189">
      <c r="A1189" s="6" t="s">
        <v>720</v>
      </c>
      <c r="B1189" s="6">
        <v>24.0</v>
      </c>
      <c r="C1189" s="7"/>
      <c r="D1189" s="7"/>
      <c r="E1189" s="7"/>
      <c r="F1189" s="7"/>
      <c r="G1189" s="7"/>
    </row>
    <row r="1190">
      <c r="A1190" s="6" t="s">
        <v>721</v>
      </c>
      <c r="B1190" s="6">
        <v>0.0</v>
      </c>
      <c r="C1190" s="7"/>
      <c r="D1190" s="7"/>
      <c r="E1190" s="7"/>
      <c r="F1190" s="7"/>
      <c r="G1190" s="7"/>
    </row>
    <row r="1191">
      <c r="A1191" s="6" t="s">
        <v>652</v>
      </c>
      <c r="B1191" s="6">
        <v>0.0</v>
      </c>
      <c r="C1191" s="7"/>
      <c r="D1191" s="7"/>
      <c r="E1191" s="7"/>
      <c r="F1191" s="7"/>
      <c r="G1191" s="7"/>
    </row>
    <row r="1192">
      <c r="A1192" s="6" t="s">
        <v>653</v>
      </c>
      <c r="B1192" s="6">
        <v>0.0</v>
      </c>
      <c r="C1192" s="7"/>
      <c r="D1192" s="7"/>
      <c r="E1192" s="7"/>
      <c r="F1192" s="7"/>
      <c r="G1192" s="7"/>
    </row>
    <row r="1193">
      <c r="A1193" s="6" t="s">
        <v>654</v>
      </c>
      <c r="B1193" s="6">
        <v>0.0</v>
      </c>
      <c r="C1193" s="7"/>
      <c r="D1193" s="7"/>
      <c r="E1193" s="7"/>
      <c r="F1193" s="7"/>
      <c r="G1193" s="7"/>
    </row>
    <row r="1194">
      <c r="A1194" s="6" t="s">
        <v>655</v>
      </c>
      <c r="B1194" s="6">
        <v>92.0</v>
      </c>
      <c r="C1194" s="7"/>
      <c r="D1194" s="7"/>
      <c r="E1194" s="7"/>
      <c r="F1194" s="7"/>
      <c r="G1194" s="7"/>
    </row>
    <row r="1195">
      <c r="A1195" s="6" t="s">
        <v>656</v>
      </c>
      <c r="B1195" s="6">
        <v>0.0</v>
      </c>
      <c r="C1195" s="7"/>
      <c r="D1195" s="7"/>
      <c r="E1195" s="7"/>
      <c r="F1195" s="7"/>
      <c r="G1195" s="7"/>
    </row>
    <row r="1196">
      <c r="A1196" s="6" t="s">
        <v>657</v>
      </c>
      <c r="B1196" s="6">
        <v>0.0</v>
      </c>
      <c r="C1196" s="7"/>
      <c r="D1196" s="7"/>
      <c r="E1196" s="7"/>
      <c r="F1196" s="7"/>
      <c r="G1196" s="7"/>
    </row>
    <row r="1197">
      <c r="A1197" s="6" t="s">
        <v>658</v>
      </c>
      <c r="B1197" s="6">
        <v>0.0</v>
      </c>
      <c r="C1197" s="7"/>
      <c r="D1197" s="7"/>
      <c r="E1197" s="7"/>
      <c r="F1197" s="7"/>
      <c r="G1197" s="7"/>
    </row>
    <row r="1198">
      <c r="A1198" s="6" t="s">
        <v>659</v>
      </c>
      <c r="B1198" s="6">
        <v>0.0</v>
      </c>
      <c r="C1198" s="7"/>
      <c r="D1198" s="7"/>
      <c r="E1198" s="7"/>
      <c r="F1198" s="7"/>
      <c r="G1198" s="7"/>
    </row>
    <row r="1199">
      <c r="A1199" s="6" t="s">
        <v>660</v>
      </c>
      <c r="B1199" s="6">
        <v>0.0</v>
      </c>
      <c r="C1199" s="7"/>
      <c r="D1199" s="7"/>
      <c r="E1199" s="7"/>
      <c r="F1199" s="7"/>
      <c r="G1199" s="7"/>
    </row>
    <row r="1200">
      <c r="A1200" s="6" t="s">
        <v>661</v>
      </c>
      <c r="B1200" s="6">
        <v>0.0</v>
      </c>
      <c r="C1200" s="7"/>
      <c r="D1200" s="7"/>
      <c r="E1200" s="7"/>
      <c r="F1200" s="7"/>
      <c r="G1200" s="7"/>
    </row>
    <row r="1201">
      <c r="A1201" s="6" t="s">
        <v>662</v>
      </c>
      <c r="B1201" s="6">
        <v>0.0</v>
      </c>
      <c r="C1201" s="7"/>
      <c r="D1201" s="7"/>
      <c r="E1201" s="7"/>
      <c r="F1201" s="7"/>
      <c r="G1201" s="7"/>
    </row>
    <row r="1202">
      <c r="A1202" s="6" t="s">
        <v>663</v>
      </c>
      <c r="B1202" s="6" t="s">
        <v>664</v>
      </c>
      <c r="C1202" s="6">
        <v>0.0</v>
      </c>
      <c r="D1202" s="7"/>
      <c r="E1202" s="7"/>
      <c r="F1202" s="7"/>
      <c r="G1202" s="7"/>
    </row>
    <row r="1203">
      <c r="A1203" s="6" t="s">
        <v>665</v>
      </c>
      <c r="B1203" s="6">
        <v>0.0</v>
      </c>
      <c r="C1203" s="7"/>
      <c r="D1203" s="7"/>
      <c r="E1203" s="7"/>
      <c r="F1203" s="7"/>
      <c r="G1203" s="7"/>
    </row>
    <row r="1204">
      <c r="A1204" s="6" t="s">
        <v>666</v>
      </c>
      <c r="B1204" s="6">
        <v>0.0</v>
      </c>
      <c r="C1204" s="7"/>
      <c r="D1204" s="7"/>
      <c r="E1204" s="7"/>
      <c r="F1204" s="7"/>
      <c r="G1204" s="7"/>
    </row>
    <row r="1205">
      <c r="A1205" s="6" t="s">
        <v>667</v>
      </c>
      <c r="B1205" s="6">
        <v>68.0</v>
      </c>
      <c r="C1205" s="7"/>
      <c r="D1205" s="7"/>
      <c r="E1205" s="7"/>
      <c r="F1205" s="7"/>
      <c r="G1205" s="7"/>
    </row>
    <row r="1206">
      <c r="A1206" s="6" t="s">
        <v>668</v>
      </c>
      <c r="B1206" s="6">
        <v>0.0</v>
      </c>
      <c r="C1206" s="7"/>
      <c r="D1206" s="7"/>
      <c r="E1206" s="7"/>
      <c r="F1206" s="7"/>
      <c r="G1206" s="7"/>
    </row>
    <row r="1207">
      <c r="A1207" s="6" t="s">
        <v>669</v>
      </c>
      <c r="B1207" s="6">
        <v>0.0</v>
      </c>
      <c r="C1207" s="7"/>
      <c r="D1207" s="7"/>
      <c r="E1207" s="7"/>
      <c r="F1207" s="7"/>
      <c r="G1207" s="7"/>
    </row>
    <row r="1208">
      <c r="A1208" s="6" t="s">
        <v>670</v>
      </c>
      <c r="B1208" s="6">
        <v>0.0</v>
      </c>
      <c r="C1208" s="7"/>
      <c r="D1208" s="7"/>
      <c r="E1208" s="7"/>
      <c r="F1208" s="7"/>
      <c r="G1208" s="7"/>
    </row>
    <row r="1209">
      <c r="A1209" s="6" t="s">
        <v>671</v>
      </c>
      <c r="B1209" s="6">
        <v>0.0</v>
      </c>
      <c r="C1209" s="7"/>
      <c r="D1209" s="7"/>
      <c r="E1209" s="7"/>
      <c r="F1209" s="7"/>
      <c r="G1209" s="7"/>
    </row>
    <row r="1210">
      <c r="A1210" s="6" t="s">
        <v>672</v>
      </c>
      <c r="B1210" s="6">
        <v>95.0</v>
      </c>
      <c r="C1210" s="7"/>
      <c r="D1210" s="7"/>
      <c r="E1210" s="7"/>
      <c r="F1210" s="7"/>
      <c r="G1210" s="7"/>
    </row>
    <row r="1211">
      <c r="A1211" s="6" t="s">
        <v>673</v>
      </c>
      <c r="B1211" s="6">
        <v>32.0</v>
      </c>
      <c r="C1211" s="7"/>
      <c r="D1211" s="7"/>
      <c r="E1211" s="7"/>
      <c r="F1211" s="7"/>
      <c r="G1211" s="7"/>
    </row>
    <row r="1212">
      <c r="A1212" s="6" t="s">
        <v>674</v>
      </c>
      <c r="B1212" s="6">
        <v>79.0</v>
      </c>
      <c r="C1212" s="7"/>
      <c r="D1212" s="7"/>
      <c r="E1212" s="7"/>
      <c r="F1212" s="7"/>
      <c r="G1212" s="7"/>
    </row>
    <row r="1213">
      <c r="A1213" s="6" t="s">
        <v>675</v>
      </c>
      <c r="B1213" s="6">
        <v>4.0</v>
      </c>
      <c r="C1213" s="7"/>
      <c r="D1213" s="7"/>
      <c r="E1213" s="7"/>
      <c r="F1213" s="7"/>
      <c r="G1213" s="7"/>
    </row>
    <row r="1214">
      <c r="A1214" s="6" t="s">
        <v>676</v>
      </c>
      <c r="B1214" s="6">
        <v>0.0</v>
      </c>
      <c r="C1214" s="7"/>
      <c r="D1214" s="7"/>
      <c r="E1214" s="7"/>
      <c r="F1214" s="7"/>
      <c r="G1214" s="7"/>
    </row>
    <row r="1215">
      <c r="A1215" s="6" t="s">
        <v>677</v>
      </c>
      <c r="B1215" s="6">
        <v>82.0</v>
      </c>
      <c r="C1215" s="7"/>
      <c r="D1215" s="7"/>
      <c r="E1215" s="7"/>
      <c r="F1215" s="7"/>
      <c r="G1215" s="7"/>
    </row>
    <row r="1216">
      <c r="A1216" s="6" t="s">
        <v>678</v>
      </c>
      <c r="B1216" s="6">
        <v>0.0</v>
      </c>
      <c r="C1216" s="7"/>
      <c r="D1216" s="7"/>
      <c r="E1216" s="7"/>
      <c r="F1216" s="7"/>
      <c r="G1216" s="7"/>
    </row>
    <row r="1217">
      <c r="A1217" s="6" t="s">
        <v>679</v>
      </c>
      <c r="B1217" s="6">
        <v>0.0</v>
      </c>
      <c r="C1217" s="7"/>
      <c r="D1217" s="7"/>
      <c r="E1217" s="7"/>
      <c r="F1217" s="7"/>
      <c r="G1217" s="7"/>
    </row>
    <row r="1218">
      <c r="A1218" s="6" t="s">
        <v>680</v>
      </c>
      <c r="B1218" s="6">
        <v>0.0</v>
      </c>
      <c r="C1218" s="7"/>
      <c r="D1218" s="7"/>
      <c r="E1218" s="7"/>
      <c r="F1218" s="7"/>
      <c r="G1218" s="7"/>
    </row>
    <row r="1219">
      <c r="A1219" s="6" t="s">
        <v>681</v>
      </c>
      <c r="B1219" s="6">
        <v>0.0</v>
      </c>
      <c r="C1219" s="7"/>
      <c r="D1219" s="7"/>
      <c r="E1219" s="7"/>
      <c r="F1219" s="7"/>
      <c r="G1219" s="7"/>
    </row>
    <row r="1220">
      <c r="A1220" s="6" t="s">
        <v>682</v>
      </c>
      <c r="B1220" s="6">
        <v>0.0</v>
      </c>
      <c r="C1220" s="7"/>
      <c r="D1220" s="7"/>
      <c r="E1220" s="7"/>
      <c r="F1220" s="7"/>
      <c r="G1220" s="7"/>
    </row>
    <row r="1221">
      <c r="A1221" s="6" t="s">
        <v>683</v>
      </c>
      <c r="B1221" s="6">
        <v>72.0</v>
      </c>
      <c r="C1221" s="7"/>
      <c r="D1221" s="7"/>
      <c r="E1221" s="7"/>
      <c r="F1221" s="7"/>
      <c r="G1221" s="7"/>
    </row>
    <row r="1222">
      <c r="A1222" s="6" t="s">
        <v>684</v>
      </c>
      <c r="B1222" s="6">
        <v>0.0</v>
      </c>
      <c r="C1222" s="7"/>
      <c r="D1222" s="7"/>
      <c r="E1222" s="7"/>
      <c r="F1222" s="7"/>
      <c r="G1222" s="7"/>
    </row>
    <row r="1223">
      <c r="A1223" s="6" t="s">
        <v>685</v>
      </c>
      <c r="B1223" s="6">
        <v>0.0</v>
      </c>
      <c r="C1223" s="7"/>
      <c r="D1223" s="7"/>
      <c r="E1223" s="7"/>
      <c r="F1223" s="7"/>
      <c r="G1223" s="7"/>
    </row>
    <row r="1224">
      <c r="A1224" s="6" t="s">
        <v>686</v>
      </c>
      <c r="B1224" s="6">
        <v>17.0</v>
      </c>
      <c r="C1224" s="7"/>
      <c r="D1224" s="7"/>
      <c r="E1224" s="7"/>
      <c r="F1224" s="7"/>
      <c r="G1224" s="7"/>
    </row>
    <row r="1225">
      <c r="A1225" s="6" t="s">
        <v>687</v>
      </c>
      <c r="B1225" s="6">
        <v>50.0</v>
      </c>
      <c r="C1225" s="7"/>
      <c r="D1225" s="7"/>
      <c r="E1225" s="7"/>
      <c r="F1225" s="7"/>
      <c r="G1225" s="7"/>
    </row>
    <row r="1226">
      <c r="A1226" s="6" t="s">
        <v>688</v>
      </c>
      <c r="B1226" s="6">
        <v>0.0</v>
      </c>
      <c r="C1226" s="7"/>
      <c r="D1226" s="7"/>
      <c r="E1226" s="7"/>
      <c r="F1226" s="7"/>
      <c r="G1226" s="7"/>
    </row>
    <row r="1227">
      <c r="A1227" s="6" t="s">
        <v>689</v>
      </c>
      <c r="B1227" s="6">
        <v>0.0</v>
      </c>
      <c r="C1227" s="7"/>
      <c r="D1227" s="7"/>
      <c r="E1227" s="7"/>
      <c r="F1227" s="7"/>
      <c r="G1227" s="7"/>
    </row>
    <row r="1228">
      <c r="A1228" s="6" t="s">
        <v>690</v>
      </c>
      <c r="B1228" s="6">
        <v>0.0</v>
      </c>
      <c r="C1228" s="7"/>
      <c r="D1228" s="7"/>
      <c r="E1228" s="7"/>
      <c r="F1228" s="7"/>
      <c r="G1228" s="7"/>
    </row>
    <row r="1229">
      <c r="A1229" s="6" t="s">
        <v>691</v>
      </c>
      <c r="B1229" s="6">
        <v>50.0</v>
      </c>
      <c r="C1229" s="7"/>
      <c r="D1229" s="7"/>
      <c r="E1229" s="7"/>
      <c r="F1229" s="7"/>
      <c r="G1229" s="7"/>
    </row>
    <row r="1230">
      <c r="A1230" s="6" t="s">
        <v>692</v>
      </c>
      <c r="B1230" s="6">
        <v>0.0</v>
      </c>
      <c r="C1230" s="7"/>
      <c r="D1230" s="7"/>
      <c r="E1230" s="7"/>
      <c r="F1230" s="7"/>
      <c r="G1230" s="7"/>
    </row>
    <row r="1231">
      <c r="A1231" s="6" t="s">
        <v>693</v>
      </c>
      <c r="B1231" s="6">
        <v>0.0</v>
      </c>
      <c r="C1231" s="7"/>
      <c r="D1231" s="7"/>
      <c r="E1231" s="7"/>
      <c r="F1231" s="7"/>
      <c r="G1231" s="7"/>
    </row>
    <row r="1232">
      <c r="A1232" s="6" t="s">
        <v>694</v>
      </c>
      <c r="B1232" s="6">
        <v>35.0</v>
      </c>
      <c r="C1232" s="7"/>
      <c r="D1232" s="7"/>
      <c r="E1232" s="7"/>
      <c r="F1232" s="7"/>
      <c r="G1232" s="7"/>
    </row>
    <row r="1233">
      <c r="A1233" s="6" t="s">
        <v>695</v>
      </c>
      <c r="B1233" s="6">
        <v>0.0</v>
      </c>
      <c r="C1233" s="7"/>
      <c r="D1233" s="7"/>
      <c r="E1233" s="7"/>
      <c r="F1233" s="7"/>
      <c r="G1233" s="7"/>
    </row>
    <row r="1234">
      <c r="A1234" s="6" t="s">
        <v>696</v>
      </c>
      <c r="B1234" s="6">
        <v>48.0</v>
      </c>
      <c r="C1234" s="7"/>
      <c r="D1234" s="7"/>
      <c r="E1234" s="7"/>
      <c r="F1234" s="7"/>
      <c r="G1234" s="7"/>
    </row>
    <row r="1235">
      <c r="A1235" s="6" t="s">
        <v>697</v>
      </c>
      <c r="B1235" s="6">
        <v>0.0</v>
      </c>
      <c r="C1235" s="7"/>
      <c r="D1235" s="7"/>
      <c r="E1235" s="7"/>
      <c r="F1235" s="7"/>
      <c r="G1235" s="7"/>
    </row>
    <row r="1236">
      <c r="A1236" s="6" t="s">
        <v>698</v>
      </c>
      <c r="B1236" s="6">
        <v>50.0</v>
      </c>
      <c r="C1236" s="7"/>
      <c r="D1236" s="7"/>
      <c r="E1236" s="7"/>
      <c r="F1236" s="7"/>
      <c r="G1236" s="7"/>
    </row>
    <row r="1237">
      <c r="A1237" s="6" t="s">
        <v>699</v>
      </c>
      <c r="B1237" s="6">
        <v>56.0</v>
      </c>
      <c r="C1237" s="7"/>
      <c r="D1237" s="7"/>
      <c r="E1237" s="7"/>
      <c r="F1237" s="7"/>
      <c r="G1237" s="7"/>
    </row>
    <row r="1238">
      <c r="A1238" s="6" t="s">
        <v>700</v>
      </c>
      <c r="B1238" s="6">
        <v>0.0</v>
      </c>
      <c r="C1238" s="7"/>
      <c r="D1238" s="7"/>
      <c r="E1238" s="7"/>
      <c r="F1238" s="7"/>
      <c r="G1238" s="7"/>
    </row>
    <row r="1239">
      <c r="A1239" s="6" t="s">
        <v>701</v>
      </c>
      <c r="B1239" s="6">
        <v>0.0</v>
      </c>
      <c r="C1239" s="7"/>
      <c r="D1239" s="7"/>
      <c r="E1239" s="7"/>
      <c r="F1239" s="7"/>
      <c r="G1239" s="7"/>
    </row>
    <row r="1240">
      <c r="A1240" s="6" t="s">
        <v>702</v>
      </c>
      <c r="B1240" s="6">
        <v>0.0</v>
      </c>
      <c r="C1240" s="7"/>
      <c r="D1240" s="7"/>
      <c r="E1240" s="7"/>
      <c r="F1240" s="7"/>
      <c r="G1240" s="7"/>
    </row>
    <row r="1241">
      <c r="A1241" s="6" t="s">
        <v>703</v>
      </c>
      <c r="B1241" s="6">
        <v>0.0</v>
      </c>
      <c r="C1241" s="7"/>
      <c r="D1241" s="7"/>
      <c r="E1241" s="7"/>
      <c r="F1241" s="7"/>
      <c r="G1241" s="7"/>
    </row>
    <row r="1242">
      <c r="A1242" s="6" t="s">
        <v>704</v>
      </c>
      <c r="B1242" s="6">
        <v>15.0</v>
      </c>
      <c r="C1242" s="7"/>
      <c r="D1242" s="7"/>
      <c r="E1242" s="7"/>
      <c r="F1242" s="7"/>
      <c r="G1242" s="7"/>
    </row>
    <row r="1243">
      <c r="A1243" s="6" t="s">
        <v>705</v>
      </c>
      <c r="B1243" s="6">
        <v>70.0</v>
      </c>
      <c r="C1243" s="7"/>
      <c r="D1243" s="7"/>
      <c r="E1243" s="7"/>
      <c r="F1243" s="7"/>
      <c r="G1243" s="7"/>
    </row>
    <row r="1244">
      <c r="A1244" s="6" t="s">
        <v>706</v>
      </c>
      <c r="B1244" s="6">
        <v>0.0</v>
      </c>
      <c r="C1244" s="7"/>
      <c r="D1244" s="7"/>
      <c r="E1244" s="7"/>
      <c r="F1244" s="7"/>
      <c r="G1244" s="7"/>
    </row>
    <row r="1245">
      <c r="A1245" s="6" t="s">
        <v>707</v>
      </c>
      <c r="B1245" s="6">
        <v>0.0</v>
      </c>
      <c r="C1245" s="7"/>
      <c r="D1245" s="7"/>
      <c r="E1245" s="7"/>
      <c r="F1245" s="7"/>
      <c r="G1245" s="7"/>
    </row>
    <row r="1246">
      <c r="A1246" s="6" t="s">
        <v>708</v>
      </c>
      <c r="B1246" s="6">
        <v>0.0</v>
      </c>
      <c r="C1246" s="7"/>
      <c r="D1246" s="7"/>
      <c r="E1246" s="7"/>
      <c r="F1246" s="7"/>
      <c r="G1246" s="7"/>
    </row>
    <row r="1247">
      <c r="A1247" s="6" t="s">
        <v>709</v>
      </c>
      <c r="B1247" s="6">
        <v>0.0</v>
      </c>
      <c r="C1247" s="7"/>
      <c r="D1247" s="7"/>
      <c r="E1247" s="7"/>
      <c r="F1247" s="7"/>
      <c r="G1247" s="7"/>
    </row>
    <row r="1248">
      <c r="A1248" s="6" t="s">
        <v>710</v>
      </c>
      <c r="B1248" s="6">
        <v>0.0</v>
      </c>
      <c r="C1248" s="7"/>
      <c r="D1248" s="7"/>
      <c r="E1248" s="7"/>
      <c r="F1248" s="7"/>
      <c r="G1248" s="7"/>
    </row>
    <row r="1249">
      <c r="A1249" s="6" t="s">
        <v>711</v>
      </c>
      <c r="B1249" s="6">
        <v>0.0</v>
      </c>
      <c r="C1249" s="7"/>
      <c r="D1249" s="7"/>
      <c r="E1249" s="7"/>
      <c r="F1249" s="7"/>
      <c r="G1249" s="7"/>
    </row>
    <row r="1250">
      <c r="A1250" s="6" t="s">
        <v>712</v>
      </c>
      <c r="B1250" s="6">
        <v>80.0</v>
      </c>
      <c r="C1250" s="7"/>
      <c r="D1250" s="7"/>
      <c r="E1250" s="7"/>
      <c r="F1250" s="7"/>
      <c r="G1250" s="7"/>
    </row>
    <row r="1251">
      <c r="A1251" s="6" t="s">
        <v>713</v>
      </c>
      <c r="B1251" s="6">
        <v>12.0</v>
      </c>
      <c r="C1251" s="7"/>
      <c r="D1251" s="7"/>
      <c r="E1251" s="7"/>
      <c r="F1251" s="7"/>
      <c r="G1251" s="7"/>
    </row>
    <row r="1252">
      <c r="A1252" s="6" t="s">
        <v>714</v>
      </c>
      <c r="B1252" s="6">
        <v>0.0</v>
      </c>
      <c r="C1252" s="7"/>
      <c r="D1252" s="7"/>
      <c r="E1252" s="7"/>
      <c r="F1252" s="7"/>
      <c r="G1252" s="7"/>
    </row>
    <row r="1253">
      <c r="A1253" s="6" t="s">
        <v>715</v>
      </c>
      <c r="B1253" s="6">
        <v>0.0</v>
      </c>
      <c r="C1253" s="7"/>
      <c r="D1253" s="7"/>
      <c r="E1253" s="7"/>
      <c r="F1253" s="7"/>
      <c r="G1253" s="7"/>
    </row>
    <row r="1254">
      <c r="A1254" s="6" t="s">
        <v>716</v>
      </c>
      <c r="B1254" s="6">
        <v>20.0</v>
      </c>
      <c r="C1254" s="7"/>
      <c r="D1254" s="7"/>
      <c r="E1254" s="7"/>
      <c r="F1254" s="7"/>
      <c r="G1254" s="7"/>
    </row>
    <row r="1255">
      <c r="A1255" s="6" t="s">
        <v>717</v>
      </c>
      <c r="B1255" s="6">
        <v>0.0</v>
      </c>
      <c r="C1255" s="7"/>
      <c r="D1255" s="7"/>
      <c r="E1255" s="7"/>
      <c r="F1255" s="7"/>
      <c r="G1255" s="7"/>
    </row>
    <row r="1256">
      <c r="A1256" s="6" t="s">
        <v>718</v>
      </c>
      <c r="B1256" s="6">
        <v>0.0</v>
      </c>
      <c r="C1256" s="7"/>
      <c r="D1256" s="7"/>
      <c r="E1256" s="7"/>
      <c r="F1256" s="7"/>
      <c r="G1256" s="7"/>
    </row>
    <row r="1257">
      <c r="A1257" s="6" t="s">
        <v>719</v>
      </c>
      <c r="B1257" s="6">
        <v>0.0</v>
      </c>
      <c r="C1257" s="7"/>
      <c r="D1257" s="7"/>
      <c r="E1257" s="7"/>
      <c r="F1257" s="7"/>
      <c r="G1257" s="7"/>
    </row>
    <row r="1258">
      <c r="A1258" s="6" t="s">
        <v>720</v>
      </c>
      <c r="B1258" s="6">
        <v>24.0</v>
      </c>
      <c r="C1258" s="7"/>
      <c r="D1258" s="7"/>
      <c r="E1258" s="7"/>
      <c r="F1258" s="7"/>
      <c r="G1258" s="7"/>
    </row>
    <row r="1259">
      <c r="A1259" s="6" t="s">
        <v>721</v>
      </c>
      <c r="B1259" s="6">
        <v>0.0</v>
      </c>
      <c r="C1259" s="7"/>
      <c r="D1259" s="7"/>
      <c r="E1259" s="7"/>
      <c r="F1259" s="7"/>
      <c r="G1259" s="7"/>
    </row>
    <row r="1260">
      <c r="A1260" s="6" t="s">
        <v>722</v>
      </c>
      <c r="B1260" s="6" t="s">
        <v>723</v>
      </c>
      <c r="C1260" s="6" t="s">
        <v>724</v>
      </c>
      <c r="D1260" s="6" t="s">
        <v>725</v>
      </c>
      <c r="E1260" s="6">
        <v>0.0</v>
      </c>
      <c r="F1260" s="7"/>
      <c r="G1260" s="7"/>
    </row>
    <row r="1261">
      <c r="A1261" s="6" t="s">
        <v>726</v>
      </c>
      <c r="B1261" s="6">
        <v>48.0</v>
      </c>
      <c r="C1261" s="7"/>
      <c r="D1261" s="7"/>
      <c r="E1261" s="7"/>
      <c r="F1261" s="7"/>
      <c r="G1261" s="7"/>
    </row>
    <row r="1262">
      <c r="A1262" s="6" t="s">
        <v>727</v>
      </c>
      <c r="B1262" s="6">
        <v>0.0</v>
      </c>
      <c r="C1262" s="7"/>
      <c r="D1262" s="7"/>
      <c r="E1262" s="7"/>
      <c r="F1262" s="7"/>
      <c r="G1262" s="7"/>
    </row>
    <row r="1263">
      <c r="A1263" s="6" t="s">
        <v>728</v>
      </c>
      <c r="B1263" s="6">
        <v>0.0</v>
      </c>
      <c r="C1263" s="7"/>
      <c r="D1263" s="7"/>
      <c r="E1263" s="7"/>
      <c r="F1263" s="7"/>
      <c r="G1263" s="7"/>
    </row>
    <row r="1264">
      <c r="A1264" s="6" t="s">
        <v>729</v>
      </c>
      <c r="B1264" s="6">
        <v>0.0</v>
      </c>
      <c r="C1264" s="7"/>
      <c r="D1264" s="7"/>
      <c r="E1264" s="7"/>
      <c r="F1264" s="7"/>
      <c r="G1264" s="7"/>
    </row>
    <row r="1265">
      <c r="A1265" s="6" t="s">
        <v>730</v>
      </c>
      <c r="B1265" s="6">
        <v>0.0</v>
      </c>
      <c r="C1265" s="7"/>
      <c r="D1265" s="7"/>
      <c r="E1265" s="7"/>
      <c r="F1265" s="7"/>
      <c r="G1265" s="7"/>
    </row>
    <row r="1266">
      <c r="A1266" s="6" t="s">
        <v>731</v>
      </c>
      <c r="B1266" s="6">
        <v>0.0</v>
      </c>
      <c r="C1266" s="7"/>
      <c r="D1266" s="7"/>
      <c r="E1266" s="7"/>
      <c r="F1266" s="7"/>
      <c r="G1266" s="7"/>
    </row>
    <row r="1267">
      <c r="A1267" s="6" t="s">
        <v>732</v>
      </c>
      <c r="B1267" s="6">
        <v>0.0</v>
      </c>
      <c r="C1267" s="7"/>
      <c r="D1267" s="7"/>
      <c r="E1267" s="7"/>
      <c r="F1267" s="7"/>
      <c r="G1267" s="7"/>
    </row>
    <row r="1268">
      <c r="A1268" s="6" t="s">
        <v>733</v>
      </c>
      <c r="B1268" s="6">
        <v>95.0</v>
      </c>
      <c r="C1268" s="7"/>
      <c r="D1268" s="7"/>
      <c r="E1268" s="7"/>
      <c r="F1268" s="7"/>
      <c r="G1268" s="7"/>
    </row>
    <row r="1269">
      <c r="A1269" s="6" t="s">
        <v>734</v>
      </c>
      <c r="B1269" s="6">
        <v>0.0</v>
      </c>
      <c r="C1269" s="7"/>
      <c r="D1269" s="7"/>
      <c r="E1269" s="7"/>
      <c r="F1269" s="7"/>
      <c r="G1269" s="7"/>
    </row>
    <row r="1270">
      <c r="A1270" s="6" t="s">
        <v>735</v>
      </c>
      <c r="B1270" s="6">
        <v>47.0</v>
      </c>
      <c r="C1270" s="7"/>
      <c r="D1270" s="7"/>
      <c r="E1270" s="7"/>
      <c r="F1270" s="7"/>
      <c r="G1270" s="7"/>
    </row>
    <row r="1271">
      <c r="A1271" s="6" t="s">
        <v>736</v>
      </c>
      <c r="B1271" s="6">
        <v>0.0</v>
      </c>
      <c r="C1271" s="7"/>
      <c r="D1271" s="7"/>
      <c r="E1271" s="7"/>
      <c r="F1271" s="7"/>
      <c r="G1271" s="7"/>
    </row>
    <row r="1272">
      <c r="A1272" s="6" t="s">
        <v>737</v>
      </c>
      <c r="B1272" s="6">
        <v>0.0</v>
      </c>
      <c r="C1272" s="7"/>
      <c r="D1272" s="7"/>
      <c r="E1272" s="7"/>
      <c r="F1272" s="7"/>
      <c r="G1272" s="7"/>
    </row>
    <row r="1273">
      <c r="A1273" s="6" t="s">
        <v>738</v>
      </c>
      <c r="B1273" s="6">
        <v>0.0</v>
      </c>
      <c r="C1273" s="7"/>
      <c r="D1273" s="7"/>
      <c r="E1273" s="7"/>
      <c r="F1273" s="7"/>
      <c r="G1273" s="7"/>
    </row>
    <row r="1274">
      <c r="A1274" s="6" t="s">
        <v>739</v>
      </c>
      <c r="B1274" s="6">
        <v>0.0</v>
      </c>
      <c r="C1274" s="7"/>
      <c r="D1274" s="7"/>
      <c r="E1274" s="7"/>
      <c r="F1274" s="7"/>
      <c r="G1274" s="7"/>
    </row>
    <row r="1275">
      <c r="A1275" s="6" t="s">
        <v>740</v>
      </c>
      <c r="B1275" s="6">
        <v>0.0</v>
      </c>
      <c r="C1275" s="7"/>
      <c r="D1275" s="7"/>
      <c r="E1275" s="7"/>
      <c r="F1275" s="7"/>
      <c r="G1275" s="7"/>
    </row>
    <row r="1276">
      <c r="A1276" s="6" t="s">
        <v>741</v>
      </c>
      <c r="B1276" s="6">
        <v>0.0</v>
      </c>
      <c r="C1276" s="7"/>
      <c r="D1276" s="7"/>
      <c r="E1276" s="7"/>
      <c r="F1276" s="7"/>
      <c r="G1276" s="7"/>
    </row>
    <row r="1277">
      <c r="A1277" s="6" t="s">
        <v>742</v>
      </c>
      <c r="B1277" s="6">
        <v>0.0</v>
      </c>
      <c r="C1277" s="7"/>
      <c r="D1277" s="7"/>
      <c r="E1277" s="7"/>
      <c r="F1277" s="7"/>
      <c r="G1277" s="7"/>
    </row>
    <row r="1278">
      <c r="A1278" s="6" t="s">
        <v>743</v>
      </c>
      <c r="B1278" s="6">
        <v>0.0</v>
      </c>
      <c r="C1278" s="7"/>
      <c r="D1278" s="7"/>
      <c r="E1278" s="7"/>
      <c r="F1278" s="7"/>
      <c r="G1278" s="7"/>
    </row>
    <row r="1279">
      <c r="A1279" s="6" t="s">
        <v>744</v>
      </c>
      <c r="B1279" s="6">
        <v>0.0</v>
      </c>
      <c r="C1279" s="7"/>
      <c r="D1279" s="7"/>
      <c r="E1279" s="7"/>
      <c r="F1279" s="7"/>
      <c r="G1279" s="7"/>
    </row>
    <row r="1280">
      <c r="A1280" s="6" t="s">
        <v>745</v>
      </c>
      <c r="B1280" s="6">
        <v>28.0</v>
      </c>
      <c r="C1280" s="7"/>
      <c r="D1280" s="7"/>
      <c r="E1280" s="7"/>
      <c r="F1280" s="7"/>
      <c r="G1280" s="7"/>
    </row>
    <row r="1281">
      <c r="A1281" s="6" t="s">
        <v>746</v>
      </c>
      <c r="B1281" s="6">
        <v>0.0</v>
      </c>
      <c r="C1281" s="7"/>
      <c r="D1281" s="7"/>
      <c r="E1281" s="7"/>
      <c r="F1281" s="7"/>
      <c r="G1281" s="7"/>
    </row>
    <row r="1282">
      <c r="A1282" s="6" t="s">
        <v>747</v>
      </c>
      <c r="B1282" s="6">
        <v>0.0</v>
      </c>
      <c r="C1282" s="7"/>
      <c r="D1282" s="7"/>
      <c r="E1282" s="7"/>
      <c r="F1282" s="7"/>
      <c r="G1282" s="7"/>
    </row>
    <row r="1283">
      <c r="A1283" s="6" t="s">
        <v>748</v>
      </c>
      <c r="B1283" s="6">
        <v>0.0</v>
      </c>
      <c r="C1283" s="7"/>
      <c r="D1283" s="7"/>
      <c r="E1283" s="7"/>
      <c r="F1283" s="7"/>
      <c r="G1283" s="7"/>
    </row>
    <row r="1284">
      <c r="A1284" s="6" t="s">
        <v>749</v>
      </c>
      <c r="B1284" s="6">
        <v>22.0</v>
      </c>
      <c r="C1284" s="7"/>
      <c r="D1284" s="7"/>
      <c r="E1284" s="7"/>
      <c r="F1284" s="7"/>
      <c r="G1284" s="7"/>
    </row>
    <row r="1285">
      <c r="A1285" s="6" t="s">
        <v>750</v>
      </c>
      <c r="B1285" s="6">
        <v>0.0</v>
      </c>
      <c r="C1285" s="7"/>
      <c r="D1285" s="7"/>
      <c r="E1285" s="7"/>
      <c r="F1285" s="7"/>
      <c r="G1285" s="7"/>
    </row>
    <row r="1286">
      <c r="A1286" s="6" t="s">
        <v>751</v>
      </c>
      <c r="B1286" s="6">
        <v>66.0</v>
      </c>
      <c r="C1286" s="7"/>
      <c r="D1286" s="7"/>
      <c r="E1286" s="7"/>
      <c r="F1286" s="7"/>
      <c r="G1286" s="7"/>
    </row>
    <row r="1287">
      <c r="A1287" s="6" t="s">
        <v>752</v>
      </c>
      <c r="B1287" s="6">
        <v>0.0</v>
      </c>
      <c r="C1287" s="7"/>
      <c r="D1287" s="7"/>
      <c r="E1287" s="7"/>
      <c r="F1287" s="7"/>
      <c r="G1287" s="7"/>
    </row>
    <row r="1288">
      <c r="A1288" s="6" t="s">
        <v>753</v>
      </c>
      <c r="B1288" s="6">
        <v>0.0</v>
      </c>
      <c r="C1288" s="7"/>
      <c r="D1288" s="7"/>
      <c r="E1288" s="7"/>
      <c r="F1288" s="7"/>
      <c r="G1288" s="7"/>
    </row>
    <row r="1289">
      <c r="A1289" s="6" t="s">
        <v>754</v>
      </c>
      <c r="B1289" s="6">
        <v>0.0</v>
      </c>
      <c r="C1289" s="7"/>
      <c r="D1289" s="7"/>
      <c r="E1289" s="7"/>
      <c r="F1289" s="7"/>
      <c r="G1289" s="7"/>
    </row>
    <row r="1290">
      <c r="A1290" s="6" t="s">
        <v>755</v>
      </c>
      <c r="B1290" s="6">
        <v>0.0</v>
      </c>
      <c r="C1290" s="7"/>
      <c r="D1290" s="7"/>
      <c r="E1290" s="7"/>
      <c r="F1290" s="7"/>
      <c r="G1290" s="7"/>
    </row>
    <row r="1291">
      <c r="A1291" s="6" t="s">
        <v>756</v>
      </c>
      <c r="B1291" s="6">
        <v>0.0</v>
      </c>
      <c r="C1291" s="7"/>
      <c r="D1291" s="7"/>
      <c r="E1291" s="7"/>
      <c r="F1291" s="7"/>
      <c r="G1291" s="7"/>
    </row>
    <row r="1292">
      <c r="A1292" s="6" t="s">
        <v>757</v>
      </c>
      <c r="B1292" s="6">
        <v>0.0</v>
      </c>
      <c r="C1292" s="7"/>
      <c r="D1292" s="7"/>
      <c r="E1292" s="7"/>
      <c r="F1292" s="7"/>
      <c r="G1292" s="7"/>
    </row>
    <row r="1293">
      <c r="A1293" s="6" t="s">
        <v>758</v>
      </c>
      <c r="B1293" s="6">
        <v>0.0</v>
      </c>
      <c r="C1293" s="7"/>
      <c r="D1293" s="7"/>
      <c r="E1293" s="7"/>
      <c r="F1293" s="7"/>
      <c r="G1293" s="7"/>
    </row>
    <row r="1294">
      <c r="A1294" s="6" t="s">
        <v>759</v>
      </c>
      <c r="B1294" s="6">
        <v>66.0</v>
      </c>
      <c r="C1294" s="7"/>
      <c r="D1294" s="7"/>
      <c r="E1294" s="7"/>
      <c r="F1294" s="7"/>
      <c r="G1294" s="7"/>
    </row>
    <row r="1295">
      <c r="A1295" s="6" t="s">
        <v>760</v>
      </c>
      <c r="B1295" s="6">
        <v>0.0</v>
      </c>
      <c r="C1295" s="7"/>
      <c r="D1295" s="7"/>
      <c r="E1295" s="7"/>
      <c r="F1295" s="7"/>
      <c r="G1295" s="7"/>
    </row>
    <row r="1296">
      <c r="A1296" s="6" t="s">
        <v>761</v>
      </c>
      <c r="B1296" s="6">
        <v>0.0</v>
      </c>
      <c r="C1296" s="7"/>
      <c r="D1296" s="7"/>
      <c r="E1296" s="7"/>
      <c r="F1296" s="7"/>
      <c r="G1296" s="7"/>
    </row>
    <row r="1297">
      <c r="A1297" s="6" t="s">
        <v>762</v>
      </c>
      <c r="B1297" s="6">
        <v>20.0</v>
      </c>
      <c r="C1297" s="7"/>
      <c r="D1297" s="7"/>
      <c r="E1297" s="7"/>
      <c r="F1297" s="7"/>
      <c r="G1297" s="7"/>
    </row>
    <row r="1298">
      <c r="A1298" s="6" t="s">
        <v>763</v>
      </c>
      <c r="B1298" s="6">
        <v>10.0</v>
      </c>
      <c r="C1298" s="7"/>
      <c r="D1298" s="7"/>
      <c r="E1298" s="7"/>
      <c r="F1298" s="7"/>
      <c r="G1298" s="7"/>
    </row>
    <row r="1299">
      <c r="A1299" s="6" t="s">
        <v>764</v>
      </c>
      <c r="B1299" s="6">
        <v>0.0</v>
      </c>
      <c r="C1299" s="7"/>
      <c r="D1299" s="7"/>
      <c r="E1299" s="7"/>
      <c r="F1299" s="7"/>
      <c r="G1299" s="7"/>
    </row>
    <row r="1300">
      <c r="A1300" s="6" t="s">
        <v>765</v>
      </c>
      <c r="B1300" s="6">
        <v>0.0</v>
      </c>
      <c r="C1300" s="7"/>
      <c r="D1300" s="7"/>
      <c r="E1300" s="7"/>
      <c r="F1300" s="7"/>
      <c r="G1300" s="7"/>
    </row>
    <row r="1301">
      <c r="A1301" s="6" t="s">
        <v>766</v>
      </c>
      <c r="B1301" s="6">
        <v>0.0</v>
      </c>
      <c r="C1301" s="7"/>
      <c r="D1301" s="7"/>
      <c r="E1301" s="7"/>
      <c r="F1301" s="7"/>
      <c r="G1301" s="7"/>
    </row>
    <row r="1302">
      <c r="A1302" s="6" t="s">
        <v>767</v>
      </c>
      <c r="B1302" s="6">
        <v>0.0</v>
      </c>
      <c r="C1302" s="7"/>
      <c r="D1302" s="7"/>
      <c r="E1302" s="7"/>
      <c r="F1302" s="7"/>
      <c r="G1302" s="7"/>
    </row>
    <row r="1303">
      <c r="A1303" s="6" t="s">
        <v>768</v>
      </c>
      <c r="B1303" s="6">
        <v>0.0</v>
      </c>
      <c r="C1303" s="7"/>
      <c r="D1303" s="7"/>
      <c r="E1303" s="7"/>
      <c r="F1303" s="7"/>
      <c r="G1303" s="7"/>
    </row>
    <row r="1304">
      <c r="A1304" s="6" t="s">
        <v>769</v>
      </c>
      <c r="B1304" s="6">
        <v>88.0</v>
      </c>
      <c r="C1304" s="7"/>
      <c r="D1304" s="7"/>
      <c r="E1304" s="7"/>
      <c r="F1304" s="7"/>
      <c r="G1304" s="7"/>
    </row>
    <row r="1305">
      <c r="A1305" s="6" t="s">
        <v>770</v>
      </c>
      <c r="B1305" s="6">
        <v>0.0</v>
      </c>
      <c r="C1305" s="7"/>
      <c r="D1305" s="7"/>
      <c r="E1305" s="7"/>
      <c r="F1305" s="7"/>
      <c r="G1305" s="7"/>
    </row>
    <row r="1306">
      <c r="A1306" s="6" t="s">
        <v>771</v>
      </c>
      <c r="B1306" s="6">
        <v>0.0</v>
      </c>
      <c r="C1306" s="7"/>
      <c r="D1306" s="7"/>
      <c r="E1306" s="7"/>
      <c r="F1306" s="7"/>
      <c r="G1306" s="7"/>
    </row>
    <row r="1307">
      <c r="A1307" s="6" t="s">
        <v>772</v>
      </c>
      <c r="B1307" s="6">
        <v>46.0</v>
      </c>
      <c r="C1307" s="7"/>
      <c r="D1307" s="7"/>
      <c r="E1307" s="7"/>
      <c r="F1307" s="7"/>
      <c r="G1307" s="7"/>
    </row>
    <row r="1308">
      <c r="A1308" s="6" t="s">
        <v>773</v>
      </c>
      <c r="B1308" s="6">
        <v>67.0</v>
      </c>
      <c r="C1308" s="7"/>
      <c r="D1308" s="7"/>
      <c r="E1308" s="7"/>
      <c r="F1308" s="7"/>
      <c r="G1308" s="7"/>
    </row>
    <row r="1309">
      <c r="A1309" s="6" t="s">
        <v>774</v>
      </c>
      <c r="B1309" s="6">
        <v>40.0</v>
      </c>
      <c r="C1309" s="7"/>
      <c r="D1309" s="7"/>
      <c r="E1309" s="7"/>
      <c r="F1309" s="7"/>
      <c r="G1309" s="7"/>
    </row>
    <row r="1310">
      <c r="A1310" s="6" t="s">
        <v>775</v>
      </c>
      <c r="B1310" s="6">
        <v>0.0</v>
      </c>
      <c r="C1310" s="7"/>
      <c r="D1310" s="7"/>
      <c r="E1310" s="7"/>
      <c r="F1310" s="7"/>
      <c r="G1310" s="7"/>
    </row>
    <row r="1311">
      <c r="A1311" s="6" t="s">
        <v>776</v>
      </c>
      <c r="B1311" s="6">
        <v>0.0</v>
      </c>
      <c r="C1311" s="7"/>
      <c r="D1311" s="7"/>
      <c r="E1311" s="7"/>
      <c r="F1311" s="7"/>
      <c r="G1311" s="7"/>
    </row>
    <row r="1312">
      <c r="A1312" s="6" t="s">
        <v>777</v>
      </c>
      <c r="B1312" s="6">
        <v>0.0</v>
      </c>
      <c r="C1312" s="7"/>
      <c r="D1312" s="7"/>
      <c r="E1312" s="7"/>
      <c r="F1312" s="7"/>
      <c r="G1312" s="7"/>
    </row>
    <row r="1313">
      <c r="A1313" s="6" t="s">
        <v>778</v>
      </c>
      <c r="B1313" s="6">
        <v>80.0</v>
      </c>
      <c r="C1313" s="7"/>
      <c r="D1313" s="7"/>
      <c r="E1313" s="7"/>
      <c r="F1313" s="7"/>
      <c r="G1313" s="7"/>
    </row>
    <row r="1314">
      <c r="A1314" s="6" t="s">
        <v>779</v>
      </c>
      <c r="B1314" s="6">
        <v>32.0</v>
      </c>
      <c r="C1314" s="7"/>
      <c r="D1314" s="7"/>
      <c r="E1314" s="7"/>
      <c r="F1314" s="7"/>
      <c r="G1314" s="7"/>
    </row>
    <row r="1315">
      <c r="A1315" s="6" t="s">
        <v>780</v>
      </c>
      <c r="B1315" s="6">
        <v>0.0</v>
      </c>
      <c r="C1315" s="7"/>
      <c r="D1315" s="7"/>
      <c r="E1315" s="7"/>
      <c r="F1315" s="7"/>
      <c r="G1315" s="7"/>
    </row>
    <row r="1316">
      <c r="A1316" s="6" t="s">
        <v>781</v>
      </c>
      <c r="B1316" s="6">
        <v>0.0</v>
      </c>
      <c r="C1316" s="7"/>
      <c r="D1316" s="7"/>
      <c r="E1316" s="7"/>
      <c r="F1316" s="7"/>
      <c r="G1316" s="7"/>
    </row>
    <row r="1317">
      <c r="A1317" s="6" t="s">
        <v>782</v>
      </c>
      <c r="B1317" s="6">
        <v>57.0</v>
      </c>
      <c r="C1317" s="7"/>
      <c r="D1317" s="7"/>
      <c r="E1317" s="7"/>
      <c r="F1317" s="7"/>
      <c r="G1317" s="7"/>
    </row>
    <row r="1318">
      <c r="A1318" s="6" t="s">
        <v>783</v>
      </c>
      <c r="B1318" s="6">
        <v>71.0</v>
      </c>
      <c r="C1318" s="7"/>
      <c r="D1318" s="7"/>
      <c r="E1318" s="7"/>
      <c r="F1318" s="7"/>
      <c r="G1318" s="7"/>
    </row>
    <row r="1319">
      <c r="A1319" s="6" t="s">
        <v>784</v>
      </c>
      <c r="B1319" s="6">
        <v>32.0</v>
      </c>
      <c r="C1319" s="7"/>
      <c r="D1319" s="7"/>
      <c r="E1319" s="7"/>
      <c r="F1319" s="7"/>
      <c r="G1319" s="7"/>
    </row>
    <row r="1320">
      <c r="A1320" s="6" t="s">
        <v>785</v>
      </c>
      <c r="B1320" s="6">
        <v>0.0</v>
      </c>
      <c r="C1320" s="7"/>
      <c r="D1320" s="7"/>
      <c r="E1320" s="7"/>
      <c r="F1320" s="7"/>
      <c r="G1320" s="7"/>
    </row>
    <row r="1321">
      <c r="A1321" s="6" t="s">
        <v>786</v>
      </c>
      <c r="B1321" s="6">
        <v>4.0</v>
      </c>
      <c r="C1321" s="7"/>
      <c r="D1321" s="7"/>
      <c r="E1321" s="7"/>
      <c r="F1321" s="7"/>
      <c r="G1321" s="7"/>
    </row>
    <row r="1322">
      <c r="A1322" s="6" t="s">
        <v>787</v>
      </c>
      <c r="B1322" s="6">
        <v>12.0</v>
      </c>
      <c r="C1322" s="7"/>
      <c r="D1322" s="7"/>
      <c r="E1322" s="7"/>
      <c r="F1322" s="7"/>
      <c r="G1322" s="7"/>
    </row>
    <row r="1323">
      <c r="A1323" s="6" t="s">
        <v>788</v>
      </c>
      <c r="B1323" s="6">
        <v>0.0</v>
      </c>
      <c r="C1323" s="7"/>
      <c r="D1323" s="7"/>
      <c r="E1323" s="7"/>
      <c r="F1323" s="7"/>
      <c r="G1323" s="7"/>
    </row>
    <row r="1324">
      <c r="A1324" s="6" t="s">
        <v>789</v>
      </c>
      <c r="B1324" s="6">
        <v>0.0</v>
      </c>
      <c r="C1324" s="7"/>
      <c r="D1324" s="7"/>
      <c r="E1324" s="7"/>
      <c r="F1324" s="7"/>
      <c r="G1324" s="7"/>
    </row>
    <row r="1325">
      <c r="A1325" s="6" t="s">
        <v>790</v>
      </c>
      <c r="B1325" s="6">
        <v>0.0</v>
      </c>
      <c r="C1325" s="7"/>
      <c r="D1325" s="7"/>
      <c r="E1325" s="7"/>
      <c r="F1325" s="7"/>
      <c r="G1325" s="7"/>
    </row>
    <row r="1326">
      <c r="A1326" s="6" t="s">
        <v>791</v>
      </c>
      <c r="B1326" s="6">
        <v>0.0</v>
      </c>
      <c r="C1326" s="7"/>
      <c r="D1326" s="7"/>
      <c r="E1326" s="7"/>
      <c r="F1326" s="7"/>
      <c r="G1326" s="7"/>
    </row>
    <row r="1327">
      <c r="A1327" s="6" t="s">
        <v>792</v>
      </c>
      <c r="B1327" s="6">
        <v>80.0</v>
      </c>
      <c r="C1327" s="7"/>
      <c r="D1327" s="7"/>
      <c r="E1327" s="7"/>
      <c r="F1327" s="7"/>
      <c r="G1327" s="7"/>
    </row>
    <row r="1328">
      <c r="A1328" s="6" t="s">
        <v>793</v>
      </c>
      <c r="B1328" s="6">
        <v>0.0</v>
      </c>
      <c r="C1328" s="7"/>
      <c r="D1328" s="7"/>
      <c r="E1328" s="7"/>
      <c r="F1328" s="7"/>
      <c r="G1328" s="7"/>
    </row>
    <row r="1329">
      <c r="A1329" s="6" t="s">
        <v>722</v>
      </c>
      <c r="B1329" s="6" t="s">
        <v>723</v>
      </c>
      <c r="C1329" s="6" t="s">
        <v>724</v>
      </c>
      <c r="D1329" s="6" t="s">
        <v>725</v>
      </c>
      <c r="E1329" s="6">
        <v>0.0</v>
      </c>
      <c r="F1329" s="7"/>
      <c r="G1329" s="7"/>
    </row>
    <row r="1330">
      <c r="A1330" s="6" t="s">
        <v>726</v>
      </c>
      <c r="B1330" s="6">
        <v>48.0</v>
      </c>
      <c r="C1330" s="7"/>
      <c r="D1330" s="7"/>
      <c r="E1330" s="7"/>
      <c r="F1330" s="7"/>
      <c r="G1330" s="7"/>
    </row>
    <row r="1331">
      <c r="A1331" s="6" t="s">
        <v>727</v>
      </c>
      <c r="B1331" s="6">
        <v>0.0</v>
      </c>
      <c r="C1331" s="7"/>
      <c r="D1331" s="7"/>
      <c r="E1331" s="7"/>
      <c r="F1331" s="7"/>
      <c r="G1331" s="7"/>
    </row>
    <row r="1332">
      <c r="A1332" s="6" t="s">
        <v>728</v>
      </c>
      <c r="B1332" s="6">
        <v>0.0</v>
      </c>
      <c r="C1332" s="7"/>
      <c r="D1332" s="7"/>
      <c r="E1332" s="7"/>
      <c r="F1332" s="7"/>
      <c r="G1332" s="7"/>
    </row>
    <row r="1333">
      <c r="A1333" s="6" t="s">
        <v>729</v>
      </c>
      <c r="B1333" s="6">
        <v>0.0</v>
      </c>
      <c r="C1333" s="7"/>
      <c r="D1333" s="7"/>
      <c r="E1333" s="7"/>
      <c r="F1333" s="7"/>
      <c r="G1333" s="7"/>
    </row>
    <row r="1334">
      <c r="A1334" s="6" t="s">
        <v>730</v>
      </c>
      <c r="B1334" s="6">
        <v>0.0</v>
      </c>
      <c r="C1334" s="7"/>
      <c r="D1334" s="7"/>
      <c r="E1334" s="7"/>
      <c r="F1334" s="7"/>
      <c r="G1334" s="7"/>
    </row>
    <row r="1335">
      <c r="A1335" s="6" t="s">
        <v>731</v>
      </c>
      <c r="B1335" s="6">
        <v>0.0</v>
      </c>
      <c r="C1335" s="7"/>
      <c r="D1335" s="7"/>
      <c r="E1335" s="7"/>
      <c r="F1335" s="7"/>
      <c r="G1335" s="7"/>
    </row>
    <row r="1336">
      <c r="A1336" s="6" t="s">
        <v>732</v>
      </c>
      <c r="B1336" s="6">
        <v>0.0</v>
      </c>
      <c r="C1336" s="7"/>
      <c r="D1336" s="7"/>
      <c r="E1336" s="7"/>
      <c r="F1336" s="7"/>
      <c r="G1336" s="7"/>
    </row>
    <row r="1337">
      <c r="A1337" s="6" t="s">
        <v>733</v>
      </c>
      <c r="B1337" s="6">
        <v>95.0</v>
      </c>
      <c r="C1337" s="7"/>
      <c r="D1337" s="7"/>
      <c r="E1337" s="7"/>
      <c r="F1337" s="7"/>
      <c r="G1337" s="7"/>
    </row>
    <row r="1338">
      <c r="A1338" s="6" t="s">
        <v>734</v>
      </c>
      <c r="B1338" s="6">
        <v>0.0</v>
      </c>
      <c r="C1338" s="7"/>
      <c r="D1338" s="7"/>
      <c r="E1338" s="7"/>
      <c r="F1338" s="7"/>
      <c r="G1338" s="7"/>
    </row>
    <row r="1339">
      <c r="A1339" s="6" t="s">
        <v>735</v>
      </c>
      <c r="B1339" s="6">
        <v>47.0</v>
      </c>
      <c r="C1339" s="7"/>
      <c r="D1339" s="7"/>
      <c r="E1339" s="7"/>
      <c r="F1339" s="7"/>
      <c r="G1339" s="7"/>
    </row>
    <row r="1340">
      <c r="A1340" s="6" t="s">
        <v>736</v>
      </c>
      <c r="B1340" s="6">
        <v>0.0</v>
      </c>
      <c r="C1340" s="7"/>
      <c r="D1340" s="7"/>
      <c r="E1340" s="7"/>
      <c r="F1340" s="7"/>
      <c r="G1340" s="7"/>
    </row>
    <row r="1341">
      <c r="A1341" s="6" t="s">
        <v>737</v>
      </c>
      <c r="B1341" s="6">
        <v>0.0</v>
      </c>
      <c r="C1341" s="7"/>
      <c r="D1341" s="7"/>
      <c r="E1341" s="7"/>
      <c r="F1341" s="7"/>
      <c r="G1341" s="7"/>
    </row>
    <row r="1342">
      <c r="A1342" s="6" t="s">
        <v>738</v>
      </c>
      <c r="B1342" s="6">
        <v>0.0</v>
      </c>
      <c r="C1342" s="7"/>
      <c r="D1342" s="7"/>
      <c r="E1342" s="7"/>
      <c r="F1342" s="7"/>
      <c r="G1342" s="7"/>
    </row>
    <row r="1343">
      <c r="A1343" s="6" t="s">
        <v>739</v>
      </c>
      <c r="B1343" s="6">
        <v>0.0</v>
      </c>
      <c r="C1343" s="7"/>
      <c r="D1343" s="7"/>
      <c r="E1343" s="7"/>
      <c r="F1343" s="7"/>
      <c r="G1343" s="7"/>
    </row>
    <row r="1344">
      <c r="A1344" s="6" t="s">
        <v>740</v>
      </c>
      <c r="B1344" s="6">
        <v>0.0</v>
      </c>
      <c r="C1344" s="7"/>
      <c r="D1344" s="7"/>
      <c r="E1344" s="7"/>
      <c r="F1344" s="7"/>
      <c r="G1344" s="7"/>
    </row>
    <row r="1345">
      <c r="A1345" s="6" t="s">
        <v>741</v>
      </c>
      <c r="B1345" s="6">
        <v>0.0</v>
      </c>
      <c r="C1345" s="7"/>
      <c r="D1345" s="7"/>
      <c r="E1345" s="7"/>
      <c r="F1345" s="7"/>
      <c r="G1345" s="7"/>
    </row>
    <row r="1346">
      <c r="A1346" s="6" t="s">
        <v>742</v>
      </c>
      <c r="B1346" s="6">
        <v>0.0</v>
      </c>
      <c r="C1346" s="7"/>
      <c r="D1346" s="7"/>
      <c r="E1346" s="7"/>
      <c r="F1346" s="7"/>
      <c r="G1346" s="7"/>
    </row>
    <row r="1347">
      <c r="A1347" s="6" t="s">
        <v>743</v>
      </c>
      <c r="B1347" s="6">
        <v>0.0</v>
      </c>
      <c r="C1347" s="7"/>
      <c r="D1347" s="7"/>
      <c r="E1347" s="7"/>
      <c r="F1347" s="7"/>
      <c r="G1347" s="7"/>
    </row>
    <row r="1348">
      <c r="A1348" s="6" t="s">
        <v>744</v>
      </c>
      <c r="B1348" s="6">
        <v>0.0</v>
      </c>
      <c r="C1348" s="7"/>
      <c r="D1348" s="7"/>
      <c r="E1348" s="7"/>
      <c r="F1348" s="7"/>
      <c r="G1348" s="7"/>
    </row>
    <row r="1349">
      <c r="A1349" s="6" t="s">
        <v>745</v>
      </c>
      <c r="B1349" s="6">
        <v>28.0</v>
      </c>
      <c r="C1349" s="7"/>
      <c r="D1349" s="7"/>
      <c r="E1349" s="7"/>
      <c r="F1349" s="7"/>
      <c r="G1349" s="7"/>
    </row>
    <row r="1350">
      <c r="A1350" s="6" t="s">
        <v>746</v>
      </c>
      <c r="B1350" s="6">
        <v>0.0</v>
      </c>
      <c r="C1350" s="7"/>
      <c r="D1350" s="7"/>
      <c r="E1350" s="7"/>
      <c r="F1350" s="7"/>
      <c r="G1350" s="7"/>
    </row>
    <row r="1351">
      <c r="A1351" s="6" t="s">
        <v>747</v>
      </c>
      <c r="B1351" s="6">
        <v>0.0</v>
      </c>
      <c r="C1351" s="7"/>
      <c r="D1351" s="7"/>
      <c r="E1351" s="7"/>
      <c r="F1351" s="7"/>
      <c r="G1351" s="7"/>
    </row>
    <row r="1352">
      <c r="A1352" s="6" t="s">
        <v>748</v>
      </c>
      <c r="B1352" s="6">
        <v>0.0</v>
      </c>
      <c r="C1352" s="7"/>
      <c r="D1352" s="7"/>
      <c r="E1352" s="7"/>
      <c r="F1352" s="7"/>
      <c r="G1352" s="7"/>
    </row>
    <row r="1353">
      <c r="A1353" s="6" t="s">
        <v>749</v>
      </c>
      <c r="B1353" s="6">
        <v>22.0</v>
      </c>
      <c r="C1353" s="7"/>
      <c r="D1353" s="7"/>
      <c r="E1353" s="7"/>
      <c r="F1353" s="7"/>
      <c r="G1353" s="7"/>
    </row>
    <row r="1354">
      <c r="A1354" s="6" t="s">
        <v>750</v>
      </c>
      <c r="B1354" s="6">
        <v>0.0</v>
      </c>
      <c r="C1354" s="7"/>
      <c r="D1354" s="7"/>
      <c r="E1354" s="7"/>
      <c r="F1354" s="7"/>
      <c r="G1354" s="7"/>
    </row>
    <row r="1355">
      <c r="A1355" s="6" t="s">
        <v>751</v>
      </c>
      <c r="B1355" s="6">
        <v>66.0</v>
      </c>
      <c r="C1355" s="7"/>
      <c r="D1355" s="7"/>
      <c r="E1355" s="7"/>
      <c r="F1355" s="7"/>
      <c r="G1355" s="7"/>
    </row>
    <row r="1356">
      <c r="A1356" s="6" t="s">
        <v>752</v>
      </c>
      <c r="B1356" s="6">
        <v>0.0</v>
      </c>
      <c r="C1356" s="7"/>
      <c r="D1356" s="7"/>
      <c r="E1356" s="7"/>
      <c r="F1356" s="7"/>
      <c r="G1356" s="7"/>
    </row>
    <row r="1357">
      <c r="A1357" s="6" t="s">
        <v>753</v>
      </c>
      <c r="B1357" s="6">
        <v>0.0</v>
      </c>
      <c r="C1357" s="7"/>
      <c r="D1357" s="7"/>
      <c r="E1357" s="7"/>
      <c r="F1357" s="7"/>
      <c r="G1357" s="7"/>
    </row>
    <row r="1358">
      <c r="A1358" s="6" t="s">
        <v>754</v>
      </c>
      <c r="B1358" s="6">
        <v>0.0</v>
      </c>
      <c r="C1358" s="7"/>
      <c r="D1358" s="7"/>
      <c r="E1358" s="7"/>
      <c r="F1358" s="7"/>
      <c r="G1358" s="7"/>
    </row>
    <row r="1359">
      <c r="A1359" s="6" t="s">
        <v>755</v>
      </c>
      <c r="B1359" s="6">
        <v>0.0</v>
      </c>
      <c r="C1359" s="7"/>
      <c r="D1359" s="7"/>
      <c r="E1359" s="7"/>
      <c r="F1359" s="7"/>
      <c r="G1359" s="7"/>
    </row>
    <row r="1360">
      <c r="A1360" s="6" t="s">
        <v>756</v>
      </c>
      <c r="B1360" s="6">
        <v>0.0</v>
      </c>
      <c r="C1360" s="7"/>
      <c r="D1360" s="7"/>
      <c r="E1360" s="7"/>
      <c r="F1360" s="7"/>
      <c r="G1360" s="7"/>
    </row>
    <row r="1361">
      <c r="A1361" s="6" t="s">
        <v>757</v>
      </c>
      <c r="B1361" s="6">
        <v>0.0</v>
      </c>
      <c r="C1361" s="7"/>
      <c r="D1361" s="7"/>
      <c r="E1361" s="7"/>
      <c r="F1361" s="7"/>
      <c r="G1361" s="7"/>
    </row>
    <row r="1362">
      <c r="A1362" s="6" t="s">
        <v>758</v>
      </c>
      <c r="B1362" s="6">
        <v>0.0</v>
      </c>
      <c r="C1362" s="7"/>
      <c r="D1362" s="7"/>
      <c r="E1362" s="7"/>
      <c r="F1362" s="7"/>
      <c r="G1362" s="7"/>
    </row>
    <row r="1363">
      <c r="A1363" s="6" t="s">
        <v>759</v>
      </c>
      <c r="B1363" s="6">
        <v>66.0</v>
      </c>
      <c r="C1363" s="7"/>
      <c r="D1363" s="7"/>
      <c r="E1363" s="7"/>
      <c r="F1363" s="7"/>
      <c r="G1363" s="7"/>
    </row>
    <row r="1364">
      <c r="A1364" s="6" t="s">
        <v>760</v>
      </c>
      <c r="B1364" s="6">
        <v>0.0</v>
      </c>
      <c r="C1364" s="7"/>
      <c r="D1364" s="7"/>
      <c r="E1364" s="7"/>
      <c r="F1364" s="7"/>
      <c r="G1364" s="7"/>
    </row>
    <row r="1365">
      <c r="A1365" s="6" t="s">
        <v>761</v>
      </c>
      <c r="B1365" s="6">
        <v>0.0</v>
      </c>
      <c r="C1365" s="7"/>
      <c r="D1365" s="7"/>
      <c r="E1365" s="7"/>
      <c r="F1365" s="7"/>
      <c r="G1365" s="7"/>
    </row>
    <row r="1366">
      <c r="A1366" s="6" t="s">
        <v>762</v>
      </c>
      <c r="B1366" s="6">
        <v>20.0</v>
      </c>
      <c r="C1366" s="7"/>
      <c r="D1366" s="7"/>
      <c r="E1366" s="7"/>
      <c r="F1366" s="7"/>
      <c r="G1366" s="7"/>
    </row>
    <row r="1367">
      <c r="A1367" s="6" t="s">
        <v>763</v>
      </c>
      <c r="B1367" s="6">
        <v>10.0</v>
      </c>
      <c r="C1367" s="7"/>
      <c r="D1367" s="7"/>
      <c r="E1367" s="7"/>
      <c r="F1367" s="7"/>
      <c r="G1367" s="7"/>
    </row>
    <row r="1368">
      <c r="A1368" s="6" t="s">
        <v>764</v>
      </c>
      <c r="B1368" s="6">
        <v>0.0</v>
      </c>
      <c r="C1368" s="7"/>
      <c r="D1368" s="7"/>
      <c r="E1368" s="7"/>
      <c r="F1368" s="7"/>
      <c r="G1368" s="7"/>
    </row>
    <row r="1369">
      <c r="A1369" s="6" t="s">
        <v>765</v>
      </c>
      <c r="B1369" s="6">
        <v>0.0</v>
      </c>
      <c r="C1369" s="7"/>
      <c r="D1369" s="7"/>
      <c r="E1369" s="7"/>
      <c r="F1369" s="7"/>
      <c r="G1369" s="7"/>
    </row>
    <row r="1370">
      <c r="A1370" s="6" t="s">
        <v>766</v>
      </c>
      <c r="B1370" s="6">
        <v>0.0</v>
      </c>
      <c r="C1370" s="7"/>
      <c r="D1370" s="7"/>
      <c r="E1370" s="7"/>
      <c r="F1370" s="7"/>
      <c r="G1370" s="7"/>
    </row>
    <row r="1371">
      <c r="A1371" s="6" t="s">
        <v>767</v>
      </c>
      <c r="B1371" s="6">
        <v>0.0</v>
      </c>
      <c r="C1371" s="7"/>
      <c r="D1371" s="7"/>
      <c r="E1371" s="7"/>
      <c r="F1371" s="7"/>
      <c r="G1371" s="7"/>
    </row>
    <row r="1372">
      <c r="A1372" s="6" t="s">
        <v>768</v>
      </c>
      <c r="B1372" s="6">
        <v>0.0</v>
      </c>
      <c r="C1372" s="7"/>
      <c r="D1372" s="7"/>
      <c r="E1372" s="7"/>
      <c r="F1372" s="7"/>
      <c r="G1372" s="7"/>
    </row>
    <row r="1373">
      <c r="A1373" s="6" t="s">
        <v>769</v>
      </c>
      <c r="B1373" s="6">
        <v>88.0</v>
      </c>
      <c r="C1373" s="7"/>
      <c r="D1373" s="7"/>
      <c r="E1373" s="7"/>
      <c r="F1373" s="7"/>
      <c r="G1373" s="7"/>
    </row>
    <row r="1374">
      <c r="A1374" s="6" t="s">
        <v>770</v>
      </c>
      <c r="B1374" s="6">
        <v>0.0</v>
      </c>
      <c r="C1374" s="7"/>
      <c r="D1374" s="7"/>
      <c r="E1374" s="7"/>
      <c r="F1374" s="7"/>
      <c r="G1374" s="7"/>
    </row>
    <row r="1375">
      <c r="A1375" s="6" t="s">
        <v>771</v>
      </c>
      <c r="B1375" s="6">
        <v>0.0</v>
      </c>
      <c r="C1375" s="7"/>
      <c r="D1375" s="7"/>
      <c r="E1375" s="7"/>
      <c r="F1375" s="7"/>
      <c r="G1375" s="7"/>
    </row>
    <row r="1376">
      <c r="A1376" s="6" t="s">
        <v>772</v>
      </c>
      <c r="B1376" s="6">
        <v>46.0</v>
      </c>
      <c r="C1376" s="7"/>
      <c r="D1376" s="7"/>
      <c r="E1376" s="7"/>
      <c r="F1376" s="7"/>
      <c r="G1376" s="7"/>
    </row>
    <row r="1377">
      <c r="A1377" s="6" t="s">
        <v>773</v>
      </c>
      <c r="B1377" s="6">
        <v>67.0</v>
      </c>
      <c r="C1377" s="7"/>
      <c r="D1377" s="7"/>
      <c r="E1377" s="7"/>
      <c r="F1377" s="7"/>
      <c r="G1377" s="7"/>
    </row>
    <row r="1378">
      <c r="A1378" s="6" t="s">
        <v>774</v>
      </c>
      <c r="B1378" s="6">
        <v>40.0</v>
      </c>
      <c r="C1378" s="7"/>
      <c r="D1378" s="7"/>
      <c r="E1378" s="7"/>
      <c r="F1378" s="7"/>
      <c r="G1378" s="7"/>
    </row>
    <row r="1379">
      <c r="A1379" s="6" t="s">
        <v>775</v>
      </c>
      <c r="B1379" s="6">
        <v>0.0</v>
      </c>
      <c r="C1379" s="7"/>
      <c r="D1379" s="7"/>
      <c r="E1379" s="7"/>
      <c r="F1379" s="7"/>
      <c r="G1379" s="7"/>
    </row>
    <row r="1380">
      <c r="A1380" s="6" t="s">
        <v>776</v>
      </c>
      <c r="B1380" s="6">
        <v>0.0</v>
      </c>
      <c r="C1380" s="7"/>
      <c r="D1380" s="7"/>
      <c r="E1380" s="7"/>
      <c r="F1380" s="7"/>
      <c r="G1380" s="7"/>
    </row>
    <row r="1381">
      <c r="A1381" s="6" t="s">
        <v>777</v>
      </c>
      <c r="B1381" s="6">
        <v>0.0</v>
      </c>
      <c r="C1381" s="7"/>
      <c r="D1381" s="7"/>
      <c r="E1381" s="7"/>
      <c r="F1381" s="7"/>
      <c r="G1381" s="7"/>
    </row>
    <row r="1382">
      <c r="A1382" s="6" t="s">
        <v>778</v>
      </c>
      <c r="B1382" s="6">
        <v>80.0</v>
      </c>
      <c r="C1382" s="7"/>
      <c r="D1382" s="7"/>
      <c r="E1382" s="7"/>
      <c r="F1382" s="7"/>
      <c r="G1382" s="7"/>
    </row>
    <row r="1383">
      <c r="A1383" s="6" t="s">
        <v>779</v>
      </c>
      <c r="B1383" s="6">
        <v>32.0</v>
      </c>
      <c r="C1383" s="7"/>
      <c r="D1383" s="7"/>
      <c r="E1383" s="7"/>
      <c r="F1383" s="7"/>
      <c r="G1383" s="7"/>
    </row>
    <row r="1384">
      <c r="A1384" s="6" t="s">
        <v>780</v>
      </c>
      <c r="B1384" s="6">
        <v>0.0</v>
      </c>
      <c r="C1384" s="7"/>
      <c r="D1384" s="7"/>
      <c r="E1384" s="7"/>
      <c r="F1384" s="7"/>
      <c r="G1384" s="7"/>
    </row>
    <row r="1385">
      <c r="A1385" s="6" t="s">
        <v>781</v>
      </c>
      <c r="B1385" s="6">
        <v>0.0</v>
      </c>
      <c r="C1385" s="7"/>
      <c r="D1385" s="7"/>
      <c r="E1385" s="7"/>
      <c r="F1385" s="7"/>
      <c r="G1385" s="7"/>
    </row>
    <row r="1386">
      <c r="A1386" s="6" t="s">
        <v>782</v>
      </c>
      <c r="B1386" s="6">
        <v>57.0</v>
      </c>
      <c r="C1386" s="7"/>
      <c r="D1386" s="7"/>
      <c r="E1386" s="7"/>
      <c r="F1386" s="7"/>
      <c r="G1386" s="7"/>
    </row>
    <row r="1387">
      <c r="A1387" s="6" t="s">
        <v>783</v>
      </c>
      <c r="B1387" s="6">
        <v>71.0</v>
      </c>
      <c r="C1387" s="7"/>
      <c r="D1387" s="7"/>
      <c r="E1387" s="7"/>
      <c r="F1387" s="7"/>
      <c r="G1387" s="7"/>
    </row>
    <row r="1388">
      <c r="A1388" s="6" t="s">
        <v>784</v>
      </c>
      <c r="B1388" s="6">
        <v>32.0</v>
      </c>
      <c r="C1388" s="7"/>
      <c r="D1388" s="7"/>
      <c r="E1388" s="7"/>
      <c r="F1388" s="7"/>
      <c r="G1388" s="7"/>
    </row>
    <row r="1389">
      <c r="A1389" s="6" t="s">
        <v>785</v>
      </c>
      <c r="B1389" s="6">
        <v>0.0</v>
      </c>
      <c r="C1389" s="7"/>
      <c r="D1389" s="7"/>
      <c r="E1389" s="7"/>
      <c r="F1389" s="7"/>
      <c r="G1389" s="7"/>
    </row>
    <row r="1390">
      <c r="A1390" s="6" t="s">
        <v>786</v>
      </c>
      <c r="B1390" s="6">
        <v>4.0</v>
      </c>
      <c r="C1390" s="7"/>
      <c r="D1390" s="7"/>
      <c r="E1390" s="7"/>
      <c r="F1390" s="7"/>
      <c r="G1390" s="7"/>
    </row>
    <row r="1391">
      <c r="A1391" s="6" t="s">
        <v>787</v>
      </c>
      <c r="B1391" s="6">
        <v>12.0</v>
      </c>
      <c r="C1391" s="7"/>
      <c r="D1391" s="7"/>
      <c r="E1391" s="7"/>
      <c r="F1391" s="7"/>
      <c r="G1391" s="7"/>
    </row>
    <row r="1392">
      <c r="A1392" s="6" t="s">
        <v>788</v>
      </c>
      <c r="B1392" s="6">
        <v>0.0</v>
      </c>
      <c r="C1392" s="7"/>
      <c r="D1392" s="7"/>
      <c r="E1392" s="7"/>
      <c r="F1392" s="7"/>
      <c r="G1392" s="7"/>
    </row>
    <row r="1393">
      <c r="A1393" s="6" t="s">
        <v>789</v>
      </c>
      <c r="B1393" s="6">
        <v>0.0</v>
      </c>
      <c r="C1393" s="7"/>
      <c r="D1393" s="7"/>
      <c r="E1393" s="7"/>
      <c r="F1393" s="7"/>
      <c r="G1393" s="7"/>
    </row>
    <row r="1394">
      <c r="A1394" s="6" t="s">
        <v>790</v>
      </c>
      <c r="B1394" s="6">
        <v>0.0</v>
      </c>
      <c r="C1394" s="7"/>
      <c r="D1394" s="7"/>
      <c r="E1394" s="7"/>
      <c r="F1394" s="7"/>
      <c r="G1394" s="7"/>
    </row>
    <row r="1395">
      <c r="A1395" s="6" t="s">
        <v>791</v>
      </c>
      <c r="B1395" s="6">
        <v>0.0</v>
      </c>
      <c r="C1395" s="7"/>
      <c r="D1395" s="7"/>
      <c r="E1395" s="7"/>
      <c r="F1395" s="7"/>
      <c r="G1395" s="7"/>
    </row>
    <row r="1396">
      <c r="A1396" s="6" t="s">
        <v>792</v>
      </c>
      <c r="B1396" s="6">
        <v>80.0</v>
      </c>
      <c r="C1396" s="7"/>
      <c r="D1396" s="7"/>
      <c r="E1396" s="7"/>
      <c r="F1396" s="7"/>
      <c r="G1396" s="7"/>
    </row>
    <row r="1397">
      <c r="A1397" s="6" t="s">
        <v>793</v>
      </c>
      <c r="B1397" s="6">
        <v>0.0</v>
      </c>
      <c r="C1397" s="7"/>
      <c r="D1397" s="7"/>
      <c r="E1397" s="7"/>
      <c r="F1397" s="7"/>
      <c r="G1397" s="7"/>
    </row>
    <row r="1398">
      <c r="A1398" s="6" t="s">
        <v>794</v>
      </c>
      <c r="B1398" s="6">
        <v>60.0</v>
      </c>
      <c r="C1398" s="7"/>
      <c r="D1398" s="7"/>
      <c r="E1398" s="7"/>
      <c r="F1398" s="7"/>
      <c r="G1398" s="7"/>
    </row>
    <row r="1399">
      <c r="A1399" s="6" t="s">
        <v>795</v>
      </c>
      <c r="B1399" s="6">
        <v>0.0</v>
      </c>
      <c r="C1399" s="7"/>
      <c r="D1399" s="7"/>
      <c r="E1399" s="7"/>
      <c r="F1399" s="7"/>
      <c r="G1399" s="7"/>
    </row>
    <row r="1400">
      <c r="A1400" s="6" t="s">
        <v>796</v>
      </c>
      <c r="B1400" s="6">
        <v>90.0</v>
      </c>
      <c r="C1400" s="7"/>
      <c r="D1400" s="7"/>
      <c r="E1400" s="7"/>
      <c r="F1400" s="7"/>
      <c r="G1400" s="7"/>
    </row>
    <row r="1401">
      <c r="A1401" s="6" t="s">
        <v>797</v>
      </c>
      <c r="B1401" s="6">
        <v>0.0</v>
      </c>
      <c r="C1401" s="7"/>
      <c r="D1401" s="7"/>
      <c r="E1401" s="7"/>
      <c r="F1401" s="7"/>
      <c r="G1401" s="7"/>
    </row>
    <row r="1402">
      <c r="A1402" s="6" t="s">
        <v>798</v>
      </c>
      <c r="B1402" s="6">
        <v>0.0</v>
      </c>
      <c r="C1402" s="7"/>
      <c r="D1402" s="7"/>
      <c r="E1402" s="7"/>
      <c r="F1402" s="7"/>
      <c r="G1402" s="7"/>
    </row>
    <row r="1403">
      <c r="A1403" s="6" t="s">
        <v>799</v>
      </c>
      <c r="B1403" s="6">
        <v>0.0</v>
      </c>
      <c r="C1403" s="7"/>
      <c r="D1403" s="7"/>
      <c r="E1403" s="7"/>
      <c r="F1403" s="7"/>
      <c r="G1403" s="7"/>
    </row>
    <row r="1404">
      <c r="A1404" s="6" t="s">
        <v>800</v>
      </c>
      <c r="B1404" s="6">
        <v>0.0</v>
      </c>
      <c r="C1404" s="7"/>
      <c r="D1404" s="7"/>
      <c r="E1404" s="7"/>
      <c r="F1404" s="7"/>
      <c r="G1404" s="7"/>
    </row>
    <row r="1405">
      <c r="A1405" s="6" t="s">
        <v>801</v>
      </c>
      <c r="B1405" s="6">
        <v>0.0</v>
      </c>
      <c r="C1405" s="7"/>
      <c r="D1405" s="7"/>
      <c r="E1405" s="7"/>
      <c r="F1405" s="7"/>
      <c r="G1405" s="7"/>
    </row>
    <row r="1406">
      <c r="A1406" s="6" t="s">
        <v>802</v>
      </c>
      <c r="B1406" s="6">
        <v>19.0</v>
      </c>
      <c r="C1406" s="7"/>
      <c r="D1406" s="7"/>
      <c r="E1406" s="7"/>
      <c r="F1406" s="7"/>
      <c r="G1406" s="7"/>
    </row>
    <row r="1407">
      <c r="A1407" s="6" t="s">
        <v>803</v>
      </c>
      <c r="B1407" s="6">
        <v>0.0</v>
      </c>
      <c r="C1407" s="7"/>
      <c r="D1407" s="7"/>
      <c r="E1407" s="7"/>
      <c r="F1407" s="7"/>
      <c r="G1407" s="7"/>
    </row>
    <row r="1408">
      <c r="A1408" s="6" t="s">
        <v>804</v>
      </c>
      <c r="B1408" s="6">
        <v>0.0</v>
      </c>
      <c r="C1408" s="7"/>
      <c r="D1408" s="7"/>
      <c r="E1408" s="7"/>
      <c r="F1408" s="7"/>
      <c r="G1408" s="7"/>
    </row>
    <row r="1409">
      <c r="A1409" s="6" t="s">
        <v>805</v>
      </c>
      <c r="B1409" s="6">
        <v>42.0</v>
      </c>
      <c r="C1409" s="7"/>
      <c r="D1409" s="7"/>
      <c r="E1409" s="7"/>
      <c r="F1409" s="7"/>
      <c r="G1409" s="7"/>
    </row>
    <row r="1410">
      <c r="A1410" s="6" t="s">
        <v>806</v>
      </c>
      <c r="B1410" s="6">
        <v>57.0</v>
      </c>
      <c r="C1410" s="7"/>
      <c r="D1410" s="7"/>
      <c r="E1410" s="7"/>
      <c r="F1410" s="7"/>
      <c r="G1410" s="7"/>
    </row>
    <row r="1411">
      <c r="A1411" s="6" t="s">
        <v>807</v>
      </c>
      <c r="B1411" s="6">
        <v>17.0</v>
      </c>
      <c r="C1411" s="7"/>
      <c r="D1411" s="7"/>
      <c r="E1411" s="7"/>
      <c r="F1411" s="7"/>
      <c r="G1411" s="7"/>
    </row>
    <row r="1412">
      <c r="A1412" s="6" t="s">
        <v>808</v>
      </c>
      <c r="B1412" s="6">
        <v>10.0</v>
      </c>
      <c r="C1412" s="7"/>
      <c r="D1412" s="7"/>
      <c r="E1412" s="7"/>
      <c r="F1412" s="7"/>
      <c r="G1412" s="7"/>
    </row>
    <row r="1413">
      <c r="A1413" s="6" t="s">
        <v>809</v>
      </c>
      <c r="B1413" s="6">
        <v>0.0</v>
      </c>
      <c r="C1413" s="7"/>
      <c r="D1413" s="7"/>
      <c r="E1413" s="7"/>
      <c r="F1413" s="7"/>
      <c r="G1413" s="7"/>
    </row>
    <row r="1414">
      <c r="A1414" s="6" t="s">
        <v>810</v>
      </c>
      <c r="B1414" s="6">
        <v>8.0</v>
      </c>
      <c r="C1414" s="7"/>
      <c r="D1414" s="7"/>
      <c r="E1414" s="7"/>
      <c r="F1414" s="7"/>
      <c r="G1414" s="7"/>
    </row>
    <row r="1415">
      <c r="A1415" s="6" t="s">
        <v>811</v>
      </c>
      <c r="B1415" s="6">
        <v>8.0</v>
      </c>
      <c r="C1415" s="7"/>
      <c r="D1415" s="7"/>
      <c r="E1415" s="7"/>
      <c r="F1415" s="7"/>
      <c r="G1415" s="7"/>
    </row>
    <row r="1416">
      <c r="A1416" s="6" t="s">
        <v>812</v>
      </c>
      <c r="B1416" s="6">
        <v>11.0</v>
      </c>
      <c r="C1416" s="7"/>
      <c r="D1416" s="7"/>
      <c r="E1416" s="7"/>
      <c r="F1416" s="7"/>
      <c r="G1416" s="7"/>
    </row>
    <row r="1417">
      <c r="A1417" s="6" t="s">
        <v>813</v>
      </c>
      <c r="B1417" s="6">
        <v>24.0</v>
      </c>
      <c r="C1417" s="7"/>
      <c r="D1417" s="7"/>
      <c r="E1417" s="7"/>
      <c r="F1417" s="7"/>
      <c r="G1417" s="7"/>
    </row>
    <row r="1418">
      <c r="A1418" s="6" t="s">
        <v>814</v>
      </c>
      <c r="B1418" s="6">
        <v>0.0</v>
      </c>
      <c r="C1418" s="7"/>
      <c r="D1418" s="7"/>
      <c r="E1418" s="7"/>
      <c r="F1418" s="7"/>
      <c r="G1418" s="7"/>
    </row>
    <row r="1419">
      <c r="A1419" s="6" t="s">
        <v>815</v>
      </c>
      <c r="B1419" s="6">
        <v>0.0</v>
      </c>
      <c r="C1419" s="7"/>
      <c r="D1419" s="7"/>
      <c r="E1419" s="7"/>
      <c r="F1419" s="7"/>
      <c r="G1419" s="7"/>
    </row>
    <row r="1420">
      <c r="A1420" s="6" t="s">
        <v>816</v>
      </c>
      <c r="B1420" s="6">
        <v>0.0</v>
      </c>
      <c r="C1420" s="7"/>
      <c r="D1420" s="7"/>
      <c r="E1420" s="7"/>
      <c r="F1420" s="7"/>
      <c r="G1420" s="7"/>
    </row>
    <row r="1421">
      <c r="A1421" s="6" t="s">
        <v>817</v>
      </c>
      <c r="B1421" s="6" t="s">
        <v>818</v>
      </c>
      <c r="C1421" s="6">
        <v>8.0</v>
      </c>
      <c r="D1421" s="7"/>
      <c r="E1421" s="7"/>
      <c r="F1421" s="7"/>
      <c r="G1421" s="7"/>
    </row>
    <row r="1422">
      <c r="A1422" s="6" t="s">
        <v>819</v>
      </c>
      <c r="B1422" s="6">
        <v>0.0</v>
      </c>
      <c r="C1422" s="7"/>
      <c r="D1422" s="7"/>
      <c r="E1422" s="7"/>
      <c r="F1422" s="7"/>
      <c r="G1422" s="7"/>
    </row>
    <row r="1423">
      <c r="A1423" s="6" t="s">
        <v>820</v>
      </c>
      <c r="B1423" s="6">
        <v>50.0</v>
      </c>
      <c r="C1423" s="7"/>
      <c r="D1423" s="7"/>
      <c r="E1423" s="7"/>
      <c r="F1423" s="7"/>
      <c r="G1423" s="7"/>
    </row>
    <row r="1424">
      <c r="A1424" s="6" t="s">
        <v>821</v>
      </c>
      <c r="B1424" s="6">
        <v>29.0</v>
      </c>
      <c r="C1424" s="7"/>
      <c r="D1424" s="7"/>
      <c r="E1424" s="7"/>
      <c r="F1424" s="7"/>
      <c r="G1424" s="7"/>
    </row>
    <row r="1425">
      <c r="A1425" s="6" t="s">
        <v>822</v>
      </c>
      <c r="B1425" s="6">
        <v>29.0</v>
      </c>
      <c r="C1425" s="7"/>
      <c r="D1425" s="7"/>
      <c r="E1425" s="7"/>
      <c r="F1425" s="7"/>
      <c r="G1425" s="7"/>
    </row>
    <row r="1426">
      <c r="A1426" s="6" t="s">
        <v>823</v>
      </c>
      <c r="B1426" s="6">
        <v>46.0</v>
      </c>
      <c r="C1426" s="7"/>
      <c r="D1426" s="7"/>
      <c r="E1426" s="7"/>
      <c r="F1426" s="7"/>
      <c r="G1426" s="7"/>
    </row>
    <row r="1427">
      <c r="A1427" s="6" t="s">
        <v>824</v>
      </c>
      <c r="B1427" s="6">
        <v>64.0</v>
      </c>
      <c r="C1427" s="7"/>
      <c r="D1427" s="7"/>
      <c r="E1427" s="7"/>
      <c r="F1427" s="7"/>
      <c r="G1427" s="7"/>
    </row>
    <row r="1428">
      <c r="A1428" s="6" t="s">
        <v>825</v>
      </c>
      <c r="B1428" s="6">
        <v>0.0</v>
      </c>
      <c r="C1428" s="7"/>
      <c r="D1428" s="7"/>
      <c r="E1428" s="7"/>
      <c r="F1428" s="7"/>
      <c r="G1428" s="7"/>
    </row>
    <row r="1429">
      <c r="A1429" s="6" t="s">
        <v>826</v>
      </c>
      <c r="B1429" s="6">
        <v>0.0</v>
      </c>
      <c r="C1429" s="7"/>
      <c r="D1429" s="7"/>
      <c r="E1429" s="7"/>
      <c r="F1429" s="7"/>
      <c r="G1429" s="7"/>
    </row>
    <row r="1430">
      <c r="A1430" s="6" t="s">
        <v>827</v>
      </c>
      <c r="B1430" s="6">
        <v>0.0</v>
      </c>
      <c r="C1430" s="7"/>
      <c r="D1430" s="7"/>
      <c r="E1430" s="7"/>
      <c r="F1430" s="7"/>
      <c r="G1430" s="7"/>
    </row>
    <row r="1431">
      <c r="A1431" s="6" t="s">
        <v>828</v>
      </c>
      <c r="B1431" s="6">
        <v>0.0</v>
      </c>
      <c r="C1431" s="7"/>
      <c r="D1431" s="7"/>
      <c r="E1431" s="7"/>
      <c r="F1431" s="7"/>
      <c r="G1431" s="7"/>
    </row>
    <row r="1432">
      <c r="A1432" s="6" t="s">
        <v>829</v>
      </c>
      <c r="B1432" s="6">
        <v>0.0</v>
      </c>
      <c r="C1432" s="7"/>
      <c r="D1432" s="7"/>
      <c r="E1432" s="7"/>
      <c r="F1432" s="7"/>
      <c r="G1432" s="7"/>
    </row>
    <row r="1433">
      <c r="A1433" s="6" t="s">
        <v>830</v>
      </c>
      <c r="B1433" s="6">
        <v>0.0</v>
      </c>
      <c r="C1433" s="7"/>
      <c r="D1433" s="7"/>
      <c r="E1433" s="7"/>
      <c r="F1433" s="7"/>
      <c r="G1433" s="7"/>
    </row>
    <row r="1434">
      <c r="A1434" s="6" t="s">
        <v>831</v>
      </c>
      <c r="B1434" s="6">
        <v>0.0</v>
      </c>
      <c r="C1434" s="7"/>
      <c r="D1434" s="7"/>
      <c r="E1434" s="7"/>
      <c r="F1434" s="7"/>
      <c r="G1434" s="7"/>
    </row>
    <row r="1435">
      <c r="A1435" s="6" t="s">
        <v>832</v>
      </c>
      <c r="B1435" s="6">
        <v>0.0</v>
      </c>
      <c r="C1435" s="7"/>
      <c r="D1435" s="7"/>
      <c r="E1435" s="7"/>
      <c r="F1435" s="7"/>
      <c r="G1435" s="7"/>
    </row>
    <row r="1436">
      <c r="A1436" s="6" t="s">
        <v>833</v>
      </c>
      <c r="B1436" s="6">
        <v>0.0</v>
      </c>
      <c r="C1436" s="7"/>
      <c r="D1436" s="7"/>
      <c r="E1436" s="7"/>
      <c r="F1436" s="7"/>
      <c r="G1436" s="7"/>
    </row>
    <row r="1437">
      <c r="A1437" s="6" t="s">
        <v>834</v>
      </c>
      <c r="B1437" s="6">
        <v>18.0</v>
      </c>
      <c r="C1437" s="7"/>
      <c r="D1437" s="7"/>
      <c r="E1437" s="7"/>
      <c r="F1437" s="7"/>
      <c r="G1437" s="7"/>
    </row>
    <row r="1438">
      <c r="A1438" s="6" t="s">
        <v>835</v>
      </c>
      <c r="B1438" s="6">
        <v>0.0</v>
      </c>
      <c r="C1438" s="7"/>
      <c r="D1438" s="7"/>
      <c r="E1438" s="7"/>
      <c r="F1438" s="7"/>
      <c r="G1438" s="7"/>
    </row>
    <row r="1439">
      <c r="A1439" s="6" t="s">
        <v>836</v>
      </c>
      <c r="B1439" s="6">
        <v>0.0</v>
      </c>
      <c r="C1439" s="7"/>
      <c r="D1439" s="7"/>
      <c r="E1439" s="7"/>
      <c r="F1439" s="7"/>
      <c r="G1439" s="7"/>
    </row>
    <row r="1440">
      <c r="A1440" s="6" t="s">
        <v>837</v>
      </c>
      <c r="B1440" s="6">
        <v>44.0</v>
      </c>
      <c r="C1440" s="7"/>
      <c r="D1440" s="7"/>
      <c r="E1440" s="7"/>
      <c r="F1440" s="7"/>
      <c r="G1440" s="7"/>
    </row>
    <row r="1441">
      <c r="A1441" s="6" t="s">
        <v>838</v>
      </c>
      <c r="B1441" s="6">
        <v>0.0</v>
      </c>
      <c r="C1441" s="7"/>
      <c r="D1441" s="7"/>
      <c r="E1441" s="7"/>
      <c r="F1441" s="7"/>
      <c r="G1441" s="7"/>
    </row>
    <row r="1442">
      <c r="A1442" s="6" t="s">
        <v>839</v>
      </c>
      <c r="B1442" s="6">
        <v>83.0</v>
      </c>
      <c r="C1442" s="7"/>
      <c r="D1442" s="7"/>
      <c r="E1442" s="7"/>
      <c r="F1442" s="7"/>
      <c r="G1442" s="7"/>
    </row>
    <row r="1443">
      <c r="A1443" s="6" t="s">
        <v>840</v>
      </c>
      <c r="B1443" s="6">
        <v>0.0</v>
      </c>
      <c r="C1443" s="7"/>
      <c r="D1443" s="7"/>
      <c r="E1443" s="7"/>
      <c r="F1443" s="7"/>
      <c r="G1443" s="7"/>
    </row>
    <row r="1444">
      <c r="A1444" s="6" t="s">
        <v>841</v>
      </c>
      <c r="B1444" s="6">
        <v>0.0</v>
      </c>
      <c r="C1444" s="7"/>
      <c r="D1444" s="7"/>
      <c r="E1444" s="7"/>
      <c r="F1444" s="7"/>
      <c r="G1444" s="7"/>
    </row>
    <row r="1445">
      <c r="A1445" s="6" t="s">
        <v>842</v>
      </c>
      <c r="B1445" s="6">
        <v>86.0</v>
      </c>
      <c r="C1445" s="7"/>
      <c r="D1445" s="7"/>
      <c r="E1445" s="7"/>
      <c r="F1445" s="7"/>
      <c r="G1445" s="7"/>
    </row>
    <row r="1446">
      <c r="A1446" s="6" t="s">
        <v>843</v>
      </c>
      <c r="B1446" s="6">
        <v>0.0</v>
      </c>
      <c r="C1446" s="7"/>
      <c r="D1446" s="7"/>
      <c r="E1446" s="7"/>
      <c r="F1446" s="7"/>
      <c r="G1446" s="7"/>
    </row>
    <row r="1447">
      <c r="A1447" s="6" t="s">
        <v>844</v>
      </c>
      <c r="B1447" s="6">
        <v>27.0</v>
      </c>
      <c r="C1447" s="7"/>
      <c r="D1447" s="7"/>
      <c r="E1447" s="7"/>
      <c r="F1447" s="7"/>
      <c r="G1447" s="7"/>
    </row>
    <row r="1448">
      <c r="A1448" s="6" t="s">
        <v>845</v>
      </c>
      <c r="B1448" s="6">
        <v>0.0</v>
      </c>
      <c r="C1448" s="7"/>
      <c r="D1448" s="7"/>
      <c r="E1448" s="7"/>
      <c r="F1448" s="7"/>
      <c r="G1448" s="7"/>
    </row>
    <row r="1449">
      <c r="A1449" s="6" t="s">
        <v>846</v>
      </c>
      <c r="B1449" s="6">
        <v>0.0</v>
      </c>
      <c r="C1449" s="7"/>
      <c r="D1449" s="7"/>
      <c r="E1449" s="7"/>
      <c r="F1449" s="7"/>
      <c r="G1449" s="7"/>
    </row>
    <row r="1450">
      <c r="A1450" s="6" t="s">
        <v>847</v>
      </c>
      <c r="B1450" s="6">
        <v>70.0</v>
      </c>
      <c r="C1450" s="7"/>
      <c r="D1450" s="7"/>
      <c r="E1450" s="7"/>
      <c r="F1450" s="7"/>
      <c r="G1450" s="7"/>
    </row>
    <row r="1451">
      <c r="A1451" s="6" t="s">
        <v>848</v>
      </c>
      <c r="B1451" s="6">
        <v>0.0</v>
      </c>
      <c r="C1451" s="7"/>
      <c r="D1451" s="7"/>
      <c r="E1451" s="7"/>
      <c r="F1451" s="7"/>
      <c r="G1451" s="7"/>
    </row>
    <row r="1452">
      <c r="A1452" s="6" t="s">
        <v>849</v>
      </c>
      <c r="B1452" s="6">
        <v>0.0</v>
      </c>
      <c r="C1452" s="7"/>
      <c r="D1452" s="7"/>
      <c r="E1452" s="7"/>
      <c r="F1452" s="7"/>
      <c r="G1452" s="7"/>
    </row>
    <row r="1453">
      <c r="A1453" s="6" t="s">
        <v>850</v>
      </c>
      <c r="B1453" s="6">
        <v>0.0</v>
      </c>
      <c r="C1453" s="7"/>
      <c r="D1453" s="7"/>
      <c r="E1453" s="7"/>
      <c r="F1453" s="7"/>
      <c r="G1453" s="7"/>
    </row>
    <row r="1454">
      <c r="A1454" s="6" t="s">
        <v>851</v>
      </c>
      <c r="B1454" s="6">
        <v>0.0</v>
      </c>
      <c r="C1454" s="7"/>
      <c r="D1454" s="7"/>
      <c r="E1454" s="7"/>
      <c r="F1454" s="7"/>
      <c r="G1454" s="7"/>
    </row>
    <row r="1455">
      <c r="A1455" s="6" t="s">
        <v>852</v>
      </c>
      <c r="B1455" s="6">
        <v>39.0</v>
      </c>
      <c r="C1455" s="7"/>
      <c r="D1455" s="7"/>
      <c r="E1455" s="7"/>
      <c r="F1455" s="7"/>
      <c r="G1455" s="7"/>
    </row>
    <row r="1456">
      <c r="A1456" s="6" t="s">
        <v>853</v>
      </c>
      <c r="B1456" s="6">
        <v>0.0</v>
      </c>
      <c r="C1456" s="7"/>
      <c r="D1456" s="7"/>
      <c r="E1456" s="7"/>
      <c r="F1456" s="7"/>
      <c r="G1456" s="7"/>
    </row>
    <row r="1457">
      <c r="A1457" s="6" t="s">
        <v>854</v>
      </c>
      <c r="B1457" s="6">
        <v>71.0</v>
      </c>
      <c r="C1457" s="7"/>
      <c r="D1457" s="7"/>
      <c r="E1457" s="7"/>
      <c r="F1457" s="7"/>
      <c r="G1457" s="7"/>
    </row>
    <row r="1458">
      <c r="A1458" s="6" t="s">
        <v>855</v>
      </c>
      <c r="B1458" s="6">
        <v>0.0</v>
      </c>
      <c r="C1458" s="7"/>
      <c r="D1458" s="7"/>
      <c r="E1458" s="7"/>
      <c r="F1458" s="7"/>
      <c r="G1458" s="7"/>
    </row>
    <row r="1459">
      <c r="A1459" s="6" t="s">
        <v>856</v>
      </c>
      <c r="B1459" s="6">
        <v>0.0</v>
      </c>
      <c r="C1459" s="7"/>
      <c r="D1459" s="7"/>
      <c r="E1459" s="7"/>
      <c r="F1459" s="7"/>
      <c r="G1459" s="7"/>
    </row>
    <row r="1460">
      <c r="A1460" s="6" t="s">
        <v>857</v>
      </c>
      <c r="B1460" s="6">
        <v>0.0</v>
      </c>
      <c r="C1460" s="7"/>
      <c r="D1460" s="7"/>
      <c r="E1460" s="7"/>
      <c r="F1460" s="7"/>
      <c r="G1460" s="7"/>
    </row>
    <row r="1461">
      <c r="A1461" s="6" t="s">
        <v>858</v>
      </c>
      <c r="B1461" s="6">
        <v>68.0</v>
      </c>
      <c r="C1461" s="7"/>
      <c r="D1461" s="7"/>
      <c r="E1461" s="7"/>
      <c r="F1461" s="7"/>
      <c r="G1461" s="7"/>
    </row>
    <row r="1462">
      <c r="A1462" s="6" t="s">
        <v>859</v>
      </c>
      <c r="B1462" s="6">
        <v>81.0</v>
      </c>
      <c r="C1462" s="7"/>
      <c r="D1462" s="7"/>
      <c r="E1462" s="7"/>
      <c r="F1462" s="7"/>
      <c r="G1462" s="7"/>
    </row>
    <row r="1463">
      <c r="A1463" s="6" t="s">
        <v>860</v>
      </c>
      <c r="B1463" s="6">
        <v>0.0</v>
      </c>
      <c r="C1463" s="7"/>
      <c r="D1463" s="7"/>
      <c r="E1463" s="7"/>
      <c r="F1463" s="7"/>
      <c r="G1463" s="7"/>
    </row>
    <row r="1464">
      <c r="A1464" s="6" t="s">
        <v>861</v>
      </c>
      <c r="B1464" s="6">
        <v>0.0</v>
      </c>
      <c r="C1464" s="7"/>
      <c r="D1464" s="7"/>
      <c r="E1464" s="7"/>
      <c r="F1464" s="7"/>
      <c r="G1464" s="7"/>
    </row>
    <row r="1465">
      <c r="A1465" s="6" t="s">
        <v>862</v>
      </c>
      <c r="B1465" s="6">
        <v>0.0</v>
      </c>
      <c r="C1465" s="7"/>
      <c r="D1465" s="7"/>
      <c r="E1465" s="7"/>
      <c r="F1465" s="7"/>
      <c r="G1465" s="7"/>
    </row>
    <row r="1466">
      <c r="A1466" s="6" t="s">
        <v>863</v>
      </c>
      <c r="B1466" s="6">
        <v>0.0</v>
      </c>
      <c r="C1466" s="7"/>
      <c r="D1466" s="7"/>
      <c r="E1466" s="7"/>
      <c r="F1466" s="7"/>
      <c r="G1466" s="7"/>
    </row>
    <row r="1467">
      <c r="A1467" s="6" t="s">
        <v>794</v>
      </c>
      <c r="B1467" s="6">
        <v>60.0</v>
      </c>
      <c r="C1467" s="7"/>
      <c r="D1467" s="7"/>
      <c r="E1467" s="7"/>
      <c r="F1467" s="7"/>
      <c r="G1467" s="7"/>
    </row>
    <row r="1468">
      <c r="A1468" s="6" t="s">
        <v>795</v>
      </c>
      <c r="B1468" s="6">
        <v>0.0</v>
      </c>
      <c r="C1468" s="7"/>
      <c r="D1468" s="7"/>
      <c r="E1468" s="7"/>
      <c r="F1468" s="7"/>
      <c r="G1468" s="7"/>
    </row>
    <row r="1469">
      <c r="A1469" s="6" t="s">
        <v>796</v>
      </c>
      <c r="B1469" s="6">
        <v>90.0</v>
      </c>
      <c r="C1469" s="7"/>
      <c r="D1469" s="7"/>
      <c r="E1469" s="7"/>
      <c r="F1469" s="7"/>
      <c r="G1469" s="7"/>
    </row>
    <row r="1470">
      <c r="A1470" s="6" t="s">
        <v>797</v>
      </c>
      <c r="B1470" s="6">
        <v>0.0</v>
      </c>
      <c r="C1470" s="7"/>
      <c r="D1470" s="7"/>
      <c r="E1470" s="7"/>
      <c r="F1470" s="7"/>
      <c r="G1470" s="7"/>
    </row>
    <row r="1471">
      <c r="A1471" s="6" t="s">
        <v>798</v>
      </c>
      <c r="B1471" s="6">
        <v>0.0</v>
      </c>
      <c r="C1471" s="7"/>
      <c r="D1471" s="7"/>
      <c r="E1471" s="7"/>
      <c r="F1471" s="7"/>
      <c r="G1471" s="7"/>
    </row>
    <row r="1472">
      <c r="A1472" s="6" t="s">
        <v>799</v>
      </c>
      <c r="B1472" s="6">
        <v>0.0</v>
      </c>
      <c r="C1472" s="7"/>
      <c r="D1472" s="7"/>
      <c r="E1472" s="7"/>
      <c r="F1472" s="7"/>
      <c r="G1472" s="7"/>
    </row>
    <row r="1473">
      <c r="A1473" s="6" t="s">
        <v>800</v>
      </c>
      <c r="B1473" s="6">
        <v>0.0</v>
      </c>
      <c r="C1473" s="7"/>
      <c r="D1473" s="7"/>
      <c r="E1473" s="7"/>
      <c r="F1473" s="7"/>
      <c r="G1473" s="7"/>
    </row>
    <row r="1474">
      <c r="A1474" s="6" t="s">
        <v>801</v>
      </c>
      <c r="B1474" s="6">
        <v>0.0</v>
      </c>
      <c r="C1474" s="7"/>
      <c r="D1474" s="7"/>
      <c r="E1474" s="7"/>
      <c r="F1474" s="7"/>
      <c r="G1474" s="7"/>
    </row>
    <row r="1475">
      <c r="A1475" s="6" t="s">
        <v>802</v>
      </c>
      <c r="B1475" s="6">
        <v>19.0</v>
      </c>
      <c r="C1475" s="7"/>
      <c r="D1475" s="7"/>
      <c r="E1475" s="7"/>
      <c r="F1475" s="7"/>
      <c r="G1475" s="7"/>
    </row>
    <row r="1476">
      <c r="A1476" s="6" t="s">
        <v>803</v>
      </c>
      <c r="B1476" s="6">
        <v>0.0</v>
      </c>
      <c r="C1476" s="7"/>
      <c r="D1476" s="7"/>
      <c r="E1476" s="7"/>
      <c r="F1476" s="7"/>
      <c r="G1476" s="7"/>
    </row>
    <row r="1477">
      <c r="A1477" s="6" t="s">
        <v>804</v>
      </c>
      <c r="B1477" s="6">
        <v>0.0</v>
      </c>
      <c r="C1477" s="7"/>
      <c r="D1477" s="7"/>
      <c r="E1477" s="7"/>
      <c r="F1477" s="7"/>
      <c r="G1477" s="7"/>
    </row>
    <row r="1478">
      <c r="A1478" s="6" t="s">
        <v>805</v>
      </c>
      <c r="B1478" s="6">
        <v>42.0</v>
      </c>
      <c r="C1478" s="7"/>
      <c r="D1478" s="7"/>
      <c r="E1478" s="7"/>
      <c r="F1478" s="7"/>
      <c r="G1478" s="7"/>
    </row>
    <row r="1479">
      <c r="A1479" s="6" t="s">
        <v>806</v>
      </c>
      <c r="B1479" s="6">
        <v>57.0</v>
      </c>
      <c r="C1479" s="7"/>
      <c r="D1479" s="7"/>
      <c r="E1479" s="7"/>
      <c r="F1479" s="7"/>
      <c r="G1479" s="7"/>
    </row>
    <row r="1480">
      <c r="A1480" s="6" t="s">
        <v>807</v>
      </c>
      <c r="B1480" s="6">
        <v>17.0</v>
      </c>
      <c r="C1480" s="7"/>
      <c r="D1480" s="7"/>
      <c r="E1480" s="7"/>
      <c r="F1480" s="7"/>
      <c r="G1480" s="7"/>
    </row>
    <row r="1481">
      <c r="A1481" s="6" t="s">
        <v>808</v>
      </c>
      <c r="B1481" s="6">
        <v>10.0</v>
      </c>
      <c r="C1481" s="7"/>
      <c r="D1481" s="7"/>
      <c r="E1481" s="7"/>
      <c r="F1481" s="7"/>
      <c r="G1481" s="7"/>
    </row>
    <row r="1482">
      <c r="A1482" s="6" t="s">
        <v>809</v>
      </c>
      <c r="B1482" s="6">
        <v>0.0</v>
      </c>
      <c r="C1482" s="7"/>
      <c r="D1482" s="7"/>
      <c r="E1482" s="7"/>
      <c r="F1482" s="7"/>
      <c r="G1482" s="7"/>
    </row>
    <row r="1483">
      <c r="A1483" s="6" t="s">
        <v>810</v>
      </c>
      <c r="B1483" s="6">
        <v>8.0</v>
      </c>
      <c r="C1483" s="7"/>
      <c r="D1483" s="7"/>
      <c r="E1483" s="7"/>
      <c r="F1483" s="7"/>
      <c r="G1483" s="7"/>
    </row>
    <row r="1484">
      <c r="A1484" s="6" t="s">
        <v>811</v>
      </c>
      <c r="B1484" s="6">
        <v>8.0</v>
      </c>
      <c r="C1484" s="7"/>
      <c r="D1484" s="7"/>
      <c r="E1484" s="7"/>
      <c r="F1484" s="7"/>
      <c r="G1484" s="7"/>
    </row>
    <row r="1485">
      <c r="A1485" s="6" t="s">
        <v>812</v>
      </c>
      <c r="B1485" s="6">
        <v>11.0</v>
      </c>
      <c r="C1485" s="7"/>
      <c r="D1485" s="7"/>
      <c r="E1485" s="7"/>
      <c r="F1485" s="7"/>
      <c r="G1485" s="7"/>
    </row>
    <row r="1486">
      <c r="A1486" s="6" t="s">
        <v>813</v>
      </c>
      <c r="B1486" s="6">
        <v>24.0</v>
      </c>
      <c r="C1486" s="7"/>
      <c r="D1486" s="7"/>
      <c r="E1486" s="7"/>
      <c r="F1486" s="7"/>
      <c r="G1486" s="7"/>
    </row>
    <row r="1487">
      <c r="A1487" s="6" t="s">
        <v>814</v>
      </c>
      <c r="B1487" s="6">
        <v>0.0</v>
      </c>
      <c r="C1487" s="7"/>
      <c r="D1487" s="7"/>
      <c r="E1487" s="7"/>
      <c r="F1487" s="7"/>
      <c r="G1487" s="7"/>
    </row>
    <row r="1488">
      <c r="A1488" s="6" t="s">
        <v>815</v>
      </c>
      <c r="B1488" s="6">
        <v>0.0</v>
      </c>
      <c r="C1488" s="7"/>
      <c r="D1488" s="7"/>
      <c r="E1488" s="7"/>
      <c r="F1488" s="7"/>
      <c r="G1488" s="7"/>
    </row>
    <row r="1489">
      <c r="A1489" s="6" t="s">
        <v>816</v>
      </c>
      <c r="B1489" s="6">
        <v>0.0</v>
      </c>
      <c r="C1489" s="7"/>
      <c r="D1489" s="7"/>
      <c r="E1489" s="7"/>
      <c r="F1489" s="7"/>
      <c r="G1489" s="7"/>
    </row>
    <row r="1490">
      <c r="A1490" s="6" t="s">
        <v>817</v>
      </c>
      <c r="B1490" s="6" t="s">
        <v>818</v>
      </c>
      <c r="C1490" s="6">
        <v>8.0</v>
      </c>
      <c r="D1490" s="7"/>
      <c r="E1490" s="7"/>
      <c r="F1490" s="7"/>
      <c r="G1490" s="7"/>
    </row>
    <row r="1491">
      <c r="A1491" s="6" t="s">
        <v>819</v>
      </c>
      <c r="B1491" s="6">
        <v>0.0</v>
      </c>
      <c r="C1491" s="7"/>
      <c r="D1491" s="7"/>
      <c r="E1491" s="7"/>
      <c r="F1491" s="7"/>
      <c r="G1491" s="7"/>
    </row>
    <row r="1492">
      <c r="A1492" s="6" t="s">
        <v>820</v>
      </c>
      <c r="B1492" s="6">
        <v>50.0</v>
      </c>
      <c r="C1492" s="7"/>
      <c r="D1492" s="7"/>
      <c r="E1492" s="7"/>
      <c r="F1492" s="7"/>
      <c r="G1492" s="7"/>
    </row>
    <row r="1493">
      <c r="A1493" s="6" t="s">
        <v>821</v>
      </c>
      <c r="B1493" s="6">
        <v>29.0</v>
      </c>
      <c r="C1493" s="7"/>
      <c r="D1493" s="7"/>
      <c r="E1493" s="7"/>
      <c r="F1493" s="7"/>
      <c r="G1493" s="7"/>
    </row>
    <row r="1494">
      <c r="A1494" s="6" t="s">
        <v>822</v>
      </c>
      <c r="B1494" s="6">
        <v>29.0</v>
      </c>
      <c r="C1494" s="7"/>
      <c r="D1494" s="7"/>
      <c r="E1494" s="7"/>
      <c r="F1494" s="7"/>
      <c r="G1494" s="7"/>
    </row>
    <row r="1495">
      <c r="A1495" s="6" t="s">
        <v>823</v>
      </c>
      <c r="B1495" s="6">
        <v>46.0</v>
      </c>
      <c r="C1495" s="7"/>
      <c r="D1495" s="7"/>
      <c r="E1495" s="7"/>
      <c r="F1495" s="7"/>
      <c r="G1495" s="7"/>
    </row>
    <row r="1496">
      <c r="A1496" s="6" t="s">
        <v>824</v>
      </c>
      <c r="B1496" s="6">
        <v>64.0</v>
      </c>
      <c r="C1496" s="7"/>
      <c r="D1496" s="7"/>
      <c r="E1496" s="7"/>
      <c r="F1496" s="7"/>
      <c r="G1496" s="7"/>
    </row>
    <row r="1497">
      <c r="A1497" s="6" t="s">
        <v>825</v>
      </c>
      <c r="B1497" s="6">
        <v>0.0</v>
      </c>
      <c r="C1497" s="7"/>
      <c r="D1497" s="7"/>
      <c r="E1497" s="7"/>
      <c r="F1497" s="7"/>
      <c r="G1497" s="7"/>
    </row>
    <row r="1498">
      <c r="A1498" s="6" t="s">
        <v>826</v>
      </c>
      <c r="B1498" s="6">
        <v>0.0</v>
      </c>
      <c r="C1498" s="7"/>
      <c r="D1498" s="7"/>
      <c r="E1498" s="7"/>
      <c r="F1498" s="7"/>
      <c r="G1498" s="7"/>
    </row>
    <row r="1499">
      <c r="A1499" s="6" t="s">
        <v>827</v>
      </c>
      <c r="B1499" s="6">
        <v>0.0</v>
      </c>
      <c r="C1499" s="7"/>
      <c r="D1499" s="7"/>
      <c r="E1499" s="7"/>
      <c r="F1499" s="7"/>
      <c r="G1499" s="7"/>
    </row>
    <row r="1500">
      <c r="A1500" s="6" t="s">
        <v>828</v>
      </c>
      <c r="B1500" s="6">
        <v>0.0</v>
      </c>
      <c r="C1500" s="7"/>
      <c r="D1500" s="7"/>
      <c r="E1500" s="7"/>
      <c r="F1500" s="7"/>
      <c r="G1500" s="7"/>
    </row>
    <row r="1501">
      <c r="A1501" s="6" t="s">
        <v>829</v>
      </c>
      <c r="B1501" s="6">
        <v>0.0</v>
      </c>
      <c r="C1501" s="7"/>
      <c r="D1501" s="7"/>
      <c r="E1501" s="7"/>
      <c r="F1501" s="7"/>
      <c r="G1501" s="7"/>
    </row>
    <row r="1502">
      <c r="A1502" s="6" t="s">
        <v>830</v>
      </c>
      <c r="B1502" s="6">
        <v>0.0</v>
      </c>
      <c r="C1502" s="7"/>
      <c r="D1502" s="7"/>
      <c r="E1502" s="7"/>
      <c r="F1502" s="7"/>
      <c r="G1502" s="7"/>
    </row>
    <row r="1503">
      <c r="A1503" s="6" t="s">
        <v>831</v>
      </c>
      <c r="B1503" s="6">
        <v>0.0</v>
      </c>
      <c r="C1503" s="7"/>
      <c r="D1503" s="7"/>
      <c r="E1503" s="7"/>
      <c r="F1503" s="7"/>
      <c r="G1503" s="7"/>
    </row>
    <row r="1504">
      <c r="A1504" s="6" t="s">
        <v>832</v>
      </c>
      <c r="B1504" s="6">
        <v>0.0</v>
      </c>
      <c r="C1504" s="7"/>
      <c r="D1504" s="7"/>
      <c r="E1504" s="7"/>
      <c r="F1504" s="7"/>
      <c r="G1504" s="7"/>
    </row>
    <row r="1505">
      <c r="A1505" s="6" t="s">
        <v>833</v>
      </c>
      <c r="B1505" s="6">
        <v>0.0</v>
      </c>
      <c r="C1505" s="7"/>
      <c r="D1505" s="7"/>
      <c r="E1505" s="7"/>
      <c r="F1505" s="7"/>
      <c r="G1505" s="7"/>
    </row>
    <row r="1506">
      <c r="A1506" s="6" t="s">
        <v>834</v>
      </c>
      <c r="B1506" s="6">
        <v>18.0</v>
      </c>
      <c r="C1506" s="7"/>
      <c r="D1506" s="7"/>
      <c r="E1506" s="7"/>
      <c r="F1506" s="7"/>
      <c r="G1506" s="7"/>
    </row>
    <row r="1507">
      <c r="A1507" s="6" t="s">
        <v>835</v>
      </c>
      <c r="B1507" s="6">
        <v>0.0</v>
      </c>
      <c r="C1507" s="7"/>
      <c r="D1507" s="7"/>
      <c r="E1507" s="7"/>
      <c r="F1507" s="7"/>
      <c r="G1507" s="7"/>
    </row>
    <row r="1508">
      <c r="A1508" s="6" t="s">
        <v>836</v>
      </c>
      <c r="B1508" s="6">
        <v>0.0</v>
      </c>
      <c r="C1508" s="7"/>
      <c r="D1508" s="7"/>
      <c r="E1508" s="7"/>
      <c r="F1508" s="7"/>
      <c r="G1508" s="7"/>
    </row>
    <row r="1509">
      <c r="A1509" s="6" t="s">
        <v>837</v>
      </c>
      <c r="B1509" s="6">
        <v>44.0</v>
      </c>
      <c r="C1509" s="7"/>
      <c r="D1509" s="7"/>
      <c r="E1509" s="7"/>
      <c r="F1509" s="7"/>
      <c r="G1509" s="7"/>
    </row>
    <row r="1510">
      <c r="A1510" s="6" t="s">
        <v>838</v>
      </c>
      <c r="B1510" s="6">
        <v>0.0</v>
      </c>
      <c r="C1510" s="7"/>
      <c r="D1510" s="7"/>
      <c r="E1510" s="7"/>
      <c r="F1510" s="7"/>
      <c r="G1510" s="7"/>
    </row>
    <row r="1511">
      <c r="A1511" s="6" t="s">
        <v>839</v>
      </c>
      <c r="B1511" s="6">
        <v>83.0</v>
      </c>
      <c r="C1511" s="7"/>
      <c r="D1511" s="7"/>
      <c r="E1511" s="7"/>
      <c r="F1511" s="7"/>
      <c r="G1511" s="7"/>
    </row>
    <row r="1512">
      <c r="A1512" s="6" t="s">
        <v>840</v>
      </c>
      <c r="B1512" s="6">
        <v>0.0</v>
      </c>
      <c r="C1512" s="7"/>
      <c r="D1512" s="7"/>
      <c r="E1512" s="7"/>
      <c r="F1512" s="7"/>
      <c r="G1512" s="7"/>
    </row>
    <row r="1513">
      <c r="A1513" s="6" t="s">
        <v>841</v>
      </c>
      <c r="B1513" s="6">
        <v>0.0</v>
      </c>
      <c r="C1513" s="7"/>
      <c r="D1513" s="7"/>
      <c r="E1513" s="7"/>
      <c r="F1513" s="7"/>
      <c r="G1513" s="7"/>
    </row>
    <row r="1514">
      <c r="A1514" s="6" t="s">
        <v>842</v>
      </c>
      <c r="B1514" s="6">
        <v>86.0</v>
      </c>
      <c r="C1514" s="7"/>
      <c r="D1514" s="7"/>
      <c r="E1514" s="7"/>
      <c r="F1514" s="7"/>
      <c r="G1514" s="7"/>
    </row>
    <row r="1515">
      <c r="A1515" s="6" t="s">
        <v>843</v>
      </c>
      <c r="B1515" s="6">
        <v>0.0</v>
      </c>
      <c r="C1515" s="7"/>
      <c r="D1515" s="7"/>
      <c r="E1515" s="7"/>
      <c r="F1515" s="7"/>
      <c r="G1515" s="7"/>
    </row>
    <row r="1516">
      <c r="A1516" s="6" t="s">
        <v>844</v>
      </c>
      <c r="B1516" s="6">
        <v>27.0</v>
      </c>
      <c r="C1516" s="7"/>
      <c r="D1516" s="7"/>
      <c r="E1516" s="7"/>
      <c r="F1516" s="7"/>
      <c r="G1516" s="7"/>
    </row>
    <row r="1517">
      <c r="A1517" s="6" t="s">
        <v>845</v>
      </c>
      <c r="B1517" s="6">
        <v>0.0</v>
      </c>
      <c r="C1517" s="7"/>
      <c r="D1517" s="7"/>
      <c r="E1517" s="7"/>
      <c r="F1517" s="7"/>
      <c r="G1517" s="7"/>
    </row>
    <row r="1518">
      <c r="A1518" s="6" t="s">
        <v>846</v>
      </c>
      <c r="B1518" s="6">
        <v>0.0</v>
      </c>
      <c r="C1518" s="7"/>
      <c r="D1518" s="7"/>
      <c r="E1518" s="7"/>
      <c r="F1518" s="7"/>
      <c r="G1518" s="7"/>
    </row>
    <row r="1519">
      <c r="A1519" s="6" t="s">
        <v>847</v>
      </c>
      <c r="B1519" s="6">
        <v>70.0</v>
      </c>
      <c r="C1519" s="7"/>
      <c r="D1519" s="7"/>
      <c r="E1519" s="7"/>
      <c r="F1519" s="7"/>
      <c r="G1519" s="7"/>
    </row>
    <row r="1520">
      <c r="A1520" s="6" t="s">
        <v>848</v>
      </c>
      <c r="B1520" s="6">
        <v>0.0</v>
      </c>
      <c r="C1520" s="7"/>
      <c r="D1520" s="7"/>
      <c r="E1520" s="7"/>
      <c r="F1520" s="7"/>
      <c r="G1520" s="7"/>
    </row>
    <row r="1521">
      <c r="A1521" s="6" t="s">
        <v>849</v>
      </c>
      <c r="B1521" s="6">
        <v>0.0</v>
      </c>
      <c r="C1521" s="7"/>
      <c r="D1521" s="7"/>
      <c r="E1521" s="7"/>
      <c r="F1521" s="7"/>
      <c r="G1521" s="7"/>
    </row>
    <row r="1522">
      <c r="A1522" s="6" t="s">
        <v>850</v>
      </c>
      <c r="B1522" s="6">
        <v>0.0</v>
      </c>
      <c r="C1522" s="7"/>
      <c r="D1522" s="7"/>
      <c r="E1522" s="7"/>
      <c r="F1522" s="7"/>
      <c r="G1522" s="7"/>
    </row>
    <row r="1523">
      <c r="A1523" s="6" t="s">
        <v>851</v>
      </c>
      <c r="B1523" s="6">
        <v>0.0</v>
      </c>
      <c r="C1523" s="7"/>
      <c r="D1523" s="7"/>
      <c r="E1523" s="7"/>
      <c r="F1523" s="7"/>
      <c r="G1523" s="7"/>
    </row>
    <row r="1524">
      <c r="A1524" s="6" t="s">
        <v>852</v>
      </c>
      <c r="B1524" s="6">
        <v>39.0</v>
      </c>
      <c r="C1524" s="7"/>
      <c r="D1524" s="7"/>
      <c r="E1524" s="7"/>
      <c r="F1524" s="7"/>
      <c r="G1524" s="7"/>
    </row>
    <row r="1525">
      <c r="A1525" s="6" t="s">
        <v>853</v>
      </c>
      <c r="B1525" s="6">
        <v>0.0</v>
      </c>
      <c r="C1525" s="7"/>
      <c r="D1525" s="7"/>
      <c r="E1525" s="7"/>
      <c r="F1525" s="7"/>
      <c r="G1525" s="7"/>
    </row>
    <row r="1526">
      <c r="A1526" s="6" t="s">
        <v>854</v>
      </c>
      <c r="B1526" s="6">
        <v>71.0</v>
      </c>
      <c r="C1526" s="7"/>
      <c r="D1526" s="7"/>
      <c r="E1526" s="7"/>
      <c r="F1526" s="7"/>
      <c r="G1526" s="7"/>
    </row>
    <row r="1527">
      <c r="A1527" s="6" t="s">
        <v>855</v>
      </c>
      <c r="B1527" s="6">
        <v>0.0</v>
      </c>
      <c r="C1527" s="7"/>
      <c r="D1527" s="7"/>
      <c r="E1527" s="7"/>
      <c r="F1527" s="7"/>
      <c r="G1527" s="7"/>
    </row>
    <row r="1528">
      <c r="A1528" s="6" t="s">
        <v>856</v>
      </c>
      <c r="B1528" s="6">
        <v>0.0</v>
      </c>
      <c r="C1528" s="7"/>
      <c r="D1528" s="7"/>
      <c r="E1528" s="7"/>
      <c r="F1528" s="7"/>
      <c r="G1528" s="7"/>
    </row>
    <row r="1529">
      <c r="A1529" s="6" t="s">
        <v>857</v>
      </c>
      <c r="B1529" s="6">
        <v>0.0</v>
      </c>
      <c r="C1529" s="7"/>
      <c r="D1529" s="7"/>
      <c r="E1529" s="7"/>
      <c r="F1529" s="7"/>
      <c r="G1529" s="7"/>
    </row>
    <row r="1530">
      <c r="A1530" s="6" t="s">
        <v>858</v>
      </c>
      <c r="B1530" s="6">
        <v>68.0</v>
      </c>
      <c r="C1530" s="7"/>
      <c r="D1530" s="7"/>
      <c r="E1530" s="7"/>
      <c r="F1530" s="7"/>
      <c r="G1530" s="7"/>
    </row>
    <row r="1531">
      <c r="A1531" s="6" t="s">
        <v>859</v>
      </c>
      <c r="B1531" s="6">
        <v>81.0</v>
      </c>
      <c r="C1531" s="7"/>
      <c r="D1531" s="7"/>
      <c r="E1531" s="7"/>
      <c r="F1531" s="7"/>
      <c r="G1531" s="7"/>
    </row>
    <row r="1532">
      <c r="A1532" s="6" t="s">
        <v>860</v>
      </c>
      <c r="B1532" s="6">
        <v>0.0</v>
      </c>
      <c r="C1532" s="7"/>
      <c r="D1532" s="7"/>
      <c r="E1532" s="7"/>
      <c r="F1532" s="7"/>
      <c r="G1532" s="7"/>
    </row>
    <row r="1533">
      <c r="A1533" s="6" t="s">
        <v>861</v>
      </c>
      <c r="B1533" s="6">
        <v>0.0</v>
      </c>
      <c r="C1533" s="7"/>
      <c r="D1533" s="7"/>
      <c r="E1533" s="7"/>
      <c r="F1533" s="7"/>
      <c r="G1533" s="7"/>
    </row>
    <row r="1534">
      <c r="A1534" s="6" t="s">
        <v>862</v>
      </c>
      <c r="B1534" s="6">
        <v>0.0</v>
      </c>
      <c r="C1534" s="7"/>
      <c r="D1534" s="7"/>
      <c r="E1534" s="7"/>
      <c r="F1534" s="7"/>
      <c r="G1534" s="7"/>
    </row>
    <row r="1535">
      <c r="A1535" s="6" t="s">
        <v>863</v>
      </c>
      <c r="B1535" s="6">
        <v>0.0</v>
      </c>
      <c r="C1535" s="7"/>
      <c r="D1535" s="7"/>
      <c r="E1535" s="7"/>
      <c r="F1535" s="7"/>
      <c r="G1535" s="7"/>
    </row>
    <row r="1536">
      <c r="A1536" s="6" t="s">
        <v>864</v>
      </c>
      <c r="B1536" s="6">
        <v>24.0</v>
      </c>
      <c r="C1536" s="7"/>
      <c r="D1536" s="7"/>
      <c r="E1536" s="7"/>
      <c r="F1536" s="7"/>
      <c r="G1536" s="7"/>
    </row>
    <row r="1537">
      <c r="A1537" s="6" t="s">
        <v>865</v>
      </c>
      <c r="B1537" s="6">
        <v>0.0</v>
      </c>
      <c r="C1537" s="7"/>
      <c r="D1537" s="7"/>
      <c r="E1537" s="7"/>
      <c r="F1537" s="7"/>
      <c r="G1537" s="7"/>
    </row>
    <row r="1538">
      <c r="A1538" s="6" t="s">
        <v>866</v>
      </c>
      <c r="B1538" s="6">
        <v>0.0</v>
      </c>
      <c r="C1538" s="7"/>
      <c r="D1538" s="7"/>
      <c r="E1538" s="7"/>
      <c r="F1538" s="7"/>
      <c r="G1538" s="7"/>
    </row>
    <row r="1539">
      <c r="A1539" s="6" t="s">
        <v>867</v>
      </c>
      <c r="B1539" s="6">
        <v>0.0</v>
      </c>
      <c r="C1539" s="7"/>
      <c r="D1539" s="7"/>
      <c r="E1539" s="7"/>
      <c r="F1539" s="7"/>
      <c r="G1539" s="7"/>
    </row>
    <row r="1540">
      <c r="A1540" s="6" t="s">
        <v>868</v>
      </c>
      <c r="B1540" s="6">
        <v>0.0</v>
      </c>
      <c r="C1540" s="7"/>
      <c r="D1540" s="7"/>
      <c r="E1540" s="7"/>
      <c r="F1540" s="7"/>
      <c r="G1540" s="7"/>
    </row>
    <row r="1541">
      <c r="A1541" s="6" t="s">
        <v>869</v>
      </c>
      <c r="B1541" s="6">
        <v>70.0</v>
      </c>
      <c r="C1541" s="7"/>
      <c r="D1541" s="7"/>
      <c r="E1541" s="7"/>
      <c r="F1541" s="7"/>
      <c r="G1541" s="7"/>
    </row>
    <row r="1542">
      <c r="A1542" s="6" t="s">
        <v>870</v>
      </c>
      <c r="B1542" s="6">
        <v>0.0</v>
      </c>
      <c r="C1542" s="7"/>
      <c r="D1542" s="7"/>
      <c r="E1542" s="7"/>
      <c r="F1542" s="7"/>
      <c r="G1542" s="7"/>
    </row>
    <row r="1543">
      <c r="A1543" s="6" t="s">
        <v>871</v>
      </c>
      <c r="B1543" s="6">
        <v>0.0</v>
      </c>
      <c r="C1543" s="7"/>
      <c r="D1543" s="7"/>
      <c r="E1543" s="7"/>
      <c r="F1543" s="7"/>
      <c r="G1543" s="7"/>
    </row>
    <row r="1544">
      <c r="A1544" s="6" t="s">
        <v>872</v>
      </c>
      <c r="B1544" s="6">
        <v>0.0</v>
      </c>
      <c r="C1544" s="7"/>
      <c r="D1544" s="7"/>
      <c r="E1544" s="7"/>
      <c r="F1544" s="7"/>
      <c r="G1544" s="7"/>
    </row>
    <row r="1545">
      <c r="A1545" s="6" t="s">
        <v>873</v>
      </c>
      <c r="B1545" s="6">
        <v>33.0</v>
      </c>
      <c r="C1545" s="7"/>
      <c r="D1545" s="7"/>
      <c r="E1545" s="7"/>
      <c r="F1545" s="7"/>
      <c r="G1545" s="7"/>
    </row>
    <row r="1546">
      <c r="A1546" s="6" t="s">
        <v>874</v>
      </c>
      <c r="B1546" s="6">
        <v>26.0</v>
      </c>
      <c r="C1546" s="7"/>
      <c r="D1546" s="7"/>
      <c r="E1546" s="7"/>
      <c r="F1546" s="7"/>
      <c r="G1546" s="7"/>
    </row>
    <row r="1547">
      <c r="A1547" s="6" t="s">
        <v>875</v>
      </c>
      <c r="B1547" s="6">
        <v>35.0</v>
      </c>
      <c r="C1547" s="7"/>
      <c r="D1547" s="7"/>
      <c r="E1547" s="7"/>
      <c r="F1547" s="7"/>
      <c r="G1547" s="7"/>
    </row>
    <row r="1548">
      <c r="A1548" s="6" t="s">
        <v>876</v>
      </c>
      <c r="B1548" s="6">
        <v>86.0</v>
      </c>
      <c r="C1548" s="7"/>
      <c r="D1548" s="7"/>
      <c r="E1548" s="7"/>
      <c r="F1548" s="7"/>
      <c r="G1548" s="7"/>
    </row>
    <row r="1549">
      <c r="A1549" s="6" t="s">
        <v>877</v>
      </c>
      <c r="B1549" s="6">
        <v>0.0</v>
      </c>
      <c r="C1549" s="7"/>
      <c r="D1549" s="7"/>
      <c r="E1549" s="7"/>
      <c r="F1549" s="7"/>
      <c r="G1549" s="7"/>
    </row>
    <row r="1550">
      <c r="A1550" s="6" t="s">
        <v>878</v>
      </c>
      <c r="B1550" s="6">
        <v>0.0</v>
      </c>
      <c r="C1550" s="7"/>
      <c r="D1550" s="7"/>
      <c r="E1550" s="7"/>
      <c r="F1550" s="7"/>
      <c r="G1550" s="7"/>
    </row>
    <row r="1551">
      <c r="A1551" s="6" t="s">
        <v>879</v>
      </c>
      <c r="B1551" s="6">
        <v>0.0</v>
      </c>
      <c r="C1551" s="7"/>
      <c r="D1551" s="7"/>
      <c r="E1551" s="7"/>
      <c r="F1551" s="7"/>
      <c r="G1551" s="7"/>
    </row>
    <row r="1552">
      <c r="A1552" s="6" t="s">
        <v>880</v>
      </c>
      <c r="B1552" s="6">
        <v>0.0</v>
      </c>
      <c r="C1552" s="7"/>
      <c r="D1552" s="7"/>
      <c r="E1552" s="7"/>
      <c r="F1552" s="7"/>
      <c r="G1552" s="7"/>
    </row>
    <row r="1553">
      <c r="A1553" s="6" t="s">
        <v>881</v>
      </c>
      <c r="B1553" s="6">
        <v>0.0</v>
      </c>
      <c r="C1553" s="7"/>
      <c r="D1553" s="7"/>
      <c r="E1553" s="7"/>
      <c r="F1553" s="7"/>
      <c r="G1553" s="7"/>
    </row>
    <row r="1554">
      <c r="A1554" s="6" t="s">
        <v>882</v>
      </c>
      <c r="B1554" s="6">
        <v>63.0</v>
      </c>
      <c r="C1554" s="7"/>
      <c r="D1554" s="7"/>
      <c r="E1554" s="7"/>
      <c r="F1554" s="7"/>
      <c r="G1554" s="7"/>
    </row>
    <row r="1555">
      <c r="A1555" s="6" t="s">
        <v>883</v>
      </c>
      <c r="B1555" s="6">
        <v>59.0</v>
      </c>
      <c r="C1555" s="7"/>
      <c r="D1555" s="7"/>
      <c r="E1555" s="7"/>
      <c r="F1555" s="7"/>
      <c r="G1555" s="7"/>
    </row>
    <row r="1556">
      <c r="A1556" s="6" t="s">
        <v>884</v>
      </c>
      <c r="B1556" s="6">
        <v>20.0</v>
      </c>
      <c r="C1556" s="7"/>
      <c r="D1556" s="7"/>
      <c r="E1556" s="7"/>
      <c r="F1556" s="7"/>
      <c r="G1556" s="7"/>
    </row>
    <row r="1557">
      <c r="A1557" s="6" t="s">
        <v>885</v>
      </c>
      <c r="B1557" s="6">
        <v>32.0</v>
      </c>
      <c r="C1557" s="7"/>
      <c r="D1557" s="7"/>
      <c r="E1557" s="7"/>
      <c r="F1557" s="7"/>
      <c r="G1557" s="7"/>
    </row>
    <row r="1558">
      <c r="A1558" s="6" t="s">
        <v>886</v>
      </c>
      <c r="B1558" s="6">
        <v>0.0</v>
      </c>
      <c r="C1558" s="7"/>
      <c r="D1558" s="7"/>
      <c r="E1558" s="7"/>
      <c r="F1558" s="7"/>
      <c r="G1558" s="7"/>
    </row>
    <row r="1559">
      <c r="A1559" s="6" t="s">
        <v>887</v>
      </c>
      <c r="B1559" s="6">
        <v>39.0</v>
      </c>
      <c r="C1559" s="7"/>
      <c r="D1559" s="7"/>
      <c r="E1559" s="7"/>
      <c r="F1559" s="7"/>
      <c r="G1559" s="7"/>
    </row>
    <row r="1560">
      <c r="A1560" s="6" t="s">
        <v>888</v>
      </c>
      <c r="B1560" s="6">
        <v>50.0</v>
      </c>
      <c r="C1560" s="7"/>
      <c r="D1560" s="7"/>
      <c r="E1560" s="7"/>
      <c r="F1560" s="7"/>
      <c r="G1560" s="7"/>
    </row>
    <row r="1561">
      <c r="A1561" s="6" t="s">
        <v>889</v>
      </c>
      <c r="B1561" s="6">
        <v>80.0</v>
      </c>
      <c r="C1561" s="7"/>
      <c r="D1561" s="7"/>
      <c r="E1561" s="7"/>
      <c r="F1561" s="7"/>
      <c r="G1561" s="7"/>
    </row>
    <row r="1562">
      <c r="A1562" s="6" t="s">
        <v>890</v>
      </c>
      <c r="B1562" s="6">
        <v>81.0</v>
      </c>
      <c r="C1562" s="7"/>
      <c r="D1562" s="7"/>
      <c r="E1562" s="7"/>
      <c r="F1562" s="7"/>
      <c r="G1562" s="7"/>
    </row>
    <row r="1563">
      <c r="A1563" s="6" t="s">
        <v>891</v>
      </c>
      <c r="B1563" s="6">
        <v>14.0</v>
      </c>
      <c r="C1563" s="7"/>
      <c r="D1563" s="7"/>
      <c r="E1563" s="7"/>
      <c r="F1563" s="7"/>
      <c r="G1563" s="7"/>
    </row>
    <row r="1564">
      <c r="A1564" s="6" t="s">
        <v>892</v>
      </c>
      <c r="B1564" s="6">
        <v>0.0</v>
      </c>
      <c r="C1564" s="7"/>
      <c r="D1564" s="7"/>
      <c r="E1564" s="7"/>
      <c r="F1564" s="7"/>
      <c r="G1564" s="7"/>
    </row>
    <row r="1565">
      <c r="A1565" s="6" t="s">
        <v>893</v>
      </c>
      <c r="B1565" s="6">
        <v>36.0</v>
      </c>
      <c r="C1565" s="7"/>
      <c r="D1565" s="7"/>
      <c r="E1565" s="7"/>
      <c r="F1565" s="7"/>
      <c r="G1565" s="7"/>
    </row>
    <row r="1566">
      <c r="A1566" s="6" t="s">
        <v>894</v>
      </c>
      <c r="B1566" s="6">
        <v>6.0</v>
      </c>
      <c r="C1566" s="7"/>
      <c r="D1566" s="7"/>
      <c r="E1566" s="7"/>
      <c r="F1566" s="7"/>
      <c r="G1566" s="7"/>
    </row>
    <row r="1567">
      <c r="A1567" s="6" t="s">
        <v>895</v>
      </c>
      <c r="B1567" s="6">
        <v>1.0</v>
      </c>
      <c r="C1567" s="7"/>
      <c r="D1567" s="7"/>
      <c r="E1567" s="7"/>
      <c r="F1567" s="7"/>
      <c r="G1567" s="7"/>
    </row>
    <row r="1568">
      <c r="A1568" s="6" t="s">
        <v>896</v>
      </c>
      <c r="B1568" s="6">
        <v>36.0</v>
      </c>
      <c r="C1568" s="7"/>
      <c r="D1568" s="7"/>
      <c r="E1568" s="7"/>
      <c r="F1568" s="7"/>
      <c r="G1568" s="7"/>
    </row>
    <row r="1569">
      <c r="A1569" s="6" t="s">
        <v>897</v>
      </c>
      <c r="B1569" s="6">
        <v>0.0</v>
      </c>
      <c r="C1569" s="7"/>
      <c r="D1569" s="7"/>
      <c r="E1569" s="7"/>
      <c r="F1569" s="7"/>
      <c r="G1569" s="7"/>
    </row>
    <row r="1570">
      <c r="A1570" s="6" t="s">
        <v>898</v>
      </c>
      <c r="B1570" s="6">
        <v>86.0</v>
      </c>
      <c r="C1570" s="7"/>
      <c r="D1570" s="7"/>
      <c r="E1570" s="7"/>
      <c r="F1570" s="7"/>
      <c r="G1570" s="7"/>
    </row>
    <row r="1571">
      <c r="A1571" s="6" t="s">
        <v>899</v>
      </c>
      <c r="B1571" s="6">
        <v>38.0</v>
      </c>
      <c r="C1571" s="7"/>
      <c r="D1571" s="7"/>
      <c r="E1571" s="7"/>
      <c r="F1571" s="7"/>
      <c r="G1571" s="7"/>
    </row>
    <row r="1572">
      <c r="A1572" s="6" t="s">
        <v>900</v>
      </c>
      <c r="B1572" s="6">
        <v>79.0</v>
      </c>
      <c r="C1572" s="7"/>
      <c r="D1572" s="7"/>
      <c r="E1572" s="7"/>
      <c r="F1572" s="7"/>
      <c r="G1572" s="7"/>
    </row>
    <row r="1573">
      <c r="A1573" s="6" t="s">
        <v>901</v>
      </c>
      <c r="B1573" s="6">
        <v>0.0</v>
      </c>
      <c r="C1573" s="7"/>
      <c r="D1573" s="7"/>
      <c r="E1573" s="7"/>
      <c r="F1573" s="7"/>
      <c r="G1573" s="7"/>
    </row>
    <row r="1574">
      <c r="A1574" s="6" t="s">
        <v>902</v>
      </c>
      <c r="B1574" s="6">
        <v>0.0</v>
      </c>
      <c r="C1574" s="7"/>
      <c r="D1574" s="7"/>
      <c r="E1574" s="7"/>
      <c r="F1574" s="7"/>
      <c r="G1574" s="7"/>
    </row>
    <row r="1575">
      <c r="A1575" s="6" t="s">
        <v>903</v>
      </c>
      <c r="B1575" s="6">
        <v>22.0</v>
      </c>
      <c r="C1575" s="7"/>
      <c r="D1575" s="7"/>
      <c r="E1575" s="7"/>
      <c r="F1575" s="7"/>
      <c r="G1575" s="7"/>
    </row>
    <row r="1576">
      <c r="A1576" s="6" t="s">
        <v>904</v>
      </c>
      <c r="B1576" s="6">
        <v>0.0</v>
      </c>
      <c r="C1576" s="7"/>
      <c r="D1576" s="7"/>
      <c r="E1576" s="7"/>
      <c r="F1576" s="7"/>
      <c r="G1576" s="7"/>
    </row>
    <row r="1577">
      <c r="A1577" s="6" t="s">
        <v>905</v>
      </c>
      <c r="B1577" s="6">
        <v>0.0</v>
      </c>
      <c r="C1577" s="7"/>
      <c r="D1577" s="7"/>
      <c r="E1577" s="7"/>
      <c r="F1577" s="7"/>
      <c r="G1577" s="7"/>
    </row>
    <row r="1578">
      <c r="A1578" s="6" t="s">
        <v>906</v>
      </c>
      <c r="B1578" s="6">
        <v>72.0</v>
      </c>
      <c r="C1578" s="7"/>
      <c r="D1578" s="7"/>
      <c r="E1578" s="7"/>
      <c r="F1578" s="7"/>
      <c r="G1578" s="7"/>
    </row>
    <row r="1579">
      <c r="A1579" s="6" t="s">
        <v>907</v>
      </c>
      <c r="B1579" s="6">
        <v>0.0</v>
      </c>
      <c r="C1579" s="7"/>
      <c r="D1579" s="7"/>
      <c r="E1579" s="7"/>
      <c r="F1579" s="7"/>
      <c r="G1579" s="7"/>
    </row>
    <row r="1580">
      <c r="A1580" s="6" t="s">
        <v>908</v>
      </c>
      <c r="B1580" s="6">
        <v>0.0</v>
      </c>
      <c r="C1580" s="7"/>
      <c r="D1580" s="7"/>
      <c r="E1580" s="7"/>
      <c r="F1580" s="7"/>
      <c r="G1580" s="7"/>
    </row>
    <row r="1581">
      <c r="A1581" s="6" t="s">
        <v>909</v>
      </c>
      <c r="B1581" s="6">
        <v>22.0</v>
      </c>
      <c r="C1581" s="7"/>
      <c r="D1581" s="7"/>
      <c r="E1581" s="7"/>
      <c r="F1581" s="7"/>
      <c r="G1581" s="7"/>
    </row>
    <row r="1582">
      <c r="A1582" s="6" t="s">
        <v>910</v>
      </c>
      <c r="B1582" s="6">
        <v>0.0</v>
      </c>
      <c r="C1582" s="7"/>
      <c r="D1582" s="7"/>
      <c r="E1582" s="7"/>
      <c r="F1582" s="7"/>
      <c r="G1582" s="7"/>
    </row>
    <row r="1583">
      <c r="A1583" s="6" t="s">
        <v>911</v>
      </c>
      <c r="B1583" s="6">
        <v>0.0</v>
      </c>
      <c r="C1583" s="7"/>
      <c r="D1583" s="7"/>
      <c r="E1583" s="7"/>
      <c r="F1583" s="7"/>
      <c r="G1583" s="7"/>
    </row>
    <row r="1584">
      <c r="A1584" s="6" t="s">
        <v>912</v>
      </c>
      <c r="B1584" s="6">
        <v>60.0</v>
      </c>
      <c r="C1584" s="7"/>
      <c r="D1584" s="7"/>
      <c r="E1584" s="7"/>
      <c r="F1584" s="7"/>
      <c r="G1584" s="7"/>
    </row>
    <row r="1585">
      <c r="A1585" s="6" t="s">
        <v>913</v>
      </c>
      <c r="B1585" s="6">
        <v>18.0</v>
      </c>
      <c r="C1585" s="7"/>
      <c r="D1585" s="7"/>
      <c r="E1585" s="7"/>
      <c r="F1585" s="7"/>
      <c r="G1585" s="7"/>
    </row>
    <row r="1586">
      <c r="A1586" s="6" t="s">
        <v>914</v>
      </c>
      <c r="B1586" s="6">
        <v>94.0</v>
      </c>
      <c r="C1586" s="7"/>
      <c r="D1586" s="7"/>
      <c r="E1586" s="7"/>
      <c r="F1586" s="7"/>
      <c r="G1586" s="7"/>
    </row>
    <row r="1587">
      <c r="A1587" s="6" t="s">
        <v>915</v>
      </c>
      <c r="B1587" s="6">
        <v>14.0</v>
      </c>
      <c r="C1587" s="7"/>
      <c r="D1587" s="7"/>
      <c r="E1587" s="7"/>
      <c r="F1587" s="7"/>
      <c r="G1587" s="7"/>
    </row>
    <row r="1588">
      <c r="A1588" s="6" t="s">
        <v>916</v>
      </c>
      <c r="B1588" s="6">
        <v>0.0</v>
      </c>
      <c r="C1588" s="7"/>
      <c r="D1588" s="7"/>
      <c r="E1588" s="7"/>
      <c r="F1588" s="7"/>
      <c r="G1588" s="7"/>
    </row>
    <row r="1589">
      <c r="A1589" s="6" t="s">
        <v>917</v>
      </c>
      <c r="B1589" s="6">
        <v>0.0</v>
      </c>
      <c r="C1589" s="7"/>
      <c r="D1589" s="7"/>
      <c r="E1589" s="7"/>
      <c r="F1589" s="7"/>
      <c r="G1589" s="7"/>
    </row>
    <row r="1590">
      <c r="A1590" s="6" t="s">
        <v>918</v>
      </c>
      <c r="B1590" s="6">
        <v>42.0</v>
      </c>
      <c r="C1590" s="7"/>
      <c r="D1590" s="7"/>
      <c r="E1590" s="7"/>
      <c r="F1590" s="7"/>
      <c r="G1590" s="7"/>
    </row>
    <row r="1591">
      <c r="A1591" s="6" t="s">
        <v>919</v>
      </c>
      <c r="B1591" s="6">
        <v>0.0</v>
      </c>
      <c r="C1591" s="7"/>
      <c r="D1591" s="7"/>
      <c r="E1591" s="7"/>
      <c r="F1591" s="7"/>
      <c r="G1591" s="7"/>
    </row>
    <row r="1592">
      <c r="A1592" s="6" t="s">
        <v>920</v>
      </c>
      <c r="B1592" s="6">
        <v>78.0</v>
      </c>
      <c r="C1592" s="7"/>
      <c r="D1592" s="7"/>
      <c r="E1592" s="7"/>
      <c r="F1592" s="7"/>
      <c r="G1592" s="7"/>
    </row>
    <row r="1593">
      <c r="A1593" s="6" t="s">
        <v>921</v>
      </c>
      <c r="B1593" s="6">
        <v>40.0</v>
      </c>
      <c r="C1593" s="7"/>
      <c r="D1593" s="7"/>
      <c r="E1593" s="7"/>
      <c r="F1593" s="7"/>
      <c r="G1593" s="7"/>
    </row>
    <row r="1594">
      <c r="A1594" s="6" t="s">
        <v>922</v>
      </c>
      <c r="B1594" s="6">
        <v>3.0</v>
      </c>
      <c r="C1594" s="7"/>
      <c r="D1594" s="7"/>
      <c r="E1594" s="7"/>
      <c r="F1594" s="7"/>
      <c r="G1594" s="7"/>
    </row>
    <row r="1595">
      <c r="A1595" s="6" t="s">
        <v>923</v>
      </c>
      <c r="B1595" s="6">
        <v>26.0</v>
      </c>
      <c r="C1595" s="7"/>
      <c r="D1595" s="7"/>
      <c r="E1595" s="7"/>
      <c r="F1595" s="7"/>
      <c r="G1595" s="7"/>
    </row>
    <row r="1596">
      <c r="A1596" s="6" t="s">
        <v>924</v>
      </c>
      <c r="B1596" s="6">
        <v>48.0</v>
      </c>
      <c r="C1596" s="7"/>
      <c r="D1596" s="7"/>
      <c r="E1596" s="7"/>
      <c r="F1596" s="7"/>
      <c r="G1596" s="7"/>
    </row>
    <row r="1597">
      <c r="A1597" s="6" t="s">
        <v>925</v>
      </c>
      <c r="B1597" s="6" t="s">
        <v>926</v>
      </c>
      <c r="C1597" s="6">
        <v>72.0</v>
      </c>
      <c r="D1597" s="7"/>
      <c r="E1597" s="7"/>
      <c r="F1597" s="7"/>
      <c r="G1597" s="7"/>
    </row>
    <row r="1598">
      <c r="A1598" s="6" t="s">
        <v>927</v>
      </c>
      <c r="B1598" s="6">
        <v>1.0</v>
      </c>
      <c r="C1598" s="7"/>
      <c r="D1598" s="7"/>
      <c r="E1598" s="7"/>
      <c r="F1598" s="7"/>
      <c r="G1598" s="7"/>
    </row>
    <row r="1599">
      <c r="A1599" s="6" t="s">
        <v>928</v>
      </c>
      <c r="B1599" s="6">
        <v>0.0</v>
      </c>
      <c r="C1599" s="7"/>
      <c r="D1599" s="7"/>
      <c r="E1599" s="7"/>
      <c r="F1599" s="7"/>
      <c r="G1599" s="7"/>
    </row>
    <row r="1600">
      <c r="A1600" s="6" t="s">
        <v>929</v>
      </c>
      <c r="B1600" s="6">
        <v>0.0</v>
      </c>
      <c r="C1600" s="7"/>
      <c r="D1600" s="7"/>
      <c r="E1600" s="7"/>
      <c r="F1600" s="7"/>
      <c r="G1600" s="7"/>
    </row>
    <row r="1601">
      <c r="A1601" s="6" t="s">
        <v>930</v>
      </c>
      <c r="B1601" s="6">
        <v>20.0</v>
      </c>
      <c r="C1601" s="7"/>
      <c r="D1601" s="7"/>
      <c r="E1601" s="7"/>
      <c r="F1601" s="7"/>
      <c r="G1601" s="7"/>
    </row>
    <row r="1602">
      <c r="A1602" s="6" t="s">
        <v>931</v>
      </c>
      <c r="B1602" s="6">
        <v>0.0</v>
      </c>
      <c r="C1602" s="7"/>
      <c r="D1602" s="7"/>
      <c r="E1602" s="7"/>
      <c r="F1602" s="7"/>
      <c r="G1602" s="7"/>
    </row>
    <row r="1603">
      <c r="A1603" s="6" t="s">
        <v>932</v>
      </c>
      <c r="B1603" s="6">
        <v>0.0</v>
      </c>
      <c r="C1603" s="7"/>
      <c r="D1603" s="7"/>
      <c r="E1603" s="7"/>
      <c r="F1603" s="7"/>
      <c r="G1603" s="7"/>
    </row>
    <row r="1604">
      <c r="A1604" s="6" t="s">
        <v>933</v>
      </c>
      <c r="B1604" s="6">
        <v>69.0</v>
      </c>
      <c r="C1604" s="7"/>
      <c r="D1604" s="7"/>
      <c r="E1604" s="7"/>
      <c r="F1604" s="7"/>
      <c r="G1604" s="7"/>
    </row>
    <row r="1605">
      <c r="A1605" s="6" t="s">
        <v>864</v>
      </c>
      <c r="B1605" s="6">
        <v>24.0</v>
      </c>
      <c r="C1605" s="7"/>
      <c r="D1605" s="7"/>
      <c r="E1605" s="7"/>
      <c r="F1605" s="7"/>
      <c r="G1605" s="7"/>
    </row>
    <row r="1606">
      <c r="A1606" s="6" t="s">
        <v>865</v>
      </c>
      <c r="B1606" s="6">
        <v>0.0</v>
      </c>
      <c r="C1606" s="7"/>
      <c r="D1606" s="7"/>
      <c r="E1606" s="7"/>
      <c r="F1606" s="7"/>
      <c r="G1606" s="7"/>
    </row>
    <row r="1607">
      <c r="A1607" s="6" t="s">
        <v>866</v>
      </c>
      <c r="B1607" s="6">
        <v>0.0</v>
      </c>
      <c r="C1607" s="7"/>
      <c r="D1607" s="7"/>
      <c r="E1607" s="7"/>
      <c r="F1607" s="7"/>
      <c r="G1607" s="7"/>
    </row>
    <row r="1608">
      <c r="A1608" s="6" t="s">
        <v>867</v>
      </c>
      <c r="B1608" s="6">
        <v>0.0</v>
      </c>
      <c r="C1608" s="7"/>
      <c r="D1608" s="7"/>
      <c r="E1608" s="7"/>
      <c r="F1608" s="7"/>
      <c r="G1608" s="7"/>
    </row>
    <row r="1609">
      <c r="A1609" s="6" t="s">
        <v>868</v>
      </c>
      <c r="B1609" s="6">
        <v>0.0</v>
      </c>
      <c r="C1609" s="7"/>
      <c r="D1609" s="7"/>
      <c r="E1609" s="7"/>
      <c r="F1609" s="7"/>
      <c r="G1609" s="7"/>
    </row>
    <row r="1610">
      <c r="A1610" s="6" t="s">
        <v>869</v>
      </c>
      <c r="B1610" s="6">
        <v>70.0</v>
      </c>
      <c r="C1610" s="7"/>
      <c r="D1610" s="7"/>
      <c r="E1610" s="7"/>
      <c r="F1610" s="7"/>
      <c r="G1610" s="7"/>
    </row>
    <row r="1611">
      <c r="A1611" s="6" t="s">
        <v>870</v>
      </c>
      <c r="B1611" s="6">
        <v>0.0</v>
      </c>
      <c r="C1611" s="7"/>
      <c r="D1611" s="7"/>
      <c r="E1611" s="7"/>
      <c r="F1611" s="7"/>
      <c r="G1611" s="7"/>
    </row>
    <row r="1612">
      <c r="A1612" s="6" t="s">
        <v>871</v>
      </c>
      <c r="B1612" s="6">
        <v>0.0</v>
      </c>
      <c r="C1612" s="7"/>
      <c r="D1612" s="7"/>
      <c r="E1612" s="7"/>
      <c r="F1612" s="7"/>
      <c r="G1612" s="7"/>
    </row>
    <row r="1613">
      <c r="A1613" s="6" t="s">
        <v>872</v>
      </c>
      <c r="B1613" s="6">
        <v>0.0</v>
      </c>
      <c r="C1613" s="7"/>
      <c r="D1613" s="7"/>
      <c r="E1613" s="7"/>
      <c r="F1613" s="7"/>
      <c r="G1613" s="7"/>
    </row>
    <row r="1614">
      <c r="A1614" s="6" t="s">
        <v>873</v>
      </c>
      <c r="B1614" s="6">
        <v>33.0</v>
      </c>
      <c r="C1614" s="7"/>
      <c r="D1614" s="7"/>
      <c r="E1614" s="7"/>
      <c r="F1614" s="7"/>
      <c r="G1614" s="7"/>
    </row>
    <row r="1615">
      <c r="A1615" s="6" t="s">
        <v>874</v>
      </c>
      <c r="B1615" s="6">
        <v>26.0</v>
      </c>
      <c r="C1615" s="7"/>
      <c r="D1615" s="7"/>
      <c r="E1615" s="7"/>
      <c r="F1615" s="7"/>
      <c r="G1615" s="7"/>
    </row>
    <row r="1616">
      <c r="A1616" s="6" t="s">
        <v>875</v>
      </c>
      <c r="B1616" s="6">
        <v>35.0</v>
      </c>
      <c r="C1616" s="7"/>
      <c r="D1616" s="7"/>
      <c r="E1616" s="7"/>
      <c r="F1616" s="7"/>
      <c r="G1616" s="7"/>
    </row>
    <row r="1617">
      <c r="A1617" s="6" t="s">
        <v>876</v>
      </c>
      <c r="B1617" s="6">
        <v>86.0</v>
      </c>
      <c r="C1617" s="7"/>
      <c r="D1617" s="7"/>
      <c r="E1617" s="7"/>
      <c r="F1617" s="7"/>
      <c r="G1617" s="7"/>
    </row>
    <row r="1618">
      <c r="A1618" s="6" t="s">
        <v>877</v>
      </c>
      <c r="B1618" s="6">
        <v>0.0</v>
      </c>
      <c r="C1618" s="7"/>
      <c r="D1618" s="7"/>
      <c r="E1618" s="7"/>
      <c r="F1618" s="7"/>
      <c r="G1618" s="7"/>
    </row>
    <row r="1619">
      <c r="A1619" s="6" t="s">
        <v>878</v>
      </c>
      <c r="B1619" s="6">
        <v>0.0</v>
      </c>
      <c r="C1619" s="7"/>
      <c r="D1619" s="7"/>
      <c r="E1619" s="7"/>
      <c r="F1619" s="7"/>
      <c r="G1619" s="7"/>
    </row>
    <row r="1620">
      <c r="A1620" s="6" t="s">
        <v>879</v>
      </c>
      <c r="B1620" s="6">
        <v>0.0</v>
      </c>
      <c r="C1620" s="7"/>
      <c r="D1620" s="7"/>
      <c r="E1620" s="7"/>
      <c r="F1620" s="7"/>
      <c r="G1620" s="7"/>
    </row>
    <row r="1621">
      <c r="A1621" s="6" t="s">
        <v>880</v>
      </c>
      <c r="B1621" s="6">
        <v>0.0</v>
      </c>
      <c r="C1621" s="7"/>
      <c r="D1621" s="7"/>
      <c r="E1621" s="7"/>
      <c r="F1621" s="7"/>
      <c r="G1621" s="7"/>
    </row>
    <row r="1622">
      <c r="A1622" s="6" t="s">
        <v>881</v>
      </c>
      <c r="B1622" s="6">
        <v>0.0</v>
      </c>
      <c r="C1622" s="7"/>
      <c r="D1622" s="7"/>
      <c r="E1622" s="7"/>
      <c r="F1622" s="7"/>
      <c r="G1622" s="7"/>
    </row>
    <row r="1623">
      <c r="A1623" s="6" t="s">
        <v>882</v>
      </c>
      <c r="B1623" s="6">
        <v>63.0</v>
      </c>
      <c r="C1623" s="7"/>
      <c r="D1623" s="7"/>
      <c r="E1623" s="7"/>
      <c r="F1623" s="7"/>
      <c r="G1623" s="7"/>
    </row>
    <row r="1624">
      <c r="A1624" s="6" t="s">
        <v>883</v>
      </c>
      <c r="B1624" s="6">
        <v>59.0</v>
      </c>
      <c r="C1624" s="7"/>
      <c r="D1624" s="7"/>
      <c r="E1624" s="7"/>
      <c r="F1624" s="7"/>
      <c r="G1624" s="7"/>
    </row>
    <row r="1625">
      <c r="A1625" s="6" t="s">
        <v>884</v>
      </c>
      <c r="B1625" s="6">
        <v>20.0</v>
      </c>
      <c r="C1625" s="7"/>
      <c r="D1625" s="7"/>
      <c r="E1625" s="7"/>
      <c r="F1625" s="7"/>
      <c r="G1625" s="7"/>
    </row>
    <row r="1626">
      <c r="A1626" s="6" t="s">
        <v>885</v>
      </c>
      <c r="B1626" s="6">
        <v>32.0</v>
      </c>
      <c r="C1626" s="7"/>
      <c r="D1626" s="7"/>
      <c r="E1626" s="7"/>
      <c r="F1626" s="7"/>
      <c r="G1626" s="7"/>
    </row>
    <row r="1627">
      <c r="A1627" s="6" t="s">
        <v>886</v>
      </c>
      <c r="B1627" s="6">
        <v>0.0</v>
      </c>
      <c r="C1627" s="7"/>
      <c r="D1627" s="7"/>
      <c r="E1627" s="7"/>
      <c r="F1627" s="7"/>
      <c r="G1627" s="7"/>
    </row>
    <row r="1628">
      <c r="A1628" s="6" t="s">
        <v>887</v>
      </c>
      <c r="B1628" s="6">
        <v>39.0</v>
      </c>
      <c r="C1628" s="7"/>
      <c r="D1628" s="7"/>
      <c r="E1628" s="7"/>
      <c r="F1628" s="7"/>
      <c r="G1628" s="7"/>
    </row>
    <row r="1629">
      <c r="A1629" s="6" t="s">
        <v>888</v>
      </c>
      <c r="B1629" s="6">
        <v>50.0</v>
      </c>
      <c r="C1629" s="7"/>
      <c r="D1629" s="7"/>
      <c r="E1629" s="7"/>
      <c r="F1629" s="7"/>
      <c r="G1629" s="7"/>
    </row>
    <row r="1630">
      <c r="A1630" s="6" t="s">
        <v>889</v>
      </c>
      <c r="B1630" s="6">
        <v>80.0</v>
      </c>
      <c r="C1630" s="7"/>
      <c r="D1630" s="7"/>
      <c r="E1630" s="7"/>
      <c r="F1630" s="7"/>
      <c r="G1630" s="7"/>
    </row>
    <row r="1631">
      <c r="A1631" s="6" t="s">
        <v>890</v>
      </c>
      <c r="B1631" s="6">
        <v>81.0</v>
      </c>
      <c r="C1631" s="7"/>
      <c r="D1631" s="7"/>
      <c r="E1631" s="7"/>
      <c r="F1631" s="7"/>
      <c r="G1631" s="7"/>
    </row>
    <row r="1632">
      <c r="A1632" s="6" t="s">
        <v>891</v>
      </c>
      <c r="B1632" s="6">
        <v>14.0</v>
      </c>
      <c r="C1632" s="7"/>
      <c r="D1632" s="7"/>
      <c r="E1632" s="7"/>
      <c r="F1632" s="7"/>
      <c r="G1632" s="7"/>
    </row>
    <row r="1633">
      <c r="A1633" s="6" t="s">
        <v>892</v>
      </c>
      <c r="B1633" s="6">
        <v>0.0</v>
      </c>
      <c r="C1633" s="7"/>
      <c r="D1633" s="7"/>
      <c r="E1633" s="7"/>
      <c r="F1633" s="7"/>
      <c r="G1633" s="7"/>
    </row>
    <row r="1634">
      <c r="A1634" s="6" t="s">
        <v>893</v>
      </c>
      <c r="B1634" s="6">
        <v>36.0</v>
      </c>
      <c r="C1634" s="7"/>
      <c r="D1634" s="7"/>
      <c r="E1634" s="7"/>
      <c r="F1634" s="7"/>
      <c r="G1634" s="7"/>
    </row>
    <row r="1635">
      <c r="A1635" s="6" t="s">
        <v>894</v>
      </c>
      <c r="B1635" s="6">
        <v>6.0</v>
      </c>
      <c r="C1635" s="7"/>
      <c r="D1635" s="7"/>
      <c r="E1635" s="7"/>
      <c r="F1635" s="7"/>
      <c r="G1635" s="7"/>
    </row>
    <row r="1636">
      <c r="A1636" s="6" t="s">
        <v>895</v>
      </c>
      <c r="B1636" s="6">
        <v>1.0</v>
      </c>
      <c r="C1636" s="7"/>
      <c r="D1636" s="7"/>
      <c r="E1636" s="7"/>
      <c r="F1636" s="7"/>
      <c r="G1636" s="7"/>
    </row>
    <row r="1637">
      <c r="A1637" s="6" t="s">
        <v>896</v>
      </c>
      <c r="B1637" s="6">
        <v>36.0</v>
      </c>
      <c r="C1637" s="7"/>
      <c r="D1637" s="7"/>
      <c r="E1637" s="7"/>
      <c r="F1637" s="7"/>
      <c r="G1637" s="7"/>
    </row>
    <row r="1638">
      <c r="A1638" s="6" t="s">
        <v>897</v>
      </c>
      <c r="B1638" s="6">
        <v>0.0</v>
      </c>
      <c r="C1638" s="7"/>
      <c r="D1638" s="7"/>
      <c r="E1638" s="7"/>
      <c r="F1638" s="7"/>
      <c r="G1638" s="7"/>
    </row>
    <row r="1639">
      <c r="A1639" s="6" t="s">
        <v>898</v>
      </c>
      <c r="B1639" s="6">
        <v>86.0</v>
      </c>
      <c r="C1639" s="7"/>
      <c r="D1639" s="7"/>
      <c r="E1639" s="7"/>
      <c r="F1639" s="7"/>
      <c r="G1639" s="7"/>
    </row>
    <row r="1640">
      <c r="A1640" s="6" t="s">
        <v>899</v>
      </c>
      <c r="B1640" s="6">
        <v>38.0</v>
      </c>
      <c r="C1640" s="7"/>
      <c r="D1640" s="7"/>
      <c r="E1640" s="7"/>
      <c r="F1640" s="7"/>
      <c r="G1640" s="7"/>
    </row>
    <row r="1641">
      <c r="A1641" s="6" t="s">
        <v>900</v>
      </c>
      <c r="B1641" s="6">
        <v>79.0</v>
      </c>
      <c r="C1641" s="7"/>
      <c r="D1641" s="7"/>
      <c r="E1641" s="7"/>
      <c r="F1641" s="7"/>
      <c r="G1641" s="7"/>
    </row>
    <row r="1642">
      <c r="A1642" s="6" t="s">
        <v>901</v>
      </c>
      <c r="B1642" s="6">
        <v>0.0</v>
      </c>
      <c r="C1642" s="7"/>
      <c r="D1642" s="7"/>
      <c r="E1642" s="7"/>
      <c r="F1642" s="7"/>
      <c r="G1642" s="7"/>
    </row>
    <row r="1643">
      <c r="A1643" s="6" t="s">
        <v>902</v>
      </c>
      <c r="B1643" s="6">
        <v>0.0</v>
      </c>
      <c r="C1643" s="7"/>
      <c r="D1643" s="7"/>
      <c r="E1643" s="7"/>
      <c r="F1643" s="7"/>
      <c r="G1643" s="7"/>
    </row>
    <row r="1644">
      <c r="A1644" s="6" t="s">
        <v>903</v>
      </c>
      <c r="B1644" s="6">
        <v>22.0</v>
      </c>
      <c r="C1644" s="7"/>
      <c r="D1644" s="7"/>
      <c r="E1644" s="7"/>
      <c r="F1644" s="7"/>
      <c r="G1644" s="7"/>
    </row>
    <row r="1645">
      <c r="A1645" s="6" t="s">
        <v>904</v>
      </c>
      <c r="B1645" s="6">
        <v>0.0</v>
      </c>
      <c r="C1645" s="7"/>
      <c r="D1645" s="7"/>
      <c r="E1645" s="7"/>
      <c r="F1645" s="7"/>
      <c r="G1645" s="7"/>
    </row>
    <row r="1646">
      <c r="A1646" s="6" t="s">
        <v>905</v>
      </c>
      <c r="B1646" s="6">
        <v>0.0</v>
      </c>
      <c r="C1646" s="7"/>
      <c r="D1646" s="7"/>
      <c r="E1646" s="7"/>
      <c r="F1646" s="7"/>
      <c r="G1646" s="7"/>
    </row>
    <row r="1647">
      <c r="A1647" s="6" t="s">
        <v>906</v>
      </c>
      <c r="B1647" s="6">
        <v>72.0</v>
      </c>
      <c r="C1647" s="7"/>
      <c r="D1647" s="7"/>
      <c r="E1647" s="7"/>
      <c r="F1647" s="7"/>
      <c r="G1647" s="7"/>
    </row>
    <row r="1648">
      <c r="A1648" s="6" t="s">
        <v>907</v>
      </c>
      <c r="B1648" s="6">
        <v>0.0</v>
      </c>
      <c r="C1648" s="7"/>
      <c r="D1648" s="7"/>
      <c r="E1648" s="7"/>
      <c r="F1648" s="7"/>
      <c r="G1648" s="7"/>
    </row>
    <row r="1649">
      <c r="A1649" s="6" t="s">
        <v>908</v>
      </c>
      <c r="B1649" s="6">
        <v>0.0</v>
      </c>
      <c r="C1649" s="7"/>
      <c r="D1649" s="7"/>
      <c r="E1649" s="7"/>
      <c r="F1649" s="7"/>
      <c r="G1649" s="7"/>
    </row>
    <row r="1650">
      <c r="A1650" s="6" t="s">
        <v>909</v>
      </c>
      <c r="B1650" s="6">
        <v>22.0</v>
      </c>
      <c r="C1650" s="7"/>
      <c r="D1650" s="7"/>
      <c r="E1650" s="7"/>
      <c r="F1650" s="7"/>
      <c r="G1650" s="7"/>
    </row>
    <row r="1651">
      <c r="A1651" s="6" t="s">
        <v>910</v>
      </c>
      <c r="B1651" s="6">
        <v>0.0</v>
      </c>
      <c r="C1651" s="7"/>
      <c r="D1651" s="7"/>
      <c r="E1651" s="7"/>
      <c r="F1651" s="7"/>
      <c r="G1651" s="7"/>
    </row>
    <row r="1652">
      <c r="A1652" s="6" t="s">
        <v>911</v>
      </c>
      <c r="B1652" s="6">
        <v>0.0</v>
      </c>
      <c r="C1652" s="7"/>
      <c r="D1652" s="7"/>
      <c r="E1652" s="7"/>
      <c r="F1652" s="7"/>
      <c r="G1652" s="7"/>
    </row>
    <row r="1653">
      <c r="A1653" s="6" t="s">
        <v>912</v>
      </c>
      <c r="B1653" s="6">
        <v>60.0</v>
      </c>
      <c r="C1653" s="7"/>
      <c r="D1653" s="7"/>
      <c r="E1653" s="7"/>
      <c r="F1653" s="7"/>
      <c r="G1653" s="7"/>
    </row>
    <row r="1654">
      <c r="A1654" s="6" t="s">
        <v>913</v>
      </c>
      <c r="B1654" s="6">
        <v>18.0</v>
      </c>
      <c r="C1654" s="7"/>
      <c r="D1654" s="7"/>
      <c r="E1654" s="7"/>
      <c r="F1654" s="7"/>
      <c r="G1654" s="7"/>
    </row>
    <row r="1655">
      <c r="A1655" s="6" t="s">
        <v>914</v>
      </c>
      <c r="B1655" s="6">
        <v>94.0</v>
      </c>
      <c r="C1655" s="7"/>
      <c r="D1655" s="7"/>
      <c r="E1655" s="7"/>
      <c r="F1655" s="7"/>
      <c r="G1655" s="7"/>
    </row>
    <row r="1656">
      <c r="A1656" s="6" t="s">
        <v>915</v>
      </c>
      <c r="B1656" s="6">
        <v>14.0</v>
      </c>
      <c r="C1656" s="7"/>
      <c r="D1656" s="7"/>
      <c r="E1656" s="7"/>
      <c r="F1656" s="7"/>
      <c r="G1656" s="7"/>
    </row>
    <row r="1657">
      <c r="A1657" s="6" t="s">
        <v>916</v>
      </c>
      <c r="B1657" s="6">
        <v>0.0</v>
      </c>
      <c r="C1657" s="7"/>
      <c r="D1657" s="7"/>
      <c r="E1657" s="7"/>
      <c r="F1657" s="7"/>
      <c r="G1657" s="7"/>
    </row>
    <row r="1658">
      <c r="A1658" s="6" t="s">
        <v>917</v>
      </c>
      <c r="B1658" s="6">
        <v>0.0</v>
      </c>
      <c r="C1658" s="7"/>
      <c r="D1658" s="7"/>
      <c r="E1658" s="7"/>
      <c r="F1658" s="7"/>
      <c r="G1658" s="7"/>
    </row>
    <row r="1659">
      <c r="A1659" s="6" t="s">
        <v>918</v>
      </c>
      <c r="B1659" s="6">
        <v>42.0</v>
      </c>
      <c r="C1659" s="7"/>
      <c r="D1659" s="7"/>
      <c r="E1659" s="7"/>
      <c r="F1659" s="7"/>
      <c r="G1659" s="7"/>
    </row>
    <row r="1660">
      <c r="A1660" s="6" t="s">
        <v>919</v>
      </c>
      <c r="B1660" s="6">
        <v>0.0</v>
      </c>
      <c r="C1660" s="7"/>
      <c r="D1660" s="7"/>
      <c r="E1660" s="7"/>
      <c r="F1660" s="7"/>
      <c r="G1660" s="7"/>
    </row>
    <row r="1661">
      <c r="A1661" s="6" t="s">
        <v>920</v>
      </c>
      <c r="B1661" s="6">
        <v>78.0</v>
      </c>
      <c r="C1661" s="7"/>
      <c r="D1661" s="7"/>
      <c r="E1661" s="7"/>
      <c r="F1661" s="7"/>
      <c r="G1661" s="7"/>
    </row>
    <row r="1662">
      <c r="A1662" s="6" t="s">
        <v>921</v>
      </c>
      <c r="B1662" s="6">
        <v>40.0</v>
      </c>
      <c r="C1662" s="7"/>
      <c r="D1662" s="7"/>
      <c r="E1662" s="7"/>
      <c r="F1662" s="7"/>
      <c r="G1662" s="7"/>
    </row>
    <row r="1663">
      <c r="A1663" s="6" t="s">
        <v>922</v>
      </c>
      <c r="B1663" s="6">
        <v>3.0</v>
      </c>
      <c r="C1663" s="7"/>
      <c r="D1663" s="7"/>
      <c r="E1663" s="7"/>
      <c r="F1663" s="7"/>
      <c r="G1663" s="7"/>
    </row>
    <row r="1664">
      <c r="A1664" s="6" t="s">
        <v>923</v>
      </c>
      <c r="B1664" s="6">
        <v>26.0</v>
      </c>
      <c r="C1664" s="7"/>
      <c r="D1664" s="7"/>
      <c r="E1664" s="7"/>
      <c r="F1664" s="7"/>
      <c r="G1664" s="7"/>
    </row>
    <row r="1665">
      <c r="A1665" s="6" t="s">
        <v>924</v>
      </c>
      <c r="B1665" s="6">
        <v>48.0</v>
      </c>
      <c r="C1665" s="7"/>
      <c r="D1665" s="7"/>
      <c r="E1665" s="7"/>
      <c r="F1665" s="7"/>
      <c r="G1665" s="7"/>
    </row>
    <row r="1666">
      <c r="A1666" s="6" t="s">
        <v>925</v>
      </c>
      <c r="B1666" s="6" t="s">
        <v>926</v>
      </c>
      <c r="C1666" s="6">
        <v>72.0</v>
      </c>
      <c r="D1666" s="7"/>
      <c r="E1666" s="7"/>
      <c r="F1666" s="7"/>
      <c r="G1666" s="7"/>
    </row>
    <row r="1667">
      <c r="A1667" s="6" t="s">
        <v>927</v>
      </c>
      <c r="B1667" s="6">
        <v>1.0</v>
      </c>
      <c r="C1667" s="7"/>
      <c r="D1667" s="7"/>
      <c r="E1667" s="7"/>
      <c r="F1667" s="7"/>
      <c r="G1667" s="7"/>
    </row>
    <row r="1668">
      <c r="A1668" s="6" t="s">
        <v>928</v>
      </c>
      <c r="B1668" s="6">
        <v>0.0</v>
      </c>
      <c r="C1668" s="7"/>
      <c r="D1668" s="7"/>
      <c r="E1668" s="7"/>
      <c r="F1668" s="7"/>
      <c r="G1668" s="7"/>
    </row>
    <row r="1669">
      <c r="A1669" s="6" t="s">
        <v>929</v>
      </c>
      <c r="B1669" s="6">
        <v>0.0</v>
      </c>
      <c r="C1669" s="7"/>
      <c r="D1669" s="7"/>
      <c r="E1669" s="7"/>
      <c r="F1669" s="7"/>
      <c r="G1669" s="7"/>
    </row>
    <row r="1670">
      <c r="A1670" s="6" t="s">
        <v>930</v>
      </c>
      <c r="B1670" s="6">
        <v>20.0</v>
      </c>
      <c r="C1670" s="7"/>
      <c r="D1670" s="7"/>
      <c r="E1670" s="7"/>
      <c r="F1670" s="7"/>
      <c r="G1670" s="7"/>
    </row>
    <row r="1671">
      <c r="A1671" s="6" t="s">
        <v>931</v>
      </c>
      <c r="B1671" s="6">
        <v>0.0</v>
      </c>
      <c r="C1671" s="7"/>
      <c r="D1671" s="7"/>
      <c r="E1671" s="7"/>
      <c r="F1671" s="7"/>
      <c r="G1671" s="7"/>
    </row>
    <row r="1672">
      <c r="A1672" s="6" t="s">
        <v>932</v>
      </c>
      <c r="B1672" s="6">
        <v>0.0</v>
      </c>
      <c r="C1672" s="7"/>
      <c r="D1672" s="7"/>
      <c r="E1672" s="7"/>
      <c r="F1672" s="7"/>
      <c r="G1672" s="7"/>
    </row>
    <row r="1673">
      <c r="A1673" s="6" t="s">
        <v>933</v>
      </c>
      <c r="B1673" s="6">
        <v>69.0</v>
      </c>
      <c r="C1673" s="7"/>
      <c r="D1673" s="7"/>
      <c r="E1673" s="7"/>
      <c r="F1673" s="7"/>
      <c r="G1673" s="7"/>
    </row>
    <row r="1674">
      <c r="A1674" s="6" t="s">
        <v>934</v>
      </c>
      <c r="B1674" s="6">
        <v>23.0</v>
      </c>
      <c r="C1674" s="7"/>
      <c r="D1674" s="7"/>
      <c r="E1674" s="7"/>
      <c r="F1674" s="7"/>
      <c r="G1674" s="7"/>
    </row>
    <row r="1675">
      <c r="A1675" s="6" t="s">
        <v>935</v>
      </c>
      <c r="B1675" s="6">
        <v>96.0</v>
      </c>
      <c r="C1675" s="7"/>
      <c r="D1675" s="7"/>
      <c r="E1675" s="7"/>
      <c r="F1675" s="7"/>
      <c r="G1675" s="7"/>
    </row>
    <row r="1676">
      <c r="A1676" s="6" t="s">
        <v>936</v>
      </c>
      <c r="B1676" s="6">
        <v>93.0</v>
      </c>
      <c r="C1676" s="7"/>
      <c r="D1676" s="7"/>
      <c r="E1676" s="7"/>
      <c r="F1676" s="7"/>
      <c r="G1676" s="7"/>
    </row>
    <row r="1677">
      <c r="A1677" s="6" t="s">
        <v>937</v>
      </c>
      <c r="B1677" s="6">
        <v>40.0</v>
      </c>
      <c r="C1677" s="7"/>
      <c r="D1677" s="7"/>
      <c r="E1677" s="7"/>
      <c r="F1677" s="7"/>
      <c r="G1677" s="7"/>
    </row>
    <row r="1678">
      <c r="A1678" s="6" t="s">
        <v>938</v>
      </c>
      <c r="B1678" s="6">
        <v>39.0</v>
      </c>
      <c r="C1678" s="7"/>
      <c r="D1678" s="7"/>
      <c r="E1678" s="7"/>
      <c r="F1678" s="7"/>
      <c r="G1678" s="7"/>
    </row>
    <row r="1679">
      <c r="A1679" s="6" t="s">
        <v>939</v>
      </c>
      <c r="B1679" s="6">
        <v>0.0</v>
      </c>
      <c r="C1679" s="7"/>
      <c r="D1679" s="7"/>
      <c r="E1679" s="7"/>
      <c r="F1679" s="7"/>
      <c r="G1679" s="7"/>
    </row>
    <row r="1680">
      <c r="A1680" s="6" t="s">
        <v>940</v>
      </c>
      <c r="B1680" s="6">
        <v>0.0</v>
      </c>
      <c r="C1680" s="7"/>
      <c r="D1680" s="7"/>
      <c r="E1680" s="7"/>
      <c r="F1680" s="7"/>
      <c r="G1680" s="7"/>
    </row>
    <row r="1681">
      <c r="A1681" s="6" t="s">
        <v>941</v>
      </c>
      <c r="B1681" s="6">
        <v>0.0</v>
      </c>
      <c r="C1681" s="7"/>
      <c r="D1681" s="7"/>
      <c r="E1681" s="7"/>
      <c r="F1681" s="7"/>
      <c r="G1681" s="7"/>
    </row>
    <row r="1682">
      <c r="A1682" s="6" t="s">
        <v>942</v>
      </c>
      <c r="B1682" s="6">
        <v>0.0</v>
      </c>
      <c r="C1682" s="7"/>
      <c r="D1682" s="7"/>
      <c r="E1682" s="7"/>
      <c r="F1682" s="7"/>
      <c r="G1682" s="7"/>
    </row>
    <row r="1683">
      <c r="A1683" s="6" t="s">
        <v>943</v>
      </c>
      <c r="B1683" s="6">
        <v>78.0</v>
      </c>
      <c r="C1683" s="7"/>
      <c r="D1683" s="7"/>
      <c r="E1683" s="7"/>
      <c r="F1683" s="7"/>
      <c r="G1683" s="7"/>
    </row>
    <row r="1684">
      <c r="A1684" s="6" t="s">
        <v>944</v>
      </c>
      <c r="B1684" s="6">
        <v>0.0</v>
      </c>
      <c r="C1684" s="7"/>
      <c r="D1684" s="7"/>
      <c r="E1684" s="7"/>
      <c r="F1684" s="7"/>
      <c r="G1684" s="7"/>
    </row>
    <row r="1685">
      <c r="A1685" s="6" t="s">
        <v>945</v>
      </c>
      <c r="B1685" s="6">
        <v>0.0</v>
      </c>
      <c r="C1685" s="7"/>
      <c r="D1685" s="7"/>
      <c r="E1685" s="7"/>
      <c r="F1685" s="7"/>
      <c r="G1685" s="7"/>
    </row>
    <row r="1686">
      <c r="A1686" s="6" t="s">
        <v>946</v>
      </c>
      <c r="B1686" s="6">
        <v>0.0</v>
      </c>
      <c r="C1686" s="7"/>
      <c r="D1686" s="7"/>
      <c r="E1686" s="7"/>
      <c r="F1686" s="7"/>
      <c r="G1686" s="7"/>
    </row>
    <row r="1687">
      <c r="A1687" s="6" t="s">
        <v>947</v>
      </c>
      <c r="B1687" s="6">
        <v>0.0</v>
      </c>
      <c r="C1687" s="7"/>
      <c r="D1687" s="7"/>
      <c r="E1687" s="7"/>
      <c r="F1687" s="7"/>
      <c r="G1687" s="7"/>
    </row>
    <row r="1688">
      <c r="A1688" s="6" t="s">
        <v>948</v>
      </c>
      <c r="B1688" s="6">
        <v>0.0</v>
      </c>
      <c r="C1688" s="7"/>
      <c r="D1688" s="7"/>
      <c r="E1688" s="7"/>
      <c r="F1688" s="7"/>
      <c r="G1688" s="7"/>
    </row>
    <row r="1689">
      <c r="A1689" s="6" t="s">
        <v>949</v>
      </c>
      <c r="B1689" s="6">
        <v>0.0</v>
      </c>
      <c r="C1689" s="7"/>
      <c r="D1689" s="7"/>
      <c r="E1689" s="7"/>
      <c r="F1689" s="7"/>
      <c r="G1689" s="7"/>
    </row>
    <row r="1690">
      <c r="A1690" s="6" t="s">
        <v>950</v>
      </c>
      <c r="B1690" s="6">
        <v>92.0</v>
      </c>
      <c r="C1690" s="7"/>
      <c r="D1690" s="7"/>
      <c r="E1690" s="7"/>
      <c r="F1690" s="7"/>
      <c r="G1690" s="7"/>
    </row>
    <row r="1691">
      <c r="A1691" s="6" t="s">
        <v>951</v>
      </c>
      <c r="B1691" s="6">
        <v>0.0</v>
      </c>
      <c r="C1691" s="7"/>
      <c r="D1691" s="7"/>
      <c r="E1691" s="7"/>
      <c r="F1691" s="7"/>
      <c r="G1691" s="7"/>
    </row>
    <row r="1692">
      <c r="A1692" s="6" t="s">
        <v>952</v>
      </c>
      <c r="B1692" s="6">
        <v>80.0</v>
      </c>
      <c r="C1692" s="7"/>
      <c r="D1692" s="7"/>
      <c r="E1692" s="7"/>
      <c r="F1692" s="7"/>
      <c r="G1692" s="7"/>
    </row>
    <row r="1693">
      <c r="A1693" s="6" t="s">
        <v>953</v>
      </c>
      <c r="B1693" s="6">
        <v>0.0</v>
      </c>
      <c r="C1693" s="7"/>
      <c r="D1693" s="7"/>
      <c r="E1693" s="7"/>
      <c r="F1693" s="7"/>
      <c r="G1693" s="7"/>
    </row>
    <row r="1694">
      <c r="A1694" s="6" t="s">
        <v>954</v>
      </c>
      <c r="B1694" s="6">
        <v>0.0</v>
      </c>
      <c r="C1694" s="7"/>
      <c r="D1694" s="7"/>
      <c r="E1694" s="7"/>
      <c r="F1694" s="7"/>
      <c r="G1694" s="7"/>
    </row>
    <row r="1695">
      <c r="A1695" s="6" t="s">
        <v>955</v>
      </c>
      <c r="B1695" s="6">
        <v>79.0</v>
      </c>
      <c r="C1695" s="7"/>
      <c r="D1695" s="7"/>
      <c r="E1695" s="7"/>
      <c r="F1695" s="7"/>
      <c r="G1695" s="7"/>
    </row>
    <row r="1696">
      <c r="A1696" s="6" t="s">
        <v>956</v>
      </c>
      <c r="B1696" s="6">
        <v>0.0</v>
      </c>
      <c r="C1696" s="7"/>
      <c r="D1696" s="7"/>
      <c r="E1696" s="7"/>
      <c r="F1696" s="7"/>
      <c r="G1696" s="7"/>
    </row>
    <row r="1697">
      <c r="A1697" s="6" t="s">
        <v>957</v>
      </c>
      <c r="B1697" s="6">
        <v>0.0</v>
      </c>
      <c r="C1697" s="7"/>
      <c r="D1697" s="7"/>
      <c r="E1697" s="7"/>
      <c r="F1697" s="7"/>
      <c r="G1697" s="7"/>
    </row>
    <row r="1698">
      <c r="A1698" s="6" t="s">
        <v>958</v>
      </c>
      <c r="B1698" s="6">
        <v>0.0</v>
      </c>
      <c r="C1698" s="7"/>
      <c r="D1698" s="7"/>
      <c r="E1698" s="7"/>
      <c r="F1698" s="7"/>
      <c r="G1698" s="7"/>
    </row>
    <row r="1699">
      <c r="A1699" s="6" t="s">
        <v>959</v>
      </c>
      <c r="B1699" s="6">
        <v>0.0</v>
      </c>
      <c r="C1699" s="7"/>
      <c r="D1699" s="7"/>
      <c r="E1699" s="7"/>
      <c r="F1699" s="7"/>
      <c r="G1699" s="7"/>
    </row>
    <row r="1700">
      <c r="A1700" s="6" t="s">
        <v>960</v>
      </c>
      <c r="B1700" s="6">
        <v>0.0</v>
      </c>
      <c r="C1700" s="7"/>
      <c r="D1700" s="7"/>
      <c r="E1700" s="7"/>
      <c r="F1700" s="7"/>
      <c r="G1700" s="7"/>
    </row>
    <row r="1701">
      <c r="A1701" s="6" t="s">
        <v>961</v>
      </c>
      <c r="B1701" s="6">
        <v>0.0</v>
      </c>
      <c r="C1701" s="7"/>
      <c r="D1701" s="7"/>
      <c r="E1701" s="7"/>
      <c r="F1701" s="7"/>
      <c r="G1701" s="7"/>
    </row>
    <row r="1702">
      <c r="A1702" s="6" t="s">
        <v>962</v>
      </c>
      <c r="B1702" s="6">
        <v>0.0</v>
      </c>
      <c r="C1702" s="7"/>
      <c r="D1702" s="7"/>
      <c r="E1702" s="7"/>
      <c r="F1702" s="7"/>
      <c r="G1702" s="7"/>
    </row>
    <row r="1703">
      <c r="A1703" s="6" t="s">
        <v>963</v>
      </c>
      <c r="B1703" s="6">
        <v>32.0</v>
      </c>
      <c r="C1703" s="7"/>
      <c r="D1703" s="7"/>
      <c r="E1703" s="7"/>
      <c r="F1703" s="7"/>
      <c r="G1703" s="7"/>
    </row>
    <row r="1704">
      <c r="A1704" s="6" t="s">
        <v>964</v>
      </c>
      <c r="B1704" s="6">
        <v>0.0</v>
      </c>
      <c r="C1704" s="7"/>
      <c r="D1704" s="7"/>
      <c r="E1704" s="7"/>
      <c r="F1704" s="7"/>
      <c r="G1704" s="7"/>
    </row>
    <row r="1705">
      <c r="A1705" s="6" t="s">
        <v>965</v>
      </c>
      <c r="B1705" s="6">
        <v>96.0</v>
      </c>
      <c r="C1705" s="7"/>
      <c r="D1705" s="7"/>
      <c r="E1705" s="7"/>
      <c r="F1705" s="7"/>
      <c r="G1705" s="7"/>
    </row>
    <row r="1706">
      <c r="A1706" s="6" t="s">
        <v>966</v>
      </c>
      <c r="B1706" s="6" t="s">
        <v>967</v>
      </c>
      <c r="C1706" s="6" t="s">
        <v>968</v>
      </c>
      <c r="D1706" s="7"/>
      <c r="E1706" s="7"/>
      <c r="F1706" s="7"/>
      <c r="G1706" s="7"/>
    </row>
    <row r="1707">
      <c r="A1707" s="6" t="s">
        <v>969</v>
      </c>
      <c r="B1707" s="6">
        <v>0.0</v>
      </c>
      <c r="C1707" s="7"/>
      <c r="D1707" s="7"/>
      <c r="E1707" s="7"/>
      <c r="F1707" s="7"/>
      <c r="G1707" s="7"/>
    </row>
    <row r="1708">
      <c r="A1708" s="6" t="s">
        <v>970</v>
      </c>
      <c r="B1708" s="7"/>
      <c r="C1708" s="7"/>
      <c r="D1708" s="7"/>
      <c r="E1708" s="7"/>
      <c r="F1708" s="7"/>
      <c r="G1708" s="7"/>
    </row>
    <row r="1709">
      <c r="A1709" s="6" t="s">
        <v>971</v>
      </c>
      <c r="B1709" s="6">
        <v>0.0</v>
      </c>
      <c r="C1709" s="7"/>
      <c r="D1709" s="7"/>
      <c r="E1709" s="7"/>
      <c r="F1709" s="7"/>
      <c r="G1709" s="7"/>
    </row>
    <row r="1710">
      <c r="A1710" s="6" t="s">
        <v>972</v>
      </c>
      <c r="B1710" s="6">
        <v>0.0</v>
      </c>
      <c r="C1710" s="7"/>
      <c r="D1710" s="7"/>
      <c r="E1710" s="7"/>
      <c r="F1710" s="7"/>
      <c r="G1710" s="7"/>
    </row>
    <row r="1711">
      <c r="A1711" s="6" t="s">
        <v>973</v>
      </c>
      <c r="B1711" s="6">
        <v>0.0</v>
      </c>
      <c r="C1711" s="7"/>
      <c r="D1711" s="7"/>
      <c r="E1711" s="7"/>
      <c r="F1711" s="7"/>
      <c r="G1711" s="7"/>
    </row>
    <row r="1712">
      <c r="A1712" s="6" t="s">
        <v>974</v>
      </c>
      <c r="B1712" s="6">
        <v>0.0</v>
      </c>
      <c r="C1712" s="7"/>
      <c r="D1712" s="7"/>
      <c r="E1712" s="7"/>
      <c r="F1712" s="7"/>
      <c r="G1712" s="7"/>
    </row>
    <row r="1713">
      <c r="A1713" s="6" t="s">
        <v>975</v>
      </c>
      <c r="B1713" s="6">
        <v>0.0</v>
      </c>
      <c r="C1713" s="7"/>
      <c r="D1713" s="7"/>
      <c r="E1713" s="7"/>
      <c r="F1713" s="7"/>
      <c r="G1713" s="7"/>
    </row>
    <row r="1714">
      <c r="A1714" s="6" t="s">
        <v>976</v>
      </c>
      <c r="B1714" s="6">
        <v>0.0</v>
      </c>
      <c r="C1714" s="7"/>
      <c r="D1714" s="7"/>
      <c r="E1714" s="7"/>
      <c r="F1714" s="7"/>
      <c r="G1714" s="7"/>
    </row>
    <row r="1715">
      <c r="A1715" s="6" t="s">
        <v>977</v>
      </c>
      <c r="B1715" s="6">
        <v>81.0</v>
      </c>
      <c r="C1715" s="7"/>
      <c r="D1715" s="7"/>
      <c r="E1715" s="7"/>
      <c r="F1715" s="7"/>
      <c r="G1715" s="7"/>
    </row>
    <row r="1716">
      <c r="A1716" s="6" t="s">
        <v>978</v>
      </c>
      <c r="B1716" s="6">
        <v>0.0</v>
      </c>
      <c r="C1716" s="7"/>
      <c r="D1716" s="7"/>
      <c r="E1716" s="7"/>
      <c r="F1716" s="7"/>
      <c r="G1716" s="7"/>
    </row>
    <row r="1717">
      <c r="A1717" s="6" t="s">
        <v>979</v>
      </c>
      <c r="B1717" s="6">
        <v>0.0</v>
      </c>
      <c r="C1717" s="7"/>
      <c r="D1717" s="7"/>
      <c r="E1717" s="7"/>
      <c r="F1717" s="7"/>
      <c r="G1717" s="7"/>
    </row>
    <row r="1718">
      <c r="A1718" s="6" t="s">
        <v>980</v>
      </c>
      <c r="B1718" s="6" t="s">
        <v>981</v>
      </c>
      <c r="C1718" s="6">
        <v>12.0</v>
      </c>
      <c r="D1718" s="7"/>
      <c r="E1718" s="7"/>
      <c r="F1718" s="7"/>
      <c r="G1718" s="7"/>
    </row>
    <row r="1719">
      <c r="A1719" s="6" t="s">
        <v>982</v>
      </c>
      <c r="B1719" s="6">
        <v>0.0</v>
      </c>
      <c r="C1719" s="7"/>
      <c r="D1719" s="7"/>
      <c r="E1719" s="7"/>
      <c r="F1719" s="7"/>
      <c r="G1719" s="7"/>
    </row>
    <row r="1720">
      <c r="A1720" s="6" t="s">
        <v>983</v>
      </c>
      <c r="B1720" s="6">
        <v>0.0</v>
      </c>
      <c r="C1720" s="7"/>
      <c r="D1720" s="7"/>
      <c r="E1720" s="7"/>
      <c r="F1720" s="7"/>
      <c r="G1720" s="7"/>
    </row>
    <row r="1721">
      <c r="A1721" s="6" t="s">
        <v>984</v>
      </c>
      <c r="B1721" s="6">
        <v>38.0</v>
      </c>
      <c r="C1721" s="7"/>
      <c r="D1721" s="7"/>
      <c r="E1721" s="7"/>
      <c r="F1721" s="7"/>
      <c r="G1721" s="7"/>
    </row>
    <row r="1722">
      <c r="A1722" s="6" t="s">
        <v>985</v>
      </c>
      <c r="B1722" s="6">
        <v>0.0</v>
      </c>
      <c r="C1722" s="7"/>
      <c r="D1722" s="7"/>
      <c r="E1722" s="7"/>
      <c r="F1722" s="7"/>
      <c r="G1722" s="7"/>
    </row>
    <row r="1723">
      <c r="A1723" s="6" t="s">
        <v>986</v>
      </c>
      <c r="B1723" s="6">
        <v>0.0</v>
      </c>
      <c r="C1723" s="7"/>
      <c r="D1723" s="7"/>
      <c r="E1723" s="7"/>
      <c r="F1723" s="7"/>
      <c r="G1723" s="7"/>
    </row>
    <row r="1724">
      <c r="A1724" s="6" t="s">
        <v>987</v>
      </c>
      <c r="B1724" s="6">
        <v>0.0</v>
      </c>
      <c r="C1724" s="7"/>
      <c r="D1724" s="7"/>
      <c r="E1724" s="7"/>
      <c r="F1724" s="7"/>
      <c r="G1724" s="7"/>
    </row>
    <row r="1725">
      <c r="A1725" s="6" t="s">
        <v>988</v>
      </c>
      <c r="B1725" s="6">
        <v>56.0</v>
      </c>
      <c r="C1725" s="7"/>
      <c r="D1725" s="7"/>
      <c r="E1725" s="7"/>
      <c r="F1725" s="7"/>
      <c r="G1725" s="7"/>
    </row>
    <row r="1726">
      <c r="A1726" s="6" t="s">
        <v>989</v>
      </c>
      <c r="B1726" s="6">
        <v>0.0</v>
      </c>
      <c r="C1726" s="7"/>
      <c r="D1726" s="7"/>
      <c r="E1726" s="7"/>
      <c r="F1726" s="7"/>
      <c r="G1726" s="7"/>
    </row>
    <row r="1727">
      <c r="A1727" s="6" t="s">
        <v>990</v>
      </c>
      <c r="B1727" s="6">
        <v>50.0</v>
      </c>
      <c r="C1727" s="7"/>
      <c r="D1727" s="7"/>
      <c r="E1727" s="7"/>
      <c r="F1727" s="7"/>
      <c r="G1727" s="7"/>
    </row>
    <row r="1728">
      <c r="A1728" s="6" t="s">
        <v>991</v>
      </c>
      <c r="B1728" s="6">
        <v>0.0</v>
      </c>
      <c r="C1728" s="7"/>
      <c r="D1728" s="7"/>
      <c r="E1728" s="7"/>
      <c r="F1728" s="7"/>
      <c r="G1728" s="7"/>
    </row>
    <row r="1729">
      <c r="A1729" s="6" t="s">
        <v>992</v>
      </c>
      <c r="B1729" s="6">
        <v>0.0</v>
      </c>
      <c r="C1729" s="7"/>
      <c r="D1729" s="7"/>
      <c r="E1729" s="7"/>
      <c r="F1729" s="7"/>
      <c r="G1729" s="7"/>
    </row>
    <row r="1730">
      <c r="A1730" s="6" t="s">
        <v>993</v>
      </c>
      <c r="B1730" s="6">
        <v>43.0</v>
      </c>
      <c r="C1730" s="7"/>
      <c r="D1730" s="7"/>
      <c r="E1730" s="7"/>
      <c r="F1730" s="7"/>
      <c r="G1730" s="7"/>
    </row>
    <row r="1731">
      <c r="A1731" s="6" t="s">
        <v>994</v>
      </c>
      <c r="B1731" s="6">
        <v>0.0</v>
      </c>
      <c r="C1731" s="7"/>
      <c r="D1731" s="7"/>
      <c r="E1731" s="7"/>
      <c r="F1731" s="7"/>
      <c r="G1731" s="7"/>
    </row>
    <row r="1732">
      <c r="A1732" s="6" t="s">
        <v>995</v>
      </c>
      <c r="B1732" s="6">
        <v>72.0</v>
      </c>
      <c r="C1732" s="7"/>
      <c r="D1732" s="7"/>
      <c r="E1732" s="7"/>
      <c r="F1732" s="7"/>
      <c r="G1732" s="7"/>
    </row>
    <row r="1733">
      <c r="A1733" s="6" t="s">
        <v>996</v>
      </c>
      <c r="B1733" s="6">
        <v>30.0</v>
      </c>
      <c r="C1733" s="7"/>
      <c r="D1733" s="7"/>
      <c r="E1733" s="7"/>
      <c r="F1733" s="7"/>
      <c r="G1733" s="7"/>
    </row>
    <row r="1734">
      <c r="A1734" s="6" t="s">
        <v>997</v>
      </c>
      <c r="B1734" s="6">
        <v>92.0</v>
      </c>
      <c r="C1734" s="7"/>
      <c r="D1734" s="7"/>
      <c r="E1734" s="7"/>
      <c r="F1734" s="7"/>
      <c r="G1734" s="7"/>
    </row>
    <row r="1735">
      <c r="A1735" s="6" t="s">
        <v>998</v>
      </c>
      <c r="B1735" s="6">
        <v>78.0</v>
      </c>
      <c r="C1735" s="7"/>
      <c r="D1735" s="7"/>
      <c r="E1735" s="7"/>
      <c r="F1735" s="7"/>
      <c r="G1735" s="7"/>
    </row>
    <row r="1736">
      <c r="A1736" s="6" t="s">
        <v>999</v>
      </c>
      <c r="B1736" s="6">
        <v>0.0</v>
      </c>
      <c r="C1736" s="7"/>
      <c r="D1736" s="7"/>
      <c r="E1736" s="7"/>
      <c r="F1736" s="7"/>
      <c r="G1736" s="7"/>
    </row>
    <row r="1737">
      <c r="A1737" s="6" t="s">
        <v>1000</v>
      </c>
      <c r="B1737" s="6">
        <v>0.0</v>
      </c>
      <c r="C1737" s="7"/>
      <c r="D1737" s="7"/>
      <c r="E1737" s="7"/>
      <c r="F1737" s="7"/>
      <c r="G1737" s="7"/>
    </row>
    <row r="1738">
      <c r="A1738" s="6" t="s">
        <v>1001</v>
      </c>
      <c r="B1738" s="6">
        <v>0.0</v>
      </c>
      <c r="C1738" s="7"/>
      <c r="D1738" s="7"/>
      <c r="E1738" s="7"/>
      <c r="F1738" s="7"/>
      <c r="G1738" s="7"/>
    </row>
    <row r="1739">
      <c r="A1739" s="6" t="s">
        <v>1002</v>
      </c>
      <c r="B1739" s="6">
        <v>0.0</v>
      </c>
      <c r="C1739" s="7"/>
      <c r="D1739" s="7"/>
      <c r="E1739" s="7"/>
      <c r="F1739" s="7"/>
      <c r="G1739" s="7"/>
    </row>
    <row r="1740">
      <c r="A1740" s="6" t="s">
        <v>1003</v>
      </c>
      <c r="B1740" s="6">
        <v>0.0</v>
      </c>
      <c r="C1740" s="7"/>
      <c r="D1740" s="7"/>
      <c r="E1740" s="7"/>
      <c r="F1740" s="7"/>
      <c r="G1740" s="7"/>
    </row>
    <row r="1741">
      <c r="A1741" s="6" t="s">
        <v>1004</v>
      </c>
      <c r="B1741" s="6">
        <v>0.0</v>
      </c>
      <c r="C1741" s="7"/>
      <c r="D1741" s="7"/>
      <c r="E1741" s="7"/>
      <c r="F1741" s="7"/>
      <c r="G1741" s="7"/>
    </row>
    <row r="1742">
      <c r="A1742" s="6" t="s">
        <v>1005</v>
      </c>
      <c r="B1742" s="6">
        <v>0.0</v>
      </c>
      <c r="C1742" s="7"/>
      <c r="D1742" s="7"/>
      <c r="E1742" s="7"/>
      <c r="F1742" s="7"/>
      <c r="G1742" s="7"/>
    </row>
    <row r="1743">
      <c r="A1743" s="6" t="s">
        <v>1006</v>
      </c>
      <c r="B1743" s="6">
        <v>77.0</v>
      </c>
      <c r="C1743" s="7"/>
      <c r="D1743" s="7"/>
      <c r="E1743" s="7"/>
      <c r="F1743" s="7"/>
      <c r="G1743" s="7"/>
    </row>
    <row r="1744">
      <c r="A1744" s="6" t="s">
        <v>934</v>
      </c>
      <c r="B1744" s="6">
        <v>23.0</v>
      </c>
      <c r="C1744" s="7"/>
      <c r="D1744" s="7"/>
      <c r="E1744" s="7"/>
      <c r="F1744" s="7"/>
      <c r="G1744" s="7"/>
    </row>
    <row r="1745">
      <c r="A1745" s="6" t="s">
        <v>935</v>
      </c>
      <c r="B1745" s="6">
        <v>96.0</v>
      </c>
      <c r="C1745" s="7"/>
      <c r="D1745" s="7"/>
      <c r="E1745" s="7"/>
      <c r="F1745" s="7"/>
      <c r="G1745" s="7"/>
    </row>
    <row r="1746">
      <c r="A1746" s="6" t="s">
        <v>936</v>
      </c>
      <c r="B1746" s="6">
        <v>93.0</v>
      </c>
      <c r="C1746" s="7"/>
      <c r="D1746" s="7"/>
      <c r="E1746" s="7"/>
      <c r="F1746" s="7"/>
      <c r="G1746" s="7"/>
    </row>
    <row r="1747">
      <c r="A1747" s="6" t="s">
        <v>937</v>
      </c>
      <c r="B1747" s="6">
        <v>40.0</v>
      </c>
      <c r="C1747" s="7"/>
      <c r="D1747" s="7"/>
      <c r="E1747" s="7"/>
      <c r="F1747" s="7"/>
      <c r="G1747" s="7"/>
    </row>
    <row r="1748">
      <c r="A1748" s="6" t="s">
        <v>938</v>
      </c>
      <c r="B1748" s="6">
        <v>39.0</v>
      </c>
      <c r="C1748" s="7"/>
      <c r="D1748" s="7"/>
      <c r="E1748" s="7"/>
      <c r="F1748" s="7"/>
      <c r="G1748" s="7"/>
    </row>
    <row r="1749">
      <c r="A1749" s="6" t="s">
        <v>939</v>
      </c>
      <c r="B1749" s="6">
        <v>0.0</v>
      </c>
      <c r="C1749" s="7"/>
      <c r="D1749" s="7"/>
      <c r="E1749" s="7"/>
      <c r="F1749" s="7"/>
      <c r="G1749" s="7"/>
    </row>
    <row r="1750">
      <c r="A1750" s="6" t="s">
        <v>940</v>
      </c>
      <c r="B1750" s="6">
        <v>0.0</v>
      </c>
      <c r="C1750" s="7"/>
      <c r="D1750" s="7"/>
      <c r="E1750" s="7"/>
      <c r="F1750" s="7"/>
      <c r="G1750" s="7"/>
    </row>
    <row r="1751">
      <c r="A1751" s="6" t="s">
        <v>941</v>
      </c>
      <c r="B1751" s="6">
        <v>0.0</v>
      </c>
      <c r="C1751" s="7"/>
      <c r="D1751" s="7"/>
      <c r="E1751" s="7"/>
      <c r="F1751" s="7"/>
      <c r="G1751" s="7"/>
    </row>
    <row r="1752">
      <c r="A1752" s="6" t="s">
        <v>942</v>
      </c>
      <c r="B1752" s="6">
        <v>0.0</v>
      </c>
      <c r="C1752" s="7"/>
      <c r="D1752" s="7"/>
      <c r="E1752" s="7"/>
      <c r="F1752" s="7"/>
      <c r="G1752" s="7"/>
    </row>
    <row r="1753">
      <c r="A1753" s="6" t="s">
        <v>943</v>
      </c>
      <c r="B1753" s="6">
        <v>78.0</v>
      </c>
      <c r="C1753" s="7"/>
      <c r="D1753" s="7"/>
      <c r="E1753" s="7"/>
      <c r="F1753" s="7"/>
      <c r="G1753" s="7"/>
    </row>
    <row r="1754">
      <c r="A1754" s="6" t="s">
        <v>944</v>
      </c>
      <c r="B1754" s="6">
        <v>0.0</v>
      </c>
      <c r="C1754" s="7"/>
      <c r="D1754" s="7"/>
      <c r="E1754" s="7"/>
      <c r="F1754" s="7"/>
      <c r="G1754" s="7"/>
    </row>
    <row r="1755">
      <c r="A1755" s="6" t="s">
        <v>945</v>
      </c>
      <c r="B1755" s="6">
        <v>0.0</v>
      </c>
      <c r="C1755" s="7"/>
      <c r="D1755" s="7"/>
      <c r="E1755" s="7"/>
      <c r="F1755" s="7"/>
      <c r="G1755" s="7"/>
    </row>
    <row r="1756">
      <c r="A1756" s="6" t="s">
        <v>946</v>
      </c>
      <c r="B1756" s="6">
        <v>0.0</v>
      </c>
      <c r="C1756" s="7"/>
      <c r="D1756" s="7"/>
      <c r="E1756" s="7"/>
      <c r="F1756" s="7"/>
      <c r="G1756" s="7"/>
    </row>
    <row r="1757">
      <c r="A1757" s="6" t="s">
        <v>947</v>
      </c>
      <c r="B1757" s="6">
        <v>0.0</v>
      </c>
      <c r="C1757" s="7"/>
      <c r="D1757" s="7"/>
      <c r="E1757" s="7"/>
      <c r="F1757" s="7"/>
      <c r="G1757" s="7"/>
    </row>
    <row r="1758">
      <c r="A1758" s="6" t="s">
        <v>948</v>
      </c>
      <c r="B1758" s="6">
        <v>0.0</v>
      </c>
      <c r="C1758" s="7"/>
      <c r="D1758" s="7"/>
      <c r="E1758" s="7"/>
      <c r="F1758" s="7"/>
      <c r="G1758" s="7"/>
    </row>
    <row r="1759">
      <c r="A1759" s="6" t="s">
        <v>949</v>
      </c>
      <c r="B1759" s="6">
        <v>0.0</v>
      </c>
      <c r="C1759" s="7"/>
      <c r="D1759" s="7"/>
      <c r="E1759" s="7"/>
      <c r="F1759" s="7"/>
      <c r="G1759" s="7"/>
    </row>
    <row r="1760">
      <c r="A1760" s="6" t="s">
        <v>950</v>
      </c>
      <c r="B1760" s="6">
        <v>92.0</v>
      </c>
      <c r="C1760" s="7"/>
      <c r="D1760" s="7"/>
      <c r="E1760" s="7"/>
      <c r="F1760" s="7"/>
      <c r="G1760" s="7"/>
    </row>
    <row r="1761">
      <c r="A1761" s="6" t="s">
        <v>951</v>
      </c>
      <c r="B1761" s="6">
        <v>0.0</v>
      </c>
      <c r="C1761" s="7"/>
      <c r="D1761" s="7"/>
      <c r="E1761" s="7"/>
      <c r="F1761" s="7"/>
      <c r="G1761" s="7"/>
    </row>
    <row r="1762">
      <c r="A1762" s="6" t="s">
        <v>952</v>
      </c>
      <c r="B1762" s="6">
        <v>80.0</v>
      </c>
      <c r="C1762" s="7"/>
      <c r="D1762" s="7"/>
      <c r="E1762" s="7"/>
      <c r="F1762" s="7"/>
      <c r="G1762" s="7"/>
    </row>
    <row r="1763">
      <c r="A1763" s="6" t="s">
        <v>953</v>
      </c>
      <c r="B1763" s="6">
        <v>0.0</v>
      </c>
      <c r="C1763" s="7"/>
      <c r="D1763" s="7"/>
      <c r="E1763" s="7"/>
      <c r="F1763" s="7"/>
      <c r="G1763" s="7"/>
    </row>
    <row r="1764">
      <c r="A1764" s="6" t="s">
        <v>954</v>
      </c>
      <c r="B1764" s="6">
        <v>0.0</v>
      </c>
      <c r="C1764" s="7"/>
      <c r="D1764" s="7"/>
      <c r="E1764" s="7"/>
      <c r="F1764" s="7"/>
      <c r="G1764" s="7"/>
    </row>
    <row r="1765">
      <c r="A1765" s="6" t="s">
        <v>955</v>
      </c>
      <c r="B1765" s="6">
        <v>79.0</v>
      </c>
      <c r="C1765" s="7"/>
      <c r="D1765" s="7"/>
      <c r="E1765" s="7"/>
      <c r="F1765" s="7"/>
      <c r="G1765" s="7"/>
    </row>
    <row r="1766">
      <c r="A1766" s="6" t="s">
        <v>956</v>
      </c>
      <c r="B1766" s="6">
        <v>0.0</v>
      </c>
      <c r="C1766" s="7"/>
      <c r="D1766" s="7"/>
      <c r="E1766" s="7"/>
      <c r="F1766" s="7"/>
      <c r="G1766" s="7"/>
    </row>
    <row r="1767">
      <c r="A1767" s="6" t="s">
        <v>957</v>
      </c>
      <c r="B1767" s="6">
        <v>0.0</v>
      </c>
      <c r="C1767" s="7"/>
      <c r="D1767" s="7"/>
      <c r="E1767" s="7"/>
      <c r="F1767" s="7"/>
      <c r="G1767" s="7"/>
    </row>
    <row r="1768">
      <c r="A1768" s="6" t="s">
        <v>958</v>
      </c>
      <c r="B1768" s="6">
        <v>0.0</v>
      </c>
      <c r="C1768" s="7"/>
      <c r="D1768" s="7"/>
      <c r="E1768" s="7"/>
      <c r="F1768" s="7"/>
      <c r="G1768" s="7"/>
    </row>
    <row r="1769">
      <c r="A1769" s="6" t="s">
        <v>959</v>
      </c>
      <c r="B1769" s="6">
        <v>0.0</v>
      </c>
      <c r="C1769" s="7"/>
      <c r="D1769" s="7"/>
      <c r="E1769" s="7"/>
      <c r="F1769" s="7"/>
      <c r="G1769" s="7"/>
    </row>
    <row r="1770">
      <c r="A1770" s="6" t="s">
        <v>960</v>
      </c>
      <c r="B1770" s="6">
        <v>0.0</v>
      </c>
      <c r="C1770" s="7"/>
      <c r="D1770" s="7"/>
      <c r="E1770" s="7"/>
      <c r="F1770" s="7"/>
      <c r="G1770" s="7"/>
    </row>
    <row r="1771">
      <c r="A1771" s="6" t="s">
        <v>961</v>
      </c>
      <c r="B1771" s="6">
        <v>0.0</v>
      </c>
      <c r="C1771" s="7"/>
      <c r="D1771" s="7"/>
      <c r="E1771" s="7"/>
      <c r="F1771" s="7"/>
      <c r="G1771" s="7"/>
    </row>
    <row r="1772">
      <c r="A1772" s="6" t="s">
        <v>962</v>
      </c>
      <c r="B1772" s="6">
        <v>0.0</v>
      </c>
      <c r="C1772" s="7"/>
      <c r="D1772" s="7"/>
      <c r="E1772" s="7"/>
      <c r="F1772" s="7"/>
      <c r="G1772" s="7"/>
    </row>
    <row r="1773">
      <c r="A1773" s="6" t="s">
        <v>963</v>
      </c>
      <c r="B1773" s="6">
        <v>32.0</v>
      </c>
      <c r="C1773" s="7"/>
      <c r="D1773" s="7"/>
      <c r="E1773" s="7"/>
      <c r="F1773" s="7"/>
      <c r="G1773" s="7"/>
    </row>
    <row r="1774">
      <c r="A1774" s="6" t="s">
        <v>964</v>
      </c>
      <c r="B1774" s="6">
        <v>0.0</v>
      </c>
      <c r="C1774" s="7"/>
      <c r="D1774" s="7"/>
      <c r="E1774" s="7"/>
      <c r="F1774" s="7"/>
      <c r="G1774" s="7"/>
    </row>
    <row r="1775">
      <c r="A1775" s="6" t="s">
        <v>965</v>
      </c>
      <c r="B1775" s="6">
        <v>96.0</v>
      </c>
      <c r="C1775" s="7"/>
      <c r="D1775" s="7"/>
      <c r="E1775" s="7"/>
      <c r="F1775" s="7"/>
      <c r="G1775" s="7"/>
    </row>
    <row r="1776">
      <c r="A1776" s="6" t="s">
        <v>966</v>
      </c>
      <c r="B1776" s="6" t="s">
        <v>967</v>
      </c>
      <c r="C1776" s="6" t="s">
        <v>968</v>
      </c>
      <c r="D1776" s="7"/>
      <c r="E1776" s="7"/>
      <c r="F1776" s="7"/>
      <c r="G1776" s="7"/>
    </row>
    <row r="1777">
      <c r="A1777" s="6" t="s">
        <v>969</v>
      </c>
      <c r="B1777" s="6">
        <v>0.0</v>
      </c>
      <c r="C1777" s="7"/>
      <c r="D1777" s="7"/>
      <c r="E1777" s="7"/>
      <c r="F1777" s="7"/>
      <c r="G1777" s="7"/>
    </row>
    <row r="1778">
      <c r="A1778" s="6" t="s">
        <v>970</v>
      </c>
      <c r="B1778" s="7"/>
      <c r="C1778" s="7"/>
      <c r="D1778" s="7"/>
      <c r="E1778" s="7"/>
      <c r="F1778" s="7"/>
      <c r="G1778" s="7"/>
    </row>
    <row r="1779">
      <c r="A1779" s="6" t="s">
        <v>971</v>
      </c>
      <c r="B1779" s="6">
        <v>0.0</v>
      </c>
      <c r="C1779" s="7"/>
      <c r="D1779" s="7"/>
      <c r="E1779" s="7"/>
      <c r="F1779" s="7"/>
      <c r="G1779" s="7"/>
    </row>
    <row r="1780">
      <c r="A1780" s="6" t="s">
        <v>972</v>
      </c>
      <c r="B1780" s="6">
        <v>0.0</v>
      </c>
      <c r="C1780" s="7"/>
      <c r="D1780" s="7"/>
      <c r="E1780" s="7"/>
      <c r="F1780" s="7"/>
      <c r="G1780" s="7"/>
    </row>
    <row r="1781">
      <c r="A1781" s="6" t="s">
        <v>973</v>
      </c>
      <c r="B1781" s="6">
        <v>0.0</v>
      </c>
      <c r="C1781" s="7"/>
      <c r="D1781" s="7"/>
      <c r="E1781" s="7"/>
      <c r="F1781" s="7"/>
      <c r="G1781" s="7"/>
    </row>
    <row r="1782">
      <c r="A1782" s="6" t="s">
        <v>974</v>
      </c>
      <c r="B1782" s="6">
        <v>0.0</v>
      </c>
      <c r="C1782" s="7"/>
      <c r="D1782" s="7"/>
      <c r="E1782" s="7"/>
      <c r="F1782" s="7"/>
      <c r="G1782" s="7"/>
    </row>
    <row r="1783">
      <c r="A1783" s="6" t="s">
        <v>975</v>
      </c>
      <c r="B1783" s="6">
        <v>0.0</v>
      </c>
      <c r="C1783" s="7"/>
      <c r="D1783" s="7"/>
      <c r="E1783" s="7"/>
      <c r="F1783" s="7"/>
      <c r="G1783" s="7"/>
    </row>
    <row r="1784">
      <c r="A1784" s="6" t="s">
        <v>976</v>
      </c>
      <c r="B1784" s="6">
        <v>0.0</v>
      </c>
      <c r="C1784" s="7"/>
      <c r="D1784" s="7"/>
      <c r="E1784" s="7"/>
      <c r="F1784" s="7"/>
      <c r="G1784" s="7"/>
    </row>
    <row r="1785">
      <c r="A1785" s="6" t="s">
        <v>977</v>
      </c>
      <c r="B1785" s="6">
        <v>81.0</v>
      </c>
      <c r="C1785" s="7"/>
      <c r="D1785" s="7"/>
      <c r="E1785" s="7"/>
      <c r="F1785" s="7"/>
      <c r="G1785" s="7"/>
    </row>
    <row r="1786">
      <c r="A1786" s="6" t="s">
        <v>978</v>
      </c>
      <c r="B1786" s="6">
        <v>0.0</v>
      </c>
      <c r="C1786" s="7"/>
      <c r="D1786" s="7"/>
      <c r="E1786" s="7"/>
      <c r="F1786" s="7"/>
      <c r="G1786" s="7"/>
    </row>
    <row r="1787">
      <c r="A1787" s="6" t="s">
        <v>979</v>
      </c>
      <c r="B1787" s="6">
        <v>0.0</v>
      </c>
      <c r="C1787" s="7"/>
      <c r="D1787" s="7"/>
      <c r="E1787" s="7"/>
      <c r="F1787" s="7"/>
      <c r="G1787" s="7"/>
    </row>
    <row r="1788">
      <c r="A1788" s="6" t="s">
        <v>980</v>
      </c>
      <c r="B1788" s="6" t="s">
        <v>981</v>
      </c>
      <c r="C1788" s="6">
        <v>12.0</v>
      </c>
      <c r="D1788" s="7"/>
      <c r="E1788" s="7"/>
      <c r="F1788" s="7"/>
      <c r="G1788" s="7"/>
    </row>
    <row r="1789">
      <c r="A1789" s="6" t="s">
        <v>982</v>
      </c>
      <c r="B1789" s="6">
        <v>0.0</v>
      </c>
      <c r="C1789" s="7"/>
      <c r="D1789" s="7"/>
      <c r="E1789" s="7"/>
      <c r="F1789" s="7"/>
      <c r="G1789" s="7"/>
    </row>
    <row r="1790">
      <c r="A1790" s="6" t="s">
        <v>983</v>
      </c>
      <c r="B1790" s="6">
        <v>0.0</v>
      </c>
      <c r="C1790" s="7"/>
      <c r="D1790" s="7"/>
      <c r="E1790" s="7"/>
      <c r="F1790" s="7"/>
      <c r="G1790" s="7"/>
    </row>
    <row r="1791">
      <c r="A1791" s="6" t="s">
        <v>984</v>
      </c>
      <c r="B1791" s="6">
        <v>38.0</v>
      </c>
      <c r="C1791" s="7"/>
      <c r="D1791" s="7"/>
      <c r="E1791" s="7"/>
      <c r="F1791" s="7"/>
      <c r="G1791" s="7"/>
    </row>
    <row r="1792">
      <c r="A1792" s="6" t="s">
        <v>985</v>
      </c>
      <c r="B1792" s="6">
        <v>0.0</v>
      </c>
      <c r="C1792" s="7"/>
      <c r="D1792" s="7"/>
      <c r="E1792" s="7"/>
      <c r="F1792" s="7"/>
      <c r="G1792" s="7"/>
    </row>
    <row r="1793">
      <c r="A1793" s="6" t="s">
        <v>986</v>
      </c>
      <c r="B1793" s="6">
        <v>0.0</v>
      </c>
      <c r="C1793" s="7"/>
      <c r="D1793" s="7"/>
      <c r="E1793" s="7"/>
      <c r="F1793" s="7"/>
      <c r="G1793" s="7"/>
    </row>
    <row r="1794">
      <c r="A1794" s="6" t="s">
        <v>987</v>
      </c>
      <c r="B1794" s="6">
        <v>0.0</v>
      </c>
      <c r="C1794" s="7"/>
      <c r="D1794" s="7"/>
      <c r="E1794" s="7"/>
      <c r="F1794" s="7"/>
      <c r="G1794" s="7"/>
    </row>
    <row r="1795">
      <c r="A1795" s="6" t="s">
        <v>988</v>
      </c>
      <c r="B1795" s="6">
        <v>56.0</v>
      </c>
      <c r="C1795" s="7"/>
      <c r="D1795" s="7"/>
      <c r="E1795" s="7"/>
      <c r="F1795" s="7"/>
      <c r="G1795" s="7"/>
    </row>
    <row r="1796">
      <c r="A1796" s="6" t="s">
        <v>989</v>
      </c>
      <c r="B1796" s="6">
        <v>0.0</v>
      </c>
      <c r="C1796" s="7"/>
      <c r="D1796" s="7"/>
      <c r="E1796" s="7"/>
      <c r="F1796" s="7"/>
      <c r="G1796" s="7"/>
    </row>
    <row r="1797">
      <c r="A1797" s="6" t="s">
        <v>990</v>
      </c>
      <c r="B1797" s="6">
        <v>50.0</v>
      </c>
      <c r="C1797" s="7"/>
      <c r="D1797" s="7"/>
      <c r="E1797" s="7"/>
      <c r="F1797" s="7"/>
      <c r="G1797" s="7"/>
    </row>
    <row r="1798">
      <c r="A1798" s="6" t="s">
        <v>991</v>
      </c>
      <c r="B1798" s="6">
        <v>0.0</v>
      </c>
      <c r="C1798" s="7"/>
      <c r="D1798" s="7"/>
      <c r="E1798" s="7"/>
      <c r="F1798" s="7"/>
      <c r="G1798" s="7"/>
    </row>
    <row r="1799">
      <c r="A1799" s="6" t="s">
        <v>992</v>
      </c>
      <c r="B1799" s="6">
        <v>0.0</v>
      </c>
      <c r="C1799" s="7"/>
      <c r="D1799" s="7"/>
      <c r="E1799" s="7"/>
      <c r="F1799" s="7"/>
      <c r="G1799" s="7"/>
    </row>
    <row r="1800">
      <c r="A1800" s="6" t="s">
        <v>993</v>
      </c>
      <c r="B1800" s="6">
        <v>43.0</v>
      </c>
      <c r="C1800" s="7"/>
      <c r="D1800" s="7"/>
      <c r="E1800" s="7"/>
      <c r="F1800" s="7"/>
      <c r="G1800" s="7"/>
    </row>
    <row r="1801">
      <c r="A1801" s="6" t="s">
        <v>994</v>
      </c>
      <c r="B1801" s="6">
        <v>0.0</v>
      </c>
      <c r="C1801" s="7"/>
      <c r="D1801" s="7"/>
      <c r="E1801" s="7"/>
      <c r="F1801" s="7"/>
      <c r="G1801" s="7"/>
    </row>
    <row r="1802">
      <c r="A1802" s="6" t="s">
        <v>995</v>
      </c>
      <c r="B1802" s="6">
        <v>72.0</v>
      </c>
      <c r="C1802" s="7"/>
      <c r="D1802" s="7"/>
      <c r="E1802" s="7"/>
      <c r="F1802" s="7"/>
      <c r="G1802" s="7"/>
    </row>
    <row r="1803">
      <c r="A1803" s="6" t="s">
        <v>996</v>
      </c>
      <c r="B1803" s="6">
        <v>30.0</v>
      </c>
      <c r="C1803" s="7"/>
      <c r="D1803" s="7"/>
      <c r="E1803" s="7"/>
      <c r="F1803" s="7"/>
      <c r="G1803" s="7"/>
    </row>
    <row r="1804">
      <c r="A1804" s="6" t="s">
        <v>997</v>
      </c>
      <c r="B1804" s="6">
        <v>92.0</v>
      </c>
      <c r="C1804" s="7"/>
      <c r="D1804" s="7"/>
      <c r="E1804" s="7"/>
      <c r="F1804" s="7"/>
      <c r="G1804" s="7"/>
    </row>
    <row r="1805">
      <c r="A1805" s="6" t="s">
        <v>998</v>
      </c>
      <c r="B1805" s="6">
        <v>78.0</v>
      </c>
      <c r="C1805" s="7"/>
      <c r="D1805" s="7"/>
      <c r="E1805" s="7"/>
      <c r="F1805" s="7"/>
      <c r="G1805" s="7"/>
    </row>
    <row r="1806">
      <c r="A1806" s="6" t="s">
        <v>999</v>
      </c>
      <c r="B1806" s="6">
        <v>0.0</v>
      </c>
      <c r="C1806" s="7"/>
      <c r="D1806" s="7"/>
      <c r="E1806" s="7"/>
      <c r="F1806" s="7"/>
      <c r="G1806" s="7"/>
    </row>
    <row r="1807">
      <c r="A1807" s="6" t="s">
        <v>1000</v>
      </c>
      <c r="B1807" s="6">
        <v>0.0</v>
      </c>
      <c r="C1807" s="7"/>
      <c r="D1807" s="7"/>
      <c r="E1807" s="7"/>
      <c r="F1807" s="7"/>
      <c r="G1807" s="7"/>
    </row>
    <row r="1808">
      <c r="A1808" s="6" t="s">
        <v>1001</v>
      </c>
      <c r="B1808" s="6">
        <v>0.0</v>
      </c>
      <c r="C1808" s="7"/>
      <c r="D1808" s="7"/>
      <c r="E1808" s="7"/>
      <c r="F1808" s="7"/>
      <c r="G1808" s="7"/>
    </row>
    <row r="1809">
      <c r="A1809" s="6" t="s">
        <v>1002</v>
      </c>
      <c r="B1809" s="6">
        <v>0.0</v>
      </c>
      <c r="C1809" s="7"/>
      <c r="D1809" s="7"/>
      <c r="E1809" s="7"/>
      <c r="F1809" s="7"/>
      <c r="G1809" s="7"/>
    </row>
    <row r="1810">
      <c r="A1810" s="6" t="s">
        <v>1003</v>
      </c>
      <c r="B1810" s="6">
        <v>0.0</v>
      </c>
      <c r="C1810" s="7"/>
      <c r="D1810" s="7"/>
      <c r="E1810" s="7"/>
      <c r="F1810" s="7"/>
      <c r="G1810" s="7"/>
    </row>
    <row r="1811">
      <c r="A1811" s="6" t="s">
        <v>1004</v>
      </c>
      <c r="B1811" s="6">
        <v>0.0</v>
      </c>
      <c r="C1811" s="7"/>
      <c r="D1811" s="7"/>
      <c r="E1811" s="7"/>
      <c r="F1811" s="7"/>
      <c r="G1811" s="7"/>
    </row>
    <row r="1812">
      <c r="A1812" s="6" t="s">
        <v>1005</v>
      </c>
      <c r="B1812" s="6">
        <v>0.0</v>
      </c>
      <c r="C1812" s="7"/>
      <c r="D1812" s="7"/>
      <c r="E1812" s="7"/>
      <c r="F1812" s="7"/>
      <c r="G1812" s="7"/>
    </row>
    <row r="1813">
      <c r="A1813" s="6" t="s">
        <v>1006</v>
      </c>
      <c r="B1813" s="6">
        <v>77.0</v>
      </c>
      <c r="C1813" s="7"/>
      <c r="D1813" s="7"/>
      <c r="E1813" s="7"/>
      <c r="F1813" s="7"/>
      <c r="G1813" s="7"/>
    </row>
    <row r="1814">
      <c r="A1814" s="6" t="s">
        <v>1007</v>
      </c>
      <c r="B1814" s="6">
        <v>0.0</v>
      </c>
      <c r="C1814" s="7"/>
      <c r="D1814" s="7"/>
      <c r="E1814" s="7"/>
      <c r="F1814" s="7"/>
      <c r="G1814" s="7"/>
    </row>
    <row r="1815">
      <c r="A1815" s="6" t="s">
        <v>1008</v>
      </c>
      <c r="B1815" s="6">
        <v>43.0</v>
      </c>
      <c r="C1815" s="7"/>
      <c r="D1815" s="7"/>
      <c r="E1815" s="7"/>
      <c r="F1815" s="7"/>
      <c r="G1815" s="7"/>
    </row>
    <row r="1816">
      <c r="A1816" s="6" t="s">
        <v>1009</v>
      </c>
      <c r="B1816" s="6">
        <v>0.0</v>
      </c>
      <c r="C1816" s="7"/>
      <c r="D1816" s="7"/>
      <c r="E1816" s="7"/>
      <c r="F1816" s="7"/>
      <c r="G1816" s="7"/>
    </row>
    <row r="1817">
      <c r="A1817" s="6" t="s">
        <v>1010</v>
      </c>
      <c r="B1817" s="6" t="s">
        <v>1011</v>
      </c>
      <c r="C1817" s="6">
        <v>0.0</v>
      </c>
      <c r="D1817" s="7"/>
      <c r="E1817" s="7"/>
      <c r="F1817" s="7"/>
      <c r="G1817" s="7"/>
    </row>
    <row r="1818">
      <c r="A1818" s="6" t="s">
        <v>1012</v>
      </c>
      <c r="B1818" s="6">
        <v>0.0</v>
      </c>
      <c r="C1818" s="7"/>
      <c r="D1818" s="7"/>
      <c r="E1818" s="7"/>
      <c r="F1818" s="7"/>
      <c r="G1818" s="7"/>
    </row>
    <row r="1819">
      <c r="A1819" s="6" t="s">
        <v>1013</v>
      </c>
      <c r="B1819" s="6">
        <v>60.0</v>
      </c>
      <c r="C1819" s="7"/>
      <c r="D1819" s="7"/>
      <c r="E1819" s="7"/>
      <c r="F1819" s="7"/>
      <c r="G1819" s="7"/>
    </row>
    <row r="1820">
      <c r="A1820" s="6" t="s">
        <v>1014</v>
      </c>
      <c r="B1820" s="6">
        <v>0.0</v>
      </c>
      <c r="C1820" s="7"/>
      <c r="D1820" s="7"/>
      <c r="E1820" s="7"/>
      <c r="F1820" s="7"/>
      <c r="G1820" s="7"/>
    </row>
    <row r="1821">
      <c r="A1821" s="6" t="s">
        <v>1015</v>
      </c>
      <c r="B1821" s="6">
        <v>0.0</v>
      </c>
      <c r="C1821" s="7"/>
      <c r="D1821" s="7"/>
      <c r="E1821" s="7"/>
      <c r="F1821" s="7"/>
      <c r="G1821" s="7"/>
    </row>
    <row r="1822">
      <c r="A1822" s="6" t="s">
        <v>1016</v>
      </c>
      <c r="B1822" s="6">
        <v>0.0</v>
      </c>
      <c r="C1822" s="7"/>
      <c r="D1822" s="7"/>
      <c r="E1822" s="7"/>
      <c r="F1822" s="7"/>
      <c r="G1822" s="7"/>
    </row>
    <row r="1823">
      <c r="A1823" s="6" t="s">
        <v>1017</v>
      </c>
      <c r="B1823" s="6" t="s">
        <v>1018</v>
      </c>
      <c r="C1823" s="6" t="s">
        <v>1019</v>
      </c>
      <c r="D1823" s="6">
        <v>96.0</v>
      </c>
      <c r="E1823" s="7"/>
      <c r="F1823" s="7"/>
      <c r="G1823" s="7"/>
    </row>
    <row r="1824">
      <c r="A1824" s="6" t="s">
        <v>1020</v>
      </c>
      <c r="B1824" s="6">
        <v>0.0</v>
      </c>
      <c r="C1824" s="7"/>
      <c r="D1824" s="7"/>
      <c r="E1824" s="7"/>
      <c r="F1824" s="7"/>
      <c r="G1824" s="7"/>
    </row>
    <row r="1825">
      <c r="A1825" s="6" t="s">
        <v>1021</v>
      </c>
      <c r="B1825" s="6">
        <v>0.0</v>
      </c>
      <c r="C1825" s="7"/>
      <c r="D1825" s="7"/>
      <c r="E1825" s="7"/>
      <c r="F1825" s="7"/>
      <c r="G1825" s="7"/>
    </row>
    <row r="1826">
      <c r="A1826" s="6" t="s">
        <v>1022</v>
      </c>
      <c r="B1826" s="6">
        <v>0.0</v>
      </c>
      <c r="C1826" s="7"/>
      <c r="D1826" s="7"/>
      <c r="E1826" s="7"/>
      <c r="F1826" s="7"/>
      <c r="G1826" s="7"/>
    </row>
    <row r="1827">
      <c r="A1827" s="6" t="s">
        <v>1023</v>
      </c>
      <c r="B1827" s="6">
        <v>6.0</v>
      </c>
      <c r="C1827" s="7"/>
      <c r="D1827" s="7"/>
      <c r="E1827" s="7"/>
      <c r="F1827" s="7"/>
      <c r="G1827" s="7"/>
    </row>
    <row r="1828">
      <c r="A1828" s="6" t="s">
        <v>1024</v>
      </c>
      <c r="B1828" s="6">
        <v>0.0</v>
      </c>
      <c r="C1828" s="7"/>
      <c r="D1828" s="7"/>
      <c r="E1828" s="7"/>
      <c r="F1828" s="7"/>
      <c r="G1828" s="7"/>
    </row>
    <row r="1829">
      <c r="A1829" s="6" t="s">
        <v>1025</v>
      </c>
      <c r="B1829" s="6">
        <v>50.0</v>
      </c>
      <c r="C1829" s="7"/>
      <c r="D1829" s="7"/>
      <c r="E1829" s="7"/>
      <c r="F1829" s="7"/>
      <c r="G1829" s="7"/>
    </row>
    <row r="1830">
      <c r="A1830" s="6" t="s">
        <v>1026</v>
      </c>
      <c r="B1830" s="6">
        <v>78.0</v>
      </c>
      <c r="C1830" s="7"/>
      <c r="D1830" s="7"/>
      <c r="E1830" s="7"/>
      <c r="F1830" s="7"/>
      <c r="G1830" s="7"/>
    </row>
    <row r="1831">
      <c r="A1831" s="6" t="s">
        <v>1027</v>
      </c>
      <c r="B1831" s="6">
        <v>10.0</v>
      </c>
      <c r="C1831" s="7"/>
      <c r="D1831" s="7"/>
      <c r="E1831" s="7"/>
      <c r="F1831" s="7"/>
      <c r="G1831" s="7"/>
    </row>
    <row r="1832">
      <c r="A1832" s="6" t="s">
        <v>1028</v>
      </c>
      <c r="B1832" s="6">
        <v>0.0</v>
      </c>
      <c r="C1832" s="7"/>
      <c r="D1832" s="7"/>
      <c r="E1832" s="7"/>
      <c r="F1832" s="7"/>
      <c r="G1832" s="7"/>
    </row>
    <row r="1833">
      <c r="A1833" s="6" t="s">
        <v>1029</v>
      </c>
      <c r="B1833" s="6">
        <v>80.0</v>
      </c>
      <c r="C1833" s="7"/>
      <c r="D1833" s="7"/>
      <c r="E1833" s="7"/>
      <c r="F1833" s="7"/>
      <c r="G1833" s="7"/>
    </row>
    <row r="1834">
      <c r="A1834" s="6" t="s">
        <v>1030</v>
      </c>
      <c r="B1834" s="6">
        <v>0.0</v>
      </c>
      <c r="C1834" s="7"/>
      <c r="D1834" s="7"/>
      <c r="E1834" s="7"/>
      <c r="F1834" s="7"/>
      <c r="G1834" s="7"/>
    </row>
    <row r="1835">
      <c r="A1835" s="6" t="s">
        <v>1031</v>
      </c>
      <c r="B1835" s="6">
        <v>0.0</v>
      </c>
      <c r="C1835" s="7"/>
      <c r="D1835" s="7"/>
      <c r="E1835" s="7"/>
      <c r="F1835" s="7"/>
      <c r="G1835" s="7"/>
    </row>
    <row r="1836">
      <c r="A1836" s="6" t="s">
        <v>1032</v>
      </c>
      <c r="B1836" s="6">
        <v>0.0</v>
      </c>
      <c r="C1836" s="7"/>
      <c r="D1836" s="7"/>
      <c r="E1836" s="7"/>
      <c r="F1836" s="7"/>
      <c r="G1836" s="7"/>
    </row>
    <row r="1837">
      <c r="A1837" s="6" t="s">
        <v>1033</v>
      </c>
      <c r="B1837" s="6">
        <v>90.0</v>
      </c>
      <c r="C1837" s="7"/>
      <c r="D1837" s="7"/>
      <c r="E1837" s="7"/>
      <c r="F1837" s="7"/>
      <c r="G1837" s="7"/>
    </row>
    <row r="1838">
      <c r="A1838" s="6" t="s">
        <v>1034</v>
      </c>
      <c r="B1838" s="6">
        <v>40.0</v>
      </c>
      <c r="C1838" s="7"/>
      <c r="D1838" s="7"/>
      <c r="E1838" s="7"/>
      <c r="F1838" s="7"/>
      <c r="G1838" s="7"/>
    </row>
    <row r="1839">
      <c r="A1839" s="6" t="s">
        <v>1035</v>
      </c>
      <c r="B1839" s="6">
        <v>20.0</v>
      </c>
      <c r="C1839" s="7"/>
      <c r="D1839" s="7"/>
      <c r="E1839" s="7"/>
      <c r="F1839" s="7"/>
      <c r="G1839" s="7"/>
    </row>
    <row r="1840">
      <c r="A1840" s="6" t="s">
        <v>1036</v>
      </c>
      <c r="B1840" s="6">
        <v>0.0</v>
      </c>
      <c r="C1840" s="7"/>
      <c r="D1840" s="7"/>
      <c r="E1840" s="7"/>
      <c r="F1840" s="7"/>
      <c r="G1840" s="7"/>
    </row>
    <row r="1841">
      <c r="A1841" s="6" t="s">
        <v>1037</v>
      </c>
      <c r="B1841" s="6">
        <v>70.0</v>
      </c>
      <c r="C1841" s="7"/>
      <c r="D1841" s="7"/>
      <c r="E1841" s="7"/>
      <c r="F1841" s="7"/>
      <c r="G1841" s="7"/>
    </row>
    <row r="1842">
      <c r="A1842" s="6" t="s">
        <v>1038</v>
      </c>
      <c r="B1842" s="6">
        <v>67.0</v>
      </c>
      <c r="C1842" s="7"/>
      <c r="D1842" s="7"/>
      <c r="E1842" s="7"/>
      <c r="F1842" s="7"/>
      <c r="G1842" s="7"/>
    </row>
    <row r="1843">
      <c r="A1843" s="6" t="s">
        <v>1039</v>
      </c>
      <c r="B1843" s="6">
        <v>0.0</v>
      </c>
      <c r="C1843" s="7"/>
      <c r="D1843" s="7"/>
      <c r="E1843" s="7"/>
      <c r="F1843" s="7"/>
      <c r="G1843" s="7"/>
    </row>
    <row r="1844">
      <c r="A1844" s="6" t="s">
        <v>1040</v>
      </c>
      <c r="B1844" s="6">
        <v>40.0</v>
      </c>
      <c r="C1844" s="7"/>
      <c r="D1844" s="7"/>
      <c r="E1844" s="7"/>
      <c r="F1844" s="7"/>
      <c r="G1844" s="7"/>
    </row>
    <row r="1845">
      <c r="A1845" s="6" t="s">
        <v>1041</v>
      </c>
      <c r="B1845" s="6">
        <v>0.0</v>
      </c>
      <c r="C1845" s="7"/>
      <c r="D1845" s="7"/>
      <c r="E1845" s="7"/>
      <c r="F1845" s="7"/>
      <c r="G1845" s="7"/>
    </row>
    <row r="1846">
      <c r="A1846" s="6" t="s">
        <v>1042</v>
      </c>
      <c r="B1846" s="6">
        <v>0.0</v>
      </c>
      <c r="C1846" s="7"/>
      <c r="D1846" s="7"/>
      <c r="E1846" s="7"/>
      <c r="F1846" s="7"/>
      <c r="G1846" s="7"/>
    </row>
    <row r="1847">
      <c r="A1847" s="6" t="s">
        <v>1043</v>
      </c>
      <c r="B1847" s="6">
        <v>0.0</v>
      </c>
      <c r="C1847" s="7"/>
      <c r="D1847" s="7"/>
      <c r="E1847" s="7"/>
      <c r="F1847" s="7"/>
      <c r="G1847" s="7"/>
    </row>
    <row r="1848">
      <c r="A1848" s="6" t="s">
        <v>1044</v>
      </c>
      <c r="B1848" s="6">
        <v>32.0</v>
      </c>
      <c r="C1848" s="7"/>
      <c r="D1848" s="7"/>
      <c r="E1848" s="7"/>
      <c r="F1848" s="7"/>
      <c r="G1848" s="7"/>
    </row>
    <row r="1849">
      <c r="A1849" s="6" t="s">
        <v>1045</v>
      </c>
      <c r="B1849" s="6">
        <v>53.0</v>
      </c>
      <c r="C1849" s="7"/>
      <c r="D1849" s="7"/>
      <c r="E1849" s="7"/>
      <c r="F1849" s="7"/>
      <c r="G1849" s="7"/>
    </row>
    <row r="1850">
      <c r="A1850" s="6" t="s">
        <v>1046</v>
      </c>
      <c r="B1850" s="6">
        <v>37.0</v>
      </c>
      <c r="C1850" s="7"/>
      <c r="D1850" s="7"/>
      <c r="E1850" s="7"/>
      <c r="F1850" s="7"/>
      <c r="G1850" s="7"/>
    </row>
    <row r="1851">
      <c r="A1851" s="6" t="s">
        <v>1047</v>
      </c>
      <c r="B1851" s="6">
        <v>0.0</v>
      </c>
      <c r="C1851" s="7"/>
      <c r="D1851" s="7"/>
      <c r="E1851" s="7"/>
      <c r="F1851" s="7"/>
      <c r="G1851" s="7"/>
    </row>
    <row r="1852">
      <c r="A1852" s="6" t="s">
        <v>1048</v>
      </c>
      <c r="B1852" s="6">
        <v>0.0</v>
      </c>
      <c r="C1852" s="7"/>
      <c r="D1852" s="7"/>
      <c r="E1852" s="7"/>
      <c r="F1852" s="7"/>
      <c r="G1852" s="7"/>
    </row>
    <row r="1853">
      <c r="A1853" s="6" t="s">
        <v>1049</v>
      </c>
      <c r="B1853" s="6">
        <v>0.0</v>
      </c>
      <c r="C1853" s="7"/>
      <c r="D1853" s="7"/>
      <c r="E1853" s="7"/>
      <c r="F1853" s="7"/>
      <c r="G1853" s="7"/>
    </row>
    <row r="1854">
      <c r="A1854" s="6" t="s">
        <v>1050</v>
      </c>
      <c r="B1854" s="6">
        <v>8.0</v>
      </c>
      <c r="C1854" s="7"/>
      <c r="D1854" s="7"/>
      <c r="E1854" s="7"/>
      <c r="F1854" s="7"/>
      <c r="G1854" s="7"/>
    </row>
    <row r="1855">
      <c r="A1855" s="6" t="s">
        <v>1051</v>
      </c>
      <c r="B1855" s="6">
        <v>0.0</v>
      </c>
      <c r="C1855" s="7"/>
      <c r="D1855" s="7"/>
      <c r="E1855" s="7"/>
      <c r="F1855" s="7"/>
      <c r="G1855" s="7"/>
    </row>
    <row r="1856">
      <c r="A1856" s="6" t="s">
        <v>1052</v>
      </c>
      <c r="B1856" s="6">
        <v>0.0</v>
      </c>
      <c r="C1856" s="7"/>
      <c r="D1856" s="7"/>
      <c r="E1856" s="7"/>
      <c r="F1856" s="7"/>
      <c r="G1856" s="7"/>
    </row>
    <row r="1857">
      <c r="A1857" s="6" t="s">
        <v>1053</v>
      </c>
      <c r="B1857" s="6">
        <v>70.0</v>
      </c>
      <c r="C1857" s="7"/>
      <c r="D1857" s="7"/>
      <c r="E1857" s="7"/>
      <c r="F1857" s="7"/>
      <c r="G1857" s="7"/>
    </row>
    <row r="1858">
      <c r="A1858" s="6" t="s">
        <v>1054</v>
      </c>
      <c r="B1858" s="6">
        <v>48.0</v>
      </c>
      <c r="C1858" s="7"/>
      <c r="D1858" s="7"/>
      <c r="E1858" s="7"/>
      <c r="F1858" s="7"/>
      <c r="G1858" s="7"/>
    </row>
    <row r="1859">
      <c r="A1859" s="6" t="s">
        <v>1055</v>
      </c>
      <c r="B1859" s="6">
        <v>0.0</v>
      </c>
      <c r="C1859" s="7"/>
      <c r="D1859" s="7"/>
      <c r="E1859" s="7"/>
      <c r="F1859" s="7"/>
      <c r="G1859" s="7"/>
    </row>
    <row r="1860">
      <c r="A1860" s="6" t="s">
        <v>1056</v>
      </c>
      <c r="B1860" s="6">
        <v>0.0</v>
      </c>
      <c r="C1860" s="7"/>
      <c r="D1860" s="7"/>
      <c r="E1860" s="7"/>
      <c r="F1860" s="7"/>
      <c r="G1860" s="7"/>
    </row>
    <row r="1861">
      <c r="A1861" s="6" t="s">
        <v>1057</v>
      </c>
      <c r="B1861" s="6">
        <v>20.0</v>
      </c>
      <c r="C1861" s="7"/>
      <c r="D1861" s="7"/>
      <c r="E1861" s="7"/>
      <c r="F1861" s="7"/>
      <c r="G1861" s="7"/>
    </row>
    <row r="1862">
      <c r="A1862" s="6" t="s">
        <v>1058</v>
      </c>
      <c r="B1862" s="6">
        <v>74.0</v>
      </c>
      <c r="C1862" s="7"/>
      <c r="D1862" s="7"/>
      <c r="E1862" s="7"/>
      <c r="F1862" s="7"/>
      <c r="G1862" s="7"/>
    </row>
    <row r="1863">
      <c r="A1863" s="6" t="s">
        <v>1059</v>
      </c>
      <c r="B1863" s="6">
        <v>97.0</v>
      </c>
      <c r="C1863" s="7"/>
      <c r="D1863" s="7"/>
      <c r="E1863" s="7"/>
      <c r="F1863" s="7"/>
      <c r="G1863" s="7"/>
    </row>
    <row r="1864">
      <c r="A1864" s="6" t="s">
        <v>1060</v>
      </c>
      <c r="B1864" s="6">
        <v>0.0</v>
      </c>
      <c r="C1864" s="7"/>
      <c r="D1864" s="7"/>
      <c r="E1864" s="7"/>
      <c r="F1864" s="7"/>
      <c r="G1864" s="7"/>
    </row>
    <row r="1865">
      <c r="A1865" s="6" t="s">
        <v>1061</v>
      </c>
      <c r="B1865" s="6">
        <v>0.0</v>
      </c>
      <c r="C1865" s="7"/>
      <c r="D1865" s="7"/>
      <c r="E1865" s="7"/>
      <c r="F1865" s="7"/>
      <c r="G1865" s="7"/>
    </row>
    <row r="1866">
      <c r="A1866" s="6" t="s">
        <v>1062</v>
      </c>
      <c r="B1866" s="6">
        <v>0.0</v>
      </c>
      <c r="C1866" s="7"/>
      <c r="D1866" s="7"/>
      <c r="E1866" s="7"/>
      <c r="F1866" s="7"/>
      <c r="G1866" s="7"/>
    </row>
    <row r="1867">
      <c r="A1867" s="6" t="s">
        <v>1063</v>
      </c>
      <c r="B1867" s="6">
        <v>84.0</v>
      </c>
      <c r="C1867" s="7"/>
      <c r="D1867" s="7"/>
      <c r="E1867" s="7"/>
      <c r="F1867" s="7"/>
      <c r="G1867" s="7"/>
    </row>
    <row r="1868">
      <c r="A1868" s="6" t="s">
        <v>1064</v>
      </c>
      <c r="B1868" s="6">
        <v>0.0</v>
      </c>
      <c r="C1868" s="7"/>
      <c r="D1868" s="7"/>
      <c r="E1868" s="7"/>
      <c r="F1868" s="7"/>
      <c r="G1868" s="7"/>
    </row>
    <row r="1869">
      <c r="A1869" s="6" t="s">
        <v>1065</v>
      </c>
      <c r="B1869" s="6">
        <v>26.0</v>
      </c>
      <c r="C1869" s="7"/>
      <c r="D1869" s="7"/>
      <c r="E1869" s="7"/>
      <c r="F1869" s="7"/>
      <c r="G1869" s="7"/>
    </row>
    <row r="1870">
      <c r="A1870" s="6" t="s">
        <v>1066</v>
      </c>
      <c r="B1870" s="6">
        <v>90.0</v>
      </c>
      <c r="C1870" s="7"/>
      <c r="D1870" s="7"/>
      <c r="E1870" s="7"/>
      <c r="F1870" s="7"/>
      <c r="G1870" s="7"/>
    </row>
    <row r="1871">
      <c r="A1871" s="6" t="s">
        <v>1067</v>
      </c>
      <c r="B1871" s="6">
        <v>0.0</v>
      </c>
      <c r="C1871" s="7"/>
      <c r="D1871" s="7"/>
      <c r="E1871" s="7"/>
      <c r="F1871" s="7"/>
      <c r="G1871" s="7"/>
    </row>
    <row r="1872">
      <c r="A1872" s="6" t="s">
        <v>1068</v>
      </c>
      <c r="B1872" s="6">
        <v>51.0</v>
      </c>
      <c r="C1872" s="7"/>
      <c r="D1872" s="7"/>
      <c r="E1872" s="7"/>
      <c r="F1872" s="7"/>
      <c r="G1872" s="7"/>
    </row>
    <row r="1873">
      <c r="A1873" s="6" t="s">
        <v>1069</v>
      </c>
      <c r="B1873" s="6">
        <v>0.0</v>
      </c>
      <c r="C1873" s="7"/>
      <c r="D1873" s="7"/>
      <c r="E1873" s="7"/>
      <c r="F1873" s="7"/>
      <c r="G1873" s="7"/>
    </row>
    <row r="1874">
      <c r="A1874" s="6" t="s">
        <v>1070</v>
      </c>
      <c r="B1874" s="6">
        <v>0.0</v>
      </c>
      <c r="C1874" s="7"/>
      <c r="D1874" s="7"/>
      <c r="E1874" s="7"/>
      <c r="F1874" s="7"/>
      <c r="G1874" s="7"/>
    </row>
    <row r="1875">
      <c r="A1875" s="6" t="s">
        <v>1071</v>
      </c>
      <c r="B1875" s="6">
        <v>0.0</v>
      </c>
      <c r="C1875" s="7"/>
      <c r="D1875" s="7"/>
      <c r="E1875" s="7"/>
      <c r="F1875" s="7"/>
      <c r="G1875" s="7"/>
    </row>
    <row r="1876">
      <c r="A1876" s="6" t="s">
        <v>1072</v>
      </c>
      <c r="B1876" s="6">
        <v>0.0</v>
      </c>
      <c r="C1876" s="7"/>
      <c r="D1876" s="7"/>
      <c r="E1876" s="7"/>
      <c r="F1876" s="7"/>
      <c r="G1876" s="7"/>
    </row>
    <row r="1877">
      <c r="A1877" s="6" t="s">
        <v>1073</v>
      </c>
      <c r="B1877" s="6">
        <v>0.0</v>
      </c>
      <c r="C1877" s="7"/>
      <c r="D1877" s="7"/>
      <c r="E1877" s="7"/>
      <c r="F1877" s="7"/>
      <c r="G1877" s="7"/>
    </row>
    <row r="1878">
      <c r="A1878" s="6" t="s">
        <v>1074</v>
      </c>
      <c r="B1878" s="6">
        <v>61.0</v>
      </c>
      <c r="C1878" s="7"/>
      <c r="D1878" s="7"/>
      <c r="E1878" s="7"/>
      <c r="F1878" s="7"/>
      <c r="G1878" s="7"/>
    </row>
    <row r="1879">
      <c r="A1879" s="6" t="s">
        <v>1075</v>
      </c>
      <c r="B1879" s="6">
        <v>0.0</v>
      </c>
      <c r="C1879" s="7"/>
      <c r="D1879" s="7"/>
      <c r="E1879" s="7"/>
      <c r="F1879" s="7"/>
      <c r="G1879" s="7"/>
    </row>
    <row r="1880">
      <c r="A1880" s="6" t="s">
        <v>1076</v>
      </c>
      <c r="B1880" s="6">
        <v>0.0</v>
      </c>
      <c r="C1880" s="7"/>
      <c r="D1880" s="7"/>
      <c r="E1880" s="7"/>
      <c r="F1880" s="7"/>
      <c r="G1880" s="7"/>
    </row>
    <row r="1881">
      <c r="A1881" s="6" t="s">
        <v>1077</v>
      </c>
      <c r="B1881" s="6">
        <v>0.0</v>
      </c>
      <c r="C1881" s="7"/>
      <c r="D1881" s="7"/>
      <c r="E1881" s="7"/>
      <c r="F1881" s="7"/>
      <c r="G1881" s="7"/>
    </row>
    <row r="1882">
      <c r="A1882" s="6" t="s">
        <v>1078</v>
      </c>
      <c r="B1882" s="6">
        <v>0.0</v>
      </c>
      <c r="C1882" s="7"/>
      <c r="D1882" s="7"/>
      <c r="E1882" s="7"/>
      <c r="F1882" s="7"/>
      <c r="G1882" s="7"/>
    </row>
    <row r="1883">
      <c r="A1883" s="6" t="s">
        <v>1007</v>
      </c>
      <c r="B1883" s="6">
        <v>0.0</v>
      </c>
      <c r="C1883" s="7"/>
      <c r="D1883" s="7"/>
      <c r="E1883" s="7"/>
      <c r="F1883" s="7"/>
      <c r="G1883" s="7"/>
    </row>
    <row r="1884">
      <c r="A1884" s="6" t="s">
        <v>1008</v>
      </c>
      <c r="B1884" s="6">
        <v>43.0</v>
      </c>
      <c r="C1884" s="7"/>
      <c r="D1884" s="7"/>
      <c r="E1884" s="7"/>
      <c r="F1884" s="7"/>
      <c r="G1884" s="7"/>
    </row>
    <row r="1885">
      <c r="A1885" s="6" t="s">
        <v>1009</v>
      </c>
      <c r="B1885" s="6">
        <v>0.0</v>
      </c>
      <c r="C1885" s="7"/>
      <c r="D1885" s="7"/>
      <c r="E1885" s="7"/>
      <c r="F1885" s="7"/>
      <c r="G1885" s="7"/>
    </row>
    <row r="1886">
      <c r="A1886" s="6" t="s">
        <v>1010</v>
      </c>
      <c r="B1886" s="6" t="s">
        <v>1011</v>
      </c>
      <c r="C1886" s="6">
        <v>0.0</v>
      </c>
      <c r="D1886" s="7"/>
      <c r="E1886" s="7"/>
      <c r="F1886" s="7"/>
      <c r="G1886" s="7"/>
    </row>
    <row r="1887">
      <c r="A1887" s="6" t="s">
        <v>1012</v>
      </c>
      <c r="B1887" s="6">
        <v>0.0</v>
      </c>
      <c r="C1887" s="7"/>
      <c r="D1887" s="7"/>
      <c r="E1887" s="7"/>
      <c r="F1887" s="7"/>
      <c r="G1887" s="7"/>
    </row>
    <row r="1888">
      <c r="A1888" s="6" t="s">
        <v>1013</v>
      </c>
      <c r="B1888" s="6">
        <v>60.0</v>
      </c>
      <c r="C1888" s="7"/>
      <c r="D1888" s="7"/>
      <c r="E1888" s="7"/>
      <c r="F1888" s="7"/>
      <c r="G1888" s="7"/>
    </row>
    <row r="1889">
      <c r="A1889" s="6" t="s">
        <v>1014</v>
      </c>
      <c r="B1889" s="6">
        <v>0.0</v>
      </c>
      <c r="C1889" s="7"/>
      <c r="D1889" s="7"/>
      <c r="E1889" s="7"/>
      <c r="F1889" s="7"/>
      <c r="G1889" s="7"/>
    </row>
    <row r="1890">
      <c r="A1890" s="6" t="s">
        <v>1015</v>
      </c>
      <c r="B1890" s="6">
        <v>0.0</v>
      </c>
      <c r="C1890" s="7"/>
      <c r="D1890" s="7"/>
      <c r="E1890" s="7"/>
      <c r="F1890" s="7"/>
      <c r="G1890" s="7"/>
    </row>
    <row r="1891">
      <c r="A1891" s="6" t="s">
        <v>1016</v>
      </c>
      <c r="B1891" s="6">
        <v>0.0</v>
      </c>
      <c r="C1891" s="7"/>
      <c r="D1891" s="7"/>
      <c r="E1891" s="7"/>
      <c r="F1891" s="7"/>
      <c r="G1891" s="7"/>
    </row>
    <row r="1892">
      <c r="A1892" s="6" t="s">
        <v>1017</v>
      </c>
      <c r="B1892" s="6" t="s">
        <v>1018</v>
      </c>
      <c r="C1892" s="6" t="s">
        <v>1019</v>
      </c>
      <c r="D1892" s="6">
        <v>96.0</v>
      </c>
      <c r="E1892" s="7"/>
      <c r="F1892" s="7"/>
      <c r="G1892" s="7"/>
    </row>
    <row r="1893">
      <c r="A1893" s="6" t="s">
        <v>1020</v>
      </c>
      <c r="B1893" s="6">
        <v>0.0</v>
      </c>
      <c r="C1893" s="7"/>
      <c r="D1893" s="7"/>
      <c r="E1893" s="7"/>
      <c r="F1893" s="7"/>
      <c r="G1893" s="7"/>
    </row>
    <row r="1894">
      <c r="A1894" s="6" t="s">
        <v>1021</v>
      </c>
      <c r="B1894" s="6">
        <v>0.0</v>
      </c>
      <c r="C1894" s="7"/>
      <c r="D1894" s="7"/>
      <c r="E1894" s="7"/>
      <c r="F1894" s="7"/>
      <c r="G1894" s="7"/>
    </row>
    <row r="1895">
      <c r="A1895" s="6" t="s">
        <v>1022</v>
      </c>
      <c r="B1895" s="6">
        <v>0.0</v>
      </c>
      <c r="C1895" s="7"/>
      <c r="D1895" s="7"/>
      <c r="E1895" s="7"/>
      <c r="F1895" s="7"/>
      <c r="G1895" s="7"/>
    </row>
    <row r="1896">
      <c r="A1896" s="6" t="s">
        <v>1023</v>
      </c>
      <c r="B1896" s="6">
        <v>6.0</v>
      </c>
      <c r="C1896" s="7"/>
      <c r="D1896" s="7"/>
      <c r="E1896" s="7"/>
      <c r="F1896" s="7"/>
      <c r="G1896" s="7"/>
    </row>
    <row r="1897">
      <c r="A1897" s="6" t="s">
        <v>1024</v>
      </c>
      <c r="B1897" s="6">
        <v>0.0</v>
      </c>
      <c r="C1897" s="7"/>
      <c r="D1897" s="7"/>
      <c r="E1897" s="7"/>
      <c r="F1897" s="7"/>
      <c r="G1897" s="7"/>
    </row>
    <row r="1898">
      <c r="A1898" s="6" t="s">
        <v>1025</v>
      </c>
      <c r="B1898" s="6">
        <v>50.0</v>
      </c>
      <c r="C1898" s="7"/>
      <c r="D1898" s="7"/>
      <c r="E1898" s="7"/>
      <c r="F1898" s="7"/>
      <c r="G1898" s="7"/>
    </row>
    <row r="1899">
      <c r="A1899" s="6" t="s">
        <v>1026</v>
      </c>
      <c r="B1899" s="6">
        <v>78.0</v>
      </c>
      <c r="C1899" s="7"/>
      <c r="D1899" s="7"/>
      <c r="E1899" s="7"/>
      <c r="F1899" s="7"/>
      <c r="G1899" s="7"/>
    </row>
    <row r="1900">
      <c r="A1900" s="6" t="s">
        <v>1027</v>
      </c>
      <c r="B1900" s="6">
        <v>10.0</v>
      </c>
      <c r="C1900" s="7"/>
      <c r="D1900" s="7"/>
      <c r="E1900" s="7"/>
      <c r="F1900" s="7"/>
      <c r="G1900" s="7"/>
    </row>
    <row r="1901">
      <c r="A1901" s="6" t="s">
        <v>1028</v>
      </c>
      <c r="B1901" s="6">
        <v>0.0</v>
      </c>
      <c r="C1901" s="7"/>
      <c r="D1901" s="7"/>
      <c r="E1901" s="7"/>
      <c r="F1901" s="7"/>
      <c r="G1901" s="7"/>
    </row>
    <row r="1902">
      <c r="A1902" s="6" t="s">
        <v>1029</v>
      </c>
      <c r="B1902" s="6">
        <v>80.0</v>
      </c>
      <c r="C1902" s="7"/>
      <c r="D1902" s="7"/>
      <c r="E1902" s="7"/>
      <c r="F1902" s="7"/>
      <c r="G1902" s="7"/>
    </row>
    <row r="1903">
      <c r="A1903" s="6" t="s">
        <v>1030</v>
      </c>
      <c r="B1903" s="6">
        <v>0.0</v>
      </c>
      <c r="C1903" s="7"/>
      <c r="D1903" s="7"/>
      <c r="E1903" s="7"/>
      <c r="F1903" s="7"/>
      <c r="G1903" s="7"/>
    </row>
    <row r="1904">
      <c r="A1904" s="6" t="s">
        <v>1031</v>
      </c>
      <c r="B1904" s="6">
        <v>0.0</v>
      </c>
      <c r="C1904" s="7"/>
      <c r="D1904" s="7"/>
      <c r="E1904" s="7"/>
      <c r="F1904" s="7"/>
      <c r="G1904" s="7"/>
    </row>
    <row r="1905">
      <c r="A1905" s="6" t="s">
        <v>1032</v>
      </c>
      <c r="B1905" s="6">
        <v>0.0</v>
      </c>
      <c r="C1905" s="7"/>
      <c r="D1905" s="7"/>
      <c r="E1905" s="7"/>
      <c r="F1905" s="7"/>
      <c r="G1905" s="7"/>
    </row>
    <row r="1906">
      <c r="A1906" s="6" t="s">
        <v>1033</v>
      </c>
      <c r="B1906" s="6">
        <v>90.0</v>
      </c>
      <c r="C1906" s="7"/>
      <c r="D1906" s="7"/>
      <c r="E1906" s="7"/>
      <c r="F1906" s="7"/>
      <c r="G1906" s="7"/>
    </row>
    <row r="1907">
      <c r="A1907" s="6" t="s">
        <v>1034</v>
      </c>
      <c r="B1907" s="6">
        <v>40.0</v>
      </c>
      <c r="C1907" s="7"/>
      <c r="D1907" s="7"/>
      <c r="E1907" s="7"/>
      <c r="F1907" s="7"/>
      <c r="G1907" s="7"/>
    </row>
    <row r="1908">
      <c r="A1908" s="6" t="s">
        <v>1035</v>
      </c>
      <c r="B1908" s="6">
        <v>20.0</v>
      </c>
      <c r="C1908" s="7"/>
      <c r="D1908" s="7"/>
      <c r="E1908" s="7"/>
      <c r="F1908" s="7"/>
      <c r="G1908" s="7"/>
    </row>
    <row r="1909">
      <c r="A1909" s="6" t="s">
        <v>1036</v>
      </c>
      <c r="B1909" s="6">
        <v>0.0</v>
      </c>
      <c r="C1909" s="7"/>
      <c r="D1909" s="7"/>
      <c r="E1909" s="7"/>
      <c r="F1909" s="7"/>
      <c r="G1909" s="7"/>
    </row>
    <row r="1910">
      <c r="A1910" s="6" t="s">
        <v>1037</v>
      </c>
      <c r="B1910" s="6">
        <v>70.0</v>
      </c>
      <c r="C1910" s="7"/>
      <c r="D1910" s="7"/>
      <c r="E1910" s="7"/>
      <c r="F1910" s="7"/>
      <c r="G1910" s="7"/>
    </row>
    <row r="1911">
      <c r="A1911" s="6" t="s">
        <v>1038</v>
      </c>
      <c r="B1911" s="6">
        <v>67.0</v>
      </c>
      <c r="C1911" s="7"/>
      <c r="D1911" s="7"/>
      <c r="E1911" s="7"/>
      <c r="F1911" s="7"/>
      <c r="G1911" s="7"/>
    </row>
    <row r="1912">
      <c r="A1912" s="6" t="s">
        <v>1039</v>
      </c>
      <c r="B1912" s="6">
        <v>0.0</v>
      </c>
      <c r="C1912" s="7"/>
      <c r="D1912" s="7"/>
      <c r="E1912" s="7"/>
      <c r="F1912" s="7"/>
      <c r="G1912" s="7"/>
    </row>
    <row r="1913">
      <c r="A1913" s="6" t="s">
        <v>1040</v>
      </c>
      <c r="B1913" s="6">
        <v>40.0</v>
      </c>
      <c r="C1913" s="7"/>
      <c r="D1913" s="7"/>
      <c r="E1913" s="7"/>
      <c r="F1913" s="7"/>
      <c r="G1913" s="7"/>
    </row>
    <row r="1914">
      <c r="A1914" s="6" t="s">
        <v>1041</v>
      </c>
      <c r="B1914" s="6">
        <v>0.0</v>
      </c>
      <c r="C1914" s="7"/>
      <c r="D1914" s="7"/>
      <c r="E1914" s="7"/>
      <c r="F1914" s="7"/>
      <c r="G1914" s="7"/>
    </row>
    <row r="1915">
      <c r="A1915" s="6" t="s">
        <v>1042</v>
      </c>
      <c r="B1915" s="6">
        <v>0.0</v>
      </c>
      <c r="C1915" s="7"/>
      <c r="D1915" s="7"/>
      <c r="E1915" s="7"/>
      <c r="F1915" s="7"/>
      <c r="G1915" s="7"/>
    </row>
    <row r="1916">
      <c r="A1916" s="6" t="s">
        <v>1043</v>
      </c>
      <c r="B1916" s="6">
        <v>0.0</v>
      </c>
      <c r="C1916" s="7"/>
      <c r="D1916" s="7"/>
      <c r="E1916" s="7"/>
      <c r="F1916" s="7"/>
      <c r="G1916" s="7"/>
    </row>
    <row r="1917">
      <c r="A1917" s="6" t="s">
        <v>1044</v>
      </c>
      <c r="B1917" s="6">
        <v>32.0</v>
      </c>
      <c r="C1917" s="7"/>
      <c r="D1917" s="7"/>
      <c r="E1917" s="7"/>
      <c r="F1917" s="7"/>
      <c r="G1917" s="7"/>
    </row>
    <row r="1918">
      <c r="A1918" s="6" t="s">
        <v>1045</v>
      </c>
      <c r="B1918" s="6">
        <v>53.0</v>
      </c>
      <c r="C1918" s="7"/>
      <c r="D1918" s="7"/>
      <c r="E1918" s="7"/>
      <c r="F1918" s="7"/>
      <c r="G1918" s="7"/>
    </row>
    <row r="1919">
      <c r="A1919" s="6" t="s">
        <v>1046</v>
      </c>
      <c r="B1919" s="6">
        <v>37.0</v>
      </c>
      <c r="C1919" s="7"/>
      <c r="D1919" s="7"/>
      <c r="E1919" s="7"/>
      <c r="F1919" s="7"/>
      <c r="G1919" s="7"/>
    </row>
    <row r="1920">
      <c r="A1920" s="6" t="s">
        <v>1047</v>
      </c>
      <c r="B1920" s="6">
        <v>0.0</v>
      </c>
      <c r="C1920" s="7"/>
      <c r="D1920" s="7"/>
      <c r="E1920" s="7"/>
      <c r="F1920" s="7"/>
      <c r="G1920" s="7"/>
    </row>
    <row r="1921">
      <c r="A1921" s="6" t="s">
        <v>1048</v>
      </c>
      <c r="B1921" s="6">
        <v>0.0</v>
      </c>
      <c r="C1921" s="7"/>
      <c r="D1921" s="7"/>
      <c r="E1921" s="7"/>
      <c r="F1921" s="7"/>
      <c r="G1921" s="7"/>
    </row>
    <row r="1922">
      <c r="A1922" s="6" t="s">
        <v>1049</v>
      </c>
      <c r="B1922" s="6">
        <v>0.0</v>
      </c>
      <c r="C1922" s="7"/>
      <c r="D1922" s="7"/>
      <c r="E1922" s="7"/>
      <c r="F1922" s="7"/>
      <c r="G1922" s="7"/>
    </row>
    <row r="1923">
      <c r="A1923" s="6" t="s">
        <v>1050</v>
      </c>
      <c r="B1923" s="6">
        <v>8.0</v>
      </c>
      <c r="C1923" s="7"/>
      <c r="D1923" s="7"/>
      <c r="E1923" s="7"/>
      <c r="F1923" s="7"/>
      <c r="G1923" s="7"/>
    </row>
    <row r="1924">
      <c r="A1924" s="6" t="s">
        <v>1051</v>
      </c>
      <c r="B1924" s="6">
        <v>0.0</v>
      </c>
      <c r="C1924" s="7"/>
      <c r="D1924" s="7"/>
      <c r="E1924" s="7"/>
      <c r="F1924" s="7"/>
      <c r="G1924" s="7"/>
    </row>
    <row r="1925">
      <c r="A1925" s="6" t="s">
        <v>1052</v>
      </c>
      <c r="B1925" s="6">
        <v>0.0</v>
      </c>
      <c r="C1925" s="7"/>
      <c r="D1925" s="7"/>
      <c r="E1925" s="7"/>
      <c r="F1925" s="7"/>
      <c r="G1925" s="7"/>
    </row>
    <row r="1926">
      <c r="A1926" s="6" t="s">
        <v>1053</v>
      </c>
      <c r="B1926" s="6">
        <v>70.0</v>
      </c>
      <c r="C1926" s="7"/>
      <c r="D1926" s="7"/>
      <c r="E1926" s="7"/>
      <c r="F1926" s="7"/>
      <c r="G1926" s="7"/>
    </row>
    <row r="1927">
      <c r="A1927" s="6" t="s">
        <v>1054</v>
      </c>
      <c r="B1927" s="6">
        <v>48.0</v>
      </c>
      <c r="C1927" s="7"/>
      <c r="D1927" s="7"/>
      <c r="E1927" s="7"/>
      <c r="F1927" s="7"/>
      <c r="G1927" s="7"/>
    </row>
    <row r="1928">
      <c r="A1928" s="6" t="s">
        <v>1055</v>
      </c>
      <c r="B1928" s="6">
        <v>0.0</v>
      </c>
      <c r="C1928" s="7"/>
      <c r="D1928" s="7"/>
      <c r="E1928" s="7"/>
      <c r="F1928" s="7"/>
      <c r="G1928" s="7"/>
    </row>
    <row r="1929">
      <c r="A1929" s="6" t="s">
        <v>1056</v>
      </c>
      <c r="B1929" s="6">
        <v>0.0</v>
      </c>
      <c r="C1929" s="7"/>
      <c r="D1929" s="7"/>
      <c r="E1929" s="7"/>
      <c r="F1929" s="7"/>
      <c r="G1929" s="7"/>
    </row>
    <row r="1930">
      <c r="A1930" s="6" t="s">
        <v>1057</v>
      </c>
      <c r="B1930" s="6">
        <v>20.0</v>
      </c>
      <c r="C1930" s="7"/>
      <c r="D1930" s="7"/>
      <c r="E1930" s="7"/>
      <c r="F1930" s="7"/>
      <c r="G1930" s="7"/>
    </row>
    <row r="1931">
      <c r="A1931" s="6" t="s">
        <v>1058</v>
      </c>
      <c r="B1931" s="6">
        <v>74.0</v>
      </c>
      <c r="C1931" s="7"/>
      <c r="D1931" s="7"/>
      <c r="E1931" s="7"/>
      <c r="F1931" s="7"/>
      <c r="G1931" s="7"/>
    </row>
    <row r="1932">
      <c r="A1932" s="6" t="s">
        <v>1059</v>
      </c>
      <c r="B1932" s="6">
        <v>97.0</v>
      </c>
      <c r="C1932" s="7"/>
      <c r="D1932" s="7"/>
      <c r="E1932" s="7"/>
      <c r="F1932" s="7"/>
      <c r="G1932" s="7"/>
    </row>
    <row r="1933">
      <c r="A1933" s="6" t="s">
        <v>1060</v>
      </c>
      <c r="B1933" s="6">
        <v>0.0</v>
      </c>
      <c r="C1933" s="7"/>
      <c r="D1933" s="7"/>
      <c r="E1933" s="7"/>
      <c r="F1933" s="7"/>
      <c r="G1933" s="7"/>
    </row>
    <row r="1934">
      <c r="A1934" s="6" t="s">
        <v>1061</v>
      </c>
      <c r="B1934" s="6">
        <v>0.0</v>
      </c>
      <c r="C1934" s="7"/>
      <c r="D1934" s="7"/>
      <c r="E1934" s="7"/>
      <c r="F1934" s="7"/>
      <c r="G1934" s="7"/>
    </row>
    <row r="1935">
      <c r="A1935" s="6" t="s">
        <v>1062</v>
      </c>
      <c r="B1935" s="6">
        <v>0.0</v>
      </c>
      <c r="C1935" s="7"/>
      <c r="D1935" s="7"/>
      <c r="E1935" s="7"/>
      <c r="F1935" s="7"/>
      <c r="G1935" s="7"/>
    </row>
    <row r="1936">
      <c r="A1936" s="6" t="s">
        <v>1063</v>
      </c>
      <c r="B1936" s="6">
        <v>84.0</v>
      </c>
      <c r="C1936" s="7"/>
      <c r="D1936" s="7"/>
      <c r="E1936" s="7"/>
      <c r="F1936" s="7"/>
      <c r="G1936" s="7"/>
    </row>
    <row r="1937">
      <c r="A1937" s="6" t="s">
        <v>1064</v>
      </c>
      <c r="B1937" s="6">
        <v>0.0</v>
      </c>
      <c r="C1937" s="7"/>
      <c r="D1937" s="7"/>
      <c r="E1937" s="7"/>
      <c r="F1937" s="7"/>
      <c r="G1937" s="7"/>
    </row>
    <row r="1938">
      <c r="A1938" s="6" t="s">
        <v>1065</v>
      </c>
      <c r="B1938" s="6">
        <v>26.0</v>
      </c>
      <c r="C1938" s="7"/>
      <c r="D1938" s="7"/>
      <c r="E1938" s="7"/>
      <c r="F1938" s="7"/>
      <c r="G1938" s="7"/>
    </row>
    <row r="1939">
      <c r="A1939" s="6" t="s">
        <v>1066</v>
      </c>
      <c r="B1939" s="6">
        <v>90.0</v>
      </c>
      <c r="C1939" s="7"/>
      <c r="D1939" s="7"/>
      <c r="E1939" s="7"/>
      <c r="F1939" s="7"/>
      <c r="G1939" s="7"/>
    </row>
    <row r="1940">
      <c r="A1940" s="6" t="s">
        <v>1067</v>
      </c>
      <c r="B1940" s="6">
        <v>0.0</v>
      </c>
      <c r="C1940" s="7"/>
      <c r="D1940" s="7"/>
      <c r="E1940" s="7"/>
      <c r="F1940" s="7"/>
      <c r="G1940" s="7"/>
    </row>
    <row r="1941">
      <c r="A1941" s="6" t="s">
        <v>1068</v>
      </c>
      <c r="B1941" s="6">
        <v>51.0</v>
      </c>
      <c r="C1941" s="7"/>
      <c r="D1941" s="7"/>
      <c r="E1941" s="7"/>
      <c r="F1941" s="7"/>
      <c r="G1941" s="7"/>
    </row>
    <row r="1942">
      <c r="A1942" s="6" t="s">
        <v>1069</v>
      </c>
      <c r="B1942" s="6">
        <v>0.0</v>
      </c>
      <c r="C1942" s="7"/>
      <c r="D1942" s="7"/>
      <c r="E1942" s="7"/>
      <c r="F1942" s="7"/>
      <c r="G1942" s="7"/>
    </row>
    <row r="1943">
      <c r="A1943" s="6" t="s">
        <v>1070</v>
      </c>
      <c r="B1943" s="6">
        <v>0.0</v>
      </c>
      <c r="C1943" s="7"/>
      <c r="D1943" s="7"/>
      <c r="E1943" s="7"/>
      <c r="F1943" s="7"/>
      <c r="G1943" s="7"/>
    </row>
    <row r="1944">
      <c r="A1944" s="6" t="s">
        <v>1071</v>
      </c>
      <c r="B1944" s="6">
        <v>0.0</v>
      </c>
      <c r="C1944" s="7"/>
      <c r="D1944" s="7"/>
      <c r="E1944" s="7"/>
      <c r="F1944" s="7"/>
      <c r="G1944" s="7"/>
    </row>
    <row r="1945">
      <c r="A1945" s="6" t="s">
        <v>1072</v>
      </c>
      <c r="B1945" s="6">
        <v>0.0</v>
      </c>
      <c r="C1945" s="7"/>
      <c r="D1945" s="7"/>
      <c r="E1945" s="7"/>
      <c r="F1945" s="7"/>
      <c r="G1945" s="7"/>
    </row>
    <row r="1946">
      <c r="A1946" s="6" t="s">
        <v>1073</v>
      </c>
      <c r="B1946" s="6">
        <v>0.0</v>
      </c>
      <c r="C1946" s="7"/>
      <c r="D1946" s="7"/>
      <c r="E1946" s="7"/>
      <c r="F1946" s="7"/>
      <c r="G1946" s="7"/>
    </row>
    <row r="1947">
      <c r="A1947" s="6" t="s">
        <v>1074</v>
      </c>
      <c r="B1947" s="6">
        <v>61.0</v>
      </c>
      <c r="C1947" s="7"/>
      <c r="D1947" s="7"/>
      <c r="E1947" s="7"/>
      <c r="F1947" s="7"/>
      <c r="G1947" s="7"/>
    </row>
    <row r="1948">
      <c r="A1948" s="6" t="s">
        <v>1075</v>
      </c>
      <c r="B1948" s="6">
        <v>0.0</v>
      </c>
      <c r="C1948" s="7"/>
      <c r="D1948" s="7"/>
      <c r="E1948" s="7"/>
      <c r="F1948" s="7"/>
      <c r="G1948" s="7"/>
    </row>
    <row r="1949">
      <c r="A1949" s="6" t="s">
        <v>1076</v>
      </c>
      <c r="B1949" s="6">
        <v>0.0</v>
      </c>
      <c r="C1949" s="7"/>
      <c r="D1949" s="7"/>
      <c r="E1949" s="7"/>
      <c r="F1949" s="7"/>
      <c r="G1949" s="7"/>
    </row>
    <row r="1950">
      <c r="A1950" s="6" t="s">
        <v>1077</v>
      </c>
      <c r="B1950" s="6">
        <v>0.0</v>
      </c>
      <c r="C1950" s="7"/>
      <c r="D1950" s="7"/>
      <c r="E1950" s="7"/>
      <c r="F1950" s="7"/>
      <c r="G1950" s="7"/>
    </row>
    <row r="1951">
      <c r="A1951" s="6" t="s">
        <v>1078</v>
      </c>
      <c r="B1951" s="6">
        <v>0.0</v>
      </c>
      <c r="C1951" s="7"/>
      <c r="D1951" s="7"/>
      <c r="E1951" s="7"/>
      <c r="F1951" s="7"/>
      <c r="G1951" s="7"/>
    </row>
    <row r="1952">
      <c r="A1952" s="6" t="s">
        <v>1079</v>
      </c>
      <c r="B1952" s="6">
        <v>0.0</v>
      </c>
      <c r="C1952" s="7"/>
      <c r="D1952" s="7"/>
      <c r="E1952" s="7"/>
      <c r="F1952" s="7"/>
      <c r="G1952" s="7"/>
    </row>
    <row r="1953">
      <c r="A1953" s="6" t="s">
        <v>1080</v>
      </c>
      <c r="B1953" s="6">
        <v>0.0</v>
      </c>
      <c r="C1953" s="7"/>
      <c r="D1953" s="7"/>
      <c r="E1953" s="7"/>
      <c r="F1953" s="7"/>
      <c r="G1953" s="7"/>
    </row>
    <row r="1954">
      <c r="A1954" s="6" t="s">
        <v>1081</v>
      </c>
      <c r="B1954" s="6">
        <v>0.0</v>
      </c>
      <c r="C1954" s="7"/>
      <c r="D1954" s="7"/>
      <c r="E1954" s="7"/>
      <c r="F1954" s="7"/>
      <c r="G1954" s="7"/>
    </row>
    <row r="1955">
      <c r="A1955" s="6" t="s">
        <v>1082</v>
      </c>
      <c r="B1955" s="6" t="s">
        <v>1083</v>
      </c>
      <c r="C1955" s="6">
        <v>0.0</v>
      </c>
      <c r="D1955" s="7"/>
      <c r="E1955" s="7"/>
      <c r="F1955" s="7"/>
      <c r="G1955" s="7"/>
    </row>
    <row r="1956">
      <c r="A1956" s="6" t="s">
        <v>1084</v>
      </c>
      <c r="B1956" s="6">
        <v>0.0</v>
      </c>
      <c r="C1956" s="7"/>
      <c r="D1956" s="7"/>
      <c r="E1956" s="7"/>
      <c r="F1956" s="7"/>
      <c r="G1956" s="7"/>
    </row>
    <row r="1957">
      <c r="A1957" s="6" t="s">
        <v>1085</v>
      </c>
      <c r="B1957" s="6">
        <v>0.0</v>
      </c>
      <c r="C1957" s="7"/>
      <c r="D1957" s="7"/>
      <c r="E1957" s="7"/>
      <c r="F1957" s="7"/>
      <c r="G1957" s="7"/>
    </row>
    <row r="1958">
      <c r="A1958" s="6" t="s">
        <v>1086</v>
      </c>
      <c r="B1958" s="6">
        <v>2.0</v>
      </c>
      <c r="C1958" s="7"/>
      <c r="D1958" s="7"/>
      <c r="E1958" s="7"/>
      <c r="F1958" s="7"/>
      <c r="G1958" s="7"/>
    </row>
    <row r="1959">
      <c r="A1959" s="6" t="s">
        <v>1087</v>
      </c>
      <c r="B1959" s="6">
        <v>0.0</v>
      </c>
      <c r="C1959" s="7"/>
      <c r="D1959" s="7"/>
      <c r="E1959" s="7"/>
      <c r="F1959" s="7"/>
      <c r="G1959" s="7"/>
    </row>
    <row r="1960">
      <c r="A1960" s="6" t="s">
        <v>1088</v>
      </c>
      <c r="B1960" s="6" t="s">
        <v>1089</v>
      </c>
      <c r="C1960" s="6" t="s">
        <v>1090</v>
      </c>
      <c r="D1960" s="6">
        <v>0.0</v>
      </c>
      <c r="E1960" s="7"/>
      <c r="F1960" s="7"/>
      <c r="G1960" s="7"/>
    </row>
    <row r="1961">
      <c r="A1961" s="6" t="s">
        <v>1091</v>
      </c>
      <c r="B1961" s="6">
        <v>0.0</v>
      </c>
      <c r="C1961" s="7"/>
      <c r="D1961" s="7"/>
      <c r="E1961" s="7"/>
      <c r="F1961" s="7"/>
      <c r="G1961" s="7"/>
    </row>
    <row r="1962">
      <c r="A1962" s="6" t="s">
        <v>1092</v>
      </c>
      <c r="B1962" s="6">
        <v>0.0</v>
      </c>
      <c r="C1962" s="7"/>
      <c r="D1962" s="7"/>
      <c r="E1962" s="7"/>
      <c r="F1962" s="7"/>
      <c r="G1962" s="7"/>
    </row>
    <row r="1963">
      <c r="A1963" s="6" t="s">
        <v>1093</v>
      </c>
      <c r="B1963" s="6">
        <v>0.0</v>
      </c>
      <c r="C1963" s="7"/>
      <c r="D1963" s="7"/>
      <c r="E1963" s="7"/>
      <c r="F1963" s="7"/>
      <c r="G1963" s="7"/>
    </row>
    <row r="1964">
      <c r="A1964" s="6" t="s">
        <v>1094</v>
      </c>
      <c r="B1964" s="6">
        <v>0.0</v>
      </c>
      <c r="C1964" s="7"/>
      <c r="D1964" s="7"/>
      <c r="E1964" s="7"/>
      <c r="F1964" s="7"/>
      <c r="G1964" s="7"/>
    </row>
    <row r="1965">
      <c r="A1965" s="6" t="s">
        <v>1095</v>
      </c>
      <c r="B1965" s="6" t="s">
        <v>1096</v>
      </c>
      <c r="C1965" s="6">
        <v>18.0</v>
      </c>
      <c r="D1965" s="7"/>
      <c r="E1965" s="7"/>
      <c r="F1965" s="7"/>
      <c r="G1965" s="7"/>
    </row>
    <row r="1966">
      <c r="A1966" s="6" t="s">
        <v>1097</v>
      </c>
      <c r="B1966" s="6">
        <v>59.0</v>
      </c>
      <c r="C1966" s="7"/>
      <c r="D1966" s="7"/>
      <c r="E1966" s="7"/>
      <c r="F1966" s="7"/>
      <c r="G1966" s="7"/>
    </row>
    <row r="1967">
      <c r="A1967" s="6" t="s">
        <v>1098</v>
      </c>
      <c r="B1967" s="6">
        <v>70.0</v>
      </c>
      <c r="C1967" s="7"/>
      <c r="D1967" s="7"/>
      <c r="E1967" s="7"/>
      <c r="F1967" s="7"/>
      <c r="G1967" s="7"/>
    </row>
    <row r="1968">
      <c r="A1968" s="6" t="s">
        <v>1099</v>
      </c>
      <c r="B1968" s="6">
        <v>78.0</v>
      </c>
      <c r="C1968" s="7"/>
      <c r="D1968" s="7"/>
      <c r="E1968" s="7"/>
      <c r="F1968" s="7"/>
      <c r="G1968" s="7"/>
    </row>
    <row r="1969">
      <c r="A1969" s="6" t="s">
        <v>1100</v>
      </c>
      <c r="B1969" s="6">
        <v>11.0</v>
      </c>
      <c r="C1969" s="7"/>
      <c r="D1969" s="7"/>
      <c r="E1969" s="7"/>
      <c r="F1969" s="7"/>
      <c r="G1969" s="7"/>
    </row>
    <row r="1970">
      <c r="A1970" s="6" t="s">
        <v>1101</v>
      </c>
      <c r="B1970" s="6">
        <v>44.0</v>
      </c>
      <c r="C1970" s="7"/>
      <c r="D1970" s="7"/>
      <c r="E1970" s="7"/>
      <c r="F1970" s="7"/>
      <c r="G1970" s="7"/>
    </row>
    <row r="1971">
      <c r="A1971" s="6" t="s">
        <v>1102</v>
      </c>
      <c r="B1971" s="6">
        <v>10.0</v>
      </c>
      <c r="C1971" s="7"/>
      <c r="D1971" s="7"/>
      <c r="E1971" s="7"/>
      <c r="F1971" s="7"/>
      <c r="G1971" s="7"/>
    </row>
    <row r="1972">
      <c r="A1972" s="6" t="s">
        <v>1103</v>
      </c>
      <c r="B1972" s="6">
        <v>0.0</v>
      </c>
      <c r="C1972" s="7"/>
      <c r="D1972" s="7"/>
      <c r="E1972" s="7"/>
      <c r="F1972" s="7"/>
      <c r="G1972" s="7"/>
    </row>
    <row r="1973">
      <c r="A1973" s="6" t="s">
        <v>1104</v>
      </c>
      <c r="B1973" s="6">
        <v>0.0</v>
      </c>
      <c r="C1973" s="7"/>
      <c r="D1973" s="7"/>
      <c r="E1973" s="7"/>
      <c r="F1973" s="7"/>
      <c r="G1973" s="7"/>
    </row>
    <row r="1974">
      <c r="A1974" s="6" t="s">
        <v>1105</v>
      </c>
      <c r="B1974" s="6">
        <v>0.0</v>
      </c>
      <c r="C1974" s="7"/>
      <c r="D1974" s="7"/>
      <c r="E1974" s="7"/>
      <c r="F1974" s="7"/>
      <c r="G1974" s="7"/>
    </row>
    <row r="1975">
      <c r="A1975" s="6" t="s">
        <v>1106</v>
      </c>
      <c r="B1975" s="6">
        <v>32.0</v>
      </c>
      <c r="C1975" s="7"/>
      <c r="D1975" s="7"/>
      <c r="E1975" s="7"/>
      <c r="F1975" s="7"/>
      <c r="G1975" s="7"/>
    </row>
    <row r="1976">
      <c r="A1976" s="6" t="s">
        <v>1107</v>
      </c>
      <c r="B1976" s="6" t="s">
        <v>1108</v>
      </c>
      <c r="C1976" s="6">
        <v>12.0</v>
      </c>
      <c r="D1976" s="7"/>
      <c r="E1976" s="7"/>
      <c r="F1976" s="7"/>
      <c r="G1976" s="7"/>
    </row>
    <row r="1977">
      <c r="A1977" s="6" t="s">
        <v>1109</v>
      </c>
      <c r="B1977" s="6">
        <v>13.0</v>
      </c>
      <c r="C1977" s="7"/>
      <c r="D1977" s="7"/>
      <c r="E1977" s="7"/>
      <c r="F1977" s="7"/>
      <c r="G1977" s="7"/>
    </row>
    <row r="1978">
      <c r="A1978" s="6" t="s">
        <v>1110</v>
      </c>
      <c r="B1978" s="6">
        <v>40.0</v>
      </c>
      <c r="C1978" s="7"/>
      <c r="D1978" s="7"/>
      <c r="E1978" s="7"/>
      <c r="F1978" s="7"/>
      <c r="G1978" s="7"/>
    </row>
    <row r="1979">
      <c r="A1979" s="6" t="s">
        <v>1111</v>
      </c>
      <c r="B1979" s="6">
        <v>0.0</v>
      </c>
      <c r="C1979" s="7"/>
      <c r="D1979" s="7"/>
      <c r="E1979" s="7"/>
      <c r="F1979" s="7"/>
      <c r="G1979" s="7"/>
    </row>
    <row r="1980">
      <c r="A1980" s="6" t="s">
        <v>1112</v>
      </c>
      <c r="B1980" s="6">
        <v>0.0</v>
      </c>
      <c r="C1980" s="7"/>
      <c r="D1980" s="7"/>
      <c r="E1980" s="7"/>
      <c r="F1980" s="7"/>
      <c r="G1980" s="7"/>
    </row>
    <row r="1981">
      <c r="A1981" s="6" t="s">
        <v>1113</v>
      </c>
      <c r="B1981" s="6">
        <v>0.0</v>
      </c>
      <c r="C1981" s="7"/>
      <c r="D1981" s="7"/>
      <c r="E1981" s="7"/>
      <c r="F1981" s="7"/>
      <c r="G1981" s="7"/>
    </row>
    <row r="1982">
      <c r="A1982" s="6" t="s">
        <v>1114</v>
      </c>
      <c r="B1982" s="6">
        <v>0.0</v>
      </c>
      <c r="C1982" s="7"/>
      <c r="D1982" s="7"/>
      <c r="E1982" s="7"/>
      <c r="F1982" s="7"/>
      <c r="G1982" s="7"/>
    </row>
    <row r="1983">
      <c r="A1983" s="6" t="s">
        <v>1115</v>
      </c>
      <c r="B1983" s="6">
        <v>0.0</v>
      </c>
      <c r="C1983" s="7"/>
      <c r="D1983" s="7"/>
      <c r="E1983" s="7"/>
      <c r="F1983" s="7"/>
      <c r="G1983" s="7"/>
    </row>
    <row r="1984">
      <c r="A1984" s="6" t="s">
        <v>1116</v>
      </c>
      <c r="B1984" s="6">
        <v>0.0</v>
      </c>
      <c r="C1984" s="7"/>
      <c r="D1984" s="7"/>
      <c r="E1984" s="7"/>
      <c r="F1984" s="7"/>
      <c r="G1984" s="7"/>
    </row>
    <row r="1985">
      <c r="A1985" s="6" t="s">
        <v>1117</v>
      </c>
      <c r="B1985" s="6">
        <v>0.0</v>
      </c>
      <c r="C1985" s="7"/>
      <c r="D1985" s="7"/>
      <c r="E1985" s="7"/>
      <c r="F1985" s="7"/>
      <c r="G1985" s="7"/>
    </row>
    <row r="1986">
      <c r="A1986" s="6" t="s">
        <v>1118</v>
      </c>
      <c r="B1986" s="6">
        <v>0.0</v>
      </c>
      <c r="C1986" s="7"/>
      <c r="D1986" s="7"/>
      <c r="E1986" s="7"/>
      <c r="F1986" s="7"/>
      <c r="G1986" s="7"/>
    </row>
    <row r="1987">
      <c r="A1987" s="6" t="s">
        <v>1119</v>
      </c>
      <c r="B1987" s="6">
        <v>12.0</v>
      </c>
      <c r="C1987" s="7"/>
      <c r="D1987" s="7"/>
      <c r="E1987" s="7"/>
      <c r="F1987" s="7"/>
      <c r="G1987" s="7"/>
    </row>
    <row r="1988">
      <c r="A1988" s="6" t="s">
        <v>1120</v>
      </c>
      <c r="B1988" s="6">
        <v>0.0</v>
      </c>
      <c r="C1988" s="7"/>
      <c r="D1988" s="7"/>
      <c r="E1988" s="7"/>
      <c r="F1988" s="7"/>
      <c r="G1988" s="7"/>
    </row>
    <row r="1989">
      <c r="A1989" s="6" t="s">
        <v>1121</v>
      </c>
      <c r="B1989" s="6">
        <v>0.0</v>
      </c>
      <c r="C1989" s="7"/>
      <c r="D1989" s="7"/>
      <c r="E1989" s="7"/>
      <c r="F1989" s="7"/>
      <c r="G1989" s="7"/>
    </row>
    <row r="1990">
      <c r="A1990" s="6" t="s">
        <v>1122</v>
      </c>
      <c r="B1990" s="6">
        <v>0.0</v>
      </c>
      <c r="C1990" s="7"/>
      <c r="D1990" s="7"/>
      <c r="E1990" s="7"/>
      <c r="F1990" s="7"/>
      <c r="G1990" s="7"/>
    </row>
    <row r="1991">
      <c r="A1991" s="6" t="s">
        <v>1123</v>
      </c>
      <c r="B1991" s="6">
        <v>22.0</v>
      </c>
      <c r="C1991" s="7"/>
      <c r="D1991" s="7"/>
      <c r="E1991" s="7"/>
      <c r="F1991" s="7"/>
      <c r="G1991" s="7"/>
    </row>
    <row r="1992">
      <c r="A1992" s="6" t="s">
        <v>1124</v>
      </c>
      <c r="B1992" s="6">
        <v>60.0</v>
      </c>
      <c r="C1992" s="7"/>
      <c r="D1992" s="7"/>
      <c r="E1992" s="7"/>
      <c r="F1992" s="7"/>
      <c r="G1992" s="7"/>
    </row>
    <row r="1993">
      <c r="A1993" s="6" t="s">
        <v>1125</v>
      </c>
      <c r="B1993" s="6">
        <v>0.0</v>
      </c>
      <c r="C1993" s="7"/>
      <c r="D1993" s="7"/>
      <c r="E1993" s="7"/>
      <c r="F1993" s="7"/>
      <c r="G1993" s="7"/>
    </row>
    <row r="1994">
      <c r="A1994" s="6" t="s">
        <v>1126</v>
      </c>
      <c r="B1994" s="6">
        <v>60.0</v>
      </c>
      <c r="C1994" s="7"/>
      <c r="D1994" s="7"/>
      <c r="E1994" s="7"/>
      <c r="F1994" s="7"/>
      <c r="G1994" s="7"/>
    </row>
    <row r="1995">
      <c r="A1995" s="6" t="s">
        <v>1127</v>
      </c>
      <c r="B1995" s="6">
        <v>0.0</v>
      </c>
      <c r="C1995" s="7"/>
      <c r="D1995" s="7"/>
      <c r="E1995" s="7"/>
      <c r="F1995" s="7"/>
      <c r="G1995" s="7"/>
    </row>
    <row r="1996">
      <c r="A1996" s="6" t="s">
        <v>1128</v>
      </c>
      <c r="B1996" s="6">
        <v>80.0</v>
      </c>
      <c r="C1996" s="7"/>
      <c r="D1996" s="7"/>
      <c r="E1996" s="7"/>
      <c r="F1996" s="7"/>
      <c r="G1996" s="7"/>
    </row>
    <row r="1997">
      <c r="A1997" s="6" t="s">
        <v>1129</v>
      </c>
      <c r="B1997" s="6">
        <v>0.0</v>
      </c>
      <c r="C1997" s="7"/>
      <c r="D1997" s="7"/>
      <c r="E1997" s="7"/>
      <c r="F1997" s="7"/>
      <c r="G1997" s="7"/>
    </row>
    <row r="1998">
      <c r="A1998" s="6" t="s">
        <v>1130</v>
      </c>
      <c r="B1998" s="6">
        <v>0.0</v>
      </c>
      <c r="C1998" s="7"/>
      <c r="D1998" s="7"/>
      <c r="E1998" s="7"/>
      <c r="F1998" s="7"/>
      <c r="G1998" s="7"/>
    </row>
    <row r="1999">
      <c r="A1999" s="6" t="s">
        <v>1131</v>
      </c>
      <c r="B1999" s="6">
        <v>0.0</v>
      </c>
      <c r="C1999" s="7"/>
      <c r="D1999" s="7"/>
      <c r="E1999" s="7"/>
      <c r="F1999" s="7"/>
      <c r="G1999" s="7"/>
    </row>
    <row r="2000">
      <c r="A2000" s="6" t="s">
        <v>1132</v>
      </c>
      <c r="B2000" s="6">
        <v>0.0</v>
      </c>
      <c r="C2000" s="7"/>
      <c r="D2000" s="7"/>
      <c r="E2000" s="7"/>
      <c r="F2000" s="7"/>
      <c r="G2000" s="7"/>
    </row>
    <row r="2001">
      <c r="A2001" s="6" t="s">
        <v>1133</v>
      </c>
      <c r="B2001" s="6">
        <v>0.0</v>
      </c>
      <c r="C2001" s="7"/>
      <c r="D2001" s="7"/>
      <c r="E2001" s="7"/>
      <c r="F2001" s="7"/>
      <c r="G2001" s="7"/>
    </row>
    <row r="2002">
      <c r="A2002" s="6" t="s">
        <v>1134</v>
      </c>
      <c r="B2002" s="6">
        <v>0.0</v>
      </c>
      <c r="C2002" s="7"/>
      <c r="D2002" s="7"/>
      <c r="E2002" s="7"/>
      <c r="F2002" s="7"/>
      <c r="G2002" s="7"/>
    </row>
    <row r="2003">
      <c r="A2003" s="6" t="s">
        <v>1135</v>
      </c>
      <c r="B2003" s="6">
        <v>0.0</v>
      </c>
      <c r="C2003" s="7"/>
      <c r="D2003" s="7"/>
      <c r="E2003" s="7"/>
      <c r="F2003" s="7"/>
      <c r="G2003" s="7"/>
    </row>
    <row r="2004">
      <c r="A2004" s="6" t="s">
        <v>1136</v>
      </c>
      <c r="B2004" s="6">
        <v>0.0</v>
      </c>
      <c r="C2004" s="7"/>
      <c r="D2004" s="7"/>
      <c r="E2004" s="7"/>
      <c r="F2004" s="7"/>
      <c r="G2004" s="7"/>
    </row>
    <row r="2005">
      <c r="A2005" s="6" t="s">
        <v>1137</v>
      </c>
      <c r="B2005" s="6">
        <v>0.0</v>
      </c>
      <c r="C2005" s="7"/>
      <c r="D2005" s="7"/>
      <c r="E2005" s="7"/>
      <c r="F2005" s="7"/>
      <c r="G2005" s="7"/>
    </row>
    <row r="2006">
      <c r="A2006" s="6" t="s">
        <v>1138</v>
      </c>
      <c r="B2006" s="6">
        <v>0.0</v>
      </c>
      <c r="C2006" s="7"/>
      <c r="D2006" s="7"/>
      <c r="E2006" s="7"/>
      <c r="F2006" s="7"/>
      <c r="G2006" s="7"/>
    </row>
    <row r="2007">
      <c r="A2007" s="6" t="s">
        <v>1139</v>
      </c>
      <c r="B2007" s="6">
        <v>0.0</v>
      </c>
      <c r="C2007" s="7"/>
      <c r="D2007" s="7"/>
      <c r="E2007" s="7"/>
      <c r="F2007" s="7"/>
      <c r="G2007" s="7"/>
    </row>
    <row r="2008">
      <c r="A2008" s="6" t="s">
        <v>1140</v>
      </c>
      <c r="B2008" s="6">
        <v>0.0</v>
      </c>
      <c r="C2008" s="7"/>
      <c r="D2008" s="7"/>
      <c r="E2008" s="7"/>
      <c r="F2008" s="7"/>
      <c r="G2008" s="7"/>
    </row>
    <row r="2009">
      <c r="A2009" s="6" t="s">
        <v>1141</v>
      </c>
      <c r="B2009" s="6">
        <v>92.0</v>
      </c>
      <c r="C2009" s="7"/>
      <c r="D2009" s="7"/>
      <c r="E2009" s="7"/>
      <c r="F2009" s="7"/>
      <c r="G2009" s="7"/>
    </row>
    <row r="2010">
      <c r="A2010" s="6" t="s">
        <v>1142</v>
      </c>
      <c r="B2010" s="6">
        <v>0.0</v>
      </c>
      <c r="C2010" s="7"/>
      <c r="D2010" s="7"/>
      <c r="E2010" s="7"/>
      <c r="F2010" s="7"/>
      <c r="G2010" s="7"/>
    </row>
    <row r="2011">
      <c r="A2011" s="6" t="s">
        <v>1143</v>
      </c>
      <c r="B2011" s="6">
        <v>70.0</v>
      </c>
      <c r="C2011" s="7"/>
      <c r="D2011" s="7"/>
      <c r="E2011" s="7"/>
      <c r="F2011" s="7"/>
      <c r="G2011" s="7"/>
    </row>
    <row r="2012">
      <c r="A2012" s="6" t="s">
        <v>1144</v>
      </c>
      <c r="B2012" s="6">
        <v>0.0</v>
      </c>
      <c r="C2012" s="7"/>
      <c r="D2012" s="7"/>
      <c r="E2012" s="7"/>
      <c r="F2012" s="7"/>
      <c r="G2012" s="7"/>
    </row>
    <row r="2013">
      <c r="A2013" s="6" t="s">
        <v>1145</v>
      </c>
      <c r="B2013" s="6">
        <v>0.0</v>
      </c>
      <c r="C2013" s="7"/>
      <c r="D2013" s="7"/>
      <c r="E2013" s="7"/>
      <c r="F2013" s="7"/>
      <c r="G2013" s="7"/>
    </row>
    <row r="2014">
      <c r="A2014" s="6" t="s">
        <v>1146</v>
      </c>
      <c r="B2014" s="6">
        <v>0.0</v>
      </c>
      <c r="C2014" s="7"/>
      <c r="D2014" s="7"/>
      <c r="E2014" s="7"/>
      <c r="F2014" s="7"/>
      <c r="G2014" s="7"/>
    </row>
    <row r="2015">
      <c r="A2015" s="6" t="s">
        <v>1147</v>
      </c>
      <c r="B2015" s="6">
        <v>0.0</v>
      </c>
      <c r="C2015" s="7"/>
      <c r="D2015" s="7"/>
      <c r="E2015" s="7"/>
      <c r="F2015" s="7"/>
      <c r="G2015" s="7"/>
    </row>
    <row r="2016">
      <c r="A2016" s="6" t="s">
        <v>1148</v>
      </c>
      <c r="B2016" s="6">
        <v>0.0</v>
      </c>
      <c r="C2016" s="7"/>
      <c r="D2016" s="7"/>
      <c r="E2016" s="7"/>
      <c r="F2016" s="7"/>
      <c r="G2016" s="7"/>
    </row>
    <row r="2017">
      <c r="A2017" s="6" t="s">
        <v>1149</v>
      </c>
      <c r="B2017" s="6">
        <v>0.0</v>
      </c>
      <c r="C2017" s="7"/>
      <c r="D2017" s="7"/>
      <c r="E2017" s="7"/>
      <c r="F2017" s="7"/>
      <c r="G2017" s="7"/>
    </row>
    <row r="2018">
      <c r="A2018" s="6" t="s">
        <v>1150</v>
      </c>
      <c r="B2018" s="6">
        <v>0.0</v>
      </c>
      <c r="C2018" s="7"/>
      <c r="D2018" s="7"/>
      <c r="E2018" s="7"/>
      <c r="F2018" s="7"/>
      <c r="G2018" s="7"/>
    </row>
    <row r="2019">
      <c r="A2019" s="6" t="s">
        <v>1151</v>
      </c>
      <c r="B2019" s="6">
        <v>0.0</v>
      </c>
      <c r="C2019" s="7"/>
      <c r="D2019" s="7"/>
      <c r="E2019" s="7"/>
      <c r="F2019" s="7"/>
      <c r="G2019" s="7"/>
    </row>
    <row r="2020">
      <c r="A2020" s="6" t="s">
        <v>1152</v>
      </c>
      <c r="B2020" s="6">
        <v>0.0</v>
      </c>
      <c r="C2020" s="7"/>
      <c r="D2020" s="7"/>
      <c r="E2020" s="7"/>
      <c r="F2020" s="7"/>
      <c r="G2020" s="7"/>
    </row>
    <row r="2021">
      <c r="A2021" s="6" t="s">
        <v>1079</v>
      </c>
      <c r="B2021" s="6">
        <v>0.0</v>
      </c>
      <c r="C2021" s="7"/>
      <c r="D2021" s="7"/>
      <c r="E2021" s="7"/>
      <c r="F2021" s="7"/>
      <c r="G2021" s="7"/>
    </row>
    <row r="2022">
      <c r="A2022" s="6" t="s">
        <v>1080</v>
      </c>
      <c r="B2022" s="6">
        <v>0.0</v>
      </c>
      <c r="C2022" s="7"/>
      <c r="D2022" s="7"/>
      <c r="E2022" s="7"/>
      <c r="F2022" s="7"/>
      <c r="G2022" s="7"/>
    </row>
    <row r="2023">
      <c r="A2023" s="6" t="s">
        <v>1081</v>
      </c>
      <c r="B2023" s="6">
        <v>0.0</v>
      </c>
      <c r="C2023" s="7"/>
      <c r="D2023" s="7"/>
      <c r="E2023" s="7"/>
      <c r="F2023" s="7"/>
      <c r="G2023" s="7"/>
    </row>
    <row r="2024">
      <c r="A2024" s="6" t="s">
        <v>1082</v>
      </c>
      <c r="B2024" s="6" t="s">
        <v>1083</v>
      </c>
      <c r="C2024" s="6">
        <v>0.0</v>
      </c>
      <c r="D2024" s="7"/>
      <c r="E2024" s="7"/>
      <c r="F2024" s="7"/>
      <c r="G2024" s="7"/>
    </row>
    <row r="2025">
      <c r="A2025" s="6" t="s">
        <v>1084</v>
      </c>
      <c r="B2025" s="6">
        <v>0.0</v>
      </c>
      <c r="C2025" s="7"/>
      <c r="D2025" s="7"/>
      <c r="E2025" s="7"/>
      <c r="F2025" s="7"/>
      <c r="G2025" s="7"/>
    </row>
    <row r="2026">
      <c r="A2026" s="6" t="s">
        <v>1085</v>
      </c>
      <c r="B2026" s="6">
        <v>0.0</v>
      </c>
      <c r="C2026" s="7"/>
      <c r="D2026" s="7"/>
      <c r="E2026" s="7"/>
      <c r="F2026" s="7"/>
      <c r="G2026" s="7"/>
    </row>
    <row r="2027">
      <c r="A2027" s="6" t="s">
        <v>1086</v>
      </c>
      <c r="B2027" s="6">
        <v>2.0</v>
      </c>
      <c r="C2027" s="7"/>
      <c r="D2027" s="7"/>
      <c r="E2027" s="7"/>
      <c r="F2027" s="7"/>
      <c r="G2027" s="7"/>
    </row>
    <row r="2028">
      <c r="A2028" s="6" t="s">
        <v>1087</v>
      </c>
      <c r="B2028" s="6">
        <v>0.0</v>
      </c>
      <c r="C2028" s="7"/>
      <c r="D2028" s="7"/>
      <c r="E2028" s="7"/>
      <c r="F2028" s="7"/>
      <c r="G2028" s="7"/>
    </row>
    <row r="2029">
      <c r="A2029" s="6" t="s">
        <v>1088</v>
      </c>
      <c r="B2029" s="6" t="s">
        <v>1089</v>
      </c>
      <c r="C2029" s="6" t="s">
        <v>1090</v>
      </c>
      <c r="D2029" s="6">
        <v>0.0</v>
      </c>
      <c r="E2029" s="7"/>
      <c r="F2029" s="7"/>
      <c r="G2029" s="7"/>
    </row>
    <row r="2030">
      <c r="A2030" s="6" t="s">
        <v>1091</v>
      </c>
      <c r="B2030" s="6">
        <v>0.0</v>
      </c>
      <c r="C2030" s="7"/>
      <c r="D2030" s="7"/>
      <c r="E2030" s="7"/>
      <c r="F2030" s="7"/>
      <c r="G2030" s="7"/>
    </row>
    <row r="2031">
      <c r="A2031" s="6" t="s">
        <v>1092</v>
      </c>
      <c r="B2031" s="6">
        <v>0.0</v>
      </c>
      <c r="C2031" s="7"/>
      <c r="D2031" s="7"/>
      <c r="E2031" s="7"/>
      <c r="F2031" s="7"/>
      <c r="G2031" s="7"/>
    </row>
    <row r="2032">
      <c r="A2032" s="6" t="s">
        <v>1093</v>
      </c>
      <c r="B2032" s="6">
        <v>0.0</v>
      </c>
      <c r="C2032" s="7"/>
      <c r="D2032" s="7"/>
      <c r="E2032" s="7"/>
      <c r="F2032" s="7"/>
      <c r="G2032" s="7"/>
    </row>
    <row r="2033">
      <c r="A2033" s="6" t="s">
        <v>1094</v>
      </c>
      <c r="B2033" s="6">
        <v>0.0</v>
      </c>
      <c r="C2033" s="7"/>
      <c r="D2033" s="7"/>
      <c r="E2033" s="7"/>
      <c r="F2033" s="7"/>
      <c r="G2033" s="7"/>
    </row>
    <row r="2034">
      <c r="A2034" s="6" t="s">
        <v>1095</v>
      </c>
      <c r="B2034" s="6" t="s">
        <v>1096</v>
      </c>
      <c r="C2034" s="6">
        <v>18.0</v>
      </c>
      <c r="D2034" s="7"/>
      <c r="E2034" s="7"/>
      <c r="F2034" s="7"/>
      <c r="G2034" s="7"/>
    </row>
    <row r="2035">
      <c r="A2035" s="6" t="s">
        <v>1097</v>
      </c>
      <c r="B2035" s="6">
        <v>59.0</v>
      </c>
      <c r="C2035" s="7"/>
      <c r="D2035" s="7"/>
      <c r="E2035" s="7"/>
      <c r="F2035" s="7"/>
      <c r="G2035" s="7"/>
    </row>
    <row r="2036">
      <c r="A2036" s="6" t="s">
        <v>1098</v>
      </c>
      <c r="B2036" s="6">
        <v>70.0</v>
      </c>
      <c r="C2036" s="7"/>
      <c r="D2036" s="7"/>
      <c r="E2036" s="7"/>
      <c r="F2036" s="7"/>
      <c r="G2036" s="7"/>
    </row>
    <row r="2037">
      <c r="A2037" s="6" t="s">
        <v>1099</v>
      </c>
      <c r="B2037" s="6">
        <v>78.0</v>
      </c>
      <c r="C2037" s="7"/>
      <c r="D2037" s="7"/>
      <c r="E2037" s="7"/>
      <c r="F2037" s="7"/>
      <c r="G2037" s="7"/>
    </row>
    <row r="2038">
      <c r="A2038" s="6" t="s">
        <v>1100</v>
      </c>
      <c r="B2038" s="6">
        <v>11.0</v>
      </c>
      <c r="C2038" s="7"/>
      <c r="D2038" s="7"/>
      <c r="E2038" s="7"/>
      <c r="F2038" s="7"/>
      <c r="G2038" s="7"/>
    </row>
    <row r="2039">
      <c r="A2039" s="6" t="s">
        <v>1101</v>
      </c>
      <c r="B2039" s="6">
        <v>44.0</v>
      </c>
      <c r="C2039" s="7"/>
      <c r="D2039" s="7"/>
      <c r="E2039" s="7"/>
      <c r="F2039" s="7"/>
      <c r="G2039" s="7"/>
    </row>
    <row r="2040">
      <c r="A2040" s="6" t="s">
        <v>1102</v>
      </c>
      <c r="B2040" s="6">
        <v>10.0</v>
      </c>
      <c r="C2040" s="7"/>
      <c r="D2040" s="7"/>
      <c r="E2040" s="7"/>
      <c r="F2040" s="7"/>
      <c r="G2040" s="7"/>
    </row>
    <row r="2041">
      <c r="A2041" s="6" t="s">
        <v>1103</v>
      </c>
      <c r="B2041" s="6">
        <v>0.0</v>
      </c>
      <c r="C2041" s="7"/>
      <c r="D2041" s="7"/>
      <c r="E2041" s="7"/>
      <c r="F2041" s="7"/>
      <c r="G2041" s="7"/>
    </row>
    <row r="2042">
      <c r="A2042" s="6" t="s">
        <v>1104</v>
      </c>
      <c r="B2042" s="6">
        <v>0.0</v>
      </c>
      <c r="C2042" s="7"/>
      <c r="D2042" s="7"/>
      <c r="E2042" s="7"/>
      <c r="F2042" s="7"/>
      <c r="G2042" s="7"/>
    </row>
    <row r="2043">
      <c r="A2043" s="6" t="s">
        <v>1105</v>
      </c>
      <c r="B2043" s="6">
        <v>0.0</v>
      </c>
      <c r="C2043" s="7"/>
      <c r="D2043" s="7"/>
      <c r="E2043" s="7"/>
      <c r="F2043" s="7"/>
      <c r="G2043" s="7"/>
    </row>
    <row r="2044">
      <c r="A2044" s="6" t="s">
        <v>1106</v>
      </c>
      <c r="B2044" s="6">
        <v>32.0</v>
      </c>
      <c r="C2044" s="7"/>
      <c r="D2044" s="7"/>
      <c r="E2044" s="7"/>
      <c r="F2044" s="7"/>
      <c r="G2044" s="7"/>
    </row>
    <row r="2045">
      <c r="A2045" s="6" t="s">
        <v>1107</v>
      </c>
      <c r="B2045" s="6" t="s">
        <v>1108</v>
      </c>
      <c r="C2045" s="6">
        <v>12.0</v>
      </c>
      <c r="D2045" s="7"/>
      <c r="E2045" s="7"/>
      <c r="F2045" s="7"/>
      <c r="G2045" s="7"/>
    </row>
    <row r="2046">
      <c r="A2046" s="6" t="s">
        <v>1109</v>
      </c>
      <c r="B2046" s="6">
        <v>13.0</v>
      </c>
      <c r="C2046" s="7"/>
      <c r="D2046" s="7"/>
      <c r="E2046" s="7"/>
      <c r="F2046" s="7"/>
      <c r="G2046" s="7"/>
    </row>
    <row r="2047">
      <c r="A2047" s="6" t="s">
        <v>1110</v>
      </c>
      <c r="B2047" s="6">
        <v>40.0</v>
      </c>
      <c r="C2047" s="7"/>
      <c r="D2047" s="7"/>
      <c r="E2047" s="7"/>
      <c r="F2047" s="7"/>
      <c r="G2047" s="7"/>
    </row>
    <row r="2048">
      <c r="A2048" s="6" t="s">
        <v>1111</v>
      </c>
      <c r="B2048" s="6">
        <v>0.0</v>
      </c>
      <c r="C2048" s="7"/>
      <c r="D2048" s="7"/>
      <c r="E2048" s="7"/>
      <c r="F2048" s="7"/>
      <c r="G2048" s="7"/>
    </row>
    <row r="2049">
      <c r="A2049" s="6" t="s">
        <v>1112</v>
      </c>
      <c r="B2049" s="6">
        <v>0.0</v>
      </c>
      <c r="C2049" s="7"/>
      <c r="D2049" s="7"/>
      <c r="E2049" s="7"/>
      <c r="F2049" s="7"/>
      <c r="G2049" s="7"/>
    </row>
    <row r="2050">
      <c r="A2050" s="6" t="s">
        <v>1113</v>
      </c>
      <c r="B2050" s="6">
        <v>0.0</v>
      </c>
      <c r="C2050" s="7"/>
      <c r="D2050" s="7"/>
      <c r="E2050" s="7"/>
      <c r="F2050" s="7"/>
      <c r="G2050" s="7"/>
    </row>
    <row r="2051">
      <c r="A2051" s="6" t="s">
        <v>1114</v>
      </c>
      <c r="B2051" s="6">
        <v>0.0</v>
      </c>
      <c r="C2051" s="7"/>
      <c r="D2051" s="7"/>
      <c r="E2051" s="7"/>
      <c r="F2051" s="7"/>
      <c r="G2051" s="7"/>
    </row>
    <row r="2052">
      <c r="A2052" s="6" t="s">
        <v>1115</v>
      </c>
      <c r="B2052" s="6">
        <v>0.0</v>
      </c>
      <c r="C2052" s="7"/>
      <c r="D2052" s="7"/>
      <c r="E2052" s="7"/>
      <c r="F2052" s="7"/>
      <c r="G2052" s="7"/>
    </row>
    <row r="2053">
      <c r="A2053" s="6" t="s">
        <v>1116</v>
      </c>
      <c r="B2053" s="6">
        <v>0.0</v>
      </c>
      <c r="C2053" s="7"/>
      <c r="D2053" s="7"/>
      <c r="E2053" s="7"/>
      <c r="F2053" s="7"/>
      <c r="G2053" s="7"/>
    </row>
    <row r="2054">
      <c r="A2054" s="6" t="s">
        <v>1117</v>
      </c>
      <c r="B2054" s="6">
        <v>0.0</v>
      </c>
      <c r="C2054" s="7"/>
      <c r="D2054" s="7"/>
      <c r="E2054" s="7"/>
      <c r="F2054" s="7"/>
      <c r="G2054" s="7"/>
    </row>
    <row r="2055">
      <c r="A2055" s="6" t="s">
        <v>1118</v>
      </c>
      <c r="B2055" s="6">
        <v>0.0</v>
      </c>
      <c r="C2055" s="7"/>
      <c r="D2055" s="7"/>
      <c r="E2055" s="7"/>
      <c r="F2055" s="7"/>
      <c r="G2055" s="7"/>
    </row>
    <row r="2056">
      <c r="A2056" s="6" t="s">
        <v>1119</v>
      </c>
      <c r="B2056" s="6">
        <v>12.0</v>
      </c>
      <c r="C2056" s="7"/>
      <c r="D2056" s="7"/>
      <c r="E2056" s="7"/>
      <c r="F2056" s="7"/>
      <c r="G2056" s="7"/>
    </row>
    <row r="2057">
      <c r="A2057" s="6" t="s">
        <v>1120</v>
      </c>
      <c r="B2057" s="6">
        <v>0.0</v>
      </c>
      <c r="C2057" s="7"/>
      <c r="D2057" s="7"/>
      <c r="E2057" s="7"/>
      <c r="F2057" s="7"/>
      <c r="G2057" s="7"/>
    </row>
    <row r="2058">
      <c r="A2058" s="6" t="s">
        <v>1121</v>
      </c>
      <c r="B2058" s="6">
        <v>0.0</v>
      </c>
      <c r="C2058" s="7"/>
      <c r="D2058" s="7"/>
      <c r="E2058" s="7"/>
      <c r="F2058" s="7"/>
      <c r="G2058" s="7"/>
    </row>
    <row r="2059">
      <c r="A2059" s="6" t="s">
        <v>1122</v>
      </c>
      <c r="B2059" s="6">
        <v>0.0</v>
      </c>
      <c r="C2059" s="7"/>
      <c r="D2059" s="7"/>
      <c r="E2059" s="7"/>
      <c r="F2059" s="7"/>
      <c r="G2059" s="7"/>
    </row>
    <row r="2060">
      <c r="A2060" s="6" t="s">
        <v>1123</v>
      </c>
      <c r="B2060" s="6">
        <v>22.0</v>
      </c>
      <c r="C2060" s="7"/>
      <c r="D2060" s="7"/>
      <c r="E2060" s="7"/>
      <c r="F2060" s="7"/>
      <c r="G2060" s="7"/>
    </row>
    <row r="2061">
      <c r="A2061" s="6" t="s">
        <v>1124</v>
      </c>
      <c r="B2061" s="6">
        <v>60.0</v>
      </c>
      <c r="C2061" s="7"/>
      <c r="D2061" s="7"/>
      <c r="E2061" s="7"/>
      <c r="F2061" s="7"/>
      <c r="G2061" s="7"/>
    </row>
    <row r="2062">
      <c r="A2062" s="6" t="s">
        <v>1125</v>
      </c>
      <c r="B2062" s="6">
        <v>0.0</v>
      </c>
      <c r="C2062" s="7"/>
      <c r="D2062" s="7"/>
      <c r="E2062" s="7"/>
      <c r="F2062" s="7"/>
      <c r="G2062" s="7"/>
    </row>
    <row r="2063">
      <c r="A2063" s="6" t="s">
        <v>1126</v>
      </c>
      <c r="B2063" s="6">
        <v>60.0</v>
      </c>
      <c r="C2063" s="7"/>
      <c r="D2063" s="7"/>
      <c r="E2063" s="7"/>
      <c r="F2063" s="7"/>
      <c r="G2063" s="7"/>
    </row>
    <row r="2064">
      <c r="A2064" s="6" t="s">
        <v>1127</v>
      </c>
      <c r="B2064" s="6">
        <v>0.0</v>
      </c>
      <c r="C2064" s="7"/>
      <c r="D2064" s="7"/>
      <c r="E2064" s="7"/>
      <c r="F2064" s="7"/>
      <c r="G2064" s="7"/>
    </row>
    <row r="2065">
      <c r="A2065" s="6" t="s">
        <v>1128</v>
      </c>
      <c r="B2065" s="6">
        <v>80.0</v>
      </c>
      <c r="C2065" s="7"/>
      <c r="D2065" s="7"/>
      <c r="E2065" s="7"/>
      <c r="F2065" s="7"/>
      <c r="G2065" s="7"/>
    </row>
    <row r="2066">
      <c r="A2066" s="6" t="s">
        <v>1129</v>
      </c>
      <c r="B2066" s="6">
        <v>0.0</v>
      </c>
      <c r="C2066" s="7"/>
      <c r="D2066" s="7"/>
      <c r="E2066" s="7"/>
      <c r="F2066" s="7"/>
      <c r="G2066" s="7"/>
    </row>
    <row r="2067">
      <c r="A2067" s="6" t="s">
        <v>1130</v>
      </c>
      <c r="B2067" s="6">
        <v>0.0</v>
      </c>
      <c r="C2067" s="7"/>
      <c r="D2067" s="7"/>
      <c r="E2067" s="7"/>
      <c r="F2067" s="7"/>
      <c r="G2067" s="7"/>
    </row>
    <row r="2068">
      <c r="A2068" s="6" t="s">
        <v>1131</v>
      </c>
      <c r="B2068" s="6">
        <v>0.0</v>
      </c>
      <c r="C2068" s="7"/>
      <c r="D2068" s="7"/>
      <c r="E2068" s="7"/>
      <c r="F2068" s="7"/>
      <c r="G2068" s="7"/>
    </row>
    <row r="2069">
      <c r="A2069" s="6" t="s">
        <v>1132</v>
      </c>
      <c r="B2069" s="6">
        <v>0.0</v>
      </c>
      <c r="C2069" s="7"/>
      <c r="D2069" s="7"/>
      <c r="E2069" s="7"/>
      <c r="F2069" s="7"/>
      <c r="G2069" s="7"/>
    </row>
    <row r="2070">
      <c r="A2070" s="6" t="s">
        <v>1133</v>
      </c>
      <c r="B2070" s="6">
        <v>0.0</v>
      </c>
      <c r="C2070" s="7"/>
      <c r="D2070" s="7"/>
      <c r="E2070" s="7"/>
      <c r="F2070" s="7"/>
      <c r="G2070" s="7"/>
    </row>
    <row r="2071">
      <c r="A2071" s="6" t="s">
        <v>1134</v>
      </c>
      <c r="B2071" s="6">
        <v>0.0</v>
      </c>
      <c r="C2071" s="7"/>
      <c r="D2071" s="7"/>
      <c r="E2071" s="7"/>
      <c r="F2071" s="7"/>
      <c r="G2071" s="7"/>
    </row>
    <row r="2072">
      <c r="A2072" s="6" t="s">
        <v>1135</v>
      </c>
      <c r="B2072" s="6">
        <v>0.0</v>
      </c>
      <c r="C2072" s="7"/>
      <c r="D2072" s="7"/>
      <c r="E2072" s="7"/>
      <c r="F2072" s="7"/>
      <c r="G2072" s="7"/>
    </row>
    <row r="2073">
      <c r="A2073" s="6" t="s">
        <v>1136</v>
      </c>
      <c r="B2073" s="6">
        <v>0.0</v>
      </c>
      <c r="C2073" s="7"/>
      <c r="D2073" s="7"/>
      <c r="E2073" s="7"/>
      <c r="F2073" s="7"/>
      <c r="G2073" s="7"/>
    </row>
    <row r="2074">
      <c r="A2074" s="6" t="s">
        <v>1137</v>
      </c>
      <c r="B2074" s="6">
        <v>0.0</v>
      </c>
      <c r="C2074" s="7"/>
      <c r="D2074" s="7"/>
      <c r="E2074" s="7"/>
      <c r="F2074" s="7"/>
      <c r="G2074" s="7"/>
    </row>
    <row r="2075">
      <c r="A2075" s="6" t="s">
        <v>1138</v>
      </c>
      <c r="B2075" s="6">
        <v>0.0</v>
      </c>
      <c r="C2075" s="7"/>
      <c r="D2075" s="7"/>
      <c r="E2075" s="7"/>
      <c r="F2075" s="7"/>
      <c r="G2075" s="7"/>
    </row>
    <row r="2076">
      <c r="A2076" s="6" t="s">
        <v>1139</v>
      </c>
      <c r="B2076" s="6">
        <v>0.0</v>
      </c>
      <c r="C2076" s="7"/>
      <c r="D2076" s="7"/>
      <c r="E2076" s="7"/>
      <c r="F2076" s="7"/>
      <c r="G2076" s="7"/>
    </row>
    <row r="2077">
      <c r="A2077" s="6" t="s">
        <v>1140</v>
      </c>
      <c r="B2077" s="6">
        <v>0.0</v>
      </c>
      <c r="C2077" s="7"/>
      <c r="D2077" s="7"/>
      <c r="E2077" s="7"/>
      <c r="F2077" s="7"/>
      <c r="G2077" s="7"/>
    </row>
    <row r="2078">
      <c r="A2078" s="6" t="s">
        <v>1141</v>
      </c>
      <c r="B2078" s="6">
        <v>92.0</v>
      </c>
      <c r="C2078" s="7"/>
      <c r="D2078" s="7"/>
      <c r="E2078" s="7"/>
      <c r="F2078" s="7"/>
      <c r="G2078" s="7"/>
    </row>
    <row r="2079">
      <c r="A2079" s="6" t="s">
        <v>1142</v>
      </c>
      <c r="B2079" s="6">
        <v>0.0</v>
      </c>
      <c r="C2079" s="7"/>
      <c r="D2079" s="7"/>
      <c r="E2079" s="7"/>
      <c r="F2079" s="7"/>
      <c r="G2079" s="7"/>
    </row>
    <row r="2080">
      <c r="A2080" s="6" t="s">
        <v>1143</v>
      </c>
      <c r="B2080" s="6">
        <v>70.0</v>
      </c>
      <c r="C2080" s="7"/>
      <c r="D2080" s="7"/>
      <c r="E2080" s="7"/>
      <c r="F2080" s="7"/>
      <c r="G2080" s="7"/>
    </row>
    <row r="2081">
      <c r="A2081" s="6" t="s">
        <v>1144</v>
      </c>
      <c r="B2081" s="6">
        <v>0.0</v>
      </c>
      <c r="C2081" s="7"/>
      <c r="D2081" s="7"/>
      <c r="E2081" s="7"/>
      <c r="F2081" s="7"/>
      <c r="G2081" s="7"/>
    </row>
    <row r="2082">
      <c r="A2082" s="6" t="s">
        <v>1145</v>
      </c>
      <c r="B2082" s="6">
        <v>0.0</v>
      </c>
      <c r="C2082" s="7"/>
      <c r="D2082" s="7"/>
      <c r="E2082" s="7"/>
      <c r="F2082" s="7"/>
      <c r="G2082" s="7"/>
    </row>
    <row r="2083">
      <c r="A2083" s="6" t="s">
        <v>1146</v>
      </c>
      <c r="B2083" s="6">
        <v>0.0</v>
      </c>
      <c r="C2083" s="7"/>
      <c r="D2083" s="7"/>
      <c r="E2083" s="7"/>
      <c r="F2083" s="7"/>
      <c r="G2083" s="7"/>
    </row>
    <row r="2084">
      <c r="A2084" s="6" t="s">
        <v>1147</v>
      </c>
      <c r="B2084" s="6">
        <v>0.0</v>
      </c>
      <c r="C2084" s="7"/>
      <c r="D2084" s="7"/>
      <c r="E2084" s="7"/>
      <c r="F2084" s="7"/>
      <c r="G2084" s="7"/>
    </row>
    <row r="2085">
      <c r="A2085" s="6" t="s">
        <v>1148</v>
      </c>
      <c r="B2085" s="6">
        <v>0.0</v>
      </c>
      <c r="C2085" s="7"/>
      <c r="D2085" s="7"/>
      <c r="E2085" s="7"/>
      <c r="F2085" s="7"/>
      <c r="G2085" s="7"/>
    </row>
    <row r="2086">
      <c r="A2086" s="6" t="s">
        <v>1149</v>
      </c>
      <c r="B2086" s="6">
        <v>0.0</v>
      </c>
      <c r="C2086" s="7"/>
      <c r="D2086" s="7"/>
      <c r="E2086" s="7"/>
      <c r="F2086" s="7"/>
      <c r="G2086" s="7"/>
    </row>
    <row r="2087">
      <c r="A2087" s="6" t="s">
        <v>1150</v>
      </c>
      <c r="B2087" s="6">
        <v>0.0</v>
      </c>
      <c r="C2087" s="7"/>
      <c r="D2087" s="7"/>
      <c r="E2087" s="7"/>
      <c r="F2087" s="7"/>
      <c r="G2087" s="7"/>
    </row>
    <row r="2088">
      <c r="A2088" s="6" t="s">
        <v>1151</v>
      </c>
      <c r="B2088" s="6">
        <v>0.0</v>
      </c>
      <c r="C2088" s="7"/>
      <c r="D2088" s="7"/>
      <c r="E2088" s="7"/>
      <c r="F2088" s="7"/>
      <c r="G2088" s="7"/>
    </row>
    <row r="2089">
      <c r="A2089" s="6" t="s">
        <v>1152</v>
      </c>
      <c r="B2089" s="6">
        <v>0.0</v>
      </c>
      <c r="C2089" s="7"/>
      <c r="D2089" s="7"/>
      <c r="E2089" s="7"/>
      <c r="F2089" s="7"/>
      <c r="G2089" s="7"/>
    </row>
    <row r="2090">
      <c r="A2090" s="6" t="s">
        <v>1153</v>
      </c>
      <c r="B2090" s="6">
        <v>0.0</v>
      </c>
      <c r="C2090" s="7"/>
      <c r="D2090" s="7"/>
      <c r="E2090" s="7"/>
      <c r="F2090" s="7"/>
      <c r="G2090" s="7"/>
    </row>
    <row r="2091">
      <c r="A2091" s="6" t="s">
        <v>1154</v>
      </c>
      <c r="B2091" s="6">
        <v>84.0</v>
      </c>
      <c r="C2091" s="7"/>
      <c r="D2091" s="7"/>
      <c r="E2091" s="7"/>
      <c r="F2091" s="7"/>
      <c r="G2091" s="7"/>
    </row>
    <row r="2092">
      <c r="A2092" s="6" t="s">
        <v>1155</v>
      </c>
      <c r="B2092" s="6">
        <v>0.0</v>
      </c>
      <c r="C2092" s="7"/>
      <c r="D2092" s="7"/>
      <c r="E2092" s="7"/>
      <c r="F2092" s="7"/>
      <c r="G2092" s="7"/>
    </row>
    <row r="2093">
      <c r="A2093" s="6" t="s">
        <v>1156</v>
      </c>
      <c r="B2093" s="6">
        <v>65.0</v>
      </c>
      <c r="C2093" s="7"/>
      <c r="D2093" s="7"/>
      <c r="E2093" s="7"/>
      <c r="F2093" s="7"/>
      <c r="G2093" s="7"/>
    </row>
    <row r="2094">
      <c r="A2094" s="6" t="s">
        <v>1157</v>
      </c>
      <c r="B2094" s="6" t="s">
        <v>1158</v>
      </c>
      <c r="C2094" s="6">
        <v>0.0</v>
      </c>
      <c r="D2094" s="7"/>
      <c r="E2094" s="7"/>
      <c r="F2094" s="7"/>
      <c r="G2094" s="7"/>
    </row>
    <row r="2095">
      <c r="A2095" s="6" t="s">
        <v>1159</v>
      </c>
      <c r="B2095" s="6">
        <v>0.0</v>
      </c>
      <c r="C2095" s="7"/>
      <c r="D2095" s="7"/>
      <c r="E2095" s="7"/>
      <c r="F2095" s="7"/>
      <c r="G2095" s="7"/>
    </row>
    <row r="2096">
      <c r="A2096" s="6" t="s">
        <v>1160</v>
      </c>
      <c r="B2096" s="6">
        <v>74.0</v>
      </c>
      <c r="C2096" s="7"/>
      <c r="D2096" s="7"/>
      <c r="E2096" s="7"/>
      <c r="F2096" s="7"/>
      <c r="G2096" s="7"/>
    </row>
    <row r="2097">
      <c r="A2097" s="6" t="s">
        <v>1161</v>
      </c>
      <c r="B2097" s="6">
        <v>0.0</v>
      </c>
      <c r="C2097" s="7"/>
      <c r="D2097" s="7"/>
      <c r="E2097" s="7"/>
      <c r="F2097" s="7"/>
      <c r="G2097" s="7"/>
    </row>
    <row r="2098">
      <c r="A2098" s="6" t="s">
        <v>1162</v>
      </c>
      <c r="B2098" s="6">
        <v>20.0</v>
      </c>
      <c r="C2098" s="7"/>
      <c r="D2098" s="7"/>
      <c r="E2098" s="7"/>
      <c r="F2098" s="7"/>
      <c r="G2098" s="7"/>
    </row>
    <row r="2099">
      <c r="A2099" s="6" t="s">
        <v>1163</v>
      </c>
      <c r="B2099" s="6">
        <v>0.0</v>
      </c>
      <c r="C2099" s="7"/>
      <c r="D2099" s="7"/>
      <c r="E2099" s="7"/>
      <c r="F2099" s="7"/>
      <c r="G2099" s="7"/>
    </row>
    <row r="2100">
      <c r="A2100" s="6" t="s">
        <v>1164</v>
      </c>
      <c r="B2100" s="6">
        <v>0.0</v>
      </c>
      <c r="C2100" s="7"/>
      <c r="D2100" s="7"/>
      <c r="E2100" s="7"/>
      <c r="F2100" s="7"/>
      <c r="G2100" s="7"/>
    </row>
    <row r="2101">
      <c r="A2101" s="6" t="s">
        <v>1165</v>
      </c>
      <c r="B2101" s="6">
        <v>0.0</v>
      </c>
      <c r="C2101" s="7"/>
      <c r="D2101" s="7"/>
      <c r="E2101" s="7"/>
      <c r="F2101" s="7"/>
      <c r="G2101" s="7"/>
    </row>
    <row r="2102">
      <c r="A2102" s="6" t="s">
        <v>1166</v>
      </c>
      <c r="B2102" s="6">
        <v>80.0</v>
      </c>
      <c r="C2102" s="7"/>
      <c r="D2102" s="7"/>
      <c r="E2102" s="7"/>
      <c r="F2102" s="7"/>
      <c r="G2102" s="7"/>
    </row>
    <row r="2103">
      <c r="A2103" s="6" t="s">
        <v>1167</v>
      </c>
      <c r="B2103" s="6">
        <v>69.0</v>
      </c>
      <c r="C2103" s="7"/>
      <c r="D2103" s="7"/>
      <c r="E2103" s="7"/>
      <c r="F2103" s="7"/>
      <c r="G2103" s="7"/>
    </row>
    <row r="2104">
      <c r="A2104" s="6" t="s">
        <v>1168</v>
      </c>
      <c r="B2104" s="6">
        <v>85.0</v>
      </c>
      <c r="C2104" s="7"/>
      <c r="D2104" s="7"/>
      <c r="E2104" s="7"/>
      <c r="F2104" s="7"/>
      <c r="G2104" s="7"/>
    </row>
    <row r="2105">
      <c r="A2105" s="6" t="s">
        <v>1169</v>
      </c>
      <c r="B2105" s="6">
        <v>2.0</v>
      </c>
      <c r="C2105" s="7"/>
      <c r="D2105" s="7"/>
      <c r="E2105" s="7"/>
      <c r="F2105" s="7"/>
      <c r="G2105" s="7"/>
    </row>
    <row r="2106">
      <c r="A2106" s="6" t="s">
        <v>1170</v>
      </c>
      <c r="B2106" s="6">
        <v>66.0</v>
      </c>
      <c r="C2106" s="7"/>
      <c r="D2106" s="7"/>
      <c r="E2106" s="7"/>
      <c r="F2106" s="7"/>
      <c r="G2106" s="7"/>
    </row>
    <row r="2107">
      <c r="A2107" s="6" t="s">
        <v>1171</v>
      </c>
      <c r="B2107" s="6">
        <v>0.0</v>
      </c>
      <c r="C2107" s="7"/>
      <c r="D2107" s="7"/>
      <c r="E2107" s="7"/>
      <c r="F2107" s="7"/>
      <c r="G2107" s="7"/>
    </row>
    <row r="2108">
      <c r="A2108" s="6" t="s">
        <v>1172</v>
      </c>
      <c r="B2108" s="6">
        <v>89.0</v>
      </c>
      <c r="C2108" s="7"/>
      <c r="D2108" s="7"/>
      <c r="E2108" s="7"/>
      <c r="F2108" s="7"/>
      <c r="G2108" s="7"/>
    </row>
    <row r="2109">
      <c r="A2109" s="6" t="s">
        <v>1173</v>
      </c>
      <c r="B2109" s="6">
        <v>50.0</v>
      </c>
      <c r="C2109" s="7"/>
      <c r="D2109" s="7"/>
      <c r="E2109" s="7"/>
      <c r="F2109" s="7"/>
      <c r="G2109" s="7"/>
    </row>
    <row r="2110">
      <c r="A2110" s="6" t="s">
        <v>1174</v>
      </c>
      <c r="B2110" s="6">
        <v>0.0</v>
      </c>
      <c r="C2110" s="7"/>
      <c r="D2110" s="7"/>
      <c r="E2110" s="7"/>
      <c r="F2110" s="7"/>
      <c r="G2110" s="7"/>
    </row>
    <row r="2111">
      <c r="A2111" s="6" t="s">
        <v>1175</v>
      </c>
      <c r="B2111" s="6">
        <v>2.0</v>
      </c>
      <c r="C2111" s="7"/>
      <c r="D2111" s="7"/>
      <c r="E2111" s="7"/>
      <c r="F2111" s="7"/>
      <c r="G2111" s="7"/>
    </row>
    <row r="2112">
      <c r="A2112" s="6" t="s">
        <v>1176</v>
      </c>
      <c r="B2112" s="6">
        <v>0.0</v>
      </c>
      <c r="C2112" s="7"/>
      <c r="D2112" s="7"/>
      <c r="E2112" s="7"/>
      <c r="F2112" s="7"/>
      <c r="G2112" s="7"/>
    </row>
    <row r="2113">
      <c r="A2113" s="6" t="s">
        <v>1177</v>
      </c>
      <c r="B2113" s="6">
        <v>0.0</v>
      </c>
      <c r="C2113" s="7"/>
      <c r="D2113" s="7"/>
      <c r="E2113" s="7"/>
      <c r="F2113" s="7"/>
      <c r="G2113" s="7"/>
    </row>
    <row r="2114">
      <c r="A2114" s="6" t="s">
        <v>1178</v>
      </c>
      <c r="B2114" s="6">
        <v>0.0</v>
      </c>
      <c r="C2114" s="7"/>
      <c r="D2114" s="7"/>
      <c r="E2114" s="7"/>
      <c r="F2114" s="7"/>
      <c r="G2114" s="7"/>
    </row>
    <row r="2115">
      <c r="A2115" s="6" t="s">
        <v>1179</v>
      </c>
      <c r="B2115" s="6">
        <v>0.0</v>
      </c>
      <c r="C2115" s="7"/>
      <c r="D2115" s="7"/>
      <c r="E2115" s="7"/>
      <c r="F2115" s="7"/>
      <c r="G2115" s="7"/>
    </row>
    <row r="2116">
      <c r="A2116" s="6" t="s">
        <v>1180</v>
      </c>
      <c r="B2116" s="6">
        <v>0.0</v>
      </c>
      <c r="C2116" s="7"/>
      <c r="D2116" s="7"/>
      <c r="E2116" s="7"/>
      <c r="F2116" s="7"/>
      <c r="G2116" s="7"/>
    </row>
    <row r="2117">
      <c r="A2117" s="6" t="s">
        <v>1181</v>
      </c>
      <c r="B2117" s="6">
        <v>0.0</v>
      </c>
      <c r="C2117" s="7"/>
      <c r="D2117" s="7"/>
      <c r="E2117" s="7"/>
      <c r="F2117" s="7"/>
      <c r="G2117" s="7"/>
    </row>
    <row r="2118">
      <c r="A2118" s="6" t="s">
        <v>1182</v>
      </c>
      <c r="B2118" s="6">
        <v>0.0</v>
      </c>
      <c r="C2118" s="7"/>
      <c r="D2118" s="7"/>
      <c r="E2118" s="7"/>
      <c r="F2118" s="7"/>
      <c r="G2118" s="7"/>
    </row>
    <row r="2119">
      <c r="A2119" s="6" t="s">
        <v>1183</v>
      </c>
      <c r="B2119" s="6">
        <v>76.0</v>
      </c>
      <c r="C2119" s="7"/>
      <c r="D2119" s="7"/>
      <c r="E2119" s="7"/>
      <c r="F2119" s="7"/>
      <c r="G2119" s="7"/>
    </row>
    <row r="2120">
      <c r="A2120" s="6" t="s">
        <v>1184</v>
      </c>
      <c r="B2120" s="6">
        <v>0.0</v>
      </c>
      <c r="C2120" s="7"/>
      <c r="D2120" s="7"/>
      <c r="E2120" s="7"/>
      <c r="F2120" s="7"/>
      <c r="G2120" s="7"/>
    </row>
    <row r="2121">
      <c r="A2121" s="6" t="s">
        <v>1185</v>
      </c>
      <c r="B2121" s="6">
        <v>0.0</v>
      </c>
      <c r="C2121" s="7"/>
      <c r="D2121" s="7"/>
      <c r="E2121" s="7"/>
      <c r="F2121" s="7"/>
      <c r="G2121" s="7"/>
    </row>
    <row r="2122">
      <c r="A2122" s="6" t="s">
        <v>1186</v>
      </c>
      <c r="B2122" s="6">
        <v>28.0</v>
      </c>
      <c r="C2122" s="7"/>
      <c r="D2122" s="7"/>
      <c r="E2122" s="7"/>
      <c r="F2122" s="7"/>
      <c r="G2122" s="7"/>
    </row>
    <row r="2123">
      <c r="A2123" s="6" t="s">
        <v>1187</v>
      </c>
      <c r="B2123" s="6">
        <v>13.0</v>
      </c>
      <c r="C2123" s="7"/>
      <c r="D2123" s="7"/>
      <c r="E2123" s="7"/>
      <c r="F2123" s="7"/>
      <c r="G2123" s="7"/>
    </row>
    <row r="2124">
      <c r="A2124" s="6" t="s">
        <v>1188</v>
      </c>
      <c r="B2124" s="6">
        <v>80.0</v>
      </c>
      <c r="C2124" s="7"/>
      <c r="D2124" s="7"/>
      <c r="E2124" s="7"/>
      <c r="F2124" s="7"/>
      <c r="G2124" s="7"/>
    </row>
    <row r="2125">
      <c r="A2125" s="6" t="s">
        <v>1189</v>
      </c>
      <c r="B2125" s="6">
        <v>59.0</v>
      </c>
      <c r="C2125" s="7"/>
      <c r="D2125" s="7"/>
      <c r="E2125" s="7"/>
      <c r="F2125" s="7"/>
      <c r="G2125" s="7"/>
    </row>
    <row r="2126">
      <c r="A2126" s="6" t="s">
        <v>1190</v>
      </c>
      <c r="B2126" s="6" t="s">
        <v>1191</v>
      </c>
      <c r="C2126" s="6">
        <v>71.0</v>
      </c>
      <c r="D2126" s="7"/>
      <c r="E2126" s="7"/>
      <c r="F2126" s="7"/>
      <c r="G2126" s="7"/>
    </row>
    <row r="2127">
      <c r="A2127" s="6" t="s">
        <v>1192</v>
      </c>
      <c r="B2127" s="6">
        <v>0.0</v>
      </c>
      <c r="C2127" s="7"/>
      <c r="D2127" s="7"/>
      <c r="E2127" s="7"/>
      <c r="F2127" s="7"/>
      <c r="G2127" s="7"/>
    </row>
    <row r="2128">
      <c r="A2128" s="6" t="s">
        <v>1193</v>
      </c>
      <c r="B2128" s="6">
        <v>0.0</v>
      </c>
      <c r="C2128" s="7"/>
      <c r="D2128" s="7"/>
      <c r="E2128" s="7"/>
      <c r="F2128" s="7"/>
      <c r="G2128" s="7"/>
    </row>
    <row r="2129">
      <c r="A2129" s="6" t="s">
        <v>1194</v>
      </c>
      <c r="B2129" s="6">
        <v>0.0</v>
      </c>
      <c r="C2129" s="7"/>
      <c r="D2129" s="7"/>
      <c r="E2129" s="7"/>
      <c r="F2129" s="7"/>
      <c r="G2129" s="7"/>
    </row>
    <row r="2130">
      <c r="A2130" s="6" t="s">
        <v>1195</v>
      </c>
      <c r="B2130" s="6">
        <v>12.0</v>
      </c>
      <c r="C2130" s="7"/>
      <c r="D2130" s="7"/>
      <c r="E2130" s="7"/>
      <c r="F2130" s="7"/>
      <c r="G2130" s="7"/>
    </row>
    <row r="2131">
      <c r="A2131" s="6" t="s">
        <v>1196</v>
      </c>
      <c r="B2131" s="6">
        <v>36.0</v>
      </c>
      <c r="C2131" s="7"/>
      <c r="D2131" s="7"/>
      <c r="E2131" s="7"/>
      <c r="F2131" s="7"/>
      <c r="G2131" s="7"/>
    </row>
    <row r="2132">
      <c r="A2132" s="6" t="s">
        <v>1197</v>
      </c>
      <c r="B2132" s="6">
        <v>0.0</v>
      </c>
      <c r="C2132" s="7"/>
      <c r="D2132" s="7"/>
      <c r="E2132" s="7"/>
      <c r="F2132" s="7"/>
      <c r="G2132" s="7"/>
    </row>
    <row r="2133">
      <c r="A2133" s="6" t="s">
        <v>1198</v>
      </c>
      <c r="B2133" s="6">
        <v>0.0</v>
      </c>
      <c r="C2133" s="7"/>
      <c r="D2133" s="7"/>
      <c r="E2133" s="7"/>
      <c r="F2133" s="7"/>
      <c r="G2133" s="7"/>
    </row>
    <row r="2134">
      <c r="A2134" s="6" t="s">
        <v>1199</v>
      </c>
      <c r="B2134" s="6">
        <v>26.0</v>
      </c>
      <c r="C2134" s="7"/>
      <c r="D2134" s="7"/>
      <c r="E2134" s="7"/>
      <c r="F2134" s="7"/>
      <c r="G2134" s="7"/>
    </row>
    <row r="2135">
      <c r="A2135" s="6" t="s">
        <v>1200</v>
      </c>
      <c r="B2135" s="6">
        <v>0.0</v>
      </c>
      <c r="C2135" s="7"/>
      <c r="D2135" s="7"/>
      <c r="E2135" s="7"/>
      <c r="F2135" s="7"/>
      <c r="G2135" s="7"/>
    </row>
    <row r="2136">
      <c r="A2136" s="6" t="s">
        <v>1201</v>
      </c>
      <c r="B2136" s="6">
        <v>0.0</v>
      </c>
      <c r="C2136" s="7"/>
      <c r="D2136" s="7"/>
      <c r="E2136" s="7"/>
      <c r="F2136" s="7"/>
      <c r="G2136" s="7"/>
    </row>
    <row r="2137">
      <c r="A2137" s="6" t="s">
        <v>1202</v>
      </c>
      <c r="B2137" s="6">
        <v>0.0</v>
      </c>
      <c r="C2137" s="7"/>
      <c r="D2137" s="7"/>
      <c r="E2137" s="7"/>
      <c r="F2137" s="7"/>
      <c r="G2137" s="7"/>
    </row>
    <row r="2138">
      <c r="A2138" s="6" t="s">
        <v>1203</v>
      </c>
      <c r="B2138" s="6">
        <v>0.0</v>
      </c>
      <c r="C2138" s="7"/>
      <c r="D2138" s="7"/>
      <c r="E2138" s="7"/>
      <c r="F2138" s="7"/>
      <c r="G2138" s="7"/>
    </row>
    <row r="2139">
      <c r="A2139" s="6" t="s">
        <v>1204</v>
      </c>
      <c r="B2139" s="6">
        <v>0.0</v>
      </c>
      <c r="C2139" s="7"/>
      <c r="D2139" s="7"/>
      <c r="E2139" s="7"/>
      <c r="F2139" s="7"/>
      <c r="G2139" s="7"/>
    </row>
    <row r="2140">
      <c r="A2140" s="6" t="s">
        <v>1205</v>
      </c>
      <c r="B2140" s="6">
        <v>84.0</v>
      </c>
      <c r="C2140" s="7"/>
      <c r="D2140" s="7"/>
      <c r="E2140" s="7"/>
      <c r="F2140" s="7"/>
      <c r="G2140" s="7"/>
    </row>
    <row r="2141">
      <c r="A2141" s="6" t="s">
        <v>1206</v>
      </c>
      <c r="B2141" s="6">
        <v>72.0</v>
      </c>
      <c r="C2141" s="7"/>
      <c r="D2141" s="7"/>
      <c r="E2141" s="7"/>
      <c r="F2141" s="7"/>
      <c r="G2141" s="7"/>
    </row>
    <row r="2142">
      <c r="A2142" s="6" t="s">
        <v>1207</v>
      </c>
      <c r="B2142" s="6">
        <v>6.0</v>
      </c>
      <c r="C2142" s="7"/>
      <c r="D2142" s="7"/>
      <c r="E2142" s="7"/>
      <c r="F2142" s="7"/>
      <c r="G2142" s="7"/>
    </row>
    <row r="2143">
      <c r="A2143" s="6" t="s">
        <v>1208</v>
      </c>
      <c r="B2143" s="6">
        <v>0.0</v>
      </c>
      <c r="C2143" s="7"/>
      <c r="D2143" s="7"/>
      <c r="E2143" s="7"/>
      <c r="F2143" s="7"/>
      <c r="G2143" s="7"/>
    </row>
    <row r="2144">
      <c r="A2144" s="6" t="s">
        <v>1209</v>
      </c>
      <c r="B2144" s="6">
        <v>0.0</v>
      </c>
      <c r="C2144" s="7"/>
      <c r="D2144" s="7"/>
      <c r="E2144" s="7"/>
      <c r="F2144" s="7"/>
      <c r="G2144" s="7"/>
    </row>
    <row r="2145">
      <c r="A2145" s="6" t="s">
        <v>1210</v>
      </c>
      <c r="B2145" s="6">
        <v>0.0</v>
      </c>
      <c r="C2145" s="7"/>
      <c r="D2145" s="7"/>
      <c r="E2145" s="7"/>
      <c r="F2145" s="7"/>
      <c r="G2145" s="7"/>
    </row>
    <row r="2146">
      <c r="A2146" s="6" t="s">
        <v>1211</v>
      </c>
      <c r="B2146" s="6">
        <v>0.0</v>
      </c>
      <c r="C2146" s="7"/>
      <c r="D2146" s="7"/>
      <c r="E2146" s="7"/>
      <c r="F2146" s="7"/>
      <c r="G2146" s="7"/>
    </row>
    <row r="2147">
      <c r="A2147" s="6" t="s">
        <v>1212</v>
      </c>
      <c r="B2147" s="6">
        <v>0.0</v>
      </c>
      <c r="C2147" s="7"/>
      <c r="D2147" s="7"/>
      <c r="E2147" s="7"/>
      <c r="F2147" s="7"/>
      <c r="G2147" s="7"/>
    </row>
    <row r="2148">
      <c r="A2148" s="6" t="s">
        <v>1153</v>
      </c>
      <c r="B2148" s="6">
        <v>0.0</v>
      </c>
      <c r="C2148" s="7"/>
      <c r="D2148" s="7"/>
      <c r="E2148" s="7"/>
      <c r="F2148" s="7"/>
      <c r="G2148" s="7"/>
    </row>
    <row r="2149">
      <c r="A2149" s="6" t="s">
        <v>1154</v>
      </c>
      <c r="B2149" s="6">
        <v>84.0</v>
      </c>
      <c r="C2149" s="7"/>
      <c r="D2149" s="7"/>
      <c r="E2149" s="7"/>
      <c r="F2149" s="7"/>
      <c r="G2149" s="7"/>
    </row>
    <row r="2150">
      <c r="A2150" s="6" t="s">
        <v>1155</v>
      </c>
      <c r="B2150" s="6">
        <v>0.0</v>
      </c>
      <c r="C2150" s="7"/>
      <c r="D2150" s="7"/>
      <c r="E2150" s="7"/>
      <c r="F2150" s="7"/>
      <c r="G2150" s="7"/>
    </row>
    <row r="2151">
      <c r="A2151" s="6" t="s">
        <v>1156</v>
      </c>
      <c r="B2151" s="6">
        <v>65.0</v>
      </c>
      <c r="C2151" s="7"/>
      <c r="D2151" s="7"/>
      <c r="E2151" s="7"/>
      <c r="F2151" s="7"/>
      <c r="G2151" s="7"/>
    </row>
    <row r="2152">
      <c r="A2152" s="6" t="s">
        <v>1157</v>
      </c>
      <c r="B2152" s="6" t="s">
        <v>1158</v>
      </c>
      <c r="C2152" s="6">
        <v>0.0</v>
      </c>
      <c r="D2152" s="7"/>
      <c r="E2152" s="7"/>
      <c r="F2152" s="7"/>
      <c r="G2152" s="7"/>
    </row>
    <row r="2153">
      <c r="A2153" s="6" t="s">
        <v>1159</v>
      </c>
      <c r="B2153" s="6">
        <v>0.0</v>
      </c>
      <c r="C2153" s="7"/>
      <c r="D2153" s="7"/>
      <c r="E2153" s="7"/>
      <c r="F2153" s="7"/>
      <c r="G2153" s="7"/>
    </row>
    <row r="2154">
      <c r="A2154" s="6" t="s">
        <v>1160</v>
      </c>
      <c r="B2154" s="6">
        <v>74.0</v>
      </c>
      <c r="C2154" s="7"/>
      <c r="D2154" s="7"/>
      <c r="E2154" s="7"/>
      <c r="F2154" s="7"/>
      <c r="G2154" s="7"/>
    </row>
    <row r="2155">
      <c r="A2155" s="6" t="s">
        <v>1161</v>
      </c>
      <c r="B2155" s="6">
        <v>0.0</v>
      </c>
      <c r="C2155" s="7"/>
      <c r="D2155" s="7"/>
      <c r="E2155" s="7"/>
      <c r="F2155" s="7"/>
      <c r="G2155" s="7"/>
    </row>
    <row r="2156">
      <c r="A2156" s="6" t="s">
        <v>1162</v>
      </c>
      <c r="B2156" s="6">
        <v>20.0</v>
      </c>
      <c r="C2156" s="7"/>
      <c r="D2156" s="7"/>
      <c r="E2156" s="7"/>
      <c r="F2156" s="7"/>
      <c r="G2156" s="7"/>
    </row>
    <row r="2157">
      <c r="A2157" s="6" t="s">
        <v>1163</v>
      </c>
      <c r="B2157" s="6">
        <v>0.0</v>
      </c>
      <c r="C2157" s="7"/>
      <c r="D2157" s="7"/>
      <c r="E2157" s="7"/>
      <c r="F2157" s="7"/>
      <c r="G2157" s="7"/>
    </row>
    <row r="2158">
      <c r="A2158" s="6" t="s">
        <v>1164</v>
      </c>
      <c r="B2158" s="6">
        <v>0.0</v>
      </c>
      <c r="C2158" s="7"/>
      <c r="D2158" s="7"/>
      <c r="E2158" s="7"/>
      <c r="F2158" s="7"/>
      <c r="G2158" s="7"/>
    </row>
    <row r="2159">
      <c r="A2159" s="6" t="s">
        <v>1165</v>
      </c>
      <c r="B2159" s="6">
        <v>0.0</v>
      </c>
      <c r="C2159" s="7"/>
      <c r="D2159" s="7"/>
      <c r="E2159" s="7"/>
      <c r="F2159" s="7"/>
      <c r="G2159" s="7"/>
    </row>
    <row r="2160">
      <c r="A2160" s="6" t="s">
        <v>1166</v>
      </c>
      <c r="B2160" s="6">
        <v>80.0</v>
      </c>
      <c r="C2160" s="7"/>
      <c r="D2160" s="7"/>
      <c r="E2160" s="7"/>
      <c r="F2160" s="7"/>
      <c r="G2160" s="7"/>
    </row>
    <row r="2161">
      <c r="A2161" s="6" t="s">
        <v>1167</v>
      </c>
      <c r="B2161" s="6">
        <v>69.0</v>
      </c>
      <c r="C2161" s="7"/>
      <c r="D2161" s="7"/>
      <c r="E2161" s="7"/>
      <c r="F2161" s="7"/>
      <c r="G2161" s="7"/>
    </row>
    <row r="2162">
      <c r="A2162" s="6" t="s">
        <v>1168</v>
      </c>
      <c r="B2162" s="6">
        <v>85.0</v>
      </c>
      <c r="C2162" s="7"/>
      <c r="D2162" s="7"/>
      <c r="E2162" s="7"/>
      <c r="F2162" s="7"/>
      <c r="G2162" s="7"/>
    </row>
    <row r="2163">
      <c r="A2163" s="6" t="s">
        <v>1169</v>
      </c>
      <c r="B2163" s="6">
        <v>2.0</v>
      </c>
      <c r="C2163" s="7"/>
      <c r="D2163" s="7"/>
      <c r="E2163" s="7"/>
      <c r="F2163" s="7"/>
      <c r="G2163" s="7"/>
    </row>
    <row r="2164">
      <c r="A2164" s="6" t="s">
        <v>1170</v>
      </c>
      <c r="B2164" s="6">
        <v>66.0</v>
      </c>
      <c r="C2164" s="7"/>
      <c r="D2164" s="7"/>
      <c r="E2164" s="7"/>
      <c r="F2164" s="7"/>
      <c r="G2164" s="7"/>
    </row>
    <row r="2165">
      <c r="A2165" s="6" t="s">
        <v>1171</v>
      </c>
      <c r="B2165" s="6">
        <v>0.0</v>
      </c>
      <c r="C2165" s="7"/>
      <c r="D2165" s="7"/>
      <c r="E2165" s="7"/>
      <c r="F2165" s="7"/>
      <c r="G2165" s="7"/>
    </row>
    <row r="2166">
      <c r="A2166" s="6" t="s">
        <v>1172</v>
      </c>
      <c r="B2166" s="6">
        <v>89.0</v>
      </c>
      <c r="C2166" s="7"/>
      <c r="D2166" s="7"/>
      <c r="E2166" s="7"/>
      <c r="F2166" s="7"/>
      <c r="G2166" s="7"/>
    </row>
    <row r="2167">
      <c r="A2167" s="6" t="s">
        <v>1173</v>
      </c>
      <c r="B2167" s="6">
        <v>50.0</v>
      </c>
      <c r="C2167" s="7"/>
      <c r="D2167" s="7"/>
      <c r="E2167" s="7"/>
      <c r="F2167" s="7"/>
      <c r="G2167" s="7"/>
    </row>
    <row r="2168">
      <c r="A2168" s="6" t="s">
        <v>1174</v>
      </c>
      <c r="B2168" s="6">
        <v>0.0</v>
      </c>
      <c r="C2168" s="7"/>
      <c r="D2168" s="7"/>
      <c r="E2168" s="7"/>
      <c r="F2168" s="7"/>
      <c r="G2168" s="7"/>
    </row>
    <row r="2169">
      <c r="A2169" s="6" t="s">
        <v>1175</v>
      </c>
      <c r="B2169" s="6">
        <v>2.0</v>
      </c>
      <c r="C2169" s="7"/>
      <c r="D2169" s="7"/>
      <c r="E2169" s="7"/>
      <c r="F2169" s="7"/>
      <c r="G2169" s="7"/>
    </row>
    <row r="2170">
      <c r="A2170" s="6" t="s">
        <v>1176</v>
      </c>
      <c r="B2170" s="6">
        <v>0.0</v>
      </c>
      <c r="C2170" s="7"/>
      <c r="D2170" s="7"/>
      <c r="E2170" s="7"/>
      <c r="F2170" s="7"/>
      <c r="G2170" s="7"/>
    </row>
    <row r="2171">
      <c r="A2171" s="6" t="s">
        <v>1177</v>
      </c>
      <c r="B2171" s="6">
        <v>0.0</v>
      </c>
      <c r="C2171" s="7"/>
      <c r="D2171" s="7"/>
      <c r="E2171" s="7"/>
      <c r="F2171" s="7"/>
      <c r="G2171" s="7"/>
    </row>
    <row r="2172">
      <c r="A2172" s="6" t="s">
        <v>1178</v>
      </c>
      <c r="B2172" s="6">
        <v>0.0</v>
      </c>
      <c r="C2172" s="7"/>
      <c r="D2172" s="7"/>
      <c r="E2172" s="7"/>
      <c r="F2172" s="7"/>
      <c r="G2172" s="7"/>
    </row>
    <row r="2173">
      <c r="A2173" s="6" t="s">
        <v>1179</v>
      </c>
      <c r="B2173" s="6">
        <v>0.0</v>
      </c>
      <c r="C2173" s="7"/>
      <c r="D2173" s="7"/>
      <c r="E2173" s="7"/>
      <c r="F2173" s="7"/>
      <c r="G2173" s="7"/>
    </row>
    <row r="2174">
      <c r="A2174" s="6" t="s">
        <v>1180</v>
      </c>
      <c r="B2174" s="6">
        <v>0.0</v>
      </c>
      <c r="C2174" s="7"/>
      <c r="D2174" s="7"/>
      <c r="E2174" s="7"/>
      <c r="F2174" s="7"/>
      <c r="G2174" s="7"/>
    </row>
    <row r="2175">
      <c r="A2175" s="6" t="s">
        <v>1181</v>
      </c>
      <c r="B2175" s="6">
        <v>0.0</v>
      </c>
      <c r="C2175" s="7"/>
      <c r="D2175" s="7"/>
      <c r="E2175" s="7"/>
      <c r="F2175" s="7"/>
      <c r="G2175" s="7"/>
    </row>
    <row r="2176">
      <c r="A2176" s="6" t="s">
        <v>1182</v>
      </c>
      <c r="B2176" s="6">
        <v>0.0</v>
      </c>
      <c r="C2176" s="7"/>
      <c r="D2176" s="7"/>
      <c r="E2176" s="7"/>
      <c r="F2176" s="7"/>
      <c r="G2176" s="7"/>
    </row>
    <row r="2177">
      <c r="A2177" s="6" t="s">
        <v>1183</v>
      </c>
      <c r="B2177" s="6">
        <v>76.0</v>
      </c>
      <c r="C2177" s="7"/>
      <c r="D2177" s="7"/>
      <c r="E2177" s="7"/>
      <c r="F2177" s="7"/>
      <c r="G2177" s="7"/>
    </row>
    <row r="2178">
      <c r="A2178" s="6" t="s">
        <v>1184</v>
      </c>
      <c r="B2178" s="6">
        <v>0.0</v>
      </c>
      <c r="C2178" s="7"/>
      <c r="D2178" s="7"/>
      <c r="E2178" s="7"/>
      <c r="F2178" s="7"/>
      <c r="G2178" s="7"/>
    </row>
    <row r="2179">
      <c r="A2179" s="6" t="s">
        <v>1185</v>
      </c>
      <c r="B2179" s="6">
        <v>0.0</v>
      </c>
      <c r="C2179" s="7"/>
      <c r="D2179" s="7"/>
      <c r="E2179" s="7"/>
      <c r="F2179" s="7"/>
      <c r="G2179" s="7"/>
    </row>
    <row r="2180">
      <c r="A2180" s="6" t="s">
        <v>1186</v>
      </c>
      <c r="B2180" s="6">
        <v>28.0</v>
      </c>
      <c r="C2180" s="7"/>
      <c r="D2180" s="7"/>
      <c r="E2180" s="7"/>
      <c r="F2180" s="7"/>
      <c r="G2180" s="7"/>
    </row>
    <row r="2181">
      <c r="A2181" s="6" t="s">
        <v>1187</v>
      </c>
      <c r="B2181" s="6">
        <v>13.0</v>
      </c>
      <c r="C2181" s="7"/>
      <c r="D2181" s="7"/>
      <c r="E2181" s="7"/>
      <c r="F2181" s="7"/>
      <c r="G2181" s="7"/>
    </row>
    <row r="2182">
      <c r="A2182" s="6" t="s">
        <v>1188</v>
      </c>
      <c r="B2182" s="6">
        <v>80.0</v>
      </c>
      <c r="C2182" s="7"/>
      <c r="D2182" s="7"/>
      <c r="E2182" s="7"/>
      <c r="F2182" s="7"/>
      <c r="G2182" s="7"/>
    </row>
    <row r="2183">
      <c r="A2183" s="6" t="s">
        <v>1189</v>
      </c>
      <c r="B2183" s="6">
        <v>59.0</v>
      </c>
      <c r="C2183" s="7"/>
      <c r="D2183" s="7"/>
      <c r="E2183" s="7"/>
      <c r="F2183" s="7"/>
      <c r="G2183" s="7"/>
    </row>
    <row r="2184">
      <c r="A2184" s="6" t="s">
        <v>1190</v>
      </c>
      <c r="B2184" s="6" t="s">
        <v>1191</v>
      </c>
      <c r="C2184" s="6">
        <v>71.0</v>
      </c>
      <c r="D2184" s="7"/>
      <c r="E2184" s="7"/>
      <c r="F2184" s="7"/>
      <c r="G2184" s="7"/>
    </row>
    <row r="2185">
      <c r="A2185" s="6" t="s">
        <v>1192</v>
      </c>
      <c r="B2185" s="6">
        <v>0.0</v>
      </c>
      <c r="C2185" s="7"/>
      <c r="D2185" s="7"/>
      <c r="E2185" s="7"/>
      <c r="F2185" s="7"/>
      <c r="G2185" s="7"/>
    </row>
    <row r="2186">
      <c r="A2186" s="6" t="s">
        <v>1193</v>
      </c>
      <c r="B2186" s="6">
        <v>0.0</v>
      </c>
      <c r="C2186" s="7"/>
      <c r="D2186" s="7"/>
      <c r="E2186" s="7"/>
      <c r="F2186" s="7"/>
      <c r="G2186" s="7"/>
    </row>
    <row r="2187">
      <c r="A2187" s="6" t="s">
        <v>1194</v>
      </c>
      <c r="B2187" s="6">
        <v>0.0</v>
      </c>
      <c r="C2187" s="7"/>
      <c r="D2187" s="7"/>
      <c r="E2187" s="7"/>
      <c r="F2187" s="7"/>
      <c r="G2187" s="7"/>
    </row>
    <row r="2188">
      <c r="A2188" s="6" t="s">
        <v>1195</v>
      </c>
      <c r="B2188" s="6">
        <v>12.0</v>
      </c>
      <c r="C2188" s="7"/>
      <c r="D2188" s="7"/>
      <c r="E2188" s="7"/>
      <c r="F2188" s="7"/>
      <c r="G2188" s="7"/>
    </row>
    <row r="2189">
      <c r="A2189" s="6" t="s">
        <v>1196</v>
      </c>
      <c r="B2189" s="6">
        <v>36.0</v>
      </c>
      <c r="C2189" s="7"/>
      <c r="D2189" s="7"/>
      <c r="E2189" s="7"/>
      <c r="F2189" s="7"/>
      <c r="G2189" s="7"/>
    </row>
    <row r="2190">
      <c r="A2190" s="6" t="s">
        <v>1197</v>
      </c>
      <c r="B2190" s="6">
        <v>0.0</v>
      </c>
      <c r="C2190" s="7"/>
      <c r="D2190" s="7"/>
      <c r="E2190" s="7"/>
      <c r="F2190" s="7"/>
      <c r="G2190" s="7"/>
    </row>
    <row r="2191">
      <c r="A2191" s="6" t="s">
        <v>1198</v>
      </c>
      <c r="B2191" s="6">
        <v>0.0</v>
      </c>
      <c r="C2191" s="7"/>
      <c r="D2191" s="7"/>
      <c r="E2191" s="7"/>
      <c r="F2191" s="7"/>
      <c r="G2191" s="7"/>
    </row>
    <row r="2192">
      <c r="A2192" s="6" t="s">
        <v>1199</v>
      </c>
      <c r="B2192" s="6">
        <v>26.0</v>
      </c>
      <c r="C2192" s="7"/>
      <c r="D2192" s="7"/>
      <c r="E2192" s="7"/>
      <c r="F2192" s="7"/>
      <c r="G2192" s="7"/>
    </row>
    <row r="2193">
      <c r="A2193" s="6" t="s">
        <v>1200</v>
      </c>
      <c r="B2193" s="6">
        <v>0.0</v>
      </c>
      <c r="C2193" s="7"/>
      <c r="D2193" s="7"/>
      <c r="E2193" s="7"/>
      <c r="F2193" s="7"/>
      <c r="G2193" s="7"/>
    </row>
    <row r="2194">
      <c r="A2194" s="6" t="s">
        <v>1201</v>
      </c>
      <c r="B2194" s="6">
        <v>0.0</v>
      </c>
      <c r="C2194" s="7"/>
      <c r="D2194" s="7"/>
      <c r="E2194" s="7"/>
      <c r="F2194" s="7"/>
      <c r="G2194" s="7"/>
    </row>
    <row r="2195">
      <c r="A2195" s="6" t="s">
        <v>1202</v>
      </c>
      <c r="B2195" s="6">
        <v>0.0</v>
      </c>
      <c r="C2195" s="7"/>
      <c r="D2195" s="7"/>
      <c r="E2195" s="7"/>
      <c r="F2195" s="7"/>
      <c r="G2195" s="7"/>
    </row>
    <row r="2196">
      <c r="A2196" s="6" t="s">
        <v>1203</v>
      </c>
      <c r="B2196" s="6">
        <v>0.0</v>
      </c>
      <c r="C2196" s="7"/>
      <c r="D2196" s="7"/>
      <c r="E2196" s="7"/>
      <c r="F2196" s="7"/>
      <c r="G2196" s="7"/>
    </row>
    <row r="2197">
      <c r="A2197" s="6" t="s">
        <v>1204</v>
      </c>
      <c r="B2197" s="6">
        <v>0.0</v>
      </c>
      <c r="C2197" s="7"/>
      <c r="D2197" s="7"/>
      <c r="E2197" s="7"/>
      <c r="F2197" s="7"/>
      <c r="G2197" s="7"/>
    </row>
    <row r="2198">
      <c r="A2198" s="6" t="s">
        <v>1205</v>
      </c>
      <c r="B2198" s="6">
        <v>84.0</v>
      </c>
      <c r="C2198" s="7"/>
      <c r="D2198" s="7"/>
      <c r="E2198" s="7"/>
      <c r="F2198" s="7"/>
      <c r="G2198" s="7"/>
    </row>
    <row r="2199">
      <c r="A2199" s="6" t="s">
        <v>1206</v>
      </c>
      <c r="B2199" s="6">
        <v>72.0</v>
      </c>
      <c r="C2199" s="7"/>
      <c r="D2199" s="7"/>
      <c r="E2199" s="7"/>
      <c r="F2199" s="7"/>
      <c r="G2199" s="7"/>
    </row>
    <row r="2200">
      <c r="A2200" s="6" t="s">
        <v>1207</v>
      </c>
      <c r="B2200" s="6">
        <v>6.0</v>
      </c>
      <c r="C2200" s="7"/>
      <c r="D2200" s="7"/>
      <c r="E2200" s="7"/>
      <c r="F2200" s="7"/>
      <c r="G2200" s="7"/>
    </row>
    <row r="2201">
      <c r="A2201" s="6" t="s">
        <v>1208</v>
      </c>
      <c r="B2201" s="6">
        <v>0.0</v>
      </c>
      <c r="C2201" s="7"/>
      <c r="D2201" s="7"/>
      <c r="E2201" s="7"/>
      <c r="F2201" s="7"/>
      <c r="G2201" s="7"/>
    </row>
    <row r="2202">
      <c r="A2202" s="6" t="s">
        <v>1209</v>
      </c>
      <c r="B2202" s="6">
        <v>0.0</v>
      </c>
      <c r="C2202" s="7"/>
      <c r="D2202" s="7"/>
      <c r="E2202" s="7"/>
      <c r="F2202" s="7"/>
      <c r="G2202" s="7"/>
    </row>
    <row r="2203">
      <c r="A2203" s="6" t="s">
        <v>1210</v>
      </c>
      <c r="B2203" s="6">
        <v>0.0</v>
      </c>
      <c r="C2203" s="7"/>
      <c r="D2203" s="7"/>
      <c r="E2203" s="7"/>
      <c r="F2203" s="7"/>
      <c r="G2203" s="7"/>
    </row>
    <row r="2204">
      <c r="A2204" s="6" t="s">
        <v>1211</v>
      </c>
      <c r="B2204" s="6">
        <v>0.0</v>
      </c>
      <c r="C2204" s="7"/>
      <c r="D2204" s="7"/>
      <c r="E2204" s="7"/>
      <c r="F2204" s="7"/>
      <c r="G2204" s="7"/>
    </row>
    <row r="2205">
      <c r="A2205" s="6" t="s">
        <v>1212</v>
      </c>
      <c r="B2205" s="6">
        <v>0.0</v>
      </c>
      <c r="C2205" s="7"/>
      <c r="D2205" s="7"/>
      <c r="E2205" s="7"/>
      <c r="F2205" s="7"/>
      <c r="G2205" s="7"/>
    </row>
    <row r="2206">
      <c r="A2206" s="7"/>
      <c r="B2206" s="7"/>
      <c r="C2206" s="7"/>
      <c r="D2206" s="7"/>
      <c r="E2206" s="7"/>
      <c r="F2206" s="7"/>
      <c r="G2206" s="7"/>
    </row>
    <row r="2207">
      <c r="A2207" s="7"/>
      <c r="B2207" s="7"/>
      <c r="C2207" s="7"/>
      <c r="D2207" s="7"/>
      <c r="E2207" s="7"/>
      <c r="F2207" s="7"/>
      <c r="G2207" s="7"/>
    </row>
  </sheetData>
  <conditionalFormatting sqref="B1:B2207">
    <cfRule type="cellIs" dxfId="0" priority="1" operator="greaterThan">
      <formula>0</formula>
    </cfRule>
  </conditionalFormatting>
  <drawing r:id="rId1"/>
</worksheet>
</file>
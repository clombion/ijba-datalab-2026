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ance" sheetId="1" r:id="rId5"/>
    <sheet state="visible" name="hypothèses" sheetId="2" r:id="rId6"/>
    <sheet state="visible" name="candidats" sheetId="3" r:id="rId7"/>
    <sheet state="visible" name="resultats" sheetId="4" r:id="rId8"/>
    <sheet state="visible" name="1_rapprochement" sheetId="5" r:id="rId9"/>
    <sheet state="visible" name="2_analyse" sheetId="6" r:id="rId10"/>
    <sheet state="visible" name="3_analyse" sheetId="7" r:id="rId11"/>
    <sheet state="visible" name="4_edition" sheetId="8" r:id="rId12"/>
    <sheet state="visible" name="Pivot Table 18" sheetId="9" r:id="rId13"/>
    <sheet state="visible" name="Pivot Table 17" sheetId="10" r:id="rId14"/>
    <sheet state="visible" name="5_categorisation" sheetId="11" r:id="rId15"/>
    <sheet state="visible" name="6_analyse" sheetId="12" r:id="rId16"/>
    <sheet state="visible" name="7_analyse" sheetId="13" r:id="rId17"/>
  </sheets>
  <definedNames>
    <definedName hidden="1" localSheetId="3" name="Z_D58543D3_275D_4903_9069_DF12EF9C35A6_.wvu.FilterData">resultats!$G$1:$G$168</definedName>
  </definedNames>
  <calcPr/>
  <customWorkbookViews>
    <customWorkbookView activeSheetId="0" maximized="1" windowHeight="0" windowWidth="0" guid="{D58543D3-275D-4903-9069-DF12EF9C35A6}" name="Filter 1"/>
  </customWorkbookViews>
  <pivotCaches>
    <pivotCache cacheId="0" r:id="rId18"/>
    <pivotCache cacheId="1" r:id="rId19"/>
    <pivotCache cacheId="2" r:id="rId20"/>
  </pivotCaches>
</workbook>
</file>

<file path=xl/sharedStrings.xml><?xml version="1.0" encoding="utf-8"?>
<sst xmlns="http://schemas.openxmlformats.org/spreadsheetml/2006/main" count="4833" uniqueCount="964">
  <si>
    <t>Libellé</t>
  </si>
  <si>
    <t>Signification</t>
  </si>
  <si>
    <t>G</t>
  </si>
  <si>
    <t>LEXG</t>
  </si>
  <si>
    <t>Liste Extrême gauche</t>
  </si>
  <si>
    <t>LFG</t>
  </si>
  <si>
    <t>Liste du Front de Gauche</t>
  </si>
  <si>
    <t>LPG</t>
  </si>
  <si>
    <t>Liste du Parti de Gauche</t>
  </si>
  <si>
    <t>LCOM</t>
  </si>
  <si>
    <t>Liste du Parti communiste français</t>
  </si>
  <si>
    <t>LVEG</t>
  </si>
  <si>
    <t>Liste Europe Ecologie-Les Verts et gauche</t>
  </si>
  <si>
    <t>LSOC</t>
  </si>
  <si>
    <t>Liste du Parti Socialiste</t>
  </si>
  <si>
    <t>LUG</t>
  </si>
  <si>
    <t>Liste Union de la Gauche</t>
  </si>
  <si>
    <t>LRDG</t>
  </si>
  <si>
    <t>Liste du Parti radical de gauche</t>
  </si>
  <si>
    <t>LDVG</t>
  </si>
  <si>
    <t>Liste Divers gauche</t>
  </si>
  <si>
    <t>LVEC</t>
  </si>
  <si>
    <t>Liste d’Europe-Ecologie-Les Verts</t>
  </si>
  <si>
    <t>LECO</t>
  </si>
  <si>
    <t>Liste Ecologiste</t>
  </si>
  <si>
    <t>LDIV</t>
  </si>
  <si>
    <t>Liste Divers</t>
  </si>
  <si>
    <t>C</t>
  </si>
  <si>
    <t>LREG</t>
  </si>
  <si>
    <t>Liste Régionaliste</t>
  </si>
  <si>
    <t>D</t>
  </si>
  <si>
    <t>LMDM</t>
  </si>
  <si>
    <t>Liste du Modem</t>
  </si>
  <si>
    <t>LUDI</t>
  </si>
  <si>
    <t>Liste de l’Union des Démocrates et des Indépendants</t>
  </si>
  <si>
    <t>LLR</t>
  </si>
  <si>
    <t>Liste « Les Républicains »</t>
  </si>
  <si>
    <t>LUD</t>
  </si>
  <si>
    <t>Liste Union de la Droite</t>
  </si>
  <si>
    <t>LDLF</t>
  </si>
  <si>
    <t>Liste Debout la France</t>
  </si>
  <si>
    <t>LDVD</t>
  </si>
  <si>
    <t>Liste Divers droite</t>
  </si>
  <si>
    <t>LFN</t>
  </si>
  <si>
    <t>Liste Front National</t>
  </si>
  <si>
    <t>LEXD</t>
  </si>
  <si>
    <t>Liste Extrême droite</t>
  </si>
  <si>
    <t>hypothèse exo 3</t>
  </si>
  <si>
    <t>étape d'analyse</t>
  </si>
  <si>
    <t>dans les régions du Nord ce sont majoritairement les listes de droite qui ont remporté les élections</t>
  </si>
  <si>
    <t>catégoriser libellé régions par NORD SUD EST OUEST
catégoriser nuance par GAUCHE CENTRE DROITE
somme(voix) de couleur droite dans geographie NORD est supérieure à la somme(voix) de couleur gauche ou du centre</t>
  </si>
  <si>
    <t>la droite a gagné le plus de régions</t>
  </si>
  <si>
    <t>la droite est plus puissante dans le Sud-est</t>
  </si>
  <si>
    <t>la gauche l'a remporté dans les régions frontalières</t>
  </si>
  <si>
    <t>Date de l'export</t>
  </si>
  <si>
    <t>Code de la région</t>
  </si>
  <si>
    <t>Libellé de la région</t>
  </si>
  <si>
    <t>Code section électorale</t>
  </si>
  <si>
    <t>Libellé section électorale</t>
  </si>
  <si>
    <t>N° Panneau Liste</t>
  </si>
  <si>
    <t>Code Dépôt Liste</t>
  </si>
  <si>
    <t>Libellé abrégé liste</t>
  </si>
  <si>
    <t>Libellé Etendu Liste</t>
  </si>
  <si>
    <t>Nuance Liste</t>
  </si>
  <si>
    <t>Tête de Liste</t>
  </si>
  <si>
    <t>n° candidat</t>
  </si>
  <si>
    <t>Sexe candidat</t>
  </si>
  <si>
    <t>Nom candidat</t>
  </si>
  <si>
    <t>Prénom candidat</t>
  </si>
  <si>
    <t>Date naissance candidat</t>
  </si>
  <si>
    <t>Profession candidat</t>
  </si>
  <si>
    <t>Personnalité candidat</t>
  </si>
  <si>
    <t>Le candidat est sortant</t>
  </si>
  <si>
    <t>Alsace - Champagne-Ardenne - Lorraine</t>
  </si>
  <si>
    <t>Bas-Rhin</t>
  </si>
  <si>
    <t>EUROPE ECOLOGIE LES VERTS</t>
  </si>
  <si>
    <t>ÉCOLOGISTES, SOLIDAIRES ET CITOYENS</t>
  </si>
  <si>
    <t>OUI</t>
  </si>
  <si>
    <t>F</t>
  </si>
  <si>
    <t>BÉLIER</t>
  </si>
  <si>
    <t>Sandrine</t>
  </si>
  <si>
    <t>Industriel-Chef entreprise</t>
  </si>
  <si>
    <t>Non</t>
  </si>
  <si>
    <t>Moselle</t>
  </si>
  <si>
    <t>Nos vies d'abord !</t>
  </si>
  <si>
    <t>M</t>
  </si>
  <si>
    <t>PERON</t>
  </si>
  <si>
    <t>Patrick</t>
  </si>
  <si>
    <t>Retraité salarié privé</t>
  </si>
  <si>
    <t>Vosges</t>
  </si>
  <si>
    <t>DEBOUT LA FRANCE</t>
  </si>
  <si>
    <t>DEBOUT LA FRANCE AVEC NICOLAS DUPONT-AIGNAN</t>
  </si>
  <si>
    <t>JACOBELLI</t>
  </si>
  <si>
    <t>Laurent</t>
  </si>
  <si>
    <t>PARTI SOCIALISTE</t>
  </si>
  <si>
    <t>+ FORTE, + PROCHE, NOTRE REGION AVEC JEAN-PIERRE MASSERET</t>
  </si>
  <si>
    <t>MASSERET</t>
  </si>
  <si>
    <t>Jean-Pierre</t>
  </si>
  <si>
    <t>Retraité fonct.publique (sf enseig.)</t>
  </si>
  <si>
    <t>SEN,PCR</t>
  </si>
  <si>
    <t>Oui</t>
  </si>
  <si>
    <t>FRONT NATIONAL</t>
  </si>
  <si>
    <t>LISTE FRONT NATIONAL PRESENTEE PAR MARINE LE PEN</t>
  </si>
  <si>
    <t>PHILIPPOT</t>
  </si>
  <si>
    <t>Florian</t>
  </si>
  <si>
    <t>Grands corps de l'état</t>
  </si>
  <si>
    <t>RPE</t>
  </si>
  <si>
    <t>UPR</t>
  </si>
  <si>
    <t>L'UPR, avec FRANÇOIS ASSELINEAU - LE PARTI QUI MONTE malgré le silence des médias</t>
  </si>
  <si>
    <t>WENTZEL</t>
  </si>
  <si>
    <t>David</t>
  </si>
  <si>
    <t>Agent subalterne (entr.publiques)</t>
  </si>
  <si>
    <t>Haut-Rhin</t>
  </si>
  <si>
    <t>LUTTE OUVRIERE</t>
  </si>
  <si>
    <t>Lutte ouvrière - Faire entendre le camp des travailleurs</t>
  </si>
  <si>
    <t>WOSTYN</t>
  </si>
  <si>
    <t>Julien</t>
  </si>
  <si>
    <t>Ouvrier (secteur privé)</t>
  </si>
  <si>
    <t>LISTE RÉGIONALISTE</t>
  </si>
  <si>
    <t>Non à l'ACAL, Oui à nos régions !</t>
  </si>
  <si>
    <t>TROUILLET</t>
  </si>
  <si>
    <t>Jean-Georges</t>
  </si>
  <si>
    <t>Ingénieur</t>
  </si>
  <si>
    <t>Unissons nos énergies avec Philippe RICHERT</t>
  </si>
  <si>
    <t>RICHERT</t>
  </si>
  <si>
    <t>Philippe</t>
  </si>
  <si>
    <t>Permanent politique</t>
  </si>
  <si>
    <t>PCR</t>
  </si>
  <si>
    <t>Aquitaine - Limousin - Poitou-Charentes</t>
  </si>
  <si>
    <t>Gironde</t>
  </si>
  <si>
    <t>NOUVELLE DONNE</t>
  </si>
  <si>
    <t>NOUVELLE DONNE : REPRENEZ LA MAIN !</t>
  </si>
  <si>
    <t>PEREIRA</t>
  </si>
  <si>
    <t>Nicolas</t>
  </si>
  <si>
    <t>Autre cadre (secteur privé)</t>
  </si>
  <si>
    <t>PLUS FORTS, PLUS SOLIDAIR</t>
  </si>
  <si>
    <t>PLUS FORTS, PLUS SOLIDAIRES, ENSEMBLE</t>
  </si>
  <si>
    <t>ROUSSET</t>
  </si>
  <si>
    <t>Alain</t>
  </si>
  <si>
    <t>Autre profession</t>
  </si>
  <si>
    <t>DEP,PCR</t>
  </si>
  <si>
    <t>GENERATION NOUVELLE REGIO</t>
  </si>
  <si>
    <t>GENERATION NOUVELLE REGION</t>
  </si>
  <si>
    <t>CALMELS</t>
  </si>
  <si>
    <t>Virginie</t>
  </si>
  <si>
    <t>Administrateur de sociétés</t>
  </si>
  <si>
    <t>Pyrénées-Atlantiques</t>
  </si>
  <si>
    <t>L'HUMAIN D'ABORD !</t>
  </si>
  <si>
    <t>DARTIGOLLES</t>
  </si>
  <si>
    <t>Olivier</t>
  </si>
  <si>
    <t>L'UPR</t>
  </si>
  <si>
    <t>L'UPR AVEC FRANCOIS ASSELINEAU - LE PARTI QUI MONTE MALGRE LE SILENCE DES MEDIAS</t>
  </si>
  <si>
    <t>DOUET</t>
  </si>
  <si>
    <t>William</t>
  </si>
  <si>
    <t>Etudiant</t>
  </si>
  <si>
    <t>FAISONS ENSEMBLE</t>
  </si>
  <si>
    <t>BOUSSION</t>
  </si>
  <si>
    <t>Joseph</t>
  </si>
  <si>
    <t>Sans profession déclarée</t>
  </si>
  <si>
    <t>Charente</t>
  </si>
  <si>
    <t>OSONS MIEUX</t>
  </si>
  <si>
    <t>OSONS MIEUX AVEC FRANÇOISE COUTANT - LISTE ECOLOGISTE ET CITOYENNE</t>
  </si>
  <si>
    <t>COUTANT</t>
  </si>
  <si>
    <t>Françoise</t>
  </si>
  <si>
    <t>Professeur du secondaire et techn.</t>
  </si>
  <si>
    <t>LISTE FRONT NATIONAL</t>
  </si>
  <si>
    <t>COLOMBIER</t>
  </si>
  <si>
    <t>Jacques</t>
  </si>
  <si>
    <t>Retraité des professions libérales</t>
  </si>
  <si>
    <t>Lot-et-Garonne</t>
  </si>
  <si>
    <t>DEBOUT LA FRANCE AVEC NICOLAS DUPONT AIGNAN</t>
  </si>
  <si>
    <t>SETZE</t>
  </si>
  <si>
    <t>Yvon</t>
  </si>
  <si>
    <t>Retr.artis.commerc.chef d entrep.</t>
  </si>
  <si>
    <t>LUTTE OUVRIERE - FAIRE ENTENDRE LE CAMP DES TRAVAILLEURS</t>
  </si>
  <si>
    <t>PERCHET</t>
  </si>
  <si>
    <t>Guillaume</t>
  </si>
  <si>
    <t>Auvergne - Rhône-Alpes</t>
  </si>
  <si>
    <t>Drôme</t>
  </si>
  <si>
    <t>L'UPR, AVEC FRANÇOIS ASSE</t>
  </si>
  <si>
    <t>L'UPR, avec François ASSELINEAU - LE PARTI QUI MONTE malgré le silence des médias</t>
  </si>
  <si>
    <t>FÉDÈLE</t>
  </si>
  <si>
    <t>Homme de lettres et Artiste</t>
  </si>
  <si>
    <t>69M</t>
  </si>
  <si>
    <t>Métropole de Lyon</t>
  </si>
  <si>
    <t>100% CITOYEN</t>
  </si>
  <si>
    <t>LAFOND</t>
  </si>
  <si>
    <t>Eric</t>
  </si>
  <si>
    <t>LISTE FRONT NATIONAL PRÉS</t>
  </si>
  <si>
    <t>Liste Front National présentée par Marine LE PEN</t>
  </si>
  <si>
    <t>BOUDOT</t>
  </si>
  <si>
    <t>Christophe</t>
  </si>
  <si>
    <t>Loire</t>
  </si>
  <si>
    <t>L'HUMAIN D'ABORD, AVEC LA</t>
  </si>
  <si>
    <t>L'Humain d'abord, avec la gauche républicaine et sociale</t>
  </si>
  <si>
    <t>CUKIERMAN</t>
  </si>
  <si>
    <t>Cécile</t>
  </si>
  <si>
    <t>SEN</t>
  </si>
  <si>
    <t>Isère</t>
  </si>
  <si>
    <t>LUTTE OUVRIERE - FAIRE EN</t>
  </si>
  <si>
    <t>GOMEZ</t>
  </si>
  <si>
    <t>Chantal</t>
  </si>
  <si>
    <t>Fonctionnaire de catégorie C</t>
  </si>
  <si>
    <t>Haute-Loire</t>
  </si>
  <si>
    <t>WAUQUIEZ 2015, UN NOUVEAU</t>
  </si>
  <si>
    <t>WAUQUIEZ 2015, un nouveau souffle pour notre région LE GRAND RASSEMBLEMENT de la DROITE et du CENTRE</t>
  </si>
  <si>
    <t>WAUQUIEZ</t>
  </si>
  <si>
    <t>DEP</t>
  </si>
  <si>
    <t>69D</t>
  </si>
  <si>
    <t>Rhône hors métropole de Lyon</t>
  </si>
  <si>
    <t>LE RASSEMBLEMENT CITOYEN,</t>
  </si>
  <si>
    <t>LE RASSEMBLEMENT CITOYEN, ECOLOGIQUE ET SOLIDAIRE</t>
  </si>
  <si>
    <t>KOHLHAAS</t>
  </si>
  <si>
    <t>Jean-Charles</t>
  </si>
  <si>
    <t>Salarié du secteur médical</t>
  </si>
  <si>
    <t>DEBOUT LA FRANCE AVEC NIC</t>
  </si>
  <si>
    <t>RAMBAUD</t>
  </si>
  <si>
    <t>Gerbert</t>
  </si>
  <si>
    <t>Avocat</t>
  </si>
  <si>
    <t>NOUS, C'EST LA RÉGION</t>
  </si>
  <si>
    <t>QUEYRANNE</t>
  </si>
  <si>
    <t>Jean-Jack</t>
  </si>
  <si>
    <t>Retraité de l'enseignement</t>
  </si>
  <si>
    <t>Bourgogne - Franche-Comté</t>
  </si>
  <si>
    <t>Doubs</t>
  </si>
  <si>
    <t>LISTE FRONT NATIONAL PRÉSENTÉE PAR MARINE LE PEN</t>
  </si>
  <si>
    <t>MONTEL</t>
  </si>
  <si>
    <t>Sophie</t>
  </si>
  <si>
    <t>Nièvre</t>
  </si>
  <si>
    <t>L'UPR avec François ASSELINEAU - LE PARTI QUI MONTE malgré le silence des médias</t>
  </si>
  <si>
    <t>GALLOIS</t>
  </si>
  <si>
    <t>Charles-Henri</t>
  </si>
  <si>
    <t>Côte-d'Or</t>
  </si>
  <si>
    <t>REGION GRAND</t>
  </si>
  <si>
    <t>LA REGION EN GRAND</t>
  </si>
  <si>
    <t>SAUVADET</t>
  </si>
  <si>
    <t>François</t>
  </si>
  <si>
    <t>DEP,PCD</t>
  </si>
  <si>
    <t>AEI BFC</t>
  </si>
  <si>
    <t>ALLIANCE ECOLOGISTE INDEPENDANTE DE BOURGOGNE ET FRANCHE-COMTE</t>
  </si>
  <si>
    <t>GONZALEZ</t>
  </si>
  <si>
    <t>Journaliste et autre média</t>
  </si>
  <si>
    <t>ÉCOLOGISTES BFC</t>
  </si>
  <si>
    <t>LES ÉCOLOGISTES DE BOURGOGNE FRANCHE-COMTÉ</t>
  </si>
  <si>
    <t>PRUDHOMME</t>
  </si>
  <si>
    <t>Saône-et-Loire</t>
  </si>
  <si>
    <t>ALTERNATIVE GAUCHE</t>
  </si>
  <si>
    <t>L'ALTERNATIVE À GAUCHE</t>
  </si>
  <si>
    <t>VERMOREL</t>
  </si>
  <si>
    <t>Nathalie</t>
  </si>
  <si>
    <t>Assistante sociale</t>
  </si>
  <si>
    <t>ROCHER</t>
  </si>
  <si>
    <t>Claire</t>
  </si>
  <si>
    <t>Fonctionnaire de catégorie B</t>
  </si>
  <si>
    <t>THIÉBAUT</t>
  </si>
  <si>
    <t>Maxime</t>
  </si>
  <si>
    <t>Conseiller juridique</t>
  </si>
  <si>
    <t>Territoire de Belfort</t>
  </si>
  <si>
    <t>3 MILLIONS GRUDLER</t>
  </si>
  <si>
    <t>3 Millions de raisons avec Christophe GRUDLER</t>
  </si>
  <si>
    <t>GRUDLER</t>
  </si>
  <si>
    <t>REGION AVANCE</t>
  </si>
  <si>
    <t>NOTRE REGION D'AVANCE</t>
  </si>
  <si>
    <t>DUFAY</t>
  </si>
  <si>
    <t>Marie-Guite</t>
  </si>
  <si>
    <t>Bretagne</t>
  </si>
  <si>
    <t>Ille-et-Vilaine</t>
  </si>
  <si>
    <t>BRETAGNE EN LUTTES</t>
  </si>
  <si>
    <t>BRETAGNE EN LUTTES BREIZH O STOURM</t>
  </si>
  <si>
    <t>ROBLIN</t>
  </si>
  <si>
    <t>Gael</t>
  </si>
  <si>
    <t>Morbihan</t>
  </si>
  <si>
    <t>AVEC J.Y. LE DRIAN</t>
  </si>
  <si>
    <t>POUR LA BRETAGNE AVEC JEAN-YVES LE DRIAN</t>
  </si>
  <si>
    <t>LE DRIAN</t>
  </si>
  <si>
    <t>Jean-Yves</t>
  </si>
  <si>
    <t>MIN</t>
  </si>
  <si>
    <t>NOTRE CHANCE INDEPENDANCE</t>
  </si>
  <si>
    <t>NOTRE CHANCE, L'INDEPENDANCE</t>
  </si>
  <si>
    <t>DELÉON</t>
  </si>
  <si>
    <t>Bertrand</t>
  </si>
  <si>
    <t>Enseignant 1er deg.-directeur école</t>
  </si>
  <si>
    <t>Finistère</t>
  </si>
  <si>
    <t>OUI LA BRETAGNE</t>
  </si>
  <si>
    <t>TROADEC</t>
  </si>
  <si>
    <t>Christian</t>
  </si>
  <si>
    <t>L'UPR, avec François ASSELINEAU LE PARTI QUI MONTE malgré le silence des médias</t>
  </si>
  <si>
    <t>GOURVENEC</t>
  </si>
  <si>
    <t>Jean-François</t>
  </si>
  <si>
    <t>Debout la France avec Nicolas Dupont-Aignan</t>
  </si>
  <si>
    <t>FOUCHER</t>
  </si>
  <si>
    <t>Jean-Jacques</t>
  </si>
  <si>
    <t>PENNELLE</t>
  </si>
  <si>
    <t>Gilles</t>
  </si>
  <si>
    <t>Côtes-d'Armor</t>
  </si>
  <si>
    <t>LES REPUBLICAINS</t>
  </si>
  <si>
    <t>LE CHOIX DE LA BRETAGNE</t>
  </si>
  <si>
    <t>LE FUR</t>
  </si>
  <si>
    <t>Marc</t>
  </si>
  <si>
    <t>UNE AUTRE VOIE</t>
  </si>
  <si>
    <t>UNE AUTRE VOIE POUR LA BRETAGNE</t>
  </si>
  <si>
    <t>LOUAIL</t>
  </si>
  <si>
    <t>René</t>
  </si>
  <si>
    <t>Retraité agricole</t>
  </si>
  <si>
    <t>L'HUMAIN D'ABORD</t>
  </si>
  <si>
    <t>pour une bretagne sociale et écologique: l'humain d'abord</t>
  </si>
  <si>
    <t>COMPAIN</t>
  </si>
  <si>
    <t>Xavier</t>
  </si>
  <si>
    <t>Agriculteur-propriétaire exploit.</t>
  </si>
  <si>
    <t>HAMON</t>
  </si>
  <si>
    <t>Valérie</t>
  </si>
  <si>
    <t>Employé (autres entrep. publiques)</t>
  </si>
  <si>
    <t>Centre-Val de Loire</t>
  </si>
  <si>
    <t>Eure-et-Loir</t>
  </si>
  <si>
    <t>LISTE FRONT NATIONAL PRESENTEE  PAR MARINE LE PEN</t>
  </si>
  <si>
    <t>LOISEAU</t>
  </si>
  <si>
    <t>FOUQUIAU</t>
  </si>
  <si>
    <t>Thierry</t>
  </si>
  <si>
    <t>Loiret</t>
  </si>
  <si>
    <t>LUTTE OUVRIERE - Faire entendre le camp des travailleurs</t>
  </si>
  <si>
    <t>MEGDOUD</t>
  </si>
  <si>
    <t>Farida</t>
  </si>
  <si>
    <t>Cher</t>
  </si>
  <si>
    <t>PENLOUP</t>
  </si>
  <si>
    <t>Alix</t>
  </si>
  <si>
    <t>CENTRE RENAISSANCE</t>
  </si>
  <si>
    <t>Centre - Val de Loire, la Renaissance !</t>
  </si>
  <si>
    <t>VIGIER</t>
  </si>
  <si>
    <t>Pharmacien</t>
  </si>
  <si>
    <t>Loir-et-Cher</t>
  </si>
  <si>
    <t>ECOLOGISTES</t>
  </si>
  <si>
    <t>ECOLOGISTES, CITOYENS ET SOLIDAIRES</t>
  </si>
  <si>
    <t>FOURNIER</t>
  </si>
  <si>
    <t>Charles</t>
  </si>
  <si>
    <t>A FOND MA RÉGION</t>
  </si>
  <si>
    <t>A FOND MA REGION AVEC FRANCOIS BONNEAU</t>
  </si>
  <si>
    <t>BONNEAU</t>
  </si>
  <si>
    <t>HUMAIN AU CENTRE</t>
  </si>
  <si>
    <t>Rassembler avec l'Humain au Centre - Val de Loire</t>
  </si>
  <si>
    <t>SANSU</t>
  </si>
  <si>
    <t>Île-de-France</t>
  </si>
  <si>
    <t>Paris</t>
  </si>
  <si>
    <t>NOS VIES D'ABORD !</t>
  </si>
  <si>
    <t>NOS VIES D'ABORD ! égalité écologie dignité citoyenneté Pierre LAURENT Eric COQUEREL Clémentine AUTAIN</t>
  </si>
  <si>
    <t>LAURENT</t>
  </si>
  <si>
    <t>Pierre</t>
  </si>
  <si>
    <t>Seine-Saint-Denis</t>
  </si>
  <si>
    <t>LISTE CLAUDE BARTOLONE</t>
  </si>
  <si>
    <t>Avec Claude Bartolone, une Ile-de-France humaine</t>
  </si>
  <si>
    <t>BARTOLONE</t>
  </si>
  <si>
    <t>Claude</t>
  </si>
  <si>
    <t>UPR  FRANCOIS ASSELINEAU</t>
  </si>
  <si>
    <t>l'UPR avec François ASSELINEAU, le parti qui monte malgré le silence des médias</t>
  </si>
  <si>
    <t>ASSELINEAU</t>
  </si>
  <si>
    <t>CHANGEONS D'AIR</t>
  </si>
  <si>
    <t>CHANGEONS D'AIR, LE RASSEMBLEMENT ECOLOGISTE ET CITOYEN</t>
  </si>
  <si>
    <t>COSSE</t>
  </si>
  <si>
    <t>Emmanuelle</t>
  </si>
  <si>
    <t>Essonne</t>
  </si>
  <si>
    <t>LISTE D'UNION CITOYENNE</t>
  </si>
  <si>
    <t>HORSFALL</t>
  </si>
  <si>
    <t>Dawari</t>
  </si>
  <si>
    <t>NOUS CITOYENS</t>
  </si>
  <si>
    <t>NOUS CITOYENS POUR L'ILE DE FRANCE</t>
  </si>
  <si>
    <t>SACHS</t>
  </si>
  <si>
    <t>Valerie</t>
  </si>
  <si>
    <t>Val-d'Oise</t>
  </si>
  <si>
    <t>LISTE FLUO</t>
  </si>
  <si>
    <t>F.L.U.O. (Fédération Libertaire Unitaire Ouverte)</t>
  </si>
  <si>
    <t>DE SMET</t>
  </si>
  <si>
    <t>Sylvain</t>
  </si>
  <si>
    <t>Autre retraité</t>
  </si>
  <si>
    <t>Val-de-Marne</t>
  </si>
  <si>
    <t>UDMF</t>
  </si>
  <si>
    <t>Union des Démocrates Musulmans Français</t>
  </si>
  <si>
    <t>BOURCHADA</t>
  </si>
  <si>
    <t>Nizarr</t>
  </si>
  <si>
    <t>Cadre supérieur (secteur privé)</t>
  </si>
  <si>
    <t>DUPONT-AIGNAN</t>
  </si>
  <si>
    <t>Yvelines</t>
  </si>
  <si>
    <t>LISTE PECRESSE</t>
  </si>
  <si>
    <t>l'alternance avec Valérie Précresse</t>
  </si>
  <si>
    <t>PECRESSE</t>
  </si>
  <si>
    <t>Magistrat</t>
  </si>
  <si>
    <t>AUX URNES CITOYENS</t>
  </si>
  <si>
    <t>VERON</t>
  </si>
  <si>
    <t>Aurelien</t>
  </si>
  <si>
    <t>DE SAINT JUST</t>
  </si>
  <si>
    <t>Wallerand</t>
  </si>
  <si>
    <t>LUTTE OUVRIÈRE</t>
  </si>
  <si>
    <t>ARTHAUD</t>
  </si>
  <si>
    <t>Languedoc-Roussillon - Midi-Pyrénées</t>
  </si>
  <si>
    <t>Aveyron</t>
  </si>
  <si>
    <t>JE M'ENGAGE POUR MA REG</t>
  </si>
  <si>
    <t>JE M'ENGAGE POUR MA REGION</t>
  </si>
  <si>
    <t>REYNIÉ</t>
  </si>
  <si>
    <t>Dominique</t>
  </si>
  <si>
    <t>Professeur de faculté</t>
  </si>
  <si>
    <t>Haute-Garonne</t>
  </si>
  <si>
    <t>NOTRE SUD</t>
  </si>
  <si>
    <t>Notre Sud, une région forte, créative et solidaire - liste conduite par Carole DELGA</t>
  </si>
  <si>
    <t>DELGA</t>
  </si>
  <si>
    <t>Carole</t>
  </si>
  <si>
    <t>Fonctionnaire de catégorie A</t>
  </si>
  <si>
    <t>Hérault</t>
  </si>
  <si>
    <t>FORCE FRANCE SUD</t>
  </si>
  <si>
    <t>FORCE FRANCE SUD LA REGION LA FRANCE LA VIE</t>
  </si>
  <si>
    <t>MARTINEZ</t>
  </si>
  <si>
    <t>Jean-Claude</t>
  </si>
  <si>
    <t>Gard</t>
  </si>
  <si>
    <t>LE BIEN COMMUN</t>
  </si>
  <si>
    <t>Le Bien Commun</t>
  </si>
  <si>
    <t>CAVARD</t>
  </si>
  <si>
    <t>Indignez-vous avec NOUVELLE DONNE</t>
  </si>
  <si>
    <t>FABRE</t>
  </si>
  <si>
    <t>UNION POPULAIRE REP</t>
  </si>
  <si>
    <t>HIRIMIRIS</t>
  </si>
  <si>
    <t>Yvan</t>
  </si>
  <si>
    <t>CITOYENS DU MIDI</t>
  </si>
  <si>
    <t>SAUREL</t>
  </si>
  <si>
    <t>Dentiste</t>
  </si>
  <si>
    <t>MAI</t>
  </si>
  <si>
    <t>Pyrénées-Orientales</t>
  </si>
  <si>
    <t>ALIOT</t>
  </si>
  <si>
    <t>Louis</t>
  </si>
  <si>
    <t>NOUVEAU MONDE EN COMMUN</t>
  </si>
  <si>
    <t>NOUVEAU MONDE EN COMMUN Liste conduite par Gérard ONESTA</t>
  </si>
  <si>
    <t>ONESTA</t>
  </si>
  <si>
    <t>Gérard</t>
  </si>
  <si>
    <t>Architecte</t>
  </si>
  <si>
    <t>LEMPEREUR</t>
  </si>
  <si>
    <t>Damien</t>
  </si>
  <si>
    <t>TORREMOCHA</t>
  </si>
  <si>
    <t>Sandra</t>
  </si>
  <si>
    <t>Nord-Pas-de-Calais - Picardie</t>
  </si>
  <si>
    <t>Nord</t>
  </si>
  <si>
    <t xml:space="preserve">L'HUMAIN D'ABORD ! liste de rassemblement citoyen pour une gauche combative et écologiste dans notre région, soutenue par le Parti Communiste Français, Ensemble ! NPDC, la Gauche Unitaire, la Coordination Communiste, République et Socialisme, membres du </t>
  </si>
  <si>
    <t>ROUSSEL</t>
  </si>
  <si>
    <t>Fabien</t>
  </si>
  <si>
    <t>Pas-de-Calais</t>
  </si>
  <si>
    <t>UNE RÉGION FIÈRE</t>
  </si>
  <si>
    <t>UNE RÉGION FIÈRE ET ENRACINÉE</t>
  </si>
  <si>
    <t>LE PEN</t>
  </si>
  <si>
    <t>Marine</t>
  </si>
  <si>
    <t>PECQUEUR</t>
  </si>
  <si>
    <t>MASCARO</t>
  </si>
  <si>
    <t>POUR VOUS</t>
  </si>
  <si>
    <t>Pour vous</t>
  </si>
  <si>
    <t>DE SAINTIGNON</t>
  </si>
  <si>
    <t>Aisne</t>
  </si>
  <si>
    <t>AVEC XAVIER BERTRAND</t>
  </si>
  <si>
    <t>Avec Xavier Bertrand notre région au travail</t>
  </si>
  <si>
    <t>BERTRAND</t>
  </si>
  <si>
    <t>Agent général d'assurances</t>
  </si>
  <si>
    <t>Somme</t>
  </si>
  <si>
    <t>TANGUY</t>
  </si>
  <si>
    <t>Jean-Philippe</t>
  </si>
  <si>
    <t>Cadre sup. (entreprises publiques)</t>
  </si>
  <si>
    <t>BLONDEL</t>
  </si>
  <si>
    <t>LE RASSEMBLEMENT</t>
  </si>
  <si>
    <t>LE RASSEMBLEMENT ! Choisir une région citoyenne, écologique et solidaire</t>
  </si>
  <si>
    <t>ROUSSEAU</t>
  </si>
  <si>
    <t>Normandie</t>
  </si>
  <si>
    <t>Eure</t>
  </si>
  <si>
    <t>CALBRIX</t>
  </si>
  <si>
    <t>Manche</t>
  </si>
  <si>
    <t>NOUVELLE DONNE NORMANDIE</t>
  </si>
  <si>
    <t>LECOEUR</t>
  </si>
  <si>
    <t>Alexandra</t>
  </si>
  <si>
    <t>Orne</t>
  </si>
  <si>
    <t>EELV</t>
  </si>
  <si>
    <t>NORMANDIE ECOLOGIE</t>
  </si>
  <si>
    <t>SOUBIEN</t>
  </si>
  <si>
    <t>Yanic</t>
  </si>
  <si>
    <t>Profession rattachée à l'enseignt.</t>
  </si>
  <si>
    <t>Seine-Maritime</t>
  </si>
  <si>
    <t>Lutte Ouvrière - Faire entendre le camp des travailleurs</t>
  </si>
  <si>
    <t>LE MANACH</t>
  </si>
  <si>
    <t>Pascal</t>
  </si>
  <si>
    <t>LISTE PARTI SOCIALISTE</t>
  </si>
  <si>
    <t>Au service de tous les Normands</t>
  </si>
  <si>
    <t>MAYER-ROSSIGNOL</t>
  </si>
  <si>
    <t>BLEU MARINE</t>
  </si>
  <si>
    <t>NORMANDIE BLEU MARINE</t>
  </si>
  <si>
    <t>BAY</t>
  </si>
  <si>
    <t>FRONT DE GAUCHE</t>
  </si>
  <si>
    <t>Liste du Front de Gauche conduite par Sébastien Jumel soutenue par le PCF - le PG ensemble. "Un vent de colère. Un souffle d'espoir."</t>
  </si>
  <si>
    <t>JUMEL</t>
  </si>
  <si>
    <t>Sébastien</t>
  </si>
  <si>
    <t>UNION DE LA DROITE</t>
  </si>
  <si>
    <t>LA NORMANDIE CONQUERANTE AVEC HERVÉ MORIN</t>
  </si>
  <si>
    <t>MORIN</t>
  </si>
  <si>
    <t>Hervé</t>
  </si>
  <si>
    <t>L'UPR, avec François ASSELINEAU - LE PARTI QUI MONTE malgré le silence des média</t>
  </si>
  <si>
    <t>LOUTRE</t>
  </si>
  <si>
    <t>Jean-Christophe</t>
  </si>
  <si>
    <t>Pays de la Loire</t>
  </si>
  <si>
    <t>Sarthe</t>
  </si>
  <si>
    <t>Liste FRONT NATIONAL présentée par Marine LE PEN</t>
  </si>
  <si>
    <t>GANNAT</t>
  </si>
  <si>
    <t>Loire-Atlantique</t>
  </si>
  <si>
    <t>CHOISIR NOS RÉGIONS</t>
  </si>
  <si>
    <t>Choisir nos Régions et Réunifier la Bretagne</t>
  </si>
  <si>
    <t>DENIGOT</t>
  </si>
  <si>
    <t>BAYLE DE JESSÉ</t>
  </si>
  <si>
    <t>Autre profession libérale</t>
  </si>
  <si>
    <t>Maine-et-Loire</t>
  </si>
  <si>
    <t>l'Humain d'abord</t>
  </si>
  <si>
    <t>PAGANO</t>
  </si>
  <si>
    <t>LE BELLER</t>
  </si>
  <si>
    <t>Eddy</t>
  </si>
  <si>
    <t>Agent technique et technicien</t>
  </si>
  <si>
    <t>Vendée</t>
  </si>
  <si>
    <t>UNION DROITE - CENTRE</t>
  </si>
  <si>
    <t>LISTE D'UNION DE LA DROITE ET DU CENTRE</t>
  </si>
  <si>
    <t>RETAILLEAU</t>
  </si>
  <si>
    <t>Bruno</t>
  </si>
  <si>
    <t>GAUCHE ET ECOLOGISTES</t>
  </si>
  <si>
    <t>TOUS UNIS POUR LES PAYS DE LA LOIRE, LA GAUCHE ET LES ECOLOGISTES AVEC CHRISTOPHE CLERGEAU</t>
  </si>
  <si>
    <t>CLERGEAU</t>
  </si>
  <si>
    <t>COMMUNISTES</t>
  </si>
  <si>
    <t>TERRIEN</t>
  </si>
  <si>
    <t>PLUS QU'UNE RÉGION</t>
  </si>
  <si>
    <t>Partageons plus qu'une région</t>
  </si>
  <si>
    <t>BRINGUY</t>
  </si>
  <si>
    <t>Employé (secteur privé)</t>
  </si>
  <si>
    <t>PARISOT</t>
  </si>
  <si>
    <t>Provence-Alpes-Côte d'Azur</t>
  </si>
  <si>
    <t>Alpes-Maritimes</t>
  </si>
  <si>
    <t>A.E.I.</t>
  </si>
  <si>
    <t>Alliance écologiste indépendante</t>
  </si>
  <si>
    <t>GOVERNATORI</t>
  </si>
  <si>
    <t>Jean Marc</t>
  </si>
  <si>
    <t>Bouches-du-Rhône</t>
  </si>
  <si>
    <t>BONNET</t>
  </si>
  <si>
    <t>Isabelle</t>
  </si>
  <si>
    <t>Vaucluse</t>
  </si>
  <si>
    <t>UNION DES DROITES</t>
  </si>
  <si>
    <t>BOMPARD</t>
  </si>
  <si>
    <t>LA REGION COOPERATIVE</t>
  </si>
  <si>
    <t>la Région Coopérative Sociale, Ecologiste et Citoyenne, avec sophie CAMARD et Jean-Marc COPPOLA</t>
  </si>
  <si>
    <t>CAMARD</t>
  </si>
  <si>
    <t>LA FRANCE PLEIN SUD !</t>
  </si>
  <si>
    <t>La France plein Sud !</t>
  </si>
  <si>
    <t>MARÉCHAL-LE PEN</t>
  </si>
  <si>
    <t>Marion</t>
  </si>
  <si>
    <t>CA VA CHANGER</t>
  </si>
  <si>
    <t>Ca Va Changer</t>
  </si>
  <si>
    <t>ESTROSI</t>
  </si>
  <si>
    <t>Alpes-de-Haute-Provence</t>
  </si>
  <si>
    <t>NOTRE REGION NOTRE FIERTE</t>
  </si>
  <si>
    <t>Notre Région, Notre Fierté</t>
  </si>
  <si>
    <t>CASTANER</t>
  </si>
  <si>
    <t>L'UPR AVEC ASSELINEAU</t>
  </si>
  <si>
    <t>L'UPR avec François ASSELINEAU LE PARTI QUI MONTE, malgré le silence des médias</t>
  </si>
  <si>
    <t>ROMANI</t>
  </si>
  <si>
    <t>Daniel</t>
  </si>
  <si>
    <t>Commercant</t>
  </si>
  <si>
    <t>CHUISANO</t>
  </si>
  <si>
    <t>Noël</t>
  </si>
  <si>
    <t>POUR UNE NOUVELLE DONNE REGIONALE</t>
  </si>
  <si>
    <t>JARNY</t>
  </si>
  <si>
    <t>Cyril</t>
  </si>
  <si>
    <t>Corse</t>
  </si>
  <si>
    <t>FRONT NATIONAL CORSE AVEC MARINE LE PEN</t>
  </si>
  <si>
    <t>CANIONI</t>
  </si>
  <si>
    <t>FEMU A CORSICA</t>
  </si>
  <si>
    <t>FEMU A CORSICA SIMEONI ANGELINI</t>
  </si>
  <si>
    <t>SIMEONI</t>
  </si>
  <si>
    <t>RASSEMBLER POUR LA CORSE</t>
  </si>
  <si>
    <t>RASSEMBLER POUR LA CORSE / UNITI PER A CORSICA</t>
  </si>
  <si>
    <t>DE ROCCA SERRA</t>
  </si>
  <si>
    <t>Camille</t>
  </si>
  <si>
    <t>LA GARANTIE REPUBLICAINE</t>
  </si>
  <si>
    <t>ZUCCARELLI</t>
  </si>
  <si>
    <t>Jean</t>
  </si>
  <si>
    <t>Agent d'assurances</t>
  </si>
  <si>
    <t>LA CORSE QUI OSE</t>
  </si>
  <si>
    <t>La Corse qui ose - Corsic'Ardita</t>
  </si>
  <si>
    <t>DE GENTILI</t>
  </si>
  <si>
    <t>PRIMA A CORSICA</t>
  </si>
  <si>
    <t>GIACOBBI</t>
  </si>
  <si>
    <t>Paul</t>
  </si>
  <si>
    <t>RINNOVU</t>
  </si>
  <si>
    <t>BENEDETTI</t>
  </si>
  <si>
    <t>Paul-Félix</t>
  </si>
  <si>
    <t>CORSICA LIBERA</t>
  </si>
  <si>
    <t>TALAMONI</t>
  </si>
  <si>
    <t>Jean-Guy</t>
  </si>
  <si>
    <t>A CORSICA IN CUMUNU</t>
  </si>
  <si>
    <t>A CORSICA IN CUMUNU - PCF - FRONT DE GAUCHE</t>
  </si>
  <si>
    <t>BUCCHINI</t>
  </si>
  <si>
    <t>PAC</t>
  </si>
  <si>
    <t>JOSE ROSSI 2015</t>
  </si>
  <si>
    <t>ROSSI</t>
  </si>
  <si>
    <t>José</t>
  </si>
  <si>
    <t>LISTE ORSUCCI - PIERI</t>
  </si>
  <si>
    <t>LISTE ORSUCCI - PIERI / LA CORSE A COEUR</t>
  </si>
  <si>
    <t>ORSUCCI</t>
  </si>
  <si>
    <t>SANTONI</t>
  </si>
  <si>
    <t>Hyacinthe</t>
  </si>
  <si>
    <t>Guadeloupe</t>
  </si>
  <si>
    <t>ALTERNATIVE POPULAIRE</t>
  </si>
  <si>
    <t>ALTERNATIVE POPULAIRE ET CITOYENNE</t>
  </si>
  <si>
    <t>PLAISIR</t>
  </si>
  <si>
    <t>GUADELOUPE SOLIDAIRE</t>
  </si>
  <si>
    <t>BERNIER</t>
  </si>
  <si>
    <t>NOUVELLE ALLIANCE</t>
  </si>
  <si>
    <t>NOUVELLE ALLIANCE POUR LA GUADELOUPE</t>
  </si>
  <si>
    <t>MYRE</t>
  </si>
  <si>
    <t>Marie-Christine</t>
  </si>
  <si>
    <t>GUADELOUPE BLEU MARINE</t>
  </si>
  <si>
    <t>LISTE FRONT NATIONAL PRESENTEE PAR MARINE LE PEN - GUADELOUPE BLEU MARINE</t>
  </si>
  <si>
    <t>VIENNET</t>
  </si>
  <si>
    <t>Stephan</t>
  </si>
  <si>
    <t>LA GUADELOUPE TOUJOURS</t>
  </si>
  <si>
    <t>LA GUADELOUPE - TOUJOURS MIEUX</t>
  </si>
  <si>
    <t>LUREL</t>
  </si>
  <si>
    <t>Victorin</t>
  </si>
  <si>
    <t>NOFWAP</t>
  </si>
  <si>
    <t>NOFWAP LA GUADELOUPE EN ACTION VERITE ET JUSTICE SOCIALE</t>
  </si>
  <si>
    <t>YOYOTTE</t>
  </si>
  <si>
    <t>Henri</t>
  </si>
  <si>
    <t>POU BA GWADLOUP ON DÔT</t>
  </si>
  <si>
    <t>POU BA GWADLOUP ON DÔT DIREKSION, ON DÔT BALAN</t>
  </si>
  <si>
    <t>CADOCE</t>
  </si>
  <si>
    <t>Mona</t>
  </si>
  <si>
    <t>CHANGEZ  D'AVENIR</t>
  </si>
  <si>
    <t>CHANGEZ D'AVENIR</t>
  </si>
  <si>
    <t>CHALUS</t>
  </si>
  <si>
    <t>Ary</t>
  </si>
  <si>
    <t>OUI A LA GUADELOUPE</t>
  </si>
  <si>
    <t>SEYMOUR</t>
  </si>
  <si>
    <t>Mélina</t>
  </si>
  <si>
    <t>COMBAT OUVRIER</t>
  </si>
  <si>
    <t>NOMERTIN</t>
  </si>
  <si>
    <t>Jean-Marie</t>
  </si>
  <si>
    <t>Martinique</t>
  </si>
  <si>
    <t>ZB3</t>
  </si>
  <si>
    <t>Martinique - Section de Fort-de-France</t>
  </si>
  <si>
    <t>MARTINIQUE CITOYENNE</t>
  </si>
  <si>
    <t>MARTINIQUE CITOYENNE NOU TOUT'KAPAB</t>
  </si>
  <si>
    <t>JOS</t>
  </si>
  <si>
    <t>JOACHIM-ARNAUD</t>
  </si>
  <si>
    <t>Ghislaine</t>
  </si>
  <si>
    <t>ZB2</t>
  </si>
  <si>
    <t>Martinique - Section du Nord</t>
  </si>
  <si>
    <t>BA PEYI-A AN CHANS</t>
  </si>
  <si>
    <t>MONPLAISIR</t>
  </si>
  <si>
    <t>Yan</t>
  </si>
  <si>
    <t>LA LISTE DEPARTEMENTALE</t>
  </si>
  <si>
    <t>VIRASSAMY</t>
  </si>
  <si>
    <t>MOUVEMENT DES TRAVAILLEUR</t>
  </si>
  <si>
    <t>MOUVEMENT DES TRAVAILLEURS ET PEUPLE SANS VOIX DE MARTINIQUE</t>
  </si>
  <si>
    <t>GROMAT</t>
  </si>
  <si>
    <t>ZB1</t>
  </si>
  <si>
    <t>Martinique - Section du Centre</t>
  </si>
  <si>
    <t>GRAN SANBLÉ</t>
  </si>
  <si>
    <t>Grand Sanblé pour faire réussir la Martinique</t>
  </si>
  <si>
    <t>MARIE-JEANNE</t>
  </si>
  <si>
    <t>Alfred</t>
  </si>
  <si>
    <t>ZB4</t>
  </si>
  <si>
    <t>Martinique - Section du Sud</t>
  </si>
  <si>
    <t>LA MARTINIQUE AUTREMENT</t>
  </si>
  <si>
    <t>PETIT</t>
  </si>
  <si>
    <t>NOU PEP LA</t>
  </si>
  <si>
    <t>NADEAU</t>
  </si>
  <si>
    <t>Marcellin</t>
  </si>
  <si>
    <t>ENSEMBLE POUR UNE MARTINI</t>
  </si>
  <si>
    <t>ENSEMBLE POUR UNE MARTINIQUE NOUVELLE</t>
  </si>
  <si>
    <t>LETCHIMY</t>
  </si>
  <si>
    <t>Serge</t>
  </si>
  <si>
    <t>Guyane</t>
  </si>
  <si>
    <t>ZC2</t>
  </si>
  <si>
    <t>Guyane - Section de la petite Couronne</t>
  </si>
  <si>
    <t>LFPBG</t>
  </si>
  <si>
    <t>La force pour bâtir la Guyane</t>
  </si>
  <si>
    <t>BUDOC</t>
  </si>
  <si>
    <t>Rémy Louis</t>
  </si>
  <si>
    <t>ZC1</t>
  </si>
  <si>
    <t>Guyane - Section de Cayenne</t>
  </si>
  <si>
    <t>GTF</t>
  </si>
  <si>
    <t>Guyane, de toutes nos forces !</t>
  </si>
  <si>
    <t>LETARD</t>
  </si>
  <si>
    <t>Line</t>
  </si>
  <si>
    <t>TD</t>
  </si>
  <si>
    <t>Un territoire, une collectivité, un destin</t>
  </si>
  <si>
    <t>ALEXANDRE</t>
  </si>
  <si>
    <t>Rodolphe</t>
  </si>
  <si>
    <t>l'union Guyane</t>
  </si>
  <si>
    <t>ICARE NOUREL</t>
  </si>
  <si>
    <t>Muriel</t>
  </si>
  <si>
    <t>ZC5</t>
  </si>
  <si>
    <t>Guyane - Section des Savanes</t>
  </si>
  <si>
    <t>NVIS</t>
  </si>
  <si>
    <t>Pour une NOUVELLE VISION de la Guyane française : un STATUT ambitieu et cohérent</t>
  </si>
  <si>
    <t>Sylvio</t>
  </si>
  <si>
    <t>ZC7</t>
  </si>
  <si>
    <t>Guyane - Section de Saint-Laurent-du-Maroni</t>
  </si>
  <si>
    <t>CLG</t>
  </si>
  <si>
    <t>Cultiver la Guyane</t>
  </si>
  <si>
    <t>BERTHELOT</t>
  </si>
  <si>
    <t>PGA</t>
  </si>
  <si>
    <t>Pour une Guyane audacieuse</t>
  </si>
  <si>
    <t>TIEN-LIONG</t>
  </si>
  <si>
    <t>PCD</t>
  </si>
  <si>
    <t>LGP</t>
  </si>
  <si>
    <t>La Guyane en prospective</t>
  </si>
  <si>
    <t>TAUBIRA</t>
  </si>
  <si>
    <t>NSG</t>
  </si>
  <si>
    <t>NOUS SOMMES GUYANE</t>
  </si>
  <si>
    <t>CANAVY</t>
  </si>
  <si>
    <t>La Réunion</t>
  </si>
  <si>
    <t>VOTER, SE REVOLTER,</t>
  </si>
  <si>
    <t>VOTER, SE REVOLTER, POUR AVANCER</t>
  </si>
  <si>
    <t>RATENON</t>
  </si>
  <si>
    <t>Jean-Hugues</t>
  </si>
  <si>
    <t>UNION DES FORCES PROGRES</t>
  </si>
  <si>
    <t>UNION DES FORCES DE PROGRES POUR LE DEVELOPPEMENT ET L'EGALITE</t>
  </si>
  <si>
    <t>LEBRETON</t>
  </si>
  <si>
    <t>REUNIONNAIS LIBRES</t>
  </si>
  <si>
    <t>REUNIONNAIS LIBRES POUR UNE REUNION RESPONSABLE</t>
  </si>
  <si>
    <t>VICTORIA</t>
  </si>
  <si>
    <t>René-Paul</t>
  </si>
  <si>
    <t>DEBOUT LA REUNION</t>
  </si>
  <si>
    <t>DEBOUT LA REUNION AVEC NICOLAS DUPONT-AIGNAN</t>
  </si>
  <si>
    <t>MOREL</t>
  </si>
  <si>
    <t>REUNIONNOUS</t>
  </si>
  <si>
    <t>ROBERT</t>
  </si>
  <si>
    <t>Didier</t>
  </si>
  <si>
    <t>PAYET</t>
  </si>
  <si>
    <t>Jean Yves</t>
  </si>
  <si>
    <t>Cadre (entreprises publiques)</t>
  </si>
  <si>
    <t>NASION RENIONE</t>
  </si>
  <si>
    <t>BOYER</t>
  </si>
  <si>
    <t>Aniel</t>
  </si>
  <si>
    <t>LISTE DE RASSEMBLEMENT</t>
  </si>
  <si>
    <t>LISTE DE RASSEMBLEMENT CONDUITE PAR HUGUETTE BELLO</t>
  </si>
  <si>
    <t>BELLO</t>
  </si>
  <si>
    <t>Huguette</t>
  </si>
  <si>
    <t>CITOYENS TIRES AU SORT</t>
  </si>
  <si>
    <t>Mathias</t>
  </si>
  <si>
    <t>LE RASSEMBLEMENT BLEU MAR</t>
  </si>
  <si>
    <t>LE RASSEMBLEMENT BLEU MARINE</t>
  </si>
  <si>
    <t>GRONDIN</t>
  </si>
  <si>
    <t>ENSEMBLE, FAISONS AVANCER</t>
  </si>
  <si>
    <t>ENSEMBLE, FAISONS AVANCER LA REUNION</t>
  </si>
  <si>
    <t>LES VRAIS ENJEUX</t>
  </si>
  <si>
    <t>LES VRAIS ENJEUX POUR LA REUNION</t>
  </si>
  <si>
    <t>APPADOO</t>
  </si>
  <si>
    <t>N°Liste</t>
  </si>
  <si>
    <t>Libellé Abrégé Liste</t>
  </si>
  <si>
    <t>Nom Tête de Liste</t>
  </si>
  <si>
    <t>Voix</t>
  </si>
  <si>
    <t>BÉLIER Sandrine</t>
  </si>
  <si>
    <t>PERON Patrick</t>
  </si>
  <si>
    <t>JACOBELLI Laurent</t>
  </si>
  <si>
    <t>MASSERET Jean-Pierre</t>
  </si>
  <si>
    <t>PHILIPPOT Florian</t>
  </si>
  <si>
    <t>WENTZEL David</t>
  </si>
  <si>
    <t>WOSTYN Julien</t>
  </si>
  <si>
    <t>TROUILLET Jean-Georges</t>
  </si>
  <si>
    <t>RICHERT Philippe</t>
  </si>
  <si>
    <t>PEREIRA Nicolas</t>
  </si>
  <si>
    <t>ROUSSET Alain</t>
  </si>
  <si>
    <t>CALMELS Virginie</t>
  </si>
  <si>
    <t>DARTIGOLLES Olivier</t>
  </si>
  <si>
    <t>DOUET William</t>
  </si>
  <si>
    <t>BOUSSION Joseph</t>
  </si>
  <si>
    <t>COUTANT Françoise</t>
  </si>
  <si>
    <t>COLOMBIER Jacques</t>
  </si>
  <si>
    <t>SETZE Yvon</t>
  </si>
  <si>
    <t>PERCHET Guillaume</t>
  </si>
  <si>
    <t>FÉDÈLE Alain</t>
  </si>
  <si>
    <t>LAFOND Eric</t>
  </si>
  <si>
    <t>BOUDOT Christophe</t>
  </si>
  <si>
    <t>CUKIERMAN Cécile</t>
  </si>
  <si>
    <t>GOMEZ Chantal</t>
  </si>
  <si>
    <t>WAUQUIEZ Laurent</t>
  </si>
  <si>
    <t>KOHLHAAS Jean-Charles</t>
  </si>
  <si>
    <t>RAMBAUD Gerbert</t>
  </si>
  <si>
    <t>QUEYRANNE Jean-Jack</t>
  </si>
  <si>
    <t>MONTEL Sophie</t>
  </si>
  <si>
    <t>GALLOIS Charles-Henri</t>
  </si>
  <si>
    <t>SAUVADET François</t>
  </si>
  <si>
    <t>GONZALEZ Julien</t>
  </si>
  <si>
    <t>PRUDHOMME Cécile</t>
  </si>
  <si>
    <t>VERMOREL Nathalie</t>
  </si>
  <si>
    <t>ROCHER Claire</t>
  </si>
  <si>
    <t>THIÉBAUT Maxime</t>
  </si>
  <si>
    <t>GRUDLER Christophe</t>
  </si>
  <si>
    <t>DUFAY Marie-Guite</t>
  </si>
  <si>
    <t>ROBLIN Gael</t>
  </si>
  <si>
    <t>LE DRIAN Jean-Yves</t>
  </si>
  <si>
    <t>DELÉON Bertrand</t>
  </si>
  <si>
    <t>TROADEC Christian</t>
  </si>
  <si>
    <t>L'UPR, avec François ASSELINEAU      LE PARTI QUI MONTE malgré le silence des médias</t>
  </si>
  <si>
    <t>GOURVENEC Jean-François</t>
  </si>
  <si>
    <t>FOUCHER Jean-Jacques</t>
  </si>
  <si>
    <t>PENNELLE Gilles</t>
  </si>
  <si>
    <t>LE FUR Marc</t>
  </si>
  <si>
    <t>LOUAIL René</t>
  </si>
  <si>
    <t>COMPAIN Xavier</t>
  </si>
  <si>
    <t>HAMON Valérie</t>
  </si>
  <si>
    <t>LOISEAU Philippe</t>
  </si>
  <si>
    <t>FOUQUIAU Thierry</t>
  </si>
  <si>
    <t>MEGDOUD Farida</t>
  </si>
  <si>
    <t>PENLOUP Alix</t>
  </si>
  <si>
    <t>VIGIER Philippe</t>
  </si>
  <si>
    <t>FOURNIER Charles</t>
  </si>
  <si>
    <t>BONNEAU François</t>
  </si>
  <si>
    <t>SANSU Nicolas</t>
  </si>
  <si>
    <t>SIMEONI Gilles</t>
  </si>
  <si>
    <t>DE ROCCA SERRA Camille</t>
  </si>
  <si>
    <t>ZUCCARELLI Jean</t>
  </si>
  <si>
    <t>DE GENTILI Emmanuelle</t>
  </si>
  <si>
    <t>GIACOBBI Paul</t>
  </si>
  <si>
    <t>BENEDETTI Paul-Félix</t>
  </si>
  <si>
    <t>TALAMONI Jean-Guy</t>
  </si>
  <si>
    <t>BUCCHINI Dominique</t>
  </si>
  <si>
    <t>ROSSI José</t>
  </si>
  <si>
    <t>ORSUCCI Jean-Charles</t>
  </si>
  <si>
    <t>SANTONI Hyacinthe</t>
  </si>
  <si>
    <t>PLAISIR Alain</t>
  </si>
  <si>
    <t>BERNIER Laurent</t>
  </si>
  <si>
    <t>MYRE Marie-Christine</t>
  </si>
  <si>
    <t>VIENNET Stephan</t>
  </si>
  <si>
    <t>LUREL Victorin</t>
  </si>
  <si>
    <t>YOYOTTE Henri</t>
  </si>
  <si>
    <t>CADOCE Mona</t>
  </si>
  <si>
    <t>CHALUS Ary</t>
  </si>
  <si>
    <t>SEYMOUR Mélina</t>
  </si>
  <si>
    <t>NOMERTIN Jean-Marie</t>
  </si>
  <si>
    <t>BUDOC Rémy Louis</t>
  </si>
  <si>
    <t>LÉTARD Line</t>
  </si>
  <si>
    <t>ALEXANDRE Rodolphe</t>
  </si>
  <si>
    <t>ICARE NOUREL Muriel</t>
  </si>
  <si>
    <t>LÉTARD Sylvio</t>
  </si>
  <si>
    <t>BERTHELOT Chantal</t>
  </si>
  <si>
    <t>TIEN-LIONG Alain</t>
  </si>
  <si>
    <t>TAUBIRA Jean-Marie</t>
  </si>
  <si>
    <t>CANAVY Fabien</t>
  </si>
  <si>
    <t>LAURENT Pierre</t>
  </si>
  <si>
    <t>BARTOLONE Claude</t>
  </si>
  <si>
    <t>ASSELINEAU François</t>
  </si>
  <si>
    <t>COSSE Emmanuelle</t>
  </si>
  <si>
    <t>HORSFALL Dawari</t>
  </si>
  <si>
    <t>SACHS Valérie</t>
  </si>
  <si>
    <t>DE SMET Sylvain</t>
  </si>
  <si>
    <t>BOURCHADA Nizarr</t>
  </si>
  <si>
    <t>DUPONT-AIGNAN Nicolas</t>
  </si>
  <si>
    <t>L'alternance avec Valérie Pécresse</t>
  </si>
  <si>
    <t>PECRESSE Valérie</t>
  </si>
  <si>
    <t>ARTHAUD Nathalie</t>
  </si>
  <si>
    <t>RATENON Jean-Hugues</t>
  </si>
  <si>
    <t>LEBRETON Patrick</t>
  </si>
  <si>
    <t>VICTORIA René-Paul</t>
  </si>
  <si>
    <t>MOREL Jean-Jack</t>
  </si>
  <si>
    <t>ROBERT Didier</t>
  </si>
  <si>
    <t>PAYET Jean Yves</t>
  </si>
  <si>
    <t>BOYER Aniel</t>
  </si>
  <si>
    <t>BELLO Huguette</t>
  </si>
  <si>
    <t>PAYET Mathias</t>
  </si>
  <si>
    <t>ROBERT Thierry</t>
  </si>
  <si>
    <t>APPADOO David</t>
  </si>
  <si>
    <t>REYNIÉ Dominique</t>
  </si>
  <si>
    <t>DELGA Carole</t>
  </si>
  <si>
    <t>MARTINEZ Jean-Claude</t>
  </si>
  <si>
    <t>CAVARD Christophe</t>
  </si>
  <si>
    <t>FABRE Gilles</t>
  </si>
  <si>
    <t>HIRIMIRIS Yvan</t>
  </si>
  <si>
    <t>SAUREL Philippe</t>
  </si>
  <si>
    <t>ALIOT Louis</t>
  </si>
  <si>
    <t>ONESTA Gérard</t>
  </si>
  <si>
    <t>LEMPEREUR Damien</t>
  </si>
  <si>
    <t>TORREMOCHA Sandra</t>
  </si>
  <si>
    <t>JOS Nathalie</t>
  </si>
  <si>
    <t>JOACHIM-ARNAUD Ghislaine</t>
  </si>
  <si>
    <t>MONPLAISIR Yan</t>
  </si>
  <si>
    <t>VIRASSAMY Joseph</t>
  </si>
  <si>
    <t>GROMAT Daniel</t>
  </si>
  <si>
    <t>MARIE-JEANNE Alfred</t>
  </si>
  <si>
    <t>PETIT Philippe</t>
  </si>
  <si>
    <t>NADEAU Marcellin</t>
  </si>
  <si>
    <t>LETCHIMY Serge</t>
  </si>
  <si>
    <t>L'HUMAIN D'ABORD ! liste de rassemblement citoyen pour une gauche combative et écologiste dans notre région, soutenue par le Parti Communiste Français, Ensemble ! NPDC, la Gauche Unitaire, la Coordination Communiste, République et Socialisme, membres du FRONT DE GAUCHE</t>
  </si>
  <si>
    <t>ROUSSEL Fabien</t>
  </si>
  <si>
    <t>LE PEN Marine</t>
  </si>
  <si>
    <t>PECQUEUR Eric</t>
  </si>
  <si>
    <t>MASCARO Eric</t>
  </si>
  <si>
    <t>DE SAINTIGNON Pierre</t>
  </si>
  <si>
    <t>BERTRAND Xavier</t>
  </si>
  <si>
    <t>TANGUY Jean-Philippe</t>
  </si>
  <si>
    <t>BLONDEL Sylvain</t>
  </si>
  <si>
    <t>ROUSSEAU Sandrine</t>
  </si>
  <si>
    <t>CALBRIX Nicolas</t>
  </si>
  <si>
    <t>LECOEUR Alexandra</t>
  </si>
  <si>
    <t>SOUBIEN Yanic</t>
  </si>
  <si>
    <t>LE MANACH Pascal</t>
  </si>
  <si>
    <t>MAYER-ROSSIGNOL Nicolas</t>
  </si>
  <si>
    <t>BAY Nicolas</t>
  </si>
  <si>
    <t>JUMEL Sébastien</t>
  </si>
  <si>
    <t>MORIN Hervé</t>
  </si>
  <si>
    <t>LOUTRE Jean-Christophe</t>
  </si>
  <si>
    <t>GANNAT Pascal</t>
  </si>
  <si>
    <t>DENIGOT Gilles</t>
  </si>
  <si>
    <t>BAYLE DE JESSÉ Cécile</t>
  </si>
  <si>
    <t>PAGANO Alain</t>
  </si>
  <si>
    <t>LE BELLER Eddy</t>
  </si>
  <si>
    <t>RETAILLEAU Bruno</t>
  </si>
  <si>
    <t>CLERGEAU Christophe</t>
  </si>
  <si>
    <t>TERRIEN Olivier</t>
  </si>
  <si>
    <t>BRINGUY Sophie</t>
  </si>
  <si>
    <t>PARISOT Alain</t>
  </si>
  <si>
    <t>GOVERNATORI Jean Marc</t>
  </si>
  <si>
    <t>BONNET Isabelle</t>
  </si>
  <si>
    <t>BOMPARD Jacques</t>
  </si>
  <si>
    <t>LA REGION COOPERATIVE, SOCIALE,  ECOLOGISTE ET CITOYENNE, AVEC SOPHIE CAMARD ET JEAN-MARC COPPOLA</t>
  </si>
  <si>
    <t>CAMARD Sophie</t>
  </si>
  <si>
    <t>MARÉCHAL-LE PEN Marion</t>
  </si>
  <si>
    <t>ESTROSI Christian</t>
  </si>
  <si>
    <t>NOTRE REGION, NOTRE FIERTE</t>
  </si>
  <si>
    <t>CASTANER Christophe</t>
  </si>
  <si>
    <t>ROMANI Daniel</t>
  </si>
  <si>
    <t>CHUISANO Noël</t>
  </si>
  <si>
    <t>JARNY Cyril</t>
  </si>
  <si>
    <t>sexe</t>
  </si>
  <si>
    <t>SACHS Valerie</t>
  </si>
  <si>
    <t>COUNTA of Nuance Liste</t>
  </si>
  <si>
    <t>Grand Total</t>
  </si>
  <si>
    <t>MAX of Voix</t>
  </si>
  <si>
    <t>sexe_gagnant</t>
  </si>
  <si>
    <t>nouveau nom</t>
  </si>
  <si>
    <t>geographie</t>
  </si>
  <si>
    <t>Couleur</t>
  </si>
  <si>
    <t>Columns</t>
  </si>
  <si>
    <t>Rows</t>
  </si>
  <si>
    <t>Values</t>
  </si>
  <si>
    <t>SUM of Voix</t>
  </si>
  <si>
    <t>autre</t>
  </si>
  <si>
    <t>centre</t>
  </si>
  <si>
    <t>droite</t>
  </si>
  <si>
    <t>gauche</t>
  </si>
  <si>
    <t>nouveau_nom</t>
  </si>
  <si>
    <t>nuance</t>
  </si>
  <si>
    <t>nuance_detail</t>
  </si>
  <si>
    <t>couleur</t>
  </si>
  <si>
    <t>est</t>
  </si>
  <si>
    <t>Grand Est</t>
  </si>
  <si>
    <t>ouest</t>
  </si>
  <si>
    <t>Nouvelle-Aquitaine</t>
  </si>
  <si>
    <t>Auvergne-Rhône-Alpes</t>
  </si>
  <si>
    <t>Bourgogne-Franche-Comté</t>
  </si>
  <si>
    <t>sud</t>
  </si>
  <si>
    <t>outre-mer</t>
  </si>
  <si>
    <t>Guyane (française)</t>
  </si>
  <si>
    <t>Occitanie</t>
  </si>
  <si>
    <t>nord</t>
  </si>
  <si>
    <t>Hauts-de-France</t>
  </si>
  <si>
    <t>Provence-Alpes-Côte d’Azur</t>
  </si>
  <si>
    <t>COUNTA of Nom Tête de Liste</t>
  </si>
  <si>
    <t>region</t>
  </si>
  <si>
    <t>genre</t>
  </si>
  <si>
    <t>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</si>
</sst>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1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3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22" xfId="0" applyFont="1" applyNumberFormat="1"/>
    <xf borderId="0" fillId="0" fontId="2" numFmtId="0" xfId="0" applyFont="1"/>
    <xf borderId="0" fillId="0" fontId="5" numFmtId="14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autre, centre, droite et gauche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17'!$B$2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17'!$A$3:$A$19</c:f>
            </c:strRef>
          </c:cat>
          <c:val>
            <c:numRef>
              <c:f>'Pivot Table 17'!$B$3:$B$19</c:f>
              <c:numCache/>
            </c:numRef>
          </c:val>
        </c:ser>
        <c:ser>
          <c:idx val="1"/>
          <c:order val="1"/>
          <c:tx>
            <c:strRef>
              <c:f>'Pivot Table 17'!$C$2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17'!$A$3:$A$19</c:f>
            </c:strRef>
          </c:cat>
          <c:val>
            <c:numRef>
              <c:f>'Pivot Table 17'!$C$3:$C$19</c:f>
              <c:numCache/>
            </c:numRef>
          </c:val>
        </c:ser>
        <c:ser>
          <c:idx val="2"/>
          <c:order val="2"/>
          <c:tx>
            <c:strRef>
              <c:f>'Pivot Table 17'!$D$2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17'!$A$3:$A$19</c:f>
            </c:strRef>
          </c:cat>
          <c:val>
            <c:numRef>
              <c:f>'Pivot Table 17'!$D$3:$D$19</c:f>
              <c:numCache/>
            </c:numRef>
          </c:val>
        </c:ser>
        <c:ser>
          <c:idx val="3"/>
          <c:order val="3"/>
          <c:tx>
            <c:strRef>
              <c:f>'Pivot Table 17'!$E$2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17'!$A$3:$A$19</c:f>
            </c:strRef>
          </c:cat>
          <c:val>
            <c:numRef>
              <c:f>'Pivot Table 17'!$E$3:$E$19</c:f>
              <c:numCache/>
            </c:numRef>
          </c:val>
        </c:ser>
        <c:axId val="1412392509"/>
        <c:axId val="359174904"/>
      </c:barChart>
      <c:catAx>
        <c:axId val="1412392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Libellé de la région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174904"/>
      </c:catAx>
      <c:valAx>
        <c:axId val="359174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392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autre, centre, droite, gauche et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'6_analyse'!$B$1:$B$2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'6_analyse'!$B$3:$B$8</c:f>
              <c:numCache/>
            </c:numRef>
          </c:val>
        </c:ser>
        <c:ser>
          <c:idx val="1"/>
          <c:order val="1"/>
          <c:tx>
            <c:strRef>
              <c:f>'6_analyse'!$C$1:$C$2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'6_analyse'!$C$3:$C$8</c:f>
              <c:numCache/>
            </c:numRef>
          </c:val>
        </c:ser>
        <c:ser>
          <c:idx val="2"/>
          <c:order val="2"/>
          <c:tx>
            <c:strRef>
              <c:f>'6_analyse'!$D$1:$D$2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'6_analyse'!$D$3:$D$8</c:f>
              <c:numCache/>
            </c:numRef>
          </c:val>
        </c:ser>
        <c:ser>
          <c:idx val="3"/>
          <c:order val="3"/>
          <c:tx>
            <c:strRef>
              <c:f>'6_analyse'!$E$1:$E$2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'6_analyse'!$A$3:$A$8</c:f>
            </c:strRef>
          </c:cat>
          <c:val>
            <c:numRef>
              <c:f>'6_analyse'!$E$3:$E$8</c:f>
              <c:numCache/>
            </c:numRef>
          </c:val>
        </c:ser>
        <c:axId val="832467939"/>
        <c:axId val="606247874"/>
      </c:barChart>
      <c:catAx>
        <c:axId val="832467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geographie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247874"/>
      </c:catAx>
      <c:valAx>
        <c:axId val="606247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467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104775</xdr:rowOff>
    </xdr:from>
    <xdr:ext cx="8610600" cy="59531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9</xdr:row>
      <xdr:rowOff>76200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68" sheet="1_rapprochement"/>
  </cacheSource>
  <cacheFields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Corse"/>
        <s v="Guadeloupe"/>
        <s v="Guyane"/>
        <s v="Île-de-France"/>
        <s v="La Réunion"/>
        <s v="Languedoc-Roussillon - Midi-Pyrénées"/>
        <s v="Martinique"/>
        <s v="Nord-Pas-de-Calais - Picardie"/>
        <s v="Normandie"/>
        <s v="Pays de la Loire"/>
        <s v="Provence-Alpes-Côte d'Azur"/>
      </sharedItems>
    </cacheField>
    <cacheField name="N°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Nuance Liste" numFmtId="0">
      <sharedItems>
        <s v="LVEC"/>
        <s v="LFG"/>
        <s v="LDLF"/>
        <s v="LUG"/>
        <s v="LFN"/>
        <s v="LDIV"/>
        <s v="LEXG"/>
        <s v="LREG"/>
        <s v="LUD"/>
        <s v="LDVG"/>
        <s v="LDVD"/>
        <s v="LCOM"/>
        <s v="LVEG"/>
        <s v="LECO"/>
        <s v="LMDM"/>
        <s v="LRDG"/>
        <s v="LSOC"/>
        <s v="LLR"/>
        <s v="LEXD"/>
        <s v="LUDI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LFPBG"/>
        <s v="GTF"/>
        <s v="TD"/>
        <s v="LUG"/>
        <s v="NVIS"/>
        <s v="CLG"/>
        <s v="PGA"/>
        <s v="LGP"/>
        <s v="NSG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LUTTE OUVRIÈRE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ENSEMBLE, FAISONS AVANCER"/>
        <s v="LES VRAIS ENJEUX"/>
        <s v="JE M'ENGAGE POUR MA REG"/>
        <s v="NOTRE SUD"/>
        <s v="FORCE FRANCE SUD"/>
        <s v="LE BIEN COMMUN"/>
        <s v="UNION POPULAIRE REP"/>
        <s v="CITOYENS DU MIDI"/>
        <s v="NOUVEAU MONDE EN COMMUN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    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écress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ENSEMBLE, FAISONS AVANCER LA REUNION"/>
        <s v="LES VRAIS ENJEUX POUR LA REUNION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EGION COOPERATIVE, SOCIALE,  ECOLOGISTE ET CITOYENNE, AVEC SOPHIE CAMARD ET JEAN-MARC COPPOLA"/>
        <s v="La France plein Sud !"/>
        <s v="Ca Va Changer"/>
        <s v="NOTRE REGION, NOTRE FIERTE"/>
        <s v="L'UPR avec François ASSELINEAU LE PARTI QUI MONTE, malgré le silence des médias"/>
        <s v="POUR UNE NOUVELLE DONNE REGIONALE"/>
      </sharedItems>
    </cacheField>
    <cacheField name="Nom Tête de Liste" numFmtId="0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LAURENT Pierre"/>
        <s v="BARTOLONE Claude"/>
        <s v="ASSELINEAU François"/>
        <s v="COSSE Emmanuelle"/>
        <s v="HORSFALL Dawari"/>
        <s v="SACHS Valerie"/>
        <s v="DE SMET Sylvain"/>
        <s v="BOURCHADA Nizarr"/>
        <s v="DUPONT-AIGNAN Nicolas"/>
        <s v="PECRESSE Valérie"/>
        <s v="ARTHAUD Nathalie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ROBERT Thierry"/>
        <s v="APPADOO David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</sharedItems>
    </cacheField>
    <cacheField name="sexe" numFmtId="0">
      <sharedItems>
        <s v="F"/>
        <s v="M"/>
      </sharedItems>
    </cacheField>
    <cacheField name="Voix" numFmtId="0">
      <sharedItems containsString="0" containsBlank="1" containsNumber="1" containsInteger="1">
        <n v="119091.0"/>
        <m/>
        <n v="84886.0"/>
        <n v="286390.0"/>
        <n v="641234.0"/>
        <n v="19171.0"/>
        <n v="26347.0"/>
        <n v="84147.0"/>
        <n v="459212.0"/>
        <n v="24964.0"/>
        <n v="628667.0"/>
        <n v="562500.0"/>
        <n v="100380.0"/>
        <n v="19050.0"/>
        <n v="38315.0"/>
        <n v="115782.0"/>
        <n v="480621.0"/>
        <n v="69276.0"/>
        <n v="29206.0"/>
        <n v="21723.0"/>
        <n v="39187.0"/>
        <n v="639923.0"/>
        <n v="135274.0"/>
        <n v="31359.0"/>
        <n v="795661.0"/>
        <n v="173038.0"/>
        <n v="71538.0"/>
        <n v="600112.0"/>
        <n v="303143.0"/>
        <n v="8835.0"/>
        <n v="231069.0"/>
        <n v="20616.0"/>
        <n v="37707.0"/>
        <n v="44471.0"/>
        <n v="14518.0"/>
        <n v="49802.0"/>
        <n v="31431.0"/>
        <n v="221376.0"/>
        <n v="7465.0"/>
        <n v="419846.0"/>
        <n v="6521.0"/>
        <n v="80727.0"/>
        <n v="10412.0"/>
        <n v="34926.0"/>
        <n v="218474.0"/>
        <n v="282006.0"/>
        <n v="80516.0"/>
        <n v="44938.0"/>
        <n v="16445.0"/>
        <n v="262156.0"/>
        <n v="12759.0"/>
        <n v="14612.0"/>
        <n v="39422.0"/>
        <n v="225777.0"/>
        <n v="56754.0"/>
        <n v="209024.0"/>
        <n v="39453.0"/>
        <n v="23603.0"/>
        <n v="17018.0"/>
        <n v="4227.0"/>
        <n v="4353.0"/>
        <n v="24686.0"/>
        <n v="3451.0"/>
        <n v="10353.0"/>
        <n v="7448.0"/>
        <n v="17642.0"/>
        <n v="5532.0"/>
        <n v="1500.0"/>
        <n v="2603.0"/>
        <n v="6312.0"/>
        <n v="697.0"/>
        <n v="1973.0"/>
        <n v="57717.0"/>
        <n v="2220.0"/>
        <n v="1297.0"/>
        <n v="61173.0"/>
        <n v="4470.0"/>
        <n v="1992.0"/>
        <n v="1114.0"/>
        <n v="2565.0"/>
        <n v="15298.0"/>
        <n v="573.0"/>
        <n v="174.0"/>
        <n v="3067.0"/>
        <n v="10926.0"/>
        <n v="349.0"/>
        <n v="2064.0"/>
        <n v="208943.0"/>
        <n v="794322.0"/>
        <n v="29755.0"/>
        <n v="253153.0"/>
        <n v="7096.0"/>
        <n v="19981.0"/>
        <n v="9547.0"/>
        <n v="12528.0"/>
        <n v="207280.0"/>
        <n v="962119.0"/>
        <n v="44182.0"/>
        <n v="4484.0"/>
        <n v="18919.0"/>
        <n v="2704.0"/>
        <n v="978.0"/>
        <n v="107281.0"/>
        <n v="1263.0"/>
        <n v="1382.0"/>
        <n v="63248.0"/>
        <n v="3895.0"/>
        <n v="54021.0"/>
        <n v="1264.0"/>
        <n v="386987.0"/>
        <n v="501322.0"/>
        <n v="14172.0"/>
        <n v="34936.0"/>
        <n v="17093.0"/>
        <n v="14601.0"/>
        <n v="102728.0"/>
        <n v="653573.0"/>
        <n v="210602.0"/>
        <n v="80380.0"/>
        <n v="37182.0"/>
        <n v="3868.0"/>
        <n v="2460.0"/>
        <n v="17272.0"/>
        <n v="2475.0"/>
        <n v="1558.0"/>
        <n v="36523.0"/>
        <n v="1818.0"/>
        <n v="7653.0"/>
        <n v="47002.0"/>
        <n v="119081.0"/>
        <n v="909025.0"/>
        <n v="39041.0"/>
        <n v="14345.0"/>
        <n v="405199.0"/>
        <n v="558420.0"/>
        <n v="53359.0"/>
        <n v="30319.0"/>
        <n v="107993.0"/>
        <n v="47391.0"/>
        <n v="8981.0"/>
        <n v="70231.0"/>
        <n v="20975.0"/>
        <n v="269127.0"/>
        <n v="317118.0"/>
        <n v="80590.0"/>
        <n v="319357.0"/>
        <n v="10641.0"/>
        <n v="270888.0"/>
        <n v="16096.0"/>
        <n v="51873.0"/>
        <n v="42305.0"/>
        <n v="18626.0"/>
        <n v="424951.0"/>
        <n v="326764.0"/>
        <n v="2164.0"/>
        <n v="99253.0"/>
        <n v="16022.0"/>
        <n v="71901.0"/>
        <n v="26279.0"/>
        <n v="19889.0"/>
        <n v="116125.0"/>
        <n v="719746.0"/>
        <n v="469884.0"/>
        <n v="294398.0"/>
        <n v="10752.0"/>
        <n v="34600.0"/>
        <n v="11276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F168" sheet="4_edition"/>
  </cacheSource>
  <cacheFields>
    <cacheField name="Couleur" numFmtId="0">
      <sharedItems>
        <s v="gauche"/>
        <s v="droite"/>
        <s v="autre"/>
        <s v="centr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8" sheet="4_edition"/>
  </cacheSource>
  <cacheFields>
    <cacheField name="Libellé de la région" numFmtId="0">
      <sharedItems>
        <s v="Alsace - Champagne-Ardenne - Lorraine"/>
        <s v="Aquitaine - Limousin - Poitou-Charentes"/>
        <s v="Auvergne - Rhône-Alpes"/>
        <s v="Bourgogne - Franche-Comté"/>
        <s v="Bretagne"/>
        <s v="Centre-Val de Loire"/>
        <s v="Corse"/>
        <s v="Guadeloupe"/>
        <s v="Guyane"/>
        <s v="Île-de-France"/>
        <s v="La Réunion"/>
        <s v="Languedoc-Roussillon - Midi-Pyrénées"/>
        <s v="Martinique"/>
        <s v="Nord-Pas-de-Calais - Picardie"/>
        <s v="Normandie"/>
        <s v="Pays de la Loire"/>
        <s v="Provence-Alpes-Côte d'Azur"/>
      </sharedItems>
    </cacheField>
    <cacheField name="nouveau nom" numFmtId="0">
      <sharedItems>
        <s v="Grand Est"/>
        <s v="Nouvelle-Aquitaine"/>
        <s v="Auvergne-Rhône-Alpes"/>
        <s v="Bourgogne-Franche-Comté"/>
        <s v="Bretagne"/>
        <s v="Centre-Val de Loire"/>
        <s v="Corse"/>
        <s v="Guadeloupe"/>
        <s v="Guyane (française)"/>
        <s v="Île-de-France"/>
        <s v="La Réunion"/>
        <s v="Occitanie"/>
        <s v="Martinique"/>
        <s v="Hauts-de-France"/>
        <s v="Normandie"/>
        <s v="Pays de la Loire"/>
        <s v="Provence-Alpes-Côte d’Azur"/>
      </sharedItems>
    </cacheField>
    <cacheField name="geographie" numFmtId="0">
      <sharedItems>
        <s v="est"/>
        <s v="ouest"/>
        <s v="centre"/>
        <s v="sud"/>
        <s v="outre-mer"/>
        <s v="nord"/>
      </sharedItems>
    </cacheField>
    <cacheField name="N°Lis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</sharedItems>
    </cacheField>
    <cacheField name="Nuance Liste" numFmtId="0">
      <sharedItems>
        <s v="LVEC"/>
        <s v="LFG"/>
        <s v="LDLF"/>
        <s v="LUG"/>
        <s v="LFN"/>
        <s v="LDIV"/>
        <s v="LEXG"/>
        <s v="LREG"/>
        <s v="LUD"/>
        <s v="LDVG"/>
        <s v="LDVD"/>
        <s v="LCOM"/>
        <s v="LVEG"/>
        <s v="LECO"/>
        <s v="LMDM"/>
        <s v="LRDG"/>
        <s v="LSOC"/>
        <s v="LLR"/>
        <s v="LEXD"/>
        <s v="LUDI"/>
      </sharedItems>
    </cacheField>
    <cacheField name="Couleur" numFmtId="0">
      <sharedItems>
        <s v="gauche"/>
        <s v="droite"/>
        <s v="autre"/>
        <s v="centre"/>
      </sharedItems>
    </cacheField>
    <cacheField name="Libellé Abrégé Liste" numFmtId="0">
      <sharedItems>
        <s v="EUROPE ECOLOGIE LES VERTS"/>
        <s v="LFG"/>
        <s v="DEBOUT LA FRANCE"/>
        <s v="PARTI SOCIALISTE"/>
        <s v="FRONT NATIONAL"/>
        <s v="UPR"/>
        <s v="LUTTE OUVRIERE"/>
        <s v="LISTE RÉGIONALISTE"/>
        <s v="LLR"/>
        <s v="NOUVELLE DONNE"/>
        <s v="PLUS FORTS, PLUS SOLIDAIR"/>
        <s v="GENERATION NOUVELLE REGIO"/>
        <s v="L'HUMAIN D'ABORD !"/>
        <s v="L'UPR"/>
        <s v="FAISONS ENSEMBLE"/>
        <s v="OSONS MIEUX"/>
        <s v="LISTE FRONT NATIONAL"/>
        <s v="L'UPR, AVEC FRANÇOIS ASSE"/>
        <s v="100% CITOYEN"/>
        <s v="LISTE FRONT NATIONAL PRÉS"/>
        <s v="L'HUMAIN D'ABORD, AVEC LA"/>
        <s v="LUTTE OUVRIERE - FAIRE EN"/>
        <s v="WAUQUIEZ 2015, UN NOUVEAU"/>
        <s v="LE RASSEMBLEMENT CITOYEN,"/>
        <s v="DEBOUT LA FRANCE AVEC NIC"/>
        <s v="NOUS, C'EST LA RÉGION"/>
        <s v="REGION GRAND"/>
        <s v="AEI BFC"/>
        <s v="ÉCOLOGISTES BFC"/>
        <s v="ALTERNATIVE GAUCHE"/>
        <s v="3 MILLIONS GRUDLER"/>
        <s v="REGION AVANCE"/>
        <s v="BRETAGNE EN LUTTES"/>
        <s v="AVEC J.Y. LE DRIAN"/>
        <s v="NOTRE CHANCE INDEPENDANCE"/>
        <s v="OUI LA BRETAGNE"/>
        <s v="LES REPUBLICAINS"/>
        <s v="UNE AUTRE VOIE"/>
        <s v="L'HUMAIN D'ABORD"/>
        <s v="CENTRE RENAISSANCE"/>
        <s v="ECOLOGISTES"/>
        <s v="A FOND MA RÉGION"/>
        <s v="HUMAIN AU CENTRE"/>
        <s v="FEMU A CORSICA"/>
        <s v="RASSEMBLER POUR LA CORSE"/>
        <s v="LA GARANTIE REPUBLICAINE"/>
        <s v="LA CORSE QUI OSE"/>
        <s v="PRIMA A CORSICA"/>
        <s v="RINNOVU"/>
        <s v="CORSICA LIBERA"/>
        <s v="A CORSICA IN CUMUNU"/>
        <s v="JOSE ROSSI 2015"/>
        <s v="LISTE ORSUCCI - PIERI"/>
        <s v="ALTERNATIVE POPULAIRE"/>
        <s v="GUADELOUPE SOLIDAIRE"/>
        <s v="NOUVELLE ALLIANCE"/>
        <s v="GUADELOUPE BLEU MARINE"/>
        <s v="LA GUADELOUPE TOUJOURS"/>
        <s v="NOFWAP"/>
        <s v="POU BA GWADLOUP ON DÔT"/>
        <s v="CHANGEZ  D'AVENIR"/>
        <s v="OUI A LA GUADELOUPE"/>
        <s v="COMBAT OUVRIER"/>
        <s v="LFPBG"/>
        <s v="GTF"/>
        <s v="TD"/>
        <s v="LUG"/>
        <s v="NVIS"/>
        <s v="CLG"/>
        <s v="PGA"/>
        <s v="LGP"/>
        <s v="NSG"/>
        <s v="NOS VIES D'ABORD !"/>
        <s v="LISTE CLAUDE BARTOLONE"/>
        <s v="UPR  FRANCOIS ASSELINEAU"/>
        <s v="CHANGEONS D'AIR"/>
        <s v="LISTE D'UNION CITOYENNE"/>
        <s v="NOUS CITOYENS"/>
        <s v="LISTE FLUO"/>
        <s v="UDMF"/>
        <s v="LISTE PECRESSE"/>
        <s v="LUTTE OUVRIÈRE"/>
        <s v="VOTER, SE REVOLTER,"/>
        <s v="UNION DES FORCES PROGRES"/>
        <s v="REUNIONNAIS LIBRES"/>
        <s v="DEBOUT LA REUNION"/>
        <s v="REUNIONNOUS"/>
        <s v="NASION RENIONE"/>
        <s v="LISTE DE RASSEMBLEMENT"/>
        <s v="CITOYENS TIRES AU SORT"/>
        <s v="ENSEMBLE, FAISONS AVANCER"/>
        <s v="LES VRAIS ENJEUX"/>
        <s v="JE M'ENGAGE POUR MA REG"/>
        <s v="NOTRE SUD"/>
        <s v="FORCE FRANCE SUD"/>
        <s v="LE BIEN COMMUN"/>
        <s v="UNION POPULAIRE REP"/>
        <s v="CITOYENS DU MIDI"/>
        <s v="NOUVEAU MONDE EN COMMUN"/>
        <s v="MARTINIQUE CITOYENNE"/>
        <s v="BA PEYI-A AN CHANS"/>
        <s v="LA LISTE DEPARTEMENTALE"/>
        <s v="MOUVEMENT DES TRAVAILLEUR"/>
        <s v="GRAN SANBLÉ"/>
        <s v="LA MARTINIQUE AUTREMENT"/>
        <s v="NOU PEP LA"/>
        <s v="ENSEMBLE POUR UNE MARTINI"/>
        <s v="UNE RÉGION FIÈRE"/>
        <s v="POUR VOUS"/>
        <s v="AVEC XAVIER BERTRAND"/>
        <s v="LE RASSEMBLEMENT"/>
        <s v="NOUVELLE DONNE NORMANDIE"/>
        <s v="EELV"/>
        <s v="LISTE PARTI SOCIALISTE"/>
        <s v="BLEU MARINE"/>
        <s v="FRONT DE GAUCHE"/>
        <s v="UNION DE LA DROITE"/>
        <s v="CHOISIR NOS RÉGIONS"/>
        <s v="UNION DROITE - CENTRE"/>
        <s v="GAUCHE ET ECOLOGISTES"/>
        <s v="COMMUNISTES"/>
        <s v="PLUS QU'UNE RÉGION"/>
        <s v="A.E.I."/>
        <s v="UNION DES DROITES"/>
        <s v="LA REGION COOPERATIVE"/>
        <s v="LA FRANCE PLEIN SUD !"/>
        <s v="CA VA CHANGER"/>
        <s v="NOTRE REGION NOTRE FIERTE"/>
        <s v="L'UPR AVEC ASSELINEAU"/>
      </sharedItems>
    </cacheField>
    <cacheField name="Libellé Etendu Liste" numFmtId="0">
      <sharedItems>
        <s v="ÉCOLOGISTES, SOLIDAIRES ET CITOYENS"/>
        <s v="Nos vies d'abord !"/>
        <s v="DEBOUT LA FRANCE AVEC NICOLAS DUPONT-AIGNAN"/>
        <s v="+ FORTE, + PROCHE, NOTRE REGION AVEC JEAN-PIERRE MASSERET"/>
        <s v="LISTE FRONT NATIONAL PRESENTEE PAR MARINE LE PEN"/>
        <s v="L'UPR, avec FRANÇOIS ASSELINEAU - LE PARTI QUI MONTE malgré le silence des médias"/>
        <s v="Lutte ouvrière - Faire entendre le camp des travailleurs"/>
        <s v="Non à l'ACAL, Oui à nos régions !"/>
        <s v="Unissons nos énergies avec Philippe RICHERT"/>
        <s v="NOUVELLE DONNE : REPRENEZ LA MAIN !"/>
        <s v="PLUS FORTS, PLUS SOLIDAIRES, ENSEMBLE"/>
        <s v="GENERATION NOUVELLE REGION"/>
        <s v="L'HUMAIN D'ABORD !"/>
        <s v="L'UPR AVEC FRANCOIS ASSELINEAU - LE PARTI QUI MONTE MALGRE LE SILENCE DES MEDIAS"/>
        <s v="FAISONS ENSEMBLE"/>
        <s v="OSONS MIEUX AVEC FRANÇOISE COUTANT - LISTE ECOLOGISTE ET CITOYENNE"/>
        <s v="DEBOUT LA FRANCE AVEC NICOLAS DUPONT AIGNAN"/>
        <s v="LUTTE OUVRIERE - FAIRE ENTENDRE LE CAMP DES TRAVAILLEURS"/>
        <s v="100% CITOYEN"/>
        <s v="Liste Front National présentée par Marine LE PEN"/>
        <s v="L'Humain d'abord, avec la gauche républicaine et sociale"/>
        <s v="WAUQUIEZ 2015, un nouveau souffle pour notre région LE GRAND RASSEMBLEMENT de la DROITE et du CENTRE"/>
        <s v="LE RASSEMBLEMENT CITOYEN, ECOLOGIQUE ET SOLIDAIRE"/>
        <s v="NOUS, C'EST LA RÉGION"/>
        <s v="L'UPR avec François ASSELINEAU - LE PARTI QUI MONTE malgré le silence des médias"/>
        <s v="LA REGION EN GRAND"/>
        <s v="ALLIANCE ECOLOGISTE INDEPENDANTE DE BOURGOGNE ET FRANCHE-COMTE"/>
        <s v="LES ÉCOLOGISTES DE BOURGOGNE FRANCHE-COMTÉ"/>
        <s v="L'ALTERNATIVE À GAUCHE"/>
        <s v="3 Millions de raisons avec Christophe GRUDLER"/>
        <s v="NOTRE REGION D'AVANCE"/>
        <s v="BRETAGNE EN LUTTES BREIZH O STOURM"/>
        <s v="POUR LA BRETAGNE AVEC JEAN-YVES LE DRIAN"/>
        <s v="NOTRE CHANCE, L'INDEPENDANCE"/>
        <s v="OUI LA BRETAGNE"/>
        <s v="L'UPR, avec François ASSELINEAU      LE PARTI QUI MONTE malgré le silence des médias"/>
        <s v="LE CHOIX DE LA BRETAGNE"/>
        <s v="UNE AUTRE VOIE POUR LA BRETAGNE"/>
        <s v="pour une bretagne sociale et écologique: l'humain d'abord"/>
        <s v="LISTE FRONT NATIONAL PRESENTEE  PAR MARINE LE PEN"/>
        <s v="Centre - Val de Loire, la Renaissance !"/>
        <s v="ECOLOGISTES, CITOYENS ET SOLIDAIRES"/>
        <s v="A FOND MA REGION AVEC FRANCOIS BONNEAU"/>
        <s v="Rassembler avec l'Humain au Centre - Val de Loire"/>
        <s v="FEMU A CORSICA SIMEONI ANGELINI"/>
        <s v="RASSEMBLER POUR LA CORSE / UNITI PER A CORSICA"/>
        <s v="LA GARANTIE REPUBLICAINE"/>
        <s v="La Corse qui ose - Corsic'Ardita"/>
        <s v="PRIMA A CORSICA"/>
        <s v="RINNOVU"/>
        <s v="CORSICA LIBERA"/>
        <s v="A CORSICA IN CUMUNU - PCF - FRONT DE GAUCHE"/>
        <s v="JOSE ROSSI 2015"/>
        <s v="LISTE ORSUCCI - PIERI / LA CORSE A COEUR"/>
        <s v="DEBOUT LA FRANCE"/>
        <s v="ALTERNATIVE POPULAIRE ET CITOYENNE"/>
        <s v="GUADELOUPE SOLIDAIRE"/>
        <s v="NOUVELLE ALLIANCE POUR LA GUADELOUPE"/>
        <s v="LISTE FRONT NATIONAL PRESENTEE PAR MARINE LE PEN - GUADELOUPE BLEU MARINE"/>
        <s v="LA GUADELOUPE - TOUJOURS MIEUX"/>
        <s v="NOFWAP LA GUADELOUPE EN ACTION VERITE ET JUSTICE SOCIALE"/>
        <s v="POU BA GWADLOUP ON DÔT DIREKSION, ON DÔT BALAN"/>
        <s v="CHANGEZ D'AVENIR"/>
        <s v="OUI A LA GUADELOUPE"/>
        <s v="COMBAT OUVRIER"/>
        <s v="La force pour bâtir la Guyane"/>
        <s v="Guyane, de toutes nos forces !"/>
        <s v="Un territoire, une collectivité, un destin"/>
        <s v="l'union Guyane"/>
        <s v="Pour une NOUVELLE VISION de la Guyane française : un STATUT ambitieu et cohérent"/>
        <s v="Cultiver la Guyane"/>
        <s v="Pour une Guyane audacieuse"/>
        <s v="La Guyane en prospective"/>
        <s v="NOUS SOMMES GUYANE"/>
        <s v="NOS VIES D'ABORD ! égalité écologie dignité citoyenneté Pierre LAURENT Eric COQUEREL Clémentine AUTAIN"/>
        <s v="Avec Claude Bartolone, une Ile-de-France humaine"/>
        <s v="l'UPR avec François ASSELINEAU, le parti qui monte malgré le silence des médias"/>
        <s v="CHANGEONS D'AIR, LE RASSEMBLEMENT ECOLOGISTE ET CITOYEN"/>
        <s v="LISTE D'UNION CITOYENNE"/>
        <s v="NOUS CITOYENS POUR L'ILE DE FRANCE"/>
        <s v="F.L.U.O. (Fédération Libertaire Unitaire Ouverte)"/>
        <s v="Union des Démocrates Musulmans Français"/>
        <s v="L'alternance avec Valérie Pécresse"/>
        <s v="VOTER, SE REVOLTER, POUR AVANCER"/>
        <s v="UNION DES FORCES DE PROGRES POUR LE DEVELOPPEMENT ET L'EGALITE"/>
        <s v="REUNIONNAIS LIBRES POUR UNE REUNION RESPONSABLE"/>
        <s v="DEBOUT LA REUNION AVEC NICOLAS DUPONT-AIGNAN"/>
        <s v="REUNIONNOUS"/>
        <s v="NASION RENIONE"/>
        <s v="LISTE DE RASSEMBLEMENT CONDUITE PAR HUGUETTE BELLO"/>
        <s v="CITOYENS TIRES AU SORT"/>
        <s v="ENSEMBLE, FAISONS AVANCER LA REUNION"/>
        <s v="LES VRAIS ENJEUX POUR LA REUNION"/>
        <s v="JE M'ENGAGE POUR MA REGION"/>
        <s v="Notre Sud, une région forte, créative et solidaire - liste conduite par Carole DELGA"/>
        <s v="FORCE FRANCE SUD LA REGION LA FRANCE LA VIE"/>
        <s v="Le Bien Commun"/>
        <s v="Indignez-vous avec NOUVELLE DONNE"/>
        <s v="CITOYENS DU MIDI"/>
        <s v="NOUVEAU MONDE EN COMMUN Liste conduite par Gérard ONESTA"/>
        <s v="MARTINIQUE CITOYENNE NOU TOUT'KAPAB"/>
        <s v="BA PEYI-A AN CHANS"/>
        <s v="LA LISTE DEPARTEMENTALE"/>
        <s v="MOUVEMENT DES TRAVAILLEURS ET PEUPLE SANS VOIX DE MARTINIQUE"/>
        <s v="Grand Sanblé pour faire réussir la Martinique"/>
        <s v="LA MARTINIQUE AUTREMENT"/>
        <s v="NOU PEP LA"/>
        <s v="ENSEMBLE POUR UNE MARTINIQUE NOUVELLE"/>
        <s v="L'HUMAIN D'ABORD ! liste de rassemblement citoyen pour une gauche combative et écologiste dans notre région, soutenue par le Parti Communiste Français, Ensemble ! NPDC, la Gauche Unitaire, la Coordination Communiste, République et Socialisme, membres du F"/>
        <s v="UNE RÉGION FIÈRE ET ENRACINÉE"/>
        <s v="Pour vous"/>
        <s v="Avec Xavier Bertrand notre région au travail"/>
        <s v="NOUS CITOYENS"/>
        <s v="LE RASSEMBLEMENT ! Choisir une région citoyenne, écologique et solidaire"/>
        <s v="NOUVELLE DONNE NORMANDIE"/>
        <s v="NORMANDIE ECOLOGIE"/>
        <s v="Au service de tous les Normands"/>
        <s v="NORMANDIE BLEU MARINE"/>
        <s v="Liste du Front de Gauche conduite par Sébastien Jumel soutenue par le PCF - le PG ensemble. &quot;Un vent de colère. Un souffle d'espoir.&quot;"/>
        <s v="LA NORMANDIE CONQUERANTE AVEC HERVÉ MORIN"/>
        <s v="Choisir nos Régions et Réunifier la Bretagne"/>
        <s v="l'Humain d'abord"/>
        <s v="LISTE D'UNION DE LA DROITE ET DU CENTRE"/>
        <s v="TOUS UNIS POUR LES PAYS DE LA LOIRE, LA GAUCHE ET LES ECOLOGISTES AVEC CHRISTOPHE CLERGEAU"/>
        <s v="COMMUNISTES"/>
        <s v="Partageons plus qu'une région"/>
        <s v="Alliance écologiste indépendante"/>
        <s v="UNION DES DROITES"/>
        <s v="LA REGION COOPERATIVE, SOCIALE,  ECOLOGISTE ET CITOYENNE, AVEC SOPHIE CAMARD ET JEAN-MARC COPPOLA"/>
        <s v="La France plein Sud !"/>
        <s v="Ca Va Changer"/>
        <s v="NOTRE REGION, NOTRE FIERTE"/>
        <s v="L'UPR avec François ASSELINEAU LE PARTI QUI MONTE, malgré le silence des médias"/>
        <s v="POUR UNE NOUVELLE DONNE REGIONALE"/>
      </sharedItems>
    </cacheField>
    <cacheField name="Nom Tête de Liste" numFmtId="0">
      <sharedItems>
        <s v="BÉLIER Sandrine"/>
        <s v="PERON Patrick"/>
        <s v="JACOBELLI Laurent"/>
        <s v="MASSERET Jean-Pierre"/>
        <s v="PHILIPPOT Florian"/>
        <s v="WENTZEL David"/>
        <s v="WOSTYN Julien"/>
        <s v="TROUILLET Jean-Georges"/>
        <s v="RICHERT Philippe"/>
        <s v="PEREIRA Nicolas"/>
        <s v="ROUSSET Alain"/>
        <s v="CALMELS Virginie"/>
        <s v="DARTIGOLLES Olivier"/>
        <s v="DOUET William"/>
        <s v="BOUSSION Joseph"/>
        <s v="COUTANT Françoise"/>
        <s v="COLOMBIER Jacques"/>
        <s v="SETZE Yvon"/>
        <s v="PERCHET Guillaume"/>
        <s v="FÉDÈLE Alain"/>
        <s v="LAFOND Eric"/>
        <s v="BOUDOT Christophe"/>
        <s v="CUKIERMAN Cécile"/>
        <s v="GOMEZ Chantal"/>
        <s v="WAUQUIEZ Laurent"/>
        <s v="KOHLHAAS Jean-Charles"/>
        <s v="RAMBAUD Gerbert"/>
        <s v="QUEYRANNE Jean-Jack"/>
        <s v="MONTEL Sophie"/>
        <s v="GALLOIS Charles-Henri"/>
        <s v="SAUVADET François"/>
        <s v="GONZALEZ Julien"/>
        <s v="PRUDHOMME Cécile"/>
        <s v="VERMOREL Nathalie"/>
        <s v="ROCHER Claire"/>
        <s v="THIÉBAUT Maxime"/>
        <s v="GRUDLER Christophe"/>
        <s v="DUFAY Marie-Guite"/>
        <s v="ROBLIN Gael"/>
        <s v="LE DRIAN Jean-Yves"/>
        <s v="DELÉON Bertrand"/>
        <s v="TROADEC Christian"/>
        <s v="GOURVENEC Jean-François"/>
        <s v="FOUCHER Jean-Jacques"/>
        <s v="PENNELLE Gilles"/>
        <s v="LE FUR Marc"/>
        <s v="LOUAIL René"/>
        <s v="COMPAIN Xavier"/>
        <s v="HAMON Valérie"/>
        <s v="LOISEAU Philippe"/>
        <s v="FOUQUIAU Thierry"/>
        <s v="MEGDOUD Farida"/>
        <s v="PENLOUP Alix"/>
        <s v="VIGIER Philippe"/>
        <s v="FOURNIER Charles"/>
        <s v="BONNEAU François"/>
        <s v="SANSU Nicolas"/>
        <s v="SIMEONI Gilles"/>
        <s v="DE ROCCA SERRA Camille"/>
        <s v="ZUCCARELLI Jean"/>
        <s v="DE GENTILI Emmanuelle"/>
        <s v="GIACOBBI Paul"/>
        <s v="BENEDETTI Paul-Félix"/>
        <s v="TALAMONI Jean-Guy"/>
        <s v="BUCCHINI Dominique"/>
        <s v="ROSSI José"/>
        <s v="ORSUCCI Jean-Charles"/>
        <s v="SANTONI Hyacinthe"/>
        <s v="PLAISIR Alain"/>
        <s v="BERNIER Laurent"/>
        <s v="MYRE Marie-Christine"/>
        <s v="VIENNET Stephan"/>
        <s v="LUREL Victorin"/>
        <s v="YOYOTTE Henri"/>
        <s v="CADOCE Mona"/>
        <s v="CHALUS Ary"/>
        <s v="SEYMOUR Mélina"/>
        <s v="NOMERTIN Jean-Marie"/>
        <s v="BUDOC Rémy Louis"/>
        <s v="LÉTARD Line"/>
        <s v="ALEXANDRE Rodolphe"/>
        <s v="ICARE NOUREL Muriel"/>
        <s v="LÉTARD Sylvio"/>
        <s v="BERTHELOT Chantal"/>
        <s v="TIEN-LIONG Alain"/>
        <s v="TAUBIRA Jean-Marie"/>
        <s v="CANAVY Fabien"/>
        <s v="LAURENT Pierre"/>
        <s v="BARTOLONE Claude"/>
        <s v="ASSELINEAU François"/>
        <s v="COSSE Emmanuelle"/>
        <s v="HORSFALL Dawari"/>
        <s v="SACHS Valerie"/>
        <s v="DE SMET Sylvain"/>
        <s v="BOURCHADA Nizarr"/>
        <s v="DUPONT-AIGNAN Nicolas"/>
        <s v="PECRESSE Valérie"/>
        <s v="ARTHAUD Nathalie"/>
        <s v="RATENON Jean-Hugues"/>
        <s v="LEBRETON Patrick"/>
        <s v="VICTORIA René-Paul"/>
        <s v="MOREL Jean-Jack"/>
        <s v="ROBERT Didier"/>
        <s v="PAYET Jean Yves"/>
        <s v="BOYER Aniel"/>
        <s v="BELLO Huguette"/>
        <s v="PAYET Mathias"/>
        <s v="ROBERT Thierry"/>
        <s v="APPADOO David"/>
        <s v="REYNIÉ Dominique"/>
        <s v="DELGA Carole"/>
        <s v="MARTINEZ Jean-Claude"/>
        <s v="CAVARD Christophe"/>
        <s v="FABRE Gilles"/>
        <s v="HIRIMIRIS Yvan"/>
        <s v="SAUREL Philippe"/>
        <s v="ALIOT Louis"/>
        <s v="ONESTA Gérard"/>
        <s v="LEMPEREUR Damien"/>
        <s v="TORREMOCHA Sandra"/>
        <s v="JOS Nathalie"/>
        <s v="JOACHIM-ARNAUD Ghislaine"/>
        <s v="MONPLAISIR Yan"/>
        <s v="VIRASSAMY Joseph"/>
        <s v="GROMAT Daniel"/>
        <s v="MARIE-JEANNE Alfred"/>
        <s v="PETIT Philippe"/>
        <s v="NADEAU Marcellin"/>
        <s v="LETCHIMY Serge"/>
        <s v="ROUSSEL Fabien"/>
        <s v="LE PEN Marine"/>
        <s v="PECQUEUR Eric"/>
        <s v="MASCARO Eric"/>
        <s v="DE SAINTIGNON Pierre"/>
        <s v="BERTRAND Xavier"/>
        <s v="TANGUY Jean-Philippe"/>
        <s v="BLONDEL Sylvain"/>
        <s v="ROUSSEAU Sandrine"/>
        <s v="CALBRIX Nicolas"/>
        <s v="LECOEUR Alexandra"/>
        <s v="SOUBIEN Yanic"/>
        <s v="LE MANACH Pascal"/>
        <s v="MAYER-ROSSIGNOL Nicolas"/>
        <s v="BAY Nicolas"/>
        <s v="JUMEL Sébastien"/>
        <s v="MORIN Hervé"/>
        <s v="LOUTRE Jean-Christophe"/>
        <s v="GANNAT Pascal"/>
        <s v="DENIGOT Gilles"/>
        <s v="BAYLE DE JESSÉ Cécile"/>
        <s v="PAGANO Alain"/>
        <s v="LE BELLER Eddy"/>
        <s v="RETAILLEAU Bruno"/>
        <s v="CLERGEAU Christophe"/>
        <s v="TERRIEN Olivier"/>
        <s v="BRINGUY Sophie"/>
        <s v="PARISOT Alain"/>
        <s v="GOVERNATORI Jean Marc"/>
        <s v="BONNET Isabelle"/>
        <s v="BOMPARD Jacques"/>
        <s v="CAMARD Sophie"/>
        <s v="MARÉCHAL-LE PEN Marion"/>
        <s v="ESTROSI Christian"/>
        <s v="CASTANER Christophe"/>
        <s v="ROMANI Daniel"/>
        <s v="CHUISANO Noël"/>
        <s v="JARNY Cyril"/>
      </sharedItems>
    </cacheField>
    <cacheField name="sexe" numFmtId="0">
      <sharedItems>
        <s v="F"/>
        <s v="M"/>
      </sharedItems>
    </cacheField>
    <cacheField name="Voix" numFmtId="0">
      <sharedItems containsString="0" containsBlank="1" containsNumber="1" containsInteger="1">
        <n v="119091.0"/>
        <m/>
        <n v="84886.0"/>
        <n v="286390.0"/>
        <n v="641234.0"/>
        <n v="19171.0"/>
        <n v="26347.0"/>
        <n v="84147.0"/>
        <n v="459212.0"/>
        <n v="24964.0"/>
        <n v="628667.0"/>
        <n v="562500.0"/>
        <n v="100380.0"/>
        <n v="19050.0"/>
        <n v="38315.0"/>
        <n v="115782.0"/>
        <n v="480621.0"/>
        <n v="69276.0"/>
        <n v="29206.0"/>
        <n v="21723.0"/>
        <n v="39187.0"/>
        <n v="639923.0"/>
        <n v="135274.0"/>
        <n v="31359.0"/>
        <n v="795661.0"/>
        <n v="173038.0"/>
        <n v="71538.0"/>
        <n v="600112.0"/>
        <n v="303143.0"/>
        <n v="8835.0"/>
        <n v="231069.0"/>
        <n v="20616.0"/>
        <n v="37707.0"/>
        <n v="44471.0"/>
        <n v="14518.0"/>
        <n v="49802.0"/>
        <n v="31431.0"/>
        <n v="221376.0"/>
        <n v="7465.0"/>
        <n v="419846.0"/>
        <n v="6521.0"/>
        <n v="80727.0"/>
        <n v="10412.0"/>
        <n v="34926.0"/>
        <n v="218474.0"/>
        <n v="282006.0"/>
        <n v="80516.0"/>
        <n v="44938.0"/>
        <n v="16445.0"/>
        <n v="262156.0"/>
        <n v="12759.0"/>
        <n v="14612.0"/>
        <n v="39422.0"/>
        <n v="225777.0"/>
        <n v="56754.0"/>
        <n v="209024.0"/>
        <n v="39453.0"/>
        <n v="23603.0"/>
        <n v="17018.0"/>
        <n v="4227.0"/>
        <n v="4353.0"/>
        <n v="24686.0"/>
        <n v="3451.0"/>
        <n v="10353.0"/>
        <n v="7448.0"/>
        <n v="17642.0"/>
        <n v="5532.0"/>
        <n v="1500.0"/>
        <n v="2603.0"/>
        <n v="6312.0"/>
        <n v="697.0"/>
        <n v="1973.0"/>
        <n v="57717.0"/>
        <n v="2220.0"/>
        <n v="1297.0"/>
        <n v="61173.0"/>
        <n v="4470.0"/>
        <n v="1992.0"/>
        <n v="1114.0"/>
        <n v="2565.0"/>
        <n v="15298.0"/>
        <n v="573.0"/>
        <n v="174.0"/>
        <n v="3067.0"/>
        <n v="10926.0"/>
        <n v="349.0"/>
        <n v="2064.0"/>
        <n v="208943.0"/>
        <n v="794322.0"/>
        <n v="29755.0"/>
        <n v="253153.0"/>
        <n v="7096.0"/>
        <n v="19981.0"/>
        <n v="9547.0"/>
        <n v="12528.0"/>
        <n v="207280.0"/>
        <n v="962119.0"/>
        <n v="44182.0"/>
        <n v="4484.0"/>
        <n v="18919.0"/>
        <n v="2704.0"/>
        <n v="978.0"/>
        <n v="107281.0"/>
        <n v="1263.0"/>
        <n v="1382.0"/>
        <n v="63248.0"/>
        <n v="3895.0"/>
        <n v="54021.0"/>
        <n v="1264.0"/>
        <n v="386987.0"/>
        <n v="501322.0"/>
        <n v="14172.0"/>
        <n v="34936.0"/>
        <n v="17093.0"/>
        <n v="14601.0"/>
        <n v="102728.0"/>
        <n v="653573.0"/>
        <n v="210602.0"/>
        <n v="80380.0"/>
        <n v="37182.0"/>
        <n v="3868.0"/>
        <n v="2460.0"/>
        <n v="17272.0"/>
        <n v="2475.0"/>
        <n v="1558.0"/>
        <n v="36523.0"/>
        <n v="1818.0"/>
        <n v="7653.0"/>
        <n v="47002.0"/>
        <n v="119081.0"/>
        <n v="909025.0"/>
        <n v="39041.0"/>
        <n v="14345.0"/>
        <n v="405199.0"/>
        <n v="558420.0"/>
        <n v="53359.0"/>
        <n v="30319.0"/>
        <n v="107993.0"/>
        <n v="47391.0"/>
        <n v="8981.0"/>
        <n v="70231.0"/>
        <n v="20975.0"/>
        <n v="269127.0"/>
        <n v="317118.0"/>
        <n v="80590.0"/>
        <n v="319357.0"/>
        <n v="10641.0"/>
        <n v="270888.0"/>
        <n v="16096.0"/>
        <n v="51873.0"/>
        <n v="42305.0"/>
        <n v="18626.0"/>
        <n v="424951.0"/>
        <n v="326764.0"/>
        <n v="2164.0"/>
        <n v="99253.0"/>
        <n v="16022.0"/>
        <n v="71901.0"/>
        <n v="26279.0"/>
        <n v="19889.0"/>
        <n v="116125.0"/>
        <n v="719746.0"/>
        <n v="469884.0"/>
        <n v="294398.0"/>
        <n v="10752.0"/>
        <n v="34600.0"/>
        <n v="1127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2_analyse" cacheId="0" dataCaption="" compact="0" compactData="0">
  <location ref="A1:D23" firstHeaderRow="0" firstDataRow="1" firstDataCol="1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axis="axisRow" dataField="1" compact="0" outline="0" multipleItemSelectionAllowed="1" showAll="0" sortType="ascending">
      <items>
        <item x="11"/>
        <item x="5"/>
        <item x="2"/>
        <item x="10"/>
        <item x="9"/>
        <item x="13"/>
        <item x="18"/>
        <item x="6"/>
        <item x="1"/>
        <item x="4"/>
        <item x="17"/>
        <item x="14"/>
        <item x="15"/>
        <item x="7"/>
        <item x="16"/>
        <item x="8"/>
        <item x="19"/>
        <item x="3"/>
        <item x="0"/>
        <item x="12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axis="axisCol" compact="0" outline="0" multipleItemSelectionAllowed="1" showAll="0" sortType="ascending">
      <items>
        <item x="0"/>
        <item x="1"/>
        <item t="default"/>
      </items>
    </pivotField>
    <pivotField name="Vo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2"/>
  </rowFields>
  <colFields>
    <field x="6"/>
  </colFields>
  <dataFields>
    <dataField name="COUNTA of Nuance Liste" fld="2" subtotal="count" baseField="0"/>
  </dataFields>
</pivotTableDefinition>
</file>

<file path=xl/pivotTables/pivotTable2.xml><?xml version="1.0" encoding="utf-8"?>
<pivotTableDefinition xmlns="http://schemas.openxmlformats.org/spreadsheetml/2006/main" name="3_analyse" cacheId="0" dataCaption="" rowGrandTotals="0" compact="0" compactData="0">
  <location ref="A1:B18" firstHeaderRow="0" firstDataRow="1" firstDataCol="0"/>
  <pivotFields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0"/>
  </rowFields>
  <dataFields>
    <dataField name="MAX of Voix" fld="7" subtotal="max" baseField="0"/>
  </dataFields>
</pivotTableDefinition>
</file>

<file path=xl/pivotTables/pivotTable3.xml><?xml version="1.0" encoding="utf-8"?>
<pivotTableDefinition xmlns="http://schemas.openxmlformats.org/spreadsheetml/2006/main" name="Pivot Table 18" cacheId="1" dataCaption="" compact="0" compactData="0">
  <location ref="A1:E10" firstHeaderRow="0" firstDataRow="0" firstDataCol="0"/>
  <pivotFields>
    <pivotField name="Couleur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ivot Table 17" cacheId="2" dataCaption="" compact="0" compactData="0">
  <location ref="A1:F20" firstHeaderRow="0" firstDataRow="1" firstDataCol="1"/>
  <pivotFields>
    <pivotField name="Libellé de la ré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ouveau 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ograph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uleur" axis="axisCol" compact="0" outline="0" multipleItemSelectionAllowed="1" showAll="0" sortType="ascending">
      <items>
        <item x="2"/>
        <item x="3"/>
        <item x="1"/>
        <item x="0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0"/>
  </rowFields>
  <colFields>
    <field x="5"/>
  </colFields>
  <dataFields>
    <dataField name="SUM of Voix" fld="10" baseField="0"/>
  </dataFields>
</pivotTableDefinition>
</file>

<file path=xl/pivotTables/pivotTable5.xml><?xml version="1.0" encoding="utf-8"?>
<pivotTableDefinition xmlns="http://schemas.openxmlformats.org/spreadsheetml/2006/main" name="6_analyse" cacheId="2" dataCaption="" compact="0" compactData="0">
  <location ref="A1:F9" firstHeaderRow="0" firstDataRow="1" firstDataCol="1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ouveau 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eographie" axis="axisRow" compact="0" outline="0" multipleItemSelectionAllowed="1" showAll="0" sortType="ascending">
      <items>
        <item x="2"/>
        <item x="0"/>
        <item x="5"/>
        <item x="1"/>
        <item x="4"/>
        <item x="3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uleur" axis="axisCol" compact="0" outline="0" multipleItemSelectionAllowed="1" showAll="0" sortType="ascending">
      <items>
        <item x="2"/>
        <item x="3"/>
        <item x="1"/>
        <item x="0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Voi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2"/>
  </rowFields>
  <colFields>
    <field x="5"/>
  </colFields>
  <dataFields>
    <dataField name="SUM of Voix" fld="10" showDataAs="percentOfRow" baseField="0" numFmtId="10"/>
  </dataFields>
</pivotTableDefinition>
</file>

<file path=xl/pivotTables/pivotTable6.xml><?xml version="1.0" encoding="utf-8"?>
<pivotTableDefinition xmlns="http://schemas.openxmlformats.org/spreadsheetml/2006/main" name="7_analyse" cacheId="2" dataCaption="" rowGrandTotals="0" compact="0" compactData="0">
  <location ref="A1:C35" firstHeaderRow="0" firstDataRow="2" firstDataCol="0"/>
  <pivotFields>
    <pivotField name="Libellé de la ré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ouveau nom" axis="axisRow" compact="0" outline="0" multipleItemSelectionAllowed="1" showAll="0" sortType="ascending" defaultSubtotal="0">
      <items>
        <item x="2"/>
        <item x="3"/>
        <item x="4"/>
        <item x="5"/>
        <item x="6"/>
        <item x="0"/>
        <item x="7"/>
        <item x="8"/>
        <item x="13"/>
        <item x="9"/>
        <item x="10"/>
        <item x="12"/>
        <item x="14"/>
        <item x="1"/>
        <item x="11"/>
        <item x="15"/>
        <item x="16"/>
      </items>
    </pivotField>
    <pivotField name="geograph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°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uance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uleur" compact="0" outline="0" multipleItemSelectionAllowed="1" showAll="0">
      <items>
        <item x="0"/>
        <item x="1"/>
        <item x="2"/>
        <item x="3"/>
        <item t="default"/>
      </items>
    </pivotField>
    <pivotField name="Libellé Abrégé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Libellé Etendu L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Nom Tête de Lis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sexe" axis="axisRow" compact="0" outline="0" multipleItemSelectionAllowed="1" showAll="0" sortType="ascending">
      <items>
        <item x="0"/>
        <item x="1"/>
        <item t="default"/>
      </items>
    </pivotField>
    <pivotField name="Vo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</pivotFields>
  <rowFields>
    <field x="1"/>
    <field x="9"/>
  </rowFields>
  <dataFields>
    <dataField name="COUNTA of Nom Tête de Liste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63"/>
    <col customWidth="1" min="3" max="3" width="64.88"/>
    <col customWidth="1" min="4" max="26" width="9.38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 t="s">
        <v>4</v>
      </c>
      <c r="D3" s="3" t="s">
        <v>2</v>
      </c>
    </row>
    <row r="4">
      <c r="B4" s="4" t="s">
        <v>5</v>
      </c>
      <c r="C4" s="5" t="s">
        <v>6</v>
      </c>
      <c r="D4" s="3" t="s">
        <v>2</v>
      </c>
    </row>
    <row r="5">
      <c r="B5" s="4" t="s">
        <v>7</v>
      </c>
      <c r="C5" s="5" t="s">
        <v>8</v>
      </c>
      <c r="D5" s="3" t="s">
        <v>2</v>
      </c>
    </row>
    <row r="6">
      <c r="B6" s="4" t="s">
        <v>9</v>
      </c>
      <c r="C6" s="5" t="s">
        <v>10</v>
      </c>
      <c r="D6" s="3" t="s">
        <v>2</v>
      </c>
    </row>
    <row r="7">
      <c r="B7" s="4" t="s">
        <v>11</v>
      </c>
      <c r="C7" s="5" t="s">
        <v>12</v>
      </c>
      <c r="D7" s="3" t="s">
        <v>2</v>
      </c>
    </row>
    <row r="8">
      <c r="B8" s="4" t="s">
        <v>13</v>
      </c>
      <c r="C8" s="5" t="s">
        <v>14</v>
      </c>
      <c r="D8" s="3" t="s">
        <v>2</v>
      </c>
    </row>
    <row r="9">
      <c r="B9" s="4" t="s">
        <v>15</v>
      </c>
      <c r="C9" s="5" t="s">
        <v>16</v>
      </c>
      <c r="D9" s="3" t="s">
        <v>2</v>
      </c>
    </row>
    <row r="10">
      <c r="B10" s="4" t="s">
        <v>17</v>
      </c>
      <c r="C10" s="5" t="s">
        <v>18</v>
      </c>
      <c r="D10" s="3" t="s">
        <v>2</v>
      </c>
    </row>
    <row r="11">
      <c r="B11" s="4" t="s">
        <v>19</v>
      </c>
      <c r="C11" s="5" t="s">
        <v>20</v>
      </c>
      <c r="D11" s="3" t="s">
        <v>2</v>
      </c>
    </row>
    <row r="12">
      <c r="B12" s="4" t="s">
        <v>21</v>
      </c>
      <c r="C12" s="5" t="s">
        <v>22</v>
      </c>
      <c r="D12" s="3" t="s">
        <v>2</v>
      </c>
    </row>
    <row r="13">
      <c r="B13" s="4" t="s">
        <v>23</v>
      </c>
      <c r="C13" s="5" t="s">
        <v>24</v>
      </c>
      <c r="D13" s="3" t="s">
        <v>2</v>
      </c>
    </row>
    <row r="14">
      <c r="B14" s="4" t="s">
        <v>25</v>
      </c>
      <c r="C14" s="5" t="s">
        <v>26</v>
      </c>
      <c r="D14" s="3" t="s">
        <v>27</v>
      </c>
    </row>
    <row r="15">
      <c r="B15" s="4" t="s">
        <v>28</v>
      </c>
      <c r="C15" s="5" t="s">
        <v>29</v>
      </c>
      <c r="D15" s="3" t="s">
        <v>30</v>
      </c>
    </row>
    <row r="16">
      <c r="B16" s="4" t="s">
        <v>31</v>
      </c>
      <c r="C16" s="5" t="s">
        <v>32</v>
      </c>
      <c r="D16" s="3" t="s">
        <v>27</v>
      </c>
    </row>
    <row r="17">
      <c r="B17" s="4" t="s">
        <v>33</v>
      </c>
      <c r="C17" s="5" t="s">
        <v>34</v>
      </c>
      <c r="D17" s="3" t="s">
        <v>27</v>
      </c>
    </row>
    <row r="18">
      <c r="B18" s="4" t="s">
        <v>35</v>
      </c>
      <c r="C18" s="5" t="s">
        <v>36</v>
      </c>
      <c r="D18" s="3" t="s">
        <v>30</v>
      </c>
    </row>
    <row r="19">
      <c r="B19" s="4" t="s">
        <v>37</v>
      </c>
      <c r="C19" s="5" t="s">
        <v>38</v>
      </c>
      <c r="D19" s="3" t="s">
        <v>30</v>
      </c>
    </row>
    <row r="20">
      <c r="B20" s="4" t="s">
        <v>39</v>
      </c>
      <c r="C20" s="5" t="s">
        <v>40</v>
      </c>
      <c r="D20" s="3" t="s">
        <v>30</v>
      </c>
    </row>
    <row r="21">
      <c r="B21" s="4" t="s">
        <v>41</v>
      </c>
      <c r="C21" s="5" t="s">
        <v>42</v>
      </c>
      <c r="D21" s="3" t="s">
        <v>30</v>
      </c>
    </row>
    <row r="22">
      <c r="B22" s="4" t="s">
        <v>43</v>
      </c>
      <c r="C22" s="5" t="s">
        <v>44</v>
      </c>
      <c r="D22" s="3" t="s">
        <v>30</v>
      </c>
    </row>
    <row r="23">
      <c r="B23" s="4" t="s">
        <v>45</v>
      </c>
      <c r="C23" s="5" t="s">
        <v>46</v>
      </c>
      <c r="D23" s="3" t="s">
        <v>30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63"/>
    <col customWidth="1" min="2" max="2" width="43.88"/>
  </cols>
  <sheetData>
    <row r="1">
      <c r="A1" s="6" t="s">
        <v>47</v>
      </c>
      <c r="B1" s="6" t="s">
        <v>48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49</v>
      </c>
      <c r="B2" s="6" t="s">
        <v>50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52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53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9.0"/>
    <col customWidth="1" min="3" max="3" width="32.5"/>
    <col customWidth="1" min="4" max="4" width="12.13"/>
    <col customWidth="1" min="5" max="5" width="23.63"/>
    <col customWidth="1" min="6" max="6" width="9.88"/>
    <col customWidth="1" min="7" max="7" width="9.38"/>
    <col customWidth="1" min="8" max="8" width="26.0"/>
    <col customWidth="1" min="9" max="9" width="55.63"/>
    <col customWidth="1" min="10" max="10" width="11.25"/>
    <col customWidth="1" min="11" max="11" width="8.88"/>
    <col customWidth="1" min="12" max="12" width="9.5"/>
    <col customWidth="1" min="13" max="13" width="7.5"/>
    <col customWidth="1" min="14" max="14" width="17.88"/>
    <col customWidth="1" min="15" max="15" width="22.25"/>
    <col customWidth="1" min="16" max="16" width="18.88"/>
    <col customWidth="1" min="17" max="17" width="9.38"/>
    <col customWidth="1" min="18" max="18" width="28.88"/>
    <col customWidth="1" min="19" max="19" width="10.63"/>
    <col customWidth="1" min="20" max="20" width="9.63"/>
  </cols>
  <sheetData>
    <row r="1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N1" s="8" t="s">
        <v>67</v>
      </c>
      <c r="O1" s="8" t="s">
        <v>68</v>
      </c>
      <c r="P1" s="8"/>
      <c r="Q1" s="8" t="s">
        <v>69</v>
      </c>
      <c r="R1" s="8" t="s">
        <v>70</v>
      </c>
      <c r="S1" s="8" t="s">
        <v>71</v>
      </c>
      <c r="T1" s="8" t="s">
        <v>72</v>
      </c>
    </row>
    <row r="2">
      <c r="A2" s="9">
        <v>42318.71487268519</v>
      </c>
      <c r="B2" s="10">
        <v>44.0</v>
      </c>
      <c r="C2" s="10" t="s">
        <v>73</v>
      </c>
      <c r="D2" s="10">
        <v>67.0</v>
      </c>
      <c r="E2" s="10" t="s">
        <v>74</v>
      </c>
      <c r="F2" s="10">
        <v>1.0</v>
      </c>
      <c r="G2" s="10">
        <v>9.0</v>
      </c>
      <c r="H2" s="10" t="s">
        <v>75</v>
      </c>
      <c r="I2" s="10" t="s">
        <v>76</v>
      </c>
      <c r="J2" s="10" t="s">
        <v>11</v>
      </c>
      <c r="K2" s="10" t="s">
        <v>77</v>
      </c>
      <c r="L2" s="10">
        <v>1.0</v>
      </c>
      <c r="M2" s="10" t="s">
        <v>78</v>
      </c>
      <c r="N2" s="10" t="s">
        <v>79</v>
      </c>
      <c r="O2" s="10" t="s">
        <v>80</v>
      </c>
      <c r="P2" s="11" t="str">
        <f>IFERROR(__xludf.DUMMYFUNCTION("JOIN("" "",N2:O2)"),"BÉLIER Sandrine")</f>
        <v>BÉLIER Sandrine</v>
      </c>
      <c r="Q2" s="11">
        <v>26909.0</v>
      </c>
      <c r="R2" s="10" t="s">
        <v>81</v>
      </c>
      <c r="T2" s="10" t="s">
        <v>82</v>
      </c>
    </row>
    <row r="3">
      <c r="A3" s="9">
        <v>42318.71487268519</v>
      </c>
      <c r="B3" s="10">
        <v>44.0</v>
      </c>
      <c r="C3" s="10" t="s">
        <v>73</v>
      </c>
      <c r="D3" s="10">
        <v>57.0</v>
      </c>
      <c r="E3" s="10" t="s">
        <v>83</v>
      </c>
      <c r="F3" s="10">
        <v>2.0</v>
      </c>
      <c r="G3" s="10">
        <v>4.0</v>
      </c>
      <c r="H3" s="10" t="s">
        <v>5</v>
      </c>
      <c r="I3" s="10" t="s">
        <v>84</v>
      </c>
      <c r="J3" s="10" t="s">
        <v>5</v>
      </c>
      <c r="K3" s="10" t="s">
        <v>77</v>
      </c>
      <c r="L3" s="10">
        <v>1.0</v>
      </c>
      <c r="M3" s="10" t="s">
        <v>85</v>
      </c>
      <c r="N3" s="10" t="s">
        <v>86</v>
      </c>
      <c r="O3" s="10" t="s">
        <v>87</v>
      </c>
      <c r="P3" s="11" t="str">
        <f>IFERROR(__xludf.DUMMYFUNCTION("JOIN("" "",N3:O3)"),"PERON Patrick")</f>
        <v>PERON Patrick</v>
      </c>
      <c r="Q3" s="11">
        <v>19946.0</v>
      </c>
      <c r="R3" s="10" t="s">
        <v>88</v>
      </c>
      <c r="T3" s="10" t="s">
        <v>82</v>
      </c>
    </row>
    <row r="4">
      <c r="A4" s="9">
        <v>42318.71487268519</v>
      </c>
      <c r="B4" s="10">
        <v>44.0</v>
      </c>
      <c r="C4" s="10" t="s">
        <v>73</v>
      </c>
      <c r="D4" s="10">
        <v>88.0</v>
      </c>
      <c r="E4" s="10" t="s">
        <v>89</v>
      </c>
      <c r="F4" s="10">
        <v>3.0</v>
      </c>
      <c r="G4" s="10">
        <v>2.0</v>
      </c>
      <c r="H4" s="10" t="s">
        <v>90</v>
      </c>
      <c r="I4" s="10" t="s">
        <v>91</v>
      </c>
      <c r="J4" s="10" t="s">
        <v>39</v>
      </c>
      <c r="K4" s="10" t="s">
        <v>77</v>
      </c>
      <c r="L4" s="10">
        <v>1.0</v>
      </c>
      <c r="M4" s="10" t="s">
        <v>85</v>
      </c>
      <c r="N4" s="10" t="s">
        <v>92</v>
      </c>
      <c r="O4" s="10" t="s">
        <v>93</v>
      </c>
      <c r="P4" s="11" t="str">
        <f>IFERROR(__xludf.DUMMYFUNCTION("JOIN("" "",N4:O4)"),"JACOBELLI Laurent")</f>
        <v>JACOBELLI Laurent</v>
      </c>
      <c r="Q4" s="11">
        <v>25489.0</v>
      </c>
      <c r="R4" s="10" t="s">
        <v>81</v>
      </c>
      <c r="T4" s="10" t="s">
        <v>82</v>
      </c>
    </row>
    <row r="5">
      <c r="A5" s="9">
        <v>42318.71487268519</v>
      </c>
      <c r="B5" s="10">
        <v>44.0</v>
      </c>
      <c r="C5" s="10" t="s">
        <v>73</v>
      </c>
      <c r="D5" s="10">
        <v>57.0</v>
      </c>
      <c r="E5" s="10" t="s">
        <v>83</v>
      </c>
      <c r="F5" s="10">
        <v>4.0</v>
      </c>
      <c r="G5" s="10">
        <v>7.0</v>
      </c>
      <c r="H5" s="10" t="s">
        <v>94</v>
      </c>
      <c r="I5" s="10" t="s">
        <v>95</v>
      </c>
      <c r="J5" s="10" t="s">
        <v>15</v>
      </c>
      <c r="K5" s="10" t="s">
        <v>77</v>
      </c>
      <c r="L5" s="10">
        <v>2.0</v>
      </c>
      <c r="M5" s="10" t="s">
        <v>85</v>
      </c>
      <c r="N5" s="10" t="s">
        <v>96</v>
      </c>
      <c r="O5" s="10" t="s">
        <v>97</v>
      </c>
      <c r="P5" s="11" t="str">
        <f>IFERROR(__xludf.DUMMYFUNCTION("JOIN("" "",N5:O5)"),"MASSERET Jean-Pierre")</f>
        <v>MASSERET Jean-Pierre</v>
      </c>
      <c r="Q5" s="11">
        <v>16307.0</v>
      </c>
      <c r="R5" s="10" t="s">
        <v>98</v>
      </c>
      <c r="S5" s="10" t="s">
        <v>99</v>
      </c>
      <c r="T5" s="10" t="s">
        <v>100</v>
      </c>
    </row>
    <row r="6">
      <c r="A6" s="9">
        <v>42318.71487268519</v>
      </c>
      <c r="B6" s="10">
        <v>44.0</v>
      </c>
      <c r="C6" s="10" t="s">
        <v>73</v>
      </c>
      <c r="D6" s="10">
        <v>57.0</v>
      </c>
      <c r="E6" s="10" t="s">
        <v>83</v>
      </c>
      <c r="F6" s="10">
        <v>5.0</v>
      </c>
      <c r="G6" s="10">
        <v>6.0</v>
      </c>
      <c r="H6" s="10" t="s">
        <v>101</v>
      </c>
      <c r="I6" s="10" t="s">
        <v>102</v>
      </c>
      <c r="J6" s="10" t="s">
        <v>43</v>
      </c>
      <c r="K6" s="10" t="s">
        <v>77</v>
      </c>
      <c r="L6" s="10">
        <v>1.0</v>
      </c>
      <c r="M6" s="10" t="s">
        <v>85</v>
      </c>
      <c r="N6" s="10" t="s">
        <v>103</v>
      </c>
      <c r="O6" s="10" t="s">
        <v>104</v>
      </c>
      <c r="P6" s="11" t="str">
        <f>IFERROR(__xludf.DUMMYFUNCTION("JOIN("" "",N6:O6)"),"PHILIPPOT Florian")</f>
        <v>PHILIPPOT Florian</v>
      </c>
      <c r="Q6" s="11">
        <v>29883.0</v>
      </c>
      <c r="R6" s="10" t="s">
        <v>105</v>
      </c>
      <c r="S6" s="10" t="s">
        <v>106</v>
      </c>
      <c r="T6" s="10" t="s">
        <v>82</v>
      </c>
    </row>
    <row r="7">
      <c r="A7" s="9">
        <v>42318.71487268519</v>
      </c>
      <c r="B7" s="10">
        <v>44.0</v>
      </c>
      <c r="C7" s="10" t="s">
        <v>73</v>
      </c>
      <c r="D7" s="10">
        <v>88.0</v>
      </c>
      <c r="E7" s="10" t="s">
        <v>89</v>
      </c>
      <c r="F7" s="10">
        <v>6.0</v>
      </c>
      <c r="G7" s="10">
        <v>5.0</v>
      </c>
      <c r="H7" s="10" t="s">
        <v>107</v>
      </c>
      <c r="I7" s="10" t="s">
        <v>108</v>
      </c>
      <c r="J7" s="10" t="s">
        <v>25</v>
      </c>
      <c r="K7" s="10" t="s">
        <v>77</v>
      </c>
      <c r="L7" s="10">
        <v>1.0</v>
      </c>
      <c r="M7" s="10" t="s">
        <v>85</v>
      </c>
      <c r="N7" s="10" t="s">
        <v>109</v>
      </c>
      <c r="O7" s="10" t="s">
        <v>110</v>
      </c>
      <c r="P7" s="11" t="str">
        <f>IFERROR(__xludf.DUMMYFUNCTION("JOIN("" "",N7:O7)"),"WENTZEL David")</f>
        <v>WENTZEL David</v>
      </c>
      <c r="Q7" s="11">
        <v>31128.0</v>
      </c>
      <c r="R7" s="10" t="s">
        <v>111</v>
      </c>
      <c r="T7" s="10" t="s">
        <v>82</v>
      </c>
    </row>
    <row r="8">
      <c r="A8" s="9">
        <v>42318.71487268519</v>
      </c>
      <c r="B8" s="10">
        <v>44.0</v>
      </c>
      <c r="C8" s="10" t="s">
        <v>73</v>
      </c>
      <c r="D8" s="10">
        <v>68.0</v>
      </c>
      <c r="E8" s="10" t="s">
        <v>112</v>
      </c>
      <c r="F8" s="10">
        <v>7.0</v>
      </c>
      <c r="G8" s="10">
        <v>3.0</v>
      </c>
      <c r="H8" s="10" t="s">
        <v>113</v>
      </c>
      <c r="I8" s="10" t="s">
        <v>114</v>
      </c>
      <c r="J8" s="10" t="s">
        <v>3</v>
      </c>
      <c r="K8" s="10" t="s">
        <v>77</v>
      </c>
      <c r="L8" s="10">
        <v>2.0</v>
      </c>
      <c r="M8" s="10" t="s">
        <v>85</v>
      </c>
      <c r="N8" s="10" t="s">
        <v>115</v>
      </c>
      <c r="O8" s="10" t="s">
        <v>116</v>
      </c>
      <c r="P8" s="11" t="str">
        <f>IFERROR(__xludf.DUMMYFUNCTION("JOIN("" "",N8:O8)"),"WOSTYN Julien")</f>
        <v>WOSTYN Julien</v>
      </c>
      <c r="Q8" s="11">
        <v>28847.0</v>
      </c>
      <c r="R8" s="10" t="s">
        <v>117</v>
      </c>
      <c r="T8" s="10" t="s">
        <v>82</v>
      </c>
    </row>
    <row r="9">
      <c r="A9" s="9">
        <v>42318.71487268519</v>
      </c>
      <c r="B9" s="10">
        <v>44.0</v>
      </c>
      <c r="C9" s="10" t="s">
        <v>73</v>
      </c>
      <c r="D9" s="10">
        <v>68.0</v>
      </c>
      <c r="E9" s="10" t="s">
        <v>112</v>
      </c>
      <c r="F9" s="10">
        <v>8.0</v>
      </c>
      <c r="G9" s="10">
        <v>10.0</v>
      </c>
      <c r="H9" s="10" t="s">
        <v>118</v>
      </c>
      <c r="I9" s="10" t="s">
        <v>119</v>
      </c>
      <c r="J9" s="10" t="s">
        <v>28</v>
      </c>
      <c r="K9" s="10" t="s">
        <v>77</v>
      </c>
      <c r="L9" s="10">
        <v>2.0</v>
      </c>
      <c r="M9" s="10" t="s">
        <v>85</v>
      </c>
      <c r="N9" s="10" t="s">
        <v>120</v>
      </c>
      <c r="O9" s="10" t="s">
        <v>121</v>
      </c>
      <c r="P9" s="11" t="str">
        <f>IFERROR(__xludf.DUMMYFUNCTION("JOIN("" "",N9:O9)"),"TROUILLET Jean-Georges")</f>
        <v>TROUILLET Jean-Georges</v>
      </c>
      <c r="Q9" s="11">
        <v>28456.0</v>
      </c>
      <c r="R9" s="10" t="s">
        <v>122</v>
      </c>
      <c r="T9" s="10" t="s">
        <v>82</v>
      </c>
    </row>
    <row r="10">
      <c r="A10" s="9">
        <v>42318.71487268519</v>
      </c>
      <c r="B10" s="10">
        <v>44.0</v>
      </c>
      <c r="C10" s="10" t="s">
        <v>73</v>
      </c>
      <c r="D10" s="10">
        <v>67.0</v>
      </c>
      <c r="E10" s="10" t="s">
        <v>74</v>
      </c>
      <c r="F10" s="10">
        <v>9.0</v>
      </c>
      <c r="G10" s="10">
        <v>8.0</v>
      </c>
      <c r="H10" s="10" t="s">
        <v>35</v>
      </c>
      <c r="I10" s="10" t="s">
        <v>123</v>
      </c>
      <c r="J10" s="10" t="s">
        <v>37</v>
      </c>
      <c r="K10" s="10" t="s">
        <v>77</v>
      </c>
      <c r="L10" s="10">
        <v>1.0</v>
      </c>
      <c r="M10" s="10" t="s">
        <v>85</v>
      </c>
      <c r="N10" s="10" t="s">
        <v>124</v>
      </c>
      <c r="O10" s="10" t="s">
        <v>125</v>
      </c>
      <c r="P10" s="11" t="str">
        <f>IFERROR(__xludf.DUMMYFUNCTION("JOIN("" "",N10:O10)"),"RICHERT Philippe")</f>
        <v>RICHERT Philippe</v>
      </c>
      <c r="Q10" s="11">
        <v>19501.0</v>
      </c>
      <c r="R10" s="10" t="s">
        <v>126</v>
      </c>
      <c r="S10" s="10" t="s">
        <v>127</v>
      </c>
      <c r="T10" s="10" t="s">
        <v>100</v>
      </c>
    </row>
    <row r="11">
      <c r="A11" s="9">
        <v>42318.71487268519</v>
      </c>
      <c r="B11" s="10">
        <v>75.0</v>
      </c>
      <c r="C11" s="10" t="s">
        <v>128</v>
      </c>
      <c r="D11" s="10">
        <v>33.0</v>
      </c>
      <c r="E11" s="10" t="s">
        <v>129</v>
      </c>
      <c r="F11" s="10">
        <v>1.0</v>
      </c>
      <c r="G11" s="10">
        <v>10.0</v>
      </c>
      <c r="H11" s="10" t="s">
        <v>130</v>
      </c>
      <c r="I11" s="10" t="s">
        <v>131</v>
      </c>
      <c r="J11" s="10" t="s">
        <v>19</v>
      </c>
      <c r="K11" s="10" t="s">
        <v>77</v>
      </c>
      <c r="L11" s="10">
        <v>11.0</v>
      </c>
      <c r="M11" s="10" t="s">
        <v>85</v>
      </c>
      <c r="N11" s="10" t="s">
        <v>132</v>
      </c>
      <c r="O11" s="10" t="s">
        <v>133</v>
      </c>
      <c r="P11" s="11" t="str">
        <f>IFERROR(__xludf.DUMMYFUNCTION("JOIN("" "",N11:O11)"),"PEREIRA Nicolas")</f>
        <v>PEREIRA Nicolas</v>
      </c>
      <c r="Q11" s="11">
        <v>33409.0</v>
      </c>
      <c r="R11" s="10" t="s">
        <v>134</v>
      </c>
      <c r="T11" s="10" t="s">
        <v>82</v>
      </c>
    </row>
    <row r="12">
      <c r="A12" s="9">
        <v>42318.71487268519</v>
      </c>
      <c r="B12" s="10">
        <v>75.0</v>
      </c>
      <c r="C12" s="10" t="s">
        <v>128</v>
      </c>
      <c r="D12" s="10">
        <v>33.0</v>
      </c>
      <c r="E12" s="10" t="s">
        <v>129</v>
      </c>
      <c r="F12" s="10">
        <v>2.0</v>
      </c>
      <c r="G12" s="10">
        <v>5.0</v>
      </c>
      <c r="H12" s="10" t="s">
        <v>135</v>
      </c>
      <c r="I12" s="10" t="s">
        <v>136</v>
      </c>
      <c r="J12" s="10" t="s">
        <v>15</v>
      </c>
      <c r="K12" s="10" t="s">
        <v>77</v>
      </c>
      <c r="L12" s="10">
        <v>1.0</v>
      </c>
      <c r="M12" s="10" t="s">
        <v>85</v>
      </c>
      <c r="N12" s="10" t="s">
        <v>137</v>
      </c>
      <c r="O12" s="10" t="s">
        <v>138</v>
      </c>
      <c r="P12" s="11" t="str">
        <f>IFERROR(__xludf.DUMMYFUNCTION("JOIN("" "",N12:O12)"),"ROUSSET Alain")</f>
        <v>ROUSSET Alain</v>
      </c>
      <c r="Q12" s="11">
        <v>18675.0</v>
      </c>
      <c r="R12" s="10" t="s">
        <v>139</v>
      </c>
      <c r="S12" s="10" t="s">
        <v>140</v>
      </c>
      <c r="T12" s="10" t="s">
        <v>100</v>
      </c>
    </row>
    <row r="13">
      <c r="A13" s="9">
        <v>42318.71487268519</v>
      </c>
      <c r="B13" s="10">
        <v>75.0</v>
      </c>
      <c r="C13" s="10" t="s">
        <v>128</v>
      </c>
      <c r="D13" s="10">
        <v>33.0</v>
      </c>
      <c r="E13" s="10" t="s">
        <v>129</v>
      </c>
      <c r="F13" s="10">
        <v>3.0</v>
      </c>
      <c r="G13" s="10">
        <v>7.0</v>
      </c>
      <c r="H13" s="10" t="s">
        <v>141</v>
      </c>
      <c r="I13" s="10" t="s">
        <v>142</v>
      </c>
      <c r="J13" s="10" t="s">
        <v>37</v>
      </c>
      <c r="K13" s="10" t="s">
        <v>77</v>
      </c>
      <c r="L13" s="10">
        <v>1.0</v>
      </c>
      <c r="M13" s="10" t="s">
        <v>78</v>
      </c>
      <c r="N13" s="10" t="s">
        <v>143</v>
      </c>
      <c r="O13" s="10" t="s">
        <v>144</v>
      </c>
      <c r="P13" s="11" t="str">
        <f>IFERROR(__xludf.DUMMYFUNCTION("JOIN("" "",N13:O13)"),"CALMELS Virginie")</f>
        <v>CALMELS Virginie</v>
      </c>
      <c r="Q13" s="11">
        <v>25975.0</v>
      </c>
      <c r="R13" s="10" t="s">
        <v>145</v>
      </c>
      <c r="T13" s="10" t="s">
        <v>82</v>
      </c>
    </row>
    <row r="14">
      <c r="A14" s="9">
        <v>42318.71488425926</v>
      </c>
      <c r="B14" s="10">
        <v>75.0</v>
      </c>
      <c r="C14" s="10" t="s">
        <v>128</v>
      </c>
      <c r="D14" s="10">
        <v>64.0</v>
      </c>
      <c r="E14" s="10" t="s">
        <v>146</v>
      </c>
      <c r="F14" s="10">
        <v>4.0</v>
      </c>
      <c r="G14" s="10">
        <v>9.0</v>
      </c>
      <c r="H14" s="10" t="s">
        <v>147</v>
      </c>
      <c r="I14" s="10" t="s">
        <v>147</v>
      </c>
      <c r="J14" s="10" t="s">
        <v>5</v>
      </c>
      <c r="K14" s="10" t="s">
        <v>77</v>
      </c>
      <c r="L14" s="10">
        <v>2.0</v>
      </c>
      <c r="M14" s="10" t="s">
        <v>85</v>
      </c>
      <c r="N14" s="10" t="s">
        <v>148</v>
      </c>
      <c r="O14" s="10" t="s">
        <v>149</v>
      </c>
      <c r="P14" s="11" t="str">
        <f>IFERROR(__xludf.DUMMYFUNCTION("JOIN("" "",N14:O14)"),"DARTIGOLLES Olivier")</f>
        <v>DARTIGOLLES Olivier</v>
      </c>
      <c r="Q14" s="11">
        <v>25807.0</v>
      </c>
      <c r="R14" s="10" t="s">
        <v>126</v>
      </c>
      <c r="T14" s="10" t="s">
        <v>82</v>
      </c>
    </row>
    <row r="15">
      <c r="A15" s="9">
        <v>42318.71488425926</v>
      </c>
      <c r="B15" s="10">
        <v>75.0</v>
      </c>
      <c r="C15" s="10" t="s">
        <v>128</v>
      </c>
      <c r="D15" s="10">
        <v>33.0</v>
      </c>
      <c r="E15" s="10" t="s">
        <v>129</v>
      </c>
      <c r="F15" s="10">
        <v>5.0</v>
      </c>
      <c r="G15" s="10">
        <v>6.0</v>
      </c>
      <c r="H15" s="10" t="s">
        <v>150</v>
      </c>
      <c r="I15" s="10" t="s">
        <v>151</v>
      </c>
      <c r="J15" s="10" t="s">
        <v>25</v>
      </c>
      <c r="K15" s="10" t="s">
        <v>77</v>
      </c>
      <c r="L15" s="10">
        <v>19.0</v>
      </c>
      <c r="M15" s="10" t="s">
        <v>85</v>
      </c>
      <c r="N15" s="10" t="s">
        <v>152</v>
      </c>
      <c r="O15" s="10" t="s">
        <v>153</v>
      </c>
      <c r="P15" s="11" t="str">
        <f>IFERROR(__xludf.DUMMYFUNCTION("JOIN("" "",N15:O15)"),"DOUET William")</f>
        <v>DOUET William</v>
      </c>
      <c r="Q15" s="11">
        <v>33754.0</v>
      </c>
      <c r="R15" s="10" t="s">
        <v>154</v>
      </c>
      <c r="T15" s="10" t="s">
        <v>82</v>
      </c>
    </row>
    <row r="16">
      <c r="A16" s="9">
        <v>42318.71488425926</v>
      </c>
      <c r="B16" s="10">
        <v>75.0</v>
      </c>
      <c r="C16" s="10" t="s">
        <v>128</v>
      </c>
      <c r="D16" s="10">
        <v>64.0</v>
      </c>
      <c r="E16" s="10" t="s">
        <v>146</v>
      </c>
      <c r="F16" s="10">
        <v>6.0</v>
      </c>
      <c r="G16" s="10">
        <v>11.0</v>
      </c>
      <c r="H16" s="10" t="s">
        <v>155</v>
      </c>
      <c r="I16" s="10" t="s">
        <v>155</v>
      </c>
      <c r="J16" s="10" t="s">
        <v>19</v>
      </c>
      <c r="K16" s="10" t="s">
        <v>77</v>
      </c>
      <c r="L16" s="10">
        <v>3.0</v>
      </c>
      <c r="M16" s="10" t="s">
        <v>85</v>
      </c>
      <c r="N16" s="10" t="s">
        <v>156</v>
      </c>
      <c r="O16" s="10" t="s">
        <v>157</v>
      </c>
      <c r="P16" s="11" t="str">
        <f>IFERROR(__xludf.DUMMYFUNCTION("JOIN("" "",N16:O16)"),"BOUSSION Joseph")</f>
        <v>BOUSSION Joseph</v>
      </c>
      <c r="Q16" s="11">
        <v>31058.0</v>
      </c>
      <c r="R16" s="10" t="s">
        <v>158</v>
      </c>
      <c r="T16" s="10" t="s">
        <v>82</v>
      </c>
    </row>
    <row r="17">
      <c r="A17" s="9">
        <v>42318.71488425926</v>
      </c>
      <c r="B17" s="10">
        <v>75.0</v>
      </c>
      <c r="C17" s="10" t="s">
        <v>128</v>
      </c>
      <c r="D17" s="10">
        <v>16.0</v>
      </c>
      <c r="E17" s="10" t="s">
        <v>159</v>
      </c>
      <c r="F17" s="10">
        <v>7.0</v>
      </c>
      <c r="G17" s="10">
        <v>8.0</v>
      </c>
      <c r="H17" s="10" t="s">
        <v>160</v>
      </c>
      <c r="I17" s="10" t="s">
        <v>161</v>
      </c>
      <c r="J17" s="10" t="s">
        <v>21</v>
      </c>
      <c r="K17" s="10" t="s">
        <v>77</v>
      </c>
      <c r="L17" s="10">
        <v>1.0</v>
      </c>
      <c r="M17" s="10" t="s">
        <v>78</v>
      </c>
      <c r="N17" s="10" t="s">
        <v>162</v>
      </c>
      <c r="O17" s="10" t="s">
        <v>163</v>
      </c>
      <c r="P17" s="11" t="str">
        <f>IFERROR(__xludf.DUMMYFUNCTION("JOIN("" "",N17:O17)"),"COUTANT Françoise")</f>
        <v>COUTANT Françoise</v>
      </c>
      <c r="Q17" s="11">
        <v>24262.0</v>
      </c>
      <c r="R17" s="10" t="s">
        <v>164</v>
      </c>
      <c r="T17" s="10" t="s">
        <v>100</v>
      </c>
    </row>
    <row r="18">
      <c r="A18" s="9">
        <v>42318.71488425926</v>
      </c>
      <c r="B18" s="10">
        <v>75.0</v>
      </c>
      <c r="C18" s="10" t="s">
        <v>128</v>
      </c>
      <c r="D18" s="10">
        <v>33.0</v>
      </c>
      <c r="E18" s="10" t="s">
        <v>129</v>
      </c>
      <c r="F18" s="10">
        <v>8.0</v>
      </c>
      <c r="G18" s="10">
        <v>3.0</v>
      </c>
      <c r="H18" s="10" t="s">
        <v>165</v>
      </c>
      <c r="I18" s="10" t="s">
        <v>102</v>
      </c>
      <c r="J18" s="10" t="s">
        <v>43</v>
      </c>
      <c r="K18" s="10" t="s">
        <v>77</v>
      </c>
      <c r="L18" s="10">
        <v>1.0</v>
      </c>
      <c r="M18" s="10" t="s">
        <v>85</v>
      </c>
      <c r="N18" s="10" t="s">
        <v>166</v>
      </c>
      <c r="O18" s="10" t="s">
        <v>167</v>
      </c>
      <c r="P18" s="11" t="str">
        <f>IFERROR(__xludf.DUMMYFUNCTION("JOIN("" "",N18:O18)"),"COLOMBIER Jacques")</f>
        <v>COLOMBIER Jacques</v>
      </c>
      <c r="Q18" s="11">
        <v>19041.0</v>
      </c>
      <c r="R18" s="10" t="s">
        <v>168</v>
      </c>
      <c r="T18" s="10" t="s">
        <v>82</v>
      </c>
    </row>
    <row r="19">
      <c r="A19" s="9">
        <v>42318.71488425926</v>
      </c>
      <c r="B19" s="10">
        <v>75.0</v>
      </c>
      <c r="C19" s="10" t="s">
        <v>128</v>
      </c>
      <c r="D19" s="10">
        <v>47.0</v>
      </c>
      <c r="E19" s="10" t="s">
        <v>169</v>
      </c>
      <c r="F19" s="10">
        <v>9.0</v>
      </c>
      <c r="G19" s="10">
        <v>4.0</v>
      </c>
      <c r="H19" s="10" t="s">
        <v>90</v>
      </c>
      <c r="I19" s="10" t="s">
        <v>170</v>
      </c>
      <c r="J19" s="10" t="s">
        <v>39</v>
      </c>
      <c r="K19" s="10" t="s">
        <v>77</v>
      </c>
      <c r="L19" s="10">
        <v>1.0</v>
      </c>
      <c r="M19" s="10" t="s">
        <v>85</v>
      </c>
      <c r="N19" s="10" t="s">
        <v>171</v>
      </c>
      <c r="O19" s="10" t="s">
        <v>172</v>
      </c>
      <c r="P19" s="11" t="str">
        <f>IFERROR(__xludf.DUMMYFUNCTION("JOIN("" "",N19:O19)"),"SETZE Yvon")</f>
        <v>SETZE Yvon</v>
      </c>
      <c r="Q19" s="11">
        <v>19116.0</v>
      </c>
      <c r="R19" s="10" t="s">
        <v>173</v>
      </c>
      <c r="T19" s="10" t="s">
        <v>82</v>
      </c>
    </row>
    <row r="20">
      <c r="A20" s="9">
        <v>42318.71488425926</v>
      </c>
      <c r="B20" s="10">
        <v>75.0</v>
      </c>
      <c r="C20" s="10" t="s">
        <v>128</v>
      </c>
      <c r="D20" s="10">
        <v>33.0</v>
      </c>
      <c r="E20" s="10" t="s">
        <v>129</v>
      </c>
      <c r="F20" s="10">
        <v>10.0</v>
      </c>
      <c r="G20" s="10">
        <v>2.0</v>
      </c>
      <c r="H20" s="10" t="s">
        <v>113</v>
      </c>
      <c r="I20" s="10" t="s">
        <v>174</v>
      </c>
      <c r="J20" s="10" t="s">
        <v>3</v>
      </c>
      <c r="K20" s="10" t="s">
        <v>77</v>
      </c>
      <c r="L20" s="10">
        <v>2.0</v>
      </c>
      <c r="M20" s="10" t="s">
        <v>85</v>
      </c>
      <c r="N20" s="10" t="s">
        <v>175</v>
      </c>
      <c r="O20" s="10" t="s">
        <v>176</v>
      </c>
      <c r="P20" s="11" t="str">
        <f>IFERROR(__xludf.DUMMYFUNCTION("JOIN("" "",N20:O20)"),"PERCHET Guillaume")</f>
        <v>PERCHET Guillaume</v>
      </c>
      <c r="Q20" s="11">
        <v>25877.0</v>
      </c>
      <c r="R20" s="10" t="s">
        <v>134</v>
      </c>
      <c r="T20" s="10" t="s">
        <v>82</v>
      </c>
    </row>
    <row r="21">
      <c r="A21" s="9">
        <v>42318.71488425926</v>
      </c>
      <c r="B21" s="10">
        <v>84.0</v>
      </c>
      <c r="C21" s="10" t="s">
        <v>177</v>
      </c>
      <c r="D21" s="10">
        <v>26.0</v>
      </c>
      <c r="E21" s="10" t="s">
        <v>178</v>
      </c>
      <c r="F21" s="10">
        <v>1.0</v>
      </c>
      <c r="G21" s="10">
        <v>3.0</v>
      </c>
      <c r="H21" s="10" t="s">
        <v>179</v>
      </c>
      <c r="I21" s="10" t="s">
        <v>180</v>
      </c>
      <c r="J21" s="10" t="s">
        <v>25</v>
      </c>
      <c r="K21" s="10" t="s">
        <v>77</v>
      </c>
      <c r="L21" s="10">
        <v>1.0</v>
      </c>
      <c r="M21" s="10" t="s">
        <v>85</v>
      </c>
      <c r="N21" s="10" t="s">
        <v>181</v>
      </c>
      <c r="O21" s="10" t="s">
        <v>138</v>
      </c>
      <c r="P21" s="11" t="str">
        <f>IFERROR(__xludf.DUMMYFUNCTION("JOIN("" "",N21:O21)"),"FÉDÈLE Alain")</f>
        <v>FÉDÈLE Alain</v>
      </c>
      <c r="Q21" s="11">
        <v>23420.0</v>
      </c>
      <c r="R21" s="10" t="s">
        <v>182</v>
      </c>
      <c r="T21" s="10" t="s">
        <v>82</v>
      </c>
    </row>
    <row r="22">
      <c r="A22" s="9">
        <v>42318.71488425926</v>
      </c>
      <c r="B22" s="10">
        <v>84.0</v>
      </c>
      <c r="C22" s="10" t="s">
        <v>177</v>
      </c>
      <c r="D22" s="10" t="s">
        <v>183</v>
      </c>
      <c r="E22" s="10" t="s">
        <v>184</v>
      </c>
      <c r="F22" s="10">
        <v>2.0</v>
      </c>
      <c r="G22" s="10">
        <v>10.0</v>
      </c>
      <c r="H22" s="10" t="s">
        <v>185</v>
      </c>
      <c r="I22" s="10" t="s">
        <v>185</v>
      </c>
      <c r="J22" s="10" t="s">
        <v>41</v>
      </c>
      <c r="K22" s="10" t="s">
        <v>77</v>
      </c>
      <c r="L22" s="10">
        <v>1.0</v>
      </c>
      <c r="M22" s="10" t="s">
        <v>85</v>
      </c>
      <c r="N22" s="10" t="s">
        <v>186</v>
      </c>
      <c r="O22" s="10" t="s">
        <v>187</v>
      </c>
      <c r="P22" s="11" t="str">
        <f>IFERROR(__xludf.DUMMYFUNCTION("JOIN("" "",N22:O22)"),"LAFOND Eric")</f>
        <v>LAFOND Eric</v>
      </c>
      <c r="Q22" s="11">
        <v>26541.0</v>
      </c>
      <c r="R22" s="10" t="s">
        <v>134</v>
      </c>
      <c r="T22" s="10" t="s">
        <v>82</v>
      </c>
    </row>
    <row r="23">
      <c r="A23" s="9">
        <v>42318.71488425926</v>
      </c>
      <c r="B23" s="10">
        <v>84.0</v>
      </c>
      <c r="C23" s="10" t="s">
        <v>177</v>
      </c>
      <c r="D23" s="10" t="s">
        <v>183</v>
      </c>
      <c r="E23" s="10" t="s">
        <v>184</v>
      </c>
      <c r="F23" s="10">
        <v>3.0</v>
      </c>
      <c r="G23" s="10">
        <v>7.0</v>
      </c>
      <c r="H23" s="10" t="s">
        <v>188</v>
      </c>
      <c r="I23" s="10" t="s">
        <v>189</v>
      </c>
      <c r="J23" s="10" t="s">
        <v>43</v>
      </c>
      <c r="K23" s="10" t="s">
        <v>77</v>
      </c>
      <c r="L23" s="10">
        <v>1.0</v>
      </c>
      <c r="M23" s="10" t="s">
        <v>85</v>
      </c>
      <c r="N23" s="10" t="s">
        <v>190</v>
      </c>
      <c r="O23" s="10" t="s">
        <v>191</v>
      </c>
      <c r="P23" s="11" t="str">
        <f>IFERROR(__xludf.DUMMYFUNCTION("JOIN("" "",N23:O23)"),"BOUDOT Christophe")</f>
        <v>BOUDOT Christophe</v>
      </c>
      <c r="Q23" s="11">
        <v>25422.0</v>
      </c>
      <c r="R23" s="10" t="s">
        <v>81</v>
      </c>
      <c r="T23" s="10" t="s">
        <v>100</v>
      </c>
    </row>
    <row r="24">
      <c r="A24" s="9">
        <v>42318.71488425926</v>
      </c>
      <c r="B24" s="10">
        <v>84.0</v>
      </c>
      <c r="C24" s="10" t="s">
        <v>177</v>
      </c>
      <c r="D24" s="10">
        <v>42.0</v>
      </c>
      <c r="E24" s="10" t="s">
        <v>192</v>
      </c>
      <c r="F24" s="10">
        <v>4.0</v>
      </c>
      <c r="G24" s="10">
        <v>8.0</v>
      </c>
      <c r="H24" s="10" t="s">
        <v>193</v>
      </c>
      <c r="I24" s="10" t="s">
        <v>194</v>
      </c>
      <c r="J24" s="10" t="s">
        <v>9</v>
      </c>
      <c r="K24" s="10" t="s">
        <v>77</v>
      </c>
      <c r="L24" s="10">
        <v>1.0</v>
      </c>
      <c r="M24" s="10" t="s">
        <v>78</v>
      </c>
      <c r="N24" s="10" t="s">
        <v>195</v>
      </c>
      <c r="O24" s="10" t="s">
        <v>196</v>
      </c>
      <c r="P24" s="11" t="str">
        <f>IFERROR(__xludf.DUMMYFUNCTION("JOIN("" "",N24:O24)"),"CUKIERMAN Cécile")</f>
        <v>CUKIERMAN Cécile</v>
      </c>
      <c r="Q24" s="11">
        <v>27876.0</v>
      </c>
      <c r="R24" s="10" t="s">
        <v>164</v>
      </c>
      <c r="S24" s="10" t="s">
        <v>197</v>
      </c>
      <c r="T24" s="10" t="s">
        <v>100</v>
      </c>
    </row>
    <row r="25">
      <c r="A25" s="9">
        <v>42318.71488425926</v>
      </c>
      <c r="B25" s="10">
        <v>84.0</v>
      </c>
      <c r="C25" s="10" t="s">
        <v>177</v>
      </c>
      <c r="D25" s="10">
        <v>38.0</v>
      </c>
      <c r="E25" s="10" t="s">
        <v>198</v>
      </c>
      <c r="F25" s="10">
        <v>5.0</v>
      </c>
      <c r="G25" s="10">
        <v>2.0</v>
      </c>
      <c r="H25" s="10" t="s">
        <v>199</v>
      </c>
      <c r="I25" s="10" t="s">
        <v>114</v>
      </c>
      <c r="J25" s="10" t="s">
        <v>3</v>
      </c>
      <c r="K25" s="10" t="s">
        <v>77</v>
      </c>
      <c r="L25" s="10">
        <v>1.0</v>
      </c>
      <c r="M25" s="10" t="s">
        <v>78</v>
      </c>
      <c r="N25" s="10" t="s">
        <v>200</v>
      </c>
      <c r="O25" s="10" t="s">
        <v>201</v>
      </c>
      <c r="P25" s="11" t="str">
        <f>IFERROR(__xludf.DUMMYFUNCTION("JOIN("" "",N25:O25)"),"GOMEZ Chantal")</f>
        <v>GOMEZ Chantal</v>
      </c>
      <c r="Q25" s="11">
        <v>20563.0</v>
      </c>
      <c r="R25" s="10" t="s">
        <v>202</v>
      </c>
      <c r="T25" s="10" t="s">
        <v>82</v>
      </c>
    </row>
    <row r="26">
      <c r="A26" s="9">
        <v>42318.71488425926</v>
      </c>
      <c r="B26" s="10">
        <v>84.0</v>
      </c>
      <c r="C26" s="10" t="s">
        <v>177</v>
      </c>
      <c r="D26" s="10">
        <v>43.0</v>
      </c>
      <c r="E26" s="10" t="s">
        <v>203</v>
      </c>
      <c r="F26" s="10">
        <v>6.0</v>
      </c>
      <c r="G26" s="10">
        <v>9.0</v>
      </c>
      <c r="H26" s="10" t="s">
        <v>204</v>
      </c>
      <c r="I26" s="10" t="s">
        <v>205</v>
      </c>
      <c r="J26" s="10" t="s">
        <v>37</v>
      </c>
      <c r="K26" s="10" t="s">
        <v>77</v>
      </c>
      <c r="L26" s="10">
        <v>1.0</v>
      </c>
      <c r="M26" s="10" t="s">
        <v>85</v>
      </c>
      <c r="N26" s="10" t="s">
        <v>206</v>
      </c>
      <c r="O26" s="10" t="s">
        <v>93</v>
      </c>
      <c r="P26" s="11" t="str">
        <f>IFERROR(__xludf.DUMMYFUNCTION("JOIN("" "",N26:O26)"),"WAUQUIEZ Laurent")</f>
        <v>WAUQUIEZ Laurent</v>
      </c>
      <c r="Q26" s="11">
        <v>27496.0</v>
      </c>
      <c r="R26" s="10" t="s">
        <v>139</v>
      </c>
      <c r="S26" s="10" t="s">
        <v>207</v>
      </c>
      <c r="T26" s="10" t="s">
        <v>82</v>
      </c>
    </row>
    <row r="27">
      <c r="A27" s="9">
        <v>42318.71488425926</v>
      </c>
      <c r="B27" s="10">
        <v>84.0</v>
      </c>
      <c r="C27" s="10" t="s">
        <v>177</v>
      </c>
      <c r="D27" s="10" t="s">
        <v>208</v>
      </c>
      <c r="E27" s="10" t="s">
        <v>209</v>
      </c>
      <c r="F27" s="10">
        <v>8.0</v>
      </c>
      <c r="G27" s="10">
        <v>5.0</v>
      </c>
      <c r="H27" s="10" t="s">
        <v>210</v>
      </c>
      <c r="I27" s="10" t="s">
        <v>211</v>
      </c>
      <c r="J27" s="10" t="s">
        <v>11</v>
      </c>
      <c r="K27" s="10" t="s">
        <v>77</v>
      </c>
      <c r="L27" s="10">
        <v>1.0</v>
      </c>
      <c r="M27" s="10" t="s">
        <v>85</v>
      </c>
      <c r="N27" s="10" t="s">
        <v>212</v>
      </c>
      <c r="O27" s="10" t="s">
        <v>213</v>
      </c>
      <c r="P27" s="11" t="str">
        <f>IFERROR(__xludf.DUMMYFUNCTION("JOIN("" "",N27:O27)"),"KOHLHAAS Jean-Charles")</f>
        <v>KOHLHAAS Jean-Charles</v>
      </c>
      <c r="Q27" s="11">
        <v>23649.0</v>
      </c>
      <c r="R27" s="10" t="s">
        <v>214</v>
      </c>
      <c r="T27" s="10" t="s">
        <v>100</v>
      </c>
    </row>
    <row r="28">
      <c r="A28" s="9">
        <v>42318.71488425926</v>
      </c>
      <c r="B28" s="10">
        <v>84.0</v>
      </c>
      <c r="C28" s="10" t="s">
        <v>177</v>
      </c>
      <c r="D28" s="10" t="s">
        <v>208</v>
      </c>
      <c r="E28" s="10" t="s">
        <v>209</v>
      </c>
      <c r="F28" s="10">
        <v>9.0</v>
      </c>
      <c r="G28" s="10">
        <v>4.0</v>
      </c>
      <c r="H28" s="10" t="s">
        <v>215</v>
      </c>
      <c r="I28" s="10" t="s">
        <v>91</v>
      </c>
      <c r="J28" s="10" t="s">
        <v>39</v>
      </c>
      <c r="K28" s="10" t="s">
        <v>77</v>
      </c>
      <c r="L28" s="10">
        <v>1.0</v>
      </c>
      <c r="M28" s="10" t="s">
        <v>85</v>
      </c>
      <c r="N28" s="10" t="s">
        <v>216</v>
      </c>
      <c r="O28" s="10" t="s">
        <v>217</v>
      </c>
      <c r="P28" s="11" t="str">
        <f>IFERROR(__xludf.DUMMYFUNCTION("JOIN("" "",N28:O28)"),"RAMBAUD Gerbert")</f>
        <v>RAMBAUD Gerbert</v>
      </c>
      <c r="Q28" s="11">
        <v>23304.0</v>
      </c>
      <c r="R28" s="10" t="s">
        <v>218</v>
      </c>
      <c r="T28" s="10" t="s">
        <v>82</v>
      </c>
    </row>
    <row r="29">
      <c r="A29" s="9">
        <v>42318.71488425926</v>
      </c>
      <c r="B29" s="10">
        <v>84.0</v>
      </c>
      <c r="C29" s="10" t="s">
        <v>177</v>
      </c>
      <c r="D29" s="10" t="s">
        <v>183</v>
      </c>
      <c r="E29" s="10" t="s">
        <v>184</v>
      </c>
      <c r="F29" s="10">
        <v>10.0</v>
      </c>
      <c r="G29" s="10">
        <v>6.0</v>
      </c>
      <c r="H29" s="10" t="s">
        <v>219</v>
      </c>
      <c r="I29" s="10" t="s">
        <v>219</v>
      </c>
      <c r="J29" s="10" t="s">
        <v>15</v>
      </c>
      <c r="K29" s="10" t="s">
        <v>77</v>
      </c>
      <c r="L29" s="10">
        <v>1.0</v>
      </c>
      <c r="M29" s="10" t="s">
        <v>85</v>
      </c>
      <c r="N29" s="10" t="s">
        <v>220</v>
      </c>
      <c r="O29" s="10" t="s">
        <v>221</v>
      </c>
      <c r="P29" s="11" t="str">
        <f>IFERROR(__xludf.DUMMYFUNCTION("JOIN("" "",N29:O29)"),"QUEYRANNE Jean-Jack")</f>
        <v>QUEYRANNE Jean-Jack</v>
      </c>
      <c r="Q29" s="11">
        <v>16743.0</v>
      </c>
      <c r="R29" s="10" t="s">
        <v>222</v>
      </c>
      <c r="S29" s="10" t="s">
        <v>127</v>
      </c>
      <c r="T29" s="10" t="s">
        <v>100</v>
      </c>
    </row>
    <row r="30">
      <c r="A30" s="9">
        <v>42318.71488425926</v>
      </c>
      <c r="B30" s="10">
        <v>27.0</v>
      </c>
      <c r="C30" s="10" t="s">
        <v>223</v>
      </c>
      <c r="D30" s="10">
        <v>25.0</v>
      </c>
      <c r="E30" s="10" t="s">
        <v>224</v>
      </c>
      <c r="F30" s="10">
        <v>1.0</v>
      </c>
      <c r="G30" s="10">
        <v>6.0</v>
      </c>
      <c r="H30" s="10" t="s">
        <v>101</v>
      </c>
      <c r="I30" s="10" t="s">
        <v>225</v>
      </c>
      <c r="J30" s="10" t="s">
        <v>43</v>
      </c>
      <c r="K30" s="10" t="s">
        <v>77</v>
      </c>
      <c r="L30" s="10">
        <v>1.0</v>
      </c>
      <c r="M30" s="10" t="s">
        <v>78</v>
      </c>
      <c r="N30" s="10" t="s">
        <v>226</v>
      </c>
      <c r="O30" s="10" t="s">
        <v>227</v>
      </c>
      <c r="P30" s="11" t="str">
        <f>IFERROR(__xludf.DUMMYFUNCTION("JOIN("" "",N30:O30)"),"MONTEL Sophie")</f>
        <v>MONTEL Sophie</v>
      </c>
      <c r="Q30" s="11">
        <v>25529.0</v>
      </c>
      <c r="R30" s="10" t="s">
        <v>134</v>
      </c>
      <c r="S30" s="10" t="s">
        <v>106</v>
      </c>
      <c r="T30" s="10" t="s">
        <v>100</v>
      </c>
    </row>
    <row r="31">
      <c r="A31" s="9">
        <v>42318.71488425926</v>
      </c>
      <c r="B31" s="10">
        <v>27.0</v>
      </c>
      <c r="C31" s="10" t="s">
        <v>223</v>
      </c>
      <c r="D31" s="10">
        <v>58.0</v>
      </c>
      <c r="E31" s="10" t="s">
        <v>228</v>
      </c>
      <c r="F31" s="10">
        <v>2.0</v>
      </c>
      <c r="G31" s="10">
        <v>5.0</v>
      </c>
      <c r="H31" s="10" t="s">
        <v>107</v>
      </c>
      <c r="I31" s="10" t="s">
        <v>229</v>
      </c>
      <c r="J31" s="10" t="s">
        <v>25</v>
      </c>
      <c r="K31" s="10" t="s">
        <v>77</v>
      </c>
      <c r="L31" s="10">
        <v>1.0</v>
      </c>
      <c r="M31" s="10" t="s">
        <v>85</v>
      </c>
      <c r="N31" s="10" t="s">
        <v>230</v>
      </c>
      <c r="O31" s="10" t="s">
        <v>231</v>
      </c>
      <c r="P31" s="11" t="str">
        <f>IFERROR(__xludf.DUMMYFUNCTION("JOIN("" "",N31:O31)"),"GALLOIS Charles-Henri")</f>
        <v>GALLOIS Charles-Henri</v>
      </c>
      <c r="Q31" s="11">
        <v>32447.0</v>
      </c>
      <c r="R31" s="10" t="s">
        <v>134</v>
      </c>
      <c r="T31" s="10" t="s">
        <v>82</v>
      </c>
    </row>
    <row r="32">
      <c r="A32" s="9">
        <v>42318.71488425926</v>
      </c>
      <c r="B32" s="10">
        <v>27.0</v>
      </c>
      <c r="C32" s="10" t="s">
        <v>223</v>
      </c>
      <c r="D32" s="10">
        <v>21.0</v>
      </c>
      <c r="E32" s="10" t="s">
        <v>232</v>
      </c>
      <c r="F32" s="10">
        <v>3.0</v>
      </c>
      <c r="G32" s="10">
        <v>8.0</v>
      </c>
      <c r="H32" s="10" t="s">
        <v>233</v>
      </c>
      <c r="I32" s="10" t="s">
        <v>234</v>
      </c>
      <c r="J32" s="10" t="s">
        <v>37</v>
      </c>
      <c r="K32" s="10" t="s">
        <v>77</v>
      </c>
      <c r="L32" s="10">
        <v>1.0</v>
      </c>
      <c r="M32" s="10" t="s">
        <v>85</v>
      </c>
      <c r="N32" s="10" t="s">
        <v>235</v>
      </c>
      <c r="O32" s="10" t="s">
        <v>236</v>
      </c>
      <c r="P32" s="11" t="str">
        <f>IFERROR(__xludf.DUMMYFUNCTION("JOIN("" "",N32:O32)"),"SAUVADET François")</f>
        <v>SAUVADET François</v>
      </c>
      <c r="Q32" s="11">
        <v>19469.0</v>
      </c>
      <c r="R32" s="10" t="s">
        <v>126</v>
      </c>
      <c r="S32" s="10" t="s">
        <v>237</v>
      </c>
      <c r="T32" s="10" t="s">
        <v>82</v>
      </c>
    </row>
    <row r="33">
      <c r="A33" s="9">
        <v>42318.71488425926</v>
      </c>
      <c r="B33" s="10">
        <v>27.0</v>
      </c>
      <c r="C33" s="10" t="s">
        <v>223</v>
      </c>
      <c r="D33" s="10">
        <v>58.0</v>
      </c>
      <c r="E33" s="10" t="s">
        <v>228</v>
      </c>
      <c r="F33" s="10">
        <v>4.0</v>
      </c>
      <c r="G33" s="10">
        <v>11.0</v>
      </c>
      <c r="H33" s="10" t="s">
        <v>238</v>
      </c>
      <c r="I33" s="10" t="s">
        <v>239</v>
      </c>
      <c r="J33" s="10" t="s">
        <v>23</v>
      </c>
      <c r="K33" s="10" t="s">
        <v>77</v>
      </c>
      <c r="L33" s="10">
        <v>1.0</v>
      </c>
      <c r="M33" s="10" t="s">
        <v>85</v>
      </c>
      <c r="N33" s="10" t="s">
        <v>240</v>
      </c>
      <c r="O33" s="10" t="s">
        <v>116</v>
      </c>
      <c r="P33" s="11" t="str">
        <f>IFERROR(__xludf.DUMMYFUNCTION("JOIN("" "",N33:O33)"),"GONZALEZ Julien")</f>
        <v>GONZALEZ Julien</v>
      </c>
      <c r="Q33" s="11">
        <v>27753.0</v>
      </c>
      <c r="R33" s="10" t="s">
        <v>241</v>
      </c>
      <c r="T33" s="10" t="s">
        <v>82</v>
      </c>
    </row>
    <row r="34">
      <c r="A34" s="9">
        <v>42318.71488425926</v>
      </c>
      <c r="B34" s="10">
        <v>27.0</v>
      </c>
      <c r="C34" s="10" t="s">
        <v>223</v>
      </c>
      <c r="D34" s="10">
        <v>25.0</v>
      </c>
      <c r="E34" s="10" t="s">
        <v>224</v>
      </c>
      <c r="F34" s="10">
        <v>5.0</v>
      </c>
      <c r="G34" s="10">
        <v>9.0</v>
      </c>
      <c r="H34" s="10" t="s">
        <v>242</v>
      </c>
      <c r="I34" s="10" t="s">
        <v>243</v>
      </c>
      <c r="J34" s="10" t="s">
        <v>21</v>
      </c>
      <c r="K34" s="10" t="s">
        <v>77</v>
      </c>
      <c r="L34" s="10">
        <v>1.0</v>
      </c>
      <c r="M34" s="10" t="s">
        <v>78</v>
      </c>
      <c r="N34" s="10" t="s">
        <v>244</v>
      </c>
      <c r="O34" s="10" t="s">
        <v>196</v>
      </c>
      <c r="P34" s="11" t="str">
        <f>IFERROR(__xludf.DUMMYFUNCTION("JOIN("" "",N34:O34)"),"PRUDHOMME Cécile")</f>
        <v>PRUDHOMME Cécile</v>
      </c>
      <c r="Q34" s="11">
        <v>27804.0</v>
      </c>
      <c r="R34" s="10" t="s">
        <v>126</v>
      </c>
      <c r="T34" s="10" t="s">
        <v>82</v>
      </c>
    </row>
    <row r="35">
      <c r="A35" s="9">
        <v>42318.71488425926</v>
      </c>
      <c r="B35" s="10">
        <v>27.0</v>
      </c>
      <c r="C35" s="10" t="s">
        <v>223</v>
      </c>
      <c r="D35" s="10">
        <v>71.0</v>
      </c>
      <c r="E35" s="10" t="s">
        <v>245</v>
      </c>
      <c r="F35" s="10">
        <v>6.0</v>
      </c>
      <c r="G35" s="10">
        <v>7.0</v>
      </c>
      <c r="H35" s="10" t="s">
        <v>246</v>
      </c>
      <c r="I35" s="10" t="s">
        <v>247</v>
      </c>
      <c r="J35" s="10" t="s">
        <v>5</v>
      </c>
      <c r="K35" s="10" t="s">
        <v>77</v>
      </c>
      <c r="L35" s="10">
        <v>1.0</v>
      </c>
      <c r="M35" s="10" t="s">
        <v>78</v>
      </c>
      <c r="N35" s="10" t="s">
        <v>248</v>
      </c>
      <c r="O35" s="10" t="s">
        <v>249</v>
      </c>
      <c r="P35" s="11" t="str">
        <f>IFERROR(__xludf.DUMMYFUNCTION("JOIN("" "",N35:O35)"),"VERMOREL Nathalie")</f>
        <v>VERMOREL Nathalie</v>
      </c>
      <c r="Q35" s="11">
        <v>22088.0</v>
      </c>
      <c r="R35" s="10" t="s">
        <v>250</v>
      </c>
      <c r="T35" s="10" t="s">
        <v>100</v>
      </c>
    </row>
    <row r="36">
      <c r="A36" s="9">
        <v>42318.71488425926</v>
      </c>
      <c r="B36" s="10">
        <v>27.0</v>
      </c>
      <c r="C36" s="10" t="s">
        <v>223</v>
      </c>
      <c r="D36" s="10">
        <v>21.0</v>
      </c>
      <c r="E36" s="10" t="s">
        <v>232</v>
      </c>
      <c r="F36" s="10">
        <v>7.0</v>
      </c>
      <c r="G36" s="10">
        <v>4.0</v>
      </c>
      <c r="H36" s="10" t="s">
        <v>113</v>
      </c>
      <c r="I36" s="10" t="s">
        <v>174</v>
      </c>
      <c r="J36" s="10" t="s">
        <v>3</v>
      </c>
      <c r="K36" s="10" t="s">
        <v>77</v>
      </c>
      <c r="L36" s="10">
        <v>2.0</v>
      </c>
      <c r="M36" s="10" t="s">
        <v>78</v>
      </c>
      <c r="N36" s="10" t="s">
        <v>251</v>
      </c>
      <c r="O36" s="10" t="s">
        <v>252</v>
      </c>
      <c r="P36" s="11" t="str">
        <f>IFERROR(__xludf.DUMMYFUNCTION("JOIN("" "",N36:O36)"),"ROCHER Claire")</f>
        <v>ROCHER Claire</v>
      </c>
      <c r="Q36" s="11">
        <v>28760.0</v>
      </c>
      <c r="R36" s="10" t="s">
        <v>253</v>
      </c>
      <c r="T36" s="10" t="s">
        <v>82</v>
      </c>
    </row>
    <row r="37">
      <c r="A37" s="9">
        <v>42318.71488425926</v>
      </c>
      <c r="B37" s="10">
        <v>27.0</v>
      </c>
      <c r="C37" s="10" t="s">
        <v>223</v>
      </c>
      <c r="D37" s="10">
        <v>71.0</v>
      </c>
      <c r="E37" s="10" t="s">
        <v>245</v>
      </c>
      <c r="F37" s="10">
        <v>8.0</v>
      </c>
      <c r="G37" s="10">
        <v>3.0</v>
      </c>
      <c r="H37" s="10" t="s">
        <v>90</v>
      </c>
      <c r="I37" s="10" t="s">
        <v>91</v>
      </c>
      <c r="J37" s="10" t="s">
        <v>39</v>
      </c>
      <c r="K37" s="10" t="s">
        <v>77</v>
      </c>
      <c r="L37" s="10">
        <v>1.0</v>
      </c>
      <c r="M37" s="10" t="s">
        <v>85</v>
      </c>
      <c r="N37" s="10" t="s">
        <v>254</v>
      </c>
      <c r="O37" s="10" t="s">
        <v>255</v>
      </c>
      <c r="P37" s="11" t="str">
        <f>IFERROR(__xludf.DUMMYFUNCTION("JOIN("" "",N37:O37)"),"THIÉBAUT Maxime")</f>
        <v>THIÉBAUT Maxime</v>
      </c>
      <c r="Q37" s="11">
        <v>33250.0</v>
      </c>
      <c r="R37" s="10" t="s">
        <v>256</v>
      </c>
      <c r="T37" s="10" t="s">
        <v>82</v>
      </c>
    </row>
    <row r="38">
      <c r="A38" s="9">
        <v>42318.71488425926</v>
      </c>
      <c r="B38" s="10">
        <v>27.0</v>
      </c>
      <c r="C38" s="10" t="s">
        <v>223</v>
      </c>
      <c r="D38" s="10">
        <v>90.0</v>
      </c>
      <c r="E38" s="10" t="s">
        <v>257</v>
      </c>
      <c r="F38" s="10">
        <v>9.0</v>
      </c>
      <c r="G38" s="10">
        <v>10.0</v>
      </c>
      <c r="H38" s="10" t="s">
        <v>258</v>
      </c>
      <c r="I38" s="10" t="s">
        <v>259</v>
      </c>
      <c r="J38" s="10" t="s">
        <v>31</v>
      </c>
      <c r="K38" s="10" t="s">
        <v>77</v>
      </c>
      <c r="L38" s="10">
        <v>1.0</v>
      </c>
      <c r="M38" s="10" t="s">
        <v>85</v>
      </c>
      <c r="N38" s="10" t="s">
        <v>260</v>
      </c>
      <c r="O38" s="10" t="s">
        <v>191</v>
      </c>
      <c r="P38" s="11" t="str">
        <f>IFERROR(__xludf.DUMMYFUNCTION("JOIN("" "",N38:O38)"),"GRUDLER Christophe")</f>
        <v>GRUDLER Christophe</v>
      </c>
      <c r="Q38" s="11">
        <v>23841.0</v>
      </c>
      <c r="R38" s="10" t="s">
        <v>81</v>
      </c>
      <c r="T38" s="10" t="s">
        <v>82</v>
      </c>
    </row>
    <row r="39">
      <c r="A39" s="9">
        <v>42318.71488425926</v>
      </c>
      <c r="B39" s="10">
        <v>27.0</v>
      </c>
      <c r="C39" s="10" t="s">
        <v>223</v>
      </c>
      <c r="D39" s="10">
        <v>25.0</v>
      </c>
      <c r="E39" s="10" t="s">
        <v>224</v>
      </c>
      <c r="F39" s="10">
        <v>10.0</v>
      </c>
      <c r="G39" s="10">
        <v>2.0</v>
      </c>
      <c r="H39" s="10" t="s">
        <v>261</v>
      </c>
      <c r="I39" s="10" t="s">
        <v>262</v>
      </c>
      <c r="J39" s="10" t="s">
        <v>15</v>
      </c>
      <c r="K39" s="10" t="s">
        <v>77</v>
      </c>
      <c r="L39" s="10">
        <v>1.0</v>
      </c>
      <c r="M39" s="10" t="s">
        <v>78</v>
      </c>
      <c r="N39" s="10" t="s">
        <v>263</v>
      </c>
      <c r="O39" s="10" t="s">
        <v>264</v>
      </c>
      <c r="P39" s="11" t="str">
        <f>IFERROR(__xludf.DUMMYFUNCTION("JOIN("" "",N39:O39)"),"DUFAY Marie-Guite")</f>
        <v>DUFAY Marie-Guite</v>
      </c>
      <c r="Q39" s="11">
        <v>18039.0</v>
      </c>
      <c r="R39" s="10" t="s">
        <v>98</v>
      </c>
      <c r="S39" s="10" t="s">
        <v>127</v>
      </c>
      <c r="T39" s="10" t="s">
        <v>100</v>
      </c>
    </row>
    <row r="40">
      <c r="A40" s="9">
        <v>42318.714895833335</v>
      </c>
      <c r="B40" s="10">
        <v>53.0</v>
      </c>
      <c r="C40" s="10" t="s">
        <v>265</v>
      </c>
      <c r="D40" s="10">
        <v>35.0</v>
      </c>
      <c r="E40" s="10" t="s">
        <v>266</v>
      </c>
      <c r="F40" s="10">
        <v>1.0</v>
      </c>
      <c r="G40" s="10">
        <v>8.0</v>
      </c>
      <c r="H40" s="10" t="s">
        <v>267</v>
      </c>
      <c r="I40" s="10" t="s">
        <v>268</v>
      </c>
      <c r="J40" s="10" t="s">
        <v>3</v>
      </c>
      <c r="K40" s="10" t="s">
        <v>77</v>
      </c>
      <c r="L40" s="10">
        <v>2.0</v>
      </c>
      <c r="M40" s="10" t="s">
        <v>85</v>
      </c>
      <c r="N40" s="10" t="s">
        <v>269</v>
      </c>
      <c r="O40" s="10" t="s">
        <v>270</v>
      </c>
      <c r="P40" s="11" t="str">
        <f>IFERROR(__xludf.DUMMYFUNCTION("JOIN("" "",N40:O40)"),"ROBLIN Gael")</f>
        <v>ROBLIN Gael</v>
      </c>
      <c r="Q40" s="11">
        <v>26660.0</v>
      </c>
      <c r="R40" s="10" t="s">
        <v>158</v>
      </c>
      <c r="T40" s="10" t="s">
        <v>82</v>
      </c>
    </row>
    <row r="41">
      <c r="A41" s="9">
        <v>42318.714895833335</v>
      </c>
      <c r="B41" s="10">
        <v>53.0</v>
      </c>
      <c r="C41" s="10" t="s">
        <v>265</v>
      </c>
      <c r="D41" s="10">
        <v>56.0</v>
      </c>
      <c r="E41" s="10" t="s">
        <v>271</v>
      </c>
      <c r="F41" s="10">
        <v>2.0</v>
      </c>
      <c r="G41" s="10">
        <v>6.0</v>
      </c>
      <c r="H41" s="10" t="s">
        <v>272</v>
      </c>
      <c r="I41" s="10" t="s">
        <v>273</v>
      </c>
      <c r="J41" s="10" t="s">
        <v>15</v>
      </c>
      <c r="K41" s="10" t="s">
        <v>77</v>
      </c>
      <c r="L41" s="10">
        <v>1.0</v>
      </c>
      <c r="M41" s="10" t="s">
        <v>85</v>
      </c>
      <c r="N41" s="10" t="s">
        <v>274</v>
      </c>
      <c r="O41" s="10" t="s">
        <v>275</v>
      </c>
      <c r="P41" s="11" t="str">
        <f>IFERROR(__xludf.DUMMYFUNCTION("JOIN("" "",N41:O41)"),"LE DRIAN Jean-Yves")</f>
        <v>LE DRIAN Jean-Yves</v>
      </c>
      <c r="Q41" s="11">
        <v>17348.0</v>
      </c>
      <c r="R41" s="10" t="s">
        <v>222</v>
      </c>
      <c r="S41" s="10" t="s">
        <v>276</v>
      </c>
      <c r="T41" s="10" t="s">
        <v>100</v>
      </c>
    </row>
    <row r="42">
      <c r="A42" s="9">
        <v>42318.714895833335</v>
      </c>
      <c r="B42" s="10">
        <v>53.0</v>
      </c>
      <c r="C42" s="10" t="s">
        <v>265</v>
      </c>
      <c r="D42" s="10">
        <v>56.0</v>
      </c>
      <c r="E42" s="10" t="s">
        <v>271</v>
      </c>
      <c r="F42" s="10">
        <v>3.0</v>
      </c>
      <c r="G42" s="10">
        <v>10.0</v>
      </c>
      <c r="H42" s="10" t="s">
        <v>277</v>
      </c>
      <c r="I42" s="10" t="s">
        <v>278</v>
      </c>
      <c r="J42" s="10" t="s">
        <v>28</v>
      </c>
      <c r="K42" s="10" t="s">
        <v>77</v>
      </c>
      <c r="L42" s="10">
        <v>1.0</v>
      </c>
      <c r="M42" s="10" t="s">
        <v>85</v>
      </c>
      <c r="N42" s="10" t="s">
        <v>279</v>
      </c>
      <c r="O42" s="10" t="s">
        <v>280</v>
      </c>
      <c r="P42" s="11" t="str">
        <f>IFERROR(__xludf.DUMMYFUNCTION("JOIN("" "",N42:O42)"),"DELÉON Bertrand")</f>
        <v>DELÉON Bertrand</v>
      </c>
      <c r="Q42" s="11">
        <v>27110.0</v>
      </c>
      <c r="R42" s="10" t="s">
        <v>281</v>
      </c>
      <c r="T42" s="10" t="s">
        <v>82</v>
      </c>
    </row>
    <row r="43">
      <c r="A43" s="9">
        <v>42318.714895833335</v>
      </c>
      <c r="B43" s="10">
        <v>53.0</v>
      </c>
      <c r="C43" s="10" t="s">
        <v>265</v>
      </c>
      <c r="D43" s="10">
        <v>29.0</v>
      </c>
      <c r="E43" s="10" t="s">
        <v>282</v>
      </c>
      <c r="F43" s="10">
        <v>4.0</v>
      </c>
      <c r="G43" s="10">
        <v>7.0</v>
      </c>
      <c r="H43" s="10" t="s">
        <v>283</v>
      </c>
      <c r="I43" s="10" t="s">
        <v>283</v>
      </c>
      <c r="J43" s="10" t="s">
        <v>28</v>
      </c>
      <c r="K43" s="10" t="s">
        <v>77</v>
      </c>
      <c r="L43" s="10">
        <v>1.0</v>
      </c>
      <c r="M43" s="10" t="s">
        <v>85</v>
      </c>
      <c r="N43" s="10" t="s">
        <v>284</v>
      </c>
      <c r="O43" s="10" t="s">
        <v>285</v>
      </c>
      <c r="P43" s="11" t="str">
        <f>IFERROR(__xludf.DUMMYFUNCTION("JOIN("" "",N43:O43)"),"TROADEC Christian")</f>
        <v>TROADEC Christian</v>
      </c>
      <c r="Q43" s="11">
        <v>24190.0</v>
      </c>
      <c r="R43" s="10" t="s">
        <v>81</v>
      </c>
      <c r="T43" s="10" t="s">
        <v>82</v>
      </c>
    </row>
    <row r="44">
      <c r="A44" s="9">
        <v>42318.714895833335</v>
      </c>
      <c r="B44" s="10">
        <v>53.0</v>
      </c>
      <c r="C44" s="10" t="s">
        <v>265</v>
      </c>
      <c r="D44" s="10">
        <v>56.0</v>
      </c>
      <c r="E44" s="10" t="s">
        <v>271</v>
      </c>
      <c r="F44" s="10">
        <v>5.0</v>
      </c>
      <c r="G44" s="10">
        <v>3.0</v>
      </c>
      <c r="H44" s="10" t="s">
        <v>150</v>
      </c>
      <c r="I44" s="10" t="s">
        <v>286</v>
      </c>
      <c r="J44" s="10" t="s">
        <v>25</v>
      </c>
      <c r="K44" s="10" t="s">
        <v>77</v>
      </c>
      <c r="L44" s="10">
        <v>1.0</v>
      </c>
      <c r="M44" s="10" t="s">
        <v>85</v>
      </c>
      <c r="N44" s="10" t="s">
        <v>287</v>
      </c>
      <c r="O44" s="10" t="s">
        <v>288</v>
      </c>
      <c r="P44" s="11" t="str">
        <f>IFERROR(__xludf.DUMMYFUNCTION("JOIN("" "",N44:O44)"),"GOURVENEC Jean-François")</f>
        <v>GOURVENEC Jean-François</v>
      </c>
      <c r="Q44" s="11">
        <v>28044.0</v>
      </c>
      <c r="R44" s="10" t="s">
        <v>134</v>
      </c>
      <c r="T44" s="10" t="s">
        <v>82</v>
      </c>
    </row>
    <row r="45">
      <c r="A45" s="9">
        <v>42318.714895833335</v>
      </c>
      <c r="B45" s="10">
        <v>53.0</v>
      </c>
      <c r="C45" s="10" t="s">
        <v>265</v>
      </c>
      <c r="D45" s="10">
        <v>35.0</v>
      </c>
      <c r="E45" s="10" t="s">
        <v>266</v>
      </c>
      <c r="F45" s="10">
        <v>6.0</v>
      </c>
      <c r="G45" s="10">
        <v>12.0</v>
      </c>
      <c r="H45" s="10" t="s">
        <v>90</v>
      </c>
      <c r="I45" s="10" t="s">
        <v>289</v>
      </c>
      <c r="J45" s="10" t="s">
        <v>39</v>
      </c>
      <c r="K45" s="10" t="s">
        <v>77</v>
      </c>
      <c r="L45" s="10">
        <v>1.0</v>
      </c>
      <c r="M45" s="10" t="s">
        <v>85</v>
      </c>
      <c r="N45" s="10" t="s">
        <v>290</v>
      </c>
      <c r="O45" s="10" t="s">
        <v>291</v>
      </c>
      <c r="P45" s="11" t="str">
        <f>IFERROR(__xludf.DUMMYFUNCTION("JOIN("" "",N45:O45)"),"FOUCHER Jean-Jacques")</f>
        <v>FOUCHER Jean-Jacques</v>
      </c>
      <c r="Q45" s="11">
        <v>22777.0</v>
      </c>
      <c r="R45" s="10" t="s">
        <v>81</v>
      </c>
      <c r="T45" s="10" t="s">
        <v>82</v>
      </c>
    </row>
    <row r="46">
      <c r="A46" s="9">
        <v>42318.714895833335</v>
      </c>
      <c r="B46" s="10">
        <v>53.0</v>
      </c>
      <c r="C46" s="10" t="s">
        <v>265</v>
      </c>
      <c r="D46" s="10">
        <v>35.0</v>
      </c>
      <c r="E46" s="10" t="s">
        <v>266</v>
      </c>
      <c r="F46" s="10">
        <v>7.0</v>
      </c>
      <c r="G46" s="10">
        <v>2.0</v>
      </c>
      <c r="H46" s="10" t="s">
        <v>101</v>
      </c>
      <c r="I46" s="10" t="s">
        <v>102</v>
      </c>
      <c r="J46" s="10" t="s">
        <v>43</v>
      </c>
      <c r="K46" s="10" t="s">
        <v>77</v>
      </c>
      <c r="L46" s="10">
        <v>1.0</v>
      </c>
      <c r="M46" s="10" t="s">
        <v>85</v>
      </c>
      <c r="N46" s="10" t="s">
        <v>292</v>
      </c>
      <c r="O46" s="10" t="s">
        <v>293</v>
      </c>
      <c r="P46" s="11" t="str">
        <f>IFERROR(__xludf.DUMMYFUNCTION("JOIN("" "",N46:O46)"),"PENNELLE Gilles")</f>
        <v>PENNELLE Gilles</v>
      </c>
      <c r="Q46" s="11">
        <v>22847.0</v>
      </c>
      <c r="R46" s="10" t="s">
        <v>126</v>
      </c>
      <c r="T46" s="10" t="s">
        <v>82</v>
      </c>
    </row>
    <row r="47">
      <c r="A47" s="9">
        <v>42318.714895833335</v>
      </c>
      <c r="B47" s="10">
        <v>53.0</v>
      </c>
      <c r="C47" s="10" t="s">
        <v>265</v>
      </c>
      <c r="D47" s="10">
        <v>22.0</v>
      </c>
      <c r="E47" s="10" t="s">
        <v>294</v>
      </c>
      <c r="F47" s="10">
        <v>8.0</v>
      </c>
      <c r="G47" s="10">
        <v>4.0</v>
      </c>
      <c r="H47" s="10" t="s">
        <v>295</v>
      </c>
      <c r="I47" s="10" t="s">
        <v>296</v>
      </c>
      <c r="J47" s="10" t="s">
        <v>37</v>
      </c>
      <c r="K47" s="10" t="s">
        <v>77</v>
      </c>
      <c r="L47" s="10">
        <v>1.0</v>
      </c>
      <c r="M47" s="10" t="s">
        <v>85</v>
      </c>
      <c r="N47" s="10" t="s">
        <v>297</v>
      </c>
      <c r="O47" s="10" t="s">
        <v>298</v>
      </c>
      <c r="P47" s="11" t="str">
        <f>IFERROR(__xludf.DUMMYFUNCTION("JOIN("" "",N47:O47)"),"LE FUR Marc")</f>
        <v>LE FUR Marc</v>
      </c>
      <c r="Q47" s="11">
        <v>20787.0</v>
      </c>
      <c r="R47" s="10" t="s">
        <v>126</v>
      </c>
      <c r="S47" s="10" t="s">
        <v>207</v>
      </c>
      <c r="T47" s="10" t="s">
        <v>82</v>
      </c>
    </row>
    <row r="48">
      <c r="A48" s="9">
        <v>42318.714895833335</v>
      </c>
      <c r="B48" s="10">
        <v>53.0</v>
      </c>
      <c r="C48" s="10" t="s">
        <v>265</v>
      </c>
      <c r="D48" s="10">
        <v>22.0</v>
      </c>
      <c r="E48" s="10" t="s">
        <v>294</v>
      </c>
      <c r="F48" s="10">
        <v>9.0</v>
      </c>
      <c r="G48" s="10">
        <v>9.0</v>
      </c>
      <c r="H48" s="10" t="s">
        <v>299</v>
      </c>
      <c r="I48" s="10" t="s">
        <v>300</v>
      </c>
      <c r="J48" s="10" t="s">
        <v>21</v>
      </c>
      <c r="K48" s="10" t="s">
        <v>77</v>
      </c>
      <c r="L48" s="10">
        <v>1.0</v>
      </c>
      <c r="M48" s="10" t="s">
        <v>85</v>
      </c>
      <c r="N48" s="10" t="s">
        <v>301</v>
      </c>
      <c r="O48" s="10" t="s">
        <v>302</v>
      </c>
      <c r="P48" s="11" t="str">
        <f>IFERROR(__xludf.DUMMYFUNCTION("JOIN("" "",N48:O48)"),"LOUAIL René")</f>
        <v>LOUAIL René</v>
      </c>
      <c r="Q48" s="11">
        <v>19160.0</v>
      </c>
      <c r="R48" s="10" t="s">
        <v>303</v>
      </c>
      <c r="T48" s="10" t="s">
        <v>100</v>
      </c>
    </row>
    <row r="49">
      <c r="A49" s="9">
        <v>42318.714895833335</v>
      </c>
      <c r="B49" s="10">
        <v>53.0</v>
      </c>
      <c r="C49" s="10" t="s">
        <v>265</v>
      </c>
      <c r="D49" s="10">
        <v>22.0</v>
      </c>
      <c r="E49" s="10" t="s">
        <v>294</v>
      </c>
      <c r="F49" s="10">
        <v>10.0</v>
      </c>
      <c r="G49" s="10">
        <v>11.0</v>
      </c>
      <c r="H49" s="10" t="s">
        <v>304</v>
      </c>
      <c r="I49" s="10" t="s">
        <v>305</v>
      </c>
      <c r="J49" s="10" t="s">
        <v>5</v>
      </c>
      <c r="K49" s="10" t="s">
        <v>77</v>
      </c>
      <c r="L49" s="10">
        <v>1.0</v>
      </c>
      <c r="M49" s="10" t="s">
        <v>85</v>
      </c>
      <c r="N49" s="10" t="s">
        <v>306</v>
      </c>
      <c r="O49" s="10" t="s">
        <v>307</v>
      </c>
      <c r="P49" s="11" t="str">
        <f>IFERROR(__xludf.DUMMYFUNCTION("JOIN("" "",N49:O49)"),"COMPAIN Xavier")</f>
        <v>COMPAIN Xavier</v>
      </c>
      <c r="Q49" s="11">
        <v>24251.0</v>
      </c>
      <c r="R49" s="10" t="s">
        <v>308</v>
      </c>
      <c r="T49" s="10" t="s">
        <v>82</v>
      </c>
    </row>
    <row r="50">
      <c r="A50" s="9">
        <v>42318.714895833335</v>
      </c>
      <c r="B50" s="10">
        <v>53.0</v>
      </c>
      <c r="C50" s="10" t="s">
        <v>265</v>
      </c>
      <c r="D50" s="10">
        <v>35.0</v>
      </c>
      <c r="E50" s="10" t="s">
        <v>266</v>
      </c>
      <c r="F50" s="10">
        <v>11.0</v>
      </c>
      <c r="G50" s="10">
        <v>5.0</v>
      </c>
      <c r="H50" s="10" t="s">
        <v>113</v>
      </c>
      <c r="I50" s="10" t="s">
        <v>174</v>
      </c>
      <c r="J50" s="10" t="s">
        <v>3</v>
      </c>
      <c r="K50" s="10" t="s">
        <v>77</v>
      </c>
      <c r="L50" s="10">
        <v>1.0</v>
      </c>
      <c r="M50" s="10" t="s">
        <v>78</v>
      </c>
      <c r="N50" s="10" t="s">
        <v>309</v>
      </c>
      <c r="O50" s="10" t="s">
        <v>310</v>
      </c>
      <c r="P50" s="11" t="str">
        <f>IFERROR(__xludf.DUMMYFUNCTION("JOIN("" "",N50:O50)"),"HAMON Valérie")</f>
        <v>HAMON Valérie</v>
      </c>
      <c r="Q50" s="11">
        <v>26330.0</v>
      </c>
      <c r="R50" s="10" t="s">
        <v>311</v>
      </c>
      <c r="T50" s="10" t="s">
        <v>82</v>
      </c>
    </row>
    <row r="51">
      <c r="A51" s="9">
        <v>42318.714895833335</v>
      </c>
      <c r="B51" s="10">
        <v>24.0</v>
      </c>
      <c r="C51" s="10" t="s">
        <v>312</v>
      </c>
      <c r="D51" s="10">
        <v>28.0</v>
      </c>
      <c r="E51" s="10" t="s">
        <v>313</v>
      </c>
      <c r="F51" s="10">
        <v>1.0</v>
      </c>
      <c r="G51" s="10">
        <v>4.0</v>
      </c>
      <c r="H51" s="10" t="s">
        <v>165</v>
      </c>
      <c r="I51" s="10" t="s">
        <v>314</v>
      </c>
      <c r="J51" s="10" t="s">
        <v>43</v>
      </c>
      <c r="K51" s="10" t="s">
        <v>77</v>
      </c>
      <c r="L51" s="10">
        <v>1.0</v>
      </c>
      <c r="M51" s="10" t="s">
        <v>85</v>
      </c>
      <c r="N51" s="10" t="s">
        <v>315</v>
      </c>
      <c r="O51" s="10" t="s">
        <v>125</v>
      </c>
      <c r="P51" s="11" t="str">
        <f>IFERROR(__xludf.DUMMYFUNCTION("JOIN("" "",N51:O51)"),"LOISEAU Philippe")</f>
        <v>LOISEAU Philippe</v>
      </c>
      <c r="Q51" s="11">
        <v>21148.0</v>
      </c>
      <c r="R51" s="10" t="s">
        <v>308</v>
      </c>
      <c r="S51" s="10" t="s">
        <v>106</v>
      </c>
      <c r="T51" s="10" t="s">
        <v>82</v>
      </c>
    </row>
    <row r="52">
      <c r="A52" s="9">
        <v>42318.714895833335</v>
      </c>
      <c r="B52" s="10">
        <v>24.0</v>
      </c>
      <c r="C52" s="10" t="s">
        <v>312</v>
      </c>
      <c r="D52" s="10">
        <v>28.0</v>
      </c>
      <c r="E52" s="10" t="s">
        <v>313</v>
      </c>
      <c r="F52" s="10">
        <v>2.0</v>
      </c>
      <c r="G52" s="10">
        <v>2.0</v>
      </c>
      <c r="H52" s="10" t="s">
        <v>150</v>
      </c>
      <c r="I52" s="10" t="s">
        <v>180</v>
      </c>
      <c r="J52" s="10" t="s">
        <v>25</v>
      </c>
      <c r="K52" s="10" t="s">
        <v>77</v>
      </c>
      <c r="L52" s="10">
        <v>3.0</v>
      </c>
      <c r="M52" s="10" t="s">
        <v>85</v>
      </c>
      <c r="N52" s="10" t="s">
        <v>316</v>
      </c>
      <c r="O52" s="10" t="s">
        <v>317</v>
      </c>
      <c r="P52" s="11" t="str">
        <f>IFERROR(__xludf.DUMMYFUNCTION("JOIN("" "",N52:O52)"),"FOUQUIAU Thierry")</f>
        <v>FOUQUIAU Thierry</v>
      </c>
      <c r="Q52" s="11">
        <v>24418.0</v>
      </c>
      <c r="R52" s="10" t="s">
        <v>308</v>
      </c>
      <c r="T52" s="10" t="s">
        <v>82</v>
      </c>
    </row>
    <row r="53">
      <c r="A53" s="9">
        <v>42318.714895833335</v>
      </c>
      <c r="B53" s="10">
        <v>24.0</v>
      </c>
      <c r="C53" s="10" t="s">
        <v>312</v>
      </c>
      <c r="D53" s="10">
        <v>45.0</v>
      </c>
      <c r="E53" s="10" t="s">
        <v>318</v>
      </c>
      <c r="F53" s="10">
        <v>3.0</v>
      </c>
      <c r="G53" s="10">
        <v>5.0</v>
      </c>
      <c r="H53" s="10" t="s">
        <v>113</v>
      </c>
      <c r="I53" s="10" t="s">
        <v>319</v>
      </c>
      <c r="J53" s="10" t="s">
        <v>3</v>
      </c>
      <c r="K53" s="10" t="s">
        <v>77</v>
      </c>
      <c r="L53" s="10">
        <v>2.0</v>
      </c>
      <c r="M53" s="10" t="s">
        <v>78</v>
      </c>
      <c r="N53" s="10" t="s">
        <v>320</v>
      </c>
      <c r="O53" s="10" t="s">
        <v>321</v>
      </c>
      <c r="P53" s="11" t="str">
        <f>IFERROR(__xludf.DUMMYFUNCTION("JOIN("" "",N53:O53)"),"MEGDOUD Farida")</f>
        <v>MEGDOUD Farida</v>
      </c>
      <c r="Q53" s="11">
        <v>22642.0</v>
      </c>
      <c r="R53" s="10" t="s">
        <v>164</v>
      </c>
      <c r="T53" s="10" t="s">
        <v>82</v>
      </c>
    </row>
    <row r="54">
      <c r="A54" s="9">
        <v>42318.714895833335</v>
      </c>
      <c r="B54" s="10">
        <v>24.0</v>
      </c>
      <c r="C54" s="10" t="s">
        <v>312</v>
      </c>
      <c r="D54" s="10">
        <v>18.0</v>
      </c>
      <c r="E54" s="10" t="s">
        <v>322</v>
      </c>
      <c r="F54" s="10">
        <v>4.0</v>
      </c>
      <c r="G54" s="10">
        <v>6.0</v>
      </c>
      <c r="H54" s="10" t="s">
        <v>90</v>
      </c>
      <c r="I54" s="10" t="s">
        <v>91</v>
      </c>
      <c r="J54" s="10" t="s">
        <v>39</v>
      </c>
      <c r="K54" s="10" t="s">
        <v>77</v>
      </c>
      <c r="L54" s="10">
        <v>1.0</v>
      </c>
      <c r="M54" s="10" t="s">
        <v>78</v>
      </c>
      <c r="N54" s="10" t="s">
        <v>323</v>
      </c>
      <c r="O54" s="10" t="s">
        <v>324</v>
      </c>
      <c r="P54" s="11" t="str">
        <f>IFERROR(__xludf.DUMMYFUNCTION("JOIN("" "",N54:O54)"),"PENLOUP Alix")</f>
        <v>PENLOUP Alix</v>
      </c>
      <c r="Q54" s="11">
        <v>31250.0</v>
      </c>
      <c r="R54" s="10" t="s">
        <v>122</v>
      </c>
      <c r="T54" s="10" t="s">
        <v>82</v>
      </c>
    </row>
    <row r="55">
      <c r="A55" s="9">
        <v>42318.714895833335</v>
      </c>
      <c r="B55" s="10">
        <v>24.0</v>
      </c>
      <c r="C55" s="10" t="s">
        <v>312</v>
      </c>
      <c r="D55" s="10">
        <v>28.0</v>
      </c>
      <c r="E55" s="10" t="s">
        <v>313</v>
      </c>
      <c r="F55" s="10">
        <v>5.0</v>
      </c>
      <c r="G55" s="10">
        <v>7.0</v>
      </c>
      <c r="H55" s="10" t="s">
        <v>325</v>
      </c>
      <c r="I55" s="10" t="s">
        <v>326</v>
      </c>
      <c r="J55" s="10" t="s">
        <v>37</v>
      </c>
      <c r="K55" s="10" t="s">
        <v>77</v>
      </c>
      <c r="L55" s="10">
        <v>1.0</v>
      </c>
      <c r="M55" s="10" t="s">
        <v>85</v>
      </c>
      <c r="N55" s="10" t="s">
        <v>327</v>
      </c>
      <c r="O55" s="10" t="s">
        <v>125</v>
      </c>
      <c r="P55" s="11" t="str">
        <f>IFERROR(__xludf.DUMMYFUNCTION("JOIN("" "",N55:O55)"),"VIGIER Philippe")</f>
        <v>VIGIER Philippe</v>
      </c>
      <c r="Q55" s="11">
        <v>21219.0</v>
      </c>
      <c r="R55" s="10" t="s">
        <v>328</v>
      </c>
      <c r="S55" s="10" t="s">
        <v>207</v>
      </c>
      <c r="T55" s="10" t="s">
        <v>82</v>
      </c>
    </row>
    <row r="56">
      <c r="A56" s="9">
        <v>42318.714895833335</v>
      </c>
      <c r="B56" s="10">
        <v>24.0</v>
      </c>
      <c r="C56" s="10" t="s">
        <v>312</v>
      </c>
      <c r="D56" s="10">
        <v>41.0</v>
      </c>
      <c r="E56" s="10" t="s">
        <v>329</v>
      </c>
      <c r="F56" s="10">
        <v>6.0</v>
      </c>
      <c r="G56" s="10">
        <v>8.0</v>
      </c>
      <c r="H56" s="10" t="s">
        <v>330</v>
      </c>
      <c r="I56" s="10" t="s">
        <v>331</v>
      </c>
      <c r="J56" s="10" t="s">
        <v>21</v>
      </c>
      <c r="K56" s="10" t="s">
        <v>77</v>
      </c>
      <c r="L56" s="10">
        <v>1.0</v>
      </c>
      <c r="M56" s="10" t="s">
        <v>85</v>
      </c>
      <c r="N56" s="10" t="s">
        <v>332</v>
      </c>
      <c r="O56" s="10" t="s">
        <v>333</v>
      </c>
      <c r="P56" s="11" t="str">
        <f>IFERROR(__xludf.DUMMYFUNCTION("JOIN("" "",N56:O56)"),"FOURNIER Charles")</f>
        <v>FOURNIER Charles</v>
      </c>
      <c r="Q56" s="11">
        <v>24907.0</v>
      </c>
      <c r="R56" s="10" t="s">
        <v>139</v>
      </c>
      <c r="T56" s="10" t="s">
        <v>100</v>
      </c>
    </row>
    <row r="57">
      <c r="A57" s="9">
        <v>42318.714895833335</v>
      </c>
      <c r="B57" s="10">
        <v>24.0</v>
      </c>
      <c r="C57" s="10" t="s">
        <v>312</v>
      </c>
      <c r="D57" s="10">
        <v>45.0</v>
      </c>
      <c r="E57" s="10" t="s">
        <v>318</v>
      </c>
      <c r="F57" s="10">
        <v>7.0</v>
      </c>
      <c r="G57" s="10">
        <v>9.0</v>
      </c>
      <c r="H57" s="10" t="s">
        <v>334</v>
      </c>
      <c r="I57" s="10" t="s">
        <v>335</v>
      </c>
      <c r="J57" s="10" t="s">
        <v>15</v>
      </c>
      <c r="K57" s="10" t="s">
        <v>77</v>
      </c>
      <c r="L57" s="10">
        <v>1.0</v>
      </c>
      <c r="M57" s="10" t="s">
        <v>85</v>
      </c>
      <c r="N57" s="10" t="s">
        <v>336</v>
      </c>
      <c r="O57" s="10" t="s">
        <v>236</v>
      </c>
      <c r="P57" s="11" t="str">
        <f>IFERROR(__xludf.DUMMYFUNCTION("JOIN("" "",N57:O57)"),"BONNEAU François")</f>
        <v>BONNEAU François</v>
      </c>
      <c r="Q57" s="11">
        <v>19644.0</v>
      </c>
      <c r="R57" s="10" t="s">
        <v>222</v>
      </c>
      <c r="S57" s="10" t="s">
        <v>127</v>
      </c>
      <c r="T57" s="10" t="s">
        <v>100</v>
      </c>
    </row>
    <row r="58">
      <c r="A58" s="9">
        <v>42318.714895833335</v>
      </c>
      <c r="B58" s="10">
        <v>24.0</v>
      </c>
      <c r="C58" s="10" t="s">
        <v>312</v>
      </c>
      <c r="D58" s="10">
        <v>18.0</v>
      </c>
      <c r="E58" s="10" t="s">
        <v>322</v>
      </c>
      <c r="F58" s="10">
        <v>8.0</v>
      </c>
      <c r="G58" s="10">
        <v>3.0</v>
      </c>
      <c r="H58" s="10" t="s">
        <v>337</v>
      </c>
      <c r="I58" s="10" t="s">
        <v>338</v>
      </c>
      <c r="J58" s="10" t="s">
        <v>9</v>
      </c>
      <c r="K58" s="10" t="s">
        <v>77</v>
      </c>
      <c r="L58" s="10">
        <v>11.0</v>
      </c>
      <c r="M58" s="10" t="s">
        <v>85</v>
      </c>
      <c r="N58" s="10" t="s">
        <v>339</v>
      </c>
      <c r="O58" s="10" t="s">
        <v>133</v>
      </c>
      <c r="P58" s="11" t="str">
        <f>IFERROR(__xludf.DUMMYFUNCTION("JOIN("" "",N58:O58)"),"SANSU Nicolas")</f>
        <v>SANSU Nicolas</v>
      </c>
      <c r="Q58" s="11">
        <v>25006.0</v>
      </c>
      <c r="R58" s="10" t="s">
        <v>126</v>
      </c>
      <c r="S58" s="10" t="s">
        <v>207</v>
      </c>
      <c r="T58" s="10" t="s">
        <v>82</v>
      </c>
    </row>
    <row r="59">
      <c r="A59" s="9">
        <v>42318.714895833335</v>
      </c>
      <c r="B59" s="10">
        <v>11.0</v>
      </c>
      <c r="C59" s="10" t="s">
        <v>340</v>
      </c>
      <c r="D59" s="10">
        <v>75.0</v>
      </c>
      <c r="E59" s="10" t="s">
        <v>341</v>
      </c>
      <c r="F59" s="10">
        <v>1.0</v>
      </c>
      <c r="G59" s="10">
        <v>2.0</v>
      </c>
      <c r="H59" s="10" t="s">
        <v>342</v>
      </c>
      <c r="I59" s="10" t="s">
        <v>343</v>
      </c>
      <c r="J59" s="10" t="s">
        <v>5</v>
      </c>
      <c r="K59" s="10" t="s">
        <v>77</v>
      </c>
      <c r="L59" s="10">
        <v>3.0</v>
      </c>
      <c r="M59" s="10" t="s">
        <v>85</v>
      </c>
      <c r="N59" s="10" t="s">
        <v>344</v>
      </c>
      <c r="O59" s="10" t="s">
        <v>345</v>
      </c>
      <c r="P59" s="11" t="str">
        <f>IFERROR(__xludf.DUMMYFUNCTION("JOIN("" "",N59:O59)"),"LAURENT Pierre")</f>
        <v>LAURENT Pierre</v>
      </c>
      <c r="Q59" s="11">
        <v>21002.0</v>
      </c>
      <c r="R59" s="10" t="s">
        <v>241</v>
      </c>
      <c r="S59" s="10" t="s">
        <v>197</v>
      </c>
      <c r="T59" s="10" t="s">
        <v>100</v>
      </c>
    </row>
    <row r="60">
      <c r="A60" s="9">
        <v>42318.714895833335</v>
      </c>
      <c r="B60" s="10">
        <v>11.0</v>
      </c>
      <c r="C60" s="10" t="s">
        <v>340</v>
      </c>
      <c r="D60" s="10">
        <v>93.0</v>
      </c>
      <c r="E60" s="10" t="s">
        <v>346</v>
      </c>
      <c r="F60" s="10">
        <v>2.0</v>
      </c>
      <c r="G60" s="10">
        <v>8.0</v>
      </c>
      <c r="H60" s="10" t="s">
        <v>347</v>
      </c>
      <c r="I60" s="10" t="s">
        <v>348</v>
      </c>
      <c r="J60" s="10" t="s">
        <v>15</v>
      </c>
      <c r="K60" s="10" t="s">
        <v>77</v>
      </c>
      <c r="L60" s="10">
        <v>1.0</v>
      </c>
      <c r="M60" s="10" t="s">
        <v>85</v>
      </c>
      <c r="N60" s="10" t="s">
        <v>349</v>
      </c>
      <c r="O60" s="10" t="s">
        <v>350</v>
      </c>
      <c r="P60" s="11" t="str">
        <f>IFERROR(__xludf.DUMMYFUNCTION("JOIN("" "",N60:O60)"),"BARTOLONE Claude")</f>
        <v>BARTOLONE Claude</v>
      </c>
      <c r="Q60" s="11">
        <v>18838.0</v>
      </c>
      <c r="R60" s="10" t="s">
        <v>139</v>
      </c>
      <c r="S60" s="10" t="s">
        <v>207</v>
      </c>
      <c r="T60" s="10" t="s">
        <v>82</v>
      </c>
    </row>
    <row r="61">
      <c r="A61" s="9">
        <v>42318.714895833335</v>
      </c>
      <c r="B61" s="10">
        <v>11.0</v>
      </c>
      <c r="C61" s="10" t="s">
        <v>340</v>
      </c>
      <c r="D61" s="10">
        <v>93.0</v>
      </c>
      <c r="E61" s="10" t="s">
        <v>346</v>
      </c>
      <c r="F61" s="10">
        <v>3.0</v>
      </c>
      <c r="G61" s="10">
        <v>3.0</v>
      </c>
      <c r="H61" s="10" t="s">
        <v>351</v>
      </c>
      <c r="I61" s="10" t="s">
        <v>352</v>
      </c>
      <c r="J61" s="10" t="s">
        <v>25</v>
      </c>
      <c r="K61" s="10" t="s">
        <v>77</v>
      </c>
      <c r="L61" s="10">
        <v>1.0</v>
      </c>
      <c r="M61" s="10" t="s">
        <v>85</v>
      </c>
      <c r="N61" s="10" t="s">
        <v>353</v>
      </c>
      <c r="O61" s="10" t="s">
        <v>236</v>
      </c>
      <c r="P61" s="11" t="str">
        <f>IFERROR(__xludf.DUMMYFUNCTION("JOIN("" "",N61:O61)"),"ASSELINEAU François")</f>
        <v>ASSELINEAU François</v>
      </c>
      <c r="Q61" s="11">
        <v>21067.0</v>
      </c>
      <c r="R61" s="10" t="s">
        <v>105</v>
      </c>
      <c r="T61" s="10" t="s">
        <v>82</v>
      </c>
    </row>
    <row r="62">
      <c r="A62" s="9">
        <v>42318.714895833335</v>
      </c>
      <c r="B62" s="10">
        <v>11.0</v>
      </c>
      <c r="C62" s="10" t="s">
        <v>340</v>
      </c>
      <c r="D62" s="10">
        <v>75.0</v>
      </c>
      <c r="E62" s="10" t="s">
        <v>341</v>
      </c>
      <c r="F62" s="10">
        <v>4.0</v>
      </c>
      <c r="G62" s="10">
        <v>4.0</v>
      </c>
      <c r="H62" s="10" t="s">
        <v>354</v>
      </c>
      <c r="I62" s="10" t="s">
        <v>355</v>
      </c>
      <c r="J62" s="10" t="s">
        <v>21</v>
      </c>
      <c r="K62" s="10" t="s">
        <v>77</v>
      </c>
      <c r="L62" s="10">
        <v>1.0</v>
      </c>
      <c r="M62" s="10" t="s">
        <v>78</v>
      </c>
      <c r="N62" s="10" t="s">
        <v>356</v>
      </c>
      <c r="O62" s="10" t="s">
        <v>357</v>
      </c>
      <c r="P62" s="11" t="str">
        <f>IFERROR(__xludf.DUMMYFUNCTION("JOIN("" "",N62:O62)"),"COSSE Emmanuelle")</f>
        <v>COSSE Emmanuelle</v>
      </c>
      <c r="Q62" s="11">
        <v>27348.0</v>
      </c>
      <c r="R62" s="10" t="s">
        <v>241</v>
      </c>
      <c r="T62" s="10" t="s">
        <v>100</v>
      </c>
    </row>
    <row r="63">
      <c r="A63" s="9">
        <v>42318.714895833335</v>
      </c>
      <c r="B63" s="10">
        <v>11.0</v>
      </c>
      <c r="C63" s="10" t="s">
        <v>340</v>
      </c>
      <c r="D63" s="10">
        <v>91.0</v>
      </c>
      <c r="E63" s="10" t="s">
        <v>358</v>
      </c>
      <c r="F63" s="10">
        <v>5.0</v>
      </c>
      <c r="G63" s="10">
        <v>9.0</v>
      </c>
      <c r="H63" s="10" t="s">
        <v>359</v>
      </c>
      <c r="I63" s="10" t="s">
        <v>359</v>
      </c>
      <c r="J63" s="10" t="s">
        <v>25</v>
      </c>
      <c r="K63" s="10" t="s">
        <v>77</v>
      </c>
      <c r="L63" s="10">
        <v>24.0</v>
      </c>
      <c r="M63" s="10" t="s">
        <v>85</v>
      </c>
      <c r="N63" s="10" t="s">
        <v>360</v>
      </c>
      <c r="O63" s="10" t="s">
        <v>361</v>
      </c>
      <c r="P63" s="11" t="str">
        <f>IFERROR(__xludf.DUMMYFUNCTION("JOIN("" "",N63:O63)"),"HORSFALL Dawari")</f>
        <v>HORSFALL Dawari</v>
      </c>
      <c r="Q63" s="11">
        <v>27606.0</v>
      </c>
      <c r="R63" s="10" t="s">
        <v>164</v>
      </c>
      <c r="T63" s="10" t="s">
        <v>82</v>
      </c>
    </row>
    <row r="64">
      <c r="A64" s="9">
        <v>42318.714895833335</v>
      </c>
      <c r="B64" s="10">
        <v>11.0</v>
      </c>
      <c r="C64" s="10" t="s">
        <v>340</v>
      </c>
      <c r="D64" s="10">
        <v>75.0</v>
      </c>
      <c r="E64" s="10" t="s">
        <v>341</v>
      </c>
      <c r="F64" s="10">
        <v>6.0</v>
      </c>
      <c r="G64" s="10">
        <v>11.0</v>
      </c>
      <c r="H64" s="10" t="s">
        <v>362</v>
      </c>
      <c r="I64" s="10" t="s">
        <v>363</v>
      </c>
      <c r="J64" s="10" t="s">
        <v>41</v>
      </c>
      <c r="K64" s="10" t="s">
        <v>77</v>
      </c>
      <c r="L64" s="10">
        <v>1.0</v>
      </c>
      <c r="M64" s="10" t="s">
        <v>78</v>
      </c>
      <c r="N64" s="10" t="s">
        <v>364</v>
      </c>
      <c r="O64" s="10" t="s">
        <v>365</v>
      </c>
      <c r="P64" s="11" t="str">
        <f>IFERROR(__xludf.DUMMYFUNCTION("JOIN("" "",N64:O64)"),"SACHS Valerie")</f>
        <v>SACHS Valerie</v>
      </c>
      <c r="Q64" s="11">
        <v>22580.0</v>
      </c>
      <c r="R64" s="10" t="s">
        <v>81</v>
      </c>
      <c r="T64" s="10" t="s">
        <v>82</v>
      </c>
    </row>
    <row r="65">
      <c r="A65" s="9">
        <v>42318.714895833335</v>
      </c>
      <c r="B65" s="10">
        <v>11.0</v>
      </c>
      <c r="C65" s="10" t="s">
        <v>340</v>
      </c>
      <c r="D65" s="10">
        <v>95.0</v>
      </c>
      <c r="E65" s="10" t="s">
        <v>366</v>
      </c>
      <c r="F65" s="10">
        <v>7.0</v>
      </c>
      <c r="G65" s="10">
        <v>13.0</v>
      </c>
      <c r="H65" s="10" t="s">
        <v>367</v>
      </c>
      <c r="I65" s="10" t="s">
        <v>368</v>
      </c>
      <c r="J65" s="10" t="s">
        <v>25</v>
      </c>
      <c r="K65" s="10" t="s">
        <v>77</v>
      </c>
      <c r="L65" s="10">
        <v>1.0</v>
      </c>
      <c r="M65" s="10" t="s">
        <v>85</v>
      </c>
      <c r="N65" s="10" t="s">
        <v>369</v>
      </c>
      <c r="O65" s="10" t="s">
        <v>370</v>
      </c>
      <c r="P65" s="11" t="str">
        <f>IFERROR(__xludf.DUMMYFUNCTION("JOIN("" "",N65:O65)"),"DE SMET Sylvain")</f>
        <v>DE SMET Sylvain</v>
      </c>
      <c r="Q65" s="11">
        <v>23835.0</v>
      </c>
      <c r="R65" s="10" t="s">
        <v>371</v>
      </c>
      <c r="T65" s="10" t="s">
        <v>100</v>
      </c>
    </row>
    <row r="66">
      <c r="A66" s="9">
        <v>42318.714895833335</v>
      </c>
      <c r="B66" s="10">
        <v>11.0</v>
      </c>
      <c r="C66" s="10" t="s">
        <v>340</v>
      </c>
      <c r="D66" s="10">
        <v>94.0</v>
      </c>
      <c r="E66" s="10" t="s">
        <v>372</v>
      </c>
      <c r="F66" s="10">
        <v>8.0</v>
      </c>
      <c r="G66" s="10">
        <v>12.0</v>
      </c>
      <c r="H66" s="10" t="s">
        <v>373</v>
      </c>
      <c r="I66" s="10" t="s">
        <v>374</v>
      </c>
      <c r="J66" s="10" t="s">
        <v>25</v>
      </c>
      <c r="K66" s="10" t="s">
        <v>77</v>
      </c>
      <c r="L66" s="10">
        <v>1.0</v>
      </c>
      <c r="M66" s="10" t="s">
        <v>85</v>
      </c>
      <c r="N66" s="10" t="s">
        <v>375</v>
      </c>
      <c r="O66" s="10" t="s">
        <v>376</v>
      </c>
      <c r="P66" s="11" t="str">
        <f>IFERROR(__xludf.DUMMYFUNCTION("JOIN("" "",N66:O66)"),"BOURCHADA Nizarr")</f>
        <v>BOURCHADA Nizarr</v>
      </c>
      <c r="Q66" s="11">
        <v>29722.0</v>
      </c>
      <c r="R66" s="10" t="s">
        <v>377</v>
      </c>
      <c r="T66" s="10" t="s">
        <v>82</v>
      </c>
    </row>
    <row r="67">
      <c r="A67" s="9">
        <v>42318.714895833335</v>
      </c>
      <c r="B67" s="10">
        <v>11.0</v>
      </c>
      <c r="C67" s="10" t="s">
        <v>340</v>
      </c>
      <c r="D67" s="10">
        <v>91.0</v>
      </c>
      <c r="E67" s="10" t="s">
        <v>358</v>
      </c>
      <c r="F67" s="10">
        <v>9.0</v>
      </c>
      <c r="G67" s="10">
        <v>6.0</v>
      </c>
      <c r="H67" s="10" t="s">
        <v>90</v>
      </c>
      <c r="I67" s="10" t="s">
        <v>91</v>
      </c>
      <c r="J67" s="10" t="s">
        <v>39</v>
      </c>
      <c r="K67" s="10" t="s">
        <v>77</v>
      </c>
      <c r="L67" s="10">
        <v>1.0</v>
      </c>
      <c r="M67" s="10" t="s">
        <v>85</v>
      </c>
      <c r="N67" s="10" t="s">
        <v>378</v>
      </c>
      <c r="O67" s="10" t="s">
        <v>133</v>
      </c>
      <c r="P67" s="11" t="str">
        <f>IFERROR(__xludf.DUMMYFUNCTION("JOIN("" "",N67:O67)"),"DUPONT-AIGNAN Nicolas")</f>
        <v>DUPONT-AIGNAN Nicolas</v>
      </c>
      <c r="Q67" s="11">
        <v>22347.0</v>
      </c>
      <c r="R67" s="10" t="s">
        <v>126</v>
      </c>
      <c r="S67" s="10" t="s">
        <v>207</v>
      </c>
      <c r="T67" s="10" t="s">
        <v>82</v>
      </c>
    </row>
    <row r="68">
      <c r="A68" s="9">
        <v>42318.714895833335</v>
      </c>
      <c r="B68" s="10">
        <v>11.0</v>
      </c>
      <c r="C68" s="10" t="s">
        <v>340</v>
      </c>
      <c r="D68" s="10">
        <v>78.0</v>
      </c>
      <c r="E68" s="10" t="s">
        <v>379</v>
      </c>
      <c r="F68" s="10">
        <v>10.0</v>
      </c>
      <c r="G68" s="10">
        <v>10.0</v>
      </c>
      <c r="H68" s="10" t="s">
        <v>380</v>
      </c>
      <c r="I68" s="10" t="s">
        <v>381</v>
      </c>
      <c r="J68" s="10" t="s">
        <v>37</v>
      </c>
      <c r="K68" s="10" t="s">
        <v>77</v>
      </c>
      <c r="L68" s="10">
        <v>1.0</v>
      </c>
      <c r="M68" s="10" t="s">
        <v>78</v>
      </c>
      <c r="N68" s="10" t="s">
        <v>382</v>
      </c>
      <c r="O68" s="10" t="s">
        <v>310</v>
      </c>
      <c r="P68" s="11" t="str">
        <f>IFERROR(__xludf.DUMMYFUNCTION("JOIN("" "",N68:O68)"),"PECRESSE Valérie")</f>
        <v>PECRESSE Valérie</v>
      </c>
      <c r="Q68" s="11">
        <v>24667.0</v>
      </c>
      <c r="R68" s="10" t="s">
        <v>383</v>
      </c>
      <c r="S68" s="10" t="s">
        <v>207</v>
      </c>
      <c r="T68" s="10" t="s">
        <v>100</v>
      </c>
    </row>
    <row r="69">
      <c r="A69" s="9">
        <v>42318.714895833335</v>
      </c>
      <c r="B69" s="10">
        <v>11.0</v>
      </c>
      <c r="C69" s="10" t="s">
        <v>340</v>
      </c>
      <c r="D69" s="10">
        <v>75.0</v>
      </c>
      <c r="E69" s="10" t="s">
        <v>341</v>
      </c>
      <c r="F69" s="10">
        <v>11.0</v>
      </c>
      <c r="G69" s="10">
        <v>14.0</v>
      </c>
      <c r="H69" s="10" t="s">
        <v>384</v>
      </c>
      <c r="I69" s="10" t="s">
        <v>384</v>
      </c>
      <c r="J69" s="10" t="s">
        <v>41</v>
      </c>
      <c r="K69" s="10" t="s">
        <v>77</v>
      </c>
      <c r="L69" s="10">
        <v>1.0</v>
      </c>
      <c r="M69" s="10" t="s">
        <v>85</v>
      </c>
      <c r="N69" s="10" t="s">
        <v>385</v>
      </c>
      <c r="O69" s="10" t="s">
        <v>386</v>
      </c>
      <c r="P69" s="11" t="str">
        <f>IFERROR(__xludf.DUMMYFUNCTION("JOIN("" "",N69:O69)"),"VERON Aurelien")</f>
        <v>VERON Aurelien</v>
      </c>
      <c r="Q69" s="11">
        <v>25296.0</v>
      </c>
      <c r="R69" s="10" t="s">
        <v>377</v>
      </c>
      <c r="T69" s="10" t="s">
        <v>82</v>
      </c>
    </row>
    <row r="70">
      <c r="A70" s="9">
        <v>42318.714895833335</v>
      </c>
      <c r="B70" s="10">
        <v>11.0</v>
      </c>
      <c r="C70" s="10" t="s">
        <v>340</v>
      </c>
      <c r="D70" s="10">
        <v>75.0</v>
      </c>
      <c r="E70" s="10" t="s">
        <v>341</v>
      </c>
      <c r="F70" s="10">
        <v>12.0</v>
      </c>
      <c r="G70" s="10">
        <v>7.0</v>
      </c>
      <c r="H70" s="10" t="s">
        <v>101</v>
      </c>
      <c r="I70" s="10" t="s">
        <v>102</v>
      </c>
      <c r="J70" s="10" t="s">
        <v>43</v>
      </c>
      <c r="K70" s="10" t="s">
        <v>77</v>
      </c>
      <c r="L70" s="10">
        <v>1.0</v>
      </c>
      <c r="M70" s="10" t="s">
        <v>85</v>
      </c>
      <c r="N70" s="10" t="s">
        <v>387</v>
      </c>
      <c r="O70" s="10" t="s">
        <v>388</v>
      </c>
      <c r="P70" s="11" t="str">
        <f>IFERROR(__xludf.DUMMYFUNCTION("JOIN("" "",N70:O70)"),"DE SAINT JUST Wallerand")</f>
        <v>DE SAINT JUST Wallerand</v>
      </c>
      <c r="Q70" s="11">
        <v>18450.0</v>
      </c>
      <c r="R70" s="10" t="s">
        <v>218</v>
      </c>
      <c r="T70" s="10" t="s">
        <v>82</v>
      </c>
    </row>
    <row r="71">
      <c r="A71" s="9">
        <v>42318.714895833335</v>
      </c>
      <c r="B71" s="10">
        <v>11.0</v>
      </c>
      <c r="C71" s="10" t="s">
        <v>340</v>
      </c>
      <c r="D71" s="10">
        <v>93.0</v>
      </c>
      <c r="E71" s="10" t="s">
        <v>346</v>
      </c>
      <c r="F71" s="10">
        <v>13.0</v>
      </c>
      <c r="G71" s="10">
        <v>5.0</v>
      </c>
      <c r="H71" s="10" t="s">
        <v>389</v>
      </c>
      <c r="I71" s="10" t="s">
        <v>114</v>
      </c>
      <c r="J71" s="10" t="s">
        <v>3</v>
      </c>
      <c r="K71" s="10" t="s">
        <v>77</v>
      </c>
      <c r="L71" s="10">
        <v>2.0</v>
      </c>
      <c r="M71" s="10" t="s">
        <v>78</v>
      </c>
      <c r="N71" s="10" t="s">
        <v>390</v>
      </c>
      <c r="O71" s="10" t="s">
        <v>249</v>
      </c>
      <c r="P71" s="11" t="str">
        <f>IFERROR(__xludf.DUMMYFUNCTION("JOIN("" "",N71:O71)"),"ARTHAUD Nathalie")</f>
        <v>ARTHAUD Nathalie</v>
      </c>
      <c r="Q71" s="11">
        <v>25622.0</v>
      </c>
      <c r="R71" s="10" t="s">
        <v>164</v>
      </c>
      <c r="T71" s="10" t="s">
        <v>82</v>
      </c>
    </row>
    <row r="72">
      <c r="A72" s="9">
        <v>42318.714895833335</v>
      </c>
      <c r="B72" s="10">
        <v>76.0</v>
      </c>
      <c r="C72" s="10" t="s">
        <v>391</v>
      </c>
      <c r="D72" s="10">
        <v>12.0</v>
      </c>
      <c r="E72" s="10" t="s">
        <v>392</v>
      </c>
      <c r="F72" s="10">
        <v>2.0</v>
      </c>
      <c r="G72" s="10">
        <v>9.0</v>
      </c>
      <c r="H72" s="10" t="s">
        <v>393</v>
      </c>
      <c r="I72" s="10" t="s">
        <v>394</v>
      </c>
      <c r="J72" s="10" t="s">
        <v>37</v>
      </c>
      <c r="K72" s="10" t="s">
        <v>77</v>
      </c>
      <c r="L72" s="10">
        <v>1.0</v>
      </c>
      <c r="M72" s="10" t="s">
        <v>85</v>
      </c>
      <c r="N72" s="10" t="s">
        <v>395</v>
      </c>
      <c r="O72" s="10" t="s">
        <v>396</v>
      </c>
      <c r="P72" s="11" t="str">
        <f>IFERROR(__xludf.DUMMYFUNCTION("JOIN("" "",N72:O72)"),"REYNIÉ Dominique")</f>
        <v>REYNIÉ Dominique</v>
      </c>
      <c r="Q72" s="11">
        <v>22084.0</v>
      </c>
      <c r="R72" s="10" t="s">
        <v>397</v>
      </c>
      <c r="T72" s="10" t="s">
        <v>82</v>
      </c>
    </row>
    <row r="73">
      <c r="A73" s="9">
        <v>42318.714907407404</v>
      </c>
      <c r="B73" s="10">
        <v>76.0</v>
      </c>
      <c r="C73" s="10" t="s">
        <v>391</v>
      </c>
      <c r="D73" s="10">
        <v>31.0</v>
      </c>
      <c r="E73" s="10" t="s">
        <v>398</v>
      </c>
      <c r="F73" s="10">
        <v>3.0</v>
      </c>
      <c r="G73" s="10">
        <v>11.0</v>
      </c>
      <c r="H73" s="10" t="s">
        <v>399</v>
      </c>
      <c r="I73" s="10" t="s">
        <v>400</v>
      </c>
      <c r="J73" s="10" t="s">
        <v>15</v>
      </c>
      <c r="K73" s="10" t="s">
        <v>77</v>
      </c>
      <c r="L73" s="10">
        <v>1.0</v>
      </c>
      <c r="M73" s="10" t="s">
        <v>78</v>
      </c>
      <c r="N73" s="10" t="s">
        <v>401</v>
      </c>
      <c r="O73" s="10" t="s">
        <v>402</v>
      </c>
      <c r="P73" s="11" t="str">
        <f>IFERROR(__xludf.DUMMYFUNCTION("JOIN("" "",N73:O73)"),"DELGA Carole")</f>
        <v>DELGA Carole</v>
      </c>
      <c r="Q73" s="11">
        <v>26164.0</v>
      </c>
      <c r="R73" s="10" t="s">
        <v>403</v>
      </c>
      <c r="S73" s="10" t="s">
        <v>207</v>
      </c>
      <c r="T73" s="10" t="s">
        <v>82</v>
      </c>
    </row>
    <row r="74">
      <c r="A74" s="9">
        <v>42318.714907407404</v>
      </c>
      <c r="B74" s="10">
        <v>76.0</v>
      </c>
      <c r="C74" s="10" t="s">
        <v>391</v>
      </c>
      <c r="D74" s="10">
        <v>34.0</v>
      </c>
      <c r="E74" s="10" t="s">
        <v>404</v>
      </c>
      <c r="F74" s="10">
        <v>4.0</v>
      </c>
      <c r="G74" s="10">
        <v>5.0</v>
      </c>
      <c r="H74" s="10" t="s">
        <v>405</v>
      </c>
      <c r="I74" s="10" t="s">
        <v>406</v>
      </c>
      <c r="J74" s="10" t="s">
        <v>45</v>
      </c>
      <c r="K74" s="10" t="s">
        <v>77</v>
      </c>
      <c r="L74" s="10">
        <v>1.0</v>
      </c>
      <c r="M74" s="10" t="s">
        <v>85</v>
      </c>
      <c r="N74" s="10" t="s">
        <v>407</v>
      </c>
      <c r="O74" s="10" t="s">
        <v>408</v>
      </c>
      <c r="P74" s="11" t="str">
        <f>IFERROR(__xludf.DUMMYFUNCTION("JOIN("" "",N74:O74)"),"MARTINEZ Jean-Claude")</f>
        <v>MARTINEZ Jean-Claude</v>
      </c>
      <c r="Q74" s="11">
        <v>16648.0</v>
      </c>
      <c r="R74" s="10" t="s">
        <v>397</v>
      </c>
      <c r="T74" s="10" t="s">
        <v>82</v>
      </c>
    </row>
    <row r="75">
      <c r="A75" s="9">
        <v>42318.714907407404</v>
      </c>
      <c r="B75" s="10">
        <v>76.0</v>
      </c>
      <c r="C75" s="10" t="s">
        <v>391</v>
      </c>
      <c r="D75" s="10">
        <v>30.0</v>
      </c>
      <c r="E75" s="10" t="s">
        <v>409</v>
      </c>
      <c r="F75" s="10">
        <v>5.0</v>
      </c>
      <c r="G75" s="10">
        <v>13.0</v>
      </c>
      <c r="H75" s="10" t="s">
        <v>410</v>
      </c>
      <c r="I75" s="10" t="s">
        <v>411</v>
      </c>
      <c r="J75" s="10" t="s">
        <v>23</v>
      </c>
      <c r="K75" s="10" t="s">
        <v>77</v>
      </c>
      <c r="L75" s="10">
        <v>1.0</v>
      </c>
      <c r="M75" s="10" t="s">
        <v>85</v>
      </c>
      <c r="N75" s="10" t="s">
        <v>412</v>
      </c>
      <c r="O75" s="10" t="s">
        <v>191</v>
      </c>
      <c r="P75" s="11" t="str">
        <f>IFERROR(__xludf.DUMMYFUNCTION("JOIN("" "",N75:O75)"),"CAVARD Christophe")</f>
        <v>CAVARD Christophe</v>
      </c>
      <c r="Q75" s="11">
        <v>25618.0</v>
      </c>
      <c r="R75" s="10" t="s">
        <v>134</v>
      </c>
      <c r="S75" s="10" t="s">
        <v>207</v>
      </c>
      <c r="T75" s="10" t="s">
        <v>82</v>
      </c>
    </row>
    <row r="76">
      <c r="A76" s="9">
        <v>42318.714907407404</v>
      </c>
      <c r="B76" s="10">
        <v>76.0</v>
      </c>
      <c r="C76" s="10" t="s">
        <v>391</v>
      </c>
      <c r="D76" s="10">
        <v>34.0</v>
      </c>
      <c r="E76" s="10" t="s">
        <v>404</v>
      </c>
      <c r="F76" s="10">
        <v>6.0</v>
      </c>
      <c r="G76" s="10">
        <v>10.0</v>
      </c>
      <c r="H76" s="10" t="s">
        <v>130</v>
      </c>
      <c r="I76" s="10" t="s">
        <v>413</v>
      </c>
      <c r="J76" s="10" t="s">
        <v>19</v>
      </c>
      <c r="K76" s="10" t="s">
        <v>77</v>
      </c>
      <c r="L76" s="10">
        <v>1.0</v>
      </c>
      <c r="M76" s="10" t="s">
        <v>85</v>
      </c>
      <c r="N76" s="10" t="s">
        <v>414</v>
      </c>
      <c r="O76" s="10" t="s">
        <v>293</v>
      </c>
      <c r="P76" s="11" t="str">
        <f>IFERROR(__xludf.DUMMYFUNCTION("JOIN("" "",N76:O76)"),"FABRE Gilles")</f>
        <v>FABRE Gilles</v>
      </c>
      <c r="Q76" s="11">
        <v>26256.0</v>
      </c>
      <c r="R76" s="10" t="s">
        <v>81</v>
      </c>
      <c r="T76" s="10" t="s">
        <v>82</v>
      </c>
    </row>
    <row r="77">
      <c r="A77" s="9">
        <v>42318.714907407404</v>
      </c>
      <c r="B77" s="10">
        <v>76.0</v>
      </c>
      <c r="C77" s="10" t="s">
        <v>391</v>
      </c>
      <c r="D77" s="10">
        <v>30.0</v>
      </c>
      <c r="E77" s="10" t="s">
        <v>409</v>
      </c>
      <c r="F77" s="10">
        <v>7.0</v>
      </c>
      <c r="G77" s="10">
        <v>6.0</v>
      </c>
      <c r="H77" s="10" t="s">
        <v>415</v>
      </c>
      <c r="I77" s="10" t="s">
        <v>180</v>
      </c>
      <c r="J77" s="10" t="s">
        <v>25</v>
      </c>
      <c r="K77" s="10" t="s">
        <v>77</v>
      </c>
      <c r="L77" s="10">
        <v>3.0</v>
      </c>
      <c r="M77" s="10" t="s">
        <v>85</v>
      </c>
      <c r="N77" s="10" t="s">
        <v>416</v>
      </c>
      <c r="O77" s="10" t="s">
        <v>417</v>
      </c>
      <c r="P77" s="11" t="str">
        <f>IFERROR(__xludf.DUMMYFUNCTION("JOIN("" "",N77:O77)"),"HIRIMIRIS Yvan")</f>
        <v>HIRIMIRIS Yvan</v>
      </c>
      <c r="Q77" s="11">
        <v>31138.0</v>
      </c>
      <c r="R77" s="10" t="s">
        <v>117</v>
      </c>
      <c r="T77" s="10" t="s">
        <v>82</v>
      </c>
    </row>
    <row r="78">
      <c r="A78" s="9">
        <v>42318.714907407404</v>
      </c>
      <c r="B78" s="10">
        <v>76.0</v>
      </c>
      <c r="C78" s="10" t="s">
        <v>391</v>
      </c>
      <c r="D78" s="10">
        <v>34.0</v>
      </c>
      <c r="E78" s="10" t="s">
        <v>404</v>
      </c>
      <c r="F78" s="10">
        <v>8.0</v>
      </c>
      <c r="G78" s="10">
        <v>8.0</v>
      </c>
      <c r="H78" s="10" t="s">
        <v>418</v>
      </c>
      <c r="I78" s="10" t="s">
        <v>418</v>
      </c>
      <c r="J78" s="10" t="s">
        <v>19</v>
      </c>
      <c r="K78" s="10" t="s">
        <v>77</v>
      </c>
      <c r="L78" s="10">
        <v>1.0</v>
      </c>
      <c r="M78" s="10" t="s">
        <v>85</v>
      </c>
      <c r="N78" s="10" t="s">
        <v>419</v>
      </c>
      <c r="O78" s="10" t="s">
        <v>125</v>
      </c>
      <c r="P78" s="11" t="str">
        <f>IFERROR(__xludf.DUMMYFUNCTION("JOIN("" "",N78:O78)"),"SAUREL Philippe")</f>
        <v>SAUREL Philippe</v>
      </c>
      <c r="Q78" s="11">
        <v>21171.0</v>
      </c>
      <c r="R78" s="10" t="s">
        <v>420</v>
      </c>
      <c r="S78" s="10" t="s">
        <v>421</v>
      </c>
      <c r="T78" s="10" t="s">
        <v>82</v>
      </c>
    </row>
    <row r="79">
      <c r="A79" s="9">
        <v>42318.714907407404</v>
      </c>
      <c r="B79" s="10">
        <v>76.0</v>
      </c>
      <c r="C79" s="10" t="s">
        <v>391</v>
      </c>
      <c r="D79" s="10">
        <v>66.0</v>
      </c>
      <c r="E79" s="10" t="s">
        <v>422</v>
      </c>
      <c r="F79" s="10">
        <v>9.0</v>
      </c>
      <c r="G79" s="10">
        <v>4.0</v>
      </c>
      <c r="H79" s="10" t="s">
        <v>101</v>
      </c>
      <c r="I79" s="10" t="s">
        <v>102</v>
      </c>
      <c r="J79" s="10" t="s">
        <v>43</v>
      </c>
      <c r="K79" s="10" t="s">
        <v>77</v>
      </c>
      <c r="L79" s="10">
        <v>5.0</v>
      </c>
      <c r="M79" s="10" t="s">
        <v>85</v>
      </c>
      <c r="N79" s="10" t="s">
        <v>423</v>
      </c>
      <c r="O79" s="10" t="s">
        <v>424</v>
      </c>
      <c r="P79" s="11" t="str">
        <f>IFERROR(__xludf.DUMMYFUNCTION("JOIN("" "",N79:O79)"),"ALIOT Louis")</f>
        <v>ALIOT Louis</v>
      </c>
      <c r="Q79" s="11">
        <v>25450.0</v>
      </c>
      <c r="R79" s="10" t="s">
        <v>218</v>
      </c>
      <c r="S79" s="10" t="s">
        <v>106</v>
      </c>
      <c r="T79" s="10" t="s">
        <v>82</v>
      </c>
    </row>
    <row r="80">
      <c r="A80" s="9">
        <v>42318.714907407404</v>
      </c>
      <c r="B80" s="10">
        <v>76.0</v>
      </c>
      <c r="C80" s="10" t="s">
        <v>391</v>
      </c>
      <c r="D80" s="10">
        <v>31.0</v>
      </c>
      <c r="E80" s="10" t="s">
        <v>398</v>
      </c>
      <c r="F80" s="10">
        <v>10.0</v>
      </c>
      <c r="G80" s="10">
        <v>7.0</v>
      </c>
      <c r="H80" s="10" t="s">
        <v>425</v>
      </c>
      <c r="I80" s="10" t="s">
        <v>426</v>
      </c>
      <c r="J80" s="10" t="s">
        <v>11</v>
      </c>
      <c r="K80" s="10" t="s">
        <v>77</v>
      </c>
      <c r="L80" s="10">
        <v>1.0</v>
      </c>
      <c r="M80" s="10" t="s">
        <v>85</v>
      </c>
      <c r="N80" s="10" t="s">
        <v>427</v>
      </c>
      <c r="O80" s="10" t="s">
        <v>428</v>
      </c>
      <c r="P80" s="11" t="str">
        <f>IFERROR(__xludf.DUMMYFUNCTION("JOIN("" "",N80:O80)"),"ONESTA Gérard")</f>
        <v>ONESTA Gérard</v>
      </c>
      <c r="Q80" s="11">
        <v>22133.0</v>
      </c>
      <c r="R80" s="10" t="s">
        <v>429</v>
      </c>
      <c r="T80" s="10" t="s">
        <v>100</v>
      </c>
    </row>
    <row r="81">
      <c r="A81" s="9">
        <v>42318.714907407404</v>
      </c>
      <c r="B81" s="10">
        <v>76.0</v>
      </c>
      <c r="C81" s="10" t="s">
        <v>391</v>
      </c>
      <c r="D81" s="10">
        <v>31.0</v>
      </c>
      <c r="E81" s="10" t="s">
        <v>398</v>
      </c>
      <c r="F81" s="10">
        <v>11.0</v>
      </c>
      <c r="G81" s="10">
        <v>3.0</v>
      </c>
      <c r="H81" s="10" t="s">
        <v>90</v>
      </c>
      <c r="I81" s="10" t="s">
        <v>170</v>
      </c>
      <c r="J81" s="10" t="s">
        <v>39</v>
      </c>
      <c r="K81" s="10" t="s">
        <v>77</v>
      </c>
      <c r="L81" s="10">
        <v>1.0</v>
      </c>
      <c r="M81" s="10" t="s">
        <v>85</v>
      </c>
      <c r="N81" s="10" t="s">
        <v>430</v>
      </c>
      <c r="O81" s="10" t="s">
        <v>431</v>
      </c>
      <c r="P81" s="11" t="str">
        <f>IFERROR(__xludf.DUMMYFUNCTION("JOIN("" "",N81:O81)"),"LEMPEREUR Damien")</f>
        <v>LEMPEREUR Damien</v>
      </c>
      <c r="Q81" s="11">
        <v>30509.0</v>
      </c>
      <c r="R81" s="10" t="s">
        <v>218</v>
      </c>
      <c r="T81" s="10" t="s">
        <v>82</v>
      </c>
    </row>
    <row r="82">
      <c r="A82" s="9">
        <v>42318.714907407404</v>
      </c>
      <c r="B82" s="10">
        <v>76.0</v>
      </c>
      <c r="C82" s="10" t="s">
        <v>391</v>
      </c>
      <c r="D82" s="10">
        <v>31.0</v>
      </c>
      <c r="E82" s="10" t="s">
        <v>398</v>
      </c>
      <c r="F82" s="10">
        <v>12.0</v>
      </c>
      <c r="G82" s="10">
        <v>2.0</v>
      </c>
      <c r="H82" s="10" t="s">
        <v>113</v>
      </c>
      <c r="I82" s="10" t="s">
        <v>174</v>
      </c>
      <c r="J82" s="10" t="s">
        <v>3</v>
      </c>
      <c r="K82" s="10" t="s">
        <v>77</v>
      </c>
      <c r="L82" s="10">
        <v>1.0</v>
      </c>
      <c r="M82" s="10" t="s">
        <v>78</v>
      </c>
      <c r="N82" s="10" t="s">
        <v>432</v>
      </c>
      <c r="O82" s="10" t="s">
        <v>433</v>
      </c>
      <c r="P82" s="11" t="str">
        <f>IFERROR(__xludf.DUMMYFUNCTION("JOIN("" "",N82:O82)"),"TORREMOCHA Sandra")</f>
        <v>TORREMOCHA Sandra</v>
      </c>
      <c r="Q82" s="11">
        <v>27004.0</v>
      </c>
      <c r="R82" s="10" t="s">
        <v>164</v>
      </c>
      <c r="T82" s="10" t="s">
        <v>82</v>
      </c>
    </row>
    <row r="83">
      <c r="A83" s="9">
        <v>42318.714907407404</v>
      </c>
      <c r="B83" s="10">
        <v>32.0</v>
      </c>
      <c r="C83" s="10" t="s">
        <v>434</v>
      </c>
      <c r="D83" s="10">
        <v>59.0</v>
      </c>
      <c r="E83" s="10" t="s">
        <v>435</v>
      </c>
      <c r="F83" s="10">
        <v>1.0</v>
      </c>
      <c r="G83" s="10">
        <v>6.0</v>
      </c>
      <c r="H83" s="10" t="s">
        <v>304</v>
      </c>
      <c r="I83" s="10" t="s">
        <v>436</v>
      </c>
      <c r="J83" s="10" t="s">
        <v>9</v>
      </c>
      <c r="K83" s="10" t="s">
        <v>77</v>
      </c>
      <c r="L83" s="10">
        <v>1.0</v>
      </c>
      <c r="M83" s="10" t="s">
        <v>85</v>
      </c>
      <c r="N83" s="10" t="s">
        <v>437</v>
      </c>
      <c r="O83" s="10" t="s">
        <v>438</v>
      </c>
      <c r="P83" s="11" t="str">
        <f>IFERROR(__xludf.DUMMYFUNCTION("JOIN("" "",N83:O83)"),"ROUSSEL Fabien")</f>
        <v>ROUSSEL Fabien</v>
      </c>
      <c r="Q83" s="11">
        <v>25309.0</v>
      </c>
      <c r="R83" s="10" t="s">
        <v>134</v>
      </c>
      <c r="T83" s="10" t="s">
        <v>82</v>
      </c>
    </row>
    <row r="84">
      <c r="A84" s="9">
        <v>42318.714907407404</v>
      </c>
      <c r="B84" s="10">
        <v>32.0</v>
      </c>
      <c r="C84" s="10" t="s">
        <v>434</v>
      </c>
      <c r="D84" s="10">
        <v>62.0</v>
      </c>
      <c r="E84" s="10" t="s">
        <v>439</v>
      </c>
      <c r="F84" s="10">
        <v>2.0</v>
      </c>
      <c r="G84" s="10">
        <v>3.0</v>
      </c>
      <c r="H84" s="10" t="s">
        <v>440</v>
      </c>
      <c r="I84" s="10" t="s">
        <v>441</v>
      </c>
      <c r="J84" s="10" t="s">
        <v>43</v>
      </c>
      <c r="K84" s="10" t="s">
        <v>77</v>
      </c>
      <c r="L84" s="10">
        <v>1.0</v>
      </c>
      <c r="M84" s="10" t="s">
        <v>78</v>
      </c>
      <c r="N84" s="10" t="s">
        <v>442</v>
      </c>
      <c r="O84" s="10" t="s">
        <v>443</v>
      </c>
      <c r="P84" s="11" t="str">
        <f>IFERROR(__xludf.DUMMYFUNCTION("JOIN("" "",N84:O84)"),"LE PEN Marine")</f>
        <v>LE PEN Marine</v>
      </c>
      <c r="Q84" s="11">
        <v>25055.0</v>
      </c>
      <c r="R84" s="10" t="s">
        <v>218</v>
      </c>
      <c r="S84" s="10" t="s">
        <v>106</v>
      </c>
      <c r="T84" s="10" t="s">
        <v>100</v>
      </c>
    </row>
    <row r="85">
      <c r="A85" s="9">
        <v>42318.714907407404</v>
      </c>
      <c r="B85" s="10">
        <v>32.0</v>
      </c>
      <c r="C85" s="10" t="s">
        <v>434</v>
      </c>
      <c r="D85" s="10">
        <v>59.0</v>
      </c>
      <c r="E85" s="10" t="s">
        <v>435</v>
      </c>
      <c r="F85" s="10">
        <v>3.0</v>
      </c>
      <c r="G85" s="10">
        <v>2.0</v>
      </c>
      <c r="H85" s="10" t="s">
        <v>389</v>
      </c>
      <c r="I85" s="10" t="s">
        <v>114</v>
      </c>
      <c r="J85" s="10" t="s">
        <v>3</v>
      </c>
      <c r="K85" s="10" t="s">
        <v>77</v>
      </c>
      <c r="L85" s="10">
        <v>1.0</v>
      </c>
      <c r="M85" s="10" t="s">
        <v>85</v>
      </c>
      <c r="N85" s="10" t="s">
        <v>444</v>
      </c>
      <c r="O85" s="10" t="s">
        <v>187</v>
      </c>
      <c r="P85" s="11" t="str">
        <f>IFERROR(__xludf.DUMMYFUNCTION("JOIN("" "",N85:O85)"),"PECQUEUR Eric")</f>
        <v>PECQUEUR Eric</v>
      </c>
      <c r="Q85" s="11">
        <v>24322.0</v>
      </c>
      <c r="R85" s="10" t="s">
        <v>117</v>
      </c>
      <c r="T85" s="10" t="s">
        <v>82</v>
      </c>
    </row>
    <row r="86">
      <c r="A86" s="9">
        <v>42318.714907407404</v>
      </c>
      <c r="B86" s="10">
        <v>32.0</v>
      </c>
      <c r="C86" s="10" t="s">
        <v>434</v>
      </c>
      <c r="D86" s="10">
        <v>62.0</v>
      </c>
      <c r="E86" s="10" t="s">
        <v>439</v>
      </c>
      <c r="F86" s="10">
        <v>4.0</v>
      </c>
      <c r="G86" s="10">
        <v>5.0</v>
      </c>
      <c r="H86" s="10" t="s">
        <v>107</v>
      </c>
      <c r="I86" s="10" t="s">
        <v>229</v>
      </c>
      <c r="J86" s="10" t="s">
        <v>25</v>
      </c>
      <c r="K86" s="10" t="s">
        <v>77</v>
      </c>
      <c r="L86" s="10">
        <v>1.0</v>
      </c>
      <c r="M86" s="10" t="s">
        <v>85</v>
      </c>
      <c r="N86" s="10" t="s">
        <v>445</v>
      </c>
      <c r="O86" s="10" t="s">
        <v>187</v>
      </c>
      <c r="P86" s="11" t="str">
        <f>IFERROR(__xludf.DUMMYFUNCTION("JOIN("" "",N86:O86)"),"MASCARO Eric")</f>
        <v>MASCARO Eric</v>
      </c>
      <c r="Q86" s="11">
        <v>24974.0</v>
      </c>
      <c r="R86" s="10" t="s">
        <v>281</v>
      </c>
      <c r="T86" s="10" t="s">
        <v>82</v>
      </c>
    </row>
    <row r="87">
      <c r="A87" s="9">
        <v>42318.714907407404</v>
      </c>
      <c r="B87" s="10">
        <v>32.0</v>
      </c>
      <c r="C87" s="10" t="s">
        <v>434</v>
      </c>
      <c r="D87" s="10">
        <v>59.0</v>
      </c>
      <c r="E87" s="10" t="s">
        <v>435</v>
      </c>
      <c r="F87" s="10">
        <v>5.0</v>
      </c>
      <c r="G87" s="10">
        <v>8.0</v>
      </c>
      <c r="H87" s="10" t="s">
        <v>446</v>
      </c>
      <c r="I87" s="10" t="s">
        <v>447</v>
      </c>
      <c r="J87" s="10" t="s">
        <v>15</v>
      </c>
      <c r="K87" s="10" t="s">
        <v>77</v>
      </c>
      <c r="L87" s="10">
        <v>1.0</v>
      </c>
      <c r="M87" s="10" t="s">
        <v>85</v>
      </c>
      <c r="N87" s="10" t="s">
        <v>448</v>
      </c>
      <c r="O87" s="10" t="s">
        <v>345</v>
      </c>
      <c r="P87" s="11" t="str">
        <f>IFERROR(__xludf.DUMMYFUNCTION("JOIN("" "",N87:O87)"),"DE SAINTIGNON Pierre")</f>
        <v>DE SAINTIGNON Pierre</v>
      </c>
      <c r="Q87" s="11">
        <v>17675.0</v>
      </c>
      <c r="R87" s="10" t="s">
        <v>88</v>
      </c>
      <c r="T87" s="10" t="s">
        <v>100</v>
      </c>
    </row>
    <row r="88">
      <c r="A88" s="9">
        <v>42318.714907407404</v>
      </c>
      <c r="B88" s="10">
        <v>32.0</v>
      </c>
      <c r="C88" s="10" t="s">
        <v>434</v>
      </c>
      <c r="D88" s="10">
        <v>2.0</v>
      </c>
      <c r="E88" s="10" t="s">
        <v>449</v>
      </c>
      <c r="F88" s="10">
        <v>6.0</v>
      </c>
      <c r="G88" s="10">
        <v>9.0</v>
      </c>
      <c r="H88" s="10" t="s">
        <v>450</v>
      </c>
      <c r="I88" s="10" t="s">
        <v>451</v>
      </c>
      <c r="J88" s="10" t="s">
        <v>37</v>
      </c>
      <c r="K88" s="10" t="s">
        <v>77</v>
      </c>
      <c r="L88" s="10">
        <v>1.0</v>
      </c>
      <c r="M88" s="10" t="s">
        <v>85</v>
      </c>
      <c r="N88" s="10" t="s">
        <v>452</v>
      </c>
      <c r="O88" s="10" t="s">
        <v>307</v>
      </c>
      <c r="P88" s="11" t="str">
        <f>IFERROR(__xludf.DUMMYFUNCTION("JOIN("" "",N88:O88)"),"BERTRAND Xavier")</f>
        <v>BERTRAND Xavier</v>
      </c>
      <c r="Q88" s="11">
        <v>23822.0</v>
      </c>
      <c r="R88" s="10" t="s">
        <v>453</v>
      </c>
      <c r="S88" s="10" t="s">
        <v>207</v>
      </c>
      <c r="T88" s="10" t="s">
        <v>82</v>
      </c>
    </row>
    <row r="89">
      <c r="A89" s="9">
        <v>42318.714907407404</v>
      </c>
      <c r="B89" s="10">
        <v>32.0</v>
      </c>
      <c r="C89" s="10" t="s">
        <v>434</v>
      </c>
      <c r="D89" s="10">
        <v>80.0</v>
      </c>
      <c r="E89" s="10" t="s">
        <v>454</v>
      </c>
      <c r="F89" s="10">
        <v>7.0</v>
      </c>
      <c r="G89" s="10">
        <v>4.0</v>
      </c>
      <c r="H89" s="10" t="s">
        <v>90</v>
      </c>
      <c r="I89" s="10" t="s">
        <v>289</v>
      </c>
      <c r="J89" s="10" t="s">
        <v>39</v>
      </c>
      <c r="K89" s="10" t="s">
        <v>77</v>
      </c>
      <c r="L89" s="10">
        <v>3.0</v>
      </c>
      <c r="M89" s="10" t="s">
        <v>85</v>
      </c>
      <c r="N89" s="10" t="s">
        <v>455</v>
      </c>
      <c r="O89" s="10" t="s">
        <v>456</v>
      </c>
      <c r="P89" s="11" t="str">
        <f>IFERROR(__xludf.DUMMYFUNCTION("JOIN("" "",N89:O89)"),"TANGUY Jean-Philippe")</f>
        <v>TANGUY Jean-Philippe</v>
      </c>
      <c r="Q89" s="11">
        <v>31496.0</v>
      </c>
      <c r="R89" s="10" t="s">
        <v>457</v>
      </c>
      <c r="T89" s="10" t="s">
        <v>82</v>
      </c>
    </row>
    <row r="90">
      <c r="A90" s="9">
        <v>42318.714907407404</v>
      </c>
      <c r="B90" s="10">
        <v>32.0</v>
      </c>
      <c r="C90" s="10" t="s">
        <v>434</v>
      </c>
      <c r="D90" s="10">
        <v>59.0</v>
      </c>
      <c r="E90" s="10" t="s">
        <v>435</v>
      </c>
      <c r="F90" s="10">
        <v>8.0</v>
      </c>
      <c r="G90" s="10">
        <v>7.0</v>
      </c>
      <c r="H90" s="10" t="s">
        <v>362</v>
      </c>
      <c r="I90" s="10" t="s">
        <v>362</v>
      </c>
      <c r="J90" s="10" t="s">
        <v>41</v>
      </c>
      <c r="K90" s="10" t="s">
        <v>77</v>
      </c>
      <c r="L90" s="10">
        <v>1.0</v>
      </c>
      <c r="M90" s="10" t="s">
        <v>85</v>
      </c>
      <c r="N90" s="10" t="s">
        <v>458</v>
      </c>
      <c r="O90" s="10" t="s">
        <v>370</v>
      </c>
      <c r="P90" s="11" t="str">
        <f>IFERROR(__xludf.DUMMYFUNCTION("JOIN("" "",N90:O90)"),"BLONDEL Sylvain")</f>
        <v>BLONDEL Sylvain</v>
      </c>
      <c r="Q90" s="11">
        <v>29542.0</v>
      </c>
      <c r="R90" s="10" t="s">
        <v>81</v>
      </c>
      <c r="T90" s="10" t="s">
        <v>82</v>
      </c>
    </row>
    <row r="91">
      <c r="A91" s="9">
        <v>42318.714907407404</v>
      </c>
      <c r="B91" s="10">
        <v>32.0</v>
      </c>
      <c r="C91" s="10" t="s">
        <v>434</v>
      </c>
      <c r="D91" s="10">
        <v>59.0</v>
      </c>
      <c r="E91" s="10" t="s">
        <v>435</v>
      </c>
      <c r="F91" s="10">
        <v>9.0</v>
      </c>
      <c r="G91" s="10">
        <v>10.0</v>
      </c>
      <c r="H91" s="10" t="s">
        <v>459</v>
      </c>
      <c r="I91" s="10" t="s">
        <v>460</v>
      </c>
      <c r="J91" s="10" t="s">
        <v>11</v>
      </c>
      <c r="K91" s="10" t="s">
        <v>77</v>
      </c>
      <c r="L91" s="10">
        <v>2.0</v>
      </c>
      <c r="M91" s="10" t="s">
        <v>78</v>
      </c>
      <c r="N91" s="10" t="s">
        <v>461</v>
      </c>
      <c r="O91" s="10" t="s">
        <v>80</v>
      </c>
      <c r="P91" s="11" t="str">
        <f>IFERROR(__xludf.DUMMYFUNCTION("JOIN("" "",N91:O91)"),"ROUSSEAU Sandrine")</f>
        <v>ROUSSEAU Sandrine</v>
      </c>
      <c r="Q91" s="11">
        <v>26366.0</v>
      </c>
      <c r="R91" s="10" t="s">
        <v>397</v>
      </c>
      <c r="T91" s="10" t="s">
        <v>100</v>
      </c>
    </row>
    <row r="92">
      <c r="A92" s="9">
        <v>42318.714907407404</v>
      </c>
      <c r="B92" s="10">
        <v>28.0</v>
      </c>
      <c r="C92" s="10" t="s">
        <v>462</v>
      </c>
      <c r="D92" s="10">
        <v>27.0</v>
      </c>
      <c r="E92" s="10" t="s">
        <v>463</v>
      </c>
      <c r="F92" s="10">
        <v>1.0</v>
      </c>
      <c r="G92" s="10">
        <v>5.0</v>
      </c>
      <c r="H92" s="10" t="s">
        <v>90</v>
      </c>
      <c r="I92" s="10" t="s">
        <v>91</v>
      </c>
      <c r="J92" s="10" t="s">
        <v>39</v>
      </c>
      <c r="K92" s="10" t="s">
        <v>77</v>
      </c>
      <c r="L92" s="10">
        <v>1.0</v>
      </c>
      <c r="M92" s="10" t="s">
        <v>85</v>
      </c>
      <c r="N92" s="10" t="s">
        <v>464</v>
      </c>
      <c r="O92" s="10" t="s">
        <v>133</v>
      </c>
      <c r="P92" s="11" t="str">
        <f>IFERROR(__xludf.DUMMYFUNCTION("JOIN("" "",N92:O92)"),"CALBRIX Nicolas")</f>
        <v>CALBRIX Nicolas</v>
      </c>
      <c r="Q92" s="11">
        <v>30967.0</v>
      </c>
      <c r="R92" s="10" t="s">
        <v>134</v>
      </c>
      <c r="T92" s="10" t="s">
        <v>82</v>
      </c>
    </row>
    <row r="93">
      <c r="A93" s="9">
        <v>42318.714907407404</v>
      </c>
      <c r="B93" s="10">
        <v>28.0</v>
      </c>
      <c r="C93" s="10" t="s">
        <v>462</v>
      </c>
      <c r="D93" s="10">
        <v>50.0</v>
      </c>
      <c r="E93" s="10" t="s">
        <v>465</v>
      </c>
      <c r="F93" s="10">
        <v>2.0</v>
      </c>
      <c r="G93" s="10">
        <v>10.0</v>
      </c>
      <c r="H93" s="10" t="s">
        <v>466</v>
      </c>
      <c r="I93" s="10" t="s">
        <v>466</v>
      </c>
      <c r="J93" s="10" t="s">
        <v>19</v>
      </c>
      <c r="K93" s="10" t="s">
        <v>77</v>
      </c>
      <c r="L93" s="10">
        <v>1.0</v>
      </c>
      <c r="M93" s="10" t="s">
        <v>78</v>
      </c>
      <c r="N93" s="10" t="s">
        <v>467</v>
      </c>
      <c r="O93" s="10" t="s">
        <v>468</v>
      </c>
      <c r="P93" s="11" t="str">
        <f>IFERROR(__xludf.DUMMYFUNCTION("JOIN("" "",N93:O93)"),"LECOEUR Alexandra")</f>
        <v>LECOEUR Alexandra</v>
      </c>
      <c r="Q93" s="11">
        <v>26293.0</v>
      </c>
      <c r="R93" s="10" t="s">
        <v>253</v>
      </c>
      <c r="T93" s="10" t="s">
        <v>82</v>
      </c>
    </row>
    <row r="94">
      <c r="A94" s="9">
        <v>42318.714907407404</v>
      </c>
      <c r="B94" s="10">
        <v>28.0</v>
      </c>
      <c r="C94" s="10" t="s">
        <v>462</v>
      </c>
      <c r="D94" s="10">
        <v>61.0</v>
      </c>
      <c r="E94" s="10" t="s">
        <v>469</v>
      </c>
      <c r="F94" s="10">
        <v>3.0</v>
      </c>
      <c r="G94" s="10">
        <v>4.0</v>
      </c>
      <c r="H94" s="10" t="s">
        <v>470</v>
      </c>
      <c r="I94" s="10" t="s">
        <v>471</v>
      </c>
      <c r="J94" s="10" t="s">
        <v>21</v>
      </c>
      <c r="K94" s="10" t="s">
        <v>77</v>
      </c>
      <c r="L94" s="10">
        <v>1.0</v>
      </c>
      <c r="M94" s="10" t="s">
        <v>85</v>
      </c>
      <c r="N94" s="10" t="s">
        <v>472</v>
      </c>
      <c r="O94" s="10" t="s">
        <v>473</v>
      </c>
      <c r="P94" s="11" t="str">
        <f>IFERROR(__xludf.DUMMYFUNCTION("JOIN("" "",N94:O94)"),"SOUBIEN Yanic")</f>
        <v>SOUBIEN Yanic</v>
      </c>
      <c r="Q94" s="11">
        <v>21773.0</v>
      </c>
      <c r="R94" s="10" t="s">
        <v>474</v>
      </c>
      <c r="T94" s="10" t="s">
        <v>100</v>
      </c>
    </row>
    <row r="95">
      <c r="A95" s="9">
        <v>42318.714907407404</v>
      </c>
      <c r="B95" s="10">
        <v>28.0</v>
      </c>
      <c r="C95" s="10" t="s">
        <v>462</v>
      </c>
      <c r="D95" s="10">
        <v>76.0</v>
      </c>
      <c r="E95" s="10" t="s">
        <v>475</v>
      </c>
      <c r="F95" s="10">
        <v>4.0</v>
      </c>
      <c r="G95" s="10">
        <v>2.0</v>
      </c>
      <c r="H95" s="10" t="s">
        <v>389</v>
      </c>
      <c r="I95" s="10" t="s">
        <v>476</v>
      </c>
      <c r="J95" s="10" t="s">
        <v>3</v>
      </c>
      <c r="K95" s="10" t="s">
        <v>77</v>
      </c>
      <c r="L95" s="10">
        <v>2.0</v>
      </c>
      <c r="M95" s="10" t="s">
        <v>85</v>
      </c>
      <c r="N95" s="10" t="s">
        <v>477</v>
      </c>
      <c r="O95" s="10" t="s">
        <v>478</v>
      </c>
      <c r="P95" s="11" t="str">
        <f>IFERROR(__xludf.DUMMYFUNCTION("JOIN("" "",N95:O95)"),"LE MANACH Pascal")</f>
        <v>LE MANACH Pascal</v>
      </c>
      <c r="Q95" s="11">
        <v>24361.0</v>
      </c>
      <c r="R95" s="10" t="s">
        <v>117</v>
      </c>
      <c r="T95" s="10" t="s">
        <v>82</v>
      </c>
    </row>
    <row r="96">
      <c r="A96" s="9">
        <v>42318.714907407404</v>
      </c>
      <c r="B96" s="10">
        <v>28.0</v>
      </c>
      <c r="C96" s="10" t="s">
        <v>462</v>
      </c>
      <c r="D96" s="10">
        <v>76.0</v>
      </c>
      <c r="E96" s="10" t="s">
        <v>475</v>
      </c>
      <c r="F96" s="10">
        <v>5.0</v>
      </c>
      <c r="G96" s="10">
        <v>9.0</v>
      </c>
      <c r="H96" s="10" t="s">
        <v>479</v>
      </c>
      <c r="I96" s="10" t="s">
        <v>480</v>
      </c>
      <c r="J96" s="10" t="s">
        <v>15</v>
      </c>
      <c r="K96" s="10" t="s">
        <v>77</v>
      </c>
      <c r="L96" s="10">
        <v>1.0</v>
      </c>
      <c r="M96" s="10" t="s">
        <v>85</v>
      </c>
      <c r="N96" s="10" t="s">
        <v>481</v>
      </c>
      <c r="O96" s="10" t="s">
        <v>133</v>
      </c>
      <c r="P96" s="11" t="str">
        <f>IFERROR(__xludf.DUMMYFUNCTION("JOIN("" "",N96:O96)"),"MAYER-ROSSIGNOL Nicolas")</f>
        <v>MAYER-ROSSIGNOL Nicolas</v>
      </c>
      <c r="Q96" s="11">
        <v>28223.0</v>
      </c>
      <c r="R96" s="10" t="s">
        <v>122</v>
      </c>
      <c r="S96" s="10" t="s">
        <v>127</v>
      </c>
      <c r="T96" s="10" t="s">
        <v>100</v>
      </c>
    </row>
    <row r="97">
      <c r="A97" s="9">
        <v>42318.714907407404</v>
      </c>
      <c r="B97" s="10">
        <v>28.0</v>
      </c>
      <c r="C97" s="10" t="s">
        <v>462</v>
      </c>
      <c r="D97" s="10">
        <v>76.0</v>
      </c>
      <c r="E97" s="10" t="s">
        <v>475</v>
      </c>
      <c r="F97" s="10">
        <v>6.0</v>
      </c>
      <c r="G97" s="10">
        <v>3.0</v>
      </c>
      <c r="H97" s="10" t="s">
        <v>482</v>
      </c>
      <c r="I97" s="10" t="s">
        <v>483</v>
      </c>
      <c r="J97" s="10" t="s">
        <v>43</v>
      </c>
      <c r="K97" s="10" t="s">
        <v>77</v>
      </c>
      <c r="L97" s="10">
        <v>1.0</v>
      </c>
      <c r="M97" s="10" t="s">
        <v>85</v>
      </c>
      <c r="N97" s="10" t="s">
        <v>484</v>
      </c>
      <c r="O97" s="10" t="s">
        <v>133</v>
      </c>
      <c r="P97" s="11" t="str">
        <f>IFERROR(__xludf.DUMMYFUNCTION("JOIN("" "",N97:O97)"),"BAY Nicolas")</f>
        <v>BAY Nicolas</v>
      </c>
      <c r="Q97" s="11">
        <v>28480.0</v>
      </c>
      <c r="R97" s="10" t="s">
        <v>139</v>
      </c>
      <c r="S97" s="10" t="s">
        <v>106</v>
      </c>
      <c r="T97" s="10" t="s">
        <v>100</v>
      </c>
    </row>
    <row r="98">
      <c r="A98" s="9">
        <v>42318.714907407404</v>
      </c>
      <c r="B98" s="10">
        <v>28.0</v>
      </c>
      <c r="C98" s="10" t="s">
        <v>462</v>
      </c>
      <c r="D98" s="10">
        <v>76.0</v>
      </c>
      <c r="E98" s="10" t="s">
        <v>475</v>
      </c>
      <c r="F98" s="10">
        <v>7.0</v>
      </c>
      <c r="G98" s="10">
        <v>8.0</v>
      </c>
      <c r="H98" s="10" t="s">
        <v>485</v>
      </c>
      <c r="I98" s="10" t="s">
        <v>486</v>
      </c>
      <c r="J98" s="10" t="s">
        <v>5</v>
      </c>
      <c r="K98" s="10" t="s">
        <v>77</v>
      </c>
      <c r="L98" s="10">
        <v>1.0</v>
      </c>
      <c r="M98" s="10" t="s">
        <v>85</v>
      </c>
      <c r="N98" s="10" t="s">
        <v>487</v>
      </c>
      <c r="O98" s="10" t="s">
        <v>488</v>
      </c>
      <c r="P98" s="11" t="str">
        <f>IFERROR(__xludf.DUMMYFUNCTION("JOIN("" "",N98:O98)"),"JUMEL Sébastien")</f>
        <v>JUMEL Sébastien</v>
      </c>
      <c r="Q98" s="11">
        <v>26287.0</v>
      </c>
      <c r="R98" s="10" t="s">
        <v>139</v>
      </c>
      <c r="T98" s="10" t="s">
        <v>82</v>
      </c>
    </row>
    <row r="99">
      <c r="A99" s="9">
        <v>42318.714907407404</v>
      </c>
      <c r="B99" s="10">
        <v>28.0</v>
      </c>
      <c r="C99" s="10" t="s">
        <v>462</v>
      </c>
      <c r="D99" s="10">
        <v>27.0</v>
      </c>
      <c r="E99" s="10" t="s">
        <v>463</v>
      </c>
      <c r="F99" s="10">
        <v>8.0</v>
      </c>
      <c r="G99" s="10">
        <v>7.0</v>
      </c>
      <c r="H99" s="10" t="s">
        <v>489</v>
      </c>
      <c r="I99" s="10" t="s">
        <v>490</v>
      </c>
      <c r="J99" s="10" t="s">
        <v>37</v>
      </c>
      <c r="K99" s="10" t="s">
        <v>77</v>
      </c>
      <c r="L99" s="10">
        <v>1.0</v>
      </c>
      <c r="M99" s="10" t="s">
        <v>85</v>
      </c>
      <c r="N99" s="10" t="s">
        <v>491</v>
      </c>
      <c r="O99" s="10" t="s">
        <v>492</v>
      </c>
      <c r="P99" s="11" t="str">
        <f>IFERROR(__xludf.DUMMYFUNCTION("JOIN("" "",N99:O99)"),"MORIN Hervé")</f>
        <v>MORIN Hervé</v>
      </c>
      <c r="Q99" s="11">
        <v>22510.0</v>
      </c>
      <c r="R99" s="10" t="s">
        <v>126</v>
      </c>
      <c r="S99" s="10" t="s">
        <v>207</v>
      </c>
      <c r="T99" s="10" t="s">
        <v>82</v>
      </c>
    </row>
    <row r="100">
      <c r="A100" s="9">
        <v>42318.714907407404</v>
      </c>
      <c r="B100" s="10">
        <v>28.0</v>
      </c>
      <c r="C100" s="10" t="s">
        <v>462</v>
      </c>
      <c r="D100" s="10">
        <v>61.0</v>
      </c>
      <c r="E100" s="10" t="s">
        <v>469</v>
      </c>
      <c r="F100" s="10">
        <v>9.0</v>
      </c>
      <c r="G100" s="10">
        <v>6.0</v>
      </c>
      <c r="H100" s="10" t="s">
        <v>107</v>
      </c>
      <c r="I100" s="10" t="s">
        <v>493</v>
      </c>
      <c r="J100" s="10" t="s">
        <v>25</v>
      </c>
      <c r="K100" s="10" t="s">
        <v>77</v>
      </c>
      <c r="L100" s="10">
        <v>1.0</v>
      </c>
      <c r="M100" s="10" t="s">
        <v>85</v>
      </c>
      <c r="N100" s="10" t="s">
        <v>494</v>
      </c>
      <c r="O100" s="10" t="s">
        <v>495</v>
      </c>
      <c r="P100" s="11" t="str">
        <f>IFERROR(__xludf.DUMMYFUNCTION("JOIN("" "",N100:O100)"),"LOUTRE Jean-Christophe")</f>
        <v>LOUTRE Jean-Christophe</v>
      </c>
      <c r="Q100" s="11">
        <v>25201.0</v>
      </c>
      <c r="R100" s="10" t="s">
        <v>134</v>
      </c>
      <c r="T100" s="10" t="s">
        <v>82</v>
      </c>
    </row>
    <row r="101">
      <c r="A101" s="9">
        <v>42318.714907407404</v>
      </c>
      <c r="B101" s="10">
        <v>52.0</v>
      </c>
      <c r="C101" s="10" t="s">
        <v>496</v>
      </c>
      <c r="D101" s="10">
        <v>72.0</v>
      </c>
      <c r="E101" s="10" t="s">
        <v>497</v>
      </c>
      <c r="F101" s="10">
        <v>1.0</v>
      </c>
      <c r="G101" s="10">
        <v>7.0</v>
      </c>
      <c r="H101" s="10" t="s">
        <v>165</v>
      </c>
      <c r="I101" s="10" t="s">
        <v>498</v>
      </c>
      <c r="J101" s="10" t="s">
        <v>43</v>
      </c>
      <c r="K101" s="10" t="s">
        <v>77</v>
      </c>
      <c r="L101" s="10">
        <v>1.0</v>
      </c>
      <c r="M101" s="10" t="s">
        <v>85</v>
      </c>
      <c r="N101" s="10" t="s">
        <v>499</v>
      </c>
      <c r="O101" s="10" t="s">
        <v>478</v>
      </c>
      <c r="P101" s="11" t="str">
        <f>IFERROR(__xludf.DUMMYFUNCTION("JOIN("" "",N101:O101)"),"GANNAT Pascal")</f>
        <v>GANNAT Pascal</v>
      </c>
      <c r="Q101" s="11">
        <v>20297.0</v>
      </c>
      <c r="R101" s="10" t="s">
        <v>81</v>
      </c>
      <c r="T101" s="10" t="s">
        <v>82</v>
      </c>
    </row>
    <row r="102">
      <c r="A102" s="9">
        <v>42318.714907407404</v>
      </c>
      <c r="B102" s="10">
        <v>52.0</v>
      </c>
      <c r="C102" s="10" t="s">
        <v>496</v>
      </c>
      <c r="D102" s="10">
        <v>44.0</v>
      </c>
      <c r="E102" s="10" t="s">
        <v>500</v>
      </c>
      <c r="F102" s="10">
        <v>2.0</v>
      </c>
      <c r="G102" s="10">
        <v>9.0</v>
      </c>
      <c r="H102" s="10" t="s">
        <v>501</v>
      </c>
      <c r="I102" s="10" t="s">
        <v>502</v>
      </c>
      <c r="J102" s="10" t="s">
        <v>28</v>
      </c>
      <c r="K102" s="10" t="s">
        <v>77</v>
      </c>
      <c r="L102" s="10">
        <v>1.0</v>
      </c>
      <c r="M102" s="10" t="s">
        <v>85</v>
      </c>
      <c r="N102" s="10" t="s">
        <v>503</v>
      </c>
      <c r="O102" s="10" t="s">
        <v>293</v>
      </c>
      <c r="P102" s="11" t="str">
        <f>IFERROR(__xludf.DUMMYFUNCTION("JOIN("" "",N102:O102)"),"DENIGOT Gilles")</f>
        <v>DENIGOT Gilles</v>
      </c>
      <c r="Q102" s="11">
        <v>17768.0</v>
      </c>
      <c r="R102" s="10" t="s">
        <v>88</v>
      </c>
      <c r="T102" s="10" t="s">
        <v>82</v>
      </c>
    </row>
    <row r="103">
      <c r="A103" s="9">
        <v>42318.71491898148</v>
      </c>
      <c r="B103" s="10">
        <v>52.0</v>
      </c>
      <c r="C103" s="10" t="s">
        <v>496</v>
      </c>
      <c r="D103" s="10">
        <v>72.0</v>
      </c>
      <c r="E103" s="10" t="s">
        <v>497</v>
      </c>
      <c r="F103" s="10">
        <v>3.0</v>
      </c>
      <c r="G103" s="10">
        <v>3.0</v>
      </c>
      <c r="H103" s="10" t="s">
        <v>90</v>
      </c>
      <c r="I103" s="10" t="s">
        <v>91</v>
      </c>
      <c r="J103" s="10" t="s">
        <v>39</v>
      </c>
      <c r="K103" s="10" t="s">
        <v>77</v>
      </c>
      <c r="L103" s="10">
        <v>1.0</v>
      </c>
      <c r="M103" s="10" t="s">
        <v>78</v>
      </c>
      <c r="N103" s="10" t="s">
        <v>504</v>
      </c>
      <c r="O103" s="10" t="s">
        <v>196</v>
      </c>
      <c r="P103" s="11" t="str">
        <f>IFERROR(__xludf.DUMMYFUNCTION("JOIN("" "",N103:O103)"),"BAYLE DE JESSÉ Cécile")</f>
        <v>BAYLE DE JESSÉ Cécile</v>
      </c>
      <c r="Q103" s="11">
        <v>17583.0</v>
      </c>
      <c r="R103" s="10" t="s">
        <v>505</v>
      </c>
      <c r="T103" s="10" t="s">
        <v>82</v>
      </c>
    </row>
    <row r="104">
      <c r="A104" s="9">
        <v>42318.71491898148</v>
      </c>
      <c r="B104" s="10">
        <v>52.0</v>
      </c>
      <c r="C104" s="10" t="s">
        <v>496</v>
      </c>
      <c r="D104" s="10">
        <v>49.0</v>
      </c>
      <c r="E104" s="10" t="s">
        <v>506</v>
      </c>
      <c r="F104" s="10">
        <v>4.0</v>
      </c>
      <c r="G104" s="10">
        <v>8.0</v>
      </c>
      <c r="H104" s="10" t="s">
        <v>304</v>
      </c>
      <c r="I104" s="10" t="s">
        <v>507</v>
      </c>
      <c r="J104" s="10" t="s">
        <v>9</v>
      </c>
      <c r="K104" s="10" t="s">
        <v>77</v>
      </c>
      <c r="L104" s="10">
        <v>1.0</v>
      </c>
      <c r="M104" s="10" t="s">
        <v>85</v>
      </c>
      <c r="N104" s="10" t="s">
        <v>508</v>
      </c>
      <c r="O104" s="10" t="s">
        <v>138</v>
      </c>
      <c r="P104" s="11" t="str">
        <f>IFERROR(__xludf.DUMMYFUNCTION("JOIN("" "",N104:O104)"),"PAGANO Alain")</f>
        <v>PAGANO Alain</v>
      </c>
      <c r="Q104" s="11">
        <v>25363.0</v>
      </c>
      <c r="R104" s="10" t="s">
        <v>397</v>
      </c>
      <c r="T104" s="10" t="s">
        <v>82</v>
      </c>
    </row>
    <row r="105">
      <c r="A105" s="9">
        <v>42318.71491898148</v>
      </c>
      <c r="B105" s="10">
        <v>52.0</v>
      </c>
      <c r="C105" s="10" t="s">
        <v>496</v>
      </c>
      <c r="D105" s="10">
        <v>44.0</v>
      </c>
      <c r="E105" s="10" t="s">
        <v>500</v>
      </c>
      <c r="F105" s="10">
        <v>5.0</v>
      </c>
      <c r="G105" s="10">
        <v>6.0</v>
      </c>
      <c r="H105" s="10" t="s">
        <v>389</v>
      </c>
      <c r="I105" s="10" t="s">
        <v>114</v>
      </c>
      <c r="J105" s="10" t="s">
        <v>3</v>
      </c>
      <c r="K105" s="10" t="s">
        <v>77</v>
      </c>
      <c r="L105" s="10">
        <v>1.0</v>
      </c>
      <c r="M105" s="10" t="s">
        <v>85</v>
      </c>
      <c r="N105" s="10" t="s">
        <v>509</v>
      </c>
      <c r="O105" s="10" t="s">
        <v>510</v>
      </c>
      <c r="P105" s="11" t="str">
        <f>IFERROR(__xludf.DUMMYFUNCTION("JOIN("" "",N105:O105)"),"LE BELLER Eddy")</f>
        <v>LE BELLER Eddy</v>
      </c>
      <c r="Q105" s="11">
        <v>25222.0</v>
      </c>
      <c r="R105" s="10" t="s">
        <v>511</v>
      </c>
      <c r="T105" s="10" t="s">
        <v>82</v>
      </c>
    </row>
    <row r="106">
      <c r="A106" s="9">
        <v>42318.71491898148</v>
      </c>
      <c r="B106" s="10">
        <v>52.0</v>
      </c>
      <c r="C106" s="10" t="s">
        <v>496</v>
      </c>
      <c r="D106" s="10">
        <v>85.0</v>
      </c>
      <c r="E106" s="10" t="s">
        <v>512</v>
      </c>
      <c r="F106" s="10">
        <v>6.0</v>
      </c>
      <c r="G106" s="10">
        <v>5.0</v>
      </c>
      <c r="H106" s="10" t="s">
        <v>513</v>
      </c>
      <c r="I106" s="10" t="s">
        <v>514</v>
      </c>
      <c r="J106" s="10" t="s">
        <v>37</v>
      </c>
      <c r="K106" s="10" t="s">
        <v>77</v>
      </c>
      <c r="L106" s="10">
        <v>1.0</v>
      </c>
      <c r="M106" s="10" t="s">
        <v>85</v>
      </c>
      <c r="N106" s="10" t="s">
        <v>515</v>
      </c>
      <c r="O106" s="10" t="s">
        <v>516</v>
      </c>
      <c r="P106" s="11" t="str">
        <f>IFERROR(__xludf.DUMMYFUNCTION("JOIN("" "",N106:O106)"),"RETAILLEAU Bruno")</f>
        <v>RETAILLEAU Bruno</v>
      </c>
      <c r="Q106" s="11">
        <v>22240.0</v>
      </c>
      <c r="R106" s="10" t="s">
        <v>126</v>
      </c>
      <c r="S106" s="10" t="s">
        <v>197</v>
      </c>
      <c r="T106" s="10" t="s">
        <v>82</v>
      </c>
    </row>
    <row r="107">
      <c r="A107" s="9">
        <v>42318.71491898148</v>
      </c>
      <c r="B107" s="10">
        <v>52.0</v>
      </c>
      <c r="C107" s="10" t="s">
        <v>496</v>
      </c>
      <c r="D107" s="10">
        <v>44.0</v>
      </c>
      <c r="E107" s="10" t="s">
        <v>500</v>
      </c>
      <c r="F107" s="10">
        <v>7.0</v>
      </c>
      <c r="G107" s="10">
        <v>4.0</v>
      </c>
      <c r="H107" s="10" t="s">
        <v>517</v>
      </c>
      <c r="I107" s="10" t="s">
        <v>518</v>
      </c>
      <c r="J107" s="10" t="s">
        <v>15</v>
      </c>
      <c r="K107" s="10" t="s">
        <v>77</v>
      </c>
      <c r="L107" s="10">
        <v>1.0</v>
      </c>
      <c r="M107" s="10" t="s">
        <v>85</v>
      </c>
      <c r="N107" s="10" t="s">
        <v>519</v>
      </c>
      <c r="O107" s="10" t="s">
        <v>191</v>
      </c>
      <c r="P107" s="11" t="str">
        <f>IFERROR(__xludf.DUMMYFUNCTION("JOIN("" "",N107:O107)"),"CLERGEAU Christophe")</f>
        <v>CLERGEAU Christophe</v>
      </c>
      <c r="Q107" s="11">
        <v>25082.0</v>
      </c>
      <c r="R107" s="10" t="s">
        <v>397</v>
      </c>
      <c r="T107" s="10" t="s">
        <v>100</v>
      </c>
    </row>
    <row r="108">
      <c r="A108" s="9">
        <v>42318.71491898148</v>
      </c>
      <c r="B108" s="10">
        <v>52.0</v>
      </c>
      <c r="C108" s="10" t="s">
        <v>496</v>
      </c>
      <c r="D108" s="10">
        <v>44.0</v>
      </c>
      <c r="E108" s="10" t="s">
        <v>500</v>
      </c>
      <c r="F108" s="10">
        <v>8.0</v>
      </c>
      <c r="G108" s="10">
        <v>10.0</v>
      </c>
      <c r="H108" s="10" t="s">
        <v>520</v>
      </c>
      <c r="I108" s="10" t="s">
        <v>520</v>
      </c>
      <c r="J108" s="10" t="s">
        <v>3</v>
      </c>
      <c r="K108" s="10" t="s">
        <v>77</v>
      </c>
      <c r="L108" s="10">
        <v>4.0</v>
      </c>
      <c r="M108" s="10" t="s">
        <v>85</v>
      </c>
      <c r="N108" s="10" t="s">
        <v>521</v>
      </c>
      <c r="O108" s="10" t="s">
        <v>149</v>
      </c>
      <c r="P108" s="11" t="str">
        <f>IFERROR(__xludf.DUMMYFUNCTION("JOIN("" "",N108:O108)"),"TERRIEN Olivier")</f>
        <v>TERRIEN Olivier</v>
      </c>
      <c r="Q108" s="11">
        <v>25873.0</v>
      </c>
      <c r="R108" s="10" t="s">
        <v>202</v>
      </c>
      <c r="T108" s="10" t="s">
        <v>82</v>
      </c>
    </row>
    <row r="109">
      <c r="A109" s="9">
        <v>42318.71491898148</v>
      </c>
      <c r="B109" s="10">
        <v>52.0</v>
      </c>
      <c r="C109" s="10" t="s">
        <v>496</v>
      </c>
      <c r="D109" s="10">
        <v>72.0</v>
      </c>
      <c r="E109" s="10" t="s">
        <v>497</v>
      </c>
      <c r="F109" s="10">
        <v>9.0</v>
      </c>
      <c r="G109" s="10">
        <v>12.0</v>
      </c>
      <c r="H109" s="10" t="s">
        <v>522</v>
      </c>
      <c r="I109" s="10" t="s">
        <v>523</v>
      </c>
      <c r="J109" s="10" t="s">
        <v>21</v>
      </c>
      <c r="K109" s="10" t="s">
        <v>77</v>
      </c>
      <c r="L109" s="10">
        <v>1.0</v>
      </c>
      <c r="M109" s="10" t="s">
        <v>78</v>
      </c>
      <c r="N109" s="10" t="s">
        <v>524</v>
      </c>
      <c r="O109" s="10" t="s">
        <v>227</v>
      </c>
      <c r="P109" s="11" t="str">
        <f>IFERROR(__xludf.DUMMYFUNCTION("JOIN("" "",N109:O109)"),"BRINGUY Sophie")</f>
        <v>BRINGUY Sophie</v>
      </c>
      <c r="Q109" s="11">
        <v>29062.0</v>
      </c>
      <c r="R109" s="10" t="s">
        <v>525</v>
      </c>
      <c r="T109" s="10" t="s">
        <v>100</v>
      </c>
    </row>
    <row r="110">
      <c r="A110" s="9">
        <v>42318.71491898148</v>
      </c>
      <c r="B110" s="10">
        <v>52.0</v>
      </c>
      <c r="C110" s="10" t="s">
        <v>496</v>
      </c>
      <c r="D110" s="10">
        <v>44.0</v>
      </c>
      <c r="E110" s="10" t="s">
        <v>500</v>
      </c>
      <c r="F110" s="10">
        <v>10.0</v>
      </c>
      <c r="G110" s="10">
        <v>2.0</v>
      </c>
      <c r="H110" s="10" t="s">
        <v>107</v>
      </c>
      <c r="I110" s="10" t="s">
        <v>180</v>
      </c>
      <c r="J110" s="10" t="s">
        <v>25</v>
      </c>
      <c r="K110" s="10" t="s">
        <v>77</v>
      </c>
      <c r="L110" s="10">
        <v>1.0</v>
      </c>
      <c r="M110" s="10" t="s">
        <v>85</v>
      </c>
      <c r="N110" s="10" t="s">
        <v>526</v>
      </c>
      <c r="O110" s="10" t="s">
        <v>138</v>
      </c>
      <c r="P110" s="11" t="str">
        <f>IFERROR(__xludf.DUMMYFUNCTION("JOIN("" "",N110:O110)"),"PARISOT Alain")</f>
        <v>PARISOT Alain</v>
      </c>
      <c r="Q110" s="11">
        <v>22891.0</v>
      </c>
      <c r="R110" s="10" t="s">
        <v>505</v>
      </c>
      <c r="T110" s="10" t="s">
        <v>82</v>
      </c>
    </row>
    <row r="111">
      <c r="A111" s="9">
        <v>42318.71491898148</v>
      </c>
      <c r="B111" s="10">
        <v>93.0</v>
      </c>
      <c r="C111" s="10" t="s">
        <v>527</v>
      </c>
      <c r="D111" s="10">
        <v>6.0</v>
      </c>
      <c r="E111" s="10" t="s">
        <v>528</v>
      </c>
      <c r="F111" s="10">
        <v>1.0</v>
      </c>
      <c r="G111" s="10">
        <v>10.0</v>
      </c>
      <c r="H111" s="10" t="s">
        <v>529</v>
      </c>
      <c r="I111" s="10" t="s">
        <v>530</v>
      </c>
      <c r="J111" s="10" t="s">
        <v>23</v>
      </c>
      <c r="K111" s="10" t="s">
        <v>77</v>
      </c>
      <c r="L111" s="10">
        <v>1.0</v>
      </c>
      <c r="M111" s="10" t="s">
        <v>85</v>
      </c>
      <c r="N111" s="10" t="s">
        <v>531</v>
      </c>
      <c r="O111" s="10" t="s">
        <v>532</v>
      </c>
      <c r="P111" s="11" t="str">
        <f>IFERROR(__xludf.DUMMYFUNCTION("JOIN("" "",N111:O111)"),"GOVERNATORI Jean Marc")</f>
        <v>GOVERNATORI Jean Marc</v>
      </c>
      <c r="Q111" s="11">
        <v>21547.0</v>
      </c>
      <c r="R111" s="10" t="s">
        <v>525</v>
      </c>
      <c r="T111" s="10" t="s">
        <v>82</v>
      </c>
    </row>
    <row r="112">
      <c r="A112" s="9">
        <v>42318.71491898148</v>
      </c>
      <c r="B112" s="10">
        <v>93.0</v>
      </c>
      <c r="C112" s="10" t="s">
        <v>527</v>
      </c>
      <c r="D112" s="10">
        <v>13.0</v>
      </c>
      <c r="E112" s="10" t="s">
        <v>533</v>
      </c>
      <c r="F112" s="10">
        <v>2.0</v>
      </c>
      <c r="G112" s="10">
        <v>3.0</v>
      </c>
      <c r="H112" s="10" t="s">
        <v>113</v>
      </c>
      <c r="I112" s="10" t="s">
        <v>114</v>
      </c>
      <c r="J112" s="10" t="s">
        <v>3</v>
      </c>
      <c r="K112" s="10" t="s">
        <v>77</v>
      </c>
      <c r="L112" s="10">
        <v>2.0</v>
      </c>
      <c r="M112" s="10" t="s">
        <v>78</v>
      </c>
      <c r="N112" s="10" t="s">
        <v>534</v>
      </c>
      <c r="O112" s="10" t="s">
        <v>535</v>
      </c>
      <c r="P112" s="11" t="str">
        <f>IFERROR(__xludf.DUMMYFUNCTION("JOIN("" "",N112:O112)"),"BONNET Isabelle")</f>
        <v>BONNET Isabelle</v>
      </c>
      <c r="Q112" s="11">
        <v>23918.0</v>
      </c>
      <c r="R112" s="10" t="s">
        <v>164</v>
      </c>
      <c r="T112" s="10" t="s">
        <v>82</v>
      </c>
    </row>
    <row r="113">
      <c r="A113" s="9">
        <v>42318.71491898148</v>
      </c>
      <c r="B113" s="10">
        <v>93.0</v>
      </c>
      <c r="C113" s="10" t="s">
        <v>527</v>
      </c>
      <c r="D113" s="10">
        <v>84.0</v>
      </c>
      <c r="E113" s="10" t="s">
        <v>536</v>
      </c>
      <c r="F113" s="10">
        <v>3.0</v>
      </c>
      <c r="G113" s="10">
        <v>9.0</v>
      </c>
      <c r="H113" s="10" t="s">
        <v>537</v>
      </c>
      <c r="I113" s="10" t="s">
        <v>537</v>
      </c>
      <c r="J113" s="10" t="s">
        <v>45</v>
      </c>
      <c r="K113" s="10" t="s">
        <v>77</v>
      </c>
      <c r="L113" s="10">
        <v>1.0</v>
      </c>
      <c r="M113" s="10" t="s">
        <v>85</v>
      </c>
      <c r="N113" s="10" t="s">
        <v>538</v>
      </c>
      <c r="O113" s="10" t="s">
        <v>167</v>
      </c>
      <c r="P113" s="11" t="str">
        <f>IFERROR(__xludf.DUMMYFUNCTION("JOIN("" "",N113:O113)"),"BOMPARD Jacques")</f>
        <v>BOMPARD Jacques</v>
      </c>
      <c r="Q113" s="11">
        <v>15761.0</v>
      </c>
      <c r="R113" s="10" t="s">
        <v>139</v>
      </c>
      <c r="S113" s="10" t="s">
        <v>207</v>
      </c>
      <c r="T113" s="10" t="s">
        <v>82</v>
      </c>
    </row>
    <row r="114">
      <c r="A114" s="9">
        <v>42318.71491898148</v>
      </c>
      <c r="B114" s="10">
        <v>93.0</v>
      </c>
      <c r="C114" s="10" t="s">
        <v>527</v>
      </c>
      <c r="D114" s="10">
        <v>13.0</v>
      </c>
      <c r="E114" s="10" t="s">
        <v>533</v>
      </c>
      <c r="F114" s="10">
        <v>4.0</v>
      </c>
      <c r="G114" s="10">
        <v>6.0</v>
      </c>
      <c r="H114" s="10" t="s">
        <v>539</v>
      </c>
      <c r="I114" s="10" t="s">
        <v>540</v>
      </c>
      <c r="J114" s="10" t="s">
        <v>11</v>
      </c>
      <c r="K114" s="10" t="s">
        <v>77</v>
      </c>
      <c r="L114" s="10">
        <v>3.0</v>
      </c>
      <c r="M114" s="10" t="s">
        <v>78</v>
      </c>
      <c r="N114" s="10" t="s">
        <v>541</v>
      </c>
      <c r="O114" s="10" t="s">
        <v>227</v>
      </c>
      <c r="P114" s="11" t="str">
        <f>IFERROR(__xludf.DUMMYFUNCTION("JOIN("" "",N114:O114)"),"CAMARD Sophie")</f>
        <v>CAMARD Sophie</v>
      </c>
      <c r="Q114" s="11">
        <v>26642.0</v>
      </c>
      <c r="R114" s="10" t="s">
        <v>377</v>
      </c>
      <c r="T114" s="10" t="s">
        <v>100</v>
      </c>
    </row>
    <row r="115">
      <c r="A115" s="9">
        <v>42318.71491898148</v>
      </c>
      <c r="B115" s="10">
        <v>93.0</v>
      </c>
      <c r="C115" s="10" t="s">
        <v>527</v>
      </c>
      <c r="D115" s="10">
        <v>84.0</v>
      </c>
      <c r="E115" s="10" t="s">
        <v>536</v>
      </c>
      <c r="F115" s="10">
        <v>5.0</v>
      </c>
      <c r="G115" s="10">
        <v>5.0</v>
      </c>
      <c r="H115" s="10" t="s">
        <v>542</v>
      </c>
      <c r="I115" s="10" t="s">
        <v>543</v>
      </c>
      <c r="J115" s="10" t="s">
        <v>43</v>
      </c>
      <c r="K115" s="10" t="s">
        <v>77</v>
      </c>
      <c r="L115" s="10">
        <v>1.0</v>
      </c>
      <c r="M115" s="10" t="s">
        <v>78</v>
      </c>
      <c r="N115" s="10" t="s">
        <v>544</v>
      </c>
      <c r="O115" s="10" t="s">
        <v>545</v>
      </c>
      <c r="P115" s="11" t="str">
        <f>IFERROR(__xludf.DUMMYFUNCTION("JOIN("" "",N115:O115)"),"MARÉCHAL-LE PEN Marion")</f>
        <v>MARÉCHAL-LE PEN Marion</v>
      </c>
      <c r="Q115" s="11">
        <v>32852.0</v>
      </c>
      <c r="R115" s="10" t="s">
        <v>158</v>
      </c>
      <c r="S115" s="10" t="s">
        <v>207</v>
      </c>
      <c r="T115" s="10" t="s">
        <v>82</v>
      </c>
    </row>
    <row r="116">
      <c r="A116" s="9">
        <v>42318.71491898148</v>
      </c>
      <c r="B116" s="10">
        <v>93.0</v>
      </c>
      <c r="C116" s="10" t="s">
        <v>527</v>
      </c>
      <c r="D116" s="10">
        <v>6.0</v>
      </c>
      <c r="E116" s="10" t="s">
        <v>528</v>
      </c>
      <c r="F116" s="10">
        <v>6.0</v>
      </c>
      <c r="G116" s="10">
        <v>8.0</v>
      </c>
      <c r="H116" s="10" t="s">
        <v>546</v>
      </c>
      <c r="I116" s="10" t="s">
        <v>547</v>
      </c>
      <c r="J116" s="10" t="s">
        <v>37</v>
      </c>
      <c r="K116" s="10" t="s">
        <v>77</v>
      </c>
      <c r="L116" s="10">
        <v>1.0</v>
      </c>
      <c r="M116" s="10" t="s">
        <v>85</v>
      </c>
      <c r="N116" s="10" t="s">
        <v>548</v>
      </c>
      <c r="O116" s="10" t="s">
        <v>285</v>
      </c>
      <c r="P116" s="11" t="str">
        <f>IFERROR(__xludf.DUMMYFUNCTION("JOIN("" "",N116:O116)"),"ESTROSI Christian")</f>
        <v>ESTROSI Christian</v>
      </c>
      <c r="Q116" s="11">
        <v>20271.0</v>
      </c>
      <c r="R116" s="10" t="s">
        <v>139</v>
      </c>
      <c r="S116" s="10" t="s">
        <v>207</v>
      </c>
      <c r="T116" s="10" t="s">
        <v>82</v>
      </c>
    </row>
    <row r="117">
      <c r="A117" s="9">
        <v>42318.71491898148</v>
      </c>
      <c r="B117" s="10">
        <v>93.0</v>
      </c>
      <c r="C117" s="10" t="s">
        <v>527</v>
      </c>
      <c r="D117" s="10">
        <v>4.0</v>
      </c>
      <c r="E117" s="10" t="s">
        <v>549</v>
      </c>
      <c r="F117" s="10">
        <v>7.0</v>
      </c>
      <c r="G117" s="10">
        <v>11.0</v>
      </c>
      <c r="H117" s="10" t="s">
        <v>550</v>
      </c>
      <c r="I117" s="10" t="s">
        <v>551</v>
      </c>
      <c r="J117" s="10" t="s">
        <v>15</v>
      </c>
      <c r="K117" s="10" t="s">
        <v>77</v>
      </c>
      <c r="L117" s="10">
        <v>1.0</v>
      </c>
      <c r="M117" s="10" t="s">
        <v>85</v>
      </c>
      <c r="N117" s="10" t="s">
        <v>552</v>
      </c>
      <c r="O117" s="10" t="s">
        <v>191</v>
      </c>
      <c r="P117" s="11" t="str">
        <f>IFERROR(__xludf.DUMMYFUNCTION("JOIN("" "",N117:O117)"),"CASTANER Christophe")</f>
        <v>CASTANER Christophe</v>
      </c>
      <c r="Q117" s="11">
        <v>24110.0</v>
      </c>
      <c r="R117" s="10" t="s">
        <v>139</v>
      </c>
      <c r="S117" s="10" t="s">
        <v>207</v>
      </c>
      <c r="T117" s="10" t="s">
        <v>82</v>
      </c>
    </row>
    <row r="118">
      <c r="A118" s="9">
        <v>42318.71491898148</v>
      </c>
      <c r="B118" s="10">
        <v>93.0</v>
      </c>
      <c r="C118" s="10" t="s">
        <v>527</v>
      </c>
      <c r="D118" s="10">
        <v>13.0</v>
      </c>
      <c r="E118" s="10" t="s">
        <v>533</v>
      </c>
      <c r="F118" s="10">
        <v>8.0</v>
      </c>
      <c r="G118" s="10">
        <v>2.0</v>
      </c>
      <c r="H118" s="10" t="s">
        <v>553</v>
      </c>
      <c r="I118" s="10" t="s">
        <v>554</v>
      </c>
      <c r="J118" s="10" t="s">
        <v>25</v>
      </c>
      <c r="K118" s="10" t="s">
        <v>77</v>
      </c>
      <c r="L118" s="10">
        <v>1.0</v>
      </c>
      <c r="M118" s="10" t="s">
        <v>85</v>
      </c>
      <c r="N118" s="10" t="s">
        <v>555</v>
      </c>
      <c r="O118" s="10" t="s">
        <v>556</v>
      </c>
      <c r="P118" s="11" t="str">
        <f>IFERROR(__xludf.DUMMYFUNCTION("JOIN("" "",N118:O118)"),"ROMANI Daniel")</f>
        <v>ROMANI Daniel</v>
      </c>
      <c r="Q118" s="11">
        <v>22042.0</v>
      </c>
      <c r="R118" s="10" t="s">
        <v>557</v>
      </c>
      <c r="T118" s="10" t="s">
        <v>82</v>
      </c>
    </row>
    <row r="119">
      <c r="A119" s="9">
        <v>42318.71491898148</v>
      </c>
      <c r="B119" s="10">
        <v>93.0</v>
      </c>
      <c r="C119" s="10" t="s">
        <v>527</v>
      </c>
      <c r="D119" s="10">
        <v>13.0</v>
      </c>
      <c r="E119" s="10" t="s">
        <v>533</v>
      </c>
      <c r="F119" s="10">
        <v>9.0</v>
      </c>
      <c r="G119" s="10">
        <v>7.0</v>
      </c>
      <c r="H119" s="10" t="s">
        <v>90</v>
      </c>
      <c r="I119" s="10" t="s">
        <v>91</v>
      </c>
      <c r="J119" s="10" t="s">
        <v>39</v>
      </c>
      <c r="K119" s="10" t="s">
        <v>77</v>
      </c>
      <c r="L119" s="10">
        <v>1.0</v>
      </c>
      <c r="M119" s="10" t="s">
        <v>85</v>
      </c>
      <c r="N119" s="10" t="s">
        <v>558</v>
      </c>
      <c r="O119" s="10" t="s">
        <v>559</v>
      </c>
      <c r="P119" s="11" t="str">
        <f>IFERROR(__xludf.DUMMYFUNCTION("JOIN("" "",N119:O119)"),"CHUISANO Noël")</f>
        <v>CHUISANO Noël</v>
      </c>
      <c r="Q119" s="11">
        <v>21178.0</v>
      </c>
      <c r="R119" s="10" t="s">
        <v>457</v>
      </c>
      <c r="T119" s="10" t="s">
        <v>82</v>
      </c>
    </row>
    <row r="120">
      <c r="A120" s="9">
        <v>42318.71491898148</v>
      </c>
      <c r="B120" s="10">
        <v>93.0</v>
      </c>
      <c r="C120" s="10" t="s">
        <v>527</v>
      </c>
      <c r="D120" s="10">
        <v>13.0</v>
      </c>
      <c r="E120" s="10" t="s">
        <v>533</v>
      </c>
      <c r="F120" s="10">
        <v>10.0</v>
      </c>
      <c r="G120" s="10">
        <v>4.0</v>
      </c>
      <c r="H120" s="10" t="s">
        <v>130</v>
      </c>
      <c r="I120" s="10" t="s">
        <v>560</v>
      </c>
      <c r="J120" s="10" t="s">
        <v>19</v>
      </c>
      <c r="K120" s="10" t="s">
        <v>77</v>
      </c>
      <c r="L120" s="10">
        <v>3.0</v>
      </c>
      <c r="M120" s="10" t="s">
        <v>85</v>
      </c>
      <c r="N120" s="10" t="s">
        <v>561</v>
      </c>
      <c r="O120" s="10" t="s">
        <v>562</v>
      </c>
      <c r="P120" s="11" t="str">
        <f>IFERROR(__xludf.DUMMYFUNCTION("JOIN("" "",N120:O120)"),"JARNY Cyril")</f>
        <v>JARNY Cyril</v>
      </c>
      <c r="Q120" s="11">
        <v>29833.0</v>
      </c>
      <c r="R120" s="10" t="s">
        <v>377</v>
      </c>
      <c r="T120" s="10" t="s">
        <v>82</v>
      </c>
    </row>
    <row r="121">
      <c r="A121" s="9">
        <v>42318.71491898148</v>
      </c>
      <c r="B121" s="10">
        <v>94.0</v>
      </c>
      <c r="C121" s="10" t="s">
        <v>563</v>
      </c>
      <c r="F121" s="10">
        <v>1.0</v>
      </c>
      <c r="G121" s="10">
        <v>2.0</v>
      </c>
      <c r="H121" s="10" t="s">
        <v>101</v>
      </c>
      <c r="I121" s="10" t="s">
        <v>564</v>
      </c>
      <c r="J121" s="10" t="s">
        <v>43</v>
      </c>
      <c r="K121" s="10" t="s">
        <v>77</v>
      </c>
      <c r="L121" s="10">
        <v>1.0</v>
      </c>
      <c r="M121" s="10" t="s">
        <v>85</v>
      </c>
      <c r="N121" s="10" t="s">
        <v>565</v>
      </c>
      <c r="O121" s="10" t="s">
        <v>191</v>
      </c>
      <c r="P121" s="11" t="str">
        <f>IFERROR(__xludf.DUMMYFUNCTION("JOIN("" "",N121:O121)"),"CANIONI Christophe")</f>
        <v>CANIONI Christophe</v>
      </c>
      <c r="Q121" s="11">
        <v>22551.0</v>
      </c>
      <c r="R121" s="10" t="s">
        <v>81</v>
      </c>
      <c r="T121" s="10" t="s">
        <v>82</v>
      </c>
    </row>
    <row r="122">
      <c r="A122" s="9">
        <v>42318.71491898148</v>
      </c>
      <c r="B122" s="10">
        <v>94.0</v>
      </c>
      <c r="C122" s="10" t="s">
        <v>563</v>
      </c>
      <c r="F122" s="10">
        <v>2.0</v>
      </c>
      <c r="G122" s="10">
        <v>12.0</v>
      </c>
      <c r="H122" s="10" t="s">
        <v>566</v>
      </c>
      <c r="I122" s="10" t="s">
        <v>567</v>
      </c>
      <c r="J122" s="10" t="s">
        <v>28</v>
      </c>
      <c r="K122" s="10" t="s">
        <v>77</v>
      </c>
      <c r="L122" s="10">
        <v>1.0</v>
      </c>
      <c r="M122" s="10" t="s">
        <v>85</v>
      </c>
      <c r="N122" s="10" t="s">
        <v>568</v>
      </c>
      <c r="O122" s="10" t="s">
        <v>293</v>
      </c>
      <c r="P122" s="11" t="str">
        <f>IFERROR(__xludf.DUMMYFUNCTION("JOIN("" "",N122:O122)"),"SIMEONI Gilles")</f>
        <v>SIMEONI Gilles</v>
      </c>
      <c r="Q122" s="11">
        <v>24582.0</v>
      </c>
      <c r="R122" s="10" t="s">
        <v>218</v>
      </c>
      <c r="T122" s="10" t="s">
        <v>100</v>
      </c>
    </row>
    <row r="123">
      <c r="A123" s="9">
        <v>42318.71491898148</v>
      </c>
      <c r="B123" s="10">
        <v>94.0</v>
      </c>
      <c r="C123" s="10" t="s">
        <v>563</v>
      </c>
      <c r="F123" s="10">
        <v>3.0</v>
      </c>
      <c r="G123" s="10">
        <v>3.0</v>
      </c>
      <c r="H123" s="10" t="s">
        <v>569</v>
      </c>
      <c r="I123" s="10" t="s">
        <v>570</v>
      </c>
      <c r="J123" s="10" t="s">
        <v>41</v>
      </c>
      <c r="K123" s="10" t="s">
        <v>77</v>
      </c>
      <c r="L123" s="10">
        <v>1.0</v>
      </c>
      <c r="M123" s="10" t="s">
        <v>85</v>
      </c>
      <c r="N123" s="10" t="s">
        <v>571</v>
      </c>
      <c r="O123" s="10" t="s">
        <v>572</v>
      </c>
      <c r="P123" s="11" t="str">
        <f>IFERROR(__xludf.DUMMYFUNCTION("JOIN("" "",N123:O123)"),"DE ROCCA SERRA Camille")</f>
        <v>DE ROCCA SERRA Camille</v>
      </c>
      <c r="Q123" s="11">
        <v>19865.0</v>
      </c>
      <c r="R123" s="10" t="s">
        <v>158</v>
      </c>
      <c r="S123" s="10" t="s">
        <v>207</v>
      </c>
      <c r="T123" s="10" t="s">
        <v>100</v>
      </c>
    </row>
    <row r="124">
      <c r="A124" s="9">
        <v>42318.71491898148</v>
      </c>
      <c r="B124" s="10">
        <v>94.0</v>
      </c>
      <c r="C124" s="10" t="s">
        <v>563</v>
      </c>
      <c r="F124" s="10">
        <v>4.0</v>
      </c>
      <c r="G124" s="10">
        <v>11.0</v>
      </c>
      <c r="H124" s="10" t="s">
        <v>573</v>
      </c>
      <c r="I124" s="10" t="s">
        <v>573</v>
      </c>
      <c r="J124" s="10" t="s">
        <v>17</v>
      </c>
      <c r="K124" s="10" t="s">
        <v>77</v>
      </c>
      <c r="L124" s="10">
        <v>1.0</v>
      </c>
      <c r="M124" s="10" t="s">
        <v>85</v>
      </c>
      <c r="N124" s="10" t="s">
        <v>574</v>
      </c>
      <c r="O124" s="10" t="s">
        <v>575</v>
      </c>
      <c r="P124" s="11" t="str">
        <f>IFERROR(__xludf.DUMMYFUNCTION("JOIN("" "",N124:O124)"),"ZUCCARELLI Jean")</f>
        <v>ZUCCARELLI Jean</v>
      </c>
      <c r="Q124" s="11">
        <v>23566.0</v>
      </c>
      <c r="R124" s="10" t="s">
        <v>576</v>
      </c>
      <c r="T124" s="10" t="s">
        <v>82</v>
      </c>
    </row>
    <row r="125">
      <c r="A125" s="9">
        <v>42318.71491898148</v>
      </c>
      <c r="B125" s="10">
        <v>94.0</v>
      </c>
      <c r="C125" s="10" t="s">
        <v>563</v>
      </c>
      <c r="F125" s="10">
        <v>5.0</v>
      </c>
      <c r="G125" s="10">
        <v>6.0</v>
      </c>
      <c r="H125" s="10" t="s">
        <v>577</v>
      </c>
      <c r="I125" s="10" t="s">
        <v>578</v>
      </c>
      <c r="J125" s="10" t="s">
        <v>13</v>
      </c>
      <c r="K125" s="10" t="s">
        <v>77</v>
      </c>
      <c r="L125" s="10">
        <v>1.0</v>
      </c>
      <c r="M125" s="10" t="s">
        <v>78</v>
      </c>
      <c r="N125" s="10" t="s">
        <v>579</v>
      </c>
      <c r="O125" s="10" t="s">
        <v>357</v>
      </c>
      <c r="P125" s="11" t="str">
        <f>IFERROR(__xludf.DUMMYFUNCTION("JOIN("" "",N125:O125)"),"DE GENTILI Emmanuelle")</f>
        <v>DE GENTILI Emmanuelle</v>
      </c>
      <c r="Q125" s="11">
        <v>25529.0</v>
      </c>
      <c r="R125" s="10" t="s">
        <v>397</v>
      </c>
      <c r="T125" s="10" t="s">
        <v>82</v>
      </c>
    </row>
    <row r="126">
      <c r="A126" s="9">
        <v>42318.71491898148</v>
      </c>
      <c r="B126" s="10">
        <v>94.0</v>
      </c>
      <c r="C126" s="10" t="s">
        <v>563</v>
      </c>
      <c r="F126" s="10">
        <v>6.0</v>
      </c>
      <c r="G126" s="10">
        <v>10.0</v>
      </c>
      <c r="H126" s="10" t="s">
        <v>580</v>
      </c>
      <c r="I126" s="10" t="s">
        <v>580</v>
      </c>
      <c r="J126" s="10" t="s">
        <v>19</v>
      </c>
      <c r="K126" s="10" t="s">
        <v>77</v>
      </c>
      <c r="L126" s="10">
        <v>1.0</v>
      </c>
      <c r="M126" s="10" t="s">
        <v>85</v>
      </c>
      <c r="N126" s="10" t="s">
        <v>581</v>
      </c>
      <c r="O126" s="10" t="s">
        <v>582</v>
      </c>
      <c r="P126" s="11" t="str">
        <f>IFERROR(__xludf.DUMMYFUNCTION("JOIN("" "",N126:O126)"),"GIACOBBI Paul")</f>
        <v>GIACOBBI Paul</v>
      </c>
      <c r="Q126" s="11">
        <v>20985.0</v>
      </c>
      <c r="R126" s="10" t="s">
        <v>105</v>
      </c>
      <c r="S126" s="10" t="s">
        <v>207</v>
      </c>
      <c r="T126" s="10" t="s">
        <v>82</v>
      </c>
    </row>
    <row r="127">
      <c r="A127" s="9">
        <v>42318.71491898148</v>
      </c>
      <c r="B127" s="10">
        <v>94.0</v>
      </c>
      <c r="C127" s="10" t="s">
        <v>563</v>
      </c>
      <c r="F127" s="10">
        <v>7.0</v>
      </c>
      <c r="G127" s="10">
        <v>7.0</v>
      </c>
      <c r="H127" s="10" t="s">
        <v>583</v>
      </c>
      <c r="I127" s="10" t="s">
        <v>583</v>
      </c>
      <c r="J127" s="10" t="s">
        <v>28</v>
      </c>
      <c r="K127" s="10" t="s">
        <v>77</v>
      </c>
      <c r="L127" s="10">
        <v>1.0</v>
      </c>
      <c r="M127" s="10" t="s">
        <v>85</v>
      </c>
      <c r="N127" s="10" t="s">
        <v>584</v>
      </c>
      <c r="O127" s="10" t="s">
        <v>585</v>
      </c>
      <c r="P127" s="11" t="str">
        <f>IFERROR(__xludf.DUMMYFUNCTION("JOIN("" "",N127:O127)"),"BENEDETTI Paul-Félix")</f>
        <v>BENEDETTI Paul-Félix</v>
      </c>
      <c r="Q127" s="11">
        <v>24316.0</v>
      </c>
      <c r="R127" s="10" t="s">
        <v>122</v>
      </c>
      <c r="T127" s="10" t="s">
        <v>100</v>
      </c>
    </row>
    <row r="128">
      <c r="A128" s="9">
        <v>42318.71491898148</v>
      </c>
      <c r="B128" s="10">
        <v>94.0</v>
      </c>
      <c r="C128" s="10" t="s">
        <v>563</v>
      </c>
      <c r="F128" s="10">
        <v>9.0</v>
      </c>
      <c r="G128" s="10">
        <v>13.0</v>
      </c>
      <c r="H128" s="10" t="s">
        <v>586</v>
      </c>
      <c r="I128" s="10" t="s">
        <v>586</v>
      </c>
      <c r="J128" s="10" t="s">
        <v>28</v>
      </c>
      <c r="K128" s="10" t="s">
        <v>77</v>
      </c>
      <c r="L128" s="10">
        <v>1.0</v>
      </c>
      <c r="M128" s="10" t="s">
        <v>85</v>
      </c>
      <c r="N128" s="10" t="s">
        <v>587</v>
      </c>
      <c r="O128" s="10" t="s">
        <v>588</v>
      </c>
      <c r="P128" s="11" t="str">
        <f>IFERROR(__xludf.DUMMYFUNCTION("JOIN("" "",N128:O128)"),"TALAMONI Jean-Guy")</f>
        <v>TALAMONI Jean-Guy</v>
      </c>
      <c r="Q128" s="11">
        <v>22042.0</v>
      </c>
      <c r="R128" s="10" t="s">
        <v>218</v>
      </c>
      <c r="T128" s="10" t="s">
        <v>100</v>
      </c>
    </row>
    <row r="129">
      <c r="A129" s="9">
        <v>42318.71491898148</v>
      </c>
      <c r="B129" s="10">
        <v>94.0</v>
      </c>
      <c r="C129" s="10" t="s">
        <v>563</v>
      </c>
      <c r="F129" s="10">
        <v>10.0</v>
      </c>
      <c r="G129" s="10">
        <v>4.0</v>
      </c>
      <c r="H129" s="10" t="s">
        <v>589</v>
      </c>
      <c r="I129" s="10" t="s">
        <v>590</v>
      </c>
      <c r="J129" s="10" t="s">
        <v>5</v>
      </c>
      <c r="K129" s="10" t="s">
        <v>77</v>
      </c>
      <c r="L129" s="10">
        <v>1.0</v>
      </c>
      <c r="M129" s="10" t="s">
        <v>85</v>
      </c>
      <c r="N129" s="10" t="s">
        <v>591</v>
      </c>
      <c r="O129" s="10" t="s">
        <v>396</v>
      </c>
      <c r="P129" s="11" t="str">
        <f>IFERROR(__xludf.DUMMYFUNCTION("JOIN("" "",N129:O129)"),"BUCCHINI Dominique")</f>
        <v>BUCCHINI Dominique</v>
      </c>
      <c r="Q129" s="11">
        <v>15730.0</v>
      </c>
      <c r="R129" s="10" t="s">
        <v>222</v>
      </c>
      <c r="S129" s="10" t="s">
        <v>592</v>
      </c>
      <c r="T129" s="10" t="s">
        <v>100</v>
      </c>
    </row>
    <row r="130">
      <c r="A130" s="9">
        <v>42318.71491898148</v>
      </c>
      <c r="B130" s="10">
        <v>94.0</v>
      </c>
      <c r="C130" s="10" t="s">
        <v>563</v>
      </c>
      <c r="F130" s="10">
        <v>11.0</v>
      </c>
      <c r="G130" s="10">
        <v>9.0</v>
      </c>
      <c r="H130" s="10" t="s">
        <v>593</v>
      </c>
      <c r="I130" s="10" t="s">
        <v>593</v>
      </c>
      <c r="J130" s="10" t="s">
        <v>35</v>
      </c>
      <c r="K130" s="10" t="s">
        <v>77</v>
      </c>
      <c r="L130" s="10">
        <v>1.0</v>
      </c>
      <c r="M130" s="10" t="s">
        <v>85</v>
      </c>
      <c r="N130" s="10" t="s">
        <v>594</v>
      </c>
      <c r="O130" s="10" t="s">
        <v>595</v>
      </c>
      <c r="P130" s="11" t="str">
        <f>IFERROR(__xludf.DUMMYFUNCTION("JOIN("" "",N130:O130)"),"ROSSI José")</f>
        <v>ROSSI José</v>
      </c>
      <c r="Q130" s="11">
        <v>16241.0</v>
      </c>
      <c r="R130" s="10" t="s">
        <v>81</v>
      </c>
      <c r="T130" s="10" t="s">
        <v>82</v>
      </c>
    </row>
    <row r="131">
      <c r="A131" s="9">
        <v>42318.71491898148</v>
      </c>
      <c r="B131" s="10">
        <v>94.0</v>
      </c>
      <c r="C131" s="10" t="s">
        <v>563</v>
      </c>
      <c r="F131" s="10">
        <v>12.0</v>
      </c>
      <c r="G131" s="10">
        <v>8.0</v>
      </c>
      <c r="H131" s="10" t="s">
        <v>596</v>
      </c>
      <c r="I131" s="10" t="s">
        <v>597</v>
      </c>
      <c r="J131" s="10" t="s">
        <v>19</v>
      </c>
      <c r="K131" s="10" t="s">
        <v>77</v>
      </c>
      <c r="L131" s="10">
        <v>1.0</v>
      </c>
      <c r="M131" s="10" t="s">
        <v>85</v>
      </c>
      <c r="N131" s="10" t="s">
        <v>598</v>
      </c>
      <c r="O131" s="10" t="s">
        <v>213</v>
      </c>
      <c r="P131" s="11" t="str">
        <f>IFERROR(__xludf.DUMMYFUNCTION("JOIN("" "",N131:O131)"),"ORSUCCI Jean-Charles")</f>
        <v>ORSUCCI Jean-Charles</v>
      </c>
      <c r="Q131" s="11">
        <v>26328.0</v>
      </c>
      <c r="R131" s="10" t="s">
        <v>253</v>
      </c>
      <c r="T131" s="10" t="s">
        <v>100</v>
      </c>
    </row>
    <row r="132">
      <c r="A132" s="9">
        <v>42318.71491898148</v>
      </c>
      <c r="B132" s="10">
        <v>94.0</v>
      </c>
      <c r="C132" s="10" t="s">
        <v>563</v>
      </c>
      <c r="F132" s="10">
        <v>13.0</v>
      </c>
      <c r="G132" s="10">
        <v>5.0</v>
      </c>
      <c r="H132" s="10" t="s">
        <v>90</v>
      </c>
      <c r="I132" s="10" t="s">
        <v>90</v>
      </c>
      <c r="J132" s="10" t="s">
        <v>39</v>
      </c>
      <c r="K132" s="10" t="s">
        <v>77</v>
      </c>
      <c r="L132" s="10">
        <v>1.0</v>
      </c>
      <c r="M132" s="10" t="s">
        <v>85</v>
      </c>
      <c r="N132" s="10" t="s">
        <v>599</v>
      </c>
      <c r="O132" s="10" t="s">
        <v>600</v>
      </c>
      <c r="P132" s="11" t="str">
        <f>IFERROR(__xludf.DUMMYFUNCTION("JOIN("" "",N132:O132)"),"SANTONI Hyacinthe")</f>
        <v>SANTONI Hyacinthe</v>
      </c>
      <c r="Q132" s="11">
        <v>14246.0</v>
      </c>
      <c r="R132" s="10" t="s">
        <v>222</v>
      </c>
      <c r="T132" s="10" t="s">
        <v>82</v>
      </c>
    </row>
    <row r="133">
      <c r="A133" s="9">
        <v>42318.71491898148</v>
      </c>
      <c r="B133" s="10">
        <v>1.0</v>
      </c>
      <c r="C133" s="10" t="s">
        <v>601</v>
      </c>
      <c r="F133" s="10">
        <v>1.0</v>
      </c>
      <c r="G133" s="10">
        <v>5.0</v>
      </c>
      <c r="H133" s="10" t="s">
        <v>602</v>
      </c>
      <c r="I133" s="10" t="s">
        <v>603</v>
      </c>
      <c r="J133" s="10" t="s">
        <v>3</v>
      </c>
      <c r="K133" s="10" t="s">
        <v>77</v>
      </c>
      <c r="L133" s="10">
        <v>1.0</v>
      </c>
      <c r="M133" s="10" t="s">
        <v>85</v>
      </c>
      <c r="N133" s="10" t="s">
        <v>604</v>
      </c>
      <c r="O133" s="10" t="s">
        <v>138</v>
      </c>
      <c r="P133" s="11" t="str">
        <f>IFERROR(__xludf.DUMMYFUNCTION("JOIN("" "",N133:O133)"),"PLAISIR Alain")</f>
        <v>PLAISIR Alain</v>
      </c>
      <c r="Q133" s="11">
        <v>16682.0</v>
      </c>
      <c r="R133" s="10" t="s">
        <v>98</v>
      </c>
      <c r="T133" s="10" t="s">
        <v>82</v>
      </c>
    </row>
    <row r="134">
      <c r="A134" s="9">
        <v>42318.71491898148</v>
      </c>
      <c r="B134" s="10">
        <v>1.0</v>
      </c>
      <c r="C134" s="10" t="s">
        <v>601</v>
      </c>
      <c r="F134" s="10">
        <v>2.0</v>
      </c>
      <c r="G134" s="10">
        <v>9.0</v>
      </c>
      <c r="H134" s="10" t="s">
        <v>605</v>
      </c>
      <c r="I134" s="10" t="s">
        <v>605</v>
      </c>
      <c r="J134" s="10" t="s">
        <v>35</v>
      </c>
      <c r="K134" s="10" t="s">
        <v>77</v>
      </c>
      <c r="L134" s="10">
        <v>1.0</v>
      </c>
      <c r="M134" s="10" t="s">
        <v>85</v>
      </c>
      <c r="N134" s="10" t="s">
        <v>606</v>
      </c>
      <c r="O134" s="10" t="s">
        <v>93</v>
      </c>
      <c r="P134" s="11" t="str">
        <f>IFERROR(__xludf.DUMMYFUNCTION("JOIN("" "",N134:O134)"),"BERNIER Laurent")</f>
        <v>BERNIER Laurent</v>
      </c>
      <c r="Q134" s="11">
        <v>24609.0</v>
      </c>
      <c r="R134" s="10" t="s">
        <v>505</v>
      </c>
      <c r="T134" s="10" t="s">
        <v>82</v>
      </c>
    </row>
    <row r="135">
      <c r="A135" s="9">
        <v>42318.71491898148</v>
      </c>
      <c r="B135" s="10">
        <v>1.0</v>
      </c>
      <c r="C135" s="10" t="s">
        <v>601</v>
      </c>
      <c r="F135" s="10">
        <v>3.0</v>
      </c>
      <c r="G135" s="10">
        <v>10.0</v>
      </c>
      <c r="H135" s="10" t="s">
        <v>607</v>
      </c>
      <c r="I135" s="10" t="s">
        <v>608</v>
      </c>
      <c r="J135" s="10" t="s">
        <v>28</v>
      </c>
      <c r="K135" s="10" t="s">
        <v>77</v>
      </c>
      <c r="L135" s="10">
        <v>1.0</v>
      </c>
      <c r="M135" s="10" t="s">
        <v>78</v>
      </c>
      <c r="N135" s="10" t="s">
        <v>609</v>
      </c>
      <c r="O135" s="10" t="s">
        <v>610</v>
      </c>
      <c r="P135" s="11" t="str">
        <f>IFERROR(__xludf.DUMMYFUNCTION("JOIN("" "",N135:O135)"),"MYRE Marie-Christine")</f>
        <v>MYRE Marie-Christine</v>
      </c>
      <c r="Q135" s="11">
        <v>19883.0</v>
      </c>
      <c r="R135" s="10" t="s">
        <v>281</v>
      </c>
      <c r="T135" s="10" t="s">
        <v>82</v>
      </c>
    </row>
    <row r="136">
      <c r="A136" s="9">
        <v>42318.71491898148</v>
      </c>
      <c r="B136" s="10">
        <v>1.0</v>
      </c>
      <c r="C136" s="10" t="s">
        <v>601</v>
      </c>
      <c r="F136" s="10">
        <v>4.0</v>
      </c>
      <c r="G136" s="10">
        <v>2.0</v>
      </c>
      <c r="H136" s="10" t="s">
        <v>611</v>
      </c>
      <c r="I136" s="10" t="s">
        <v>612</v>
      </c>
      <c r="J136" s="10" t="s">
        <v>43</v>
      </c>
      <c r="K136" s="10" t="s">
        <v>77</v>
      </c>
      <c r="L136" s="10">
        <v>1.0</v>
      </c>
      <c r="M136" s="10" t="s">
        <v>85</v>
      </c>
      <c r="N136" s="10" t="s">
        <v>613</v>
      </c>
      <c r="O136" s="10" t="s">
        <v>614</v>
      </c>
      <c r="P136" s="11" t="str">
        <f>IFERROR(__xludf.DUMMYFUNCTION("JOIN("" "",N136:O136)"),"VIENNET Stephan")</f>
        <v>VIENNET Stephan</v>
      </c>
      <c r="Q136" s="11">
        <v>25140.0</v>
      </c>
      <c r="R136" s="10" t="s">
        <v>377</v>
      </c>
      <c r="T136" s="10" t="s">
        <v>82</v>
      </c>
    </row>
    <row r="137">
      <c r="A137" s="9">
        <v>42318.71491898148</v>
      </c>
      <c r="B137" s="10">
        <v>1.0</v>
      </c>
      <c r="C137" s="10" t="s">
        <v>601</v>
      </c>
      <c r="F137" s="10">
        <v>5.0</v>
      </c>
      <c r="G137" s="10">
        <v>11.0</v>
      </c>
      <c r="H137" s="10" t="s">
        <v>615</v>
      </c>
      <c r="I137" s="10" t="s">
        <v>616</v>
      </c>
      <c r="J137" s="10" t="s">
        <v>13</v>
      </c>
      <c r="K137" s="10" t="s">
        <v>77</v>
      </c>
      <c r="L137" s="10">
        <v>1.0</v>
      </c>
      <c r="M137" s="10" t="s">
        <v>85</v>
      </c>
      <c r="N137" s="10" t="s">
        <v>617</v>
      </c>
      <c r="O137" s="10" t="s">
        <v>618</v>
      </c>
      <c r="P137" s="11" t="str">
        <f>IFERROR(__xludf.DUMMYFUNCTION("JOIN("" "",N137:O137)"),"LUREL Victorin")</f>
        <v>LUREL Victorin</v>
      </c>
      <c r="Q137" s="11">
        <v>18860.0</v>
      </c>
      <c r="R137" s="10" t="s">
        <v>98</v>
      </c>
      <c r="S137" s="10" t="s">
        <v>127</v>
      </c>
      <c r="T137" s="10" t="s">
        <v>100</v>
      </c>
    </row>
    <row r="138">
      <c r="A138" s="9">
        <v>42318.71491898148</v>
      </c>
      <c r="B138" s="10">
        <v>1.0</v>
      </c>
      <c r="C138" s="10" t="s">
        <v>601</v>
      </c>
      <c r="F138" s="10">
        <v>6.0</v>
      </c>
      <c r="G138" s="10">
        <v>3.0</v>
      </c>
      <c r="H138" s="10" t="s">
        <v>619</v>
      </c>
      <c r="I138" s="10" t="s">
        <v>620</v>
      </c>
      <c r="J138" s="10" t="s">
        <v>41</v>
      </c>
      <c r="K138" s="10" t="s">
        <v>77</v>
      </c>
      <c r="L138" s="10">
        <v>1.0</v>
      </c>
      <c r="M138" s="10" t="s">
        <v>85</v>
      </c>
      <c r="N138" s="10" t="s">
        <v>621</v>
      </c>
      <c r="O138" s="10" t="s">
        <v>622</v>
      </c>
      <c r="P138" s="11" t="str">
        <f>IFERROR(__xludf.DUMMYFUNCTION("JOIN("" "",N138:O138)"),"YOYOTTE Henri")</f>
        <v>YOYOTTE Henri</v>
      </c>
      <c r="Q138" s="11">
        <v>19121.0</v>
      </c>
      <c r="R138" s="10" t="s">
        <v>505</v>
      </c>
      <c r="T138" s="10" t="s">
        <v>82</v>
      </c>
    </row>
    <row r="139">
      <c r="A139" s="9">
        <v>42318.71491898148</v>
      </c>
      <c r="B139" s="10">
        <v>1.0</v>
      </c>
      <c r="C139" s="10" t="s">
        <v>601</v>
      </c>
      <c r="F139" s="10">
        <v>7.0</v>
      </c>
      <c r="G139" s="10">
        <v>8.0</v>
      </c>
      <c r="H139" s="10" t="s">
        <v>623</v>
      </c>
      <c r="I139" s="10" t="s">
        <v>624</v>
      </c>
      <c r="J139" s="10" t="s">
        <v>9</v>
      </c>
      <c r="K139" s="10" t="s">
        <v>77</v>
      </c>
      <c r="L139" s="10">
        <v>1.0</v>
      </c>
      <c r="M139" s="10" t="s">
        <v>78</v>
      </c>
      <c r="N139" s="10" t="s">
        <v>625</v>
      </c>
      <c r="O139" s="10" t="s">
        <v>626</v>
      </c>
      <c r="P139" s="11" t="str">
        <f>IFERROR(__xludf.DUMMYFUNCTION("JOIN("" "",N139:O139)"),"CADOCE Mona")</f>
        <v>CADOCE Mona</v>
      </c>
      <c r="Q139" s="11">
        <v>16777.0</v>
      </c>
      <c r="R139" s="10" t="s">
        <v>222</v>
      </c>
      <c r="T139" s="10" t="s">
        <v>82</v>
      </c>
    </row>
    <row r="140">
      <c r="A140" s="9">
        <v>42318.71491898148</v>
      </c>
      <c r="B140" s="10">
        <v>1.0</v>
      </c>
      <c r="C140" s="10" t="s">
        <v>601</v>
      </c>
      <c r="F140" s="10">
        <v>8.0</v>
      </c>
      <c r="G140" s="10">
        <v>6.0</v>
      </c>
      <c r="H140" s="10" t="s">
        <v>627</v>
      </c>
      <c r="I140" s="10" t="s">
        <v>628</v>
      </c>
      <c r="J140" s="10" t="s">
        <v>19</v>
      </c>
      <c r="K140" s="10" t="s">
        <v>77</v>
      </c>
      <c r="L140" s="10">
        <v>1.0</v>
      </c>
      <c r="M140" s="10" t="s">
        <v>85</v>
      </c>
      <c r="N140" s="10" t="s">
        <v>629</v>
      </c>
      <c r="O140" s="10" t="s">
        <v>630</v>
      </c>
      <c r="P140" s="11" t="str">
        <f>IFERROR(__xludf.DUMMYFUNCTION("JOIN("" "",N140:O140)"),"CHALUS Ary")</f>
        <v>CHALUS Ary</v>
      </c>
      <c r="Q140" s="11">
        <v>22621.0</v>
      </c>
      <c r="R140" s="10" t="s">
        <v>511</v>
      </c>
      <c r="T140" s="10" t="s">
        <v>82</v>
      </c>
    </row>
    <row r="141">
      <c r="A141" s="9">
        <v>42318.71491898148</v>
      </c>
      <c r="B141" s="10">
        <v>1.0</v>
      </c>
      <c r="C141" s="10" t="s">
        <v>601</v>
      </c>
      <c r="F141" s="10">
        <v>9.0</v>
      </c>
      <c r="G141" s="10">
        <v>7.0</v>
      </c>
      <c r="H141" s="10" t="s">
        <v>631</v>
      </c>
      <c r="I141" s="10" t="s">
        <v>631</v>
      </c>
      <c r="J141" s="10" t="s">
        <v>25</v>
      </c>
      <c r="K141" s="10" t="s">
        <v>77</v>
      </c>
      <c r="L141" s="10">
        <v>1.0</v>
      </c>
      <c r="M141" s="10" t="s">
        <v>78</v>
      </c>
      <c r="N141" s="10" t="s">
        <v>632</v>
      </c>
      <c r="O141" s="10" t="s">
        <v>633</v>
      </c>
      <c r="P141" s="11" t="str">
        <f>IFERROR(__xludf.DUMMYFUNCTION("JOIN("" "",N141:O141)"),"SEYMOUR Mélina")</f>
        <v>SEYMOUR Mélina</v>
      </c>
      <c r="Q141" s="11">
        <v>30009.0</v>
      </c>
      <c r="R141" s="10" t="s">
        <v>241</v>
      </c>
      <c r="T141" s="10" t="s">
        <v>82</v>
      </c>
    </row>
    <row r="142">
      <c r="A142" s="9">
        <v>42318.71491898148</v>
      </c>
      <c r="B142" s="10">
        <v>1.0</v>
      </c>
      <c r="C142" s="10" t="s">
        <v>601</v>
      </c>
      <c r="F142" s="10">
        <v>10.0</v>
      </c>
      <c r="G142" s="10">
        <v>4.0</v>
      </c>
      <c r="H142" s="10" t="s">
        <v>634</v>
      </c>
      <c r="I142" s="10" t="s">
        <v>634</v>
      </c>
      <c r="J142" s="10" t="s">
        <v>3</v>
      </c>
      <c r="K142" s="10" t="s">
        <v>77</v>
      </c>
      <c r="L142" s="10">
        <v>1.0</v>
      </c>
      <c r="M142" s="10" t="s">
        <v>85</v>
      </c>
      <c r="N142" s="10" t="s">
        <v>635</v>
      </c>
      <c r="O142" s="10" t="s">
        <v>636</v>
      </c>
      <c r="P142" s="11" t="str">
        <f>IFERROR(__xludf.DUMMYFUNCTION("JOIN("" "",N142:O142)"),"NOMERTIN Jean-Marie")</f>
        <v>NOMERTIN Jean-Marie</v>
      </c>
      <c r="Q142" s="11">
        <v>23771.0</v>
      </c>
      <c r="R142" s="10" t="s">
        <v>525</v>
      </c>
      <c r="T142" s="10" t="s">
        <v>82</v>
      </c>
    </row>
    <row r="143">
      <c r="A143" s="9">
        <v>42318.71491898148</v>
      </c>
      <c r="B143" s="10">
        <v>2.0</v>
      </c>
      <c r="C143" s="10" t="s">
        <v>637</v>
      </c>
      <c r="D143" s="10" t="s">
        <v>638</v>
      </c>
      <c r="E143" s="10" t="s">
        <v>639</v>
      </c>
      <c r="F143" s="10">
        <v>1.0</v>
      </c>
      <c r="G143" s="10">
        <v>4.0</v>
      </c>
      <c r="H143" s="10" t="s">
        <v>640</v>
      </c>
      <c r="I143" s="10" t="s">
        <v>641</v>
      </c>
      <c r="J143" s="10" t="s">
        <v>25</v>
      </c>
      <c r="K143" s="10" t="s">
        <v>77</v>
      </c>
      <c r="L143" s="10">
        <v>1.0</v>
      </c>
      <c r="M143" s="10" t="s">
        <v>78</v>
      </c>
      <c r="N143" s="10" t="s">
        <v>642</v>
      </c>
      <c r="O143" s="10" t="s">
        <v>249</v>
      </c>
      <c r="P143" s="11" t="str">
        <f>IFERROR(__xludf.DUMMYFUNCTION("JOIN("" "",N143:O143)"),"JOS Nathalie")</f>
        <v>JOS Nathalie</v>
      </c>
      <c r="Q143" s="11">
        <v>24435.0</v>
      </c>
      <c r="R143" s="10" t="s">
        <v>241</v>
      </c>
      <c r="T143" s="10" t="s">
        <v>82</v>
      </c>
    </row>
    <row r="144">
      <c r="A144" s="9">
        <v>42318.71491898148</v>
      </c>
      <c r="B144" s="10">
        <v>2.0</v>
      </c>
      <c r="C144" s="10" t="s">
        <v>637</v>
      </c>
      <c r="D144" s="10" t="s">
        <v>638</v>
      </c>
      <c r="E144" s="10" t="s">
        <v>639</v>
      </c>
      <c r="F144" s="10">
        <v>2.0</v>
      </c>
      <c r="G144" s="10">
        <v>3.0</v>
      </c>
      <c r="H144" s="10" t="s">
        <v>634</v>
      </c>
      <c r="I144" s="10" t="s">
        <v>634</v>
      </c>
      <c r="J144" s="10" t="s">
        <v>3</v>
      </c>
      <c r="K144" s="10" t="s">
        <v>77</v>
      </c>
      <c r="L144" s="10">
        <v>1.0</v>
      </c>
      <c r="M144" s="10" t="s">
        <v>78</v>
      </c>
      <c r="N144" s="10" t="s">
        <v>643</v>
      </c>
      <c r="O144" s="10" t="s">
        <v>644</v>
      </c>
      <c r="P144" s="11" t="str">
        <f>IFERROR(__xludf.DUMMYFUNCTION("JOIN("" "",N144:O144)"),"JOACHIM-ARNAUD Ghislaine")</f>
        <v>JOACHIM-ARNAUD Ghislaine</v>
      </c>
      <c r="Q144" s="11">
        <v>19155.0</v>
      </c>
      <c r="R144" s="10" t="s">
        <v>253</v>
      </c>
      <c r="T144" s="10" t="s">
        <v>82</v>
      </c>
    </row>
    <row r="145">
      <c r="A145" s="9">
        <v>42318.71491898148</v>
      </c>
      <c r="B145" s="10">
        <v>2.0</v>
      </c>
      <c r="C145" s="10" t="s">
        <v>637</v>
      </c>
      <c r="D145" s="10" t="s">
        <v>645</v>
      </c>
      <c r="E145" s="10" t="s">
        <v>646</v>
      </c>
      <c r="F145" s="10">
        <v>3.0</v>
      </c>
      <c r="G145" s="10">
        <v>9.0</v>
      </c>
      <c r="H145" s="10" t="s">
        <v>647</v>
      </c>
      <c r="I145" s="10" t="s">
        <v>647</v>
      </c>
      <c r="J145" s="10" t="s">
        <v>35</v>
      </c>
      <c r="K145" s="10" t="s">
        <v>77</v>
      </c>
      <c r="L145" s="10">
        <v>1.0</v>
      </c>
      <c r="M145" s="10" t="s">
        <v>85</v>
      </c>
      <c r="N145" s="10" t="s">
        <v>648</v>
      </c>
      <c r="O145" s="10" t="s">
        <v>649</v>
      </c>
      <c r="P145" s="11" t="str">
        <f>IFERROR(__xludf.DUMMYFUNCTION("JOIN("" "",N145:O145)"),"MONPLAISIR Yan")</f>
        <v>MONPLAISIR Yan</v>
      </c>
      <c r="Q145" s="11">
        <v>19105.0</v>
      </c>
      <c r="R145" s="10" t="s">
        <v>81</v>
      </c>
      <c r="T145" s="10" t="s">
        <v>82</v>
      </c>
    </row>
    <row r="146">
      <c r="A146" s="9">
        <v>42318.71491898148</v>
      </c>
      <c r="B146" s="10">
        <v>2.0</v>
      </c>
      <c r="C146" s="10" t="s">
        <v>637</v>
      </c>
      <c r="D146" s="10" t="s">
        <v>638</v>
      </c>
      <c r="E146" s="10" t="s">
        <v>639</v>
      </c>
      <c r="F146" s="10">
        <v>4.0</v>
      </c>
      <c r="G146" s="10">
        <v>7.0</v>
      </c>
      <c r="H146" s="10" t="s">
        <v>650</v>
      </c>
      <c r="I146" s="10" t="s">
        <v>650</v>
      </c>
      <c r="J146" s="10" t="s">
        <v>41</v>
      </c>
      <c r="K146" s="10" t="s">
        <v>77</v>
      </c>
      <c r="L146" s="10">
        <v>1.0</v>
      </c>
      <c r="M146" s="10" t="s">
        <v>85</v>
      </c>
      <c r="N146" s="10" t="s">
        <v>651</v>
      </c>
      <c r="O146" s="10" t="s">
        <v>157</v>
      </c>
      <c r="P146" s="11" t="str">
        <f>IFERROR(__xludf.DUMMYFUNCTION("JOIN("" "",N146:O146)"),"VIRASSAMY Joseph")</f>
        <v>VIRASSAMY Joseph</v>
      </c>
      <c r="Q146" s="11">
        <v>15405.0</v>
      </c>
      <c r="R146" s="10" t="s">
        <v>371</v>
      </c>
      <c r="T146" s="10" t="s">
        <v>82</v>
      </c>
    </row>
    <row r="147">
      <c r="A147" s="9">
        <v>42318.71491898148</v>
      </c>
      <c r="B147" s="10">
        <v>2.0</v>
      </c>
      <c r="C147" s="10" t="s">
        <v>637</v>
      </c>
      <c r="D147" s="10" t="s">
        <v>638</v>
      </c>
      <c r="E147" s="10" t="s">
        <v>639</v>
      </c>
      <c r="F147" s="10">
        <v>5.0</v>
      </c>
      <c r="G147" s="10">
        <v>6.0</v>
      </c>
      <c r="H147" s="10" t="s">
        <v>652</v>
      </c>
      <c r="I147" s="10" t="s">
        <v>653</v>
      </c>
      <c r="J147" s="10" t="s">
        <v>19</v>
      </c>
      <c r="K147" s="10" t="s">
        <v>77</v>
      </c>
      <c r="L147" s="10">
        <v>1.0</v>
      </c>
      <c r="M147" s="10" t="s">
        <v>85</v>
      </c>
      <c r="N147" s="10" t="s">
        <v>654</v>
      </c>
      <c r="O147" s="10" t="s">
        <v>556</v>
      </c>
      <c r="P147" s="11" t="str">
        <f>IFERROR(__xludf.DUMMYFUNCTION("JOIN("" "",N147:O147)"),"GROMAT Daniel")</f>
        <v>GROMAT Daniel</v>
      </c>
      <c r="Q147" s="11">
        <v>22021.0</v>
      </c>
      <c r="R147" s="10" t="s">
        <v>202</v>
      </c>
      <c r="T147" s="10" t="s">
        <v>82</v>
      </c>
    </row>
    <row r="148">
      <c r="A148" s="9">
        <v>42318.71491898148</v>
      </c>
      <c r="B148" s="10">
        <v>2.0</v>
      </c>
      <c r="C148" s="10" t="s">
        <v>637</v>
      </c>
      <c r="D148" s="10" t="s">
        <v>655</v>
      </c>
      <c r="E148" s="10" t="s">
        <v>656</v>
      </c>
      <c r="F148" s="10">
        <v>6.0</v>
      </c>
      <c r="G148" s="10">
        <v>10.0</v>
      </c>
      <c r="H148" s="10" t="s">
        <v>657</v>
      </c>
      <c r="I148" s="10" t="s">
        <v>658</v>
      </c>
      <c r="J148" s="10" t="s">
        <v>28</v>
      </c>
      <c r="K148" s="10" t="s">
        <v>77</v>
      </c>
      <c r="L148" s="10">
        <v>1.0</v>
      </c>
      <c r="M148" s="10" t="s">
        <v>85</v>
      </c>
      <c r="N148" s="10" t="s">
        <v>659</v>
      </c>
      <c r="O148" s="10" t="s">
        <v>660</v>
      </c>
      <c r="P148" s="11" t="str">
        <f>IFERROR(__xludf.DUMMYFUNCTION("JOIN("" "",N148:O148)"),"MARIE-JEANNE Alfred")</f>
        <v>MARIE-JEANNE Alfred</v>
      </c>
      <c r="Q148" s="11">
        <v>13469.0</v>
      </c>
      <c r="R148" s="10" t="s">
        <v>222</v>
      </c>
      <c r="S148" s="10" t="s">
        <v>207</v>
      </c>
      <c r="T148" s="10" t="s">
        <v>82</v>
      </c>
    </row>
    <row r="149">
      <c r="A149" s="9">
        <v>42318.71491898148</v>
      </c>
      <c r="B149" s="10">
        <v>2.0</v>
      </c>
      <c r="C149" s="10" t="s">
        <v>637</v>
      </c>
      <c r="D149" s="10" t="s">
        <v>661</v>
      </c>
      <c r="E149" s="10" t="s">
        <v>662</v>
      </c>
      <c r="F149" s="10">
        <v>7.0</v>
      </c>
      <c r="G149" s="10">
        <v>2.0</v>
      </c>
      <c r="H149" s="10" t="s">
        <v>663</v>
      </c>
      <c r="I149" s="10" t="s">
        <v>663</v>
      </c>
      <c r="J149" s="10" t="s">
        <v>33</v>
      </c>
      <c r="K149" s="10" t="s">
        <v>77</v>
      </c>
      <c r="L149" s="10">
        <v>1.0</v>
      </c>
      <c r="M149" s="10" t="s">
        <v>85</v>
      </c>
      <c r="N149" s="10" t="s">
        <v>664</v>
      </c>
      <c r="O149" s="10" t="s">
        <v>125</v>
      </c>
      <c r="P149" s="11" t="str">
        <f>IFERROR(__xludf.DUMMYFUNCTION("JOIN("" "",N149:O149)"),"PETIT Philippe")</f>
        <v>PETIT Philippe</v>
      </c>
      <c r="Q149" s="11">
        <v>20956.0</v>
      </c>
      <c r="R149" s="10" t="s">
        <v>328</v>
      </c>
      <c r="T149" s="10" t="s">
        <v>82</v>
      </c>
    </row>
    <row r="150">
      <c r="A150" s="9">
        <v>42318.71491898148</v>
      </c>
      <c r="B150" s="10">
        <v>2.0</v>
      </c>
      <c r="C150" s="10" t="s">
        <v>637</v>
      </c>
      <c r="D150" s="10" t="s">
        <v>645</v>
      </c>
      <c r="E150" s="10" t="s">
        <v>646</v>
      </c>
      <c r="F150" s="10">
        <v>8.0</v>
      </c>
      <c r="G150" s="10">
        <v>5.0</v>
      </c>
      <c r="H150" s="10" t="s">
        <v>665</v>
      </c>
      <c r="I150" s="10" t="s">
        <v>665</v>
      </c>
      <c r="J150" s="10" t="s">
        <v>28</v>
      </c>
      <c r="K150" s="10" t="s">
        <v>77</v>
      </c>
      <c r="L150" s="10">
        <v>1.0</v>
      </c>
      <c r="M150" s="10" t="s">
        <v>85</v>
      </c>
      <c r="N150" s="10" t="s">
        <v>666</v>
      </c>
      <c r="O150" s="10" t="s">
        <v>667</v>
      </c>
      <c r="P150" s="11" t="str">
        <f>IFERROR(__xludf.DUMMYFUNCTION("JOIN("" "",N150:O150)"),"NADEAU Marcellin")</f>
        <v>NADEAU Marcellin</v>
      </c>
      <c r="Q150" s="11">
        <v>22952.0</v>
      </c>
      <c r="R150" s="10" t="s">
        <v>403</v>
      </c>
      <c r="T150" s="10" t="s">
        <v>100</v>
      </c>
    </row>
    <row r="151">
      <c r="A151" s="9">
        <v>42318.71491898148</v>
      </c>
      <c r="B151" s="10">
        <v>2.0</v>
      </c>
      <c r="C151" s="10" t="s">
        <v>637</v>
      </c>
      <c r="D151" s="10" t="s">
        <v>638</v>
      </c>
      <c r="E151" s="10" t="s">
        <v>639</v>
      </c>
      <c r="F151" s="10">
        <v>9.0</v>
      </c>
      <c r="G151" s="10">
        <v>8.0</v>
      </c>
      <c r="H151" s="10" t="s">
        <v>668</v>
      </c>
      <c r="I151" s="10" t="s">
        <v>669</v>
      </c>
      <c r="J151" s="10" t="s">
        <v>19</v>
      </c>
      <c r="K151" s="10" t="s">
        <v>77</v>
      </c>
      <c r="L151" s="10">
        <v>1.0</v>
      </c>
      <c r="M151" s="10" t="s">
        <v>85</v>
      </c>
      <c r="N151" s="10" t="s">
        <v>670</v>
      </c>
      <c r="O151" s="10" t="s">
        <v>671</v>
      </c>
      <c r="P151" s="11" t="str">
        <f>IFERROR(__xludf.DUMMYFUNCTION("JOIN("" "",N151:O151)"),"LETCHIMY Serge")</f>
        <v>LETCHIMY Serge</v>
      </c>
      <c r="Q151" s="11">
        <v>19372.0</v>
      </c>
      <c r="R151" s="10" t="s">
        <v>403</v>
      </c>
      <c r="S151" s="10" t="s">
        <v>127</v>
      </c>
      <c r="T151" s="10" t="s">
        <v>100</v>
      </c>
    </row>
    <row r="152">
      <c r="A152" s="9">
        <v>42318.71491898148</v>
      </c>
      <c r="B152" s="10">
        <v>3.0</v>
      </c>
      <c r="C152" s="10" t="s">
        <v>672</v>
      </c>
      <c r="D152" s="10" t="s">
        <v>673</v>
      </c>
      <c r="E152" s="10" t="s">
        <v>674</v>
      </c>
      <c r="F152" s="10">
        <v>1.0</v>
      </c>
      <c r="G152" s="10">
        <v>2.0</v>
      </c>
      <c r="H152" s="10" t="s">
        <v>675</v>
      </c>
      <c r="I152" s="10" t="s">
        <v>676</v>
      </c>
      <c r="J152" s="10" t="s">
        <v>35</v>
      </c>
      <c r="K152" s="10" t="s">
        <v>77</v>
      </c>
      <c r="L152" s="10">
        <v>1.0</v>
      </c>
      <c r="M152" s="10" t="s">
        <v>85</v>
      </c>
      <c r="N152" s="10" t="s">
        <v>677</v>
      </c>
      <c r="O152" s="10" t="s">
        <v>678</v>
      </c>
      <c r="P152" s="11" t="str">
        <f>IFERROR(__xludf.DUMMYFUNCTION("JOIN("" "",N152:O152)"),"BUDOC Rémy Louis")</f>
        <v>BUDOC Rémy Louis</v>
      </c>
      <c r="Q152" s="11">
        <v>21429.0</v>
      </c>
      <c r="R152" s="10" t="s">
        <v>457</v>
      </c>
      <c r="T152" s="10" t="s">
        <v>100</v>
      </c>
    </row>
    <row r="153">
      <c r="A153" s="9">
        <v>42318.71491898148</v>
      </c>
      <c r="B153" s="10">
        <v>3.0</v>
      </c>
      <c r="C153" s="10" t="s">
        <v>672</v>
      </c>
      <c r="D153" s="10" t="s">
        <v>679</v>
      </c>
      <c r="E153" s="10" t="s">
        <v>680</v>
      </c>
      <c r="F153" s="10">
        <v>2.0</v>
      </c>
      <c r="G153" s="10">
        <v>8.0</v>
      </c>
      <c r="H153" s="10" t="s">
        <v>681</v>
      </c>
      <c r="I153" s="10" t="s">
        <v>682</v>
      </c>
      <c r="J153" s="10" t="s">
        <v>19</v>
      </c>
      <c r="K153" s="10" t="s">
        <v>77</v>
      </c>
      <c r="L153" s="10">
        <v>1.0</v>
      </c>
      <c r="M153" s="10" t="s">
        <v>78</v>
      </c>
      <c r="N153" s="10" t="s">
        <v>683</v>
      </c>
      <c r="O153" s="10" t="s">
        <v>684</v>
      </c>
      <c r="P153" s="11" t="str">
        <f>IFERROR(__xludf.DUMMYFUNCTION("JOIN("" "",N153:O153)"),"LETARD Line")</f>
        <v>LETARD Line</v>
      </c>
      <c r="Q153" s="11">
        <v>26666.0</v>
      </c>
      <c r="R153" s="10" t="s">
        <v>164</v>
      </c>
      <c r="T153" s="10" t="s">
        <v>100</v>
      </c>
    </row>
    <row r="154">
      <c r="A154" s="9">
        <v>42318.71491898148</v>
      </c>
      <c r="B154" s="10">
        <v>3.0</v>
      </c>
      <c r="C154" s="10" t="s">
        <v>672</v>
      </c>
      <c r="D154" s="10" t="s">
        <v>679</v>
      </c>
      <c r="E154" s="10" t="s">
        <v>680</v>
      </c>
      <c r="F154" s="10">
        <v>3.0</v>
      </c>
      <c r="G154" s="10">
        <v>3.0</v>
      </c>
      <c r="H154" s="10" t="s">
        <v>685</v>
      </c>
      <c r="I154" s="10" t="s">
        <v>686</v>
      </c>
      <c r="J154" s="10" t="s">
        <v>19</v>
      </c>
      <c r="K154" s="10" t="s">
        <v>77</v>
      </c>
      <c r="L154" s="10">
        <v>1.0</v>
      </c>
      <c r="M154" s="10" t="s">
        <v>85</v>
      </c>
      <c r="N154" s="10" t="s">
        <v>687</v>
      </c>
      <c r="O154" s="10" t="s">
        <v>688</v>
      </c>
      <c r="P154" s="11" t="str">
        <f>IFERROR(__xludf.DUMMYFUNCTION("JOIN("" "",N154:O154)"),"ALEXANDRE Rodolphe")</f>
        <v>ALEXANDRE Rodolphe</v>
      </c>
      <c r="Q154" s="11">
        <v>19627.0</v>
      </c>
      <c r="R154" s="10" t="s">
        <v>403</v>
      </c>
      <c r="S154" s="10" t="s">
        <v>127</v>
      </c>
      <c r="T154" s="10" t="s">
        <v>100</v>
      </c>
    </row>
    <row r="155">
      <c r="A155" s="9">
        <v>42318.71491898148</v>
      </c>
      <c r="B155" s="10">
        <v>3.0</v>
      </c>
      <c r="C155" s="10" t="s">
        <v>672</v>
      </c>
      <c r="D155" s="10" t="s">
        <v>679</v>
      </c>
      <c r="E155" s="10" t="s">
        <v>680</v>
      </c>
      <c r="F155" s="10">
        <v>4.0</v>
      </c>
      <c r="G155" s="10">
        <v>7.0</v>
      </c>
      <c r="H155" s="10" t="s">
        <v>15</v>
      </c>
      <c r="I155" s="10" t="s">
        <v>689</v>
      </c>
      <c r="J155" s="10" t="s">
        <v>41</v>
      </c>
      <c r="K155" s="10" t="s">
        <v>77</v>
      </c>
      <c r="L155" s="10">
        <v>1.0</v>
      </c>
      <c r="M155" s="10" t="s">
        <v>78</v>
      </c>
      <c r="N155" s="10" t="s">
        <v>690</v>
      </c>
      <c r="O155" s="10" t="s">
        <v>691</v>
      </c>
      <c r="P155" s="11" t="str">
        <f>IFERROR(__xludf.DUMMYFUNCTION("JOIN("" "",N155:O155)"),"ICARE NOUREL Muriel")</f>
        <v>ICARE NOUREL Muriel</v>
      </c>
      <c r="Q155" s="11">
        <v>26762.0</v>
      </c>
      <c r="R155" s="10" t="s">
        <v>134</v>
      </c>
      <c r="T155" s="10" t="s">
        <v>82</v>
      </c>
    </row>
    <row r="156">
      <c r="A156" s="9">
        <v>42318.71491898148</v>
      </c>
      <c r="B156" s="10">
        <v>3.0</v>
      </c>
      <c r="C156" s="10" t="s">
        <v>672</v>
      </c>
      <c r="D156" s="10" t="s">
        <v>692</v>
      </c>
      <c r="E156" s="10" t="s">
        <v>693</v>
      </c>
      <c r="F156" s="10">
        <v>5.0</v>
      </c>
      <c r="G156" s="10">
        <v>10.0</v>
      </c>
      <c r="H156" s="10" t="s">
        <v>694</v>
      </c>
      <c r="I156" s="10" t="s">
        <v>695</v>
      </c>
      <c r="J156" s="10" t="s">
        <v>28</v>
      </c>
      <c r="K156" s="10" t="s">
        <v>77</v>
      </c>
      <c r="L156" s="10">
        <v>1.0</v>
      </c>
      <c r="M156" s="10" t="s">
        <v>85</v>
      </c>
      <c r="N156" s="10" t="s">
        <v>683</v>
      </c>
      <c r="O156" s="10" t="s">
        <v>696</v>
      </c>
      <c r="P156" s="11" t="str">
        <f>IFERROR(__xludf.DUMMYFUNCTION("JOIN("" "",N156:O156)"),"LETARD Sylvio")</f>
        <v>LETARD Sylvio</v>
      </c>
      <c r="Q156" s="11">
        <v>21651.0</v>
      </c>
      <c r="R156" s="10" t="s">
        <v>158</v>
      </c>
      <c r="T156" s="10" t="s">
        <v>82</v>
      </c>
    </row>
    <row r="157">
      <c r="A157" s="9">
        <v>42318.71491898148</v>
      </c>
      <c r="B157" s="10">
        <v>3.0</v>
      </c>
      <c r="C157" s="10" t="s">
        <v>672</v>
      </c>
      <c r="D157" s="10" t="s">
        <v>697</v>
      </c>
      <c r="E157" s="10" t="s">
        <v>698</v>
      </c>
      <c r="F157" s="10">
        <v>6.0</v>
      </c>
      <c r="G157" s="10">
        <v>4.0</v>
      </c>
      <c r="H157" s="10" t="s">
        <v>699</v>
      </c>
      <c r="I157" s="10" t="s">
        <v>700</v>
      </c>
      <c r="J157" s="10" t="s">
        <v>19</v>
      </c>
      <c r="K157" s="10" t="s">
        <v>77</v>
      </c>
      <c r="L157" s="10">
        <v>1.0</v>
      </c>
      <c r="M157" s="10" t="s">
        <v>78</v>
      </c>
      <c r="N157" s="10" t="s">
        <v>701</v>
      </c>
      <c r="O157" s="10" t="s">
        <v>201</v>
      </c>
      <c r="P157" s="11" t="str">
        <f>IFERROR(__xludf.DUMMYFUNCTION("JOIN("" "",N157:O157)"),"BERTHELOT Chantal")</f>
        <v>BERTHELOT Chantal</v>
      </c>
      <c r="Q157" s="11">
        <v>21440.0</v>
      </c>
      <c r="R157" s="10" t="s">
        <v>308</v>
      </c>
      <c r="S157" s="10" t="s">
        <v>207</v>
      </c>
      <c r="T157" s="10" t="s">
        <v>82</v>
      </c>
    </row>
    <row r="158">
      <c r="A158" s="9">
        <v>42318.71491898148</v>
      </c>
      <c r="B158" s="10">
        <v>3.0</v>
      </c>
      <c r="C158" s="10" t="s">
        <v>672</v>
      </c>
      <c r="D158" s="10" t="s">
        <v>679</v>
      </c>
      <c r="E158" s="10" t="s">
        <v>680</v>
      </c>
      <c r="F158" s="10">
        <v>7.0</v>
      </c>
      <c r="G158" s="10">
        <v>5.0</v>
      </c>
      <c r="H158" s="10" t="s">
        <v>702</v>
      </c>
      <c r="I158" s="10" t="s">
        <v>703</v>
      </c>
      <c r="J158" s="10" t="s">
        <v>19</v>
      </c>
      <c r="K158" s="10" t="s">
        <v>77</v>
      </c>
      <c r="L158" s="10">
        <v>1.0</v>
      </c>
      <c r="M158" s="10" t="s">
        <v>85</v>
      </c>
      <c r="N158" s="10" t="s">
        <v>704</v>
      </c>
      <c r="O158" s="10" t="s">
        <v>138</v>
      </c>
      <c r="P158" s="11" t="str">
        <f>IFERROR(__xludf.DUMMYFUNCTION("JOIN("" "",N158:O158)"),"TIEN-LIONG Alain")</f>
        <v>TIEN-LIONG Alain</v>
      </c>
      <c r="Q158" s="11">
        <v>23152.0</v>
      </c>
      <c r="R158" s="10" t="s">
        <v>164</v>
      </c>
      <c r="S158" s="10" t="s">
        <v>705</v>
      </c>
      <c r="T158" s="10" t="s">
        <v>100</v>
      </c>
    </row>
    <row r="159">
      <c r="A159" s="9">
        <v>42318.71491898148</v>
      </c>
      <c r="B159" s="10">
        <v>3.0</v>
      </c>
      <c r="C159" s="10" t="s">
        <v>672</v>
      </c>
      <c r="D159" s="10" t="s">
        <v>679</v>
      </c>
      <c r="E159" s="10" t="s">
        <v>680</v>
      </c>
      <c r="F159" s="10">
        <v>8.0</v>
      </c>
      <c r="G159" s="10">
        <v>9.0</v>
      </c>
      <c r="H159" s="10" t="s">
        <v>706</v>
      </c>
      <c r="I159" s="10" t="s">
        <v>707</v>
      </c>
      <c r="J159" s="10" t="s">
        <v>19</v>
      </c>
      <c r="K159" s="10" t="s">
        <v>77</v>
      </c>
      <c r="L159" s="10">
        <v>1.0</v>
      </c>
      <c r="M159" s="10" t="s">
        <v>85</v>
      </c>
      <c r="N159" s="10" t="s">
        <v>708</v>
      </c>
      <c r="O159" s="10" t="s">
        <v>636</v>
      </c>
      <c r="P159" s="11" t="str">
        <f>IFERROR(__xludf.DUMMYFUNCTION("JOIN("" "",N159:O159)"),"TAUBIRA Jean-Marie")</f>
        <v>TAUBIRA Jean-Marie</v>
      </c>
      <c r="Q159" s="11">
        <v>18490.0</v>
      </c>
      <c r="R159" s="10" t="s">
        <v>81</v>
      </c>
      <c r="T159" s="10" t="s">
        <v>82</v>
      </c>
    </row>
    <row r="160">
      <c r="A160" s="9">
        <v>42318.71491898148</v>
      </c>
      <c r="B160" s="10">
        <v>3.0</v>
      </c>
      <c r="C160" s="10" t="s">
        <v>672</v>
      </c>
      <c r="D160" s="10" t="s">
        <v>679</v>
      </c>
      <c r="E160" s="10" t="s">
        <v>680</v>
      </c>
      <c r="F160" s="10">
        <v>9.0</v>
      </c>
      <c r="G160" s="10">
        <v>6.0</v>
      </c>
      <c r="H160" s="10" t="s">
        <v>709</v>
      </c>
      <c r="I160" s="10" t="s">
        <v>710</v>
      </c>
      <c r="J160" s="10" t="s">
        <v>28</v>
      </c>
      <c r="K160" s="10" t="s">
        <v>77</v>
      </c>
      <c r="L160" s="10">
        <v>1.0</v>
      </c>
      <c r="M160" s="10" t="s">
        <v>85</v>
      </c>
      <c r="N160" s="10" t="s">
        <v>711</v>
      </c>
      <c r="O160" s="10" t="s">
        <v>438</v>
      </c>
      <c r="P160" s="11" t="str">
        <f>IFERROR(__xludf.DUMMYFUNCTION("JOIN("" "",N160:O160)"),"CANAVY Fabien")</f>
        <v>CANAVY Fabien</v>
      </c>
      <c r="Q160" s="11">
        <v>21001.0</v>
      </c>
      <c r="R160" s="10" t="s">
        <v>253</v>
      </c>
      <c r="T160" s="10" t="s">
        <v>100</v>
      </c>
    </row>
    <row r="161">
      <c r="A161" s="9">
        <v>42318.71491898148</v>
      </c>
      <c r="B161" s="10">
        <v>4.0</v>
      </c>
      <c r="C161" s="10" t="s">
        <v>712</v>
      </c>
      <c r="F161" s="10">
        <v>1.0</v>
      </c>
      <c r="G161" s="10">
        <v>4.0</v>
      </c>
      <c r="H161" s="10" t="s">
        <v>713</v>
      </c>
      <c r="I161" s="10" t="s">
        <v>714</v>
      </c>
      <c r="J161" s="10" t="s">
        <v>19</v>
      </c>
      <c r="K161" s="10" t="s">
        <v>77</v>
      </c>
      <c r="L161" s="10">
        <v>1.0</v>
      </c>
      <c r="M161" s="10" t="s">
        <v>85</v>
      </c>
      <c r="N161" s="10" t="s">
        <v>715</v>
      </c>
      <c r="O161" s="10" t="s">
        <v>716</v>
      </c>
      <c r="P161" s="11" t="str">
        <f>IFERROR(__xludf.DUMMYFUNCTION("JOIN("" "",N161:O161)"),"RATENON Jean-Hugues")</f>
        <v>RATENON Jean-Hugues</v>
      </c>
      <c r="Q161" s="11">
        <v>24648.0</v>
      </c>
      <c r="R161" s="10" t="s">
        <v>525</v>
      </c>
      <c r="T161" s="10" t="s">
        <v>82</v>
      </c>
    </row>
    <row r="162">
      <c r="A162" s="9">
        <v>42318.71491898148</v>
      </c>
      <c r="B162" s="10">
        <v>4.0</v>
      </c>
      <c r="C162" s="10" t="s">
        <v>712</v>
      </c>
      <c r="F162" s="10">
        <v>2.0</v>
      </c>
      <c r="G162" s="10">
        <v>14.0</v>
      </c>
      <c r="H162" s="10" t="s">
        <v>717</v>
      </c>
      <c r="I162" s="10" t="s">
        <v>718</v>
      </c>
      <c r="J162" s="10" t="s">
        <v>19</v>
      </c>
      <c r="K162" s="10" t="s">
        <v>77</v>
      </c>
      <c r="L162" s="10">
        <v>1.0</v>
      </c>
      <c r="M162" s="10" t="s">
        <v>85</v>
      </c>
      <c r="N162" s="10" t="s">
        <v>719</v>
      </c>
      <c r="O162" s="10" t="s">
        <v>87</v>
      </c>
      <c r="P162" s="11" t="str">
        <f>IFERROR(__xludf.DUMMYFUNCTION("JOIN("" "",N162:O162)"),"LEBRETON Patrick")</f>
        <v>LEBRETON Patrick</v>
      </c>
      <c r="Q162" s="11">
        <v>23260.0</v>
      </c>
      <c r="R162" s="10" t="s">
        <v>253</v>
      </c>
      <c r="S162" s="10" t="s">
        <v>207</v>
      </c>
      <c r="T162" s="10" t="s">
        <v>82</v>
      </c>
    </row>
    <row r="163">
      <c r="A163" s="9">
        <v>42318.71491898148</v>
      </c>
      <c r="B163" s="10">
        <v>4.0</v>
      </c>
      <c r="C163" s="10" t="s">
        <v>712</v>
      </c>
      <c r="F163" s="10">
        <v>3.0</v>
      </c>
      <c r="G163" s="10">
        <v>9.0</v>
      </c>
      <c r="H163" s="10" t="s">
        <v>720</v>
      </c>
      <c r="I163" s="10" t="s">
        <v>721</v>
      </c>
      <c r="J163" s="10" t="s">
        <v>41</v>
      </c>
      <c r="K163" s="10" t="s">
        <v>77</v>
      </c>
      <c r="L163" s="10">
        <v>1.0</v>
      </c>
      <c r="M163" s="10" t="s">
        <v>85</v>
      </c>
      <c r="N163" s="10" t="s">
        <v>722</v>
      </c>
      <c r="O163" s="10" t="s">
        <v>723</v>
      </c>
      <c r="P163" s="11" t="str">
        <f>IFERROR(__xludf.DUMMYFUNCTION("JOIN("" "",N163:O163)"),"VICTORIA René-Paul")</f>
        <v>VICTORIA René-Paul</v>
      </c>
      <c r="Q163" s="11">
        <v>19963.0</v>
      </c>
      <c r="R163" s="10" t="s">
        <v>222</v>
      </c>
      <c r="T163" s="10" t="s">
        <v>82</v>
      </c>
    </row>
    <row r="164">
      <c r="A164" s="9">
        <v>42318.71491898148</v>
      </c>
      <c r="B164" s="10">
        <v>4.0</v>
      </c>
      <c r="C164" s="10" t="s">
        <v>712</v>
      </c>
      <c r="F164" s="10">
        <v>4.0</v>
      </c>
      <c r="G164" s="10">
        <v>13.0</v>
      </c>
      <c r="H164" s="10" t="s">
        <v>724</v>
      </c>
      <c r="I164" s="10" t="s">
        <v>725</v>
      </c>
      <c r="J164" s="10" t="s">
        <v>39</v>
      </c>
      <c r="K164" s="10" t="s">
        <v>77</v>
      </c>
      <c r="L164" s="10">
        <v>1.0</v>
      </c>
      <c r="M164" s="10" t="s">
        <v>85</v>
      </c>
      <c r="N164" s="10" t="s">
        <v>726</v>
      </c>
      <c r="O164" s="10" t="s">
        <v>221</v>
      </c>
      <c r="P164" s="11" t="str">
        <f>IFERROR(__xludf.DUMMYFUNCTION("JOIN("" "",N164:O164)"),"MOREL Jean-Jack")</f>
        <v>MOREL Jean-Jack</v>
      </c>
      <c r="Q164" s="11">
        <v>19059.0</v>
      </c>
      <c r="R164" s="10" t="s">
        <v>98</v>
      </c>
      <c r="T164" s="10" t="s">
        <v>82</v>
      </c>
    </row>
    <row r="165">
      <c r="A165" s="9">
        <v>42318.71491898148</v>
      </c>
      <c r="B165" s="10">
        <v>4.0</v>
      </c>
      <c r="C165" s="10" t="s">
        <v>712</v>
      </c>
      <c r="F165" s="10">
        <v>5.0</v>
      </c>
      <c r="G165" s="10">
        <v>11.0</v>
      </c>
      <c r="H165" s="10" t="s">
        <v>727</v>
      </c>
      <c r="I165" s="10" t="s">
        <v>727</v>
      </c>
      <c r="J165" s="10" t="s">
        <v>37</v>
      </c>
      <c r="K165" s="10" t="s">
        <v>77</v>
      </c>
      <c r="L165" s="10">
        <v>1.0</v>
      </c>
      <c r="M165" s="10" t="s">
        <v>85</v>
      </c>
      <c r="N165" s="10" t="s">
        <v>728</v>
      </c>
      <c r="O165" s="10" t="s">
        <v>729</v>
      </c>
      <c r="P165" s="11" t="str">
        <f>IFERROR(__xludf.DUMMYFUNCTION("JOIN("" "",N165:O165)"),"ROBERT Didier")</f>
        <v>ROBERT Didier</v>
      </c>
      <c r="Q165" s="11">
        <v>23493.0</v>
      </c>
      <c r="R165" s="10" t="s">
        <v>457</v>
      </c>
      <c r="S165" s="10" t="s">
        <v>99</v>
      </c>
      <c r="T165" s="10" t="s">
        <v>100</v>
      </c>
    </row>
    <row r="166">
      <c r="A166" s="9">
        <v>42318.71491898148</v>
      </c>
      <c r="B166" s="10">
        <v>4.0</v>
      </c>
      <c r="C166" s="10" t="s">
        <v>712</v>
      </c>
      <c r="F166" s="10">
        <v>6.0</v>
      </c>
      <c r="G166" s="10">
        <v>2.0</v>
      </c>
      <c r="H166" s="10" t="s">
        <v>113</v>
      </c>
      <c r="I166" s="10" t="s">
        <v>174</v>
      </c>
      <c r="J166" s="10" t="s">
        <v>3</v>
      </c>
      <c r="K166" s="10" t="s">
        <v>77</v>
      </c>
      <c r="L166" s="10">
        <v>1.0</v>
      </c>
      <c r="M166" s="10" t="s">
        <v>85</v>
      </c>
      <c r="N166" s="10" t="s">
        <v>730</v>
      </c>
      <c r="O166" s="10" t="s">
        <v>731</v>
      </c>
      <c r="P166" s="11" t="str">
        <f>IFERROR(__xludf.DUMMYFUNCTION("JOIN("" "",N166:O166)"),"PAYET Jean Yves")</f>
        <v>PAYET Jean Yves</v>
      </c>
      <c r="Q166" s="11">
        <v>24536.0</v>
      </c>
      <c r="R166" s="10" t="s">
        <v>732</v>
      </c>
      <c r="T166" s="10" t="s">
        <v>82</v>
      </c>
    </row>
    <row r="167">
      <c r="A167" s="9">
        <v>42318.71491898148</v>
      </c>
      <c r="B167" s="10">
        <v>4.0</v>
      </c>
      <c r="C167" s="10" t="s">
        <v>712</v>
      </c>
      <c r="F167" s="10">
        <v>7.0</v>
      </c>
      <c r="G167" s="10">
        <v>12.0</v>
      </c>
      <c r="H167" s="10" t="s">
        <v>733</v>
      </c>
      <c r="I167" s="10" t="s">
        <v>733</v>
      </c>
      <c r="J167" s="10" t="s">
        <v>28</v>
      </c>
      <c r="K167" s="10" t="s">
        <v>77</v>
      </c>
      <c r="L167" s="10">
        <v>1.0</v>
      </c>
      <c r="M167" s="10" t="s">
        <v>85</v>
      </c>
      <c r="N167" s="10" t="s">
        <v>734</v>
      </c>
      <c r="O167" s="10" t="s">
        <v>735</v>
      </c>
      <c r="P167" s="11" t="str">
        <f>IFERROR(__xludf.DUMMYFUNCTION("JOIN("" "",N167:O167)"),"BOYER Aniel")</f>
        <v>BOYER Aniel</v>
      </c>
      <c r="Q167" s="11">
        <v>21301.0</v>
      </c>
      <c r="R167" s="10" t="s">
        <v>81</v>
      </c>
      <c r="T167" s="10" t="s">
        <v>82</v>
      </c>
    </row>
    <row r="168">
      <c r="A168" s="9">
        <v>42318.71493055556</v>
      </c>
      <c r="B168" s="10">
        <v>4.0</v>
      </c>
      <c r="C168" s="10" t="s">
        <v>712</v>
      </c>
      <c r="F168" s="10">
        <v>8.0</v>
      </c>
      <c r="G168" s="10">
        <v>8.0</v>
      </c>
      <c r="H168" s="10" t="s">
        <v>736</v>
      </c>
      <c r="I168" s="10" t="s">
        <v>737</v>
      </c>
      <c r="J168" s="10" t="s">
        <v>15</v>
      </c>
      <c r="K168" s="10" t="s">
        <v>77</v>
      </c>
      <c r="L168" s="10">
        <v>1.0</v>
      </c>
      <c r="M168" s="10" t="s">
        <v>78</v>
      </c>
      <c r="N168" s="10" t="s">
        <v>738</v>
      </c>
      <c r="O168" s="10" t="s">
        <v>739</v>
      </c>
      <c r="P168" s="11" t="str">
        <f>IFERROR(__xludf.DUMMYFUNCTION("JOIN("" "",N168:O168)"),"BELLO Huguette")</f>
        <v>BELLO Huguette</v>
      </c>
      <c r="Q168" s="11">
        <v>18499.0</v>
      </c>
      <c r="R168" s="10" t="s">
        <v>222</v>
      </c>
      <c r="S168" s="10" t="s">
        <v>207</v>
      </c>
      <c r="T168" s="10" t="s">
        <v>82</v>
      </c>
    </row>
    <row r="169">
      <c r="A169" s="9">
        <v>42318.71493055556</v>
      </c>
      <c r="B169" s="10">
        <v>4.0</v>
      </c>
      <c r="C169" s="10" t="s">
        <v>712</v>
      </c>
      <c r="F169" s="10">
        <v>9.0</v>
      </c>
      <c r="G169" s="10">
        <v>10.0</v>
      </c>
      <c r="H169" s="10" t="s">
        <v>740</v>
      </c>
      <c r="I169" s="10" t="s">
        <v>740</v>
      </c>
      <c r="J169" s="10" t="s">
        <v>25</v>
      </c>
      <c r="K169" s="10" t="s">
        <v>77</v>
      </c>
      <c r="L169" s="10">
        <v>1.0</v>
      </c>
      <c r="M169" s="10" t="s">
        <v>85</v>
      </c>
      <c r="N169" s="10" t="s">
        <v>730</v>
      </c>
      <c r="O169" s="10" t="s">
        <v>741</v>
      </c>
      <c r="P169" s="11" t="str">
        <f>IFERROR(__xludf.DUMMYFUNCTION("JOIN("" "",N169:O169)"),"PAYET Mathias")</f>
        <v>PAYET Mathias</v>
      </c>
      <c r="Q169" s="11">
        <v>32984.0</v>
      </c>
      <c r="R169" s="10" t="s">
        <v>311</v>
      </c>
      <c r="T169" s="10" t="s">
        <v>82</v>
      </c>
    </row>
    <row r="170">
      <c r="A170" s="9">
        <v>42318.71493055556</v>
      </c>
      <c r="B170" s="10">
        <v>4.0</v>
      </c>
      <c r="C170" s="10" t="s">
        <v>712</v>
      </c>
      <c r="F170" s="10">
        <v>10.0</v>
      </c>
      <c r="G170" s="10">
        <v>5.0</v>
      </c>
      <c r="H170" s="10" t="s">
        <v>742</v>
      </c>
      <c r="I170" s="10" t="s">
        <v>743</v>
      </c>
      <c r="J170" s="10" t="s">
        <v>43</v>
      </c>
      <c r="K170" s="10" t="s">
        <v>77</v>
      </c>
      <c r="L170" s="10">
        <v>1.0</v>
      </c>
      <c r="M170" s="10" t="s">
        <v>85</v>
      </c>
      <c r="N170" s="10" t="s">
        <v>744</v>
      </c>
      <c r="O170" s="10" t="s">
        <v>157</v>
      </c>
      <c r="P170" s="11" t="str">
        <f>IFERROR(__xludf.DUMMYFUNCTION("JOIN("" "",N170:O170)"),"GRONDIN Joseph")</f>
        <v>GRONDIN Joseph</v>
      </c>
      <c r="Q170" s="11">
        <v>17527.0</v>
      </c>
      <c r="R170" s="10" t="s">
        <v>88</v>
      </c>
      <c r="T170" s="10" t="s">
        <v>82</v>
      </c>
    </row>
    <row r="171">
      <c r="A171" s="9">
        <v>42318.71493055556</v>
      </c>
      <c r="B171" s="10">
        <v>4.0</v>
      </c>
      <c r="C171" s="10" t="s">
        <v>712</v>
      </c>
      <c r="F171" s="10">
        <v>11.0</v>
      </c>
      <c r="G171" s="10">
        <v>6.0</v>
      </c>
      <c r="H171" s="10" t="s">
        <v>745</v>
      </c>
      <c r="I171" s="10" t="s">
        <v>746</v>
      </c>
      <c r="J171" s="10" t="s">
        <v>31</v>
      </c>
      <c r="K171" s="10" t="s">
        <v>77</v>
      </c>
      <c r="L171" s="10">
        <v>1.0</v>
      </c>
      <c r="M171" s="10" t="s">
        <v>85</v>
      </c>
      <c r="N171" s="10" t="s">
        <v>728</v>
      </c>
      <c r="O171" s="10" t="s">
        <v>317</v>
      </c>
      <c r="P171" s="11" t="str">
        <f>IFERROR(__xludf.DUMMYFUNCTION("JOIN("" "",N171:O171)"),"ROBERT Thierry")</f>
        <v>ROBERT Thierry</v>
      </c>
      <c r="Q171" s="11">
        <v>28216.0</v>
      </c>
      <c r="R171" s="10" t="s">
        <v>81</v>
      </c>
      <c r="S171" s="10" t="s">
        <v>207</v>
      </c>
      <c r="T171" s="10" t="s">
        <v>82</v>
      </c>
    </row>
    <row r="172">
      <c r="A172" s="9">
        <v>42318.71493055556</v>
      </c>
      <c r="B172" s="10">
        <v>4.0</v>
      </c>
      <c r="C172" s="10" t="s">
        <v>712</v>
      </c>
      <c r="F172" s="10">
        <v>12.0</v>
      </c>
      <c r="G172" s="10">
        <v>7.0</v>
      </c>
      <c r="H172" s="10" t="s">
        <v>747</v>
      </c>
      <c r="I172" s="10" t="s">
        <v>748</v>
      </c>
      <c r="J172" s="10" t="s">
        <v>25</v>
      </c>
      <c r="K172" s="10" t="s">
        <v>77</v>
      </c>
      <c r="L172" s="10">
        <v>1.0</v>
      </c>
      <c r="M172" s="10" t="s">
        <v>85</v>
      </c>
      <c r="N172" s="10" t="s">
        <v>749</v>
      </c>
      <c r="O172" s="10" t="s">
        <v>110</v>
      </c>
      <c r="P172" s="11" t="str">
        <f>IFERROR(__xludf.DUMMYFUNCTION("JOIN("" "",N172:O172)"),"APPADOO David")</f>
        <v>APPADOO David</v>
      </c>
      <c r="Q172" s="11">
        <v>25003.0</v>
      </c>
      <c r="R172" s="10" t="s">
        <v>328</v>
      </c>
      <c r="T172" s="10" t="s">
        <v>82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7" width="9.25"/>
  </cols>
  <sheetData>
    <row r="1">
      <c r="A1" s="12" t="s">
        <v>56</v>
      </c>
      <c r="B1" s="12" t="s">
        <v>750</v>
      </c>
      <c r="C1" s="12" t="s">
        <v>63</v>
      </c>
      <c r="D1" s="12" t="s">
        <v>751</v>
      </c>
      <c r="E1" s="12" t="s">
        <v>62</v>
      </c>
      <c r="F1" s="12" t="s">
        <v>752</v>
      </c>
      <c r="G1" s="12" t="s">
        <v>753</v>
      </c>
    </row>
    <row r="2">
      <c r="A2" s="13" t="s">
        <v>73</v>
      </c>
      <c r="B2" s="14">
        <v>1.0</v>
      </c>
      <c r="C2" s="14" t="s">
        <v>21</v>
      </c>
      <c r="D2" s="14" t="s">
        <v>75</v>
      </c>
      <c r="E2" s="14" t="s">
        <v>76</v>
      </c>
      <c r="F2" s="14" t="s">
        <v>754</v>
      </c>
      <c r="G2" s="14">
        <v>119091.0</v>
      </c>
    </row>
    <row r="3">
      <c r="A3" s="13" t="s">
        <v>73</v>
      </c>
      <c r="B3" s="14">
        <v>2.0</v>
      </c>
      <c r="C3" s="14" t="s">
        <v>5</v>
      </c>
      <c r="D3" s="14" t="s">
        <v>5</v>
      </c>
      <c r="E3" s="14" t="s">
        <v>84</v>
      </c>
      <c r="F3" s="14" t="s">
        <v>755</v>
      </c>
      <c r="G3" s="14">
        <v>57165.0</v>
      </c>
    </row>
    <row r="4">
      <c r="A4" s="13" t="s">
        <v>73</v>
      </c>
      <c r="B4" s="14">
        <v>3.0</v>
      </c>
      <c r="C4" s="14" t="s">
        <v>39</v>
      </c>
      <c r="D4" s="14" t="s">
        <v>90</v>
      </c>
      <c r="E4" s="14" t="s">
        <v>91</v>
      </c>
      <c r="F4" s="14" t="s">
        <v>756</v>
      </c>
      <c r="G4" s="14">
        <v>84886.0</v>
      </c>
    </row>
    <row r="5">
      <c r="A5" s="13" t="s">
        <v>73</v>
      </c>
      <c r="B5" s="14">
        <v>4.0</v>
      </c>
      <c r="C5" s="14" t="s">
        <v>15</v>
      </c>
      <c r="D5" s="14" t="s">
        <v>94</v>
      </c>
      <c r="E5" s="14" t="s">
        <v>95</v>
      </c>
      <c r="F5" s="14" t="s">
        <v>757</v>
      </c>
      <c r="G5" s="14">
        <v>286390.0</v>
      </c>
    </row>
    <row r="6">
      <c r="A6" s="13" t="s">
        <v>73</v>
      </c>
      <c r="B6" s="14">
        <v>5.0</v>
      </c>
      <c r="C6" s="14" t="s">
        <v>43</v>
      </c>
      <c r="D6" s="14" t="s">
        <v>101</v>
      </c>
      <c r="E6" s="14" t="s">
        <v>102</v>
      </c>
      <c r="F6" s="14" t="s">
        <v>758</v>
      </c>
      <c r="G6" s="14">
        <v>641234.0</v>
      </c>
    </row>
    <row r="7">
      <c r="A7" s="13" t="s">
        <v>73</v>
      </c>
      <c r="B7" s="14">
        <v>6.0</v>
      </c>
      <c r="C7" s="14" t="s">
        <v>25</v>
      </c>
      <c r="D7" s="14" t="s">
        <v>107</v>
      </c>
      <c r="E7" s="14" t="s">
        <v>108</v>
      </c>
      <c r="F7" s="14" t="s">
        <v>759</v>
      </c>
      <c r="G7" s="14">
        <v>19171.0</v>
      </c>
    </row>
    <row r="8">
      <c r="A8" s="13" t="s">
        <v>73</v>
      </c>
      <c r="B8" s="15">
        <v>7.0</v>
      </c>
      <c r="C8" s="15" t="s">
        <v>3</v>
      </c>
      <c r="D8" s="15" t="s">
        <v>113</v>
      </c>
      <c r="E8" s="15" t="s">
        <v>114</v>
      </c>
      <c r="F8" s="15" t="s">
        <v>760</v>
      </c>
      <c r="G8" s="15">
        <v>26347.0</v>
      </c>
    </row>
    <row r="9">
      <c r="A9" s="13" t="s">
        <v>73</v>
      </c>
      <c r="B9" s="15">
        <v>8.0</v>
      </c>
      <c r="C9" s="15" t="s">
        <v>28</v>
      </c>
      <c r="D9" s="15" t="s">
        <v>118</v>
      </c>
      <c r="E9" s="15" t="s">
        <v>119</v>
      </c>
      <c r="F9" s="15" t="s">
        <v>761</v>
      </c>
      <c r="G9" s="15">
        <v>84147.0</v>
      </c>
    </row>
    <row r="10">
      <c r="A10" s="13" t="s">
        <v>73</v>
      </c>
      <c r="B10" s="14">
        <v>9.0</v>
      </c>
      <c r="C10" s="14" t="s">
        <v>37</v>
      </c>
      <c r="D10" s="14" t="s">
        <v>35</v>
      </c>
      <c r="E10" s="14" t="s">
        <v>123</v>
      </c>
      <c r="F10" s="14" t="s">
        <v>762</v>
      </c>
      <c r="G10" s="14">
        <v>459212.0</v>
      </c>
    </row>
    <row r="11">
      <c r="A11" s="13" t="s">
        <v>128</v>
      </c>
      <c r="B11" s="14">
        <v>1.0</v>
      </c>
      <c r="C11" s="14" t="s">
        <v>19</v>
      </c>
      <c r="D11" s="14" t="s">
        <v>130</v>
      </c>
      <c r="E11" s="14" t="s">
        <v>131</v>
      </c>
      <c r="F11" s="14" t="s">
        <v>763</v>
      </c>
      <c r="G11" s="14">
        <v>24964.0</v>
      </c>
    </row>
    <row r="12">
      <c r="A12" s="13" t="s">
        <v>128</v>
      </c>
      <c r="B12" s="14">
        <v>2.0</v>
      </c>
      <c r="C12" s="14" t="s">
        <v>15</v>
      </c>
      <c r="D12" s="14" t="s">
        <v>135</v>
      </c>
      <c r="E12" s="14" t="s">
        <v>136</v>
      </c>
      <c r="F12" s="14" t="s">
        <v>764</v>
      </c>
      <c r="G12" s="14">
        <v>628667.0</v>
      </c>
    </row>
    <row r="13">
      <c r="A13" s="13" t="s">
        <v>128</v>
      </c>
      <c r="B13" s="14">
        <v>3.0</v>
      </c>
      <c r="C13" s="14" t="s">
        <v>37</v>
      </c>
      <c r="D13" s="14" t="s">
        <v>141</v>
      </c>
      <c r="E13" s="14" t="s">
        <v>142</v>
      </c>
      <c r="F13" s="14" t="s">
        <v>765</v>
      </c>
      <c r="G13" s="14">
        <v>562500.0</v>
      </c>
    </row>
    <row r="14">
      <c r="A14" s="13" t="s">
        <v>128</v>
      </c>
      <c r="B14" s="14">
        <v>4.0</v>
      </c>
      <c r="C14" s="14" t="s">
        <v>5</v>
      </c>
      <c r="D14" s="14" t="s">
        <v>147</v>
      </c>
      <c r="E14" s="14" t="s">
        <v>147</v>
      </c>
      <c r="F14" s="14" t="s">
        <v>766</v>
      </c>
      <c r="G14" s="14">
        <v>100380.0</v>
      </c>
    </row>
    <row r="15">
      <c r="A15" s="13" t="s">
        <v>128</v>
      </c>
      <c r="B15" s="14">
        <v>5.0</v>
      </c>
      <c r="C15" s="14" t="s">
        <v>25</v>
      </c>
      <c r="D15" s="14" t="s">
        <v>150</v>
      </c>
      <c r="E15" s="14" t="s">
        <v>151</v>
      </c>
      <c r="F15" s="14" t="s">
        <v>767</v>
      </c>
      <c r="G15" s="14">
        <v>19050.0</v>
      </c>
    </row>
    <row r="16">
      <c r="A16" s="13" t="s">
        <v>128</v>
      </c>
      <c r="B16" s="14">
        <v>6.0</v>
      </c>
      <c r="C16" s="14" t="s">
        <v>19</v>
      </c>
      <c r="D16" s="14" t="s">
        <v>155</v>
      </c>
      <c r="E16" s="14" t="s">
        <v>155</v>
      </c>
      <c r="F16" s="14" t="s">
        <v>768</v>
      </c>
      <c r="G16" s="14">
        <v>38315.0</v>
      </c>
    </row>
    <row r="17">
      <c r="A17" s="15" t="s">
        <v>128</v>
      </c>
      <c r="B17" s="15">
        <v>7.0</v>
      </c>
      <c r="C17" s="15" t="s">
        <v>21</v>
      </c>
      <c r="D17" s="15" t="s">
        <v>160</v>
      </c>
      <c r="E17" s="15" t="s">
        <v>161</v>
      </c>
      <c r="F17" s="15" t="s">
        <v>769</v>
      </c>
      <c r="G17" s="15">
        <v>115782.0</v>
      </c>
    </row>
    <row r="18">
      <c r="A18" s="13" t="s">
        <v>128</v>
      </c>
      <c r="B18" s="14">
        <v>8.0</v>
      </c>
      <c r="C18" s="14" t="s">
        <v>43</v>
      </c>
      <c r="D18" s="14" t="s">
        <v>165</v>
      </c>
      <c r="E18" s="14" t="s">
        <v>102</v>
      </c>
      <c r="F18" s="14" t="s">
        <v>770</v>
      </c>
      <c r="G18" s="14">
        <v>480621.0</v>
      </c>
    </row>
    <row r="19">
      <c r="A19" s="13" t="s">
        <v>128</v>
      </c>
      <c r="B19" s="14">
        <v>9.0</v>
      </c>
      <c r="C19" s="14" t="s">
        <v>39</v>
      </c>
      <c r="D19" s="14" t="s">
        <v>90</v>
      </c>
      <c r="E19" s="14" t="s">
        <v>170</v>
      </c>
      <c r="F19" s="14" t="s">
        <v>771</v>
      </c>
      <c r="G19" s="14">
        <v>69276.0</v>
      </c>
    </row>
    <row r="20">
      <c r="A20" s="13" t="s">
        <v>128</v>
      </c>
      <c r="B20" s="15">
        <v>10.0</v>
      </c>
      <c r="C20" s="15" t="s">
        <v>3</v>
      </c>
      <c r="D20" s="15" t="s">
        <v>113</v>
      </c>
      <c r="E20" s="15" t="s">
        <v>174</v>
      </c>
      <c r="F20" s="15" t="s">
        <v>772</v>
      </c>
      <c r="G20" s="15">
        <v>29206.0</v>
      </c>
    </row>
    <row r="21">
      <c r="A21" s="13" t="s">
        <v>177</v>
      </c>
      <c r="B21" s="14">
        <v>1.0</v>
      </c>
      <c r="C21" s="14" t="s">
        <v>25</v>
      </c>
      <c r="D21" s="14" t="s">
        <v>179</v>
      </c>
      <c r="E21" s="14" t="s">
        <v>180</v>
      </c>
      <c r="F21" s="14" t="s">
        <v>773</v>
      </c>
      <c r="G21" s="14">
        <v>21723.0</v>
      </c>
    </row>
    <row r="22">
      <c r="A22" s="13" t="s">
        <v>177</v>
      </c>
      <c r="B22" s="14">
        <v>2.0</v>
      </c>
      <c r="C22" s="14" t="s">
        <v>41</v>
      </c>
      <c r="D22" s="14" t="s">
        <v>185</v>
      </c>
      <c r="E22" s="14" t="s">
        <v>185</v>
      </c>
      <c r="F22" s="14" t="s">
        <v>774</v>
      </c>
      <c r="G22" s="14">
        <v>39187.0</v>
      </c>
    </row>
    <row r="23">
      <c r="A23" s="13" t="s">
        <v>177</v>
      </c>
      <c r="B23" s="14">
        <v>3.0</v>
      </c>
      <c r="C23" s="14" t="s">
        <v>43</v>
      </c>
      <c r="D23" s="14" t="s">
        <v>188</v>
      </c>
      <c r="E23" s="14" t="s">
        <v>189</v>
      </c>
      <c r="F23" s="14" t="s">
        <v>775</v>
      </c>
      <c r="G23" s="14">
        <v>639923.0</v>
      </c>
    </row>
    <row r="24">
      <c r="A24" s="13" t="s">
        <v>177</v>
      </c>
      <c r="B24" s="14">
        <v>4.0</v>
      </c>
      <c r="C24" s="14" t="s">
        <v>9</v>
      </c>
      <c r="D24" s="14" t="s">
        <v>193</v>
      </c>
      <c r="E24" s="14" t="s">
        <v>194</v>
      </c>
      <c r="F24" s="14" t="s">
        <v>776</v>
      </c>
      <c r="G24" s="14">
        <v>135274.0</v>
      </c>
    </row>
    <row r="25">
      <c r="A25" s="13" t="s">
        <v>177</v>
      </c>
      <c r="B25" s="15">
        <v>5.0</v>
      </c>
      <c r="C25" s="15" t="s">
        <v>3</v>
      </c>
      <c r="D25" s="15" t="s">
        <v>199</v>
      </c>
      <c r="E25" s="15" t="s">
        <v>114</v>
      </c>
      <c r="F25" s="15" t="s">
        <v>777</v>
      </c>
      <c r="G25" s="15">
        <v>31359.0</v>
      </c>
    </row>
    <row r="26">
      <c r="A26" s="15" t="s">
        <v>177</v>
      </c>
      <c r="B26" s="15">
        <v>6.0</v>
      </c>
      <c r="C26" s="15" t="s">
        <v>37</v>
      </c>
      <c r="D26" s="15" t="s">
        <v>204</v>
      </c>
      <c r="E26" s="15" t="s">
        <v>205</v>
      </c>
      <c r="F26" s="15" t="s">
        <v>778</v>
      </c>
      <c r="G26" s="15">
        <v>795661.0</v>
      </c>
    </row>
    <row r="27">
      <c r="A27" s="13" t="s">
        <v>177</v>
      </c>
      <c r="B27" s="14">
        <v>8.0</v>
      </c>
      <c r="C27" s="14" t="s">
        <v>11</v>
      </c>
      <c r="D27" s="14" t="s">
        <v>210</v>
      </c>
      <c r="E27" s="14" t="s">
        <v>211</v>
      </c>
      <c r="F27" s="14" t="s">
        <v>779</v>
      </c>
      <c r="G27" s="14">
        <v>173038.0</v>
      </c>
    </row>
    <row r="28">
      <c r="A28" s="13" t="s">
        <v>177</v>
      </c>
      <c r="B28" s="14">
        <v>9.0</v>
      </c>
      <c r="C28" s="14" t="s">
        <v>39</v>
      </c>
      <c r="D28" s="14" t="s">
        <v>215</v>
      </c>
      <c r="E28" s="14" t="s">
        <v>91</v>
      </c>
      <c r="F28" s="14" t="s">
        <v>780</v>
      </c>
      <c r="G28" s="14">
        <v>71538.0</v>
      </c>
    </row>
    <row r="29">
      <c r="A29" s="13" t="s">
        <v>177</v>
      </c>
      <c r="B29" s="14">
        <v>10.0</v>
      </c>
      <c r="C29" s="14" t="s">
        <v>15</v>
      </c>
      <c r="D29" s="14" t="s">
        <v>219</v>
      </c>
      <c r="E29" s="14" t="s">
        <v>219</v>
      </c>
      <c r="F29" s="14" t="s">
        <v>781</v>
      </c>
      <c r="G29" s="14">
        <v>600112.0</v>
      </c>
    </row>
    <row r="30">
      <c r="A30" s="13" t="s">
        <v>223</v>
      </c>
      <c r="B30" s="14">
        <v>1.0</v>
      </c>
      <c r="C30" s="14" t="s">
        <v>43</v>
      </c>
      <c r="D30" s="14" t="s">
        <v>101</v>
      </c>
      <c r="E30" s="14" t="s">
        <v>225</v>
      </c>
      <c r="F30" s="14" t="s">
        <v>782</v>
      </c>
      <c r="G30" s="14">
        <v>303143.0</v>
      </c>
    </row>
    <row r="31">
      <c r="A31" s="15" t="s">
        <v>223</v>
      </c>
      <c r="B31" s="15">
        <v>2.0</v>
      </c>
      <c r="C31" s="15" t="s">
        <v>25</v>
      </c>
      <c r="D31" s="15" t="s">
        <v>107</v>
      </c>
      <c r="E31" s="15" t="s">
        <v>229</v>
      </c>
      <c r="F31" s="15" t="s">
        <v>783</v>
      </c>
      <c r="G31" s="15">
        <v>8835.0</v>
      </c>
    </row>
    <row r="32">
      <c r="A32" s="13" t="s">
        <v>223</v>
      </c>
      <c r="B32" s="14">
        <v>3.0</v>
      </c>
      <c r="C32" s="14" t="s">
        <v>37</v>
      </c>
      <c r="D32" s="14" t="s">
        <v>233</v>
      </c>
      <c r="E32" s="14" t="s">
        <v>234</v>
      </c>
      <c r="F32" s="14" t="s">
        <v>784</v>
      </c>
      <c r="G32" s="14">
        <v>231069.0</v>
      </c>
    </row>
    <row r="33">
      <c r="A33" s="13" t="s">
        <v>223</v>
      </c>
      <c r="B33" s="14">
        <v>4.0</v>
      </c>
      <c r="C33" s="14" t="s">
        <v>23</v>
      </c>
      <c r="D33" s="14" t="s">
        <v>238</v>
      </c>
      <c r="E33" s="14" t="s">
        <v>239</v>
      </c>
      <c r="F33" s="14" t="s">
        <v>785</v>
      </c>
      <c r="G33" s="14">
        <v>20616.0</v>
      </c>
    </row>
    <row r="34">
      <c r="A34" s="13" t="s">
        <v>223</v>
      </c>
      <c r="B34" s="14">
        <v>5.0</v>
      </c>
      <c r="C34" s="14" t="s">
        <v>21</v>
      </c>
      <c r="D34" s="14" t="s">
        <v>242</v>
      </c>
      <c r="E34" s="14" t="s">
        <v>243</v>
      </c>
      <c r="F34" s="14" t="s">
        <v>786</v>
      </c>
      <c r="G34" s="14">
        <v>37707.0</v>
      </c>
    </row>
    <row r="35">
      <c r="A35" s="13" t="s">
        <v>223</v>
      </c>
      <c r="B35" s="16">
        <v>6.0</v>
      </c>
      <c r="C35" s="14" t="s">
        <v>5</v>
      </c>
      <c r="D35" s="14" t="s">
        <v>246</v>
      </c>
      <c r="E35" s="14" t="s">
        <v>247</v>
      </c>
      <c r="F35" s="14" t="s">
        <v>787</v>
      </c>
      <c r="G35" s="14">
        <v>44471.0</v>
      </c>
    </row>
    <row r="36">
      <c r="A36" s="13" t="s">
        <v>223</v>
      </c>
      <c r="B36" s="15">
        <v>7.0</v>
      </c>
      <c r="C36" s="15" t="s">
        <v>3</v>
      </c>
      <c r="D36" s="15" t="s">
        <v>113</v>
      </c>
      <c r="E36" s="15" t="s">
        <v>174</v>
      </c>
      <c r="F36" s="15" t="s">
        <v>788</v>
      </c>
      <c r="G36" s="15">
        <v>14518.0</v>
      </c>
    </row>
    <row r="37">
      <c r="A37" s="13" t="s">
        <v>223</v>
      </c>
      <c r="B37" s="14">
        <v>8.0</v>
      </c>
      <c r="C37" s="14" t="s">
        <v>39</v>
      </c>
      <c r="D37" s="14" t="s">
        <v>90</v>
      </c>
      <c r="E37" s="14" t="s">
        <v>91</v>
      </c>
      <c r="F37" s="14" t="s">
        <v>789</v>
      </c>
      <c r="G37" s="14">
        <v>49802.0</v>
      </c>
    </row>
    <row r="38">
      <c r="A38" s="13" t="s">
        <v>223</v>
      </c>
      <c r="B38" s="14">
        <v>9.0</v>
      </c>
      <c r="C38" s="14" t="s">
        <v>31</v>
      </c>
      <c r="D38" s="14" t="s">
        <v>258</v>
      </c>
      <c r="E38" s="14" t="s">
        <v>259</v>
      </c>
      <c r="F38" s="14" t="s">
        <v>790</v>
      </c>
      <c r="G38" s="14">
        <v>31431.0</v>
      </c>
    </row>
    <row r="39">
      <c r="A39" s="13" t="s">
        <v>223</v>
      </c>
      <c r="B39" s="14">
        <v>10.0</v>
      </c>
      <c r="C39" s="14" t="s">
        <v>15</v>
      </c>
      <c r="D39" s="14" t="s">
        <v>261</v>
      </c>
      <c r="E39" s="14" t="s">
        <v>262</v>
      </c>
      <c r="F39" s="14" t="s">
        <v>791</v>
      </c>
      <c r="G39" s="14">
        <v>221376.0</v>
      </c>
    </row>
    <row r="40">
      <c r="A40" s="13" t="s">
        <v>265</v>
      </c>
      <c r="B40" s="14">
        <v>1.0</v>
      </c>
      <c r="C40" s="14" t="s">
        <v>3</v>
      </c>
      <c r="D40" s="14" t="s">
        <v>267</v>
      </c>
      <c r="E40" s="14" t="s">
        <v>268</v>
      </c>
      <c r="F40" s="14" t="s">
        <v>792</v>
      </c>
      <c r="G40" s="14">
        <v>7465.0</v>
      </c>
    </row>
    <row r="41">
      <c r="A41" s="13" t="s">
        <v>265</v>
      </c>
      <c r="B41" s="14">
        <v>2.0</v>
      </c>
      <c r="C41" s="14" t="s">
        <v>15</v>
      </c>
      <c r="D41" s="14" t="s">
        <v>272</v>
      </c>
      <c r="E41" s="14" t="s">
        <v>273</v>
      </c>
      <c r="F41" s="14" t="s">
        <v>793</v>
      </c>
      <c r="G41" s="14">
        <v>419846.0</v>
      </c>
    </row>
    <row r="42">
      <c r="A42" s="13" t="s">
        <v>265</v>
      </c>
      <c r="B42" s="14">
        <v>3.0</v>
      </c>
      <c r="C42" s="14" t="s">
        <v>28</v>
      </c>
      <c r="D42" s="14" t="s">
        <v>277</v>
      </c>
      <c r="E42" s="14" t="s">
        <v>278</v>
      </c>
      <c r="F42" s="14" t="s">
        <v>794</v>
      </c>
      <c r="G42" s="14">
        <v>6521.0</v>
      </c>
    </row>
    <row r="43">
      <c r="A43" s="13" t="s">
        <v>265</v>
      </c>
      <c r="B43" s="14">
        <v>4.0</v>
      </c>
      <c r="C43" s="14" t="s">
        <v>28</v>
      </c>
      <c r="D43" s="14" t="s">
        <v>283</v>
      </c>
      <c r="E43" s="14" t="s">
        <v>283</v>
      </c>
      <c r="F43" s="14" t="s">
        <v>795</v>
      </c>
      <c r="G43" s="14">
        <v>80727.0</v>
      </c>
    </row>
    <row r="44">
      <c r="A44" s="15" t="s">
        <v>265</v>
      </c>
      <c r="B44" s="15">
        <v>5.0</v>
      </c>
      <c r="C44" s="15" t="s">
        <v>25</v>
      </c>
      <c r="D44" s="15" t="s">
        <v>150</v>
      </c>
      <c r="E44" s="15" t="s">
        <v>796</v>
      </c>
      <c r="F44" s="15" t="s">
        <v>797</v>
      </c>
      <c r="G44" s="15">
        <v>10412.0</v>
      </c>
    </row>
    <row r="45">
      <c r="A45" s="13" t="s">
        <v>265</v>
      </c>
      <c r="B45" s="14">
        <v>6.0</v>
      </c>
      <c r="C45" s="14" t="s">
        <v>39</v>
      </c>
      <c r="D45" s="14" t="s">
        <v>90</v>
      </c>
      <c r="E45" s="14" t="s">
        <v>289</v>
      </c>
      <c r="F45" s="14" t="s">
        <v>798</v>
      </c>
      <c r="G45" s="14">
        <v>34926.0</v>
      </c>
    </row>
    <row r="46">
      <c r="A46" s="13" t="s">
        <v>265</v>
      </c>
      <c r="B46" s="14">
        <v>7.0</v>
      </c>
      <c r="C46" s="14" t="s">
        <v>43</v>
      </c>
      <c r="D46" s="14" t="s">
        <v>101</v>
      </c>
      <c r="E46" s="14" t="s">
        <v>102</v>
      </c>
      <c r="F46" s="14" t="s">
        <v>799</v>
      </c>
      <c r="G46" s="14">
        <v>218474.0</v>
      </c>
    </row>
    <row r="47">
      <c r="A47" s="13" t="s">
        <v>265</v>
      </c>
      <c r="B47" s="14">
        <v>8.0</v>
      </c>
      <c r="C47" s="14" t="s">
        <v>37</v>
      </c>
      <c r="D47" s="14" t="s">
        <v>295</v>
      </c>
      <c r="E47" s="14" t="s">
        <v>296</v>
      </c>
      <c r="F47" s="14" t="s">
        <v>800</v>
      </c>
      <c r="G47" s="14">
        <v>282006.0</v>
      </c>
    </row>
    <row r="48">
      <c r="A48" s="13" t="s">
        <v>265</v>
      </c>
      <c r="B48" s="14">
        <v>9.0</v>
      </c>
      <c r="C48" s="14" t="s">
        <v>21</v>
      </c>
      <c r="D48" s="14" t="s">
        <v>299</v>
      </c>
      <c r="E48" s="14" t="s">
        <v>300</v>
      </c>
      <c r="F48" s="14" t="s">
        <v>801</v>
      </c>
      <c r="G48" s="14">
        <v>80516.0</v>
      </c>
    </row>
    <row r="49">
      <c r="A49" s="13" t="s">
        <v>265</v>
      </c>
      <c r="B49" s="14">
        <v>10.0</v>
      </c>
      <c r="C49" s="14" t="s">
        <v>5</v>
      </c>
      <c r="D49" s="14" t="s">
        <v>304</v>
      </c>
      <c r="E49" s="14" t="s">
        <v>305</v>
      </c>
      <c r="F49" s="14" t="s">
        <v>802</v>
      </c>
      <c r="G49" s="14">
        <v>44938.0</v>
      </c>
    </row>
    <row r="50">
      <c r="A50" s="13" t="s">
        <v>265</v>
      </c>
      <c r="B50" s="15">
        <v>11.0</v>
      </c>
      <c r="C50" s="15" t="s">
        <v>3</v>
      </c>
      <c r="D50" s="15" t="s">
        <v>113</v>
      </c>
      <c r="E50" s="15" t="s">
        <v>174</v>
      </c>
      <c r="F50" s="15" t="s">
        <v>803</v>
      </c>
      <c r="G50" s="15">
        <v>16445.0</v>
      </c>
    </row>
    <row r="51">
      <c r="A51" s="13" t="s">
        <v>312</v>
      </c>
      <c r="B51" s="14">
        <v>1.0</v>
      </c>
      <c r="C51" s="14" t="s">
        <v>43</v>
      </c>
      <c r="D51" s="14" t="s">
        <v>165</v>
      </c>
      <c r="E51" s="14" t="s">
        <v>314</v>
      </c>
      <c r="F51" s="14" t="s">
        <v>804</v>
      </c>
      <c r="G51" s="14">
        <v>262156.0</v>
      </c>
    </row>
    <row r="52">
      <c r="A52" s="13" t="s">
        <v>312</v>
      </c>
      <c r="B52" s="14">
        <v>2.0</v>
      </c>
      <c r="C52" s="14" t="s">
        <v>25</v>
      </c>
      <c r="D52" s="14" t="s">
        <v>150</v>
      </c>
      <c r="E52" s="14" t="s">
        <v>180</v>
      </c>
      <c r="F52" s="14" t="s">
        <v>805</v>
      </c>
      <c r="G52" s="14">
        <v>12759.0</v>
      </c>
    </row>
    <row r="53">
      <c r="A53" s="13" t="s">
        <v>312</v>
      </c>
      <c r="B53" s="15">
        <v>3.0</v>
      </c>
      <c r="C53" s="15" t="s">
        <v>3</v>
      </c>
      <c r="D53" s="15" t="s">
        <v>113</v>
      </c>
      <c r="E53" s="15" t="s">
        <v>319</v>
      </c>
      <c r="F53" s="15" t="s">
        <v>806</v>
      </c>
      <c r="G53" s="15">
        <v>14612.0</v>
      </c>
    </row>
    <row r="54">
      <c r="A54" s="13" t="s">
        <v>312</v>
      </c>
      <c r="B54" s="14">
        <v>4.0</v>
      </c>
      <c r="C54" s="14" t="s">
        <v>39</v>
      </c>
      <c r="D54" s="14" t="s">
        <v>90</v>
      </c>
      <c r="E54" s="14" t="s">
        <v>91</v>
      </c>
      <c r="F54" s="14" t="s">
        <v>807</v>
      </c>
      <c r="G54" s="14">
        <v>39422.0</v>
      </c>
    </row>
    <row r="55">
      <c r="A55" s="15" t="s">
        <v>312</v>
      </c>
      <c r="B55" s="15">
        <v>5.0</v>
      </c>
      <c r="C55" s="15" t="s">
        <v>37</v>
      </c>
      <c r="D55" s="15" t="s">
        <v>325</v>
      </c>
      <c r="E55" s="15" t="s">
        <v>326</v>
      </c>
      <c r="F55" s="15" t="s">
        <v>808</v>
      </c>
      <c r="G55" s="15">
        <v>225777.0</v>
      </c>
    </row>
    <row r="56">
      <c r="A56" s="13" t="s">
        <v>312</v>
      </c>
      <c r="B56" s="14">
        <v>6.0</v>
      </c>
      <c r="C56" s="14" t="s">
        <v>21</v>
      </c>
      <c r="D56" s="14" t="s">
        <v>330</v>
      </c>
      <c r="E56" s="14" t="s">
        <v>331</v>
      </c>
      <c r="F56" s="14" t="s">
        <v>809</v>
      </c>
      <c r="G56" s="14">
        <v>56754.0</v>
      </c>
    </row>
    <row r="57">
      <c r="A57" s="13" t="s">
        <v>312</v>
      </c>
      <c r="B57" s="14">
        <v>7.0</v>
      </c>
      <c r="C57" s="14" t="s">
        <v>15</v>
      </c>
      <c r="D57" s="14" t="s">
        <v>334</v>
      </c>
      <c r="E57" s="14" t="s">
        <v>335</v>
      </c>
      <c r="F57" s="14" t="s">
        <v>810</v>
      </c>
      <c r="G57" s="14">
        <v>209024.0</v>
      </c>
    </row>
    <row r="58">
      <c r="A58" s="13" t="s">
        <v>312</v>
      </c>
      <c r="B58" s="14">
        <v>8.0</v>
      </c>
      <c r="C58" s="14" t="s">
        <v>9</v>
      </c>
      <c r="D58" s="14" t="s">
        <v>337</v>
      </c>
      <c r="E58" s="14" t="s">
        <v>338</v>
      </c>
      <c r="F58" s="14" t="s">
        <v>811</v>
      </c>
      <c r="G58" s="14">
        <v>39453.0</v>
      </c>
    </row>
    <row r="59">
      <c r="A59" s="13" t="s">
        <v>563</v>
      </c>
      <c r="B59" s="14">
        <v>2.0</v>
      </c>
      <c r="C59" s="14" t="s">
        <v>28</v>
      </c>
      <c r="D59" s="14" t="s">
        <v>566</v>
      </c>
      <c r="E59" s="14" t="s">
        <v>567</v>
      </c>
      <c r="F59" s="14" t="s">
        <v>812</v>
      </c>
      <c r="G59" s="14">
        <v>23603.0</v>
      </c>
    </row>
    <row r="60">
      <c r="A60" s="13" t="s">
        <v>563</v>
      </c>
      <c r="B60" s="14">
        <v>3.0</v>
      </c>
      <c r="C60" s="14" t="s">
        <v>41</v>
      </c>
      <c r="D60" s="14" t="s">
        <v>569</v>
      </c>
      <c r="E60" s="14" t="s">
        <v>570</v>
      </c>
      <c r="F60" s="14" t="s">
        <v>813</v>
      </c>
      <c r="G60" s="14">
        <v>17018.0</v>
      </c>
    </row>
    <row r="61">
      <c r="A61" s="13" t="s">
        <v>563</v>
      </c>
      <c r="B61" s="14">
        <v>4.0</v>
      </c>
      <c r="C61" s="14" t="s">
        <v>17</v>
      </c>
      <c r="D61" s="14" t="s">
        <v>573</v>
      </c>
      <c r="E61" s="14" t="s">
        <v>573</v>
      </c>
      <c r="F61" s="14" t="s">
        <v>814</v>
      </c>
      <c r="G61" s="14">
        <v>4227.0</v>
      </c>
    </row>
    <row r="62">
      <c r="A62" s="13" t="s">
        <v>563</v>
      </c>
      <c r="B62" s="14">
        <v>5.0</v>
      </c>
      <c r="C62" s="14" t="s">
        <v>13</v>
      </c>
      <c r="D62" s="14" t="s">
        <v>577</v>
      </c>
      <c r="E62" s="14" t="s">
        <v>578</v>
      </c>
      <c r="F62" s="14" t="s">
        <v>815</v>
      </c>
      <c r="G62" s="14">
        <v>4353.0</v>
      </c>
    </row>
    <row r="63">
      <c r="A63" s="13" t="s">
        <v>563</v>
      </c>
      <c r="B63" s="14">
        <v>6.0</v>
      </c>
      <c r="C63" s="14" t="s">
        <v>19</v>
      </c>
      <c r="D63" s="14" t="s">
        <v>580</v>
      </c>
      <c r="E63" s="14" t="s">
        <v>580</v>
      </c>
      <c r="F63" s="14" t="s">
        <v>816</v>
      </c>
      <c r="G63" s="14">
        <v>24686.0</v>
      </c>
    </row>
    <row r="64">
      <c r="A64" s="15" t="s">
        <v>563</v>
      </c>
      <c r="B64" s="15">
        <v>7.0</v>
      </c>
      <c r="C64" s="15" t="s">
        <v>28</v>
      </c>
      <c r="D64" s="15" t="s">
        <v>583</v>
      </c>
      <c r="E64" s="15" t="s">
        <v>583</v>
      </c>
      <c r="F64" s="15" t="s">
        <v>817</v>
      </c>
      <c r="G64" s="15">
        <v>3451.0</v>
      </c>
    </row>
    <row r="65">
      <c r="A65" s="13" t="s">
        <v>563</v>
      </c>
      <c r="B65" s="14">
        <v>9.0</v>
      </c>
      <c r="C65" s="14" t="s">
        <v>28</v>
      </c>
      <c r="D65" s="14" t="s">
        <v>586</v>
      </c>
      <c r="E65" s="14" t="s">
        <v>586</v>
      </c>
      <c r="F65" s="14" t="s">
        <v>818</v>
      </c>
      <c r="G65" s="14">
        <v>10353.0</v>
      </c>
    </row>
    <row r="66">
      <c r="A66" s="13" t="s">
        <v>563</v>
      </c>
      <c r="B66" s="15">
        <v>10.0</v>
      </c>
      <c r="C66" s="15" t="s">
        <v>5</v>
      </c>
      <c r="D66" s="15" t="s">
        <v>589</v>
      </c>
      <c r="E66" s="15" t="s">
        <v>590</v>
      </c>
      <c r="F66" s="15" t="s">
        <v>819</v>
      </c>
      <c r="G66" s="15">
        <v>7448.0</v>
      </c>
    </row>
    <row r="67">
      <c r="A67" s="13" t="s">
        <v>563</v>
      </c>
      <c r="B67" s="14">
        <v>11.0</v>
      </c>
      <c r="C67" s="14" t="s">
        <v>35</v>
      </c>
      <c r="D67" s="14" t="s">
        <v>593</v>
      </c>
      <c r="E67" s="14" t="s">
        <v>593</v>
      </c>
      <c r="F67" s="14" t="s">
        <v>820</v>
      </c>
      <c r="G67" s="14">
        <v>17642.0</v>
      </c>
    </row>
    <row r="68">
      <c r="A68" s="13" t="s">
        <v>563</v>
      </c>
      <c r="B68" s="14">
        <v>12.0</v>
      </c>
      <c r="C68" s="14" t="s">
        <v>19</v>
      </c>
      <c r="D68" s="14" t="s">
        <v>596</v>
      </c>
      <c r="E68" s="14" t="s">
        <v>597</v>
      </c>
      <c r="F68" s="14" t="s">
        <v>821</v>
      </c>
      <c r="G68" s="14">
        <v>5532.0</v>
      </c>
    </row>
    <row r="69">
      <c r="A69" s="13" t="s">
        <v>563</v>
      </c>
      <c r="B69" s="14">
        <v>13.0</v>
      </c>
      <c r="C69" s="14" t="s">
        <v>39</v>
      </c>
      <c r="D69" s="14" t="s">
        <v>90</v>
      </c>
      <c r="E69" s="14" t="s">
        <v>90</v>
      </c>
      <c r="F69" s="14" t="s">
        <v>822</v>
      </c>
      <c r="G69" s="14">
        <v>1500.0</v>
      </c>
    </row>
    <row r="70">
      <c r="A70" s="13" t="s">
        <v>601</v>
      </c>
      <c r="B70" s="14">
        <v>1.0</v>
      </c>
      <c r="C70" s="14" t="s">
        <v>19</v>
      </c>
      <c r="D70" s="14" t="s">
        <v>602</v>
      </c>
      <c r="E70" s="14" t="s">
        <v>603</v>
      </c>
      <c r="F70" s="14" t="s">
        <v>823</v>
      </c>
      <c r="G70" s="14">
        <v>2603.0</v>
      </c>
    </row>
    <row r="71">
      <c r="A71" s="13" t="s">
        <v>601</v>
      </c>
      <c r="B71" s="14">
        <v>2.0</v>
      </c>
      <c r="C71" s="14" t="s">
        <v>35</v>
      </c>
      <c r="D71" s="14" t="s">
        <v>605</v>
      </c>
      <c r="E71" s="14" t="s">
        <v>605</v>
      </c>
      <c r="F71" s="14" t="s">
        <v>824</v>
      </c>
      <c r="G71" s="14">
        <v>6312.0</v>
      </c>
    </row>
    <row r="72">
      <c r="A72" s="15" t="s">
        <v>601</v>
      </c>
      <c r="B72" s="15">
        <v>3.0</v>
      </c>
      <c r="C72" s="15" t="s">
        <v>28</v>
      </c>
      <c r="D72" s="15" t="s">
        <v>607</v>
      </c>
      <c r="E72" s="15" t="s">
        <v>608</v>
      </c>
      <c r="F72" s="15" t="s">
        <v>825</v>
      </c>
      <c r="G72" s="15">
        <v>697.0</v>
      </c>
    </row>
    <row r="73">
      <c r="A73" s="13" t="s">
        <v>601</v>
      </c>
      <c r="B73" s="14">
        <v>4.0</v>
      </c>
      <c r="C73" s="14" t="s">
        <v>43</v>
      </c>
      <c r="D73" s="14" t="s">
        <v>611</v>
      </c>
      <c r="E73" s="14" t="s">
        <v>612</v>
      </c>
      <c r="F73" s="14" t="s">
        <v>826</v>
      </c>
      <c r="G73" s="14">
        <v>1973.0</v>
      </c>
    </row>
    <row r="74">
      <c r="A74" s="13" t="s">
        <v>601</v>
      </c>
      <c r="B74" s="14">
        <v>5.0</v>
      </c>
      <c r="C74" s="14" t="s">
        <v>13</v>
      </c>
      <c r="D74" s="14" t="s">
        <v>615</v>
      </c>
      <c r="E74" s="14" t="s">
        <v>616</v>
      </c>
      <c r="F74" s="14" t="s">
        <v>827</v>
      </c>
      <c r="G74" s="14">
        <v>57717.0</v>
      </c>
    </row>
    <row r="75">
      <c r="A75" s="13" t="s">
        <v>601</v>
      </c>
      <c r="B75" s="14">
        <v>6.0</v>
      </c>
      <c r="C75" s="14" t="s">
        <v>41</v>
      </c>
      <c r="D75" s="14" t="s">
        <v>619</v>
      </c>
      <c r="E75" s="14" t="s">
        <v>620</v>
      </c>
      <c r="F75" s="14" t="s">
        <v>828</v>
      </c>
      <c r="G75" s="14">
        <v>2220.0</v>
      </c>
    </row>
    <row r="76">
      <c r="A76" s="13" t="s">
        <v>601</v>
      </c>
      <c r="B76" s="14">
        <v>7.0</v>
      </c>
      <c r="C76" s="14" t="s">
        <v>9</v>
      </c>
      <c r="D76" s="14" t="s">
        <v>623</v>
      </c>
      <c r="E76" s="14" t="s">
        <v>624</v>
      </c>
      <c r="F76" s="14" t="s">
        <v>829</v>
      </c>
      <c r="G76" s="14">
        <v>1297.0</v>
      </c>
    </row>
    <row r="77">
      <c r="A77" s="13" t="s">
        <v>601</v>
      </c>
      <c r="B77" s="14">
        <v>8.0</v>
      </c>
      <c r="C77" s="14" t="s">
        <v>19</v>
      </c>
      <c r="D77" s="14" t="s">
        <v>627</v>
      </c>
      <c r="E77" s="14" t="s">
        <v>628</v>
      </c>
      <c r="F77" s="14" t="s">
        <v>830</v>
      </c>
      <c r="G77" s="14">
        <v>61173.0</v>
      </c>
    </row>
    <row r="78">
      <c r="A78" s="13" t="s">
        <v>601</v>
      </c>
      <c r="B78" s="14">
        <v>9.0</v>
      </c>
      <c r="C78" s="14" t="s">
        <v>41</v>
      </c>
      <c r="D78" s="14" t="s">
        <v>631</v>
      </c>
      <c r="E78" s="14" t="s">
        <v>631</v>
      </c>
      <c r="F78" s="14" t="s">
        <v>831</v>
      </c>
      <c r="G78" s="14">
        <v>4470.0</v>
      </c>
    </row>
    <row r="79">
      <c r="A79" s="13" t="s">
        <v>601</v>
      </c>
      <c r="B79" s="15">
        <v>10.0</v>
      </c>
      <c r="C79" s="15" t="s">
        <v>3</v>
      </c>
      <c r="D79" s="15" t="s">
        <v>634</v>
      </c>
      <c r="E79" s="15" t="s">
        <v>634</v>
      </c>
      <c r="F79" s="15" t="s">
        <v>832</v>
      </c>
      <c r="G79" s="15">
        <v>1992.0</v>
      </c>
    </row>
    <row r="80">
      <c r="A80" s="13" t="s">
        <v>672</v>
      </c>
      <c r="B80" s="14">
        <v>1.0</v>
      </c>
      <c r="C80" s="14" t="s">
        <v>35</v>
      </c>
      <c r="D80" s="14" t="s">
        <v>675</v>
      </c>
      <c r="E80" s="14" t="s">
        <v>676</v>
      </c>
      <c r="F80" s="14" t="s">
        <v>833</v>
      </c>
      <c r="G80" s="14">
        <v>1114.0</v>
      </c>
    </row>
    <row r="81">
      <c r="A81" s="13" t="s">
        <v>672</v>
      </c>
      <c r="B81" s="14">
        <v>2.0</v>
      </c>
      <c r="C81" s="14" t="s">
        <v>19</v>
      </c>
      <c r="D81" s="14" t="s">
        <v>681</v>
      </c>
      <c r="E81" s="14" t="s">
        <v>682</v>
      </c>
      <c r="F81" s="14" t="s">
        <v>834</v>
      </c>
      <c r="G81" s="14">
        <v>2565.0</v>
      </c>
    </row>
    <row r="82">
      <c r="A82" s="13" t="s">
        <v>672</v>
      </c>
      <c r="B82" s="15">
        <v>3.0</v>
      </c>
      <c r="C82" s="15" t="s">
        <v>19</v>
      </c>
      <c r="D82" s="15" t="s">
        <v>685</v>
      </c>
      <c r="E82" s="15" t="s">
        <v>686</v>
      </c>
      <c r="F82" s="15" t="s">
        <v>835</v>
      </c>
      <c r="G82" s="15">
        <v>15298.0</v>
      </c>
    </row>
    <row r="83">
      <c r="A83" s="13" t="s">
        <v>672</v>
      </c>
      <c r="B83" s="14">
        <v>4.0</v>
      </c>
      <c r="C83" s="14" t="s">
        <v>41</v>
      </c>
      <c r="D83" s="14" t="s">
        <v>15</v>
      </c>
      <c r="E83" s="14" t="s">
        <v>689</v>
      </c>
      <c r="F83" s="14" t="s">
        <v>836</v>
      </c>
      <c r="G83" s="14">
        <v>573.0</v>
      </c>
    </row>
    <row r="84">
      <c r="A84" s="13" t="s">
        <v>672</v>
      </c>
      <c r="B84" s="14">
        <v>5.0</v>
      </c>
      <c r="C84" s="14" t="s">
        <v>28</v>
      </c>
      <c r="D84" s="14" t="s">
        <v>694</v>
      </c>
      <c r="E84" s="14" t="s">
        <v>695</v>
      </c>
      <c r="F84" s="14" t="s">
        <v>837</v>
      </c>
      <c r="G84" s="14">
        <v>174.0</v>
      </c>
    </row>
    <row r="85">
      <c r="A85" s="13" t="s">
        <v>672</v>
      </c>
      <c r="B85" s="14">
        <v>6.0</v>
      </c>
      <c r="C85" s="14" t="s">
        <v>19</v>
      </c>
      <c r="D85" s="14" t="s">
        <v>699</v>
      </c>
      <c r="E85" s="14" t="s">
        <v>700</v>
      </c>
      <c r="F85" s="14" t="s">
        <v>838</v>
      </c>
      <c r="G85" s="14">
        <v>3067.0</v>
      </c>
    </row>
    <row r="86">
      <c r="A86" s="13" t="s">
        <v>672</v>
      </c>
      <c r="B86" s="14">
        <v>7.0</v>
      </c>
      <c r="C86" s="14" t="s">
        <v>19</v>
      </c>
      <c r="D86" s="14" t="s">
        <v>702</v>
      </c>
      <c r="E86" s="14" t="s">
        <v>703</v>
      </c>
      <c r="F86" s="14" t="s">
        <v>839</v>
      </c>
      <c r="G86" s="14">
        <v>10926.0</v>
      </c>
    </row>
    <row r="87">
      <c r="A87" s="13" t="s">
        <v>672</v>
      </c>
      <c r="B87" s="14">
        <v>8.0</v>
      </c>
      <c r="C87" s="14" t="s">
        <v>19</v>
      </c>
      <c r="D87" s="14" t="s">
        <v>706</v>
      </c>
      <c r="E87" s="14" t="s">
        <v>707</v>
      </c>
      <c r="F87" s="14" t="s">
        <v>840</v>
      </c>
      <c r="G87" s="14">
        <v>349.0</v>
      </c>
    </row>
    <row r="88">
      <c r="A88" s="15" t="s">
        <v>672</v>
      </c>
      <c r="B88" s="15">
        <v>9.0</v>
      </c>
      <c r="C88" s="15" t="s">
        <v>28</v>
      </c>
      <c r="D88" s="15" t="s">
        <v>709</v>
      </c>
      <c r="E88" s="15" t="s">
        <v>710</v>
      </c>
      <c r="F88" s="15" t="s">
        <v>841</v>
      </c>
      <c r="G88" s="15">
        <v>2064.0</v>
      </c>
    </row>
    <row r="89">
      <c r="A89" s="13" t="s">
        <v>340</v>
      </c>
      <c r="B89" s="14">
        <v>1.0</v>
      </c>
      <c r="C89" s="14" t="s">
        <v>5</v>
      </c>
      <c r="D89" s="14" t="s">
        <v>342</v>
      </c>
      <c r="E89" s="14" t="s">
        <v>343</v>
      </c>
      <c r="F89" s="14" t="s">
        <v>842</v>
      </c>
      <c r="G89" s="14">
        <v>208943.0</v>
      </c>
    </row>
    <row r="90">
      <c r="A90" s="13" t="s">
        <v>340</v>
      </c>
      <c r="B90" s="14">
        <v>2.0</v>
      </c>
      <c r="C90" s="14" t="s">
        <v>15</v>
      </c>
      <c r="D90" s="14" t="s">
        <v>347</v>
      </c>
      <c r="E90" s="14" t="s">
        <v>348</v>
      </c>
      <c r="F90" s="14" t="s">
        <v>843</v>
      </c>
      <c r="G90" s="14">
        <v>794322.0</v>
      </c>
    </row>
    <row r="91">
      <c r="A91" s="13" t="s">
        <v>340</v>
      </c>
      <c r="B91" s="14">
        <v>3.0</v>
      </c>
      <c r="C91" s="14" t="s">
        <v>25</v>
      </c>
      <c r="D91" s="14" t="s">
        <v>351</v>
      </c>
      <c r="E91" s="14" t="s">
        <v>352</v>
      </c>
      <c r="F91" s="14" t="s">
        <v>844</v>
      </c>
      <c r="G91" s="14">
        <v>29755.0</v>
      </c>
    </row>
    <row r="92">
      <c r="A92" s="13" t="s">
        <v>340</v>
      </c>
      <c r="B92" s="14">
        <v>4.0</v>
      </c>
      <c r="C92" s="14" t="s">
        <v>21</v>
      </c>
      <c r="D92" s="14" t="s">
        <v>354</v>
      </c>
      <c r="E92" s="14" t="s">
        <v>355</v>
      </c>
      <c r="F92" s="14" t="s">
        <v>845</v>
      </c>
      <c r="G92" s="14">
        <v>253153.0</v>
      </c>
    </row>
    <row r="93">
      <c r="A93" s="15" t="s">
        <v>340</v>
      </c>
      <c r="B93" s="15">
        <v>5.0</v>
      </c>
      <c r="C93" s="15" t="s">
        <v>25</v>
      </c>
      <c r="D93" s="15" t="s">
        <v>359</v>
      </c>
      <c r="E93" s="15" t="s">
        <v>359</v>
      </c>
      <c r="F93" s="15" t="s">
        <v>846</v>
      </c>
      <c r="G93" s="15">
        <v>7096.0</v>
      </c>
    </row>
    <row r="94">
      <c r="A94" s="13" t="s">
        <v>340</v>
      </c>
      <c r="B94" s="14">
        <v>6.0</v>
      </c>
      <c r="C94" s="14" t="s">
        <v>41</v>
      </c>
      <c r="D94" s="14" t="s">
        <v>362</v>
      </c>
      <c r="E94" s="14" t="s">
        <v>363</v>
      </c>
      <c r="F94" s="14" t="s">
        <v>847</v>
      </c>
      <c r="G94" s="14">
        <v>19981.0</v>
      </c>
    </row>
    <row r="95">
      <c r="A95" s="13" t="s">
        <v>340</v>
      </c>
      <c r="B95" s="14">
        <v>7.0</v>
      </c>
      <c r="C95" s="14" t="s">
        <v>25</v>
      </c>
      <c r="D95" s="14" t="s">
        <v>367</v>
      </c>
      <c r="E95" s="14" t="s">
        <v>368</v>
      </c>
      <c r="F95" s="14" t="s">
        <v>848</v>
      </c>
      <c r="G95" s="14">
        <v>9547.0</v>
      </c>
    </row>
    <row r="96">
      <c r="A96" s="13" t="s">
        <v>340</v>
      </c>
      <c r="B96" s="14">
        <v>8.0</v>
      </c>
      <c r="C96" s="14" t="s">
        <v>25</v>
      </c>
      <c r="D96" s="14" t="s">
        <v>373</v>
      </c>
      <c r="E96" s="14" t="s">
        <v>374</v>
      </c>
      <c r="F96" s="14" t="s">
        <v>849</v>
      </c>
      <c r="G96" s="14">
        <v>12528.0</v>
      </c>
    </row>
    <row r="97">
      <c r="A97" s="13" t="s">
        <v>340</v>
      </c>
      <c r="B97" s="14">
        <v>9.0</v>
      </c>
      <c r="C97" s="14" t="s">
        <v>39</v>
      </c>
      <c r="D97" s="14" t="s">
        <v>90</v>
      </c>
      <c r="E97" s="14" t="s">
        <v>91</v>
      </c>
      <c r="F97" s="14" t="s">
        <v>850</v>
      </c>
      <c r="G97" s="14">
        <v>207280.0</v>
      </c>
    </row>
    <row r="98">
      <c r="A98" s="13" t="s">
        <v>340</v>
      </c>
      <c r="B98" s="14">
        <v>10.0</v>
      </c>
      <c r="C98" s="14" t="s">
        <v>37</v>
      </c>
      <c r="D98" s="14" t="s">
        <v>380</v>
      </c>
      <c r="E98" s="14" t="s">
        <v>851</v>
      </c>
      <c r="F98" s="14" t="s">
        <v>852</v>
      </c>
      <c r="G98" s="14">
        <v>962119.0</v>
      </c>
    </row>
    <row r="99">
      <c r="A99" s="13" t="s">
        <v>340</v>
      </c>
      <c r="B99" s="15">
        <v>13.0</v>
      </c>
      <c r="C99" s="15" t="s">
        <v>3</v>
      </c>
      <c r="D99" s="15" t="s">
        <v>389</v>
      </c>
      <c r="E99" s="15" t="s">
        <v>114</v>
      </c>
      <c r="F99" s="15" t="s">
        <v>853</v>
      </c>
      <c r="G99" s="15">
        <v>44182.0</v>
      </c>
    </row>
    <row r="100">
      <c r="A100" s="13" t="s">
        <v>712</v>
      </c>
      <c r="B100" s="14">
        <v>1.0</v>
      </c>
      <c r="C100" s="14" t="s">
        <v>19</v>
      </c>
      <c r="D100" s="14" t="s">
        <v>713</v>
      </c>
      <c r="E100" s="14" t="s">
        <v>714</v>
      </c>
      <c r="F100" s="14" t="s">
        <v>854</v>
      </c>
      <c r="G100" s="14">
        <v>4484.0</v>
      </c>
    </row>
    <row r="101">
      <c r="A101" s="13" t="s">
        <v>712</v>
      </c>
      <c r="B101" s="14">
        <v>2.0</v>
      </c>
      <c r="C101" s="14" t="s">
        <v>19</v>
      </c>
      <c r="D101" s="14" t="s">
        <v>717</v>
      </c>
      <c r="E101" s="14" t="s">
        <v>718</v>
      </c>
      <c r="F101" s="14" t="s">
        <v>855</v>
      </c>
      <c r="G101" s="14">
        <v>18919.0</v>
      </c>
    </row>
    <row r="102">
      <c r="A102" s="13" t="s">
        <v>712</v>
      </c>
      <c r="B102" s="14">
        <v>3.0</v>
      </c>
      <c r="C102" s="14" t="s">
        <v>41</v>
      </c>
      <c r="D102" s="14" t="s">
        <v>720</v>
      </c>
      <c r="E102" s="14" t="s">
        <v>721</v>
      </c>
      <c r="F102" s="14" t="s">
        <v>856</v>
      </c>
      <c r="G102" s="14">
        <v>2704.0</v>
      </c>
    </row>
    <row r="103">
      <c r="A103" s="13" t="s">
        <v>712</v>
      </c>
      <c r="B103" s="14">
        <v>4.0</v>
      </c>
      <c r="C103" s="14" t="s">
        <v>39</v>
      </c>
      <c r="D103" s="14" t="s">
        <v>724</v>
      </c>
      <c r="E103" s="14" t="s">
        <v>725</v>
      </c>
      <c r="F103" s="14" t="s">
        <v>857</v>
      </c>
      <c r="G103" s="14">
        <v>978.0</v>
      </c>
    </row>
    <row r="104">
      <c r="A104" s="13" t="s">
        <v>712</v>
      </c>
      <c r="B104" s="14">
        <v>5.0</v>
      </c>
      <c r="C104" s="14" t="s">
        <v>37</v>
      </c>
      <c r="D104" s="14" t="s">
        <v>727</v>
      </c>
      <c r="E104" s="14" t="s">
        <v>727</v>
      </c>
      <c r="F104" s="14" t="s">
        <v>858</v>
      </c>
      <c r="G104" s="14">
        <v>107281.0</v>
      </c>
    </row>
    <row r="105">
      <c r="A105" s="13" t="s">
        <v>712</v>
      </c>
      <c r="B105" s="15">
        <v>6.0</v>
      </c>
      <c r="C105" s="15" t="s">
        <v>3</v>
      </c>
      <c r="D105" s="15" t="s">
        <v>113</v>
      </c>
      <c r="E105" s="15" t="s">
        <v>174</v>
      </c>
      <c r="F105" s="15" t="s">
        <v>859</v>
      </c>
      <c r="G105" s="15">
        <v>1263.0</v>
      </c>
    </row>
    <row r="106">
      <c r="A106" s="13" t="s">
        <v>712</v>
      </c>
      <c r="B106" s="14">
        <v>7.0</v>
      </c>
      <c r="C106" s="14" t="s">
        <v>28</v>
      </c>
      <c r="D106" s="14" t="s">
        <v>733</v>
      </c>
      <c r="E106" s="14" t="s">
        <v>733</v>
      </c>
      <c r="F106" s="14" t="s">
        <v>860</v>
      </c>
      <c r="G106" s="14">
        <v>1382.0</v>
      </c>
    </row>
    <row r="107">
      <c r="A107" s="13" t="s">
        <v>712</v>
      </c>
      <c r="B107" s="14">
        <v>8.0</v>
      </c>
      <c r="C107" s="14" t="s">
        <v>15</v>
      </c>
      <c r="D107" s="14" t="s">
        <v>736</v>
      </c>
      <c r="E107" s="14" t="s">
        <v>737</v>
      </c>
      <c r="F107" s="14" t="s">
        <v>861</v>
      </c>
      <c r="G107" s="14">
        <v>63248.0</v>
      </c>
    </row>
    <row r="108">
      <c r="A108" s="15" t="s">
        <v>712</v>
      </c>
      <c r="B108" s="15">
        <v>9.0</v>
      </c>
      <c r="C108" s="15" t="s">
        <v>25</v>
      </c>
      <c r="D108" s="15" t="s">
        <v>740</v>
      </c>
      <c r="E108" s="15" t="s">
        <v>740</v>
      </c>
      <c r="F108" s="15" t="s">
        <v>862</v>
      </c>
      <c r="G108" s="15">
        <v>3895.0</v>
      </c>
    </row>
    <row r="109">
      <c r="A109" s="13" t="s">
        <v>712</v>
      </c>
      <c r="B109" s="14">
        <v>11.0</v>
      </c>
      <c r="C109" s="14" t="s">
        <v>31</v>
      </c>
      <c r="D109" s="14" t="s">
        <v>745</v>
      </c>
      <c r="E109" s="14" t="s">
        <v>746</v>
      </c>
      <c r="F109" s="14" t="s">
        <v>863</v>
      </c>
      <c r="G109" s="14">
        <v>54021.0</v>
      </c>
    </row>
    <row r="110">
      <c r="A110" s="13" t="s">
        <v>712</v>
      </c>
      <c r="B110" s="14">
        <v>12.0</v>
      </c>
      <c r="C110" s="14" t="s">
        <v>25</v>
      </c>
      <c r="D110" s="14" t="s">
        <v>747</v>
      </c>
      <c r="E110" s="14" t="s">
        <v>748</v>
      </c>
      <c r="F110" s="14" t="s">
        <v>864</v>
      </c>
      <c r="G110" s="14">
        <v>1264.0</v>
      </c>
    </row>
    <row r="111">
      <c r="A111" s="13" t="s">
        <v>391</v>
      </c>
      <c r="B111" s="14">
        <v>2.0</v>
      </c>
      <c r="C111" s="14" t="s">
        <v>37</v>
      </c>
      <c r="D111" s="14" t="s">
        <v>393</v>
      </c>
      <c r="E111" s="14" t="s">
        <v>394</v>
      </c>
      <c r="F111" s="14" t="s">
        <v>865</v>
      </c>
      <c r="G111" s="14">
        <v>386987.0</v>
      </c>
    </row>
    <row r="112">
      <c r="A112" s="13" t="s">
        <v>391</v>
      </c>
      <c r="B112" s="14">
        <v>3.0</v>
      </c>
      <c r="C112" s="14" t="s">
        <v>15</v>
      </c>
      <c r="D112" s="14" t="s">
        <v>399</v>
      </c>
      <c r="E112" s="14" t="s">
        <v>400</v>
      </c>
      <c r="F112" s="14" t="s">
        <v>866</v>
      </c>
      <c r="G112" s="14">
        <v>501322.0</v>
      </c>
    </row>
    <row r="113">
      <c r="A113" s="13" t="s">
        <v>391</v>
      </c>
      <c r="B113" s="14">
        <v>4.0</v>
      </c>
      <c r="C113" s="14" t="s">
        <v>45</v>
      </c>
      <c r="D113" s="14" t="s">
        <v>405</v>
      </c>
      <c r="E113" s="14" t="s">
        <v>406</v>
      </c>
      <c r="F113" s="14" t="s">
        <v>867</v>
      </c>
      <c r="G113" s="14">
        <v>14172.0</v>
      </c>
    </row>
    <row r="114">
      <c r="A114" s="15" t="s">
        <v>391</v>
      </c>
      <c r="B114" s="15">
        <v>5.0</v>
      </c>
      <c r="C114" s="15" t="s">
        <v>23</v>
      </c>
      <c r="D114" s="15" t="s">
        <v>410</v>
      </c>
      <c r="E114" s="15" t="s">
        <v>411</v>
      </c>
      <c r="F114" s="15" t="s">
        <v>868</v>
      </c>
      <c r="G114" s="15">
        <v>34936.0</v>
      </c>
    </row>
    <row r="115">
      <c r="A115" s="13" t="s">
        <v>391</v>
      </c>
      <c r="B115" s="14">
        <v>6.0</v>
      </c>
      <c r="C115" s="14" t="s">
        <v>19</v>
      </c>
      <c r="D115" s="14" t="s">
        <v>130</v>
      </c>
      <c r="E115" s="14" t="s">
        <v>413</v>
      </c>
      <c r="F115" s="14" t="s">
        <v>869</v>
      </c>
      <c r="G115" s="14">
        <v>17093.0</v>
      </c>
    </row>
    <row r="116">
      <c r="A116" s="13" t="s">
        <v>391</v>
      </c>
      <c r="B116" s="14">
        <v>7.0</v>
      </c>
      <c r="C116" s="14" t="s">
        <v>25</v>
      </c>
      <c r="D116" s="14" t="s">
        <v>415</v>
      </c>
      <c r="E116" s="14" t="s">
        <v>180</v>
      </c>
      <c r="F116" s="14" t="s">
        <v>870</v>
      </c>
      <c r="G116" s="14">
        <v>14601.0</v>
      </c>
    </row>
    <row r="117">
      <c r="A117" s="13" t="s">
        <v>391</v>
      </c>
      <c r="B117" s="14">
        <v>8.0</v>
      </c>
      <c r="C117" s="14" t="s">
        <v>19</v>
      </c>
      <c r="D117" s="14" t="s">
        <v>418</v>
      </c>
      <c r="E117" s="14" t="s">
        <v>418</v>
      </c>
      <c r="F117" s="14" t="s">
        <v>871</v>
      </c>
      <c r="G117" s="14">
        <v>102728.0</v>
      </c>
    </row>
    <row r="118">
      <c r="A118" s="13" t="s">
        <v>391</v>
      </c>
      <c r="B118" s="14">
        <v>9.0</v>
      </c>
      <c r="C118" s="14" t="s">
        <v>43</v>
      </c>
      <c r="D118" s="14" t="s">
        <v>101</v>
      </c>
      <c r="E118" s="14" t="s">
        <v>102</v>
      </c>
      <c r="F118" s="14" t="s">
        <v>872</v>
      </c>
      <c r="G118" s="14">
        <v>653573.0</v>
      </c>
    </row>
    <row r="119">
      <c r="A119" s="13" t="s">
        <v>391</v>
      </c>
      <c r="B119" s="14">
        <v>10.0</v>
      </c>
      <c r="C119" s="14" t="s">
        <v>11</v>
      </c>
      <c r="D119" s="14" t="s">
        <v>425</v>
      </c>
      <c r="E119" s="14" t="s">
        <v>426</v>
      </c>
      <c r="F119" s="14" t="s">
        <v>873</v>
      </c>
      <c r="G119" s="14">
        <v>210602.0</v>
      </c>
    </row>
    <row r="120">
      <c r="A120" s="13" t="s">
        <v>391</v>
      </c>
      <c r="B120" s="14">
        <v>11.0</v>
      </c>
      <c r="C120" s="14" t="s">
        <v>39</v>
      </c>
      <c r="D120" s="14" t="s">
        <v>90</v>
      </c>
      <c r="E120" s="14" t="s">
        <v>170</v>
      </c>
      <c r="F120" s="14" t="s">
        <v>874</v>
      </c>
      <c r="G120" s="14">
        <v>80380.0</v>
      </c>
    </row>
    <row r="121">
      <c r="A121" s="13" t="s">
        <v>391</v>
      </c>
      <c r="B121" s="15">
        <v>12.0</v>
      </c>
      <c r="C121" s="15" t="s">
        <v>3</v>
      </c>
      <c r="D121" s="15" t="s">
        <v>113</v>
      </c>
      <c r="E121" s="15" t="s">
        <v>174</v>
      </c>
      <c r="F121" s="15" t="s">
        <v>875</v>
      </c>
      <c r="G121" s="15">
        <v>37182.0</v>
      </c>
    </row>
    <row r="122">
      <c r="A122" s="13" t="s">
        <v>637</v>
      </c>
      <c r="B122" s="14">
        <v>1.0</v>
      </c>
      <c r="C122" s="14" t="s">
        <v>25</v>
      </c>
      <c r="D122" s="14" t="s">
        <v>640</v>
      </c>
      <c r="E122" s="14" t="s">
        <v>641</v>
      </c>
      <c r="F122" s="14" t="s">
        <v>876</v>
      </c>
      <c r="G122" s="14">
        <v>3868.0</v>
      </c>
    </row>
    <row r="123">
      <c r="A123" s="13" t="s">
        <v>637</v>
      </c>
      <c r="B123" s="15">
        <v>2.0</v>
      </c>
      <c r="C123" s="15" t="s">
        <v>3</v>
      </c>
      <c r="D123" s="15" t="s">
        <v>634</v>
      </c>
      <c r="E123" s="15" t="s">
        <v>634</v>
      </c>
      <c r="F123" s="15" t="s">
        <v>877</v>
      </c>
      <c r="G123" s="15">
        <v>2460.0</v>
      </c>
    </row>
    <row r="124">
      <c r="A124" s="13" t="s">
        <v>637</v>
      </c>
      <c r="B124" s="14">
        <v>3.0</v>
      </c>
      <c r="C124" s="14" t="s">
        <v>35</v>
      </c>
      <c r="D124" s="14" t="s">
        <v>647</v>
      </c>
      <c r="E124" s="14" t="s">
        <v>647</v>
      </c>
      <c r="F124" s="14" t="s">
        <v>878</v>
      </c>
      <c r="G124" s="14">
        <v>17272.0</v>
      </c>
    </row>
    <row r="125">
      <c r="A125" s="13" t="s">
        <v>637</v>
      </c>
      <c r="B125" s="14">
        <v>4.0</v>
      </c>
      <c r="C125" s="14" t="s">
        <v>41</v>
      </c>
      <c r="D125" s="14" t="s">
        <v>650</v>
      </c>
      <c r="E125" s="14" t="s">
        <v>650</v>
      </c>
      <c r="F125" s="14" t="s">
        <v>879</v>
      </c>
      <c r="G125" s="14">
        <v>2475.0</v>
      </c>
    </row>
    <row r="126">
      <c r="A126" s="13" t="s">
        <v>637</v>
      </c>
      <c r="B126" s="14">
        <v>5.0</v>
      </c>
      <c r="C126" s="14" t="s">
        <v>19</v>
      </c>
      <c r="D126" s="14" t="s">
        <v>652</v>
      </c>
      <c r="E126" s="14" t="s">
        <v>653</v>
      </c>
      <c r="F126" s="14" t="s">
        <v>880</v>
      </c>
      <c r="G126" s="14">
        <v>1558.0</v>
      </c>
    </row>
    <row r="127">
      <c r="A127" s="15" t="s">
        <v>637</v>
      </c>
      <c r="B127" s="15">
        <v>6.0</v>
      </c>
      <c r="C127" s="15" t="s">
        <v>28</v>
      </c>
      <c r="D127" s="15" t="s">
        <v>657</v>
      </c>
      <c r="E127" s="15" t="s">
        <v>658</v>
      </c>
      <c r="F127" s="15" t="s">
        <v>881</v>
      </c>
      <c r="G127" s="15">
        <v>36523.0</v>
      </c>
    </row>
    <row r="128">
      <c r="A128" s="13" t="s">
        <v>637</v>
      </c>
      <c r="B128" s="14">
        <v>7.0</v>
      </c>
      <c r="C128" s="14" t="s">
        <v>33</v>
      </c>
      <c r="D128" s="14" t="s">
        <v>663</v>
      </c>
      <c r="E128" s="14" t="s">
        <v>663</v>
      </c>
      <c r="F128" s="14" t="s">
        <v>882</v>
      </c>
      <c r="G128" s="14">
        <v>1818.0</v>
      </c>
    </row>
    <row r="129">
      <c r="A129" s="13" t="s">
        <v>637</v>
      </c>
      <c r="B129" s="14">
        <v>8.0</v>
      </c>
      <c r="C129" s="14" t="s">
        <v>28</v>
      </c>
      <c r="D129" s="14" t="s">
        <v>665</v>
      </c>
      <c r="E129" s="14" t="s">
        <v>665</v>
      </c>
      <c r="F129" s="14" t="s">
        <v>883</v>
      </c>
      <c r="G129" s="14">
        <v>7653.0</v>
      </c>
    </row>
    <row r="130">
      <c r="A130" s="13" t="s">
        <v>637</v>
      </c>
      <c r="B130" s="14">
        <v>9.0</v>
      </c>
      <c r="C130" s="14" t="s">
        <v>19</v>
      </c>
      <c r="D130" s="14" t="s">
        <v>668</v>
      </c>
      <c r="E130" s="14" t="s">
        <v>669</v>
      </c>
      <c r="F130" s="14" t="s">
        <v>884</v>
      </c>
      <c r="G130" s="14">
        <v>47002.0</v>
      </c>
    </row>
    <row r="131">
      <c r="A131" s="13" t="s">
        <v>434</v>
      </c>
      <c r="B131" s="14">
        <v>1.0</v>
      </c>
      <c r="C131" s="14" t="s">
        <v>9</v>
      </c>
      <c r="D131" s="14" t="s">
        <v>304</v>
      </c>
      <c r="E131" s="14" t="s">
        <v>885</v>
      </c>
      <c r="F131" s="14" t="s">
        <v>886</v>
      </c>
      <c r="G131" s="14">
        <v>119081.0</v>
      </c>
    </row>
    <row r="132">
      <c r="A132" s="13" t="s">
        <v>434</v>
      </c>
      <c r="B132" s="14">
        <v>2.0</v>
      </c>
      <c r="C132" s="14" t="s">
        <v>43</v>
      </c>
      <c r="D132" s="14" t="s">
        <v>440</v>
      </c>
      <c r="E132" s="14" t="s">
        <v>441</v>
      </c>
      <c r="F132" s="14" t="s">
        <v>887</v>
      </c>
      <c r="G132" s="14">
        <v>909025.0</v>
      </c>
    </row>
    <row r="133">
      <c r="A133" s="13" t="s">
        <v>434</v>
      </c>
      <c r="B133" s="15">
        <v>3.0</v>
      </c>
      <c r="C133" s="15" t="s">
        <v>3</v>
      </c>
      <c r="D133" s="15" t="s">
        <v>389</v>
      </c>
      <c r="E133" s="15" t="s">
        <v>114</v>
      </c>
      <c r="F133" s="15" t="s">
        <v>888</v>
      </c>
      <c r="G133" s="15">
        <v>39041.0</v>
      </c>
    </row>
    <row r="134">
      <c r="A134" s="13" t="s">
        <v>434</v>
      </c>
      <c r="B134" s="14">
        <v>4.0</v>
      </c>
      <c r="C134" s="14" t="s">
        <v>25</v>
      </c>
      <c r="D134" s="14" t="s">
        <v>107</v>
      </c>
      <c r="E134" s="14" t="s">
        <v>229</v>
      </c>
      <c r="F134" s="14" t="s">
        <v>889</v>
      </c>
      <c r="G134" s="14">
        <v>14345.0</v>
      </c>
    </row>
    <row r="135">
      <c r="A135" s="13" t="s">
        <v>434</v>
      </c>
      <c r="B135" s="14">
        <v>5.0</v>
      </c>
      <c r="C135" s="14" t="s">
        <v>15</v>
      </c>
      <c r="D135" s="14" t="s">
        <v>446</v>
      </c>
      <c r="E135" s="14" t="s">
        <v>447</v>
      </c>
      <c r="F135" s="14" t="s">
        <v>890</v>
      </c>
      <c r="G135" s="14">
        <v>405199.0</v>
      </c>
    </row>
    <row r="136">
      <c r="A136" s="15" t="s">
        <v>434</v>
      </c>
      <c r="B136" s="15">
        <v>6.0</v>
      </c>
      <c r="C136" s="15" t="s">
        <v>37</v>
      </c>
      <c r="D136" s="15" t="s">
        <v>450</v>
      </c>
      <c r="E136" s="15" t="s">
        <v>451</v>
      </c>
      <c r="F136" s="15" t="s">
        <v>891</v>
      </c>
      <c r="G136" s="15">
        <v>558420.0</v>
      </c>
    </row>
    <row r="137">
      <c r="A137" s="13" t="s">
        <v>434</v>
      </c>
      <c r="B137" s="14">
        <v>7.0</v>
      </c>
      <c r="C137" s="14" t="s">
        <v>39</v>
      </c>
      <c r="D137" s="14" t="s">
        <v>90</v>
      </c>
      <c r="E137" s="14" t="s">
        <v>289</v>
      </c>
      <c r="F137" s="14" t="s">
        <v>892</v>
      </c>
      <c r="G137" s="14">
        <v>53359.0</v>
      </c>
    </row>
    <row r="138">
      <c r="A138" s="13" t="s">
        <v>434</v>
      </c>
      <c r="B138" s="14">
        <v>8.0</v>
      </c>
      <c r="C138" s="14" t="s">
        <v>41</v>
      </c>
      <c r="D138" s="14" t="s">
        <v>362</v>
      </c>
      <c r="E138" s="14" t="s">
        <v>362</v>
      </c>
      <c r="F138" s="14" t="s">
        <v>893</v>
      </c>
      <c r="G138" s="14">
        <v>30319.0</v>
      </c>
    </row>
    <row r="139">
      <c r="A139" s="13" t="s">
        <v>434</v>
      </c>
      <c r="B139" s="14">
        <v>9.0</v>
      </c>
      <c r="C139" s="14" t="s">
        <v>11</v>
      </c>
      <c r="D139" s="14" t="s">
        <v>459</v>
      </c>
      <c r="E139" s="14" t="s">
        <v>460</v>
      </c>
      <c r="F139" s="14" t="s">
        <v>894</v>
      </c>
      <c r="G139" s="14">
        <v>107993.0</v>
      </c>
    </row>
    <row r="140">
      <c r="A140" s="13" t="s">
        <v>462</v>
      </c>
      <c r="B140" s="14">
        <v>1.0</v>
      </c>
      <c r="C140" s="14" t="s">
        <v>39</v>
      </c>
      <c r="D140" s="14" t="s">
        <v>90</v>
      </c>
      <c r="E140" s="14" t="s">
        <v>91</v>
      </c>
      <c r="F140" s="14" t="s">
        <v>895</v>
      </c>
      <c r="G140" s="14">
        <v>47391.0</v>
      </c>
    </row>
    <row r="141">
      <c r="A141" s="13" t="s">
        <v>462</v>
      </c>
      <c r="B141" s="14">
        <v>2.0</v>
      </c>
      <c r="C141" s="14" t="s">
        <v>19</v>
      </c>
      <c r="D141" s="14" t="s">
        <v>466</v>
      </c>
      <c r="E141" s="14" t="s">
        <v>466</v>
      </c>
      <c r="F141" s="14" t="s">
        <v>896</v>
      </c>
      <c r="G141" s="14">
        <v>8981.0</v>
      </c>
    </row>
    <row r="142">
      <c r="A142" s="13" t="s">
        <v>462</v>
      </c>
      <c r="B142" s="14">
        <v>3.0</v>
      </c>
      <c r="C142" s="14" t="s">
        <v>21</v>
      </c>
      <c r="D142" s="14" t="s">
        <v>470</v>
      </c>
      <c r="E142" s="14" t="s">
        <v>471</v>
      </c>
      <c r="F142" s="14" t="s">
        <v>897</v>
      </c>
      <c r="G142" s="14">
        <v>70231.0</v>
      </c>
    </row>
    <row r="143">
      <c r="A143" s="13" t="s">
        <v>462</v>
      </c>
      <c r="B143" s="15">
        <v>4.0</v>
      </c>
      <c r="C143" s="15" t="s">
        <v>3</v>
      </c>
      <c r="D143" s="15" t="s">
        <v>389</v>
      </c>
      <c r="E143" s="15" t="s">
        <v>476</v>
      </c>
      <c r="F143" s="15" t="s">
        <v>898</v>
      </c>
      <c r="G143" s="15">
        <v>20975.0</v>
      </c>
    </row>
    <row r="144">
      <c r="A144" s="13" t="s">
        <v>462</v>
      </c>
      <c r="B144" s="14">
        <v>5.0</v>
      </c>
      <c r="C144" s="14" t="s">
        <v>15</v>
      </c>
      <c r="D144" s="14" t="s">
        <v>479</v>
      </c>
      <c r="E144" s="14" t="s">
        <v>480</v>
      </c>
      <c r="F144" s="14" t="s">
        <v>899</v>
      </c>
      <c r="G144" s="14">
        <v>269127.0</v>
      </c>
    </row>
    <row r="145">
      <c r="A145" s="13" t="s">
        <v>462</v>
      </c>
      <c r="B145" s="14">
        <v>6.0</v>
      </c>
      <c r="C145" s="14" t="s">
        <v>43</v>
      </c>
      <c r="D145" s="14" t="s">
        <v>482</v>
      </c>
      <c r="E145" s="14" t="s">
        <v>483</v>
      </c>
      <c r="F145" s="14" t="s">
        <v>900</v>
      </c>
      <c r="G145" s="14">
        <v>317118.0</v>
      </c>
    </row>
    <row r="146">
      <c r="A146" s="13" t="s">
        <v>462</v>
      </c>
      <c r="B146" s="14">
        <v>7.0</v>
      </c>
      <c r="C146" s="14" t="s">
        <v>5</v>
      </c>
      <c r="D146" s="14" t="s">
        <v>485</v>
      </c>
      <c r="E146" s="14" t="s">
        <v>486</v>
      </c>
      <c r="F146" s="14" t="s">
        <v>901</v>
      </c>
      <c r="G146" s="14">
        <v>80590.0</v>
      </c>
    </row>
    <row r="147">
      <c r="A147" s="13" t="s">
        <v>462</v>
      </c>
      <c r="B147" s="14">
        <v>8.0</v>
      </c>
      <c r="C147" s="14" t="s">
        <v>37</v>
      </c>
      <c r="D147" s="14" t="s">
        <v>489</v>
      </c>
      <c r="E147" s="14" t="s">
        <v>490</v>
      </c>
      <c r="F147" s="14" t="s">
        <v>902</v>
      </c>
      <c r="G147" s="14">
        <v>319357.0</v>
      </c>
    </row>
    <row r="148">
      <c r="A148" s="15" t="s">
        <v>462</v>
      </c>
      <c r="B148" s="15">
        <v>9.0</v>
      </c>
      <c r="C148" s="15" t="s">
        <v>25</v>
      </c>
      <c r="D148" s="15" t="s">
        <v>107</v>
      </c>
      <c r="E148" s="15" t="s">
        <v>180</v>
      </c>
      <c r="F148" s="15" t="s">
        <v>903</v>
      </c>
      <c r="G148" s="15">
        <v>10641.0</v>
      </c>
    </row>
    <row r="149">
      <c r="A149" s="13" t="s">
        <v>496</v>
      </c>
      <c r="B149" s="14">
        <v>1.0</v>
      </c>
      <c r="C149" s="14" t="s">
        <v>43</v>
      </c>
      <c r="D149" s="14" t="s">
        <v>165</v>
      </c>
      <c r="E149" s="14" t="s">
        <v>498</v>
      </c>
      <c r="F149" s="14" t="s">
        <v>904</v>
      </c>
      <c r="G149" s="14">
        <v>270888.0</v>
      </c>
    </row>
    <row r="150">
      <c r="A150" s="13" t="s">
        <v>496</v>
      </c>
      <c r="B150" s="14">
        <v>2.0</v>
      </c>
      <c r="C150" s="14" t="s">
        <v>28</v>
      </c>
      <c r="D150" s="14" t="s">
        <v>501</v>
      </c>
      <c r="E150" s="14" t="s">
        <v>502</v>
      </c>
      <c r="F150" s="14" t="s">
        <v>905</v>
      </c>
      <c r="G150" s="14">
        <v>16096.0</v>
      </c>
    </row>
    <row r="151">
      <c r="A151" s="13" t="s">
        <v>496</v>
      </c>
      <c r="B151" s="14">
        <v>3.0</v>
      </c>
      <c r="C151" s="14" t="s">
        <v>39</v>
      </c>
      <c r="D151" s="14" t="s">
        <v>90</v>
      </c>
      <c r="E151" s="14" t="s">
        <v>91</v>
      </c>
      <c r="F151" s="14" t="s">
        <v>906</v>
      </c>
      <c r="G151" s="14">
        <v>51873.0</v>
      </c>
    </row>
    <row r="152">
      <c r="A152" s="13" t="s">
        <v>496</v>
      </c>
      <c r="B152" s="14">
        <v>4.0</v>
      </c>
      <c r="C152" s="14" t="s">
        <v>9</v>
      </c>
      <c r="D152" s="14" t="s">
        <v>304</v>
      </c>
      <c r="E152" s="14" t="s">
        <v>507</v>
      </c>
      <c r="F152" s="14" t="s">
        <v>907</v>
      </c>
      <c r="G152" s="14">
        <v>42305.0</v>
      </c>
    </row>
    <row r="153">
      <c r="A153" s="13" t="s">
        <v>496</v>
      </c>
      <c r="B153" s="15">
        <v>5.0</v>
      </c>
      <c r="C153" s="15" t="s">
        <v>3</v>
      </c>
      <c r="D153" s="15" t="s">
        <v>389</v>
      </c>
      <c r="E153" s="15" t="s">
        <v>114</v>
      </c>
      <c r="F153" s="15" t="s">
        <v>908</v>
      </c>
      <c r="G153" s="15">
        <v>18626.0</v>
      </c>
    </row>
    <row r="154">
      <c r="A154" s="13" t="s">
        <v>496</v>
      </c>
      <c r="B154" s="14">
        <v>6.0</v>
      </c>
      <c r="C154" s="14" t="s">
        <v>37</v>
      </c>
      <c r="D154" s="14" t="s">
        <v>513</v>
      </c>
      <c r="E154" s="14" t="s">
        <v>514</v>
      </c>
      <c r="F154" s="14" t="s">
        <v>909</v>
      </c>
      <c r="G154" s="14">
        <v>424951.0</v>
      </c>
    </row>
    <row r="155">
      <c r="A155" s="13" t="s">
        <v>496</v>
      </c>
      <c r="B155" s="14">
        <v>7.0</v>
      </c>
      <c r="C155" s="14" t="s">
        <v>15</v>
      </c>
      <c r="D155" s="14" t="s">
        <v>517</v>
      </c>
      <c r="E155" s="14" t="s">
        <v>518</v>
      </c>
      <c r="F155" s="14" t="s">
        <v>910</v>
      </c>
      <c r="G155" s="14">
        <v>326764.0</v>
      </c>
    </row>
    <row r="156">
      <c r="A156" s="13" t="s">
        <v>496</v>
      </c>
      <c r="B156" s="14">
        <v>8.0</v>
      </c>
      <c r="C156" s="14" t="s">
        <v>3</v>
      </c>
      <c r="D156" s="14" t="s">
        <v>520</v>
      </c>
      <c r="E156" s="14" t="s">
        <v>520</v>
      </c>
      <c r="F156" s="14" t="s">
        <v>911</v>
      </c>
      <c r="G156" s="14">
        <v>2164.0</v>
      </c>
    </row>
    <row r="157">
      <c r="A157" s="13" t="s">
        <v>496</v>
      </c>
      <c r="B157" s="14">
        <v>9.0</v>
      </c>
      <c r="C157" s="14" t="s">
        <v>21</v>
      </c>
      <c r="D157" s="14" t="s">
        <v>522</v>
      </c>
      <c r="E157" s="14" t="s">
        <v>523</v>
      </c>
      <c r="F157" s="14" t="s">
        <v>912</v>
      </c>
      <c r="G157" s="14">
        <v>99253.0</v>
      </c>
    </row>
    <row r="158">
      <c r="A158" s="15" t="s">
        <v>496</v>
      </c>
      <c r="B158" s="15">
        <v>10.0</v>
      </c>
      <c r="C158" s="15" t="s">
        <v>25</v>
      </c>
      <c r="D158" s="15" t="s">
        <v>107</v>
      </c>
      <c r="E158" s="15" t="s">
        <v>180</v>
      </c>
      <c r="F158" s="15" t="s">
        <v>913</v>
      </c>
      <c r="G158" s="15">
        <v>16022.0</v>
      </c>
    </row>
    <row r="159">
      <c r="A159" s="13" t="s">
        <v>527</v>
      </c>
      <c r="B159" s="14">
        <v>1.0</v>
      </c>
      <c r="C159" s="14" t="s">
        <v>23</v>
      </c>
      <c r="D159" s="14" t="s">
        <v>529</v>
      </c>
      <c r="E159" s="14" t="s">
        <v>530</v>
      </c>
      <c r="F159" s="14" t="s">
        <v>914</v>
      </c>
      <c r="G159" s="14">
        <v>71901.0</v>
      </c>
    </row>
    <row r="160">
      <c r="A160" s="13" t="s">
        <v>527</v>
      </c>
      <c r="B160" s="15">
        <v>2.0</v>
      </c>
      <c r="C160" s="15" t="s">
        <v>3</v>
      </c>
      <c r="D160" s="15" t="s">
        <v>113</v>
      </c>
      <c r="E160" s="15" t="s">
        <v>114</v>
      </c>
      <c r="F160" s="15" t="s">
        <v>915</v>
      </c>
      <c r="G160" s="15">
        <v>26279.0</v>
      </c>
    </row>
    <row r="161">
      <c r="A161" s="13" t="s">
        <v>527</v>
      </c>
      <c r="B161" s="14">
        <v>3.0</v>
      </c>
      <c r="C161" s="14" t="s">
        <v>45</v>
      </c>
      <c r="D161" s="14" t="s">
        <v>537</v>
      </c>
      <c r="E161" s="14" t="s">
        <v>537</v>
      </c>
      <c r="F161" s="14" t="s">
        <v>916</v>
      </c>
      <c r="G161" s="14">
        <v>19889.0</v>
      </c>
    </row>
    <row r="162">
      <c r="A162" s="13" t="s">
        <v>527</v>
      </c>
      <c r="B162" s="14">
        <v>4.0</v>
      </c>
      <c r="C162" s="14" t="s">
        <v>11</v>
      </c>
      <c r="D162" s="14" t="s">
        <v>539</v>
      </c>
      <c r="E162" s="14" t="s">
        <v>917</v>
      </c>
      <c r="F162" s="14" t="s">
        <v>918</v>
      </c>
      <c r="G162" s="14">
        <v>116125.0</v>
      </c>
    </row>
    <row r="163">
      <c r="A163" s="13" t="s">
        <v>527</v>
      </c>
      <c r="B163" s="14">
        <v>5.0</v>
      </c>
      <c r="C163" s="14" t="s">
        <v>43</v>
      </c>
      <c r="D163" s="14" t="s">
        <v>542</v>
      </c>
      <c r="E163" s="14" t="s">
        <v>543</v>
      </c>
      <c r="F163" s="14" t="s">
        <v>919</v>
      </c>
      <c r="G163" s="14">
        <v>719746.0</v>
      </c>
    </row>
    <row r="164">
      <c r="A164" s="13" t="s">
        <v>527</v>
      </c>
      <c r="B164" s="14">
        <v>6.0</v>
      </c>
      <c r="C164" s="14" t="s">
        <v>37</v>
      </c>
      <c r="D164" s="14" t="s">
        <v>546</v>
      </c>
      <c r="E164" s="14" t="s">
        <v>547</v>
      </c>
      <c r="F164" s="14" t="s">
        <v>920</v>
      </c>
      <c r="G164" s="14">
        <v>469884.0</v>
      </c>
    </row>
    <row r="165">
      <c r="A165" s="13" t="s">
        <v>527</v>
      </c>
      <c r="B165" s="14">
        <v>7.0</v>
      </c>
      <c r="C165" s="14" t="s">
        <v>15</v>
      </c>
      <c r="D165" s="14" t="s">
        <v>550</v>
      </c>
      <c r="E165" s="14" t="s">
        <v>921</v>
      </c>
      <c r="F165" s="14" t="s">
        <v>922</v>
      </c>
      <c r="G165" s="14">
        <v>294398.0</v>
      </c>
    </row>
    <row r="166">
      <c r="A166" s="15" t="s">
        <v>527</v>
      </c>
      <c r="B166" s="15">
        <v>8.0</v>
      </c>
      <c r="C166" s="15" t="s">
        <v>25</v>
      </c>
      <c r="D166" s="15" t="s">
        <v>553</v>
      </c>
      <c r="E166" s="15" t="s">
        <v>554</v>
      </c>
      <c r="F166" s="15" t="s">
        <v>923</v>
      </c>
      <c r="G166" s="15">
        <v>10752.0</v>
      </c>
    </row>
    <row r="167">
      <c r="A167" s="13" t="s">
        <v>527</v>
      </c>
      <c r="B167" s="14">
        <v>9.0</v>
      </c>
      <c r="C167" s="14" t="s">
        <v>39</v>
      </c>
      <c r="D167" s="14" t="s">
        <v>90</v>
      </c>
      <c r="E167" s="14" t="s">
        <v>91</v>
      </c>
      <c r="F167" s="14" t="s">
        <v>924</v>
      </c>
      <c r="G167" s="14">
        <v>34600.0</v>
      </c>
    </row>
    <row r="168">
      <c r="A168" s="13" t="s">
        <v>527</v>
      </c>
      <c r="B168" s="14">
        <v>10.0</v>
      </c>
      <c r="C168" s="14" t="s">
        <v>19</v>
      </c>
      <c r="D168" s="14" t="s">
        <v>130</v>
      </c>
      <c r="E168" s="14" t="s">
        <v>560</v>
      </c>
      <c r="F168" s="14" t="s">
        <v>925</v>
      </c>
      <c r="G168" s="14">
        <v>11276.0</v>
      </c>
    </row>
  </sheetData>
  <customSheetViews>
    <customSheetView guid="{D58543D3-275D-4903-9069-DF12EF9C35A6}" filter="1" showAutoFilter="1">
      <autoFilter ref="$G$1:$G$168"/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7.25"/>
    <col customWidth="1" min="3" max="3" width="8.38"/>
    <col customWidth="1" min="4" max="4" width="26.5"/>
    <col customWidth="1" min="5" max="5" width="58.13"/>
    <col customWidth="1" min="6" max="6" width="22.5"/>
    <col customWidth="1" min="7" max="8" width="9.25"/>
  </cols>
  <sheetData>
    <row r="1">
      <c r="A1" s="12" t="s">
        <v>56</v>
      </c>
      <c r="B1" s="12" t="s">
        <v>750</v>
      </c>
      <c r="C1" s="12" t="s">
        <v>63</v>
      </c>
      <c r="D1" s="12" t="s">
        <v>751</v>
      </c>
      <c r="E1" s="12" t="s">
        <v>62</v>
      </c>
      <c r="F1" s="12" t="s">
        <v>752</v>
      </c>
      <c r="G1" s="17" t="s">
        <v>926</v>
      </c>
      <c r="H1" s="12" t="s">
        <v>753</v>
      </c>
    </row>
    <row r="2">
      <c r="A2" s="13" t="s">
        <v>73</v>
      </c>
      <c r="B2" s="14">
        <v>1.0</v>
      </c>
      <c r="C2" s="14" t="s">
        <v>21</v>
      </c>
      <c r="D2" s="14" t="s">
        <v>75</v>
      </c>
      <c r="E2" s="14" t="s">
        <v>76</v>
      </c>
      <c r="F2" s="14" t="s">
        <v>754</v>
      </c>
      <c r="G2" s="14" t="str">
        <f>IFERROR(__xludf.DUMMYFUNCTION("FILTER(candidats!M:M,candidats!P:P=F2)"),"F")</f>
        <v>F</v>
      </c>
      <c r="H2" s="14">
        <v>119091.0</v>
      </c>
    </row>
    <row r="3">
      <c r="A3" s="13" t="s">
        <v>73</v>
      </c>
      <c r="B3" s="14">
        <v>2.0</v>
      </c>
      <c r="C3" s="14" t="s">
        <v>5</v>
      </c>
      <c r="D3" s="14" t="s">
        <v>5</v>
      </c>
      <c r="E3" s="14" t="s">
        <v>84</v>
      </c>
      <c r="F3" s="14" t="s">
        <v>755</v>
      </c>
      <c r="G3" s="14" t="str">
        <f>IFERROR(__xludf.DUMMYFUNCTION("FILTER(candidats!M:M,candidats!P:P=F3)"),"M")</f>
        <v>M</v>
      </c>
      <c r="H3" s="14"/>
    </row>
    <row r="4">
      <c r="A4" s="13" t="s">
        <v>73</v>
      </c>
      <c r="B4" s="14">
        <v>3.0</v>
      </c>
      <c r="C4" s="14" t="s">
        <v>39</v>
      </c>
      <c r="D4" s="14" t="s">
        <v>90</v>
      </c>
      <c r="E4" s="14" t="s">
        <v>91</v>
      </c>
      <c r="F4" s="14" t="s">
        <v>756</v>
      </c>
      <c r="G4" s="14" t="str">
        <f>IFERROR(__xludf.DUMMYFUNCTION("FILTER(candidats!M:M,candidats!P:P=F4)"),"M")</f>
        <v>M</v>
      </c>
      <c r="H4" s="14">
        <v>84886.0</v>
      </c>
    </row>
    <row r="5">
      <c r="A5" s="13" t="s">
        <v>73</v>
      </c>
      <c r="B5" s="14">
        <v>4.0</v>
      </c>
      <c r="C5" s="14" t="s">
        <v>15</v>
      </c>
      <c r="D5" s="14" t="s">
        <v>94</v>
      </c>
      <c r="E5" s="14" t="s">
        <v>95</v>
      </c>
      <c r="F5" s="14" t="s">
        <v>757</v>
      </c>
      <c r="G5" s="14" t="str">
        <f>IFERROR(__xludf.DUMMYFUNCTION("FILTER(candidats!M:M,candidats!P:P=F5)"),"M")</f>
        <v>M</v>
      </c>
      <c r="H5" s="14">
        <v>286390.0</v>
      </c>
    </row>
    <row r="6">
      <c r="A6" s="13" t="s">
        <v>73</v>
      </c>
      <c r="B6" s="14">
        <v>5.0</v>
      </c>
      <c r="C6" s="14" t="s">
        <v>43</v>
      </c>
      <c r="D6" s="14" t="s">
        <v>101</v>
      </c>
      <c r="E6" s="14" t="s">
        <v>102</v>
      </c>
      <c r="F6" s="14" t="s">
        <v>758</v>
      </c>
      <c r="G6" s="14" t="str">
        <f>IFERROR(__xludf.DUMMYFUNCTION("FILTER(candidats!M:M,candidats!P:P=F6)"),"M")</f>
        <v>M</v>
      </c>
      <c r="H6" s="14">
        <v>641234.0</v>
      </c>
    </row>
    <row r="7">
      <c r="A7" s="13" t="s">
        <v>73</v>
      </c>
      <c r="B7" s="14">
        <v>6.0</v>
      </c>
      <c r="C7" s="14" t="s">
        <v>25</v>
      </c>
      <c r="D7" s="14" t="s">
        <v>107</v>
      </c>
      <c r="E7" s="14" t="s">
        <v>108</v>
      </c>
      <c r="F7" s="14" t="s">
        <v>759</v>
      </c>
      <c r="G7" s="14" t="str">
        <f>IFERROR(__xludf.DUMMYFUNCTION("FILTER(candidats!M:M,candidats!P:P=F7)"),"M")</f>
        <v>M</v>
      </c>
      <c r="H7" s="14">
        <v>19171.0</v>
      </c>
    </row>
    <row r="8">
      <c r="A8" s="13" t="s">
        <v>73</v>
      </c>
      <c r="B8" s="15">
        <v>7.0</v>
      </c>
      <c r="C8" s="15" t="s">
        <v>3</v>
      </c>
      <c r="D8" s="15" t="s">
        <v>113</v>
      </c>
      <c r="E8" s="15" t="s">
        <v>114</v>
      </c>
      <c r="F8" s="15" t="s">
        <v>760</v>
      </c>
      <c r="G8" s="14" t="str">
        <f>IFERROR(__xludf.DUMMYFUNCTION("FILTER(candidats!M:M,candidats!P:P=F8)"),"M")</f>
        <v>M</v>
      </c>
      <c r="H8" s="15">
        <v>26347.0</v>
      </c>
    </row>
    <row r="9">
      <c r="A9" s="13" t="s">
        <v>73</v>
      </c>
      <c r="B9" s="15">
        <v>8.0</v>
      </c>
      <c r="C9" s="15" t="s">
        <v>28</v>
      </c>
      <c r="D9" s="15" t="s">
        <v>118</v>
      </c>
      <c r="E9" s="15" t="s">
        <v>119</v>
      </c>
      <c r="F9" s="15" t="s">
        <v>761</v>
      </c>
      <c r="G9" s="14" t="str">
        <f>IFERROR(__xludf.DUMMYFUNCTION("FILTER(candidats!M:M,candidats!P:P=F9)"),"M")</f>
        <v>M</v>
      </c>
      <c r="H9" s="15">
        <v>84147.0</v>
      </c>
    </row>
    <row r="10">
      <c r="A10" s="13" t="s">
        <v>73</v>
      </c>
      <c r="B10" s="14">
        <v>9.0</v>
      </c>
      <c r="C10" s="14" t="s">
        <v>37</v>
      </c>
      <c r="D10" s="14" t="s">
        <v>35</v>
      </c>
      <c r="E10" s="14" t="s">
        <v>123</v>
      </c>
      <c r="F10" s="14" t="s">
        <v>762</v>
      </c>
      <c r="G10" s="14" t="str">
        <f>IFERROR(__xludf.DUMMYFUNCTION("FILTER(candidats!M:M,candidats!P:P=F10)"),"M")</f>
        <v>M</v>
      </c>
      <c r="H10" s="14">
        <v>459212.0</v>
      </c>
    </row>
    <row r="11">
      <c r="A11" s="13" t="s">
        <v>128</v>
      </c>
      <c r="B11" s="14">
        <v>1.0</v>
      </c>
      <c r="C11" s="14" t="s">
        <v>19</v>
      </c>
      <c r="D11" s="14" t="s">
        <v>130</v>
      </c>
      <c r="E11" s="14" t="s">
        <v>131</v>
      </c>
      <c r="F11" s="14" t="s">
        <v>763</v>
      </c>
      <c r="G11" s="14" t="str">
        <f>IFERROR(__xludf.DUMMYFUNCTION("FILTER(candidats!M:M,candidats!P:P=F11)"),"M")</f>
        <v>M</v>
      </c>
      <c r="H11" s="14">
        <v>24964.0</v>
      </c>
    </row>
    <row r="12">
      <c r="A12" s="13" t="s">
        <v>128</v>
      </c>
      <c r="B12" s="14">
        <v>2.0</v>
      </c>
      <c r="C12" s="14" t="s">
        <v>15</v>
      </c>
      <c r="D12" s="14" t="s">
        <v>135</v>
      </c>
      <c r="E12" s="14" t="s">
        <v>136</v>
      </c>
      <c r="F12" s="14" t="s">
        <v>764</v>
      </c>
      <c r="G12" s="14" t="str">
        <f>IFERROR(__xludf.DUMMYFUNCTION("FILTER(candidats!M:M,candidats!P:P=F12)"),"M")</f>
        <v>M</v>
      </c>
      <c r="H12" s="14">
        <v>628667.0</v>
      </c>
    </row>
    <row r="13">
      <c r="A13" s="13" t="s">
        <v>128</v>
      </c>
      <c r="B13" s="14">
        <v>3.0</v>
      </c>
      <c r="C13" s="14" t="s">
        <v>37</v>
      </c>
      <c r="D13" s="14" t="s">
        <v>141</v>
      </c>
      <c r="E13" s="14" t="s">
        <v>142</v>
      </c>
      <c r="F13" s="14" t="s">
        <v>765</v>
      </c>
      <c r="G13" s="14" t="str">
        <f>IFERROR(__xludf.DUMMYFUNCTION("FILTER(candidats!M:M,candidats!P:P=F13)"),"F")</f>
        <v>F</v>
      </c>
      <c r="H13" s="14">
        <v>562500.0</v>
      </c>
    </row>
    <row r="14">
      <c r="A14" s="13" t="s">
        <v>128</v>
      </c>
      <c r="B14" s="14">
        <v>4.0</v>
      </c>
      <c r="C14" s="14" t="s">
        <v>5</v>
      </c>
      <c r="D14" s="14" t="s">
        <v>147</v>
      </c>
      <c r="E14" s="14" t="s">
        <v>147</v>
      </c>
      <c r="F14" s="14" t="s">
        <v>766</v>
      </c>
      <c r="G14" s="14" t="str">
        <f>IFERROR(__xludf.DUMMYFUNCTION("FILTER(candidats!M:M,candidats!P:P=F14)"),"M")</f>
        <v>M</v>
      </c>
      <c r="H14" s="14">
        <v>100380.0</v>
      </c>
    </row>
    <row r="15">
      <c r="A15" s="13" t="s">
        <v>128</v>
      </c>
      <c r="B15" s="14">
        <v>5.0</v>
      </c>
      <c r="C15" s="14" t="s">
        <v>25</v>
      </c>
      <c r="D15" s="14" t="s">
        <v>150</v>
      </c>
      <c r="E15" s="14" t="s">
        <v>151</v>
      </c>
      <c r="F15" s="14" t="s">
        <v>767</v>
      </c>
      <c r="G15" s="14" t="str">
        <f>IFERROR(__xludf.DUMMYFUNCTION("FILTER(candidats!M:M,candidats!P:P=F15)"),"M")</f>
        <v>M</v>
      </c>
      <c r="H15" s="14">
        <v>19050.0</v>
      </c>
    </row>
    <row r="16">
      <c r="A16" s="13" t="s">
        <v>128</v>
      </c>
      <c r="B16" s="14">
        <v>6.0</v>
      </c>
      <c r="C16" s="14" t="s">
        <v>19</v>
      </c>
      <c r="D16" s="14" t="s">
        <v>155</v>
      </c>
      <c r="E16" s="14" t="s">
        <v>155</v>
      </c>
      <c r="F16" s="14" t="s">
        <v>768</v>
      </c>
      <c r="G16" s="14" t="str">
        <f>IFERROR(__xludf.DUMMYFUNCTION("FILTER(candidats!M:M,candidats!P:P=F16)"),"M")</f>
        <v>M</v>
      </c>
      <c r="H16" s="14">
        <v>38315.0</v>
      </c>
    </row>
    <row r="17">
      <c r="A17" s="15" t="s">
        <v>128</v>
      </c>
      <c r="B17" s="15">
        <v>7.0</v>
      </c>
      <c r="C17" s="15" t="s">
        <v>21</v>
      </c>
      <c r="D17" s="15" t="s">
        <v>160</v>
      </c>
      <c r="E17" s="15" t="s">
        <v>161</v>
      </c>
      <c r="F17" s="15" t="s">
        <v>769</v>
      </c>
      <c r="G17" s="14" t="str">
        <f>IFERROR(__xludf.DUMMYFUNCTION("FILTER(candidats!M:M,candidats!P:P=F17)"),"F")</f>
        <v>F</v>
      </c>
      <c r="H17" s="15">
        <v>115782.0</v>
      </c>
    </row>
    <row r="18">
      <c r="A18" s="13" t="s">
        <v>128</v>
      </c>
      <c r="B18" s="14">
        <v>8.0</v>
      </c>
      <c r="C18" s="14" t="s">
        <v>43</v>
      </c>
      <c r="D18" s="14" t="s">
        <v>165</v>
      </c>
      <c r="E18" s="14" t="s">
        <v>102</v>
      </c>
      <c r="F18" s="14" t="s">
        <v>770</v>
      </c>
      <c r="G18" s="14" t="str">
        <f>IFERROR(__xludf.DUMMYFUNCTION("FILTER(candidats!M:M,candidats!P:P=F18)"),"M")</f>
        <v>M</v>
      </c>
      <c r="H18" s="14">
        <v>480621.0</v>
      </c>
    </row>
    <row r="19">
      <c r="A19" s="13" t="s">
        <v>128</v>
      </c>
      <c r="B19" s="14">
        <v>9.0</v>
      </c>
      <c r="C19" s="14" t="s">
        <v>39</v>
      </c>
      <c r="D19" s="14" t="s">
        <v>90</v>
      </c>
      <c r="E19" s="14" t="s">
        <v>170</v>
      </c>
      <c r="F19" s="14" t="s">
        <v>771</v>
      </c>
      <c r="G19" s="14" t="str">
        <f>IFERROR(__xludf.DUMMYFUNCTION("FILTER(candidats!M:M,candidats!P:P=F19)"),"M")</f>
        <v>M</v>
      </c>
      <c r="H19" s="14">
        <v>69276.0</v>
      </c>
    </row>
    <row r="20">
      <c r="A20" s="13" t="s">
        <v>128</v>
      </c>
      <c r="B20" s="15">
        <v>10.0</v>
      </c>
      <c r="C20" s="15" t="s">
        <v>3</v>
      </c>
      <c r="D20" s="15" t="s">
        <v>113</v>
      </c>
      <c r="E20" s="15" t="s">
        <v>174</v>
      </c>
      <c r="F20" s="15" t="s">
        <v>772</v>
      </c>
      <c r="G20" s="14" t="str">
        <f>IFERROR(__xludf.DUMMYFUNCTION("FILTER(candidats!M:M,candidats!P:P=F20)"),"M")</f>
        <v>M</v>
      </c>
      <c r="H20" s="15">
        <v>29206.0</v>
      </c>
    </row>
    <row r="21">
      <c r="A21" s="13" t="s">
        <v>177</v>
      </c>
      <c r="B21" s="14">
        <v>1.0</v>
      </c>
      <c r="C21" s="14" t="s">
        <v>25</v>
      </c>
      <c r="D21" s="14" t="s">
        <v>179</v>
      </c>
      <c r="E21" s="14" t="s">
        <v>180</v>
      </c>
      <c r="F21" s="14" t="s">
        <v>773</v>
      </c>
      <c r="G21" s="14" t="str">
        <f>IFERROR(__xludf.DUMMYFUNCTION("FILTER(candidats!M:M,candidats!P:P=F21)"),"M")</f>
        <v>M</v>
      </c>
      <c r="H21" s="14">
        <v>21723.0</v>
      </c>
    </row>
    <row r="22">
      <c r="A22" s="13" t="s">
        <v>177</v>
      </c>
      <c r="B22" s="14">
        <v>2.0</v>
      </c>
      <c r="C22" s="14" t="s">
        <v>41</v>
      </c>
      <c r="D22" s="14" t="s">
        <v>185</v>
      </c>
      <c r="E22" s="14" t="s">
        <v>185</v>
      </c>
      <c r="F22" s="14" t="s">
        <v>774</v>
      </c>
      <c r="G22" s="14" t="str">
        <f>IFERROR(__xludf.DUMMYFUNCTION("FILTER(candidats!M:M,candidats!P:P=F22)"),"M")</f>
        <v>M</v>
      </c>
      <c r="H22" s="14">
        <v>39187.0</v>
      </c>
    </row>
    <row r="23">
      <c r="A23" s="13" t="s">
        <v>177</v>
      </c>
      <c r="B23" s="14">
        <v>3.0</v>
      </c>
      <c r="C23" s="14" t="s">
        <v>43</v>
      </c>
      <c r="D23" s="14" t="s">
        <v>188</v>
      </c>
      <c r="E23" s="14" t="s">
        <v>189</v>
      </c>
      <c r="F23" s="14" t="s">
        <v>775</v>
      </c>
      <c r="G23" s="14" t="str">
        <f>IFERROR(__xludf.DUMMYFUNCTION("FILTER(candidats!M:M,candidats!P:P=F23)"),"M")</f>
        <v>M</v>
      </c>
      <c r="H23" s="14">
        <v>639923.0</v>
      </c>
    </row>
    <row r="24">
      <c r="A24" s="13" t="s">
        <v>177</v>
      </c>
      <c r="B24" s="14">
        <v>4.0</v>
      </c>
      <c r="C24" s="14" t="s">
        <v>9</v>
      </c>
      <c r="D24" s="14" t="s">
        <v>193</v>
      </c>
      <c r="E24" s="14" t="s">
        <v>194</v>
      </c>
      <c r="F24" s="14" t="s">
        <v>776</v>
      </c>
      <c r="G24" s="14" t="str">
        <f>IFERROR(__xludf.DUMMYFUNCTION("FILTER(candidats!M:M,candidats!P:P=F24)"),"F")</f>
        <v>F</v>
      </c>
      <c r="H24" s="14">
        <v>135274.0</v>
      </c>
    </row>
    <row r="25">
      <c r="A25" s="13" t="s">
        <v>177</v>
      </c>
      <c r="B25" s="15">
        <v>5.0</v>
      </c>
      <c r="C25" s="15" t="s">
        <v>3</v>
      </c>
      <c r="D25" s="15" t="s">
        <v>199</v>
      </c>
      <c r="E25" s="15" t="s">
        <v>114</v>
      </c>
      <c r="F25" s="15" t="s">
        <v>777</v>
      </c>
      <c r="G25" s="14" t="str">
        <f>IFERROR(__xludf.DUMMYFUNCTION("FILTER(candidats!M:M,candidats!P:P=F25)"),"F")</f>
        <v>F</v>
      </c>
      <c r="H25" s="15">
        <v>31359.0</v>
      </c>
    </row>
    <row r="26">
      <c r="A26" s="15" t="s">
        <v>177</v>
      </c>
      <c r="B26" s="15">
        <v>6.0</v>
      </c>
      <c r="C26" s="15" t="s">
        <v>37</v>
      </c>
      <c r="D26" s="15" t="s">
        <v>204</v>
      </c>
      <c r="E26" s="15" t="s">
        <v>205</v>
      </c>
      <c r="F26" s="15" t="s">
        <v>778</v>
      </c>
      <c r="G26" s="14" t="str">
        <f>IFERROR(__xludf.DUMMYFUNCTION("FILTER(candidats!M:M,candidats!P:P=F26)"),"M")</f>
        <v>M</v>
      </c>
      <c r="H26" s="15">
        <v>795661.0</v>
      </c>
    </row>
    <row r="27">
      <c r="A27" s="13" t="s">
        <v>177</v>
      </c>
      <c r="B27" s="14">
        <v>8.0</v>
      </c>
      <c r="C27" s="14" t="s">
        <v>11</v>
      </c>
      <c r="D27" s="14" t="s">
        <v>210</v>
      </c>
      <c r="E27" s="14" t="s">
        <v>211</v>
      </c>
      <c r="F27" s="14" t="s">
        <v>779</v>
      </c>
      <c r="G27" s="14" t="str">
        <f>IFERROR(__xludf.DUMMYFUNCTION("FILTER(candidats!M:M,candidats!P:P=F27)"),"M")</f>
        <v>M</v>
      </c>
      <c r="H27" s="14">
        <v>173038.0</v>
      </c>
    </row>
    <row r="28">
      <c r="A28" s="13" t="s">
        <v>177</v>
      </c>
      <c r="B28" s="14">
        <v>9.0</v>
      </c>
      <c r="C28" s="14" t="s">
        <v>39</v>
      </c>
      <c r="D28" s="14" t="s">
        <v>215</v>
      </c>
      <c r="E28" s="14" t="s">
        <v>91</v>
      </c>
      <c r="F28" s="14" t="s">
        <v>780</v>
      </c>
      <c r="G28" s="14" t="str">
        <f>IFERROR(__xludf.DUMMYFUNCTION("FILTER(candidats!M:M,candidats!P:P=F28)"),"M")</f>
        <v>M</v>
      </c>
      <c r="H28" s="14">
        <v>71538.0</v>
      </c>
    </row>
    <row r="29">
      <c r="A29" s="13" t="s">
        <v>177</v>
      </c>
      <c r="B29" s="14">
        <v>10.0</v>
      </c>
      <c r="C29" s="14" t="s">
        <v>15</v>
      </c>
      <c r="D29" s="14" t="s">
        <v>219</v>
      </c>
      <c r="E29" s="14" t="s">
        <v>219</v>
      </c>
      <c r="F29" s="14" t="s">
        <v>781</v>
      </c>
      <c r="G29" s="14" t="str">
        <f>IFERROR(__xludf.DUMMYFUNCTION("FILTER(candidats!M:M,candidats!P:P=F29)"),"M")</f>
        <v>M</v>
      </c>
      <c r="H29" s="14">
        <v>600112.0</v>
      </c>
    </row>
    <row r="30">
      <c r="A30" s="13" t="s">
        <v>223</v>
      </c>
      <c r="B30" s="14">
        <v>1.0</v>
      </c>
      <c r="C30" s="14" t="s">
        <v>43</v>
      </c>
      <c r="D30" s="14" t="s">
        <v>101</v>
      </c>
      <c r="E30" s="14" t="s">
        <v>225</v>
      </c>
      <c r="F30" s="14" t="s">
        <v>782</v>
      </c>
      <c r="G30" s="14" t="str">
        <f>IFERROR(__xludf.DUMMYFUNCTION("FILTER(candidats!M:M,candidats!P:P=F30)"),"F")</f>
        <v>F</v>
      </c>
      <c r="H30" s="14">
        <v>303143.0</v>
      </c>
    </row>
    <row r="31">
      <c r="A31" s="15" t="s">
        <v>223</v>
      </c>
      <c r="B31" s="15">
        <v>2.0</v>
      </c>
      <c r="C31" s="15" t="s">
        <v>25</v>
      </c>
      <c r="D31" s="15" t="s">
        <v>107</v>
      </c>
      <c r="E31" s="15" t="s">
        <v>229</v>
      </c>
      <c r="F31" s="15" t="s">
        <v>783</v>
      </c>
      <c r="G31" s="14" t="str">
        <f>IFERROR(__xludf.DUMMYFUNCTION("FILTER(candidats!M:M,candidats!P:P=F31)"),"M")</f>
        <v>M</v>
      </c>
      <c r="H31" s="15">
        <v>8835.0</v>
      </c>
    </row>
    <row r="32">
      <c r="A32" s="13" t="s">
        <v>223</v>
      </c>
      <c r="B32" s="14">
        <v>3.0</v>
      </c>
      <c r="C32" s="14" t="s">
        <v>37</v>
      </c>
      <c r="D32" s="14" t="s">
        <v>233</v>
      </c>
      <c r="E32" s="14" t="s">
        <v>234</v>
      </c>
      <c r="F32" s="14" t="s">
        <v>784</v>
      </c>
      <c r="G32" s="14" t="str">
        <f>IFERROR(__xludf.DUMMYFUNCTION("FILTER(candidats!M:M,candidats!P:P=F32)"),"M")</f>
        <v>M</v>
      </c>
      <c r="H32" s="14">
        <v>231069.0</v>
      </c>
    </row>
    <row r="33">
      <c r="A33" s="13" t="s">
        <v>223</v>
      </c>
      <c r="B33" s="14">
        <v>4.0</v>
      </c>
      <c r="C33" s="14" t="s">
        <v>23</v>
      </c>
      <c r="D33" s="14" t="s">
        <v>238</v>
      </c>
      <c r="E33" s="14" t="s">
        <v>239</v>
      </c>
      <c r="F33" s="14" t="s">
        <v>785</v>
      </c>
      <c r="G33" s="14" t="str">
        <f>IFERROR(__xludf.DUMMYFUNCTION("FILTER(candidats!M:M,candidats!P:P=F33)"),"M")</f>
        <v>M</v>
      </c>
      <c r="H33" s="14">
        <v>20616.0</v>
      </c>
    </row>
    <row r="34">
      <c r="A34" s="13" t="s">
        <v>223</v>
      </c>
      <c r="B34" s="14">
        <v>5.0</v>
      </c>
      <c r="C34" s="14" t="s">
        <v>21</v>
      </c>
      <c r="D34" s="14" t="s">
        <v>242</v>
      </c>
      <c r="E34" s="14" t="s">
        <v>243</v>
      </c>
      <c r="F34" s="14" t="s">
        <v>786</v>
      </c>
      <c r="G34" s="14" t="str">
        <f>IFERROR(__xludf.DUMMYFUNCTION("FILTER(candidats!M:M,candidats!P:P=F34)"),"F")</f>
        <v>F</v>
      </c>
      <c r="H34" s="14">
        <v>37707.0</v>
      </c>
    </row>
    <row r="35">
      <c r="A35" s="13" t="s">
        <v>223</v>
      </c>
      <c r="B35" s="16">
        <v>6.0</v>
      </c>
      <c r="C35" s="14" t="s">
        <v>5</v>
      </c>
      <c r="D35" s="14" t="s">
        <v>246</v>
      </c>
      <c r="E35" s="14" t="s">
        <v>247</v>
      </c>
      <c r="F35" s="14" t="s">
        <v>787</v>
      </c>
      <c r="G35" s="14" t="str">
        <f>IFERROR(__xludf.DUMMYFUNCTION("FILTER(candidats!M:M,candidats!P:P=F35)"),"F")</f>
        <v>F</v>
      </c>
      <c r="H35" s="14">
        <v>44471.0</v>
      </c>
    </row>
    <row r="36">
      <c r="A36" s="13" t="s">
        <v>223</v>
      </c>
      <c r="B36" s="15">
        <v>7.0</v>
      </c>
      <c r="C36" s="15" t="s">
        <v>3</v>
      </c>
      <c r="D36" s="15" t="s">
        <v>113</v>
      </c>
      <c r="E36" s="15" t="s">
        <v>174</v>
      </c>
      <c r="F36" s="15" t="s">
        <v>788</v>
      </c>
      <c r="G36" s="14" t="str">
        <f>IFERROR(__xludf.DUMMYFUNCTION("FILTER(candidats!M:M,candidats!P:P=F36)"),"F")</f>
        <v>F</v>
      </c>
      <c r="H36" s="15">
        <v>14518.0</v>
      </c>
    </row>
    <row r="37">
      <c r="A37" s="13" t="s">
        <v>223</v>
      </c>
      <c r="B37" s="14">
        <v>8.0</v>
      </c>
      <c r="C37" s="14" t="s">
        <v>39</v>
      </c>
      <c r="D37" s="14" t="s">
        <v>90</v>
      </c>
      <c r="E37" s="14" t="s">
        <v>91</v>
      </c>
      <c r="F37" s="14" t="s">
        <v>789</v>
      </c>
      <c r="G37" s="14" t="str">
        <f>IFERROR(__xludf.DUMMYFUNCTION("FILTER(candidats!M:M,candidats!P:P=F37)"),"M")</f>
        <v>M</v>
      </c>
      <c r="H37" s="14">
        <v>49802.0</v>
      </c>
    </row>
    <row r="38">
      <c r="A38" s="13" t="s">
        <v>223</v>
      </c>
      <c r="B38" s="14">
        <v>9.0</v>
      </c>
      <c r="C38" s="14" t="s">
        <v>31</v>
      </c>
      <c r="D38" s="14" t="s">
        <v>258</v>
      </c>
      <c r="E38" s="14" t="s">
        <v>259</v>
      </c>
      <c r="F38" s="14" t="s">
        <v>790</v>
      </c>
      <c r="G38" s="14" t="str">
        <f>IFERROR(__xludf.DUMMYFUNCTION("FILTER(candidats!M:M,candidats!P:P=F38)"),"M")</f>
        <v>M</v>
      </c>
      <c r="H38" s="14">
        <v>31431.0</v>
      </c>
    </row>
    <row r="39">
      <c r="A39" s="13" t="s">
        <v>223</v>
      </c>
      <c r="B39" s="14">
        <v>10.0</v>
      </c>
      <c r="C39" s="14" t="s">
        <v>15</v>
      </c>
      <c r="D39" s="14" t="s">
        <v>261</v>
      </c>
      <c r="E39" s="14" t="s">
        <v>262</v>
      </c>
      <c r="F39" s="14" t="s">
        <v>791</v>
      </c>
      <c r="G39" s="14" t="str">
        <f>IFERROR(__xludf.DUMMYFUNCTION("FILTER(candidats!M:M,candidats!P:P=F39)"),"F")</f>
        <v>F</v>
      </c>
      <c r="H39" s="14">
        <v>221376.0</v>
      </c>
    </row>
    <row r="40">
      <c r="A40" s="13" t="s">
        <v>265</v>
      </c>
      <c r="B40" s="14">
        <v>1.0</v>
      </c>
      <c r="C40" s="14" t="s">
        <v>3</v>
      </c>
      <c r="D40" s="14" t="s">
        <v>267</v>
      </c>
      <c r="E40" s="14" t="s">
        <v>268</v>
      </c>
      <c r="F40" s="14" t="s">
        <v>792</v>
      </c>
      <c r="G40" s="14" t="str">
        <f>IFERROR(__xludf.DUMMYFUNCTION("FILTER(candidats!M:M,candidats!P:P=F40)"),"M")</f>
        <v>M</v>
      </c>
      <c r="H40" s="14">
        <v>7465.0</v>
      </c>
    </row>
    <row r="41">
      <c r="A41" s="13" t="s">
        <v>265</v>
      </c>
      <c r="B41" s="14">
        <v>2.0</v>
      </c>
      <c r="C41" s="14" t="s">
        <v>15</v>
      </c>
      <c r="D41" s="14" t="s">
        <v>272</v>
      </c>
      <c r="E41" s="14" t="s">
        <v>273</v>
      </c>
      <c r="F41" s="14" t="s">
        <v>793</v>
      </c>
      <c r="G41" s="14" t="str">
        <f>IFERROR(__xludf.DUMMYFUNCTION("FILTER(candidats!M:M,candidats!P:P=F41)"),"M")</f>
        <v>M</v>
      </c>
      <c r="H41" s="14">
        <v>419846.0</v>
      </c>
    </row>
    <row r="42">
      <c r="A42" s="13" t="s">
        <v>265</v>
      </c>
      <c r="B42" s="14">
        <v>3.0</v>
      </c>
      <c r="C42" s="14" t="s">
        <v>28</v>
      </c>
      <c r="D42" s="14" t="s">
        <v>277</v>
      </c>
      <c r="E42" s="14" t="s">
        <v>278</v>
      </c>
      <c r="F42" s="14" t="s">
        <v>794</v>
      </c>
      <c r="G42" s="14" t="str">
        <f>IFERROR(__xludf.DUMMYFUNCTION("FILTER(candidats!M:M,candidats!P:P=F42)"),"M")</f>
        <v>M</v>
      </c>
      <c r="H42" s="14">
        <v>6521.0</v>
      </c>
    </row>
    <row r="43">
      <c r="A43" s="13" t="s">
        <v>265</v>
      </c>
      <c r="B43" s="14">
        <v>4.0</v>
      </c>
      <c r="C43" s="14" t="s">
        <v>28</v>
      </c>
      <c r="D43" s="14" t="s">
        <v>283</v>
      </c>
      <c r="E43" s="14" t="s">
        <v>283</v>
      </c>
      <c r="F43" s="14" t="s">
        <v>795</v>
      </c>
      <c r="G43" s="14" t="str">
        <f>IFERROR(__xludf.DUMMYFUNCTION("FILTER(candidats!M:M,candidats!P:P=F43)"),"M")</f>
        <v>M</v>
      </c>
      <c r="H43" s="14">
        <v>80727.0</v>
      </c>
    </row>
    <row r="44">
      <c r="A44" s="15" t="s">
        <v>265</v>
      </c>
      <c r="B44" s="15">
        <v>5.0</v>
      </c>
      <c r="C44" s="15" t="s">
        <v>25</v>
      </c>
      <c r="D44" s="15" t="s">
        <v>150</v>
      </c>
      <c r="E44" s="15" t="s">
        <v>796</v>
      </c>
      <c r="F44" s="15" t="s">
        <v>797</v>
      </c>
      <c r="G44" s="14" t="str">
        <f>IFERROR(__xludf.DUMMYFUNCTION("FILTER(candidats!M:M,candidats!P:P=F44)"),"M")</f>
        <v>M</v>
      </c>
      <c r="H44" s="15">
        <v>10412.0</v>
      </c>
    </row>
    <row r="45">
      <c r="A45" s="13" t="s">
        <v>265</v>
      </c>
      <c r="B45" s="14">
        <v>6.0</v>
      </c>
      <c r="C45" s="14" t="s">
        <v>39</v>
      </c>
      <c r="D45" s="14" t="s">
        <v>90</v>
      </c>
      <c r="E45" s="14" t="s">
        <v>289</v>
      </c>
      <c r="F45" s="14" t="s">
        <v>798</v>
      </c>
      <c r="G45" s="14" t="str">
        <f>IFERROR(__xludf.DUMMYFUNCTION("FILTER(candidats!M:M,candidats!P:P=F45)"),"M")</f>
        <v>M</v>
      </c>
      <c r="H45" s="14">
        <v>34926.0</v>
      </c>
    </row>
    <row r="46">
      <c r="A46" s="13" t="s">
        <v>265</v>
      </c>
      <c r="B46" s="14">
        <v>7.0</v>
      </c>
      <c r="C46" s="14" t="s">
        <v>43</v>
      </c>
      <c r="D46" s="14" t="s">
        <v>101</v>
      </c>
      <c r="E46" s="14" t="s">
        <v>102</v>
      </c>
      <c r="F46" s="14" t="s">
        <v>799</v>
      </c>
      <c r="G46" s="14" t="str">
        <f>IFERROR(__xludf.DUMMYFUNCTION("FILTER(candidats!M:M,candidats!P:P=F46)"),"M")</f>
        <v>M</v>
      </c>
      <c r="H46" s="14">
        <v>218474.0</v>
      </c>
    </row>
    <row r="47">
      <c r="A47" s="13" t="s">
        <v>265</v>
      </c>
      <c r="B47" s="14">
        <v>8.0</v>
      </c>
      <c r="C47" s="14" t="s">
        <v>37</v>
      </c>
      <c r="D47" s="14" t="s">
        <v>295</v>
      </c>
      <c r="E47" s="14" t="s">
        <v>296</v>
      </c>
      <c r="F47" s="14" t="s">
        <v>800</v>
      </c>
      <c r="G47" s="14" t="str">
        <f>IFERROR(__xludf.DUMMYFUNCTION("FILTER(candidats!M:M,candidats!P:P=F47)"),"M")</f>
        <v>M</v>
      </c>
      <c r="H47" s="14">
        <v>282006.0</v>
      </c>
    </row>
    <row r="48">
      <c r="A48" s="13" t="s">
        <v>265</v>
      </c>
      <c r="B48" s="14">
        <v>9.0</v>
      </c>
      <c r="C48" s="14" t="s">
        <v>21</v>
      </c>
      <c r="D48" s="14" t="s">
        <v>299</v>
      </c>
      <c r="E48" s="14" t="s">
        <v>300</v>
      </c>
      <c r="F48" s="14" t="s">
        <v>801</v>
      </c>
      <c r="G48" s="14" t="str">
        <f>IFERROR(__xludf.DUMMYFUNCTION("FILTER(candidats!M:M,candidats!P:P=F48)"),"M")</f>
        <v>M</v>
      </c>
      <c r="H48" s="14">
        <v>80516.0</v>
      </c>
    </row>
    <row r="49">
      <c r="A49" s="13" t="s">
        <v>265</v>
      </c>
      <c r="B49" s="14">
        <v>10.0</v>
      </c>
      <c r="C49" s="14" t="s">
        <v>5</v>
      </c>
      <c r="D49" s="14" t="s">
        <v>304</v>
      </c>
      <c r="E49" s="14" t="s">
        <v>305</v>
      </c>
      <c r="F49" s="14" t="s">
        <v>802</v>
      </c>
      <c r="G49" s="14" t="str">
        <f>IFERROR(__xludf.DUMMYFUNCTION("FILTER(candidats!M:M,candidats!P:P=F49)"),"M")</f>
        <v>M</v>
      </c>
      <c r="H49" s="14">
        <v>44938.0</v>
      </c>
    </row>
    <row r="50">
      <c r="A50" s="13" t="s">
        <v>265</v>
      </c>
      <c r="B50" s="15">
        <v>11.0</v>
      </c>
      <c r="C50" s="15" t="s">
        <v>3</v>
      </c>
      <c r="D50" s="15" t="s">
        <v>113</v>
      </c>
      <c r="E50" s="15" t="s">
        <v>174</v>
      </c>
      <c r="F50" s="15" t="s">
        <v>803</v>
      </c>
      <c r="G50" s="14" t="str">
        <f>IFERROR(__xludf.DUMMYFUNCTION("FILTER(candidats!M:M,candidats!P:P=F50)"),"F")</f>
        <v>F</v>
      </c>
      <c r="H50" s="15">
        <v>16445.0</v>
      </c>
    </row>
    <row r="51">
      <c r="A51" s="13" t="s">
        <v>312</v>
      </c>
      <c r="B51" s="14">
        <v>1.0</v>
      </c>
      <c r="C51" s="14" t="s">
        <v>43</v>
      </c>
      <c r="D51" s="14" t="s">
        <v>165</v>
      </c>
      <c r="E51" s="14" t="s">
        <v>314</v>
      </c>
      <c r="F51" s="14" t="s">
        <v>804</v>
      </c>
      <c r="G51" s="14" t="str">
        <f>IFERROR(__xludf.DUMMYFUNCTION("FILTER(candidats!M:M,candidats!P:P=F51)"),"M")</f>
        <v>M</v>
      </c>
      <c r="H51" s="14">
        <v>262156.0</v>
      </c>
    </row>
    <row r="52">
      <c r="A52" s="13" t="s">
        <v>312</v>
      </c>
      <c r="B52" s="14">
        <v>2.0</v>
      </c>
      <c r="C52" s="14" t="s">
        <v>25</v>
      </c>
      <c r="D52" s="14" t="s">
        <v>150</v>
      </c>
      <c r="E52" s="14" t="s">
        <v>180</v>
      </c>
      <c r="F52" s="14" t="s">
        <v>805</v>
      </c>
      <c r="G52" s="14" t="str">
        <f>IFERROR(__xludf.DUMMYFUNCTION("FILTER(candidats!M:M,candidats!P:P=F52)"),"M")</f>
        <v>M</v>
      </c>
      <c r="H52" s="14">
        <v>12759.0</v>
      </c>
    </row>
    <row r="53">
      <c r="A53" s="13" t="s">
        <v>312</v>
      </c>
      <c r="B53" s="15">
        <v>3.0</v>
      </c>
      <c r="C53" s="15" t="s">
        <v>3</v>
      </c>
      <c r="D53" s="15" t="s">
        <v>113</v>
      </c>
      <c r="E53" s="15" t="s">
        <v>319</v>
      </c>
      <c r="F53" s="15" t="s">
        <v>806</v>
      </c>
      <c r="G53" s="14" t="str">
        <f>IFERROR(__xludf.DUMMYFUNCTION("FILTER(candidats!M:M,candidats!P:P=F53)"),"F")</f>
        <v>F</v>
      </c>
      <c r="H53" s="15">
        <v>14612.0</v>
      </c>
    </row>
    <row r="54">
      <c r="A54" s="13" t="s">
        <v>312</v>
      </c>
      <c r="B54" s="14">
        <v>4.0</v>
      </c>
      <c r="C54" s="14" t="s">
        <v>39</v>
      </c>
      <c r="D54" s="14" t="s">
        <v>90</v>
      </c>
      <c r="E54" s="14" t="s">
        <v>91</v>
      </c>
      <c r="F54" s="14" t="s">
        <v>807</v>
      </c>
      <c r="G54" s="14" t="str">
        <f>IFERROR(__xludf.DUMMYFUNCTION("FILTER(candidats!M:M,candidats!P:P=F54)"),"F")</f>
        <v>F</v>
      </c>
      <c r="H54" s="14">
        <v>39422.0</v>
      </c>
    </row>
    <row r="55">
      <c r="A55" s="15" t="s">
        <v>312</v>
      </c>
      <c r="B55" s="15">
        <v>5.0</v>
      </c>
      <c r="C55" s="15" t="s">
        <v>37</v>
      </c>
      <c r="D55" s="15" t="s">
        <v>325</v>
      </c>
      <c r="E55" s="15" t="s">
        <v>326</v>
      </c>
      <c r="F55" s="15" t="s">
        <v>808</v>
      </c>
      <c r="G55" s="14" t="str">
        <f>IFERROR(__xludf.DUMMYFUNCTION("FILTER(candidats!M:M,candidats!P:P=F55)"),"M")</f>
        <v>M</v>
      </c>
      <c r="H55" s="15">
        <v>225777.0</v>
      </c>
    </row>
    <row r="56">
      <c r="A56" s="13" t="s">
        <v>312</v>
      </c>
      <c r="B56" s="14">
        <v>6.0</v>
      </c>
      <c r="C56" s="14" t="s">
        <v>21</v>
      </c>
      <c r="D56" s="14" t="s">
        <v>330</v>
      </c>
      <c r="E56" s="14" t="s">
        <v>331</v>
      </c>
      <c r="F56" s="14" t="s">
        <v>809</v>
      </c>
      <c r="G56" s="14" t="str">
        <f>IFERROR(__xludf.DUMMYFUNCTION("FILTER(candidats!M:M,candidats!P:P=F56)"),"M")</f>
        <v>M</v>
      </c>
      <c r="H56" s="14">
        <v>56754.0</v>
      </c>
    </row>
    <row r="57">
      <c r="A57" s="13" t="s">
        <v>312</v>
      </c>
      <c r="B57" s="14">
        <v>7.0</v>
      </c>
      <c r="C57" s="14" t="s">
        <v>15</v>
      </c>
      <c r="D57" s="14" t="s">
        <v>334</v>
      </c>
      <c r="E57" s="14" t="s">
        <v>335</v>
      </c>
      <c r="F57" s="14" t="s">
        <v>810</v>
      </c>
      <c r="G57" s="14" t="str">
        <f>IFERROR(__xludf.DUMMYFUNCTION("FILTER(candidats!M:M,candidats!P:P=F57)"),"M")</f>
        <v>M</v>
      </c>
      <c r="H57" s="14">
        <v>209024.0</v>
      </c>
    </row>
    <row r="58">
      <c r="A58" s="13" t="s">
        <v>312</v>
      </c>
      <c r="B58" s="14">
        <v>8.0</v>
      </c>
      <c r="C58" s="14" t="s">
        <v>9</v>
      </c>
      <c r="D58" s="14" t="s">
        <v>337</v>
      </c>
      <c r="E58" s="14" t="s">
        <v>338</v>
      </c>
      <c r="F58" s="14" t="s">
        <v>811</v>
      </c>
      <c r="G58" s="14" t="str">
        <f>IFERROR(__xludf.DUMMYFUNCTION("FILTER(candidats!M:M,candidats!P:P=F58)"),"M")</f>
        <v>M</v>
      </c>
      <c r="H58" s="14">
        <v>39453.0</v>
      </c>
    </row>
    <row r="59">
      <c r="A59" s="13" t="s">
        <v>563</v>
      </c>
      <c r="B59" s="14">
        <v>2.0</v>
      </c>
      <c r="C59" s="14" t="s">
        <v>28</v>
      </c>
      <c r="D59" s="14" t="s">
        <v>566</v>
      </c>
      <c r="E59" s="14" t="s">
        <v>567</v>
      </c>
      <c r="F59" s="14" t="s">
        <v>812</v>
      </c>
      <c r="G59" s="14" t="str">
        <f>IFERROR(__xludf.DUMMYFUNCTION("FILTER(candidats!M:M,candidats!P:P=F59)"),"M")</f>
        <v>M</v>
      </c>
      <c r="H59" s="14">
        <v>23603.0</v>
      </c>
    </row>
    <row r="60">
      <c r="A60" s="13" t="s">
        <v>563</v>
      </c>
      <c r="B60" s="14">
        <v>3.0</v>
      </c>
      <c r="C60" s="14" t="s">
        <v>41</v>
      </c>
      <c r="D60" s="14" t="s">
        <v>569</v>
      </c>
      <c r="E60" s="14" t="s">
        <v>570</v>
      </c>
      <c r="F60" s="14" t="s">
        <v>813</v>
      </c>
      <c r="G60" s="14" t="str">
        <f>IFERROR(__xludf.DUMMYFUNCTION("FILTER(candidats!M:M,candidats!P:P=F60)"),"M")</f>
        <v>M</v>
      </c>
      <c r="H60" s="14">
        <v>17018.0</v>
      </c>
    </row>
    <row r="61">
      <c r="A61" s="13" t="s">
        <v>563</v>
      </c>
      <c r="B61" s="14">
        <v>4.0</v>
      </c>
      <c r="C61" s="14" t="s">
        <v>17</v>
      </c>
      <c r="D61" s="14" t="s">
        <v>573</v>
      </c>
      <c r="E61" s="14" t="s">
        <v>573</v>
      </c>
      <c r="F61" s="14" t="s">
        <v>814</v>
      </c>
      <c r="G61" s="14" t="str">
        <f>IFERROR(__xludf.DUMMYFUNCTION("FILTER(candidats!M:M,candidats!P:P=F61)"),"M")</f>
        <v>M</v>
      </c>
      <c r="H61" s="14">
        <v>4227.0</v>
      </c>
    </row>
    <row r="62">
      <c r="A62" s="13" t="s">
        <v>563</v>
      </c>
      <c r="B62" s="14">
        <v>5.0</v>
      </c>
      <c r="C62" s="14" t="s">
        <v>13</v>
      </c>
      <c r="D62" s="14" t="s">
        <v>577</v>
      </c>
      <c r="E62" s="14" t="s">
        <v>578</v>
      </c>
      <c r="F62" s="14" t="s">
        <v>815</v>
      </c>
      <c r="G62" s="14" t="str">
        <f>IFERROR(__xludf.DUMMYFUNCTION("FILTER(candidats!M:M,candidats!P:P=F62)"),"F")</f>
        <v>F</v>
      </c>
      <c r="H62" s="14">
        <v>4353.0</v>
      </c>
    </row>
    <row r="63">
      <c r="A63" s="13" t="s">
        <v>563</v>
      </c>
      <c r="B63" s="14">
        <v>6.0</v>
      </c>
      <c r="C63" s="14" t="s">
        <v>19</v>
      </c>
      <c r="D63" s="14" t="s">
        <v>580</v>
      </c>
      <c r="E63" s="14" t="s">
        <v>580</v>
      </c>
      <c r="F63" s="14" t="s">
        <v>816</v>
      </c>
      <c r="G63" s="14" t="str">
        <f>IFERROR(__xludf.DUMMYFUNCTION("FILTER(candidats!M:M,candidats!P:P=F63)"),"M")</f>
        <v>M</v>
      </c>
      <c r="H63" s="14">
        <v>24686.0</v>
      </c>
    </row>
    <row r="64">
      <c r="A64" s="15" t="s">
        <v>563</v>
      </c>
      <c r="B64" s="15">
        <v>7.0</v>
      </c>
      <c r="C64" s="15" t="s">
        <v>28</v>
      </c>
      <c r="D64" s="15" t="s">
        <v>583</v>
      </c>
      <c r="E64" s="15" t="s">
        <v>583</v>
      </c>
      <c r="F64" s="15" t="s">
        <v>817</v>
      </c>
      <c r="G64" s="14" t="str">
        <f>IFERROR(__xludf.DUMMYFUNCTION("FILTER(candidats!M:M,candidats!P:P=F64)"),"M")</f>
        <v>M</v>
      </c>
      <c r="H64" s="15">
        <v>3451.0</v>
      </c>
    </row>
    <row r="65">
      <c r="A65" s="13" t="s">
        <v>563</v>
      </c>
      <c r="B65" s="14">
        <v>9.0</v>
      </c>
      <c r="C65" s="14" t="s">
        <v>28</v>
      </c>
      <c r="D65" s="14" t="s">
        <v>586</v>
      </c>
      <c r="E65" s="14" t="s">
        <v>586</v>
      </c>
      <c r="F65" s="14" t="s">
        <v>818</v>
      </c>
      <c r="G65" s="14" t="str">
        <f>IFERROR(__xludf.DUMMYFUNCTION("FILTER(candidats!M:M,candidats!P:P=F65)"),"M")</f>
        <v>M</v>
      </c>
      <c r="H65" s="14">
        <v>10353.0</v>
      </c>
    </row>
    <row r="66">
      <c r="A66" s="13" t="s">
        <v>563</v>
      </c>
      <c r="B66" s="15">
        <v>10.0</v>
      </c>
      <c r="C66" s="15" t="s">
        <v>5</v>
      </c>
      <c r="D66" s="15" t="s">
        <v>589</v>
      </c>
      <c r="E66" s="15" t="s">
        <v>590</v>
      </c>
      <c r="F66" s="15" t="s">
        <v>819</v>
      </c>
      <c r="G66" s="14" t="str">
        <f>IFERROR(__xludf.DUMMYFUNCTION("FILTER(candidats!M:M,candidats!P:P=F66)"),"M")</f>
        <v>M</v>
      </c>
      <c r="H66" s="15">
        <v>7448.0</v>
      </c>
    </row>
    <row r="67">
      <c r="A67" s="13" t="s">
        <v>563</v>
      </c>
      <c r="B67" s="14">
        <v>11.0</v>
      </c>
      <c r="C67" s="14" t="s">
        <v>35</v>
      </c>
      <c r="D67" s="14" t="s">
        <v>593</v>
      </c>
      <c r="E67" s="14" t="s">
        <v>593</v>
      </c>
      <c r="F67" s="14" t="s">
        <v>820</v>
      </c>
      <c r="G67" s="14" t="str">
        <f>IFERROR(__xludf.DUMMYFUNCTION("FILTER(candidats!M:M,candidats!P:P=F67)"),"M")</f>
        <v>M</v>
      </c>
      <c r="H67" s="14">
        <v>17642.0</v>
      </c>
    </row>
    <row r="68">
      <c r="A68" s="13" t="s">
        <v>563</v>
      </c>
      <c r="B68" s="14">
        <v>12.0</v>
      </c>
      <c r="C68" s="14" t="s">
        <v>19</v>
      </c>
      <c r="D68" s="14" t="s">
        <v>596</v>
      </c>
      <c r="E68" s="14" t="s">
        <v>597</v>
      </c>
      <c r="F68" s="14" t="s">
        <v>821</v>
      </c>
      <c r="G68" s="14" t="str">
        <f>IFERROR(__xludf.DUMMYFUNCTION("FILTER(candidats!M:M,candidats!P:P=F68)"),"M")</f>
        <v>M</v>
      </c>
      <c r="H68" s="14">
        <v>5532.0</v>
      </c>
    </row>
    <row r="69">
      <c r="A69" s="13" t="s">
        <v>563</v>
      </c>
      <c r="B69" s="14">
        <v>13.0</v>
      </c>
      <c r="C69" s="14" t="s">
        <v>39</v>
      </c>
      <c r="D69" s="14" t="s">
        <v>90</v>
      </c>
      <c r="E69" s="14" t="s">
        <v>90</v>
      </c>
      <c r="F69" s="14" t="s">
        <v>822</v>
      </c>
      <c r="G69" s="14" t="str">
        <f>IFERROR(__xludf.DUMMYFUNCTION("FILTER(candidats!M:M,candidats!P:P=F69)"),"M")</f>
        <v>M</v>
      </c>
      <c r="H69" s="14">
        <v>1500.0</v>
      </c>
    </row>
    <row r="70">
      <c r="A70" s="13" t="s">
        <v>601</v>
      </c>
      <c r="B70" s="14">
        <v>1.0</v>
      </c>
      <c r="C70" s="14" t="s">
        <v>19</v>
      </c>
      <c r="D70" s="14" t="s">
        <v>602</v>
      </c>
      <c r="E70" s="14" t="s">
        <v>603</v>
      </c>
      <c r="F70" s="14" t="s">
        <v>823</v>
      </c>
      <c r="G70" s="14" t="str">
        <f>IFERROR(__xludf.DUMMYFUNCTION("FILTER(candidats!M:M,candidats!P:P=F70)"),"M")</f>
        <v>M</v>
      </c>
      <c r="H70" s="14">
        <v>2603.0</v>
      </c>
    </row>
    <row r="71">
      <c r="A71" s="13" t="s">
        <v>601</v>
      </c>
      <c r="B71" s="14">
        <v>2.0</v>
      </c>
      <c r="C71" s="14" t="s">
        <v>35</v>
      </c>
      <c r="D71" s="14" t="s">
        <v>605</v>
      </c>
      <c r="E71" s="14" t="s">
        <v>605</v>
      </c>
      <c r="F71" s="14" t="s">
        <v>824</v>
      </c>
      <c r="G71" s="14" t="str">
        <f>IFERROR(__xludf.DUMMYFUNCTION("FILTER(candidats!M:M,candidats!P:P=F71)"),"M")</f>
        <v>M</v>
      </c>
      <c r="H71" s="14">
        <v>6312.0</v>
      </c>
    </row>
    <row r="72">
      <c r="A72" s="15" t="s">
        <v>601</v>
      </c>
      <c r="B72" s="15">
        <v>3.0</v>
      </c>
      <c r="C72" s="15" t="s">
        <v>28</v>
      </c>
      <c r="D72" s="15" t="s">
        <v>607</v>
      </c>
      <c r="E72" s="15" t="s">
        <v>608</v>
      </c>
      <c r="F72" s="15" t="s">
        <v>825</v>
      </c>
      <c r="G72" s="14" t="str">
        <f>IFERROR(__xludf.DUMMYFUNCTION("FILTER(candidats!M:M,candidats!P:P=F72)"),"F")</f>
        <v>F</v>
      </c>
      <c r="H72" s="15">
        <v>697.0</v>
      </c>
    </row>
    <row r="73">
      <c r="A73" s="13" t="s">
        <v>601</v>
      </c>
      <c r="B73" s="14">
        <v>4.0</v>
      </c>
      <c r="C73" s="14" t="s">
        <v>43</v>
      </c>
      <c r="D73" s="14" t="s">
        <v>611</v>
      </c>
      <c r="E73" s="14" t="s">
        <v>612</v>
      </c>
      <c r="F73" s="14" t="s">
        <v>826</v>
      </c>
      <c r="G73" s="14" t="str">
        <f>IFERROR(__xludf.DUMMYFUNCTION("FILTER(candidats!M:M,candidats!P:P=F73)"),"M")</f>
        <v>M</v>
      </c>
      <c r="H73" s="14">
        <v>1973.0</v>
      </c>
    </row>
    <row r="74">
      <c r="A74" s="13" t="s">
        <v>601</v>
      </c>
      <c r="B74" s="14">
        <v>5.0</v>
      </c>
      <c r="C74" s="14" t="s">
        <v>13</v>
      </c>
      <c r="D74" s="14" t="s">
        <v>615</v>
      </c>
      <c r="E74" s="14" t="s">
        <v>616</v>
      </c>
      <c r="F74" s="14" t="s">
        <v>827</v>
      </c>
      <c r="G74" s="14" t="str">
        <f>IFERROR(__xludf.DUMMYFUNCTION("FILTER(candidats!M:M,candidats!P:P=F74)"),"M")</f>
        <v>M</v>
      </c>
      <c r="H74" s="14">
        <v>57717.0</v>
      </c>
    </row>
    <row r="75">
      <c r="A75" s="13" t="s">
        <v>601</v>
      </c>
      <c r="B75" s="14">
        <v>6.0</v>
      </c>
      <c r="C75" s="14" t="s">
        <v>41</v>
      </c>
      <c r="D75" s="14" t="s">
        <v>619</v>
      </c>
      <c r="E75" s="14" t="s">
        <v>620</v>
      </c>
      <c r="F75" s="14" t="s">
        <v>828</v>
      </c>
      <c r="G75" s="14" t="str">
        <f>IFERROR(__xludf.DUMMYFUNCTION("FILTER(candidats!M:M,candidats!P:P=F75)"),"M")</f>
        <v>M</v>
      </c>
      <c r="H75" s="14">
        <v>2220.0</v>
      </c>
    </row>
    <row r="76">
      <c r="A76" s="13" t="s">
        <v>601</v>
      </c>
      <c r="B76" s="14">
        <v>7.0</v>
      </c>
      <c r="C76" s="14" t="s">
        <v>9</v>
      </c>
      <c r="D76" s="14" t="s">
        <v>623</v>
      </c>
      <c r="E76" s="14" t="s">
        <v>624</v>
      </c>
      <c r="F76" s="14" t="s">
        <v>829</v>
      </c>
      <c r="G76" s="14" t="str">
        <f>IFERROR(__xludf.DUMMYFUNCTION("FILTER(candidats!M:M,candidats!P:P=F76)"),"F")</f>
        <v>F</v>
      </c>
      <c r="H76" s="14">
        <v>1297.0</v>
      </c>
    </row>
    <row r="77">
      <c r="A77" s="13" t="s">
        <v>601</v>
      </c>
      <c r="B77" s="14">
        <v>8.0</v>
      </c>
      <c r="C77" s="14" t="s">
        <v>19</v>
      </c>
      <c r="D77" s="14" t="s">
        <v>627</v>
      </c>
      <c r="E77" s="14" t="s">
        <v>628</v>
      </c>
      <c r="F77" s="14" t="s">
        <v>830</v>
      </c>
      <c r="G77" s="14" t="str">
        <f>IFERROR(__xludf.DUMMYFUNCTION("FILTER(candidats!M:M,candidats!P:P=F77)"),"M")</f>
        <v>M</v>
      </c>
      <c r="H77" s="14">
        <v>61173.0</v>
      </c>
    </row>
    <row r="78">
      <c r="A78" s="13" t="s">
        <v>601</v>
      </c>
      <c r="B78" s="14">
        <v>9.0</v>
      </c>
      <c r="C78" s="14" t="s">
        <v>41</v>
      </c>
      <c r="D78" s="14" t="s">
        <v>631</v>
      </c>
      <c r="E78" s="14" t="s">
        <v>631</v>
      </c>
      <c r="F78" s="14" t="s">
        <v>831</v>
      </c>
      <c r="G78" s="14" t="str">
        <f>IFERROR(__xludf.DUMMYFUNCTION("FILTER(candidats!M:M,candidats!P:P=F78)"),"F")</f>
        <v>F</v>
      </c>
      <c r="H78" s="14">
        <v>4470.0</v>
      </c>
    </row>
    <row r="79">
      <c r="A79" s="13" t="s">
        <v>601</v>
      </c>
      <c r="B79" s="15">
        <v>10.0</v>
      </c>
      <c r="C79" s="15" t="s">
        <v>3</v>
      </c>
      <c r="D79" s="15" t="s">
        <v>634</v>
      </c>
      <c r="E79" s="15" t="s">
        <v>634</v>
      </c>
      <c r="F79" s="15" t="s">
        <v>832</v>
      </c>
      <c r="G79" s="14" t="str">
        <f>IFERROR(__xludf.DUMMYFUNCTION("FILTER(candidats!M:M,candidats!P:P=F79)"),"M")</f>
        <v>M</v>
      </c>
      <c r="H79" s="15">
        <v>1992.0</v>
      </c>
    </row>
    <row r="80">
      <c r="A80" s="13" t="s">
        <v>672</v>
      </c>
      <c r="B80" s="14">
        <v>1.0</v>
      </c>
      <c r="C80" s="14" t="s">
        <v>35</v>
      </c>
      <c r="D80" s="14" t="s">
        <v>675</v>
      </c>
      <c r="E80" s="14" t="s">
        <v>676</v>
      </c>
      <c r="F80" s="14" t="s">
        <v>833</v>
      </c>
      <c r="G80" s="14" t="str">
        <f>IFERROR(__xludf.DUMMYFUNCTION("FILTER(candidats!M:M,candidats!P:P=F80)"),"M")</f>
        <v>M</v>
      </c>
      <c r="H80" s="14">
        <v>1114.0</v>
      </c>
    </row>
    <row r="81">
      <c r="A81" s="13" t="s">
        <v>672</v>
      </c>
      <c r="B81" s="14">
        <v>2.0</v>
      </c>
      <c r="C81" s="14" t="s">
        <v>19</v>
      </c>
      <c r="D81" s="14" t="s">
        <v>681</v>
      </c>
      <c r="E81" s="14" t="s">
        <v>682</v>
      </c>
      <c r="F81" s="14" t="s">
        <v>834</v>
      </c>
      <c r="G81" s="14" t="str">
        <f>IFERROR(__xludf.DUMMYFUNCTION("FILTER(candidats!M:M,candidats!P:P=""LETARD Line"")"),"F")</f>
        <v>F</v>
      </c>
      <c r="H81" s="14">
        <v>2565.0</v>
      </c>
    </row>
    <row r="82">
      <c r="A82" s="13" t="s">
        <v>672</v>
      </c>
      <c r="B82" s="15">
        <v>3.0</v>
      </c>
      <c r="C82" s="15" t="s">
        <v>19</v>
      </c>
      <c r="D82" s="15" t="s">
        <v>685</v>
      </c>
      <c r="E82" s="15" t="s">
        <v>686</v>
      </c>
      <c r="F82" s="15" t="s">
        <v>835</v>
      </c>
      <c r="G82" s="14" t="str">
        <f>IFERROR(__xludf.DUMMYFUNCTION("FILTER(candidats!M:M,candidats!P:P=F82)"),"M")</f>
        <v>M</v>
      </c>
      <c r="H82" s="15">
        <v>15298.0</v>
      </c>
    </row>
    <row r="83">
      <c r="A83" s="13" t="s">
        <v>672</v>
      </c>
      <c r="B83" s="14">
        <v>4.0</v>
      </c>
      <c r="C83" s="14" t="s">
        <v>41</v>
      </c>
      <c r="D83" s="14" t="s">
        <v>15</v>
      </c>
      <c r="E83" s="14" t="s">
        <v>689</v>
      </c>
      <c r="F83" s="14" t="s">
        <v>836</v>
      </c>
      <c r="G83" s="14" t="str">
        <f>IFERROR(__xludf.DUMMYFUNCTION("FILTER(candidats!M:M,candidats!P:P=F83)"),"F")</f>
        <v>F</v>
      </c>
      <c r="H83" s="14">
        <v>573.0</v>
      </c>
    </row>
    <row r="84">
      <c r="A84" s="13" t="s">
        <v>672</v>
      </c>
      <c r="B84" s="14">
        <v>5.0</v>
      </c>
      <c r="C84" s="14" t="s">
        <v>28</v>
      </c>
      <c r="D84" s="14" t="s">
        <v>694</v>
      </c>
      <c r="E84" s="14" t="s">
        <v>695</v>
      </c>
      <c r="F84" s="14" t="s">
        <v>837</v>
      </c>
      <c r="G84" s="14" t="str">
        <f>IFERROR(__xludf.DUMMYFUNCTION("FILTER(candidats!M:M,candidats!P:P=""LETARD Sylvio"")"),"M")</f>
        <v>M</v>
      </c>
      <c r="H84" s="14">
        <v>174.0</v>
      </c>
    </row>
    <row r="85">
      <c r="A85" s="13" t="s">
        <v>672</v>
      </c>
      <c r="B85" s="14">
        <v>6.0</v>
      </c>
      <c r="C85" s="14" t="s">
        <v>19</v>
      </c>
      <c r="D85" s="14" t="s">
        <v>699</v>
      </c>
      <c r="E85" s="14" t="s">
        <v>700</v>
      </c>
      <c r="F85" s="14" t="s">
        <v>838</v>
      </c>
      <c r="G85" s="14" t="str">
        <f>IFERROR(__xludf.DUMMYFUNCTION("FILTER(candidats!M:M,candidats!P:P=F85)"),"F")</f>
        <v>F</v>
      </c>
      <c r="H85" s="14">
        <v>3067.0</v>
      </c>
    </row>
    <row r="86">
      <c r="A86" s="13" t="s">
        <v>672</v>
      </c>
      <c r="B86" s="14">
        <v>7.0</v>
      </c>
      <c r="C86" s="14" t="s">
        <v>19</v>
      </c>
      <c r="D86" s="14" t="s">
        <v>702</v>
      </c>
      <c r="E86" s="14" t="s">
        <v>703</v>
      </c>
      <c r="F86" s="14" t="s">
        <v>839</v>
      </c>
      <c r="G86" s="14" t="str">
        <f>IFERROR(__xludf.DUMMYFUNCTION("FILTER(candidats!M:M,candidats!P:P=F86)"),"M")</f>
        <v>M</v>
      </c>
      <c r="H86" s="14">
        <v>10926.0</v>
      </c>
    </row>
    <row r="87">
      <c r="A87" s="13" t="s">
        <v>672</v>
      </c>
      <c r="B87" s="14">
        <v>8.0</v>
      </c>
      <c r="C87" s="14" t="s">
        <v>19</v>
      </c>
      <c r="D87" s="14" t="s">
        <v>706</v>
      </c>
      <c r="E87" s="14" t="s">
        <v>707</v>
      </c>
      <c r="F87" s="14" t="s">
        <v>840</v>
      </c>
      <c r="G87" s="14" t="str">
        <f>IFERROR(__xludf.DUMMYFUNCTION("FILTER(candidats!M:M,candidats!P:P=F87)"),"M")</f>
        <v>M</v>
      </c>
      <c r="H87" s="14">
        <v>349.0</v>
      </c>
    </row>
    <row r="88">
      <c r="A88" s="15" t="s">
        <v>672</v>
      </c>
      <c r="B88" s="15">
        <v>9.0</v>
      </c>
      <c r="C88" s="15" t="s">
        <v>28</v>
      </c>
      <c r="D88" s="15" t="s">
        <v>709</v>
      </c>
      <c r="E88" s="15" t="s">
        <v>710</v>
      </c>
      <c r="F88" s="15" t="s">
        <v>841</v>
      </c>
      <c r="G88" s="14" t="str">
        <f>IFERROR(__xludf.DUMMYFUNCTION("FILTER(candidats!M:M,candidats!P:P=F88)"),"M")</f>
        <v>M</v>
      </c>
      <c r="H88" s="15">
        <v>2064.0</v>
      </c>
    </row>
    <row r="89">
      <c r="A89" s="13" t="s">
        <v>340</v>
      </c>
      <c r="B89" s="14">
        <v>1.0</v>
      </c>
      <c r="C89" s="14" t="s">
        <v>5</v>
      </c>
      <c r="D89" s="14" t="s">
        <v>342</v>
      </c>
      <c r="E89" s="14" t="s">
        <v>343</v>
      </c>
      <c r="F89" s="14" t="s">
        <v>842</v>
      </c>
      <c r="G89" s="14" t="str">
        <f>IFERROR(__xludf.DUMMYFUNCTION("FILTER(candidats!M:M,candidats!P:P=F89)"),"M")</f>
        <v>M</v>
      </c>
      <c r="H89" s="14">
        <v>208943.0</v>
      </c>
    </row>
    <row r="90">
      <c r="A90" s="13" t="s">
        <v>340</v>
      </c>
      <c r="B90" s="14">
        <v>2.0</v>
      </c>
      <c r="C90" s="14" t="s">
        <v>15</v>
      </c>
      <c r="D90" s="14" t="s">
        <v>347</v>
      </c>
      <c r="E90" s="14" t="s">
        <v>348</v>
      </c>
      <c r="F90" s="14" t="s">
        <v>843</v>
      </c>
      <c r="G90" s="14" t="str">
        <f>IFERROR(__xludf.DUMMYFUNCTION("FILTER(candidats!M:M,candidats!P:P=F90)"),"M")</f>
        <v>M</v>
      </c>
      <c r="H90" s="14">
        <v>794322.0</v>
      </c>
    </row>
    <row r="91">
      <c r="A91" s="13" t="s">
        <v>340</v>
      </c>
      <c r="B91" s="14">
        <v>3.0</v>
      </c>
      <c r="C91" s="14" t="s">
        <v>25</v>
      </c>
      <c r="D91" s="14" t="s">
        <v>351</v>
      </c>
      <c r="E91" s="14" t="s">
        <v>352</v>
      </c>
      <c r="F91" s="14" t="s">
        <v>844</v>
      </c>
      <c r="G91" s="14" t="str">
        <f>IFERROR(__xludf.DUMMYFUNCTION("FILTER(candidats!M:M,candidats!P:P=F91)"),"M")</f>
        <v>M</v>
      </c>
      <c r="H91" s="14">
        <v>29755.0</v>
      </c>
    </row>
    <row r="92">
      <c r="A92" s="13" t="s">
        <v>340</v>
      </c>
      <c r="B92" s="14">
        <v>4.0</v>
      </c>
      <c r="C92" s="14" t="s">
        <v>21</v>
      </c>
      <c r="D92" s="14" t="s">
        <v>354</v>
      </c>
      <c r="E92" s="14" t="s">
        <v>355</v>
      </c>
      <c r="F92" s="14" t="s">
        <v>845</v>
      </c>
      <c r="G92" s="14" t="str">
        <f>IFERROR(__xludf.DUMMYFUNCTION("FILTER(candidats!M:M,candidats!P:P=F92)"),"F")</f>
        <v>F</v>
      </c>
      <c r="H92" s="14">
        <v>253153.0</v>
      </c>
    </row>
    <row r="93">
      <c r="A93" s="15" t="s">
        <v>340</v>
      </c>
      <c r="B93" s="15">
        <v>5.0</v>
      </c>
      <c r="C93" s="15" t="s">
        <v>25</v>
      </c>
      <c r="D93" s="15" t="s">
        <v>359</v>
      </c>
      <c r="E93" s="15" t="s">
        <v>359</v>
      </c>
      <c r="F93" s="15" t="s">
        <v>846</v>
      </c>
      <c r="G93" s="14" t="str">
        <f>IFERROR(__xludf.DUMMYFUNCTION("FILTER(candidats!M:M,candidats!P:P=F93)"),"M")</f>
        <v>M</v>
      </c>
      <c r="H93" s="15">
        <v>7096.0</v>
      </c>
    </row>
    <row r="94">
      <c r="A94" s="13" t="s">
        <v>340</v>
      </c>
      <c r="B94" s="14">
        <v>6.0</v>
      </c>
      <c r="C94" s="14" t="s">
        <v>41</v>
      </c>
      <c r="D94" s="14" t="s">
        <v>362</v>
      </c>
      <c r="E94" s="14" t="s">
        <v>363</v>
      </c>
      <c r="F94" s="16" t="s">
        <v>927</v>
      </c>
      <c r="G94" s="14" t="str">
        <f>IFERROR(__xludf.DUMMYFUNCTION("FILTER(candidats!M:M,candidats!P:P=""SACHS Valerie"")"),"F")</f>
        <v>F</v>
      </c>
      <c r="H94" s="14">
        <v>19981.0</v>
      </c>
    </row>
    <row r="95">
      <c r="A95" s="13" t="s">
        <v>340</v>
      </c>
      <c r="B95" s="14">
        <v>7.0</v>
      </c>
      <c r="C95" s="14" t="s">
        <v>25</v>
      </c>
      <c r="D95" s="14" t="s">
        <v>367</v>
      </c>
      <c r="E95" s="14" t="s">
        <v>368</v>
      </c>
      <c r="F95" s="14" t="s">
        <v>848</v>
      </c>
      <c r="G95" s="14" t="str">
        <f>IFERROR(__xludf.DUMMYFUNCTION("FILTER(candidats!M:M,candidats!P:P=F95)"),"M")</f>
        <v>M</v>
      </c>
      <c r="H95" s="14">
        <v>9547.0</v>
      </c>
    </row>
    <row r="96">
      <c r="A96" s="13" t="s">
        <v>340</v>
      </c>
      <c r="B96" s="14">
        <v>8.0</v>
      </c>
      <c r="C96" s="14" t="s">
        <v>25</v>
      </c>
      <c r="D96" s="14" t="s">
        <v>373</v>
      </c>
      <c r="E96" s="14" t="s">
        <v>374</v>
      </c>
      <c r="F96" s="14" t="s">
        <v>849</v>
      </c>
      <c r="G96" s="14" t="str">
        <f>IFERROR(__xludf.DUMMYFUNCTION("FILTER(candidats!M:M,candidats!P:P=F96)"),"M")</f>
        <v>M</v>
      </c>
      <c r="H96" s="14">
        <v>12528.0</v>
      </c>
    </row>
    <row r="97">
      <c r="A97" s="13" t="s">
        <v>340</v>
      </c>
      <c r="B97" s="14">
        <v>9.0</v>
      </c>
      <c r="C97" s="14" t="s">
        <v>39</v>
      </c>
      <c r="D97" s="14" t="s">
        <v>90</v>
      </c>
      <c r="E97" s="14" t="s">
        <v>91</v>
      </c>
      <c r="F97" s="14" t="s">
        <v>850</v>
      </c>
      <c r="G97" s="14" t="str">
        <f>IFERROR(__xludf.DUMMYFUNCTION("FILTER(candidats!M:M,candidats!P:P=F97)"),"M")</f>
        <v>M</v>
      </c>
      <c r="H97" s="14">
        <v>207280.0</v>
      </c>
    </row>
    <row r="98">
      <c r="A98" s="13" t="s">
        <v>340</v>
      </c>
      <c r="B98" s="14">
        <v>10.0</v>
      </c>
      <c r="C98" s="14" t="s">
        <v>37</v>
      </c>
      <c r="D98" s="14" t="s">
        <v>380</v>
      </c>
      <c r="E98" s="14" t="s">
        <v>851</v>
      </c>
      <c r="F98" s="14" t="s">
        <v>852</v>
      </c>
      <c r="G98" s="14" t="str">
        <f>IFERROR(__xludf.DUMMYFUNCTION("FILTER(candidats!M:M,candidats!P:P=F98)"),"F")</f>
        <v>F</v>
      </c>
      <c r="H98" s="14">
        <v>962119.0</v>
      </c>
    </row>
    <row r="99">
      <c r="A99" s="13" t="s">
        <v>340</v>
      </c>
      <c r="B99" s="15">
        <v>13.0</v>
      </c>
      <c r="C99" s="15" t="s">
        <v>3</v>
      </c>
      <c r="D99" s="15" t="s">
        <v>389</v>
      </c>
      <c r="E99" s="15" t="s">
        <v>114</v>
      </c>
      <c r="F99" s="15" t="s">
        <v>853</v>
      </c>
      <c r="G99" s="14" t="str">
        <f>IFERROR(__xludf.DUMMYFUNCTION("FILTER(candidats!M:M,candidats!P:P=F99)"),"F")</f>
        <v>F</v>
      </c>
      <c r="H99" s="15">
        <v>44182.0</v>
      </c>
    </row>
    <row r="100">
      <c r="A100" s="13" t="s">
        <v>712</v>
      </c>
      <c r="B100" s="14">
        <v>1.0</v>
      </c>
      <c r="C100" s="14" t="s">
        <v>19</v>
      </c>
      <c r="D100" s="14" t="s">
        <v>713</v>
      </c>
      <c r="E100" s="14" t="s">
        <v>714</v>
      </c>
      <c r="F100" s="14" t="s">
        <v>854</v>
      </c>
      <c r="G100" s="14" t="str">
        <f>IFERROR(__xludf.DUMMYFUNCTION("FILTER(candidats!M:M,candidats!P:P=F100)"),"M")</f>
        <v>M</v>
      </c>
      <c r="H100" s="14">
        <v>4484.0</v>
      </c>
    </row>
    <row r="101">
      <c r="A101" s="13" t="s">
        <v>712</v>
      </c>
      <c r="B101" s="14">
        <v>2.0</v>
      </c>
      <c r="C101" s="14" t="s">
        <v>19</v>
      </c>
      <c r="D101" s="14" t="s">
        <v>717</v>
      </c>
      <c r="E101" s="14" t="s">
        <v>718</v>
      </c>
      <c r="F101" s="14" t="s">
        <v>855</v>
      </c>
      <c r="G101" s="14" t="str">
        <f>IFERROR(__xludf.DUMMYFUNCTION("FILTER(candidats!M:M,candidats!P:P=F101)"),"M")</f>
        <v>M</v>
      </c>
      <c r="H101" s="14">
        <v>18919.0</v>
      </c>
    </row>
    <row r="102">
      <c r="A102" s="13" t="s">
        <v>712</v>
      </c>
      <c r="B102" s="14">
        <v>3.0</v>
      </c>
      <c r="C102" s="14" t="s">
        <v>41</v>
      </c>
      <c r="D102" s="14" t="s">
        <v>720</v>
      </c>
      <c r="E102" s="14" t="s">
        <v>721</v>
      </c>
      <c r="F102" s="14" t="s">
        <v>856</v>
      </c>
      <c r="G102" s="14" t="str">
        <f>IFERROR(__xludf.DUMMYFUNCTION("FILTER(candidats!M:M,candidats!P:P=F102)"),"M")</f>
        <v>M</v>
      </c>
      <c r="H102" s="14">
        <v>2704.0</v>
      </c>
    </row>
    <row r="103">
      <c r="A103" s="13" t="s">
        <v>712</v>
      </c>
      <c r="B103" s="14">
        <v>4.0</v>
      </c>
      <c r="C103" s="14" t="s">
        <v>39</v>
      </c>
      <c r="D103" s="14" t="s">
        <v>724</v>
      </c>
      <c r="E103" s="14" t="s">
        <v>725</v>
      </c>
      <c r="F103" s="14" t="s">
        <v>857</v>
      </c>
      <c r="G103" s="14" t="str">
        <f>IFERROR(__xludf.DUMMYFUNCTION("FILTER(candidats!M:M,candidats!P:P=F103)"),"M")</f>
        <v>M</v>
      </c>
      <c r="H103" s="14">
        <v>978.0</v>
      </c>
    </row>
    <row r="104">
      <c r="A104" s="13" t="s">
        <v>712</v>
      </c>
      <c r="B104" s="14">
        <v>5.0</v>
      </c>
      <c r="C104" s="14" t="s">
        <v>37</v>
      </c>
      <c r="D104" s="14" t="s">
        <v>727</v>
      </c>
      <c r="E104" s="14" t="s">
        <v>727</v>
      </c>
      <c r="F104" s="14" t="s">
        <v>858</v>
      </c>
      <c r="G104" s="14" t="str">
        <f>IFERROR(__xludf.DUMMYFUNCTION("FILTER(candidats!M:M,candidats!P:P=F104)"),"M")</f>
        <v>M</v>
      </c>
      <c r="H104" s="14">
        <v>107281.0</v>
      </c>
    </row>
    <row r="105">
      <c r="A105" s="13" t="s">
        <v>712</v>
      </c>
      <c r="B105" s="15">
        <v>6.0</v>
      </c>
      <c r="C105" s="15" t="s">
        <v>3</v>
      </c>
      <c r="D105" s="15" t="s">
        <v>113</v>
      </c>
      <c r="E105" s="15" t="s">
        <v>174</v>
      </c>
      <c r="F105" s="15" t="s">
        <v>859</v>
      </c>
      <c r="G105" s="14" t="str">
        <f>IFERROR(__xludf.DUMMYFUNCTION("FILTER(candidats!M:M,candidats!P:P=F105)"),"M")</f>
        <v>M</v>
      </c>
      <c r="H105" s="15">
        <v>1263.0</v>
      </c>
    </row>
    <row r="106">
      <c r="A106" s="13" t="s">
        <v>712</v>
      </c>
      <c r="B106" s="14">
        <v>7.0</v>
      </c>
      <c r="C106" s="14" t="s">
        <v>28</v>
      </c>
      <c r="D106" s="14" t="s">
        <v>733</v>
      </c>
      <c r="E106" s="14" t="s">
        <v>733</v>
      </c>
      <c r="F106" s="14" t="s">
        <v>860</v>
      </c>
      <c r="G106" s="14" t="str">
        <f>IFERROR(__xludf.DUMMYFUNCTION("FILTER(candidats!M:M,candidats!P:P=F106)"),"M")</f>
        <v>M</v>
      </c>
      <c r="H106" s="14">
        <v>1382.0</v>
      </c>
    </row>
    <row r="107">
      <c r="A107" s="13" t="s">
        <v>712</v>
      </c>
      <c r="B107" s="14">
        <v>8.0</v>
      </c>
      <c r="C107" s="14" t="s">
        <v>15</v>
      </c>
      <c r="D107" s="14" t="s">
        <v>736</v>
      </c>
      <c r="E107" s="14" t="s">
        <v>737</v>
      </c>
      <c r="F107" s="14" t="s">
        <v>861</v>
      </c>
      <c r="G107" s="14" t="str">
        <f>IFERROR(__xludf.DUMMYFUNCTION("FILTER(candidats!M:M,candidats!P:P=F107)"),"F")</f>
        <v>F</v>
      </c>
      <c r="H107" s="14">
        <v>63248.0</v>
      </c>
    </row>
    <row r="108">
      <c r="A108" s="15" t="s">
        <v>712</v>
      </c>
      <c r="B108" s="15">
        <v>9.0</v>
      </c>
      <c r="C108" s="15" t="s">
        <v>25</v>
      </c>
      <c r="D108" s="15" t="s">
        <v>740</v>
      </c>
      <c r="E108" s="15" t="s">
        <v>740</v>
      </c>
      <c r="F108" s="15" t="s">
        <v>862</v>
      </c>
      <c r="G108" s="14" t="str">
        <f>IFERROR(__xludf.DUMMYFUNCTION("FILTER(candidats!M:M,candidats!P:P=F108)"),"M")</f>
        <v>M</v>
      </c>
      <c r="H108" s="15">
        <v>3895.0</v>
      </c>
    </row>
    <row r="109">
      <c r="A109" s="13" t="s">
        <v>712</v>
      </c>
      <c r="B109" s="14">
        <v>11.0</v>
      </c>
      <c r="C109" s="14" t="s">
        <v>31</v>
      </c>
      <c r="D109" s="14" t="s">
        <v>745</v>
      </c>
      <c r="E109" s="14" t="s">
        <v>746</v>
      </c>
      <c r="F109" s="14" t="s">
        <v>863</v>
      </c>
      <c r="G109" s="14" t="str">
        <f>IFERROR(__xludf.DUMMYFUNCTION("FILTER(candidats!M:M,candidats!P:P=F109)"),"M")</f>
        <v>M</v>
      </c>
      <c r="H109" s="14">
        <v>54021.0</v>
      </c>
    </row>
    <row r="110">
      <c r="A110" s="13" t="s">
        <v>712</v>
      </c>
      <c r="B110" s="14">
        <v>12.0</v>
      </c>
      <c r="C110" s="14" t="s">
        <v>25</v>
      </c>
      <c r="D110" s="14" t="s">
        <v>747</v>
      </c>
      <c r="E110" s="14" t="s">
        <v>748</v>
      </c>
      <c r="F110" s="14" t="s">
        <v>864</v>
      </c>
      <c r="G110" s="14" t="str">
        <f>IFERROR(__xludf.DUMMYFUNCTION("FILTER(candidats!M:M,candidats!P:P=F110)"),"M")</f>
        <v>M</v>
      </c>
      <c r="H110" s="14">
        <v>1264.0</v>
      </c>
    </row>
    <row r="111">
      <c r="A111" s="13" t="s">
        <v>391</v>
      </c>
      <c r="B111" s="14">
        <v>2.0</v>
      </c>
      <c r="C111" s="14" t="s">
        <v>37</v>
      </c>
      <c r="D111" s="14" t="s">
        <v>393</v>
      </c>
      <c r="E111" s="14" t="s">
        <v>394</v>
      </c>
      <c r="F111" s="14" t="s">
        <v>865</v>
      </c>
      <c r="G111" s="14" t="str">
        <f>IFERROR(__xludf.DUMMYFUNCTION("FILTER(candidats!M:M,candidats!P:P=F111)"),"M")</f>
        <v>M</v>
      </c>
      <c r="H111" s="14">
        <v>386987.0</v>
      </c>
    </row>
    <row r="112">
      <c r="A112" s="13" t="s">
        <v>391</v>
      </c>
      <c r="B112" s="14">
        <v>3.0</v>
      </c>
      <c r="C112" s="14" t="s">
        <v>15</v>
      </c>
      <c r="D112" s="14" t="s">
        <v>399</v>
      </c>
      <c r="E112" s="14" t="s">
        <v>400</v>
      </c>
      <c r="F112" s="14" t="s">
        <v>866</v>
      </c>
      <c r="G112" s="14" t="str">
        <f>IFERROR(__xludf.DUMMYFUNCTION("FILTER(candidats!M:M,candidats!P:P=F112)"),"F")</f>
        <v>F</v>
      </c>
      <c r="H112" s="14">
        <v>501322.0</v>
      </c>
    </row>
    <row r="113">
      <c r="A113" s="13" t="s">
        <v>391</v>
      </c>
      <c r="B113" s="14">
        <v>4.0</v>
      </c>
      <c r="C113" s="14" t="s">
        <v>45</v>
      </c>
      <c r="D113" s="14" t="s">
        <v>405</v>
      </c>
      <c r="E113" s="14" t="s">
        <v>406</v>
      </c>
      <c r="F113" s="14" t="s">
        <v>867</v>
      </c>
      <c r="G113" s="14" t="str">
        <f>IFERROR(__xludf.DUMMYFUNCTION("FILTER(candidats!M:M,candidats!P:P=F113)"),"M")</f>
        <v>M</v>
      </c>
      <c r="H113" s="14">
        <v>14172.0</v>
      </c>
    </row>
    <row r="114">
      <c r="A114" s="15" t="s">
        <v>391</v>
      </c>
      <c r="B114" s="15">
        <v>5.0</v>
      </c>
      <c r="C114" s="15" t="s">
        <v>23</v>
      </c>
      <c r="D114" s="15" t="s">
        <v>410</v>
      </c>
      <c r="E114" s="15" t="s">
        <v>411</v>
      </c>
      <c r="F114" s="15" t="s">
        <v>868</v>
      </c>
      <c r="G114" s="14" t="str">
        <f>IFERROR(__xludf.DUMMYFUNCTION("FILTER(candidats!M:M,candidats!P:P=F114)"),"M")</f>
        <v>M</v>
      </c>
      <c r="H114" s="15">
        <v>34936.0</v>
      </c>
    </row>
    <row r="115">
      <c r="A115" s="13" t="s">
        <v>391</v>
      </c>
      <c r="B115" s="14">
        <v>6.0</v>
      </c>
      <c r="C115" s="14" t="s">
        <v>19</v>
      </c>
      <c r="D115" s="14" t="s">
        <v>130</v>
      </c>
      <c r="E115" s="14" t="s">
        <v>413</v>
      </c>
      <c r="F115" s="14" t="s">
        <v>869</v>
      </c>
      <c r="G115" s="14" t="str">
        <f>IFERROR(__xludf.DUMMYFUNCTION("FILTER(candidats!M:M,candidats!P:P=F115)"),"M")</f>
        <v>M</v>
      </c>
      <c r="H115" s="14">
        <v>17093.0</v>
      </c>
    </row>
    <row r="116">
      <c r="A116" s="13" t="s">
        <v>391</v>
      </c>
      <c r="B116" s="14">
        <v>7.0</v>
      </c>
      <c r="C116" s="14" t="s">
        <v>25</v>
      </c>
      <c r="D116" s="14" t="s">
        <v>415</v>
      </c>
      <c r="E116" s="14" t="s">
        <v>180</v>
      </c>
      <c r="F116" s="14" t="s">
        <v>870</v>
      </c>
      <c r="G116" s="14" t="str">
        <f>IFERROR(__xludf.DUMMYFUNCTION("FILTER(candidats!M:M,candidats!P:P=F116)"),"M")</f>
        <v>M</v>
      </c>
      <c r="H116" s="14">
        <v>14601.0</v>
      </c>
    </row>
    <row r="117">
      <c r="A117" s="13" t="s">
        <v>391</v>
      </c>
      <c r="B117" s="14">
        <v>8.0</v>
      </c>
      <c r="C117" s="14" t="s">
        <v>19</v>
      </c>
      <c r="D117" s="14" t="s">
        <v>418</v>
      </c>
      <c r="E117" s="14" t="s">
        <v>418</v>
      </c>
      <c r="F117" s="14" t="s">
        <v>871</v>
      </c>
      <c r="G117" s="14" t="str">
        <f>IFERROR(__xludf.DUMMYFUNCTION("FILTER(candidats!M:M,candidats!P:P=F117)"),"M")</f>
        <v>M</v>
      </c>
      <c r="H117" s="14">
        <v>102728.0</v>
      </c>
    </row>
    <row r="118">
      <c r="A118" s="13" t="s">
        <v>391</v>
      </c>
      <c r="B118" s="14">
        <v>9.0</v>
      </c>
      <c r="C118" s="14" t="s">
        <v>43</v>
      </c>
      <c r="D118" s="14" t="s">
        <v>101</v>
      </c>
      <c r="E118" s="14" t="s">
        <v>102</v>
      </c>
      <c r="F118" s="14" t="s">
        <v>872</v>
      </c>
      <c r="G118" s="14" t="str">
        <f>IFERROR(__xludf.DUMMYFUNCTION("FILTER(candidats!M:M,candidats!P:P=F118)"),"M")</f>
        <v>M</v>
      </c>
      <c r="H118" s="14">
        <v>653573.0</v>
      </c>
    </row>
    <row r="119">
      <c r="A119" s="13" t="s">
        <v>391</v>
      </c>
      <c r="B119" s="14">
        <v>10.0</v>
      </c>
      <c r="C119" s="14" t="s">
        <v>11</v>
      </c>
      <c r="D119" s="14" t="s">
        <v>425</v>
      </c>
      <c r="E119" s="14" t="s">
        <v>426</v>
      </c>
      <c r="F119" s="14" t="s">
        <v>873</v>
      </c>
      <c r="G119" s="14" t="str">
        <f>IFERROR(__xludf.DUMMYFUNCTION("FILTER(candidats!M:M,candidats!P:P=F119)"),"M")</f>
        <v>M</v>
      </c>
      <c r="H119" s="14">
        <v>210602.0</v>
      </c>
    </row>
    <row r="120">
      <c r="A120" s="13" t="s">
        <v>391</v>
      </c>
      <c r="B120" s="14">
        <v>11.0</v>
      </c>
      <c r="C120" s="14" t="s">
        <v>39</v>
      </c>
      <c r="D120" s="14" t="s">
        <v>90</v>
      </c>
      <c r="E120" s="14" t="s">
        <v>170</v>
      </c>
      <c r="F120" s="14" t="s">
        <v>874</v>
      </c>
      <c r="G120" s="14" t="str">
        <f>IFERROR(__xludf.DUMMYFUNCTION("FILTER(candidats!M:M,candidats!P:P=F120)"),"M")</f>
        <v>M</v>
      </c>
      <c r="H120" s="14">
        <v>80380.0</v>
      </c>
    </row>
    <row r="121">
      <c r="A121" s="13" t="s">
        <v>391</v>
      </c>
      <c r="B121" s="15">
        <v>12.0</v>
      </c>
      <c r="C121" s="15" t="s">
        <v>3</v>
      </c>
      <c r="D121" s="15" t="s">
        <v>113</v>
      </c>
      <c r="E121" s="15" t="s">
        <v>174</v>
      </c>
      <c r="F121" s="15" t="s">
        <v>875</v>
      </c>
      <c r="G121" s="14" t="str">
        <f>IFERROR(__xludf.DUMMYFUNCTION("FILTER(candidats!M:M,candidats!P:P=F121)"),"F")</f>
        <v>F</v>
      </c>
      <c r="H121" s="15">
        <v>37182.0</v>
      </c>
    </row>
    <row r="122">
      <c r="A122" s="13" t="s">
        <v>637</v>
      </c>
      <c r="B122" s="14">
        <v>1.0</v>
      </c>
      <c r="C122" s="14" t="s">
        <v>25</v>
      </c>
      <c r="D122" s="14" t="s">
        <v>640</v>
      </c>
      <c r="E122" s="14" t="s">
        <v>641</v>
      </c>
      <c r="F122" s="14" t="s">
        <v>876</v>
      </c>
      <c r="G122" s="14" t="str">
        <f>IFERROR(__xludf.DUMMYFUNCTION("FILTER(candidats!M:M,candidats!P:P=F122)"),"F")</f>
        <v>F</v>
      </c>
      <c r="H122" s="14">
        <v>3868.0</v>
      </c>
    </row>
    <row r="123">
      <c r="A123" s="13" t="s">
        <v>637</v>
      </c>
      <c r="B123" s="15">
        <v>2.0</v>
      </c>
      <c r="C123" s="15" t="s">
        <v>3</v>
      </c>
      <c r="D123" s="15" t="s">
        <v>634</v>
      </c>
      <c r="E123" s="15" t="s">
        <v>634</v>
      </c>
      <c r="F123" s="15" t="s">
        <v>877</v>
      </c>
      <c r="G123" s="14" t="str">
        <f>IFERROR(__xludf.DUMMYFUNCTION("FILTER(candidats!M:M,candidats!P:P=F123)"),"F")</f>
        <v>F</v>
      </c>
      <c r="H123" s="15">
        <v>2460.0</v>
      </c>
    </row>
    <row r="124">
      <c r="A124" s="13" t="s">
        <v>637</v>
      </c>
      <c r="B124" s="14">
        <v>3.0</v>
      </c>
      <c r="C124" s="14" t="s">
        <v>35</v>
      </c>
      <c r="D124" s="14" t="s">
        <v>647</v>
      </c>
      <c r="E124" s="14" t="s">
        <v>647</v>
      </c>
      <c r="F124" s="14" t="s">
        <v>878</v>
      </c>
      <c r="G124" s="14" t="str">
        <f>IFERROR(__xludf.DUMMYFUNCTION("FILTER(candidats!M:M,candidats!P:P=F124)"),"M")</f>
        <v>M</v>
      </c>
      <c r="H124" s="14">
        <v>17272.0</v>
      </c>
    </row>
    <row r="125">
      <c r="A125" s="13" t="s">
        <v>637</v>
      </c>
      <c r="B125" s="14">
        <v>4.0</v>
      </c>
      <c r="C125" s="14" t="s">
        <v>41</v>
      </c>
      <c r="D125" s="14" t="s">
        <v>650</v>
      </c>
      <c r="E125" s="14" t="s">
        <v>650</v>
      </c>
      <c r="F125" s="14" t="s">
        <v>879</v>
      </c>
      <c r="G125" s="14" t="str">
        <f>IFERROR(__xludf.DUMMYFUNCTION("FILTER(candidats!M:M,candidats!P:P=F125)"),"M")</f>
        <v>M</v>
      </c>
      <c r="H125" s="14">
        <v>2475.0</v>
      </c>
    </row>
    <row r="126">
      <c r="A126" s="13" t="s">
        <v>637</v>
      </c>
      <c r="B126" s="14">
        <v>5.0</v>
      </c>
      <c r="C126" s="14" t="s">
        <v>19</v>
      </c>
      <c r="D126" s="14" t="s">
        <v>652</v>
      </c>
      <c r="E126" s="14" t="s">
        <v>653</v>
      </c>
      <c r="F126" s="14" t="s">
        <v>880</v>
      </c>
      <c r="G126" s="14" t="str">
        <f>IFERROR(__xludf.DUMMYFUNCTION("FILTER(candidats!M:M,candidats!P:P=F126)"),"M")</f>
        <v>M</v>
      </c>
      <c r="H126" s="14">
        <v>1558.0</v>
      </c>
    </row>
    <row r="127">
      <c r="A127" s="15" t="s">
        <v>637</v>
      </c>
      <c r="B127" s="15">
        <v>6.0</v>
      </c>
      <c r="C127" s="15" t="s">
        <v>28</v>
      </c>
      <c r="D127" s="15" t="s">
        <v>657</v>
      </c>
      <c r="E127" s="15" t="s">
        <v>658</v>
      </c>
      <c r="F127" s="15" t="s">
        <v>881</v>
      </c>
      <c r="G127" s="14" t="str">
        <f>IFERROR(__xludf.DUMMYFUNCTION("FILTER(candidats!M:M,candidats!P:P=F127)"),"M")</f>
        <v>M</v>
      </c>
      <c r="H127" s="15">
        <v>36523.0</v>
      </c>
    </row>
    <row r="128">
      <c r="A128" s="13" t="s">
        <v>637</v>
      </c>
      <c r="B128" s="14">
        <v>7.0</v>
      </c>
      <c r="C128" s="14" t="s">
        <v>33</v>
      </c>
      <c r="D128" s="14" t="s">
        <v>663</v>
      </c>
      <c r="E128" s="14" t="s">
        <v>663</v>
      </c>
      <c r="F128" s="14" t="s">
        <v>882</v>
      </c>
      <c r="G128" s="14" t="str">
        <f>IFERROR(__xludf.DUMMYFUNCTION("FILTER(candidats!M:M,candidats!P:P=F128)"),"M")</f>
        <v>M</v>
      </c>
      <c r="H128" s="14">
        <v>1818.0</v>
      </c>
    </row>
    <row r="129">
      <c r="A129" s="13" t="s">
        <v>637</v>
      </c>
      <c r="B129" s="14">
        <v>8.0</v>
      </c>
      <c r="C129" s="14" t="s">
        <v>28</v>
      </c>
      <c r="D129" s="14" t="s">
        <v>665</v>
      </c>
      <c r="E129" s="14" t="s">
        <v>665</v>
      </c>
      <c r="F129" s="14" t="s">
        <v>883</v>
      </c>
      <c r="G129" s="14" t="str">
        <f>IFERROR(__xludf.DUMMYFUNCTION("FILTER(candidats!M:M,candidats!P:P=F129)"),"M")</f>
        <v>M</v>
      </c>
      <c r="H129" s="14">
        <v>7653.0</v>
      </c>
    </row>
    <row r="130">
      <c r="A130" s="13" t="s">
        <v>637</v>
      </c>
      <c r="B130" s="14">
        <v>9.0</v>
      </c>
      <c r="C130" s="14" t="s">
        <v>19</v>
      </c>
      <c r="D130" s="14" t="s">
        <v>668</v>
      </c>
      <c r="E130" s="14" t="s">
        <v>669</v>
      </c>
      <c r="F130" s="14" t="s">
        <v>884</v>
      </c>
      <c r="G130" s="14" t="str">
        <f>IFERROR(__xludf.DUMMYFUNCTION("FILTER(candidats!M:M,candidats!P:P=F130)"),"M")</f>
        <v>M</v>
      </c>
      <c r="H130" s="14">
        <v>47002.0</v>
      </c>
    </row>
    <row r="131">
      <c r="A131" s="13" t="s">
        <v>434</v>
      </c>
      <c r="B131" s="14">
        <v>1.0</v>
      </c>
      <c r="C131" s="14" t="s">
        <v>9</v>
      </c>
      <c r="D131" s="14" t="s">
        <v>304</v>
      </c>
      <c r="E131" s="14" t="s">
        <v>885</v>
      </c>
      <c r="F131" s="14" t="s">
        <v>886</v>
      </c>
      <c r="G131" s="14" t="str">
        <f>IFERROR(__xludf.DUMMYFUNCTION("FILTER(candidats!M:M,candidats!P:P=F131)"),"M")</f>
        <v>M</v>
      </c>
      <c r="H131" s="14">
        <v>119081.0</v>
      </c>
    </row>
    <row r="132">
      <c r="A132" s="13" t="s">
        <v>434</v>
      </c>
      <c r="B132" s="14">
        <v>2.0</v>
      </c>
      <c r="C132" s="14" t="s">
        <v>43</v>
      </c>
      <c r="D132" s="14" t="s">
        <v>440</v>
      </c>
      <c r="E132" s="14" t="s">
        <v>441</v>
      </c>
      <c r="F132" s="14" t="s">
        <v>887</v>
      </c>
      <c r="G132" s="14" t="str">
        <f>IFERROR(__xludf.DUMMYFUNCTION("FILTER(candidats!M:M,candidats!P:P=F132)"),"F")</f>
        <v>F</v>
      </c>
      <c r="H132" s="14">
        <v>909025.0</v>
      </c>
    </row>
    <row r="133">
      <c r="A133" s="13" t="s">
        <v>434</v>
      </c>
      <c r="B133" s="15">
        <v>3.0</v>
      </c>
      <c r="C133" s="15" t="s">
        <v>3</v>
      </c>
      <c r="D133" s="15" t="s">
        <v>389</v>
      </c>
      <c r="E133" s="15" t="s">
        <v>114</v>
      </c>
      <c r="F133" s="15" t="s">
        <v>888</v>
      </c>
      <c r="G133" s="14" t="str">
        <f>IFERROR(__xludf.DUMMYFUNCTION("FILTER(candidats!M:M,candidats!P:P=F133)"),"M")</f>
        <v>M</v>
      </c>
      <c r="H133" s="15">
        <v>39041.0</v>
      </c>
    </row>
    <row r="134">
      <c r="A134" s="13" t="s">
        <v>434</v>
      </c>
      <c r="B134" s="14">
        <v>4.0</v>
      </c>
      <c r="C134" s="14" t="s">
        <v>25</v>
      </c>
      <c r="D134" s="14" t="s">
        <v>107</v>
      </c>
      <c r="E134" s="14" t="s">
        <v>229</v>
      </c>
      <c r="F134" s="14" t="s">
        <v>889</v>
      </c>
      <c r="G134" s="14" t="str">
        <f>IFERROR(__xludf.DUMMYFUNCTION("FILTER(candidats!M:M,candidats!P:P=F134)"),"M")</f>
        <v>M</v>
      </c>
      <c r="H134" s="14">
        <v>14345.0</v>
      </c>
    </row>
    <row r="135">
      <c r="A135" s="13" t="s">
        <v>434</v>
      </c>
      <c r="B135" s="14">
        <v>5.0</v>
      </c>
      <c r="C135" s="14" t="s">
        <v>15</v>
      </c>
      <c r="D135" s="14" t="s">
        <v>446</v>
      </c>
      <c r="E135" s="14" t="s">
        <v>447</v>
      </c>
      <c r="F135" s="14" t="s">
        <v>890</v>
      </c>
      <c r="G135" s="14" t="str">
        <f>IFERROR(__xludf.DUMMYFUNCTION("FILTER(candidats!M:M,candidats!P:P=F135)"),"M")</f>
        <v>M</v>
      </c>
      <c r="H135" s="14">
        <v>405199.0</v>
      </c>
    </row>
    <row r="136">
      <c r="A136" s="15" t="s">
        <v>434</v>
      </c>
      <c r="B136" s="15">
        <v>6.0</v>
      </c>
      <c r="C136" s="15" t="s">
        <v>37</v>
      </c>
      <c r="D136" s="15" t="s">
        <v>450</v>
      </c>
      <c r="E136" s="15" t="s">
        <v>451</v>
      </c>
      <c r="F136" s="15" t="s">
        <v>891</v>
      </c>
      <c r="G136" s="14" t="str">
        <f>IFERROR(__xludf.DUMMYFUNCTION("FILTER(candidats!M:M,candidats!P:P=F136)"),"M")</f>
        <v>M</v>
      </c>
      <c r="H136" s="15">
        <v>558420.0</v>
      </c>
    </row>
    <row r="137">
      <c r="A137" s="13" t="s">
        <v>434</v>
      </c>
      <c r="B137" s="14">
        <v>7.0</v>
      </c>
      <c r="C137" s="14" t="s">
        <v>39</v>
      </c>
      <c r="D137" s="14" t="s">
        <v>90</v>
      </c>
      <c r="E137" s="14" t="s">
        <v>289</v>
      </c>
      <c r="F137" s="14" t="s">
        <v>892</v>
      </c>
      <c r="G137" s="14" t="str">
        <f>IFERROR(__xludf.DUMMYFUNCTION("FILTER(candidats!M:M,candidats!P:P=F137)"),"M")</f>
        <v>M</v>
      </c>
      <c r="H137" s="14">
        <v>53359.0</v>
      </c>
    </row>
    <row r="138">
      <c r="A138" s="13" t="s">
        <v>434</v>
      </c>
      <c r="B138" s="14">
        <v>8.0</v>
      </c>
      <c r="C138" s="14" t="s">
        <v>41</v>
      </c>
      <c r="D138" s="14" t="s">
        <v>362</v>
      </c>
      <c r="E138" s="14" t="s">
        <v>362</v>
      </c>
      <c r="F138" s="14" t="s">
        <v>893</v>
      </c>
      <c r="G138" s="14" t="str">
        <f>IFERROR(__xludf.DUMMYFUNCTION("FILTER(candidats!M:M,candidats!P:P=F138)"),"M")</f>
        <v>M</v>
      </c>
      <c r="H138" s="14">
        <v>30319.0</v>
      </c>
    </row>
    <row r="139">
      <c r="A139" s="13" t="s">
        <v>434</v>
      </c>
      <c r="B139" s="14">
        <v>9.0</v>
      </c>
      <c r="C139" s="14" t="s">
        <v>11</v>
      </c>
      <c r="D139" s="14" t="s">
        <v>459</v>
      </c>
      <c r="E139" s="14" t="s">
        <v>460</v>
      </c>
      <c r="F139" s="14" t="s">
        <v>894</v>
      </c>
      <c r="G139" s="14" t="str">
        <f>IFERROR(__xludf.DUMMYFUNCTION("FILTER(candidats!M:M,candidats!P:P=F139)"),"F")</f>
        <v>F</v>
      </c>
      <c r="H139" s="14">
        <v>107993.0</v>
      </c>
    </row>
    <row r="140">
      <c r="A140" s="13" t="s">
        <v>462</v>
      </c>
      <c r="B140" s="14">
        <v>1.0</v>
      </c>
      <c r="C140" s="14" t="s">
        <v>39</v>
      </c>
      <c r="D140" s="14" t="s">
        <v>90</v>
      </c>
      <c r="E140" s="14" t="s">
        <v>91</v>
      </c>
      <c r="F140" s="14" t="s">
        <v>895</v>
      </c>
      <c r="G140" s="14" t="str">
        <f>IFERROR(__xludf.DUMMYFUNCTION("FILTER(candidats!M:M,candidats!P:P=F140)"),"M")</f>
        <v>M</v>
      </c>
      <c r="H140" s="14">
        <v>47391.0</v>
      </c>
    </row>
    <row r="141">
      <c r="A141" s="13" t="s">
        <v>462</v>
      </c>
      <c r="B141" s="14">
        <v>2.0</v>
      </c>
      <c r="C141" s="14" t="s">
        <v>19</v>
      </c>
      <c r="D141" s="14" t="s">
        <v>466</v>
      </c>
      <c r="E141" s="14" t="s">
        <v>466</v>
      </c>
      <c r="F141" s="14" t="s">
        <v>896</v>
      </c>
      <c r="G141" s="14" t="str">
        <f>IFERROR(__xludf.DUMMYFUNCTION("FILTER(candidats!M:M,candidats!P:P=F141)"),"F")</f>
        <v>F</v>
      </c>
      <c r="H141" s="14">
        <v>8981.0</v>
      </c>
    </row>
    <row r="142">
      <c r="A142" s="13" t="s">
        <v>462</v>
      </c>
      <c r="B142" s="14">
        <v>3.0</v>
      </c>
      <c r="C142" s="14" t="s">
        <v>21</v>
      </c>
      <c r="D142" s="14" t="s">
        <v>470</v>
      </c>
      <c r="E142" s="14" t="s">
        <v>471</v>
      </c>
      <c r="F142" s="14" t="s">
        <v>897</v>
      </c>
      <c r="G142" s="14" t="str">
        <f>IFERROR(__xludf.DUMMYFUNCTION("FILTER(candidats!M:M,candidats!P:P=F142)"),"M")</f>
        <v>M</v>
      </c>
      <c r="H142" s="14">
        <v>70231.0</v>
      </c>
    </row>
    <row r="143">
      <c r="A143" s="13" t="s">
        <v>462</v>
      </c>
      <c r="B143" s="15">
        <v>4.0</v>
      </c>
      <c r="C143" s="15" t="s">
        <v>3</v>
      </c>
      <c r="D143" s="15" t="s">
        <v>389</v>
      </c>
      <c r="E143" s="15" t="s">
        <v>476</v>
      </c>
      <c r="F143" s="15" t="s">
        <v>898</v>
      </c>
      <c r="G143" s="14" t="str">
        <f>IFERROR(__xludf.DUMMYFUNCTION("FILTER(candidats!M:M,candidats!P:P=F143)"),"M")</f>
        <v>M</v>
      </c>
      <c r="H143" s="15">
        <v>20975.0</v>
      </c>
    </row>
    <row r="144">
      <c r="A144" s="13" t="s">
        <v>462</v>
      </c>
      <c r="B144" s="14">
        <v>5.0</v>
      </c>
      <c r="C144" s="14" t="s">
        <v>15</v>
      </c>
      <c r="D144" s="14" t="s">
        <v>479</v>
      </c>
      <c r="E144" s="14" t="s">
        <v>480</v>
      </c>
      <c r="F144" s="14" t="s">
        <v>899</v>
      </c>
      <c r="G144" s="14" t="str">
        <f>IFERROR(__xludf.DUMMYFUNCTION("FILTER(candidats!M:M,candidats!P:P=F144)"),"M")</f>
        <v>M</v>
      </c>
      <c r="H144" s="14">
        <v>269127.0</v>
      </c>
    </row>
    <row r="145">
      <c r="A145" s="13" t="s">
        <v>462</v>
      </c>
      <c r="B145" s="14">
        <v>6.0</v>
      </c>
      <c r="C145" s="14" t="s">
        <v>43</v>
      </c>
      <c r="D145" s="14" t="s">
        <v>482</v>
      </c>
      <c r="E145" s="14" t="s">
        <v>483</v>
      </c>
      <c r="F145" s="14" t="s">
        <v>900</v>
      </c>
      <c r="G145" s="14" t="str">
        <f>IFERROR(__xludf.DUMMYFUNCTION("FILTER(candidats!M:M,candidats!P:P=F145)"),"M")</f>
        <v>M</v>
      </c>
      <c r="H145" s="14">
        <v>317118.0</v>
      </c>
    </row>
    <row r="146">
      <c r="A146" s="13" t="s">
        <v>462</v>
      </c>
      <c r="B146" s="14">
        <v>7.0</v>
      </c>
      <c r="C146" s="14" t="s">
        <v>5</v>
      </c>
      <c r="D146" s="14" t="s">
        <v>485</v>
      </c>
      <c r="E146" s="14" t="s">
        <v>486</v>
      </c>
      <c r="F146" s="14" t="s">
        <v>901</v>
      </c>
      <c r="G146" s="14" t="str">
        <f>IFERROR(__xludf.DUMMYFUNCTION("FILTER(candidats!M:M,candidats!P:P=F146)"),"M")</f>
        <v>M</v>
      </c>
      <c r="H146" s="14">
        <v>80590.0</v>
      </c>
    </row>
    <row r="147">
      <c r="A147" s="13" t="s">
        <v>462</v>
      </c>
      <c r="B147" s="14">
        <v>8.0</v>
      </c>
      <c r="C147" s="14" t="s">
        <v>37</v>
      </c>
      <c r="D147" s="14" t="s">
        <v>489</v>
      </c>
      <c r="E147" s="14" t="s">
        <v>490</v>
      </c>
      <c r="F147" s="14" t="s">
        <v>902</v>
      </c>
      <c r="G147" s="14" t="str">
        <f>IFERROR(__xludf.DUMMYFUNCTION("FILTER(candidats!M:M,candidats!P:P=F147)"),"M")</f>
        <v>M</v>
      </c>
      <c r="H147" s="14">
        <v>319357.0</v>
      </c>
    </row>
    <row r="148">
      <c r="A148" s="15" t="s">
        <v>462</v>
      </c>
      <c r="B148" s="15">
        <v>9.0</v>
      </c>
      <c r="C148" s="15" t="s">
        <v>25</v>
      </c>
      <c r="D148" s="15" t="s">
        <v>107</v>
      </c>
      <c r="E148" s="15" t="s">
        <v>180</v>
      </c>
      <c r="F148" s="15" t="s">
        <v>903</v>
      </c>
      <c r="G148" s="14" t="str">
        <f>IFERROR(__xludf.DUMMYFUNCTION("FILTER(candidats!M:M,candidats!P:P=F148)"),"M")</f>
        <v>M</v>
      </c>
      <c r="H148" s="15">
        <v>10641.0</v>
      </c>
    </row>
    <row r="149">
      <c r="A149" s="13" t="s">
        <v>496</v>
      </c>
      <c r="B149" s="14">
        <v>1.0</v>
      </c>
      <c r="C149" s="14" t="s">
        <v>43</v>
      </c>
      <c r="D149" s="14" t="s">
        <v>165</v>
      </c>
      <c r="E149" s="14" t="s">
        <v>498</v>
      </c>
      <c r="F149" s="14" t="s">
        <v>904</v>
      </c>
      <c r="G149" s="14" t="str">
        <f>IFERROR(__xludf.DUMMYFUNCTION("FILTER(candidats!M:M,candidats!P:P=F149)"),"M")</f>
        <v>M</v>
      </c>
      <c r="H149" s="14">
        <v>270888.0</v>
      </c>
    </row>
    <row r="150">
      <c r="A150" s="13" t="s">
        <v>496</v>
      </c>
      <c r="B150" s="14">
        <v>2.0</v>
      </c>
      <c r="C150" s="14" t="s">
        <v>28</v>
      </c>
      <c r="D150" s="14" t="s">
        <v>501</v>
      </c>
      <c r="E150" s="14" t="s">
        <v>502</v>
      </c>
      <c r="F150" s="14" t="s">
        <v>905</v>
      </c>
      <c r="G150" s="14" t="str">
        <f>IFERROR(__xludf.DUMMYFUNCTION("FILTER(candidats!M:M,candidats!P:P=F150)"),"M")</f>
        <v>M</v>
      </c>
      <c r="H150" s="14">
        <v>16096.0</v>
      </c>
    </row>
    <row r="151">
      <c r="A151" s="13" t="s">
        <v>496</v>
      </c>
      <c r="B151" s="14">
        <v>3.0</v>
      </c>
      <c r="C151" s="14" t="s">
        <v>39</v>
      </c>
      <c r="D151" s="14" t="s">
        <v>90</v>
      </c>
      <c r="E151" s="14" t="s">
        <v>91</v>
      </c>
      <c r="F151" s="14" t="s">
        <v>906</v>
      </c>
      <c r="G151" s="14" t="str">
        <f>IFERROR(__xludf.DUMMYFUNCTION("FILTER(candidats!M:M,candidats!P:P=F151)"),"F")</f>
        <v>F</v>
      </c>
      <c r="H151" s="14">
        <v>51873.0</v>
      </c>
    </row>
    <row r="152">
      <c r="A152" s="13" t="s">
        <v>496</v>
      </c>
      <c r="B152" s="14">
        <v>4.0</v>
      </c>
      <c r="C152" s="14" t="s">
        <v>9</v>
      </c>
      <c r="D152" s="14" t="s">
        <v>304</v>
      </c>
      <c r="E152" s="14" t="s">
        <v>507</v>
      </c>
      <c r="F152" s="14" t="s">
        <v>907</v>
      </c>
      <c r="G152" s="14" t="str">
        <f>IFERROR(__xludf.DUMMYFUNCTION("FILTER(candidats!M:M,candidats!P:P=F152)"),"M")</f>
        <v>M</v>
      </c>
      <c r="H152" s="14">
        <v>42305.0</v>
      </c>
    </row>
    <row r="153">
      <c r="A153" s="13" t="s">
        <v>496</v>
      </c>
      <c r="B153" s="15">
        <v>5.0</v>
      </c>
      <c r="C153" s="15" t="s">
        <v>3</v>
      </c>
      <c r="D153" s="15" t="s">
        <v>389</v>
      </c>
      <c r="E153" s="15" t="s">
        <v>114</v>
      </c>
      <c r="F153" s="15" t="s">
        <v>908</v>
      </c>
      <c r="G153" s="14" t="str">
        <f>IFERROR(__xludf.DUMMYFUNCTION("FILTER(candidats!M:M,candidats!P:P=F153)"),"M")</f>
        <v>M</v>
      </c>
      <c r="H153" s="15">
        <v>18626.0</v>
      </c>
    </row>
    <row r="154">
      <c r="A154" s="13" t="s">
        <v>496</v>
      </c>
      <c r="B154" s="14">
        <v>6.0</v>
      </c>
      <c r="C154" s="14" t="s">
        <v>37</v>
      </c>
      <c r="D154" s="14" t="s">
        <v>513</v>
      </c>
      <c r="E154" s="14" t="s">
        <v>514</v>
      </c>
      <c r="F154" s="14" t="s">
        <v>909</v>
      </c>
      <c r="G154" s="14" t="str">
        <f>IFERROR(__xludf.DUMMYFUNCTION("FILTER(candidats!M:M,candidats!P:P=F154)"),"M")</f>
        <v>M</v>
      </c>
      <c r="H154" s="14">
        <v>424951.0</v>
      </c>
    </row>
    <row r="155">
      <c r="A155" s="13" t="s">
        <v>496</v>
      </c>
      <c r="B155" s="14">
        <v>7.0</v>
      </c>
      <c r="C155" s="14" t="s">
        <v>15</v>
      </c>
      <c r="D155" s="14" t="s">
        <v>517</v>
      </c>
      <c r="E155" s="14" t="s">
        <v>518</v>
      </c>
      <c r="F155" s="14" t="s">
        <v>910</v>
      </c>
      <c r="G155" s="14" t="str">
        <f>IFERROR(__xludf.DUMMYFUNCTION("FILTER(candidats!M:M,candidats!P:P=F155)"),"M")</f>
        <v>M</v>
      </c>
      <c r="H155" s="14">
        <v>326764.0</v>
      </c>
    </row>
    <row r="156">
      <c r="A156" s="13" t="s">
        <v>496</v>
      </c>
      <c r="B156" s="14">
        <v>8.0</v>
      </c>
      <c r="C156" s="14" t="s">
        <v>3</v>
      </c>
      <c r="D156" s="14" t="s">
        <v>520</v>
      </c>
      <c r="E156" s="14" t="s">
        <v>520</v>
      </c>
      <c r="F156" s="14" t="s">
        <v>911</v>
      </c>
      <c r="G156" s="14" t="str">
        <f>IFERROR(__xludf.DUMMYFUNCTION("FILTER(candidats!M:M,candidats!P:P=F156)"),"M")</f>
        <v>M</v>
      </c>
      <c r="H156" s="14">
        <v>2164.0</v>
      </c>
    </row>
    <row r="157">
      <c r="A157" s="13" t="s">
        <v>496</v>
      </c>
      <c r="B157" s="14">
        <v>9.0</v>
      </c>
      <c r="C157" s="14" t="s">
        <v>21</v>
      </c>
      <c r="D157" s="14" t="s">
        <v>522</v>
      </c>
      <c r="E157" s="14" t="s">
        <v>523</v>
      </c>
      <c r="F157" s="14" t="s">
        <v>912</v>
      </c>
      <c r="G157" s="14" t="str">
        <f>IFERROR(__xludf.DUMMYFUNCTION("FILTER(candidats!M:M,candidats!P:P=F157)"),"F")</f>
        <v>F</v>
      </c>
      <c r="H157" s="14">
        <v>99253.0</v>
      </c>
    </row>
    <row r="158">
      <c r="A158" s="15" t="s">
        <v>496</v>
      </c>
      <c r="B158" s="15">
        <v>10.0</v>
      </c>
      <c r="C158" s="15" t="s">
        <v>25</v>
      </c>
      <c r="D158" s="15" t="s">
        <v>107</v>
      </c>
      <c r="E158" s="15" t="s">
        <v>180</v>
      </c>
      <c r="F158" s="15" t="s">
        <v>913</v>
      </c>
      <c r="G158" s="14" t="str">
        <f>IFERROR(__xludf.DUMMYFUNCTION("FILTER(candidats!M:M,candidats!P:P=F158)"),"M")</f>
        <v>M</v>
      </c>
      <c r="H158" s="15">
        <v>16022.0</v>
      </c>
    </row>
    <row r="159">
      <c r="A159" s="13" t="s">
        <v>527</v>
      </c>
      <c r="B159" s="14">
        <v>1.0</v>
      </c>
      <c r="C159" s="14" t="s">
        <v>23</v>
      </c>
      <c r="D159" s="14" t="s">
        <v>529</v>
      </c>
      <c r="E159" s="14" t="s">
        <v>530</v>
      </c>
      <c r="F159" s="14" t="s">
        <v>914</v>
      </c>
      <c r="G159" s="14" t="str">
        <f>IFERROR(__xludf.DUMMYFUNCTION("FILTER(candidats!M:M,candidats!P:P=F159)"),"M")</f>
        <v>M</v>
      </c>
      <c r="H159" s="14">
        <v>71901.0</v>
      </c>
    </row>
    <row r="160">
      <c r="A160" s="13" t="s">
        <v>527</v>
      </c>
      <c r="B160" s="15">
        <v>2.0</v>
      </c>
      <c r="C160" s="15" t="s">
        <v>3</v>
      </c>
      <c r="D160" s="15" t="s">
        <v>113</v>
      </c>
      <c r="E160" s="15" t="s">
        <v>114</v>
      </c>
      <c r="F160" s="15" t="s">
        <v>915</v>
      </c>
      <c r="G160" s="14" t="str">
        <f>IFERROR(__xludf.DUMMYFUNCTION("FILTER(candidats!M:M,candidats!P:P=F160)"),"F")</f>
        <v>F</v>
      </c>
      <c r="H160" s="15">
        <v>26279.0</v>
      </c>
    </row>
    <row r="161">
      <c r="A161" s="13" t="s">
        <v>527</v>
      </c>
      <c r="B161" s="14">
        <v>3.0</v>
      </c>
      <c r="C161" s="14" t="s">
        <v>45</v>
      </c>
      <c r="D161" s="14" t="s">
        <v>537</v>
      </c>
      <c r="E161" s="14" t="s">
        <v>537</v>
      </c>
      <c r="F161" s="14" t="s">
        <v>916</v>
      </c>
      <c r="G161" s="14" t="str">
        <f>IFERROR(__xludf.DUMMYFUNCTION("FILTER(candidats!M:M,candidats!P:P=F161)"),"M")</f>
        <v>M</v>
      </c>
      <c r="H161" s="14">
        <v>19889.0</v>
      </c>
    </row>
    <row r="162">
      <c r="A162" s="13" t="s">
        <v>527</v>
      </c>
      <c r="B162" s="14">
        <v>4.0</v>
      </c>
      <c r="C162" s="14" t="s">
        <v>11</v>
      </c>
      <c r="D162" s="14" t="s">
        <v>539</v>
      </c>
      <c r="E162" s="14" t="s">
        <v>917</v>
      </c>
      <c r="F162" s="14" t="s">
        <v>918</v>
      </c>
      <c r="G162" s="14" t="str">
        <f>IFERROR(__xludf.DUMMYFUNCTION("FILTER(candidats!M:M,candidats!P:P=F162)"),"F")</f>
        <v>F</v>
      </c>
      <c r="H162" s="14">
        <v>116125.0</v>
      </c>
    </row>
    <row r="163">
      <c r="A163" s="13" t="s">
        <v>527</v>
      </c>
      <c r="B163" s="14">
        <v>5.0</v>
      </c>
      <c r="C163" s="14" t="s">
        <v>43</v>
      </c>
      <c r="D163" s="14" t="s">
        <v>542</v>
      </c>
      <c r="E163" s="14" t="s">
        <v>543</v>
      </c>
      <c r="F163" s="14" t="s">
        <v>919</v>
      </c>
      <c r="G163" s="14" t="str">
        <f>IFERROR(__xludf.DUMMYFUNCTION("FILTER(candidats!M:M,candidats!P:P=F163)"),"F")</f>
        <v>F</v>
      </c>
      <c r="H163" s="14">
        <v>719746.0</v>
      </c>
    </row>
    <row r="164">
      <c r="A164" s="13" t="s">
        <v>527</v>
      </c>
      <c r="B164" s="14">
        <v>6.0</v>
      </c>
      <c r="C164" s="14" t="s">
        <v>37</v>
      </c>
      <c r="D164" s="14" t="s">
        <v>546</v>
      </c>
      <c r="E164" s="14" t="s">
        <v>547</v>
      </c>
      <c r="F164" s="14" t="s">
        <v>920</v>
      </c>
      <c r="G164" s="14" t="str">
        <f>IFERROR(__xludf.DUMMYFUNCTION("FILTER(candidats!M:M,candidats!P:P=F164)"),"M")</f>
        <v>M</v>
      </c>
      <c r="H164" s="14">
        <v>469884.0</v>
      </c>
    </row>
    <row r="165">
      <c r="A165" s="13" t="s">
        <v>527</v>
      </c>
      <c r="B165" s="14">
        <v>7.0</v>
      </c>
      <c r="C165" s="14" t="s">
        <v>15</v>
      </c>
      <c r="D165" s="14" t="s">
        <v>550</v>
      </c>
      <c r="E165" s="14" t="s">
        <v>921</v>
      </c>
      <c r="F165" s="14" t="s">
        <v>922</v>
      </c>
      <c r="G165" s="14" t="str">
        <f>IFERROR(__xludf.DUMMYFUNCTION("FILTER(candidats!M:M,candidats!P:P=F165)"),"M")</f>
        <v>M</v>
      </c>
      <c r="H165" s="14">
        <v>294398.0</v>
      </c>
    </row>
    <row r="166">
      <c r="A166" s="15" t="s">
        <v>527</v>
      </c>
      <c r="B166" s="15">
        <v>8.0</v>
      </c>
      <c r="C166" s="15" t="s">
        <v>25</v>
      </c>
      <c r="D166" s="15" t="s">
        <v>553</v>
      </c>
      <c r="E166" s="15" t="s">
        <v>554</v>
      </c>
      <c r="F166" s="15" t="s">
        <v>923</v>
      </c>
      <c r="G166" s="14" t="str">
        <f>IFERROR(__xludf.DUMMYFUNCTION("FILTER(candidats!M:M,candidats!P:P=F166)"),"M")</f>
        <v>M</v>
      </c>
      <c r="H166" s="15">
        <v>10752.0</v>
      </c>
    </row>
    <row r="167">
      <c r="A167" s="13" t="s">
        <v>527</v>
      </c>
      <c r="B167" s="14">
        <v>9.0</v>
      </c>
      <c r="C167" s="14" t="s">
        <v>39</v>
      </c>
      <c r="D167" s="14" t="s">
        <v>90</v>
      </c>
      <c r="E167" s="14" t="s">
        <v>91</v>
      </c>
      <c r="F167" s="14" t="s">
        <v>924</v>
      </c>
      <c r="G167" s="14" t="str">
        <f>IFERROR(__xludf.DUMMYFUNCTION("FILTER(candidats!M:M,candidats!P:P=F167)"),"M")</f>
        <v>M</v>
      </c>
      <c r="H167" s="14">
        <v>34600.0</v>
      </c>
    </row>
    <row r="168">
      <c r="A168" s="13" t="s">
        <v>527</v>
      </c>
      <c r="B168" s="14">
        <v>10.0</v>
      </c>
      <c r="C168" s="14" t="s">
        <v>19</v>
      </c>
      <c r="D168" s="14" t="s">
        <v>130</v>
      </c>
      <c r="E168" s="14" t="s">
        <v>560</v>
      </c>
      <c r="F168" s="14" t="s">
        <v>925</v>
      </c>
      <c r="G168" s="14" t="str">
        <f>IFERROR(__xludf.DUMMYFUNCTION("FILTER(candidats!M:M,candidats!P:P=F168)"),"M")</f>
        <v>M</v>
      </c>
      <c r="H168" s="14">
        <v>11276.0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E3" s="18"/>
    </row>
    <row r="4">
      <c r="E4" s="18"/>
    </row>
    <row r="5">
      <c r="E5" s="18"/>
    </row>
    <row r="6">
      <c r="E6" s="18"/>
    </row>
    <row r="7">
      <c r="E7" s="18"/>
    </row>
    <row r="8">
      <c r="E8" s="18"/>
    </row>
    <row r="9">
      <c r="E9" s="18"/>
    </row>
    <row r="10">
      <c r="E10" s="18"/>
    </row>
    <row r="11">
      <c r="E11" s="18"/>
    </row>
    <row r="12">
      <c r="E12" s="18"/>
    </row>
    <row r="13">
      <c r="E13" s="18"/>
    </row>
    <row r="14">
      <c r="E14" s="18"/>
    </row>
    <row r="15">
      <c r="E15" s="18"/>
    </row>
    <row r="16">
      <c r="E16" s="18"/>
    </row>
    <row r="17">
      <c r="E17" s="18"/>
    </row>
    <row r="18">
      <c r="E18" s="18"/>
    </row>
    <row r="19">
      <c r="E19" s="18"/>
    </row>
    <row r="20">
      <c r="E20" s="18"/>
    </row>
    <row r="21">
      <c r="E21" s="18"/>
    </row>
    <row r="22">
      <c r="E22" s="18"/>
    </row>
    <row r="23"/>
  </sheetData>
  <conditionalFormatting sqref="B3:B22">
    <cfRule type="cellIs" dxfId="0" priority="1" operator="between">
      <formula>0.4</formula>
      <formula>0.6</formula>
    </cfRule>
  </conditionalFormatting>
  <conditionalFormatting sqref="D6">
    <cfRule type="notContainsBlanks" dxfId="0" priority="2">
      <formula>LEN(TRIM(D6))&gt;0</formula>
    </cfRule>
  </conditionalFormatting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3" t="s">
        <v>931</v>
      </c>
    </row>
    <row r="2">
      <c r="C2" s="10" t="str">
        <f>IFERROR(__xludf.DUMMYFUNCTION("filter('1_rapprochement'!G:G,'1_rapprochement'!H:H=B2)"),"M")</f>
        <v>M</v>
      </c>
    </row>
    <row r="3">
      <c r="C3" s="10" t="str">
        <f>IFERROR(__xludf.DUMMYFUNCTION("filter('1_rapprochement'!G:G,'1_rapprochement'!H:H=B3)"),"M")</f>
        <v>M</v>
      </c>
    </row>
    <row r="4">
      <c r="C4" s="10" t="str">
        <f>IFERROR(__xludf.DUMMYFUNCTION("filter('1_rapprochement'!G:G,'1_rapprochement'!H:H=B4)"),"M")</f>
        <v>M</v>
      </c>
    </row>
    <row r="5">
      <c r="C5" s="10" t="str">
        <f>IFERROR(__xludf.DUMMYFUNCTION("filter('1_rapprochement'!G:G,'1_rapprochement'!H:H=B5)"),"F")</f>
        <v>F</v>
      </c>
    </row>
    <row r="6">
      <c r="C6" s="10" t="str">
        <f>IFERROR(__xludf.DUMMYFUNCTION("filter('1_rapprochement'!G:G,'1_rapprochement'!H:H=B6)"),"M")</f>
        <v>M</v>
      </c>
    </row>
    <row r="7">
      <c r="C7" s="10" t="str">
        <f>IFERROR(__xludf.DUMMYFUNCTION("filter('1_rapprochement'!G:G,'1_rapprochement'!H:H=B7)"),"M")</f>
        <v>M</v>
      </c>
    </row>
    <row r="8">
      <c r="C8" s="10" t="str">
        <f>IFERROR(__xludf.DUMMYFUNCTION("filter('1_rapprochement'!G:G,'1_rapprochement'!H:H=B8)"),"M")</f>
        <v>M</v>
      </c>
    </row>
    <row r="9">
      <c r="C9" s="10" t="str">
        <f>IFERROR(__xludf.DUMMYFUNCTION("filter('1_rapprochement'!G:G,'1_rapprochement'!H:H=B9)"),"M")</f>
        <v>M</v>
      </c>
    </row>
    <row r="10">
      <c r="C10" s="10" t="str">
        <f>IFERROR(__xludf.DUMMYFUNCTION("filter('1_rapprochement'!G:G,'1_rapprochement'!H:H=B10)"),"M")</f>
        <v>M</v>
      </c>
    </row>
    <row r="11">
      <c r="C11" s="10" t="str">
        <f>IFERROR(__xludf.DUMMYFUNCTION("filter('1_rapprochement'!G:G,'1_rapprochement'!H:H=B11)"),"F")</f>
        <v>F</v>
      </c>
    </row>
    <row r="12">
      <c r="C12" s="10" t="str">
        <f>IFERROR(__xludf.DUMMYFUNCTION("filter('1_rapprochement'!G:G,'1_rapprochement'!H:H=B12)"),"M")</f>
        <v>M</v>
      </c>
    </row>
    <row r="13">
      <c r="C13" s="10" t="str">
        <f>IFERROR(__xludf.DUMMYFUNCTION("filter('1_rapprochement'!G:G,'1_rapprochement'!H:H=B13)"),"M")</f>
        <v>M</v>
      </c>
    </row>
    <row r="14">
      <c r="C14" s="10" t="str">
        <f>IFERROR(__xludf.DUMMYFUNCTION("filter('1_rapprochement'!G:G,'1_rapprochement'!H:H=B14)"),"M")</f>
        <v>M</v>
      </c>
    </row>
    <row r="15">
      <c r="C15" s="10" t="str">
        <f>IFERROR(__xludf.DUMMYFUNCTION("filter('1_rapprochement'!G:G,'1_rapprochement'!H:H=B15)"),"F")</f>
        <v>F</v>
      </c>
    </row>
    <row r="16">
      <c r="C16" s="10" t="str">
        <f>IFERROR(__xludf.DUMMYFUNCTION("filter('1_rapprochement'!G:G,'1_rapprochement'!H:H=B16)"),"M")</f>
        <v>M</v>
      </c>
    </row>
    <row r="17">
      <c r="C17" s="10" t="str">
        <f>IFERROR(__xludf.DUMMYFUNCTION("filter('1_rapprochement'!G:G,'1_rapprochement'!H:H=B17)"),"M")</f>
        <v>M</v>
      </c>
    </row>
    <row r="18">
      <c r="C18" s="10" t="str">
        <f>IFERROR(__xludf.DUMMYFUNCTION("filter('1_rapprochement'!G:G,'1_rapprochement'!H:H=B18)"),"F")</f>
        <v>F</v>
      </c>
    </row>
  </sheetData>
  <conditionalFormatting sqref="C1:C1000">
    <cfRule type="containsText" dxfId="0" priority="1" operator="containsText" text="F">
      <formula>NOT(ISERROR(SEARCH(("F"),(C1))))</formula>
    </cfRule>
  </conditionalFormatting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3" width="18.25"/>
    <col customWidth="1" min="4" max="4" width="7.25"/>
    <col customWidth="1" min="5" max="5" width="8.38"/>
    <col customWidth="1" min="6" max="6" width="13.0"/>
    <col customWidth="1" min="7" max="7" width="26.5"/>
    <col customWidth="1" min="8" max="8" width="58.13"/>
    <col customWidth="1" min="9" max="9" width="22.5"/>
    <col customWidth="1" min="10" max="11" width="9.25"/>
  </cols>
  <sheetData>
    <row r="1">
      <c r="A1" s="12" t="s">
        <v>56</v>
      </c>
      <c r="B1" s="17" t="s">
        <v>932</v>
      </c>
      <c r="C1" s="17" t="s">
        <v>933</v>
      </c>
      <c r="D1" s="12" t="s">
        <v>750</v>
      </c>
      <c r="E1" s="12" t="s">
        <v>63</v>
      </c>
      <c r="F1" s="17" t="s">
        <v>934</v>
      </c>
      <c r="G1" s="12" t="s">
        <v>751</v>
      </c>
      <c r="H1" s="12" t="s">
        <v>62</v>
      </c>
      <c r="I1" s="12" t="s">
        <v>752</v>
      </c>
      <c r="J1" s="17" t="s">
        <v>926</v>
      </c>
      <c r="K1" s="12" t="s">
        <v>753</v>
      </c>
    </row>
    <row r="2">
      <c r="A2" s="13" t="s">
        <v>73</v>
      </c>
      <c r="B2" s="13" t="str">
        <f>IFERROR(__xludf.DUMMYFUNCTION("FILTER('5_categorisation'!C:C,'5_categorisation'!A:A=A2)"),"Grand Est")</f>
        <v>Grand Est</v>
      </c>
      <c r="C2" s="13" t="str">
        <f>IFS(A2='5_categorisation'!$A$2,'5_categorisation'!$B$2,A2='5_categorisation'!$A$3,'5_categorisation'!$B$3,A2='5_categorisation'!$A$4,'5_categorisation'!$B$4,A2='5_categorisation'!$A$5,'5_categorisation'!$B$5,A2='5_categorisation'!$A$6,'5_categorisation'!$B$6,A2='5_categorisation'!$A$7,'5_categorisation'!$B$7,A2='5_categorisation'!$A$8,'5_categorisation'!$B$8,A2='5_categorisation'!$A$9,'5_categorisation'!$B$9,A2='5_categorisation'!$A10,'5_categorisation'!$B$10,A2='5_categorisation'!$A$12,'5_categorisation'!$B$12,A2='5_categorisation'!$A$12,'5_categorisation'!$B$12,A2='5_categorisation'!$A$13,'5_categorisation'!$B$13,A2='5_categorisation'!$A$14,'5_categorisation'!$B$14,A2='5_categorisation'!$A$15,'5_categorisation'!$B$15,A2='5_categorisation'!$A$16,'5_categorisation'!$B$16,A2='5_categorisation'!$A$17,'5_categorisation'!$B$17,A2='5_categorisation'!$A$11,'5_categorisation'!$B$11)</f>
        <v>est</v>
      </c>
      <c r="D2" s="14">
        <v>1.0</v>
      </c>
      <c r="E2" s="14" t="s">
        <v>21</v>
      </c>
      <c r="F2" s="14" t="str">
        <f>ifs(E2='5_categorisation'!$D$2,'5_categorisation'!$F$2,E2='5_categorisation'!$D$3,'5_categorisation'!$F$3,E2='5_categorisation'!$D$4,'5_categorisation'!$F$4,E2='5_categorisation'!$D$5,'5_categorisation'!$F$5,E2='5_categorisation'!$D$6,'5_categorisation'!$F$6,E2='5_categorisation'!$D$7,'5_categorisation'!$F$7,E2='5_categorisation'!$D$8,'5_categorisation'!$F$8,E2='5_categorisation'!$D$9,'5_categorisation'!$F$9,E2='5_categorisation'!$D$10,'5_categorisation'!$F$10,E2='5_categorisation'!$D$11,'5_categorisation'!$F$11,E2='5_categorisation'!$D$12,'5_categorisation'!$F$12,E2='5_categorisation'!$D$13,'5_categorisation'!$F$13,E2='5_categorisation'!$D$14,'5_categorisation'!$F$14,E2='5_categorisation'!$D$15,'5_categorisation'!$F$15,E2='5_categorisation'!$D$16,'5_categorisation'!$F$16,E2='5_categorisation'!$D$17,'5_categorisation'!$F$17,E2='5_categorisation'!$D$18,'5_categorisation'!$F$18,E2='5_categorisation'!$D$19,'5_categorisation'!$F$19,E2='5_categorisation'!$D$20,'5_categorisation'!$F$20,E2='5_categorisation'!$D$21,'5_categorisation'!$F$21,E2='5_categorisation'!$D$22,'5_categorisation'!$F$22)</f>
        <v>gauche</v>
      </c>
      <c r="G2" s="14" t="s">
        <v>75</v>
      </c>
      <c r="H2" s="14" t="s">
        <v>76</v>
      </c>
      <c r="I2" s="14" t="s">
        <v>754</v>
      </c>
      <c r="J2" s="14" t="str">
        <f>IFERROR(__xludf.DUMMYFUNCTION("FILTER(candidats!M:M,candidats!P:P=I2)"),"F")</f>
        <v>F</v>
      </c>
      <c r="K2" s="14">
        <v>119091.0</v>
      </c>
    </row>
    <row r="3">
      <c r="A3" s="13" t="s">
        <v>73</v>
      </c>
      <c r="B3" s="13" t="str">
        <f>IFERROR(__xludf.DUMMYFUNCTION("FILTER('5_categorisation'!C:C,'5_categorisation'!A:A=A3)"),"Grand Est")</f>
        <v>Grand Est</v>
      </c>
      <c r="C3" s="13" t="str">
        <f>IFS(A3='5_categorisation'!$A$2,'5_categorisation'!$B$2,A3='5_categorisation'!$A$3,'5_categorisation'!$B$3,A3='5_categorisation'!$A$4,'5_categorisation'!$B$4,A3='5_categorisation'!$A$5,'5_categorisation'!$B$5,A3='5_categorisation'!$A$6,'5_categorisation'!$B$6,A3='5_categorisation'!$A$7,'5_categorisation'!$B$7,A3='5_categorisation'!$A$8,'5_categorisation'!$B$8,A3='5_categorisation'!$A$9,'5_categorisation'!$B$9,A3='5_categorisation'!$A11,'5_categorisation'!$B$10,A3='5_categorisation'!$A$12,'5_categorisation'!$B$12,A3='5_categorisation'!$A$12,'5_categorisation'!$B$12,A3='5_categorisation'!$A$13,'5_categorisation'!$B$13,A3='5_categorisation'!$A$14,'5_categorisation'!$B$14,A3='5_categorisation'!$A$15,'5_categorisation'!$B$15,A3='5_categorisation'!$A$16,'5_categorisation'!$B$16,A3='5_categorisation'!$A$17,'5_categorisation'!$B$17,A3='5_categorisation'!$A$11,'5_categorisation'!$B$11)</f>
        <v>est</v>
      </c>
      <c r="D3" s="14">
        <v>2.0</v>
      </c>
      <c r="E3" s="14" t="s">
        <v>5</v>
      </c>
      <c r="F3" s="14" t="str">
        <f>ifs(E3='5_categorisation'!$D$2,'5_categorisation'!$F$2,E3='5_categorisation'!$D$3,'5_categorisation'!$F$3,E3='5_categorisation'!$D$4,'5_categorisation'!$F$4,E3='5_categorisation'!$D$5,'5_categorisation'!$F$5,E3='5_categorisation'!$D$6,'5_categorisation'!$F$6,E3='5_categorisation'!$D$7,'5_categorisation'!$F$7,E3='5_categorisation'!$D$8,'5_categorisation'!$F$8,E3='5_categorisation'!$D$9,'5_categorisation'!$F$9,E3='5_categorisation'!$D$10,'5_categorisation'!$F$10,E3='5_categorisation'!$D$11,'5_categorisation'!$F$11,E3='5_categorisation'!$D$12,'5_categorisation'!$F$12,E3='5_categorisation'!$D$13,'5_categorisation'!$F$13,E3='5_categorisation'!$D$14,'5_categorisation'!$F$14,E3='5_categorisation'!$D$15,'5_categorisation'!$F$15,E3='5_categorisation'!$D$16,'5_categorisation'!$F$16,E3='5_categorisation'!$D$17,'5_categorisation'!$F$17,E3='5_categorisation'!$D$18,'5_categorisation'!$F$18,E3='5_categorisation'!$D$19,'5_categorisation'!$F$19,E3='5_categorisation'!$D$20,'5_categorisation'!$F$20,E3='5_categorisation'!$D$21,'5_categorisation'!$F$21,E3='5_categorisation'!$D$22,'5_categorisation'!$F$22)</f>
        <v>gauche</v>
      </c>
      <c r="G3" s="14" t="s">
        <v>5</v>
      </c>
      <c r="H3" s="14" t="s">
        <v>84</v>
      </c>
      <c r="I3" s="14" t="s">
        <v>755</v>
      </c>
      <c r="J3" s="14" t="str">
        <f>IFERROR(__xludf.DUMMYFUNCTION("FILTER(candidats!M:M,candidats!P:P=I3)"),"M")</f>
        <v>M</v>
      </c>
      <c r="K3" s="14"/>
    </row>
    <row r="4">
      <c r="A4" s="13" t="s">
        <v>73</v>
      </c>
      <c r="B4" s="13" t="str">
        <f>IFERROR(__xludf.DUMMYFUNCTION("FILTER('5_categorisation'!C:C,'5_categorisation'!A:A=A4)"),"Grand Est")</f>
        <v>Grand Est</v>
      </c>
      <c r="C4" s="13" t="str">
        <f>IFS(A4='5_categorisation'!$A$2,'5_categorisation'!$B$2,A4='5_categorisation'!$A$3,'5_categorisation'!$B$3,A4='5_categorisation'!$A$4,'5_categorisation'!$B$4,A4='5_categorisation'!$A$5,'5_categorisation'!$B$5,A4='5_categorisation'!$A$6,'5_categorisation'!$B$6,A4='5_categorisation'!$A$7,'5_categorisation'!$B$7,A4='5_categorisation'!$A$8,'5_categorisation'!$B$8,A4='5_categorisation'!$A$9,'5_categorisation'!$B$9,A4='5_categorisation'!$A12,'5_categorisation'!$B$10,A4='5_categorisation'!$A$12,'5_categorisation'!$B$12,A4='5_categorisation'!$A$12,'5_categorisation'!$B$12,A4='5_categorisation'!$A$13,'5_categorisation'!$B$13,A4='5_categorisation'!$A$14,'5_categorisation'!$B$14,A4='5_categorisation'!$A$15,'5_categorisation'!$B$15,A4='5_categorisation'!$A$16,'5_categorisation'!$B$16,A4='5_categorisation'!$A$17,'5_categorisation'!$B$17,A4='5_categorisation'!$A$11,'5_categorisation'!$B$11)</f>
        <v>est</v>
      </c>
      <c r="D4" s="14">
        <v>3.0</v>
      </c>
      <c r="E4" s="14" t="s">
        <v>39</v>
      </c>
      <c r="F4" s="14" t="str">
        <f>ifs(E4='5_categorisation'!$D$2,'5_categorisation'!$F$2,E4='5_categorisation'!$D$3,'5_categorisation'!$F$3,E4='5_categorisation'!$D$4,'5_categorisation'!$F$4,E4='5_categorisation'!$D$5,'5_categorisation'!$F$5,E4='5_categorisation'!$D$6,'5_categorisation'!$F$6,E4='5_categorisation'!$D$7,'5_categorisation'!$F$7,E4='5_categorisation'!$D$8,'5_categorisation'!$F$8,E4='5_categorisation'!$D$9,'5_categorisation'!$F$9,E4='5_categorisation'!$D$10,'5_categorisation'!$F$10,E4='5_categorisation'!$D$11,'5_categorisation'!$F$11,E4='5_categorisation'!$D$12,'5_categorisation'!$F$12,E4='5_categorisation'!$D$13,'5_categorisation'!$F$13,E4='5_categorisation'!$D$14,'5_categorisation'!$F$14,E4='5_categorisation'!$D$15,'5_categorisation'!$F$15,E4='5_categorisation'!$D$16,'5_categorisation'!$F$16,E4='5_categorisation'!$D$17,'5_categorisation'!$F$17,E4='5_categorisation'!$D$18,'5_categorisation'!$F$18,E4='5_categorisation'!$D$19,'5_categorisation'!$F$19,E4='5_categorisation'!$D$20,'5_categorisation'!$F$20,E4='5_categorisation'!$D$21,'5_categorisation'!$F$21,E4='5_categorisation'!$D$22,'5_categorisation'!$F$22)</f>
        <v>droite</v>
      </c>
      <c r="G4" s="14" t="s">
        <v>90</v>
      </c>
      <c r="H4" s="14" t="s">
        <v>91</v>
      </c>
      <c r="I4" s="14" t="s">
        <v>756</v>
      </c>
      <c r="J4" s="14" t="str">
        <f>IFERROR(__xludf.DUMMYFUNCTION("FILTER(candidats!M:M,candidats!P:P=I4)"),"M")</f>
        <v>M</v>
      </c>
      <c r="K4" s="14">
        <v>84886.0</v>
      </c>
    </row>
    <row r="5">
      <c r="A5" s="13" t="s">
        <v>73</v>
      </c>
      <c r="B5" s="13" t="str">
        <f>IFERROR(__xludf.DUMMYFUNCTION("FILTER('5_categorisation'!C:C,'5_categorisation'!A:A=A5)"),"Grand Est")</f>
        <v>Grand Est</v>
      </c>
      <c r="C5" s="13" t="str">
        <f>IFS(A5='5_categorisation'!$A$2,'5_categorisation'!$B$2,A5='5_categorisation'!$A$3,'5_categorisation'!$B$3,A5='5_categorisation'!$A$4,'5_categorisation'!$B$4,A5='5_categorisation'!$A$5,'5_categorisation'!$B$5,A5='5_categorisation'!$A$6,'5_categorisation'!$B$6,A5='5_categorisation'!$A$7,'5_categorisation'!$B$7,A5='5_categorisation'!$A$8,'5_categorisation'!$B$8,A5='5_categorisation'!$A$9,'5_categorisation'!$B$9,A5='5_categorisation'!$A13,'5_categorisation'!$B$10,A5='5_categorisation'!$A$12,'5_categorisation'!$B$12,A5='5_categorisation'!$A$12,'5_categorisation'!$B$12,A5='5_categorisation'!$A$13,'5_categorisation'!$B$13,A5='5_categorisation'!$A$14,'5_categorisation'!$B$14,A5='5_categorisation'!$A$15,'5_categorisation'!$B$15,A5='5_categorisation'!$A$16,'5_categorisation'!$B$16,A5='5_categorisation'!$A$17,'5_categorisation'!$B$17,A5='5_categorisation'!$A$11,'5_categorisation'!$B$11)</f>
        <v>est</v>
      </c>
      <c r="D5" s="14">
        <v>4.0</v>
      </c>
      <c r="E5" s="14" t="s">
        <v>15</v>
      </c>
      <c r="F5" s="14" t="str">
        <f>ifs(E5='5_categorisation'!$D$2,'5_categorisation'!$F$2,E5='5_categorisation'!$D$3,'5_categorisation'!$F$3,E5='5_categorisation'!$D$4,'5_categorisation'!$F$4,E5='5_categorisation'!$D$5,'5_categorisation'!$F$5,E5='5_categorisation'!$D$6,'5_categorisation'!$F$6,E5='5_categorisation'!$D$7,'5_categorisation'!$F$7,E5='5_categorisation'!$D$8,'5_categorisation'!$F$8,E5='5_categorisation'!$D$9,'5_categorisation'!$F$9,E5='5_categorisation'!$D$10,'5_categorisation'!$F$10,E5='5_categorisation'!$D$11,'5_categorisation'!$F$11,E5='5_categorisation'!$D$12,'5_categorisation'!$F$12,E5='5_categorisation'!$D$13,'5_categorisation'!$F$13,E5='5_categorisation'!$D$14,'5_categorisation'!$F$14,E5='5_categorisation'!$D$15,'5_categorisation'!$F$15,E5='5_categorisation'!$D$16,'5_categorisation'!$F$16,E5='5_categorisation'!$D$17,'5_categorisation'!$F$17,E5='5_categorisation'!$D$18,'5_categorisation'!$F$18,E5='5_categorisation'!$D$19,'5_categorisation'!$F$19,E5='5_categorisation'!$D$20,'5_categorisation'!$F$20,E5='5_categorisation'!$D$21,'5_categorisation'!$F$21,E5='5_categorisation'!$D$22,'5_categorisation'!$F$22)</f>
        <v>gauche</v>
      </c>
      <c r="G5" s="14" t="s">
        <v>94</v>
      </c>
      <c r="H5" s="14" t="s">
        <v>95</v>
      </c>
      <c r="I5" s="14" t="s">
        <v>757</v>
      </c>
      <c r="J5" s="14" t="str">
        <f>IFERROR(__xludf.DUMMYFUNCTION("FILTER(candidats!M:M,candidats!P:P=I5)"),"M")</f>
        <v>M</v>
      </c>
      <c r="K5" s="14">
        <v>286390.0</v>
      </c>
    </row>
    <row r="6">
      <c r="A6" s="13" t="s">
        <v>73</v>
      </c>
      <c r="B6" s="13" t="str">
        <f>IFERROR(__xludf.DUMMYFUNCTION("FILTER('5_categorisation'!C:C,'5_categorisation'!A:A=A6)"),"Grand Est")</f>
        <v>Grand Est</v>
      </c>
      <c r="C6" s="13" t="str">
        <f>IFS(A6='5_categorisation'!$A$2,'5_categorisation'!$B$2,A6='5_categorisation'!$A$3,'5_categorisation'!$B$3,A6='5_categorisation'!$A$4,'5_categorisation'!$B$4,A6='5_categorisation'!$A$5,'5_categorisation'!$B$5,A6='5_categorisation'!$A$6,'5_categorisation'!$B$6,A6='5_categorisation'!$A$7,'5_categorisation'!$B$7,A6='5_categorisation'!$A$8,'5_categorisation'!$B$8,A6='5_categorisation'!$A$9,'5_categorisation'!$B$9,A6='5_categorisation'!$A14,'5_categorisation'!$B$10,A6='5_categorisation'!$A$12,'5_categorisation'!$B$12,A6='5_categorisation'!$A$12,'5_categorisation'!$B$12,A6='5_categorisation'!$A$13,'5_categorisation'!$B$13,A6='5_categorisation'!$A$14,'5_categorisation'!$B$14,A6='5_categorisation'!$A$15,'5_categorisation'!$B$15,A6='5_categorisation'!$A$16,'5_categorisation'!$B$16,A6='5_categorisation'!$A$17,'5_categorisation'!$B$17,A6='5_categorisation'!$A$11,'5_categorisation'!$B$11)</f>
        <v>est</v>
      </c>
      <c r="D6" s="14">
        <v>5.0</v>
      </c>
      <c r="E6" s="14" t="s">
        <v>43</v>
      </c>
      <c r="F6" s="14" t="str">
        <f>ifs(E6='5_categorisation'!$D$2,'5_categorisation'!$F$2,E6='5_categorisation'!$D$3,'5_categorisation'!$F$3,E6='5_categorisation'!$D$4,'5_categorisation'!$F$4,E6='5_categorisation'!$D$5,'5_categorisation'!$F$5,E6='5_categorisation'!$D$6,'5_categorisation'!$F$6,E6='5_categorisation'!$D$7,'5_categorisation'!$F$7,E6='5_categorisation'!$D$8,'5_categorisation'!$F$8,E6='5_categorisation'!$D$9,'5_categorisation'!$F$9,E6='5_categorisation'!$D$10,'5_categorisation'!$F$10,E6='5_categorisation'!$D$11,'5_categorisation'!$F$11,E6='5_categorisation'!$D$12,'5_categorisation'!$F$12,E6='5_categorisation'!$D$13,'5_categorisation'!$F$13,E6='5_categorisation'!$D$14,'5_categorisation'!$F$14,E6='5_categorisation'!$D$15,'5_categorisation'!$F$15,E6='5_categorisation'!$D$16,'5_categorisation'!$F$16,E6='5_categorisation'!$D$17,'5_categorisation'!$F$17,E6='5_categorisation'!$D$18,'5_categorisation'!$F$18,E6='5_categorisation'!$D$19,'5_categorisation'!$F$19,E6='5_categorisation'!$D$20,'5_categorisation'!$F$20,E6='5_categorisation'!$D$21,'5_categorisation'!$F$21,E6='5_categorisation'!$D$22,'5_categorisation'!$F$22)</f>
        <v>droite</v>
      </c>
      <c r="G6" s="14" t="s">
        <v>101</v>
      </c>
      <c r="H6" s="14" t="s">
        <v>102</v>
      </c>
      <c r="I6" s="14" t="s">
        <v>758</v>
      </c>
      <c r="J6" s="14" t="str">
        <f>IFERROR(__xludf.DUMMYFUNCTION("FILTER(candidats!M:M,candidats!P:P=I6)"),"M")</f>
        <v>M</v>
      </c>
      <c r="K6" s="14">
        <v>641234.0</v>
      </c>
    </row>
    <row r="7">
      <c r="A7" s="13" t="s">
        <v>73</v>
      </c>
      <c r="B7" s="13" t="str">
        <f>IFERROR(__xludf.DUMMYFUNCTION("FILTER('5_categorisation'!C:C,'5_categorisation'!A:A=A7)"),"Grand Est")</f>
        <v>Grand Est</v>
      </c>
      <c r="C7" s="13" t="str">
        <f>IFS(A7='5_categorisation'!$A$2,'5_categorisation'!$B$2,A7='5_categorisation'!$A$3,'5_categorisation'!$B$3,A7='5_categorisation'!$A$4,'5_categorisation'!$B$4,A7='5_categorisation'!$A$5,'5_categorisation'!$B$5,A7='5_categorisation'!$A$6,'5_categorisation'!$B$6,A7='5_categorisation'!$A$7,'5_categorisation'!$B$7,A7='5_categorisation'!$A$8,'5_categorisation'!$B$8,A7='5_categorisation'!$A$9,'5_categorisation'!$B$9,A7='5_categorisation'!$A15,'5_categorisation'!$B$10,A7='5_categorisation'!$A$12,'5_categorisation'!$B$12,A7='5_categorisation'!$A$12,'5_categorisation'!$B$12,A7='5_categorisation'!$A$13,'5_categorisation'!$B$13,A7='5_categorisation'!$A$14,'5_categorisation'!$B$14,A7='5_categorisation'!$A$15,'5_categorisation'!$B$15,A7='5_categorisation'!$A$16,'5_categorisation'!$B$16,A7='5_categorisation'!$A$17,'5_categorisation'!$B$17,A7='5_categorisation'!$A$11,'5_categorisation'!$B$11)</f>
        <v>est</v>
      </c>
      <c r="D7" s="14">
        <v>6.0</v>
      </c>
      <c r="E7" s="14" t="s">
        <v>25</v>
      </c>
      <c r="F7" s="14" t="str">
        <f>ifs(E7='5_categorisation'!$D$2,'5_categorisation'!$F$2,E7='5_categorisation'!$D$3,'5_categorisation'!$F$3,E7='5_categorisation'!$D$4,'5_categorisation'!$F$4,E7='5_categorisation'!$D$5,'5_categorisation'!$F$5,E7='5_categorisation'!$D$6,'5_categorisation'!$F$6,E7='5_categorisation'!$D$7,'5_categorisation'!$F$7,E7='5_categorisation'!$D$8,'5_categorisation'!$F$8,E7='5_categorisation'!$D$9,'5_categorisation'!$F$9,E7='5_categorisation'!$D$10,'5_categorisation'!$F$10,E7='5_categorisation'!$D$11,'5_categorisation'!$F$11,E7='5_categorisation'!$D$12,'5_categorisation'!$F$12,E7='5_categorisation'!$D$13,'5_categorisation'!$F$13,E7='5_categorisation'!$D$14,'5_categorisation'!$F$14,E7='5_categorisation'!$D$15,'5_categorisation'!$F$15,E7='5_categorisation'!$D$16,'5_categorisation'!$F$16,E7='5_categorisation'!$D$17,'5_categorisation'!$F$17,E7='5_categorisation'!$D$18,'5_categorisation'!$F$18,E7='5_categorisation'!$D$19,'5_categorisation'!$F$19,E7='5_categorisation'!$D$20,'5_categorisation'!$F$20,E7='5_categorisation'!$D$21,'5_categorisation'!$F$21,E7='5_categorisation'!$D$22,'5_categorisation'!$F$22)</f>
        <v>autre</v>
      </c>
      <c r="G7" s="14" t="s">
        <v>107</v>
      </c>
      <c r="H7" s="14" t="s">
        <v>108</v>
      </c>
      <c r="I7" s="14" t="s">
        <v>759</v>
      </c>
      <c r="J7" s="14" t="str">
        <f>IFERROR(__xludf.DUMMYFUNCTION("FILTER(candidats!M:M,candidats!P:P=I7)"),"M")</f>
        <v>M</v>
      </c>
      <c r="K7" s="14">
        <v>19171.0</v>
      </c>
    </row>
    <row r="8">
      <c r="A8" s="13" t="s">
        <v>73</v>
      </c>
      <c r="B8" s="13" t="str">
        <f>IFERROR(__xludf.DUMMYFUNCTION("FILTER('5_categorisation'!C:C,'5_categorisation'!A:A=A8)"),"Grand Est")</f>
        <v>Grand Est</v>
      </c>
      <c r="C8" s="13" t="str">
        <f>IFS(A8='5_categorisation'!$A$2,'5_categorisation'!$B$2,A8='5_categorisation'!$A$3,'5_categorisation'!$B$3,A8='5_categorisation'!$A$4,'5_categorisation'!$B$4,A8='5_categorisation'!$A$5,'5_categorisation'!$B$5,A8='5_categorisation'!$A$6,'5_categorisation'!$B$6,A8='5_categorisation'!$A$7,'5_categorisation'!$B$7,A8='5_categorisation'!$A$8,'5_categorisation'!$B$8,A8='5_categorisation'!$A$9,'5_categorisation'!$B$9,A8='5_categorisation'!$A16,'5_categorisation'!$B$10,A8='5_categorisation'!$A$12,'5_categorisation'!$B$12,A8='5_categorisation'!$A$12,'5_categorisation'!$B$12,A8='5_categorisation'!$A$13,'5_categorisation'!$B$13,A8='5_categorisation'!$A$14,'5_categorisation'!$B$14,A8='5_categorisation'!$A$15,'5_categorisation'!$B$15,A8='5_categorisation'!$A$16,'5_categorisation'!$B$16,A8='5_categorisation'!$A$17,'5_categorisation'!$B$17,A8='5_categorisation'!$A$11,'5_categorisation'!$B$11)</f>
        <v>est</v>
      </c>
      <c r="D8" s="15">
        <v>7.0</v>
      </c>
      <c r="E8" s="15" t="s">
        <v>3</v>
      </c>
      <c r="F8" s="14" t="str">
        <f>ifs(E8='5_categorisation'!$D$2,'5_categorisation'!$F$2,E8='5_categorisation'!$D$3,'5_categorisation'!$F$3,E8='5_categorisation'!$D$4,'5_categorisation'!$F$4,E8='5_categorisation'!$D$5,'5_categorisation'!$F$5,E8='5_categorisation'!$D$6,'5_categorisation'!$F$6,E8='5_categorisation'!$D$7,'5_categorisation'!$F$7,E8='5_categorisation'!$D$8,'5_categorisation'!$F$8,E8='5_categorisation'!$D$9,'5_categorisation'!$F$9,E8='5_categorisation'!$D$10,'5_categorisation'!$F$10,E8='5_categorisation'!$D$11,'5_categorisation'!$F$11,E8='5_categorisation'!$D$12,'5_categorisation'!$F$12,E8='5_categorisation'!$D$13,'5_categorisation'!$F$13,E8='5_categorisation'!$D$14,'5_categorisation'!$F$14,E8='5_categorisation'!$D$15,'5_categorisation'!$F$15,E8='5_categorisation'!$D$16,'5_categorisation'!$F$16,E8='5_categorisation'!$D$17,'5_categorisation'!$F$17,E8='5_categorisation'!$D$18,'5_categorisation'!$F$18,E8='5_categorisation'!$D$19,'5_categorisation'!$F$19,E8='5_categorisation'!$D$20,'5_categorisation'!$F$20,E8='5_categorisation'!$D$21,'5_categorisation'!$F$21,E8='5_categorisation'!$D$22,'5_categorisation'!$F$22)</f>
        <v>gauche</v>
      </c>
      <c r="G8" s="15" t="s">
        <v>113</v>
      </c>
      <c r="H8" s="15" t="s">
        <v>114</v>
      </c>
      <c r="I8" s="15" t="s">
        <v>760</v>
      </c>
      <c r="J8" s="14" t="str">
        <f>IFERROR(__xludf.DUMMYFUNCTION("FILTER(candidats!M:M,candidats!P:P=I8)"),"M")</f>
        <v>M</v>
      </c>
      <c r="K8" s="15">
        <v>26347.0</v>
      </c>
    </row>
    <row r="9">
      <c r="A9" s="13" t="s">
        <v>73</v>
      </c>
      <c r="B9" s="13" t="str">
        <f>IFERROR(__xludf.DUMMYFUNCTION("FILTER('5_categorisation'!C:C,'5_categorisation'!A:A=A9)"),"Grand Est")</f>
        <v>Grand Est</v>
      </c>
      <c r="C9" s="13" t="str">
        <f>IFS(A9='5_categorisation'!$A$2,'5_categorisation'!$B$2,A9='5_categorisation'!$A$3,'5_categorisation'!$B$3,A9='5_categorisation'!$A$4,'5_categorisation'!$B$4,A9='5_categorisation'!$A$5,'5_categorisation'!$B$5,A9='5_categorisation'!$A$6,'5_categorisation'!$B$6,A9='5_categorisation'!$A$7,'5_categorisation'!$B$7,A9='5_categorisation'!$A$8,'5_categorisation'!$B$8,A9='5_categorisation'!$A$9,'5_categorisation'!$B$9,A9='5_categorisation'!$A17,'5_categorisation'!$B$10,A9='5_categorisation'!$A$12,'5_categorisation'!$B$12,A9='5_categorisation'!$A$12,'5_categorisation'!$B$12,A9='5_categorisation'!$A$13,'5_categorisation'!$B$13,A9='5_categorisation'!$A$14,'5_categorisation'!$B$14,A9='5_categorisation'!$A$15,'5_categorisation'!$B$15,A9='5_categorisation'!$A$16,'5_categorisation'!$B$16,A9='5_categorisation'!$A$17,'5_categorisation'!$B$17,A9='5_categorisation'!$A$11,'5_categorisation'!$B$11)</f>
        <v>est</v>
      </c>
      <c r="D9" s="15">
        <v>8.0</v>
      </c>
      <c r="E9" s="15" t="s">
        <v>28</v>
      </c>
      <c r="F9" s="14" t="str">
        <f>ifs(E9='5_categorisation'!$D$2,'5_categorisation'!$F$2,E9='5_categorisation'!$D$3,'5_categorisation'!$F$3,E9='5_categorisation'!$D$4,'5_categorisation'!$F$4,E9='5_categorisation'!$D$5,'5_categorisation'!$F$5,E9='5_categorisation'!$D$6,'5_categorisation'!$F$6,E9='5_categorisation'!$D$7,'5_categorisation'!$F$7,E9='5_categorisation'!$D$8,'5_categorisation'!$F$8,E9='5_categorisation'!$D$9,'5_categorisation'!$F$9,E9='5_categorisation'!$D$10,'5_categorisation'!$F$10,E9='5_categorisation'!$D$11,'5_categorisation'!$F$11,E9='5_categorisation'!$D$12,'5_categorisation'!$F$12,E9='5_categorisation'!$D$13,'5_categorisation'!$F$13,E9='5_categorisation'!$D$14,'5_categorisation'!$F$14,E9='5_categorisation'!$D$15,'5_categorisation'!$F$15,E9='5_categorisation'!$D$16,'5_categorisation'!$F$16,E9='5_categorisation'!$D$17,'5_categorisation'!$F$17,E9='5_categorisation'!$D$18,'5_categorisation'!$F$18,E9='5_categorisation'!$D$19,'5_categorisation'!$F$19,E9='5_categorisation'!$D$20,'5_categorisation'!$F$20,E9='5_categorisation'!$D$21,'5_categorisation'!$F$21,E9='5_categorisation'!$D$22,'5_categorisation'!$F$22)</f>
        <v>autre</v>
      </c>
      <c r="G9" s="15" t="s">
        <v>118</v>
      </c>
      <c r="H9" s="15" t="s">
        <v>119</v>
      </c>
      <c r="I9" s="15" t="s">
        <v>761</v>
      </c>
      <c r="J9" s="14" t="str">
        <f>IFERROR(__xludf.DUMMYFUNCTION("FILTER(candidats!M:M,candidats!P:P=I9)"),"M")</f>
        <v>M</v>
      </c>
      <c r="K9" s="15">
        <v>84147.0</v>
      </c>
    </row>
    <row r="10">
      <c r="A10" s="13" t="s">
        <v>73</v>
      </c>
      <c r="B10" s="13" t="str">
        <f>IFERROR(__xludf.DUMMYFUNCTION("FILTER('5_categorisation'!C:C,'5_categorisation'!A:A=A10)"),"Grand Est")</f>
        <v>Grand Est</v>
      </c>
      <c r="C10" s="13" t="str">
        <f>IFS(A10='5_categorisation'!$A$2,'5_categorisation'!$B$2,A10='5_categorisation'!$A$3,'5_categorisation'!$B$3,A10='5_categorisation'!$A$4,'5_categorisation'!$B$4,A10='5_categorisation'!$A$5,'5_categorisation'!$B$5,A10='5_categorisation'!$A$6,'5_categorisation'!$B$6,A10='5_categorisation'!$A$7,'5_categorisation'!$B$7,A10='5_categorisation'!$A$8,'5_categorisation'!$B$8,A10='5_categorisation'!$A$9,'5_categorisation'!$B$9,A10='5_categorisation'!$A18,'5_categorisation'!$B$10,A10='5_categorisation'!$A$12,'5_categorisation'!$B$12,A10='5_categorisation'!$A$12,'5_categorisation'!$B$12,A10='5_categorisation'!$A$13,'5_categorisation'!$B$13,A10='5_categorisation'!$A$14,'5_categorisation'!$B$14,A10='5_categorisation'!$A$15,'5_categorisation'!$B$15,A10='5_categorisation'!$A$16,'5_categorisation'!$B$16,A10='5_categorisation'!$A$17,'5_categorisation'!$B$17,A10='5_categorisation'!$A$11,'5_categorisation'!$B$11)</f>
        <v>est</v>
      </c>
      <c r="D10" s="14">
        <v>9.0</v>
      </c>
      <c r="E10" s="14" t="s">
        <v>37</v>
      </c>
      <c r="F10" s="14" t="str">
        <f>ifs(E10='5_categorisation'!$D$2,'5_categorisation'!$F$2,E10='5_categorisation'!$D$3,'5_categorisation'!$F$3,E10='5_categorisation'!$D$4,'5_categorisation'!$F$4,E10='5_categorisation'!$D$5,'5_categorisation'!$F$5,E10='5_categorisation'!$D$6,'5_categorisation'!$F$6,E10='5_categorisation'!$D$7,'5_categorisation'!$F$7,E10='5_categorisation'!$D$8,'5_categorisation'!$F$8,E10='5_categorisation'!$D$9,'5_categorisation'!$F$9,E10='5_categorisation'!$D$10,'5_categorisation'!$F$10,E10='5_categorisation'!$D$11,'5_categorisation'!$F$11,E10='5_categorisation'!$D$12,'5_categorisation'!$F$12,E10='5_categorisation'!$D$13,'5_categorisation'!$F$13,E10='5_categorisation'!$D$14,'5_categorisation'!$F$14,E10='5_categorisation'!$D$15,'5_categorisation'!$F$15,E10='5_categorisation'!$D$16,'5_categorisation'!$F$16,E10='5_categorisation'!$D$17,'5_categorisation'!$F$17,E10='5_categorisation'!$D$18,'5_categorisation'!$F$18,E10='5_categorisation'!$D$19,'5_categorisation'!$F$19,E10='5_categorisation'!$D$20,'5_categorisation'!$F$20,E10='5_categorisation'!$D$21,'5_categorisation'!$F$21,E10='5_categorisation'!$D$22,'5_categorisation'!$F$22)</f>
        <v>droite</v>
      </c>
      <c r="G10" s="14" t="s">
        <v>35</v>
      </c>
      <c r="H10" s="14" t="s">
        <v>123</v>
      </c>
      <c r="I10" s="14" t="s">
        <v>762</v>
      </c>
      <c r="J10" s="14" t="str">
        <f>IFERROR(__xludf.DUMMYFUNCTION("FILTER(candidats!M:M,candidats!P:P=I10)"),"M")</f>
        <v>M</v>
      </c>
      <c r="K10" s="14">
        <v>459212.0</v>
      </c>
    </row>
    <row r="11">
      <c r="A11" s="13" t="s">
        <v>128</v>
      </c>
      <c r="B11" s="13" t="str">
        <f>IFERROR(__xludf.DUMMYFUNCTION("FILTER('5_categorisation'!C:C,'5_categorisation'!A:A=A11)"),"Nouvelle-Aquitaine")</f>
        <v>Nouvelle-Aquitaine</v>
      </c>
      <c r="C11" s="13" t="str">
        <f>IFS(A11='5_categorisation'!$A$2,'5_categorisation'!$B$2,A11='5_categorisation'!$A$3,'5_categorisation'!$B$3,A11='5_categorisation'!$A$4,'5_categorisation'!$B$4,A11='5_categorisation'!$A$5,'5_categorisation'!$B$5,A11='5_categorisation'!$A$6,'5_categorisation'!$B$6,A11='5_categorisation'!$A$7,'5_categorisation'!$B$7,A11='5_categorisation'!$A$8,'5_categorisation'!$B$8,A11='5_categorisation'!$A$9,'5_categorisation'!$B$9,A11='5_categorisation'!$A19,'5_categorisation'!$B$10,A11='5_categorisation'!$A$12,'5_categorisation'!$B$12,A11='5_categorisation'!$A$12,'5_categorisation'!$B$12,A11='5_categorisation'!$A$13,'5_categorisation'!$B$13,A11='5_categorisation'!$A$14,'5_categorisation'!$B$14,A11='5_categorisation'!$A$15,'5_categorisation'!$B$15,A11='5_categorisation'!$A$16,'5_categorisation'!$B$16,A11='5_categorisation'!$A$17,'5_categorisation'!$B$17,A11='5_categorisation'!$A$11,'5_categorisation'!$B$11)</f>
        <v>ouest</v>
      </c>
      <c r="D11" s="14">
        <v>1.0</v>
      </c>
      <c r="E11" s="14" t="s">
        <v>19</v>
      </c>
      <c r="F11" s="14" t="str">
        <f>ifs(E11='5_categorisation'!$D$2,'5_categorisation'!$F$2,E11='5_categorisation'!$D$3,'5_categorisation'!$F$3,E11='5_categorisation'!$D$4,'5_categorisation'!$F$4,E11='5_categorisation'!$D$5,'5_categorisation'!$F$5,E11='5_categorisation'!$D$6,'5_categorisation'!$F$6,E11='5_categorisation'!$D$7,'5_categorisation'!$F$7,E11='5_categorisation'!$D$8,'5_categorisation'!$F$8,E11='5_categorisation'!$D$9,'5_categorisation'!$F$9,E11='5_categorisation'!$D$10,'5_categorisation'!$F$10,E11='5_categorisation'!$D$11,'5_categorisation'!$F$11,E11='5_categorisation'!$D$12,'5_categorisation'!$F$12,E11='5_categorisation'!$D$13,'5_categorisation'!$F$13,E11='5_categorisation'!$D$14,'5_categorisation'!$F$14,E11='5_categorisation'!$D$15,'5_categorisation'!$F$15,E11='5_categorisation'!$D$16,'5_categorisation'!$F$16,E11='5_categorisation'!$D$17,'5_categorisation'!$F$17,E11='5_categorisation'!$D$18,'5_categorisation'!$F$18,E11='5_categorisation'!$D$19,'5_categorisation'!$F$19,E11='5_categorisation'!$D$20,'5_categorisation'!$F$20,E11='5_categorisation'!$D$21,'5_categorisation'!$F$21,E11='5_categorisation'!$D$22,'5_categorisation'!$F$22)</f>
        <v>gauche</v>
      </c>
      <c r="G11" s="14" t="s">
        <v>130</v>
      </c>
      <c r="H11" s="14" t="s">
        <v>131</v>
      </c>
      <c r="I11" s="14" t="s">
        <v>763</v>
      </c>
      <c r="J11" s="14" t="str">
        <f>IFERROR(__xludf.DUMMYFUNCTION("FILTER(candidats!M:M,candidats!P:P=I11)"),"M")</f>
        <v>M</v>
      </c>
      <c r="K11" s="14">
        <v>24964.0</v>
      </c>
    </row>
    <row r="12">
      <c r="A12" s="13" t="s">
        <v>128</v>
      </c>
      <c r="B12" s="13" t="str">
        <f>IFERROR(__xludf.DUMMYFUNCTION("FILTER('5_categorisation'!C:C,'5_categorisation'!A:A=A12)"),"Nouvelle-Aquitaine")</f>
        <v>Nouvelle-Aquitaine</v>
      </c>
      <c r="C12" s="13" t="str">
        <f>IFS(A12='5_categorisation'!$A$2,'5_categorisation'!$B$2,A12='5_categorisation'!$A$3,'5_categorisation'!$B$3,A12='5_categorisation'!$A$4,'5_categorisation'!$B$4,A12='5_categorisation'!$A$5,'5_categorisation'!$B$5,A12='5_categorisation'!$A$6,'5_categorisation'!$B$6,A12='5_categorisation'!$A$7,'5_categorisation'!$B$7,A12='5_categorisation'!$A$8,'5_categorisation'!$B$8,A12='5_categorisation'!$A$9,'5_categorisation'!$B$9,A12='5_categorisation'!$A20,'5_categorisation'!$B$10,A12='5_categorisation'!$A$12,'5_categorisation'!$B$12,A12='5_categorisation'!$A$12,'5_categorisation'!$B$12,A12='5_categorisation'!$A$13,'5_categorisation'!$B$13,A12='5_categorisation'!$A$14,'5_categorisation'!$B$14,A12='5_categorisation'!$A$15,'5_categorisation'!$B$15,A12='5_categorisation'!$A$16,'5_categorisation'!$B$16,A12='5_categorisation'!$A$17,'5_categorisation'!$B$17,A12='5_categorisation'!$A$11,'5_categorisation'!$B$11)</f>
        <v>ouest</v>
      </c>
      <c r="D12" s="14">
        <v>2.0</v>
      </c>
      <c r="E12" s="14" t="s">
        <v>15</v>
      </c>
      <c r="F12" s="14" t="str">
        <f>ifs(E12='5_categorisation'!$D$2,'5_categorisation'!$F$2,E12='5_categorisation'!$D$3,'5_categorisation'!$F$3,E12='5_categorisation'!$D$4,'5_categorisation'!$F$4,E12='5_categorisation'!$D$5,'5_categorisation'!$F$5,E12='5_categorisation'!$D$6,'5_categorisation'!$F$6,E12='5_categorisation'!$D$7,'5_categorisation'!$F$7,E12='5_categorisation'!$D$8,'5_categorisation'!$F$8,E12='5_categorisation'!$D$9,'5_categorisation'!$F$9,E12='5_categorisation'!$D$10,'5_categorisation'!$F$10,E12='5_categorisation'!$D$11,'5_categorisation'!$F$11,E12='5_categorisation'!$D$12,'5_categorisation'!$F$12,E12='5_categorisation'!$D$13,'5_categorisation'!$F$13,E12='5_categorisation'!$D$14,'5_categorisation'!$F$14,E12='5_categorisation'!$D$15,'5_categorisation'!$F$15,E12='5_categorisation'!$D$16,'5_categorisation'!$F$16,E12='5_categorisation'!$D$17,'5_categorisation'!$F$17,E12='5_categorisation'!$D$18,'5_categorisation'!$F$18,E12='5_categorisation'!$D$19,'5_categorisation'!$F$19,E12='5_categorisation'!$D$20,'5_categorisation'!$F$20,E12='5_categorisation'!$D$21,'5_categorisation'!$F$21,E12='5_categorisation'!$D$22,'5_categorisation'!$F$22)</f>
        <v>gauche</v>
      </c>
      <c r="G12" s="14" t="s">
        <v>135</v>
      </c>
      <c r="H12" s="14" t="s">
        <v>136</v>
      </c>
      <c r="I12" s="14" t="s">
        <v>764</v>
      </c>
      <c r="J12" s="14" t="str">
        <f>IFERROR(__xludf.DUMMYFUNCTION("FILTER(candidats!M:M,candidats!P:P=I12)"),"M")</f>
        <v>M</v>
      </c>
      <c r="K12" s="14">
        <v>628667.0</v>
      </c>
    </row>
    <row r="13">
      <c r="A13" s="13" t="s">
        <v>128</v>
      </c>
      <c r="B13" s="13" t="str">
        <f>IFERROR(__xludf.DUMMYFUNCTION("FILTER('5_categorisation'!C:C,'5_categorisation'!A:A=A13)"),"Nouvelle-Aquitaine")</f>
        <v>Nouvelle-Aquitaine</v>
      </c>
      <c r="C13" s="13" t="str">
        <f>IFS(A13='5_categorisation'!$A$2,'5_categorisation'!$B$2,A13='5_categorisation'!$A$3,'5_categorisation'!$B$3,A13='5_categorisation'!$A$4,'5_categorisation'!$B$4,A13='5_categorisation'!$A$5,'5_categorisation'!$B$5,A13='5_categorisation'!$A$6,'5_categorisation'!$B$6,A13='5_categorisation'!$A$7,'5_categorisation'!$B$7,A13='5_categorisation'!$A$8,'5_categorisation'!$B$8,A13='5_categorisation'!$A$9,'5_categorisation'!$B$9,A13='5_categorisation'!$A21,'5_categorisation'!$B$10,A13='5_categorisation'!$A$12,'5_categorisation'!$B$12,A13='5_categorisation'!$A$12,'5_categorisation'!$B$12,A13='5_categorisation'!$A$13,'5_categorisation'!$B$13,A13='5_categorisation'!$A$14,'5_categorisation'!$B$14,A13='5_categorisation'!$A$15,'5_categorisation'!$B$15,A13='5_categorisation'!$A$16,'5_categorisation'!$B$16,A13='5_categorisation'!$A$17,'5_categorisation'!$B$17,A13='5_categorisation'!$A$11,'5_categorisation'!$B$11)</f>
        <v>ouest</v>
      </c>
      <c r="D13" s="14">
        <v>3.0</v>
      </c>
      <c r="E13" s="14" t="s">
        <v>37</v>
      </c>
      <c r="F13" s="14" t="str">
        <f>ifs(E13='5_categorisation'!$D$2,'5_categorisation'!$F$2,E13='5_categorisation'!$D$3,'5_categorisation'!$F$3,E13='5_categorisation'!$D$4,'5_categorisation'!$F$4,E13='5_categorisation'!$D$5,'5_categorisation'!$F$5,E13='5_categorisation'!$D$6,'5_categorisation'!$F$6,E13='5_categorisation'!$D$7,'5_categorisation'!$F$7,E13='5_categorisation'!$D$8,'5_categorisation'!$F$8,E13='5_categorisation'!$D$9,'5_categorisation'!$F$9,E13='5_categorisation'!$D$10,'5_categorisation'!$F$10,E13='5_categorisation'!$D$11,'5_categorisation'!$F$11,E13='5_categorisation'!$D$12,'5_categorisation'!$F$12,E13='5_categorisation'!$D$13,'5_categorisation'!$F$13,E13='5_categorisation'!$D$14,'5_categorisation'!$F$14,E13='5_categorisation'!$D$15,'5_categorisation'!$F$15,E13='5_categorisation'!$D$16,'5_categorisation'!$F$16,E13='5_categorisation'!$D$17,'5_categorisation'!$F$17,E13='5_categorisation'!$D$18,'5_categorisation'!$F$18,E13='5_categorisation'!$D$19,'5_categorisation'!$F$19,E13='5_categorisation'!$D$20,'5_categorisation'!$F$20,E13='5_categorisation'!$D$21,'5_categorisation'!$F$21,E13='5_categorisation'!$D$22,'5_categorisation'!$F$22)</f>
        <v>droite</v>
      </c>
      <c r="G13" s="14" t="s">
        <v>141</v>
      </c>
      <c r="H13" s="14" t="s">
        <v>142</v>
      </c>
      <c r="I13" s="14" t="s">
        <v>765</v>
      </c>
      <c r="J13" s="14" t="str">
        <f>IFERROR(__xludf.DUMMYFUNCTION("FILTER(candidats!M:M,candidats!P:P=I13)"),"F")</f>
        <v>F</v>
      </c>
      <c r="K13" s="14">
        <v>562500.0</v>
      </c>
    </row>
    <row r="14">
      <c r="A14" s="13" t="s">
        <v>128</v>
      </c>
      <c r="B14" s="13" t="str">
        <f>IFERROR(__xludf.DUMMYFUNCTION("FILTER('5_categorisation'!C:C,'5_categorisation'!A:A=A14)"),"Nouvelle-Aquitaine")</f>
        <v>Nouvelle-Aquitaine</v>
      </c>
      <c r="C14" s="13" t="str">
        <f>IFS(A14='5_categorisation'!$A$2,'5_categorisation'!$B$2,A14='5_categorisation'!$A$3,'5_categorisation'!$B$3,A14='5_categorisation'!$A$4,'5_categorisation'!$B$4,A14='5_categorisation'!$A$5,'5_categorisation'!$B$5,A14='5_categorisation'!$A$6,'5_categorisation'!$B$6,A14='5_categorisation'!$A$7,'5_categorisation'!$B$7,A14='5_categorisation'!$A$8,'5_categorisation'!$B$8,A14='5_categorisation'!$A$9,'5_categorisation'!$B$9,A14='5_categorisation'!$A22,'5_categorisation'!$B$10,A14='5_categorisation'!$A$12,'5_categorisation'!$B$12,A14='5_categorisation'!$A$12,'5_categorisation'!$B$12,A14='5_categorisation'!$A$13,'5_categorisation'!$B$13,A14='5_categorisation'!$A$14,'5_categorisation'!$B$14,A14='5_categorisation'!$A$15,'5_categorisation'!$B$15,A14='5_categorisation'!$A$16,'5_categorisation'!$B$16,A14='5_categorisation'!$A$17,'5_categorisation'!$B$17,A14='5_categorisation'!$A$11,'5_categorisation'!$B$11)</f>
        <v>ouest</v>
      </c>
      <c r="D14" s="14">
        <v>4.0</v>
      </c>
      <c r="E14" s="14" t="s">
        <v>5</v>
      </c>
      <c r="F14" s="14" t="str">
        <f>ifs(E14='5_categorisation'!$D$2,'5_categorisation'!$F$2,E14='5_categorisation'!$D$3,'5_categorisation'!$F$3,E14='5_categorisation'!$D$4,'5_categorisation'!$F$4,E14='5_categorisation'!$D$5,'5_categorisation'!$F$5,E14='5_categorisation'!$D$6,'5_categorisation'!$F$6,E14='5_categorisation'!$D$7,'5_categorisation'!$F$7,E14='5_categorisation'!$D$8,'5_categorisation'!$F$8,E14='5_categorisation'!$D$9,'5_categorisation'!$F$9,E14='5_categorisation'!$D$10,'5_categorisation'!$F$10,E14='5_categorisation'!$D$11,'5_categorisation'!$F$11,E14='5_categorisation'!$D$12,'5_categorisation'!$F$12,E14='5_categorisation'!$D$13,'5_categorisation'!$F$13,E14='5_categorisation'!$D$14,'5_categorisation'!$F$14,E14='5_categorisation'!$D$15,'5_categorisation'!$F$15,E14='5_categorisation'!$D$16,'5_categorisation'!$F$16,E14='5_categorisation'!$D$17,'5_categorisation'!$F$17,E14='5_categorisation'!$D$18,'5_categorisation'!$F$18,E14='5_categorisation'!$D$19,'5_categorisation'!$F$19,E14='5_categorisation'!$D$20,'5_categorisation'!$F$20,E14='5_categorisation'!$D$21,'5_categorisation'!$F$21,E14='5_categorisation'!$D$22,'5_categorisation'!$F$22)</f>
        <v>gauche</v>
      </c>
      <c r="G14" s="14" t="s">
        <v>147</v>
      </c>
      <c r="H14" s="14" t="s">
        <v>147</v>
      </c>
      <c r="I14" s="14" t="s">
        <v>766</v>
      </c>
      <c r="J14" s="14" t="str">
        <f>IFERROR(__xludf.DUMMYFUNCTION("FILTER(candidats!M:M,candidats!P:P=I14)"),"M")</f>
        <v>M</v>
      </c>
      <c r="K14" s="14">
        <v>100380.0</v>
      </c>
    </row>
    <row r="15">
      <c r="A15" s="13" t="s">
        <v>128</v>
      </c>
      <c r="B15" s="13" t="str">
        <f>IFERROR(__xludf.DUMMYFUNCTION("FILTER('5_categorisation'!C:C,'5_categorisation'!A:A=A15)"),"Nouvelle-Aquitaine")</f>
        <v>Nouvelle-Aquitaine</v>
      </c>
      <c r="C15" s="13" t="str">
        <f>IFS(A15='5_categorisation'!$A$2,'5_categorisation'!$B$2,A15='5_categorisation'!$A$3,'5_categorisation'!$B$3,A15='5_categorisation'!$A$4,'5_categorisation'!$B$4,A15='5_categorisation'!$A$5,'5_categorisation'!$B$5,A15='5_categorisation'!$A$6,'5_categorisation'!$B$6,A15='5_categorisation'!$A$7,'5_categorisation'!$B$7,A15='5_categorisation'!$A$8,'5_categorisation'!$B$8,A15='5_categorisation'!$A$9,'5_categorisation'!$B$9,A15='5_categorisation'!$A23,'5_categorisation'!$B$10,A15='5_categorisation'!$A$12,'5_categorisation'!$B$12,A15='5_categorisation'!$A$12,'5_categorisation'!$B$12,A15='5_categorisation'!$A$13,'5_categorisation'!$B$13,A15='5_categorisation'!$A$14,'5_categorisation'!$B$14,A15='5_categorisation'!$A$15,'5_categorisation'!$B$15,A15='5_categorisation'!$A$16,'5_categorisation'!$B$16,A15='5_categorisation'!$A$17,'5_categorisation'!$B$17,A15='5_categorisation'!$A$11,'5_categorisation'!$B$11)</f>
        <v>ouest</v>
      </c>
      <c r="D15" s="14">
        <v>5.0</v>
      </c>
      <c r="E15" s="14" t="s">
        <v>25</v>
      </c>
      <c r="F15" s="14" t="str">
        <f>ifs(E15='5_categorisation'!$D$2,'5_categorisation'!$F$2,E15='5_categorisation'!$D$3,'5_categorisation'!$F$3,E15='5_categorisation'!$D$4,'5_categorisation'!$F$4,E15='5_categorisation'!$D$5,'5_categorisation'!$F$5,E15='5_categorisation'!$D$6,'5_categorisation'!$F$6,E15='5_categorisation'!$D$7,'5_categorisation'!$F$7,E15='5_categorisation'!$D$8,'5_categorisation'!$F$8,E15='5_categorisation'!$D$9,'5_categorisation'!$F$9,E15='5_categorisation'!$D$10,'5_categorisation'!$F$10,E15='5_categorisation'!$D$11,'5_categorisation'!$F$11,E15='5_categorisation'!$D$12,'5_categorisation'!$F$12,E15='5_categorisation'!$D$13,'5_categorisation'!$F$13,E15='5_categorisation'!$D$14,'5_categorisation'!$F$14,E15='5_categorisation'!$D$15,'5_categorisation'!$F$15,E15='5_categorisation'!$D$16,'5_categorisation'!$F$16,E15='5_categorisation'!$D$17,'5_categorisation'!$F$17,E15='5_categorisation'!$D$18,'5_categorisation'!$F$18,E15='5_categorisation'!$D$19,'5_categorisation'!$F$19,E15='5_categorisation'!$D$20,'5_categorisation'!$F$20,E15='5_categorisation'!$D$21,'5_categorisation'!$F$21,E15='5_categorisation'!$D$22,'5_categorisation'!$F$22)</f>
        <v>autre</v>
      </c>
      <c r="G15" s="14" t="s">
        <v>150</v>
      </c>
      <c r="H15" s="14" t="s">
        <v>151</v>
      </c>
      <c r="I15" s="14" t="s">
        <v>767</v>
      </c>
      <c r="J15" s="14" t="str">
        <f>IFERROR(__xludf.DUMMYFUNCTION("FILTER(candidats!M:M,candidats!P:P=I15)"),"M")</f>
        <v>M</v>
      </c>
      <c r="K15" s="14">
        <v>19050.0</v>
      </c>
    </row>
    <row r="16">
      <c r="A16" s="13" t="s">
        <v>128</v>
      </c>
      <c r="B16" s="13" t="str">
        <f>IFERROR(__xludf.DUMMYFUNCTION("FILTER('5_categorisation'!C:C,'5_categorisation'!A:A=A16)"),"Nouvelle-Aquitaine")</f>
        <v>Nouvelle-Aquitaine</v>
      </c>
      <c r="C16" s="13" t="str">
        <f>IFS(A16='5_categorisation'!$A$2,'5_categorisation'!$B$2,A16='5_categorisation'!$A$3,'5_categorisation'!$B$3,A16='5_categorisation'!$A$4,'5_categorisation'!$B$4,A16='5_categorisation'!$A$5,'5_categorisation'!$B$5,A16='5_categorisation'!$A$6,'5_categorisation'!$B$6,A16='5_categorisation'!$A$7,'5_categorisation'!$B$7,A16='5_categorisation'!$A$8,'5_categorisation'!$B$8,A16='5_categorisation'!$A$9,'5_categorisation'!$B$9,A16='5_categorisation'!$A24,'5_categorisation'!$B$10,A16='5_categorisation'!$A$12,'5_categorisation'!$B$12,A16='5_categorisation'!$A$12,'5_categorisation'!$B$12,A16='5_categorisation'!$A$13,'5_categorisation'!$B$13,A16='5_categorisation'!$A$14,'5_categorisation'!$B$14,A16='5_categorisation'!$A$15,'5_categorisation'!$B$15,A16='5_categorisation'!$A$16,'5_categorisation'!$B$16,A16='5_categorisation'!$A$17,'5_categorisation'!$B$17,A16='5_categorisation'!$A$11,'5_categorisation'!$B$11)</f>
        <v>ouest</v>
      </c>
      <c r="D16" s="14">
        <v>6.0</v>
      </c>
      <c r="E16" s="14" t="s">
        <v>19</v>
      </c>
      <c r="F16" s="14" t="str">
        <f>ifs(E16='5_categorisation'!$D$2,'5_categorisation'!$F$2,E16='5_categorisation'!$D$3,'5_categorisation'!$F$3,E16='5_categorisation'!$D$4,'5_categorisation'!$F$4,E16='5_categorisation'!$D$5,'5_categorisation'!$F$5,E16='5_categorisation'!$D$6,'5_categorisation'!$F$6,E16='5_categorisation'!$D$7,'5_categorisation'!$F$7,E16='5_categorisation'!$D$8,'5_categorisation'!$F$8,E16='5_categorisation'!$D$9,'5_categorisation'!$F$9,E16='5_categorisation'!$D$10,'5_categorisation'!$F$10,E16='5_categorisation'!$D$11,'5_categorisation'!$F$11,E16='5_categorisation'!$D$12,'5_categorisation'!$F$12,E16='5_categorisation'!$D$13,'5_categorisation'!$F$13,E16='5_categorisation'!$D$14,'5_categorisation'!$F$14,E16='5_categorisation'!$D$15,'5_categorisation'!$F$15,E16='5_categorisation'!$D$16,'5_categorisation'!$F$16,E16='5_categorisation'!$D$17,'5_categorisation'!$F$17,E16='5_categorisation'!$D$18,'5_categorisation'!$F$18,E16='5_categorisation'!$D$19,'5_categorisation'!$F$19,E16='5_categorisation'!$D$20,'5_categorisation'!$F$20,E16='5_categorisation'!$D$21,'5_categorisation'!$F$21,E16='5_categorisation'!$D$22,'5_categorisation'!$F$22)</f>
        <v>gauche</v>
      </c>
      <c r="G16" s="14" t="s">
        <v>155</v>
      </c>
      <c r="H16" s="14" t="s">
        <v>155</v>
      </c>
      <c r="I16" s="14" t="s">
        <v>768</v>
      </c>
      <c r="J16" s="14" t="str">
        <f>IFERROR(__xludf.DUMMYFUNCTION("FILTER(candidats!M:M,candidats!P:P=I16)"),"M")</f>
        <v>M</v>
      </c>
      <c r="K16" s="14">
        <v>38315.0</v>
      </c>
    </row>
    <row r="17">
      <c r="A17" s="15" t="s">
        <v>128</v>
      </c>
      <c r="B17" s="13" t="str">
        <f>IFERROR(__xludf.DUMMYFUNCTION("FILTER('5_categorisation'!C:C,'5_categorisation'!A:A=A17)"),"Nouvelle-Aquitaine")</f>
        <v>Nouvelle-Aquitaine</v>
      </c>
      <c r="C17" s="13" t="str">
        <f>IFS(A17='5_categorisation'!$A$2,'5_categorisation'!$B$2,A17='5_categorisation'!$A$3,'5_categorisation'!$B$3,A17='5_categorisation'!$A$4,'5_categorisation'!$B$4,A17='5_categorisation'!$A$5,'5_categorisation'!$B$5,A17='5_categorisation'!$A$6,'5_categorisation'!$B$6,A17='5_categorisation'!$A$7,'5_categorisation'!$B$7,A17='5_categorisation'!$A$8,'5_categorisation'!$B$8,A17='5_categorisation'!$A$9,'5_categorisation'!$B$9,A17='5_categorisation'!$A25,'5_categorisation'!$B$10,A17='5_categorisation'!$A$12,'5_categorisation'!$B$12,A17='5_categorisation'!$A$12,'5_categorisation'!$B$12,A17='5_categorisation'!$A$13,'5_categorisation'!$B$13,A17='5_categorisation'!$A$14,'5_categorisation'!$B$14,A17='5_categorisation'!$A$15,'5_categorisation'!$B$15,A17='5_categorisation'!$A$16,'5_categorisation'!$B$16,A17='5_categorisation'!$A$17,'5_categorisation'!$B$17,A17='5_categorisation'!$A$11,'5_categorisation'!$B$11)</f>
        <v>ouest</v>
      </c>
      <c r="D17" s="15">
        <v>7.0</v>
      </c>
      <c r="E17" s="15" t="s">
        <v>21</v>
      </c>
      <c r="F17" s="14" t="str">
        <f>ifs(E17='5_categorisation'!$D$2,'5_categorisation'!$F$2,E17='5_categorisation'!$D$3,'5_categorisation'!$F$3,E17='5_categorisation'!$D$4,'5_categorisation'!$F$4,E17='5_categorisation'!$D$5,'5_categorisation'!$F$5,E17='5_categorisation'!$D$6,'5_categorisation'!$F$6,E17='5_categorisation'!$D$7,'5_categorisation'!$F$7,E17='5_categorisation'!$D$8,'5_categorisation'!$F$8,E17='5_categorisation'!$D$9,'5_categorisation'!$F$9,E17='5_categorisation'!$D$10,'5_categorisation'!$F$10,E17='5_categorisation'!$D$11,'5_categorisation'!$F$11,E17='5_categorisation'!$D$12,'5_categorisation'!$F$12,E17='5_categorisation'!$D$13,'5_categorisation'!$F$13,E17='5_categorisation'!$D$14,'5_categorisation'!$F$14,E17='5_categorisation'!$D$15,'5_categorisation'!$F$15,E17='5_categorisation'!$D$16,'5_categorisation'!$F$16,E17='5_categorisation'!$D$17,'5_categorisation'!$F$17,E17='5_categorisation'!$D$18,'5_categorisation'!$F$18,E17='5_categorisation'!$D$19,'5_categorisation'!$F$19,E17='5_categorisation'!$D$20,'5_categorisation'!$F$20,E17='5_categorisation'!$D$21,'5_categorisation'!$F$21,E17='5_categorisation'!$D$22,'5_categorisation'!$F$22)</f>
        <v>gauche</v>
      </c>
      <c r="G17" s="15" t="s">
        <v>160</v>
      </c>
      <c r="H17" s="15" t="s">
        <v>161</v>
      </c>
      <c r="I17" s="15" t="s">
        <v>769</v>
      </c>
      <c r="J17" s="14" t="str">
        <f>IFERROR(__xludf.DUMMYFUNCTION("FILTER(candidats!M:M,candidats!P:P=I17)"),"F")</f>
        <v>F</v>
      </c>
      <c r="K17" s="15">
        <v>115782.0</v>
      </c>
    </row>
    <row r="18">
      <c r="A18" s="13" t="s">
        <v>128</v>
      </c>
      <c r="B18" s="13" t="str">
        <f>IFERROR(__xludf.DUMMYFUNCTION("FILTER('5_categorisation'!C:C,'5_categorisation'!A:A=A18)"),"Nouvelle-Aquitaine")</f>
        <v>Nouvelle-Aquitaine</v>
      </c>
      <c r="C18" s="13" t="str">
        <f>IFS(A18='5_categorisation'!$A$2,'5_categorisation'!$B$2,A18='5_categorisation'!$A$3,'5_categorisation'!$B$3,A18='5_categorisation'!$A$4,'5_categorisation'!$B$4,A18='5_categorisation'!$A$5,'5_categorisation'!$B$5,A18='5_categorisation'!$A$6,'5_categorisation'!$B$6,A18='5_categorisation'!$A$7,'5_categorisation'!$B$7,A18='5_categorisation'!$A$8,'5_categorisation'!$B$8,A18='5_categorisation'!$A$9,'5_categorisation'!$B$9,A18='5_categorisation'!$A26,'5_categorisation'!$B$10,A18='5_categorisation'!$A$12,'5_categorisation'!$B$12,A18='5_categorisation'!$A$12,'5_categorisation'!$B$12,A18='5_categorisation'!$A$13,'5_categorisation'!$B$13,A18='5_categorisation'!$A$14,'5_categorisation'!$B$14,A18='5_categorisation'!$A$15,'5_categorisation'!$B$15,A18='5_categorisation'!$A$16,'5_categorisation'!$B$16,A18='5_categorisation'!$A$17,'5_categorisation'!$B$17,A18='5_categorisation'!$A$11,'5_categorisation'!$B$11)</f>
        <v>ouest</v>
      </c>
      <c r="D18" s="14">
        <v>8.0</v>
      </c>
      <c r="E18" s="14" t="s">
        <v>43</v>
      </c>
      <c r="F18" s="14" t="str">
        <f>ifs(E18='5_categorisation'!$D$2,'5_categorisation'!$F$2,E18='5_categorisation'!$D$3,'5_categorisation'!$F$3,E18='5_categorisation'!$D$4,'5_categorisation'!$F$4,E18='5_categorisation'!$D$5,'5_categorisation'!$F$5,E18='5_categorisation'!$D$6,'5_categorisation'!$F$6,E18='5_categorisation'!$D$7,'5_categorisation'!$F$7,E18='5_categorisation'!$D$8,'5_categorisation'!$F$8,E18='5_categorisation'!$D$9,'5_categorisation'!$F$9,E18='5_categorisation'!$D$10,'5_categorisation'!$F$10,E18='5_categorisation'!$D$11,'5_categorisation'!$F$11,E18='5_categorisation'!$D$12,'5_categorisation'!$F$12,E18='5_categorisation'!$D$13,'5_categorisation'!$F$13,E18='5_categorisation'!$D$14,'5_categorisation'!$F$14,E18='5_categorisation'!$D$15,'5_categorisation'!$F$15,E18='5_categorisation'!$D$16,'5_categorisation'!$F$16,E18='5_categorisation'!$D$17,'5_categorisation'!$F$17,E18='5_categorisation'!$D$18,'5_categorisation'!$F$18,E18='5_categorisation'!$D$19,'5_categorisation'!$F$19,E18='5_categorisation'!$D$20,'5_categorisation'!$F$20,E18='5_categorisation'!$D$21,'5_categorisation'!$F$21,E18='5_categorisation'!$D$22,'5_categorisation'!$F$22)</f>
        <v>droite</v>
      </c>
      <c r="G18" s="14" t="s">
        <v>165</v>
      </c>
      <c r="H18" s="14" t="s">
        <v>102</v>
      </c>
      <c r="I18" s="14" t="s">
        <v>770</v>
      </c>
      <c r="J18" s="14" t="str">
        <f>IFERROR(__xludf.DUMMYFUNCTION("FILTER(candidats!M:M,candidats!P:P=I18)"),"M")</f>
        <v>M</v>
      </c>
      <c r="K18" s="14">
        <v>480621.0</v>
      </c>
    </row>
    <row r="19">
      <c r="A19" s="13" t="s">
        <v>128</v>
      </c>
      <c r="B19" s="13" t="str">
        <f>IFERROR(__xludf.DUMMYFUNCTION("FILTER('5_categorisation'!C:C,'5_categorisation'!A:A=A19)"),"Nouvelle-Aquitaine")</f>
        <v>Nouvelle-Aquitaine</v>
      </c>
      <c r="C19" s="13" t="str">
        <f>IFS(A19='5_categorisation'!$A$2,'5_categorisation'!$B$2,A19='5_categorisation'!$A$3,'5_categorisation'!$B$3,A19='5_categorisation'!$A$4,'5_categorisation'!$B$4,A19='5_categorisation'!$A$5,'5_categorisation'!$B$5,A19='5_categorisation'!$A$6,'5_categorisation'!$B$6,A19='5_categorisation'!$A$7,'5_categorisation'!$B$7,A19='5_categorisation'!$A$8,'5_categorisation'!$B$8,A19='5_categorisation'!$A$9,'5_categorisation'!$B$9,A19='5_categorisation'!$A27,'5_categorisation'!$B$10,A19='5_categorisation'!$A$12,'5_categorisation'!$B$12,A19='5_categorisation'!$A$12,'5_categorisation'!$B$12,A19='5_categorisation'!$A$13,'5_categorisation'!$B$13,A19='5_categorisation'!$A$14,'5_categorisation'!$B$14,A19='5_categorisation'!$A$15,'5_categorisation'!$B$15,A19='5_categorisation'!$A$16,'5_categorisation'!$B$16,A19='5_categorisation'!$A$17,'5_categorisation'!$B$17,A19='5_categorisation'!$A$11,'5_categorisation'!$B$11)</f>
        <v>ouest</v>
      </c>
      <c r="D19" s="14">
        <v>9.0</v>
      </c>
      <c r="E19" s="14" t="s">
        <v>39</v>
      </c>
      <c r="F19" s="14" t="str">
        <f>ifs(E19='5_categorisation'!$D$2,'5_categorisation'!$F$2,E19='5_categorisation'!$D$3,'5_categorisation'!$F$3,E19='5_categorisation'!$D$4,'5_categorisation'!$F$4,E19='5_categorisation'!$D$5,'5_categorisation'!$F$5,E19='5_categorisation'!$D$6,'5_categorisation'!$F$6,E19='5_categorisation'!$D$7,'5_categorisation'!$F$7,E19='5_categorisation'!$D$8,'5_categorisation'!$F$8,E19='5_categorisation'!$D$9,'5_categorisation'!$F$9,E19='5_categorisation'!$D$10,'5_categorisation'!$F$10,E19='5_categorisation'!$D$11,'5_categorisation'!$F$11,E19='5_categorisation'!$D$12,'5_categorisation'!$F$12,E19='5_categorisation'!$D$13,'5_categorisation'!$F$13,E19='5_categorisation'!$D$14,'5_categorisation'!$F$14,E19='5_categorisation'!$D$15,'5_categorisation'!$F$15,E19='5_categorisation'!$D$16,'5_categorisation'!$F$16,E19='5_categorisation'!$D$17,'5_categorisation'!$F$17,E19='5_categorisation'!$D$18,'5_categorisation'!$F$18,E19='5_categorisation'!$D$19,'5_categorisation'!$F$19,E19='5_categorisation'!$D$20,'5_categorisation'!$F$20,E19='5_categorisation'!$D$21,'5_categorisation'!$F$21,E19='5_categorisation'!$D$22,'5_categorisation'!$F$22)</f>
        <v>droite</v>
      </c>
      <c r="G19" s="14" t="s">
        <v>90</v>
      </c>
      <c r="H19" s="14" t="s">
        <v>170</v>
      </c>
      <c r="I19" s="14" t="s">
        <v>771</v>
      </c>
      <c r="J19" s="14" t="str">
        <f>IFERROR(__xludf.DUMMYFUNCTION("FILTER(candidats!M:M,candidats!P:P=I19)"),"M")</f>
        <v>M</v>
      </c>
      <c r="K19" s="14">
        <v>69276.0</v>
      </c>
    </row>
    <row r="20">
      <c r="A20" s="13" t="s">
        <v>128</v>
      </c>
      <c r="B20" s="13" t="str">
        <f>IFERROR(__xludf.DUMMYFUNCTION("FILTER('5_categorisation'!C:C,'5_categorisation'!A:A=A20)"),"Nouvelle-Aquitaine")</f>
        <v>Nouvelle-Aquitaine</v>
      </c>
      <c r="C20" s="13" t="str">
        <f>IFS(A20='5_categorisation'!$A$2,'5_categorisation'!$B$2,A20='5_categorisation'!$A$3,'5_categorisation'!$B$3,A20='5_categorisation'!$A$4,'5_categorisation'!$B$4,A20='5_categorisation'!$A$5,'5_categorisation'!$B$5,A20='5_categorisation'!$A$6,'5_categorisation'!$B$6,A20='5_categorisation'!$A$7,'5_categorisation'!$B$7,A20='5_categorisation'!$A$8,'5_categorisation'!$B$8,A20='5_categorisation'!$A$9,'5_categorisation'!$B$9,A20='5_categorisation'!$A28,'5_categorisation'!$B$10,A20='5_categorisation'!$A$12,'5_categorisation'!$B$12,A20='5_categorisation'!$A$12,'5_categorisation'!$B$12,A20='5_categorisation'!$A$13,'5_categorisation'!$B$13,A20='5_categorisation'!$A$14,'5_categorisation'!$B$14,A20='5_categorisation'!$A$15,'5_categorisation'!$B$15,A20='5_categorisation'!$A$16,'5_categorisation'!$B$16,A20='5_categorisation'!$A$17,'5_categorisation'!$B$17,A20='5_categorisation'!$A$11,'5_categorisation'!$B$11)</f>
        <v>ouest</v>
      </c>
      <c r="D20" s="15">
        <v>10.0</v>
      </c>
      <c r="E20" s="15" t="s">
        <v>3</v>
      </c>
      <c r="F20" s="14" t="str">
        <f>ifs(E20='5_categorisation'!$D$2,'5_categorisation'!$F$2,E20='5_categorisation'!$D$3,'5_categorisation'!$F$3,E20='5_categorisation'!$D$4,'5_categorisation'!$F$4,E20='5_categorisation'!$D$5,'5_categorisation'!$F$5,E20='5_categorisation'!$D$6,'5_categorisation'!$F$6,E20='5_categorisation'!$D$7,'5_categorisation'!$F$7,E20='5_categorisation'!$D$8,'5_categorisation'!$F$8,E20='5_categorisation'!$D$9,'5_categorisation'!$F$9,E20='5_categorisation'!$D$10,'5_categorisation'!$F$10,E20='5_categorisation'!$D$11,'5_categorisation'!$F$11,E20='5_categorisation'!$D$12,'5_categorisation'!$F$12,E20='5_categorisation'!$D$13,'5_categorisation'!$F$13,E20='5_categorisation'!$D$14,'5_categorisation'!$F$14,E20='5_categorisation'!$D$15,'5_categorisation'!$F$15,E20='5_categorisation'!$D$16,'5_categorisation'!$F$16,E20='5_categorisation'!$D$17,'5_categorisation'!$F$17,E20='5_categorisation'!$D$18,'5_categorisation'!$F$18,E20='5_categorisation'!$D$19,'5_categorisation'!$F$19,E20='5_categorisation'!$D$20,'5_categorisation'!$F$20,E20='5_categorisation'!$D$21,'5_categorisation'!$F$21,E20='5_categorisation'!$D$22,'5_categorisation'!$F$22)</f>
        <v>gauche</v>
      </c>
      <c r="G20" s="15" t="s">
        <v>113</v>
      </c>
      <c r="H20" s="15" t="s">
        <v>174</v>
      </c>
      <c r="I20" s="15" t="s">
        <v>772</v>
      </c>
      <c r="J20" s="14" t="str">
        <f>IFERROR(__xludf.DUMMYFUNCTION("FILTER(candidats!M:M,candidats!P:P=I20)"),"M")</f>
        <v>M</v>
      </c>
      <c r="K20" s="15">
        <v>29206.0</v>
      </c>
    </row>
    <row r="21">
      <c r="A21" s="13" t="s">
        <v>177</v>
      </c>
      <c r="B21" s="13" t="str">
        <f>IFERROR(__xludf.DUMMYFUNCTION("FILTER('5_categorisation'!C:C,'5_categorisation'!A:A=A21)"),"Auvergne-Rhône-Alpes")</f>
        <v>Auvergne-Rhône-Alpes</v>
      </c>
      <c r="C21" s="13" t="str">
        <f>IFS(A21='5_categorisation'!$A$2,'5_categorisation'!$B$2,A21='5_categorisation'!$A$3,'5_categorisation'!$B$3,A21='5_categorisation'!$A$4,'5_categorisation'!$B$4,A21='5_categorisation'!$A$5,'5_categorisation'!$B$5,A21='5_categorisation'!$A$6,'5_categorisation'!$B$6,A21='5_categorisation'!$A$7,'5_categorisation'!$B$7,A21='5_categorisation'!$A$8,'5_categorisation'!$B$8,A21='5_categorisation'!$A$9,'5_categorisation'!$B$9,A21='5_categorisation'!$A29,'5_categorisation'!$B$10,A21='5_categorisation'!$A$12,'5_categorisation'!$B$12,A21='5_categorisation'!$A$12,'5_categorisation'!$B$12,A21='5_categorisation'!$A$13,'5_categorisation'!$B$13,A21='5_categorisation'!$A$14,'5_categorisation'!$B$14,A21='5_categorisation'!$A$15,'5_categorisation'!$B$15,A21='5_categorisation'!$A$16,'5_categorisation'!$B$16,A21='5_categorisation'!$A$17,'5_categorisation'!$B$17,A21='5_categorisation'!$A$11,'5_categorisation'!$B$11)</f>
        <v>centre</v>
      </c>
      <c r="D21" s="14">
        <v>1.0</v>
      </c>
      <c r="E21" s="14" t="s">
        <v>25</v>
      </c>
      <c r="F21" s="14" t="str">
        <f>ifs(E21='5_categorisation'!$D$2,'5_categorisation'!$F$2,E21='5_categorisation'!$D$3,'5_categorisation'!$F$3,E21='5_categorisation'!$D$4,'5_categorisation'!$F$4,E21='5_categorisation'!$D$5,'5_categorisation'!$F$5,E21='5_categorisation'!$D$6,'5_categorisation'!$F$6,E21='5_categorisation'!$D$7,'5_categorisation'!$F$7,E21='5_categorisation'!$D$8,'5_categorisation'!$F$8,E21='5_categorisation'!$D$9,'5_categorisation'!$F$9,E21='5_categorisation'!$D$10,'5_categorisation'!$F$10,E21='5_categorisation'!$D$11,'5_categorisation'!$F$11,E21='5_categorisation'!$D$12,'5_categorisation'!$F$12,E21='5_categorisation'!$D$13,'5_categorisation'!$F$13,E21='5_categorisation'!$D$14,'5_categorisation'!$F$14,E21='5_categorisation'!$D$15,'5_categorisation'!$F$15,E21='5_categorisation'!$D$16,'5_categorisation'!$F$16,E21='5_categorisation'!$D$17,'5_categorisation'!$F$17,E21='5_categorisation'!$D$18,'5_categorisation'!$F$18,E21='5_categorisation'!$D$19,'5_categorisation'!$F$19,E21='5_categorisation'!$D$20,'5_categorisation'!$F$20,E21='5_categorisation'!$D$21,'5_categorisation'!$F$21,E21='5_categorisation'!$D$22,'5_categorisation'!$F$22)</f>
        <v>autre</v>
      </c>
      <c r="G21" s="14" t="s">
        <v>179</v>
      </c>
      <c r="H21" s="14" t="s">
        <v>180</v>
      </c>
      <c r="I21" s="14" t="s">
        <v>773</v>
      </c>
      <c r="J21" s="14" t="str">
        <f>IFERROR(__xludf.DUMMYFUNCTION("FILTER(candidats!M:M,candidats!P:P=I21)"),"M")</f>
        <v>M</v>
      </c>
      <c r="K21" s="14">
        <v>21723.0</v>
      </c>
    </row>
    <row r="22">
      <c r="A22" s="13" t="s">
        <v>177</v>
      </c>
      <c r="B22" s="13" t="str">
        <f>IFERROR(__xludf.DUMMYFUNCTION("FILTER('5_categorisation'!C:C,'5_categorisation'!A:A=A22)"),"Auvergne-Rhône-Alpes")</f>
        <v>Auvergne-Rhône-Alpes</v>
      </c>
      <c r="C22" s="13" t="str">
        <f>IFS(A22='5_categorisation'!$A$2,'5_categorisation'!$B$2,A22='5_categorisation'!$A$3,'5_categorisation'!$B$3,A22='5_categorisation'!$A$4,'5_categorisation'!$B$4,A22='5_categorisation'!$A$5,'5_categorisation'!$B$5,A22='5_categorisation'!$A$6,'5_categorisation'!$B$6,A22='5_categorisation'!$A$7,'5_categorisation'!$B$7,A22='5_categorisation'!$A$8,'5_categorisation'!$B$8,A22='5_categorisation'!$A$9,'5_categorisation'!$B$9,A22='5_categorisation'!$A30,'5_categorisation'!$B$10,A22='5_categorisation'!$A$12,'5_categorisation'!$B$12,A22='5_categorisation'!$A$12,'5_categorisation'!$B$12,A22='5_categorisation'!$A$13,'5_categorisation'!$B$13,A22='5_categorisation'!$A$14,'5_categorisation'!$B$14,A22='5_categorisation'!$A$15,'5_categorisation'!$B$15,A22='5_categorisation'!$A$16,'5_categorisation'!$B$16,A22='5_categorisation'!$A$17,'5_categorisation'!$B$17,A22='5_categorisation'!$A$11,'5_categorisation'!$B$11)</f>
        <v>centre</v>
      </c>
      <c r="D22" s="14">
        <v>2.0</v>
      </c>
      <c r="E22" s="14" t="s">
        <v>41</v>
      </c>
      <c r="F22" s="14" t="str">
        <f>ifs(E22='5_categorisation'!$D$2,'5_categorisation'!$F$2,E22='5_categorisation'!$D$3,'5_categorisation'!$F$3,E22='5_categorisation'!$D$4,'5_categorisation'!$F$4,E22='5_categorisation'!$D$5,'5_categorisation'!$F$5,E22='5_categorisation'!$D$6,'5_categorisation'!$F$6,E22='5_categorisation'!$D$7,'5_categorisation'!$F$7,E22='5_categorisation'!$D$8,'5_categorisation'!$F$8,E22='5_categorisation'!$D$9,'5_categorisation'!$F$9,E22='5_categorisation'!$D$10,'5_categorisation'!$F$10,E22='5_categorisation'!$D$11,'5_categorisation'!$F$11,E22='5_categorisation'!$D$12,'5_categorisation'!$F$12,E22='5_categorisation'!$D$13,'5_categorisation'!$F$13,E22='5_categorisation'!$D$14,'5_categorisation'!$F$14,E22='5_categorisation'!$D$15,'5_categorisation'!$F$15,E22='5_categorisation'!$D$16,'5_categorisation'!$F$16,E22='5_categorisation'!$D$17,'5_categorisation'!$F$17,E22='5_categorisation'!$D$18,'5_categorisation'!$F$18,E22='5_categorisation'!$D$19,'5_categorisation'!$F$19,E22='5_categorisation'!$D$20,'5_categorisation'!$F$20,E22='5_categorisation'!$D$21,'5_categorisation'!$F$21,E22='5_categorisation'!$D$22,'5_categorisation'!$F$22)</f>
        <v>droite</v>
      </c>
      <c r="G22" s="14" t="s">
        <v>185</v>
      </c>
      <c r="H22" s="14" t="s">
        <v>185</v>
      </c>
      <c r="I22" s="14" t="s">
        <v>774</v>
      </c>
      <c r="J22" s="14" t="str">
        <f>IFERROR(__xludf.DUMMYFUNCTION("FILTER(candidats!M:M,candidats!P:P=I22)"),"M")</f>
        <v>M</v>
      </c>
      <c r="K22" s="14">
        <v>39187.0</v>
      </c>
    </row>
    <row r="23">
      <c r="A23" s="13" t="s">
        <v>177</v>
      </c>
      <c r="B23" s="13" t="str">
        <f>IFERROR(__xludf.DUMMYFUNCTION("FILTER('5_categorisation'!C:C,'5_categorisation'!A:A=A23)"),"Auvergne-Rhône-Alpes")</f>
        <v>Auvergne-Rhône-Alpes</v>
      </c>
      <c r="C23" s="13" t="str">
        <f>IFS(A23='5_categorisation'!$A$2,'5_categorisation'!$B$2,A23='5_categorisation'!$A$3,'5_categorisation'!$B$3,A23='5_categorisation'!$A$4,'5_categorisation'!$B$4,A23='5_categorisation'!$A$5,'5_categorisation'!$B$5,A23='5_categorisation'!$A$6,'5_categorisation'!$B$6,A23='5_categorisation'!$A$7,'5_categorisation'!$B$7,A23='5_categorisation'!$A$8,'5_categorisation'!$B$8,A23='5_categorisation'!$A$9,'5_categorisation'!$B$9,A23='5_categorisation'!$A31,'5_categorisation'!$B$10,A23='5_categorisation'!$A$12,'5_categorisation'!$B$12,A23='5_categorisation'!$A$12,'5_categorisation'!$B$12,A23='5_categorisation'!$A$13,'5_categorisation'!$B$13,A23='5_categorisation'!$A$14,'5_categorisation'!$B$14,A23='5_categorisation'!$A$15,'5_categorisation'!$B$15,A23='5_categorisation'!$A$16,'5_categorisation'!$B$16,A23='5_categorisation'!$A$17,'5_categorisation'!$B$17,A23='5_categorisation'!$A$11,'5_categorisation'!$B$11)</f>
        <v>centre</v>
      </c>
      <c r="D23" s="14">
        <v>3.0</v>
      </c>
      <c r="E23" s="14" t="s">
        <v>43</v>
      </c>
      <c r="F23" s="14" t="str">
        <f>ifs(E23='5_categorisation'!$D$2,'5_categorisation'!$F$2,E23='5_categorisation'!$D$3,'5_categorisation'!$F$3,E23='5_categorisation'!$D$4,'5_categorisation'!$F$4,E23='5_categorisation'!$D$5,'5_categorisation'!$F$5,E23='5_categorisation'!$D$6,'5_categorisation'!$F$6,E23='5_categorisation'!$D$7,'5_categorisation'!$F$7,E23='5_categorisation'!$D$8,'5_categorisation'!$F$8,E23='5_categorisation'!$D$9,'5_categorisation'!$F$9,E23='5_categorisation'!$D$10,'5_categorisation'!$F$10,E23='5_categorisation'!$D$11,'5_categorisation'!$F$11,E23='5_categorisation'!$D$12,'5_categorisation'!$F$12,E23='5_categorisation'!$D$13,'5_categorisation'!$F$13,E23='5_categorisation'!$D$14,'5_categorisation'!$F$14,E23='5_categorisation'!$D$15,'5_categorisation'!$F$15,E23='5_categorisation'!$D$16,'5_categorisation'!$F$16,E23='5_categorisation'!$D$17,'5_categorisation'!$F$17,E23='5_categorisation'!$D$18,'5_categorisation'!$F$18,E23='5_categorisation'!$D$19,'5_categorisation'!$F$19,E23='5_categorisation'!$D$20,'5_categorisation'!$F$20,E23='5_categorisation'!$D$21,'5_categorisation'!$F$21,E23='5_categorisation'!$D$22,'5_categorisation'!$F$22)</f>
        <v>droite</v>
      </c>
      <c r="G23" s="14" t="s">
        <v>188</v>
      </c>
      <c r="H23" s="14" t="s">
        <v>189</v>
      </c>
      <c r="I23" s="14" t="s">
        <v>775</v>
      </c>
      <c r="J23" s="14" t="str">
        <f>IFERROR(__xludf.DUMMYFUNCTION("FILTER(candidats!M:M,candidats!P:P=I23)"),"M")</f>
        <v>M</v>
      </c>
      <c r="K23" s="14">
        <v>639923.0</v>
      </c>
    </row>
    <row r="24">
      <c r="A24" s="13" t="s">
        <v>177</v>
      </c>
      <c r="B24" s="13" t="str">
        <f>IFERROR(__xludf.DUMMYFUNCTION("FILTER('5_categorisation'!C:C,'5_categorisation'!A:A=A24)"),"Auvergne-Rhône-Alpes")</f>
        <v>Auvergne-Rhône-Alpes</v>
      </c>
      <c r="C24" s="13" t="str">
        <f>IFS(A24='5_categorisation'!$A$2,'5_categorisation'!$B$2,A24='5_categorisation'!$A$3,'5_categorisation'!$B$3,A24='5_categorisation'!$A$4,'5_categorisation'!$B$4,A24='5_categorisation'!$A$5,'5_categorisation'!$B$5,A24='5_categorisation'!$A$6,'5_categorisation'!$B$6,A24='5_categorisation'!$A$7,'5_categorisation'!$B$7,A24='5_categorisation'!$A$8,'5_categorisation'!$B$8,A24='5_categorisation'!$A$9,'5_categorisation'!$B$9,A24='5_categorisation'!$A32,'5_categorisation'!$B$10,A24='5_categorisation'!$A$12,'5_categorisation'!$B$12,A24='5_categorisation'!$A$12,'5_categorisation'!$B$12,A24='5_categorisation'!$A$13,'5_categorisation'!$B$13,A24='5_categorisation'!$A$14,'5_categorisation'!$B$14,A24='5_categorisation'!$A$15,'5_categorisation'!$B$15,A24='5_categorisation'!$A$16,'5_categorisation'!$B$16,A24='5_categorisation'!$A$17,'5_categorisation'!$B$17,A24='5_categorisation'!$A$11,'5_categorisation'!$B$11)</f>
        <v>centre</v>
      </c>
      <c r="D24" s="14">
        <v>4.0</v>
      </c>
      <c r="E24" s="14" t="s">
        <v>9</v>
      </c>
      <c r="F24" s="14" t="str">
        <f>ifs(E24='5_categorisation'!$D$2,'5_categorisation'!$F$2,E24='5_categorisation'!$D$3,'5_categorisation'!$F$3,E24='5_categorisation'!$D$4,'5_categorisation'!$F$4,E24='5_categorisation'!$D$5,'5_categorisation'!$F$5,E24='5_categorisation'!$D$6,'5_categorisation'!$F$6,E24='5_categorisation'!$D$7,'5_categorisation'!$F$7,E24='5_categorisation'!$D$8,'5_categorisation'!$F$8,E24='5_categorisation'!$D$9,'5_categorisation'!$F$9,E24='5_categorisation'!$D$10,'5_categorisation'!$F$10,E24='5_categorisation'!$D$11,'5_categorisation'!$F$11,E24='5_categorisation'!$D$12,'5_categorisation'!$F$12,E24='5_categorisation'!$D$13,'5_categorisation'!$F$13,E24='5_categorisation'!$D$14,'5_categorisation'!$F$14,E24='5_categorisation'!$D$15,'5_categorisation'!$F$15,E24='5_categorisation'!$D$16,'5_categorisation'!$F$16,E24='5_categorisation'!$D$17,'5_categorisation'!$F$17,E24='5_categorisation'!$D$18,'5_categorisation'!$F$18,E24='5_categorisation'!$D$19,'5_categorisation'!$F$19,E24='5_categorisation'!$D$20,'5_categorisation'!$F$20,E24='5_categorisation'!$D$21,'5_categorisation'!$F$21,E24='5_categorisation'!$D$22,'5_categorisation'!$F$22)</f>
        <v>gauche</v>
      </c>
      <c r="G24" s="14" t="s">
        <v>193</v>
      </c>
      <c r="H24" s="14" t="s">
        <v>194</v>
      </c>
      <c r="I24" s="14" t="s">
        <v>776</v>
      </c>
      <c r="J24" s="14" t="str">
        <f>IFERROR(__xludf.DUMMYFUNCTION("FILTER(candidats!M:M,candidats!P:P=I24)"),"F")</f>
        <v>F</v>
      </c>
      <c r="K24" s="14">
        <v>135274.0</v>
      </c>
    </row>
    <row r="25">
      <c r="A25" s="13" t="s">
        <v>177</v>
      </c>
      <c r="B25" s="13" t="str">
        <f>IFERROR(__xludf.DUMMYFUNCTION("FILTER('5_categorisation'!C:C,'5_categorisation'!A:A=A25)"),"Auvergne-Rhône-Alpes")</f>
        <v>Auvergne-Rhône-Alpes</v>
      </c>
      <c r="C25" s="13" t="str">
        <f>IFS(A25='5_categorisation'!$A$2,'5_categorisation'!$B$2,A25='5_categorisation'!$A$3,'5_categorisation'!$B$3,A25='5_categorisation'!$A$4,'5_categorisation'!$B$4,A25='5_categorisation'!$A$5,'5_categorisation'!$B$5,A25='5_categorisation'!$A$6,'5_categorisation'!$B$6,A25='5_categorisation'!$A$7,'5_categorisation'!$B$7,A25='5_categorisation'!$A$8,'5_categorisation'!$B$8,A25='5_categorisation'!$A$9,'5_categorisation'!$B$9,A25='5_categorisation'!$A33,'5_categorisation'!$B$10,A25='5_categorisation'!$A$12,'5_categorisation'!$B$12,A25='5_categorisation'!$A$12,'5_categorisation'!$B$12,A25='5_categorisation'!$A$13,'5_categorisation'!$B$13,A25='5_categorisation'!$A$14,'5_categorisation'!$B$14,A25='5_categorisation'!$A$15,'5_categorisation'!$B$15,A25='5_categorisation'!$A$16,'5_categorisation'!$B$16,A25='5_categorisation'!$A$17,'5_categorisation'!$B$17,A25='5_categorisation'!$A$11,'5_categorisation'!$B$11)</f>
        <v>centre</v>
      </c>
      <c r="D25" s="15">
        <v>5.0</v>
      </c>
      <c r="E25" s="15" t="s">
        <v>3</v>
      </c>
      <c r="F25" s="14" t="str">
        <f>ifs(E25='5_categorisation'!$D$2,'5_categorisation'!$F$2,E25='5_categorisation'!$D$3,'5_categorisation'!$F$3,E25='5_categorisation'!$D$4,'5_categorisation'!$F$4,E25='5_categorisation'!$D$5,'5_categorisation'!$F$5,E25='5_categorisation'!$D$6,'5_categorisation'!$F$6,E25='5_categorisation'!$D$7,'5_categorisation'!$F$7,E25='5_categorisation'!$D$8,'5_categorisation'!$F$8,E25='5_categorisation'!$D$9,'5_categorisation'!$F$9,E25='5_categorisation'!$D$10,'5_categorisation'!$F$10,E25='5_categorisation'!$D$11,'5_categorisation'!$F$11,E25='5_categorisation'!$D$12,'5_categorisation'!$F$12,E25='5_categorisation'!$D$13,'5_categorisation'!$F$13,E25='5_categorisation'!$D$14,'5_categorisation'!$F$14,E25='5_categorisation'!$D$15,'5_categorisation'!$F$15,E25='5_categorisation'!$D$16,'5_categorisation'!$F$16,E25='5_categorisation'!$D$17,'5_categorisation'!$F$17,E25='5_categorisation'!$D$18,'5_categorisation'!$F$18,E25='5_categorisation'!$D$19,'5_categorisation'!$F$19,E25='5_categorisation'!$D$20,'5_categorisation'!$F$20,E25='5_categorisation'!$D$21,'5_categorisation'!$F$21,E25='5_categorisation'!$D$22,'5_categorisation'!$F$22)</f>
        <v>gauche</v>
      </c>
      <c r="G25" s="15" t="s">
        <v>199</v>
      </c>
      <c r="H25" s="15" t="s">
        <v>114</v>
      </c>
      <c r="I25" s="15" t="s">
        <v>777</v>
      </c>
      <c r="J25" s="14" t="str">
        <f>IFERROR(__xludf.DUMMYFUNCTION("FILTER(candidats!M:M,candidats!P:P=I25)"),"F")</f>
        <v>F</v>
      </c>
      <c r="K25" s="15">
        <v>31359.0</v>
      </c>
    </row>
    <row r="26">
      <c r="A26" s="15" t="s">
        <v>177</v>
      </c>
      <c r="B26" s="13" t="str">
        <f>IFERROR(__xludf.DUMMYFUNCTION("FILTER('5_categorisation'!C:C,'5_categorisation'!A:A=A26)"),"Auvergne-Rhône-Alpes")</f>
        <v>Auvergne-Rhône-Alpes</v>
      </c>
      <c r="C26" s="13" t="str">
        <f>IFS(A26='5_categorisation'!$A$2,'5_categorisation'!$B$2,A26='5_categorisation'!$A$3,'5_categorisation'!$B$3,A26='5_categorisation'!$A$4,'5_categorisation'!$B$4,A26='5_categorisation'!$A$5,'5_categorisation'!$B$5,A26='5_categorisation'!$A$6,'5_categorisation'!$B$6,A26='5_categorisation'!$A$7,'5_categorisation'!$B$7,A26='5_categorisation'!$A$8,'5_categorisation'!$B$8,A26='5_categorisation'!$A$9,'5_categorisation'!$B$9,A26='5_categorisation'!$A34,'5_categorisation'!$B$10,A26='5_categorisation'!$A$12,'5_categorisation'!$B$12,A26='5_categorisation'!$A$12,'5_categorisation'!$B$12,A26='5_categorisation'!$A$13,'5_categorisation'!$B$13,A26='5_categorisation'!$A$14,'5_categorisation'!$B$14,A26='5_categorisation'!$A$15,'5_categorisation'!$B$15,A26='5_categorisation'!$A$16,'5_categorisation'!$B$16,A26='5_categorisation'!$A$17,'5_categorisation'!$B$17,A26='5_categorisation'!$A$11,'5_categorisation'!$B$11)</f>
        <v>centre</v>
      </c>
      <c r="D26" s="15">
        <v>6.0</v>
      </c>
      <c r="E26" s="15" t="s">
        <v>37</v>
      </c>
      <c r="F26" s="14" t="str">
        <f>ifs(E26='5_categorisation'!$D$2,'5_categorisation'!$F$2,E26='5_categorisation'!$D$3,'5_categorisation'!$F$3,E26='5_categorisation'!$D$4,'5_categorisation'!$F$4,E26='5_categorisation'!$D$5,'5_categorisation'!$F$5,E26='5_categorisation'!$D$6,'5_categorisation'!$F$6,E26='5_categorisation'!$D$7,'5_categorisation'!$F$7,E26='5_categorisation'!$D$8,'5_categorisation'!$F$8,E26='5_categorisation'!$D$9,'5_categorisation'!$F$9,E26='5_categorisation'!$D$10,'5_categorisation'!$F$10,E26='5_categorisation'!$D$11,'5_categorisation'!$F$11,E26='5_categorisation'!$D$12,'5_categorisation'!$F$12,E26='5_categorisation'!$D$13,'5_categorisation'!$F$13,E26='5_categorisation'!$D$14,'5_categorisation'!$F$14,E26='5_categorisation'!$D$15,'5_categorisation'!$F$15,E26='5_categorisation'!$D$16,'5_categorisation'!$F$16,E26='5_categorisation'!$D$17,'5_categorisation'!$F$17,E26='5_categorisation'!$D$18,'5_categorisation'!$F$18,E26='5_categorisation'!$D$19,'5_categorisation'!$F$19,E26='5_categorisation'!$D$20,'5_categorisation'!$F$20,E26='5_categorisation'!$D$21,'5_categorisation'!$F$21,E26='5_categorisation'!$D$22,'5_categorisation'!$F$22)</f>
        <v>droite</v>
      </c>
      <c r="G26" s="15" t="s">
        <v>204</v>
      </c>
      <c r="H26" s="15" t="s">
        <v>205</v>
      </c>
      <c r="I26" s="15" t="s">
        <v>778</v>
      </c>
      <c r="J26" s="14" t="str">
        <f>IFERROR(__xludf.DUMMYFUNCTION("FILTER(candidats!M:M,candidats!P:P=I26)"),"M")</f>
        <v>M</v>
      </c>
      <c r="K26" s="15">
        <v>795661.0</v>
      </c>
    </row>
    <row r="27">
      <c r="A27" s="13" t="s">
        <v>177</v>
      </c>
      <c r="B27" s="13" t="str">
        <f>IFERROR(__xludf.DUMMYFUNCTION("FILTER('5_categorisation'!C:C,'5_categorisation'!A:A=A27)"),"Auvergne-Rhône-Alpes")</f>
        <v>Auvergne-Rhône-Alpes</v>
      </c>
      <c r="C27" s="13" t="str">
        <f>IFS(A27='5_categorisation'!$A$2,'5_categorisation'!$B$2,A27='5_categorisation'!$A$3,'5_categorisation'!$B$3,A27='5_categorisation'!$A$4,'5_categorisation'!$B$4,A27='5_categorisation'!$A$5,'5_categorisation'!$B$5,A27='5_categorisation'!$A$6,'5_categorisation'!$B$6,A27='5_categorisation'!$A$7,'5_categorisation'!$B$7,A27='5_categorisation'!$A$8,'5_categorisation'!$B$8,A27='5_categorisation'!$A$9,'5_categorisation'!$B$9,A27='5_categorisation'!$A35,'5_categorisation'!$B$10,A27='5_categorisation'!$A$12,'5_categorisation'!$B$12,A27='5_categorisation'!$A$12,'5_categorisation'!$B$12,A27='5_categorisation'!$A$13,'5_categorisation'!$B$13,A27='5_categorisation'!$A$14,'5_categorisation'!$B$14,A27='5_categorisation'!$A$15,'5_categorisation'!$B$15,A27='5_categorisation'!$A$16,'5_categorisation'!$B$16,A27='5_categorisation'!$A$17,'5_categorisation'!$B$17,A27='5_categorisation'!$A$11,'5_categorisation'!$B$11)</f>
        <v>centre</v>
      </c>
      <c r="D27" s="14">
        <v>8.0</v>
      </c>
      <c r="E27" s="14" t="s">
        <v>11</v>
      </c>
      <c r="F27" s="14" t="str">
        <f>ifs(E27='5_categorisation'!$D$2,'5_categorisation'!$F$2,E27='5_categorisation'!$D$3,'5_categorisation'!$F$3,E27='5_categorisation'!$D$4,'5_categorisation'!$F$4,E27='5_categorisation'!$D$5,'5_categorisation'!$F$5,E27='5_categorisation'!$D$6,'5_categorisation'!$F$6,E27='5_categorisation'!$D$7,'5_categorisation'!$F$7,E27='5_categorisation'!$D$8,'5_categorisation'!$F$8,E27='5_categorisation'!$D$9,'5_categorisation'!$F$9,E27='5_categorisation'!$D$10,'5_categorisation'!$F$10,E27='5_categorisation'!$D$11,'5_categorisation'!$F$11,E27='5_categorisation'!$D$12,'5_categorisation'!$F$12,E27='5_categorisation'!$D$13,'5_categorisation'!$F$13,E27='5_categorisation'!$D$14,'5_categorisation'!$F$14,E27='5_categorisation'!$D$15,'5_categorisation'!$F$15,E27='5_categorisation'!$D$16,'5_categorisation'!$F$16,E27='5_categorisation'!$D$17,'5_categorisation'!$F$17,E27='5_categorisation'!$D$18,'5_categorisation'!$F$18,E27='5_categorisation'!$D$19,'5_categorisation'!$F$19,E27='5_categorisation'!$D$20,'5_categorisation'!$F$20,E27='5_categorisation'!$D$21,'5_categorisation'!$F$21,E27='5_categorisation'!$D$22,'5_categorisation'!$F$22)</f>
        <v>gauche</v>
      </c>
      <c r="G27" s="14" t="s">
        <v>210</v>
      </c>
      <c r="H27" s="14" t="s">
        <v>211</v>
      </c>
      <c r="I27" s="14" t="s">
        <v>779</v>
      </c>
      <c r="J27" s="14" t="str">
        <f>IFERROR(__xludf.DUMMYFUNCTION("FILTER(candidats!M:M,candidats!P:P=I27)"),"M")</f>
        <v>M</v>
      </c>
      <c r="K27" s="14">
        <v>173038.0</v>
      </c>
    </row>
    <row r="28">
      <c r="A28" s="13" t="s">
        <v>177</v>
      </c>
      <c r="B28" s="13" t="str">
        <f>IFERROR(__xludf.DUMMYFUNCTION("FILTER('5_categorisation'!C:C,'5_categorisation'!A:A=A28)"),"Auvergne-Rhône-Alpes")</f>
        <v>Auvergne-Rhône-Alpes</v>
      </c>
      <c r="C28" s="13" t="str">
        <f>IFS(A28='5_categorisation'!$A$2,'5_categorisation'!$B$2,A28='5_categorisation'!$A$3,'5_categorisation'!$B$3,A28='5_categorisation'!$A$4,'5_categorisation'!$B$4,A28='5_categorisation'!$A$5,'5_categorisation'!$B$5,A28='5_categorisation'!$A$6,'5_categorisation'!$B$6,A28='5_categorisation'!$A$7,'5_categorisation'!$B$7,A28='5_categorisation'!$A$8,'5_categorisation'!$B$8,A28='5_categorisation'!$A$9,'5_categorisation'!$B$9,A28='5_categorisation'!$A36,'5_categorisation'!$B$10,A28='5_categorisation'!$A$12,'5_categorisation'!$B$12,A28='5_categorisation'!$A$12,'5_categorisation'!$B$12,A28='5_categorisation'!$A$13,'5_categorisation'!$B$13,A28='5_categorisation'!$A$14,'5_categorisation'!$B$14,A28='5_categorisation'!$A$15,'5_categorisation'!$B$15,A28='5_categorisation'!$A$16,'5_categorisation'!$B$16,A28='5_categorisation'!$A$17,'5_categorisation'!$B$17,A28='5_categorisation'!$A$11,'5_categorisation'!$B$11)</f>
        <v>centre</v>
      </c>
      <c r="D28" s="14">
        <v>9.0</v>
      </c>
      <c r="E28" s="14" t="s">
        <v>39</v>
      </c>
      <c r="F28" s="14" t="str">
        <f>ifs(E28='5_categorisation'!$D$2,'5_categorisation'!$F$2,E28='5_categorisation'!$D$3,'5_categorisation'!$F$3,E28='5_categorisation'!$D$4,'5_categorisation'!$F$4,E28='5_categorisation'!$D$5,'5_categorisation'!$F$5,E28='5_categorisation'!$D$6,'5_categorisation'!$F$6,E28='5_categorisation'!$D$7,'5_categorisation'!$F$7,E28='5_categorisation'!$D$8,'5_categorisation'!$F$8,E28='5_categorisation'!$D$9,'5_categorisation'!$F$9,E28='5_categorisation'!$D$10,'5_categorisation'!$F$10,E28='5_categorisation'!$D$11,'5_categorisation'!$F$11,E28='5_categorisation'!$D$12,'5_categorisation'!$F$12,E28='5_categorisation'!$D$13,'5_categorisation'!$F$13,E28='5_categorisation'!$D$14,'5_categorisation'!$F$14,E28='5_categorisation'!$D$15,'5_categorisation'!$F$15,E28='5_categorisation'!$D$16,'5_categorisation'!$F$16,E28='5_categorisation'!$D$17,'5_categorisation'!$F$17,E28='5_categorisation'!$D$18,'5_categorisation'!$F$18,E28='5_categorisation'!$D$19,'5_categorisation'!$F$19,E28='5_categorisation'!$D$20,'5_categorisation'!$F$20,E28='5_categorisation'!$D$21,'5_categorisation'!$F$21,E28='5_categorisation'!$D$22,'5_categorisation'!$F$22)</f>
        <v>droite</v>
      </c>
      <c r="G28" s="14" t="s">
        <v>215</v>
      </c>
      <c r="H28" s="14" t="s">
        <v>91</v>
      </c>
      <c r="I28" s="14" t="s">
        <v>780</v>
      </c>
      <c r="J28" s="14" t="str">
        <f>IFERROR(__xludf.DUMMYFUNCTION("FILTER(candidats!M:M,candidats!P:P=I28)"),"M")</f>
        <v>M</v>
      </c>
      <c r="K28" s="14">
        <v>71538.0</v>
      </c>
    </row>
    <row r="29">
      <c r="A29" s="13" t="s">
        <v>177</v>
      </c>
      <c r="B29" s="13" t="str">
        <f>IFERROR(__xludf.DUMMYFUNCTION("FILTER('5_categorisation'!C:C,'5_categorisation'!A:A=A29)"),"Auvergne-Rhône-Alpes")</f>
        <v>Auvergne-Rhône-Alpes</v>
      </c>
      <c r="C29" s="13" t="str">
        <f>IFS(A29='5_categorisation'!$A$2,'5_categorisation'!$B$2,A29='5_categorisation'!$A$3,'5_categorisation'!$B$3,A29='5_categorisation'!$A$4,'5_categorisation'!$B$4,A29='5_categorisation'!$A$5,'5_categorisation'!$B$5,A29='5_categorisation'!$A$6,'5_categorisation'!$B$6,A29='5_categorisation'!$A$7,'5_categorisation'!$B$7,A29='5_categorisation'!$A$8,'5_categorisation'!$B$8,A29='5_categorisation'!$A$9,'5_categorisation'!$B$9,A29='5_categorisation'!$A37,'5_categorisation'!$B$10,A29='5_categorisation'!$A$12,'5_categorisation'!$B$12,A29='5_categorisation'!$A$12,'5_categorisation'!$B$12,A29='5_categorisation'!$A$13,'5_categorisation'!$B$13,A29='5_categorisation'!$A$14,'5_categorisation'!$B$14,A29='5_categorisation'!$A$15,'5_categorisation'!$B$15,A29='5_categorisation'!$A$16,'5_categorisation'!$B$16,A29='5_categorisation'!$A$17,'5_categorisation'!$B$17,A29='5_categorisation'!$A$11,'5_categorisation'!$B$11)</f>
        <v>centre</v>
      </c>
      <c r="D29" s="14">
        <v>10.0</v>
      </c>
      <c r="E29" s="14" t="s">
        <v>15</v>
      </c>
      <c r="F29" s="14" t="str">
        <f>ifs(E29='5_categorisation'!$D$2,'5_categorisation'!$F$2,E29='5_categorisation'!$D$3,'5_categorisation'!$F$3,E29='5_categorisation'!$D$4,'5_categorisation'!$F$4,E29='5_categorisation'!$D$5,'5_categorisation'!$F$5,E29='5_categorisation'!$D$6,'5_categorisation'!$F$6,E29='5_categorisation'!$D$7,'5_categorisation'!$F$7,E29='5_categorisation'!$D$8,'5_categorisation'!$F$8,E29='5_categorisation'!$D$9,'5_categorisation'!$F$9,E29='5_categorisation'!$D$10,'5_categorisation'!$F$10,E29='5_categorisation'!$D$11,'5_categorisation'!$F$11,E29='5_categorisation'!$D$12,'5_categorisation'!$F$12,E29='5_categorisation'!$D$13,'5_categorisation'!$F$13,E29='5_categorisation'!$D$14,'5_categorisation'!$F$14,E29='5_categorisation'!$D$15,'5_categorisation'!$F$15,E29='5_categorisation'!$D$16,'5_categorisation'!$F$16,E29='5_categorisation'!$D$17,'5_categorisation'!$F$17,E29='5_categorisation'!$D$18,'5_categorisation'!$F$18,E29='5_categorisation'!$D$19,'5_categorisation'!$F$19,E29='5_categorisation'!$D$20,'5_categorisation'!$F$20,E29='5_categorisation'!$D$21,'5_categorisation'!$F$21,E29='5_categorisation'!$D$22,'5_categorisation'!$F$22)</f>
        <v>gauche</v>
      </c>
      <c r="G29" s="14" t="s">
        <v>219</v>
      </c>
      <c r="H29" s="14" t="s">
        <v>219</v>
      </c>
      <c r="I29" s="14" t="s">
        <v>781</v>
      </c>
      <c r="J29" s="14" t="str">
        <f>IFERROR(__xludf.DUMMYFUNCTION("FILTER(candidats!M:M,candidats!P:P=I29)"),"M")</f>
        <v>M</v>
      </c>
      <c r="K29" s="14">
        <v>600112.0</v>
      </c>
    </row>
    <row r="30">
      <c r="A30" s="13" t="s">
        <v>223</v>
      </c>
      <c r="B30" s="13" t="str">
        <f>IFERROR(__xludf.DUMMYFUNCTION("FILTER('5_categorisation'!C:C,'5_categorisation'!A:A=A30)"),"Bourgogne-Franche-Comté")</f>
        <v>Bourgogne-Franche-Comté</v>
      </c>
      <c r="C30" s="13" t="str">
        <f>IFS(A30='5_categorisation'!$A$2,'5_categorisation'!$B$2,A30='5_categorisation'!$A$3,'5_categorisation'!$B$3,A30='5_categorisation'!$A$4,'5_categorisation'!$B$4,A30='5_categorisation'!$A$5,'5_categorisation'!$B$5,A30='5_categorisation'!$A$6,'5_categorisation'!$B$6,A30='5_categorisation'!$A$7,'5_categorisation'!$B$7,A30='5_categorisation'!$A$8,'5_categorisation'!$B$8,A30='5_categorisation'!$A$9,'5_categorisation'!$B$9,A30='5_categorisation'!$A38,'5_categorisation'!$B$10,A30='5_categorisation'!$A$12,'5_categorisation'!$B$12,A30='5_categorisation'!$A$12,'5_categorisation'!$B$12,A30='5_categorisation'!$A$13,'5_categorisation'!$B$13,A30='5_categorisation'!$A$14,'5_categorisation'!$B$14,A30='5_categorisation'!$A$15,'5_categorisation'!$B$15,A30='5_categorisation'!$A$16,'5_categorisation'!$B$16,A30='5_categorisation'!$A$17,'5_categorisation'!$B$17,A30='5_categorisation'!$A$11,'5_categorisation'!$B$11)</f>
        <v>est</v>
      </c>
      <c r="D30" s="14">
        <v>1.0</v>
      </c>
      <c r="E30" s="14" t="s">
        <v>43</v>
      </c>
      <c r="F30" s="14" t="str">
        <f>ifs(E30='5_categorisation'!$D$2,'5_categorisation'!$F$2,E30='5_categorisation'!$D$3,'5_categorisation'!$F$3,E30='5_categorisation'!$D$4,'5_categorisation'!$F$4,E30='5_categorisation'!$D$5,'5_categorisation'!$F$5,E30='5_categorisation'!$D$6,'5_categorisation'!$F$6,E30='5_categorisation'!$D$7,'5_categorisation'!$F$7,E30='5_categorisation'!$D$8,'5_categorisation'!$F$8,E30='5_categorisation'!$D$9,'5_categorisation'!$F$9,E30='5_categorisation'!$D$10,'5_categorisation'!$F$10,E30='5_categorisation'!$D$11,'5_categorisation'!$F$11,E30='5_categorisation'!$D$12,'5_categorisation'!$F$12,E30='5_categorisation'!$D$13,'5_categorisation'!$F$13,E30='5_categorisation'!$D$14,'5_categorisation'!$F$14,E30='5_categorisation'!$D$15,'5_categorisation'!$F$15,E30='5_categorisation'!$D$16,'5_categorisation'!$F$16,E30='5_categorisation'!$D$17,'5_categorisation'!$F$17,E30='5_categorisation'!$D$18,'5_categorisation'!$F$18,E30='5_categorisation'!$D$19,'5_categorisation'!$F$19,E30='5_categorisation'!$D$20,'5_categorisation'!$F$20,E30='5_categorisation'!$D$21,'5_categorisation'!$F$21,E30='5_categorisation'!$D$22,'5_categorisation'!$F$22)</f>
        <v>droite</v>
      </c>
      <c r="G30" s="14" t="s">
        <v>101</v>
      </c>
      <c r="H30" s="14" t="s">
        <v>225</v>
      </c>
      <c r="I30" s="14" t="s">
        <v>782</v>
      </c>
      <c r="J30" s="14" t="str">
        <f>IFERROR(__xludf.DUMMYFUNCTION("FILTER(candidats!M:M,candidats!P:P=I30)"),"F")</f>
        <v>F</v>
      </c>
      <c r="K30" s="14">
        <v>303143.0</v>
      </c>
    </row>
    <row r="31">
      <c r="A31" s="15" t="s">
        <v>223</v>
      </c>
      <c r="B31" s="13" t="str">
        <f>IFERROR(__xludf.DUMMYFUNCTION("FILTER('5_categorisation'!C:C,'5_categorisation'!A:A=A31)"),"Bourgogne-Franche-Comté")</f>
        <v>Bourgogne-Franche-Comté</v>
      </c>
      <c r="C31" s="13" t="str">
        <f>IFS(A31='5_categorisation'!$A$2,'5_categorisation'!$B$2,A31='5_categorisation'!$A$3,'5_categorisation'!$B$3,A31='5_categorisation'!$A$4,'5_categorisation'!$B$4,A31='5_categorisation'!$A$5,'5_categorisation'!$B$5,A31='5_categorisation'!$A$6,'5_categorisation'!$B$6,A31='5_categorisation'!$A$7,'5_categorisation'!$B$7,A31='5_categorisation'!$A$8,'5_categorisation'!$B$8,A31='5_categorisation'!$A$9,'5_categorisation'!$B$9,A31='5_categorisation'!$A39,'5_categorisation'!$B$10,A31='5_categorisation'!$A$12,'5_categorisation'!$B$12,A31='5_categorisation'!$A$12,'5_categorisation'!$B$12,A31='5_categorisation'!$A$13,'5_categorisation'!$B$13,A31='5_categorisation'!$A$14,'5_categorisation'!$B$14,A31='5_categorisation'!$A$15,'5_categorisation'!$B$15,A31='5_categorisation'!$A$16,'5_categorisation'!$B$16,A31='5_categorisation'!$A$17,'5_categorisation'!$B$17,A31='5_categorisation'!$A$11,'5_categorisation'!$B$11)</f>
        <v>est</v>
      </c>
      <c r="D31" s="15">
        <v>2.0</v>
      </c>
      <c r="E31" s="15" t="s">
        <v>25</v>
      </c>
      <c r="F31" s="14" t="str">
        <f>ifs(E31='5_categorisation'!$D$2,'5_categorisation'!$F$2,E31='5_categorisation'!$D$3,'5_categorisation'!$F$3,E31='5_categorisation'!$D$4,'5_categorisation'!$F$4,E31='5_categorisation'!$D$5,'5_categorisation'!$F$5,E31='5_categorisation'!$D$6,'5_categorisation'!$F$6,E31='5_categorisation'!$D$7,'5_categorisation'!$F$7,E31='5_categorisation'!$D$8,'5_categorisation'!$F$8,E31='5_categorisation'!$D$9,'5_categorisation'!$F$9,E31='5_categorisation'!$D$10,'5_categorisation'!$F$10,E31='5_categorisation'!$D$11,'5_categorisation'!$F$11,E31='5_categorisation'!$D$12,'5_categorisation'!$F$12,E31='5_categorisation'!$D$13,'5_categorisation'!$F$13,E31='5_categorisation'!$D$14,'5_categorisation'!$F$14,E31='5_categorisation'!$D$15,'5_categorisation'!$F$15,E31='5_categorisation'!$D$16,'5_categorisation'!$F$16,E31='5_categorisation'!$D$17,'5_categorisation'!$F$17,E31='5_categorisation'!$D$18,'5_categorisation'!$F$18,E31='5_categorisation'!$D$19,'5_categorisation'!$F$19,E31='5_categorisation'!$D$20,'5_categorisation'!$F$20,E31='5_categorisation'!$D$21,'5_categorisation'!$F$21,E31='5_categorisation'!$D$22,'5_categorisation'!$F$22)</f>
        <v>autre</v>
      </c>
      <c r="G31" s="15" t="s">
        <v>107</v>
      </c>
      <c r="H31" s="15" t="s">
        <v>229</v>
      </c>
      <c r="I31" s="15" t="s">
        <v>783</v>
      </c>
      <c r="J31" s="14" t="str">
        <f>IFERROR(__xludf.DUMMYFUNCTION("FILTER(candidats!M:M,candidats!P:P=I31)"),"M")</f>
        <v>M</v>
      </c>
      <c r="K31" s="15">
        <v>8835.0</v>
      </c>
    </row>
    <row r="32">
      <c r="A32" s="13" t="s">
        <v>223</v>
      </c>
      <c r="B32" s="13" t="str">
        <f>IFERROR(__xludf.DUMMYFUNCTION("FILTER('5_categorisation'!C:C,'5_categorisation'!A:A=A32)"),"Bourgogne-Franche-Comté")</f>
        <v>Bourgogne-Franche-Comté</v>
      </c>
      <c r="C32" s="13" t="str">
        <f>IFS(A32='5_categorisation'!$A$2,'5_categorisation'!$B$2,A32='5_categorisation'!$A$3,'5_categorisation'!$B$3,A32='5_categorisation'!$A$4,'5_categorisation'!$B$4,A32='5_categorisation'!$A$5,'5_categorisation'!$B$5,A32='5_categorisation'!$A$6,'5_categorisation'!$B$6,A32='5_categorisation'!$A$7,'5_categorisation'!$B$7,A32='5_categorisation'!$A$8,'5_categorisation'!$B$8,A32='5_categorisation'!$A$9,'5_categorisation'!$B$9,A32='5_categorisation'!$A40,'5_categorisation'!$B$10,A32='5_categorisation'!$A$12,'5_categorisation'!$B$12,A32='5_categorisation'!$A$12,'5_categorisation'!$B$12,A32='5_categorisation'!$A$13,'5_categorisation'!$B$13,A32='5_categorisation'!$A$14,'5_categorisation'!$B$14,A32='5_categorisation'!$A$15,'5_categorisation'!$B$15,A32='5_categorisation'!$A$16,'5_categorisation'!$B$16,A32='5_categorisation'!$A$17,'5_categorisation'!$B$17,A32='5_categorisation'!$A$11,'5_categorisation'!$B$11)</f>
        <v>est</v>
      </c>
      <c r="D32" s="14">
        <v>3.0</v>
      </c>
      <c r="E32" s="14" t="s">
        <v>37</v>
      </c>
      <c r="F32" s="14" t="str">
        <f>ifs(E32='5_categorisation'!$D$2,'5_categorisation'!$F$2,E32='5_categorisation'!$D$3,'5_categorisation'!$F$3,E32='5_categorisation'!$D$4,'5_categorisation'!$F$4,E32='5_categorisation'!$D$5,'5_categorisation'!$F$5,E32='5_categorisation'!$D$6,'5_categorisation'!$F$6,E32='5_categorisation'!$D$7,'5_categorisation'!$F$7,E32='5_categorisation'!$D$8,'5_categorisation'!$F$8,E32='5_categorisation'!$D$9,'5_categorisation'!$F$9,E32='5_categorisation'!$D$10,'5_categorisation'!$F$10,E32='5_categorisation'!$D$11,'5_categorisation'!$F$11,E32='5_categorisation'!$D$12,'5_categorisation'!$F$12,E32='5_categorisation'!$D$13,'5_categorisation'!$F$13,E32='5_categorisation'!$D$14,'5_categorisation'!$F$14,E32='5_categorisation'!$D$15,'5_categorisation'!$F$15,E32='5_categorisation'!$D$16,'5_categorisation'!$F$16,E32='5_categorisation'!$D$17,'5_categorisation'!$F$17,E32='5_categorisation'!$D$18,'5_categorisation'!$F$18,E32='5_categorisation'!$D$19,'5_categorisation'!$F$19,E32='5_categorisation'!$D$20,'5_categorisation'!$F$20,E32='5_categorisation'!$D$21,'5_categorisation'!$F$21,E32='5_categorisation'!$D$22,'5_categorisation'!$F$22)</f>
        <v>droite</v>
      </c>
      <c r="G32" s="14" t="s">
        <v>233</v>
      </c>
      <c r="H32" s="14" t="s">
        <v>234</v>
      </c>
      <c r="I32" s="14" t="s">
        <v>784</v>
      </c>
      <c r="J32" s="14" t="str">
        <f>IFERROR(__xludf.DUMMYFUNCTION("FILTER(candidats!M:M,candidats!P:P=I32)"),"M")</f>
        <v>M</v>
      </c>
      <c r="K32" s="14">
        <v>231069.0</v>
      </c>
    </row>
    <row r="33">
      <c r="A33" s="13" t="s">
        <v>223</v>
      </c>
      <c r="B33" s="13" t="str">
        <f>IFERROR(__xludf.DUMMYFUNCTION("FILTER('5_categorisation'!C:C,'5_categorisation'!A:A=A33)"),"Bourgogne-Franche-Comté")</f>
        <v>Bourgogne-Franche-Comté</v>
      </c>
      <c r="C33" s="13" t="str">
        <f>IFS(A33='5_categorisation'!$A$2,'5_categorisation'!$B$2,A33='5_categorisation'!$A$3,'5_categorisation'!$B$3,A33='5_categorisation'!$A$4,'5_categorisation'!$B$4,A33='5_categorisation'!$A$5,'5_categorisation'!$B$5,A33='5_categorisation'!$A$6,'5_categorisation'!$B$6,A33='5_categorisation'!$A$7,'5_categorisation'!$B$7,A33='5_categorisation'!$A$8,'5_categorisation'!$B$8,A33='5_categorisation'!$A$9,'5_categorisation'!$B$9,A33='5_categorisation'!$A41,'5_categorisation'!$B$10,A33='5_categorisation'!$A$12,'5_categorisation'!$B$12,A33='5_categorisation'!$A$12,'5_categorisation'!$B$12,A33='5_categorisation'!$A$13,'5_categorisation'!$B$13,A33='5_categorisation'!$A$14,'5_categorisation'!$B$14,A33='5_categorisation'!$A$15,'5_categorisation'!$B$15,A33='5_categorisation'!$A$16,'5_categorisation'!$B$16,A33='5_categorisation'!$A$17,'5_categorisation'!$B$17,A33='5_categorisation'!$A$11,'5_categorisation'!$B$11)</f>
        <v>est</v>
      </c>
      <c r="D33" s="14">
        <v>4.0</v>
      </c>
      <c r="E33" s="14" t="s">
        <v>23</v>
      </c>
      <c r="F33" s="14" t="str">
        <f>ifs(E33='5_categorisation'!$D$2,'5_categorisation'!$F$2,E33='5_categorisation'!$D$3,'5_categorisation'!$F$3,E33='5_categorisation'!$D$4,'5_categorisation'!$F$4,E33='5_categorisation'!$D$5,'5_categorisation'!$F$5,E33='5_categorisation'!$D$6,'5_categorisation'!$F$6,E33='5_categorisation'!$D$7,'5_categorisation'!$F$7,E33='5_categorisation'!$D$8,'5_categorisation'!$F$8,E33='5_categorisation'!$D$9,'5_categorisation'!$F$9,E33='5_categorisation'!$D$10,'5_categorisation'!$F$10,E33='5_categorisation'!$D$11,'5_categorisation'!$F$11,E33='5_categorisation'!$D$12,'5_categorisation'!$F$12,E33='5_categorisation'!$D$13,'5_categorisation'!$F$13,E33='5_categorisation'!$D$14,'5_categorisation'!$F$14,E33='5_categorisation'!$D$15,'5_categorisation'!$F$15,E33='5_categorisation'!$D$16,'5_categorisation'!$F$16,E33='5_categorisation'!$D$17,'5_categorisation'!$F$17,E33='5_categorisation'!$D$18,'5_categorisation'!$F$18,E33='5_categorisation'!$D$19,'5_categorisation'!$F$19,E33='5_categorisation'!$D$20,'5_categorisation'!$F$20,E33='5_categorisation'!$D$21,'5_categorisation'!$F$21,E33='5_categorisation'!$D$22,'5_categorisation'!$F$22)</f>
        <v>gauche</v>
      </c>
      <c r="G33" s="14" t="s">
        <v>238</v>
      </c>
      <c r="H33" s="14" t="s">
        <v>239</v>
      </c>
      <c r="I33" s="14" t="s">
        <v>785</v>
      </c>
      <c r="J33" s="14" t="str">
        <f>IFERROR(__xludf.DUMMYFUNCTION("FILTER(candidats!M:M,candidats!P:P=I33)"),"M")</f>
        <v>M</v>
      </c>
      <c r="K33" s="14">
        <v>20616.0</v>
      </c>
    </row>
    <row r="34">
      <c r="A34" s="13" t="s">
        <v>223</v>
      </c>
      <c r="B34" s="13" t="str">
        <f>IFERROR(__xludf.DUMMYFUNCTION("FILTER('5_categorisation'!C:C,'5_categorisation'!A:A=A34)"),"Bourgogne-Franche-Comté")</f>
        <v>Bourgogne-Franche-Comté</v>
      </c>
      <c r="C34" s="13" t="str">
        <f>IFS(A34='5_categorisation'!$A$2,'5_categorisation'!$B$2,A34='5_categorisation'!$A$3,'5_categorisation'!$B$3,A34='5_categorisation'!$A$4,'5_categorisation'!$B$4,A34='5_categorisation'!$A$5,'5_categorisation'!$B$5,A34='5_categorisation'!$A$6,'5_categorisation'!$B$6,A34='5_categorisation'!$A$7,'5_categorisation'!$B$7,A34='5_categorisation'!$A$8,'5_categorisation'!$B$8,A34='5_categorisation'!$A$9,'5_categorisation'!$B$9,A34='5_categorisation'!$A42,'5_categorisation'!$B$10,A34='5_categorisation'!$A$12,'5_categorisation'!$B$12,A34='5_categorisation'!$A$12,'5_categorisation'!$B$12,A34='5_categorisation'!$A$13,'5_categorisation'!$B$13,A34='5_categorisation'!$A$14,'5_categorisation'!$B$14,A34='5_categorisation'!$A$15,'5_categorisation'!$B$15,A34='5_categorisation'!$A$16,'5_categorisation'!$B$16,A34='5_categorisation'!$A$17,'5_categorisation'!$B$17,A34='5_categorisation'!$A$11,'5_categorisation'!$B$11)</f>
        <v>est</v>
      </c>
      <c r="D34" s="14">
        <v>5.0</v>
      </c>
      <c r="E34" s="14" t="s">
        <v>21</v>
      </c>
      <c r="F34" s="14" t="str">
        <f>ifs(E34='5_categorisation'!$D$2,'5_categorisation'!$F$2,E34='5_categorisation'!$D$3,'5_categorisation'!$F$3,E34='5_categorisation'!$D$4,'5_categorisation'!$F$4,E34='5_categorisation'!$D$5,'5_categorisation'!$F$5,E34='5_categorisation'!$D$6,'5_categorisation'!$F$6,E34='5_categorisation'!$D$7,'5_categorisation'!$F$7,E34='5_categorisation'!$D$8,'5_categorisation'!$F$8,E34='5_categorisation'!$D$9,'5_categorisation'!$F$9,E34='5_categorisation'!$D$10,'5_categorisation'!$F$10,E34='5_categorisation'!$D$11,'5_categorisation'!$F$11,E34='5_categorisation'!$D$12,'5_categorisation'!$F$12,E34='5_categorisation'!$D$13,'5_categorisation'!$F$13,E34='5_categorisation'!$D$14,'5_categorisation'!$F$14,E34='5_categorisation'!$D$15,'5_categorisation'!$F$15,E34='5_categorisation'!$D$16,'5_categorisation'!$F$16,E34='5_categorisation'!$D$17,'5_categorisation'!$F$17,E34='5_categorisation'!$D$18,'5_categorisation'!$F$18,E34='5_categorisation'!$D$19,'5_categorisation'!$F$19,E34='5_categorisation'!$D$20,'5_categorisation'!$F$20,E34='5_categorisation'!$D$21,'5_categorisation'!$F$21,E34='5_categorisation'!$D$22,'5_categorisation'!$F$22)</f>
        <v>gauche</v>
      </c>
      <c r="G34" s="14" t="s">
        <v>242</v>
      </c>
      <c r="H34" s="14" t="s">
        <v>243</v>
      </c>
      <c r="I34" s="14" t="s">
        <v>786</v>
      </c>
      <c r="J34" s="14" t="str">
        <f>IFERROR(__xludf.DUMMYFUNCTION("FILTER(candidats!M:M,candidats!P:P=I34)"),"F")</f>
        <v>F</v>
      </c>
      <c r="K34" s="14">
        <v>37707.0</v>
      </c>
    </row>
    <row r="35">
      <c r="A35" s="13" t="s">
        <v>223</v>
      </c>
      <c r="B35" s="13" t="str">
        <f>IFERROR(__xludf.DUMMYFUNCTION("FILTER('5_categorisation'!C:C,'5_categorisation'!A:A=A35)"),"Bourgogne-Franche-Comté")</f>
        <v>Bourgogne-Franche-Comté</v>
      </c>
      <c r="C35" s="13" t="str">
        <f>IFS(A35='5_categorisation'!$A$2,'5_categorisation'!$B$2,A35='5_categorisation'!$A$3,'5_categorisation'!$B$3,A35='5_categorisation'!$A$4,'5_categorisation'!$B$4,A35='5_categorisation'!$A$5,'5_categorisation'!$B$5,A35='5_categorisation'!$A$6,'5_categorisation'!$B$6,A35='5_categorisation'!$A$7,'5_categorisation'!$B$7,A35='5_categorisation'!$A$8,'5_categorisation'!$B$8,A35='5_categorisation'!$A$9,'5_categorisation'!$B$9,A35='5_categorisation'!$A43,'5_categorisation'!$B$10,A35='5_categorisation'!$A$12,'5_categorisation'!$B$12,A35='5_categorisation'!$A$12,'5_categorisation'!$B$12,A35='5_categorisation'!$A$13,'5_categorisation'!$B$13,A35='5_categorisation'!$A$14,'5_categorisation'!$B$14,A35='5_categorisation'!$A$15,'5_categorisation'!$B$15,A35='5_categorisation'!$A$16,'5_categorisation'!$B$16,A35='5_categorisation'!$A$17,'5_categorisation'!$B$17,A35='5_categorisation'!$A$11,'5_categorisation'!$B$11)</f>
        <v>est</v>
      </c>
      <c r="D35" s="16">
        <v>6.0</v>
      </c>
      <c r="E35" s="14" t="s">
        <v>5</v>
      </c>
      <c r="F35" s="14" t="str">
        <f>ifs(E35='5_categorisation'!$D$2,'5_categorisation'!$F$2,E35='5_categorisation'!$D$3,'5_categorisation'!$F$3,E35='5_categorisation'!$D$4,'5_categorisation'!$F$4,E35='5_categorisation'!$D$5,'5_categorisation'!$F$5,E35='5_categorisation'!$D$6,'5_categorisation'!$F$6,E35='5_categorisation'!$D$7,'5_categorisation'!$F$7,E35='5_categorisation'!$D$8,'5_categorisation'!$F$8,E35='5_categorisation'!$D$9,'5_categorisation'!$F$9,E35='5_categorisation'!$D$10,'5_categorisation'!$F$10,E35='5_categorisation'!$D$11,'5_categorisation'!$F$11,E35='5_categorisation'!$D$12,'5_categorisation'!$F$12,E35='5_categorisation'!$D$13,'5_categorisation'!$F$13,E35='5_categorisation'!$D$14,'5_categorisation'!$F$14,E35='5_categorisation'!$D$15,'5_categorisation'!$F$15,E35='5_categorisation'!$D$16,'5_categorisation'!$F$16,E35='5_categorisation'!$D$17,'5_categorisation'!$F$17,E35='5_categorisation'!$D$18,'5_categorisation'!$F$18,E35='5_categorisation'!$D$19,'5_categorisation'!$F$19,E35='5_categorisation'!$D$20,'5_categorisation'!$F$20,E35='5_categorisation'!$D$21,'5_categorisation'!$F$21,E35='5_categorisation'!$D$22,'5_categorisation'!$F$22)</f>
        <v>gauche</v>
      </c>
      <c r="G35" s="14" t="s">
        <v>246</v>
      </c>
      <c r="H35" s="14" t="s">
        <v>247</v>
      </c>
      <c r="I35" s="14" t="s">
        <v>787</v>
      </c>
      <c r="J35" s="14" t="str">
        <f>IFERROR(__xludf.DUMMYFUNCTION("FILTER(candidats!M:M,candidats!P:P=I35)"),"F")</f>
        <v>F</v>
      </c>
      <c r="K35" s="14">
        <v>44471.0</v>
      </c>
    </row>
    <row r="36">
      <c r="A36" s="13" t="s">
        <v>223</v>
      </c>
      <c r="B36" s="13" t="str">
        <f>IFERROR(__xludf.DUMMYFUNCTION("FILTER('5_categorisation'!C:C,'5_categorisation'!A:A=A36)"),"Bourgogne-Franche-Comté")</f>
        <v>Bourgogne-Franche-Comté</v>
      </c>
      <c r="C36" s="13" t="str">
        <f>IFS(A36='5_categorisation'!$A$2,'5_categorisation'!$B$2,A36='5_categorisation'!$A$3,'5_categorisation'!$B$3,A36='5_categorisation'!$A$4,'5_categorisation'!$B$4,A36='5_categorisation'!$A$5,'5_categorisation'!$B$5,A36='5_categorisation'!$A$6,'5_categorisation'!$B$6,A36='5_categorisation'!$A$7,'5_categorisation'!$B$7,A36='5_categorisation'!$A$8,'5_categorisation'!$B$8,A36='5_categorisation'!$A$9,'5_categorisation'!$B$9,A36='5_categorisation'!$A44,'5_categorisation'!$B$10,A36='5_categorisation'!$A$12,'5_categorisation'!$B$12,A36='5_categorisation'!$A$12,'5_categorisation'!$B$12,A36='5_categorisation'!$A$13,'5_categorisation'!$B$13,A36='5_categorisation'!$A$14,'5_categorisation'!$B$14,A36='5_categorisation'!$A$15,'5_categorisation'!$B$15,A36='5_categorisation'!$A$16,'5_categorisation'!$B$16,A36='5_categorisation'!$A$17,'5_categorisation'!$B$17,A36='5_categorisation'!$A$11,'5_categorisation'!$B$11)</f>
        <v>est</v>
      </c>
      <c r="D36" s="15">
        <v>7.0</v>
      </c>
      <c r="E36" s="15" t="s">
        <v>3</v>
      </c>
      <c r="F36" s="14" t="str">
        <f>ifs(E36='5_categorisation'!$D$2,'5_categorisation'!$F$2,E36='5_categorisation'!$D$3,'5_categorisation'!$F$3,E36='5_categorisation'!$D$4,'5_categorisation'!$F$4,E36='5_categorisation'!$D$5,'5_categorisation'!$F$5,E36='5_categorisation'!$D$6,'5_categorisation'!$F$6,E36='5_categorisation'!$D$7,'5_categorisation'!$F$7,E36='5_categorisation'!$D$8,'5_categorisation'!$F$8,E36='5_categorisation'!$D$9,'5_categorisation'!$F$9,E36='5_categorisation'!$D$10,'5_categorisation'!$F$10,E36='5_categorisation'!$D$11,'5_categorisation'!$F$11,E36='5_categorisation'!$D$12,'5_categorisation'!$F$12,E36='5_categorisation'!$D$13,'5_categorisation'!$F$13,E36='5_categorisation'!$D$14,'5_categorisation'!$F$14,E36='5_categorisation'!$D$15,'5_categorisation'!$F$15,E36='5_categorisation'!$D$16,'5_categorisation'!$F$16,E36='5_categorisation'!$D$17,'5_categorisation'!$F$17,E36='5_categorisation'!$D$18,'5_categorisation'!$F$18,E36='5_categorisation'!$D$19,'5_categorisation'!$F$19,E36='5_categorisation'!$D$20,'5_categorisation'!$F$20,E36='5_categorisation'!$D$21,'5_categorisation'!$F$21,E36='5_categorisation'!$D$22,'5_categorisation'!$F$22)</f>
        <v>gauche</v>
      </c>
      <c r="G36" s="15" t="s">
        <v>113</v>
      </c>
      <c r="H36" s="15" t="s">
        <v>174</v>
      </c>
      <c r="I36" s="15" t="s">
        <v>788</v>
      </c>
      <c r="J36" s="14" t="str">
        <f>IFERROR(__xludf.DUMMYFUNCTION("FILTER(candidats!M:M,candidats!P:P=I36)"),"F")</f>
        <v>F</v>
      </c>
      <c r="K36" s="15">
        <v>14518.0</v>
      </c>
    </row>
    <row r="37">
      <c r="A37" s="13" t="s">
        <v>223</v>
      </c>
      <c r="B37" s="13" t="str">
        <f>IFERROR(__xludf.DUMMYFUNCTION("FILTER('5_categorisation'!C:C,'5_categorisation'!A:A=A37)"),"Bourgogne-Franche-Comté")</f>
        <v>Bourgogne-Franche-Comté</v>
      </c>
      <c r="C37" s="13" t="str">
        <f>IFS(A37='5_categorisation'!$A$2,'5_categorisation'!$B$2,A37='5_categorisation'!$A$3,'5_categorisation'!$B$3,A37='5_categorisation'!$A$4,'5_categorisation'!$B$4,A37='5_categorisation'!$A$5,'5_categorisation'!$B$5,A37='5_categorisation'!$A$6,'5_categorisation'!$B$6,A37='5_categorisation'!$A$7,'5_categorisation'!$B$7,A37='5_categorisation'!$A$8,'5_categorisation'!$B$8,A37='5_categorisation'!$A$9,'5_categorisation'!$B$9,A37='5_categorisation'!$A45,'5_categorisation'!$B$10,A37='5_categorisation'!$A$12,'5_categorisation'!$B$12,A37='5_categorisation'!$A$12,'5_categorisation'!$B$12,A37='5_categorisation'!$A$13,'5_categorisation'!$B$13,A37='5_categorisation'!$A$14,'5_categorisation'!$B$14,A37='5_categorisation'!$A$15,'5_categorisation'!$B$15,A37='5_categorisation'!$A$16,'5_categorisation'!$B$16,A37='5_categorisation'!$A$17,'5_categorisation'!$B$17,A37='5_categorisation'!$A$11,'5_categorisation'!$B$11)</f>
        <v>est</v>
      </c>
      <c r="D37" s="14">
        <v>8.0</v>
      </c>
      <c r="E37" s="14" t="s">
        <v>39</v>
      </c>
      <c r="F37" s="14" t="str">
        <f>ifs(E37='5_categorisation'!$D$2,'5_categorisation'!$F$2,E37='5_categorisation'!$D$3,'5_categorisation'!$F$3,E37='5_categorisation'!$D$4,'5_categorisation'!$F$4,E37='5_categorisation'!$D$5,'5_categorisation'!$F$5,E37='5_categorisation'!$D$6,'5_categorisation'!$F$6,E37='5_categorisation'!$D$7,'5_categorisation'!$F$7,E37='5_categorisation'!$D$8,'5_categorisation'!$F$8,E37='5_categorisation'!$D$9,'5_categorisation'!$F$9,E37='5_categorisation'!$D$10,'5_categorisation'!$F$10,E37='5_categorisation'!$D$11,'5_categorisation'!$F$11,E37='5_categorisation'!$D$12,'5_categorisation'!$F$12,E37='5_categorisation'!$D$13,'5_categorisation'!$F$13,E37='5_categorisation'!$D$14,'5_categorisation'!$F$14,E37='5_categorisation'!$D$15,'5_categorisation'!$F$15,E37='5_categorisation'!$D$16,'5_categorisation'!$F$16,E37='5_categorisation'!$D$17,'5_categorisation'!$F$17,E37='5_categorisation'!$D$18,'5_categorisation'!$F$18,E37='5_categorisation'!$D$19,'5_categorisation'!$F$19,E37='5_categorisation'!$D$20,'5_categorisation'!$F$20,E37='5_categorisation'!$D$21,'5_categorisation'!$F$21,E37='5_categorisation'!$D$22,'5_categorisation'!$F$22)</f>
        <v>droite</v>
      </c>
      <c r="G37" s="14" t="s">
        <v>90</v>
      </c>
      <c r="H37" s="14" t="s">
        <v>91</v>
      </c>
      <c r="I37" s="14" t="s">
        <v>789</v>
      </c>
      <c r="J37" s="14" t="str">
        <f>IFERROR(__xludf.DUMMYFUNCTION("FILTER(candidats!M:M,candidats!P:P=I37)"),"M")</f>
        <v>M</v>
      </c>
      <c r="K37" s="14">
        <v>49802.0</v>
      </c>
    </row>
    <row r="38">
      <c r="A38" s="13" t="s">
        <v>223</v>
      </c>
      <c r="B38" s="13" t="str">
        <f>IFERROR(__xludf.DUMMYFUNCTION("FILTER('5_categorisation'!C:C,'5_categorisation'!A:A=A38)"),"Bourgogne-Franche-Comté")</f>
        <v>Bourgogne-Franche-Comté</v>
      </c>
      <c r="C38" s="13" t="str">
        <f>IFS(A38='5_categorisation'!$A$2,'5_categorisation'!$B$2,A38='5_categorisation'!$A$3,'5_categorisation'!$B$3,A38='5_categorisation'!$A$4,'5_categorisation'!$B$4,A38='5_categorisation'!$A$5,'5_categorisation'!$B$5,A38='5_categorisation'!$A$6,'5_categorisation'!$B$6,A38='5_categorisation'!$A$7,'5_categorisation'!$B$7,A38='5_categorisation'!$A$8,'5_categorisation'!$B$8,A38='5_categorisation'!$A$9,'5_categorisation'!$B$9,A38='5_categorisation'!$A46,'5_categorisation'!$B$10,A38='5_categorisation'!$A$12,'5_categorisation'!$B$12,A38='5_categorisation'!$A$12,'5_categorisation'!$B$12,A38='5_categorisation'!$A$13,'5_categorisation'!$B$13,A38='5_categorisation'!$A$14,'5_categorisation'!$B$14,A38='5_categorisation'!$A$15,'5_categorisation'!$B$15,A38='5_categorisation'!$A$16,'5_categorisation'!$B$16,A38='5_categorisation'!$A$17,'5_categorisation'!$B$17,A38='5_categorisation'!$A$11,'5_categorisation'!$B$11)</f>
        <v>est</v>
      </c>
      <c r="D38" s="14">
        <v>9.0</v>
      </c>
      <c r="E38" s="14" t="s">
        <v>31</v>
      </c>
      <c r="F38" s="14" t="str">
        <f>ifs(E38='5_categorisation'!$D$2,'5_categorisation'!$F$2,E38='5_categorisation'!$D$3,'5_categorisation'!$F$3,E38='5_categorisation'!$D$4,'5_categorisation'!$F$4,E38='5_categorisation'!$D$5,'5_categorisation'!$F$5,E38='5_categorisation'!$D$6,'5_categorisation'!$F$6,E38='5_categorisation'!$D$7,'5_categorisation'!$F$7,E38='5_categorisation'!$D$8,'5_categorisation'!$F$8,E38='5_categorisation'!$D$9,'5_categorisation'!$F$9,E38='5_categorisation'!$D$10,'5_categorisation'!$F$10,E38='5_categorisation'!$D$11,'5_categorisation'!$F$11,E38='5_categorisation'!$D$12,'5_categorisation'!$F$12,E38='5_categorisation'!$D$13,'5_categorisation'!$F$13,E38='5_categorisation'!$D$14,'5_categorisation'!$F$14,E38='5_categorisation'!$D$15,'5_categorisation'!$F$15,E38='5_categorisation'!$D$16,'5_categorisation'!$F$16,E38='5_categorisation'!$D$17,'5_categorisation'!$F$17,E38='5_categorisation'!$D$18,'5_categorisation'!$F$18,E38='5_categorisation'!$D$19,'5_categorisation'!$F$19,E38='5_categorisation'!$D$20,'5_categorisation'!$F$20,E38='5_categorisation'!$D$21,'5_categorisation'!$F$21,E38='5_categorisation'!$D$22,'5_categorisation'!$F$22)</f>
        <v>centre</v>
      </c>
      <c r="G38" s="14" t="s">
        <v>258</v>
      </c>
      <c r="H38" s="14" t="s">
        <v>259</v>
      </c>
      <c r="I38" s="14" t="s">
        <v>790</v>
      </c>
      <c r="J38" s="14" t="str">
        <f>IFERROR(__xludf.DUMMYFUNCTION("FILTER(candidats!M:M,candidats!P:P=I38)"),"M")</f>
        <v>M</v>
      </c>
      <c r="K38" s="14">
        <v>31431.0</v>
      </c>
    </row>
    <row r="39">
      <c r="A39" s="13" t="s">
        <v>223</v>
      </c>
      <c r="B39" s="13" t="str">
        <f>IFERROR(__xludf.DUMMYFUNCTION("FILTER('5_categorisation'!C:C,'5_categorisation'!A:A=A39)"),"Bourgogne-Franche-Comté")</f>
        <v>Bourgogne-Franche-Comté</v>
      </c>
      <c r="C39" s="13" t="str">
        <f>IFS(A39='5_categorisation'!$A$2,'5_categorisation'!$B$2,A39='5_categorisation'!$A$3,'5_categorisation'!$B$3,A39='5_categorisation'!$A$4,'5_categorisation'!$B$4,A39='5_categorisation'!$A$5,'5_categorisation'!$B$5,A39='5_categorisation'!$A$6,'5_categorisation'!$B$6,A39='5_categorisation'!$A$7,'5_categorisation'!$B$7,A39='5_categorisation'!$A$8,'5_categorisation'!$B$8,A39='5_categorisation'!$A$9,'5_categorisation'!$B$9,A39='5_categorisation'!$A47,'5_categorisation'!$B$10,A39='5_categorisation'!$A$12,'5_categorisation'!$B$12,A39='5_categorisation'!$A$12,'5_categorisation'!$B$12,A39='5_categorisation'!$A$13,'5_categorisation'!$B$13,A39='5_categorisation'!$A$14,'5_categorisation'!$B$14,A39='5_categorisation'!$A$15,'5_categorisation'!$B$15,A39='5_categorisation'!$A$16,'5_categorisation'!$B$16,A39='5_categorisation'!$A$17,'5_categorisation'!$B$17,A39='5_categorisation'!$A$11,'5_categorisation'!$B$11)</f>
        <v>est</v>
      </c>
      <c r="D39" s="14">
        <v>10.0</v>
      </c>
      <c r="E39" s="14" t="s">
        <v>15</v>
      </c>
      <c r="F39" s="14" t="str">
        <f>ifs(E39='5_categorisation'!$D$2,'5_categorisation'!$F$2,E39='5_categorisation'!$D$3,'5_categorisation'!$F$3,E39='5_categorisation'!$D$4,'5_categorisation'!$F$4,E39='5_categorisation'!$D$5,'5_categorisation'!$F$5,E39='5_categorisation'!$D$6,'5_categorisation'!$F$6,E39='5_categorisation'!$D$7,'5_categorisation'!$F$7,E39='5_categorisation'!$D$8,'5_categorisation'!$F$8,E39='5_categorisation'!$D$9,'5_categorisation'!$F$9,E39='5_categorisation'!$D$10,'5_categorisation'!$F$10,E39='5_categorisation'!$D$11,'5_categorisation'!$F$11,E39='5_categorisation'!$D$12,'5_categorisation'!$F$12,E39='5_categorisation'!$D$13,'5_categorisation'!$F$13,E39='5_categorisation'!$D$14,'5_categorisation'!$F$14,E39='5_categorisation'!$D$15,'5_categorisation'!$F$15,E39='5_categorisation'!$D$16,'5_categorisation'!$F$16,E39='5_categorisation'!$D$17,'5_categorisation'!$F$17,E39='5_categorisation'!$D$18,'5_categorisation'!$F$18,E39='5_categorisation'!$D$19,'5_categorisation'!$F$19,E39='5_categorisation'!$D$20,'5_categorisation'!$F$20,E39='5_categorisation'!$D$21,'5_categorisation'!$F$21,E39='5_categorisation'!$D$22,'5_categorisation'!$F$22)</f>
        <v>gauche</v>
      </c>
      <c r="G39" s="14" t="s">
        <v>261</v>
      </c>
      <c r="H39" s="14" t="s">
        <v>262</v>
      </c>
      <c r="I39" s="14" t="s">
        <v>791</v>
      </c>
      <c r="J39" s="14" t="str">
        <f>IFERROR(__xludf.DUMMYFUNCTION("FILTER(candidats!M:M,candidats!P:P=I39)"),"F")</f>
        <v>F</v>
      </c>
      <c r="K39" s="14">
        <v>221376.0</v>
      </c>
    </row>
    <row r="40">
      <c r="A40" s="13" t="s">
        <v>265</v>
      </c>
      <c r="B40" s="13" t="str">
        <f>IFERROR(__xludf.DUMMYFUNCTION("FILTER('5_categorisation'!C:C,'5_categorisation'!A:A=A40)"),"Bretagne")</f>
        <v>Bretagne</v>
      </c>
      <c r="C40" s="13" t="str">
        <f>IFS(A40='5_categorisation'!$A$2,'5_categorisation'!$B$2,A40='5_categorisation'!$A$3,'5_categorisation'!$B$3,A40='5_categorisation'!$A$4,'5_categorisation'!$B$4,A40='5_categorisation'!$A$5,'5_categorisation'!$B$5,A40='5_categorisation'!$A$6,'5_categorisation'!$B$6,A40='5_categorisation'!$A$7,'5_categorisation'!$B$7,A40='5_categorisation'!$A$8,'5_categorisation'!$B$8,A40='5_categorisation'!$A$9,'5_categorisation'!$B$9,A40='5_categorisation'!$A48,'5_categorisation'!$B$10,A40='5_categorisation'!$A$12,'5_categorisation'!$B$12,A40='5_categorisation'!$A$12,'5_categorisation'!$B$12,A40='5_categorisation'!$A$13,'5_categorisation'!$B$13,A40='5_categorisation'!$A$14,'5_categorisation'!$B$14,A40='5_categorisation'!$A$15,'5_categorisation'!$B$15,A40='5_categorisation'!$A$16,'5_categorisation'!$B$16,A40='5_categorisation'!$A$17,'5_categorisation'!$B$17,A40='5_categorisation'!$A$11,'5_categorisation'!$B$11)</f>
        <v>ouest</v>
      </c>
      <c r="D40" s="14">
        <v>1.0</v>
      </c>
      <c r="E40" s="14" t="s">
        <v>3</v>
      </c>
      <c r="F40" s="14" t="str">
        <f>ifs(E40='5_categorisation'!$D$2,'5_categorisation'!$F$2,E40='5_categorisation'!$D$3,'5_categorisation'!$F$3,E40='5_categorisation'!$D$4,'5_categorisation'!$F$4,E40='5_categorisation'!$D$5,'5_categorisation'!$F$5,E40='5_categorisation'!$D$6,'5_categorisation'!$F$6,E40='5_categorisation'!$D$7,'5_categorisation'!$F$7,E40='5_categorisation'!$D$8,'5_categorisation'!$F$8,E40='5_categorisation'!$D$9,'5_categorisation'!$F$9,E40='5_categorisation'!$D$10,'5_categorisation'!$F$10,E40='5_categorisation'!$D$11,'5_categorisation'!$F$11,E40='5_categorisation'!$D$12,'5_categorisation'!$F$12,E40='5_categorisation'!$D$13,'5_categorisation'!$F$13,E40='5_categorisation'!$D$14,'5_categorisation'!$F$14,E40='5_categorisation'!$D$15,'5_categorisation'!$F$15,E40='5_categorisation'!$D$16,'5_categorisation'!$F$16,E40='5_categorisation'!$D$17,'5_categorisation'!$F$17,E40='5_categorisation'!$D$18,'5_categorisation'!$F$18,E40='5_categorisation'!$D$19,'5_categorisation'!$F$19,E40='5_categorisation'!$D$20,'5_categorisation'!$F$20,E40='5_categorisation'!$D$21,'5_categorisation'!$F$21,E40='5_categorisation'!$D$22,'5_categorisation'!$F$22)</f>
        <v>gauche</v>
      </c>
      <c r="G40" s="14" t="s">
        <v>267</v>
      </c>
      <c r="H40" s="14" t="s">
        <v>268</v>
      </c>
      <c r="I40" s="14" t="s">
        <v>792</v>
      </c>
      <c r="J40" s="14" t="str">
        <f>IFERROR(__xludf.DUMMYFUNCTION("FILTER(candidats!M:M,candidats!P:P=I40)"),"M")</f>
        <v>M</v>
      </c>
      <c r="K40" s="14">
        <v>7465.0</v>
      </c>
    </row>
    <row r="41">
      <c r="A41" s="13" t="s">
        <v>265</v>
      </c>
      <c r="B41" s="13" t="str">
        <f>IFERROR(__xludf.DUMMYFUNCTION("FILTER('5_categorisation'!C:C,'5_categorisation'!A:A=A41)"),"Bretagne")</f>
        <v>Bretagne</v>
      </c>
      <c r="C41" s="13" t="str">
        <f>IFS(A41='5_categorisation'!$A$2,'5_categorisation'!$B$2,A41='5_categorisation'!$A$3,'5_categorisation'!$B$3,A41='5_categorisation'!$A$4,'5_categorisation'!$B$4,A41='5_categorisation'!$A$5,'5_categorisation'!$B$5,A41='5_categorisation'!$A$6,'5_categorisation'!$B$6,A41='5_categorisation'!$A$7,'5_categorisation'!$B$7,A41='5_categorisation'!$A$8,'5_categorisation'!$B$8,A41='5_categorisation'!$A$9,'5_categorisation'!$B$9,A41='5_categorisation'!$A49,'5_categorisation'!$B$10,A41='5_categorisation'!$A$12,'5_categorisation'!$B$12,A41='5_categorisation'!$A$12,'5_categorisation'!$B$12,A41='5_categorisation'!$A$13,'5_categorisation'!$B$13,A41='5_categorisation'!$A$14,'5_categorisation'!$B$14,A41='5_categorisation'!$A$15,'5_categorisation'!$B$15,A41='5_categorisation'!$A$16,'5_categorisation'!$B$16,A41='5_categorisation'!$A$17,'5_categorisation'!$B$17,A41='5_categorisation'!$A$11,'5_categorisation'!$B$11)</f>
        <v>ouest</v>
      </c>
      <c r="D41" s="14">
        <v>2.0</v>
      </c>
      <c r="E41" s="14" t="s">
        <v>15</v>
      </c>
      <c r="F41" s="14" t="str">
        <f>ifs(E41='5_categorisation'!$D$2,'5_categorisation'!$F$2,E41='5_categorisation'!$D$3,'5_categorisation'!$F$3,E41='5_categorisation'!$D$4,'5_categorisation'!$F$4,E41='5_categorisation'!$D$5,'5_categorisation'!$F$5,E41='5_categorisation'!$D$6,'5_categorisation'!$F$6,E41='5_categorisation'!$D$7,'5_categorisation'!$F$7,E41='5_categorisation'!$D$8,'5_categorisation'!$F$8,E41='5_categorisation'!$D$9,'5_categorisation'!$F$9,E41='5_categorisation'!$D$10,'5_categorisation'!$F$10,E41='5_categorisation'!$D$11,'5_categorisation'!$F$11,E41='5_categorisation'!$D$12,'5_categorisation'!$F$12,E41='5_categorisation'!$D$13,'5_categorisation'!$F$13,E41='5_categorisation'!$D$14,'5_categorisation'!$F$14,E41='5_categorisation'!$D$15,'5_categorisation'!$F$15,E41='5_categorisation'!$D$16,'5_categorisation'!$F$16,E41='5_categorisation'!$D$17,'5_categorisation'!$F$17,E41='5_categorisation'!$D$18,'5_categorisation'!$F$18,E41='5_categorisation'!$D$19,'5_categorisation'!$F$19,E41='5_categorisation'!$D$20,'5_categorisation'!$F$20,E41='5_categorisation'!$D$21,'5_categorisation'!$F$21,E41='5_categorisation'!$D$22,'5_categorisation'!$F$22)</f>
        <v>gauche</v>
      </c>
      <c r="G41" s="14" t="s">
        <v>272</v>
      </c>
      <c r="H41" s="14" t="s">
        <v>273</v>
      </c>
      <c r="I41" s="14" t="s">
        <v>793</v>
      </c>
      <c r="J41" s="14" t="str">
        <f>IFERROR(__xludf.DUMMYFUNCTION("FILTER(candidats!M:M,candidats!P:P=I41)"),"M")</f>
        <v>M</v>
      </c>
      <c r="K41" s="14">
        <v>419846.0</v>
      </c>
    </row>
    <row r="42">
      <c r="A42" s="13" t="s">
        <v>265</v>
      </c>
      <c r="B42" s="13" t="str">
        <f>IFERROR(__xludf.DUMMYFUNCTION("FILTER('5_categorisation'!C:C,'5_categorisation'!A:A=A42)"),"Bretagne")</f>
        <v>Bretagne</v>
      </c>
      <c r="C42" s="13" t="str">
        <f>IFS(A42='5_categorisation'!$A$2,'5_categorisation'!$B$2,A42='5_categorisation'!$A$3,'5_categorisation'!$B$3,A42='5_categorisation'!$A$4,'5_categorisation'!$B$4,A42='5_categorisation'!$A$5,'5_categorisation'!$B$5,A42='5_categorisation'!$A$6,'5_categorisation'!$B$6,A42='5_categorisation'!$A$7,'5_categorisation'!$B$7,A42='5_categorisation'!$A$8,'5_categorisation'!$B$8,A42='5_categorisation'!$A$9,'5_categorisation'!$B$9,A42='5_categorisation'!$A50,'5_categorisation'!$B$10,A42='5_categorisation'!$A$12,'5_categorisation'!$B$12,A42='5_categorisation'!$A$12,'5_categorisation'!$B$12,A42='5_categorisation'!$A$13,'5_categorisation'!$B$13,A42='5_categorisation'!$A$14,'5_categorisation'!$B$14,A42='5_categorisation'!$A$15,'5_categorisation'!$B$15,A42='5_categorisation'!$A$16,'5_categorisation'!$B$16,A42='5_categorisation'!$A$17,'5_categorisation'!$B$17,A42='5_categorisation'!$A$11,'5_categorisation'!$B$11)</f>
        <v>ouest</v>
      </c>
      <c r="D42" s="14">
        <v>3.0</v>
      </c>
      <c r="E42" s="14" t="s">
        <v>28</v>
      </c>
      <c r="F42" s="14" t="str">
        <f>ifs(E42='5_categorisation'!$D$2,'5_categorisation'!$F$2,E42='5_categorisation'!$D$3,'5_categorisation'!$F$3,E42='5_categorisation'!$D$4,'5_categorisation'!$F$4,E42='5_categorisation'!$D$5,'5_categorisation'!$F$5,E42='5_categorisation'!$D$6,'5_categorisation'!$F$6,E42='5_categorisation'!$D$7,'5_categorisation'!$F$7,E42='5_categorisation'!$D$8,'5_categorisation'!$F$8,E42='5_categorisation'!$D$9,'5_categorisation'!$F$9,E42='5_categorisation'!$D$10,'5_categorisation'!$F$10,E42='5_categorisation'!$D$11,'5_categorisation'!$F$11,E42='5_categorisation'!$D$12,'5_categorisation'!$F$12,E42='5_categorisation'!$D$13,'5_categorisation'!$F$13,E42='5_categorisation'!$D$14,'5_categorisation'!$F$14,E42='5_categorisation'!$D$15,'5_categorisation'!$F$15,E42='5_categorisation'!$D$16,'5_categorisation'!$F$16,E42='5_categorisation'!$D$17,'5_categorisation'!$F$17,E42='5_categorisation'!$D$18,'5_categorisation'!$F$18,E42='5_categorisation'!$D$19,'5_categorisation'!$F$19,E42='5_categorisation'!$D$20,'5_categorisation'!$F$20,E42='5_categorisation'!$D$21,'5_categorisation'!$F$21,E42='5_categorisation'!$D$22,'5_categorisation'!$F$22)</f>
        <v>autre</v>
      </c>
      <c r="G42" s="14" t="s">
        <v>277</v>
      </c>
      <c r="H42" s="14" t="s">
        <v>278</v>
      </c>
      <c r="I42" s="14" t="s">
        <v>794</v>
      </c>
      <c r="J42" s="14" t="str">
        <f>IFERROR(__xludf.DUMMYFUNCTION("FILTER(candidats!M:M,candidats!P:P=I42)"),"M")</f>
        <v>M</v>
      </c>
      <c r="K42" s="14">
        <v>6521.0</v>
      </c>
    </row>
    <row r="43">
      <c r="A43" s="13" t="s">
        <v>265</v>
      </c>
      <c r="B43" s="13" t="str">
        <f>IFERROR(__xludf.DUMMYFUNCTION("FILTER('5_categorisation'!C:C,'5_categorisation'!A:A=A43)"),"Bretagne")</f>
        <v>Bretagne</v>
      </c>
      <c r="C43" s="13" t="str">
        <f>IFS(A43='5_categorisation'!$A$2,'5_categorisation'!$B$2,A43='5_categorisation'!$A$3,'5_categorisation'!$B$3,A43='5_categorisation'!$A$4,'5_categorisation'!$B$4,A43='5_categorisation'!$A$5,'5_categorisation'!$B$5,A43='5_categorisation'!$A$6,'5_categorisation'!$B$6,A43='5_categorisation'!$A$7,'5_categorisation'!$B$7,A43='5_categorisation'!$A$8,'5_categorisation'!$B$8,A43='5_categorisation'!$A$9,'5_categorisation'!$B$9,A43='5_categorisation'!$A51,'5_categorisation'!$B$10,A43='5_categorisation'!$A$12,'5_categorisation'!$B$12,A43='5_categorisation'!$A$12,'5_categorisation'!$B$12,A43='5_categorisation'!$A$13,'5_categorisation'!$B$13,A43='5_categorisation'!$A$14,'5_categorisation'!$B$14,A43='5_categorisation'!$A$15,'5_categorisation'!$B$15,A43='5_categorisation'!$A$16,'5_categorisation'!$B$16,A43='5_categorisation'!$A$17,'5_categorisation'!$B$17,A43='5_categorisation'!$A$11,'5_categorisation'!$B$11)</f>
        <v>ouest</v>
      </c>
      <c r="D43" s="14">
        <v>4.0</v>
      </c>
      <c r="E43" s="14" t="s">
        <v>28</v>
      </c>
      <c r="F43" s="14" t="str">
        <f>ifs(E43='5_categorisation'!$D$2,'5_categorisation'!$F$2,E43='5_categorisation'!$D$3,'5_categorisation'!$F$3,E43='5_categorisation'!$D$4,'5_categorisation'!$F$4,E43='5_categorisation'!$D$5,'5_categorisation'!$F$5,E43='5_categorisation'!$D$6,'5_categorisation'!$F$6,E43='5_categorisation'!$D$7,'5_categorisation'!$F$7,E43='5_categorisation'!$D$8,'5_categorisation'!$F$8,E43='5_categorisation'!$D$9,'5_categorisation'!$F$9,E43='5_categorisation'!$D$10,'5_categorisation'!$F$10,E43='5_categorisation'!$D$11,'5_categorisation'!$F$11,E43='5_categorisation'!$D$12,'5_categorisation'!$F$12,E43='5_categorisation'!$D$13,'5_categorisation'!$F$13,E43='5_categorisation'!$D$14,'5_categorisation'!$F$14,E43='5_categorisation'!$D$15,'5_categorisation'!$F$15,E43='5_categorisation'!$D$16,'5_categorisation'!$F$16,E43='5_categorisation'!$D$17,'5_categorisation'!$F$17,E43='5_categorisation'!$D$18,'5_categorisation'!$F$18,E43='5_categorisation'!$D$19,'5_categorisation'!$F$19,E43='5_categorisation'!$D$20,'5_categorisation'!$F$20,E43='5_categorisation'!$D$21,'5_categorisation'!$F$21,E43='5_categorisation'!$D$22,'5_categorisation'!$F$22)</f>
        <v>autre</v>
      </c>
      <c r="G43" s="14" t="s">
        <v>283</v>
      </c>
      <c r="H43" s="14" t="s">
        <v>283</v>
      </c>
      <c r="I43" s="14" t="s">
        <v>795</v>
      </c>
      <c r="J43" s="14" t="str">
        <f>IFERROR(__xludf.DUMMYFUNCTION("FILTER(candidats!M:M,candidats!P:P=I43)"),"M")</f>
        <v>M</v>
      </c>
      <c r="K43" s="14">
        <v>80727.0</v>
      </c>
    </row>
    <row r="44">
      <c r="A44" s="15" t="s">
        <v>265</v>
      </c>
      <c r="B44" s="13" t="str">
        <f>IFERROR(__xludf.DUMMYFUNCTION("FILTER('5_categorisation'!C:C,'5_categorisation'!A:A=A44)"),"Bretagne")</f>
        <v>Bretagne</v>
      </c>
      <c r="C44" s="13" t="str">
        <f>IFS(A44='5_categorisation'!$A$2,'5_categorisation'!$B$2,A44='5_categorisation'!$A$3,'5_categorisation'!$B$3,A44='5_categorisation'!$A$4,'5_categorisation'!$B$4,A44='5_categorisation'!$A$5,'5_categorisation'!$B$5,A44='5_categorisation'!$A$6,'5_categorisation'!$B$6,A44='5_categorisation'!$A$7,'5_categorisation'!$B$7,A44='5_categorisation'!$A$8,'5_categorisation'!$B$8,A44='5_categorisation'!$A$9,'5_categorisation'!$B$9,A44='5_categorisation'!$A52,'5_categorisation'!$B$10,A44='5_categorisation'!$A$12,'5_categorisation'!$B$12,A44='5_categorisation'!$A$12,'5_categorisation'!$B$12,A44='5_categorisation'!$A$13,'5_categorisation'!$B$13,A44='5_categorisation'!$A$14,'5_categorisation'!$B$14,A44='5_categorisation'!$A$15,'5_categorisation'!$B$15,A44='5_categorisation'!$A$16,'5_categorisation'!$B$16,A44='5_categorisation'!$A$17,'5_categorisation'!$B$17,A44='5_categorisation'!$A$11,'5_categorisation'!$B$11)</f>
        <v>ouest</v>
      </c>
      <c r="D44" s="15">
        <v>5.0</v>
      </c>
      <c r="E44" s="15" t="s">
        <v>25</v>
      </c>
      <c r="F44" s="14" t="str">
        <f>ifs(E44='5_categorisation'!$D$2,'5_categorisation'!$F$2,E44='5_categorisation'!$D$3,'5_categorisation'!$F$3,E44='5_categorisation'!$D$4,'5_categorisation'!$F$4,E44='5_categorisation'!$D$5,'5_categorisation'!$F$5,E44='5_categorisation'!$D$6,'5_categorisation'!$F$6,E44='5_categorisation'!$D$7,'5_categorisation'!$F$7,E44='5_categorisation'!$D$8,'5_categorisation'!$F$8,E44='5_categorisation'!$D$9,'5_categorisation'!$F$9,E44='5_categorisation'!$D$10,'5_categorisation'!$F$10,E44='5_categorisation'!$D$11,'5_categorisation'!$F$11,E44='5_categorisation'!$D$12,'5_categorisation'!$F$12,E44='5_categorisation'!$D$13,'5_categorisation'!$F$13,E44='5_categorisation'!$D$14,'5_categorisation'!$F$14,E44='5_categorisation'!$D$15,'5_categorisation'!$F$15,E44='5_categorisation'!$D$16,'5_categorisation'!$F$16,E44='5_categorisation'!$D$17,'5_categorisation'!$F$17,E44='5_categorisation'!$D$18,'5_categorisation'!$F$18,E44='5_categorisation'!$D$19,'5_categorisation'!$F$19,E44='5_categorisation'!$D$20,'5_categorisation'!$F$20,E44='5_categorisation'!$D$21,'5_categorisation'!$F$21,E44='5_categorisation'!$D$22,'5_categorisation'!$F$22)</f>
        <v>autre</v>
      </c>
      <c r="G44" s="15" t="s">
        <v>150</v>
      </c>
      <c r="H44" s="15" t="s">
        <v>796</v>
      </c>
      <c r="I44" s="15" t="s">
        <v>797</v>
      </c>
      <c r="J44" s="14" t="str">
        <f>IFERROR(__xludf.DUMMYFUNCTION("FILTER(candidats!M:M,candidats!P:P=I44)"),"M")</f>
        <v>M</v>
      </c>
      <c r="K44" s="15">
        <v>10412.0</v>
      </c>
    </row>
    <row r="45">
      <c r="A45" s="13" t="s">
        <v>265</v>
      </c>
      <c r="B45" s="13" t="str">
        <f>IFERROR(__xludf.DUMMYFUNCTION("FILTER('5_categorisation'!C:C,'5_categorisation'!A:A=A45)"),"Bretagne")</f>
        <v>Bretagne</v>
      </c>
      <c r="C45" s="13" t="str">
        <f>IFS(A45='5_categorisation'!$A$2,'5_categorisation'!$B$2,A45='5_categorisation'!$A$3,'5_categorisation'!$B$3,A45='5_categorisation'!$A$4,'5_categorisation'!$B$4,A45='5_categorisation'!$A$5,'5_categorisation'!$B$5,A45='5_categorisation'!$A$6,'5_categorisation'!$B$6,A45='5_categorisation'!$A$7,'5_categorisation'!$B$7,A45='5_categorisation'!$A$8,'5_categorisation'!$B$8,A45='5_categorisation'!$A$9,'5_categorisation'!$B$9,A45='5_categorisation'!$A53,'5_categorisation'!$B$10,A45='5_categorisation'!$A$12,'5_categorisation'!$B$12,A45='5_categorisation'!$A$12,'5_categorisation'!$B$12,A45='5_categorisation'!$A$13,'5_categorisation'!$B$13,A45='5_categorisation'!$A$14,'5_categorisation'!$B$14,A45='5_categorisation'!$A$15,'5_categorisation'!$B$15,A45='5_categorisation'!$A$16,'5_categorisation'!$B$16,A45='5_categorisation'!$A$17,'5_categorisation'!$B$17,A45='5_categorisation'!$A$11,'5_categorisation'!$B$11)</f>
        <v>ouest</v>
      </c>
      <c r="D45" s="14">
        <v>6.0</v>
      </c>
      <c r="E45" s="14" t="s">
        <v>39</v>
      </c>
      <c r="F45" s="14" t="str">
        <f>ifs(E45='5_categorisation'!$D$2,'5_categorisation'!$F$2,E45='5_categorisation'!$D$3,'5_categorisation'!$F$3,E45='5_categorisation'!$D$4,'5_categorisation'!$F$4,E45='5_categorisation'!$D$5,'5_categorisation'!$F$5,E45='5_categorisation'!$D$6,'5_categorisation'!$F$6,E45='5_categorisation'!$D$7,'5_categorisation'!$F$7,E45='5_categorisation'!$D$8,'5_categorisation'!$F$8,E45='5_categorisation'!$D$9,'5_categorisation'!$F$9,E45='5_categorisation'!$D$10,'5_categorisation'!$F$10,E45='5_categorisation'!$D$11,'5_categorisation'!$F$11,E45='5_categorisation'!$D$12,'5_categorisation'!$F$12,E45='5_categorisation'!$D$13,'5_categorisation'!$F$13,E45='5_categorisation'!$D$14,'5_categorisation'!$F$14,E45='5_categorisation'!$D$15,'5_categorisation'!$F$15,E45='5_categorisation'!$D$16,'5_categorisation'!$F$16,E45='5_categorisation'!$D$17,'5_categorisation'!$F$17,E45='5_categorisation'!$D$18,'5_categorisation'!$F$18,E45='5_categorisation'!$D$19,'5_categorisation'!$F$19,E45='5_categorisation'!$D$20,'5_categorisation'!$F$20,E45='5_categorisation'!$D$21,'5_categorisation'!$F$21,E45='5_categorisation'!$D$22,'5_categorisation'!$F$22)</f>
        <v>droite</v>
      </c>
      <c r="G45" s="14" t="s">
        <v>90</v>
      </c>
      <c r="H45" s="14" t="s">
        <v>289</v>
      </c>
      <c r="I45" s="14" t="s">
        <v>798</v>
      </c>
      <c r="J45" s="14" t="str">
        <f>IFERROR(__xludf.DUMMYFUNCTION("FILTER(candidats!M:M,candidats!P:P=I45)"),"M")</f>
        <v>M</v>
      </c>
      <c r="K45" s="14">
        <v>34926.0</v>
      </c>
    </row>
    <row r="46">
      <c r="A46" s="13" t="s">
        <v>265</v>
      </c>
      <c r="B46" s="13" t="str">
        <f>IFERROR(__xludf.DUMMYFUNCTION("FILTER('5_categorisation'!C:C,'5_categorisation'!A:A=A46)"),"Bretagne")</f>
        <v>Bretagne</v>
      </c>
      <c r="C46" s="13" t="str">
        <f>IFS(A46='5_categorisation'!$A$2,'5_categorisation'!$B$2,A46='5_categorisation'!$A$3,'5_categorisation'!$B$3,A46='5_categorisation'!$A$4,'5_categorisation'!$B$4,A46='5_categorisation'!$A$5,'5_categorisation'!$B$5,A46='5_categorisation'!$A$6,'5_categorisation'!$B$6,A46='5_categorisation'!$A$7,'5_categorisation'!$B$7,A46='5_categorisation'!$A$8,'5_categorisation'!$B$8,A46='5_categorisation'!$A$9,'5_categorisation'!$B$9,A46='5_categorisation'!$A54,'5_categorisation'!$B$10,A46='5_categorisation'!$A$12,'5_categorisation'!$B$12,A46='5_categorisation'!$A$12,'5_categorisation'!$B$12,A46='5_categorisation'!$A$13,'5_categorisation'!$B$13,A46='5_categorisation'!$A$14,'5_categorisation'!$B$14,A46='5_categorisation'!$A$15,'5_categorisation'!$B$15,A46='5_categorisation'!$A$16,'5_categorisation'!$B$16,A46='5_categorisation'!$A$17,'5_categorisation'!$B$17,A46='5_categorisation'!$A$11,'5_categorisation'!$B$11)</f>
        <v>ouest</v>
      </c>
      <c r="D46" s="14">
        <v>7.0</v>
      </c>
      <c r="E46" s="14" t="s">
        <v>43</v>
      </c>
      <c r="F46" s="14" t="str">
        <f>ifs(E46='5_categorisation'!$D$2,'5_categorisation'!$F$2,E46='5_categorisation'!$D$3,'5_categorisation'!$F$3,E46='5_categorisation'!$D$4,'5_categorisation'!$F$4,E46='5_categorisation'!$D$5,'5_categorisation'!$F$5,E46='5_categorisation'!$D$6,'5_categorisation'!$F$6,E46='5_categorisation'!$D$7,'5_categorisation'!$F$7,E46='5_categorisation'!$D$8,'5_categorisation'!$F$8,E46='5_categorisation'!$D$9,'5_categorisation'!$F$9,E46='5_categorisation'!$D$10,'5_categorisation'!$F$10,E46='5_categorisation'!$D$11,'5_categorisation'!$F$11,E46='5_categorisation'!$D$12,'5_categorisation'!$F$12,E46='5_categorisation'!$D$13,'5_categorisation'!$F$13,E46='5_categorisation'!$D$14,'5_categorisation'!$F$14,E46='5_categorisation'!$D$15,'5_categorisation'!$F$15,E46='5_categorisation'!$D$16,'5_categorisation'!$F$16,E46='5_categorisation'!$D$17,'5_categorisation'!$F$17,E46='5_categorisation'!$D$18,'5_categorisation'!$F$18,E46='5_categorisation'!$D$19,'5_categorisation'!$F$19,E46='5_categorisation'!$D$20,'5_categorisation'!$F$20,E46='5_categorisation'!$D$21,'5_categorisation'!$F$21,E46='5_categorisation'!$D$22,'5_categorisation'!$F$22)</f>
        <v>droite</v>
      </c>
      <c r="G46" s="14" t="s">
        <v>101</v>
      </c>
      <c r="H46" s="14" t="s">
        <v>102</v>
      </c>
      <c r="I46" s="14" t="s">
        <v>799</v>
      </c>
      <c r="J46" s="14" t="str">
        <f>IFERROR(__xludf.DUMMYFUNCTION("FILTER(candidats!M:M,candidats!P:P=I46)"),"M")</f>
        <v>M</v>
      </c>
      <c r="K46" s="14">
        <v>218474.0</v>
      </c>
    </row>
    <row r="47">
      <c r="A47" s="13" t="s">
        <v>265</v>
      </c>
      <c r="B47" s="13" t="str">
        <f>IFERROR(__xludf.DUMMYFUNCTION("FILTER('5_categorisation'!C:C,'5_categorisation'!A:A=A47)"),"Bretagne")</f>
        <v>Bretagne</v>
      </c>
      <c r="C47" s="13" t="str">
        <f>IFS(A47='5_categorisation'!$A$2,'5_categorisation'!$B$2,A47='5_categorisation'!$A$3,'5_categorisation'!$B$3,A47='5_categorisation'!$A$4,'5_categorisation'!$B$4,A47='5_categorisation'!$A$5,'5_categorisation'!$B$5,A47='5_categorisation'!$A$6,'5_categorisation'!$B$6,A47='5_categorisation'!$A$7,'5_categorisation'!$B$7,A47='5_categorisation'!$A$8,'5_categorisation'!$B$8,A47='5_categorisation'!$A$9,'5_categorisation'!$B$9,A47='5_categorisation'!$A55,'5_categorisation'!$B$10,A47='5_categorisation'!$A$12,'5_categorisation'!$B$12,A47='5_categorisation'!$A$12,'5_categorisation'!$B$12,A47='5_categorisation'!$A$13,'5_categorisation'!$B$13,A47='5_categorisation'!$A$14,'5_categorisation'!$B$14,A47='5_categorisation'!$A$15,'5_categorisation'!$B$15,A47='5_categorisation'!$A$16,'5_categorisation'!$B$16,A47='5_categorisation'!$A$17,'5_categorisation'!$B$17,A47='5_categorisation'!$A$11,'5_categorisation'!$B$11)</f>
        <v>ouest</v>
      </c>
      <c r="D47" s="14">
        <v>8.0</v>
      </c>
      <c r="E47" s="14" t="s">
        <v>37</v>
      </c>
      <c r="F47" s="14" t="str">
        <f>ifs(E47='5_categorisation'!$D$2,'5_categorisation'!$F$2,E47='5_categorisation'!$D$3,'5_categorisation'!$F$3,E47='5_categorisation'!$D$4,'5_categorisation'!$F$4,E47='5_categorisation'!$D$5,'5_categorisation'!$F$5,E47='5_categorisation'!$D$6,'5_categorisation'!$F$6,E47='5_categorisation'!$D$7,'5_categorisation'!$F$7,E47='5_categorisation'!$D$8,'5_categorisation'!$F$8,E47='5_categorisation'!$D$9,'5_categorisation'!$F$9,E47='5_categorisation'!$D$10,'5_categorisation'!$F$10,E47='5_categorisation'!$D$11,'5_categorisation'!$F$11,E47='5_categorisation'!$D$12,'5_categorisation'!$F$12,E47='5_categorisation'!$D$13,'5_categorisation'!$F$13,E47='5_categorisation'!$D$14,'5_categorisation'!$F$14,E47='5_categorisation'!$D$15,'5_categorisation'!$F$15,E47='5_categorisation'!$D$16,'5_categorisation'!$F$16,E47='5_categorisation'!$D$17,'5_categorisation'!$F$17,E47='5_categorisation'!$D$18,'5_categorisation'!$F$18,E47='5_categorisation'!$D$19,'5_categorisation'!$F$19,E47='5_categorisation'!$D$20,'5_categorisation'!$F$20,E47='5_categorisation'!$D$21,'5_categorisation'!$F$21,E47='5_categorisation'!$D$22,'5_categorisation'!$F$22)</f>
        <v>droite</v>
      </c>
      <c r="G47" s="14" t="s">
        <v>295</v>
      </c>
      <c r="H47" s="14" t="s">
        <v>296</v>
      </c>
      <c r="I47" s="14" t="s">
        <v>800</v>
      </c>
      <c r="J47" s="14" t="str">
        <f>IFERROR(__xludf.DUMMYFUNCTION("FILTER(candidats!M:M,candidats!P:P=I47)"),"M")</f>
        <v>M</v>
      </c>
      <c r="K47" s="14">
        <v>282006.0</v>
      </c>
    </row>
    <row r="48">
      <c r="A48" s="13" t="s">
        <v>265</v>
      </c>
      <c r="B48" s="13" t="str">
        <f>IFERROR(__xludf.DUMMYFUNCTION("FILTER('5_categorisation'!C:C,'5_categorisation'!A:A=A48)"),"Bretagne")</f>
        <v>Bretagne</v>
      </c>
      <c r="C48" s="13" t="str">
        <f>IFS(A48='5_categorisation'!$A$2,'5_categorisation'!$B$2,A48='5_categorisation'!$A$3,'5_categorisation'!$B$3,A48='5_categorisation'!$A$4,'5_categorisation'!$B$4,A48='5_categorisation'!$A$5,'5_categorisation'!$B$5,A48='5_categorisation'!$A$6,'5_categorisation'!$B$6,A48='5_categorisation'!$A$7,'5_categorisation'!$B$7,A48='5_categorisation'!$A$8,'5_categorisation'!$B$8,A48='5_categorisation'!$A$9,'5_categorisation'!$B$9,A48='5_categorisation'!$A56,'5_categorisation'!$B$10,A48='5_categorisation'!$A$12,'5_categorisation'!$B$12,A48='5_categorisation'!$A$12,'5_categorisation'!$B$12,A48='5_categorisation'!$A$13,'5_categorisation'!$B$13,A48='5_categorisation'!$A$14,'5_categorisation'!$B$14,A48='5_categorisation'!$A$15,'5_categorisation'!$B$15,A48='5_categorisation'!$A$16,'5_categorisation'!$B$16,A48='5_categorisation'!$A$17,'5_categorisation'!$B$17,A48='5_categorisation'!$A$11,'5_categorisation'!$B$11)</f>
        <v>ouest</v>
      </c>
      <c r="D48" s="14">
        <v>9.0</v>
      </c>
      <c r="E48" s="14" t="s">
        <v>21</v>
      </c>
      <c r="F48" s="14" t="str">
        <f>ifs(E48='5_categorisation'!$D$2,'5_categorisation'!$F$2,E48='5_categorisation'!$D$3,'5_categorisation'!$F$3,E48='5_categorisation'!$D$4,'5_categorisation'!$F$4,E48='5_categorisation'!$D$5,'5_categorisation'!$F$5,E48='5_categorisation'!$D$6,'5_categorisation'!$F$6,E48='5_categorisation'!$D$7,'5_categorisation'!$F$7,E48='5_categorisation'!$D$8,'5_categorisation'!$F$8,E48='5_categorisation'!$D$9,'5_categorisation'!$F$9,E48='5_categorisation'!$D$10,'5_categorisation'!$F$10,E48='5_categorisation'!$D$11,'5_categorisation'!$F$11,E48='5_categorisation'!$D$12,'5_categorisation'!$F$12,E48='5_categorisation'!$D$13,'5_categorisation'!$F$13,E48='5_categorisation'!$D$14,'5_categorisation'!$F$14,E48='5_categorisation'!$D$15,'5_categorisation'!$F$15,E48='5_categorisation'!$D$16,'5_categorisation'!$F$16,E48='5_categorisation'!$D$17,'5_categorisation'!$F$17,E48='5_categorisation'!$D$18,'5_categorisation'!$F$18,E48='5_categorisation'!$D$19,'5_categorisation'!$F$19,E48='5_categorisation'!$D$20,'5_categorisation'!$F$20,E48='5_categorisation'!$D$21,'5_categorisation'!$F$21,E48='5_categorisation'!$D$22,'5_categorisation'!$F$22)</f>
        <v>gauche</v>
      </c>
      <c r="G48" s="14" t="s">
        <v>299</v>
      </c>
      <c r="H48" s="14" t="s">
        <v>300</v>
      </c>
      <c r="I48" s="14" t="s">
        <v>801</v>
      </c>
      <c r="J48" s="14" t="str">
        <f>IFERROR(__xludf.DUMMYFUNCTION("FILTER(candidats!M:M,candidats!P:P=I48)"),"M")</f>
        <v>M</v>
      </c>
      <c r="K48" s="14">
        <v>80516.0</v>
      </c>
    </row>
    <row r="49">
      <c r="A49" s="13" t="s">
        <v>265</v>
      </c>
      <c r="B49" s="13" t="str">
        <f>IFERROR(__xludf.DUMMYFUNCTION("FILTER('5_categorisation'!C:C,'5_categorisation'!A:A=A49)"),"Bretagne")</f>
        <v>Bretagne</v>
      </c>
      <c r="C49" s="13" t="str">
        <f>IFS(A49='5_categorisation'!$A$2,'5_categorisation'!$B$2,A49='5_categorisation'!$A$3,'5_categorisation'!$B$3,A49='5_categorisation'!$A$4,'5_categorisation'!$B$4,A49='5_categorisation'!$A$5,'5_categorisation'!$B$5,A49='5_categorisation'!$A$6,'5_categorisation'!$B$6,A49='5_categorisation'!$A$7,'5_categorisation'!$B$7,A49='5_categorisation'!$A$8,'5_categorisation'!$B$8,A49='5_categorisation'!$A$9,'5_categorisation'!$B$9,A49='5_categorisation'!$A57,'5_categorisation'!$B$10,A49='5_categorisation'!$A$12,'5_categorisation'!$B$12,A49='5_categorisation'!$A$12,'5_categorisation'!$B$12,A49='5_categorisation'!$A$13,'5_categorisation'!$B$13,A49='5_categorisation'!$A$14,'5_categorisation'!$B$14,A49='5_categorisation'!$A$15,'5_categorisation'!$B$15,A49='5_categorisation'!$A$16,'5_categorisation'!$B$16,A49='5_categorisation'!$A$17,'5_categorisation'!$B$17,A49='5_categorisation'!$A$11,'5_categorisation'!$B$11)</f>
        <v>ouest</v>
      </c>
      <c r="D49" s="14">
        <v>10.0</v>
      </c>
      <c r="E49" s="14" t="s">
        <v>5</v>
      </c>
      <c r="F49" s="14" t="str">
        <f>ifs(E49='5_categorisation'!$D$2,'5_categorisation'!$F$2,E49='5_categorisation'!$D$3,'5_categorisation'!$F$3,E49='5_categorisation'!$D$4,'5_categorisation'!$F$4,E49='5_categorisation'!$D$5,'5_categorisation'!$F$5,E49='5_categorisation'!$D$6,'5_categorisation'!$F$6,E49='5_categorisation'!$D$7,'5_categorisation'!$F$7,E49='5_categorisation'!$D$8,'5_categorisation'!$F$8,E49='5_categorisation'!$D$9,'5_categorisation'!$F$9,E49='5_categorisation'!$D$10,'5_categorisation'!$F$10,E49='5_categorisation'!$D$11,'5_categorisation'!$F$11,E49='5_categorisation'!$D$12,'5_categorisation'!$F$12,E49='5_categorisation'!$D$13,'5_categorisation'!$F$13,E49='5_categorisation'!$D$14,'5_categorisation'!$F$14,E49='5_categorisation'!$D$15,'5_categorisation'!$F$15,E49='5_categorisation'!$D$16,'5_categorisation'!$F$16,E49='5_categorisation'!$D$17,'5_categorisation'!$F$17,E49='5_categorisation'!$D$18,'5_categorisation'!$F$18,E49='5_categorisation'!$D$19,'5_categorisation'!$F$19,E49='5_categorisation'!$D$20,'5_categorisation'!$F$20,E49='5_categorisation'!$D$21,'5_categorisation'!$F$21,E49='5_categorisation'!$D$22,'5_categorisation'!$F$22)</f>
        <v>gauche</v>
      </c>
      <c r="G49" s="14" t="s">
        <v>304</v>
      </c>
      <c r="H49" s="14" t="s">
        <v>305</v>
      </c>
      <c r="I49" s="14" t="s">
        <v>802</v>
      </c>
      <c r="J49" s="14" t="str">
        <f>IFERROR(__xludf.DUMMYFUNCTION("FILTER(candidats!M:M,candidats!P:P=I49)"),"M")</f>
        <v>M</v>
      </c>
      <c r="K49" s="14">
        <v>44938.0</v>
      </c>
    </row>
    <row r="50">
      <c r="A50" s="13" t="s">
        <v>265</v>
      </c>
      <c r="B50" s="13" t="str">
        <f>IFERROR(__xludf.DUMMYFUNCTION("FILTER('5_categorisation'!C:C,'5_categorisation'!A:A=A50)"),"Bretagne")</f>
        <v>Bretagne</v>
      </c>
      <c r="C50" s="13" t="str">
        <f>IFS(A50='5_categorisation'!$A$2,'5_categorisation'!$B$2,A50='5_categorisation'!$A$3,'5_categorisation'!$B$3,A50='5_categorisation'!$A$4,'5_categorisation'!$B$4,A50='5_categorisation'!$A$5,'5_categorisation'!$B$5,A50='5_categorisation'!$A$6,'5_categorisation'!$B$6,A50='5_categorisation'!$A$7,'5_categorisation'!$B$7,A50='5_categorisation'!$A$8,'5_categorisation'!$B$8,A50='5_categorisation'!$A$9,'5_categorisation'!$B$9,A50='5_categorisation'!$A58,'5_categorisation'!$B$10,A50='5_categorisation'!$A$12,'5_categorisation'!$B$12,A50='5_categorisation'!$A$12,'5_categorisation'!$B$12,A50='5_categorisation'!$A$13,'5_categorisation'!$B$13,A50='5_categorisation'!$A$14,'5_categorisation'!$B$14,A50='5_categorisation'!$A$15,'5_categorisation'!$B$15,A50='5_categorisation'!$A$16,'5_categorisation'!$B$16,A50='5_categorisation'!$A$17,'5_categorisation'!$B$17,A50='5_categorisation'!$A$11,'5_categorisation'!$B$11)</f>
        <v>ouest</v>
      </c>
      <c r="D50" s="15">
        <v>11.0</v>
      </c>
      <c r="E50" s="15" t="s">
        <v>3</v>
      </c>
      <c r="F50" s="14" t="str">
        <f>ifs(E50='5_categorisation'!$D$2,'5_categorisation'!$F$2,E50='5_categorisation'!$D$3,'5_categorisation'!$F$3,E50='5_categorisation'!$D$4,'5_categorisation'!$F$4,E50='5_categorisation'!$D$5,'5_categorisation'!$F$5,E50='5_categorisation'!$D$6,'5_categorisation'!$F$6,E50='5_categorisation'!$D$7,'5_categorisation'!$F$7,E50='5_categorisation'!$D$8,'5_categorisation'!$F$8,E50='5_categorisation'!$D$9,'5_categorisation'!$F$9,E50='5_categorisation'!$D$10,'5_categorisation'!$F$10,E50='5_categorisation'!$D$11,'5_categorisation'!$F$11,E50='5_categorisation'!$D$12,'5_categorisation'!$F$12,E50='5_categorisation'!$D$13,'5_categorisation'!$F$13,E50='5_categorisation'!$D$14,'5_categorisation'!$F$14,E50='5_categorisation'!$D$15,'5_categorisation'!$F$15,E50='5_categorisation'!$D$16,'5_categorisation'!$F$16,E50='5_categorisation'!$D$17,'5_categorisation'!$F$17,E50='5_categorisation'!$D$18,'5_categorisation'!$F$18,E50='5_categorisation'!$D$19,'5_categorisation'!$F$19,E50='5_categorisation'!$D$20,'5_categorisation'!$F$20,E50='5_categorisation'!$D$21,'5_categorisation'!$F$21,E50='5_categorisation'!$D$22,'5_categorisation'!$F$22)</f>
        <v>gauche</v>
      </c>
      <c r="G50" s="15" t="s">
        <v>113</v>
      </c>
      <c r="H50" s="15" t="s">
        <v>174</v>
      </c>
      <c r="I50" s="15" t="s">
        <v>803</v>
      </c>
      <c r="J50" s="14" t="str">
        <f>IFERROR(__xludf.DUMMYFUNCTION("FILTER(candidats!M:M,candidats!P:P=I50)"),"F")</f>
        <v>F</v>
      </c>
      <c r="K50" s="15">
        <v>16445.0</v>
      </c>
    </row>
    <row r="51">
      <c r="A51" s="13" t="s">
        <v>312</v>
      </c>
      <c r="B51" s="13" t="str">
        <f>IFERROR(__xludf.DUMMYFUNCTION("FILTER('5_categorisation'!C:C,'5_categorisation'!A:A=A51)"),"Centre-Val de Loire")</f>
        <v>Centre-Val de Loire</v>
      </c>
      <c r="C51" s="13" t="str">
        <f>IFS(A51='5_categorisation'!$A$2,'5_categorisation'!$B$2,A51='5_categorisation'!$A$3,'5_categorisation'!$B$3,A51='5_categorisation'!$A$4,'5_categorisation'!$B$4,A51='5_categorisation'!$A$5,'5_categorisation'!$B$5,A51='5_categorisation'!$A$6,'5_categorisation'!$B$6,A51='5_categorisation'!$A$7,'5_categorisation'!$B$7,A51='5_categorisation'!$A$8,'5_categorisation'!$B$8,A51='5_categorisation'!$A$9,'5_categorisation'!$B$9,A51='5_categorisation'!$A59,'5_categorisation'!$B$10,A51='5_categorisation'!$A$12,'5_categorisation'!$B$12,A51='5_categorisation'!$A$12,'5_categorisation'!$B$12,A51='5_categorisation'!$A$13,'5_categorisation'!$B$13,A51='5_categorisation'!$A$14,'5_categorisation'!$B$14,A51='5_categorisation'!$A$15,'5_categorisation'!$B$15,A51='5_categorisation'!$A$16,'5_categorisation'!$B$16,A51='5_categorisation'!$A$17,'5_categorisation'!$B$17,A51='5_categorisation'!$A$11,'5_categorisation'!$B$11)</f>
        <v>centre</v>
      </c>
      <c r="D51" s="14">
        <v>1.0</v>
      </c>
      <c r="E51" s="14" t="s">
        <v>43</v>
      </c>
      <c r="F51" s="14" t="str">
        <f>ifs(E51='5_categorisation'!$D$2,'5_categorisation'!$F$2,E51='5_categorisation'!$D$3,'5_categorisation'!$F$3,E51='5_categorisation'!$D$4,'5_categorisation'!$F$4,E51='5_categorisation'!$D$5,'5_categorisation'!$F$5,E51='5_categorisation'!$D$6,'5_categorisation'!$F$6,E51='5_categorisation'!$D$7,'5_categorisation'!$F$7,E51='5_categorisation'!$D$8,'5_categorisation'!$F$8,E51='5_categorisation'!$D$9,'5_categorisation'!$F$9,E51='5_categorisation'!$D$10,'5_categorisation'!$F$10,E51='5_categorisation'!$D$11,'5_categorisation'!$F$11,E51='5_categorisation'!$D$12,'5_categorisation'!$F$12,E51='5_categorisation'!$D$13,'5_categorisation'!$F$13,E51='5_categorisation'!$D$14,'5_categorisation'!$F$14,E51='5_categorisation'!$D$15,'5_categorisation'!$F$15,E51='5_categorisation'!$D$16,'5_categorisation'!$F$16,E51='5_categorisation'!$D$17,'5_categorisation'!$F$17,E51='5_categorisation'!$D$18,'5_categorisation'!$F$18,E51='5_categorisation'!$D$19,'5_categorisation'!$F$19,E51='5_categorisation'!$D$20,'5_categorisation'!$F$20,E51='5_categorisation'!$D$21,'5_categorisation'!$F$21,E51='5_categorisation'!$D$22,'5_categorisation'!$F$22)</f>
        <v>droite</v>
      </c>
      <c r="G51" s="14" t="s">
        <v>165</v>
      </c>
      <c r="H51" s="14" t="s">
        <v>314</v>
      </c>
      <c r="I51" s="14" t="s">
        <v>804</v>
      </c>
      <c r="J51" s="14" t="str">
        <f>IFERROR(__xludf.DUMMYFUNCTION("FILTER(candidats!M:M,candidats!P:P=I51)"),"M")</f>
        <v>M</v>
      </c>
      <c r="K51" s="14">
        <v>262156.0</v>
      </c>
    </row>
    <row r="52">
      <c r="A52" s="13" t="s">
        <v>312</v>
      </c>
      <c r="B52" s="13" t="str">
        <f>IFERROR(__xludf.DUMMYFUNCTION("FILTER('5_categorisation'!C:C,'5_categorisation'!A:A=A52)"),"Centre-Val de Loire")</f>
        <v>Centre-Val de Loire</v>
      </c>
      <c r="C52" s="13" t="str">
        <f>IFS(A52='5_categorisation'!$A$2,'5_categorisation'!$B$2,A52='5_categorisation'!$A$3,'5_categorisation'!$B$3,A52='5_categorisation'!$A$4,'5_categorisation'!$B$4,A52='5_categorisation'!$A$5,'5_categorisation'!$B$5,A52='5_categorisation'!$A$6,'5_categorisation'!$B$6,A52='5_categorisation'!$A$7,'5_categorisation'!$B$7,A52='5_categorisation'!$A$8,'5_categorisation'!$B$8,A52='5_categorisation'!$A$9,'5_categorisation'!$B$9,A52='5_categorisation'!$A60,'5_categorisation'!$B$10,A52='5_categorisation'!$A$12,'5_categorisation'!$B$12,A52='5_categorisation'!$A$12,'5_categorisation'!$B$12,A52='5_categorisation'!$A$13,'5_categorisation'!$B$13,A52='5_categorisation'!$A$14,'5_categorisation'!$B$14,A52='5_categorisation'!$A$15,'5_categorisation'!$B$15,A52='5_categorisation'!$A$16,'5_categorisation'!$B$16,A52='5_categorisation'!$A$17,'5_categorisation'!$B$17,A52='5_categorisation'!$A$11,'5_categorisation'!$B$11)</f>
        <v>centre</v>
      </c>
      <c r="D52" s="14">
        <v>2.0</v>
      </c>
      <c r="E52" s="14" t="s">
        <v>25</v>
      </c>
      <c r="F52" s="14" t="str">
        <f>ifs(E52='5_categorisation'!$D$2,'5_categorisation'!$F$2,E52='5_categorisation'!$D$3,'5_categorisation'!$F$3,E52='5_categorisation'!$D$4,'5_categorisation'!$F$4,E52='5_categorisation'!$D$5,'5_categorisation'!$F$5,E52='5_categorisation'!$D$6,'5_categorisation'!$F$6,E52='5_categorisation'!$D$7,'5_categorisation'!$F$7,E52='5_categorisation'!$D$8,'5_categorisation'!$F$8,E52='5_categorisation'!$D$9,'5_categorisation'!$F$9,E52='5_categorisation'!$D$10,'5_categorisation'!$F$10,E52='5_categorisation'!$D$11,'5_categorisation'!$F$11,E52='5_categorisation'!$D$12,'5_categorisation'!$F$12,E52='5_categorisation'!$D$13,'5_categorisation'!$F$13,E52='5_categorisation'!$D$14,'5_categorisation'!$F$14,E52='5_categorisation'!$D$15,'5_categorisation'!$F$15,E52='5_categorisation'!$D$16,'5_categorisation'!$F$16,E52='5_categorisation'!$D$17,'5_categorisation'!$F$17,E52='5_categorisation'!$D$18,'5_categorisation'!$F$18,E52='5_categorisation'!$D$19,'5_categorisation'!$F$19,E52='5_categorisation'!$D$20,'5_categorisation'!$F$20,E52='5_categorisation'!$D$21,'5_categorisation'!$F$21,E52='5_categorisation'!$D$22,'5_categorisation'!$F$22)</f>
        <v>autre</v>
      </c>
      <c r="G52" s="14" t="s">
        <v>150</v>
      </c>
      <c r="H52" s="14" t="s">
        <v>180</v>
      </c>
      <c r="I52" s="14" t="s">
        <v>805</v>
      </c>
      <c r="J52" s="14" t="str">
        <f>IFERROR(__xludf.DUMMYFUNCTION("FILTER(candidats!M:M,candidats!P:P=I52)"),"M")</f>
        <v>M</v>
      </c>
      <c r="K52" s="14">
        <v>12759.0</v>
      </c>
    </row>
    <row r="53">
      <c r="A53" s="13" t="s">
        <v>312</v>
      </c>
      <c r="B53" s="13" t="str">
        <f>IFERROR(__xludf.DUMMYFUNCTION("FILTER('5_categorisation'!C:C,'5_categorisation'!A:A=A53)"),"Centre-Val de Loire")</f>
        <v>Centre-Val de Loire</v>
      </c>
      <c r="C53" s="13" t="str">
        <f>IFS(A53='5_categorisation'!$A$2,'5_categorisation'!$B$2,A53='5_categorisation'!$A$3,'5_categorisation'!$B$3,A53='5_categorisation'!$A$4,'5_categorisation'!$B$4,A53='5_categorisation'!$A$5,'5_categorisation'!$B$5,A53='5_categorisation'!$A$6,'5_categorisation'!$B$6,A53='5_categorisation'!$A$7,'5_categorisation'!$B$7,A53='5_categorisation'!$A$8,'5_categorisation'!$B$8,A53='5_categorisation'!$A$9,'5_categorisation'!$B$9,A53='5_categorisation'!$A61,'5_categorisation'!$B$10,A53='5_categorisation'!$A$12,'5_categorisation'!$B$12,A53='5_categorisation'!$A$12,'5_categorisation'!$B$12,A53='5_categorisation'!$A$13,'5_categorisation'!$B$13,A53='5_categorisation'!$A$14,'5_categorisation'!$B$14,A53='5_categorisation'!$A$15,'5_categorisation'!$B$15,A53='5_categorisation'!$A$16,'5_categorisation'!$B$16,A53='5_categorisation'!$A$17,'5_categorisation'!$B$17,A53='5_categorisation'!$A$11,'5_categorisation'!$B$11)</f>
        <v>centre</v>
      </c>
      <c r="D53" s="15">
        <v>3.0</v>
      </c>
      <c r="E53" s="15" t="s">
        <v>3</v>
      </c>
      <c r="F53" s="14" t="str">
        <f>ifs(E53='5_categorisation'!$D$2,'5_categorisation'!$F$2,E53='5_categorisation'!$D$3,'5_categorisation'!$F$3,E53='5_categorisation'!$D$4,'5_categorisation'!$F$4,E53='5_categorisation'!$D$5,'5_categorisation'!$F$5,E53='5_categorisation'!$D$6,'5_categorisation'!$F$6,E53='5_categorisation'!$D$7,'5_categorisation'!$F$7,E53='5_categorisation'!$D$8,'5_categorisation'!$F$8,E53='5_categorisation'!$D$9,'5_categorisation'!$F$9,E53='5_categorisation'!$D$10,'5_categorisation'!$F$10,E53='5_categorisation'!$D$11,'5_categorisation'!$F$11,E53='5_categorisation'!$D$12,'5_categorisation'!$F$12,E53='5_categorisation'!$D$13,'5_categorisation'!$F$13,E53='5_categorisation'!$D$14,'5_categorisation'!$F$14,E53='5_categorisation'!$D$15,'5_categorisation'!$F$15,E53='5_categorisation'!$D$16,'5_categorisation'!$F$16,E53='5_categorisation'!$D$17,'5_categorisation'!$F$17,E53='5_categorisation'!$D$18,'5_categorisation'!$F$18,E53='5_categorisation'!$D$19,'5_categorisation'!$F$19,E53='5_categorisation'!$D$20,'5_categorisation'!$F$20,E53='5_categorisation'!$D$21,'5_categorisation'!$F$21,E53='5_categorisation'!$D$22,'5_categorisation'!$F$22)</f>
        <v>gauche</v>
      </c>
      <c r="G53" s="15" t="s">
        <v>113</v>
      </c>
      <c r="H53" s="15" t="s">
        <v>319</v>
      </c>
      <c r="I53" s="15" t="s">
        <v>806</v>
      </c>
      <c r="J53" s="14" t="str">
        <f>IFERROR(__xludf.DUMMYFUNCTION("FILTER(candidats!M:M,candidats!P:P=I53)"),"F")</f>
        <v>F</v>
      </c>
      <c r="K53" s="15">
        <v>14612.0</v>
      </c>
    </row>
    <row r="54">
      <c r="A54" s="13" t="s">
        <v>312</v>
      </c>
      <c r="B54" s="13" t="str">
        <f>IFERROR(__xludf.DUMMYFUNCTION("FILTER('5_categorisation'!C:C,'5_categorisation'!A:A=A54)"),"Centre-Val de Loire")</f>
        <v>Centre-Val de Loire</v>
      </c>
      <c r="C54" s="13" t="str">
        <f>IFS(A54='5_categorisation'!$A$2,'5_categorisation'!$B$2,A54='5_categorisation'!$A$3,'5_categorisation'!$B$3,A54='5_categorisation'!$A$4,'5_categorisation'!$B$4,A54='5_categorisation'!$A$5,'5_categorisation'!$B$5,A54='5_categorisation'!$A$6,'5_categorisation'!$B$6,A54='5_categorisation'!$A$7,'5_categorisation'!$B$7,A54='5_categorisation'!$A$8,'5_categorisation'!$B$8,A54='5_categorisation'!$A$9,'5_categorisation'!$B$9,A54='5_categorisation'!$A62,'5_categorisation'!$B$10,A54='5_categorisation'!$A$12,'5_categorisation'!$B$12,A54='5_categorisation'!$A$12,'5_categorisation'!$B$12,A54='5_categorisation'!$A$13,'5_categorisation'!$B$13,A54='5_categorisation'!$A$14,'5_categorisation'!$B$14,A54='5_categorisation'!$A$15,'5_categorisation'!$B$15,A54='5_categorisation'!$A$16,'5_categorisation'!$B$16,A54='5_categorisation'!$A$17,'5_categorisation'!$B$17,A54='5_categorisation'!$A$11,'5_categorisation'!$B$11)</f>
        <v>centre</v>
      </c>
      <c r="D54" s="14">
        <v>4.0</v>
      </c>
      <c r="E54" s="14" t="s">
        <v>39</v>
      </c>
      <c r="F54" s="14" t="str">
        <f>ifs(E54='5_categorisation'!$D$2,'5_categorisation'!$F$2,E54='5_categorisation'!$D$3,'5_categorisation'!$F$3,E54='5_categorisation'!$D$4,'5_categorisation'!$F$4,E54='5_categorisation'!$D$5,'5_categorisation'!$F$5,E54='5_categorisation'!$D$6,'5_categorisation'!$F$6,E54='5_categorisation'!$D$7,'5_categorisation'!$F$7,E54='5_categorisation'!$D$8,'5_categorisation'!$F$8,E54='5_categorisation'!$D$9,'5_categorisation'!$F$9,E54='5_categorisation'!$D$10,'5_categorisation'!$F$10,E54='5_categorisation'!$D$11,'5_categorisation'!$F$11,E54='5_categorisation'!$D$12,'5_categorisation'!$F$12,E54='5_categorisation'!$D$13,'5_categorisation'!$F$13,E54='5_categorisation'!$D$14,'5_categorisation'!$F$14,E54='5_categorisation'!$D$15,'5_categorisation'!$F$15,E54='5_categorisation'!$D$16,'5_categorisation'!$F$16,E54='5_categorisation'!$D$17,'5_categorisation'!$F$17,E54='5_categorisation'!$D$18,'5_categorisation'!$F$18,E54='5_categorisation'!$D$19,'5_categorisation'!$F$19,E54='5_categorisation'!$D$20,'5_categorisation'!$F$20,E54='5_categorisation'!$D$21,'5_categorisation'!$F$21,E54='5_categorisation'!$D$22,'5_categorisation'!$F$22)</f>
        <v>droite</v>
      </c>
      <c r="G54" s="14" t="s">
        <v>90</v>
      </c>
      <c r="H54" s="14" t="s">
        <v>91</v>
      </c>
      <c r="I54" s="14" t="s">
        <v>807</v>
      </c>
      <c r="J54" s="14" t="str">
        <f>IFERROR(__xludf.DUMMYFUNCTION("FILTER(candidats!M:M,candidats!P:P=I54)"),"F")</f>
        <v>F</v>
      </c>
      <c r="K54" s="14">
        <v>39422.0</v>
      </c>
    </row>
    <row r="55">
      <c r="A55" s="15" t="s">
        <v>312</v>
      </c>
      <c r="B55" s="13" t="str">
        <f>IFERROR(__xludf.DUMMYFUNCTION("FILTER('5_categorisation'!C:C,'5_categorisation'!A:A=A55)"),"Centre-Val de Loire")</f>
        <v>Centre-Val de Loire</v>
      </c>
      <c r="C55" s="13" t="str">
        <f>IFS(A55='5_categorisation'!$A$2,'5_categorisation'!$B$2,A55='5_categorisation'!$A$3,'5_categorisation'!$B$3,A55='5_categorisation'!$A$4,'5_categorisation'!$B$4,A55='5_categorisation'!$A$5,'5_categorisation'!$B$5,A55='5_categorisation'!$A$6,'5_categorisation'!$B$6,A55='5_categorisation'!$A$7,'5_categorisation'!$B$7,A55='5_categorisation'!$A$8,'5_categorisation'!$B$8,A55='5_categorisation'!$A$9,'5_categorisation'!$B$9,A55='5_categorisation'!$A63,'5_categorisation'!$B$10,A55='5_categorisation'!$A$12,'5_categorisation'!$B$12,A55='5_categorisation'!$A$12,'5_categorisation'!$B$12,A55='5_categorisation'!$A$13,'5_categorisation'!$B$13,A55='5_categorisation'!$A$14,'5_categorisation'!$B$14,A55='5_categorisation'!$A$15,'5_categorisation'!$B$15,A55='5_categorisation'!$A$16,'5_categorisation'!$B$16,A55='5_categorisation'!$A$17,'5_categorisation'!$B$17,A55='5_categorisation'!$A$11,'5_categorisation'!$B$11)</f>
        <v>centre</v>
      </c>
      <c r="D55" s="15">
        <v>5.0</v>
      </c>
      <c r="E55" s="15" t="s">
        <v>37</v>
      </c>
      <c r="F55" s="14" t="str">
        <f>ifs(E55='5_categorisation'!$D$2,'5_categorisation'!$F$2,E55='5_categorisation'!$D$3,'5_categorisation'!$F$3,E55='5_categorisation'!$D$4,'5_categorisation'!$F$4,E55='5_categorisation'!$D$5,'5_categorisation'!$F$5,E55='5_categorisation'!$D$6,'5_categorisation'!$F$6,E55='5_categorisation'!$D$7,'5_categorisation'!$F$7,E55='5_categorisation'!$D$8,'5_categorisation'!$F$8,E55='5_categorisation'!$D$9,'5_categorisation'!$F$9,E55='5_categorisation'!$D$10,'5_categorisation'!$F$10,E55='5_categorisation'!$D$11,'5_categorisation'!$F$11,E55='5_categorisation'!$D$12,'5_categorisation'!$F$12,E55='5_categorisation'!$D$13,'5_categorisation'!$F$13,E55='5_categorisation'!$D$14,'5_categorisation'!$F$14,E55='5_categorisation'!$D$15,'5_categorisation'!$F$15,E55='5_categorisation'!$D$16,'5_categorisation'!$F$16,E55='5_categorisation'!$D$17,'5_categorisation'!$F$17,E55='5_categorisation'!$D$18,'5_categorisation'!$F$18,E55='5_categorisation'!$D$19,'5_categorisation'!$F$19,E55='5_categorisation'!$D$20,'5_categorisation'!$F$20,E55='5_categorisation'!$D$21,'5_categorisation'!$F$21,E55='5_categorisation'!$D$22,'5_categorisation'!$F$22)</f>
        <v>droite</v>
      </c>
      <c r="G55" s="15" t="s">
        <v>325</v>
      </c>
      <c r="H55" s="15" t="s">
        <v>326</v>
      </c>
      <c r="I55" s="15" t="s">
        <v>808</v>
      </c>
      <c r="J55" s="14" t="str">
        <f>IFERROR(__xludf.DUMMYFUNCTION("FILTER(candidats!M:M,candidats!P:P=I55)"),"M")</f>
        <v>M</v>
      </c>
      <c r="K55" s="15">
        <v>225777.0</v>
      </c>
    </row>
    <row r="56">
      <c r="A56" s="13" t="s">
        <v>312</v>
      </c>
      <c r="B56" s="13" t="str">
        <f>IFERROR(__xludf.DUMMYFUNCTION("FILTER('5_categorisation'!C:C,'5_categorisation'!A:A=A56)"),"Centre-Val de Loire")</f>
        <v>Centre-Val de Loire</v>
      </c>
      <c r="C56" s="13" t="str">
        <f>IFS(A56='5_categorisation'!$A$2,'5_categorisation'!$B$2,A56='5_categorisation'!$A$3,'5_categorisation'!$B$3,A56='5_categorisation'!$A$4,'5_categorisation'!$B$4,A56='5_categorisation'!$A$5,'5_categorisation'!$B$5,A56='5_categorisation'!$A$6,'5_categorisation'!$B$6,A56='5_categorisation'!$A$7,'5_categorisation'!$B$7,A56='5_categorisation'!$A$8,'5_categorisation'!$B$8,A56='5_categorisation'!$A$9,'5_categorisation'!$B$9,A56='5_categorisation'!$A64,'5_categorisation'!$B$10,A56='5_categorisation'!$A$12,'5_categorisation'!$B$12,A56='5_categorisation'!$A$12,'5_categorisation'!$B$12,A56='5_categorisation'!$A$13,'5_categorisation'!$B$13,A56='5_categorisation'!$A$14,'5_categorisation'!$B$14,A56='5_categorisation'!$A$15,'5_categorisation'!$B$15,A56='5_categorisation'!$A$16,'5_categorisation'!$B$16,A56='5_categorisation'!$A$17,'5_categorisation'!$B$17,A56='5_categorisation'!$A$11,'5_categorisation'!$B$11)</f>
        <v>centre</v>
      </c>
      <c r="D56" s="14">
        <v>6.0</v>
      </c>
      <c r="E56" s="14" t="s">
        <v>21</v>
      </c>
      <c r="F56" s="14" t="str">
        <f>ifs(E56='5_categorisation'!$D$2,'5_categorisation'!$F$2,E56='5_categorisation'!$D$3,'5_categorisation'!$F$3,E56='5_categorisation'!$D$4,'5_categorisation'!$F$4,E56='5_categorisation'!$D$5,'5_categorisation'!$F$5,E56='5_categorisation'!$D$6,'5_categorisation'!$F$6,E56='5_categorisation'!$D$7,'5_categorisation'!$F$7,E56='5_categorisation'!$D$8,'5_categorisation'!$F$8,E56='5_categorisation'!$D$9,'5_categorisation'!$F$9,E56='5_categorisation'!$D$10,'5_categorisation'!$F$10,E56='5_categorisation'!$D$11,'5_categorisation'!$F$11,E56='5_categorisation'!$D$12,'5_categorisation'!$F$12,E56='5_categorisation'!$D$13,'5_categorisation'!$F$13,E56='5_categorisation'!$D$14,'5_categorisation'!$F$14,E56='5_categorisation'!$D$15,'5_categorisation'!$F$15,E56='5_categorisation'!$D$16,'5_categorisation'!$F$16,E56='5_categorisation'!$D$17,'5_categorisation'!$F$17,E56='5_categorisation'!$D$18,'5_categorisation'!$F$18,E56='5_categorisation'!$D$19,'5_categorisation'!$F$19,E56='5_categorisation'!$D$20,'5_categorisation'!$F$20,E56='5_categorisation'!$D$21,'5_categorisation'!$F$21,E56='5_categorisation'!$D$22,'5_categorisation'!$F$22)</f>
        <v>gauche</v>
      </c>
      <c r="G56" s="14" t="s">
        <v>330</v>
      </c>
      <c r="H56" s="14" t="s">
        <v>331</v>
      </c>
      <c r="I56" s="14" t="s">
        <v>809</v>
      </c>
      <c r="J56" s="14" t="str">
        <f>IFERROR(__xludf.DUMMYFUNCTION("FILTER(candidats!M:M,candidats!P:P=I56)"),"M")</f>
        <v>M</v>
      </c>
      <c r="K56" s="14">
        <v>56754.0</v>
      </c>
    </row>
    <row r="57">
      <c r="A57" s="13" t="s">
        <v>312</v>
      </c>
      <c r="B57" s="13" t="str">
        <f>IFERROR(__xludf.DUMMYFUNCTION("FILTER('5_categorisation'!C:C,'5_categorisation'!A:A=A57)"),"Centre-Val de Loire")</f>
        <v>Centre-Val de Loire</v>
      </c>
      <c r="C57" s="13" t="str">
        <f>IFS(A57='5_categorisation'!$A$2,'5_categorisation'!$B$2,A57='5_categorisation'!$A$3,'5_categorisation'!$B$3,A57='5_categorisation'!$A$4,'5_categorisation'!$B$4,A57='5_categorisation'!$A$5,'5_categorisation'!$B$5,A57='5_categorisation'!$A$6,'5_categorisation'!$B$6,A57='5_categorisation'!$A$7,'5_categorisation'!$B$7,A57='5_categorisation'!$A$8,'5_categorisation'!$B$8,A57='5_categorisation'!$A$9,'5_categorisation'!$B$9,A57='5_categorisation'!$A65,'5_categorisation'!$B$10,A57='5_categorisation'!$A$12,'5_categorisation'!$B$12,A57='5_categorisation'!$A$12,'5_categorisation'!$B$12,A57='5_categorisation'!$A$13,'5_categorisation'!$B$13,A57='5_categorisation'!$A$14,'5_categorisation'!$B$14,A57='5_categorisation'!$A$15,'5_categorisation'!$B$15,A57='5_categorisation'!$A$16,'5_categorisation'!$B$16,A57='5_categorisation'!$A$17,'5_categorisation'!$B$17,A57='5_categorisation'!$A$11,'5_categorisation'!$B$11)</f>
        <v>centre</v>
      </c>
      <c r="D57" s="14">
        <v>7.0</v>
      </c>
      <c r="E57" s="14" t="s">
        <v>15</v>
      </c>
      <c r="F57" s="14" t="str">
        <f>ifs(E57='5_categorisation'!$D$2,'5_categorisation'!$F$2,E57='5_categorisation'!$D$3,'5_categorisation'!$F$3,E57='5_categorisation'!$D$4,'5_categorisation'!$F$4,E57='5_categorisation'!$D$5,'5_categorisation'!$F$5,E57='5_categorisation'!$D$6,'5_categorisation'!$F$6,E57='5_categorisation'!$D$7,'5_categorisation'!$F$7,E57='5_categorisation'!$D$8,'5_categorisation'!$F$8,E57='5_categorisation'!$D$9,'5_categorisation'!$F$9,E57='5_categorisation'!$D$10,'5_categorisation'!$F$10,E57='5_categorisation'!$D$11,'5_categorisation'!$F$11,E57='5_categorisation'!$D$12,'5_categorisation'!$F$12,E57='5_categorisation'!$D$13,'5_categorisation'!$F$13,E57='5_categorisation'!$D$14,'5_categorisation'!$F$14,E57='5_categorisation'!$D$15,'5_categorisation'!$F$15,E57='5_categorisation'!$D$16,'5_categorisation'!$F$16,E57='5_categorisation'!$D$17,'5_categorisation'!$F$17,E57='5_categorisation'!$D$18,'5_categorisation'!$F$18,E57='5_categorisation'!$D$19,'5_categorisation'!$F$19,E57='5_categorisation'!$D$20,'5_categorisation'!$F$20,E57='5_categorisation'!$D$21,'5_categorisation'!$F$21,E57='5_categorisation'!$D$22,'5_categorisation'!$F$22)</f>
        <v>gauche</v>
      </c>
      <c r="G57" s="14" t="s">
        <v>334</v>
      </c>
      <c r="H57" s="14" t="s">
        <v>335</v>
      </c>
      <c r="I57" s="14" t="s">
        <v>810</v>
      </c>
      <c r="J57" s="14" t="str">
        <f>IFERROR(__xludf.DUMMYFUNCTION("FILTER(candidats!M:M,candidats!P:P=I57)"),"M")</f>
        <v>M</v>
      </c>
      <c r="K57" s="14">
        <v>209024.0</v>
      </c>
    </row>
    <row r="58">
      <c r="A58" s="13" t="s">
        <v>312</v>
      </c>
      <c r="B58" s="13" t="str">
        <f>IFERROR(__xludf.DUMMYFUNCTION("FILTER('5_categorisation'!C:C,'5_categorisation'!A:A=A58)"),"Centre-Val de Loire")</f>
        <v>Centre-Val de Loire</v>
      </c>
      <c r="C58" s="13" t="str">
        <f>IFS(A58='5_categorisation'!$A$2,'5_categorisation'!$B$2,A58='5_categorisation'!$A$3,'5_categorisation'!$B$3,A58='5_categorisation'!$A$4,'5_categorisation'!$B$4,A58='5_categorisation'!$A$5,'5_categorisation'!$B$5,A58='5_categorisation'!$A$6,'5_categorisation'!$B$6,A58='5_categorisation'!$A$7,'5_categorisation'!$B$7,A58='5_categorisation'!$A$8,'5_categorisation'!$B$8,A58='5_categorisation'!$A$9,'5_categorisation'!$B$9,A58='5_categorisation'!$A66,'5_categorisation'!$B$10,A58='5_categorisation'!$A$12,'5_categorisation'!$B$12,A58='5_categorisation'!$A$12,'5_categorisation'!$B$12,A58='5_categorisation'!$A$13,'5_categorisation'!$B$13,A58='5_categorisation'!$A$14,'5_categorisation'!$B$14,A58='5_categorisation'!$A$15,'5_categorisation'!$B$15,A58='5_categorisation'!$A$16,'5_categorisation'!$B$16,A58='5_categorisation'!$A$17,'5_categorisation'!$B$17,A58='5_categorisation'!$A$11,'5_categorisation'!$B$11)</f>
        <v>centre</v>
      </c>
      <c r="D58" s="14">
        <v>8.0</v>
      </c>
      <c r="E58" s="14" t="s">
        <v>9</v>
      </c>
      <c r="F58" s="14" t="str">
        <f>ifs(E58='5_categorisation'!$D$2,'5_categorisation'!$F$2,E58='5_categorisation'!$D$3,'5_categorisation'!$F$3,E58='5_categorisation'!$D$4,'5_categorisation'!$F$4,E58='5_categorisation'!$D$5,'5_categorisation'!$F$5,E58='5_categorisation'!$D$6,'5_categorisation'!$F$6,E58='5_categorisation'!$D$7,'5_categorisation'!$F$7,E58='5_categorisation'!$D$8,'5_categorisation'!$F$8,E58='5_categorisation'!$D$9,'5_categorisation'!$F$9,E58='5_categorisation'!$D$10,'5_categorisation'!$F$10,E58='5_categorisation'!$D$11,'5_categorisation'!$F$11,E58='5_categorisation'!$D$12,'5_categorisation'!$F$12,E58='5_categorisation'!$D$13,'5_categorisation'!$F$13,E58='5_categorisation'!$D$14,'5_categorisation'!$F$14,E58='5_categorisation'!$D$15,'5_categorisation'!$F$15,E58='5_categorisation'!$D$16,'5_categorisation'!$F$16,E58='5_categorisation'!$D$17,'5_categorisation'!$F$17,E58='5_categorisation'!$D$18,'5_categorisation'!$F$18,E58='5_categorisation'!$D$19,'5_categorisation'!$F$19,E58='5_categorisation'!$D$20,'5_categorisation'!$F$20,E58='5_categorisation'!$D$21,'5_categorisation'!$F$21,E58='5_categorisation'!$D$22,'5_categorisation'!$F$22)</f>
        <v>gauche</v>
      </c>
      <c r="G58" s="14" t="s">
        <v>337</v>
      </c>
      <c r="H58" s="14" t="s">
        <v>338</v>
      </c>
      <c r="I58" s="14" t="s">
        <v>811</v>
      </c>
      <c r="J58" s="14" t="str">
        <f>IFERROR(__xludf.DUMMYFUNCTION("FILTER(candidats!M:M,candidats!P:P=I58)"),"M")</f>
        <v>M</v>
      </c>
      <c r="K58" s="14">
        <v>39453.0</v>
      </c>
    </row>
    <row r="59">
      <c r="A59" s="13" t="s">
        <v>563</v>
      </c>
      <c r="B59" s="13" t="str">
        <f>IFERROR(__xludf.DUMMYFUNCTION("FILTER('5_categorisation'!C:C,'5_categorisation'!A:A=A59)"),"Corse")</f>
        <v>Corse</v>
      </c>
      <c r="C59" s="13" t="str">
        <f>IFS(A59='5_categorisation'!$A$2,'5_categorisation'!$B$2,A59='5_categorisation'!$A$3,'5_categorisation'!$B$3,A59='5_categorisation'!$A$4,'5_categorisation'!$B$4,A59='5_categorisation'!$A$5,'5_categorisation'!$B$5,A59='5_categorisation'!$A$6,'5_categorisation'!$B$6,A59='5_categorisation'!$A$7,'5_categorisation'!$B$7,A59='5_categorisation'!$A$8,'5_categorisation'!$B$8,A59='5_categorisation'!$A$9,'5_categorisation'!$B$9,A59='5_categorisation'!$A67,'5_categorisation'!$B$10,A59='5_categorisation'!$A$12,'5_categorisation'!$B$12,A59='5_categorisation'!$A$12,'5_categorisation'!$B$12,A59='5_categorisation'!$A$13,'5_categorisation'!$B$13,A59='5_categorisation'!$A$14,'5_categorisation'!$B$14,A59='5_categorisation'!$A$15,'5_categorisation'!$B$15,A59='5_categorisation'!$A$16,'5_categorisation'!$B$16,A59='5_categorisation'!$A$17,'5_categorisation'!$B$17,A59='5_categorisation'!$A$11,'5_categorisation'!$B$11)</f>
        <v>sud</v>
      </c>
      <c r="D59" s="14">
        <v>2.0</v>
      </c>
      <c r="E59" s="14" t="s">
        <v>28</v>
      </c>
      <c r="F59" s="14" t="str">
        <f>ifs(E59='5_categorisation'!$D$2,'5_categorisation'!$F$2,E59='5_categorisation'!$D$3,'5_categorisation'!$F$3,E59='5_categorisation'!$D$4,'5_categorisation'!$F$4,E59='5_categorisation'!$D$5,'5_categorisation'!$F$5,E59='5_categorisation'!$D$6,'5_categorisation'!$F$6,E59='5_categorisation'!$D$7,'5_categorisation'!$F$7,E59='5_categorisation'!$D$8,'5_categorisation'!$F$8,E59='5_categorisation'!$D$9,'5_categorisation'!$F$9,E59='5_categorisation'!$D$10,'5_categorisation'!$F$10,E59='5_categorisation'!$D$11,'5_categorisation'!$F$11,E59='5_categorisation'!$D$12,'5_categorisation'!$F$12,E59='5_categorisation'!$D$13,'5_categorisation'!$F$13,E59='5_categorisation'!$D$14,'5_categorisation'!$F$14,E59='5_categorisation'!$D$15,'5_categorisation'!$F$15,E59='5_categorisation'!$D$16,'5_categorisation'!$F$16,E59='5_categorisation'!$D$17,'5_categorisation'!$F$17,E59='5_categorisation'!$D$18,'5_categorisation'!$F$18,E59='5_categorisation'!$D$19,'5_categorisation'!$F$19,E59='5_categorisation'!$D$20,'5_categorisation'!$F$20,E59='5_categorisation'!$D$21,'5_categorisation'!$F$21,E59='5_categorisation'!$D$22,'5_categorisation'!$F$22)</f>
        <v>autre</v>
      </c>
      <c r="G59" s="14" t="s">
        <v>566</v>
      </c>
      <c r="H59" s="14" t="s">
        <v>567</v>
      </c>
      <c r="I59" s="14" t="s">
        <v>812</v>
      </c>
      <c r="J59" s="14" t="str">
        <f>IFERROR(__xludf.DUMMYFUNCTION("FILTER(candidats!M:M,candidats!P:P=I59)"),"M")</f>
        <v>M</v>
      </c>
      <c r="K59" s="14">
        <v>23603.0</v>
      </c>
    </row>
    <row r="60">
      <c r="A60" s="13" t="s">
        <v>563</v>
      </c>
      <c r="B60" s="13" t="str">
        <f>IFERROR(__xludf.DUMMYFUNCTION("FILTER('5_categorisation'!C:C,'5_categorisation'!A:A=A60)"),"Corse")</f>
        <v>Corse</v>
      </c>
      <c r="C60" s="13" t="str">
        <f>IFS(A60='5_categorisation'!$A$2,'5_categorisation'!$B$2,A60='5_categorisation'!$A$3,'5_categorisation'!$B$3,A60='5_categorisation'!$A$4,'5_categorisation'!$B$4,A60='5_categorisation'!$A$5,'5_categorisation'!$B$5,A60='5_categorisation'!$A$6,'5_categorisation'!$B$6,A60='5_categorisation'!$A$7,'5_categorisation'!$B$7,A60='5_categorisation'!$A$8,'5_categorisation'!$B$8,A60='5_categorisation'!$A$9,'5_categorisation'!$B$9,A60='5_categorisation'!$A68,'5_categorisation'!$B$10,A60='5_categorisation'!$A$12,'5_categorisation'!$B$12,A60='5_categorisation'!$A$12,'5_categorisation'!$B$12,A60='5_categorisation'!$A$13,'5_categorisation'!$B$13,A60='5_categorisation'!$A$14,'5_categorisation'!$B$14,A60='5_categorisation'!$A$15,'5_categorisation'!$B$15,A60='5_categorisation'!$A$16,'5_categorisation'!$B$16,A60='5_categorisation'!$A$17,'5_categorisation'!$B$17,A60='5_categorisation'!$A$11,'5_categorisation'!$B$11)</f>
        <v>sud</v>
      </c>
      <c r="D60" s="14">
        <v>3.0</v>
      </c>
      <c r="E60" s="14" t="s">
        <v>41</v>
      </c>
      <c r="F60" s="14" t="str">
        <f>ifs(E60='5_categorisation'!$D$2,'5_categorisation'!$F$2,E60='5_categorisation'!$D$3,'5_categorisation'!$F$3,E60='5_categorisation'!$D$4,'5_categorisation'!$F$4,E60='5_categorisation'!$D$5,'5_categorisation'!$F$5,E60='5_categorisation'!$D$6,'5_categorisation'!$F$6,E60='5_categorisation'!$D$7,'5_categorisation'!$F$7,E60='5_categorisation'!$D$8,'5_categorisation'!$F$8,E60='5_categorisation'!$D$9,'5_categorisation'!$F$9,E60='5_categorisation'!$D$10,'5_categorisation'!$F$10,E60='5_categorisation'!$D$11,'5_categorisation'!$F$11,E60='5_categorisation'!$D$12,'5_categorisation'!$F$12,E60='5_categorisation'!$D$13,'5_categorisation'!$F$13,E60='5_categorisation'!$D$14,'5_categorisation'!$F$14,E60='5_categorisation'!$D$15,'5_categorisation'!$F$15,E60='5_categorisation'!$D$16,'5_categorisation'!$F$16,E60='5_categorisation'!$D$17,'5_categorisation'!$F$17,E60='5_categorisation'!$D$18,'5_categorisation'!$F$18,E60='5_categorisation'!$D$19,'5_categorisation'!$F$19,E60='5_categorisation'!$D$20,'5_categorisation'!$F$20,E60='5_categorisation'!$D$21,'5_categorisation'!$F$21,E60='5_categorisation'!$D$22,'5_categorisation'!$F$22)</f>
        <v>droite</v>
      </c>
      <c r="G60" s="14" t="s">
        <v>569</v>
      </c>
      <c r="H60" s="14" t="s">
        <v>570</v>
      </c>
      <c r="I60" s="14" t="s">
        <v>813</v>
      </c>
      <c r="J60" s="14" t="str">
        <f>IFERROR(__xludf.DUMMYFUNCTION("FILTER(candidats!M:M,candidats!P:P=I60)"),"M")</f>
        <v>M</v>
      </c>
      <c r="K60" s="14">
        <v>17018.0</v>
      </c>
    </row>
    <row r="61">
      <c r="A61" s="13" t="s">
        <v>563</v>
      </c>
      <c r="B61" s="13" t="str">
        <f>IFERROR(__xludf.DUMMYFUNCTION("FILTER('5_categorisation'!C:C,'5_categorisation'!A:A=A61)"),"Corse")</f>
        <v>Corse</v>
      </c>
      <c r="C61" s="13" t="str">
        <f>IFS(A61='5_categorisation'!$A$2,'5_categorisation'!$B$2,A61='5_categorisation'!$A$3,'5_categorisation'!$B$3,A61='5_categorisation'!$A$4,'5_categorisation'!$B$4,A61='5_categorisation'!$A$5,'5_categorisation'!$B$5,A61='5_categorisation'!$A$6,'5_categorisation'!$B$6,A61='5_categorisation'!$A$7,'5_categorisation'!$B$7,A61='5_categorisation'!$A$8,'5_categorisation'!$B$8,A61='5_categorisation'!$A$9,'5_categorisation'!$B$9,A61='5_categorisation'!$A69,'5_categorisation'!$B$10,A61='5_categorisation'!$A$12,'5_categorisation'!$B$12,A61='5_categorisation'!$A$12,'5_categorisation'!$B$12,A61='5_categorisation'!$A$13,'5_categorisation'!$B$13,A61='5_categorisation'!$A$14,'5_categorisation'!$B$14,A61='5_categorisation'!$A$15,'5_categorisation'!$B$15,A61='5_categorisation'!$A$16,'5_categorisation'!$B$16,A61='5_categorisation'!$A$17,'5_categorisation'!$B$17,A61='5_categorisation'!$A$11,'5_categorisation'!$B$11)</f>
        <v>sud</v>
      </c>
      <c r="D61" s="14">
        <v>4.0</v>
      </c>
      <c r="E61" s="14" t="s">
        <v>17</v>
      </c>
      <c r="F61" s="14" t="str">
        <f>ifs(E61='5_categorisation'!$D$2,'5_categorisation'!$F$2,E61='5_categorisation'!$D$3,'5_categorisation'!$F$3,E61='5_categorisation'!$D$4,'5_categorisation'!$F$4,E61='5_categorisation'!$D$5,'5_categorisation'!$F$5,E61='5_categorisation'!$D$6,'5_categorisation'!$F$6,E61='5_categorisation'!$D$7,'5_categorisation'!$F$7,E61='5_categorisation'!$D$8,'5_categorisation'!$F$8,E61='5_categorisation'!$D$9,'5_categorisation'!$F$9,E61='5_categorisation'!$D$10,'5_categorisation'!$F$10,E61='5_categorisation'!$D$11,'5_categorisation'!$F$11,E61='5_categorisation'!$D$12,'5_categorisation'!$F$12,E61='5_categorisation'!$D$13,'5_categorisation'!$F$13,E61='5_categorisation'!$D$14,'5_categorisation'!$F$14,E61='5_categorisation'!$D$15,'5_categorisation'!$F$15,E61='5_categorisation'!$D$16,'5_categorisation'!$F$16,E61='5_categorisation'!$D$17,'5_categorisation'!$F$17,E61='5_categorisation'!$D$18,'5_categorisation'!$F$18,E61='5_categorisation'!$D$19,'5_categorisation'!$F$19,E61='5_categorisation'!$D$20,'5_categorisation'!$F$20,E61='5_categorisation'!$D$21,'5_categorisation'!$F$21,E61='5_categorisation'!$D$22,'5_categorisation'!$F$22)</f>
        <v>gauche</v>
      </c>
      <c r="G61" s="14" t="s">
        <v>573</v>
      </c>
      <c r="H61" s="14" t="s">
        <v>573</v>
      </c>
      <c r="I61" s="14" t="s">
        <v>814</v>
      </c>
      <c r="J61" s="14" t="str">
        <f>IFERROR(__xludf.DUMMYFUNCTION("FILTER(candidats!M:M,candidats!P:P=I61)"),"M")</f>
        <v>M</v>
      </c>
      <c r="K61" s="14">
        <v>4227.0</v>
      </c>
    </row>
    <row r="62">
      <c r="A62" s="13" t="s">
        <v>563</v>
      </c>
      <c r="B62" s="13" t="str">
        <f>IFERROR(__xludf.DUMMYFUNCTION("FILTER('5_categorisation'!C:C,'5_categorisation'!A:A=A62)"),"Corse")</f>
        <v>Corse</v>
      </c>
      <c r="C62" s="13" t="str">
        <f>IFS(A62='5_categorisation'!$A$2,'5_categorisation'!$B$2,A62='5_categorisation'!$A$3,'5_categorisation'!$B$3,A62='5_categorisation'!$A$4,'5_categorisation'!$B$4,A62='5_categorisation'!$A$5,'5_categorisation'!$B$5,A62='5_categorisation'!$A$6,'5_categorisation'!$B$6,A62='5_categorisation'!$A$7,'5_categorisation'!$B$7,A62='5_categorisation'!$A$8,'5_categorisation'!$B$8,A62='5_categorisation'!$A$9,'5_categorisation'!$B$9,A62='5_categorisation'!$A70,'5_categorisation'!$B$10,A62='5_categorisation'!$A$12,'5_categorisation'!$B$12,A62='5_categorisation'!$A$12,'5_categorisation'!$B$12,A62='5_categorisation'!$A$13,'5_categorisation'!$B$13,A62='5_categorisation'!$A$14,'5_categorisation'!$B$14,A62='5_categorisation'!$A$15,'5_categorisation'!$B$15,A62='5_categorisation'!$A$16,'5_categorisation'!$B$16,A62='5_categorisation'!$A$17,'5_categorisation'!$B$17,A62='5_categorisation'!$A$11,'5_categorisation'!$B$11)</f>
        <v>sud</v>
      </c>
      <c r="D62" s="14">
        <v>5.0</v>
      </c>
      <c r="E62" s="14" t="s">
        <v>13</v>
      </c>
      <c r="F62" s="14" t="str">
        <f>ifs(E62='5_categorisation'!$D$2,'5_categorisation'!$F$2,E62='5_categorisation'!$D$3,'5_categorisation'!$F$3,E62='5_categorisation'!$D$4,'5_categorisation'!$F$4,E62='5_categorisation'!$D$5,'5_categorisation'!$F$5,E62='5_categorisation'!$D$6,'5_categorisation'!$F$6,E62='5_categorisation'!$D$7,'5_categorisation'!$F$7,E62='5_categorisation'!$D$8,'5_categorisation'!$F$8,E62='5_categorisation'!$D$9,'5_categorisation'!$F$9,E62='5_categorisation'!$D$10,'5_categorisation'!$F$10,E62='5_categorisation'!$D$11,'5_categorisation'!$F$11,E62='5_categorisation'!$D$12,'5_categorisation'!$F$12,E62='5_categorisation'!$D$13,'5_categorisation'!$F$13,E62='5_categorisation'!$D$14,'5_categorisation'!$F$14,E62='5_categorisation'!$D$15,'5_categorisation'!$F$15,E62='5_categorisation'!$D$16,'5_categorisation'!$F$16,E62='5_categorisation'!$D$17,'5_categorisation'!$F$17,E62='5_categorisation'!$D$18,'5_categorisation'!$F$18,E62='5_categorisation'!$D$19,'5_categorisation'!$F$19,E62='5_categorisation'!$D$20,'5_categorisation'!$F$20,E62='5_categorisation'!$D$21,'5_categorisation'!$F$21,E62='5_categorisation'!$D$22,'5_categorisation'!$F$22)</f>
        <v>gauche</v>
      </c>
      <c r="G62" s="14" t="s">
        <v>577</v>
      </c>
      <c r="H62" s="14" t="s">
        <v>578</v>
      </c>
      <c r="I62" s="14" t="s">
        <v>815</v>
      </c>
      <c r="J62" s="14" t="str">
        <f>IFERROR(__xludf.DUMMYFUNCTION("FILTER(candidats!M:M,candidats!P:P=I62)"),"F")</f>
        <v>F</v>
      </c>
      <c r="K62" s="14">
        <v>4353.0</v>
      </c>
    </row>
    <row r="63">
      <c r="A63" s="13" t="s">
        <v>563</v>
      </c>
      <c r="B63" s="13" t="str">
        <f>IFERROR(__xludf.DUMMYFUNCTION("FILTER('5_categorisation'!C:C,'5_categorisation'!A:A=A63)"),"Corse")</f>
        <v>Corse</v>
      </c>
      <c r="C63" s="13" t="str">
        <f>IFS(A63='5_categorisation'!$A$2,'5_categorisation'!$B$2,A63='5_categorisation'!$A$3,'5_categorisation'!$B$3,A63='5_categorisation'!$A$4,'5_categorisation'!$B$4,A63='5_categorisation'!$A$5,'5_categorisation'!$B$5,A63='5_categorisation'!$A$6,'5_categorisation'!$B$6,A63='5_categorisation'!$A$7,'5_categorisation'!$B$7,A63='5_categorisation'!$A$8,'5_categorisation'!$B$8,A63='5_categorisation'!$A$9,'5_categorisation'!$B$9,A63='5_categorisation'!$A71,'5_categorisation'!$B$10,A63='5_categorisation'!$A$12,'5_categorisation'!$B$12,A63='5_categorisation'!$A$12,'5_categorisation'!$B$12,A63='5_categorisation'!$A$13,'5_categorisation'!$B$13,A63='5_categorisation'!$A$14,'5_categorisation'!$B$14,A63='5_categorisation'!$A$15,'5_categorisation'!$B$15,A63='5_categorisation'!$A$16,'5_categorisation'!$B$16,A63='5_categorisation'!$A$17,'5_categorisation'!$B$17,A63='5_categorisation'!$A$11,'5_categorisation'!$B$11)</f>
        <v>sud</v>
      </c>
      <c r="D63" s="14">
        <v>6.0</v>
      </c>
      <c r="E63" s="14" t="s">
        <v>19</v>
      </c>
      <c r="F63" s="14" t="str">
        <f>ifs(E63='5_categorisation'!$D$2,'5_categorisation'!$F$2,E63='5_categorisation'!$D$3,'5_categorisation'!$F$3,E63='5_categorisation'!$D$4,'5_categorisation'!$F$4,E63='5_categorisation'!$D$5,'5_categorisation'!$F$5,E63='5_categorisation'!$D$6,'5_categorisation'!$F$6,E63='5_categorisation'!$D$7,'5_categorisation'!$F$7,E63='5_categorisation'!$D$8,'5_categorisation'!$F$8,E63='5_categorisation'!$D$9,'5_categorisation'!$F$9,E63='5_categorisation'!$D$10,'5_categorisation'!$F$10,E63='5_categorisation'!$D$11,'5_categorisation'!$F$11,E63='5_categorisation'!$D$12,'5_categorisation'!$F$12,E63='5_categorisation'!$D$13,'5_categorisation'!$F$13,E63='5_categorisation'!$D$14,'5_categorisation'!$F$14,E63='5_categorisation'!$D$15,'5_categorisation'!$F$15,E63='5_categorisation'!$D$16,'5_categorisation'!$F$16,E63='5_categorisation'!$D$17,'5_categorisation'!$F$17,E63='5_categorisation'!$D$18,'5_categorisation'!$F$18,E63='5_categorisation'!$D$19,'5_categorisation'!$F$19,E63='5_categorisation'!$D$20,'5_categorisation'!$F$20,E63='5_categorisation'!$D$21,'5_categorisation'!$F$21,E63='5_categorisation'!$D$22,'5_categorisation'!$F$22)</f>
        <v>gauche</v>
      </c>
      <c r="G63" s="14" t="s">
        <v>580</v>
      </c>
      <c r="H63" s="14" t="s">
        <v>580</v>
      </c>
      <c r="I63" s="14" t="s">
        <v>816</v>
      </c>
      <c r="J63" s="14" t="str">
        <f>IFERROR(__xludf.DUMMYFUNCTION("FILTER(candidats!M:M,candidats!P:P=I63)"),"M")</f>
        <v>M</v>
      </c>
      <c r="K63" s="14">
        <v>24686.0</v>
      </c>
    </row>
    <row r="64">
      <c r="A64" s="15" t="s">
        <v>563</v>
      </c>
      <c r="B64" s="13" t="str">
        <f>IFERROR(__xludf.DUMMYFUNCTION("FILTER('5_categorisation'!C:C,'5_categorisation'!A:A=A64)"),"Corse")</f>
        <v>Corse</v>
      </c>
      <c r="C64" s="13" t="str">
        <f>IFS(A64='5_categorisation'!$A$2,'5_categorisation'!$B$2,A64='5_categorisation'!$A$3,'5_categorisation'!$B$3,A64='5_categorisation'!$A$4,'5_categorisation'!$B$4,A64='5_categorisation'!$A$5,'5_categorisation'!$B$5,A64='5_categorisation'!$A$6,'5_categorisation'!$B$6,A64='5_categorisation'!$A$7,'5_categorisation'!$B$7,A64='5_categorisation'!$A$8,'5_categorisation'!$B$8,A64='5_categorisation'!$A$9,'5_categorisation'!$B$9,A64='5_categorisation'!$A72,'5_categorisation'!$B$10,A64='5_categorisation'!$A$12,'5_categorisation'!$B$12,A64='5_categorisation'!$A$12,'5_categorisation'!$B$12,A64='5_categorisation'!$A$13,'5_categorisation'!$B$13,A64='5_categorisation'!$A$14,'5_categorisation'!$B$14,A64='5_categorisation'!$A$15,'5_categorisation'!$B$15,A64='5_categorisation'!$A$16,'5_categorisation'!$B$16,A64='5_categorisation'!$A$17,'5_categorisation'!$B$17,A64='5_categorisation'!$A$11,'5_categorisation'!$B$11)</f>
        <v>sud</v>
      </c>
      <c r="D64" s="15">
        <v>7.0</v>
      </c>
      <c r="E64" s="15" t="s">
        <v>28</v>
      </c>
      <c r="F64" s="14" t="str">
        <f>ifs(E64='5_categorisation'!$D$2,'5_categorisation'!$F$2,E64='5_categorisation'!$D$3,'5_categorisation'!$F$3,E64='5_categorisation'!$D$4,'5_categorisation'!$F$4,E64='5_categorisation'!$D$5,'5_categorisation'!$F$5,E64='5_categorisation'!$D$6,'5_categorisation'!$F$6,E64='5_categorisation'!$D$7,'5_categorisation'!$F$7,E64='5_categorisation'!$D$8,'5_categorisation'!$F$8,E64='5_categorisation'!$D$9,'5_categorisation'!$F$9,E64='5_categorisation'!$D$10,'5_categorisation'!$F$10,E64='5_categorisation'!$D$11,'5_categorisation'!$F$11,E64='5_categorisation'!$D$12,'5_categorisation'!$F$12,E64='5_categorisation'!$D$13,'5_categorisation'!$F$13,E64='5_categorisation'!$D$14,'5_categorisation'!$F$14,E64='5_categorisation'!$D$15,'5_categorisation'!$F$15,E64='5_categorisation'!$D$16,'5_categorisation'!$F$16,E64='5_categorisation'!$D$17,'5_categorisation'!$F$17,E64='5_categorisation'!$D$18,'5_categorisation'!$F$18,E64='5_categorisation'!$D$19,'5_categorisation'!$F$19,E64='5_categorisation'!$D$20,'5_categorisation'!$F$20,E64='5_categorisation'!$D$21,'5_categorisation'!$F$21,E64='5_categorisation'!$D$22,'5_categorisation'!$F$22)</f>
        <v>autre</v>
      </c>
      <c r="G64" s="15" t="s">
        <v>583</v>
      </c>
      <c r="H64" s="15" t="s">
        <v>583</v>
      </c>
      <c r="I64" s="15" t="s">
        <v>817</v>
      </c>
      <c r="J64" s="14" t="str">
        <f>IFERROR(__xludf.DUMMYFUNCTION("FILTER(candidats!M:M,candidats!P:P=I64)"),"M")</f>
        <v>M</v>
      </c>
      <c r="K64" s="15">
        <v>3451.0</v>
      </c>
    </row>
    <row r="65">
      <c r="A65" s="13" t="s">
        <v>563</v>
      </c>
      <c r="B65" s="13" t="str">
        <f>IFERROR(__xludf.DUMMYFUNCTION("FILTER('5_categorisation'!C:C,'5_categorisation'!A:A=A65)"),"Corse")</f>
        <v>Corse</v>
      </c>
      <c r="C65" s="13" t="str">
        <f>IFS(A65='5_categorisation'!$A$2,'5_categorisation'!$B$2,A65='5_categorisation'!$A$3,'5_categorisation'!$B$3,A65='5_categorisation'!$A$4,'5_categorisation'!$B$4,A65='5_categorisation'!$A$5,'5_categorisation'!$B$5,A65='5_categorisation'!$A$6,'5_categorisation'!$B$6,A65='5_categorisation'!$A$7,'5_categorisation'!$B$7,A65='5_categorisation'!$A$8,'5_categorisation'!$B$8,A65='5_categorisation'!$A$9,'5_categorisation'!$B$9,A65='5_categorisation'!$A73,'5_categorisation'!$B$10,A65='5_categorisation'!$A$12,'5_categorisation'!$B$12,A65='5_categorisation'!$A$12,'5_categorisation'!$B$12,A65='5_categorisation'!$A$13,'5_categorisation'!$B$13,A65='5_categorisation'!$A$14,'5_categorisation'!$B$14,A65='5_categorisation'!$A$15,'5_categorisation'!$B$15,A65='5_categorisation'!$A$16,'5_categorisation'!$B$16,A65='5_categorisation'!$A$17,'5_categorisation'!$B$17,A65='5_categorisation'!$A$11,'5_categorisation'!$B$11)</f>
        <v>sud</v>
      </c>
      <c r="D65" s="14">
        <v>9.0</v>
      </c>
      <c r="E65" s="14" t="s">
        <v>28</v>
      </c>
      <c r="F65" s="14" t="str">
        <f>ifs(E65='5_categorisation'!$D$2,'5_categorisation'!$F$2,E65='5_categorisation'!$D$3,'5_categorisation'!$F$3,E65='5_categorisation'!$D$4,'5_categorisation'!$F$4,E65='5_categorisation'!$D$5,'5_categorisation'!$F$5,E65='5_categorisation'!$D$6,'5_categorisation'!$F$6,E65='5_categorisation'!$D$7,'5_categorisation'!$F$7,E65='5_categorisation'!$D$8,'5_categorisation'!$F$8,E65='5_categorisation'!$D$9,'5_categorisation'!$F$9,E65='5_categorisation'!$D$10,'5_categorisation'!$F$10,E65='5_categorisation'!$D$11,'5_categorisation'!$F$11,E65='5_categorisation'!$D$12,'5_categorisation'!$F$12,E65='5_categorisation'!$D$13,'5_categorisation'!$F$13,E65='5_categorisation'!$D$14,'5_categorisation'!$F$14,E65='5_categorisation'!$D$15,'5_categorisation'!$F$15,E65='5_categorisation'!$D$16,'5_categorisation'!$F$16,E65='5_categorisation'!$D$17,'5_categorisation'!$F$17,E65='5_categorisation'!$D$18,'5_categorisation'!$F$18,E65='5_categorisation'!$D$19,'5_categorisation'!$F$19,E65='5_categorisation'!$D$20,'5_categorisation'!$F$20,E65='5_categorisation'!$D$21,'5_categorisation'!$F$21,E65='5_categorisation'!$D$22,'5_categorisation'!$F$22)</f>
        <v>autre</v>
      </c>
      <c r="G65" s="14" t="s">
        <v>586</v>
      </c>
      <c r="H65" s="14" t="s">
        <v>586</v>
      </c>
      <c r="I65" s="14" t="s">
        <v>818</v>
      </c>
      <c r="J65" s="14" t="str">
        <f>IFERROR(__xludf.DUMMYFUNCTION("FILTER(candidats!M:M,candidats!P:P=I65)"),"M")</f>
        <v>M</v>
      </c>
      <c r="K65" s="14">
        <v>10353.0</v>
      </c>
    </row>
    <row r="66">
      <c r="A66" s="13" t="s">
        <v>563</v>
      </c>
      <c r="B66" s="13" t="str">
        <f>IFERROR(__xludf.DUMMYFUNCTION("FILTER('5_categorisation'!C:C,'5_categorisation'!A:A=A66)"),"Corse")</f>
        <v>Corse</v>
      </c>
      <c r="C66" s="13" t="str">
        <f>IFS(A66='5_categorisation'!$A$2,'5_categorisation'!$B$2,A66='5_categorisation'!$A$3,'5_categorisation'!$B$3,A66='5_categorisation'!$A$4,'5_categorisation'!$B$4,A66='5_categorisation'!$A$5,'5_categorisation'!$B$5,A66='5_categorisation'!$A$6,'5_categorisation'!$B$6,A66='5_categorisation'!$A$7,'5_categorisation'!$B$7,A66='5_categorisation'!$A$8,'5_categorisation'!$B$8,A66='5_categorisation'!$A$9,'5_categorisation'!$B$9,A66='5_categorisation'!$A74,'5_categorisation'!$B$10,A66='5_categorisation'!$A$12,'5_categorisation'!$B$12,A66='5_categorisation'!$A$12,'5_categorisation'!$B$12,A66='5_categorisation'!$A$13,'5_categorisation'!$B$13,A66='5_categorisation'!$A$14,'5_categorisation'!$B$14,A66='5_categorisation'!$A$15,'5_categorisation'!$B$15,A66='5_categorisation'!$A$16,'5_categorisation'!$B$16,A66='5_categorisation'!$A$17,'5_categorisation'!$B$17,A66='5_categorisation'!$A$11,'5_categorisation'!$B$11)</f>
        <v>sud</v>
      </c>
      <c r="D66" s="15">
        <v>10.0</v>
      </c>
      <c r="E66" s="15" t="s">
        <v>5</v>
      </c>
      <c r="F66" s="14" t="str">
        <f>ifs(E66='5_categorisation'!$D$2,'5_categorisation'!$F$2,E66='5_categorisation'!$D$3,'5_categorisation'!$F$3,E66='5_categorisation'!$D$4,'5_categorisation'!$F$4,E66='5_categorisation'!$D$5,'5_categorisation'!$F$5,E66='5_categorisation'!$D$6,'5_categorisation'!$F$6,E66='5_categorisation'!$D$7,'5_categorisation'!$F$7,E66='5_categorisation'!$D$8,'5_categorisation'!$F$8,E66='5_categorisation'!$D$9,'5_categorisation'!$F$9,E66='5_categorisation'!$D$10,'5_categorisation'!$F$10,E66='5_categorisation'!$D$11,'5_categorisation'!$F$11,E66='5_categorisation'!$D$12,'5_categorisation'!$F$12,E66='5_categorisation'!$D$13,'5_categorisation'!$F$13,E66='5_categorisation'!$D$14,'5_categorisation'!$F$14,E66='5_categorisation'!$D$15,'5_categorisation'!$F$15,E66='5_categorisation'!$D$16,'5_categorisation'!$F$16,E66='5_categorisation'!$D$17,'5_categorisation'!$F$17,E66='5_categorisation'!$D$18,'5_categorisation'!$F$18,E66='5_categorisation'!$D$19,'5_categorisation'!$F$19,E66='5_categorisation'!$D$20,'5_categorisation'!$F$20,E66='5_categorisation'!$D$21,'5_categorisation'!$F$21,E66='5_categorisation'!$D$22,'5_categorisation'!$F$22)</f>
        <v>gauche</v>
      </c>
      <c r="G66" s="15" t="s">
        <v>589</v>
      </c>
      <c r="H66" s="15" t="s">
        <v>590</v>
      </c>
      <c r="I66" s="15" t="s">
        <v>819</v>
      </c>
      <c r="J66" s="14" t="str">
        <f>IFERROR(__xludf.DUMMYFUNCTION("FILTER(candidats!M:M,candidats!P:P=I66)"),"M")</f>
        <v>M</v>
      </c>
      <c r="K66" s="15">
        <v>7448.0</v>
      </c>
    </row>
    <row r="67">
      <c r="A67" s="13" t="s">
        <v>563</v>
      </c>
      <c r="B67" s="13" t="str">
        <f>IFERROR(__xludf.DUMMYFUNCTION("FILTER('5_categorisation'!C:C,'5_categorisation'!A:A=A67)"),"Corse")</f>
        <v>Corse</v>
      </c>
      <c r="C67" s="13" t="str">
        <f>IFS(A67='5_categorisation'!$A$2,'5_categorisation'!$B$2,A67='5_categorisation'!$A$3,'5_categorisation'!$B$3,A67='5_categorisation'!$A$4,'5_categorisation'!$B$4,A67='5_categorisation'!$A$5,'5_categorisation'!$B$5,A67='5_categorisation'!$A$6,'5_categorisation'!$B$6,A67='5_categorisation'!$A$7,'5_categorisation'!$B$7,A67='5_categorisation'!$A$8,'5_categorisation'!$B$8,A67='5_categorisation'!$A$9,'5_categorisation'!$B$9,A67='5_categorisation'!$A75,'5_categorisation'!$B$10,A67='5_categorisation'!$A$12,'5_categorisation'!$B$12,A67='5_categorisation'!$A$12,'5_categorisation'!$B$12,A67='5_categorisation'!$A$13,'5_categorisation'!$B$13,A67='5_categorisation'!$A$14,'5_categorisation'!$B$14,A67='5_categorisation'!$A$15,'5_categorisation'!$B$15,A67='5_categorisation'!$A$16,'5_categorisation'!$B$16,A67='5_categorisation'!$A$17,'5_categorisation'!$B$17,A67='5_categorisation'!$A$11,'5_categorisation'!$B$11)</f>
        <v>sud</v>
      </c>
      <c r="D67" s="14">
        <v>11.0</v>
      </c>
      <c r="E67" s="14" t="s">
        <v>35</v>
      </c>
      <c r="F67" s="14" t="str">
        <f>ifs(E67='5_categorisation'!$D$2,'5_categorisation'!$F$2,E67='5_categorisation'!$D$3,'5_categorisation'!$F$3,E67='5_categorisation'!$D$4,'5_categorisation'!$F$4,E67='5_categorisation'!$D$5,'5_categorisation'!$F$5,E67='5_categorisation'!$D$6,'5_categorisation'!$F$6,E67='5_categorisation'!$D$7,'5_categorisation'!$F$7,E67='5_categorisation'!$D$8,'5_categorisation'!$F$8,E67='5_categorisation'!$D$9,'5_categorisation'!$F$9,E67='5_categorisation'!$D$10,'5_categorisation'!$F$10,E67='5_categorisation'!$D$11,'5_categorisation'!$F$11,E67='5_categorisation'!$D$12,'5_categorisation'!$F$12,E67='5_categorisation'!$D$13,'5_categorisation'!$F$13,E67='5_categorisation'!$D$14,'5_categorisation'!$F$14,E67='5_categorisation'!$D$15,'5_categorisation'!$F$15,E67='5_categorisation'!$D$16,'5_categorisation'!$F$16,E67='5_categorisation'!$D$17,'5_categorisation'!$F$17,E67='5_categorisation'!$D$18,'5_categorisation'!$F$18,E67='5_categorisation'!$D$19,'5_categorisation'!$F$19,E67='5_categorisation'!$D$20,'5_categorisation'!$F$20,E67='5_categorisation'!$D$21,'5_categorisation'!$F$21,E67='5_categorisation'!$D$22,'5_categorisation'!$F$22)</f>
        <v>droite</v>
      </c>
      <c r="G67" s="14" t="s">
        <v>593</v>
      </c>
      <c r="H67" s="14" t="s">
        <v>593</v>
      </c>
      <c r="I67" s="14" t="s">
        <v>820</v>
      </c>
      <c r="J67" s="14" t="str">
        <f>IFERROR(__xludf.DUMMYFUNCTION("FILTER(candidats!M:M,candidats!P:P=I67)"),"M")</f>
        <v>M</v>
      </c>
      <c r="K67" s="14">
        <v>17642.0</v>
      </c>
    </row>
    <row r="68">
      <c r="A68" s="13" t="s">
        <v>563</v>
      </c>
      <c r="B68" s="13" t="str">
        <f>IFERROR(__xludf.DUMMYFUNCTION("FILTER('5_categorisation'!C:C,'5_categorisation'!A:A=A68)"),"Corse")</f>
        <v>Corse</v>
      </c>
      <c r="C68" s="13" t="str">
        <f>IFS(A68='5_categorisation'!$A$2,'5_categorisation'!$B$2,A68='5_categorisation'!$A$3,'5_categorisation'!$B$3,A68='5_categorisation'!$A$4,'5_categorisation'!$B$4,A68='5_categorisation'!$A$5,'5_categorisation'!$B$5,A68='5_categorisation'!$A$6,'5_categorisation'!$B$6,A68='5_categorisation'!$A$7,'5_categorisation'!$B$7,A68='5_categorisation'!$A$8,'5_categorisation'!$B$8,A68='5_categorisation'!$A$9,'5_categorisation'!$B$9,A68='5_categorisation'!$A76,'5_categorisation'!$B$10,A68='5_categorisation'!$A$12,'5_categorisation'!$B$12,A68='5_categorisation'!$A$12,'5_categorisation'!$B$12,A68='5_categorisation'!$A$13,'5_categorisation'!$B$13,A68='5_categorisation'!$A$14,'5_categorisation'!$B$14,A68='5_categorisation'!$A$15,'5_categorisation'!$B$15,A68='5_categorisation'!$A$16,'5_categorisation'!$B$16,A68='5_categorisation'!$A$17,'5_categorisation'!$B$17,A68='5_categorisation'!$A$11,'5_categorisation'!$B$11)</f>
        <v>sud</v>
      </c>
      <c r="D68" s="14">
        <v>12.0</v>
      </c>
      <c r="E68" s="14" t="s">
        <v>19</v>
      </c>
      <c r="F68" s="14" t="str">
        <f>ifs(E68='5_categorisation'!$D$2,'5_categorisation'!$F$2,E68='5_categorisation'!$D$3,'5_categorisation'!$F$3,E68='5_categorisation'!$D$4,'5_categorisation'!$F$4,E68='5_categorisation'!$D$5,'5_categorisation'!$F$5,E68='5_categorisation'!$D$6,'5_categorisation'!$F$6,E68='5_categorisation'!$D$7,'5_categorisation'!$F$7,E68='5_categorisation'!$D$8,'5_categorisation'!$F$8,E68='5_categorisation'!$D$9,'5_categorisation'!$F$9,E68='5_categorisation'!$D$10,'5_categorisation'!$F$10,E68='5_categorisation'!$D$11,'5_categorisation'!$F$11,E68='5_categorisation'!$D$12,'5_categorisation'!$F$12,E68='5_categorisation'!$D$13,'5_categorisation'!$F$13,E68='5_categorisation'!$D$14,'5_categorisation'!$F$14,E68='5_categorisation'!$D$15,'5_categorisation'!$F$15,E68='5_categorisation'!$D$16,'5_categorisation'!$F$16,E68='5_categorisation'!$D$17,'5_categorisation'!$F$17,E68='5_categorisation'!$D$18,'5_categorisation'!$F$18,E68='5_categorisation'!$D$19,'5_categorisation'!$F$19,E68='5_categorisation'!$D$20,'5_categorisation'!$F$20,E68='5_categorisation'!$D$21,'5_categorisation'!$F$21,E68='5_categorisation'!$D$22,'5_categorisation'!$F$22)</f>
        <v>gauche</v>
      </c>
      <c r="G68" s="14" t="s">
        <v>596</v>
      </c>
      <c r="H68" s="14" t="s">
        <v>597</v>
      </c>
      <c r="I68" s="14" t="s">
        <v>821</v>
      </c>
      <c r="J68" s="14" t="str">
        <f>IFERROR(__xludf.DUMMYFUNCTION("FILTER(candidats!M:M,candidats!P:P=I68)"),"M")</f>
        <v>M</v>
      </c>
      <c r="K68" s="14">
        <v>5532.0</v>
      </c>
    </row>
    <row r="69">
      <c r="A69" s="13" t="s">
        <v>563</v>
      </c>
      <c r="B69" s="13" t="str">
        <f>IFERROR(__xludf.DUMMYFUNCTION("FILTER('5_categorisation'!C:C,'5_categorisation'!A:A=A69)"),"Corse")</f>
        <v>Corse</v>
      </c>
      <c r="C69" s="13" t="str">
        <f>IFS(A69='5_categorisation'!$A$2,'5_categorisation'!$B$2,A69='5_categorisation'!$A$3,'5_categorisation'!$B$3,A69='5_categorisation'!$A$4,'5_categorisation'!$B$4,A69='5_categorisation'!$A$5,'5_categorisation'!$B$5,A69='5_categorisation'!$A$6,'5_categorisation'!$B$6,A69='5_categorisation'!$A$7,'5_categorisation'!$B$7,A69='5_categorisation'!$A$8,'5_categorisation'!$B$8,A69='5_categorisation'!$A$9,'5_categorisation'!$B$9,A69='5_categorisation'!$A77,'5_categorisation'!$B$10,A69='5_categorisation'!$A$12,'5_categorisation'!$B$12,A69='5_categorisation'!$A$12,'5_categorisation'!$B$12,A69='5_categorisation'!$A$13,'5_categorisation'!$B$13,A69='5_categorisation'!$A$14,'5_categorisation'!$B$14,A69='5_categorisation'!$A$15,'5_categorisation'!$B$15,A69='5_categorisation'!$A$16,'5_categorisation'!$B$16,A69='5_categorisation'!$A$17,'5_categorisation'!$B$17,A69='5_categorisation'!$A$11,'5_categorisation'!$B$11)</f>
        <v>sud</v>
      </c>
      <c r="D69" s="14">
        <v>13.0</v>
      </c>
      <c r="E69" s="14" t="s">
        <v>39</v>
      </c>
      <c r="F69" s="14" t="str">
        <f>ifs(E69='5_categorisation'!$D$2,'5_categorisation'!$F$2,E69='5_categorisation'!$D$3,'5_categorisation'!$F$3,E69='5_categorisation'!$D$4,'5_categorisation'!$F$4,E69='5_categorisation'!$D$5,'5_categorisation'!$F$5,E69='5_categorisation'!$D$6,'5_categorisation'!$F$6,E69='5_categorisation'!$D$7,'5_categorisation'!$F$7,E69='5_categorisation'!$D$8,'5_categorisation'!$F$8,E69='5_categorisation'!$D$9,'5_categorisation'!$F$9,E69='5_categorisation'!$D$10,'5_categorisation'!$F$10,E69='5_categorisation'!$D$11,'5_categorisation'!$F$11,E69='5_categorisation'!$D$12,'5_categorisation'!$F$12,E69='5_categorisation'!$D$13,'5_categorisation'!$F$13,E69='5_categorisation'!$D$14,'5_categorisation'!$F$14,E69='5_categorisation'!$D$15,'5_categorisation'!$F$15,E69='5_categorisation'!$D$16,'5_categorisation'!$F$16,E69='5_categorisation'!$D$17,'5_categorisation'!$F$17,E69='5_categorisation'!$D$18,'5_categorisation'!$F$18,E69='5_categorisation'!$D$19,'5_categorisation'!$F$19,E69='5_categorisation'!$D$20,'5_categorisation'!$F$20,E69='5_categorisation'!$D$21,'5_categorisation'!$F$21,E69='5_categorisation'!$D$22,'5_categorisation'!$F$22)</f>
        <v>droite</v>
      </c>
      <c r="G69" s="14" t="s">
        <v>90</v>
      </c>
      <c r="H69" s="14" t="s">
        <v>90</v>
      </c>
      <c r="I69" s="14" t="s">
        <v>822</v>
      </c>
      <c r="J69" s="14" t="str">
        <f>IFERROR(__xludf.DUMMYFUNCTION("FILTER(candidats!M:M,candidats!P:P=I69)"),"M")</f>
        <v>M</v>
      </c>
      <c r="K69" s="14">
        <v>1500.0</v>
      </c>
    </row>
    <row r="70">
      <c r="A70" s="13" t="s">
        <v>601</v>
      </c>
      <c r="B70" s="13" t="str">
        <f>IFERROR(__xludf.DUMMYFUNCTION("FILTER('5_categorisation'!C:C,'5_categorisation'!A:A=A70)"),"Guadeloupe")</f>
        <v>Guadeloupe</v>
      </c>
      <c r="C70" s="13" t="str">
        <f>IFS(A70='5_categorisation'!$A$2,'5_categorisation'!$B$2,A70='5_categorisation'!$A$3,'5_categorisation'!$B$3,A70='5_categorisation'!$A$4,'5_categorisation'!$B$4,A70='5_categorisation'!$A$5,'5_categorisation'!$B$5,A70='5_categorisation'!$A$6,'5_categorisation'!$B$6,A70='5_categorisation'!$A$7,'5_categorisation'!$B$7,A70='5_categorisation'!$A$8,'5_categorisation'!$B$8,A70='5_categorisation'!$A$9,'5_categorisation'!$B$9,A70='5_categorisation'!$A78,'5_categorisation'!$B$10,A70='5_categorisation'!$A$12,'5_categorisation'!$B$12,A70='5_categorisation'!$A$12,'5_categorisation'!$B$12,A70='5_categorisation'!$A$13,'5_categorisation'!$B$13,A70='5_categorisation'!$A$14,'5_categorisation'!$B$14,A70='5_categorisation'!$A$15,'5_categorisation'!$B$15,A70='5_categorisation'!$A$16,'5_categorisation'!$B$16,A70='5_categorisation'!$A$17,'5_categorisation'!$B$17,A70='5_categorisation'!$A$11,'5_categorisation'!$B$11)</f>
        <v>outre-mer</v>
      </c>
      <c r="D70" s="14">
        <v>1.0</v>
      </c>
      <c r="E70" s="14" t="s">
        <v>19</v>
      </c>
      <c r="F70" s="14" t="str">
        <f>ifs(E70='5_categorisation'!$D$2,'5_categorisation'!$F$2,E70='5_categorisation'!$D$3,'5_categorisation'!$F$3,E70='5_categorisation'!$D$4,'5_categorisation'!$F$4,E70='5_categorisation'!$D$5,'5_categorisation'!$F$5,E70='5_categorisation'!$D$6,'5_categorisation'!$F$6,E70='5_categorisation'!$D$7,'5_categorisation'!$F$7,E70='5_categorisation'!$D$8,'5_categorisation'!$F$8,E70='5_categorisation'!$D$9,'5_categorisation'!$F$9,E70='5_categorisation'!$D$10,'5_categorisation'!$F$10,E70='5_categorisation'!$D$11,'5_categorisation'!$F$11,E70='5_categorisation'!$D$12,'5_categorisation'!$F$12,E70='5_categorisation'!$D$13,'5_categorisation'!$F$13,E70='5_categorisation'!$D$14,'5_categorisation'!$F$14,E70='5_categorisation'!$D$15,'5_categorisation'!$F$15,E70='5_categorisation'!$D$16,'5_categorisation'!$F$16,E70='5_categorisation'!$D$17,'5_categorisation'!$F$17,E70='5_categorisation'!$D$18,'5_categorisation'!$F$18,E70='5_categorisation'!$D$19,'5_categorisation'!$F$19,E70='5_categorisation'!$D$20,'5_categorisation'!$F$20,E70='5_categorisation'!$D$21,'5_categorisation'!$F$21,E70='5_categorisation'!$D$22,'5_categorisation'!$F$22)</f>
        <v>gauche</v>
      </c>
      <c r="G70" s="14" t="s">
        <v>602</v>
      </c>
      <c r="H70" s="14" t="s">
        <v>603</v>
      </c>
      <c r="I70" s="14" t="s">
        <v>823</v>
      </c>
      <c r="J70" s="14" t="str">
        <f>IFERROR(__xludf.DUMMYFUNCTION("FILTER(candidats!M:M,candidats!P:P=I70)"),"M")</f>
        <v>M</v>
      </c>
      <c r="K70" s="14">
        <v>2603.0</v>
      </c>
    </row>
    <row r="71">
      <c r="A71" s="13" t="s">
        <v>601</v>
      </c>
      <c r="B71" s="13" t="str">
        <f>IFERROR(__xludf.DUMMYFUNCTION("FILTER('5_categorisation'!C:C,'5_categorisation'!A:A=A71)"),"Guadeloupe")</f>
        <v>Guadeloupe</v>
      </c>
      <c r="C71" s="13" t="str">
        <f>IFS(A71='5_categorisation'!$A$2,'5_categorisation'!$B$2,A71='5_categorisation'!$A$3,'5_categorisation'!$B$3,A71='5_categorisation'!$A$4,'5_categorisation'!$B$4,A71='5_categorisation'!$A$5,'5_categorisation'!$B$5,A71='5_categorisation'!$A$6,'5_categorisation'!$B$6,A71='5_categorisation'!$A$7,'5_categorisation'!$B$7,A71='5_categorisation'!$A$8,'5_categorisation'!$B$8,A71='5_categorisation'!$A$9,'5_categorisation'!$B$9,A71='5_categorisation'!$A79,'5_categorisation'!$B$10,A71='5_categorisation'!$A$12,'5_categorisation'!$B$12,A71='5_categorisation'!$A$12,'5_categorisation'!$B$12,A71='5_categorisation'!$A$13,'5_categorisation'!$B$13,A71='5_categorisation'!$A$14,'5_categorisation'!$B$14,A71='5_categorisation'!$A$15,'5_categorisation'!$B$15,A71='5_categorisation'!$A$16,'5_categorisation'!$B$16,A71='5_categorisation'!$A$17,'5_categorisation'!$B$17,A71='5_categorisation'!$A$11,'5_categorisation'!$B$11)</f>
        <v>outre-mer</v>
      </c>
      <c r="D71" s="14">
        <v>2.0</v>
      </c>
      <c r="E71" s="14" t="s">
        <v>35</v>
      </c>
      <c r="F71" s="14" t="str">
        <f>ifs(E71='5_categorisation'!$D$2,'5_categorisation'!$F$2,E71='5_categorisation'!$D$3,'5_categorisation'!$F$3,E71='5_categorisation'!$D$4,'5_categorisation'!$F$4,E71='5_categorisation'!$D$5,'5_categorisation'!$F$5,E71='5_categorisation'!$D$6,'5_categorisation'!$F$6,E71='5_categorisation'!$D$7,'5_categorisation'!$F$7,E71='5_categorisation'!$D$8,'5_categorisation'!$F$8,E71='5_categorisation'!$D$9,'5_categorisation'!$F$9,E71='5_categorisation'!$D$10,'5_categorisation'!$F$10,E71='5_categorisation'!$D$11,'5_categorisation'!$F$11,E71='5_categorisation'!$D$12,'5_categorisation'!$F$12,E71='5_categorisation'!$D$13,'5_categorisation'!$F$13,E71='5_categorisation'!$D$14,'5_categorisation'!$F$14,E71='5_categorisation'!$D$15,'5_categorisation'!$F$15,E71='5_categorisation'!$D$16,'5_categorisation'!$F$16,E71='5_categorisation'!$D$17,'5_categorisation'!$F$17,E71='5_categorisation'!$D$18,'5_categorisation'!$F$18,E71='5_categorisation'!$D$19,'5_categorisation'!$F$19,E71='5_categorisation'!$D$20,'5_categorisation'!$F$20,E71='5_categorisation'!$D$21,'5_categorisation'!$F$21,E71='5_categorisation'!$D$22,'5_categorisation'!$F$22)</f>
        <v>droite</v>
      </c>
      <c r="G71" s="14" t="s">
        <v>605</v>
      </c>
      <c r="H71" s="14" t="s">
        <v>605</v>
      </c>
      <c r="I71" s="14" t="s">
        <v>824</v>
      </c>
      <c r="J71" s="14" t="str">
        <f>IFERROR(__xludf.DUMMYFUNCTION("FILTER(candidats!M:M,candidats!P:P=I71)"),"M")</f>
        <v>M</v>
      </c>
      <c r="K71" s="14">
        <v>6312.0</v>
      </c>
    </row>
    <row r="72">
      <c r="A72" s="15" t="s">
        <v>601</v>
      </c>
      <c r="B72" s="13" t="str">
        <f>IFERROR(__xludf.DUMMYFUNCTION("FILTER('5_categorisation'!C:C,'5_categorisation'!A:A=A72)"),"Guadeloupe")</f>
        <v>Guadeloupe</v>
      </c>
      <c r="C72" s="13" t="str">
        <f>IFS(A72='5_categorisation'!$A$2,'5_categorisation'!$B$2,A72='5_categorisation'!$A$3,'5_categorisation'!$B$3,A72='5_categorisation'!$A$4,'5_categorisation'!$B$4,A72='5_categorisation'!$A$5,'5_categorisation'!$B$5,A72='5_categorisation'!$A$6,'5_categorisation'!$B$6,A72='5_categorisation'!$A$7,'5_categorisation'!$B$7,A72='5_categorisation'!$A$8,'5_categorisation'!$B$8,A72='5_categorisation'!$A$9,'5_categorisation'!$B$9,A72='5_categorisation'!$A80,'5_categorisation'!$B$10,A72='5_categorisation'!$A$12,'5_categorisation'!$B$12,A72='5_categorisation'!$A$12,'5_categorisation'!$B$12,A72='5_categorisation'!$A$13,'5_categorisation'!$B$13,A72='5_categorisation'!$A$14,'5_categorisation'!$B$14,A72='5_categorisation'!$A$15,'5_categorisation'!$B$15,A72='5_categorisation'!$A$16,'5_categorisation'!$B$16,A72='5_categorisation'!$A$17,'5_categorisation'!$B$17,A72='5_categorisation'!$A$11,'5_categorisation'!$B$11)</f>
        <v>outre-mer</v>
      </c>
      <c r="D72" s="15">
        <v>3.0</v>
      </c>
      <c r="E72" s="15" t="s">
        <v>28</v>
      </c>
      <c r="F72" s="14" t="str">
        <f>ifs(E72='5_categorisation'!$D$2,'5_categorisation'!$F$2,E72='5_categorisation'!$D$3,'5_categorisation'!$F$3,E72='5_categorisation'!$D$4,'5_categorisation'!$F$4,E72='5_categorisation'!$D$5,'5_categorisation'!$F$5,E72='5_categorisation'!$D$6,'5_categorisation'!$F$6,E72='5_categorisation'!$D$7,'5_categorisation'!$F$7,E72='5_categorisation'!$D$8,'5_categorisation'!$F$8,E72='5_categorisation'!$D$9,'5_categorisation'!$F$9,E72='5_categorisation'!$D$10,'5_categorisation'!$F$10,E72='5_categorisation'!$D$11,'5_categorisation'!$F$11,E72='5_categorisation'!$D$12,'5_categorisation'!$F$12,E72='5_categorisation'!$D$13,'5_categorisation'!$F$13,E72='5_categorisation'!$D$14,'5_categorisation'!$F$14,E72='5_categorisation'!$D$15,'5_categorisation'!$F$15,E72='5_categorisation'!$D$16,'5_categorisation'!$F$16,E72='5_categorisation'!$D$17,'5_categorisation'!$F$17,E72='5_categorisation'!$D$18,'5_categorisation'!$F$18,E72='5_categorisation'!$D$19,'5_categorisation'!$F$19,E72='5_categorisation'!$D$20,'5_categorisation'!$F$20,E72='5_categorisation'!$D$21,'5_categorisation'!$F$21,E72='5_categorisation'!$D$22,'5_categorisation'!$F$22)</f>
        <v>autre</v>
      </c>
      <c r="G72" s="15" t="s">
        <v>607</v>
      </c>
      <c r="H72" s="15" t="s">
        <v>608</v>
      </c>
      <c r="I72" s="15" t="s">
        <v>825</v>
      </c>
      <c r="J72" s="14" t="str">
        <f>IFERROR(__xludf.DUMMYFUNCTION("FILTER(candidats!M:M,candidats!P:P=I72)"),"F")</f>
        <v>F</v>
      </c>
      <c r="K72" s="15">
        <v>697.0</v>
      </c>
    </row>
    <row r="73">
      <c r="A73" s="13" t="s">
        <v>601</v>
      </c>
      <c r="B73" s="13" t="str">
        <f>IFERROR(__xludf.DUMMYFUNCTION("FILTER('5_categorisation'!C:C,'5_categorisation'!A:A=A73)"),"Guadeloupe")</f>
        <v>Guadeloupe</v>
      </c>
      <c r="C73" s="13" t="str">
        <f>IFS(A73='5_categorisation'!$A$2,'5_categorisation'!$B$2,A73='5_categorisation'!$A$3,'5_categorisation'!$B$3,A73='5_categorisation'!$A$4,'5_categorisation'!$B$4,A73='5_categorisation'!$A$5,'5_categorisation'!$B$5,A73='5_categorisation'!$A$6,'5_categorisation'!$B$6,A73='5_categorisation'!$A$7,'5_categorisation'!$B$7,A73='5_categorisation'!$A$8,'5_categorisation'!$B$8,A73='5_categorisation'!$A$9,'5_categorisation'!$B$9,A73='5_categorisation'!$A81,'5_categorisation'!$B$10,A73='5_categorisation'!$A$12,'5_categorisation'!$B$12,A73='5_categorisation'!$A$12,'5_categorisation'!$B$12,A73='5_categorisation'!$A$13,'5_categorisation'!$B$13,A73='5_categorisation'!$A$14,'5_categorisation'!$B$14,A73='5_categorisation'!$A$15,'5_categorisation'!$B$15,A73='5_categorisation'!$A$16,'5_categorisation'!$B$16,A73='5_categorisation'!$A$17,'5_categorisation'!$B$17,A73='5_categorisation'!$A$11,'5_categorisation'!$B$11)</f>
        <v>outre-mer</v>
      </c>
      <c r="D73" s="14">
        <v>4.0</v>
      </c>
      <c r="E73" s="14" t="s">
        <v>43</v>
      </c>
      <c r="F73" s="14" t="str">
        <f>ifs(E73='5_categorisation'!$D$2,'5_categorisation'!$F$2,E73='5_categorisation'!$D$3,'5_categorisation'!$F$3,E73='5_categorisation'!$D$4,'5_categorisation'!$F$4,E73='5_categorisation'!$D$5,'5_categorisation'!$F$5,E73='5_categorisation'!$D$6,'5_categorisation'!$F$6,E73='5_categorisation'!$D$7,'5_categorisation'!$F$7,E73='5_categorisation'!$D$8,'5_categorisation'!$F$8,E73='5_categorisation'!$D$9,'5_categorisation'!$F$9,E73='5_categorisation'!$D$10,'5_categorisation'!$F$10,E73='5_categorisation'!$D$11,'5_categorisation'!$F$11,E73='5_categorisation'!$D$12,'5_categorisation'!$F$12,E73='5_categorisation'!$D$13,'5_categorisation'!$F$13,E73='5_categorisation'!$D$14,'5_categorisation'!$F$14,E73='5_categorisation'!$D$15,'5_categorisation'!$F$15,E73='5_categorisation'!$D$16,'5_categorisation'!$F$16,E73='5_categorisation'!$D$17,'5_categorisation'!$F$17,E73='5_categorisation'!$D$18,'5_categorisation'!$F$18,E73='5_categorisation'!$D$19,'5_categorisation'!$F$19,E73='5_categorisation'!$D$20,'5_categorisation'!$F$20,E73='5_categorisation'!$D$21,'5_categorisation'!$F$21,E73='5_categorisation'!$D$22,'5_categorisation'!$F$22)</f>
        <v>droite</v>
      </c>
      <c r="G73" s="14" t="s">
        <v>611</v>
      </c>
      <c r="H73" s="14" t="s">
        <v>612</v>
      </c>
      <c r="I73" s="14" t="s">
        <v>826</v>
      </c>
      <c r="J73" s="14" t="str">
        <f>IFERROR(__xludf.DUMMYFUNCTION("FILTER(candidats!M:M,candidats!P:P=I73)"),"M")</f>
        <v>M</v>
      </c>
      <c r="K73" s="14">
        <v>1973.0</v>
      </c>
    </row>
    <row r="74">
      <c r="A74" s="13" t="s">
        <v>601</v>
      </c>
      <c r="B74" s="13" t="str">
        <f>IFERROR(__xludf.DUMMYFUNCTION("FILTER('5_categorisation'!C:C,'5_categorisation'!A:A=A74)"),"Guadeloupe")</f>
        <v>Guadeloupe</v>
      </c>
      <c r="C74" s="13" t="str">
        <f>IFS(A74='5_categorisation'!$A$2,'5_categorisation'!$B$2,A74='5_categorisation'!$A$3,'5_categorisation'!$B$3,A74='5_categorisation'!$A$4,'5_categorisation'!$B$4,A74='5_categorisation'!$A$5,'5_categorisation'!$B$5,A74='5_categorisation'!$A$6,'5_categorisation'!$B$6,A74='5_categorisation'!$A$7,'5_categorisation'!$B$7,A74='5_categorisation'!$A$8,'5_categorisation'!$B$8,A74='5_categorisation'!$A$9,'5_categorisation'!$B$9,A74='5_categorisation'!$A82,'5_categorisation'!$B$10,A74='5_categorisation'!$A$12,'5_categorisation'!$B$12,A74='5_categorisation'!$A$12,'5_categorisation'!$B$12,A74='5_categorisation'!$A$13,'5_categorisation'!$B$13,A74='5_categorisation'!$A$14,'5_categorisation'!$B$14,A74='5_categorisation'!$A$15,'5_categorisation'!$B$15,A74='5_categorisation'!$A$16,'5_categorisation'!$B$16,A74='5_categorisation'!$A$17,'5_categorisation'!$B$17,A74='5_categorisation'!$A$11,'5_categorisation'!$B$11)</f>
        <v>outre-mer</v>
      </c>
      <c r="D74" s="14">
        <v>5.0</v>
      </c>
      <c r="E74" s="14" t="s">
        <v>13</v>
      </c>
      <c r="F74" s="14" t="str">
        <f>ifs(E74='5_categorisation'!$D$2,'5_categorisation'!$F$2,E74='5_categorisation'!$D$3,'5_categorisation'!$F$3,E74='5_categorisation'!$D$4,'5_categorisation'!$F$4,E74='5_categorisation'!$D$5,'5_categorisation'!$F$5,E74='5_categorisation'!$D$6,'5_categorisation'!$F$6,E74='5_categorisation'!$D$7,'5_categorisation'!$F$7,E74='5_categorisation'!$D$8,'5_categorisation'!$F$8,E74='5_categorisation'!$D$9,'5_categorisation'!$F$9,E74='5_categorisation'!$D$10,'5_categorisation'!$F$10,E74='5_categorisation'!$D$11,'5_categorisation'!$F$11,E74='5_categorisation'!$D$12,'5_categorisation'!$F$12,E74='5_categorisation'!$D$13,'5_categorisation'!$F$13,E74='5_categorisation'!$D$14,'5_categorisation'!$F$14,E74='5_categorisation'!$D$15,'5_categorisation'!$F$15,E74='5_categorisation'!$D$16,'5_categorisation'!$F$16,E74='5_categorisation'!$D$17,'5_categorisation'!$F$17,E74='5_categorisation'!$D$18,'5_categorisation'!$F$18,E74='5_categorisation'!$D$19,'5_categorisation'!$F$19,E74='5_categorisation'!$D$20,'5_categorisation'!$F$20,E74='5_categorisation'!$D$21,'5_categorisation'!$F$21,E74='5_categorisation'!$D$22,'5_categorisation'!$F$22)</f>
        <v>gauche</v>
      </c>
      <c r="G74" s="14" t="s">
        <v>615</v>
      </c>
      <c r="H74" s="14" t="s">
        <v>616</v>
      </c>
      <c r="I74" s="14" t="s">
        <v>827</v>
      </c>
      <c r="J74" s="14" t="str">
        <f>IFERROR(__xludf.DUMMYFUNCTION("FILTER(candidats!M:M,candidats!P:P=I74)"),"M")</f>
        <v>M</v>
      </c>
      <c r="K74" s="14">
        <v>57717.0</v>
      </c>
    </row>
    <row r="75">
      <c r="A75" s="13" t="s">
        <v>601</v>
      </c>
      <c r="B75" s="13" t="str">
        <f>IFERROR(__xludf.DUMMYFUNCTION("FILTER('5_categorisation'!C:C,'5_categorisation'!A:A=A75)"),"Guadeloupe")</f>
        <v>Guadeloupe</v>
      </c>
      <c r="C75" s="13" t="str">
        <f>IFS(A75='5_categorisation'!$A$2,'5_categorisation'!$B$2,A75='5_categorisation'!$A$3,'5_categorisation'!$B$3,A75='5_categorisation'!$A$4,'5_categorisation'!$B$4,A75='5_categorisation'!$A$5,'5_categorisation'!$B$5,A75='5_categorisation'!$A$6,'5_categorisation'!$B$6,A75='5_categorisation'!$A$7,'5_categorisation'!$B$7,A75='5_categorisation'!$A$8,'5_categorisation'!$B$8,A75='5_categorisation'!$A$9,'5_categorisation'!$B$9,A75='5_categorisation'!$A83,'5_categorisation'!$B$10,A75='5_categorisation'!$A$12,'5_categorisation'!$B$12,A75='5_categorisation'!$A$12,'5_categorisation'!$B$12,A75='5_categorisation'!$A$13,'5_categorisation'!$B$13,A75='5_categorisation'!$A$14,'5_categorisation'!$B$14,A75='5_categorisation'!$A$15,'5_categorisation'!$B$15,A75='5_categorisation'!$A$16,'5_categorisation'!$B$16,A75='5_categorisation'!$A$17,'5_categorisation'!$B$17,A75='5_categorisation'!$A$11,'5_categorisation'!$B$11)</f>
        <v>outre-mer</v>
      </c>
      <c r="D75" s="14">
        <v>6.0</v>
      </c>
      <c r="E75" s="14" t="s">
        <v>41</v>
      </c>
      <c r="F75" s="14" t="str">
        <f>ifs(E75='5_categorisation'!$D$2,'5_categorisation'!$F$2,E75='5_categorisation'!$D$3,'5_categorisation'!$F$3,E75='5_categorisation'!$D$4,'5_categorisation'!$F$4,E75='5_categorisation'!$D$5,'5_categorisation'!$F$5,E75='5_categorisation'!$D$6,'5_categorisation'!$F$6,E75='5_categorisation'!$D$7,'5_categorisation'!$F$7,E75='5_categorisation'!$D$8,'5_categorisation'!$F$8,E75='5_categorisation'!$D$9,'5_categorisation'!$F$9,E75='5_categorisation'!$D$10,'5_categorisation'!$F$10,E75='5_categorisation'!$D$11,'5_categorisation'!$F$11,E75='5_categorisation'!$D$12,'5_categorisation'!$F$12,E75='5_categorisation'!$D$13,'5_categorisation'!$F$13,E75='5_categorisation'!$D$14,'5_categorisation'!$F$14,E75='5_categorisation'!$D$15,'5_categorisation'!$F$15,E75='5_categorisation'!$D$16,'5_categorisation'!$F$16,E75='5_categorisation'!$D$17,'5_categorisation'!$F$17,E75='5_categorisation'!$D$18,'5_categorisation'!$F$18,E75='5_categorisation'!$D$19,'5_categorisation'!$F$19,E75='5_categorisation'!$D$20,'5_categorisation'!$F$20,E75='5_categorisation'!$D$21,'5_categorisation'!$F$21,E75='5_categorisation'!$D$22,'5_categorisation'!$F$22)</f>
        <v>droite</v>
      </c>
      <c r="G75" s="14" t="s">
        <v>619</v>
      </c>
      <c r="H75" s="14" t="s">
        <v>620</v>
      </c>
      <c r="I75" s="14" t="s">
        <v>828</v>
      </c>
      <c r="J75" s="14" t="str">
        <f>IFERROR(__xludf.DUMMYFUNCTION("FILTER(candidats!M:M,candidats!P:P=I75)"),"M")</f>
        <v>M</v>
      </c>
      <c r="K75" s="14">
        <v>2220.0</v>
      </c>
    </row>
    <row r="76">
      <c r="A76" s="13" t="s">
        <v>601</v>
      </c>
      <c r="B76" s="13" t="str">
        <f>IFERROR(__xludf.DUMMYFUNCTION("FILTER('5_categorisation'!C:C,'5_categorisation'!A:A=A76)"),"Guadeloupe")</f>
        <v>Guadeloupe</v>
      </c>
      <c r="C76" s="13" t="str">
        <f>IFS(A76='5_categorisation'!$A$2,'5_categorisation'!$B$2,A76='5_categorisation'!$A$3,'5_categorisation'!$B$3,A76='5_categorisation'!$A$4,'5_categorisation'!$B$4,A76='5_categorisation'!$A$5,'5_categorisation'!$B$5,A76='5_categorisation'!$A$6,'5_categorisation'!$B$6,A76='5_categorisation'!$A$7,'5_categorisation'!$B$7,A76='5_categorisation'!$A$8,'5_categorisation'!$B$8,A76='5_categorisation'!$A$9,'5_categorisation'!$B$9,A76='5_categorisation'!$A84,'5_categorisation'!$B$10,A76='5_categorisation'!$A$12,'5_categorisation'!$B$12,A76='5_categorisation'!$A$12,'5_categorisation'!$B$12,A76='5_categorisation'!$A$13,'5_categorisation'!$B$13,A76='5_categorisation'!$A$14,'5_categorisation'!$B$14,A76='5_categorisation'!$A$15,'5_categorisation'!$B$15,A76='5_categorisation'!$A$16,'5_categorisation'!$B$16,A76='5_categorisation'!$A$17,'5_categorisation'!$B$17,A76='5_categorisation'!$A$11,'5_categorisation'!$B$11)</f>
        <v>outre-mer</v>
      </c>
      <c r="D76" s="14">
        <v>7.0</v>
      </c>
      <c r="E76" s="14" t="s">
        <v>9</v>
      </c>
      <c r="F76" s="14" t="str">
        <f>ifs(E76='5_categorisation'!$D$2,'5_categorisation'!$F$2,E76='5_categorisation'!$D$3,'5_categorisation'!$F$3,E76='5_categorisation'!$D$4,'5_categorisation'!$F$4,E76='5_categorisation'!$D$5,'5_categorisation'!$F$5,E76='5_categorisation'!$D$6,'5_categorisation'!$F$6,E76='5_categorisation'!$D$7,'5_categorisation'!$F$7,E76='5_categorisation'!$D$8,'5_categorisation'!$F$8,E76='5_categorisation'!$D$9,'5_categorisation'!$F$9,E76='5_categorisation'!$D$10,'5_categorisation'!$F$10,E76='5_categorisation'!$D$11,'5_categorisation'!$F$11,E76='5_categorisation'!$D$12,'5_categorisation'!$F$12,E76='5_categorisation'!$D$13,'5_categorisation'!$F$13,E76='5_categorisation'!$D$14,'5_categorisation'!$F$14,E76='5_categorisation'!$D$15,'5_categorisation'!$F$15,E76='5_categorisation'!$D$16,'5_categorisation'!$F$16,E76='5_categorisation'!$D$17,'5_categorisation'!$F$17,E76='5_categorisation'!$D$18,'5_categorisation'!$F$18,E76='5_categorisation'!$D$19,'5_categorisation'!$F$19,E76='5_categorisation'!$D$20,'5_categorisation'!$F$20,E76='5_categorisation'!$D$21,'5_categorisation'!$F$21,E76='5_categorisation'!$D$22,'5_categorisation'!$F$22)</f>
        <v>gauche</v>
      </c>
      <c r="G76" s="14" t="s">
        <v>623</v>
      </c>
      <c r="H76" s="14" t="s">
        <v>624</v>
      </c>
      <c r="I76" s="14" t="s">
        <v>829</v>
      </c>
      <c r="J76" s="14" t="str">
        <f>IFERROR(__xludf.DUMMYFUNCTION("FILTER(candidats!M:M,candidats!P:P=I76)"),"F")</f>
        <v>F</v>
      </c>
      <c r="K76" s="14">
        <v>1297.0</v>
      </c>
    </row>
    <row r="77">
      <c r="A77" s="13" t="s">
        <v>601</v>
      </c>
      <c r="B77" s="13" t="str">
        <f>IFERROR(__xludf.DUMMYFUNCTION("FILTER('5_categorisation'!C:C,'5_categorisation'!A:A=A77)"),"Guadeloupe")</f>
        <v>Guadeloupe</v>
      </c>
      <c r="C77" s="13" t="str">
        <f>IFS(A77='5_categorisation'!$A$2,'5_categorisation'!$B$2,A77='5_categorisation'!$A$3,'5_categorisation'!$B$3,A77='5_categorisation'!$A$4,'5_categorisation'!$B$4,A77='5_categorisation'!$A$5,'5_categorisation'!$B$5,A77='5_categorisation'!$A$6,'5_categorisation'!$B$6,A77='5_categorisation'!$A$7,'5_categorisation'!$B$7,A77='5_categorisation'!$A$8,'5_categorisation'!$B$8,A77='5_categorisation'!$A$9,'5_categorisation'!$B$9,A77='5_categorisation'!$A85,'5_categorisation'!$B$10,A77='5_categorisation'!$A$12,'5_categorisation'!$B$12,A77='5_categorisation'!$A$12,'5_categorisation'!$B$12,A77='5_categorisation'!$A$13,'5_categorisation'!$B$13,A77='5_categorisation'!$A$14,'5_categorisation'!$B$14,A77='5_categorisation'!$A$15,'5_categorisation'!$B$15,A77='5_categorisation'!$A$16,'5_categorisation'!$B$16,A77='5_categorisation'!$A$17,'5_categorisation'!$B$17,A77='5_categorisation'!$A$11,'5_categorisation'!$B$11)</f>
        <v>outre-mer</v>
      </c>
      <c r="D77" s="14">
        <v>8.0</v>
      </c>
      <c r="E77" s="14" t="s">
        <v>19</v>
      </c>
      <c r="F77" s="14" t="str">
        <f>ifs(E77='5_categorisation'!$D$2,'5_categorisation'!$F$2,E77='5_categorisation'!$D$3,'5_categorisation'!$F$3,E77='5_categorisation'!$D$4,'5_categorisation'!$F$4,E77='5_categorisation'!$D$5,'5_categorisation'!$F$5,E77='5_categorisation'!$D$6,'5_categorisation'!$F$6,E77='5_categorisation'!$D$7,'5_categorisation'!$F$7,E77='5_categorisation'!$D$8,'5_categorisation'!$F$8,E77='5_categorisation'!$D$9,'5_categorisation'!$F$9,E77='5_categorisation'!$D$10,'5_categorisation'!$F$10,E77='5_categorisation'!$D$11,'5_categorisation'!$F$11,E77='5_categorisation'!$D$12,'5_categorisation'!$F$12,E77='5_categorisation'!$D$13,'5_categorisation'!$F$13,E77='5_categorisation'!$D$14,'5_categorisation'!$F$14,E77='5_categorisation'!$D$15,'5_categorisation'!$F$15,E77='5_categorisation'!$D$16,'5_categorisation'!$F$16,E77='5_categorisation'!$D$17,'5_categorisation'!$F$17,E77='5_categorisation'!$D$18,'5_categorisation'!$F$18,E77='5_categorisation'!$D$19,'5_categorisation'!$F$19,E77='5_categorisation'!$D$20,'5_categorisation'!$F$20,E77='5_categorisation'!$D$21,'5_categorisation'!$F$21,E77='5_categorisation'!$D$22,'5_categorisation'!$F$22)</f>
        <v>gauche</v>
      </c>
      <c r="G77" s="14" t="s">
        <v>627</v>
      </c>
      <c r="H77" s="14" t="s">
        <v>628</v>
      </c>
      <c r="I77" s="14" t="s">
        <v>830</v>
      </c>
      <c r="J77" s="14" t="str">
        <f>IFERROR(__xludf.DUMMYFUNCTION("FILTER(candidats!M:M,candidats!P:P=I77)"),"M")</f>
        <v>M</v>
      </c>
      <c r="K77" s="14">
        <v>61173.0</v>
      </c>
    </row>
    <row r="78">
      <c r="A78" s="13" t="s">
        <v>601</v>
      </c>
      <c r="B78" s="13" t="str">
        <f>IFERROR(__xludf.DUMMYFUNCTION("FILTER('5_categorisation'!C:C,'5_categorisation'!A:A=A78)"),"Guadeloupe")</f>
        <v>Guadeloupe</v>
      </c>
      <c r="C78" s="13" t="str">
        <f>IFS(A78='5_categorisation'!$A$2,'5_categorisation'!$B$2,A78='5_categorisation'!$A$3,'5_categorisation'!$B$3,A78='5_categorisation'!$A$4,'5_categorisation'!$B$4,A78='5_categorisation'!$A$5,'5_categorisation'!$B$5,A78='5_categorisation'!$A$6,'5_categorisation'!$B$6,A78='5_categorisation'!$A$7,'5_categorisation'!$B$7,A78='5_categorisation'!$A$8,'5_categorisation'!$B$8,A78='5_categorisation'!$A$9,'5_categorisation'!$B$9,A78='5_categorisation'!$A86,'5_categorisation'!$B$10,A78='5_categorisation'!$A$12,'5_categorisation'!$B$12,A78='5_categorisation'!$A$12,'5_categorisation'!$B$12,A78='5_categorisation'!$A$13,'5_categorisation'!$B$13,A78='5_categorisation'!$A$14,'5_categorisation'!$B$14,A78='5_categorisation'!$A$15,'5_categorisation'!$B$15,A78='5_categorisation'!$A$16,'5_categorisation'!$B$16,A78='5_categorisation'!$A$17,'5_categorisation'!$B$17,A78='5_categorisation'!$A$11,'5_categorisation'!$B$11)</f>
        <v>outre-mer</v>
      </c>
      <c r="D78" s="14">
        <v>9.0</v>
      </c>
      <c r="E78" s="14" t="s">
        <v>41</v>
      </c>
      <c r="F78" s="14" t="str">
        <f>ifs(E78='5_categorisation'!$D$2,'5_categorisation'!$F$2,E78='5_categorisation'!$D$3,'5_categorisation'!$F$3,E78='5_categorisation'!$D$4,'5_categorisation'!$F$4,E78='5_categorisation'!$D$5,'5_categorisation'!$F$5,E78='5_categorisation'!$D$6,'5_categorisation'!$F$6,E78='5_categorisation'!$D$7,'5_categorisation'!$F$7,E78='5_categorisation'!$D$8,'5_categorisation'!$F$8,E78='5_categorisation'!$D$9,'5_categorisation'!$F$9,E78='5_categorisation'!$D$10,'5_categorisation'!$F$10,E78='5_categorisation'!$D$11,'5_categorisation'!$F$11,E78='5_categorisation'!$D$12,'5_categorisation'!$F$12,E78='5_categorisation'!$D$13,'5_categorisation'!$F$13,E78='5_categorisation'!$D$14,'5_categorisation'!$F$14,E78='5_categorisation'!$D$15,'5_categorisation'!$F$15,E78='5_categorisation'!$D$16,'5_categorisation'!$F$16,E78='5_categorisation'!$D$17,'5_categorisation'!$F$17,E78='5_categorisation'!$D$18,'5_categorisation'!$F$18,E78='5_categorisation'!$D$19,'5_categorisation'!$F$19,E78='5_categorisation'!$D$20,'5_categorisation'!$F$20,E78='5_categorisation'!$D$21,'5_categorisation'!$F$21,E78='5_categorisation'!$D$22,'5_categorisation'!$F$22)</f>
        <v>droite</v>
      </c>
      <c r="G78" s="14" t="s">
        <v>631</v>
      </c>
      <c r="H78" s="14" t="s">
        <v>631</v>
      </c>
      <c r="I78" s="14" t="s">
        <v>831</v>
      </c>
      <c r="J78" s="14" t="str">
        <f>IFERROR(__xludf.DUMMYFUNCTION("FILTER(candidats!M:M,candidats!P:P=I78)"),"F")</f>
        <v>F</v>
      </c>
      <c r="K78" s="14">
        <v>4470.0</v>
      </c>
    </row>
    <row r="79">
      <c r="A79" s="13" t="s">
        <v>601</v>
      </c>
      <c r="B79" s="13" t="str">
        <f>IFERROR(__xludf.DUMMYFUNCTION("FILTER('5_categorisation'!C:C,'5_categorisation'!A:A=A79)"),"Guadeloupe")</f>
        <v>Guadeloupe</v>
      </c>
      <c r="C79" s="13" t="str">
        <f>IFS(A79='5_categorisation'!$A$2,'5_categorisation'!$B$2,A79='5_categorisation'!$A$3,'5_categorisation'!$B$3,A79='5_categorisation'!$A$4,'5_categorisation'!$B$4,A79='5_categorisation'!$A$5,'5_categorisation'!$B$5,A79='5_categorisation'!$A$6,'5_categorisation'!$B$6,A79='5_categorisation'!$A$7,'5_categorisation'!$B$7,A79='5_categorisation'!$A$8,'5_categorisation'!$B$8,A79='5_categorisation'!$A$9,'5_categorisation'!$B$9,A79='5_categorisation'!$A87,'5_categorisation'!$B$10,A79='5_categorisation'!$A$12,'5_categorisation'!$B$12,A79='5_categorisation'!$A$12,'5_categorisation'!$B$12,A79='5_categorisation'!$A$13,'5_categorisation'!$B$13,A79='5_categorisation'!$A$14,'5_categorisation'!$B$14,A79='5_categorisation'!$A$15,'5_categorisation'!$B$15,A79='5_categorisation'!$A$16,'5_categorisation'!$B$16,A79='5_categorisation'!$A$17,'5_categorisation'!$B$17,A79='5_categorisation'!$A$11,'5_categorisation'!$B$11)</f>
        <v>outre-mer</v>
      </c>
      <c r="D79" s="15">
        <v>10.0</v>
      </c>
      <c r="E79" s="15" t="s">
        <v>3</v>
      </c>
      <c r="F79" s="14" t="str">
        <f>ifs(E79='5_categorisation'!$D$2,'5_categorisation'!$F$2,E79='5_categorisation'!$D$3,'5_categorisation'!$F$3,E79='5_categorisation'!$D$4,'5_categorisation'!$F$4,E79='5_categorisation'!$D$5,'5_categorisation'!$F$5,E79='5_categorisation'!$D$6,'5_categorisation'!$F$6,E79='5_categorisation'!$D$7,'5_categorisation'!$F$7,E79='5_categorisation'!$D$8,'5_categorisation'!$F$8,E79='5_categorisation'!$D$9,'5_categorisation'!$F$9,E79='5_categorisation'!$D$10,'5_categorisation'!$F$10,E79='5_categorisation'!$D$11,'5_categorisation'!$F$11,E79='5_categorisation'!$D$12,'5_categorisation'!$F$12,E79='5_categorisation'!$D$13,'5_categorisation'!$F$13,E79='5_categorisation'!$D$14,'5_categorisation'!$F$14,E79='5_categorisation'!$D$15,'5_categorisation'!$F$15,E79='5_categorisation'!$D$16,'5_categorisation'!$F$16,E79='5_categorisation'!$D$17,'5_categorisation'!$F$17,E79='5_categorisation'!$D$18,'5_categorisation'!$F$18,E79='5_categorisation'!$D$19,'5_categorisation'!$F$19,E79='5_categorisation'!$D$20,'5_categorisation'!$F$20,E79='5_categorisation'!$D$21,'5_categorisation'!$F$21,E79='5_categorisation'!$D$22,'5_categorisation'!$F$22)</f>
        <v>gauche</v>
      </c>
      <c r="G79" s="15" t="s">
        <v>634</v>
      </c>
      <c r="H79" s="15" t="s">
        <v>634</v>
      </c>
      <c r="I79" s="15" t="s">
        <v>832</v>
      </c>
      <c r="J79" s="14" t="str">
        <f>IFERROR(__xludf.DUMMYFUNCTION("FILTER(candidats!M:M,candidats!P:P=I79)"),"M")</f>
        <v>M</v>
      </c>
      <c r="K79" s="15">
        <v>1992.0</v>
      </c>
    </row>
    <row r="80">
      <c r="A80" s="13" t="s">
        <v>672</v>
      </c>
      <c r="B80" s="13" t="str">
        <f>IFERROR(__xludf.DUMMYFUNCTION("FILTER('5_categorisation'!C:C,'5_categorisation'!A:A=A80)"),"Guyane (française)")</f>
        <v>Guyane (française)</v>
      </c>
      <c r="C80" s="13" t="str">
        <f>IFS(A80='5_categorisation'!$A$2,'5_categorisation'!$B$2,A80='5_categorisation'!$A$3,'5_categorisation'!$B$3,A80='5_categorisation'!$A$4,'5_categorisation'!$B$4,A80='5_categorisation'!$A$5,'5_categorisation'!$B$5,A80='5_categorisation'!$A$6,'5_categorisation'!$B$6,A80='5_categorisation'!$A$7,'5_categorisation'!$B$7,A80='5_categorisation'!$A$8,'5_categorisation'!$B$8,A80='5_categorisation'!$A$9,'5_categorisation'!$B$9,A80='5_categorisation'!$A$10,'5_categorisation'!$B$10,A80='5_categorisation'!$A$11,'5_categorisation'!$B$11,A80='5_categorisation'!$A$12,'5_categorisation'!$B$12,A80='5_categorisation'!$A$13,'5_categorisation'!$B$13,A80='5_categorisation'!$A$14,'5_categorisation'!$B$14,A80='5_categorisation'!$A$15,'5_categorisation'!$B$15,A80='5_categorisation'!$A$16,'5_categorisation'!$B$16,A80='5_categorisation'!$A$17,'5_categorisation'!$B$17,A80='5_categorisation'!$A$18,'5_categorisation'!$B$18)</f>
        <v>outre-mer</v>
      </c>
      <c r="D80" s="14">
        <v>1.0</v>
      </c>
      <c r="E80" s="14" t="s">
        <v>35</v>
      </c>
      <c r="F80" s="14" t="str">
        <f>ifs(E80='5_categorisation'!$D$2,'5_categorisation'!$F$2,E80='5_categorisation'!$D$3,'5_categorisation'!$F$3,E80='5_categorisation'!$D$4,'5_categorisation'!$F$4,E80='5_categorisation'!$D$5,'5_categorisation'!$F$5,E80='5_categorisation'!$D$6,'5_categorisation'!$F$6,E80='5_categorisation'!$D$7,'5_categorisation'!$F$7,E80='5_categorisation'!$D$8,'5_categorisation'!$F$8,E80='5_categorisation'!$D$9,'5_categorisation'!$F$9,E80='5_categorisation'!$D$10,'5_categorisation'!$F$10,E80='5_categorisation'!$D$11,'5_categorisation'!$F$11,E80='5_categorisation'!$D$12,'5_categorisation'!$F$12,E80='5_categorisation'!$D$13,'5_categorisation'!$F$13,E80='5_categorisation'!$D$14,'5_categorisation'!$F$14,E80='5_categorisation'!$D$15,'5_categorisation'!$F$15,E80='5_categorisation'!$D$16,'5_categorisation'!$F$16,E80='5_categorisation'!$D$17,'5_categorisation'!$F$17,E80='5_categorisation'!$D$18,'5_categorisation'!$F$18,E80='5_categorisation'!$D$19,'5_categorisation'!$F$19,E80='5_categorisation'!$D$20,'5_categorisation'!$F$20,E80='5_categorisation'!$D$21,'5_categorisation'!$F$21,E80='5_categorisation'!$D$22,'5_categorisation'!$F$22)</f>
        <v>droite</v>
      </c>
      <c r="G80" s="14" t="s">
        <v>675</v>
      </c>
      <c r="H80" s="14" t="s">
        <v>676</v>
      </c>
      <c r="I80" s="14" t="s">
        <v>833</v>
      </c>
      <c r="J80" s="14" t="str">
        <f>IFERROR(__xludf.DUMMYFUNCTION("FILTER(candidats!M:M,candidats!P:P=I80)"),"M")</f>
        <v>M</v>
      </c>
      <c r="K80" s="14">
        <v>1114.0</v>
      </c>
    </row>
    <row r="81">
      <c r="A81" s="13" t="s">
        <v>672</v>
      </c>
      <c r="B81" s="13" t="str">
        <f>IFERROR(__xludf.DUMMYFUNCTION("FILTER('5_categorisation'!C:C,'5_categorisation'!A:A=A81)"),"Guyane (française)")</f>
        <v>Guyane (française)</v>
      </c>
      <c r="C81" s="13" t="str">
        <f>IFS(A81='5_categorisation'!$A$2,'5_categorisation'!$B$2,A81='5_categorisation'!$A$3,'5_categorisation'!$B$3,A81='5_categorisation'!$A$4,'5_categorisation'!$B$4,A81='5_categorisation'!$A$5,'5_categorisation'!$B$5,A81='5_categorisation'!$A$6,'5_categorisation'!$B$6,A81='5_categorisation'!$A$7,'5_categorisation'!$B$7,A81='5_categorisation'!$A$8,'5_categorisation'!$B$8,A81='5_categorisation'!$A$9,'5_categorisation'!$B$9,A81='5_categorisation'!$A$10,'5_categorisation'!$B$10,A81='5_categorisation'!$A$11,'5_categorisation'!$B$11,A81='5_categorisation'!$A$12,'5_categorisation'!$B$12,A81='5_categorisation'!$A$13,'5_categorisation'!$B$13,A81='5_categorisation'!$A$14,'5_categorisation'!$B$14,A81='5_categorisation'!$A$15,'5_categorisation'!$B$15,A81='5_categorisation'!$A$16,'5_categorisation'!$B$16,A81='5_categorisation'!$A$17,'5_categorisation'!$B$17,A81='5_categorisation'!$A$18,'5_categorisation'!$B$18)</f>
        <v>outre-mer</v>
      </c>
      <c r="D81" s="14">
        <v>2.0</v>
      </c>
      <c r="E81" s="14" t="s">
        <v>19</v>
      </c>
      <c r="F81" s="14" t="str">
        <f>ifs(E81='5_categorisation'!$D$2,'5_categorisation'!$F$2,E81='5_categorisation'!$D$3,'5_categorisation'!$F$3,E81='5_categorisation'!$D$4,'5_categorisation'!$F$4,E81='5_categorisation'!$D$5,'5_categorisation'!$F$5,E81='5_categorisation'!$D$6,'5_categorisation'!$F$6,E81='5_categorisation'!$D$7,'5_categorisation'!$F$7,E81='5_categorisation'!$D$8,'5_categorisation'!$F$8,E81='5_categorisation'!$D$9,'5_categorisation'!$F$9,E81='5_categorisation'!$D$10,'5_categorisation'!$F$10,E81='5_categorisation'!$D$11,'5_categorisation'!$F$11,E81='5_categorisation'!$D$12,'5_categorisation'!$F$12,E81='5_categorisation'!$D$13,'5_categorisation'!$F$13,E81='5_categorisation'!$D$14,'5_categorisation'!$F$14,E81='5_categorisation'!$D$15,'5_categorisation'!$F$15,E81='5_categorisation'!$D$16,'5_categorisation'!$F$16,E81='5_categorisation'!$D$17,'5_categorisation'!$F$17,E81='5_categorisation'!$D$18,'5_categorisation'!$F$18,E81='5_categorisation'!$D$19,'5_categorisation'!$F$19,E81='5_categorisation'!$D$20,'5_categorisation'!$F$20,E81='5_categorisation'!$D$21,'5_categorisation'!$F$21,E81='5_categorisation'!$D$22,'5_categorisation'!$F$22)</f>
        <v>gauche</v>
      </c>
      <c r="G81" s="14" t="s">
        <v>681</v>
      </c>
      <c r="H81" s="14" t="s">
        <v>682</v>
      </c>
      <c r="I81" s="14" t="s">
        <v>834</v>
      </c>
      <c r="J81" s="14" t="str">
        <f>IFERROR(__xludf.DUMMYFUNCTION("FILTER(candidats!M:M,candidats!P:P=""LETARD Line"")"),"F")</f>
        <v>F</v>
      </c>
      <c r="K81" s="14">
        <v>2565.0</v>
      </c>
    </row>
    <row r="82">
      <c r="A82" s="13" t="s">
        <v>672</v>
      </c>
      <c r="B82" s="13" t="str">
        <f>IFERROR(__xludf.DUMMYFUNCTION("FILTER('5_categorisation'!C:C,'5_categorisation'!A:A=A82)"),"Guyane (française)")</f>
        <v>Guyane (française)</v>
      </c>
      <c r="C82" s="13" t="str">
        <f>IFS(A82='5_categorisation'!$A$2,'5_categorisation'!$B$2,A82='5_categorisation'!$A$3,'5_categorisation'!$B$3,A82='5_categorisation'!$A$4,'5_categorisation'!$B$4,A82='5_categorisation'!$A$5,'5_categorisation'!$B$5,A82='5_categorisation'!$A$6,'5_categorisation'!$B$6,A82='5_categorisation'!$A$7,'5_categorisation'!$B$7,A82='5_categorisation'!$A$8,'5_categorisation'!$B$8,A82='5_categorisation'!$A$9,'5_categorisation'!$B$9,A82='5_categorisation'!$A$10,'5_categorisation'!$B$10,A82='5_categorisation'!$A$11,'5_categorisation'!$B$11,A82='5_categorisation'!$A$12,'5_categorisation'!$B$12,A82='5_categorisation'!$A$13,'5_categorisation'!$B$13,A82='5_categorisation'!$A$14,'5_categorisation'!$B$14,A82='5_categorisation'!$A$15,'5_categorisation'!$B$15,A82='5_categorisation'!$A$16,'5_categorisation'!$B$16,A82='5_categorisation'!$A$17,'5_categorisation'!$B$17,A82='5_categorisation'!$A$18,'5_categorisation'!$B$18)</f>
        <v>outre-mer</v>
      </c>
      <c r="D82" s="15">
        <v>3.0</v>
      </c>
      <c r="E82" s="15" t="s">
        <v>19</v>
      </c>
      <c r="F82" s="14" t="str">
        <f>ifs(E82='5_categorisation'!$D$2,'5_categorisation'!$F$2,E82='5_categorisation'!$D$3,'5_categorisation'!$F$3,E82='5_categorisation'!$D$4,'5_categorisation'!$F$4,E82='5_categorisation'!$D$5,'5_categorisation'!$F$5,E82='5_categorisation'!$D$6,'5_categorisation'!$F$6,E82='5_categorisation'!$D$7,'5_categorisation'!$F$7,E82='5_categorisation'!$D$8,'5_categorisation'!$F$8,E82='5_categorisation'!$D$9,'5_categorisation'!$F$9,E82='5_categorisation'!$D$10,'5_categorisation'!$F$10,E82='5_categorisation'!$D$11,'5_categorisation'!$F$11,E82='5_categorisation'!$D$12,'5_categorisation'!$F$12,E82='5_categorisation'!$D$13,'5_categorisation'!$F$13,E82='5_categorisation'!$D$14,'5_categorisation'!$F$14,E82='5_categorisation'!$D$15,'5_categorisation'!$F$15,E82='5_categorisation'!$D$16,'5_categorisation'!$F$16,E82='5_categorisation'!$D$17,'5_categorisation'!$F$17,E82='5_categorisation'!$D$18,'5_categorisation'!$F$18,E82='5_categorisation'!$D$19,'5_categorisation'!$F$19,E82='5_categorisation'!$D$20,'5_categorisation'!$F$20,E82='5_categorisation'!$D$21,'5_categorisation'!$F$21,E82='5_categorisation'!$D$22,'5_categorisation'!$F$22)</f>
        <v>gauche</v>
      </c>
      <c r="G82" s="15" t="s">
        <v>685</v>
      </c>
      <c r="H82" s="15" t="s">
        <v>686</v>
      </c>
      <c r="I82" s="15" t="s">
        <v>835</v>
      </c>
      <c r="J82" s="14" t="str">
        <f>IFERROR(__xludf.DUMMYFUNCTION("FILTER(candidats!M:M,candidats!P:P=I82)"),"M")</f>
        <v>M</v>
      </c>
      <c r="K82" s="15">
        <v>15298.0</v>
      </c>
    </row>
    <row r="83">
      <c r="A83" s="13" t="s">
        <v>672</v>
      </c>
      <c r="B83" s="13" t="str">
        <f>IFERROR(__xludf.DUMMYFUNCTION("FILTER('5_categorisation'!C:C,'5_categorisation'!A:A=A83)"),"Guyane (française)")</f>
        <v>Guyane (française)</v>
      </c>
      <c r="C83" s="13" t="str">
        <f>IFS(A83='5_categorisation'!$A$2,'5_categorisation'!$B$2,A83='5_categorisation'!$A$3,'5_categorisation'!$B$3,A83='5_categorisation'!$A$4,'5_categorisation'!$B$4,A83='5_categorisation'!$A$5,'5_categorisation'!$B$5,A83='5_categorisation'!$A$6,'5_categorisation'!$B$6,A83='5_categorisation'!$A$7,'5_categorisation'!$B$7,A83='5_categorisation'!$A$8,'5_categorisation'!$B$8,A83='5_categorisation'!$A$9,'5_categorisation'!$B$9,A83='5_categorisation'!$A$10,'5_categorisation'!$B$10,A83='5_categorisation'!$A$11,'5_categorisation'!$B$11,A83='5_categorisation'!$A$12,'5_categorisation'!$B$12,A83='5_categorisation'!$A$13,'5_categorisation'!$B$13,A83='5_categorisation'!$A$14,'5_categorisation'!$B$14,A83='5_categorisation'!$A$15,'5_categorisation'!$B$15,A83='5_categorisation'!$A$16,'5_categorisation'!$B$16,A83='5_categorisation'!$A$17,'5_categorisation'!$B$17,A83='5_categorisation'!$A$18,'5_categorisation'!$B$18)</f>
        <v>outre-mer</v>
      </c>
      <c r="D83" s="14">
        <v>4.0</v>
      </c>
      <c r="E83" s="14" t="s">
        <v>41</v>
      </c>
      <c r="F83" s="14" t="str">
        <f>ifs(E83='5_categorisation'!$D$2,'5_categorisation'!$F$2,E83='5_categorisation'!$D$3,'5_categorisation'!$F$3,E83='5_categorisation'!$D$4,'5_categorisation'!$F$4,E83='5_categorisation'!$D$5,'5_categorisation'!$F$5,E83='5_categorisation'!$D$6,'5_categorisation'!$F$6,E83='5_categorisation'!$D$7,'5_categorisation'!$F$7,E83='5_categorisation'!$D$8,'5_categorisation'!$F$8,E83='5_categorisation'!$D$9,'5_categorisation'!$F$9,E83='5_categorisation'!$D$10,'5_categorisation'!$F$10,E83='5_categorisation'!$D$11,'5_categorisation'!$F$11,E83='5_categorisation'!$D$12,'5_categorisation'!$F$12,E83='5_categorisation'!$D$13,'5_categorisation'!$F$13,E83='5_categorisation'!$D$14,'5_categorisation'!$F$14,E83='5_categorisation'!$D$15,'5_categorisation'!$F$15,E83='5_categorisation'!$D$16,'5_categorisation'!$F$16,E83='5_categorisation'!$D$17,'5_categorisation'!$F$17,E83='5_categorisation'!$D$18,'5_categorisation'!$F$18,E83='5_categorisation'!$D$19,'5_categorisation'!$F$19,E83='5_categorisation'!$D$20,'5_categorisation'!$F$20,E83='5_categorisation'!$D$21,'5_categorisation'!$F$21,E83='5_categorisation'!$D$22,'5_categorisation'!$F$22)</f>
        <v>droite</v>
      </c>
      <c r="G83" s="14" t="s">
        <v>15</v>
      </c>
      <c r="H83" s="14" t="s">
        <v>689</v>
      </c>
      <c r="I83" s="14" t="s">
        <v>836</v>
      </c>
      <c r="J83" s="14" t="str">
        <f>IFERROR(__xludf.DUMMYFUNCTION("FILTER(candidats!M:M,candidats!P:P=I83)"),"F")</f>
        <v>F</v>
      </c>
      <c r="K83" s="14">
        <v>573.0</v>
      </c>
    </row>
    <row r="84">
      <c r="A84" s="13" t="s">
        <v>672</v>
      </c>
      <c r="B84" s="13" t="str">
        <f>IFERROR(__xludf.DUMMYFUNCTION("FILTER('5_categorisation'!C:C,'5_categorisation'!A:A=A84)"),"Guyane (française)")</f>
        <v>Guyane (française)</v>
      </c>
      <c r="C84" s="13" t="str">
        <f>IFS(A84='5_categorisation'!$A$2,'5_categorisation'!$B$2,A84='5_categorisation'!$A$3,'5_categorisation'!$B$3,A84='5_categorisation'!$A$4,'5_categorisation'!$B$4,A84='5_categorisation'!$A$5,'5_categorisation'!$B$5,A84='5_categorisation'!$A$6,'5_categorisation'!$B$6,A84='5_categorisation'!$A$7,'5_categorisation'!$B$7,A84='5_categorisation'!$A$8,'5_categorisation'!$B$8,A84='5_categorisation'!$A$9,'5_categorisation'!$B$9,A84='5_categorisation'!$A$10,'5_categorisation'!$B$10,A84='5_categorisation'!$A$11,'5_categorisation'!$B$11,A84='5_categorisation'!$A$12,'5_categorisation'!$B$12,A84='5_categorisation'!$A$13,'5_categorisation'!$B$13,A84='5_categorisation'!$A$14,'5_categorisation'!$B$14,A84='5_categorisation'!$A$15,'5_categorisation'!$B$15,A84='5_categorisation'!$A$16,'5_categorisation'!$B$16,A84='5_categorisation'!$A$17,'5_categorisation'!$B$17,A84='5_categorisation'!$A$18,'5_categorisation'!$B$18)</f>
        <v>outre-mer</v>
      </c>
      <c r="D84" s="14">
        <v>5.0</v>
      </c>
      <c r="E84" s="14" t="s">
        <v>28</v>
      </c>
      <c r="F84" s="14" t="str">
        <f>ifs(E84='5_categorisation'!$D$2,'5_categorisation'!$F$2,E84='5_categorisation'!$D$3,'5_categorisation'!$F$3,E84='5_categorisation'!$D$4,'5_categorisation'!$F$4,E84='5_categorisation'!$D$5,'5_categorisation'!$F$5,E84='5_categorisation'!$D$6,'5_categorisation'!$F$6,E84='5_categorisation'!$D$7,'5_categorisation'!$F$7,E84='5_categorisation'!$D$8,'5_categorisation'!$F$8,E84='5_categorisation'!$D$9,'5_categorisation'!$F$9,E84='5_categorisation'!$D$10,'5_categorisation'!$F$10,E84='5_categorisation'!$D$11,'5_categorisation'!$F$11,E84='5_categorisation'!$D$12,'5_categorisation'!$F$12,E84='5_categorisation'!$D$13,'5_categorisation'!$F$13,E84='5_categorisation'!$D$14,'5_categorisation'!$F$14,E84='5_categorisation'!$D$15,'5_categorisation'!$F$15,E84='5_categorisation'!$D$16,'5_categorisation'!$F$16,E84='5_categorisation'!$D$17,'5_categorisation'!$F$17,E84='5_categorisation'!$D$18,'5_categorisation'!$F$18,E84='5_categorisation'!$D$19,'5_categorisation'!$F$19,E84='5_categorisation'!$D$20,'5_categorisation'!$F$20,E84='5_categorisation'!$D$21,'5_categorisation'!$F$21,E84='5_categorisation'!$D$22,'5_categorisation'!$F$22)</f>
        <v>autre</v>
      </c>
      <c r="G84" s="14" t="s">
        <v>694</v>
      </c>
      <c r="H84" s="14" t="s">
        <v>695</v>
      </c>
      <c r="I84" s="14" t="s">
        <v>837</v>
      </c>
      <c r="J84" s="14" t="str">
        <f>IFERROR(__xludf.DUMMYFUNCTION("FILTER(candidats!M:M,candidats!P:P=""LETARD Sylvio"")"),"M")</f>
        <v>M</v>
      </c>
      <c r="K84" s="14">
        <v>174.0</v>
      </c>
    </row>
    <row r="85">
      <c r="A85" s="13" t="s">
        <v>672</v>
      </c>
      <c r="B85" s="13" t="str">
        <f>IFERROR(__xludf.DUMMYFUNCTION("FILTER('5_categorisation'!C:C,'5_categorisation'!A:A=A85)"),"Guyane (française)")</f>
        <v>Guyane (française)</v>
      </c>
      <c r="C85" s="13" t="str">
        <f>IFS(A85='5_categorisation'!$A$2,'5_categorisation'!$B$2,A85='5_categorisation'!$A$3,'5_categorisation'!$B$3,A85='5_categorisation'!$A$4,'5_categorisation'!$B$4,A85='5_categorisation'!$A$5,'5_categorisation'!$B$5,A85='5_categorisation'!$A$6,'5_categorisation'!$B$6,A85='5_categorisation'!$A$7,'5_categorisation'!$B$7,A85='5_categorisation'!$A$8,'5_categorisation'!$B$8,A85='5_categorisation'!$A$9,'5_categorisation'!$B$9,A85='5_categorisation'!$A$10,'5_categorisation'!$B$10,A85='5_categorisation'!$A$11,'5_categorisation'!$B$11,A85='5_categorisation'!$A$12,'5_categorisation'!$B$12,A85='5_categorisation'!$A$13,'5_categorisation'!$B$13,A85='5_categorisation'!$A$14,'5_categorisation'!$B$14,A85='5_categorisation'!$A$15,'5_categorisation'!$B$15,A85='5_categorisation'!$A$16,'5_categorisation'!$B$16,A85='5_categorisation'!$A$17,'5_categorisation'!$B$17,A85='5_categorisation'!$A$18,'5_categorisation'!$B$18)</f>
        <v>outre-mer</v>
      </c>
      <c r="D85" s="14">
        <v>6.0</v>
      </c>
      <c r="E85" s="14" t="s">
        <v>19</v>
      </c>
      <c r="F85" s="14" t="str">
        <f>ifs(E85='5_categorisation'!$D$2,'5_categorisation'!$F$2,E85='5_categorisation'!$D$3,'5_categorisation'!$F$3,E85='5_categorisation'!$D$4,'5_categorisation'!$F$4,E85='5_categorisation'!$D$5,'5_categorisation'!$F$5,E85='5_categorisation'!$D$6,'5_categorisation'!$F$6,E85='5_categorisation'!$D$7,'5_categorisation'!$F$7,E85='5_categorisation'!$D$8,'5_categorisation'!$F$8,E85='5_categorisation'!$D$9,'5_categorisation'!$F$9,E85='5_categorisation'!$D$10,'5_categorisation'!$F$10,E85='5_categorisation'!$D$11,'5_categorisation'!$F$11,E85='5_categorisation'!$D$12,'5_categorisation'!$F$12,E85='5_categorisation'!$D$13,'5_categorisation'!$F$13,E85='5_categorisation'!$D$14,'5_categorisation'!$F$14,E85='5_categorisation'!$D$15,'5_categorisation'!$F$15,E85='5_categorisation'!$D$16,'5_categorisation'!$F$16,E85='5_categorisation'!$D$17,'5_categorisation'!$F$17,E85='5_categorisation'!$D$18,'5_categorisation'!$F$18,E85='5_categorisation'!$D$19,'5_categorisation'!$F$19,E85='5_categorisation'!$D$20,'5_categorisation'!$F$20,E85='5_categorisation'!$D$21,'5_categorisation'!$F$21,E85='5_categorisation'!$D$22,'5_categorisation'!$F$22)</f>
        <v>gauche</v>
      </c>
      <c r="G85" s="14" t="s">
        <v>699</v>
      </c>
      <c r="H85" s="14" t="s">
        <v>700</v>
      </c>
      <c r="I85" s="14" t="s">
        <v>838</v>
      </c>
      <c r="J85" s="14" t="str">
        <f>IFERROR(__xludf.DUMMYFUNCTION("FILTER(candidats!M:M,candidats!P:P=I85)"),"F")</f>
        <v>F</v>
      </c>
      <c r="K85" s="14">
        <v>3067.0</v>
      </c>
    </row>
    <row r="86">
      <c r="A86" s="13" t="s">
        <v>672</v>
      </c>
      <c r="B86" s="13" t="str">
        <f>IFERROR(__xludf.DUMMYFUNCTION("FILTER('5_categorisation'!C:C,'5_categorisation'!A:A=A86)"),"Guyane (française)")</f>
        <v>Guyane (française)</v>
      </c>
      <c r="C86" s="13" t="str">
        <f>IFS(A86='5_categorisation'!$A$2,'5_categorisation'!$B$2,A86='5_categorisation'!$A$3,'5_categorisation'!$B$3,A86='5_categorisation'!$A$4,'5_categorisation'!$B$4,A86='5_categorisation'!$A$5,'5_categorisation'!$B$5,A86='5_categorisation'!$A$6,'5_categorisation'!$B$6,A86='5_categorisation'!$A$7,'5_categorisation'!$B$7,A86='5_categorisation'!$A$8,'5_categorisation'!$B$8,A86='5_categorisation'!$A$9,'5_categorisation'!$B$9,A86='5_categorisation'!$A$10,'5_categorisation'!$B$10,A86='5_categorisation'!$A$11,'5_categorisation'!$B$11,A86='5_categorisation'!$A$12,'5_categorisation'!$B$12,A86='5_categorisation'!$A$13,'5_categorisation'!$B$13,A86='5_categorisation'!$A$14,'5_categorisation'!$B$14,A86='5_categorisation'!$A$15,'5_categorisation'!$B$15,A86='5_categorisation'!$A$16,'5_categorisation'!$B$16,A86='5_categorisation'!$A$17,'5_categorisation'!$B$17,A86='5_categorisation'!$A$18,'5_categorisation'!$B$18)</f>
        <v>outre-mer</v>
      </c>
      <c r="D86" s="14">
        <v>7.0</v>
      </c>
      <c r="E86" s="14" t="s">
        <v>19</v>
      </c>
      <c r="F86" s="14" t="str">
        <f>ifs(E86='5_categorisation'!$D$2,'5_categorisation'!$F$2,E86='5_categorisation'!$D$3,'5_categorisation'!$F$3,E86='5_categorisation'!$D$4,'5_categorisation'!$F$4,E86='5_categorisation'!$D$5,'5_categorisation'!$F$5,E86='5_categorisation'!$D$6,'5_categorisation'!$F$6,E86='5_categorisation'!$D$7,'5_categorisation'!$F$7,E86='5_categorisation'!$D$8,'5_categorisation'!$F$8,E86='5_categorisation'!$D$9,'5_categorisation'!$F$9,E86='5_categorisation'!$D$10,'5_categorisation'!$F$10,E86='5_categorisation'!$D$11,'5_categorisation'!$F$11,E86='5_categorisation'!$D$12,'5_categorisation'!$F$12,E86='5_categorisation'!$D$13,'5_categorisation'!$F$13,E86='5_categorisation'!$D$14,'5_categorisation'!$F$14,E86='5_categorisation'!$D$15,'5_categorisation'!$F$15,E86='5_categorisation'!$D$16,'5_categorisation'!$F$16,E86='5_categorisation'!$D$17,'5_categorisation'!$F$17,E86='5_categorisation'!$D$18,'5_categorisation'!$F$18,E86='5_categorisation'!$D$19,'5_categorisation'!$F$19,E86='5_categorisation'!$D$20,'5_categorisation'!$F$20,E86='5_categorisation'!$D$21,'5_categorisation'!$F$21,E86='5_categorisation'!$D$22,'5_categorisation'!$F$22)</f>
        <v>gauche</v>
      </c>
      <c r="G86" s="14" t="s">
        <v>702</v>
      </c>
      <c r="H86" s="14" t="s">
        <v>703</v>
      </c>
      <c r="I86" s="14" t="s">
        <v>839</v>
      </c>
      <c r="J86" s="14" t="str">
        <f>IFERROR(__xludf.DUMMYFUNCTION("FILTER(candidats!M:M,candidats!P:P=I86)"),"M")</f>
        <v>M</v>
      </c>
      <c r="K86" s="14">
        <v>10926.0</v>
      </c>
    </row>
    <row r="87">
      <c r="A87" s="13" t="s">
        <v>672</v>
      </c>
      <c r="B87" s="13" t="str">
        <f>IFERROR(__xludf.DUMMYFUNCTION("FILTER('5_categorisation'!C:C,'5_categorisation'!A:A=A87)"),"Guyane (française)")</f>
        <v>Guyane (française)</v>
      </c>
      <c r="C87" s="13" t="str">
        <f>IFS(A87='5_categorisation'!$A$2,'5_categorisation'!$B$2,A87='5_categorisation'!$A$3,'5_categorisation'!$B$3,A87='5_categorisation'!$A$4,'5_categorisation'!$B$4,A87='5_categorisation'!$A$5,'5_categorisation'!$B$5,A87='5_categorisation'!$A$6,'5_categorisation'!$B$6,A87='5_categorisation'!$A$7,'5_categorisation'!$B$7,A87='5_categorisation'!$A$8,'5_categorisation'!$B$8,A87='5_categorisation'!$A$9,'5_categorisation'!$B$9,A87='5_categorisation'!$A$10,'5_categorisation'!$B$10,A87='5_categorisation'!$A$11,'5_categorisation'!$B$11,A87='5_categorisation'!$A$12,'5_categorisation'!$B$12,A87='5_categorisation'!$A$13,'5_categorisation'!$B$13,A87='5_categorisation'!$A$14,'5_categorisation'!$B$14,A87='5_categorisation'!$A$15,'5_categorisation'!$B$15,A87='5_categorisation'!$A$16,'5_categorisation'!$B$16,A87='5_categorisation'!$A$17,'5_categorisation'!$B$17,A87='5_categorisation'!$A$18,'5_categorisation'!$B$18)</f>
        <v>outre-mer</v>
      </c>
      <c r="D87" s="14">
        <v>8.0</v>
      </c>
      <c r="E87" s="14" t="s">
        <v>19</v>
      </c>
      <c r="F87" s="14" t="str">
        <f>ifs(E87='5_categorisation'!$D$2,'5_categorisation'!$F$2,E87='5_categorisation'!$D$3,'5_categorisation'!$F$3,E87='5_categorisation'!$D$4,'5_categorisation'!$F$4,E87='5_categorisation'!$D$5,'5_categorisation'!$F$5,E87='5_categorisation'!$D$6,'5_categorisation'!$F$6,E87='5_categorisation'!$D$7,'5_categorisation'!$F$7,E87='5_categorisation'!$D$8,'5_categorisation'!$F$8,E87='5_categorisation'!$D$9,'5_categorisation'!$F$9,E87='5_categorisation'!$D$10,'5_categorisation'!$F$10,E87='5_categorisation'!$D$11,'5_categorisation'!$F$11,E87='5_categorisation'!$D$12,'5_categorisation'!$F$12,E87='5_categorisation'!$D$13,'5_categorisation'!$F$13,E87='5_categorisation'!$D$14,'5_categorisation'!$F$14,E87='5_categorisation'!$D$15,'5_categorisation'!$F$15,E87='5_categorisation'!$D$16,'5_categorisation'!$F$16,E87='5_categorisation'!$D$17,'5_categorisation'!$F$17,E87='5_categorisation'!$D$18,'5_categorisation'!$F$18,E87='5_categorisation'!$D$19,'5_categorisation'!$F$19,E87='5_categorisation'!$D$20,'5_categorisation'!$F$20,E87='5_categorisation'!$D$21,'5_categorisation'!$F$21,E87='5_categorisation'!$D$22,'5_categorisation'!$F$22)</f>
        <v>gauche</v>
      </c>
      <c r="G87" s="14" t="s">
        <v>706</v>
      </c>
      <c r="H87" s="14" t="s">
        <v>707</v>
      </c>
      <c r="I87" s="14" t="s">
        <v>840</v>
      </c>
      <c r="J87" s="14" t="str">
        <f>IFERROR(__xludf.DUMMYFUNCTION("FILTER(candidats!M:M,candidats!P:P=I87)"),"M")</f>
        <v>M</v>
      </c>
      <c r="K87" s="14">
        <v>349.0</v>
      </c>
    </row>
    <row r="88">
      <c r="A88" s="15" t="s">
        <v>672</v>
      </c>
      <c r="B88" s="13" t="str">
        <f>IFERROR(__xludf.DUMMYFUNCTION("FILTER('5_categorisation'!C:C,'5_categorisation'!A:A=A88)"),"Guyane (française)")</f>
        <v>Guyane (française)</v>
      </c>
      <c r="C88" s="13" t="str">
        <f>IFS(A88='5_categorisation'!$A$2,'5_categorisation'!$B$2,A88='5_categorisation'!$A$3,'5_categorisation'!$B$3,A88='5_categorisation'!$A$4,'5_categorisation'!$B$4,A88='5_categorisation'!$A$5,'5_categorisation'!$B$5,A88='5_categorisation'!$A$6,'5_categorisation'!$B$6,A88='5_categorisation'!$A$7,'5_categorisation'!$B$7,A88='5_categorisation'!$A$8,'5_categorisation'!$B$8,A88='5_categorisation'!$A$9,'5_categorisation'!$B$9,A88='5_categorisation'!$A$10,'5_categorisation'!$B$10,A88='5_categorisation'!$A$11,'5_categorisation'!$B$11,A88='5_categorisation'!$A$12,'5_categorisation'!$B$12,A88='5_categorisation'!$A$13,'5_categorisation'!$B$13,A88='5_categorisation'!$A$14,'5_categorisation'!$B$14,A88='5_categorisation'!$A$15,'5_categorisation'!$B$15,A88='5_categorisation'!$A$16,'5_categorisation'!$B$16,A88='5_categorisation'!$A$17,'5_categorisation'!$B$17,A88='5_categorisation'!$A$18,'5_categorisation'!$B$18)</f>
        <v>outre-mer</v>
      </c>
      <c r="D88" s="15">
        <v>9.0</v>
      </c>
      <c r="E88" s="15" t="s">
        <v>28</v>
      </c>
      <c r="F88" s="14" t="str">
        <f>ifs(E88='5_categorisation'!$D$2,'5_categorisation'!$F$2,E88='5_categorisation'!$D$3,'5_categorisation'!$F$3,E88='5_categorisation'!$D$4,'5_categorisation'!$F$4,E88='5_categorisation'!$D$5,'5_categorisation'!$F$5,E88='5_categorisation'!$D$6,'5_categorisation'!$F$6,E88='5_categorisation'!$D$7,'5_categorisation'!$F$7,E88='5_categorisation'!$D$8,'5_categorisation'!$F$8,E88='5_categorisation'!$D$9,'5_categorisation'!$F$9,E88='5_categorisation'!$D$10,'5_categorisation'!$F$10,E88='5_categorisation'!$D$11,'5_categorisation'!$F$11,E88='5_categorisation'!$D$12,'5_categorisation'!$F$12,E88='5_categorisation'!$D$13,'5_categorisation'!$F$13,E88='5_categorisation'!$D$14,'5_categorisation'!$F$14,E88='5_categorisation'!$D$15,'5_categorisation'!$F$15,E88='5_categorisation'!$D$16,'5_categorisation'!$F$16,E88='5_categorisation'!$D$17,'5_categorisation'!$F$17,E88='5_categorisation'!$D$18,'5_categorisation'!$F$18,E88='5_categorisation'!$D$19,'5_categorisation'!$F$19,E88='5_categorisation'!$D$20,'5_categorisation'!$F$20,E88='5_categorisation'!$D$21,'5_categorisation'!$F$21,E88='5_categorisation'!$D$22,'5_categorisation'!$F$22)</f>
        <v>autre</v>
      </c>
      <c r="G88" s="15" t="s">
        <v>709</v>
      </c>
      <c r="H88" s="15" t="s">
        <v>710</v>
      </c>
      <c r="I88" s="15" t="s">
        <v>841</v>
      </c>
      <c r="J88" s="14" t="str">
        <f>IFERROR(__xludf.DUMMYFUNCTION("FILTER(candidats!M:M,candidats!P:P=I88)"),"M")</f>
        <v>M</v>
      </c>
      <c r="K88" s="15">
        <v>2064.0</v>
      </c>
    </row>
    <row r="89">
      <c r="A89" s="13" t="s">
        <v>340</v>
      </c>
      <c r="B89" s="13" t="str">
        <f>IFERROR(__xludf.DUMMYFUNCTION("FILTER('5_categorisation'!C:C,'5_categorisation'!A:A=A89)"),"Île-de-France")</f>
        <v>Île-de-France</v>
      </c>
      <c r="C89" s="13" t="str">
        <f>IFS(A89='5_categorisation'!$A$2,'5_categorisation'!$B$2,A89='5_categorisation'!$A$3,'5_categorisation'!$B$3,A89='5_categorisation'!$A$4,'5_categorisation'!$B$4,A89='5_categorisation'!$A$5,'5_categorisation'!$B$5,A89='5_categorisation'!$A$6,'5_categorisation'!$B$6,A89='5_categorisation'!$A$7,'5_categorisation'!$B$7,A89='5_categorisation'!$A$8,'5_categorisation'!$B$8,A89='5_categorisation'!$A$9,'5_categorisation'!$B$9,A89='5_categorisation'!$A$10,'5_categorisation'!$B$10,A89='5_categorisation'!$A$11,'5_categorisation'!$B$11,A89='5_categorisation'!$A$12,'5_categorisation'!$B$12,A89='5_categorisation'!$A$13,'5_categorisation'!$B$13,A89='5_categorisation'!$A$14,'5_categorisation'!$B$14,A89='5_categorisation'!$A$15,'5_categorisation'!$B$15,A89='5_categorisation'!$A$16,'5_categorisation'!$B$16,A89='5_categorisation'!$A$17,'5_categorisation'!$B$17,A89='5_categorisation'!$A$18,'5_categorisation'!$B$18)</f>
        <v>centre</v>
      </c>
      <c r="D89" s="14">
        <v>1.0</v>
      </c>
      <c r="E89" s="14" t="s">
        <v>5</v>
      </c>
      <c r="F89" s="14" t="str">
        <f>ifs(E89='5_categorisation'!$D$2,'5_categorisation'!$F$2,E89='5_categorisation'!$D$3,'5_categorisation'!$F$3,E89='5_categorisation'!$D$4,'5_categorisation'!$F$4,E89='5_categorisation'!$D$5,'5_categorisation'!$F$5,E89='5_categorisation'!$D$6,'5_categorisation'!$F$6,E89='5_categorisation'!$D$7,'5_categorisation'!$F$7,E89='5_categorisation'!$D$8,'5_categorisation'!$F$8,E89='5_categorisation'!$D$9,'5_categorisation'!$F$9,E89='5_categorisation'!$D$10,'5_categorisation'!$F$10,E89='5_categorisation'!$D$11,'5_categorisation'!$F$11,E89='5_categorisation'!$D$12,'5_categorisation'!$F$12,E89='5_categorisation'!$D$13,'5_categorisation'!$F$13,E89='5_categorisation'!$D$14,'5_categorisation'!$F$14,E89='5_categorisation'!$D$15,'5_categorisation'!$F$15,E89='5_categorisation'!$D$16,'5_categorisation'!$F$16,E89='5_categorisation'!$D$17,'5_categorisation'!$F$17,E89='5_categorisation'!$D$18,'5_categorisation'!$F$18,E89='5_categorisation'!$D$19,'5_categorisation'!$F$19,E89='5_categorisation'!$D$20,'5_categorisation'!$F$20,E89='5_categorisation'!$D$21,'5_categorisation'!$F$21,E89='5_categorisation'!$D$22,'5_categorisation'!$F$22)</f>
        <v>gauche</v>
      </c>
      <c r="G89" s="14" t="s">
        <v>342</v>
      </c>
      <c r="H89" s="14" t="s">
        <v>343</v>
      </c>
      <c r="I89" s="14" t="s">
        <v>842</v>
      </c>
      <c r="J89" s="14" t="str">
        <f>IFERROR(__xludf.DUMMYFUNCTION("FILTER(candidats!M:M,candidats!P:P=I89)"),"M")</f>
        <v>M</v>
      </c>
      <c r="K89" s="14">
        <v>208943.0</v>
      </c>
    </row>
    <row r="90">
      <c r="A90" s="13" t="s">
        <v>340</v>
      </c>
      <c r="B90" s="13" t="str">
        <f>IFERROR(__xludf.DUMMYFUNCTION("FILTER('5_categorisation'!C:C,'5_categorisation'!A:A=A90)"),"Île-de-France")</f>
        <v>Île-de-France</v>
      </c>
      <c r="C90" s="13" t="str">
        <f>IFS(A90='5_categorisation'!$A$2,'5_categorisation'!$B$2,A90='5_categorisation'!$A$3,'5_categorisation'!$B$3,A90='5_categorisation'!$A$4,'5_categorisation'!$B$4,A90='5_categorisation'!$A$5,'5_categorisation'!$B$5,A90='5_categorisation'!$A$6,'5_categorisation'!$B$6,A90='5_categorisation'!$A$7,'5_categorisation'!$B$7,A90='5_categorisation'!$A$8,'5_categorisation'!$B$8,A90='5_categorisation'!$A$9,'5_categorisation'!$B$9,A90='5_categorisation'!$A98,'5_categorisation'!$B$10,A90='5_categorisation'!$A$12,'5_categorisation'!$B$12,A90='5_categorisation'!$A$12,'5_categorisation'!$B$12,A90='5_categorisation'!$A$13,'5_categorisation'!$B$13,A90='5_categorisation'!$A$14,'5_categorisation'!$B$14,A90='5_categorisation'!$A$15,'5_categorisation'!$B$15,A90='5_categorisation'!$A$16,'5_categorisation'!$B$16,A90='5_categorisation'!$A$17,'5_categorisation'!$B$17,A90='5_categorisation'!$A$11,'5_categorisation'!$B$11)</f>
        <v>centre</v>
      </c>
      <c r="D90" s="14">
        <v>2.0</v>
      </c>
      <c r="E90" s="14" t="s">
        <v>15</v>
      </c>
      <c r="F90" s="14" t="str">
        <f>ifs(E90='5_categorisation'!$D$2,'5_categorisation'!$F$2,E90='5_categorisation'!$D$3,'5_categorisation'!$F$3,E90='5_categorisation'!$D$4,'5_categorisation'!$F$4,E90='5_categorisation'!$D$5,'5_categorisation'!$F$5,E90='5_categorisation'!$D$6,'5_categorisation'!$F$6,E90='5_categorisation'!$D$7,'5_categorisation'!$F$7,E90='5_categorisation'!$D$8,'5_categorisation'!$F$8,E90='5_categorisation'!$D$9,'5_categorisation'!$F$9,E90='5_categorisation'!$D$10,'5_categorisation'!$F$10,E90='5_categorisation'!$D$11,'5_categorisation'!$F$11,E90='5_categorisation'!$D$12,'5_categorisation'!$F$12,E90='5_categorisation'!$D$13,'5_categorisation'!$F$13,E90='5_categorisation'!$D$14,'5_categorisation'!$F$14,E90='5_categorisation'!$D$15,'5_categorisation'!$F$15,E90='5_categorisation'!$D$16,'5_categorisation'!$F$16,E90='5_categorisation'!$D$17,'5_categorisation'!$F$17,E90='5_categorisation'!$D$18,'5_categorisation'!$F$18,E90='5_categorisation'!$D$19,'5_categorisation'!$F$19,E90='5_categorisation'!$D$20,'5_categorisation'!$F$20,E90='5_categorisation'!$D$21,'5_categorisation'!$F$21,E90='5_categorisation'!$D$22,'5_categorisation'!$F$22)</f>
        <v>gauche</v>
      </c>
      <c r="G90" s="14" t="s">
        <v>347</v>
      </c>
      <c r="H90" s="14" t="s">
        <v>348</v>
      </c>
      <c r="I90" s="14" t="s">
        <v>843</v>
      </c>
      <c r="J90" s="14" t="str">
        <f>IFERROR(__xludf.DUMMYFUNCTION("FILTER(candidats!M:M,candidats!P:P=I90)"),"M")</f>
        <v>M</v>
      </c>
      <c r="K90" s="14">
        <v>794322.0</v>
      </c>
    </row>
    <row r="91">
      <c r="A91" s="13" t="s">
        <v>340</v>
      </c>
      <c r="B91" s="13" t="str">
        <f>IFERROR(__xludf.DUMMYFUNCTION("FILTER('5_categorisation'!C:C,'5_categorisation'!A:A=A91)"),"Île-de-France")</f>
        <v>Île-de-France</v>
      </c>
      <c r="C91" s="13" t="str">
        <f>IFS(A91='5_categorisation'!$A$2,'5_categorisation'!$B$2,A91='5_categorisation'!$A$3,'5_categorisation'!$B$3,A91='5_categorisation'!$A$4,'5_categorisation'!$B$4,A91='5_categorisation'!$A$5,'5_categorisation'!$B$5,A91='5_categorisation'!$A$6,'5_categorisation'!$B$6,A91='5_categorisation'!$A$7,'5_categorisation'!$B$7,A91='5_categorisation'!$A$8,'5_categorisation'!$B$8,A91='5_categorisation'!$A$9,'5_categorisation'!$B$9,A91='5_categorisation'!$A99,'5_categorisation'!$B$10,A91='5_categorisation'!$A$12,'5_categorisation'!$B$12,A91='5_categorisation'!$A$12,'5_categorisation'!$B$12,A91='5_categorisation'!$A$13,'5_categorisation'!$B$13,A91='5_categorisation'!$A$14,'5_categorisation'!$B$14,A91='5_categorisation'!$A$15,'5_categorisation'!$B$15,A91='5_categorisation'!$A$16,'5_categorisation'!$B$16,A91='5_categorisation'!$A$17,'5_categorisation'!$B$17,A91='5_categorisation'!$A$11,'5_categorisation'!$B$11)</f>
        <v>centre</v>
      </c>
      <c r="D91" s="14">
        <v>3.0</v>
      </c>
      <c r="E91" s="14" t="s">
        <v>25</v>
      </c>
      <c r="F91" s="14" t="str">
        <f>ifs(E91='5_categorisation'!$D$2,'5_categorisation'!$F$2,E91='5_categorisation'!$D$3,'5_categorisation'!$F$3,E91='5_categorisation'!$D$4,'5_categorisation'!$F$4,E91='5_categorisation'!$D$5,'5_categorisation'!$F$5,E91='5_categorisation'!$D$6,'5_categorisation'!$F$6,E91='5_categorisation'!$D$7,'5_categorisation'!$F$7,E91='5_categorisation'!$D$8,'5_categorisation'!$F$8,E91='5_categorisation'!$D$9,'5_categorisation'!$F$9,E91='5_categorisation'!$D$10,'5_categorisation'!$F$10,E91='5_categorisation'!$D$11,'5_categorisation'!$F$11,E91='5_categorisation'!$D$12,'5_categorisation'!$F$12,E91='5_categorisation'!$D$13,'5_categorisation'!$F$13,E91='5_categorisation'!$D$14,'5_categorisation'!$F$14,E91='5_categorisation'!$D$15,'5_categorisation'!$F$15,E91='5_categorisation'!$D$16,'5_categorisation'!$F$16,E91='5_categorisation'!$D$17,'5_categorisation'!$F$17,E91='5_categorisation'!$D$18,'5_categorisation'!$F$18,E91='5_categorisation'!$D$19,'5_categorisation'!$F$19,E91='5_categorisation'!$D$20,'5_categorisation'!$F$20,E91='5_categorisation'!$D$21,'5_categorisation'!$F$21,E91='5_categorisation'!$D$22,'5_categorisation'!$F$22)</f>
        <v>autre</v>
      </c>
      <c r="G91" s="14" t="s">
        <v>351</v>
      </c>
      <c r="H91" s="14" t="s">
        <v>352</v>
      </c>
      <c r="I91" s="14" t="s">
        <v>844</v>
      </c>
      <c r="J91" s="14" t="str">
        <f>IFERROR(__xludf.DUMMYFUNCTION("FILTER(candidats!M:M,candidats!P:P=I91)"),"M")</f>
        <v>M</v>
      </c>
      <c r="K91" s="14">
        <v>29755.0</v>
      </c>
    </row>
    <row r="92">
      <c r="A92" s="13" t="s">
        <v>340</v>
      </c>
      <c r="B92" s="13" t="str">
        <f>IFERROR(__xludf.DUMMYFUNCTION("FILTER('5_categorisation'!C:C,'5_categorisation'!A:A=A92)"),"Île-de-France")</f>
        <v>Île-de-France</v>
      </c>
      <c r="C92" s="13" t="str">
        <f>IFS(A92='5_categorisation'!$A$2,'5_categorisation'!$B$2,A92='5_categorisation'!$A$3,'5_categorisation'!$B$3,A92='5_categorisation'!$A$4,'5_categorisation'!$B$4,A92='5_categorisation'!$A$5,'5_categorisation'!$B$5,A92='5_categorisation'!$A$6,'5_categorisation'!$B$6,A92='5_categorisation'!$A$7,'5_categorisation'!$B$7,A92='5_categorisation'!$A$8,'5_categorisation'!$B$8,A92='5_categorisation'!$A$9,'5_categorisation'!$B$9,A92='5_categorisation'!$A100,'5_categorisation'!$B$10,A92='5_categorisation'!$A$12,'5_categorisation'!$B$12,A92='5_categorisation'!$A$12,'5_categorisation'!$B$12,A92='5_categorisation'!$A$13,'5_categorisation'!$B$13,A92='5_categorisation'!$A$14,'5_categorisation'!$B$14,A92='5_categorisation'!$A$15,'5_categorisation'!$B$15,A92='5_categorisation'!$A$16,'5_categorisation'!$B$16,A92='5_categorisation'!$A$17,'5_categorisation'!$B$17,A92='5_categorisation'!$A$11,'5_categorisation'!$B$11)</f>
        <v>centre</v>
      </c>
      <c r="D92" s="14">
        <v>4.0</v>
      </c>
      <c r="E92" s="14" t="s">
        <v>21</v>
      </c>
      <c r="F92" s="14" t="str">
        <f>ifs(E92='5_categorisation'!$D$2,'5_categorisation'!$F$2,E92='5_categorisation'!$D$3,'5_categorisation'!$F$3,E92='5_categorisation'!$D$4,'5_categorisation'!$F$4,E92='5_categorisation'!$D$5,'5_categorisation'!$F$5,E92='5_categorisation'!$D$6,'5_categorisation'!$F$6,E92='5_categorisation'!$D$7,'5_categorisation'!$F$7,E92='5_categorisation'!$D$8,'5_categorisation'!$F$8,E92='5_categorisation'!$D$9,'5_categorisation'!$F$9,E92='5_categorisation'!$D$10,'5_categorisation'!$F$10,E92='5_categorisation'!$D$11,'5_categorisation'!$F$11,E92='5_categorisation'!$D$12,'5_categorisation'!$F$12,E92='5_categorisation'!$D$13,'5_categorisation'!$F$13,E92='5_categorisation'!$D$14,'5_categorisation'!$F$14,E92='5_categorisation'!$D$15,'5_categorisation'!$F$15,E92='5_categorisation'!$D$16,'5_categorisation'!$F$16,E92='5_categorisation'!$D$17,'5_categorisation'!$F$17,E92='5_categorisation'!$D$18,'5_categorisation'!$F$18,E92='5_categorisation'!$D$19,'5_categorisation'!$F$19,E92='5_categorisation'!$D$20,'5_categorisation'!$F$20,E92='5_categorisation'!$D$21,'5_categorisation'!$F$21,E92='5_categorisation'!$D$22,'5_categorisation'!$F$22)</f>
        <v>gauche</v>
      </c>
      <c r="G92" s="14" t="s">
        <v>354</v>
      </c>
      <c r="H92" s="14" t="s">
        <v>355</v>
      </c>
      <c r="I92" s="14" t="s">
        <v>845</v>
      </c>
      <c r="J92" s="14" t="str">
        <f>IFERROR(__xludf.DUMMYFUNCTION("FILTER(candidats!M:M,candidats!P:P=I92)"),"F")</f>
        <v>F</v>
      </c>
      <c r="K92" s="14">
        <v>253153.0</v>
      </c>
    </row>
    <row r="93">
      <c r="A93" s="15" t="s">
        <v>340</v>
      </c>
      <c r="B93" s="13" t="str">
        <f>IFERROR(__xludf.DUMMYFUNCTION("FILTER('5_categorisation'!C:C,'5_categorisation'!A:A=A93)"),"Île-de-France")</f>
        <v>Île-de-France</v>
      </c>
      <c r="C93" s="13" t="str">
        <f>IFS(A93='5_categorisation'!$A$2,'5_categorisation'!$B$2,A93='5_categorisation'!$A$3,'5_categorisation'!$B$3,A93='5_categorisation'!$A$4,'5_categorisation'!$B$4,A93='5_categorisation'!$A$5,'5_categorisation'!$B$5,A93='5_categorisation'!$A$6,'5_categorisation'!$B$6,A93='5_categorisation'!$A$7,'5_categorisation'!$B$7,A93='5_categorisation'!$A$8,'5_categorisation'!$B$8,A93='5_categorisation'!$A$9,'5_categorisation'!$B$9,A93='5_categorisation'!$A101,'5_categorisation'!$B$10,A93='5_categorisation'!$A$12,'5_categorisation'!$B$12,A93='5_categorisation'!$A$12,'5_categorisation'!$B$12,A93='5_categorisation'!$A$13,'5_categorisation'!$B$13,A93='5_categorisation'!$A$14,'5_categorisation'!$B$14,A93='5_categorisation'!$A$15,'5_categorisation'!$B$15,A93='5_categorisation'!$A$16,'5_categorisation'!$B$16,A93='5_categorisation'!$A$17,'5_categorisation'!$B$17,A93='5_categorisation'!$A$11,'5_categorisation'!$B$11)</f>
        <v>centre</v>
      </c>
      <c r="D93" s="15">
        <v>5.0</v>
      </c>
      <c r="E93" s="15" t="s">
        <v>25</v>
      </c>
      <c r="F93" s="14" t="str">
        <f>ifs(E93='5_categorisation'!$D$2,'5_categorisation'!$F$2,E93='5_categorisation'!$D$3,'5_categorisation'!$F$3,E93='5_categorisation'!$D$4,'5_categorisation'!$F$4,E93='5_categorisation'!$D$5,'5_categorisation'!$F$5,E93='5_categorisation'!$D$6,'5_categorisation'!$F$6,E93='5_categorisation'!$D$7,'5_categorisation'!$F$7,E93='5_categorisation'!$D$8,'5_categorisation'!$F$8,E93='5_categorisation'!$D$9,'5_categorisation'!$F$9,E93='5_categorisation'!$D$10,'5_categorisation'!$F$10,E93='5_categorisation'!$D$11,'5_categorisation'!$F$11,E93='5_categorisation'!$D$12,'5_categorisation'!$F$12,E93='5_categorisation'!$D$13,'5_categorisation'!$F$13,E93='5_categorisation'!$D$14,'5_categorisation'!$F$14,E93='5_categorisation'!$D$15,'5_categorisation'!$F$15,E93='5_categorisation'!$D$16,'5_categorisation'!$F$16,E93='5_categorisation'!$D$17,'5_categorisation'!$F$17,E93='5_categorisation'!$D$18,'5_categorisation'!$F$18,E93='5_categorisation'!$D$19,'5_categorisation'!$F$19,E93='5_categorisation'!$D$20,'5_categorisation'!$F$20,E93='5_categorisation'!$D$21,'5_categorisation'!$F$21,E93='5_categorisation'!$D$22,'5_categorisation'!$F$22)</f>
        <v>autre</v>
      </c>
      <c r="G93" s="15" t="s">
        <v>359</v>
      </c>
      <c r="H93" s="15" t="s">
        <v>359</v>
      </c>
      <c r="I93" s="15" t="s">
        <v>846</v>
      </c>
      <c r="J93" s="14" t="str">
        <f>IFERROR(__xludf.DUMMYFUNCTION("FILTER(candidats!M:M,candidats!P:P=I93)"),"M")</f>
        <v>M</v>
      </c>
      <c r="K93" s="15">
        <v>7096.0</v>
      </c>
    </row>
    <row r="94">
      <c r="A94" s="13" t="s">
        <v>340</v>
      </c>
      <c r="B94" s="13" t="str">
        <f>IFERROR(__xludf.DUMMYFUNCTION("FILTER('5_categorisation'!C:C,'5_categorisation'!A:A=A94)"),"Île-de-France")</f>
        <v>Île-de-France</v>
      </c>
      <c r="C94" s="13" t="str">
        <f>IFS(A94='5_categorisation'!$A$2,'5_categorisation'!$B$2,A94='5_categorisation'!$A$3,'5_categorisation'!$B$3,A94='5_categorisation'!$A$4,'5_categorisation'!$B$4,A94='5_categorisation'!$A$5,'5_categorisation'!$B$5,A94='5_categorisation'!$A$6,'5_categorisation'!$B$6,A94='5_categorisation'!$A$7,'5_categorisation'!$B$7,A94='5_categorisation'!$A$8,'5_categorisation'!$B$8,A94='5_categorisation'!$A$9,'5_categorisation'!$B$9,A94='5_categorisation'!$A102,'5_categorisation'!$B$10,A94='5_categorisation'!$A$12,'5_categorisation'!$B$12,A94='5_categorisation'!$A$12,'5_categorisation'!$B$12,A94='5_categorisation'!$A$13,'5_categorisation'!$B$13,A94='5_categorisation'!$A$14,'5_categorisation'!$B$14,A94='5_categorisation'!$A$15,'5_categorisation'!$B$15,A94='5_categorisation'!$A$16,'5_categorisation'!$B$16,A94='5_categorisation'!$A$17,'5_categorisation'!$B$17,A94='5_categorisation'!$A$11,'5_categorisation'!$B$11)</f>
        <v>centre</v>
      </c>
      <c r="D94" s="14">
        <v>6.0</v>
      </c>
      <c r="E94" s="14" t="s">
        <v>41</v>
      </c>
      <c r="F94" s="14" t="str">
        <f>ifs(E94='5_categorisation'!$D$2,'5_categorisation'!$F$2,E94='5_categorisation'!$D$3,'5_categorisation'!$F$3,E94='5_categorisation'!$D$4,'5_categorisation'!$F$4,E94='5_categorisation'!$D$5,'5_categorisation'!$F$5,E94='5_categorisation'!$D$6,'5_categorisation'!$F$6,E94='5_categorisation'!$D$7,'5_categorisation'!$F$7,E94='5_categorisation'!$D$8,'5_categorisation'!$F$8,E94='5_categorisation'!$D$9,'5_categorisation'!$F$9,E94='5_categorisation'!$D$10,'5_categorisation'!$F$10,E94='5_categorisation'!$D$11,'5_categorisation'!$F$11,E94='5_categorisation'!$D$12,'5_categorisation'!$F$12,E94='5_categorisation'!$D$13,'5_categorisation'!$F$13,E94='5_categorisation'!$D$14,'5_categorisation'!$F$14,E94='5_categorisation'!$D$15,'5_categorisation'!$F$15,E94='5_categorisation'!$D$16,'5_categorisation'!$F$16,E94='5_categorisation'!$D$17,'5_categorisation'!$F$17,E94='5_categorisation'!$D$18,'5_categorisation'!$F$18,E94='5_categorisation'!$D$19,'5_categorisation'!$F$19,E94='5_categorisation'!$D$20,'5_categorisation'!$F$20,E94='5_categorisation'!$D$21,'5_categorisation'!$F$21,E94='5_categorisation'!$D$22,'5_categorisation'!$F$22)</f>
        <v>droite</v>
      </c>
      <c r="G94" s="14" t="s">
        <v>362</v>
      </c>
      <c r="H94" s="14" t="s">
        <v>363</v>
      </c>
      <c r="I94" s="16" t="s">
        <v>927</v>
      </c>
      <c r="J94" s="14" t="str">
        <f>IFERROR(__xludf.DUMMYFUNCTION("FILTER(candidats!M:M,candidats!P:P=""SACHS Valerie"")"),"F")</f>
        <v>F</v>
      </c>
      <c r="K94" s="14">
        <v>19981.0</v>
      </c>
    </row>
    <row r="95">
      <c r="A95" s="13" t="s">
        <v>340</v>
      </c>
      <c r="B95" s="13" t="str">
        <f>IFERROR(__xludf.DUMMYFUNCTION("FILTER('5_categorisation'!C:C,'5_categorisation'!A:A=A95)"),"Île-de-France")</f>
        <v>Île-de-France</v>
      </c>
      <c r="C95" s="13" t="str">
        <f>IFS(A95='5_categorisation'!$A$2,'5_categorisation'!$B$2,A95='5_categorisation'!$A$3,'5_categorisation'!$B$3,A95='5_categorisation'!$A$4,'5_categorisation'!$B$4,A95='5_categorisation'!$A$5,'5_categorisation'!$B$5,A95='5_categorisation'!$A$6,'5_categorisation'!$B$6,A95='5_categorisation'!$A$7,'5_categorisation'!$B$7,A95='5_categorisation'!$A$8,'5_categorisation'!$B$8,A95='5_categorisation'!$A$9,'5_categorisation'!$B$9,A95='5_categorisation'!$A103,'5_categorisation'!$B$10,A95='5_categorisation'!$A$12,'5_categorisation'!$B$12,A95='5_categorisation'!$A$12,'5_categorisation'!$B$12,A95='5_categorisation'!$A$13,'5_categorisation'!$B$13,A95='5_categorisation'!$A$14,'5_categorisation'!$B$14,A95='5_categorisation'!$A$15,'5_categorisation'!$B$15,A95='5_categorisation'!$A$16,'5_categorisation'!$B$16,A95='5_categorisation'!$A$17,'5_categorisation'!$B$17,A95='5_categorisation'!$A$11,'5_categorisation'!$B$11)</f>
        <v>centre</v>
      </c>
      <c r="D95" s="14">
        <v>7.0</v>
      </c>
      <c r="E95" s="14" t="s">
        <v>25</v>
      </c>
      <c r="F95" s="14" t="str">
        <f>ifs(E95='5_categorisation'!$D$2,'5_categorisation'!$F$2,E95='5_categorisation'!$D$3,'5_categorisation'!$F$3,E95='5_categorisation'!$D$4,'5_categorisation'!$F$4,E95='5_categorisation'!$D$5,'5_categorisation'!$F$5,E95='5_categorisation'!$D$6,'5_categorisation'!$F$6,E95='5_categorisation'!$D$7,'5_categorisation'!$F$7,E95='5_categorisation'!$D$8,'5_categorisation'!$F$8,E95='5_categorisation'!$D$9,'5_categorisation'!$F$9,E95='5_categorisation'!$D$10,'5_categorisation'!$F$10,E95='5_categorisation'!$D$11,'5_categorisation'!$F$11,E95='5_categorisation'!$D$12,'5_categorisation'!$F$12,E95='5_categorisation'!$D$13,'5_categorisation'!$F$13,E95='5_categorisation'!$D$14,'5_categorisation'!$F$14,E95='5_categorisation'!$D$15,'5_categorisation'!$F$15,E95='5_categorisation'!$D$16,'5_categorisation'!$F$16,E95='5_categorisation'!$D$17,'5_categorisation'!$F$17,E95='5_categorisation'!$D$18,'5_categorisation'!$F$18,E95='5_categorisation'!$D$19,'5_categorisation'!$F$19,E95='5_categorisation'!$D$20,'5_categorisation'!$F$20,E95='5_categorisation'!$D$21,'5_categorisation'!$F$21,E95='5_categorisation'!$D$22,'5_categorisation'!$F$22)</f>
        <v>autre</v>
      </c>
      <c r="G95" s="14" t="s">
        <v>367</v>
      </c>
      <c r="H95" s="14" t="s">
        <v>368</v>
      </c>
      <c r="I95" s="14" t="s">
        <v>848</v>
      </c>
      <c r="J95" s="14" t="str">
        <f>IFERROR(__xludf.DUMMYFUNCTION("FILTER(candidats!M:M,candidats!P:P=I95)"),"M")</f>
        <v>M</v>
      </c>
      <c r="K95" s="14">
        <v>9547.0</v>
      </c>
    </row>
    <row r="96">
      <c r="A96" s="13" t="s">
        <v>340</v>
      </c>
      <c r="B96" s="13" t="str">
        <f>IFERROR(__xludf.DUMMYFUNCTION("FILTER('5_categorisation'!C:C,'5_categorisation'!A:A=A96)"),"Île-de-France")</f>
        <v>Île-de-France</v>
      </c>
      <c r="C96" s="13" t="str">
        <f>IFS(A96='5_categorisation'!$A$2,'5_categorisation'!$B$2,A96='5_categorisation'!$A$3,'5_categorisation'!$B$3,A96='5_categorisation'!$A$4,'5_categorisation'!$B$4,A96='5_categorisation'!$A$5,'5_categorisation'!$B$5,A96='5_categorisation'!$A$6,'5_categorisation'!$B$6,A96='5_categorisation'!$A$7,'5_categorisation'!$B$7,A96='5_categorisation'!$A$8,'5_categorisation'!$B$8,A96='5_categorisation'!$A$9,'5_categorisation'!$B$9,A96='5_categorisation'!$A104,'5_categorisation'!$B$10,A96='5_categorisation'!$A$12,'5_categorisation'!$B$12,A96='5_categorisation'!$A$12,'5_categorisation'!$B$12,A96='5_categorisation'!$A$13,'5_categorisation'!$B$13,A96='5_categorisation'!$A$14,'5_categorisation'!$B$14,A96='5_categorisation'!$A$15,'5_categorisation'!$B$15,A96='5_categorisation'!$A$16,'5_categorisation'!$B$16,A96='5_categorisation'!$A$17,'5_categorisation'!$B$17,A96='5_categorisation'!$A$11,'5_categorisation'!$B$11)</f>
        <v>centre</v>
      </c>
      <c r="D96" s="14">
        <v>8.0</v>
      </c>
      <c r="E96" s="14" t="s">
        <v>25</v>
      </c>
      <c r="F96" s="14" t="str">
        <f>ifs(E96='5_categorisation'!$D$2,'5_categorisation'!$F$2,E96='5_categorisation'!$D$3,'5_categorisation'!$F$3,E96='5_categorisation'!$D$4,'5_categorisation'!$F$4,E96='5_categorisation'!$D$5,'5_categorisation'!$F$5,E96='5_categorisation'!$D$6,'5_categorisation'!$F$6,E96='5_categorisation'!$D$7,'5_categorisation'!$F$7,E96='5_categorisation'!$D$8,'5_categorisation'!$F$8,E96='5_categorisation'!$D$9,'5_categorisation'!$F$9,E96='5_categorisation'!$D$10,'5_categorisation'!$F$10,E96='5_categorisation'!$D$11,'5_categorisation'!$F$11,E96='5_categorisation'!$D$12,'5_categorisation'!$F$12,E96='5_categorisation'!$D$13,'5_categorisation'!$F$13,E96='5_categorisation'!$D$14,'5_categorisation'!$F$14,E96='5_categorisation'!$D$15,'5_categorisation'!$F$15,E96='5_categorisation'!$D$16,'5_categorisation'!$F$16,E96='5_categorisation'!$D$17,'5_categorisation'!$F$17,E96='5_categorisation'!$D$18,'5_categorisation'!$F$18,E96='5_categorisation'!$D$19,'5_categorisation'!$F$19,E96='5_categorisation'!$D$20,'5_categorisation'!$F$20,E96='5_categorisation'!$D$21,'5_categorisation'!$F$21,E96='5_categorisation'!$D$22,'5_categorisation'!$F$22)</f>
        <v>autre</v>
      </c>
      <c r="G96" s="14" t="s">
        <v>373</v>
      </c>
      <c r="H96" s="14" t="s">
        <v>374</v>
      </c>
      <c r="I96" s="14" t="s">
        <v>849</v>
      </c>
      <c r="J96" s="14" t="str">
        <f>IFERROR(__xludf.DUMMYFUNCTION("FILTER(candidats!M:M,candidats!P:P=I96)"),"M")</f>
        <v>M</v>
      </c>
      <c r="K96" s="14">
        <v>12528.0</v>
      </c>
    </row>
    <row r="97">
      <c r="A97" s="13" t="s">
        <v>340</v>
      </c>
      <c r="B97" s="13" t="str">
        <f>IFERROR(__xludf.DUMMYFUNCTION("FILTER('5_categorisation'!C:C,'5_categorisation'!A:A=A97)"),"Île-de-France")</f>
        <v>Île-de-France</v>
      </c>
      <c r="C97" s="13" t="str">
        <f>IFS(A97='5_categorisation'!$A$2,'5_categorisation'!$B$2,A97='5_categorisation'!$A$3,'5_categorisation'!$B$3,A97='5_categorisation'!$A$4,'5_categorisation'!$B$4,A97='5_categorisation'!$A$5,'5_categorisation'!$B$5,A97='5_categorisation'!$A$6,'5_categorisation'!$B$6,A97='5_categorisation'!$A$7,'5_categorisation'!$B$7,A97='5_categorisation'!$A$8,'5_categorisation'!$B$8,A97='5_categorisation'!$A$9,'5_categorisation'!$B$9,A97='5_categorisation'!$A105,'5_categorisation'!$B$10,A97='5_categorisation'!$A$12,'5_categorisation'!$B$12,A97='5_categorisation'!$A$12,'5_categorisation'!$B$12,A97='5_categorisation'!$A$13,'5_categorisation'!$B$13,A97='5_categorisation'!$A$14,'5_categorisation'!$B$14,A97='5_categorisation'!$A$15,'5_categorisation'!$B$15,A97='5_categorisation'!$A$16,'5_categorisation'!$B$16,A97='5_categorisation'!$A$17,'5_categorisation'!$B$17,A97='5_categorisation'!$A$11,'5_categorisation'!$B$11)</f>
        <v>centre</v>
      </c>
      <c r="D97" s="14">
        <v>9.0</v>
      </c>
      <c r="E97" s="14" t="s">
        <v>39</v>
      </c>
      <c r="F97" s="14" t="str">
        <f>ifs(E97='5_categorisation'!$D$2,'5_categorisation'!$F$2,E97='5_categorisation'!$D$3,'5_categorisation'!$F$3,E97='5_categorisation'!$D$4,'5_categorisation'!$F$4,E97='5_categorisation'!$D$5,'5_categorisation'!$F$5,E97='5_categorisation'!$D$6,'5_categorisation'!$F$6,E97='5_categorisation'!$D$7,'5_categorisation'!$F$7,E97='5_categorisation'!$D$8,'5_categorisation'!$F$8,E97='5_categorisation'!$D$9,'5_categorisation'!$F$9,E97='5_categorisation'!$D$10,'5_categorisation'!$F$10,E97='5_categorisation'!$D$11,'5_categorisation'!$F$11,E97='5_categorisation'!$D$12,'5_categorisation'!$F$12,E97='5_categorisation'!$D$13,'5_categorisation'!$F$13,E97='5_categorisation'!$D$14,'5_categorisation'!$F$14,E97='5_categorisation'!$D$15,'5_categorisation'!$F$15,E97='5_categorisation'!$D$16,'5_categorisation'!$F$16,E97='5_categorisation'!$D$17,'5_categorisation'!$F$17,E97='5_categorisation'!$D$18,'5_categorisation'!$F$18,E97='5_categorisation'!$D$19,'5_categorisation'!$F$19,E97='5_categorisation'!$D$20,'5_categorisation'!$F$20,E97='5_categorisation'!$D$21,'5_categorisation'!$F$21,E97='5_categorisation'!$D$22,'5_categorisation'!$F$22)</f>
        <v>droite</v>
      </c>
      <c r="G97" s="14" t="s">
        <v>90</v>
      </c>
      <c r="H97" s="14" t="s">
        <v>91</v>
      </c>
      <c r="I97" s="14" t="s">
        <v>850</v>
      </c>
      <c r="J97" s="14" t="str">
        <f>IFERROR(__xludf.DUMMYFUNCTION("FILTER(candidats!M:M,candidats!P:P=I97)"),"M")</f>
        <v>M</v>
      </c>
      <c r="K97" s="14">
        <v>207280.0</v>
      </c>
    </row>
    <row r="98">
      <c r="A98" s="13" t="s">
        <v>340</v>
      </c>
      <c r="B98" s="13" t="str">
        <f>IFERROR(__xludf.DUMMYFUNCTION("FILTER('5_categorisation'!C:C,'5_categorisation'!A:A=A98)"),"Île-de-France")</f>
        <v>Île-de-France</v>
      </c>
      <c r="C98" s="13" t="str">
        <f>IFS(A98='5_categorisation'!$A$2,'5_categorisation'!$B$2,A98='5_categorisation'!$A$3,'5_categorisation'!$B$3,A98='5_categorisation'!$A$4,'5_categorisation'!$B$4,A98='5_categorisation'!$A$5,'5_categorisation'!$B$5,A98='5_categorisation'!$A$6,'5_categorisation'!$B$6,A98='5_categorisation'!$A$7,'5_categorisation'!$B$7,A98='5_categorisation'!$A$8,'5_categorisation'!$B$8,A98='5_categorisation'!$A$9,'5_categorisation'!$B$9,A98='5_categorisation'!$A106,'5_categorisation'!$B$10,A98='5_categorisation'!$A$12,'5_categorisation'!$B$12,A98='5_categorisation'!$A$12,'5_categorisation'!$B$12,A98='5_categorisation'!$A$13,'5_categorisation'!$B$13,A98='5_categorisation'!$A$14,'5_categorisation'!$B$14,A98='5_categorisation'!$A$15,'5_categorisation'!$B$15,A98='5_categorisation'!$A$16,'5_categorisation'!$B$16,A98='5_categorisation'!$A$17,'5_categorisation'!$B$17,A98='5_categorisation'!$A$11,'5_categorisation'!$B$11)</f>
        <v>centre</v>
      </c>
      <c r="D98" s="14">
        <v>10.0</v>
      </c>
      <c r="E98" s="14" t="s">
        <v>37</v>
      </c>
      <c r="F98" s="14" t="str">
        <f>ifs(E98='5_categorisation'!$D$2,'5_categorisation'!$F$2,E98='5_categorisation'!$D$3,'5_categorisation'!$F$3,E98='5_categorisation'!$D$4,'5_categorisation'!$F$4,E98='5_categorisation'!$D$5,'5_categorisation'!$F$5,E98='5_categorisation'!$D$6,'5_categorisation'!$F$6,E98='5_categorisation'!$D$7,'5_categorisation'!$F$7,E98='5_categorisation'!$D$8,'5_categorisation'!$F$8,E98='5_categorisation'!$D$9,'5_categorisation'!$F$9,E98='5_categorisation'!$D$10,'5_categorisation'!$F$10,E98='5_categorisation'!$D$11,'5_categorisation'!$F$11,E98='5_categorisation'!$D$12,'5_categorisation'!$F$12,E98='5_categorisation'!$D$13,'5_categorisation'!$F$13,E98='5_categorisation'!$D$14,'5_categorisation'!$F$14,E98='5_categorisation'!$D$15,'5_categorisation'!$F$15,E98='5_categorisation'!$D$16,'5_categorisation'!$F$16,E98='5_categorisation'!$D$17,'5_categorisation'!$F$17,E98='5_categorisation'!$D$18,'5_categorisation'!$F$18,E98='5_categorisation'!$D$19,'5_categorisation'!$F$19,E98='5_categorisation'!$D$20,'5_categorisation'!$F$20,E98='5_categorisation'!$D$21,'5_categorisation'!$F$21,E98='5_categorisation'!$D$22,'5_categorisation'!$F$22)</f>
        <v>droite</v>
      </c>
      <c r="G98" s="14" t="s">
        <v>380</v>
      </c>
      <c r="H98" s="14" t="s">
        <v>851</v>
      </c>
      <c r="I98" s="14" t="s">
        <v>852</v>
      </c>
      <c r="J98" s="14" t="str">
        <f>IFERROR(__xludf.DUMMYFUNCTION("FILTER(candidats!M:M,candidats!P:P=I98)"),"F")</f>
        <v>F</v>
      </c>
      <c r="K98" s="14">
        <v>962119.0</v>
      </c>
    </row>
    <row r="99">
      <c r="A99" s="13" t="s">
        <v>340</v>
      </c>
      <c r="B99" s="13" t="str">
        <f>IFERROR(__xludf.DUMMYFUNCTION("FILTER('5_categorisation'!C:C,'5_categorisation'!A:A=A99)"),"Île-de-France")</f>
        <v>Île-de-France</v>
      </c>
      <c r="C99" s="13" t="str">
        <f>IFS(A99='5_categorisation'!$A$2,'5_categorisation'!$B$2,A99='5_categorisation'!$A$3,'5_categorisation'!$B$3,A99='5_categorisation'!$A$4,'5_categorisation'!$B$4,A99='5_categorisation'!$A$5,'5_categorisation'!$B$5,A99='5_categorisation'!$A$6,'5_categorisation'!$B$6,A99='5_categorisation'!$A$7,'5_categorisation'!$B$7,A99='5_categorisation'!$A$8,'5_categorisation'!$B$8,A99='5_categorisation'!$A$9,'5_categorisation'!$B$9,A99='5_categorisation'!$A107,'5_categorisation'!$B$10,A99='5_categorisation'!$A$12,'5_categorisation'!$B$12,A99='5_categorisation'!$A$12,'5_categorisation'!$B$12,A99='5_categorisation'!$A$13,'5_categorisation'!$B$13,A99='5_categorisation'!$A$14,'5_categorisation'!$B$14,A99='5_categorisation'!$A$15,'5_categorisation'!$B$15,A99='5_categorisation'!$A$16,'5_categorisation'!$B$16,A99='5_categorisation'!$A$17,'5_categorisation'!$B$17,A99='5_categorisation'!$A$11,'5_categorisation'!$B$11)</f>
        <v>centre</v>
      </c>
      <c r="D99" s="15">
        <v>13.0</v>
      </c>
      <c r="E99" s="15" t="s">
        <v>3</v>
      </c>
      <c r="F99" s="14" t="str">
        <f>ifs(E99='5_categorisation'!$D$2,'5_categorisation'!$F$2,E99='5_categorisation'!$D$3,'5_categorisation'!$F$3,E99='5_categorisation'!$D$4,'5_categorisation'!$F$4,E99='5_categorisation'!$D$5,'5_categorisation'!$F$5,E99='5_categorisation'!$D$6,'5_categorisation'!$F$6,E99='5_categorisation'!$D$7,'5_categorisation'!$F$7,E99='5_categorisation'!$D$8,'5_categorisation'!$F$8,E99='5_categorisation'!$D$9,'5_categorisation'!$F$9,E99='5_categorisation'!$D$10,'5_categorisation'!$F$10,E99='5_categorisation'!$D$11,'5_categorisation'!$F$11,E99='5_categorisation'!$D$12,'5_categorisation'!$F$12,E99='5_categorisation'!$D$13,'5_categorisation'!$F$13,E99='5_categorisation'!$D$14,'5_categorisation'!$F$14,E99='5_categorisation'!$D$15,'5_categorisation'!$F$15,E99='5_categorisation'!$D$16,'5_categorisation'!$F$16,E99='5_categorisation'!$D$17,'5_categorisation'!$F$17,E99='5_categorisation'!$D$18,'5_categorisation'!$F$18,E99='5_categorisation'!$D$19,'5_categorisation'!$F$19,E99='5_categorisation'!$D$20,'5_categorisation'!$F$20,E99='5_categorisation'!$D$21,'5_categorisation'!$F$21,E99='5_categorisation'!$D$22,'5_categorisation'!$F$22)</f>
        <v>gauche</v>
      </c>
      <c r="G99" s="15" t="s">
        <v>389</v>
      </c>
      <c r="H99" s="15" t="s">
        <v>114</v>
      </c>
      <c r="I99" s="15" t="s">
        <v>853</v>
      </c>
      <c r="J99" s="14" t="str">
        <f>IFERROR(__xludf.DUMMYFUNCTION("FILTER(candidats!M:M,candidats!P:P=I99)"),"F")</f>
        <v>F</v>
      </c>
      <c r="K99" s="15">
        <v>44182.0</v>
      </c>
    </row>
    <row r="100">
      <c r="A100" s="13" t="s">
        <v>712</v>
      </c>
      <c r="B100" s="13" t="str">
        <f>IFERROR(__xludf.DUMMYFUNCTION("FILTER('5_categorisation'!C:C,'5_categorisation'!A:A=A100)"),"La Réunion")</f>
        <v>La Réunion</v>
      </c>
      <c r="C100" s="13" t="str">
        <f>IFS(A100='5_categorisation'!$A$2,'5_categorisation'!$B$2,A100='5_categorisation'!$A$3,'5_categorisation'!$B$3,A100='5_categorisation'!$A$4,'5_categorisation'!$B$4,A100='5_categorisation'!$A$5,'5_categorisation'!$B$5,A100='5_categorisation'!$A$6,'5_categorisation'!$B$6,A100='5_categorisation'!$A$7,'5_categorisation'!$B$7,A100='5_categorisation'!$A$8,'5_categorisation'!$B$8,A100='5_categorisation'!$A$9,'5_categorisation'!$B$9,A100='5_categorisation'!$A108,'5_categorisation'!$B$10,A100='5_categorisation'!$A$12,'5_categorisation'!$B$12,A100='5_categorisation'!$A$12,'5_categorisation'!$B$12,A100='5_categorisation'!$A$13,'5_categorisation'!$B$13,A100='5_categorisation'!$A$14,'5_categorisation'!$B$14,A100='5_categorisation'!$A$15,'5_categorisation'!$B$15,A100='5_categorisation'!$A$16,'5_categorisation'!$B$16,A100='5_categorisation'!$A$17,'5_categorisation'!$B$17,A100='5_categorisation'!$A$11,'5_categorisation'!$B$11)</f>
        <v>outre-mer</v>
      </c>
      <c r="D100" s="14">
        <v>1.0</v>
      </c>
      <c r="E100" s="14" t="s">
        <v>19</v>
      </c>
      <c r="F100" s="14" t="str">
        <f>ifs(E100='5_categorisation'!$D$2,'5_categorisation'!$F$2,E100='5_categorisation'!$D$3,'5_categorisation'!$F$3,E100='5_categorisation'!$D$4,'5_categorisation'!$F$4,E100='5_categorisation'!$D$5,'5_categorisation'!$F$5,E100='5_categorisation'!$D$6,'5_categorisation'!$F$6,E100='5_categorisation'!$D$7,'5_categorisation'!$F$7,E100='5_categorisation'!$D$8,'5_categorisation'!$F$8,E100='5_categorisation'!$D$9,'5_categorisation'!$F$9,E100='5_categorisation'!$D$10,'5_categorisation'!$F$10,E100='5_categorisation'!$D$11,'5_categorisation'!$F$11,E100='5_categorisation'!$D$12,'5_categorisation'!$F$12,E100='5_categorisation'!$D$13,'5_categorisation'!$F$13,E100='5_categorisation'!$D$14,'5_categorisation'!$F$14,E100='5_categorisation'!$D$15,'5_categorisation'!$F$15,E100='5_categorisation'!$D$16,'5_categorisation'!$F$16,E100='5_categorisation'!$D$17,'5_categorisation'!$F$17,E100='5_categorisation'!$D$18,'5_categorisation'!$F$18,E100='5_categorisation'!$D$19,'5_categorisation'!$F$19,E100='5_categorisation'!$D$20,'5_categorisation'!$F$20,E100='5_categorisation'!$D$21,'5_categorisation'!$F$21,E100='5_categorisation'!$D$22,'5_categorisation'!$F$22)</f>
        <v>gauche</v>
      </c>
      <c r="G100" s="14" t="s">
        <v>713</v>
      </c>
      <c r="H100" s="14" t="s">
        <v>714</v>
      </c>
      <c r="I100" s="14" t="s">
        <v>854</v>
      </c>
      <c r="J100" s="14" t="str">
        <f>IFERROR(__xludf.DUMMYFUNCTION("FILTER(candidats!M:M,candidats!P:P=I100)"),"M")</f>
        <v>M</v>
      </c>
      <c r="K100" s="14">
        <v>4484.0</v>
      </c>
    </row>
    <row r="101">
      <c r="A101" s="13" t="s">
        <v>712</v>
      </c>
      <c r="B101" s="13" t="str">
        <f>IFERROR(__xludf.DUMMYFUNCTION("FILTER('5_categorisation'!C:C,'5_categorisation'!A:A=A101)"),"La Réunion")</f>
        <v>La Réunion</v>
      </c>
      <c r="C101" s="13" t="str">
        <f>IFS(A101='5_categorisation'!$A$2,'5_categorisation'!$B$2,A101='5_categorisation'!$A$3,'5_categorisation'!$B$3,A101='5_categorisation'!$A$4,'5_categorisation'!$B$4,A101='5_categorisation'!$A$5,'5_categorisation'!$B$5,A101='5_categorisation'!$A$6,'5_categorisation'!$B$6,A101='5_categorisation'!$A$7,'5_categorisation'!$B$7,A101='5_categorisation'!$A$8,'5_categorisation'!$B$8,A101='5_categorisation'!$A$9,'5_categorisation'!$B$9,A101='5_categorisation'!$A109,'5_categorisation'!$B$10,A101='5_categorisation'!$A$12,'5_categorisation'!$B$12,A101='5_categorisation'!$A$12,'5_categorisation'!$B$12,A101='5_categorisation'!$A$13,'5_categorisation'!$B$13,A101='5_categorisation'!$A$14,'5_categorisation'!$B$14,A101='5_categorisation'!$A$15,'5_categorisation'!$B$15,A101='5_categorisation'!$A$16,'5_categorisation'!$B$16,A101='5_categorisation'!$A$17,'5_categorisation'!$B$17,A101='5_categorisation'!$A$11,'5_categorisation'!$B$11)</f>
        <v>outre-mer</v>
      </c>
      <c r="D101" s="14">
        <v>2.0</v>
      </c>
      <c r="E101" s="14" t="s">
        <v>19</v>
      </c>
      <c r="F101" s="14" t="str">
        <f>ifs(E101='5_categorisation'!$D$2,'5_categorisation'!$F$2,E101='5_categorisation'!$D$3,'5_categorisation'!$F$3,E101='5_categorisation'!$D$4,'5_categorisation'!$F$4,E101='5_categorisation'!$D$5,'5_categorisation'!$F$5,E101='5_categorisation'!$D$6,'5_categorisation'!$F$6,E101='5_categorisation'!$D$7,'5_categorisation'!$F$7,E101='5_categorisation'!$D$8,'5_categorisation'!$F$8,E101='5_categorisation'!$D$9,'5_categorisation'!$F$9,E101='5_categorisation'!$D$10,'5_categorisation'!$F$10,E101='5_categorisation'!$D$11,'5_categorisation'!$F$11,E101='5_categorisation'!$D$12,'5_categorisation'!$F$12,E101='5_categorisation'!$D$13,'5_categorisation'!$F$13,E101='5_categorisation'!$D$14,'5_categorisation'!$F$14,E101='5_categorisation'!$D$15,'5_categorisation'!$F$15,E101='5_categorisation'!$D$16,'5_categorisation'!$F$16,E101='5_categorisation'!$D$17,'5_categorisation'!$F$17,E101='5_categorisation'!$D$18,'5_categorisation'!$F$18,E101='5_categorisation'!$D$19,'5_categorisation'!$F$19,E101='5_categorisation'!$D$20,'5_categorisation'!$F$20,E101='5_categorisation'!$D$21,'5_categorisation'!$F$21,E101='5_categorisation'!$D$22,'5_categorisation'!$F$22)</f>
        <v>gauche</v>
      </c>
      <c r="G101" s="14" t="s">
        <v>717</v>
      </c>
      <c r="H101" s="14" t="s">
        <v>718</v>
      </c>
      <c r="I101" s="14" t="s">
        <v>855</v>
      </c>
      <c r="J101" s="14" t="str">
        <f>IFERROR(__xludf.DUMMYFUNCTION("FILTER(candidats!M:M,candidats!P:P=I101)"),"M")</f>
        <v>M</v>
      </c>
      <c r="K101" s="14">
        <v>18919.0</v>
      </c>
    </row>
    <row r="102">
      <c r="A102" s="13" t="s">
        <v>712</v>
      </c>
      <c r="B102" s="13" t="str">
        <f>IFERROR(__xludf.DUMMYFUNCTION("FILTER('5_categorisation'!C:C,'5_categorisation'!A:A=A102)"),"La Réunion")</f>
        <v>La Réunion</v>
      </c>
      <c r="C102" s="13" t="str">
        <f>IFS(A102='5_categorisation'!$A$2,'5_categorisation'!$B$2,A102='5_categorisation'!$A$3,'5_categorisation'!$B$3,A102='5_categorisation'!$A$4,'5_categorisation'!$B$4,A102='5_categorisation'!$A$5,'5_categorisation'!$B$5,A102='5_categorisation'!$A$6,'5_categorisation'!$B$6,A102='5_categorisation'!$A$7,'5_categorisation'!$B$7,A102='5_categorisation'!$A$8,'5_categorisation'!$B$8,A102='5_categorisation'!$A$9,'5_categorisation'!$B$9,A102='5_categorisation'!$A110,'5_categorisation'!$B$10,A102='5_categorisation'!$A$12,'5_categorisation'!$B$12,A102='5_categorisation'!$A$12,'5_categorisation'!$B$12,A102='5_categorisation'!$A$13,'5_categorisation'!$B$13,A102='5_categorisation'!$A$14,'5_categorisation'!$B$14,A102='5_categorisation'!$A$15,'5_categorisation'!$B$15,A102='5_categorisation'!$A$16,'5_categorisation'!$B$16,A102='5_categorisation'!$A$17,'5_categorisation'!$B$17,A102='5_categorisation'!$A$11,'5_categorisation'!$B$11)</f>
        <v>outre-mer</v>
      </c>
      <c r="D102" s="14">
        <v>3.0</v>
      </c>
      <c r="E102" s="14" t="s">
        <v>41</v>
      </c>
      <c r="F102" s="14" t="str">
        <f>ifs(E102='5_categorisation'!$D$2,'5_categorisation'!$F$2,E102='5_categorisation'!$D$3,'5_categorisation'!$F$3,E102='5_categorisation'!$D$4,'5_categorisation'!$F$4,E102='5_categorisation'!$D$5,'5_categorisation'!$F$5,E102='5_categorisation'!$D$6,'5_categorisation'!$F$6,E102='5_categorisation'!$D$7,'5_categorisation'!$F$7,E102='5_categorisation'!$D$8,'5_categorisation'!$F$8,E102='5_categorisation'!$D$9,'5_categorisation'!$F$9,E102='5_categorisation'!$D$10,'5_categorisation'!$F$10,E102='5_categorisation'!$D$11,'5_categorisation'!$F$11,E102='5_categorisation'!$D$12,'5_categorisation'!$F$12,E102='5_categorisation'!$D$13,'5_categorisation'!$F$13,E102='5_categorisation'!$D$14,'5_categorisation'!$F$14,E102='5_categorisation'!$D$15,'5_categorisation'!$F$15,E102='5_categorisation'!$D$16,'5_categorisation'!$F$16,E102='5_categorisation'!$D$17,'5_categorisation'!$F$17,E102='5_categorisation'!$D$18,'5_categorisation'!$F$18,E102='5_categorisation'!$D$19,'5_categorisation'!$F$19,E102='5_categorisation'!$D$20,'5_categorisation'!$F$20,E102='5_categorisation'!$D$21,'5_categorisation'!$F$21,E102='5_categorisation'!$D$22,'5_categorisation'!$F$22)</f>
        <v>droite</v>
      </c>
      <c r="G102" s="14" t="s">
        <v>720</v>
      </c>
      <c r="H102" s="14" t="s">
        <v>721</v>
      </c>
      <c r="I102" s="14" t="s">
        <v>856</v>
      </c>
      <c r="J102" s="14" t="str">
        <f>IFERROR(__xludf.DUMMYFUNCTION("FILTER(candidats!M:M,candidats!P:P=I102)"),"M")</f>
        <v>M</v>
      </c>
      <c r="K102" s="14">
        <v>2704.0</v>
      </c>
    </row>
    <row r="103">
      <c r="A103" s="13" t="s">
        <v>712</v>
      </c>
      <c r="B103" s="13" t="str">
        <f>IFERROR(__xludf.DUMMYFUNCTION("FILTER('5_categorisation'!C:C,'5_categorisation'!A:A=A103)"),"La Réunion")</f>
        <v>La Réunion</v>
      </c>
      <c r="C103" s="13" t="str">
        <f>IFS(A103='5_categorisation'!$A$2,'5_categorisation'!$B$2,A103='5_categorisation'!$A$3,'5_categorisation'!$B$3,A103='5_categorisation'!$A$4,'5_categorisation'!$B$4,A103='5_categorisation'!$A$5,'5_categorisation'!$B$5,A103='5_categorisation'!$A$6,'5_categorisation'!$B$6,A103='5_categorisation'!$A$7,'5_categorisation'!$B$7,A103='5_categorisation'!$A$8,'5_categorisation'!$B$8,A103='5_categorisation'!$A$9,'5_categorisation'!$B$9,A103='5_categorisation'!$A111,'5_categorisation'!$B$10,A103='5_categorisation'!$A$12,'5_categorisation'!$B$12,A103='5_categorisation'!$A$12,'5_categorisation'!$B$12,A103='5_categorisation'!$A$13,'5_categorisation'!$B$13,A103='5_categorisation'!$A$14,'5_categorisation'!$B$14,A103='5_categorisation'!$A$15,'5_categorisation'!$B$15,A103='5_categorisation'!$A$16,'5_categorisation'!$B$16,A103='5_categorisation'!$A$17,'5_categorisation'!$B$17,A103='5_categorisation'!$A$11,'5_categorisation'!$B$11)</f>
        <v>outre-mer</v>
      </c>
      <c r="D103" s="14">
        <v>4.0</v>
      </c>
      <c r="E103" s="14" t="s">
        <v>39</v>
      </c>
      <c r="F103" s="14" t="str">
        <f>ifs(E103='5_categorisation'!$D$2,'5_categorisation'!$F$2,E103='5_categorisation'!$D$3,'5_categorisation'!$F$3,E103='5_categorisation'!$D$4,'5_categorisation'!$F$4,E103='5_categorisation'!$D$5,'5_categorisation'!$F$5,E103='5_categorisation'!$D$6,'5_categorisation'!$F$6,E103='5_categorisation'!$D$7,'5_categorisation'!$F$7,E103='5_categorisation'!$D$8,'5_categorisation'!$F$8,E103='5_categorisation'!$D$9,'5_categorisation'!$F$9,E103='5_categorisation'!$D$10,'5_categorisation'!$F$10,E103='5_categorisation'!$D$11,'5_categorisation'!$F$11,E103='5_categorisation'!$D$12,'5_categorisation'!$F$12,E103='5_categorisation'!$D$13,'5_categorisation'!$F$13,E103='5_categorisation'!$D$14,'5_categorisation'!$F$14,E103='5_categorisation'!$D$15,'5_categorisation'!$F$15,E103='5_categorisation'!$D$16,'5_categorisation'!$F$16,E103='5_categorisation'!$D$17,'5_categorisation'!$F$17,E103='5_categorisation'!$D$18,'5_categorisation'!$F$18,E103='5_categorisation'!$D$19,'5_categorisation'!$F$19,E103='5_categorisation'!$D$20,'5_categorisation'!$F$20,E103='5_categorisation'!$D$21,'5_categorisation'!$F$21,E103='5_categorisation'!$D$22,'5_categorisation'!$F$22)</f>
        <v>droite</v>
      </c>
      <c r="G103" s="14" t="s">
        <v>724</v>
      </c>
      <c r="H103" s="14" t="s">
        <v>725</v>
      </c>
      <c r="I103" s="14" t="s">
        <v>857</v>
      </c>
      <c r="J103" s="14" t="str">
        <f>IFERROR(__xludf.DUMMYFUNCTION("FILTER(candidats!M:M,candidats!P:P=I103)"),"M")</f>
        <v>M</v>
      </c>
      <c r="K103" s="14">
        <v>978.0</v>
      </c>
    </row>
    <row r="104">
      <c r="A104" s="13" t="s">
        <v>712</v>
      </c>
      <c r="B104" s="13" t="str">
        <f>IFERROR(__xludf.DUMMYFUNCTION("FILTER('5_categorisation'!C:C,'5_categorisation'!A:A=A104)"),"La Réunion")</f>
        <v>La Réunion</v>
      </c>
      <c r="C104" s="13" t="str">
        <f>IFS(A104='5_categorisation'!$A$2,'5_categorisation'!$B$2,A104='5_categorisation'!$A$3,'5_categorisation'!$B$3,A104='5_categorisation'!$A$4,'5_categorisation'!$B$4,A104='5_categorisation'!$A$5,'5_categorisation'!$B$5,A104='5_categorisation'!$A$6,'5_categorisation'!$B$6,A104='5_categorisation'!$A$7,'5_categorisation'!$B$7,A104='5_categorisation'!$A$8,'5_categorisation'!$B$8,A104='5_categorisation'!$A$9,'5_categorisation'!$B$9,A104='5_categorisation'!$A112,'5_categorisation'!$B$10,A104='5_categorisation'!$A$12,'5_categorisation'!$B$12,A104='5_categorisation'!$A$12,'5_categorisation'!$B$12,A104='5_categorisation'!$A$13,'5_categorisation'!$B$13,A104='5_categorisation'!$A$14,'5_categorisation'!$B$14,A104='5_categorisation'!$A$15,'5_categorisation'!$B$15,A104='5_categorisation'!$A$16,'5_categorisation'!$B$16,A104='5_categorisation'!$A$17,'5_categorisation'!$B$17,A104='5_categorisation'!$A$11,'5_categorisation'!$B$11)</f>
        <v>outre-mer</v>
      </c>
      <c r="D104" s="14">
        <v>5.0</v>
      </c>
      <c r="E104" s="14" t="s">
        <v>37</v>
      </c>
      <c r="F104" s="14" t="str">
        <f>ifs(E104='5_categorisation'!$D$2,'5_categorisation'!$F$2,E104='5_categorisation'!$D$3,'5_categorisation'!$F$3,E104='5_categorisation'!$D$4,'5_categorisation'!$F$4,E104='5_categorisation'!$D$5,'5_categorisation'!$F$5,E104='5_categorisation'!$D$6,'5_categorisation'!$F$6,E104='5_categorisation'!$D$7,'5_categorisation'!$F$7,E104='5_categorisation'!$D$8,'5_categorisation'!$F$8,E104='5_categorisation'!$D$9,'5_categorisation'!$F$9,E104='5_categorisation'!$D$10,'5_categorisation'!$F$10,E104='5_categorisation'!$D$11,'5_categorisation'!$F$11,E104='5_categorisation'!$D$12,'5_categorisation'!$F$12,E104='5_categorisation'!$D$13,'5_categorisation'!$F$13,E104='5_categorisation'!$D$14,'5_categorisation'!$F$14,E104='5_categorisation'!$D$15,'5_categorisation'!$F$15,E104='5_categorisation'!$D$16,'5_categorisation'!$F$16,E104='5_categorisation'!$D$17,'5_categorisation'!$F$17,E104='5_categorisation'!$D$18,'5_categorisation'!$F$18,E104='5_categorisation'!$D$19,'5_categorisation'!$F$19,E104='5_categorisation'!$D$20,'5_categorisation'!$F$20,E104='5_categorisation'!$D$21,'5_categorisation'!$F$21,E104='5_categorisation'!$D$22,'5_categorisation'!$F$22)</f>
        <v>droite</v>
      </c>
      <c r="G104" s="14" t="s">
        <v>727</v>
      </c>
      <c r="H104" s="14" t="s">
        <v>727</v>
      </c>
      <c r="I104" s="14" t="s">
        <v>858</v>
      </c>
      <c r="J104" s="14" t="str">
        <f>IFERROR(__xludf.DUMMYFUNCTION("FILTER(candidats!M:M,candidats!P:P=I104)"),"M")</f>
        <v>M</v>
      </c>
      <c r="K104" s="14">
        <v>107281.0</v>
      </c>
    </row>
    <row r="105">
      <c r="A105" s="13" t="s">
        <v>712</v>
      </c>
      <c r="B105" s="13" t="str">
        <f>IFERROR(__xludf.DUMMYFUNCTION("FILTER('5_categorisation'!C:C,'5_categorisation'!A:A=A105)"),"La Réunion")</f>
        <v>La Réunion</v>
      </c>
      <c r="C105" s="13" t="str">
        <f>IFS(A105='5_categorisation'!$A$2,'5_categorisation'!$B$2,A105='5_categorisation'!$A$3,'5_categorisation'!$B$3,A105='5_categorisation'!$A$4,'5_categorisation'!$B$4,A105='5_categorisation'!$A$5,'5_categorisation'!$B$5,A105='5_categorisation'!$A$6,'5_categorisation'!$B$6,A105='5_categorisation'!$A$7,'5_categorisation'!$B$7,A105='5_categorisation'!$A$8,'5_categorisation'!$B$8,A105='5_categorisation'!$A$9,'5_categorisation'!$B$9,A105='5_categorisation'!$A113,'5_categorisation'!$B$10,A105='5_categorisation'!$A$12,'5_categorisation'!$B$12,A105='5_categorisation'!$A$12,'5_categorisation'!$B$12,A105='5_categorisation'!$A$13,'5_categorisation'!$B$13,A105='5_categorisation'!$A$14,'5_categorisation'!$B$14,A105='5_categorisation'!$A$15,'5_categorisation'!$B$15,A105='5_categorisation'!$A$16,'5_categorisation'!$B$16,A105='5_categorisation'!$A$17,'5_categorisation'!$B$17,A105='5_categorisation'!$A$11,'5_categorisation'!$B$11)</f>
        <v>outre-mer</v>
      </c>
      <c r="D105" s="15">
        <v>6.0</v>
      </c>
      <c r="E105" s="15" t="s">
        <v>3</v>
      </c>
      <c r="F105" s="14" t="str">
        <f>ifs(E105='5_categorisation'!$D$2,'5_categorisation'!$F$2,E105='5_categorisation'!$D$3,'5_categorisation'!$F$3,E105='5_categorisation'!$D$4,'5_categorisation'!$F$4,E105='5_categorisation'!$D$5,'5_categorisation'!$F$5,E105='5_categorisation'!$D$6,'5_categorisation'!$F$6,E105='5_categorisation'!$D$7,'5_categorisation'!$F$7,E105='5_categorisation'!$D$8,'5_categorisation'!$F$8,E105='5_categorisation'!$D$9,'5_categorisation'!$F$9,E105='5_categorisation'!$D$10,'5_categorisation'!$F$10,E105='5_categorisation'!$D$11,'5_categorisation'!$F$11,E105='5_categorisation'!$D$12,'5_categorisation'!$F$12,E105='5_categorisation'!$D$13,'5_categorisation'!$F$13,E105='5_categorisation'!$D$14,'5_categorisation'!$F$14,E105='5_categorisation'!$D$15,'5_categorisation'!$F$15,E105='5_categorisation'!$D$16,'5_categorisation'!$F$16,E105='5_categorisation'!$D$17,'5_categorisation'!$F$17,E105='5_categorisation'!$D$18,'5_categorisation'!$F$18,E105='5_categorisation'!$D$19,'5_categorisation'!$F$19,E105='5_categorisation'!$D$20,'5_categorisation'!$F$20,E105='5_categorisation'!$D$21,'5_categorisation'!$F$21,E105='5_categorisation'!$D$22,'5_categorisation'!$F$22)</f>
        <v>gauche</v>
      </c>
      <c r="G105" s="15" t="s">
        <v>113</v>
      </c>
      <c r="H105" s="15" t="s">
        <v>174</v>
      </c>
      <c r="I105" s="15" t="s">
        <v>859</v>
      </c>
      <c r="J105" s="14" t="str">
        <f>IFERROR(__xludf.DUMMYFUNCTION("FILTER(candidats!M:M,candidats!P:P=I105)"),"M")</f>
        <v>M</v>
      </c>
      <c r="K105" s="15">
        <v>1263.0</v>
      </c>
    </row>
    <row r="106">
      <c r="A106" s="13" t="s">
        <v>712</v>
      </c>
      <c r="B106" s="13" t="str">
        <f>IFERROR(__xludf.DUMMYFUNCTION("FILTER('5_categorisation'!C:C,'5_categorisation'!A:A=A106)"),"La Réunion")</f>
        <v>La Réunion</v>
      </c>
      <c r="C106" s="13" t="str">
        <f>IFS(A106='5_categorisation'!$A$2,'5_categorisation'!$B$2,A106='5_categorisation'!$A$3,'5_categorisation'!$B$3,A106='5_categorisation'!$A$4,'5_categorisation'!$B$4,A106='5_categorisation'!$A$5,'5_categorisation'!$B$5,A106='5_categorisation'!$A$6,'5_categorisation'!$B$6,A106='5_categorisation'!$A$7,'5_categorisation'!$B$7,A106='5_categorisation'!$A$8,'5_categorisation'!$B$8,A106='5_categorisation'!$A$9,'5_categorisation'!$B$9,A106='5_categorisation'!$A114,'5_categorisation'!$B$10,A106='5_categorisation'!$A$12,'5_categorisation'!$B$12,A106='5_categorisation'!$A$12,'5_categorisation'!$B$12,A106='5_categorisation'!$A$13,'5_categorisation'!$B$13,A106='5_categorisation'!$A$14,'5_categorisation'!$B$14,A106='5_categorisation'!$A$15,'5_categorisation'!$B$15,A106='5_categorisation'!$A$16,'5_categorisation'!$B$16,A106='5_categorisation'!$A$17,'5_categorisation'!$B$17,A106='5_categorisation'!$A$11,'5_categorisation'!$B$11)</f>
        <v>outre-mer</v>
      </c>
      <c r="D106" s="14">
        <v>7.0</v>
      </c>
      <c r="E106" s="14" t="s">
        <v>28</v>
      </c>
      <c r="F106" s="14" t="str">
        <f>ifs(E106='5_categorisation'!$D$2,'5_categorisation'!$F$2,E106='5_categorisation'!$D$3,'5_categorisation'!$F$3,E106='5_categorisation'!$D$4,'5_categorisation'!$F$4,E106='5_categorisation'!$D$5,'5_categorisation'!$F$5,E106='5_categorisation'!$D$6,'5_categorisation'!$F$6,E106='5_categorisation'!$D$7,'5_categorisation'!$F$7,E106='5_categorisation'!$D$8,'5_categorisation'!$F$8,E106='5_categorisation'!$D$9,'5_categorisation'!$F$9,E106='5_categorisation'!$D$10,'5_categorisation'!$F$10,E106='5_categorisation'!$D$11,'5_categorisation'!$F$11,E106='5_categorisation'!$D$12,'5_categorisation'!$F$12,E106='5_categorisation'!$D$13,'5_categorisation'!$F$13,E106='5_categorisation'!$D$14,'5_categorisation'!$F$14,E106='5_categorisation'!$D$15,'5_categorisation'!$F$15,E106='5_categorisation'!$D$16,'5_categorisation'!$F$16,E106='5_categorisation'!$D$17,'5_categorisation'!$F$17,E106='5_categorisation'!$D$18,'5_categorisation'!$F$18,E106='5_categorisation'!$D$19,'5_categorisation'!$F$19,E106='5_categorisation'!$D$20,'5_categorisation'!$F$20,E106='5_categorisation'!$D$21,'5_categorisation'!$F$21,E106='5_categorisation'!$D$22,'5_categorisation'!$F$22)</f>
        <v>autre</v>
      </c>
      <c r="G106" s="14" t="s">
        <v>733</v>
      </c>
      <c r="H106" s="14" t="s">
        <v>733</v>
      </c>
      <c r="I106" s="14" t="s">
        <v>860</v>
      </c>
      <c r="J106" s="14" t="str">
        <f>IFERROR(__xludf.DUMMYFUNCTION("FILTER(candidats!M:M,candidats!P:P=I106)"),"M")</f>
        <v>M</v>
      </c>
      <c r="K106" s="14">
        <v>1382.0</v>
      </c>
    </row>
    <row r="107">
      <c r="A107" s="13" t="s">
        <v>712</v>
      </c>
      <c r="B107" s="13" t="str">
        <f>IFERROR(__xludf.DUMMYFUNCTION("FILTER('5_categorisation'!C:C,'5_categorisation'!A:A=A107)"),"La Réunion")</f>
        <v>La Réunion</v>
      </c>
      <c r="C107" s="13" t="str">
        <f>IFS(A107='5_categorisation'!$A$2,'5_categorisation'!$B$2,A107='5_categorisation'!$A$3,'5_categorisation'!$B$3,A107='5_categorisation'!$A$4,'5_categorisation'!$B$4,A107='5_categorisation'!$A$5,'5_categorisation'!$B$5,A107='5_categorisation'!$A$6,'5_categorisation'!$B$6,A107='5_categorisation'!$A$7,'5_categorisation'!$B$7,A107='5_categorisation'!$A$8,'5_categorisation'!$B$8,A107='5_categorisation'!$A$9,'5_categorisation'!$B$9,A107='5_categorisation'!$A115,'5_categorisation'!$B$10,A107='5_categorisation'!$A$12,'5_categorisation'!$B$12,A107='5_categorisation'!$A$12,'5_categorisation'!$B$12,A107='5_categorisation'!$A$13,'5_categorisation'!$B$13,A107='5_categorisation'!$A$14,'5_categorisation'!$B$14,A107='5_categorisation'!$A$15,'5_categorisation'!$B$15,A107='5_categorisation'!$A$16,'5_categorisation'!$B$16,A107='5_categorisation'!$A$17,'5_categorisation'!$B$17,A107='5_categorisation'!$A$11,'5_categorisation'!$B$11)</f>
        <v>outre-mer</v>
      </c>
      <c r="D107" s="14">
        <v>8.0</v>
      </c>
      <c r="E107" s="14" t="s">
        <v>15</v>
      </c>
      <c r="F107" s="14" t="str">
        <f>ifs(E107='5_categorisation'!$D$2,'5_categorisation'!$F$2,E107='5_categorisation'!$D$3,'5_categorisation'!$F$3,E107='5_categorisation'!$D$4,'5_categorisation'!$F$4,E107='5_categorisation'!$D$5,'5_categorisation'!$F$5,E107='5_categorisation'!$D$6,'5_categorisation'!$F$6,E107='5_categorisation'!$D$7,'5_categorisation'!$F$7,E107='5_categorisation'!$D$8,'5_categorisation'!$F$8,E107='5_categorisation'!$D$9,'5_categorisation'!$F$9,E107='5_categorisation'!$D$10,'5_categorisation'!$F$10,E107='5_categorisation'!$D$11,'5_categorisation'!$F$11,E107='5_categorisation'!$D$12,'5_categorisation'!$F$12,E107='5_categorisation'!$D$13,'5_categorisation'!$F$13,E107='5_categorisation'!$D$14,'5_categorisation'!$F$14,E107='5_categorisation'!$D$15,'5_categorisation'!$F$15,E107='5_categorisation'!$D$16,'5_categorisation'!$F$16,E107='5_categorisation'!$D$17,'5_categorisation'!$F$17,E107='5_categorisation'!$D$18,'5_categorisation'!$F$18,E107='5_categorisation'!$D$19,'5_categorisation'!$F$19,E107='5_categorisation'!$D$20,'5_categorisation'!$F$20,E107='5_categorisation'!$D$21,'5_categorisation'!$F$21,E107='5_categorisation'!$D$22,'5_categorisation'!$F$22)</f>
        <v>gauche</v>
      </c>
      <c r="G107" s="14" t="s">
        <v>736</v>
      </c>
      <c r="H107" s="14" t="s">
        <v>737</v>
      </c>
      <c r="I107" s="14" t="s">
        <v>861</v>
      </c>
      <c r="J107" s="14" t="str">
        <f>IFERROR(__xludf.DUMMYFUNCTION("FILTER(candidats!M:M,candidats!P:P=I107)"),"F")</f>
        <v>F</v>
      </c>
      <c r="K107" s="14">
        <v>63248.0</v>
      </c>
    </row>
    <row r="108">
      <c r="A108" s="15" t="s">
        <v>712</v>
      </c>
      <c r="B108" s="13" t="str">
        <f>IFERROR(__xludf.DUMMYFUNCTION("FILTER('5_categorisation'!C:C,'5_categorisation'!A:A=A108)"),"La Réunion")</f>
        <v>La Réunion</v>
      </c>
      <c r="C108" s="13" t="str">
        <f>IFS(A108='5_categorisation'!$A$2,'5_categorisation'!$B$2,A108='5_categorisation'!$A$3,'5_categorisation'!$B$3,A108='5_categorisation'!$A$4,'5_categorisation'!$B$4,A108='5_categorisation'!$A$5,'5_categorisation'!$B$5,A108='5_categorisation'!$A$6,'5_categorisation'!$B$6,A108='5_categorisation'!$A$7,'5_categorisation'!$B$7,A108='5_categorisation'!$A$8,'5_categorisation'!$B$8,A108='5_categorisation'!$A$9,'5_categorisation'!$B$9,A108='5_categorisation'!$A116,'5_categorisation'!$B$10,A108='5_categorisation'!$A$12,'5_categorisation'!$B$12,A108='5_categorisation'!$A$12,'5_categorisation'!$B$12,A108='5_categorisation'!$A$13,'5_categorisation'!$B$13,A108='5_categorisation'!$A$14,'5_categorisation'!$B$14,A108='5_categorisation'!$A$15,'5_categorisation'!$B$15,A108='5_categorisation'!$A$16,'5_categorisation'!$B$16,A108='5_categorisation'!$A$17,'5_categorisation'!$B$17,A108='5_categorisation'!$A$11,'5_categorisation'!$B$11)</f>
        <v>outre-mer</v>
      </c>
      <c r="D108" s="15">
        <v>9.0</v>
      </c>
      <c r="E108" s="15" t="s">
        <v>25</v>
      </c>
      <c r="F108" s="14" t="str">
        <f>ifs(E108='5_categorisation'!$D$2,'5_categorisation'!$F$2,E108='5_categorisation'!$D$3,'5_categorisation'!$F$3,E108='5_categorisation'!$D$4,'5_categorisation'!$F$4,E108='5_categorisation'!$D$5,'5_categorisation'!$F$5,E108='5_categorisation'!$D$6,'5_categorisation'!$F$6,E108='5_categorisation'!$D$7,'5_categorisation'!$F$7,E108='5_categorisation'!$D$8,'5_categorisation'!$F$8,E108='5_categorisation'!$D$9,'5_categorisation'!$F$9,E108='5_categorisation'!$D$10,'5_categorisation'!$F$10,E108='5_categorisation'!$D$11,'5_categorisation'!$F$11,E108='5_categorisation'!$D$12,'5_categorisation'!$F$12,E108='5_categorisation'!$D$13,'5_categorisation'!$F$13,E108='5_categorisation'!$D$14,'5_categorisation'!$F$14,E108='5_categorisation'!$D$15,'5_categorisation'!$F$15,E108='5_categorisation'!$D$16,'5_categorisation'!$F$16,E108='5_categorisation'!$D$17,'5_categorisation'!$F$17,E108='5_categorisation'!$D$18,'5_categorisation'!$F$18,E108='5_categorisation'!$D$19,'5_categorisation'!$F$19,E108='5_categorisation'!$D$20,'5_categorisation'!$F$20,E108='5_categorisation'!$D$21,'5_categorisation'!$F$21,E108='5_categorisation'!$D$22,'5_categorisation'!$F$22)</f>
        <v>autre</v>
      </c>
      <c r="G108" s="15" t="s">
        <v>740</v>
      </c>
      <c r="H108" s="15" t="s">
        <v>740</v>
      </c>
      <c r="I108" s="15" t="s">
        <v>862</v>
      </c>
      <c r="J108" s="14" t="str">
        <f>IFERROR(__xludf.DUMMYFUNCTION("FILTER(candidats!M:M,candidats!P:P=I108)"),"M")</f>
        <v>M</v>
      </c>
      <c r="K108" s="15">
        <v>3895.0</v>
      </c>
    </row>
    <row r="109">
      <c r="A109" s="13" t="s">
        <v>712</v>
      </c>
      <c r="B109" s="13" t="str">
        <f>IFERROR(__xludf.DUMMYFUNCTION("FILTER('5_categorisation'!C:C,'5_categorisation'!A:A=A109)"),"La Réunion")</f>
        <v>La Réunion</v>
      </c>
      <c r="C109" s="13" t="str">
        <f>IFS(A109='5_categorisation'!$A$2,'5_categorisation'!$B$2,A109='5_categorisation'!$A$3,'5_categorisation'!$B$3,A109='5_categorisation'!$A$4,'5_categorisation'!$B$4,A109='5_categorisation'!$A$5,'5_categorisation'!$B$5,A109='5_categorisation'!$A$6,'5_categorisation'!$B$6,A109='5_categorisation'!$A$7,'5_categorisation'!$B$7,A109='5_categorisation'!$A$8,'5_categorisation'!$B$8,A109='5_categorisation'!$A$9,'5_categorisation'!$B$9,A109='5_categorisation'!$A117,'5_categorisation'!$B$10,A109='5_categorisation'!$A$12,'5_categorisation'!$B$12,A109='5_categorisation'!$A$12,'5_categorisation'!$B$12,A109='5_categorisation'!$A$13,'5_categorisation'!$B$13,A109='5_categorisation'!$A$14,'5_categorisation'!$B$14,A109='5_categorisation'!$A$15,'5_categorisation'!$B$15,A109='5_categorisation'!$A$16,'5_categorisation'!$B$16,A109='5_categorisation'!$A$17,'5_categorisation'!$B$17,A109='5_categorisation'!$A$11,'5_categorisation'!$B$11)</f>
        <v>outre-mer</v>
      </c>
      <c r="D109" s="14">
        <v>11.0</v>
      </c>
      <c r="E109" s="14" t="s">
        <v>31</v>
      </c>
      <c r="F109" s="14" t="str">
        <f>ifs(E109='5_categorisation'!$D$2,'5_categorisation'!$F$2,E109='5_categorisation'!$D$3,'5_categorisation'!$F$3,E109='5_categorisation'!$D$4,'5_categorisation'!$F$4,E109='5_categorisation'!$D$5,'5_categorisation'!$F$5,E109='5_categorisation'!$D$6,'5_categorisation'!$F$6,E109='5_categorisation'!$D$7,'5_categorisation'!$F$7,E109='5_categorisation'!$D$8,'5_categorisation'!$F$8,E109='5_categorisation'!$D$9,'5_categorisation'!$F$9,E109='5_categorisation'!$D$10,'5_categorisation'!$F$10,E109='5_categorisation'!$D$11,'5_categorisation'!$F$11,E109='5_categorisation'!$D$12,'5_categorisation'!$F$12,E109='5_categorisation'!$D$13,'5_categorisation'!$F$13,E109='5_categorisation'!$D$14,'5_categorisation'!$F$14,E109='5_categorisation'!$D$15,'5_categorisation'!$F$15,E109='5_categorisation'!$D$16,'5_categorisation'!$F$16,E109='5_categorisation'!$D$17,'5_categorisation'!$F$17,E109='5_categorisation'!$D$18,'5_categorisation'!$F$18,E109='5_categorisation'!$D$19,'5_categorisation'!$F$19,E109='5_categorisation'!$D$20,'5_categorisation'!$F$20,E109='5_categorisation'!$D$21,'5_categorisation'!$F$21,E109='5_categorisation'!$D$22,'5_categorisation'!$F$22)</f>
        <v>centre</v>
      </c>
      <c r="G109" s="14" t="s">
        <v>745</v>
      </c>
      <c r="H109" s="14" t="s">
        <v>746</v>
      </c>
      <c r="I109" s="14" t="s">
        <v>863</v>
      </c>
      <c r="J109" s="14" t="str">
        <f>IFERROR(__xludf.DUMMYFUNCTION("FILTER(candidats!M:M,candidats!P:P=I109)"),"M")</f>
        <v>M</v>
      </c>
      <c r="K109" s="14">
        <v>54021.0</v>
      </c>
    </row>
    <row r="110">
      <c r="A110" s="13" t="s">
        <v>712</v>
      </c>
      <c r="B110" s="13" t="str">
        <f>IFERROR(__xludf.DUMMYFUNCTION("FILTER('5_categorisation'!C:C,'5_categorisation'!A:A=A110)"),"La Réunion")</f>
        <v>La Réunion</v>
      </c>
      <c r="C110" s="13" t="str">
        <f>IFS(A110='5_categorisation'!$A$2,'5_categorisation'!$B$2,A110='5_categorisation'!$A$3,'5_categorisation'!$B$3,A110='5_categorisation'!$A$4,'5_categorisation'!$B$4,A110='5_categorisation'!$A$5,'5_categorisation'!$B$5,A110='5_categorisation'!$A$6,'5_categorisation'!$B$6,A110='5_categorisation'!$A$7,'5_categorisation'!$B$7,A110='5_categorisation'!$A$8,'5_categorisation'!$B$8,A110='5_categorisation'!$A$9,'5_categorisation'!$B$9,A110='5_categorisation'!$A118,'5_categorisation'!$B$10,A110='5_categorisation'!$A$12,'5_categorisation'!$B$12,A110='5_categorisation'!$A$12,'5_categorisation'!$B$12,A110='5_categorisation'!$A$13,'5_categorisation'!$B$13,A110='5_categorisation'!$A$14,'5_categorisation'!$B$14,A110='5_categorisation'!$A$15,'5_categorisation'!$B$15,A110='5_categorisation'!$A$16,'5_categorisation'!$B$16,A110='5_categorisation'!$A$17,'5_categorisation'!$B$17,A110='5_categorisation'!$A$11,'5_categorisation'!$B$11)</f>
        <v>outre-mer</v>
      </c>
      <c r="D110" s="14">
        <v>12.0</v>
      </c>
      <c r="E110" s="14" t="s">
        <v>25</v>
      </c>
      <c r="F110" s="14" t="str">
        <f>ifs(E110='5_categorisation'!$D$2,'5_categorisation'!$F$2,E110='5_categorisation'!$D$3,'5_categorisation'!$F$3,E110='5_categorisation'!$D$4,'5_categorisation'!$F$4,E110='5_categorisation'!$D$5,'5_categorisation'!$F$5,E110='5_categorisation'!$D$6,'5_categorisation'!$F$6,E110='5_categorisation'!$D$7,'5_categorisation'!$F$7,E110='5_categorisation'!$D$8,'5_categorisation'!$F$8,E110='5_categorisation'!$D$9,'5_categorisation'!$F$9,E110='5_categorisation'!$D$10,'5_categorisation'!$F$10,E110='5_categorisation'!$D$11,'5_categorisation'!$F$11,E110='5_categorisation'!$D$12,'5_categorisation'!$F$12,E110='5_categorisation'!$D$13,'5_categorisation'!$F$13,E110='5_categorisation'!$D$14,'5_categorisation'!$F$14,E110='5_categorisation'!$D$15,'5_categorisation'!$F$15,E110='5_categorisation'!$D$16,'5_categorisation'!$F$16,E110='5_categorisation'!$D$17,'5_categorisation'!$F$17,E110='5_categorisation'!$D$18,'5_categorisation'!$F$18,E110='5_categorisation'!$D$19,'5_categorisation'!$F$19,E110='5_categorisation'!$D$20,'5_categorisation'!$F$20,E110='5_categorisation'!$D$21,'5_categorisation'!$F$21,E110='5_categorisation'!$D$22,'5_categorisation'!$F$22)</f>
        <v>autre</v>
      </c>
      <c r="G110" s="14" t="s">
        <v>747</v>
      </c>
      <c r="H110" s="14" t="s">
        <v>748</v>
      </c>
      <c r="I110" s="14" t="s">
        <v>864</v>
      </c>
      <c r="J110" s="14" t="str">
        <f>IFERROR(__xludf.DUMMYFUNCTION("FILTER(candidats!M:M,candidats!P:P=I110)"),"M")</f>
        <v>M</v>
      </c>
      <c r="K110" s="14">
        <v>1264.0</v>
      </c>
    </row>
    <row r="111">
      <c r="A111" s="13" t="s">
        <v>391</v>
      </c>
      <c r="B111" s="13" t="str">
        <f>IFERROR(__xludf.DUMMYFUNCTION("FILTER('5_categorisation'!C:C,'5_categorisation'!A:A=A111)"),"Occitanie")</f>
        <v>Occitanie</v>
      </c>
      <c r="C111" s="13" t="str">
        <f>IFS(A111='5_categorisation'!$A$2,'5_categorisation'!$B$2,A111='5_categorisation'!$A$3,'5_categorisation'!$B$3,A111='5_categorisation'!$A$4,'5_categorisation'!$B$4,A111='5_categorisation'!$A$5,'5_categorisation'!$B$5,A111='5_categorisation'!$A$6,'5_categorisation'!$B$6,A111='5_categorisation'!$A$7,'5_categorisation'!$B$7,A111='5_categorisation'!$A$8,'5_categorisation'!$B$8,A111='5_categorisation'!$A$9,'5_categorisation'!$B$9,A111='5_categorisation'!$A119,'5_categorisation'!$B$10,A111='5_categorisation'!$A$12,'5_categorisation'!$B$12,A111='5_categorisation'!$A$12,'5_categorisation'!$B$12,A111='5_categorisation'!$A$13,'5_categorisation'!$B$13,A111='5_categorisation'!$A$14,'5_categorisation'!$B$14,A111='5_categorisation'!$A$15,'5_categorisation'!$B$15,A111='5_categorisation'!$A$16,'5_categorisation'!$B$16,A111='5_categorisation'!$A$17,'5_categorisation'!$B$17,A111='5_categorisation'!$A$11,'5_categorisation'!$B$11)</f>
        <v>sud</v>
      </c>
      <c r="D111" s="14">
        <v>2.0</v>
      </c>
      <c r="E111" s="14" t="s">
        <v>37</v>
      </c>
      <c r="F111" s="14" t="str">
        <f>ifs(E111='5_categorisation'!$D$2,'5_categorisation'!$F$2,E111='5_categorisation'!$D$3,'5_categorisation'!$F$3,E111='5_categorisation'!$D$4,'5_categorisation'!$F$4,E111='5_categorisation'!$D$5,'5_categorisation'!$F$5,E111='5_categorisation'!$D$6,'5_categorisation'!$F$6,E111='5_categorisation'!$D$7,'5_categorisation'!$F$7,E111='5_categorisation'!$D$8,'5_categorisation'!$F$8,E111='5_categorisation'!$D$9,'5_categorisation'!$F$9,E111='5_categorisation'!$D$10,'5_categorisation'!$F$10,E111='5_categorisation'!$D$11,'5_categorisation'!$F$11,E111='5_categorisation'!$D$12,'5_categorisation'!$F$12,E111='5_categorisation'!$D$13,'5_categorisation'!$F$13,E111='5_categorisation'!$D$14,'5_categorisation'!$F$14,E111='5_categorisation'!$D$15,'5_categorisation'!$F$15,E111='5_categorisation'!$D$16,'5_categorisation'!$F$16,E111='5_categorisation'!$D$17,'5_categorisation'!$F$17,E111='5_categorisation'!$D$18,'5_categorisation'!$F$18,E111='5_categorisation'!$D$19,'5_categorisation'!$F$19,E111='5_categorisation'!$D$20,'5_categorisation'!$F$20,E111='5_categorisation'!$D$21,'5_categorisation'!$F$21,E111='5_categorisation'!$D$22,'5_categorisation'!$F$22)</f>
        <v>droite</v>
      </c>
      <c r="G111" s="14" t="s">
        <v>393</v>
      </c>
      <c r="H111" s="14" t="s">
        <v>394</v>
      </c>
      <c r="I111" s="14" t="s">
        <v>865</v>
      </c>
      <c r="J111" s="14" t="str">
        <f>IFERROR(__xludf.DUMMYFUNCTION("FILTER(candidats!M:M,candidats!P:P=I111)"),"M")</f>
        <v>M</v>
      </c>
      <c r="K111" s="14">
        <v>386987.0</v>
      </c>
    </row>
    <row r="112">
      <c r="A112" s="13" t="s">
        <v>391</v>
      </c>
      <c r="B112" s="13" t="str">
        <f>IFERROR(__xludf.DUMMYFUNCTION("FILTER('5_categorisation'!C:C,'5_categorisation'!A:A=A112)"),"Occitanie")</f>
        <v>Occitanie</v>
      </c>
      <c r="C112" s="13" t="str">
        <f>IFS(A112='5_categorisation'!$A$2,'5_categorisation'!$B$2,A112='5_categorisation'!$A$3,'5_categorisation'!$B$3,A112='5_categorisation'!$A$4,'5_categorisation'!$B$4,A112='5_categorisation'!$A$5,'5_categorisation'!$B$5,A112='5_categorisation'!$A$6,'5_categorisation'!$B$6,A112='5_categorisation'!$A$7,'5_categorisation'!$B$7,A112='5_categorisation'!$A$8,'5_categorisation'!$B$8,A112='5_categorisation'!$A$9,'5_categorisation'!$B$9,A112='5_categorisation'!$A120,'5_categorisation'!$B$10,A112='5_categorisation'!$A$12,'5_categorisation'!$B$12,A112='5_categorisation'!$A$12,'5_categorisation'!$B$12,A112='5_categorisation'!$A$13,'5_categorisation'!$B$13,A112='5_categorisation'!$A$14,'5_categorisation'!$B$14,A112='5_categorisation'!$A$15,'5_categorisation'!$B$15,A112='5_categorisation'!$A$16,'5_categorisation'!$B$16,A112='5_categorisation'!$A$17,'5_categorisation'!$B$17,A112='5_categorisation'!$A$11,'5_categorisation'!$B$11)</f>
        <v>sud</v>
      </c>
      <c r="D112" s="14">
        <v>3.0</v>
      </c>
      <c r="E112" s="14" t="s">
        <v>15</v>
      </c>
      <c r="F112" s="14" t="str">
        <f>ifs(E112='5_categorisation'!$D$2,'5_categorisation'!$F$2,E112='5_categorisation'!$D$3,'5_categorisation'!$F$3,E112='5_categorisation'!$D$4,'5_categorisation'!$F$4,E112='5_categorisation'!$D$5,'5_categorisation'!$F$5,E112='5_categorisation'!$D$6,'5_categorisation'!$F$6,E112='5_categorisation'!$D$7,'5_categorisation'!$F$7,E112='5_categorisation'!$D$8,'5_categorisation'!$F$8,E112='5_categorisation'!$D$9,'5_categorisation'!$F$9,E112='5_categorisation'!$D$10,'5_categorisation'!$F$10,E112='5_categorisation'!$D$11,'5_categorisation'!$F$11,E112='5_categorisation'!$D$12,'5_categorisation'!$F$12,E112='5_categorisation'!$D$13,'5_categorisation'!$F$13,E112='5_categorisation'!$D$14,'5_categorisation'!$F$14,E112='5_categorisation'!$D$15,'5_categorisation'!$F$15,E112='5_categorisation'!$D$16,'5_categorisation'!$F$16,E112='5_categorisation'!$D$17,'5_categorisation'!$F$17,E112='5_categorisation'!$D$18,'5_categorisation'!$F$18,E112='5_categorisation'!$D$19,'5_categorisation'!$F$19,E112='5_categorisation'!$D$20,'5_categorisation'!$F$20,E112='5_categorisation'!$D$21,'5_categorisation'!$F$21,E112='5_categorisation'!$D$22,'5_categorisation'!$F$22)</f>
        <v>gauche</v>
      </c>
      <c r="G112" s="14" t="s">
        <v>399</v>
      </c>
      <c r="H112" s="14" t="s">
        <v>400</v>
      </c>
      <c r="I112" s="14" t="s">
        <v>866</v>
      </c>
      <c r="J112" s="14" t="str">
        <f>IFERROR(__xludf.DUMMYFUNCTION("FILTER(candidats!M:M,candidats!P:P=I112)"),"F")</f>
        <v>F</v>
      </c>
      <c r="K112" s="14">
        <v>501322.0</v>
      </c>
    </row>
    <row r="113">
      <c r="A113" s="13" t="s">
        <v>391</v>
      </c>
      <c r="B113" s="13" t="str">
        <f>IFERROR(__xludf.DUMMYFUNCTION("FILTER('5_categorisation'!C:C,'5_categorisation'!A:A=A113)"),"Occitanie")</f>
        <v>Occitanie</v>
      </c>
      <c r="C113" s="13" t="str">
        <f>IFS(A113='5_categorisation'!$A$2,'5_categorisation'!$B$2,A113='5_categorisation'!$A$3,'5_categorisation'!$B$3,A113='5_categorisation'!$A$4,'5_categorisation'!$B$4,A113='5_categorisation'!$A$5,'5_categorisation'!$B$5,A113='5_categorisation'!$A$6,'5_categorisation'!$B$6,A113='5_categorisation'!$A$7,'5_categorisation'!$B$7,A113='5_categorisation'!$A$8,'5_categorisation'!$B$8,A113='5_categorisation'!$A$9,'5_categorisation'!$B$9,A113='5_categorisation'!$A121,'5_categorisation'!$B$10,A113='5_categorisation'!$A$12,'5_categorisation'!$B$12,A113='5_categorisation'!$A$12,'5_categorisation'!$B$12,A113='5_categorisation'!$A$13,'5_categorisation'!$B$13,A113='5_categorisation'!$A$14,'5_categorisation'!$B$14,A113='5_categorisation'!$A$15,'5_categorisation'!$B$15,A113='5_categorisation'!$A$16,'5_categorisation'!$B$16,A113='5_categorisation'!$A$17,'5_categorisation'!$B$17,A113='5_categorisation'!$A$11,'5_categorisation'!$B$11)</f>
        <v>sud</v>
      </c>
      <c r="D113" s="14">
        <v>4.0</v>
      </c>
      <c r="E113" s="14" t="s">
        <v>45</v>
      </c>
      <c r="F113" s="14" t="str">
        <f>ifs(E113='5_categorisation'!$D$2,'5_categorisation'!$F$2,E113='5_categorisation'!$D$3,'5_categorisation'!$F$3,E113='5_categorisation'!$D$4,'5_categorisation'!$F$4,E113='5_categorisation'!$D$5,'5_categorisation'!$F$5,E113='5_categorisation'!$D$6,'5_categorisation'!$F$6,E113='5_categorisation'!$D$7,'5_categorisation'!$F$7,E113='5_categorisation'!$D$8,'5_categorisation'!$F$8,E113='5_categorisation'!$D$9,'5_categorisation'!$F$9,E113='5_categorisation'!$D$10,'5_categorisation'!$F$10,E113='5_categorisation'!$D$11,'5_categorisation'!$F$11,E113='5_categorisation'!$D$12,'5_categorisation'!$F$12,E113='5_categorisation'!$D$13,'5_categorisation'!$F$13,E113='5_categorisation'!$D$14,'5_categorisation'!$F$14,E113='5_categorisation'!$D$15,'5_categorisation'!$F$15,E113='5_categorisation'!$D$16,'5_categorisation'!$F$16,E113='5_categorisation'!$D$17,'5_categorisation'!$F$17,E113='5_categorisation'!$D$18,'5_categorisation'!$F$18,E113='5_categorisation'!$D$19,'5_categorisation'!$F$19,E113='5_categorisation'!$D$20,'5_categorisation'!$F$20,E113='5_categorisation'!$D$21,'5_categorisation'!$F$21,E113='5_categorisation'!$D$22,'5_categorisation'!$F$22)</f>
        <v>droite</v>
      </c>
      <c r="G113" s="14" t="s">
        <v>405</v>
      </c>
      <c r="H113" s="14" t="s">
        <v>406</v>
      </c>
      <c r="I113" s="14" t="s">
        <v>867</v>
      </c>
      <c r="J113" s="14" t="str">
        <f>IFERROR(__xludf.DUMMYFUNCTION("FILTER(candidats!M:M,candidats!P:P=I113)"),"M")</f>
        <v>M</v>
      </c>
      <c r="K113" s="14">
        <v>14172.0</v>
      </c>
    </row>
    <row r="114">
      <c r="A114" s="15" t="s">
        <v>391</v>
      </c>
      <c r="B114" s="13" t="str">
        <f>IFERROR(__xludf.DUMMYFUNCTION("FILTER('5_categorisation'!C:C,'5_categorisation'!A:A=A114)"),"Occitanie")</f>
        <v>Occitanie</v>
      </c>
      <c r="C114" s="13" t="str">
        <f>IFS(A114='5_categorisation'!$A$2,'5_categorisation'!$B$2,A114='5_categorisation'!$A$3,'5_categorisation'!$B$3,A114='5_categorisation'!$A$4,'5_categorisation'!$B$4,A114='5_categorisation'!$A$5,'5_categorisation'!$B$5,A114='5_categorisation'!$A$6,'5_categorisation'!$B$6,A114='5_categorisation'!$A$7,'5_categorisation'!$B$7,A114='5_categorisation'!$A$8,'5_categorisation'!$B$8,A114='5_categorisation'!$A$9,'5_categorisation'!$B$9,A114='5_categorisation'!$A122,'5_categorisation'!$B$10,A114='5_categorisation'!$A$12,'5_categorisation'!$B$12,A114='5_categorisation'!$A$12,'5_categorisation'!$B$12,A114='5_categorisation'!$A$13,'5_categorisation'!$B$13,A114='5_categorisation'!$A$14,'5_categorisation'!$B$14,A114='5_categorisation'!$A$15,'5_categorisation'!$B$15,A114='5_categorisation'!$A$16,'5_categorisation'!$B$16,A114='5_categorisation'!$A$17,'5_categorisation'!$B$17,A114='5_categorisation'!$A$11,'5_categorisation'!$B$11)</f>
        <v>sud</v>
      </c>
      <c r="D114" s="15">
        <v>5.0</v>
      </c>
      <c r="E114" s="15" t="s">
        <v>23</v>
      </c>
      <c r="F114" s="14" t="str">
        <f>ifs(E114='5_categorisation'!$D$2,'5_categorisation'!$F$2,E114='5_categorisation'!$D$3,'5_categorisation'!$F$3,E114='5_categorisation'!$D$4,'5_categorisation'!$F$4,E114='5_categorisation'!$D$5,'5_categorisation'!$F$5,E114='5_categorisation'!$D$6,'5_categorisation'!$F$6,E114='5_categorisation'!$D$7,'5_categorisation'!$F$7,E114='5_categorisation'!$D$8,'5_categorisation'!$F$8,E114='5_categorisation'!$D$9,'5_categorisation'!$F$9,E114='5_categorisation'!$D$10,'5_categorisation'!$F$10,E114='5_categorisation'!$D$11,'5_categorisation'!$F$11,E114='5_categorisation'!$D$12,'5_categorisation'!$F$12,E114='5_categorisation'!$D$13,'5_categorisation'!$F$13,E114='5_categorisation'!$D$14,'5_categorisation'!$F$14,E114='5_categorisation'!$D$15,'5_categorisation'!$F$15,E114='5_categorisation'!$D$16,'5_categorisation'!$F$16,E114='5_categorisation'!$D$17,'5_categorisation'!$F$17,E114='5_categorisation'!$D$18,'5_categorisation'!$F$18,E114='5_categorisation'!$D$19,'5_categorisation'!$F$19,E114='5_categorisation'!$D$20,'5_categorisation'!$F$20,E114='5_categorisation'!$D$21,'5_categorisation'!$F$21,E114='5_categorisation'!$D$22,'5_categorisation'!$F$22)</f>
        <v>gauche</v>
      </c>
      <c r="G114" s="15" t="s">
        <v>410</v>
      </c>
      <c r="H114" s="15" t="s">
        <v>411</v>
      </c>
      <c r="I114" s="15" t="s">
        <v>868</v>
      </c>
      <c r="J114" s="14" t="str">
        <f>IFERROR(__xludf.DUMMYFUNCTION("FILTER(candidats!M:M,candidats!P:P=I114)"),"M")</f>
        <v>M</v>
      </c>
      <c r="K114" s="15">
        <v>34936.0</v>
      </c>
    </row>
    <row r="115">
      <c r="A115" s="13" t="s">
        <v>391</v>
      </c>
      <c r="B115" s="13" t="str">
        <f>IFERROR(__xludf.DUMMYFUNCTION("FILTER('5_categorisation'!C:C,'5_categorisation'!A:A=A115)"),"Occitanie")</f>
        <v>Occitanie</v>
      </c>
      <c r="C115" s="13" t="str">
        <f>IFS(A115='5_categorisation'!$A$2,'5_categorisation'!$B$2,A115='5_categorisation'!$A$3,'5_categorisation'!$B$3,A115='5_categorisation'!$A$4,'5_categorisation'!$B$4,A115='5_categorisation'!$A$5,'5_categorisation'!$B$5,A115='5_categorisation'!$A$6,'5_categorisation'!$B$6,A115='5_categorisation'!$A$7,'5_categorisation'!$B$7,A115='5_categorisation'!$A$8,'5_categorisation'!$B$8,A115='5_categorisation'!$A$9,'5_categorisation'!$B$9,A115='5_categorisation'!$A123,'5_categorisation'!$B$10,A115='5_categorisation'!$A$12,'5_categorisation'!$B$12,A115='5_categorisation'!$A$12,'5_categorisation'!$B$12,A115='5_categorisation'!$A$13,'5_categorisation'!$B$13,A115='5_categorisation'!$A$14,'5_categorisation'!$B$14,A115='5_categorisation'!$A$15,'5_categorisation'!$B$15,A115='5_categorisation'!$A$16,'5_categorisation'!$B$16,A115='5_categorisation'!$A$17,'5_categorisation'!$B$17,A115='5_categorisation'!$A$11,'5_categorisation'!$B$11)</f>
        <v>sud</v>
      </c>
      <c r="D115" s="14">
        <v>6.0</v>
      </c>
      <c r="E115" s="14" t="s">
        <v>19</v>
      </c>
      <c r="F115" s="14" t="str">
        <f>ifs(E115='5_categorisation'!$D$2,'5_categorisation'!$F$2,E115='5_categorisation'!$D$3,'5_categorisation'!$F$3,E115='5_categorisation'!$D$4,'5_categorisation'!$F$4,E115='5_categorisation'!$D$5,'5_categorisation'!$F$5,E115='5_categorisation'!$D$6,'5_categorisation'!$F$6,E115='5_categorisation'!$D$7,'5_categorisation'!$F$7,E115='5_categorisation'!$D$8,'5_categorisation'!$F$8,E115='5_categorisation'!$D$9,'5_categorisation'!$F$9,E115='5_categorisation'!$D$10,'5_categorisation'!$F$10,E115='5_categorisation'!$D$11,'5_categorisation'!$F$11,E115='5_categorisation'!$D$12,'5_categorisation'!$F$12,E115='5_categorisation'!$D$13,'5_categorisation'!$F$13,E115='5_categorisation'!$D$14,'5_categorisation'!$F$14,E115='5_categorisation'!$D$15,'5_categorisation'!$F$15,E115='5_categorisation'!$D$16,'5_categorisation'!$F$16,E115='5_categorisation'!$D$17,'5_categorisation'!$F$17,E115='5_categorisation'!$D$18,'5_categorisation'!$F$18,E115='5_categorisation'!$D$19,'5_categorisation'!$F$19,E115='5_categorisation'!$D$20,'5_categorisation'!$F$20,E115='5_categorisation'!$D$21,'5_categorisation'!$F$21,E115='5_categorisation'!$D$22,'5_categorisation'!$F$22)</f>
        <v>gauche</v>
      </c>
      <c r="G115" s="14" t="s">
        <v>130</v>
      </c>
      <c r="H115" s="14" t="s">
        <v>413</v>
      </c>
      <c r="I115" s="14" t="s">
        <v>869</v>
      </c>
      <c r="J115" s="14" t="str">
        <f>IFERROR(__xludf.DUMMYFUNCTION("FILTER(candidats!M:M,candidats!P:P=I115)"),"M")</f>
        <v>M</v>
      </c>
      <c r="K115" s="14">
        <v>17093.0</v>
      </c>
    </row>
    <row r="116">
      <c r="A116" s="13" t="s">
        <v>391</v>
      </c>
      <c r="B116" s="13" t="str">
        <f>IFERROR(__xludf.DUMMYFUNCTION("FILTER('5_categorisation'!C:C,'5_categorisation'!A:A=A116)"),"Occitanie")</f>
        <v>Occitanie</v>
      </c>
      <c r="C116" s="13" t="str">
        <f>IFS(A116='5_categorisation'!$A$2,'5_categorisation'!$B$2,A116='5_categorisation'!$A$3,'5_categorisation'!$B$3,A116='5_categorisation'!$A$4,'5_categorisation'!$B$4,A116='5_categorisation'!$A$5,'5_categorisation'!$B$5,A116='5_categorisation'!$A$6,'5_categorisation'!$B$6,A116='5_categorisation'!$A$7,'5_categorisation'!$B$7,A116='5_categorisation'!$A$8,'5_categorisation'!$B$8,A116='5_categorisation'!$A$9,'5_categorisation'!$B$9,A116='5_categorisation'!$A124,'5_categorisation'!$B$10,A116='5_categorisation'!$A$12,'5_categorisation'!$B$12,A116='5_categorisation'!$A$12,'5_categorisation'!$B$12,A116='5_categorisation'!$A$13,'5_categorisation'!$B$13,A116='5_categorisation'!$A$14,'5_categorisation'!$B$14,A116='5_categorisation'!$A$15,'5_categorisation'!$B$15,A116='5_categorisation'!$A$16,'5_categorisation'!$B$16,A116='5_categorisation'!$A$17,'5_categorisation'!$B$17,A116='5_categorisation'!$A$11,'5_categorisation'!$B$11)</f>
        <v>sud</v>
      </c>
      <c r="D116" s="14">
        <v>7.0</v>
      </c>
      <c r="E116" s="14" t="s">
        <v>25</v>
      </c>
      <c r="F116" s="14" t="str">
        <f>ifs(E116='5_categorisation'!$D$2,'5_categorisation'!$F$2,E116='5_categorisation'!$D$3,'5_categorisation'!$F$3,E116='5_categorisation'!$D$4,'5_categorisation'!$F$4,E116='5_categorisation'!$D$5,'5_categorisation'!$F$5,E116='5_categorisation'!$D$6,'5_categorisation'!$F$6,E116='5_categorisation'!$D$7,'5_categorisation'!$F$7,E116='5_categorisation'!$D$8,'5_categorisation'!$F$8,E116='5_categorisation'!$D$9,'5_categorisation'!$F$9,E116='5_categorisation'!$D$10,'5_categorisation'!$F$10,E116='5_categorisation'!$D$11,'5_categorisation'!$F$11,E116='5_categorisation'!$D$12,'5_categorisation'!$F$12,E116='5_categorisation'!$D$13,'5_categorisation'!$F$13,E116='5_categorisation'!$D$14,'5_categorisation'!$F$14,E116='5_categorisation'!$D$15,'5_categorisation'!$F$15,E116='5_categorisation'!$D$16,'5_categorisation'!$F$16,E116='5_categorisation'!$D$17,'5_categorisation'!$F$17,E116='5_categorisation'!$D$18,'5_categorisation'!$F$18,E116='5_categorisation'!$D$19,'5_categorisation'!$F$19,E116='5_categorisation'!$D$20,'5_categorisation'!$F$20,E116='5_categorisation'!$D$21,'5_categorisation'!$F$21,E116='5_categorisation'!$D$22,'5_categorisation'!$F$22)</f>
        <v>autre</v>
      </c>
      <c r="G116" s="14" t="s">
        <v>415</v>
      </c>
      <c r="H116" s="14" t="s">
        <v>180</v>
      </c>
      <c r="I116" s="14" t="s">
        <v>870</v>
      </c>
      <c r="J116" s="14" t="str">
        <f>IFERROR(__xludf.DUMMYFUNCTION("FILTER(candidats!M:M,candidats!P:P=I116)"),"M")</f>
        <v>M</v>
      </c>
      <c r="K116" s="14">
        <v>14601.0</v>
      </c>
    </row>
    <row r="117">
      <c r="A117" s="13" t="s">
        <v>391</v>
      </c>
      <c r="B117" s="13" t="str">
        <f>IFERROR(__xludf.DUMMYFUNCTION("FILTER('5_categorisation'!C:C,'5_categorisation'!A:A=A117)"),"Occitanie")</f>
        <v>Occitanie</v>
      </c>
      <c r="C117" s="13" t="str">
        <f>IFS(A117='5_categorisation'!$A$2,'5_categorisation'!$B$2,A117='5_categorisation'!$A$3,'5_categorisation'!$B$3,A117='5_categorisation'!$A$4,'5_categorisation'!$B$4,A117='5_categorisation'!$A$5,'5_categorisation'!$B$5,A117='5_categorisation'!$A$6,'5_categorisation'!$B$6,A117='5_categorisation'!$A$7,'5_categorisation'!$B$7,A117='5_categorisation'!$A$8,'5_categorisation'!$B$8,A117='5_categorisation'!$A$9,'5_categorisation'!$B$9,A117='5_categorisation'!$A125,'5_categorisation'!$B$10,A117='5_categorisation'!$A$12,'5_categorisation'!$B$12,A117='5_categorisation'!$A$12,'5_categorisation'!$B$12,A117='5_categorisation'!$A$13,'5_categorisation'!$B$13,A117='5_categorisation'!$A$14,'5_categorisation'!$B$14,A117='5_categorisation'!$A$15,'5_categorisation'!$B$15,A117='5_categorisation'!$A$16,'5_categorisation'!$B$16,A117='5_categorisation'!$A$17,'5_categorisation'!$B$17,A117='5_categorisation'!$A$11,'5_categorisation'!$B$11)</f>
        <v>sud</v>
      </c>
      <c r="D117" s="14">
        <v>8.0</v>
      </c>
      <c r="E117" s="14" t="s">
        <v>19</v>
      </c>
      <c r="F117" s="14" t="str">
        <f>ifs(E117='5_categorisation'!$D$2,'5_categorisation'!$F$2,E117='5_categorisation'!$D$3,'5_categorisation'!$F$3,E117='5_categorisation'!$D$4,'5_categorisation'!$F$4,E117='5_categorisation'!$D$5,'5_categorisation'!$F$5,E117='5_categorisation'!$D$6,'5_categorisation'!$F$6,E117='5_categorisation'!$D$7,'5_categorisation'!$F$7,E117='5_categorisation'!$D$8,'5_categorisation'!$F$8,E117='5_categorisation'!$D$9,'5_categorisation'!$F$9,E117='5_categorisation'!$D$10,'5_categorisation'!$F$10,E117='5_categorisation'!$D$11,'5_categorisation'!$F$11,E117='5_categorisation'!$D$12,'5_categorisation'!$F$12,E117='5_categorisation'!$D$13,'5_categorisation'!$F$13,E117='5_categorisation'!$D$14,'5_categorisation'!$F$14,E117='5_categorisation'!$D$15,'5_categorisation'!$F$15,E117='5_categorisation'!$D$16,'5_categorisation'!$F$16,E117='5_categorisation'!$D$17,'5_categorisation'!$F$17,E117='5_categorisation'!$D$18,'5_categorisation'!$F$18,E117='5_categorisation'!$D$19,'5_categorisation'!$F$19,E117='5_categorisation'!$D$20,'5_categorisation'!$F$20,E117='5_categorisation'!$D$21,'5_categorisation'!$F$21,E117='5_categorisation'!$D$22,'5_categorisation'!$F$22)</f>
        <v>gauche</v>
      </c>
      <c r="G117" s="14" t="s">
        <v>418</v>
      </c>
      <c r="H117" s="14" t="s">
        <v>418</v>
      </c>
      <c r="I117" s="14" t="s">
        <v>871</v>
      </c>
      <c r="J117" s="14" t="str">
        <f>IFERROR(__xludf.DUMMYFUNCTION("FILTER(candidats!M:M,candidats!P:P=I117)"),"M")</f>
        <v>M</v>
      </c>
      <c r="K117" s="14">
        <v>102728.0</v>
      </c>
    </row>
    <row r="118">
      <c r="A118" s="13" t="s">
        <v>391</v>
      </c>
      <c r="B118" s="13" t="str">
        <f>IFERROR(__xludf.DUMMYFUNCTION("FILTER('5_categorisation'!C:C,'5_categorisation'!A:A=A118)"),"Occitanie")</f>
        <v>Occitanie</v>
      </c>
      <c r="C118" s="13" t="str">
        <f>IFS(A118='5_categorisation'!$A$2,'5_categorisation'!$B$2,A118='5_categorisation'!$A$3,'5_categorisation'!$B$3,A118='5_categorisation'!$A$4,'5_categorisation'!$B$4,A118='5_categorisation'!$A$5,'5_categorisation'!$B$5,A118='5_categorisation'!$A$6,'5_categorisation'!$B$6,A118='5_categorisation'!$A$7,'5_categorisation'!$B$7,A118='5_categorisation'!$A$8,'5_categorisation'!$B$8,A118='5_categorisation'!$A$9,'5_categorisation'!$B$9,A118='5_categorisation'!$A126,'5_categorisation'!$B$10,A118='5_categorisation'!$A$12,'5_categorisation'!$B$12,A118='5_categorisation'!$A$12,'5_categorisation'!$B$12,A118='5_categorisation'!$A$13,'5_categorisation'!$B$13,A118='5_categorisation'!$A$14,'5_categorisation'!$B$14,A118='5_categorisation'!$A$15,'5_categorisation'!$B$15,A118='5_categorisation'!$A$16,'5_categorisation'!$B$16,A118='5_categorisation'!$A$17,'5_categorisation'!$B$17,A118='5_categorisation'!$A$11,'5_categorisation'!$B$11)</f>
        <v>sud</v>
      </c>
      <c r="D118" s="14">
        <v>9.0</v>
      </c>
      <c r="E118" s="14" t="s">
        <v>43</v>
      </c>
      <c r="F118" s="14" t="str">
        <f>ifs(E118='5_categorisation'!$D$2,'5_categorisation'!$F$2,E118='5_categorisation'!$D$3,'5_categorisation'!$F$3,E118='5_categorisation'!$D$4,'5_categorisation'!$F$4,E118='5_categorisation'!$D$5,'5_categorisation'!$F$5,E118='5_categorisation'!$D$6,'5_categorisation'!$F$6,E118='5_categorisation'!$D$7,'5_categorisation'!$F$7,E118='5_categorisation'!$D$8,'5_categorisation'!$F$8,E118='5_categorisation'!$D$9,'5_categorisation'!$F$9,E118='5_categorisation'!$D$10,'5_categorisation'!$F$10,E118='5_categorisation'!$D$11,'5_categorisation'!$F$11,E118='5_categorisation'!$D$12,'5_categorisation'!$F$12,E118='5_categorisation'!$D$13,'5_categorisation'!$F$13,E118='5_categorisation'!$D$14,'5_categorisation'!$F$14,E118='5_categorisation'!$D$15,'5_categorisation'!$F$15,E118='5_categorisation'!$D$16,'5_categorisation'!$F$16,E118='5_categorisation'!$D$17,'5_categorisation'!$F$17,E118='5_categorisation'!$D$18,'5_categorisation'!$F$18,E118='5_categorisation'!$D$19,'5_categorisation'!$F$19,E118='5_categorisation'!$D$20,'5_categorisation'!$F$20,E118='5_categorisation'!$D$21,'5_categorisation'!$F$21,E118='5_categorisation'!$D$22,'5_categorisation'!$F$22)</f>
        <v>droite</v>
      </c>
      <c r="G118" s="14" t="s">
        <v>101</v>
      </c>
      <c r="H118" s="14" t="s">
        <v>102</v>
      </c>
      <c r="I118" s="14" t="s">
        <v>872</v>
      </c>
      <c r="J118" s="14" t="str">
        <f>IFERROR(__xludf.DUMMYFUNCTION("FILTER(candidats!M:M,candidats!P:P=I118)"),"M")</f>
        <v>M</v>
      </c>
      <c r="K118" s="14">
        <v>653573.0</v>
      </c>
    </row>
    <row r="119">
      <c r="A119" s="13" t="s">
        <v>391</v>
      </c>
      <c r="B119" s="13" t="str">
        <f>IFERROR(__xludf.DUMMYFUNCTION("FILTER('5_categorisation'!C:C,'5_categorisation'!A:A=A119)"),"Occitanie")</f>
        <v>Occitanie</v>
      </c>
      <c r="C119" s="13" t="str">
        <f>IFS(A119='5_categorisation'!$A$2,'5_categorisation'!$B$2,A119='5_categorisation'!$A$3,'5_categorisation'!$B$3,A119='5_categorisation'!$A$4,'5_categorisation'!$B$4,A119='5_categorisation'!$A$5,'5_categorisation'!$B$5,A119='5_categorisation'!$A$6,'5_categorisation'!$B$6,A119='5_categorisation'!$A$7,'5_categorisation'!$B$7,A119='5_categorisation'!$A$8,'5_categorisation'!$B$8,A119='5_categorisation'!$A$9,'5_categorisation'!$B$9,A119='5_categorisation'!$A127,'5_categorisation'!$B$10,A119='5_categorisation'!$A$12,'5_categorisation'!$B$12,A119='5_categorisation'!$A$12,'5_categorisation'!$B$12,A119='5_categorisation'!$A$13,'5_categorisation'!$B$13,A119='5_categorisation'!$A$14,'5_categorisation'!$B$14,A119='5_categorisation'!$A$15,'5_categorisation'!$B$15,A119='5_categorisation'!$A$16,'5_categorisation'!$B$16,A119='5_categorisation'!$A$17,'5_categorisation'!$B$17,A119='5_categorisation'!$A$11,'5_categorisation'!$B$11)</f>
        <v>sud</v>
      </c>
      <c r="D119" s="14">
        <v>10.0</v>
      </c>
      <c r="E119" s="14" t="s">
        <v>11</v>
      </c>
      <c r="F119" s="14" t="str">
        <f>ifs(E119='5_categorisation'!$D$2,'5_categorisation'!$F$2,E119='5_categorisation'!$D$3,'5_categorisation'!$F$3,E119='5_categorisation'!$D$4,'5_categorisation'!$F$4,E119='5_categorisation'!$D$5,'5_categorisation'!$F$5,E119='5_categorisation'!$D$6,'5_categorisation'!$F$6,E119='5_categorisation'!$D$7,'5_categorisation'!$F$7,E119='5_categorisation'!$D$8,'5_categorisation'!$F$8,E119='5_categorisation'!$D$9,'5_categorisation'!$F$9,E119='5_categorisation'!$D$10,'5_categorisation'!$F$10,E119='5_categorisation'!$D$11,'5_categorisation'!$F$11,E119='5_categorisation'!$D$12,'5_categorisation'!$F$12,E119='5_categorisation'!$D$13,'5_categorisation'!$F$13,E119='5_categorisation'!$D$14,'5_categorisation'!$F$14,E119='5_categorisation'!$D$15,'5_categorisation'!$F$15,E119='5_categorisation'!$D$16,'5_categorisation'!$F$16,E119='5_categorisation'!$D$17,'5_categorisation'!$F$17,E119='5_categorisation'!$D$18,'5_categorisation'!$F$18,E119='5_categorisation'!$D$19,'5_categorisation'!$F$19,E119='5_categorisation'!$D$20,'5_categorisation'!$F$20,E119='5_categorisation'!$D$21,'5_categorisation'!$F$21,E119='5_categorisation'!$D$22,'5_categorisation'!$F$22)</f>
        <v>gauche</v>
      </c>
      <c r="G119" s="14" t="s">
        <v>425</v>
      </c>
      <c r="H119" s="14" t="s">
        <v>426</v>
      </c>
      <c r="I119" s="14" t="s">
        <v>873</v>
      </c>
      <c r="J119" s="14" t="str">
        <f>IFERROR(__xludf.DUMMYFUNCTION("FILTER(candidats!M:M,candidats!P:P=I119)"),"M")</f>
        <v>M</v>
      </c>
      <c r="K119" s="14">
        <v>210602.0</v>
      </c>
    </row>
    <row r="120">
      <c r="A120" s="13" t="s">
        <v>391</v>
      </c>
      <c r="B120" s="13" t="str">
        <f>IFERROR(__xludf.DUMMYFUNCTION("FILTER('5_categorisation'!C:C,'5_categorisation'!A:A=A120)"),"Occitanie")</f>
        <v>Occitanie</v>
      </c>
      <c r="C120" s="13" t="str">
        <f>IFS(A120='5_categorisation'!$A$2,'5_categorisation'!$B$2,A120='5_categorisation'!$A$3,'5_categorisation'!$B$3,A120='5_categorisation'!$A$4,'5_categorisation'!$B$4,A120='5_categorisation'!$A$5,'5_categorisation'!$B$5,A120='5_categorisation'!$A$6,'5_categorisation'!$B$6,A120='5_categorisation'!$A$7,'5_categorisation'!$B$7,A120='5_categorisation'!$A$8,'5_categorisation'!$B$8,A120='5_categorisation'!$A$9,'5_categorisation'!$B$9,A120='5_categorisation'!$A128,'5_categorisation'!$B$10,A120='5_categorisation'!$A$12,'5_categorisation'!$B$12,A120='5_categorisation'!$A$12,'5_categorisation'!$B$12,A120='5_categorisation'!$A$13,'5_categorisation'!$B$13,A120='5_categorisation'!$A$14,'5_categorisation'!$B$14,A120='5_categorisation'!$A$15,'5_categorisation'!$B$15,A120='5_categorisation'!$A$16,'5_categorisation'!$B$16,A120='5_categorisation'!$A$17,'5_categorisation'!$B$17,A120='5_categorisation'!$A$11,'5_categorisation'!$B$11)</f>
        <v>sud</v>
      </c>
      <c r="D120" s="14">
        <v>11.0</v>
      </c>
      <c r="E120" s="14" t="s">
        <v>39</v>
      </c>
      <c r="F120" s="14" t="str">
        <f>ifs(E120='5_categorisation'!$D$2,'5_categorisation'!$F$2,E120='5_categorisation'!$D$3,'5_categorisation'!$F$3,E120='5_categorisation'!$D$4,'5_categorisation'!$F$4,E120='5_categorisation'!$D$5,'5_categorisation'!$F$5,E120='5_categorisation'!$D$6,'5_categorisation'!$F$6,E120='5_categorisation'!$D$7,'5_categorisation'!$F$7,E120='5_categorisation'!$D$8,'5_categorisation'!$F$8,E120='5_categorisation'!$D$9,'5_categorisation'!$F$9,E120='5_categorisation'!$D$10,'5_categorisation'!$F$10,E120='5_categorisation'!$D$11,'5_categorisation'!$F$11,E120='5_categorisation'!$D$12,'5_categorisation'!$F$12,E120='5_categorisation'!$D$13,'5_categorisation'!$F$13,E120='5_categorisation'!$D$14,'5_categorisation'!$F$14,E120='5_categorisation'!$D$15,'5_categorisation'!$F$15,E120='5_categorisation'!$D$16,'5_categorisation'!$F$16,E120='5_categorisation'!$D$17,'5_categorisation'!$F$17,E120='5_categorisation'!$D$18,'5_categorisation'!$F$18,E120='5_categorisation'!$D$19,'5_categorisation'!$F$19,E120='5_categorisation'!$D$20,'5_categorisation'!$F$20,E120='5_categorisation'!$D$21,'5_categorisation'!$F$21,E120='5_categorisation'!$D$22,'5_categorisation'!$F$22)</f>
        <v>droite</v>
      </c>
      <c r="G120" s="14" t="s">
        <v>90</v>
      </c>
      <c r="H120" s="14" t="s">
        <v>170</v>
      </c>
      <c r="I120" s="14" t="s">
        <v>874</v>
      </c>
      <c r="J120" s="14" t="str">
        <f>IFERROR(__xludf.DUMMYFUNCTION("FILTER(candidats!M:M,candidats!P:P=I120)"),"M")</f>
        <v>M</v>
      </c>
      <c r="K120" s="14">
        <v>80380.0</v>
      </c>
    </row>
    <row r="121">
      <c r="A121" s="13" t="s">
        <v>391</v>
      </c>
      <c r="B121" s="13" t="str">
        <f>IFERROR(__xludf.DUMMYFUNCTION("FILTER('5_categorisation'!C:C,'5_categorisation'!A:A=A121)"),"Occitanie")</f>
        <v>Occitanie</v>
      </c>
      <c r="C121" s="13" t="str">
        <f>IFS(A121='5_categorisation'!$A$2,'5_categorisation'!$B$2,A121='5_categorisation'!$A$3,'5_categorisation'!$B$3,A121='5_categorisation'!$A$4,'5_categorisation'!$B$4,A121='5_categorisation'!$A$5,'5_categorisation'!$B$5,A121='5_categorisation'!$A$6,'5_categorisation'!$B$6,A121='5_categorisation'!$A$7,'5_categorisation'!$B$7,A121='5_categorisation'!$A$8,'5_categorisation'!$B$8,A121='5_categorisation'!$A$9,'5_categorisation'!$B$9,A121='5_categorisation'!$A129,'5_categorisation'!$B$10,A121='5_categorisation'!$A$12,'5_categorisation'!$B$12,A121='5_categorisation'!$A$12,'5_categorisation'!$B$12,A121='5_categorisation'!$A$13,'5_categorisation'!$B$13,A121='5_categorisation'!$A$14,'5_categorisation'!$B$14,A121='5_categorisation'!$A$15,'5_categorisation'!$B$15,A121='5_categorisation'!$A$16,'5_categorisation'!$B$16,A121='5_categorisation'!$A$17,'5_categorisation'!$B$17,A121='5_categorisation'!$A$11,'5_categorisation'!$B$11)</f>
        <v>sud</v>
      </c>
      <c r="D121" s="15">
        <v>12.0</v>
      </c>
      <c r="E121" s="15" t="s">
        <v>3</v>
      </c>
      <c r="F121" s="14" t="str">
        <f>ifs(E121='5_categorisation'!$D$2,'5_categorisation'!$F$2,E121='5_categorisation'!$D$3,'5_categorisation'!$F$3,E121='5_categorisation'!$D$4,'5_categorisation'!$F$4,E121='5_categorisation'!$D$5,'5_categorisation'!$F$5,E121='5_categorisation'!$D$6,'5_categorisation'!$F$6,E121='5_categorisation'!$D$7,'5_categorisation'!$F$7,E121='5_categorisation'!$D$8,'5_categorisation'!$F$8,E121='5_categorisation'!$D$9,'5_categorisation'!$F$9,E121='5_categorisation'!$D$10,'5_categorisation'!$F$10,E121='5_categorisation'!$D$11,'5_categorisation'!$F$11,E121='5_categorisation'!$D$12,'5_categorisation'!$F$12,E121='5_categorisation'!$D$13,'5_categorisation'!$F$13,E121='5_categorisation'!$D$14,'5_categorisation'!$F$14,E121='5_categorisation'!$D$15,'5_categorisation'!$F$15,E121='5_categorisation'!$D$16,'5_categorisation'!$F$16,E121='5_categorisation'!$D$17,'5_categorisation'!$F$17,E121='5_categorisation'!$D$18,'5_categorisation'!$F$18,E121='5_categorisation'!$D$19,'5_categorisation'!$F$19,E121='5_categorisation'!$D$20,'5_categorisation'!$F$20,E121='5_categorisation'!$D$21,'5_categorisation'!$F$21,E121='5_categorisation'!$D$22,'5_categorisation'!$F$22)</f>
        <v>gauche</v>
      </c>
      <c r="G121" s="15" t="s">
        <v>113</v>
      </c>
      <c r="H121" s="15" t="s">
        <v>174</v>
      </c>
      <c r="I121" s="15" t="s">
        <v>875</v>
      </c>
      <c r="J121" s="14" t="str">
        <f>IFERROR(__xludf.DUMMYFUNCTION("FILTER(candidats!M:M,candidats!P:P=I121)"),"F")</f>
        <v>F</v>
      </c>
      <c r="K121" s="15">
        <v>37182.0</v>
      </c>
    </row>
    <row r="122">
      <c r="A122" s="13" t="s">
        <v>637</v>
      </c>
      <c r="B122" s="13" t="str">
        <f>IFERROR(__xludf.DUMMYFUNCTION("FILTER('5_categorisation'!C:C,'5_categorisation'!A:A=A122)"),"Martinique")</f>
        <v>Martinique</v>
      </c>
      <c r="C122" s="13" t="str">
        <f>IFS(A122='5_categorisation'!$A$2,'5_categorisation'!$B$2,A122='5_categorisation'!$A$3,'5_categorisation'!$B$3,A122='5_categorisation'!$A$4,'5_categorisation'!$B$4,A122='5_categorisation'!$A$5,'5_categorisation'!$B$5,A122='5_categorisation'!$A$6,'5_categorisation'!$B$6,A122='5_categorisation'!$A$7,'5_categorisation'!$B$7,A122='5_categorisation'!$A$8,'5_categorisation'!$B$8,A122='5_categorisation'!$A$9,'5_categorisation'!$B$9,A122='5_categorisation'!$A130,'5_categorisation'!$B$10,A122='5_categorisation'!$A$12,'5_categorisation'!$B$12,A122='5_categorisation'!$A$12,'5_categorisation'!$B$12,A122='5_categorisation'!$A$13,'5_categorisation'!$B$13,A122='5_categorisation'!$A$14,'5_categorisation'!$B$14,A122='5_categorisation'!$A$15,'5_categorisation'!$B$15,A122='5_categorisation'!$A$16,'5_categorisation'!$B$16,A122='5_categorisation'!$A$17,'5_categorisation'!$B$17,A122='5_categorisation'!$A$11,'5_categorisation'!$B$11)</f>
        <v>outre-mer</v>
      </c>
      <c r="D122" s="14">
        <v>1.0</v>
      </c>
      <c r="E122" s="14" t="s">
        <v>25</v>
      </c>
      <c r="F122" s="14" t="str">
        <f>ifs(E122='5_categorisation'!$D$2,'5_categorisation'!$F$2,E122='5_categorisation'!$D$3,'5_categorisation'!$F$3,E122='5_categorisation'!$D$4,'5_categorisation'!$F$4,E122='5_categorisation'!$D$5,'5_categorisation'!$F$5,E122='5_categorisation'!$D$6,'5_categorisation'!$F$6,E122='5_categorisation'!$D$7,'5_categorisation'!$F$7,E122='5_categorisation'!$D$8,'5_categorisation'!$F$8,E122='5_categorisation'!$D$9,'5_categorisation'!$F$9,E122='5_categorisation'!$D$10,'5_categorisation'!$F$10,E122='5_categorisation'!$D$11,'5_categorisation'!$F$11,E122='5_categorisation'!$D$12,'5_categorisation'!$F$12,E122='5_categorisation'!$D$13,'5_categorisation'!$F$13,E122='5_categorisation'!$D$14,'5_categorisation'!$F$14,E122='5_categorisation'!$D$15,'5_categorisation'!$F$15,E122='5_categorisation'!$D$16,'5_categorisation'!$F$16,E122='5_categorisation'!$D$17,'5_categorisation'!$F$17,E122='5_categorisation'!$D$18,'5_categorisation'!$F$18,E122='5_categorisation'!$D$19,'5_categorisation'!$F$19,E122='5_categorisation'!$D$20,'5_categorisation'!$F$20,E122='5_categorisation'!$D$21,'5_categorisation'!$F$21,E122='5_categorisation'!$D$22,'5_categorisation'!$F$22)</f>
        <v>autre</v>
      </c>
      <c r="G122" s="14" t="s">
        <v>640</v>
      </c>
      <c r="H122" s="14" t="s">
        <v>641</v>
      </c>
      <c r="I122" s="14" t="s">
        <v>876</v>
      </c>
      <c r="J122" s="14" t="str">
        <f>IFERROR(__xludf.DUMMYFUNCTION("FILTER(candidats!M:M,candidats!P:P=I122)"),"F")</f>
        <v>F</v>
      </c>
      <c r="K122" s="14">
        <v>3868.0</v>
      </c>
    </row>
    <row r="123">
      <c r="A123" s="13" t="s">
        <v>637</v>
      </c>
      <c r="B123" s="13" t="str">
        <f>IFERROR(__xludf.DUMMYFUNCTION("FILTER('5_categorisation'!C:C,'5_categorisation'!A:A=A123)"),"Martinique")</f>
        <v>Martinique</v>
      </c>
      <c r="C123" s="13" t="str">
        <f>IFS(A123='5_categorisation'!$A$2,'5_categorisation'!$B$2,A123='5_categorisation'!$A$3,'5_categorisation'!$B$3,A123='5_categorisation'!$A$4,'5_categorisation'!$B$4,A123='5_categorisation'!$A$5,'5_categorisation'!$B$5,A123='5_categorisation'!$A$6,'5_categorisation'!$B$6,A123='5_categorisation'!$A$7,'5_categorisation'!$B$7,A123='5_categorisation'!$A$8,'5_categorisation'!$B$8,A123='5_categorisation'!$A$9,'5_categorisation'!$B$9,A123='5_categorisation'!$A131,'5_categorisation'!$B$10,A123='5_categorisation'!$A$12,'5_categorisation'!$B$12,A123='5_categorisation'!$A$12,'5_categorisation'!$B$12,A123='5_categorisation'!$A$13,'5_categorisation'!$B$13,A123='5_categorisation'!$A$14,'5_categorisation'!$B$14,A123='5_categorisation'!$A$15,'5_categorisation'!$B$15,A123='5_categorisation'!$A$16,'5_categorisation'!$B$16,A123='5_categorisation'!$A$17,'5_categorisation'!$B$17,A123='5_categorisation'!$A$11,'5_categorisation'!$B$11)</f>
        <v>outre-mer</v>
      </c>
      <c r="D123" s="15">
        <v>2.0</v>
      </c>
      <c r="E123" s="15" t="s">
        <v>3</v>
      </c>
      <c r="F123" s="14" t="str">
        <f>ifs(E123='5_categorisation'!$D$2,'5_categorisation'!$F$2,E123='5_categorisation'!$D$3,'5_categorisation'!$F$3,E123='5_categorisation'!$D$4,'5_categorisation'!$F$4,E123='5_categorisation'!$D$5,'5_categorisation'!$F$5,E123='5_categorisation'!$D$6,'5_categorisation'!$F$6,E123='5_categorisation'!$D$7,'5_categorisation'!$F$7,E123='5_categorisation'!$D$8,'5_categorisation'!$F$8,E123='5_categorisation'!$D$9,'5_categorisation'!$F$9,E123='5_categorisation'!$D$10,'5_categorisation'!$F$10,E123='5_categorisation'!$D$11,'5_categorisation'!$F$11,E123='5_categorisation'!$D$12,'5_categorisation'!$F$12,E123='5_categorisation'!$D$13,'5_categorisation'!$F$13,E123='5_categorisation'!$D$14,'5_categorisation'!$F$14,E123='5_categorisation'!$D$15,'5_categorisation'!$F$15,E123='5_categorisation'!$D$16,'5_categorisation'!$F$16,E123='5_categorisation'!$D$17,'5_categorisation'!$F$17,E123='5_categorisation'!$D$18,'5_categorisation'!$F$18,E123='5_categorisation'!$D$19,'5_categorisation'!$F$19,E123='5_categorisation'!$D$20,'5_categorisation'!$F$20,E123='5_categorisation'!$D$21,'5_categorisation'!$F$21,E123='5_categorisation'!$D$22,'5_categorisation'!$F$22)</f>
        <v>gauche</v>
      </c>
      <c r="G123" s="15" t="s">
        <v>634</v>
      </c>
      <c r="H123" s="15" t="s">
        <v>634</v>
      </c>
      <c r="I123" s="15" t="s">
        <v>877</v>
      </c>
      <c r="J123" s="14" t="str">
        <f>IFERROR(__xludf.DUMMYFUNCTION("FILTER(candidats!M:M,candidats!P:P=I123)"),"F")</f>
        <v>F</v>
      </c>
      <c r="K123" s="15">
        <v>2460.0</v>
      </c>
    </row>
    <row r="124">
      <c r="A124" s="13" t="s">
        <v>637</v>
      </c>
      <c r="B124" s="13" t="str">
        <f>IFERROR(__xludf.DUMMYFUNCTION("FILTER('5_categorisation'!C:C,'5_categorisation'!A:A=A124)"),"Martinique")</f>
        <v>Martinique</v>
      </c>
      <c r="C124" s="13" t="str">
        <f>IFS(A124='5_categorisation'!$A$2,'5_categorisation'!$B$2,A124='5_categorisation'!$A$3,'5_categorisation'!$B$3,A124='5_categorisation'!$A$4,'5_categorisation'!$B$4,A124='5_categorisation'!$A$5,'5_categorisation'!$B$5,A124='5_categorisation'!$A$6,'5_categorisation'!$B$6,A124='5_categorisation'!$A$7,'5_categorisation'!$B$7,A124='5_categorisation'!$A$8,'5_categorisation'!$B$8,A124='5_categorisation'!$A$9,'5_categorisation'!$B$9,A124='5_categorisation'!$A132,'5_categorisation'!$B$10,A124='5_categorisation'!$A$12,'5_categorisation'!$B$12,A124='5_categorisation'!$A$12,'5_categorisation'!$B$12,A124='5_categorisation'!$A$13,'5_categorisation'!$B$13,A124='5_categorisation'!$A$14,'5_categorisation'!$B$14,A124='5_categorisation'!$A$15,'5_categorisation'!$B$15,A124='5_categorisation'!$A$16,'5_categorisation'!$B$16,A124='5_categorisation'!$A$17,'5_categorisation'!$B$17,A124='5_categorisation'!$A$11,'5_categorisation'!$B$11)</f>
        <v>outre-mer</v>
      </c>
      <c r="D124" s="14">
        <v>3.0</v>
      </c>
      <c r="E124" s="14" t="s">
        <v>35</v>
      </c>
      <c r="F124" s="14" t="str">
        <f>ifs(E124='5_categorisation'!$D$2,'5_categorisation'!$F$2,E124='5_categorisation'!$D$3,'5_categorisation'!$F$3,E124='5_categorisation'!$D$4,'5_categorisation'!$F$4,E124='5_categorisation'!$D$5,'5_categorisation'!$F$5,E124='5_categorisation'!$D$6,'5_categorisation'!$F$6,E124='5_categorisation'!$D$7,'5_categorisation'!$F$7,E124='5_categorisation'!$D$8,'5_categorisation'!$F$8,E124='5_categorisation'!$D$9,'5_categorisation'!$F$9,E124='5_categorisation'!$D$10,'5_categorisation'!$F$10,E124='5_categorisation'!$D$11,'5_categorisation'!$F$11,E124='5_categorisation'!$D$12,'5_categorisation'!$F$12,E124='5_categorisation'!$D$13,'5_categorisation'!$F$13,E124='5_categorisation'!$D$14,'5_categorisation'!$F$14,E124='5_categorisation'!$D$15,'5_categorisation'!$F$15,E124='5_categorisation'!$D$16,'5_categorisation'!$F$16,E124='5_categorisation'!$D$17,'5_categorisation'!$F$17,E124='5_categorisation'!$D$18,'5_categorisation'!$F$18,E124='5_categorisation'!$D$19,'5_categorisation'!$F$19,E124='5_categorisation'!$D$20,'5_categorisation'!$F$20,E124='5_categorisation'!$D$21,'5_categorisation'!$F$21,E124='5_categorisation'!$D$22,'5_categorisation'!$F$22)</f>
        <v>droite</v>
      </c>
      <c r="G124" s="14" t="s">
        <v>647</v>
      </c>
      <c r="H124" s="14" t="s">
        <v>647</v>
      </c>
      <c r="I124" s="14" t="s">
        <v>878</v>
      </c>
      <c r="J124" s="14" t="str">
        <f>IFERROR(__xludf.DUMMYFUNCTION("FILTER(candidats!M:M,candidats!P:P=I124)"),"M")</f>
        <v>M</v>
      </c>
      <c r="K124" s="14">
        <v>17272.0</v>
      </c>
    </row>
    <row r="125">
      <c r="A125" s="13" t="s">
        <v>637</v>
      </c>
      <c r="B125" s="13" t="str">
        <f>IFERROR(__xludf.DUMMYFUNCTION("FILTER('5_categorisation'!C:C,'5_categorisation'!A:A=A125)"),"Martinique")</f>
        <v>Martinique</v>
      </c>
      <c r="C125" s="13" t="str">
        <f>IFS(A125='5_categorisation'!$A$2,'5_categorisation'!$B$2,A125='5_categorisation'!$A$3,'5_categorisation'!$B$3,A125='5_categorisation'!$A$4,'5_categorisation'!$B$4,A125='5_categorisation'!$A$5,'5_categorisation'!$B$5,A125='5_categorisation'!$A$6,'5_categorisation'!$B$6,A125='5_categorisation'!$A$7,'5_categorisation'!$B$7,A125='5_categorisation'!$A$8,'5_categorisation'!$B$8,A125='5_categorisation'!$A$9,'5_categorisation'!$B$9,A125='5_categorisation'!$A133,'5_categorisation'!$B$10,A125='5_categorisation'!$A$12,'5_categorisation'!$B$12,A125='5_categorisation'!$A$12,'5_categorisation'!$B$12,A125='5_categorisation'!$A$13,'5_categorisation'!$B$13,A125='5_categorisation'!$A$14,'5_categorisation'!$B$14,A125='5_categorisation'!$A$15,'5_categorisation'!$B$15,A125='5_categorisation'!$A$16,'5_categorisation'!$B$16,A125='5_categorisation'!$A$17,'5_categorisation'!$B$17,A125='5_categorisation'!$A$11,'5_categorisation'!$B$11)</f>
        <v>outre-mer</v>
      </c>
      <c r="D125" s="14">
        <v>4.0</v>
      </c>
      <c r="E125" s="14" t="s">
        <v>41</v>
      </c>
      <c r="F125" s="14" t="str">
        <f>ifs(E125='5_categorisation'!$D$2,'5_categorisation'!$F$2,E125='5_categorisation'!$D$3,'5_categorisation'!$F$3,E125='5_categorisation'!$D$4,'5_categorisation'!$F$4,E125='5_categorisation'!$D$5,'5_categorisation'!$F$5,E125='5_categorisation'!$D$6,'5_categorisation'!$F$6,E125='5_categorisation'!$D$7,'5_categorisation'!$F$7,E125='5_categorisation'!$D$8,'5_categorisation'!$F$8,E125='5_categorisation'!$D$9,'5_categorisation'!$F$9,E125='5_categorisation'!$D$10,'5_categorisation'!$F$10,E125='5_categorisation'!$D$11,'5_categorisation'!$F$11,E125='5_categorisation'!$D$12,'5_categorisation'!$F$12,E125='5_categorisation'!$D$13,'5_categorisation'!$F$13,E125='5_categorisation'!$D$14,'5_categorisation'!$F$14,E125='5_categorisation'!$D$15,'5_categorisation'!$F$15,E125='5_categorisation'!$D$16,'5_categorisation'!$F$16,E125='5_categorisation'!$D$17,'5_categorisation'!$F$17,E125='5_categorisation'!$D$18,'5_categorisation'!$F$18,E125='5_categorisation'!$D$19,'5_categorisation'!$F$19,E125='5_categorisation'!$D$20,'5_categorisation'!$F$20,E125='5_categorisation'!$D$21,'5_categorisation'!$F$21,E125='5_categorisation'!$D$22,'5_categorisation'!$F$22)</f>
        <v>droite</v>
      </c>
      <c r="G125" s="14" t="s">
        <v>650</v>
      </c>
      <c r="H125" s="14" t="s">
        <v>650</v>
      </c>
      <c r="I125" s="14" t="s">
        <v>879</v>
      </c>
      <c r="J125" s="14" t="str">
        <f>IFERROR(__xludf.DUMMYFUNCTION("FILTER(candidats!M:M,candidats!P:P=I125)"),"M")</f>
        <v>M</v>
      </c>
      <c r="K125" s="14">
        <v>2475.0</v>
      </c>
    </row>
    <row r="126">
      <c r="A126" s="13" t="s">
        <v>637</v>
      </c>
      <c r="B126" s="13" t="str">
        <f>IFERROR(__xludf.DUMMYFUNCTION("FILTER('5_categorisation'!C:C,'5_categorisation'!A:A=A126)"),"Martinique")</f>
        <v>Martinique</v>
      </c>
      <c r="C126" s="13" t="str">
        <f>IFS(A126='5_categorisation'!$A$2,'5_categorisation'!$B$2,A126='5_categorisation'!$A$3,'5_categorisation'!$B$3,A126='5_categorisation'!$A$4,'5_categorisation'!$B$4,A126='5_categorisation'!$A$5,'5_categorisation'!$B$5,A126='5_categorisation'!$A$6,'5_categorisation'!$B$6,A126='5_categorisation'!$A$7,'5_categorisation'!$B$7,A126='5_categorisation'!$A$8,'5_categorisation'!$B$8,A126='5_categorisation'!$A$9,'5_categorisation'!$B$9,A126='5_categorisation'!$A134,'5_categorisation'!$B$10,A126='5_categorisation'!$A$12,'5_categorisation'!$B$12,A126='5_categorisation'!$A$12,'5_categorisation'!$B$12,A126='5_categorisation'!$A$13,'5_categorisation'!$B$13,A126='5_categorisation'!$A$14,'5_categorisation'!$B$14,A126='5_categorisation'!$A$15,'5_categorisation'!$B$15,A126='5_categorisation'!$A$16,'5_categorisation'!$B$16,A126='5_categorisation'!$A$17,'5_categorisation'!$B$17,A126='5_categorisation'!$A$11,'5_categorisation'!$B$11)</f>
        <v>outre-mer</v>
      </c>
      <c r="D126" s="14">
        <v>5.0</v>
      </c>
      <c r="E126" s="14" t="s">
        <v>19</v>
      </c>
      <c r="F126" s="14" t="str">
        <f>ifs(E126='5_categorisation'!$D$2,'5_categorisation'!$F$2,E126='5_categorisation'!$D$3,'5_categorisation'!$F$3,E126='5_categorisation'!$D$4,'5_categorisation'!$F$4,E126='5_categorisation'!$D$5,'5_categorisation'!$F$5,E126='5_categorisation'!$D$6,'5_categorisation'!$F$6,E126='5_categorisation'!$D$7,'5_categorisation'!$F$7,E126='5_categorisation'!$D$8,'5_categorisation'!$F$8,E126='5_categorisation'!$D$9,'5_categorisation'!$F$9,E126='5_categorisation'!$D$10,'5_categorisation'!$F$10,E126='5_categorisation'!$D$11,'5_categorisation'!$F$11,E126='5_categorisation'!$D$12,'5_categorisation'!$F$12,E126='5_categorisation'!$D$13,'5_categorisation'!$F$13,E126='5_categorisation'!$D$14,'5_categorisation'!$F$14,E126='5_categorisation'!$D$15,'5_categorisation'!$F$15,E126='5_categorisation'!$D$16,'5_categorisation'!$F$16,E126='5_categorisation'!$D$17,'5_categorisation'!$F$17,E126='5_categorisation'!$D$18,'5_categorisation'!$F$18,E126='5_categorisation'!$D$19,'5_categorisation'!$F$19,E126='5_categorisation'!$D$20,'5_categorisation'!$F$20,E126='5_categorisation'!$D$21,'5_categorisation'!$F$21,E126='5_categorisation'!$D$22,'5_categorisation'!$F$22)</f>
        <v>gauche</v>
      </c>
      <c r="G126" s="14" t="s">
        <v>652</v>
      </c>
      <c r="H126" s="14" t="s">
        <v>653</v>
      </c>
      <c r="I126" s="14" t="s">
        <v>880</v>
      </c>
      <c r="J126" s="14" t="str">
        <f>IFERROR(__xludf.DUMMYFUNCTION("FILTER(candidats!M:M,candidats!P:P=I126)"),"M")</f>
        <v>M</v>
      </c>
      <c r="K126" s="14">
        <v>1558.0</v>
      </c>
    </row>
    <row r="127">
      <c r="A127" s="15" t="s">
        <v>637</v>
      </c>
      <c r="B127" s="13" t="str">
        <f>IFERROR(__xludf.DUMMYFUNCTION("FILTER('5_categorisation'!C:C,'5_categorisation'!A:A=A127)"),"Martinique")</f>
        <v>Martinique</v>
      </c>
      <c r="C127" s="13" t="str">
        <f>IFS(A127='5_categorisation'!$A$2,'5_categorisation'!$B$2,A127='5_categorisation'!$A$3,'5_categorisation'!$B$3,A127='5_categorisation'!$A$4,'5_categorisation'!$B$4,A127='5_categorisation'!$A$5,'5_categorisation'!$B$5,A127='5_categorisation'!$A$6,'5_categorisation'!$B$6,A127='5_categorisation'!$A$7,'5_categorisation'!$B$7,A127='5_categorisation'!$A$8,'5_categorisation'!$B$8,A127='5_categorisation'!$A$9,'5_categorisation'!$B$9,A127='5_categorisation'!$A135,'5_categorisation'!$B$10,A127='5_categorisation'!$A$12,'5_categorisation'!$B$12,A127='5_categorisation'!$A$12,'5_categorisation'!$B$12,A127='5_categorisation'!$A$13,'5_categorisation'!$B$13,A127='5_categorisation'!$A$14,'5_categorisation'!$B$14,A127='5_categorisation'!$A$15,'5_categorisation'!$B$15,A127='5_categorisation'!$A$16,'5_categorisation'!$B$16,A127='5_categorisation'!$A$17,'5_categorisation'!$B$17,A127='5_categorisation'!$A$11,'5_categorisation'!$B$11)</f>
        <v>outre-mer</v>
      </c>
      <c r="D127" s="15">
        <v>6.0</v>
      </c>
      <c r="E127" s="15" t="s">
        <v>28</v>
      </c>
      <c r="F127" s="14" t="str">
        <f>ifs(E127='5_categorisation'!$D$2,'5_categorisation'!$F$2,E127='5_categorisation'!$D$3,'5_categorisation'!$F$3,E127='5_categorisation'!$D$4,'5_categorisation'!$F$4,E127='5_categorisation'!$D$5,'5_categorisation'!$F$5,E127='5_categorisation'!$D$6,'5_categorisation'!$F$6,E127='5_categorisation'!$D$7,'5_categorisation'!$F$7,E127='5_categorisation'!$D$8,'5_categorisation'!$F$8,E127='5_categorisation'!$D$9,'5_categorisation'!$F$9,E127='5_categorisation'!$D$10,'5_categorisation'!$F$10,E127='5_categorisation'!$D$11,'5_categorisation'!$F$11,E127='5_categorisation'!$D$12,'5_categorisation'!$F$12,E127='5_categorisation'!$D$13,'5_categorisation'!$F$13,E127='5_categorisation'!$D$14,'5_categorisation'!$F$14,E127='5_categorisation'!$D$15,'5_categorisation'!$F$15,E127='5_categorisation'!$D$16,'5_categorisation'!$F$16,E127='5_categorisation'!$D$17,'5_categorisation'!$F$17,E127='5_categorisation'!$D$18,'5_categorisation'!$F$18,E127='5_categorisation'!$D$19,'5_categorisation'!$F$19,E127='5_categorisation'!$D$20,'5_categorisation'!$F$20,E127='5_categorisation'!$D$21,'5_categorisation'!$F$21,E127='5_categorisation'!$D$22,'5_categorisation'!$F$22)</f>
        <v>autre</v>
      </c>
      <c r="G127" s="15" t="s">
        <v>657</v>
      </c>
      <c r="H127" s="15" t="s">
        <v>658</v>
      </c>
      <c r="I127" s="15" t="s">
        <v>881</v>
      </c>
      <c r="J127" s="14" t="str">
        <f>IFERROR(__xludf.DUMMYFUNCTION("FILTER(candidats!M:M,candidats!P:P=I127)"),"M")</f>
        <v>M</v>
      </c>
      <c r="K127" s="15">
        <v>36523.0</v>
      </c>
    </row>
    <row r="128">
      <c r="A128" s="13" t="s">
        <v>637</v>
      </c>
      <c r="B128" s="13" t="str">
        <f>IFERROR(__xludf.DUMMYFUNCTION("FILTER('5_categorisation'!C:C,'5_categorisation'!A:A=A128)"),"Martinique")</f>
        <v>Martinique</v>
      </c>
      <c r="C128" s="13" t="str">
        <f>IFS(A128='5_categorisation'!$A$2,'5_categorisation'!$B$2,A128='5_categorisation'!$A$3,'5_categorisation'!$B$3,A128='5_categorisation'!$A$4,'5_categorisation'!$B$4,A128='5_categorisation'!$A$5,'5_categorisation'!$B$5,A128='5_categorisation'!$A$6,'5_categorisation'!$B$6,A128='5_categorisation'!$A$7,'5_categorisation'!$B$7,A128='5_categorisation'!$A$8,'5_categorisation'!$B$8,A128='5_categorisation'!$A$9,'5_categorisation'!$B$9,A128='5_categorisation'!$A136,'5_categorisation'!$B$10,A128='5_categorisation'!$A$12,'5_categorisation'!$B$12,A128='5_categorisation'!$A$12,'5_categorisation'!$B$12,A128='5_categorisation'!$A$13,'5_categorisation'!$B$13,A128='5_categorisation'!$A$14,'5_categorisation'!$B$14,A128='5_categorisation'!$A$15,'5_categorisation'!$B$15,A128='5_categorisation'!$A$16,'5_categorisation'!$B$16,A128='5_categorisation'!$A$17,'5_categorisation'!$B$17,A128='5_categorisation'!$A$11,'5_categorisation'!$B$11)</f>
        <v>outre-mer</v>
      </c>
      <c r="D128" s="14">
        <v>7.0</v>
      </c>
      <c r="E128" s="14" t="s">
        <v>33</v>
      </c>
      <c r="F128" s="14" t="str">
        <f>ifs(E128='5_categorisation'!$D$2,'5_categorisation'!$F$2,E128='5_categorisation'!$D$3,'5_categorisation'!$F$3,E128='5_categorisation'!$D$4,'5_categorisation'!$F$4,E128='5_categorisation'!$D$5,'5_categorisation'!$F$5,E128='5_categorisation'!$D$6,'5_categorisation'!$F$6,E128='5_categorisation'!$D$7,'5_categorisation'!$F$7,E128='5_categorisation'!$D$8,'5_categorisation'!$F$8,E128='5_categorisation'!$D$9,'5_categorisation'!$F$9,E128='5_categorisation'!$D$10,'5_categorisation'!$F$10,E128='5_categorisation'!$D$11,'5_categorisation'!$F$11,E128='5_categorisation'!$D$12,'5_categorisation'!$F$12,E128='5_categorisation'!$D$13,'5_categorisation'!$F$13,E128='5_categorisation'!$D$14,'5_categorisation'!$F$14,E128='5_categorisation'!$D$15,'5_categorisation'!$F$15,E128='5_categorisation'!$D$16,'5_categorisation'!$F$16,E128='5_categorisation'!$D$17,'5_categorisation'!$F$17,E128='5_categorisation'!$D$18,'5_categorisation'!$F$18,E128='5_categorisation'!$D$19,'5_categorisation'!$F$19,E128='5_categorisation'!$D$20,'5_categorisation'!$F$20,E128='5_categorisation'!$D$21,'5_categorisation'!$F$21,E128='5_categorisation'!$D$22,'5_categorisation'!$F$22)</f>
        <v>centre</v>
      </c>
      <c r="G128" s="14" t="s">
        <v>663</v>
      </c>
      <c r="H128" s="14" t="s">
        <v>663</v>
      </c>
      <c r="I128" s="14" t="s">
        <v>882</v>
      </c>
      <c r="J128" s="14" t="str">
        <f>IFERROR(__xludf.DUMMYFUNCTION("FILTER(candidats!M:M,candidats!P:P=I128)"),"M")</f>
        <v>M</v>
      </c>
      <c r="K128" s="14">
        <v>1818.0</v>
      </c>
    </row>
    <row r="129">
      <c r="A129" s="13" t="s">
        <v>637</v>
      </c>
      <c r="B129" s="13" t="str">
        <f>IFERROR(__xludf.DUMMYFUNCTION("FILTER('5_categorisation'!C:C,'5_categorisation'!A:A=A129)"),"Martinique")</f>
        <v>Martinique</v>
      </c>
      <c r="C129" s="13" t="str">
        <f>IFS(A129='5_categorisation'!$A$2,'5_categorisation'!$B$2,A129='5_categorisation'!$A$3,'5_categorisation'!$B$3,A129='5_categorisation'!$A$4,'5_categorisation'!$B$4,A129='5_categorisation'!$A$5,'5_categorisation'!$B$5,A129='5_categorisation'!$A$6,'5_categorisation'!$B$6,A129='5_categorisation'!$A$7,'5_categorisation'!$B$7,A129='5_categorisation'!$A$8,'5_categorisation'!$B$8,A129='5_categorisation'!$A$9,'5_categorisation'!$B$9,A129='5_categorisation'!$A137,'5_categorisation'!$B$10,A129='5_categorisation'!$A$12,'5_categorisation'!$B$12,A129='5_categorisation'!$A$12,'5_categorisation'!$B$12,A129='5_categorisation'!$A$13,'5_categorisation'!$B$13,A129='5_categorisation'!$A$14,'5_categorisation'!$B$14,A129='5_categorisation'!$A$15,'5_categorisation'!$B$15,A129='5_categorisation'!$A$16,'5_categorisation'!$B$16,A129='5_categorisation'!$A$17,'5_categorisation'!$B$17,A129='5_categorisation'!$A$11,'5_categorisation'!$B$11)</f>
        <v>outre-mer</v>
      </c>
      <c r="D129" s="14">
        <v>8.0</v>
      </c>
      <c r="E129" s="14" t="s">
        <v>28</v>
      </c>
      <c r="F129" s="14" t="str">
        <f>ifs(E129='5_categorisation'!$D$2,'5_categorisation'!$F$2,E129='5_categorisation'!$D$3,'5_categorisation'!$F$3,E129='5_categorisation'!$D$4,'5_categorisation'!$F$4,E129='5_categorisation'!$D$5,'5_categorisation'!$F$5,E129='5_categorisation'!$D$6,'5_categorisation'!$F$6,E129='5_categorisation'!$D$7,'5_categorisation'!$F$7,E129='5_categorisation'!$D$8,'5_categorisation'!$F$8,E129='5_categorisation'!$D$9,'5_categorisation'!$F$9,E129='5_categorisation'!$D$10,'5_categorisation'!$F$10,E129='5_categorisation'!$D$11,'5_categorisation'!$F$11,E129='5_categorisation'!$D$12,'5_categorisation'!$F$12,E129='5_categorisation'!$D$13,'5_categorisation'!$F$13,E129='5_categorisation'!$D$14,'5_categorisation'!$F$14,E129='5_categorisation'!$D$15,'5_categorisation'!$F$15,E129='5_categorisation'!$D$16,'5_categorisation'!$F$16,E129='5_categorisation'!$D$17,'5_categorisation'!$F$17,E129='5_categorisation'!$D$18,'5_categorisation'!$F$18,E129='5_categorisation'!$D$19,'5_categorisation'!$F$19,E129='5_categorisation'!$D$20,'5_categorisation'!$F$20,E129='5_categorisation'!$D$21,'5_categorisation'!$F$21,E129='5_categorisation'!$D$22,'5_categorisation'!$F$22)</f>
        <v>autre</v>
      </c>
      <c r="G129" s="14" t="s">
        <v>665</v>
      </c>
      <c r="H129" s="14" t="s">
        <v>665</v>
      </c>
      <c r="I129" s="14" t="s">
        <v>883</v>
      </c>
      <c r="J129" s="14" t="str">
        <f>IFERROR(__xludf.DUMMYFUNCTION("FILTER(candidats!M:M,candidats!P:P=I129)"),"M")</f>
        <v>M</v>
      </c>
      <c r="K129" s="14">
        <v>7653.0</v>
      </c>
    </row>
    <row r="130">
      <c r="A130" s="13" t="s">
        <v>637</v>
      </c>
      <c r="B130" s="13" t="str">
        <f>IFERROR(__xludf.DUMMYFUNCTION("FILTER('5_categorisation'!C:C,'5_categorisation'!A:A=A130)"),"Martinique")</f>
        <v>Martinique</v>
      </c>
      <c r="C130" s="13" t="str">
        <f>IFS(A130='5_categorisation'!$A$2,'5_categorisation'!$B$2,A130='5_categorisation'!$A$3,'5_categorisation'!$B$3,A130='5_categorisation'!$A$4,'5_categorisation'!$B$4,A130='5_categorisation'!$A$5,'5_categorisation'!$B$5,A130='5_categorisation'!$A$6,'5_categorisation'!$B$6,A130='5_categorisation'!$A$7,'5_categorisation'!$B$7,A130='5_categorisation'!$A$8,'5_categorisation'!$B$8,A130='5_categorisation'!$A$9,'5_categorisation'!$B$9,A130='5_categorisation'!$A138,'5_categorisation'!$B$10,A130='5_categorisation'!$A$12,'5_categorisation'!$B$12,A130='5_categorisation'!$A$12,'5_categorisation'!$B$12,A130='5_categorisation'!$A$13,'5_categorisation'!$B$13,A130='5_categorisation'!$A$14,'5_categorisation'!$B$14,A130='5_categorisation'!$A$15,'5_categorisation'!$B$15,A130='5_categorisation'!$A$16,'5_categorisation'!$B$16,A130='5_categorisation'!$A$17,'5_categorisation'!$B$17,A130='5_categorisation'!$A$11,'5_categorisation'!$B$11)</f>
        <v>outre-mer</v>
      </c>
      <c r="D130" s="14">
        <v>9.0</v>
      </c>
      <c r="E130" s="14" t="s">
        <v>19</v>
      </c>
      <c r="F130" s="14" t="str">
        <f>ifs(E130='5_categorisation'!$D$2,'5_categorisation'!$F$2,E130='5_categorisation'!$D$3,'5_categorisation'!$F$3,E130='5_categorisation'!$D$4,'5_categorisation'!$F$4,E130='5_categorisation'!$D$5,'5_categorisation'!$F$5,E130='5_categorisation'!$D$6,'5_categorisation'!$F$6,E130='5_categorisation'!$D$7,'5_categorisation'!$F$7,E130='5_categorisation'!$D$8,'5_categorisation'!$F$8,E130='5_categorisation'!$D$9,'5_categorisation'!$F$9,E130='5_categorisation'!$D$10,'5_categorisation'!$F$10,E130='5_categorisation'!$D$11,'5_categorisation'!$F$11,E130='5_categorisation'!$D$12,'5_categorisation'!$F$12,E130='5_categorisation'!$D$13,'5_categorisation'!$F$13,E130='5_categorisation'!$D$14,'5_categorisation'!$F$14,E130='5_categorisation'!$D$15,'5_categorisation'!$F$15,E130='5_categorisation'!$D$16,'5_categorisation'!$F$16,E130='5_categorisation'!$D$17,'5_categorisation'!$F$17,E130='5_categorisation'!$D$18,'5_categorisation'!$F$18,E130='5_categorisation'!$D$19,'5_categorisation'!$F$19,E130='5_categorisation'!$D$20,'5_categorisation'!$F$20,E130='5_categorisation'!$D$21,'5_categorisation'!$F$21,E130='5_categorisation'!$D$22,'5_categorisation'!$F$22)</f>
        <v>gauche</v>
      </c>
      <c r="G130" s="14" t="s">
        <v>668</v>
      </c>
      <c r="H130" s="14" t="s">
        <v>669</v>
      </c>
      <c r="I130" s="14" t="s">
        <v>884</v>
      </c>
      <c r="J130" s="14" t="str">
        <f>IFERROR(__xludf.DUMMYFUNCTION("FILTER(candidats!M:M,candidats!P:P=I130)"),"M")</f>
        <v>M</v>
      </c>
      <c r="K130" s="14">
        <v>47002.0</v>
      </c>
    </row>
    <row r="131">
      <c r="A131" s="13" t="s">
        <v>434</v>
      </c>
      <c r="B131" s="13" t="str">
        <f>IFERROR(__xludf.DUMMYFUNCTION("FILTER('5_categorisation'!C:C,'5_categorisation'!A:A=A131)"),"Hauts-de-France")</f>
        <v>Hauts-de-France</v>
      </c>
      <c r="C131" s="13" t="str">
        <f>IFS(A131='5_categorisation'!$A$2,'5_categorisation'!$B$2,A131='5_categorisation'!$A$3,'5_categorisation'!$B$3,A131='5_categorisation'!$A$4,'5_categorisation'!$B$4,A131='5_categorisation'!$A$5,'5_categorisation'!$B$5,A131='5_categorisation'!$A$6,'5_categorisation'!$B$6,A131='5_categorisation'!$A$7,'5_categorisation'!$B$7,A131='5_categorisation'!$A$8,'5_categorisation'!$B$8,A131='5_categorisation'!$A$9,'5_categorisation'!$B$9,A131='5_categorisation'!$A139,'5_categorisation'!$B$10,A131='5_categorisation'!$A$12,'5_categorisation'!$B$12,A131='5_categorisation'!$A$12,'5_categorisation'!$B$12,A131='5_categorisation'!$A$13,'5_categorisation'!$B$13,A131='5_categorisation'!$A$14,'5_categorisation'!$B$14,A131='5_categorisation'!$A$15,'5_categorisation'!$B$15,A131='5_categorisation'!$A$16,'5_categorisation'!$B$16,A131='5_categorisation'!$A$17,'5_categorisation'!$B$17,A131='5_categorisation'!$A$11,'5_categorisation'!$B$11)</f>
        <v>nord</v>
      </c>
      <c r="D131" s="14">
        <v>1.0</v>
      </c>
      <c r="E131" s="14" t="s">
        <v>9</v>
      </c>
      <c r="F131" s="14" t="str">
        <f>ifs(E131='5_categorisation'!$D$2,'5_categorisation'!$F$2,E131='5_categorisation'!$D$3,'5_categorisation'!$F$3,E131='5_categorisation'!$D$4,'5_categorisation'!$F$4,E131='5_categorisation'!$D$5,'5_categorisation'!$F$5,E131='5_categorisation'!$D$6,'5_categorisation'!$F$6,E131='5_categorisation'!$D$7,'5_categorisation'!$F$7,E131='5_categorisation'!$D$8,'5_categorisation'!$F$8,E131='5_categorisation'!$D$9,'5_categorisation'!$F$9,E131='5_categorisation'!$D$10,'5_categorisation'!$F$10,E131='5_categorisation'!$D$11,'5_categorisation'!$F$11,E131='5_categorisation'!$D$12,'5_categorisation'!$F$12,E131='5_categorisation'!$D$13,'5_categorisation'!$F$13,E131='5_categorisation'!$D$14,'5_categorisation'!$F$14,E131='5_categorisation'!$D$15,'5_categorisation'!$F$15,E131='5_categorisation'!$D$16,'5_categorisation'!$F$16,E131='5_categorisation'!$D$17,'5_categorisation'!$F$17,E131='5_categorisation'!$D$18,'5_categorisation'!$F$18,E131='5_categorisation'!$D$19,'5_categorisation'!$F$19,E131='5_categorisation'!$D$20,'5_categorisation'!$F$20,E131='5_categorisation'!$D$21,'5_categorisation'!$F$21,E131='5_categorisation'!$D$22,'5_categorisation'!$F$22)</f>
        <v>gauche</v>
      </c>
      <c r="G131" s="14" t="s">
        <v>304</v>
      </c>
      <c r="H131" s="14" t="s">
        <v>885</v>
      </c>
      <c r="I131" s="14" t="s">
        <v>886</v>
      </c>
      <c r="J131" s="14" t="str">
        <f>IFERROR(__xludf.DUMMYFUNCTION("FILTER(candidats!M:M,candidats!P:P=I131)"),"M")</f>
        <v>M</v>
      </c>
      <c r="K131" s="14">
        <v>119081.0</v>
      </c>
    </row>
    <row r="132">
      <c r="A132" s="13" t="s">
        <v>434</v>
      </c>
      <c r="B132" s="13" t="str">
        <f>IFERROR(__xludf.DUMMYFUNCTION("FILTER('5_categorisation'!C:C,'5_categorisation'!A:A=A132)"),"Hauts-de-France")</f>
        <v>Hauts-de-France</v>
      </c>
      <c r="C132" s="13" t="str">
        <f>IFS(A132='5_categorisation'!$A$2,'5_categorisation'!$B$2,A132='5_categorisation'!$A$3,'5_categorisation'!$B$3,A132='5_categorisation'!$A$4,'5_categorisation'!$B$4,A132='5_categorisation'!$A$5,'5_categorisation'!$B$5,A132='5_categorisation'!$A$6,'5_categorisation'!$B$6,A132='5_categorisation'!$A$7,'5_categorisation'!$B$7,A132='5_categorisation'!$A$8,'5_categorisation'!$B$8,A132='5_categorisation'!$A$9,'5_categorisation'!$B$9,A132='5_categorisation'!$A140,'5_categorisation'!$B$10,A132='5_categorisation'!$A$12,'5_categorisation'!$B$12,A132='5_categorisation'!$A$12,'5_categorisation'!$B$12,A132='5_categorisation'!$A$13,'5_categorisation'!$B$13,A132='5_categorisation'!$A$14,'5_categorisation'!$B$14,A132='5_categorisation'!$A$15,'5_categorisation'!$B$15,A132='5_categorisation'!$A$16,'5_categorisation'!$B$16,A132='5_categorisation'!$A$17,'5_categorisation'!$B$17,A132='5_categorisation'!$A$11,'5_categorisation'!$B$11)</f>
        <v>nord</v>
      </c>
      <c r="D132" s="14">
        <v>2.0</v>
      </c>
      <c r="E132" s="14" t="s">
        <v>43</v>
      </c>
      <c r="F132" s="14" t="str">
        <f>ifs(E132='5_categorisation'!$D$2,'5_categorisation'!$F$2,E132='5_categorisation'!$D$3,'5_categorisation'!$F$3,E132='5_categorisation'!$D$4,'5_categorisation'!$F$4,E132='5_categorisation'!$D$5,'5_categorisation'!$F$5,E132='5_categorisation'!$D$6,'5_categorisation'!$F$6,E132='5_categorisation'!$D$7,'5_categorisation'!$F$7,E132='5_categorisation'!$D$8,'5_categorisation'!$F$8,E132='5_categorisation'!$D$9,'5_categorisation'!$F$9,E132='5_categorisation'!$D$10,'5_categorisation'!$F$10,E132='5_categorisation'!$D$11,'5_categorisation'!$F$11,E132='5_categorisation'!$D$12,'5_categorisation'!$F$12,E132='5_categorisation'!$D$13,'5_categorisation'!$F$13,E132='5_categorisation'!$D$14,'5_categorisation'!$F$14,E132='5_categorisation'!$D$15,'5_categorisation'!$F$15,E132='5_categorisation'!$D$16,'5_categorisation'!$F$16,E132='5_categorisation'!$D$17,'5_categorisation'!$F$17,E132='5_categorisation'!$D$18,'5_categorisation'!$F$18,E132='5_categorisation'!$D$19,'5_categorisation'!$F$19,E132='5_categorisation'!$D$20,'5_categorisation'!$F$20,E132='5_categorisation'!$D$21,'5_categorisation'!$F$21,E132='5_categorisation'!$D$22,'5_categorisation'!$F$22)</f>
        <v>droite</v>
      </c>
      <c r="G132" s="14" t="s">
        <v>440</v>
      </c>
      <c r="H132" s="14" t="s">
        <v>441</v>
      </c>
      <c r="I132" s="14" t="s">
        <v>887</v>
      </c>
      <c r="J132" s="14" t="str">
        <f>IFERROR(__xludf.DUMMYFUNCTION("FILTER(candidats!M:M,candidats!P:P=I132)"),"F")</f>
        <v>F</v>
      </c>
      <c r="K132" s="14">
        <v>909025.0</v>
      </c>
    </row>
    <row r="133">
      <c r="A133" s="13" t="s">
        <v>434</v>
      </c>
      <c r="B133" s="13" t="str">
        <f>IFERROR(__xludf.DUMMYFUNCTION("FILTER('5_categorisation'!C:C,'5_categorisation'!A:A=A133)"),"Hauts-de-France")</f>
        <v>Hauts-de-France</v>
      </c>
      <c r="C133" s="13" t="str">
        <f>IFS(A133='5_categorisation'!$A$2,'5_categorisation'!$B$2,A133='5_categorisation'!$A$3,'5_categorisation'!$B$3,A133='5_categorisation'!$A$4,'5_categorisation'!$B$4,A133='5_categorisation'!$A$5,'5_categorisation'!$B$5,A133='5_categorisation'!$A$6,'5_categorisation'!$B$6,A133='5_categorisation'!$A$7,'5_categorisation'!$B$7,A133='5_categorisation'!$A$8,'5_categorisation'!$B$8,A133='5_categorisation'!$A$9,'5_categorisation'!$B$9,A133='5_categorisation'!$A141,'5_categorisation'!$B$10,A133='5_categorisation'!$A$12,'5_categorisation'!$B$12,A133='5_categorisation'!$A$12,'5_categorisation'!$B$12,A133='5_categorisation'!$A$13,'5_categorisation'!$B$13,A133='5_categorisation'!$A$14,'5_categorisation'!$B$14,A133='5_categorisation'!$A$15,'5_categorisation'!$B$15,A133='5_categorisation'!$A$16,'5_categorisation'!$B$16,A133='5_categorisation'!$A$17,'5_categorisation'!$B$17,A133='5_categorisation'!$A$11,'5_categorisation'!$B$11)</f>
        <v>nord</v>
      </c>
      <c r="D133" s="15">
        <v>3.0</v>
      </c>
      <c r="E133" s="15" t="s">
        <v>3</v>
      </c>
      <c r="F133" s="14" t="str">
        <f>ifs(E133='5_categorisation'!$D$2,'5_categorisation'!$F$2,E133='5_categorisation'!$D$3,'5_categorisation'!$F$3,E133='5_categorisation'!$D$4,'5_categorisation'!$F$4,E133='5_categorisation'!$D$5,'5_categorisation'!$F$5,E133='5_categorisation'!$D$6,'5_categorisation'!$F$6,E133='5_categorisation'!$D$7,'5_categorisation'!$F$7,E133='5_categorisation'!$D$8,'5_categorisation'!$F$8,E133='5_categorisation'!$D$9,'5_categorisation'!$F$9,E133='5_categorisation'!$D$10,'5_categorisation'!$F$10,E133='5_categorisation'!$D$11,'5_categorisation'!$F$11,E133='5_categorisation'!$D$12,'5_categorisation'!$F$12,E133='5_categorisation'!$D$13,'5_categorisation'!$F$13,E133='5_categorisation'!$D$14,'5_categorisation'!$F$14,E133='5_categorisation'!$D$15,'5_categorisation'!$F$15,E133='5_categorisation'!$D$16,'5_categorisation'!$F$16,E133='5_categorisation'!$D$17,'5_categorisation'!$F$17,E133='5_categorisation'!$D$18,'5_categorisation'!$F$18,E133='5_categorisation'!$D$19,'5_categorisation'!$F$19,E133='5_categorisation'!$D$20,'5_categorisation'!$F$20,E133='5_categorisation'!$D$21,'5_categorisation'!$F$21,E133='5_categorisation'!$D$22,'5_categorisation'!$F$22)</f>
        <v>gauche</v>
      </c>
      <c r="G133" s="15" t="s">
        <v>389</v>
      </c>
      <c r="H133" s="15" t="s">
        <v>114</v>
      </c>
      <c r="I133" s="15" t="s">
        <v>888</v>
      </c>
      <c r="J133" s="14" t="str">
        <f>IFERROR(__xludf.DUMMYFUNCTION("FILTER(candidats!M:M,candidats!P:P=I133)"),"M")</f>
        <v>M</v>
      </c>
      <c r="K133" s="15">
        <v>39041.0</v>
      </c>
    </row>
    <row r="134">
      <c r="A134" s="13" t="s">
        <v>434</v>
      </c>
      <c r="B134" s="13" t="str">
        <f>IFERROR(__xludf.DUMMYFUNCTION("FILTER('5_categorisation'!C:C,'5_categorisation'!A:A=A134)"),"Hauts-de-France")</f>
        <v>Hauts-de-France</v>
      </c>
      <c r="C134" s="13" t="str">
        <f>IFS(A134='5_categorisation'!$A$2,'5_categorisation'!$B$2,A134='5_categorisation'!$A$3,'5_categorisation'!$B$3,A134='5_categorisation'!$A$4,'5_categorisation'!$B$4,A134='5_categorisation'!$A$5,'5_categorisation'!$B$5,A134='5_categorisation'!$A$6,'5_categorisation'!$B$6,A134='5_categorisation'!$A$7,'5_categorisation'!$B$7,A134='5_categorisation'!$A$8,'5_categorisation'!$B$8,A134='5_categorisation'!$A$9,'5_categorisation'!$B$9,A134='5_categorisation'!$A142,'5_categorisation'!$B$10,A134='5_categorisation'!$A$12,'5_categorisation'!$B$12,A134='5_categorisation'!$A$12,'5_categorisation'!$B$12,A134='5_categorisation'!$A$13,'5_categorisation'!$B$13,A134='5_categorisation'!$A$14,'5_categorisation'!$B$14,A134='5_categorisation'!$A$15,'5_categorisation'!$B$15,A134='5_categorisation'!$A$16,'5_categorisation'!$B$16,A134='5_categorisation'!$A$17,'5_categorisation'!$B$17,A134='5_categorisation'!$A$11,'5_categorisation'!$B$11)</f>
        <v>nord</v>
      </c>
      <c r="D134" s="14">
        <v>4.0</v>
      </c>
      <c r="E134" s="14" t="s">
        <v>25</v>
      </c>
      <c r="F134" s="14" t="str">
        <f>ifs(E134='5_categorisation'!$D$2,'5_categorisation'!$F$2,E134='5_categorisation'!$D$3,'5_categorisation'!$F$3,E134='5_categorisation'!$D$4,'5_categorisation'!$F$4,E134='5_categorisation'!$D$5,'5_categorisation'!$F$5,E134='5_categorisation'!$D$6,'5_categorisation'!$F$6,E134='5_categorisation'!$D$7,'5_categorisation'!$F$7,E134='5_categorisation'!$D$8,'5_categorisation'!$F$8,E134='5_categorisation'!$D$9,'5_categorisation'!$F$9,E134='5_categorisation'!$D$10,'5_categorisation'!$F$10,E134='5_categorisation'!$D$11,'5_categorisation'!$F$11,E134='5_categorisation'!$D$12,'5_categorisation'!$F$12,E134='5_categorisation'!$D$13,'5_categorisation'!$F$13,E134='5_categorisation'!$D$14,'5_categorisation'!$F$14,E134='5_categorisation'!$D$15,'5_categorisation'!$F$15,E134='5_categorisation'!$D$16,'5_categorisation'!$F$16,E134='5_categorisation'!$D$17,'5_categorisation'!$F$17,E134='5_categorisation'!$D$18,'5_categorisation'!$F$18,E134='5_categorisation'!$D$19,'5_categorisation'!$F$19,E134='5_categorisation'!$D$20,'5_categorisation'!$F$20,E134='5_categorisation'!$D$21,'5_categorisation'!$F$21,E134='5_categorisation'!$D$22,'5_categorisation'!$F$22)</f>
        <v>autre</v>
      </c>
      <c r="G134" s="14" t="s">
        <v>107</v>
      </c>
      <c r="H134" s="14" t="s">
        <v>229</v>
      </c>
      <c r="I134" s="14" t="s">
        <v>889</v>
      </c>
      <c r="J134" s="14" t="str">
        <f>IFERROR(__xludf.DUMMYFUNCTION("FILTER(candidats!M:M,candidats!P:P=I134)"),"M")</f>
        <v>M</v>
      </c>
      <c r="K134" s="14">
        <v>14345.0</v>
      </c>
    </row>
    <row r="135">
      <c r="A135" s="13" t="s">
        <v>434</v>
      </c>
      <c r="B135" s="13" t="str">
        <f>IFERROR(__xludf.DUMMYFUNCTION("FILTER('5_categorisation'!C:C,'5_categorisation'!A:A=A135)"),"Hauts-de-France")</f>
        <v>Hauts-de-France</v>
      </c>
      <c r="C135" s="13" t="str">
        <f>IFS(A135='5_categorisation'!$A$2,'5_categorisation'!$B$2,A135='5_categorisation'!$A$3,'5_categorisation'!$B$3,A135='5_categorisation'!$A$4,'5_categorisation'!$B$4,A135='5_categorisation'!$A$5,'5_categorisation'!$B$5,A135='5_categorisation'!$A$6,'5_categorisation'!$B$6,A135='5_categorisation'!$A$7,'5_categorisation'!$B$7,A135='5_categorisation'!$A$8,'5_categorisation'!$B$8,A135='5_categorisation'!$A$9,'5_categorisation'!$B$9,A135='5_categorisation'!$A143,'5_categorisation'!$B$10,A135='5_categorisation'!$A$12,'5_categorisation'!$B$12,A135='5_categorisation'!$A$12,'5_categorisation'!$B$12,A135='5_categorisation'!$A$13,'5_categorisation'!$B$13,A135='5_categorisation'!$A$14,'5_categorisation'!$B$14,A135='5_categorisation'!$A$15,'5_categorisation'!$B$15,A135='5_categorisation'!$A$16,'5_categorisation'!$B$16,A135='5_categorisation'!$A$17,'5_categorisation'!$B$17,A135='5_categorisation'!$A$11,'5_categorisation'!$B$11)</f>
        <v>nord</v>
      </c>
      <c r="D135" s="14">
        <v>5.0</v>
      </c>
      <c r="E135" s="14" t="s">
        <v>15</v>
      </c>
      <c r="F135" s="14" t="str">
        <f>ifs(E135='5_categorisation'!$D$2,'5_categorisation'!$F$2,E135='5_categorisation'!$D$3,'5_categorisation'!$F$3,E135='5_categorisation'!$D$4,'5_categorisation'!$F$4,E135='5_categorisation'!$D$5,'5_categorisation'!$F$5,E135='5_categorisation'!$D$6,'5_categorisation'!$F$6,E135='5_categorisation'!$D$7,'5_categorisation'!$F$7,E135='5_categorisation'!$D$8,'5_categorisation'!$F$8,E135='5_categorisation'!$D$9,'5_categorisation'!$F$9,E135='5_categorisation'!$D$10,'5_categorisation'!$F$10,E135='5_categorisation'!$D$11,'5_categorisation'!$F$11,E135='5_categorisation'!$D$12,'5_categorisation'!$F$12,E135='5_categorisation'!$D$13,'5_categorisation'!$F$13,E135='5_categorisation'!$D$14,'5_categorisation'!$F$14,E135='5_categorisation'!$D$15,'5_categorisation'!$F$15,E135='5_categorisation'!$D$16,'5_categorisation'!$F$16,E135='5_categorisation'!$D$17,'5_categorisation'!$F$17,E135='5_categorisation'!$D$18,'5_categorisation'!$F$18,E135='5_categorisation'!$D$19,'5_categorisation'!$F$19,E135='5_categorisation'!$D$20,'5_categorisation'!$F$20,E135='5_categorisation'!$D$21,'5_categorisation'!$F$21,E135='5_categorisation'!$D$22,'5_categorisation'!$F$22)</f>
        <v>gauche</v>
      </c>
      <c r="G135" s="14" t="s">
        <v>446</v>
      </c>
      <c r="H135" s="14" t="s">
        <v>447</v>
      </c>
      <c r="I135" s="14" t="s">
        <v>890</v>
      </c>
      <c r="J135" s="14" t="str">
        <f>IFERROR(__xludf.DUMMYFUNCTION("FILTER(candidats!M:M,candidats!P:P=I135)"),"M")</f>
        <v>M</v>
      </c>
      <c r="K135" s="14">
        <v>405199.0</v>
      </c>
    </row>
    <row r="136">
      <c r="A136" s="15" t="s">
        <v>434</v>
      </c>
      <c r="B136" s="13" t="str">
        <f>IFERROR(__xludf.DUMMYFUNCTION("FILTER('5_categorisation'!C:C,'5_categorisation'!A:A=A136)"),"Hauts-de-France")</f>
        <v>Hauts-de-France</v>
      </c>
      <c r="C136" s="13" t="str">
        <f>IFS(A136='5_categorisation'!$A$2,'5_categorisation'!$B$2,A136='5_categorisation'!$A$3,'5_categorisation'!$B$3,A136='5_categorisation'!$A$4,'5_categorisation'!$B$4,A136='5_categorisation'!$A$5,'5_categorisation'!$B$5,A136='5_categorisation'!$A$6,'5_categorisation'!$B$6,A136='5_categorisation'!$A$7,'5_categorisation'!$B$7,A136='5_categorisation'!$A$8,'5_categorisation'!$B$8,A136='5_categorisation'!$A$9,'5_categorisation'!$B$9,A136='5_categorisation'!$A144,'5_categorisation'!$B$10,A136='5_categorisation'!$A$12,'5_categorisation'!$B$12,A136='5_categorisation'!$A$12,'5_categorisation'!$B$12,A136='5_categorisation'!$A$13,'5_categorisation'!$B$13,A136='5_categorisation'!$A$14,'5_categorisation'!$B$14,A136='5_categorisation'!$A$15,'5_categorisation'!$B$15,A136='5_categorisation'!$A$16,'5_categorisation'!$B$16,A136='5_categorisation'!$A$17,'5_categorisation'!$B$17,A136='5_categorisation'!$A$11,'5_categorisation'!$B$11)</f>
        <v>nord</v>
      </c>
      <c r="D136" s="15">
        <v>6.0</v>
      </c>
      <c r="E136" s="15" t="s">
        <v>37</v>
      </c>
      <c r="F136" s="14" t="str">
        <f>ifs(E136='5_categorisation'!$D$2,'5_categorisation'!$F$2,E136='5_categorisation'!$D$3,'5_categorisation'!$F$3,E136='5_categorisation'!$D$4,'5_categorisation'!$F$4,E136='5_categorisation'!$D$5,'5_categorisation'!$F$5,E136='5_categorisation'!$D$6,'5_categorisation'!$F$6,E136='5_categorisation'!$D$7,'5_categorisation'!$F$7,E136='5_categorisation'!$D$8,'5_categorisation'!$F$8,E136='5_categorisation'!$D$9,'5_categorisation'!$F$9,E136='5_categorisation'!$D$10,'5_categorisation'!$F$10,E136='5_categorisation'!$D$11,'5_categorisation'!$F$11,E136='5_categorisation'!$D$12,'5_categorisation'!$F$12,E136='5_categorisation'!$D$13,'5_categorisation'!$F$13,E136='5_categorisation'!$D$14,'5_categorisation'!$F$14,E136='5_categorisation'!$D$15,'5_categorisation'!$F$15,E136='5_categorisation'!$D$16,'5_categorisation'!$F$16,E136='5_categorisation'!$D$17,'5_categorisation'!$F$17,E136='5_categorisation'!$D$18,'5_categorisation'!$F$18,E136='5_categorisation'!$D$19,'5_categorisation'!$F$19,E136='5_categorisation'!$D$20,'5_categorisation'!$F$20,E136='5_categorisation'!$D$21,'5_categorisation'!$F$21,E136='5_categorisation'!$D$22,'5_categorisation'!$F$22)</f>
        <v>droite</v>
      </c>
      <c r="G136" s="15" t="s">
        <v>450</v>
      </c>
      <c r="H136" s="15" t="s">
        <v>451</v>
      </c>
      <c r="I136" s="15" t="s">
        <v>891</v>
      </c>
      <c r="J136" s="14" t="str">
        <f>IFERROR(__xludf.DUMMYFUNCTION("FILTER(candidats!M:M,candidats!P:P=I136)"),"M")</f>
        <v>M</v>
      </c>
      <c r="K136" s="15">
        <v>558420.0</v>
      </c>
    </row>
    <row r="137">
      <c r="A137" s="13" t="s">
        <v>434</v>
      </c>
      <c r="B137" s="13" t="str">
        <f>IFERROR(__xludf.DUMMYFUNCTION("FILTER('5_categorisation'!C:C,'5_categorisation'!A:A=A137)"),"Hauts-de-France")</f>
        <v>Hauts-de-France</v>
      </c>
      <c r="C137" s="13" t="str">
        <f>IFS(A137='5_categorisation'!$A$2,'5_categorisation'!$B$2,A137='5_categorisation'!$A$3,'5_categorisation'!$B$3,A137='5_categorisation'!$A$4,'5_categorisation'!$B$4,A137='5_categorisation'!$A$5,'5_categorisation'!$B$5,A137='5_categorisation'!$A$6,'5_categorisation'!$B$6,A137='5_categorisation'!$A$7,'5_categorisation'!$B$7,A137='5_categorisation'!$A$8,'5_categorisation'!$B$8,A137='5_categorisation'!$A$9,'5_categorisation'!$B$9,A137='5_categorisation'!$A145,'5_categorisation'!$B$10,A137='5_categorisation'!$A$12,'5_categorisation'!$B$12,A137='5_categorisation'!$A$12,'5_categorisation'!$B$12,A137='5_categorisation'!$A$13,'5_categorisation'!$B$13,A137='5_categorisation'!$A$14,'5_categorisation'!$B$14,A137='5_categorisation'!$A$15,'5_categorisation'!$B$15,A137='5_categorisation'!$A$16,'5_categorisation'!$B$16,A137='5_categorisation'!$A$17,'5_categorisation'!$B$17,A137='5_categorisation'!$A$11,'5_categorisation'!$B$11)</f>
        <v>nord</v>
      </c>
      <c r="D137" s="14">
        <v>7.0</v>
      </c>
      <c r="E137" s="14" t="s">
        <v>39</v>
      </c>
      <c r="F137" s="14" t="str">
        <f>ifs(E137='5_categorisation'!$D$2,'5_categorisation'!$F$2,E137='5_categorisation'!$D$3,'5_categorisation'!$F$3,E137='5_categorisation'!$D$4,'5_categorisation'!$F$4,E137='5_categorisation'!$D$5,'5_categorisation'!$F$5,E137='5_categorisation'!$D$6,'5_categorisation'!$F$6,E137='5_categorisation'!$D$7,'5_categorisation'!$F$7,E137='5_categorisation'!$D$8,'5_categorisation'!$F$8,E137='5_categorisation'!$D$9,'5_categorisation'!$F$9,E137='5_categorisation'!$D$10,'5_categorisation'!$F$10,E137='5_categorisation'!$D$11,'5_categorisation'!$F$11,E137='5_categorisation'!$D$12,'5_categorisation'!$F$12,E137='5_categorisation'!$D$13,'5_categorisation'!$F$13,E137='5_categorisation'!$D$14,'5_categorisation'!$F$14,E137='5_categorisation'!$D$15,'5_categorisation'!$F$15,E137='5_categorisation'!$D$16,'5_categorisation'!$F$16,E137='5_categorisation'!$D$17,'5_categorisation'!$F$17,E137='5_categorisation'!$D$18,'5_categorisation'!$F$18,E137='5_categorisation'!$D$19,'5_categorisation'!$F$19,E137='5_categorisation'!$D$20,'5_categorisation'!$F$20,E137='5_categorisation'!$D$21,'5_categorisation'!$F$21,E137='5_categorisation'!$D$22,'5_categorisation'!$F$22)</f>
        <v>droite</v>
      </c>
      <c r="G137" s="14" t="s">
        <v>90</v>
      </c>
      <c r="H137" s="14" t="s">
        <v>289</v>
      </c>
      <c r="I137" s="14" t="s">
        <v>892</v>
      </c>
      <c r="J137" s="14" t="str">
        <f>IFERROR(__xludf.DUMMYFUNCTION("FILTER(candidats!M:M,candidats!P:P=I137)"),"M")</f>
        <v>M</v>
      </c>
      <c r="K137" s="14">
        <v>53359.0</v>
      </c>
    </row>
    <row r="138">
      <c r="A138" s="13" t="s">
        <v>434</v>
      </c>
      <c r="B138" s="13" t="str">
        <f>IFERROR(__xludf.DUMMYFUNCTION("FILTER('5_categorisation'!C:C,'5_categorisation'!A:A=A138)"),"Hauts-de-France")</f>
        <v>Hauts-de-France</v>
      </c>
      <c r="C138" s="13" t="str">
        <f>IFS(A138='5_categorisation'!$A$2,'5_categorisation'!$B$2,A138='5_categorisation'!$A$3,'5_categorisation'!$B$3,A138='5_categorisation'!$A$4,'5_categorisation'!$B$4,A138='5_categorisation'!$A$5,'5_categorisation'!$B$5,A138='5_categorisation'!$A$6,'5_categorisation'!$B$6,A138='5_categorisation'!$A$7,'5_categorisation'!$B$7,A138='5_categorisation'!$A$8,'5_categorisation'!$B$8,A138='5_categorisation'!$A$9,'5_categorisation'!$B$9,A138='5_categorisation'!$A146,'5_categorisation'!$B$10,A138='5_categorisation'!$A$12,'5_categorisation'!$B$12,A138='5_categorisation'!$A$12,'5_categorisation'!$B$12,A138='5_categorisation'!$A$13,'5_categorisation'!$B$13,A138='5_categorisation'!$A$14,'5_categorisation'!$B$14,A138='5_categorisation'!$A$15,'5_categorisation'!$B$15,A138='5_categorisation'!$A$16,'5_categorisation'!$B$16,A138='5_categorisation'!$A$17,'5_categorisation'!$B$17,A138='5_categorisation'!$A$11,'5_categorisation'!$B$11)</f>
        <v>nord</v>
      </c>
      <c r="D138" s="14">
        <v>8.0</v>
      </c>
      <c r="E138" s="14" t="s">
        <v>41</v>
      </c>
      <c r="F138" s="14" t="str">
        <f>ifs(E138='5_categorisation'!$D$2,'5_categorisation'!$F$2,E138='5_categorisation'!$D$3,'5_categorisation'!$F$3,E138='5_categorisation'!$D$4,'5_categorisation'!$F$4,E138='5_categorisation'!$D$5,'5_categorisation'!$F$5,E138='5_categorisation'!$D$6,'5_categorisation'!$F$6,E138='5_categorisation'!$D$7,'5_categorisation'!$F$7,E138='5_categorisation'!$D$8,'5_categorisation'!$F$8,E138='5_categorisation'!$D$9,'5_categorisation'!$F$9,E138='5_categorisation'!$D$10,'5_categorisation'!$F$10,E138='5_categorisation'!$D$11,'5_categorisation'!$F$11,E138='5_categorisation'!$D$12,'5_categorisation'!$F$12,E138='5_categorisation'!$D$13,'5_categorisation'!$F$13,E138='5_categorisation'!$D$14,'5_categorisation'!$F$14,E138='5_categorisation'!$D$15,'5_categorisation'!$F$15,E138='5_categorisation'!$D$16,'5_categorisation'!$F$16,E138='5_categorisation'!$D$17,'5_categorisation'!$F$17,E138='5_categorisation'!$D$18,'5_categorisation'!$F$18,E138='5_categorisation'!$D$19,'5_categorisation'!$F$19,E138='5_categorisation'!$D$20,'5_categorisation'!$F$20,E138='5_categorisation'!$D$21,'5_categorisation'!$F$21,E138='5_categorisation'!$D$22,'5_categorisation'!$F$22)</f>
        <v>droite</v>
      </c>
      <c r="G138" s="14" t="s">
        <v>362</v>
      </c>
      <c r="H138" s="14" t="s">
        <v>362</v>
      </c>
      <c r="I138" s="14" t="s">
        <v>893</v>
      </c>
      <c r="J138" s="14" t="str">
        <f>IFERROR(__xludf.DUMMYFUNCTION("FILTER(candidats!M:M,candidats!P:P=I138)"),"M")</f>
        <v>M</v>
      </c>
      <c r="K138" s="14">
        <v>30319.0</v>
      </c>
    </row>
    <row r="139">
      <c r="A139" s="13" t="s">
        <v>434</v>
      </c>
      <c r="B139" s="13" t="str">
        <f>IFERROR(__xludf.DUMMYFUNCTION("FILTER('5_categorisation'!C:C,'5_categorisation'!A:A=A139)"),"Hauts-de-France")</f>
        <v>Hauts-de-France</v>
      </c>
      <c r="C139" s="13" t="str">
        <f>IFS(A139='5_categorisation'!$A$2,'5_categorisation'!$B$2,A139='5_categorisation'!$A$3,'5_categorisation'!$B$3,A139='5_categorisation'!$A$4,'5_categorisation'!$B$4,A139='5_categorisation'!$A$5,'5_categorisation'!$B$5,A139='5_categorisation'!$A$6,'5_categorisation'!$B$6,A139='5_categorisation'!$A$7,'5_categorisation'!$B$7,A139='5_categorisation'!$A$8,'5_categorisation'!$B$8,A139='5_categorisation'!$A$9,'5_categorisation'!$B$9,A139='5_categorisation'!$A147,'5_categorisation'!$B$10,A139='5_categorisation'!$A$12,'5_categorisation'!$B$12,A139='5_categorisation'!$A$12,'5_categorisation'!$B$12,A139='5_categorisation'!$A$13,'5_categorisation'!$B$13,A139='5_categorisation'!$A$14,'5_categorisation'!$B$14,A139='5_categorisation'!$A$15,'5_categorisation'!$B$15,A139='5_categorisation'!$A$16,'5_categorisation'!$B$16,A139='5_categorisation'!$A$17,'5_categorisation'!$B$17,A139='5_categorisation'!$A$11,'5_categorisation'!$B$11)</f>
        <v>nord</v>
      </c>
      <c r="D139" s="14">
        <v>9.0</v>
      </c>
      <c r="E139" s="14" t="s">
        <v>11</v>
      </c>
      <c r="F139" s="14" t="str">
        <f>ifs(E139='5_categorisation'!$D$2,'5_categorisation'!$F$2,E139='5_categorisation'!$D$3,'5_categorisation'!$F$3,E139='5_categorisation'!$D$4,'5_categorisation'!$F$4,E139='5_categorisation'!$D$5,'5_categorisation'!$F$5,E139='5_categorisation'!$D$6,'5_categorisation'!$F$6,E139='5_categorisation'!$D$7,'5_categorisation'!$F$7,E139='5_categorisation'!$D$8,'5_categorisation'!$F$8,E139='5_categorisation'!$D$9,'5_categorisation'!$F$9,E139='5_categorisation'!$D$10,'5_categorisation'!$F$10,E139='5_categorisation'!$D$11,'5_categorisation'!$F$11,E139='5_categorisation'!$D$12,'5_categorisation'!$F$12,E139='5_categorisation'!$D$13,'5_categorisation'!$F$13,E139='5_categorisation'!$D$14,'5_categorisation'!$F$14,E139='5_categorisation'!$D$15,'5_categorisation'!$F$15,E139='5_categorisation'!$D$16,'5_categorisation'!$F$16,E139='5_categorisation'!$D$17,'5_categorisation'!$F$17,E139='5_categorisation'!$D$18,'5_categorisation'!$F$18,E139='5_categorisation'!$D$19,'5_categorisation'!$F$19,E139='5_categorisation'!$D$20,'5_categorisation'!$F$20,E139='5_categorisation'!$D$21,'5_categorisation'!$F$21,E139='5_categorisation'!$D$22,'5_categorisation'!$F$22)</f>
        <v>gauche</v>
      </c>
      <c r="G139" s="14" t="s">
        <v>459</v>
      </c>
      <c r="H139" s="14" t="s">
        <v>460</v>
      </c>
      <c r="I139" s="14" t="s">
        <v>894</v>
      </c>
      <c r="J139" s="14" t="str">
        <f>IFERROR(__xludf.DUMMYFUNCTION("FILTER(candidats!M:M,candidats!P:P=I139)"),"F")</f>
        <v>F</v>
      </c>
      <c r="K139" s="14">
        <v>107993.0</v>
      </c>
    </row>
    <row r="140">
      <c r="A140" s="13" t="s">
        <v>462</v>
      </c>
      <c r="B140" s="13" t="str">
        <f>IFERROR(__xludf.DUMMYFUNCTION("FILTER('5_categorisation'!C:C,'5_categorisation'!A:A=A140)"),"Normandie")</f>
        <v>Normandie</v>
      </c>
      <c r="C140" s="13" t="str">
        <f>IFS(A140='5_categorisation'!$A$2,'5_categorisation'!$B$2,A140='5_categorisation'!$A$3,'5_categorisation'!$B$3,A140='5_categorisation'!$A$4,'5_categorisation'!$B$4,A140='5_categorisation'!$A$5,'5_categorisation'!$B$5,A140='5_categorisation'!$A$6,'5_categorisation'!$B$6,A140='5_categorisation'!$A$7,'5_categorisation'!$B$7,A140='5_categorisation'!$A$8,'5_categorisation'!$B$8,A140='5_categorisation'!$A$9,'5_categorisation'!$B$9,A140='5_categorisation'!$A148,'5_categorisation'!$B$10,A140='5_categorisation'!$A$12,'5_categorisation'!$B$12,A140='5_categorisation'!$A$12,'5_categorisation'!$B$12,A140='5_categorisation'!$A$13,'5_categorisation'!$B$13,A140='5_categorisation'!$A$14,'5_categorisation'!$B$14,A140='5_categorisation'!$A$15,'5_categorisation'!$B$15,A140='5_categorisation'!$A$16,'5_categorisation'!$B$16,A140='5_categorisation'!$A$17,'5_categorisation'!$B$17,A140='5_categorisation'!$A$11,'5_categorisation'!$B$11)</f>
        <v>nord</v>
      </c>
      <c r="D140" s="14">
        <v>1.0</v>
      </c>
      <c r="E140" s="14" t="s">
        <v>39</v>
      </c>
      <c r="F140" s="14" t="str">
        <f>ifs(E140='5_categorisation'!$D$2,'5_categorisation'!$F$2,E140='5_categorisation'!$D$3,'5_categorisation'!$F$3,E140='5_categorisation'!$D$4,'5_categorisation'!$F$4,E140='5_categorisation'!$D$5,'5_categorisation'!$F$5,E140='5_categorisation'!$D$6,'5_categorisation'!$F$6,E140='5_categorisation'!$D$7,'5_categorisation'!$F$7,E140='5_categorisation'!$D$8,'5_categorisation'!$F$8,E140='5_categorisation'!$D$9,'5_categorisation'!$F$9,E140='5_categorisation'!$D$10,'5_categorisation'!$F$10,E140='5_categorisation'!$D$11,'5_categorisation'!$F$11,E140='5_categorisation'!$D$12,'5_categorisation'!$F$12,E140='5_categorisation'!$D$13,'5_categorisation'!$F$13,E140='5_categorisation'!$D$14,'5_categorisation'!$F$14,E140='5_categorisation'!$D$15,'5_categorisation'!$F$15,E140='5_categorisation'!$D$16,'5_categorisation'!$F$16,E140='5_categorisation'!$D$17,'5_categorisation'!$F$17,E140='5_categorisation'!$D$18,'5_categorisation'!$F$18,E140='5_categorisation'!$D$19,'5_categorisation'!$F$19,E140='5_categorisation'!$D$20,'5_categorisation'!$F$20,E140='5_categorisation'!$D$21,'5_categorisation'!$F$21,E140='5_categorisation'!$D$22,'5_categorisation'!$F$22)</f>
        <v>droite</v>
      </c>
      <c r="G140" s="14" t="s">
        <v>90</v>
      </c>
      <c r="H140" s="14" t="s">
        <v>91</v>
      </c>
      <c r="I140" s="14" t="s">
        <v>895</v>
      </c>
      <c r="J140" s="14" t="str">
        <f>IFERROR(__xludf.DUMMYFUNCTION("FILTER(candidats!M:M,candidats!P:P=I140)"),"M")</f>
        <v>M</v>
      </c>
      <c r="K140" s="14">
        <v>47391.0</v>
      </c>
    </row>
    <row r="141">
      <c r="A141" s="13" t="s">
        <v>462</v>
      </c>
      <c r="B141" s="13" t="str">
        <f>IFERROR(__xludf.DUMMYFUNCTION("FILTER('5_categorisation'!C:C,'5_categorisation'!A:A=A141)"),"Normandie")</f>
        <v>Normandie</v>
      </c>
      <c r="C141" s="13" t="str">
        <f>IFS(A141='5_categorisation'!$A$2,'5_categorisation'!$B$2,A141='5_categorisation'!$A$3,'5_categorisation'!$B$3,A141='5_categorisation'!$A$4,'5_categorisation'!$B$4,A141='5_categorisation'!$A$5,'5_categorisation'!$B$5,A141='5_categorisation'!$A$6,'5_categorisation'!$B$6,A141='5_categorisation'!$A$7,'5_categorisation'!$B$7,A141='5_categorisation'!$A$8,'5_categorisation'!$B$8,A141='5_categorisation'!$A$9,'5_categorisation'!$B$9,A141='5_categorisation'!$A149,'5_categorisation'!$B$10,A141='5_categorisation'!$A$12,'5_categorisation'!$B$12,A141='5_categorisation'!$A$12,'5_categorisation'!$B$12,A141='5_categorisation'!$A$13,'5_categorisation'!$B$13,A141='5_categorisation'!$A$14,'5_categorisation'!$B$14,A141='5_categorisation'!$A$15,'5_categorisation'!$B$15,A141='5_categorisation'!$A$16,'5_categorisation'!$B$16,A141='5_categorisation'!$A$17,'5_categorisation'!$B$17,A141='5_categorisation'!$A$11,'5_categorisation'!$B$11)</f>
        <v>nord</v>
      </c>
      <c r="D141" s="14">
        <v>2.0</v>
      </c>
      <c r="E141" s="14" t="s">
        <v>19</v>
      </c>
      <c r="F141" s="14" t="str">
        <f>ifs(E141='5_categorisation'!$D$2,'5_categorisation'!$F$2,E141='5_categorisation'!$D$3,'5_categorisation'!$F$3,E141='5_categorisation'!$D$4,'5_categorisation'!$F$4,E141='5_categorisation'!$D$5,'5_categorisation'!$F$5,E141='5_categorisation'!$D$6,'5_categorisation'!$F$6,E141='5_categorisation'!$D$7,'5_categorisation'!$F$7,E141='5_categorisation'!$D$8,'5_categorisation'!$F$8,E141='5_categorisation'!$D$9,'5_categorisation'!$F$9,E141='5_categorisation'!$D$10,'5_categorisation'!$F$10,E141='5_categorisation'!$D$11,'5_categorisation'!$F$11,E141='5_categorisation'!$D$12,'5_categorisation'!$F$12,E141='5_categorisation'!$D$13,'5_categorisation'!$F$13,E141='5_categorisation'!$D$14,'5_categorisation'!$F$14,E141='5_categorisation'!$D$15,'5_categorisation'!$F$15,E141='5_categorisation'!$D$16,'5_categorisation'!$F$16,E141='5_categorisation'!$D$17,'5_categorisation'!$F$17,E141='5_categorisation'!$D$18,'5_categorisation'!$F$18,E141='5_categorisation'!$D$19,'5_categorisation'!$F$19,E141='5_categorisation'!$D$20,'5_categorisation'!$F$20,E141='5_categorisation'!$D$21,'5_categorisation'!$F$21,E141='5_categorisation'!$D$22,'5_categorisation'!$F$22)</f>
        <v>gauche</v>
      </c>
      <c r="G141" s="14" t="s">
        <v>466</v>
      </c>
      <c r="H141" s="14" t="s">
        <v>466</v>
      </c>
      <c r="I141" s="14" t="s">
        <v>896</v>
      </c>
      <c r="J141" s="14" t="str">
        <f>IFERROR(__xludf.DUMMYFUNCTION("FILTER(candidats!M:M,candidats!P:P=I141)"),"F")</f>
        <v>F</v>
      </c>
      <c r="K141" s="14">
        <v>8981.0</v>
      </c>
    </row>
    <row r="142">
      <c r="A142" s="13" t="s">
        <v>462</v>
      </c>
      <c r="B142" s="13" t="str">
        <f>IFERROR(__xludf.DUMMYFUNCTION("FILTER('5_categorisation'!C:C,'5_categorisation'!A:A=A142)"),"Normandie")</f>
        <v>Normandie</v>
      </c>
      <c r="C142" s="13" t="str">
        <f>IFS(A142='5_categorisation'!$A$2,'5_categorisation'!$B$2,A142='5_categorisation'!$A$3,'5_categorisation'!$B$3,A142='5_categorisation'!$A$4,'5_categorisation'!$B$4,A142='5_categorisation'!$A$5,'5_categorisation'!$B$5,A142='5_categorisation'!$A$6,'5_categorisation'!$B$6,A142='5_categorisation'!$A$7,'5_categorisation'!$B$7,A142='5_categorisation'!$A$8,'5_categorisation'!$B$8,A142='5_categorisation'!$A$9,'5_categorisation'!$B$9,A142='5_categorisation'!$A150,'5_categorisation'!$B$10,A142='5_categorisation'!$A$12,'5_categorisation'!$B$12,A142='5_categorisation'!$A$12,'5_categorisation'!$B$12,A142='5_categorisation'!$A$13,'5_categorisation'!$B$13,A142='5_categorisation'!$A$14,'5_categorisation'!$B$14,A142='5_categorisation'!$A$15,'5_categorisation'!$B$15,A142='5_categorisation'!$A$16,'5_categorisation'!$B$16,A142='5_categorisation'!$A$17,'5_categorisation'!$B$17,A142='5_categorisation'!$A$11,'5_categorisation'!$B$11)</f>
        <v>nord</v>
      </c>
      <c r="D142" s="14">
        <v>3.0</v>
      </c>
      <c r="E142" s="14" t="s">
        <v>21</v>
      </c>
      <c r="F142" s="14" t="str">
        <f>ifs(E142='5_categorisation'!$D$2,'5_categorisation'!$F$2,E142='5_categorisation'!$D$3,'5_categorisation'!$F$3,E142='5_categorisation'!$D$4,'5_categorisation'!$F$4,E142='5_categorisation'!$D$5,'5_categorisation'!$F$5,E142='5_categorisation'!$D$6,'5_categorisation'!$F$6,E142='5_categorisation'!$D$7,'5_categorisation'!$F$7,E142='5_categorisation'!$D$8,'5_categorisation'!$F$8,E142='5_categorisation'!$D$9,'5_categorisation'!$F$9,E142='5_categorisation'!$D$10,'5_categorisation'!$F$10,E142='5_categorisation'!$D$11,'5_categorisation'!$F$11,E142='5_categorisation'!$D$12,'5_categorisation'!$F$12,E142='5_categorisation'!$D$13,'5_categorisation'!$F$13,E142='5_categorisation'!$D$14,'5_categorisation'!$F$14,E142='5_categorisation'!$D$15,'5_categorisation'!$F$15,E142='5_categorisation'!$D$16,'5_categorisation'!$F$16,E142='5_categorisation'!$D$17,'5_categorisation'!$F$17,E142='5_categorisation'!$D$18,'5_categorisation'!$F$18,E142='5_categorisation'!$D$19,'5_categorisation'!$F$19,E142='5_categorisation'!$D$20,'5_categorisation'!$F$20,E142='5_categorisation'!$D$21,'5_categorisation'!$F$21,E142='5_categorisation'!$D$22,'5_categorisation'!$F$22)</f>
        <v>gauche</v>
      </c>
      <c r="G142" s="14" t="s">
        <v>470</v>
      </c>
      <c r="H142" s="14" t="s">
        <v>471</v>
      </c>
      <c r="I142" s="14" t="s">
        <v>897</v>
      </c>
      <c r="J142" s="14" t="str">
        <f>IFERROR(__xludf.DUMMYFUNCTION("FILTER(candidats!M:M,candidats!P:P=I142)"),"M")</f>
        <v>M</v>
      </c>
      <c r="K142" s="14">
        <v>70231.0</v>
      </c>
    </row>
    <row r="143">
      <c r="A143" s="13" t="s">
        <v>462</v>
      </c>
      <c r="B143" s="13" t="str">
        <f>IFERROR(__xludf.DUMMYFUNCTION("FILTER('5_categorisation'!C:C,'5_categorisation'!A:A=A143)"),"Normandie")</f>
        <v>Normandie</v>
      </c>
      <c r="C143" s="13" t="str">
        <f>IFS(A143='5_categorisation'!$A$2,'5_categorisation'!$B$2,A143='5_categorisation'!$A$3,'5_categorisation'!$B$3,A143='5_categorisation'!$A$4,'5_categorisation'!$B$4,A143='5_categorisation'!$A$5,'5_categorisation'!$B$5,A143='5_categorisation'!$A$6,'5_categorisation'!$B$6,A143='5_categorisation'!$A$7,'5_categorisation'!$B$7,A143='5_categorisation'!$A$8,'5_categorisation'!$B$8,A143='5_categorisation'!$A$9,'5_categorisation'!$B$9,A143='5_categorisation'!$A151,'5_categorisation'!$B$10,A143='5_categorisation'!$A$12,'5_categorisation'!$B$12,A143='5_categorisation'!$A$12,'5_categorisation'!$B$12,A143='5_categorisation'!$A$13,'5_categorisation'!$B$13,A143='5_categorisation'!$A$14,'5_categorisation'!$B$14,A143='5_categorisation'!$A$15,'5_categorisation'!$B$15,A143='5_categorisation'!$A$16,'5_categorisation'!$B$16,A143='5_categorisation'!$A$17,'5_categorisation'!$B$17,A143='5_categorisation'!$A$11,'5_categorisation'!$B$11)</f>
        <v>nord</v>
      </c>
      <c r="D143" s="15">
        <v>4.0</v>
      </c>
      <c r="E143" s="15" t="s">
        <v>3</v>
      </c>
      <c r="F143" s="14" t="str">
        <f>ifs(E143='5_categorisation'!$D$2,'5_categorisation'!$F$2,E143='5_categorisation'!$D$3,'5_categorisation'!$F$3,E143='5_categorisation'!$D$4,'5_categorisation'!$F$4,E143='5_categorisation'!$D$5,'5_categorisation'!$F$5,E143='5_categorisation'!$D$6,'5_categorisation'!$F$6,E143='5_categorisation'!$D$7,'5_categorisation'!$F$7,E143='5_categorisation'!$D$8,'5_categorisation'!$F$8,E143='5_categorisation'!$D$9,'5_categorisation'!$F$9,E143='5_categorisation'!$D$10,'5_categorisation'!$F$10,E143='5_categorisation'!$D$11,'5_categorisation'!$F$11,E143='5_categorisation'!$D$12,'5_categorisation'!$F$12,E143='5_categorisation'!$D$13,'5_categorisation'!$F$13,E143='5_categorisation'!$D$14,'5_categorisation'!$F$14,E143='5_categorisation'!$D$15,'5_categorisation'!$F$15,E143='5_categorisation'!$D$16,'5_categorisation'!$F$16,E143='5_categorisation'!$D$17,'5_categorisation'!$F$17,E143='5_categorisation'!$D$18,'5_categorisation'!$F$18,E143='5_categorisation'!$D$19,'5_categorisation'!$F$19,E143='5_categorisation'!$D$20,'5_categorisation'!$F$20,E143='5_categorisation'!$D$21,'5_categorisation'!$F$21,E143='5_categorisation'!$D$22,'5_categorisation'!$F$22)</f>
        <v>gauche</v>
      </c>
      <c r="G143" s="15" t="s">
        <v>389</v>
      </c>
      <c r="H143" s="15" t="s">
        <v>476</v>
      </c>
      <c r="I143" s="15" t="s">
        <v>898</v>
      </c>
      <c r="J143" s="14" t="str">
        <f>IFERROR(__xludf.DUMMYFUNCTION("FILTER(candidats!M:M,candidats!P:P=I143)"),"M")</f>
        <v>M</v>
      </c>
      <c r="K143" s="15">
        <v>20975.0</v>
      </c>
    </row>
    <row r="144">
      <c r="A144" s="13" t="s">
        <v>462</v>
      </c>
      <c r="B144" s="13" t="str">
        <f>IFERROR(__xludf.DUMMYFUNCTION("FILTER('5_categorisation'!C:C,'5_categorisation'!A:A=A144)"),"Normandie")</f>
        <v>Normandie</v>
      </c>
      <c r="C144" s="13" t="str">
        <f>IFS(A144='5_categorisation'!$A$2,'5_categorisation'!$B$2,A144='5_categorisation'!$A$3,'5_categorisation'!$B$3,A144='5_categorisation'!$A$4,'5_categorisation'!$B$4,A144='5_categorisation'!$A$5,'5_categorisation'!$B$5,A144='5_categorisation'!$A$6,'5_categorisation'!$B$6,A144='5_categorisation'!$A$7,'5_categorisation'!$B$7,A144='5_categorisation'!$A$8,'5_categorisation'!$B$8,A144='5_categorisation'!$A$9,'5_categorisation'!$B$9,A144='5_categorisation'!$A152,'5_categorisation'!$B$10,A144='5_categorisation'!$A$12,'5_categorisation'!$B$12,A144='5_categorisation'!$A$12,'5_categorisation'!$B$12,A144='5_categorisation'!$A$13,'5_categorisation'!$B$13,A144='5_categorisation'!$A$14,'5_categorisation'!$B$14,A144='5_categorisation'!$A$15,'5_categorisation'!$B$15,A144='5_categorisation'!$A$16,'5_categorisation'!$B$16,A144='5_categorisation'!$A$17,'5_categorisation'!$B$17,A144='5_categorisation'!$A$11,'5_categorisation'!$B$11)</f>
        <v>nord</v>
      </c>
      <c r="D144" s="14">
        <v>5.0</v>
      </c>
      <c r="E144" s="14" t="s">
        <v>15</v>
      </c>
      <c r="F144" s="14" t="str">
        <f>ifs(E144='5_categorisation'!$D$2,'5_categorisation'!$F$2,E144='5_categorisation'!$D$3,'5_categorisation'!$F$3,E144='5_categorisation'!$D$4,'5_categorisation'!$F$4,E144='5_categorisation'!$D$5,'5_categorisation'!$F$5,E144='5_categorisation'!$D$6,'5_categorisation'!$F$6,E144='5_categorisation'!$D$7,'5_categorisation'!$F$7,E144='5_categorisation'!$D$8,'5_categorisation'!$F$8,E144='5_categorisation'!$D$9,'5_categorisation'!$F$9,E144='5_categorisation'!$D$10,'5_categorisation'!$F$10,E144='5_categorisation'!$D$11,'5_categorisation'!$F$11,E144='5_categorisation'!$D$12,'5_categorisation'!$F$12,E144='5_categorisation'!$D$13,'5_categorisation'!$F$13,E144='5_categorisation'!$D$14,'5_categorisation'!$F$14,E144='5_categorisation'!$D$15,'5_categorisation'!$F$15,E144='5_categorisation'!$D$16,'5_categorisation'!$F$16,E144='5_categorisation'!$D$17,'5_categorisation'!$F$17,E144='5_categorisation'!$D$18,'5_categorisation'!$F$18,E144='5_categorisation'!$D$19,'5_categorisation'!$F$19,E144='5_categorisation'!$D$20,'5_categorisation'!$F$20,E144='5_categorisation'!$D$21,'5_categorisation'!$F$21,E144='5_categorisation'!$D$22,'5_categorisation'!$F$22)</f>
        <v>gauche</v>
      </c>
      <c r="G144" s="14" t="s">
        <v>479</v>
      </c>
      <c r="H144" s="14" t="s">
        <v>480</v>
      </c>
      <c r="I144" s="14" t="s">
        <v>899</v>
      </c>
      <c r="J144" s="14" t="str">
        <f>IFERROR(__xludf.DUMMYFUNCTION("FILTER(candidats!M:M,candidats!P:P=I144)"),"M")</f>
        <v>M</v>
      </c>
      <c r="K144" s="14">
        <v>269127.0</v>
      </c>
    </row>
    <row r="145">
      <c r="A145" s="13" t="s">
        <v>462</v>
      </c>
      <c r="B145" s="13" t="str">
        <f>IFERROR(__xludf.DUMMYFUNCTION("FILTER('5_categorisation'!C:C,'5_categorisation'!A:A=A145)"),"Normandie")</f>
        <v>Normandie</v>
      </c>
      <c r="C145" s="13" t="str">
        <f>IFS(A145='5_categorisation'!$A$2,'5_categorisation'!$B$2,A145='5_categorisation'!$A$3,'5_categorisation'!$B$3,A145='5_categorisation'!$A$4,'5_categorisation'!$B$4,A145='5_categorisation'!$A$5,'5_categorisation'!$B$5,A145='5_categorisation'!$A$6,'5_categorisation'!$B$6,A145='5_categorisation'!$A$7,'5_categorisation'!$B$7,A145='5_categorisation'!$A$8,'5_categorisation'!$B$8,A145='5_categorisation'!$A$9,'5_categorisation'!$B$9,A145='5_categorisation'!$A153,'5_categorisation'!$B$10,A145='5_categorisation'!$A$12,'5_categorisation'!$B$12,A145='5_categorisation'!$A$12,'5_categorisation'!$B$12,A145='5_categorisation'!$A$13,'5_categorisation'!$B$13,A145='5_categorisation'!$A$14,'5_categorisation'!$B$14,A145='5_categorisation'!$A$15,'5_categorisation'!$B$15,A145='5_categorisation'!$A$16,'5_categorisation'!$B$16,A145='5_categorisation'!$A$17,'5_categorisation'!$B$17,A145='5_categorisation'!$A$11,'5_categorisation'!$B$11)</f>
        <v>nord</v>
      </c>
      <c r="D145" s="14">
        <v>6.0</v>
      </c>
      <c r="E145" s="14" t="s">
        <v>43</v>
      </c>
      <c r="F145" s="14" t="str">
        <f>ifs(E145='5_categorisation'!$D$2,'5_categorisation'!$F$2,E145='5_categorisation'!$D$3,'5_categorisation'!$F$3,E145='5_categorisation'!$D$4,'5_categorisation'!$F$4,E145='5_categorisation'!$D$5,'5_categorisation'!$F$5,E145='5_categorisation'!$D$6,'5_categorisation'!$F$6,E145='5_categorisation'!$D$7,'5_categorisation'!$F$7,E145='5_categorisation'!$D$8,'5_categorisation'!$F$8,E145='5_categorisation'!$D$9,'5_categorisation'!$F$9,E145='5_categorisation'!$D$10,'5_categorisation'!$F$10,E145='5_categorisation'!$D$11,'5_categorisation'!$F$11,E145='5_categorisation'!$D$12,'5_categorisation'!$F$12,E145='5_categorisation'!$D$13,'5_categorisation'!$F$13,E145='5_categorisation'!$D$14,'5_categorisation'!$F$14,E145='5_categorisation'!$D$15,'5_categorisation'!$F$15,E145='5_categorisation'!$D$16,'5_categorisation'!$F$16,E145='5_categorisation'!$D$17,'5_categorisation'!$F$17,E145='5_categorisation'!$D$18,'5_categorisation'!$F$18,E145='5_categorisation'!$D$19,'5_categorisation'!$F$19,E145='5_categorisation'!$D$20,'5_categorisation'!$F$20,E145='5_categorisation'!$D$21,'5_categorisation'!$F$21,E145='5_categorisation'!$D$22,'5_categorisation'!$F$22)</f>
        <v>droite</v>
      </c>
      <c r="G145" s="14" t="s">
        <v>482</v>
      </c>
      <c r="H145" s="14" t="s">
        <v>483</v>
      </c>
      <c r="I145" s="14" t="s">
        <v>900</v>
      </c>
      <c r="J145" s="14" t="str">
        <f>IFERROR(__xludf.DUMMYFUNCTION("FILTER(candidats!M:M,candidats!P:P=I145)"),"M")</f>
        <v>M</v>
      </c>
      <c r="K145" s="14">
        <v>317118.0</v>
      </c>
    </row>
    <row r="146">
      <c r="A146" s="13" t="s">
        <v>462</v>
      </c>
      <c r="B146" s="13" t="str">
        <f>IFERROR(__xludf.DUMMYFUNCTION("FILTER('5_categorisation'!C:C,'5_categorisation'!A:A=A146)"),"Normandie")</f>
        <v>Normandie</v>
      </c>
      <c r="C146" s="13" t="str">
        <f>IFS(A146='5_categorisation'!$A$2,'5_categorisation'!$B$2,A146='5_categorisation'!$A$3,'5_categorisation'!$B$3,A146='5_categorisation'!$A$4,'5_categorisation'!$B$4,A146='5_categorisation'!$A$5,'5_categorisation'!$B$5,A146='5_categorisation'!$A$6,'5_categorisation'!$B$6,A146='5_categorisation'!$A$7,'5_categorisation'!$B$7,A146='5_categorisation'!$A$8,'5_categorisation'!$B$8,A146='5_categorisation'!$A$9,'5_categorisation'!$B$9,A146='5_categorisation'!$A154,'5_categorisation'!$B$10,A146='5_categorisation'!$A$12,'5_categorisation'!$B$12,A146='5_categorisation'!$A$12,'5_categorisation'!$B$12,A146='5_categorisation'!$A$13,'5_categorisation'!$B$13,A146='5_categorisation'!$A$14,'5_categorisation'!$B$14,A146='5_categorisation'!$A$15,'5_categorisation'!$B$15,A146='5_categorisation'!$A$16,'5_categorisation'!$B$16,A146='5_categorisation'!$A$17,'5_categorisation'!$B$17,A146='5_categorisation'!$A$11,'5_categorisation'!$B$11)</f>
        <v>nord</v>
      </c>
      <c r="D146" s="14">
        <v>7.0</v>
      </c>
      <c r="E146" s="14" t="s">
        <v>5</v>
      </c>
      <c r="F146" s="14" t="str">
        <f>ifs(E146='5_categorisation'!$D$2,'5_categorisation'!$F$2,E146='5_categorisation'!$D$3,'5_categorisation'!$F$3,E146='5_categorisation'!$D$4,'5_categorisation'!$F$4,E146='5_categorisation'!$D$5,'5_categorisation'!$F$5,E146='5_categorisation'!$D$6,'5_categorisation'!$F$6,E146='5_categorisation'!$D$7,'5_categorisation'!$F$7,E146='5_categorisation'!$D$8,'5_categorisation'!$F$8,E146='5_categorisation'!$D$9,'5_categorisation'!$F$9,E146='5_categorisation'!$D$10,'5_categorisation'!$F$10,E146='5_categorisation'!$D$11,'5_categorisation'!$F$11,E146='5_categorisation'!$D$12,'5_categorisation'!$F$12,E146='5_categorisation'!$D$13,'5_categorisation'!$F$13,E146='5_categorisation'!$D$14,'5_categorisation'!$F$14,E146='5_categorisation'!$D$15,'5_categorisation'!$F$15,E146='5_categorisation'!$D$16,'5_categorisation'!$F$16,E146='5_categorisation'!$D$17,'5_categorisation'!$F$17,E146='5_categorisation'!$D$18,'5_categorisation'!$F$18,E146='5_categorisation'!$D$19,'5_categorisation'!$F$19,E146='5_categorisation'!$D$20,'5_categorisation'!$F$20,E146='5_categorisation'!$D$21,'5_categorisation'!$F$21,E146='5_categorisation'!$D$22,'5_categorisation'!$F$22)</f>
        <v>gauche</v>
      </c>
      <c r="G146" s="14" t="s">
        <v>485</v>
      </c>
      <c r="H146" s="14" t="s">
        <v>486</v>
      </c>
      <c r="I146" s="14" t="s">
        <v>901</v>
      </c>
      <c r="J146" s="14" t="str">
        <f>IFERROR(__xludf.DUMMYFUNCTION("FILTER(candidats!M:M,candidats!P:P=I146)"),"M")</f>
        <v>M</v>
      </c>
      <c r="K146" s="14">
        <v>80590.0</v>
      </c>
    </row>
    <row r="147">
      <c r="A147" s="13" t="s">
        <v>462</v>
      </c>
      <c r="B147" s="13" t="str">
        <f>IFERROR(__xludf.DUMMYFUNCTION("FILTER('5_categorisation'!C:C,'5_categorisation'!A:A=A147)"),"Normandie")</f>
        <v>Normandie</v>
      </c>
      <c r="C147" s="13" t="str">
        <f>IFS(A147='5_categorisation'!$A$2,'5_categorisation'!$B$2,A147='5_categorisation'!$A$3,'5_categorisation'!$B$3,A147='5_categorisation'!$A$4,'5_categorisation'!$B$4,A147='5_categorisation'!$A$5,'5_categorisation'!$B$5,A147='5_categorisation'!$A$6,'5_categorisation'!$B$6,A147='5_categorisation'!$A$7,'5_categorisation'!$B$7,A147='5_categorisation'!$A$8,'5_categorisation'!$B$8,A147='5_categorisation'!$A$9,'5_categorisation'!$B$9,A147='5_categorisation'!$A155,'5_categorisation'!$B$10,A147='5_categorisation'!$A$12,'5_categorisation'!$B$12,A147='5_categorisation'!$A$12,'5_categorisation'!$B$12,A147='5_categorisation'!$A$13,'5_categorisation'!$B$13,A147='5_categorisation'!$A$14,'5_categorisation'!$B$14,A147='5_categorisation'!$A$15,'5_categorisation'!$B$15,A147='5_categorisation'!$A$16,'5_categorisation'!$B$16,A147='5_categorisation'!$A$17,'5_categorisation'!$B$17,A147='5_categorisation'!$A$11,'5_categorisation'!$B$11)</f>
        <v>nord</v>
      </c>
      <c r="D147" s="14">
        <v>8.0</v>
      </c>
      <c r="E147" s="14" t="s">
        <v>37</v>
      </c>
      <c r="F147" s="14" t="str">
        <f>ifs(E147='5_categorisation'!$D$2,'5_categorisation'!$F$2,E147='5_categorisation'!$D$3,'5_categorisation'!$F$3,E147='5_categorisation'!$D$4,'5_categorisation'!$F$4,E147='5_categorisation'!$D$5,'5_categorisation'!$F$5,E147='5_categorisation'!$D$6,'5_categorisation'!$F$6,E147='5_categorisation'!$D$7,'5_categorisation'!$F$7,E147='5_categorisation'!$D$8,'5_categorisation'!$F$8,E147='5_categorisation'!$D$9,'5_categorisation'!$F$9,E147='5_categorisation'!$D$10,'5_categorisation'!$F$10,E147='5_categorisation'!$D$11,'5_categorisation'!$F$11,E147='5_categorisation'!$D$12,'5_categorisation'!$F$12,E147='5_categorisation'!$D$13,'5_categorisation'!$F$13,E147='5_categorisation'!$D$14,'5_categorisation'!$F$14,E147='5_categorisation'!$D$15,'5_categorisation'!$F$15,E147='5_categorisation'!$D$16,'5_categorisation'!$F$16,E147='5_categorisation'!$D$17,'5_categorisation'!$F$17,E147='5_categorisation'!$D$18,'5_categorisation'!$F$18,E147='5_categorisation'!$D$19,'5_categorisation'!$F$19,E147='5_categorisation'!$D$20,'5_categorisation'!$F$20,E147='5_categorisation'!$D$21,'5_categorisation'!$F$21,E147='5_categorisation'!$D$22,'5_categorisation'!$F$22)</f>
        <v>droite</v>
      </c>
      <c r="G147" s="14" t="s">
        <v>489</v>
      </c>
      <c r="H147" s="14" t="s">
        <v>490</v>
      </c>
      <c r="I147" s="14" t="s">
        <v>902</v>
      </c>
      <c r="J147" s="14" t="str">
        <f>IFERROR(__xludf.DUMMYFUNCTION("FILTER(candidats!M:M,candidats!P:P=I147)"),"M")</f>
        <v>M</v>
      </c>
      <c r="K147" s="14">
        <v>319357.0</v>
      </c>
    </row>
    <row r="148">
      <c r="A148" s="15" t="s">
        <v>462</v>
      </c>
      <c r="B148" s="13" t="str">
        <f>IFERROR(__xludf.DUMMYFUNCTION("FILTER('5_categorisation'!C:C,'5_categorisation'!A:A=A148)"),"Normandie")</f>
        <v>Normandie</v>
      </c>
      <c r="C148" s="13" t="str">
        <f>IFS(A148='5_categorisation'!$A$2,'5_categorisation'!$B$2,A148='5_categorisation'!$A$3,'5_categorisation'!$B$3,A148='5_categorisation'!$A$4,'5_categorisation'!$B$4,A148='5_categorisation'!$A$5,'5_categorisation'!$B$5,A148='5_categorisation'!$A$6,'5_categorisation'!$B$6,A148='5_categorisation'!$A$7,'5_categorisation'!$B$7,A148='5_categorisation'!$A$8,'5_categorisation'!$B$8,A148='5_categorisation'!$A$9,'5_categorisation'!$B$9,A148='5_categorisation'!$A156,'5_categorisation'!$B$10,A148='5_categorisation'!$A$12,'5_categorisation'!$B$12,A148='5_categorisation'!$A$12,'5_categorisation'!$B$12,A148='5_categorisation'!$A$13,'5_categorisation'!$B$13,A148='5_categorisation'!$A$14,'5_categorisation'!$B$14,A148='5_categorisation'!$A$15,'5_categorisation'!$B$15,A148='5_categorisation'!$A$16,'5_categorisation'!$B$16,A148='5_categorisation'!$A$17,'5_categorisation'!$B$17,A148='5_categorisation'!$A$11,'5_categorisation'!$B$11)</f>
        <v>nord</v>
      </c>
      <c r="D148" s="15">
        <v>9.0</v>
      </c>
      <c r="E148" s="15" t="s">
        <v>25</v>
      </c>
      <c r="F148" s="14" t="str">
        <f>ifs(E148='5_categorisation'!$D$2,'5_categorisation'!$F$2,E148='5_categorisation'!$D$3,'5_categorisation'!$F$3,E148='5_categorisation'!$D$4,'5_categorisation'!$F$4,E148='5_categorisation'!$D$5,'5_categorisation'!$F$5,E148='5_categorisation'!$D$6,'5_categorisation'!$F$6,E148='5_categorisation'!$D$7,'5_categorisation'!$F$7,E148='5_categorisation'!$D$8,'5_categorisation'!$F$8,E148='5_categorisation'!$D$9,'5_categorisation'!$F$9,E148='5_categorisation'!$D$10,'5_categorisation'!$F$10,E148='5_categorisation'!$D$11,'5_categorisation'!$F$11,E148='5_categorisation'!$D$12,'5_categorisation'!$F$12,E148='5_categorisation'!$D$13,'5_categorisation'!$F$13,E148='5_categorisation'!$D$14,'5_categorisation'!$F$14,E148='5_categorisation'!$D$15,'5_categorisation'!$F$15,E148='5_categorisation'!$D$16,'5_categorisation'!$F$16,E148='5_categorisation'!$D$17,'5_categorisation'!$F$17,E148='5_categorisation'!$D$18,'5_categorisation'!$F$18,E148='5_categorisation'!$D$19,'5_categorisation'!$F$19,E148='5_categorisation'!$D$20,'5_categorisation'!$F$20,E148='5_categorisation'!$D$21,'5_categorisation'!$F$21,E148='5_categorisation'!$D$22,'5_categorisation'!$F$22)</f>
        <v>autre</v>
      </c>
      <c r="G148" s="15" t="s">
        <v>107</v>
      </c>
      <c r="H148" s="15" t="s">
        <v>180</v>
      </c>
      <c r="I148" s="15" t="s">
        <v>903</v>
      </c>
      <c r="J148" s="14" t="str">
        <f>IFERROR(__xludf.DUMMYFUNCTION("FILTER(candidats!M:M,candidats!P:P=I148)"),"M")</f>
        <v>M</v>
      </c>
      <c r="K148" s="15">
        <v>10641.0</v>
      </c>
    </row>
    <row r="149">
      <c r="A149" s="13" t="s">
        <v>496</v>
      </c>
      <c r="B149" s="13" t="str">
        <f>IFERROR(__xludf.DUMMYFUNCTION("FILTER('5_categorisation'!C:C,'5_categorisation'!A:A=A149)"),"Pays de la Loire")</f>
        <v>Pays de la Loire</v>
      </c>
      <c r="C149" s="13" t="str">
        <f>IFS(A149='5_categorisation'!$A$2,'5_categorisation'!$B$2,A149='5_categorisation'!$A$3,'5_categorisation'!$B$3,A149='5_categorisation'!$A$4,'5_categorisation'!$B$4,A149='5_categorisation'!$A$5,'5_categorisation'!$B$5,A149='5_categorisation'!$A$6,'5_categorisation'!$B$6,A149='5_categorisation'!$A$7,'5_categorisation'!$B$7,A149='5_categorisation'!$A$8,'5_categorisation'!$B$8,A149='5_categorisation'!$A$9,'5_categorisation'!$B$9,A149='5_categorisation'!$A157,'5_categorisation'!$B$10,A149='5_categorisation'!$A$12,'5_categorisation'!$B$12,A149='5_categorisation'!$A$12,'5_categorisation'!$B$12,A149='5_categorisation'!$A$13,'5_categorisation'!$B$13,A149='5_categorisation'!$A$14,'5_categorisation'!$B$14,A149='5_categorisation'!$A$15,'5_categorisation'!$B$15,A149='5_categorisation'!$A$16,'5_categorisation'!$B$16,A149='5_categorisation'!$A$17,'5_categorisation'!$B$17,A149='5_categorisation'!$A$11,'5_categorisation'!$B$11)</f>
        <v>ouest</v>
      </c>
      <c r="D149" s="14">
        <v>1.0</v>
      </c>
      <c r="E149" s="14" t="s">
        <v>43</v>
      </c>
      <c r="F149" s="14" t="str">
        <f>ifs(E149='5_categorisation'!$D$2,'5_categorisation'!$F$2,E149='5_categorisation'!$D$3,'5_categorisation'!$F$3,E149='5_categorisation'!$D$4,'5_categorisation'!$F$4,E149='5_categorisation'!$D$5,'5_categorisation'!$F$5,E149='5_categorisation'!$D$6,'5_categorisation'!$F$6,E149='5_categorisation'!$D$7,'5_categorisation'!$F$7,E149='5_categorisation'!$D$8,'5_categorisation'!$F$8,E149='5_categorisation'!$D$9,'5_categorisation'!$F$9,E149='5_categorisation'!$D$10,'5_categorisation'!$F$10,E149='5_categorisation'!$D$11,'5_categorisation'!$F$11,E149='5_categorisation'!$D$12,'5_categorisation'!$F$12,E149='5_categorisation'!$D$13,'5_categorisation'!$F$13,E149='5_categorisation'!$D$14,'5_categorisation'!$F$14,E149='5_categorisation'!$D$15,'5_categorisation'!$F$15,E149='5_categorisation'!$D$16,'5_categorisation'!$F$16,E149='5_categorisation'!$D$17,'5_categorisation'!$F$17,E149='5_categorisation'!$D$18,'5_categorisation'!$F$18,E149='5_categorisation'!$D$19,'5_categorisation'!$F$19,E149='5_categorisation'!$D$20,'5_categorisation'!$F$20,E149='5_categorisation'!$D$21,'5_categorisation'!$F$21,E149='5_categorisation'!$D$22,'5_categorisation'!$F$22)</f>
        <v>droite</v>
      </c>
      <c r="G149" s="14" t="s">
        <v>165</v>
      </c>
      <c r="H149" s="14" t="s">
        <v>498</v>
      </c>
      <c r="I149" s="14" t="s">
        <v>904</v>
      </c>
      <c r="J149" s="14" t="str">
        <f>IFERROR(__xludf.DUMMYFUNCTION("FILTER(candidats!M:M,candidats!P:P=I149)"),"M")</f>
        <v>M</v>
      </c>
      <c r="K149" s="14">
        <v>270888.0</v>
      </c>
    </row>
    <row r="150">
      <c r="A150" s="13" t="s">
        <v>496</v>
      </c>
      <c r="B150" s="13" t="str">
        <f>IFERROR(__xludf.DUMMYFUNCTION("FILTER('5_categorisation'!C:C,'5_categorisation'!A:A=A150)"),"Pays de la Loire")</f>
        <v>Pays de la Loire</v>
      </c>
      <c r="C150" s="13" t="str">
        <f>IFS(A150='5_categorisation'!$A$2,'5_categorisation'!$B$2,A150='5_categorisation'!$A$3,'5_categorisation'!$B$3,A150='5_categorisation'!$A$4,'5_categorisation'!$B$4,A150='5_categorisation'!$A$5,'5_categorisation'!$B$5,A150='5_categorisation'!$A$6,'5_categorisation'!$B$6,A150='5_categorisation'!$A$7,'5_categorisation'!$B$7,A150='5_categorisation'!$A$8,'5_categorisation'!$B$8,A150='5_categorisation'!$A$9,'5_categorisation'!$B$9,A150='5_categorisation'!$A158,'5_categorisation'!$B$10,A150='5_categorisation'!$A$12,'5_categorisation'!$B$12,A150='5_categorisation'!$A$12,'5_categorisation'!$B$12,A150='5_categorisation'!$A$13,'5_categorisation'!$B$13,A150='5_categorisation'!$A$14,'5_categorisation'!$B$14,A150='5_categorisation'!$A$15,'5_categorisation'!$B$15,A150='5_categorisation'!$A$16,'5_categorisation'!$B$16,A150='5_categorisation'!$A$17,'5_categorisation'!$B$17,A150='5_categorisation'!$A$11,'5_categorisation'!$B$11)</f>
        <v>ouest</v>
      </c>
      <c r="D150" s="14">
        <v>2.0</v>
      </c>
      <c r="E150" s="14" t="s">
        <v>28</v>
      </c>
      <c r="F150" s="14" t="str">
        <f>ifs(E150='5_categorisation'!$D$2,'5_categorisation'!$F$2,E150='5_categorisation'!$D$3,'5_categorisation'!$F$3,E150='5_categorisation'!$D$4,'5_categorisation'!$F$4,E150='5_categorisation'!$D$5,'5_categorisation'!$F$5,E150='5_categorisation'!$D$6,'5_categorisation'!$F$6,E150='5_categorisation'!$D$7,'5_categorisation'!$F$7,E150='5_categorisation'!$D$8,'5_categorisation'!$F$8,E150='5_categorisation'!$D$9,'5_categorisation'!$F$9,E150='5_categorisation'!$D$10,'5_categorisation'!$F$10,E150='5_categorisation'!$D$11,'5_categorisation'!$F$11,E150='5_categorisation'!$D$12,'5_categorisation'!$F$12,E150='5_categorisation'!$D$13,'5_categorisation'!$F$13,E150='5_categorisation'!$D$14,'5_categorisation'!$F$14,E150='5_categorisation'!$D$15,'5_categorisation'!$F$15,E150='5_categorisation'!$D$16,'5_categorisation'!$F$16,E150='5_categorisation'!$D$17,'5_categorisation'!$F$17,E150='5_categorisation'!$D$18,'5_categorisation'!$F$18,E150='5_categorisation'!$D$19,'5_categorisation'!$F$19,E150='5_categorisation'!$D$20,'5_categorisation'!$F$20,E150='5_categorisation'!$D$21,'5_categorisation'!$F$21,E150='5_categorisation'!$D$22,'5_categorisation'!$F$22)</f>
        <v>autre</v>
      </c>
      <c r="G150" s="14" t="s">
        <v>501</v>
      </c>
      <c r="H150" s="14" t="s">
        <v>502</v>
      </c>
      <c r="I150" s="14" t="s">
        <v>905</v>
      </c>
      <c r="J150" s="14" t="str">
        <f>IFERROR(__xludf.DUMMYFUNCTION("FILTER(candidats!M:M,candidats!P:P=I150)"),"M")</f>
        <v>M</v>
      </c>
      <c r="K150" s="14">
        <v>16096.0</v>
      </c>
    </row>
    <row r="151">
      <c r="A151" s="13" t="s">
        <v>496</v>
      </c>
      <c r="B151" s="13" t="str">
        <f>IFERROR(__xludf.DUMMYFUNCTION("FILTER('5_categorisation'!C:C,'5_categorisation'!A:A=A151)"),"Pays de la Loire")</f>
        <v>Pays de la Loire</v>
      </c>
      <c r="C151" s="13" t="str">
        <f>IFS(A151='5_categorisation'!$A$2,'5_categorisation'!$B$2,A151='5_categorisation'!$A$3,'5_categorisation'!$B$3,A151='5_categorisation'!$A$4,'5_categorisation'!$B$4,A151='5_categorisation'!$A$5,'5_categorisation'!$B$5,A151='5_categorisation'!$A$6,'5_categorisation'!$B$6,A151='5_categorisation'!$A$7,'5_categorisation'!$B$7,A151='5_categorisation'!$A$8,'5_categorisation'!$B$8,A151='5_categorisation'!$A$9,'5_categorisation'!$B$9,A151='5_categorisation'!$A159,'5_categorisation'!$B$10,A151='5_categorisation'!$A$12,'5_categorisation'!$B$12,A151='5_categorisation'!$A$12,'5_categorisation'!$B$12,A151='5_categorisation'!$A$13,'5_categorisation'!$B$13,A151='5_categorisation'!$A$14,'5_categorisation'!$B$14,A151='5_categorisation'!$A$15,'5_categorisation'!$B$15,A151='5_categorisation'!$A$16,'5_categorisation'!$B$16,A151='5_categorisation'!$A$17,'5_categorisation'!$B$17,A151='5_categorisation'!$A$11,'5_categorisation'!$B$11)</f>
        <v>ouest</v>
      </c>
      <c r="D151" s="14">
        <v>3.0</v>
      </c>
      <c r="E151" s="14" t="s">
        <v>39</v>
      </c>
      <c r="F151" s="14" t="str">
        <f>ifs(E151='5_categorisation'!$D$2,'5_categorisation'!$F$2,E151='5_categorisation'!$D$3,'5_categorisation'!$F$3,E151='5_categorisation'!$D$4,'5_categorisation'!$F$4,E151='5_categorisation'!$D$5,'5_categorisation'!$F$5,E151='5_categorisation'!$D$6,'5_categorisation'!$F$6,E151='5_categorisation'!$D$7,'5_categorisation'!$F$7,E151='5_categorisation'!$D$8,'5_categorisation'!$F$8,E151='5_categorisation'!$D$9,'5_categorisation'!$F$9,E151='5_categorisation'!$D$10,'5_categorisation'!$F$10,E151='5_categorisation'!$D$11,'5_categorisation'!$F$11,E151='5_categorisation'!$D$12,'5_categorisation'!$F$12,E151='5_categorisation'!$D$13,'5_categorisation'!$F$13,E151='5_categorisation'!$D$14,'5_categorisation'!$F$14,E151='5_categorisation'!$D$15,'5_categorisation'!$F$15,E151='5_categorisation'!$D$16,'5_categorisation'!$F$16,E151='5_categorisation'!$D$17,'5_categorisation'!$F$17,E151='5_categorisation'!$D$18,'5_categorisation'!$F$18,E151='5_categorisation'!$D$19,'5_categorisation'!$F$19,E151='5_categorisation'!$D$20,'5_categorisation'!$F$20,E151='5_categorisation'!$D$21,'5_categorisation'!$F$21,E151='5_categorisation'!$D$22,'5_categorisation'!$F$22)</f>
        <v>droite</v>
      </c>
      <c r="G151" s="14" t="s">
        <v>90</v>
      </c>
      <c r="H151" s="14" t="s">
        <v>91</v>
      </c>
      <c r="I151" s="14" t="s">
        <v>906</v>
      </c>
      <c r="J151" s="14" t="str">
        <f>IFERROR(__xludf.DUMMYFUNCTION("FILTER(candidats!M:M,candidats!P:P=I151)"),"F")</f>
        <v>F</v>
      </c>
      <c r="K151" s="14">
        <v>51873.0</v>
      </c>
    </row>
    <row r="152">
      <c r="A152" s="13" t="s">
        <v>496</v>
      </c>
      <c r="B152" s="13" t="str">
        <f>IFERROR(__xludf.DUMMYFUNCTION("FILTER('5_categorisation'!C:C,'5_categorisation'!A:A=A152)"),"Pays de la Loire")</f>
        <v>Pays de la Loire</v>
      </c>
      <c r="C152" s="13" t="str">
        <f>IFS(A152='5_categorisation'!$A$2,'5_categorisation'!$B$2,A152='5_categorisation'!$A$3,'5_categorisation'!$B$3,A152='5_categorisation'!$A$4,'5_categorisation'!$B$4,A152='5_categorisation'!$A$5,'5_categorisation'!$B$5,A152='5_categorisation'!$A$6,'5_categorisation'!$B$6,A152='5_categorisation'!$A$7,'5_categorisation'!$B$7,A152='5_categorisation'!$A$8,'5_categorisation'!$B$8,A152='5_categorisation'!$A$9,'5_categorisation'!$B$9,A152='5_categorisation'!$A160,'5_categorisation'!$B$10,A152='5_categorisation'!$A$12,'5_categorisation'!$B$12,A152='5_categorisation'!$A$12,'5_categorisation'!$B$12,A152='5_categorisation'!$A$13,'5_categorisation'!$B$13,A152='5_categorisation'!$A$14,'5_categorisation'!$B$14,A152='5_categorisation'!$A$15,'5_categorisation'!$B$15,A152='5_categorisation'!$A$16,'5_categorisation'!$B$16,A152='5_categorisation'!$A$17,'5_categorisation'!$B$17,A152='5_categorisation'!$A$11,'5_categorisation'!$B$11)</f>
        <v>ouest</v>
      </c>
      <c r="D152" s="14">
        <v>4.0</v>
      </c>
      <c r="E152" s="14" t="s">
        <v>9</v>
      </c>
      <c r="F152" s="14" t="str">
        <f>ifs(E152='5_categorisation'!$D$2,'5_categorisation'!$F$2,E152='5_categorisation'!$D$3,'5_categorisation'!$F$3,E152='5_categorisation'!$D$4,'5_categorisation'!$F$4,E152='5_categorisation'!$D$5,'5_categorisation'!$F$5,E152='5_categorisation'!$D$6,'5_categorisation'!$F$6,E152='5_categorisation'!$D$7,'5_categorisation'!$F$7,E152='5_categorisation'!$D$8,'5_categorisation'!$F$8,E152='5_categorisation'!$D$9,'5_categorisation'!$F$9,E152='5_categorisation'!$D$10,'5_categorisation'!$F$10,E152='5_categorisation'!$D$11,'5_categorisation'!$F$11,E152='5_categorisation'!$D$12,'5_categorisation'!$F$12,E152='5_categorisation'!$D$13,'5_categorisation'!$F$13,E152='5_categorisation'!$D$14,'5_categorisation'!$F$14,E152='5_categorisation'!$D$15,'5_categorisation'!$F$15,E152='5_categorisation'!$D$16,'5_categorisation'!$F$16,E152='5_categorisation'!$D$17,'5_categorisation'!$F$17,E152='5_categorisation'!$D$18,'5_categorisation'!$F$18,E152='5_categorisation'!$D$19,'5_categorisation'!$F$19,E152='5_categorisation'!$D$20,'5_categorisation'!$F$20,E152='5_categorisation'!$D$21,'5_categorisation'!$F$21,E152='5_categorisation'!$D$22,'5_categorisation'!$F$22)</f>
        <v>gauche</v>
      </c>
      <c r="G152" s="14" t="s">
        <v>304</v>
      </c>
      <c r="H152" s="14" t="s">
        <v>507</v>
      </c>
      <c r="I152" s="14" t="s">
        <v>907</v>
      </c>
      <c r="J152" s="14" t="str">
        <f>IFERROR(__xludf.DUMMYFUNCTION("FILTER(candidats!M:M,candidats!P:P=I152)"),"M")</f>
        <v>M</v>
      </c>
      <c r="K152" s="14">
        <v>42305.0</v>
      </c>
    </row>
    <row r="153">
      <c r="A153" s="13" t="s">
        <v>496</v>
      </c>
      <c r="B153" s="13" t="str">
        <f>IFERROR(__xludf.DUMMYFUNCTION("FILTER('5_categorisation'!C:C,'5_categorisation'!A:A=A153)"),"Pays de la Loire")</f>
        <v>Pays de la Loire</v>
      </c>
      <c r="C153" s="13" t="str">
        <f>IFS(A153='5_categorisation'!$A$2,'5_categorisation'!$B$2,A153='5_categorisation'!$A$3,'5_categorisation'!$B$3,A153='5_categorisation'!$A$4,'5_categorisation'!$B$4,A153='5_categorisation'!$A$5,'5_categorisation'!$B$5,A153='5_categorisation'!$A$6,'5_categorisation'!$B$6,A153='5_categorisation'!$A$7,'5_categorisation'!$B$7,A153='5_categorisation'!$A$8,'5_categorisation'!$B$8,A153='5_categorisation'!$A$9,'5_categorisation'!$B$9,A153='5_categorisation'!$A161,'5_categorisation'!$B$10,A153='5_categorisation'!$A$12,'5_categorisation'!$B$12,A153='5_categorisation'!$A$12,'5_categorisation'!$B$12,A153='5_categorisation'!$A$13,'5_categorisation'!$B$13,A153='5_categorisation'!$A$14,'5_categorisation'!$B$14,A153='5_categorisation'!$A$15,'5_categorisation'!$B$15,A153='5_categorisation'!$A$16,'5_categorisation'!$B$16,A153='5_categorisation'!$A$17,'5_categorisation'!$B$17,A153='5_categorisation'!$A$11,'5_categorisation'!$B$11)</f>
        <v>ouest</v>
      </c>
      <c r="D153" s="15">
        <v>5.0</v>
      </c>
      <c r="E153" s="15" t="s">
        <v>3</v>
      </c>
      <c r="F153" s="14" t="str">
        <f>ifs(E153='5_categorisation'!$D$2,'5_categorisation'!$F$2,E153='5_categorisation'!$D$3,'5_categorisation'!$F$3,E153='5_categorisation'!$D$4,'5_categorisation'!$F$4,E153='5_categorisation'!$D$5,'5_categorisation'!$F$5,E153='5_categorisation'!$D$6,'5_categorisation'!$F$6,E153='5_categorisation'!$D$7,'5_categorisation'!$F$7,E153='5_categorisation'!$D$8,'5_categorisation'!$F$8,E153='5_categorisation'!$D$9,'5_categorisation'!$F$9,E153='5_categorisation'!$D$10,'5_categorisation'!$F$10,E153='5_categorisation'!$D$11,'5_categorisation'!$F$11,E153='5_categorisation'!$D$12,'5_categorisation'!$F$12,E153='5_categorisation'!$D$13,'5_categorisation'!$F$13,E153='5_categorisation'!$D$14,'5_categorisation'!$F$14,E153='5_categorisation'!$D$15,'5_categorisation'!$F$15,E153='5_categorisation'!$D$16,'5_categorisation'!$F$16,E153='5_categorisation'!$D$17,'5_categorisation'!$F$17,E153='5_categorisation'!$D$18,'5_categorisation'!$F$18,E153='5_categorisation'!$D$19,'5_categorisation'!$F$19,E153='5_categorisation'!$D$20,'5_categorisation'!$F$20,E153='5_categorisation'!$D$21,'5_categorisation'!$F$21,E153='5_categorisation'!$D$22,'5_categorisation'!$F$22)</f>
        <v>gauche</v>
      </c>
      <c r="G153" s="15" t="s">
        <v>389</v>
      </c>
      <c r="H153" s="15" t="s">
        <v>114</v>
      </c>
      <c r="I153" s="15" t="s">
        <v>908</v>
      </c>
      <c r="J153" s="14" t="str">
        <f>IFERROR(__xludf.DUMMYFUNCTION("FILTER(candidats!M:M,candidats!P:P=I153)"),"M")</f>
        <v>M</v>
      </c>
      <c r="K153" s="15">
        <v>18626.0</v>
      </c>
    </row>
    <row r="154">
      <c r="A154" s="13" t="s">
        <v>496</v>
      </c>
      <c r="B154" s="13" t="str">
        <f>IFERROR(__xludf.DUMMYFUNCTION("FILTER('5_categorisation'!C:C,'5_categorisation'!A:A=A154)"),"Pays de la Loire")</f>
        <v>Pays de la Loire</v>
      </c>
      <c r="C154" s="13" t="str">
        <f>IFS(A154='5_categorisation'!$A$2,'5_categorisation'!$B$2,A154='5_categorisation'!$A$3,'5_categorisation'!$B$3,A154='5_categorisation'!$A$4,'5_categorisation'!$B$4,A154='5_categorisation'!$A$5,'5_categorisation'!$B$5,A154='5_categorisation'!$A$6,'5_categorisation'!$B$6,A154='5_categorisation'!$A$7,'5_categorisation'!$B$7,A154='5_categorisation'!$A$8,'5_categorisation'!$B$8,A154='5_categorisation'!$A$9,'5_categorisation'!$B$9,A154='5_categorisation'!$A162,'5_categorisation'!$B$10,A154='5_categorisation'!$A$12,'5_categorisation'!$B$12,A154='5_categorisation'!$A$12,'5_categorisation'!$B$12,A154='5_categorisation'!$A$13,'5_categorisation'!$B$13,A154='5_categorisation'!$A$14,'5_categorisation'!$B$14,A154='5_categorisation'!$A$15,'5_categorisation'!$B$15,A154='5_categorisation'!$A$16,'5_categorisation'!$B$16,A154='5_categorisation'!$A$17,'5_categorisation'!$B$17,A154='5_categorisation'!$A$11,'5_categorisation'!$B$11)</f>
        <v>ouest</v>
      </c>
      <c r="D154" s="14">
        <v>6.0</v>
      </c>
      <c r="E154" s="14" t="s">
        <v>37</v>
      </c>
      <c r="F154" s="14" t="str">
        <f>ifs(E154='5_categorisation'!$D$2,'5_categorisation'!$F$2,E154='5_categorisation'!$D$3,'5_categorisation'!$F$3,E154='5_categorisation'!$D$4,'5_categorisation'!$F$4,E154='5_categorisation'!$D$5,'5_categorisation'!$F$5,E154='5_categorisation'!$D$6,'5_categorisation'!$F$6,E154='5_categorisation'!$D$7,'5_categorisation'!$F$7,E154='5_categorisation'!$D$8,'5_categorisation'!$F$8,E154='5_categorisation'!$D$9,'5_categorisation'!$F$9,E154='5_categorisation'!$D$10,'5_categorisation'!$F$10,E154='5_categorisation'!$D$11,'5_categorisation'!$F$11,E154='5_categorisation'!$D$12,'5_categorisation'!$F$12,E154='5_categorisation'!$D$13,'5_categorisation'!$F$13,E154='5_categorisation'!$D$14,'5_categorisation'!$F$14,E154='5_categorisation'!$D$15,'5_categorisation'!$F$15,E154='5_categorisation'!$D$16,'5_categorisation'!$F$16,E154='5_categorisation'!$D$17,'5_categorisation'!$F$17,E154='5_categorisation'!$D$18,'5_categorisation'!$F$18,E154='5_categorisation'!$D$19,'5_categorisation'!$F$19,E154='5_categorisation'!$D$20,'5_categorisation'!$F$20,E154='5_categorisation'!$D$21,'5_categorisation'!$F$21,E154='5_categorisation'!$D$22,'5_categorisation'!$F$22)</f>
        <v>droite</v>
      </c>
      <c r="G154" s="14" t="s">
        <v>513</v>
      </c>
      <c r="H154" s="14" t="s">
        <v>514</v>
      </c>
      <c r="I154" s="14" t="s">
        <v>909</v>
      </c>
      <c r="J154" s="14" t="str">
        <f>IFERROR(__xludf.DUMMYFUNCTION("FILTER(candidats!M:M,candidats!P:P=I154)"),"M")</f>
        <v>M</v>
      </c>
      <c r="K154" s="14">
        <v>424951.0</v>
      </c>
    </row>
    <row r="155">
      <c r="A155" s="13" t="s">
        <v>496</v>
      </c>
      <c r="B155" s="13" t="str">
        <f>IFERROR(__xludf.DUMMYFUNCTION("FILTER('5_categorisation'!C:C,'5_categorisation'!A:A=A155)"),"Pays de la Loire")</f>
        <v>Pays de la Loire</v>
      </c>
      <c r="C155" s="13" t="str">
        <f>IFS(A155='5_categorisation'!$A$2,'5_categorisation'!$B$2,A155='5_categorisation'!$A$3,'5_categorisation'!$B$3,A155='5_categorisation'!$A$4,'5_categorisation'!$B$4,A155='5_categorisation'!$A$5,'5_categorisation'!$B$5,A155='5_categorisation'!$A$6,'5_categorisation'!$B$6,A155='5_categorisation'!$A$7,'5_categorisation'!$B$7,A155='5_categorisation'!$A$8,'5_categorisation'!$B$8,A155='5_categorisation'!$A$9,'5_categorisation'!$B$9,A155='5_categorisation'!$A163,'5_categorisation'!$B$10,A155='5_categorisation'!$A$12,'5_categorisation'!$B$12,A155='5_categorisation'!$A$12,'5_categorisation'!$B$12,A155='5_categorisation'!$A$13,'5_categorisation'!$B$13,A155='5_categorisation'!$A$14,'5_categorisation'!$B$14,A155='5_categorisation'!$A$15,'5_categorisation'!$B$15,A155='5_categorisation'!$A$16,'5_categorisation'!$B$16,A155='5_categorisation'!$A$17,'5_categorisation'!$B$17,A155='5_categorisation'!$A$11,'5_categorisation'!$B$11)</f>
        <v>ouest</v>
      </c>
      <c r="D155" s="14">
        <v>7.0</v>
      </c>
      <c r="E155" s="14" t="s">
        <v>15</v>
      </c>
      <c r="F155" s="14" t="str">
        <f>ifs(E155='5_categorisation'!$D$2,'5_categorisation'!$F$2,E155='5_categorisation'!$D$3,'5_categorisation'!$F$3,E155='5_categorisation'!$D$4,'5_categorisation'!$F$4,E155='5_categorisation'!$D$5,'5_categorisation'!$F$5,E155='5_categorisation'!$D$6,'5_categorisation'!$F$6,E155='5_categorisation'!$D$7,'5_categorisation'!$F$7,E155='5_categorisation'!$D$8,'5_categorisation'!$F$8,E155='5_categorisation'!$D$9,'5_categorisation'!$F$9,E155='5_categorisation'!$D$10,'5_categorisation'!$F$10,E155='5_categorisation'!$D$11,'5_categorisation'!$F$11,E155='5_categorisation'!$D$12,'5_categorisation'!$F$12,E155='5_categorisation'!$D$13,'5_categorisation'!$F$13,E155='5_categorisation'!$D$14,'5_categorisation'!$F$14,E155='5_categorisation'!$D$15,'5_categorisation'!$F$15,E155='5_categorisation'!$D$16,'5_categorisation'!$F$16,E155='5_categorisation'!$D$17,'5_categorisation'!$F$17,E155='5_categorisation'!$D$18,'5_categorisation'!$F$18,E155='5_categorisation'!$D$19,'5_categorisation'!$F$19,E155='5_categorisation'!$D$20,'5_categorisation'!$F$20,E155='5_categorisation'!$D$21,'5_categorisation'!$F$21,E155='5_categorisation'!$D$22,'5_categorisation'!$F$22)</f>
        <v>gauche</v>
      </c>
      <c r="G155" s="14" t="s">
        <v>517</v>
      </c>
      <c r="H155" s="14" t="s">
        <v>518</v>
      </c>
      <c r="I155" s="14" t="s">
        <v>910</v>
      </c>
      <c r="J155" s="14" t="str">
        <f>IFERROR(__xludf.DUMMYFUNCTION("FILTER(candidats!M:M,candidats!P:P=I155)"),"M")</f>
        <v>M</v>
      </c>
      <c r="K155" s="14">
        <v>326764.0</v>
      </c>
    </row>
    <row r="156">
      <c r="A156" s="13" t="s">
        <v>496</v>
      </c>
      <c r="B156" s="13" t="str">
        <f>IFERROR(__xludf.DUMMYFUNCTION("FILTER('5_categorisation'!C:C,'5_categorisation'!A:A=A156)"),"Pays de la Loire")</f>
        <v>Pays de la Loire</v>
      </c>
      <c r="C156" s="13" t="str">
        <f>IFS(A156='5_categorisation'!$A$2,'5_categorisation'!$B$2,A156='5_categorisation'!$A$3,'5_categorisation'!$B$3,A156='5_categorisation'!$A$4,'5_categorisation'!$B$4,A156='5_categorisation'!$A$5,'5_categorisation'!$B$5,A156='5_categorisation'!$A$6,'5_categorisation'!$B$6,A156='5_categorisation'!$A$7,'5_categorisation'!$B$7,A156='5_categorisation'!$A$8,'5_categorisation'!$B$8,A156='5_categorisation'!$A$9,'5_categorisation'!$B$9,A156='5_categorisation'!$A$10,'5_categorisation'!$B$10,A156='5_categorisation'!$A$11,'5_categorisation'!$B$11,A156='5_categorisation'!$A$12,'5_categorisation'!$B$12,A156='5_categorisation'!$A$13,'5_categorisation'!$B$13,A156='5_categorisation'!$A$14,'5_categorisation'!$B$14,A156='5_categorisation'!$A$15,'5_categorisation'!$B$15,A156='5_categorisation'!$A$16,'5_categorisation'!$B$16,A156='5_categorisation'!$A$17,'5_categorisation'!$B$17,A156='5_categorisation'!$A$18,'5_categorisation'!$B$18)</f>
        <v>ouest</v>
      </c>
      <c r="D156" s="14">
        <v>8.0</v>
      </c>
      <c r="E156" s="14" t="s">
        <v>3</v>
      </c>
      <c r="F156" s="14" t="str">
        <f>ifs(E156='5_categorisation'!$D$2,'5_categorisation'!$F$2,E156='5_categorisation'!$D$3,'5_categorisation'!$F$3,E156='5_categorisation'!$D$4,'5_categorisation'!$F$4,E156='5_categorisation'!$D$5,'5_categorisation'!$F$5,E156='5_categorisation'!$D$6,'5_categorisation'!$F$6,E156='5_categorisation'!$D$7,'5_categorisation'!$F$7,E156='5_categorisation'!$D$8,'5_categorisation'!$F$8,E156='5_categorisation'!$D$9,'5_categorisation'!$F$9,E156='5_categorisation'!$D$10,'5_categorisation'!$F$10,E156='5_categorisation'!$D$11,'5_categorisation'!$F$11,E156='5_categorisation'!$D$12,'5_categorisation'!$F$12,E156='5_categorisation'!$D$13,'5_categorisation'!$F$13,E156='5_categorisation'!$D$14,'5_categorisation'!$F$14,E156='5_categorisation'!$D$15,'5_categorisation'!$F$15,E156='5_categorisation'!$D$16,'5_categorisation'!$F$16,E156='5_categorisation'!$D$17,'5_categorisation'!$F$17,E156='5_categorisation'!$D$18,'5_categorisation'!$F$18,E156='5_categorisation'!$D$19,'5_categorisation'!$F$19,E156='5_categorisation'!$D$20,'5_categorisation'!$F$20,E156='5_categorisation'!$D$21,'5_categorisation'!$F$21,E156='5_categorisation'!$D$22,'5_categorisation'!$F$22)</f>
        <v>gauche</v>
      </c>
      <c r="G156" s="14" t="s">
        <v>520</v>
      </c>
      <c r="H156" s="14" t="s">
        <v>520</v>
      </c>
      <c r="I156" s="14" t="s">
        <v>911</v>
      </c>
      <c r="J156" s="14" t="str">
        <f>IFERROR(__xludf.DUMMYFUNCTION("FILTER(candidats!M:M,candidats!P:P=I156)"),"M")</f>
        <v>M</v>
      </c>
      <c r="K156" s="14">
        <v>2164.0</v>
      </c>
    </row>
    <row r="157">
      <c r="A157" s="13" t="s">
        <v>496</v>
      </c>
      <c r="B157" s="13" t="str">
        <f>IFERROR(__xludf.DUMMYFUNCTION("FILTER('5_categorisation'!C:C,'5_categorisation'!A:A=A157)"),"Pays de la Loire")</f>
        <v>Pays de la Loire</v>
      </c>
      <c r="C157" s="13" t="str">
        <f>IFS(A157='5_categorisation'!$A$2,'5_categorisation'!$B$2,A157='5_categorisation'!$A$3,'5_categorisation'!$B$3,A157='5_categorisation'!$A$4,'5_categorisation'!$B$4,A157='5_categorisation'!$A$5,'5_categorisation'!$B$5,A157='5_categorisation'!$A$6,'5_categorisation'!$B$6,A157='5_categorisation'!$A$7,'5_categorisation'!$B$7,A157='5_categorisation'!$A$8,'5_categorisation'!$B$8,A157='5_categorisation'!$A$9,'5_categorisation'!$B$9,A157='5_categorisation'!$A$10,'5_categorisation'!$B$10,A157='5_categorisation'!$A$11,'5_categorisation'!$B$11,A157='5_categorisation'!$A$12,'5_categorisation'!$B$12,A157='5_categorisation'!$A$13,'5_categorisation'!$B$13,A157='5_categorisation'!$A$14,'5_categorisation'!$B$14,A157='5_categorisation'!$A$15,'5_categorisation'!$B$15,A157='5_categorisation'!$A$16,'5_categorisation'!$B$16,A157='5_categorisation'!$A$17,'5_categorisation'!$B$17,A157='5_categorisation'!$A$18,'5_categorisation'!$B$18)</f>
        <v>ouest</v>
      </c>
      <c r="D157" s="14">
        <v>9.0</v>
      </c>
      <c r="E157" s="14" t="s">
        <v>21</v>
      </c>
      <c r="F157" s="14" t="str">
        <f>ifs(E157='5_categorisation'!$D$2,'5_categorisation'!$F$2,E157='5_categorisation'!$D$3,'5_categorisation'!$F$3,E157='5_categorisation'!$D$4,'5_categorisation'!$F$4,E157='5_categorisation'!$D$5,'5_categorisation'!$F$5,E157='5_categorisation'!$D$6,'5_categorisation'!$F$6,E157='5_categorisation'!$D$7,'5_categorisation'!$F$7,E157='5_categorisation'!$D$8,'5_categorisation'!$F$8,E157='5_categorisation'!$D$9,'5_categorisation'!$F$9,E157='5_categorisation'!$D$10,'5_categorisation'!$F$10,E157='5_categorisation'!$D$11,'5_categorisation'!$F$11,E157='5_categorisation'!$D$12,'5_categorisation'!$F$12,E157='5_categorisation'!$D$13,'5_categorisation'!$F$13,E157='5_categorisation'!$D$14,'5_categorisation'!$F$14,E157='5_categorisation'!$D$15,'5_categorisation'!$F$15,E157='5_categorisation'!$D$16,'5_categorisation'!$F$16,E157='5_categorisation'!$D$17,'5_categorisation'!$F$17,E157='5_categorisation'!$D$18,'5_categorisation'!$F$18,E157='5_categorisation'!$D$19,'5_categorisation'!$F$19,E157='5_categorisation'!$D$20,'5_categorisation'!$F$20,E157='5_categorisation'!$D$21,'5_categorisation'!$F$21,E157='5_categorisation'!$D$22,'5_categorisation'!$F$22)</f>
        <v>gauche</v>
      </c>
      <c r="G157" s="14" t="s">
        <v>522</v>
      </c>
      <c r="H157" s="14" t="s">
        <v>523</v>
      </c>
      <c r="I157" s="14" t="s">
        <v>912</v>
      </c>
      <c r="J157" s="14" t="str">
        <f>IFERROR(__xludf.DUMMYFUNCTION("FILTER(candidats!M:M,candidats!P:P=I157)"),"F")</f>
        <v>F</v>
      </c>
      <c r="K157" s="14">
        <v>99253.0</v>
      </c>
    </row>
    <row r="158">
      <c r="A158" s="15" t="s">
        <v>496</v>
      </c>
      <c r="B158" s="13" t="str">
        <f>IFERROR(__xludf.DUMMYFUNCTION("FILTER('5_categorisation'!C:C,'5_categorisation'!A:A=A158)"),"Pays de la Loire")</f>
        <v>Pays de la Loire</v>
      </c>
      <c r="C158" s="13" t="str">
        <f>IFS(A158='5_categorisation'!$A$2,'5_categorisation'!$B$2,A158='5_categorisation'!$A$3,'5_categorisation'!$B$3,A158='5_categorisation'!$A$4,'5_categorisation'!$B$4,A158='5_categorisation'!$A$5,'5_categorisation'!$B$5,A158='5_categorisation'!$A$6,'5_categorisation'!$B$6,A158='5_categorisation'!$A$7,'5_categorisation'!$B$7,A158='5_categorisation'!$A$8,'5_categorisation'!$B$8,A158='5_categorisation'!$A$9,'5_categorisation'!$B$9,A158='5_categorisation'!$A$10,'5_categorisation'!$B$10,A158='5_categorisation'!$A$11,'5_categorisation'!$B$11,A158='5_categorisation'!$A$12,'5_categorisation'!$B$12,A158='5_categorisation'!$A$13,'5_categorisation'!$B$13,A158='5_categorisation'!$A$14,'5_categorisation'!$B$14,A158='5_categorisation'!$A$15,'5_categorisation'!$B$15,A158='5_categorisation'!$A$16,'5_categorisation'!$B$16,A158='5_categorisation'!$A$17,'5_categorisation'!$B$17,A158='5_categorisation'!$A$18,'5_categorisation'!$B$18)</f>
        <v>ouest</v>
      </c>
      <c r="D158" s="15">
        <v>10.0</v>
      </c>
      <c r="E158" s="15" t="s">
        <v>25</v>
      </c>
      <c r="F158" s="14" t="str">
        <f>ifs(E158='5_categorisation'!$D$2,'5_categorisation'!$F$2,E158='5_categorisation'!$D$3,'5_categorisation'!$F$3,E158='5_categorisation'!$D$4,'5_categorisation'!$F$4,E158='5_categorisation'!$D$5,'5_categorisation'!$F$5,E158='5_categorisation'!$D$6,'5_categorisation'!$F$6,E158='5_categorisation'!$D$7,'5_categorisation'!$F$7,E158='5_categorisation'!$D$8,'5_categorisation'!$F$8,E158='5_categorisation'!$D$9,'5_categorisation'!$F$9,E158='5_categorisation'!$D$10,'5_categorisation'!$F$10,E158='5_categorisation'!$D$11,'5_categorisation'!$F$11,E158='5_categorisation'!$D$12,'5_categorisation'!$F$12,E158='5_categorisation'!$D$13,'5_categorisation'!$F$13,E158='5_categorisation'!$D$14,'5_categorisation'!$F$14,E158='5_categorisation'!$D$15,'5_categorisation'!$F$15,E158='5_categorisation'!$D$16,'5_categorisation'!$F$16,E158='5_categorisation'!$D$17,'5_categorisation'!$F$17,E158='5_categorisation'!$D$18,'5_categorisation'!$F$18,E158='5_categorisation'!$D$19,'5_categorisation'!$F$19,E158='5_categorisation'!$D$20,'5_categorisation'!$F$20,E158='5_categorisation'!$D$21,'5_categorisation'!$F$21,E158='5_categorisation'!$D$22,'5_categorisation'!$F$22)</f>
        <v>autre</v>
      </c>
      <c r="G158" s="15" t="s">
        <v>107</v>
      </c>
      <c r="H158" s="15" t="s">
        <v>180</v>
      </c>
      <c r="I158" s="15" t="s">
        <v>913</v>
      </c>
      <c r="J158" s="14" t="str">
        <f>IFERROR(__xludf.DUMMYFUNCTION("FILTER(candidats!M:M,candidats!P:P=I158)"),"M")</f>
        <v>M</v>
      </c>
      <c r="K158" s="15">
        <v>16022.0</v>
      </c>
    </row>
    <row r="159">
      <c r="A159" s="13" t="s">
        <v>527</v>
      </c>
      <c r="B159" s="13" t="str">
        <f>IFERROR(__xludf.DUMMYFUNCTION("FILTER('5_categorisation'!C:C,'5_categorisation'!A:A=A159)"),"Provence-Alpes-Côte d’Azur")</f>
        <v>Provence-Alpes-Côte d’Azur</v>
      </c>
      <c r="C159" s="13" t="str">
        <f>IFS(A159='5_categorisation'!$A$2,'5_categorisation'!$B$2,A159='5_categorisation'!$A$3,'5_categorisation'!$B$3,A159='5_categorisation'!$A$4,'5_categorisation'!$B$4,A159='5_categorisation'!$A$5,'5_categorisation'!$B$5,A159='5_categorisation'!$A$6,'5_categorisation'!$B$6,A159='5_categorisation'!$A$7,'5_categorisation'!$B$7,A159='5_categorisation'!$A$8,'5_categorisation'!$B$8,A159='5_categorisation'!$A$9,'5_categorisation'!$B$9,A159='5_categorisation'!$A$10,'5_categorisation'!$B$10,A159='5_categorisation'!$A$11,'5_categorisation'!$B$11,A159='5_categorisation'!$A$12,'5_categorisation'!$B$12,A159='5_categorisation'!$A$13,'5_categorisation'!$B$13,A159='5_categorisation'!$A$14,'5_categorisation'!$B$14,A159='5_categorisation'!$A$15,'5_categorisation'!$B$15,A159='5_categorisation'!$A$16,'5_categorisation'!$B$16,A159='5_categorisation'!$A$17,'5_categorisation'!$B$17,A159='5_categorisation'!$A$18,'5_categorisation'!$B$18)</f>
        <v>sud</v>
      </c>
      <c r="D159" s="14">
        <v>1.0</v>
      </c>
      <c r="E159" s="14" t="s">
        <v>23</v>
      </c>
      <c r="F159" s="14" t="str">
        <f>ifs(E159='5_categorisation'!$D$2,'5_categorisation'!$F$2,E159='5_categorisation'!$D$3,'5_categorisation'!$F$3,E159='5_categorisation'!$D$4,'5_categorisation'!$F$4,E159='5_categorisation'!$D$5,'5_categorisation'!$F$5,E159='5_categorisation'!$D$6,'5_categorisation'!$F$6,E159='5_categorisation'!$D$7,'5_categorisation'!$F$7,E159='5_categorisation'!$D$8,'5_categorisation'!$F$8,E159='5_categorisation'!$D$9,'5_categorisation'!$F$9,E159='5_categorisation'!$D$10,'5_categorisation'!$F$10,E159='5_categorisation'!$D$11,'5_categorisation'!$F$11,E159='5_categorisation'!$D$12,'5_categorisation'!$F$12,E159='5_categorisation'!$D$13,'5_categorisation'!$F$13,E159='5_categorisation'!$D$14,'5_categorisation'!$F$14,E159='5_categorisation'!$D$15,'5_categorisation'!$F$15,E159='5_categorisation'!$D$16,'5_categorisation'!$F$16,E159='5_categorisation'!$D$17,'5_categorisation'!$F$17,E159='5_categorisation'!$D$18,'5_categorisation'!$F$18,E159='5_categorisation'!$D$19,'5_categorisation'!$F$19,E159='5_categorisation'!$D$20,'5_categorisation'!$F$20,E159='5_categorisation'!$D$21,'5_categorisation'!$F$21,E159='5_categorisation'!$D$22,'5_categorisation'!$F$22)</f>
        <v>gauche</v>
      </c>
      <c r="G159" s="14" t="s">
        <v>529</v>
      </c>
      <c r="H159" s="14" t="s">
        <v>530</v>
      </c>
      <c r="I159" s="14" t="s">
        <v>914</v>
      </c>
      <c r="J159" s="14" t="str">
        <f>IFERROR(__xludf.DUMMYFUNCTION("FILTER(candidats!M:M,candidats!P:P=I159)"),"M")</f>
        <v>M</v>
      </c>
      <c r="K159" s="14">
        <v>71901.0</v>
      </c>
    </row>
    <row r="160">
      <c r="A160" s="13" t="s">
        <v>527</v>
      </c>
      <c r="B160" s="13" t="str">
        <f>IFERROR(__xludf.DUMMYFUNCTION("FILTER('5_categorisation'!C:C,'5_categorisation'!A:A=A160)"),"Provence-Alpes-Côte d’Azur")</f>
        <v>Provence-Alpes-Côte d’Azur</v>
      </c>
      <c r="C160" s="13" t="str">
        <f>IFS(A160='5_categorisation'!$A$2,'5_categorisation'!$B$2,A160='5_categorisation'!$A$3,'5_categorisation'!$B$3,A160='5_categorisation'!$A$4,'5_categorisation'!$B$4,A160='5_categorisation'!$A$5,'5_categorisation'!$B$5,A160='5_categorisation'!$A$6,'5_categorisation'!$B$6,A160='5_categorisation'!$A$7,'5_categorisation'!$B$7,A160='5_categorisation'!$A$8,'5_categorisation'!$B$8,A160='5_categorisation'!$A$9,'5_categorisation'!$B$9,A160='5_categorisation'!$A$10,'5_categorisation'!$B$10,A160='5_categorisation'!$A$11,'5_categorisation'!$B$11,A160='5_categorisation'!$A$12,'5_categorisation'!$B$12,A160='5_categorisation'!$A$13,'5_categorisation'!$B$13,A160='5_categorisation'!$A$14,'5_categorisation'!$B$14,A160='5_categorisation'!$A$15,'5_categorisation'!$B$15,A160='5_categorisation'!$A$16,'5_categorisation'!$B$16,A160='5_categorisation'!$A$17,'5_categorisation'!$B$17,A160='5_categorisation'!$A$18,'5_categorisation'!$B$18)</f>
        <v>sud</v>
      </c>
      <c r="D160" s="15">
        <v>2.0</v>
      </c>
      <c r="E160" s="15" t="s">
        <v>3</v>
      </c>
      <c r="F160" s="14" t="str">
        <f>ifs(E160='5_categorisation'!$D$2,'5_categorisation'!$F$2,E160='5_categorisation'!$D$3,'5_categorisation'!$F$3,E160='5_categorisation'!$D$4,'5_categorisation'!$F$4,E160='5_categorisation'!$D$5,'5_categorisation'!$F$5,E160='5_categorisation'!$D$6,'5_categorisation'!$F$6,E160='5_categorisation'!$D$7,'5_categorisation'!$F$7,E160='5_categorisation'!$D$8,'5_categorisation'!$F$8,E160='5_categorisation'!$D$9,'5_categorisation'!$F$9,E160='5_categorisation'!$D$10,'5_categorisation'!$F$10,E160='5_categorisation'!$D$11,'5_categorisation'!$F$11,E160='5_categorisation'!$D$12,'5_categorisation'!$F$12,E160='5_categorisation'!$D$13,'5_categorisation'!$F$13,E160='5_categorisation'!$D$14,'5_categorisation'!$F$14,E160='5_categorisation'!$D$15,'5_categorisation'!$F$15,E160='5_categorisation'!$D$16,'5_categorisation'!$F$16,E160='5_categorisation'!$D$17,'5_categorisation'!$F$17,E160='5_categorisation'!$D$18,'5_categorisation'!$F$18,E160='5_categorisation'!$D$19,'5_categorisation'!$F$19,E160='5_categorisation'!$D$20,'5_categorisation'!$F$20,E160='5_categorisation'!$D$21,'5_categorisation'!$F$21,E160='5_categorisation'!$D$22,'5_categorisation'!$F$22)</f>
        <v>gauche</v>
      </c>
      <c r="G160" s="15" t="s">
        <v>113</v>
      </c>
      <c r="H160" s="15" t="s">
        <v>114</v>
      </c>
      <c r="I160" s="15" t="s">
        <v>915</v>
      </c>
      <c r="J160" s="14" t="str">
        <f>IFERROR(__xludf.DUMMYFUNCTION("FILTER(candidats!M:M,candidats!P:P=I160)"),"F")</f>
        <v>F</v>
      </c>
      <c r="K160" s="15">
        <v>26279.0</v>
      </c>
    </row>
    <row r="161">
      <c r="A161" s="13" t="s">
        <v>527</v>
      </c>
      <c r="B161" s="13" t="str">
        <f>IFERROR(__xludf.DUMMYFUNCTION("FILTER('5_categorisation'!C:C,'5_categorisation'!A:A=A161)"),"Provence-Alpes-Côte d’Azur")</f>
        <v>Provence-Alpes-Côte d’Azur</v>
      </c>
      <c r="C161" s="13" t="str">
        <f>IFS(A161='5_categorisation'!$A$2,'5_categorisation'!$B$2,A161='5_categorisation'!$A$3,'5_categorisation'!$B$3,A161='5_categorisation'!$A$4,'5_categorisation'!$B$4,A161='5_categorisation'!$A$5,'5_categorisation'!$B$5,A161='5_categorisation'!$A$6,'5_categorisation'!$B$6,A161='5_categorisation'!$A$7,'5_categorisation'!$B$7,A161='5_categorisation'!$A$8,'5_categorisation'!$B$8,A161='5_categorisation'!$A$9,'5_categorisation'!$B$9,A161='5_categorisation'!$A$10,'5_categorisation'!$B$10,A161='5_categorisation'!$A$11,'5_categorisation'!$B$11,A161='5_categorisation'!$A$12,'5_categorisation'!$B$12,A161='5_categorisation'!$A$13,'5_categorisation'!$B$13,A161='5_categorisation'!$A$14,'5_categorisation'!$B$14,A161='5_categorisation'!$A$15,'5_categorisation'!$B$15,A161='5_categorisation'!$A$16,'5_categorisation'!$B$16,A161='5_categorisation'!$A$17,'5_categorisation'!$B$17,A161='5_categorisation'!$A$18,'5_categorisation'!$B$18)</f>
        <v>sud</v>
      </c>
      <c r="D161" s="14">
        <v>3.0</v>
      </c>
      <c r="E161" s="14" t="s">
        <v>45</v>
      </c>
      <c r="F161" s="14" t="str">
        <f>ifs(E161='5_categorisation'!$D$2,'5_categorisation'!$F$2,E161='5_categorisation'!$D$3,'5_categorisation'!$F$3,E161='5_categorisation'!$D$4,'5_categorisation'!$F$4,E161='5_categorisation'!$D$5,'5_categorisation'!$F$5,E161='5_categorisation'!$D$6,'5_categorisation'!$F$6,E161='5_categorisation'!$D$7,'5_categorisation'!$F$7,E161='5_categorisation'!$D$8,'5_categorisation'!$F$8,E161='5_categorisation'!$D$9,'5_categorisation'!$F$9,E161='5_categorisation'!$D$10,'5_categorisation'!$F$10,E161='5_categorisation'!$D$11,'5_categorisation'!$F$11,E161='5_categorisation'!$D$12,'5_categorisation'!$F$12,E161='5_categorisation'!$D$13,'5_categorisation'!$F$13,E161='5_categorisation'!$D$14,'5_categorisation'!$F$14,E161='5_categorisation'!$D$15,'5_categorisation'!$F$15,E161='5_categorisation'!$D$16,'5_categorisation'!$F$16,E161='5_categorisation'!$D$17,'5_categorisation'!$F$17,E161='5_categorisation'!$D$18,'5_categorisation'!$F$18,E161='5_categorisation'!$D$19,'5_categorisation'!$F$19,E161='5_categorisation'!$D$20,'5_categorisation'!$F$20,E161='5_categorisation'!$D$21,'5_categorisation'!$F$21,E161='5_categorisation'!$D$22,'5_categorisation'!$F$22)</f>
        <v>droite</v>
      </c>
      <c r="G161" s="14" t="s">
        <v>537</v>
      </c>
      <c r="H161" s="14" t="s">
        <v>537</v>
      </c>
      <c r="I161" s="14" t="s">
        <v>916</v>
      </c>
      <c r="J161" s="14" t="str">
        <f>IFERROR(__xludf.DUMMYFUNCTION("FILTER(candidats!M:M,candidats!P:P=I161)"),"M")</f>
        <v>M</v>
      </c>
      <c r="K161" s="14">
        <v>19889.0</v>
      </c>
    </row>
    <row r="162">
      <c r="A162" s="13" t="s">
        <v>527</v>
      </c>
      <c r="B162" s="13" t="str">
        <f>IFERROR(__xludf.DUMMYFUNCTION("FILTER('5_categorisation'!C:C,'5_categorisation'!A:A=A162)"),"Provence-Alpes-Côte d’Azur")</f>
        <v>Provence-Alpes-Côte d’Azur</v>
      </c>
      <c r="C162" s="13" t="str">
        <f>IFS(A162='5_categorisation'!$A$2,'5_categorisation'!$B$2,A162='5_categorisation'!$A$3,'5_categorisation'!$B$3,A162='5_categorisation'!$A$4,'5_categorisation'!$B$4,A162='5_categorisation'!$A$5,'5_categorisation'!$B$5,A162='5_categorisation'!$A$6,'5_categorisation'!$B$6,A162='5_categorisation'!$A$7,'5_categorisation'!$B$7,A162='5_categorisation'!$A$8,'5_categorisation'!$B$8,A162='5_categorisation'!$A$9,'5_categorisation'!$B$9,A162='5_categorisation'!$A$10,'5_categorisation'!$B$10,A162='5_categorisation'!$A$11,'5_categorisation'!$B$11,A162='5_categorisation'!$A$12,'5_categorisation'!$B$12,A162='5_categorisation'!$A$13,'5_categorisation'!$B$13,A162='5_categorisation'!$A$14,'5_categorisation'!$B$14,A162='5_categorisation'!$A$15,'5_categorisation'!$B$15,A162='5_categorisation'!$A$16,'5_categorisation'!$B$16,A162='5_categorisation'!$A$17,'5_categorisation'!$B$17,A162='5_categorisation'!$A$18,'5_categorisation'!$B$18)</f>
        <v>sud</v>
      </c>
      <c r="D162" s="14">
        <v>4.0</v>
      </c>
      <c r="E162" s="14" t="s">
        <v>11</v>
      </c>
      <c r="F162" s="14" t="str">
        <f>ifs(E162='5_categorisation'!$D$2,'5_categorisation'!$F$2,E162='5_categorisation'!$D$3,'5_categorisation'!$F$3,E162='5_categorisation'!$D$4,'5_categorisation'!$F$4,E162='5_categorisation'!$D$5,'5_categorisation'!$F$5,E162='5_categorisation'!$D$6,'5_categorisation'!$F$6,E162='5_categorisation'!$D$7,'5_categorisation'!$F$7,E162='5_categorisation'!$D$8,'5_categorisation'!$F$8,E162='5_categorisation'!$D$9,'5_categorisation'!$F$9,E162='5_categorisation'!$D$10,'5_categorisation'!$F$10,E162='5_categorisation'!$D$11,'5_categorisation'!$F$11,E162='5_categorisation'!$D$12,'5_categorisation'!$F$12,E162='5_categorisation'!$D$13,'5_categorisation'!$F$13,E162='5_categorisation'!$D$14,'5_categorisation'!$F$14,E162='5_categorisation'!$D$15,'5_categorisation'!$F$15,E162='5_categorisation'!$D$16,'5_categorisation'!$F$16,E162='5_categorisation'!$D$17,'5_categorisation'!$F$17,E162='5_categorisation'!$D$18,'5_categorisation'!$F$18,E162='5_categorisation'!$D$19,'5_categorisation'!$F$19,E162='5_categorisation'!$D$20,'5_categorisation'!$F$20,E162='5_categorisation'!$D$21,'5_categorisation'!$F$21,E162='5_categorisation'!$D$22,'5_categorisation'!$F$22)</f>
        <v>gauche</v>
      </c>
      <c r="G162" s="14" t="s">
        <v>539</v>
      </c>
      <c r="H162" s="14" t="s">
        <v>917</v>
      </c>
      <c r="I162" s="14" t="s">
        <v>918</v>
      </c>
      <c r="J162" s="14" t="str">
        <f>IFERROR(__xludf.DUMMYFUNCTION("FILTER(candidats!M:M,candidats!P:P=I162)"),"F")</f>
        <v>F</v>
      </c>
      <c r="K162" s="14">
        <v>116125.0</v>
      </c>
    </row>
    <row r="163">
      <c r="A163" s="13" t="s">
        <v>527</v>
      </c>
      <c r="B163" s="13" t="str">
        <f>IFERROR(__xludf.DUMMYFUNCTION("FILTER('5_categorisation'!C:C,'5_categorisation'!A:A=A163)"),"Provence-Alpes-Côte d’Azur")</f>
        <v>Provence-Alpes-Côte d’Azur</v>
      </c>
      <c r="C163" s="13" t="str">
        <f>IFS(A163='5_categorisation'!$A$2,'5_categorisation'!$B$2,A163='5_categorisation'!$A$3,'5_categorisation'!$B$3,A163='5_categorisation'!$A$4,'5_categorisation'!$B$4,A163='5_categorisation'!$A$5,'5_categorisation'!$B$5,A163='5_categorisation'!$A$6,'5_categorisation'!$B$6,A163='5_categorisation'!$A$7,'5_categorisation'!$B$7,A163='5_categorisation'!$A$8,'5_categorisation'!$B$8,A163='5_categorisation'!$A$9,'5_categorisation'!$B$9,A163='5_categorisation'!$A$10,'5_categorisation'!$B$10,A163='5_categorisation'!$A$11,'5_categorisation'!$B$11,A163='5_categorisation'!$A$12,'5_categorisation'!$B$12,A163='5_categorisation'!$A$13,'5_categorisation'!$B$13,A163='5_categorisation'!$A$14,'5_categorisation'!$B$14,A163='5_categorisation'!$A$15,'5_categorisation'!$B$15,A163='5_categorisation'!$A$16,'5_categorisation'!$B$16,A163='5_categorisation'!$A$17,'5_categorisation'!$B$17,A163='5_categorisation'!$A$18,'5_categorisation'!$B$18)</f>
        <v>sud</v>
      </c>
      <c r="D163" s="14">
        <v>5.0</v>
      </c>
      <c r="E163" s="14" t="s">
        <v>43</v>
      </c>
      <c r="F163" s="14" t="str">
        <f>ifs(E163='5_categorisation'!$D$2,'5_categorisation'!$F$2,E163='5_categorisation'!$D$3,'5_categorisation'!$F$3,E163='5_categorisation'!$D$4,'5_categorisation'!$F$4,E163='5_categorisation'!$D$5,'5_categorisation'!$F$5,E163='5_categorisation'!$D$6,'5_categorisation'!$F$6,E163='5_categorisation'!$D$7,'5_categorisation'!$F$7,E163='5_categorisation'!$D$8,'5_categorisation'!$F$8,E163='5_categorisation'!$D$9,'5_categorisation'!$F$9,E163='5_categorisation'!$D$10,'5_categorisation'!$F$10,E163='5_categorisation'!$D$11,'5_categorisation'!$F$11,E163='5_categorisation'!$D$12,'5_categorisation'!$F$12,E163='5_categorisation'!$D$13,'5_categorisation'!$F$13,E163='5_categorisation'!$D$14,'5_categorisation'!$F$14,E163='5_categorisation'!$D$15,'5_categorisation'!$F$15,E163='5_categorisation'!$D$16,'5_categorisation'!$F$16,E163='5_categorisation'!$D$17,'5_categorisation'!$F$17,E163='5_categorisation'!$D$18,'5_categorisation'!$F$18,E163='5_categorisation'!$D$19,'5_categorisation'!$F$19,E163='5_categorisation'!$D$20,'5_categorisation'!$F$20,E163='5_categorisation'!$D$21,'5_categorisation'!$F$21,E163='5_categorisation'!$D$22,'5_categorisation'!$F$22)</f>
        <v>droite</v>
      </c>
      <c r="G163" s="14" t="s">
        <v>542</v>
      </c>
      <c r="H163" s="14" t="s">
        <v>543</v>
      </c>
      <c r="I163" s="14" t="s">
        <v>919</v>
      </c>
      <c r="J163" s="14" t="str">
        <f>IFERROR(__xludf.DUMMYFUNCTION("FILTER(candidats!M:M,candidats!P:P=I163)"),"F")</f>
        <v>F</v>
      </c>
      <c r="K163" s="14">
        <v>719746.0</v>
      </c>
    </row>
    <row r="164">
      <c r="A164" s="13" t="s">
        <v>527</v>
      </c>
      <c r="B164" s="13" t="str">
        <f>IFERROR(__xludf.DUMMYFUNCTION("FILTER('5_categorisation'!C:C,'5_categorisation'!A:A=A164)"),"Provence-Alpes-Côte d’Azur")</f>
        <v>Provence-Alpes-Côte d’Azur</v>
      </c>
      <c r="C164" s="13" t="str">
        <f>IFS(A164='5_categorisation'!$A$2,'5_categorisation'!$B$2,A164='5_categorisation'!$A$3,'5_categorisation'!$B$3,A164='5_categorisation'!$A$4,'5_categorisation'!$B$4,A164='5_categorisation'!$A$5,'5_categorisation'!$B$5,A164='5_categorisation'!$A$6,'5_categorisation'!$B$6,A164='5_categorisation'!$A$7,'5_categorisation'!$B$7,A164='5_categorisation'!$A$8,'5_categorisation'!$B$8,A164='5_categorisation'!$A$9,'5_categorisation'!$B$9,A164='5_categorisation'!$A$10,'5_categorisation'!$B$10,A164='5_categorisation'!$A$11,'5_categorisation'!$B$11,A164='5_categorisation'!$A$12,'5_categorisation'!$B$12,A164='5_categorisation'!$A$13,'5_categorisation'!$B$13,A164='5_categorisation'!$A$14,'5_categorisation'!$B$14,A164='5_categorisation'!$A$15,'5_categorisation'!$B$15,A164='5_categorisation'!$A$16,'5_categorisation'!$B$16,A164='5_categorisation'!$A$17,'5_categorisation'!$B$17,A164='5_categorisation'!$A$18,'5_categorisation'!$B$18)</f>
        <v>sud</v>
      </c>
      <c r="D164" s="14">
        <v>6.0</v>
      </c>
      <c r="E164" s="14" t="s">
        <v>37</v>
      </c>
      <c r="F164" s="14" t="str">
        <f>ifs(E164='5_categorisation'!$D$2,'5_categorisation'!$F$2,E164='5_categorisation'!$D$3,'5_categorisation'!$F$3,E164='5_categorisation'!$D$4,'5_categorisation'!$F$4,E164='5_categorisation'!$D$5,'5_categorisation'!$F$5,E164='5_categorisation'!$D$6,'5_categorisation'!$F$6,E164='5_categorisation'!$D$7,'5_categorisation'!$F$7,E164='5_categorisation'!$D$8,'5_categorisation'!$F$8,E164='5_categorisation'!$D$9,'5_categorisation'!$F$9,E164='5_categorisation'!$D$10,'5_categorisation'!$F$10,E164='5_categorisation'!$D$11,'5_categorisation'!$F$11,E164='5_categorisation'!$D$12,'5_categorisation'!$F$12,E164='5_categorisation'!$D$13,'5_categorisation'!$F$13,E164='5_categorisation'!$D$14,'5_categorisation'!$F$14,E164='5_categorisation'!$D$15,'5_categorisation'!$F$15,E164='5_categorisation'!$D$16,'5_categorisation'!$F$16,E164='5_categorisation'!$D$17,'5_categorisation'!$F$17,E164='5_categorisation'!$D$18,'5_categorisation'!$F$18,E164='5_categorisation'!$D$19,'5_categorisation'!$F$19,E164='5_categorisation'!$D$20,'5_categorisation'!$F$20,E164='5_categorisation'!$D$21,'5_categorisation'!$F$21,E164='5_categorisation'!$D$22,'5_categorisation'!$F$22)</f>
        <v>droite</v>
      </c>
      <c r="G164" s="14" t="s">
        <v>546</v>
      </c>
      <c r="H164" s="14" t="s">
        <v>547</v>
      </c>
      <c r="I164" s="14" t="s">
        <v>920</v>
      </c>
      <c r="J164" s="14" t="str">
        <f>IFERROR(__xludf.DUMMYFUNCTION("FILTER(candidats!M:M,candidats!P:P=I164)"),"M")</f>
        <v>M</v>
      </c>
      <c r="K164" s="14">
        <v>469884.0</v>
      </c>
    </row>
    <row r="165">
      <c r="A165" s="13" t="s">
        <v>527</v>
      </c>
      <c r="B165" s="13" t="str">
        <f>IFERROR(__xludf.DUMMYFUNCTION("FILTER('5_categorisation'!C:C,'5_categorisation'!A:A=A165)"),"Provence-Alpes-Côte d’Azur")</f>
        <v>Provence-Alpes-Côte d’Azur</v>
      </c>
      <c r="C165" s="13" t="str">
        <f>IFS(A165='5_categorisation'!$A$2,'5_categorisation'!$B$2,A165='5_categorisation'!$A$3,'5_categorisation'!$B$3,A165='5_categorisation'!$A$4,'5_categorisation'!$B$4,A165='5_categorisation'!$A$5,'5_categorisation'!$B$5,A165='5_categorisation'!$A$6,'5_categorisation'!$B$6,A165='5_categorisation'!$A$7,'5_categorisation'!$B$7,A165='5_categorisation'!$A$8,'5_categorisation'!$B$8,A165='5_categorisation'!$A$9,'5_categorisation'!$B$9,A165='5_categorisation'!$A$10,'5_categorisation'!$B$10,A165='5_categorisation'!$A$11,'5_categorisation'!$B$11,A165='5_categorisation'!$A$12,'5_categorisation'!$B$12,A165='5_categorisation'!$A$13,'5_categorisation'!$B$13,A165='5_categorisation'!$A$14,'5_categorisation'!$B$14,A165='5_categorisation'!$A$15,'5_categorisation'!$B$15,A165='5_categorisation'!$A$16,'5_categorisation'!$B$16,A165='5_categorisation'!$A$17,'5_categorisation'!$B$17,A165='5_categorisation'!$A$18,'5_categorisation'!$B$18)</f>
        <v>sud</v>
      </c>
      <c r="D165" s="14">
        <v>7.0</v>
      </c>
      <c r="E165" s="14" t="s">
        <v>15</v>
      </c>
      <c r="F165" s="14" t="str">
        <f>ifs(E165='5_categorisation'!$D$2,'5_categorisation'!$F$2,E165='5_categorisation'!$D$3,'5_categorisation'!$F$3,E165='5_categorisation'!$D$4,'5_categorisation'!$F$4,E165='5_categorisation'!$D$5,'5_categorisation'!$F$5,E165='5_categorisation'!$D$6,'5_categorisation'!$F$6,E165='5_categorisation'!$D$7,'5_categorisation'!$F$7,E165='5_categorisation'!$D$8,'5_categorisation'!$F$8,E165='5_categorisation'!$D$9,'5_categorisation'!$F$9,E165='5_categorisation'!$D$10,'5_categorisation'!$F$10,E165='5_categorisation'!$D$11,'5_categorisation'!$F$11,E165='5_categorisation'!$D$12,'5_categorisation'!$F$12,E165='5_categorisation'!$D$13,'5_categorisation'!$F$13,E165='5_categorisation'!$D$14,'5_categorisation'!$F$14,E165='5_categorisation'!$D$15,'5_categorisation'!$F$15,E165='5_categorisation'!$D$16,'5_categorisation'!$F$16,E165='5_categorisation'!$D$17,'5_categorisation'!$F$17,E165='5_categorisation'!$D$18,'5_categorisation'!$F$18,E165='5_categorisation'!$D$19,'5_categorisation'!$F$19,E165='5_categorisation'!$D$20,'5_categorisation'!$F$20,E165='5_categorisation'!$D$21,'5_categorisation'!$F$21,E165='5_categorisation'!$D$22,'5_categorisation'!$F$22)</f>
        <v>gauche</v>
      </c>
      <c r="G165" s="14" t="s">
        <v>550</v>
      </c>
      <c r="H165" s="14" t="s">
        <v>921</v>
      </c>
      <c r="I165" s="14" t="s">
        <v>922</v>
      </c>
      <c r="J165" s="14" t="str">
        <f>IFERROR(__xludf.DUMMYFUNCTION("FILTER(candidats!M:M,candidats!P:P=I165)"),"M")</f>
        <v>M</v>
      </c>
      <c r="K165" s="14">
        <v>294398.0</v>
      </c>
    </row>
    <row r="166">
      <c r="A166" s="15" t="s">
        <v>527</v>
      </c>
      <c r="B166" s="13" t="str">
        <f>IFERROR(__xludf.DUMMYFUNCTION("FILTER('5_categorisation'!C:C,'5_categorisation'!A:A=A166)"),"Provence-Alpes-Côte d’Azur")</f>
        <v>Provence-Alpes-Côte d’Azur</v>
      </c>
      <c r="C166" s="13" t="str">
        <f>IFS(A166='5_categorisation'!$A$2,'5_categorisation'!$B$2,A166='5_categorisation'!$A$3,'5_categorisation'!$B$3,A166='5_categorisation'!$A$4,'5_categorisation'!$B$4,A166='5_categorisation'!$A$5,'5_categorisation'!$B$5,A166='5_categorisation'!$A$6,'5_categorisation'!$B$6,A166='5_categorisation'!$A$7,'5_categorisation'!$B$7,A166='5_categorisation'!$A$8,'5_categorisation'!$B$8,A166='5_categorisation'!$A$9,'5_categorisation'!$B$9,A166='5_categorisation'!$A$10,'5_categorisation'!$B$10,A166='5_categorisation'!$A$11,'5_categorisation'!$B$11,A166='5_categorisation'!$A$12,'5_categorisation'!$B$12,A166='5_categorisation'!$A$13,'5_categorisation'!$B$13,A166='5_categorisation'!$A$14,'5_categorisation'!$B$14,A166='5_categorisation'!$A$15,'5_categorisation'!$B$15,A166='5_categorisation'!$A$16,'5_categorisation'!$B$16,A166='5_categorisation'!$A$17,'5_categorisation'!$B$17,A166='5_categorisation'!$A$18,'5_categorisation'!$B$18)</f>
        <v>sud</v>
      </c>
      <c r="D166" s="15">
        <v>8.0</v>
      </c>
      <c r="E166" s="15" t="s">
        <v>25</v>
      </c>
      <c r="F166" s="14" t="str">
        <f>ifs(E166='5_categorisation'!$D$2,'5_categorisation'!$F$2,E166='5_categorisation'!$D$3,'5_categorisation'!$F$3,E166='5_categorisation'!$D$4,'5_categorisation'!$F$4,E166='5_categorisation'!$D$5,'5_categorisation'!$F$5,E166='5_categorisation'!$D$6,'5_categorisation'!$F$6,E166='5_categorisation'!$D$7,'5_categorisation'!$F$7,E166='5_categorisation'!$D$8,'5_categorisation'!$F$8,E166='5_categorisation'!$D$9,'5_categorisation'!$F$9,E166='5_categorisation'!$D$10,'5_categorisation'!$F$10,E166='5_categorisation'!$D$11,'5_categorisation'!$F$11,E166='5_categorisation'!$D$12,'5_categorisation'!$F$12,E166='5_categorisation'!$D$13,'5_categorisation'!$F$13,E166='5_categorisation'!$D$14,'5_categorisation'!$F$14,E166='5_categorisation'!$D$15,'5_categorisation'!$F$15,E166='5_categorisation'!$D$16,'5_categorisation'!$F$16,E166='5_categorisation'!$D$17,'5_categorisation'!$F$17,E166='5_categorisation'!$D$18,'5_categorisation'!$F$18,E166='5_categorisation'!$D$19,'5_categorisation'!$F$19,E166='5_categorisation'!$D$20,'5_categorisation'!$F$20,E166='5_categorisation'!$D$21,'5_categorisation'!$F$21,E166='5_categorisation'!$D$22,'5_categorisation'!$F$22)</f>
        <v>autre</v>
      </c>
      <c r="G166" s="15" t="s">
        <v>553</v>
      </c>
      <c r="H166" s="15" t="s">
        <v>554</v>
      </c>
      <c r="I166" s="15" t="s">
        <v>923</v>
      </c>
      <c r="J166" s="14" t="str">
        <f>IFERROR(__xludf.DUMMYFUNCTION("FILTER(candidats!M:M,candidats!P:P=I166)"),"M")</f>
        <v>M</v>
      </c>
      <c r="K166" s="15">
        <v>10752.0</v>
      </c>
    </row>
    <row r="167">
      <c r="A167" s="13" t="s">
        <v>527</v>
      </c>
      <c r="B167" s="13" t="str">
        <f>IFERROR(__xludf.DUMMYFUNCTION("FILTER('5_categorisation'!C:C,'5_categorisation'!A:A=A167)"),"Provence-Alpes-Côte d’Azur")</f>
        <v>Provence-Alpes-Côte d’Azur</v>
      </c>
      <c r="C167" s="13" t="str">
        <f>IFS(A167='5_categorisation'!$A$2,'5_categorisation'!$B$2,A167='5_categorisation'!$A$3,'5_categorisation'!$B$3,A167='5_categorisation'!$A$4,'5_categorisation'!$B$4,A167='5_categorisation'!$A$5,'5_categorisation'!$B$5,A167='5_categorisation'!$A$6,'5_categorisation'!$B$6,A167='5_categorisation'!$A$7,'5_categorisation'!$B$7,A167='5_categorisation'!$A$8,'5_categorisation'!$B$8,A167='5_categorisation'!$A$9,'5_categorisation'!$B$9,A167='5_categorisation'!$A$10,'5_categorisation'!$B$10,A167='5_categorisation'!$A$11,'5_categorisation'!$B$11,A167='5_categorisation'!$A$12,'5_categorisation'!$B$12,A167='5_categorisation'!$A$13,'5_categorisation'!$B$13,A167='5_categorisation'!$A$14,'5_categorisation'!$B$14,A167='5_categorisation'!$A$15,'5_categorisation'!$B$15,A167='5_categorisation'!$A$16,'5_categorisation'!$B$16,A167='5_categorisation'!$A$17,'5_categorisation'!$B$17,A167='5_categorisation'!$A$18,'5_categorisation'!$B$18)</f>
        <v>sud</v>
      </c>
      <c r="D167" s="14">
        <v>9.0</v>
      </c>
      <c r="E167" s="14" t="s">
        <v>39</v>
      </c>
      <c r="F167" s="14" t="str">
        <f>ifs(E167='5_categorisation'!$D$2,'5_categorisation'!$F$2,E167='5_categorisation'!$D$3,'5_categorisation'!$F$3,E167='5_categorisation'!$D$4,'5_categorisation'!$F$4,E167='5_categorisation'!$D$5,'5_categorisation'!$F$5,E167='5_categorisation'!$D$6,'5_categorisation'!$F$6,E167='5_categorisation'!$D$7,'5_categorisation'!$F$7,E167='5_categorisation'!$D$8,'5_categorisation'!$F$8,E167='5_categorisation'!$D$9,'5_categorisation'!$F$9,E167='5_categorisation'!$D$10,'5_categorisation'!$F$10,E167='5_categorisation'!$D$11,'5_categorisation'!$F$11,E167='5_categorisation'!$D$12,'5_categorisation'!$F$12,E167='5_categorisation'!$D$13,'5_categorisation'!$F$13,E167='5_categorisation'!$D$14,'5_categorisation'!$F$14,E167='5_categorisation'!$D$15,'5_categorisation'!$F$15,E167='5_categorisation'!$D$16,'5_categorisation'!$F$16,E167='5_categorisation'!$D$17,'5_categorisation'!$F$17,E167='5_categorisation'!$D$18,'5_categorisation'!$F$18,E167='5_categorisation'!$D$19,'5_categorisation'!$F$19,E167='5_categorisation'!$D$20,'5_categorisation'!$F$20,E167='5_categorisation'!$D$21,'5_categorisation'!$F$21,E167='5_categorisation'!$D$22,'5_categorisation'!$F$22)</f>
        <v>droite</v>
      </c>
      <c r="G167" s="14" t="s">
        <v>90</v>
      </c>
      <c r="H167" s="14" t="s">
        <v>91</v>
      </c>
      <c r="I167" s="14" t="s">
        <v>924</v>
      </c>
      <c r="J167" s="14" t="str">
        <f>IFERROR(__xludf.DUMMYFUNCTION("FILTER(candidats!M:M,candidats!P:P=I167)"),"M")</f>
        <v>M</v>
      </c>
      <c r="K167" s="14">
        <v>34600.0</v>
      </c>
    </row>
    <row r="168">
      <c r="A168" s="13" t="s">
        <v>527</v>
      </c>
      <c r="B168" s="13" t="str">
        <f>IFERROR(__xludf.DUMMYFUNCTION("FILTER('5_categorisation'!C:C,'5_categorisation'!A:A=A168)"),"Provence-Alpes-Côte d’Azur")</f>
        <v>Provence-Alpes-Côte d’Azur</v>
      </c>
      <c r="C168" s="13" t="str">
        <f>IFS(A168='5_categorisation'!$A$2,'5_categorisation'!$B$2,A168='5_categorisation'!$A$3,'5_categorisation'!$B$3,A168='5_categorisation'!$A$4,'5_categorisation'!$B$4,A168='5_categorisation'!$A$5,'5_categorisation'!$B$5,A168='5_categorisation'!$A$6,'5_categorisation'!$B$6,A168='5_categorisation'!$A$7,'5_categorisation'!$B$7,A168='5_categorisation'!$A$8,'5_categorisation'!$B$8,A168='5_categorisation'!$A$9,'5_categorisation'!$B$9,A168='5_categorisation'!$A$10,'5_categorisation'!$B$10,A168='5_categorisation'!$A$11,'5_categorisation'!$B$11,A168='5_categorisation'!$A$12,'5_categorisation'!$B$12,A168='5_categorisation'!$A$13,'5_categorisation'!$B$13,A168='5_categorisation'!$A$14,'5_categorisation'!$B$14,A168='5_categorisation'!$A$15,'5_categorisation'!$B$15,A168='5_categorisation'!$A$16,'5_categorisation'!$B$16,A168='5_categorisation'!$A$17,'5_categorisation'!$B$17,A168='5_categorisation'!$A$18,'5_categorisation'!$B$18)</f>
        <v>sud</v>
      </c>
      <c r="D168" s="14">
        <v>10.0</v>
      </c>
      <c r="E168" s="14" t="s">
        <v>19</v>
      </c>
      <c r="F168" s="14" t="str">
        <f>ifs(E168='5_categorisation'!$D$2,'5_categorisation'!$F$2,E168='5_categorisation'!$D$3,'5_categorisation'!$F$3,E168='5_categorisation'!$D$4,'5_categorisation'!$F$4,E168='5_categorisation'!$D$5,'5_categorisation'!$F$5,E168='5_categorisation'!$D$6,'5_categorisation'!$F$6,E168='5_categorisation'!$D$7,'5_categorisation'!$F$7,E168='5_categorisation'!$D$8,'5_categorisation'!$F$8,E168='5_categorisation'!$D$9,'5_categorisation'!$F$9,E168='5_categorisation'!$D$10,'5_categorisation'!$F$10,E168='5_categorisation'!$D$11,'5_categorisation'!$F$11,E168='5_categorisation'!$D$12,'5_categorisation'!$F$12,E168='5_categorisation'!$D$13,'5_categorisation'!$F$13,E168='5_categorisation'!$D$14,'5_categorisation'!$F$14,E168='5_categorisation'!$D$15,'5_categorisation'!$F$15,E168='5_categorisation'!$D$16,'5_categorisation'!$F$16,E168='5_categorisation'!$D$17,'5_categorisation'!$F$17,E168='5_categorisation'!$D$18,'5_categorisation'!$F$18,E168='5_categorisation'!$D$19,'5_categorisation'!$F$19,E168='5_categorisation'!$D$20,'5_categorisation'!$F$20,E168='5_categorisation'!$D$21,'5_categorisation'!$F$21,E168='5_categorisation'!$D$22,'5_categorisation'!$F$22)</f>
        <v>gauche</v>
      </c>
      <c r="G168" s="14" t="s">
        <v>130</v>
      </c>
      <c r="H168" s="14" t="s">
        <v>560</v>
      </c>
      <c r="I168" s="14" t="s">
        <v>925</v>
      </c>
      <c r="J168" s="14" t="str">
        <f>IFERROR(__xludf.DUMMYFUNCTION("FILTER(candidats!M:M,candidats!P:P=I168)"),"M")</f>
        <v>M</v>
      </c>
      <c r="K168" s="14">
        <v>11276.0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onditionalFormatting sqref="B3:E19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5" max="5" width="40.88"/>
  </cols>
  <sheetData>
    <row r="1">
      <c r="A1" s="10" t="str">
        <f t="array" ref="A1:A18">UNIQUE('4_edition'!A:A)</f>
        <v>Libellé de la région</v>
      </c>
      <c r="B1" s="3" t="s">
        <v>933</v>
      </c>
      <c r="C1" s="3" t="s">
        <v>943</v>
      </c>
      <c r="D1" s="3" t="s">
        <v>944</v>
      </c>
      <c r="E1" s="3" t="s">
        <v>945</v>
      </c>
      <c r="F1" s="3" t="s">
        <v>946</v>
      </c>
    </row>
    <row r="2">
      <c r="A2" s="10" t="s">
        <v>73</v>
      </c>
      <c r="B2" s="3" t="s">
        <v>947</v>
      </c>
      <c r="C2" s="3" t="s">
        <v>948</v>
      </c>
      <c r="D2" s="10" t="str">
        <f>Nuance!B3</f>
        <v>LEXG</v>
      </c>
      <c r="E2" s="10" t="str">
        <f>Nuance!C3</f>
        <v>Liste Extrême gauche</v>
      </c>
      <c r="F2" s="3" t="s">
        <v>942</v>
      </c>
    </row>
    <row r="3">
      <c r="A3" s="10" t="s">
        <v>128</v>
      </c>
      <c r="B3" s="3" t="s">
        <v>949</v>
      </c>
      <c r="C3" s="3" t="s">
        <v>950</v>
      </c>
      <c r="D3" s="10" t="str">
        <f>Nuance!B4</f>
        <v>LFG</v>
      </c>
      <c r="E3" s="10" t="str">
        <f>Nuance!C4</f>
        <v>Liste du Front de Gauche</v>
      </c>
      <c r="F3" s="3" t="s">
        <v>942</v>
      </c>
    </row>
    <row r="4">
      <c r="A4" s="10" t="s">
        <v>177</v>
      </c>
      <c r="B4" s="3" t="s">
        <v>940</v>
      </c>
      <c r="C4" s="3" t="s">
        <v>951</v>
      </c>
      <c r="D4" s="10" t="str">
        <f>Nuance!B5</f>
        <v>LPG</v>
      </c>
      <c r="E4" s="10" t="str">
        <f>Nuance!C5</f>
        <v>Liste du Parti de Gauche</v>
      </c>
      <c r="F4" s="3" t="s">
        <v>942</v>
      </c>
    </row>
    <row r="5">
      <c r="A5" s="10" t="s">
        <v>223</v>
      </c>
      <c r="B5" s="3" t="s">
        <v>947</v>
      </c>
      <c r="C5" s="3" t="s">
        <v>952</v>
      </c>
      <c r="D5" s="10" t="str">
        <f>Nuance!B6</f>
        <v>LCOM</v>
      </c>
      <c r="E5" s="10" t="str">
        <f>Nuance!C6</f>
        <v>Liste du Parti communiste français</v>
      </c>
      <c r="F5" s="3" t="s">
        <v>942</v>
      </c>
    </row>
    <row r="6">
      <c r="A6" s="10" t="s">
        <v>265</v>
      </c>
      <c r="B6" s="3" t="s">
        <v>949</v>
      </c>
      <c r="C6" s="3" t="s">
        <v>265</v>
      </c>
      <c r="D6" s="10" t="str">
        <f>Nuance!B7</f>
        <v>LVEG</v>
      </c>
      <c r="E6" s="10" t="str">
        <f>Nuance!C7</f>
        <v>Liste Europe Ecologie-Les Verts et gauche</v>
      </c>
      <c r="F6" s="3" t="s">
        <v>942</v>
      </c>
    </row>
    <row r="7">
      <c r="A7" s="10" t="s">
        <v>312</v>
      </c>
      <c r="B7" s="3" t="s">
        <v>940</v>
      </c>
      <c r="C7" s="3" t="s">
        <v>312</v>
      </c>
      <c r="D7" s="10" t="str">
        <f>Nuance!B8</f>
        <v>LSOC</v>
      </c>
      <c r="E7" s="10" t="str">
        <f>Nuance!C8</f>
        <v>Liste du Parti Socialiste</v>
      </c>
      <c r="F7" s="3" t="s">
        <v>942</v>
      </c>
    </row>
    <row r="8">
      <c r="A8" s="10" t="s">
        <v>563</v>
      </c>
      <c r="B8" s="3" t="s">
        <v>953</v>
      </c>
      <c r="C8" s="3" t="s">
        <v>563</v>
      </c>
      <c r="D8" s="10" t="str">
        <f>Nuance!B9</f>
        <v>LUG</v>
      </c>
      <c r="E8" s="10" t="str">
        <f>Nuance!C9</f>
        <v>Liste Union de la Gauche</v>
      </c>
      <c r="F8" s="3" t="s">
        <v>942</v>
      </c>
    </row>
    <row r="9">
      <c r="A9" s="10" t="s">
        <v>601</v>
      </c>
      <c r="B9" s="3" t="s">
        <v>954</v>
      </c>
      <c r="C9" s="3" t="s">
        <v>601</v>
      </c>
      <c r="D9" s="10" t="str">
        <f>Nuance!B10</f>
        <v>LRDG</v>
      </c>
      <c r="E9" s="10" t="str">
        <f>Nuance!C10</f>
        <v>Liste du Parti radical de gauche</v>
      </c>
      <c r="F9" s="3" t="s">
        <v>942</v>
      </c>
    </row>
    <row r="10">
      <c r="A10" s="10" t="s">
        <v>672</v>
      </c>
      <c r="B10" s="3" t="s">
        <v>954</v>
      </c>
      <c r="C10" s="3" t="s">
        <v>955</v>
      </c>
      <c r="D10" s="10" t="str">
        <f>Nuance!B11</f>
        <v>LDVG</v>
      </c>
      <c r="E10" s="10" t="str">
        <f>Nuance!C11</f>
        <v>Liste Divers gauche</v>
      </c>
      <c r="F10" s="3" t="s">
        <v>942</v>
      </c>
    </row>
    <row r="11">
      <c r="A11" s="10" t="s">
        <v>340</v>
      </c>
      <c r="B11" s="3" t="s">
        <v>940</v>
      </c>
      <c r="C11" s="3" t="s">
        <v>340</v>
      </c>
      <c r="D11" s="10" t="str">
        <f>Nuance!B12</f>
        <v>LVEC</v>
      </c>
      <c r="E11" s="10" t="str">
        <f>Nuance!C12</f>
        <v>Liste d’Europe-Ecologie-Les Verts</v>
      </c>
      <c r="F11" s="3" t="s">
        <v>942</v>
      </c>
    </row>
    <row r="12">
      <c r="A12" s="10" t="s">
        <v>712</v>
      </c>
      <c r="B12" s="3" t="s">
        <v>954</v>
      </c>
      <c r="C12" s="3" t="s">
        <v>712</v>
      </c>
      <c r="D12" s="10" t="str">
        <f>Nuance!B13</f>
        <v>LECO</v>
      </c>
      <c r="E12" s="10" t="str">
        <f>Nuance!C13</f>
        <v>Liste Ecologiste</v>
      </c>
      <c r="F12" s="3" t="s">
        <v>942</v>
      </c>
    </row>
    <row r="13">
      <c r="A13" s="10" t="s">
        <v>391</v>
      </c>
      <c r="B13" s="3" t="s">
        <v>953</v>
      </c>
      <c r="C13" s="3" t="s">
        <v>956</v>
      </c>
      <c r="D13" s="10" t="str">
        <f>Nuance!B14</f>
        <v>LDIV</v>
      </c>
      <c r="E13" s="10" t="str">
        <f>Nuance!C14</f>
        <v>Liste Divers</v>
      </c>
      <c r="F13" s="3" t="s">
        <v>939</v>
      </c>
    </row>
    <row r="14">
      <c r="A14" s="10" t="s">
        <v>637</v>
      </c>
      <c r="B14" s="3" t="s">
        <v>954</v>
      </c>
      <c r="C14" s="3" t="s">
        <v>637</v>
      </c>
      <c r="D14" s="10" t="str">
        <f>Nuance!B15</f>
        <v>LREG</v>
      </c>
      <c r="E14" s="10" t="str">
        <f>Nuance!C15</f>
        <v>Liste Régionaliste</v>
      </c>
      <c r="F14" s="3" t="s">
        <v>939</v>
      </c>
    </row>
    <row r="15">
      <c r="A15" s="10" t="s">
        <v>434</v>
      </c>
      <c r="B15" s="3" t="s">
        <v>957</v>
      </c>
      <c r="C15" s="3" t="s">
        <v>958</v>
      </c>
      <c r="D15" s="10" t="str">
        <f>Nuance!B16</f>
        <v>LMDM</v>
      </c>
      <c r="E15" s="10" t="str">
        <f>Nuance!C16</f>
        <v>Liste du Modem</v>
      </c>
      <c r="F15" s="3" t="s">
        <v>940</v>
      </c>
    </row>
    <row r="16">
      <c r="A16" s="10" t="s">
        <v>462</v>
      </c>
      <c r="B16" s="3" t="s">
        <v>957</v>
      </c>
      <c r="C16" s="3" t="s">
        <v>462</v>
      </c>
      <c r="D16" s="10" t="str">
        <f>Nuance!B17</f>
        <v>LUDI</v>
      </c>
      <c r="E16" s="10" t="str">
        <f>Nuance!C17</f>
        <v>Liste de l’Union des Démocrates et des Indépendants</v>
      </c>
      <c r="F16" s="3" t="s">
        <v>940</v>
      </c>
    </row>
    <row r="17">
      <c r="A17" s="10" t="s">
        <v>496</v>
      </c>
      <c r="B17" s="3" t="s">
        <v>949</v>
      </c>
      <c r="C17" s="3" t="s">
        <v>496</v>
      </c>
      <c r="D17" s="10" t="str">
        <f>Nuance!B18</f>
        <v>LLR</v>
      </c>
      <c r="E17" s="10" t="str">
        <f>Nuance!C18</f>
        <v>Liste « Les Républicains »</v>
      </c>
      <c r="F17" s="3" t="s">
        <v>941</v>
      </c>
    </row>
    <row r="18">
      <c r="A18" s="10" t="s">
        <v>527</v>
      </c>
      <c r="B18" s="3" t="s">
        <v>953</v>
      </c>
      <c r="C18" s="3" t="s">
        <v>959</v>
      </c>
      <c r="D18" s="10" t="str">
        <f>Nuance!B19</f>
        <v>LUD</v>
      </c>
      <c r="E18" s="10" t="str">
        <f>Nuance!C19</f>
        <v>Liste Union de la Droite</v>
      </c>
      <c r="F18" s="3" t="s">
        <v>941</v>
      </c>
    </row>
    <row r="19">
      <c r="D19" s="10" t="str">
        <f>Nuance!B20</f>
        <v>LDLF</v>
      </c>
      <c r="E19" s="10" t="str">
        <f>Nuance!C20</f>
        <v>Liste Debout la France</v>
      </c>
      <c r="F19" s="3" t="s">
        <v>941</v>
      </c>
    </row>
    <row r="20">
      <c r="D20" s="10" t="str">
        <f>Nuance!B21</f>
        <v>LDVD</v>
      </c>
      <c r="E20" s="10" t="str">
        <f>Nuance!C21</f>
        <v>Liste Divers droite</v>
      </c>
      <c r="F20" s="3" t="s">
        <v>941</v>
      </c>
    </row>
    <row r="21">
      <c r="D21" s="10" t="str">
        <f>Nuance!B22</f>
        <v>LFN</v>
      </c>
      <c r="E21" s="10" t="str">
        <f>Nuance!C22</f>
        <v>Liste Front National</v>
      </c>
      <c r="F21" s="3" t="s">
        <v>941</v>
      </c>
    </row>
    <row r="22">
      <c r="D22" s="10" t="str">
        <f>Nuance!B23</f>
        <v>LEXD</v>
      </c>
      <c r="E22" s="10" t="str">
        <f>Nuance!C23</f>
        <v>Liste Extrême droite</v>
      </c>
      <c r="F22" s="3" t="s">
        <v>941</v>
      </c>
    </row>
    <row r="23">
      <c r="D23" s="10" t="str">
        <f>Nuance!B24</f>
        <v/>
      </c>
    </row>
    <row r="24">
      <c r="D24" s="10" t="str">
        <f>Nuance!B25</f>
        <v/>
      </c>
    </row>
    <row r="25">
      <c r="D25" s="10" t="str">
        <f>Nuance!B26</f>
        <v/>
      </c>
    </row>
    <row r="26">
      <c r="D26" s="10" t="str">
        <f>Nuance!B27</f>
        <v/>
      </c>
    </row>
    <row r="27">
      <c r="D27" s="10" t="str">
        <f>Nuance!B28</f>
        <v/>
      </c>
    </row>
    <row r="28">
      <c r="D28" s="10" t="str">
        <f>Nuance!B29</f>
        <v/>
      </c>
    </row>
    <row r="29">
      <c r="D29" s="10" t="str">
        <f>Nuance!B30</f>
        <v/>
      </c>
    </row>
    <row r="30">
      <c r="D30" s="10" t="str">
        <f>Nuance!B31</f>
        <v/>
      </c>
    </row>
    <row r="31">
      <c r="D31" s="10" t="str">
        <f>Nuance!B32</f>
        <v/>
      </c>
    </row>
    <row r="32">
      <c r="D32" s="10" t="str">
        <f>Nuance!B33</f>
        <v/>
      </c>
    </row>
    <row r="33">
      <c r="D33" s="10" t="str">
        <f>Nuance!B34</f>
        <v/>
      </c>
    </row>
    <row r="34">
      <c r="D34" s="10" t="str">
        <f>Nuance!B35</f>
        <v/>
      </c>
    </row>
    <row r="35">
      <c r="D35" s="10" t="str">
        <f>Nuance!B36</f>
        <v/>
      </c>
    </row>
    <row r="36">
      <c r="D36" s="10" t="str">
        <f>Nuance!B37</f>
        <v/>
      </c>
    </row>
    <row r="37">
      <c r="D37" s="10" t="str">
        <f>Nuance!B38</f>
        <v/>
      </c>
    </row>
    <row r="38">
      <c r="D38" s="10" t="str">
        <f>Nuance!B39</f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conditionalFormatting sqref="B3:E8">
    <cfRule type="colorScale" priority="1">
      <colorScale>
        <cfvo type="min"/>
        <cfvo type="max"/>
        <color rgb="FFFFFFFF"/>
        <color rgb="FFE67C73"/>
      </colorScale>
    </cfRule>
  </conditionalFormatting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63"/>
  </cols>
  <sheetData>
    <row r="1">
      <c r="E1" s="3" t="s">
        <v>961</v>
      </c>
      <c r="F1" s="3" t="s">
        <v>962</v>
      </c>
      <c r="G1" s="3" t="s">
        <v>963</v>
      </c>
    </row>
    <row r="2">
      <c r="E2" s="10" t="s">
        <v>951</v>
      </c>
      <c r="F2" s="10" t="s">
        <v>78</v>
      </c>
      <c r="G2" s="10">
        <v>2.0</v>
      </c>
    </row>
    <row r="3">
      <c r="E3" s="10" t="s">
        <v>951</v>
      </c>
      <c r="F3" s="10" t="s">
        <v>85</v>
      </c>
      <c r="G3" s="10">
        <v>7.0</v>
      </c>
    </row>
    <row r="4">
      <c r="E4" s="10" t="s">
        <v>952</v>
      </c>
      <c r="F4" s="10" t="s">
        <v>78</v>
      </c>
      <c r="G4" s="10">
        <v>5.0</v>
      </c>
    </row>
    <row r="5">
      <c r="E5" s="10" t="s">
        <v>952</v>
      </c>
      <c r="F5" s="10" t="s">
        <v>85</v>
      </c>
      <c r="G5" s="10">
        <v>5.0</v>
      </c>
    </row>
    <row r="6">
      <c r="E6" s="10" t="s">
        <v>265</v>
      </c>
      <c r="F6" s="10" t="s">
        <v>78</v>
      </c>
      <c r="G6" s="10">
        <v>1.0</v>
      </c>
    </row>
    <row r="7">
      <c r="E7" s="10" t="s">
        <v>265</v>
      </c>
      <c r="F7" s="10" t="s">
        <v>85</v>
      </c>
      <c r="G7" s="10">
        <v>10.0</v>
      </c>
    </row>
    <row r="8">
      <c r="E8" s="10" t="s">
        <v>312</v>
      </c>
      <c r="F8" s="10" t="s">
        <v>78</v>
      </c>
      <c r="G8" s="10">
        <v>2.0</v>
      </c>
    </row>
    <row r="9">
      <c r="E9" s="10" t="s">
        <v>312</v>
      </c>
      <c r="F9" s="10" t="s">
        <v>85</v>
      </c>
      <c r="G9" s="10">
        <v>6.0</v>
      </c>
    </row>
    <row r="10">
      <c r="E10" s="10" t="s">
        <v>563</v>
      </c>
      <c r="F10" s="10" t="s">
        <v>78</v>
      </c>
      <c r="G10" s="10">
        <v>1.0</v>
      </c>
    </row>
    <row r="11">
      <c r="E11" s="10" t="s">
        <v>563</v>
      </c>
      <c r="F11" s="10" t="s">
        <v>85</v>
      </c>
      <c r="G11" s="10">
        <v>10.0</v>
      </c>
    </row>
    <row r="12">
      <c r="E12" s="10" t="s">
        <v>948</v>
      </c>
      <c r="F12" s="10" t="s">
        <v>78</v>
      </c>
      <c r="G12" s="10">
        <v>1.0</v>
      </c>
    </row>
    <row r="13">
      <c r="E13" s="10" t="s">
        <v>948</v>
      </c>
      <c r="F13" s="10" t="s">
        <v>85</v>
      </c>
      <c r="G13" s="10">
        <v>8.0</v>
      </c>
    </row>
    <row r="14">
      <c r="E14" s="10" t="s">
        <v>601</v>
      </c>
      <c r="F14" s="10" t="s">
        <v>78</v>
      </c>
      <c r="G14" s="10">
        <v>3.0</v>
      </c>
    </row>
    <row r="15">
      <c r="E15" s="10" t="s">
        <v>601</v>
      </c>
      <c r="F15" s="10" t="s">
        <v>85</v>
      </c>
      <c r="G15" s="10">
        <v>7.0</v>
      </c>
    </row>
    <row r="16">
      <c r="E16" s="10" t="s">
        <v>955</v>
      </c>
      <c r="F16" s="10" t="s">
        <v>78</v>
      </c>
      <c r="G16" s="10">
        <v>3.0</v>
      </c>
    </row>
    <row r="17">
      <c r="E17" s="10" t="s">
        <v>955</v>
      </c>
      <c r="F17" s="10" t="s">
        <v>85</v>
      </c>
      <c r="G17" s="10">
        <v>6.0</v>
      </c>
    </row>
    <row r="18">
      <c r="E18" s="10" t="s">
        <v>958</v>
      </c>
      <c r="F18" s="10" t="s">
        <v>78</v>
      </c>
      <c r="G18" s="10">
        <v>2.0</v>
      </c>
    </row>
    <row r="19">
      <c r="E19" s="10" t="s">
        <v>958</v>
      </c>
      <c r="F19" s="10" t="s">
        <v>85</v>
      </c>
      <c r="G19" s="10">
        <v>7.0</v>
      </c>
    </row>
    <row r="20">
      <c r="E20" s="10" t="s">
        <v>340</v>
      </c>
      <c r="F20" s="10" t="s">
        <v>78</v>
      </c>
      <c r="G20" s="10">
        <v>4.0</v>
      </c>
    </row>
    <row r="21">
      <c r="E21" s="10" t="s">
        <v>340</v>
      </c>
      <c r="F21" s="10" t="s">
        <v>85</v>
      </c>
      <c r="G21" s="10">
        <v>7.0</v>
      </c>
    </row>
    <row r="22">
      <c r="E22" s="10" t="s">
        <v>712</v>
      </c>
      <c r="F22" s="10" t="s">
        <v>78</v>
      </c>
      <c r="G22" s="10">
        <v>1.0</v>
      </c>
    </row>
    <row r="23">
      <c r="E23" s="10" t="s">
        <v>712</v>
      </c>
      <c r="F23" s="10" t="s">
        <v>85</v>
      </c>
      <c r="G23" s="10">
        <v>10.0</v>
      </c>
    </row>
    <row r="24">
      <c r="E24" s="10" t="s">
        <v>637</v>
      </c>
      <c r="F24" s="10" t="s">
        <v>78</v>
      </c>
      <c r="G24" s="10">
        <v>2.0</v>
      </c>
    </row>
    <row r="25">
      <c r="E25" s="10" t="s">
        <v>637</v>
      </c>
      <c r="F25" s="10" t="s">
        <v>85</v>
      </c>
      <c r="G25" s="10">
        <v>7.0</v>
      </c>
    </row>
    <row r="26">
      <c r="E26" s="10" t="s">
        <v>462</v>
      </c>
      <c r="F26" s="10" t="s">
        <v>78</v>
      </c>
      <c r="G26" s="10">
        <v>1.0</v>
      </c>
    </row>
    <row r="27">
      <c r="E27" s="10" t="s">
        <v>462</v>
      </c>
      <c r="F27" s="10" t="s">
        <v>85</v>
      </c>
      <c r="G27" s="10">
        <v>8.0</v>
      </c>
    </row>
    <row r="28">
      <c r="E28" s="10" t="s">
        <v>950</v>
      </c>
      <c r="F28" s="10" t="s">
        <v>78</v>
      </c>
      <c r="G28" s="10">
        <v>2.0</v>
      </c>
    </row>
    <row r="29">
      <c r="E29" s="10" t="s">
        <v>950</v>
      </c>
      <c r="F29" s="10" t="s">
        <v>85</v>
      </c>
      <c r="G29" s="10">
        <v>8.0</v>
      </c>
    </row>
    <row r="30">
      <c r="E30" s="10" t="s">
        <v>956</v>
      </c>
      <c r="F30" s="10" t="s">
        <v>78</v>
      </c>
      <c r="G30" s="10">
        <v>2.0</v>
      </c>
    </row>
    <row r="31">
      <c r="E31" s="10" t="s">
        <v>956</v>
      </c>
      <c r="F31" s="10" t="s">
        <v>85</v>
      </c>
      <c r="G31" s="10">
        <v>9.0</v>
      </c>
    </row>
    <row r="32">
      <c r="E32" s="10" t="s">
        <v>496</v>
      </c>
      <c r="F32" s="10" t="s">
        <v>78</v>
      </c>
      <c r="G32" s="10">
        <v>2.0</v>
      </c>
    </row>
    <row r="33">
      <c r="E33" s="10" t="s">
        <v>496</v>
      </c>
      <c r="F33" s="10" t="s">
        <v>85</v>
      </c>
      <c r="G33" s="10">
        <v>8.0</v>
      </c>
    </row>
    <row r="34">
      <c r="E34" s="10" t="s">
        <v>959</v>
      </c>
      <c r="F34" s="10" t="s">
        <v>78</v>
      </c>
      <c r="G34" s="10">
        <v>3.0</v>
      </c>
    </row>
    <row r="35">
      <c r="E35" s="10" t="s">
        <v>959</v>
      </c>
      <c r="F35" s="10" t="s">
        <v>85</v>
      </c>
      <c r="G35" s="10">
        <v>7.0</v>
      </c>
    </row>
  </sheetData>
  <drawing r:id="rId2"/>
</worksheet>
</file>